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北交所\"/>
    </mc:Choice>
  </mc:AlternateContent>
  <bookViews>
    <workbookView xWindow="0" yWindow="0" windowWidth="3800" windowHeight="2960"/>
  </bookViews>
  <sheets>
    <sheet name="北交所" sheetId="15" r:id="rId1"/>
    <sheet name="估值-增速与年化收益" sheetId="14"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3" i="15"/>
  <c r="C39" i="15"/>
  <c r="C83" i="15"/>
  <c r="C126" i="15"/>
  <c r="C124" i="15"/>
  <c r="C147" i="15"/>
  <c r="C158" i="15"/>
  <c r="C160" i="15"/>
  <c r="C167" i="15"/>
  <c r="C202" i="15"/>
  <c r="C207" i="15"/>
  <c r="C226" i="15"/>
  <c r="C243" i="15"/>
  <c r="C246" i="15"/>
  <c r="C245" i="15"/>
  <c r="C248" i="15"/>
  <c r="C250" i="15"/>
  <c r="C238" i="15"/>
  <c r="C185" i="15"/>
  <c r="C165" i="15"/>
  <c r="C225" i="15"/>
  <c r="C81" i="15"/>
  <c r="C189" i="15"/>
  <c r="C60" i="15"/>
  <c r="C118" i="15"/>
  <c r="C180" i="15"/>
  <c r="C77" i="15"/>
  <c r="C136" i="15"/>
  <c r="C113" i="15"/>
  <c r="C228" i="15"/>
  <c r="C122" i="15"/>
  <c r="C142" i="15"/>
  <c r="C240" i="15"/>
  <c r="C145" i="15"/>
  <c r="C179" i="15"/>
  <c r="C95" i="15"/>
  <c r="C196" i="15"/>
  <c r="C169" i="15"/>
  <c r="C175" i="15"/>
  <c r="C235" i="15"/>
  <c r="C137" i="15"/>
  <c r="C120" i="15"/>
  <c r="C56" i="15"/>
  <c r="C133" i="15"/>
  <c r="C148" i="15"/>
  <c r="C74" i="15"/>
  <c r="C212" i="15"/>
  <c r="C164" i="15"/>
  <c r="C66" i="15"/>
  <c r="C88" i="15"/>
  <c r="C247" i="15"/>
  <c r="C139" i="15"/>
  <c r="C215" i="15"/>
  <c r="C146" i="15"/>
  <c r="C194" i="15"/>
  <c r="C188" i="15"/>
  <c r="C223" i="15"/>
  <c r="C233" i="15"/>
  <c r="C49" i="15"/>
  <c r="C222" i="15"/>
  <c r="C91" i="15"/>
  <c r="C181" i="15"/>
  <c r="C191" i="15"/>
  <c r="C98" i="15"/>
  <c r="C82" i="15"/>
  <c r="C172" i="15"/>
  <c r="C61" i="15"/>
  <c r="C44" i="15"/>
  <c r="C97" i="15"/>
  <c r="C200" i="15"/>
  <c r="C130" i="15"/>
  <c r="C115" i="15"/>
  <c r="C121" i="15"/>
  <c r="C184" i="15"/>
  <c r="C190" i="15"/>
  <c r="C162" i="15"/>
  <c r="C125" i="15"/>
  <c r="C177" i="15"/>
  <c r="C152" i="15"/>
  <c r="C100" i="15"/>
  <c r="C53" i="15"/>
  <c r="C92" i="15"/>
  <c r="C170" i="15"/>
  <c r="C206" i="15"/>
  <c r="C112" i="15"/>
  <c r="C45" i="15"/>
  <c r="C50" i="15"/>
  <c r="C43" i="15"/>
  <c r="C90" i="15"/>
  <c r="C239" i="15"/>
  <c r="C55" i="15"/>
  <c r="C161" i="15"/>
  <c r="C210" i="15"/>
  <c r="C57" i="15"/>
  <c r="C138" i="15"/>
  <c r="C72" i="15"/>
  <c r="C154" i="15"/>
  <c r="C62" i="15"/>
  <c r="C105" i="15"/>
  <c r="C84" i="15"/>
  <c r="C163" i="15"/>
  <c r="C69" i="15"/>
  <c r="C204" i="15"/>
  <c r="C234" i="15"/>
  <c r="C96" i="15"/>
  <c r="C132" i="15"/>
  <c r="C197" i="15"/>
  <c r="C135" i="15"/>
  <c r="C150" i="15"/>
  <c r="C93" i="15"/>
  <c r="C71" i="15"/>
  <c r="C199" i="15"/>
  <c r="C232" i="15"/>
  <c r="C37" i="15"/>
  <c r="C129" i="15"/>
  <c r="C47" i="15"/>
  <c r="C70" i="15"/>
  <c r="C203" i="15"/>
  <c r="C193" i="15"/>
  <c r="C166" i="15"/>
  <c r="C230" i="15"/>
  <c r="C42" i="15"/>
  <c r="C107" i="15"/>
  <c r="C168" i="15"/>
  <c r="C63" i="15"/>
  <c r="C217" i="15"/>
  <c r="C182" i="15"/>
  <c r="C116" i="15"/>
  <c r="C34" i="15"/>
  <c r="C51" i="15"/>
  <c r="C73" i="15"/>
  <c r="C35" i="15"/>
  <c r="C75" i="15"/>
  <c r="C219" i="15"/>
  <c r="C134" i="15"/>
  <c r="C209" i="15"/>
  <c r="C176" i="15"/>
  <c r="C174" i="15"/>
  <c r="C143" i="15"/>
  <c r="C214" i="15"/>
  <c r="C52" i="15"/>
  <c r="C104" i="15"/>
  <c r="C244" i="15"/>
  <c r="C48" i="15"/>
  <c r="C102" i="15"/>
  <c r="C99" i="15"/>
  <c r="C140" i="15"/>
  <c r="C101" i="15"/>
  <c r="C216" i="15"/>
  <c r="C198" i="15"/>
  <c r="C117" i="15"/>
  <c r="C201" i="15"/>
  <c r="C58" i="15"/>
  <c r="C156" i="15"/>
  <c r="C86" i="15"/>
  <c r="C128" i="15"/>
  <c r="C141" i="15"/>
  <c r="C155" i="15"/>
  <c r="C106" i="15"/>
  <c r="C59" i="15"/>
  <c r="C103" i="15"/>
  <c r="C85" i="15"/>
  <c r="C186" i="15"/>
  <c r="C109" i="15"/>
  <c r="C218" i="15"/>
  <c r="C89" i="15"/>
  <c r="C231" i="15"/>
  <c r="C249" i="15"/>
  <c r="C213" i="15"/>
  <c r="C183" i="15"/>
  <c r="C94" i="15"/>
  <c r="C64" i="15"/>
  <c r="C110" i="15"/>
  <c r="C241" i="15"/>
  <c r="C123" i="15"/>
  <c r="C78" i="15"/>
  <c r="C111" i="15"/>
  <c r="C46" i="15"/>
  <c r="C54" i="15"/>
  <c r="C236" i="15"/>
  <c r="C195" i="15"/>
  <c r="C119" i="15"/>
  <c r="C227" i="15"/>
  <c r="C38" i="15"/>
  <c r="C178" i="15"/>
  <c r="C242" i="15"/>
  <c r="C41" i="15"/>
  <c r="C211" i="15"/>
  <c r="C229" i="15"/>
  <c r="C144" i="15"/>
  <c r="C237" i="15"/>
  <c r="C87" i="15"/>
  <c r="C220" i="15"/>
  <c r="C208" i="15"/>
  <c r="C192" i="15"/>
  <c r="C149" i="15"/>
  <c r="C36" i="15"/>
  <c r="C79" i="15"/>
  <c r="C159" i="15"/>
  <c r="C131" i="15"/>
  <c r="C127" i="15"/>
  <c r="C173" i="15"/>
  <c r="C187" i="15"/>
  <c r="C151" i="15"/>
  <c r="C114" i="15"/>
  <c r="C76" i="15"/>
  <c r="C68" i="15"/>
  <c r="C67" i="15"/>
  <c r="C80" i="15"/>
  <c r="C157" i="15"/>
  <c r="C224" i="15"/>
  <c r="C171" i="15"/>
  <c r="C221" i="15"/>
  <c r="C205" i="15"/>
  <c r="C40" i="15"/>
  <c r="C108" i="15"/>
  <c r="C153" i="15"/>
  <c r="C65"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C5" i="15"/>
  <c r="C4" i="15"/>
  <c r="C3" i="15"/>
  <c r="C2" i="15"/>
</calcChain>
</file>

<file path=xl/sharedStrings.xml><?xml version="1.0" encoding="utf-8"?>
<sst xmlns="http://schemas.openxmlformats.org/spreadsheetml/2006/main" count="13333" uniqueCount="7905">
  <si>
    <t>&lt;-增速</t>
    <phoneticPr fontId="1" type="noConversion"/>
  </si>
  <si>
    <t>&lt;-估值</t>
    <phoneticPr fontId="1" type="noConversion"/>
  </si>
  <si>
    <t>&lt;-折合年化收益</t>
    <phoneticPr fontId="1" type="noConversion"/>
  </si>
  <si>
    <t>现价</t>
  </si>
  <si>
    <t>市净率</t>
  </si>
  <si>
    <t>代码</t>
  </si>
  <si>
    <t>总市值</t>
  </si>
  <si>
    <t>TTM市盈率</t>
  </si>
  <si>
    <t>所属行业</t>
  </si>
  <si>
    <t>--</t>
  </si>
  <si>
    <t>预期多</t>
    <phoneticPr fontId="1" type="noConversion"/>
  </si>
  <si>
    <t>预期空</t>
    <phoneticPr fontId="1" type="noConversion"/>
  </si>
  <si>
    <t>已知和基本信息</t>
    <phoneticPr fontId="1" type="noConversion"/>
  </si>
  <si>
    <t>净利润增长率</t>
  </si>
  <si>
    <t>总股本</t>
  </si>
  <si>
    <t>1.88亿</t>
  </si>
  <si>
    <t>2.00亿</t>
  </si>
  <si>
    <t>0亿</t>
  </si>
  <si>
    <t>1.01亿</t>
  </si>
  <si>
    <t>3.16亿</t>
  </si>
  <si>
    <t>1.33亿</t>
  </si>
  <si>
    <t>1.23亿</t>
  </si>
  <si>
    <t>1.71亿</t>
  </si>
  <si>
    <t>2.60亿</t>
  </si>
  <si>
    <t>3.34亿</t>
  </si>
  <si>
    <t>1.05亿</t>
  </si>
  <si>
    <t>1.37亿</t>
  </si>
  <si>
    <t>1.08亿</t>
  </si>
  <si>
    <t>流动资产</t>
  </si>
  <si>
    <t>1.22亿</t>
  </si>
  <si>
    <t>3.09亿</t>
  </si>
  <si>
    <t>3.00亿</t>
  </si>
  <si>
    <t>2.44亿</t>
  </si>
  <si>
    <t>2.49亿</t>
  </si>
  <si>
    <t>1.74亿</t>
  </si>
  <si>
    <t>4.72亿</t>
  </si>
  <si>
    <t>2.17亿</t>
  </si>
  <si>
    <t>1.03亿</t>
  </si>
  <si>
    <t>3.66亿</t>
  </si>
  <si>
    <t>1.66亿</t>
  </si>
  <si>
    <t>2.52亿</t>
  </si>
  <si>
    <t>2.72亿</t>
  </si>
  <si>
    <t>3.20亿</t>
  </si>
  <si>
    <t>19.84亿</t>
  </si>
  <si>
    <t>3.46亿</t>
  </si>
  <si>
    <t>3.44亿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</si>
  <si>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</si>
  <si>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</si>
  <si>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</si>
  <si>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</si>
  <si>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</si>
  <si>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</si>
  <si>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</si>
  <si>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</si>
  <si>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</si>
  <si>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</si>
  <si>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</si>
  <si>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</si>
  <si>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</si>
  <si>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1.36亿</t>
  </si>
  <si>
    <t>3.58亿</t>
  </si>
  <si>
    <t>2.25亿</t>
  </si>
  <si>
    <t>1.95亿</t>
  </si>
  <si>
    <t>1.04亿</t>
  </si>
  <si>
    <t>2.48亿</t>
  </si>
  <si>
    <t>2.29亿</t>
  </si>
  <si>
    <t>3.26亿</t>
  </si>
  <si>
    <t>1.27亿</t>
  </si>
  <si>
    <t>1.20亿</t>
  </si>
  <si>
    <t>3.77亿</t>
  </si>
  <si>
    <t>1.68亿</t>
  </si>
  <si>
    <t>4.58亿</t>
  </si>
  <si>
    <t>1.10亿</t>
  </si>
  <si>
    <t>流通股本</t>
  </si>
  <si>
    <t>6.50亿</t>
  </si>
  <si>
    <t>2.66亿</t>
  </si>
  <si>
    <t>6.08亿</t>
  </si>
  <si>
    <t>1.40亿</t>
  </si>
  <si>
    <t>1.02亿</t>
  </si>
  <si>
    <t>5.82亿</t>
  </si>
  <si>
    <t>3.73亿</t>
  </si>
  <si>
    <t>单季营收增速</t>
  </si>
  <si>
    <t>单季利润增速</t>
  </si>
  <si>
    <t>1.16亿</t>
  </si>
  <si>
    <t>扭亏</t>
  </si>
  <si>
    <t>亏损</t>
  </si>
  <si>
    <t/>
  </si>
  <si>
    <t>6.19亿</t>
  </si>
  <si>
    <t>3.88亿</t>
  </si>
  <si>
    <t>1.24亿</t>
  </si>
  <si>
    <t>1.18亿</t>
  </si>
  <si>
    <t>1.77亿</t>
  </si>
  <si>
    <t>1.57亿</t>
  </si>
  <si>
    <t>2.05亿</t>
  </si>
  <si>
    <t>1.30亿</t>
  </si>
  <si>
    <t>涨幅</t>
  </si>
  <si>
    <t>3.15亿</t>
  </si>
  <si>
    <t>4.83亿</t>
  </si>
  <si>
    <t>3.68亿</t>
  </si>
  <si>
    <t>1.17亿</t>
  </si>
  <si>
    <t>2.11亿</t>
  </si>
  <si>
    <t>2.56亿</t>
  </si>
  <si>
    <t>5.70亿</t>
  </si>
  <si>
    <t>4.18亿</t>
  </si>
  <si>
    <t>2.12亿</t>
  </si>
  <si>
    <t>2.67亿</t>
  </si>
  <si>
    <t>-1.10亿</t>
  </si>
  <si>
    <t>3.24亿</t>
  </si>
  <si>
    <t>1.64亿</t>
  </si>
  <si>
    <t>1.79亿</t>
  </si>
  <si>
    <t>1.39亿</t>
  </si>
  <si>
    <t>1.78亿</t>
  </si>
  <si>
    <t>2.75亿</t>
  </si>
  <si>
    <t>1.62亿</t>
  </si>
  <si>
    <t>1.50亿</t>
  </si>
  <si>
    <t>4.90亿</t>
  </si>
  <si>
    <t>3.74亿</t>
  </si>
  <si>
    <t>2.13亿</t>
  </si>
  <si>
    <t>4.62亿</t>
  </si>
  <si>
    <t>4.04亿</t>
  </si>
  <si>
    <t>4.19亿</t>
  </si>
  <si>
    <t>3.70亿</t>
  </si>
  <si>
    <t>400.00万</t>
  </si>
  <si>
    <t>2.07亿</t>
  </si>
  <si>
    <t>2.95亿</t>
  </si>
  <si>
    <t>9.98亿</t>
  </si>
  <si>
    <t>3.59亿</t>
  </si>
  <si>
    <t>8.38亿</t>
  </si>
  <si>
    <t>1.61亿</t>
  </si>
  <si>
    <t>7.98亿</t>
  </si>
  <si>
    <t>1.44亿</t>
  </si>
  <si>
    <t>1.92亿</t>
  </si>
  <si>
    <t>4.28亿</t>
  </si>
  <si>
    <t>4.49亿</t>
  </si>
  <si>
    <t>1.34亿</t>
  </si>
  <si>
    <t>7.10亿</t>
  </si>
  <si>
    <t>11.36亿</t>
  </si>
  <si>
    <t>3.63亿</t>
  </si>
  <si>
    <t>3.86亿</t>
  </si>
  <si>
    <t>5.19亿</t>
  </si>
  <si>
    <t>4.63亿</t>
  </si>
  <si>
    <t>7.95亿</t>
  </si>
  <si>
    <t>5.80亿</t>
  </si>
  <si>
    <t>5.39亿</t>
  </si>
  <si>
    <t>7.06亿</t>
  </si>
  <si>
    <t>4.21亿</t>
  </si>
  <si>
    <t>5.75亿</t>
  </si>
  <si>
    <t>3.96亿</t>
  </si>
  <si>
    <t>1.72亿</t>
  </si>
  <si>
    <t>1.67亿</t>
  </si>
  <si>
    <t>3.32亿</t>
  </si>
  <si>
    <t>2.58亿</t>
  </si>
  <si>
    <t>8.45亿</t>
  </si>
  <si>
    <t>2.82亿</t>
  </si>
  <si>
    <t>1.15亿</t>
  </si>
  <si>
    <t>3.10亿</t>
  </si>
  <si>
    <t>2.86亿</t>
  </si>
  <si>
    <t>3.75亿</t>
  </si>
  <si>
    <t>2.88亿</t>
  </si>
  <si>
    <t>5.33亿</t>
  </si>
  <si>
    <t>1.25亿</t>
  </si>
  <si>
    <t>5.76亿</t>
  </si>
  <si>
    <t>3.60亿</t>
  </si>
  <si>
    <t>22.06亿</t>
  </si>
  <si>
    <t>1.56亿</t>
  </si>
  <si>
    <t>2.38亿</t>
  </si>
  <si>
    <t>1.06亿</t>
  </si>
  <si>
    <t>1.35亿</t>
  </si>
  <si>
    <t>1.98亿</t>
  </si>
  <si>
    <t>2.46亿</t>
  </si>
  <si>
    <t>2.76亿</t>
  </si>
  <si>
    <t>1.97亿</t>
  </si>
  <si>
    <t>3.87亿</t>
  </si>
  <si>
    <t>4.60亿</t>
  </si>
  <si>
    <t>2.87亿</t>
  </si>
  <si>
    <t>3.83亿</t>
  </si>
  <si>
    <t>1.90亿</t>
  </si>
  <si>
    <t>5.98亿</t>
  </si>
  <si>
    <t>2.85亿</t>
  </si>
  <si>
    <t>5.28亿</t>
  </si>
  <si>
    <t>5.55亿</t>
  </si>
  <si>
    <t>2.23亿</t>
  </si>
  <si>
    <t>1.49亿</t>
  </si>
  <si>
    <t>6年PE</t>
  </si>
  <si>
    <t>5年营收增速PEG</t>
  </si>
  <si>
    <t>股利率</t>
  </si>
  <si>
    <t>过往营收增速均值</t>
  </si>
  <si>
    <t>过往利润增速均值</t>
  </si>
  <si>
    <t>折现率</t>
  </si>
  <si>
    <t>1年自由现金流折现</t>
  </si>
  <si>
    <t>1增速</t>
  </si>
  <si>
    <t>3年自由现金流折现</t>
  </si>
  <si>
    <t>3增速</t>
  </si>
  <si>
    <t>6年自由现金流折现</t>
  </si>
  <si>
    <t>6增速</t>
  </si>
  <si>
    <t>10年自由现金流折现</t>
  </si>
  <si>
    <t>10增速</t>
  </si>
  <si>
    <t>20年自由现金流折现</t>
  </si>
  <si>
    <t>承担负债现期溢价</t>
  </si>
  <si>
    <t>清算价格</t>
  </si>
  <si>
    <t>原始顺序</t>
  </si>
  <si>
    <t>策略1营收单季最佳增速</t>
  </si>
  <si>
    <t>策略1利润单季最佳增速</t>
  </si>
  <si>
    <t>营收成长策略</t>
  </si>
  <si>
    <t>利润成长策略</t>
  </si>
  <si>
    <t>营收和利润加权</t>
  </si>
  <si>
    <t>价格变动策略</t>
  </si>
  <si>
    <t>成交量综合策略</t>
  </si>
  <si>
    <t>量价齐升策略</t>
  </si>
  <si>
    <t>基本面排序</t>
  </si>
  <si>
    <t>综合策略</t>
  </si>
  <si>
    <t>机会区域号</t>
  </si>
  <si>
    <t>5日成交换手率</t>
  </si>
  <si>
    <t>30日成交换手率</t>
  </si>
  <si>
    <t>昨日价格累计指数</t>
  </si>
  <si>
    <t>今日价格累积指数</t>
  </si>
  <si>
    <t>成交量异动策略</t>
  </si>
  <si>
    <t>价格箱体形态过滤</t>
  </si>
  <si>
    <t>价格右侧初期策略</t>
  </si>
  <si>
    <t>N日期</t>
  </si>
  <si>
    <t>N-4</t>
  </si>
  <si>
    <t>N-3</t>
  </si>
  <si>
    <t>N-2</t>
  </si>
  <si>
    <t>N-1</t>
  </si>
  <si>
    <t>N</t>
  </si>
  <si>
    <t>1.32亿</t>
  </si>
  <si>
    <t>5.03亿</t>
  </si>
  <si>
    <t>1.58亿</t>
  </si>
  <si>
    <t>6.81亿</t>
  </si>
  <si>
    <t>1.63亿</t>
  </si>
  <si>
    <t>1.26亿</t>
  </si>
  <si>
    <t>9.58亿</t>
  </si>
  <si>
    <t>2.32亿</t>
  </si>
  <si>
    <t>1.80亿</t>
  </si>
  <si>
    <t>5.97亿</t>
  </si>
  <si>
    <t>5.37亿</t>
  </si>
  <si>
    <t>5.49亿</t>
  </si>
  <si>
    <t>2.42亿</t>
  </si>
  <si>
    <t>1.54亿</t>
  </si>
  <si>
    <t>1.96亿</t>
  </si>
  <si>
    <t>2.20亿</t>
  </si>
  <si>
    <t>1.73亿</t>
  </si>
  <si>
    <t>1.28亿</t>
  </si>
  <si>
    <t>3.12亿</t>
  </si>
  <si>
    <t>3.54亿</t>
  </si>
  <si>
    <t>8.04亿</t>
  </si>
  <si>
    <t>2.71亿</t>
  </si>
  <si>
    <t>2.45亿</t>
  </si>
  <si>
    <t>4.71亿</t>
  </si>
  <si>
    <t>6.32亿</t>
  </si>
  <si>
    <t>2.74亿</t>
  </si>
  <si>
    <t>3.14亿</t>
  </si>
  <si>
    <t>14.39亿</t>
  </si>
  <si>
    <t>1.42亿</t>
  </si>
  <si>
    <t>6.31亿</t>
  </si>
  <si>
    <t>4.38亿</t>
  </si>
  <si>
    <t>1.19亿</t>
  </si>
  <si>
    <t>4.75亿</t>
  </si>
  <si>
    <t>1.45亿</t>
  </si>
  <si>
    <t>3.30亿</t>
  </si>
  <si>
    <t>1.00亿</t>
  </si>
  <si>
    <t>3.78亿</t>
  </si>
  <si>
    <t>2.53亿</t>
  </si>
  <si>
    <t>3.03亿</t>
  </si>
  <si>
    <t>1.94亿</t>
  </si>
  <si>
    <t>2.36亿</t>
  </si>
  <si>
    <t>6.85亿</t>
  </si>
  <si>
    <t>4.89亿</t>
  </si>
  <si>
    <t>3.99亿</t>
  </si>
  <si>
    <t>3.31亿</t>
  </si>
  <si>
    <t>3.85亿</t>
  </si>
  <si>
    <t>7.42亿</t>
  </si>
  <si>
    <t>1.14亿</t>
  </si>
  <si>
    <t>3.61亿</t>
  </si>
  <si>
    <t>14.41亿</t>
  </si>
  <si>
    <t>1.86亿</t>
  </si>
  <si>
    <t>3.43亿</t>
  </si>
  <si>
    <t>1.85亿</t>
  </si>
  <si>
    <t>6.90亿</t>
  </si>
  <si>
    <t>5.23亿</t>
  </si>
  <si>
    <t>4.74亿</t>
  </si>
  <si>
    <t>4.29亿</t>
  </si>
  <si>
    <t>10.53亿</t>
  </si>
  <si>
    <t>4.13亿</t>
  </si>
  <si>
    <t>10.63亿</t>
  </si>
  <si>
    <t>2.39亿</t>
  </si>
  <si>
    <t>2.01亿</t>
  </si>
  <si>
    <t>1.87亿</t>
  </si>
  <si>
    <t>40.09亿</t>
  </si>
  <si>
    <t>3.55亿</t>
  </si>
  <si>
    <t>4.22亿</t>
  </si>
  <si>
    <t>4.16亿</t>
  </si>
  <si>
    <t>4.69亿</t>
  </si>
  <si>
    <t>3.72亿</t>
  </si>
  <si>
    <t>3.49亿</t>
  </si>
  <si>
    <t>62.25亿</t>
  </si>
  <si>
    <t>1.84亿</t>
  </si>
  <si>
    <t>2.22亿</t>
  </si>
  <si>
    <t>2.54亿</t>
  </si>
  <si>
    <t>3.93亿</t>
  </si>
  <si>
    <t>1.38亿</t>
  </si>
  <si>
    <t>5.24亿</t>
  </si>
  <si>
    <t>4.09亿</t>
  </si>
  <si>
    <t>3.47亿</t>
  </si>
  <si>
    <t>2.78亿</t>
  </si>
  <si>
    <t>3.69亿</t>
  </si>
  <si>
    <t>3.40亿</t>
  </si>
  <si>
    <t>2.92亿</t>
  </si>
  <si>
    <t>6.60亿</t>
  </si>
  <si>
    <t>40.94亿</t>
  </si>
  <si>
    <t>-2.24亿</t>
  </si>
  <si>
    <t>3.84亿</t>
  </si>
  <si>
    <t>1.51亿</t>
  </si>
  <si>
    <t>8.47亿</t>
  </si>
  <si>
    <t>1.07亿</t>
  </si>
  <si>
    <t>2.10亿</t>
  </si>
  <si>
    <t>5.08亿</t>
  </si>
  <si>
    <t>8.64亿</t>
  </si>
  <si>
    <t>1.48亿</t>
  </si>
  <si>
    <t>5.67亿</t>
  </si>
  <si>
    <t>9.00亿</t>
  </si>
  <si>
    <t>6.24亿</t>
  </si>
  <si>
    <t>5.22亿</t>
  </si>
  <si>
    <t>4.08亿</t>
  </si>
  <si>
    <t>3.13亿</t>
  </si>
  <si>
    <t>9.01亿</t>
  </si>
  <si>
    <t>4.99亿</t>
  </si>
  <si>
    <t>12.03亿</t>
  </si>
  <si>
    <t>1.47亿</t>
  </si>
  <si>
    <t>24.15亿</t>
  </si>
  <si>
    <t>8.00亿</t>
  </si>
  <si>
    <t>2.63亿</t>
  </si>
  <si>
    <t>2.47亿</t>
  </si>
  <si>
    <t>2.09亿</t>
  </si>
  <si>
    <t>-1.59亿</t>
  </si>
  <si>
    <t>5.48亿</t>
  </si>
  <si>
    <t>5.86亿</t>
  </si>
  <si>
    <t>1.76亿</t>
  </si>
  <si>
    <t>5.18亿</t>
  </si>
  <si>
    <t>2.27亿</t>
  </si>
  <si>
    <t>8.44亿</t>
  </si>
  <si>
    <t>6.78亿</t>
  </si>
  <si>
    <t>5.40亿</t>
  </si>
  <si>
    <t>3.45亿</t>
  </si>
  <si>
    <t>5.26亿</t>
  </si>
  <si>
    <t>2.14亿</t>
  </si>
  <si>
    <t>6.12亿</t>
  </si>
  <si>
    <t>4.31亿</t>
  </si>
  <si>
    <t>2.94亿</t>
  </si>
  <si>
    <t>18.91亿</t>
  </si>
  <si>
    <t>11.58亿</t>
  </si>
  <si>
    <t>10.57亿</t>
  </si>
  <si>
    <t>5.64亿</t>
  </si>
  <si>
    <t>6.07亿</t>
  </si>
  <si>
    <t>3.97亿</t>
  </si>
  <si>
    <t>4.43亿</t>
  </si>
  <si>
    <t>7.44亿</t>
  </si>
  <si>
    <t>4.67亿</t>
  </si>
  <si>
    <t>3.65亿</t>
  </si>
  <si>
    <t>18.70亿</t>
  </si>
  <si>
    <t>5.32亿</t>
  </si>
  <si>
    <t>4.61亿</t>
  </si>
  <si>
    <t>3.22亿</t>
  </si>
  <si>
    <t>5.04亿</t>
  </si>
  <si>
    <t>3.90亿</t>
  </si>
  <si>
    <t>7.28亿</t>
  </si>
  <si>
    <t>8.01亿</t>
  </si>
  <si>
    <t>7.51亿</t>
  </si>
  <si>
    <t>2.97亿</t>
  </si>
  <si>
    <t>21.76亿</t>
  </si>
  <si>
    <t>5.09亿</t>
  </si>
  <si>
    <t>3.05亿</t>
  </si>
  <si>
    <t>6.94亿</t>
  </si>
  <si>
    <t>1.70亿</t>
  </si>
  <si>
    <t>1.29亿</t>
  </si>
  <si>
    <t>6.66亿</t>
  </si>
  <si>
    <t>6.26亿</t>
  </si>
  <si>
    <t>1.83亿</t>
  </si>
  <si>
    <t>1.91亿</t>
  </si>
  <si>
    <t>6.89亿</t>
  </si>
  <si>
    <t>51.07亿</t>
  </si>
  <si>
    <t>9.48亿</t>
  </si>
  <si>
    <t>3.41亿</t>
  </si>
  <si>
    <t>4.39亿</t>
  </si>
  <si>
    <t>4.73亿</t>
  </si>
  <si>
    <t>4.87亿</t>
  </si>
  <si>
    <t>1.55亿</t>
  </si>
  <si>
    <t>3.71亿</t>
  </si>
  <si>
    <t>2.43亿</t>
  </si>
  <si>
    <t>4.52亿</t>
  </si>
  <si>
    <t>7.09亿</t>
  </si>
  <si>
    <t>11.21亿</t>
  </si>
  <si>
    <t>2.65亿</t>
  </si>
  <si>
    <t>2.41亿</t>
  </si>
  <si>
    <t>2.80亿</t>
  </si>
  <si>
    <t>1.81亿</t>
  </si>
  <si>
    <t>7.21亿</t>
  </si>
  <si>
    <t>6.83亿</t>
  </si>
  <si>
    <t>6.15亿</t>
  </si>
  <si>
    <t>25.38亿</t>
  </si>
  <si>
    <t>5.95亿</t>
  </si>
  <si>
    <t>2.37亿</t>
  </si>
  <si>
    <t>5.42亿</t>
  </si>
  <si>
    <t>3.01亿</t>
  </si>
  <si>
    <t>2.81亿</t>
  </si>
  <si>
    <t>4.14亿</t>
  </si>
  <si>
    <t>1.31亿</t>
  </si>
  <si>
    <t>9.97亿</t>
  </si>
  <si>
    <t>3.56亿</t>
  </si>
  <si>
    <t>3.36亿</t>
  </si>
  <si>
    <t>5.74亿</t>
  </si>
  <si>
    <t>1.13亿</t>
  </si>
  <si>
    <t>7.07亿</t>
  </si>
  <si>
    <t>6.75亿</t>
  </si>
  <si>
    <t>4.32亿</t>
  </si>
  <si>
    <t>2.99亿</t>
  </si>
  <si>
    <t>2.02亿</t>
  </si>
  <si>
    <t>6.59亿</t>
  </si>
  <si>
    <t>3.53亿</t>
  </si>
  <si>
    <t>2.93亿</t>
  </si>
  <si>
    <t>5.66亿</t>
  </si>
  <si>
    <t>3.28亿</t>
  </si>
  <si>
    <t>4.64亿</t>
  </si>
  <si>
    <t>4.03亿</t>
  </si>
  <si>
    <t>4.27亿</t>
  </si>
  <si>
    <t>3.35亿</t>
  </si>
  <si>
    <t>2.51亿</t>
  </si>
  <si>
    <t>2.31亿</t>
  </si>
  <si>
    <t>3.18亿</t>
  </si>
  <si>
    <t>5.02亿</t>
  </si>
  <si>
    <t>5.62亿</t>
  </si>
  <si>
    <t>20.40亿</t>
  </si>
  <si>
    <t>2.90亿</t>
  </si>
  <si>
    <t>7.22亿</t>
  </si>
  <si>
    <t>1.53亿</t>
  </si>
  <si>
    <t>1.21亿</t>
  </si>
  <si>
    <t>9.36亿</t>
  </si>
  <si>
    <t>1.99亿</t>
  </si>
  <si>
    <t>1.59亿</t>
  </si>
  <si>
    <t>4.12亿</t>
  </si>
  <si>
    <t>3.64亿</t>
  </si>
  <si>
    <t>1.82亿</t>
  </si>
  <si>
    <t>7.67亿</t>
  </si>
  <si>
    <t>6.03亿</t>
  </si>
  <si>
    <t>2.34亿</t>
  </si>
  <si>
    <t>26.88亿</t>
  </si>
  <si>
    <t>2.96亿</t>
  </si>
  <si>
    <t>2.35亿</t>
  </si>
  <si>
    <t>5.13亿</t>
  </si>
  <si>
    <t>2.62亿</t>
  </si>
  <si>
    <t>3.25亿</t>
  </si>
  <si>
    <t>3.42亿</t>
  </si>
  <si>
    <t>4.42亿</t>
  </si>
  <si>
    <t>2.03亿</t>
  </si>
  <si>
    <t>4.81亿</t>
  </si>
  <si>
    <t>5.14亿</t>
  </si>
  <si>
    <t>5.71亿</t>
  </si>
  <si>
    <t>3.50亿</t>
  </si>
  <si>
    <t>3.02亿</t>
  </si>
  <si>
    <t>1.41亿</t>
  </si>
  <si>
    <t>4.30亿</t>
  </si>
  <si>
    <t>45.55亿</t>
  </si>
  <si>
    <t>4.54亿</t>
  </si>
  <si>
    <t>4.47亿</t>
  </si>
  <si>
    <t>1.46亿</t>
  </si>
  <si>
    <t>7.24亿</t>
  </si>
  <si>
    <t>4.97亿</t>
  </si>
  <si>
    <t>20.33亿</t>
  </si>
  <si>
    <t>6.95亿</t>
  </si>
  <si>
    <t>1.60亿</t>
  </si>
  <si>
    <t>2.16亿</t>
  </si>
  <si>
    <t>6.02亿</t>
  </si>
  <si>
    <t>20.04亿</t>
  </si>
  <si>
    <t>6.16亿</t>
  </si>
  <si>
    <t>4.35亿</t>
  </si>
  <si>
    <t>6.37亿</t>
  </si>
  <si>
    <t>10.50亿</t>
  </si>
  <si>
    <t>10.71亿</t>
  </si>
  <si>
    <t>4.88亿</t>
  </si>
  <si>
    <t>4.70亿</t>
  </si>
  <si>
    <t>1.65亿</t>
  </si>
  <si>
    <t>4.53亿</t>
  </si>
  <si>
    <t>4.37亿</t>
  </si>
  <si>
    <t>9.84亿</t>
  </si>
  <si>
    <t>10.65亿</t>
  </si>
  <si>
    <t>5.01亿</t>
  </si>
  <si>
    <t>3.29亿</t>
  </si>
  <si>
    <t>1.12亿</t>
  </si>
  <si>
    <t>3.17亿</t>
  </si>
  <si>
    <t>2.18亿</t>
  </si>
  <si>
    <t>6.45亿</t>
  </si>
  <si>
    <t>2.73亿</t>
  </si>
  <si>
    <t>5.11亿</t>
  </si>
  <si>
    <t>20.36亿</t>
  </si>
  <si>
    <t>3.91亿</t>
  </si>
  <si>
    <t>1.75亿</t>
  </si>
  <si>
    <t>3.19亿</t>
  </si>
  <si>
    <t>3.23亿</t>
  </si>
  <si>
    <t>-1.14亿</t>
  </si>
  <si>
    <t>4.20亿</t>
  </si>
  <si>
    <t>10.12亿</t>
  </si>
  <si>
    <t>5.77亿</t>
  </si>
  <si>
    <t>5.31亿</t>
  </si>
  <si>
    <t>8.49亿</t>
  </si>
  <si>
    <t>6.09亿</t>
  </si>
  <si>
    <t>6.17亿</t>
  </si>
  <si>
    <t>12.68亿</t>
  </si>
  <si>
    <t>6.06亿</t>
  </si>
  <si>
    <t>6.35亿</t>
  </si>
  <si>
    <t>3.81亿</t>
  </si>
  <si>
    <t>5.00亿</t>
  </si>
  <si>
    <t>3.94亿</t>
  </si>
  <si>
    <t>4.01亿</t>
  </si>
  <si>
    <t>14.15亿</t>
  </si>
  <si>
    <t>5.54亿</t>
  </si>
  <si>
    <t>19.08亿</t>
  </si>
  <si>
    <t>2.68亿</t>
  </si>
  <si>
    <t>4.68亿</t>
  </si>
  <si>
    <t>1.09亿</t>
  </si>
  <si>
    <t>4.78亿</t>
  </si>
  <si>
    <t>7.47亿</t>
  </si>
  <si>
    <t>8.69亿</t>
  </si>
  <si>
    <t>8.11亿</t>
  </si>
  <si>
    <t>5.87亿</t>
  </si>
  <si>
    <t>21.26亿</t>
  </si>
  <si>
    <t>52.02亿</t>
  </si>
  <si>
    <t>4.92亿</t>
  </si>
  <si>
    <t>65.58亿</t>
  </si>
  <si>
    <t>4.82亿</t>
  </si>
  <si>
    <t>4.66亿</t>
  </si>
  <si>
    <t>5.05亿</t>
  </si>
  <si>
    <t>4.24亿</t>
  </si>
  <si>
    <t>5.50亿</t>
  </si>
  <si>
    <t>3.67亿</t>
  </si>
  <si>
    <t>7.66亿</t>
  </si>
  <si>
    <t>1.43亿</t>
  </si>
  <si>
    <t>2.15亿</t>
  </si>
  <si>
    <t>1.11亿</t>
  </si>
  <si>
    <t>5.17亿</t>
  </si>
  <si>
    <t>3.82亿</t>
  </si>
  <si>
    <t>19.18亿</t>
  </si>
  <si>
    <t>6.00亿</t>
  </si>
  <si>
    <t>4.65亿</t>
  </si>
  <si>
    <t>2.59亿</t>
  </si>
  <si>
    <t>7.71亿</t>
  </si>
  <si>
    <t>11.35亿</t>
  </si>
  <si>
    <t>6.72亿</t>
  </si>
  <si>
    <t>2.64亿</t>
  </si>
  <si>
    <t>2.30亿</t>
  </si>
  <si>
    <t>6.20亿</t>
  </si>
  <si>
    <t>2.61亿</t>
  </si>
  <si>
    <t>5.57亿</t>
  </si>
  <si>
    <t>1.52亿</t>
  </si>
  <si>
    <t>7.88亿</t>
  </si>
  <si>
    <t>2.19亿</t>
  </si>
  <si>
    <t>4.95亿</t>
  </si>
  <si>
    <t>3.37亿</t>
  </si>
  <si>
    <t>6.11亿</t>
  </si>
  <si>
    <t>7.48亿</t>
  </si>
  <si>
    <t>12.20亿</t>
  </si>
  <si>
    <t>18.02亿</t>
  </si>
  <si>
    <t>9.23亿</t>
  </si>
  <si>
    <t>3.62亿</t>
  </si>
  <si>
    <t>6.30亿</t>
  </si>
  <si>
    <t>6.58亿</t>
  </si>
  <si>
    <t>2.28亿</t>
  </si>
  <si>
    <t>3.48亿</t>
  </si>
  <si>
    <t>5.56亿</t>
  </si>
  <si>
    <t>4.00亿</t>
  </si>
  <si>
    <t>4.33亿</t>
  </si>
  <si>
    <t>5.20亿</t>
  </si>
  <si>
    <t>2.33亿</t>
  </si>
  <si>
    <t>4.55亿</t>
  </si>
  <si>
    <t>4.76亿</t>
  </si>
  <si>
    <t>3.04亿</t>
  </si>
  <si>
    <t>6.39亿</t>
  </si>
  <si>
    <t>2.08亿</t>
  </si>
  <si>
    <t>2.79亿</t>
  </si>
  <si>
    <t>1.93亿</t>
  </si>
  <si>
    <t>1639.47万</t>
  </si>
  <si>
    <t>3.80亿</t>
  </si>
  <si>
    <t>4.91亿</t>
  </si>
  <si>
    <t>3.38亿</t>
  </si>
  <si>
    <t>6.51亿</t>
  </si>
  <si>
    <t>3.39亿</t>
  </si>
  <si>
    <t>2.04亿</t>
  </si>
  <si>
    <t>8.37亿</t>
  </si>
  <si>
    <t>9.38亿</t>
  </si>
  <si>
    <t>8.03亿</t>
  </si>
  <si>
    <t>5.90亿</t>
  </si>
  <si>
    <t>6.48亿</t>
  </si>
  <si>
    <t>4.02亿</t>
  </si>
  <si>
    <t>5.41亿</t>
  </si>
  <si>
    <t>3.57亿</t>
  </si>
  <si>
    <t>3.51亿</t>
  </si>
  <si>
    <t>5.45亿</t>
  </si>
  <si>
    <t>4.57亿</t>
  </si>
  <si>
    <t>2.40亿</t>
  </si>
  <si>
    <t>6.53亿</t>
  </si>
  <si>
    <t>5.21亿</t>
  </si>
  <si>
    <t>6.01亿</t>
  </si>
  <si>
    <t>5.47亿</t>
  </si>
  <si>
    <t>11.65亿</t>
  </si>
  <si>
    <t>2.98亿</t>
  </si>
  <si>
    <t>13.77亿</t>
  </si>
  <si>
    <t>7.56亿</t>
  </si>
  <si>
    <t>4.50亿</t>
  </si>
  <si>
    <t>4.86亿</t>
  </si>
  <si>
    <t>6.80亿</t>
  </si>
  <si>
    <t>7.62亿</t>
  </si>
  <si>
    <t>4.36亿</t>
  </si>
  <si>
    <t>63.08亿</t>
  </si>
  <si>
    <t>7.03亿</t>
  </si>
  <si>
    <t>9.19亿</t>
  </si>
  <si>
    <t>3.95亿</t>
  </si>
  <si>
    <t>8.31亿</t>
  </si>
  <si>
    <t>3.52亿</t>
  </si>
  <si>
    <t>6.73亿</t>
  </si>
  <si>
    <t>3.89亿</t>
  </si>
  <si>
    <t>2.77亿</t>
  </si>
  <si>
    <t>2.21亿</t>
  </si>
  <si>
    <t>4.51亿</t>
  </si>
  <si>
    <t>27.37亿</t>
  </si>
  <si>
    <t>4.05亿</t>
  </si>
  <si>
    <t>-2.40亿</t>
  </si>
  <si>
    <t>7.81亿</t>
  </si>
  <si>
    <t>134.23亿</t>
  </si>
  <si>
    <t>4.77亿</t>
  </si>
  <si>
    <t>4.34亿</t>
  </si>
  <si>
    <t>5.92亿</t>
  </si>
  <si>
    <t>7.40亿</t>
  </si>
  <si>
    <t>5.44亿</t>
  </si>
  <si>
    <t>4.93亿</t>
  </si>
  <si>
    <t>5.58亿</t>
  </si>
  <si>
    <t>5.51亿</t>
  </si>
  <si>
    <t>2.83亿</t>
  </si>
  <si>
    <t>5.72亿</t>
  </si>
  <si>
    <t>2.55亿</t>
  </si>
  <si>
    <t>11.86亿</t>
  </si>
  <si>
    <t>2.06亿</t>
  </si>
  <si>
    <t>1.89亿</t>
  </si>
  <si>
    <t>9.53亿</t>
  </si>
  <si>
    <t>44.52亿</t>
  </si>
  <si>
    <t>6.25亿</t>
  </si>
  <si>
    <t>3.76亿</t>
  </si>
  <si>
    <t>4.59亿</t>
  </si>
  <si>
    <t>15.77亿</t>
  </si>
  <si>
    <t>5.43亿</t>
  </si>
  <si>
    <t>20.51亿</t>
  </si>
  <si>
    <t>5.38亿</t>
  </si>
  <si>
    <t>5.34亿</t>
  </si>
  <si>
    <t>5.25亿</t>
  </si>
  <si>
    <t>3.11亿</t>
  </si>
  <si>
    <t>20.91亿</t>
  </si>
  <si>
    <t>22.74亿</t>
  </si>
  <si>
    <t>2.69亿</t>
  </si>
  <si>
    <t>3.21亿</t>
  </si>
  <si>
    <t>6.57亿</t>
  </si>
  <si>
    <t>4.45亿</t>
  </si>
  <si>
    <t>11.89亿</t>
  </si>
  <si>
    <t>4.10亿</t>
  </si>
  <si>
    <t>29.55亿</t>
  </si>
  <si>
    <t>26.42亿</t>
  </si>
  <si>
    <t>6.70亿</t>
  </si>
  <si>
    <t>7.35亿</t>
  </si>
  <si>
    <t>2.70亿</t>
  </si>
  <si>
    <t>3.92亿</t>
  </si>
  <si>
    <t>7.73亿</t>
  </si>
  <si>
    <t>20.78亿</t>
  </si>
  <si>
    <t>2.57亿</t>
  </si>
  <si>
    <t>4.26亿</t>
  </si>
  <si>
    <t>8.28亿</t>
  </si>
  <si>
    <t>19.52亿</t>
  </si>
  <si>
    <t>3.98亿</t>
  </si>
  <si>
    <t>5.15亿</t>
  </si>
  <si>
    <t>4.23亿</t>
  </si>
  <si>
    <t>5.89亿</t>
  </si>
  <si>
    <t>-1.86亿</t>
  </si>
  <si>
    <t>5.61亿</t>
  </si>
  <si>
    <t>3.08亿</t>
  </si>
  <si>
    <t>26.56亿</t>
  </si>
  <si>
    <t>2.84亿</t>
  </si>
  <si>
    <t>4501.12万</t>
  </si>
  <si>
    <t>-1.16亿</t>
  </si>
  <si>
    <t>5.52亿</t>
  </si>
  <si>
    <t>6.10亿</t>
  </si>
  <si>
    <t>5.63亿</t>
  </si>
  <si>
    <t>1961.09万</t>
  </si>
  <si>
    <t>4.79亿</t>
  </si>
  <si>
    <t>3.27亿</t>
  </si>
  <si>
    <t>2.24亿</t>
  </si>
  <si>
    <t>6.05亿</t>
  </si>
  <si>
    <t>4.96亿</t>
  </si>
  <si>
    <t>4.06亿</t>
  </si>
  <si>
    <t>6.71亿</t>
  </si>
  <si>
    <t xml:space="preserve">    名称</t>
  </si>
  <si>
    <t>成交量[20231124]</t>
  </si>
  <si>
    <t>负债合计[20230930]</t>
  </si>
  <si>
    <t>所有者权益合计[20230930]</t>
  </si>
  <si>
    <t>营业收入[20230930]</t>
  </si>
  <si>
    <t>当季营业收入(同比增长率) %</t>
  </si>
  <si>
    <t>LYear营业总收入[20221231]</t>
  </si>
  <si>
    <t>净利润？</t>
  </si>
  <si>
    <t>LYear净利润[20221231]</t>
  </si>
  <si>
    <t>权益乘数[20230930]</t>
  </si>
  <si>
    <t>总资产周转率[20220930]</t>
  </si>
  <si>
    <t>净利润／营业总收入%[20220930]</t>
  </si>
  <si>
    <t>营业总成本[20230930]</t>
  </si>
  <si>
    <t>营业成本[20230930]</t>
  </si>
  <si>
    <t>销售费用[20230930]</t>
  </si>
  <si>
    <t>管理费用[20230930]</t>
  </si>
  <si>
    <t>研发费用总额[20230630]</t>
  </si>
  <si>
    <t>财务费用</t>
  </si>
  <si>
    <t>投资收益</t>
  </si>
  <si>
    <t>其他收入[20230930]</t>
  </si>
  <si>
    <t>扣非净利润</t>
  </si>
  <si>
    <t>货币资金[20230930]</t>
  </si>
  <si>
    <t>应收账款</t>
  </si>
  <si>
    <t>应收票据[20230930]</t>
  </si>
  <si>
    <t>固定资产[20230930]</t>
  </si>
  <si>
    <t>在建工程[20230930]</t>
  </si>
  <si>
    <t>短期借款[20230930]</t>
  </si>
  <si>
    <t>应付票据[20230930]</t>
  </si>
  <si>
    <t>应付账款[20230930]</t>
  </si>
  <si>
    <t>预收款项[20230930]</t>
  </si>
  <si>
    <t>流动负债[20230930]</t>
  </si>
  <si>
    <t>长期借款[20230930]</t>
  </si>
  <si>
    <t>经营活动产生的现金流量净额[20230930]</t>
  </si>
  <si>
    <t>投资活动产生的现金流量净额[20230930]</t>
  </si>
  <si>
    <t>筹资活动产生的现金流量净额[20230930]</t>
  </si>
  <si>
    <t>营业收入[20211231]</t>
  </si>
  <si>
    <t>营业收入[20201231]</t>
  </si>
  <si>
    <t>营业收入[20191231]</t>
  </si>
  <si>
    <t>营业收入[20181231]</t>
  </si>
  <si>
    <t>营业收入[20171231]</t>
  </si>
  <si>
    <t>净利润[20211231]</t>
  </si>
  <si>
    <t>净利润[20201231]</t>
  </si>
  <si>
    <t>净利润[20191231]</t>
  </si>
  <si>
    <t>净利润[20181231]</t>
  </si>
  <si>
    <t>净利润[20171231]</t>
  </si>
  <si>
    <t>CYLQ营业收入[20230630]</t>
  </si>
  <si>
    <t>LYCQ营业收入[20220930]</t>
  </si>
  <si>
    <t>LYLQ营业收入[20220630]</t>
  </si>
  <si>
    <t>CYLQ净利润[20230630]</t>
  </si>
  <si>
    <t>LYCQ净利润[20220930]</t>
  </si>
  <si>
    <t>LYLQ净利润[20220630]</t>
  </si>
  <si>
    <t>投入资本回报率roic%[20230331]</t>
  </si>
  <si>
    <t>投入资本回报率roic%[20211231]</t>
  </si>
  <si>
    <t>投入资本回报率roic%[20201231]</t>
  </si>
  <si>
    <t>净资产收益率%[20230331]</t>
  </si>
  <si>
    <t>净资产收益率%[20211231]</t>
  </si>
  <si>
    <t>净资产收益率%[20201231]</t>
  </si>
  <si>
    <t>分红明细[20221231]</t>
  </si>
  <si>
    <t>细分行业</t>
  </si>
  <si>
    <t>销售毛利率%[20230630]</t>
  </si>
  <si>
    <t>销售毛利率%[20211231]</t>
  </si>
  <si>
    <t>销售毛利率%[20201231]</t>
  </si>
  <si>
    <t>销售净利率%[20230630]</t>
  </si>
  <si>
    <t>销售净利率%[20211231]</t>
  </si>
  <si>
    <t>销售净利率%[20201231]</t>
  </si>
  <si>
    <t>指数@区间涨跌幅:不复权%[20231120-20231124]</t>
  </si>
  <si>
    <t>区间涨跌幅:前复权%[20231016-20231124]</t>
  </si>
  <si>
    <t>区间成交量[20231120-20231124]</t>
  </si>
  <si>
    <t>区间成交量[20231016-20231124]</t>
  </si>
  <si>
    <t>星昊医药</t>
  </si>
  <si>
    <t>化学制剂</t>
  </si>
  <si>
    <t>8150.96万</t>
  </si>
  <si>
    <t>1000.00万</t>
  </si>
  <si>
    <t>6946.88万</t>
  </si>
  <si>
    <t>7021.15万</t>
  </si>
  <si>
    <t>7798.84万</t>
  </si>
  <si>
    <t>4750.72万</t>
  </si>
  <si>
    <t>5340.23万</t>
  </si>
  <si>
    <t>不分配不转增</t>
  </si>
  <si>
    <t>5054.79万</t>
  </si>
  <si>
    <t>诺思兰德</t>
  </si>
  <si>
    <t>其他生物制品</t>
  </si>
  <si>
    <t>6465.46万</t>
  </si>
  <si>
    <t>-6761.68万</t>
  </si>
  <si>
    <t>5685.59万</t>
  </si>
  <si>
    <t>4143.86万</t>
  </si>
  <si>
    <t>725.17万</t>
  </si>
  <si>
    <t>1029.23万</t>
  </si>
  <si>
    <t>-5156.67万</t>
  </si>
  <si>
    <t>-2535.10万</t>
  </si>
  <si>
    <t>-3700.03万</t>
  </si>
  <si>
    <t>-2522.01万</t>
  </si>
  <si>
    <t>2882.64万</t>
  </si>
  <si>
    <t>-3475.83万</t>
  </si>
  <si>
    <t>同辉信息</t>
  </si>
  <si>
    <t>计算机设备Ⅲ</t>
  </si>
  <si>
    <t>2617.20万</t>
  </si>
  <si>
    <t>2744.75万</t>
  </si>
  <si>
    <t>4072.40万</t>
  </si>
  <si>
    <t>1014.74万</t>
  </si>
  <si>
    <t>8914.24万</t>
  </si>
  <si>
    <t>-2507.86万</t>
  </si>
  <si>
    <t>华岭股份</t>
  </si>
  <si>
    <t>集成电路封测</t>
  </si>
  <si>
    <t>6986.73万</t>
  </si>
  <si>
    <t>9012.24万</t>
  </si>
  <si>
    <t>5580.82万</t>
  </si>
  <si>
    <t>3741.49万</t>
  </si>
  <si>
    <t>3373.60万</t>
  </si>
  <si>
    <t>4456.90万</t>
  </si>
  <si>
    <t>微创光电</t>
  </si>
  <si>
    <t>4204.58万</t>
  </si>
  <si>
    <t>6011.22万</t>
  </si>
  <si>
    <t>4965.46万</t>
  </si>
  <si>
    <t>4259.43万</t>
  </si>
  <si>
    <t>-2745.53万</t>
  </si>
  <si>
    <t>辰光医疗</t>
  </si>
  <si>
    <t>医疗设备</t>
  </si>
  <si>
    <t>2348.23万</t>
  </si>
  <si>
    <t>2424.37万</t>
  </si>
  <si>
    <t>500.59万</t>
  </si>
  <si>
    <t>299.96万</t>
  </si>
  <si>
    <t>184.31万</t>
  </si>
  <si>
    <t>5608.45万</t>
  </si>
  <si>
    <t>-265.88万</t>
  </si>
  <si>
    <t>10派0.3元(含税)</t>
  </si>
  <si>
    <t>苏轴股份</t>
  </si>
  <si>
    <t>汽车零部件Ⅲ</t>
  </si>
  <si>
    <t>8371.00万</t>
  </si>
  <si>
    <t>6318.44万</t>
  </si>
  <si>
    <t>6381.90万</t>
  </si>
  <si>
    <t>6633.00万</t>
  </si>
  <si>
    <t>6309.02万</t>
  </si>
  <si>
    <t>5523.38万</t>
  </si>
  <si>
    <t>10派3.5元(含税)</t>
  </si>
  <si>
    <t>乐创技术</t>
  </si>
  <si>
    <t>工控设备</t>
  </si>
  <si>
    <t>8097.22万</t>
  </si>
  <si>
    <t>7363.94万</t>
  </si>
  <si>
    <t>6112.84万</t>
  </si>
  <si>
    <t>5881.26万</t>
  </si>
  <si>
    <t>3314.41万</t>
  </si>
  <si>
    <t>1575.44万</t>
  </si>
  <si>
    <t>1101.93万</t>
  </si>
  <si>
    <t>587.10万</t>
  </si>
  <si>
    <t>3812.66万</t>
  </si>
  <si>
    <t>1060.70万</t>
  </si>
  <si>
    <t>10派4元(含税)</t>
  </si>
  <si>
    <t>海能技术</t>
  </si>
  <si>
    <t>仪器仪表Ⅲ</t>
  </si>
  <si>
    <t>5337.95万</t>
  </si>
  <si>
    <t>3176.29万</t>
  </si>
  <si>
    <t>2774.42万</t>
  </si>
  <si>
    <t>2053.78万</t>
  </si>
  <si>
    <t>1.69亿</t>
  </si>
  <si>
    <t>1138.50万</t>
  </si>
  <si>
    <t>10派2元(含税)</t>
  </si>
  <si>
    <t>峆一药业</t>
  </si>
  <si>
    <t>原料药</t>
  </si>
  <si>
    <t>3332.16万</t>
  </si>
  <si>
    <t>5315.44万</t>
  </si>
  <si>
    <t>3210.79万</t>
  </si>
  <si>
    <t>1289.71万</t>
  </si>
  <si>
    <t>3656.11万</t>
  </si>
  <si>
    <t>10派3元(含税)</t>
  </si>
  <si>
    <t>佳先股份</t>
  </si>
  <si>
    <t>其他化学原料</t>
  </si>
  <si>
    <t>6029.90万</t>
  </si>
  <si>
    <t>200.00万</t>
  </si>
  <si>
    <t>6221.80万</t>
  </si>
  <si>
    <t>2749.63万</t>
  </si>
  <si>
    <t>3570.62万</t>
  </si>
  <si>
    <t>2530.01万</t>
  </si>
  <si>
    <t>2032.26万</t>
  </si>
  <si>
    <t>丰光精密</t>
  </si>
  <si>
    <t>金属制品</t>
  </si>
  <si>
    <t>7318.44万</t>
  </si>
  <si>
    <t>4892.71万</t>
  </si>
  <si>
    <t>3342.17万</t>
  </si>
  <si>
    <t>2550.16万</t>
  </si>
  <si>
    <t>2205.62万</t>
  </si>
  <si>
    <t>9560.21万</t>
  </si>
  <si>
    <t>329.01万</t>
  </si>
  <si>
    <t>雅达股份</t>
  </si>
  <si>
    <t>电气自控设备</t>
  </si>
  <si>
    <t>4300.26万</t>
  </si>
  <si>
    <t>4637.81万</t>
  </si>
  <si>
    <t>7043.83万</t>
  </si>
  <si>
    <t>4681.73万</t>
  </si>
  <si>
    <t>1914.41万</t>
  </si>
  <si>
    <t>1631.39万</t>
  </si>
  <si>
    <t>10派1元(含税)</t>
  </si>
  <si>
    <t>天润科技</t>
  </si>
  <si>
    <t>IT服务</t>
  </si>
  <si>
    <t>8806.64万</t>
  </si>
  <si>
    <t>3377.25万</t>
  </si>
  <si>
    <t>2931.76万</t>
  </si>
  <si>
    <t>1498.29万</t>
  </si>
  <si>
    <t>1133.89万</t>
  </si>
  <si>
    <t>6023.90万</t>
  </si>
  <si>
    <t>155.95万</t>
  </si>
  <si>
    <t>10派1.1元(含税)</t>
  </si>
  <si>
    <t>新芝生物</t>
  </si>
  <si>
    <t>4008.06万</t>
  </si>
  <si>
    <t>9950.63万</t>
  </si>
  <si>
    <t>4841.25万</t>
  </si>
  <si>
    <t>3677.25万</t>
  </si>
  <si>
    <t>3404.01万</t>
  </si>
  <si>
    <t>2324.33万</t>
  </si>
  <si>
    <t>8801.86万</t>
  </si>
  <si>
    <t>2840.96万</t>
  </si>
  <si>
    <t>合肥高科</t>
  </si>
  <si>
    <t>其他白色家电</t>
  </si>
  <si>
    <t>8.59亿</t>
  </si>
  <si>
    <t>4401.28万</t>
  </si>
  <si>
    <t>2073.92万</t>
  </si>
  <si>
    <t>2037.80万</t>
  </si>
  <si>
    <t>1554.66万</t>
  </si>
  <si>
    <t>3105.35万</t>
  </si>
  <si>
    <t>武汉蓝电</t>
  </si>
  <si>
    <t>电池</t>
  </si>
  <si>
    <t>7063.88万</t>
  </si>
  <si>
    <t>8877.89万</t>
  </si>
  <si>
    <t>8412.14万</t>
  </si>
  <si>
    <t>5936.12万</t>
  </si>
  <si>
    <t>4614.87万</t>
  </si>
  <si>
    <t>3959.82万</t>
  </si>
  <si>
    <t>4012.03万</t>
  </si>
  <si>
    <t>3022.93万</t>
  </si>
  <si>
    <t>8569.43万</t>
  </si>
  <si>
    <t>4182.38万</t>
  </si>
  <si>
    <t>艾融软件</t>
  </si>
  <si>
    <t>软件开发</t>
  </si>
  <si>
    <t>4.94亿</t>
  </si>
  <si>
    <t>5038.03万</t>
  </si>
  <si>
    <t>4754.91万</t>
  </si>
  <si>
    <t>4343.49万</t>
  </si>
  <si>
    <t>5379.81万</t>
  </si>
  <si>
    <t>2357.96万</t>
  </si>
  <si>
    <t>10派1.8元(含税)</t>
  </si>
  <si>
    <t>安达科技</t>
  </si>
  <si>
    <t>26.32亿</t>
  </si>
  <si>
    <t>2.03万</t>
  </si>
  <si>
    <t>9260.53万</t>
  </si>
  <si>
    <t>6.63亿</t>
  </si>
  <si>
    <t>4305.97万</t>
  </si>
  <si>
    <t>31.58亿</t>
  </si>
  <si>
    <t>齐鲁华信</t>
  </si>
  <si>
    <t>非金属材料Ⅲ</t>
  </si>
  <si>
    <t>4687.79万</t>
  </si>
  <si>
    <t>6064.04万</t>
  </si>
  <si>
    <t>6360.29万</t>
  </si>
  <si>
    <t>5364.43万</t>
  </si>
  <si>
    <t>4798.76万</t>
  </si>
  <si>
    <t>628.18万</t>
  </si>
  <si>
    <t>万通液压</t>
  </si>
  <si>
    <t>工程机械</t>
  </si>
  <si>
    <t>6333.70万</t>
  </si>
  <si>
    <t>4266.05万</t>
  </si>
  <si>
    <t>6041.35万</t>
  </si>
  <si>
    <t>4085.40万</t>
  </si>
  <si>
    <t>4319.62万</t>
  </si>
  <si>
    <t>3610.55万</t>
  </si>
  <si>
    <t>基康仪器</t>
  </si>
  <si>
    <t>5.29亿</t>
  </si>
  <si>
    <t>6054.98万</t>
  </si>
  <si>
    <t>5038.52万</t>
  </si>
  <si>
    <t>4051.73万</t>
  </si>
  <si>
    <t>2095.68万</t>
  </si>
  <si>
    <t>1424.87万</t>
  </si>
  <si>
    <t>3051.52万</t>
  </si>
  <si>
    <t>1003.79万</t>
  </si>
  <si>
    <t>3668.91万</t>
  </si>
  <si>
    <t>3736.64万</t>
  </si>
  <si>
    <t>2427.33万</t>
  </si>
  <si>
    <t>2862.36万</t>
  </si>
  <si>
    <t>4435.99万</t>
  </si>
  <si>
    <t>1692.57万</t>
  </si>
  <si>
    <t>森萱医药</t>
  </si>
  <si>
    <t>5.07亿</t>
  </si>
  <si>
    <t>4685.96万</t>
  </si>
  <si>
    <t>7663.22万</t>
  </si>
  <si>
    <t>润农节水</t>
  </si>
  <si>
    <t>农业综合</t>
  </si>
  <si>
    <t>4.07亿</t>
  </si>
  <si>
    <t>5816.77万</t>
  </si>
  <si>
    <t>5528.30万</t>
  </si>
  <si>
    <t>5113.84万</t>
  </si>
  <si>
    <t>4822.07万</t>
  </si>
  <si>
    <t>1909.12万</t>
  </si>
  <si>
    <t>10派0.5元(含税)</t>
  </si>
  <si>
    <t>凯大催化</t>
  </si>
  <si>
    <t>其他化学制品</t>
  </si>
  <si>
    <t>19.83亿</t>
  </si>
  <si>
    <t>6799.20万</t>
  </si>
  <si>
    <t>17.11亿</t>
  </si>
  <si>
    <t>6223.44万</t>
  </si>
  <si>
    <t>7180.75万</t>
  </si>
  <si>
    <t>5419.85万</t>
  </si>
  <si>
    <t>2002.69万</t>
  </si>
  <si>
    <t>9.57亿</t>
  </si>
  <si>
    <t>凯添燃气</t>
  </si>
  <si>
    <t>燃气Ⅲ</t>
  </si>
  <si>
    <t>5679.18万</t>
  </si>
  <si>
    <t>5000.00万</t>
  </si>
  <si>
    <t>2.26亿</t>
  </si>
  <si>
    <t>7230.24万</t>
  </si>
  <si>
    <t>6247.73万</t>
  </si>
  <si>
    <t>6121.63万</t>
  </si>
  <si>
    <t>4129.63万</t>
  </si>
  <si>
    <t>2272.90万</t>
  </si>
  <si>
    <t>10派1.5元(含税)</t>
  </si>
  <si>
    <t>国义招标</t>
  </si>
  <si>
    <t>专业服务</t>
  </si>
  <si>
    <t>6620.30万</t>
  </si>
  <si>
    <t>7611.23万</t>
  </si>
  <si>
    <t>7328.46万</t>
  </si>
  <si>
    <t>6272.05万</t>
  </si>
  <si>
    <t>4967.05万</t>
  </si>
  <si>
    <t>3372.09万</t>
  </si>
  <si>
    <t>秋乐种业</t>
  </si>
  <si>
    <t>种子生产</t>
  </si>
  <si>
    <t>4.17亿</t>
  </si>
  <si>
    <t>6171.93万</t>
  </si>
  <si>
    <t>4007.40万</t>
  </si>
  <si>
    <t>2064.54万</t>
  </si>
  <si>
    <t>3817.02万</t>
  </si>
  <si>
    <t>775.71万</t>
  </si>
  <si>
    <t>712.72万</t>
  </si>
  <si>
    <t>昆工科技</t>
  </si>
  <si>
    <t>其他金属新材料</t>
  </si>
  <si>
    <t>3095.05万</t>
  </si>
  <si>
    <t>3103.49万</t>
  </si>
  <si>
    <t>3863.64万</t>
  </si>
  <si>
    <t>2250.58万</t>
  </si>
  <si>
    <t>1027.23万</t>
  </si>
  <si>
    <t>鑫汇科</t>
  </si>
  <si>
    <t>消费电子零部件及组装</t>
  </si>
  <si>
    <t>2179.19万</t>
  </si>
  <si>
    <t>250.00万</t>
  </si>
  <si>
    <t>3547.07万</t>
  </si>
  <si>
    <t>4035.29万</t>
  </si>
  <si>
    <t>2700.57万</t>
  </si>
  <si>
    <t>2263.60万</t>
  </si>
  <si>
    <t>3.06亿</t>
  </si>
  <si>
    <t>929.61万</t>
  </si>
  <si>
    <t>三祥科技</t>
  </si>
  <si>
    <t>6.77亿</t>
  </si>
  <si>
    <t>7.25亿</t>
  </si>
  <si>
    <t>6483.83万</t>
  </si>
  <si>
    <t>4.15亿</t>
  </si>
  <si>
    <t>8100.95万</t>
  </si>
  <si>
    <t>4465.04万</t>
  </si>
  <si>
    <t>3629.78万</t>
  </si>
  <si>
    <t>-4925.62万</t>
  </si>
  <si>
    <t>4975.28万</t>
  </si>
  <si>
    <t>泰德股份</t>
  </si>
  <si>
    <t>1909.33万</t>
  </si>
  <si>
    <t>3137.91万</t>
  </si>
  <si>
    <t>2978.75万</t>
  </si>
  <si>
    <t>2469.13万</t>
  </si>
  <si>
    <t>2365.97万</t>
  </si>
  <si>
    <t>107.30万</t>
  </si>
  <si>
    <t>迪尔化工</t>
  </si>
  <si>
    <t>7034.37万</t>
  </si>
  <si>
    <t>3116.74万</t>
  </si>
  <si>
    <t>2579.12万</t>
  </si>
  <si>
    <t>2433.88万</t>
  </si>
  <si>
    <t>1863.64万</t>
  </si>
  <si>
    <t>4092.08万</t>
  </si>
  <si>
    <t>海希通讯</t>
  </si>
  <si>
    <t>8.05亿</t>
  </si>
  <si>
    <t>9160.79万</t>
  </si>
  <si>
    <t>9179.02万</t>
  </si>
  <si>
    <t>7437.45万</t>
  </si>
  <si>
    <t>6936.74万</t>
  </si>
  <si>
    <t>2300.63万</t>
  </si>
  <si>
    <t>新安洁</t>
  </si>
  <si>
    <t>固废治理</t>
  </si>
  <si>
    <t>4128.45万</t>
  </si>
  <si>
    <t>9321.50万</t>
  </si>
  <si>
    <t>5135.73万</t>
  </si>
  <si>
    <t>3185.80万</t>
  </si>
  <si>
    <t>2.89亿</t>
  </si>
  <si>
    <t>283.87万</t>
  </si>
  <si>
    <t>龙竹科技</t>
  </si>
  <si>
    <t>其他家用轻工</t>
  </si>
  <si>
    <t>4316.48万</t>
  </si>
  <si>
    <t>8000.00万</t>
  </si>
  <si>
    <t>6957.54万</t>
  </si>
  <si>
    <t>6699.95万</t>
  </si>
  <si>
    <t>5531.83万</t>
  </si>
  <si>
    <t>4692.57万</t>
  </si>
  <si>
    <t>366.57万</t>
  </si>
  <si>
    <t>10派1.2元(含税)</t>
  </si>
  <si>
    <t>凯华材料</t>
  </si>
  <si>
    <t>电子化学品Ⅲ</t>
  </si>
  <si>
    <t>1657.15万</t>
  </si>
  <si>
    <t>9380.30万</t>
  </si>
  <si>
    <t>2013.73万</t>
  </si>
  <si>
    <t>1993.11万</t>
  </si>
  <si>
    <t>1553.71万</t>
  </si>
  <si>
    <t>1231.53万</t>
  </si>
  <si>
    <t>5101.72万</t>
  </si>
  <si>
    <t>832.99万</t>
  </si>
  <si>
    <t>力王股份</t>
  </si>
  <si>
    <t>3781.65万</t>
  </si>
  <si>
    <t>4040.73万</t>
  </si>
  <si>
    <t>5207.11万</t>
  </si>
  <si>
    <t>2950.84万</t>
  </si>
  <si>
    <t>2373.28万</t>
  </si>
  <si>
    <t>1962.44万</t>
  </si>
  <si>
    <t>格利尔</t>
  </si>
  <si>
    <t>被动元件</t>
  </si>
  <si>
    <t>4.25亿</t>
  </si>
  <si>
    <t>6321.89万</t>
  </si>
  <si>
    <t>3643.91万</t>
  </si>
  <si>
    <t>3142.76万</t>
  </si>
  <si>
    <t>3224.27万</t>
  </si>
  <si>
    <t>3372.11万</t>
  </si>
  <si>
    <t>2568.98万</t>
  </si>
  <si>
    <t>10派5元(含税)</t>
  </si>
  <si>
    <t>克莱特</t>
  </si>
  <si>
    <t>其他通用设备</t>
  </si>
  <si>
    <t>4577.19万</t>
  </si>
  <si>
    <t>2539.48万</t>
  </si>
  <si>
    <t>2200.98万</t>
  </si>
  <si>
    <t>1826.04万</t>
  </si>
  <si>
    <t>2863.60万</t>
  </si>
  <si>
    <t>朱老六</t>
  </si>
  <si>
    <t>调味发酵品</t>
  </si>
  <si>
    <t>6403.86万</t>
  </si>
  <si>
    <t>3000.00万</t>
  </si>
  <si>
    <t>5757.02万</t>
  </si>
  <si>
    <t>4960.30万</t>
  </si>
  <si>
    <t>2454.66万</t>
  </si>
  <si>
    <t>4034.91万</t>
  </si>
  <si>
    <t>1746.31万</t>
  </si>
  <si>
    <t>拾比佰</t>
  </si>
  <si>
    <t>14.16亿</t>
  </si>
  <si>
    <t>6508.09万</t>
  </si>
  <si>
    <t>5510.05万</t>
  </si>
  <si>
    <t>3225.66万</t>
  </si>
  <si>
    <t>3039.84万</t>
  </si>
  <si>
    <t>-2207.93万</t>
  </si>
  <si>
    <t>10派0.4元(含税)</t>
  </si>
  <si>
    <t>科达自控</t>
  </si>
  <si>
    <t>6.36亿</t>
  </si>
  <si>
    <t>3964.14万</t>
  </si>
  <si>
    <t>2906.09万</t>
  </si>
  <si>
    <t>3136.90万</t>
  </si>
  <si>
    <t>1329.04万</t>
  </si>
  <si>
    <t>1235.62万</t>
  </si>
  <si>
    <t>三维股份</t>
  </si>
  <si>
    <t>其他橡胶制品</t>
  </si>
  <si>
    <t>3695.55万</t>
  </si>
  <si>
    <t>3972.48万</t>
  </si>
  <si>
    <t>3825.79万</t>
  </si>
  <si>
    <t>2404.93万</t>
  </si>
  <si>
    <t>1541.81万</t>
  </si>
  <si>
    <t>1597.26万</t>
  </si>
  <si>
    <t>1846.45万</t>
  </si>
  <si>
    <t>浙江大农</t>
  </si>
  <si>
    <t>4201.82万</t>
  </si>
  <si>
    <t>15.87万</t>
  </si>
  <si>
    <t>4413.05万</t>
  </si>
  <si>
    <t>3258.97万</t>
  </si>
  <si>
    <t>3634.51万</t>
  </si>
  <si>
    <t>3227.68万</t>
  </si>
  <si>
    <t>2473.28万</t>
  </si>
  <si>
    <t>10派2.5元(含税)</t>
  </si>
  <si>
    <t>浩淼科技</t>
  </si>
  <si>
    <t>其他专用设备</t>
  </si>
  <si>
    <t>2320.47万</t>
  </si>
  <si>
    <t>2638.02万</t>
  </si>
  <si>
    <t>4263.54万</t>
  </si>
  <si>
    <t>1598.35万</t>
  </si>
  <si>
    <t>1070.22万</t>
  </si>
  <si>
    <t>舜宇精工</t>
  </si>
  <si>
    <t>6354.44万</t>
  </si>
  <si>
    <t>1.86万</t>
  </si>
  <si>
    <t>4547.71万</t>
  </si>
  <si>
    <t>3150.23万</t>
  </si>
  <si>
    <t>2562.34万</t>
  </si>
  <si>
    <t>3148.89万</t>
  </si>
  <si>
    <t>2415.82万</t>
  </si>
  <si>
    <t>10派1.50元(含税)</t>
  </si>
  <si>
    <t>创远信科</t>
  </si>
  <si>
    <t>2226.97万</t>
  </si>
  <si>
    <t>900.84万</t>
  </si>
  <si>
    <t>1754.23万</t>
  </si>
  <si>
    <t>5158.98万</t>
  </si>
  <si>
    <t>4859.63万</t>
  </si>
  <si>
    <t>3160.61万</t>
  </si>
  <si>
    <t>2514.65万</t>
  </si>
  <si>
    <t>安徽凤凰</t>
  </si>
  <si>
    <t>4211.17万</t>
  </si>
  <si>
    <t>9.52万</t>
  </si>
  <si>
    <t>4074.70万</t>
  </si>
  <si>
    <t>4738.42万</t>
  </si>
  <si>
    <t>4487.91万</t>
  </si>
  <si>
    <t>3190.75万</t>
  </si>
  <si>
    <t>2626.36万</t>
  </si>
  <si>
    <t>田野股份</t>
  </si>
  <si>
    <t>果蔬加工</t>
  </si>
  <si>
    <t>6517.76万</t>
  </si>
  <si>
    <t>2100.17万</t>
  </si>
  <si>
    <t>2432.09万</t>
  </si>
  <si>
    <t>2393.30万</t>
  </si>
  <si>
    <t>1957.35万</t>
  </si>
  <si>
    <t>禾昌聚合</t>
  </si>
  <si>
    <t>改性塑料</t>
  </si>
  <si>
    <t>9133.95万</t>
  </si>
  <si>
    <t>9.77亿</t>
  </si>
  <si>
    <t>8145.27万</t>
  </si>
  <si>
    <t>6889.81万</t>
  </si>
  <si>
    <t>2321.65万</t>
  </si>
  <si>
    <t>4945.52万</t>
  </si>
  <si>
    <t>5296.62万</t>
  </si>
  <si>
    <t>雷特科技</t>
  </si>
  <si>
    <t>其他电源设备</t>
  </si>
  <si>
    <t>3918.76万</t>
  </si>
  <si>
    <t>9500.88万</t>
  </si>
  <si>
    <t>9757.44万</t>
  </si>
  <si>
    <t>7535.82万</t>
  </si>
  <si>
    <t>4322.72万</t>
  </si>
  <si>
    <t>2029.41万</t>
  </si>
  <si>
    <t>2660.13万</t>
  </si>
  <si>
    <t>1619.94万</t>
  </si>
  <si>
    <t>7329.86万</t>
  </si>
  <si>
    <t>1542.99万</t>
  </si>
  <si>
    <t>恒合股份</t>
  </si>
  <si>
    <t>408.30万</t>
  </si>
  <si>
    <t>环保设备</t>
  </si>
  <si>
    <t>5348.22万</t>
  </si>
  <si>
    <t>569.02万</t>
  </si>
  <si>
    <t>6784.76万</t>
  </si>
  <si>
    <t>1635.63万</t>
  </si>
  <si>
    <t>3070.20万</t>
  </si>
  <si>
    <t>2984.80万</t>
  </si>
  <si>
    <t>2456.21万</t>
  </si>
  <si>
    <t>2060.99万</t>
  </si>
  <si>
    <t>-560.64万</t>
  </si>
  <si>
    <t>利尔达</t>
  </si>
  <si>
    <t>通信终端及配件</t>
  </si>
  <si>
    <t>25.78亿</t>
  </si>
  <si>
    <t>12.56亿</t>
  </si>
  <si>
    <t>5127.76万</t>
  </si>
  <si>
    <t>7117.00万</t>
  </si>
  <si>
    <t>3338.06万</t>
  </si>
  <si>
    <t>546.78万</t>
  </si>
  <si>
    <t>志晟信息</t>
  </si>
  <si>
    <t>3986.69万</t>
  </si>
  <si>
    <t>4283.30万</t>
  </si>
  <si>
    <t>5014.47万</t>
  </si>
  <si>
    <t>4154.82万</t>
  </si>
  <si>
    <t>5907.89万</t>
  </si>
  <si>
    <t>-1223.22万</t>
  </si>
  <si>
    <t>东方碳素</t>
  </si>
  <si>
    <t>4519.19万</t>
  </si>
  <si>
    <t>3140.61万</t>
  </si>
  <si>
    <t>2438.66万</t>
  </si>
  <si>
    <t>2733.72万</t>
  </si>
  <si>
    <t>4571.66万</t>
  </si>
  <si>
    <t>利通科技</t>
  </si>
  <si>
    <t>8316.52万</t>
  </si>
  <si>
    <t>500.00万</t>
  </si>
  <si>
    <t>3014.11万</t>
  </si>
  <si>
    <t>4156.92万</t>
  </si>
  <si>
    <t>3058.40万</t>
  </si>
  <si>
    <t>2374.40万</t>
  </si>
  <si>
    <t>6309.91万</t>
  </si>
  <si>
    <t>鹿得医疗</t>
  </si>
  <si>
    <t>3487.24万</t>
  </si>
  <si>
    <t>116.27万</t>
  </si>
  <si>
    <t>3813.78万</t>
  </si>
  <si>
    <t>5432.91万</t>
  </si>
  <si>
    <t>3254.38万</t>
  </si>
  <si>
    <t>2028.55万</t>
  </si>
  <si>
    <t>1979.89万</t>
  </si>
  <si>
    <t>3267.25万</t>
  </si>
  <si>
    <t>路斯股份</t>
  </si>
  <si>
    <t>饲料</t>
  </si>
  <si>
    <t>4313.22万</t>
  </si>
  <si>
    <t>3038.78万</t>
  </si>
  <si>
    <t>3876.66万</t>
  </si>
  <si>
    <t>2959.92万</t>
  </si>
  <si>
    <t>4407.48万</t>
  </si>
  <si>
    <t>4001.80万</t>
  </si>
  <si>
    <t>富恒新材</t>
  </si>
  <si>
    <t>4567.81万</t>
  </si>
  <si>
    <t>820.32万</t>
  </si>
  <si>
    <t>3569.87万</t>
  </si>
  <si>
    <t>2710.70万</t>
  </si>
  <si>
    <t>104.30万</t>
  </si>
  <si>
    <t>-6221.41万</t>
  </si>
  <si>
    <t>2460.32万</t>
  </si>
  <si>
    <t>美邦科技</t>
  </si>
  <si>
    <t>6225.29万</t>
  </si>
  <si>
    <t>1878.76万</t>
  </si>
  <si>
    <t>2496.67万</t>
  </si>
  <si>
    <t>1295.67万</t>
  </si>
  <si>
    <t>653.30万</t>
  </si>
  <si>
    <t>奥迪威</t>
  </si>
  <si>
    <t>5297.34万</t>
  </si>
  <si>
    <t>5976.47万</t>
  </si>
  <si>
    <t>3803.73万</t>
  </si>
  <si>
    <t>561.11万</t>
  </si>
  <si>
    <t>2838.28万</t>
  </si>
  <si>
    <t>4139.57万</t>
  </si>
  <si>
    <t>纳科诺尔</t>
  </si>
  <si>
    <t>9759.88万</t>
  </si>
  <si>
    <t>2944.63万</t>
  </si>
  <si>
    <t>-2828.81万</t>
  </si>
  <si>
    <t>-1180.54万</t>
  </si>
  <si>
    <t>1492.32万</t>
  </si>
  <si>
    <t>7608.82万</t>
  </si>
  <si>
    <t>梓橦宫</t>
  </si>
  <si>
    <t>8010.52万</t>
  </si>
  <si>
    <t>6307.33万</t>
  </si>
  <si>
    <t>5854.18万</t>
  </si>
  <si>
    <t>4236.24万</t>
  </si>
  <si>
    <t>4302.43万</t>
  </si>
  <si>
    <t>天罡股份</t>
  </si>
  <si>
    <t>5716.11万</t>
  </si>
  <si>
    <t>-1.23亿</t>
  </si>
  <si>
    <t>6019.74万</t>
  </si>
  <si>
    <t>5418.79万</t>
  </si>
  <si>
    <t>4846.22万</t>
  </si>
  <si>
    <t>3866.66万</t>
  </si>
  <si>
    <t>2527.25万</t>
  </si>
  <si>
    <t>方盛股份</t>
  </si>
  <si>
    <t>5397.28万</t>
  </si>
  <si>
    <t>7376.96万</t>
  </si>
  <si>
    <t>3650.73万</t>
  </si>
  <si>
    <t>3178.04万</t>
  </si>
  <si>
    <t>3107.92万</t>
  </si>
  <si>
    <t>2849.68万</t>
  </si>
  <si>
    <t>3645.38万</t>
  </si>
  <si>
    <t>德源药业</t>
  </si>
  <si>
    <t>8.92亿</t>
  </si>
  <si>
    <t>4.40亿</t>
  </si>
  <si>
    <t>7789.07万</t>
  </si>
  <si>
    <t>6402.05万</t>
  </si>
  <si>
    <t>4686.72万</t>
  </si>
  <si>
    <t>3594.22万</t>
  </si>
  <si>
    <t>7188.14万</t>
  </si>
  <si>
    <t>骑士乳业</t>
  </si>
  <si>
    <t>乳品</t>
  </si>
  <si>
    <t>7.80亿</t>
  </si>
  <si>
    <t>7162.39万</t>
  </si>
  <si>
    <t>6.98亿</t>
  </si>
  <si>
    <t>411.18万</t>
  </si>
  <si>
    <t>8.76亿</t>
  </si>
  <si>
    <t>5572.72万</t>
  </si>
  <si>
    <t>2288.15万</t>
  </si>
  <si>
    <t>3741.18万</t>
  </si>
  <si>
    <t>2689.44万</t>
  </si>
  <si>
    <t>4192.53万</t>
  </si>
  <si>
    <t>保丽洁</t>
  </si>
  <si>
    <t>3479.64万</t>
  </si>
  <si>
    <t>3761.17万</t>
  </si>
  <si>
    <t>4657.73万</t>
  </si>
  <si>
    <t>5939.65万</t>
  </si>
  <si>
    <t>4248.47万</t>
  </si>
  <si>
    <t>7543.71万</t>
  </si>
  <si>
    <t>820.47万</t>
  </si>
  <si>
    <t>慧为智能</t>
  </si>
  <si>
    <t>2453.17万</t>
  </si>
  <si>
    <t>2881.82万</t>
  </si>
  <si>
    <t>2844.33万</t>
  </si>
  <si>
    <t>1416.00万</t>
  </si>
  <si>
    <t>-257.06万</t>
  </si>
  <si>
    <t>1076.47万</t>
  </si>
  <si>
    <t>星辰科技</t>
  </si>
  <si>
    <t>9507.02万</t>
  </si>
  <si>
    <t>8179.97万</t>
  </si>
  <si>
    <t>4336.41万</t>
  </si>
  <si>
    <t>3843.00万</t>
  </si>
  <si>
    <t>2269.18万</t>
  </si>
  <si>
    <t>1778.33万</t>
  </si>
  <si>
    <t>6304.32万</t>
  </si>
  <si>
    <t>575.59万</t>
  </si>
  <si>
    <t>开特股份</t>
  </si>
  <si>
    <t>4612.98万</t>
  </si>
  <si>
    <t>3081.49万</t>
  </si>
  <si>
    <t>914.38万</t>
  </si>
  <si>
    <t>1731.96万</t>
  </si>
  <si>
    <t>5084.65万</t>
  </si>
  <si>
    <t>锦波生物</t>
  </si>
  <si>
    <t>医疗美容</t>
  </si>
  <si>
    <t>5738.73万</t>
  </si>
  <si>
    <t>3194.84万</t>
  </si>
  <si>
    <t>4526.83万</t>
  </si>
  <si>
    <t>4382.97万</t>
  </si>
  <si>
    <t>立方控股</t>
  </si>
  <si>
    <t>6173.14万</t>
  </si>
  <si>
    <t>5794.93万</t>
  </si>
  <si>
    <t>4490.85万</t>
  </si>
  <si>
    <t>3409.42万</t>
  </si>
  <si>
    <t>972.00万</t>
  </si>
  <si>
    <t>柏星龙</t>
  </si>
  <si>
    <t>包装</t>
  </si>
  <si>
    <t>4222.00万</t>
  </si>
  <si>
    <t>2238.24万</t>
  </si>
  <si>
    <t>3332.13万</t>
  </si>
  <si>
    <t>3331.47万</t>
  </si>
  <si>
    <t>2146.29万</t>
  </si>
  <si>
    <t>国航远洋</t>
  </si>
  <si>
    <t>航运</t>
  </si>
  <si>
    <t>-7454.83万</t>
  </si>
  <si>
    <t>2882.15万</t>
  </si>
  <si>
    <t>1651.68万</t>
  </si>
  <si>
    <t>欧康医药</t>
  </si>
  <si>
    <t>3366.26万</t>
  </si>
  <si>
    <t>4191.62万</t>
  </si>
  <si>
    <t>2265.73万</t>
  </si>
  <si>
    <t>1218.87万</t>
  </si>
  <si>
    <t>998.37万</t>
  </si>
  <si>
    <t>1024.59万</t>
  </si>
  <si>
    <t>生物谷</t>
  </si>
  <si>
    <t>中药Ⅲ</t>
  </si>
  <si>
    <t>8348.53万</t>
  </si>
  <si>
    <t>7493.71万</t>
  </si>
  <si>
    <t>9116.93万</t>
  </si>
  <si>
    <t>7224.75万</t>
  </si>
  <si>
    <t>-398.69万</t>
  </si>
  <si>
    <t>威贸电子</t>
  </si>
  <si>
    <t>3477.80万</t>
  </si>
  <si>
    <t>3430.58万</t>
  </si>
  <si>
    <t>2942.04万</t>
  </si>
  <si>
    <t>3055.26万</t>
  </si>
  <si>
    <t>2841.12万</t>
  </si>
  <si>
    <t>1869.37万</t>
  </si>
  <si>
    <t>民士达</t>
  </si>
  <si>
    <t>造纸Ⅲ</t>
  </si>
  <si>
    <t>6341.22万</t>
  </si>
  <si>
    <t>3.79亿</t>
  </si>
  <si>
    <t>3727.99万</t>
  </si>
  <si>
    <t>2792.74万</t>
  </si>
  <si>
    <t>2080.87万</t>
  </si>
  <si>
    <t>1635.71万</t>
  </si>
  <si>
    <t>4002.65万</t>
  </si>
  <si>
    <t>华维设计</t>
  </si>
  <si>
    <t>工程咨询服务</t>
  </si>
  <si>
    <t>30.00万</t>
  </si>
  <si>
    <t>5694.32万</t>
  </si>
  <si>
    <t>4655.81万</t>
  </si>
  <si>
    <t>4976.33万</t>
  </si>
  <si>
    <t>3782.69万</t>
  </si>
  <si>
    <t>5445.75万</t>
  </si>
  <si>
    <t>1806.65万</t>
  </si>
  <si>
    <t>康比特</t>
  </si>
  <si>
    <t>其他食品</t>
  </si>
  <si>
    <t>5761.37万</t>
  </si>
  <si>
    <t>4540.02万</t>
  </si>
  <si>
    <t>1666.65万</t>
  </si>
  <si>
    <t>4613.07万</t>
  </si>
  <si>
    <t>7899.13万</t>
  </si>
  <si>
    <t>同心传动</t>
  </si>
  <si>
    <t>1929.80万</t>
  </si>
  <si>
    <t>2380.69万</t>
  </si>
  <si>
    <t>2960.59万</t>
  </si>
  <si>
    <t>1706.68万</t>
  </si>
  <si>
    <t>1477.85万</t>
  </si>
  <si>
    <t>9399.57万</t>
  </si>
  <si>
    <t>1046.84万</t>
  </si>
  <si>
    <t>汇隆活塞</t>
  </si>
  <si>
    <t>3503.97万</t>
  </si>
  <si>
    <t>3402.55万</t>
  </si>
  <si>
    <t>3362.64万</t>
  </si>
  <si>
    <t>3392.20万</t>
  </si>
  <si>
    <t>3516.34万</t>
  </si>
  <si>
    <t>6573.96万</t>
  </si>
  <si>
    <t>1609.24万</t>
  </si>
  <si>
    <t>同惠电子</t>
  </si>
  <si>
    <t>5614.55万</t>
  </si>
  <si>
    <t>9162.03万</t>
  </si>
  <si>
    <t>9181.91万</t>
  </si>
  <si>
    <t>4201.77万</t>
  </si>
  <si>
    <t>3178.58万</t>
  </si>
  <si>
    <t>3251.52万</t>
  </si>
  <si>
    <t>3011.29万</t>
  </si>
  <si>
    <t>7635.69万</t>
  </si>
  <si>
    <t>1646.76万</t>
  </si>
  <si>
    <t>德瑞锂电</t>
  </si>
  <si>
    <t>4413.61万</t>
  </si>
  <si>
    <t>4615.41万</t>
  </si>
  <si>
    <t>3441.83万</t>
  </si>
  <si>
    <t>3509.98万</t>
  </si>
  <si>
    <t>3020.73万</t>
  </si>
  <si>
    <t>1142.54万</t>
  </si>
  <si>
    <t>骏创科技</t>
  </si>
  <si>
    <t>3.33亿</t>
  </si>
  <si>
    <t>6077.07万</t>
  </si>
  <si>
    <t>1549.12万</t>
  </si>
  <si>
    <t>2806.17万</t>
  </si>
  <si>
    <t>2102.21万</t>
  </si>
  <si>
    <t>1978.64万</t>
  </si>
  <si>
    <t>2499.97万</t>
  </si>
  <si>
    <t>4500.79万</t>
  </si>
  <si>
    <t>康乐卫士</t>
  </si>
  <si>
    <t>疫苗</t>
  </si>
  <si>
    <t>4.56亿</t>
  </si>
  <si>
    <t>190.06万</t>
  </si>
  <si>
    <t>-2.93亿</t>
  </si>
  <si>
    <t>27.48万</t>
  </si>
  <si>
    <t>8.61万</t>
  </si>
  <si>
    <t>1340.73万</t>
  </si>
  <si>
    <t>11.19万</t>
  </si>
  <si>
    <t>-3.80亿</t>
  </si>
  <si>
    <t>-1.52亿</t>
  </si>
  <si>
    <t>-4195.05万</t>
  </si>
  <si>
    <t>-4643.38万</t>
  </si>
  <si>
    <t>83.90万</t>
  </si>
  <si>
    <t>-1.43亿</t>
  </si>
  <si>
    <t>-13.81万</t>
  </si>
  <si>
    <t>科创新材</t>
  </si>
  <si>
    <t>耐火材料</t>
  </si>
  <si>
    <t>2650.27万</t>
  </si>
  <si>
    <t>2642.82万</t>
  </si>
  <si>
    <t>2590.84万</t>
  </si>
  <si>
    <t>2372.74万</t>
  </si>
  <si>
    <t>4727.01万</t>
  </si>
  <si>
    <t>898.09万</t>
  </si>
  <si>
    <t>惠同新材</t>
  </si>
  <si>
    <t>3335.14万</t>
  </si>
  <si>
    <t>2771.30万</t>
  </si>
  <si>
    <t>1983.33万</t>
  </si>
  <si>
    <t>2475.73万</t>
  </si>
  <si>
    <t>1700.15万</t>
  </si>
  <si>
    <t>8868.63万</t>
  </si>
  <si>
    <t>1452.75万</t>
  </si>
  <si>
    <t>瑞奇智造</t>
  </si>
  <si>
    <t>能源及重型设备</t>
  </si>
  <si>
    <t>4475.66万</t>
  </si>
  <si>
    <t>4141.44万</t>
  </si>
  <si>
    <t>2034.82万</t>
  </si>
  <si>
    <t>1326.36万</t>
  </si>
  <si>
    <t>1236.91万</t>
  </si>
  <si>
    <t>1537.80万</t>
  </si>
  <si>
    <t>颖泰生物</t>
  </si>
  <si>
    <t>农药</t>
  </si>
  <si>
    <t>81.61亿</t>
  </si>
  <si>
    <t>74.26亿</t>
  </si>
  <si>
    <t>52.95亿</t>
  </si>
  <si>
    <t>62.32亿</t>
  </si>
  <si>
    <t>中设咨询</t>
  </si>
  <si>
    <t>-2968.19万</t>
  </si>
  <si>
    <t>2739.52万</t>
  </si>
  <si>
    <t>2557.20万</t>
  </si>
  <si>
    <t>3134.74万</t>
  </si>
  <si>
    <t>1224.44万</t>
  </si>
  <si>
    <t>5346.74万</t>
  </si>
  <si>
    <t>-1809.77万</t>
  </si>
  <si>
    <t>远航精密</t>
  </si>
  <si>
    <t>能源金属</t>
  </si>
  <si>
    <t>9.06亿</t>
  </si>
  <si>
    <t>5345.70万</t>
  </si>
  <si>
    <t>8433.46万</t>
  </si>
  <si>
    <t>5655.02万</t>
  </si>
  <si>
    <t>4950.80万</t>
  </si>
  <si>
    <t>3005.50万</t>
  </si>
  <si>
    <t>2538.93万</t>
  </si>
  <si>
    <t>优机股份</t>
  </si>
  <si>
    <t>4116.03万</t>
  </si>
  <si>
    <t>2946.45万</t>
  </si>
  <si>
    <t>3518.91万</t>
  </si>
  <si>
    <t>3301.76万</t>
  </si>
  <si>
    <t>3800.56万</t>
  </si>
  <si>
    <t>10转3股派3元(含税)</t>
  </si>
  <si>
    <t>特瑞斯</t>
  </si>
  <si>
    <t>6340.27万</t>
  </si>
  <si>
    <t>6795.92万</t>
  </si>
  <si>
    <t>6367.64万</t>
  </si>
  <si>
    <t>5035.55万</t>
  </si>
  <si>
    <t>2113.14万</t>
  </si>
  <si>
    <t>流金科技</t>
  </si>
  <si>
    <t>有线电视网络</t>
  </si>
  <si>
    <t>2099.52万</t>
  </si>
  <si>
    <t>4.41亿</t>
  </si>
  <si>
    <t>6959.13万</t>
  </si>
  <si>
    <t>6315.16万</t>
  </si>
  <si>
    <t>5116.66万</t>
  </si>
  <si>
    <t>5514.08万</t>
  </si>
  <si>
    <t>674.73万</t>
  </si>
  <si>
    <t>康普化学</t>
  </si>
  <si>
    <t>800.77万</t>
  </si>
  <si>
    <t>7905.57万</t>
  </si>
  <si>
    <t>5095.06万</t>
  </si>
  <si>
    <t>5883.00万</t>
  </si>
  <si>
    <t>1535.83万</t>
  </si>
  <si>
    <t>265.18万</t>
  </si>
  <si>
    <t>7283.87万</t>
  </si>
  <si>
    <t>华洋赛车</t>
  </si>
  <si>
    <t>其他交运设备</t>
  </si>
  <si>
    <t>7.11亿</t>
  </si>
  <si>
    <t>8987.63万</t>
  </si>
  <si>
    <t>2753.45万</t>
  </si>
  <si>
    <t>1305.89万</t>
  </si>
  <si>
    <t>1277.53万</t>
  </si>
  <si>
    <t>2822.96万</t>
  </si>
  <si>
    <t>科润智控</t>
  </si>
  <si>
    <t>输变电设备</t>
  </si>
  <si>
    <t>7.55亿</t>
  </si>
  <si>
    <t>5774.86万</t>
  </si>
  <si>
    <t>218.53万</t>
  </si>
  <si>
    <t>4321.48万</t>
  </si>
  <si>
    <t>5079.20万</t>
  </si>
  <si>
    <t>3823.61万</t>
  </si>
  <si>
    <t>3278.97万</t>
  </si>
  <si>
    <t>3190.36万</t>
  </si>
  <si>
    <t>一诺威</t>
  </si>
  <si>
    <t>聚氨酯</t>
  </si>
  <si>
    <t>79.77亿</t>
  </si>
  <si>
    <t>45.67亿</t>
  </si>
  <si>
    <t>30.12亿</t>
  </si>
  <si>
    <t>32.06亿</t>
  </si>
  <si>
    <t>5811.47万</t>
  </si>
  <si>
    <t>驰诚股份</t>
  </si>
  <si>
    <t>2721.63万</t>
  </si>
  <si>
    <t>8389.54万</t>
  </si>
  <si>
    <t>2955.60万</t>
  </si>
  <si>
    <t>2618.97万</t>
  </si>
  <si>
    <t>1811.04万</t>
  </si>
  <si>
    <t>1882.71万</t>
  </si>
  <si>
    <t>7550.33万</t>
  </si>
  <si>
    <t>351.55万</t>
  </si>
  <si>
    <t>恒拓开源</t>
  </si>
  <si>
    <t>2267.47万</t>
  </si>
  <si>
    <t>2062.88万</t>
  </si>
  <si>
    <t>2483.02万</t>
  </si>
  <si>
    <t>1994.40万</t>
  </si>
  <si>
    <t>8027.57万</t>
  </si>
  <si>
    <t>762.38万</t>
  </si>
  <si>
    <t>三友科技</t>
  </si>
  <si>
    <t>4761.76万</t>
  </si>
  <si>
    <t>2894.60万</t>
  </si>
  <si>
    <t>3819.40万</t>
  </si>
  <si>
    <t>3232.42万</t>
  </si>
  <si>
    <t>2507.50万</t>
  </si>
  <si>
    <t>2407.56万</t>
  </si>
  <si>
    <t>同力股份</t>
  </si>
  <si>
    <t>33.05亿</t>
  </si>
  <si>
    <t>晨光电缆</t>
  </si>
  <si>
    <t>线缆部件及其他</t>
  </si>
  <si>
    <t>18.65亿</t>
  </si>
  <si>
    <t>8.09亿</t>
  </si>
  <si>
    <t>21.15亿</t>
  </si>
  <si>
    <t>18.96亿</t>
  </si>
  <si>
    <t>6056.68万</t>
  </si>
  <si>
    <t>5005.60万</t>
  </si>
  <si>
    <t>5338.31万</t>
  </si>
  <si>
    <t>1560.42万</t>
  </si>
  <si>
    <t>3396.16万</t>
  </si>
  <si>
    <t>球冠电缆</t>
  </si>
  <si>
    <t>8201.17万</t>
  </si>
  <si>
    <t>8161.19万</t>
  </si>
  <si>
    <t>7969.26万</t>
  </si>
  <si>
    <t>5509.70万</t>
  </si>
  <si>
    <t>5678.08万</t>
  </si>
  <si>
    <t>14.31亿</t>
  </si>
  <si>
    <t>5769.05万</t>
  </si>
  <si>
    <t>美之高</t>
  </si>
  <si>
    <t>家具</t>
  </si>
  <si>
    <t>2598.14万</t>
  </si>
  <si>
    <t>1009.31万</t>
  </si>
  <si>
    <t>6116.52万</t>
  </si>
  <si>
    <t>2791.28万</t>
  </si>
  <si>
    <t>1355.58万</t>
  </si>
  <si>
    <t>929.32万</t>
  </si>
  <si>
    <t>艾能聚</t>
  </si>
  <si>
    <t>光伏设备</t>
  </si>
  <si>
    <t>139.91万</t>
  </si>
  <si>
    <t>7.18万</t>
  </si>
  <si>
    <t>4570.82万</t>
  </si>
  <si>
    <t>-2751.60万</t>
  </si>
  <si>
    <t>5100.70万</t>
  </si>
  <si>
    <t>5385.96万</t>
  </si>
  <si>
    <t>3390.84万</t>
  </si>
  <si>
    <t>迅安科技</t>
  </si>
  <si>
    <t>325.13万</t>
  </si>
  <si>
    <t>4111.02万</t>
  </si>
  <si>
    <t>5726.48万</t>
  </si>
  <si>
    <t>4356.35万</t>
  </si>
  <si>
    <t>2356.19万</t>
  </si>
  <si>
    <t>2017.06万</t>
  </si>
  <si>
    <t>2769.11万</t>
  </si>
  <si>
    <t>五新隧装</t>
  </si>
  <si>
    <t>7774.47万</t>
  </si>
  <si>
    <t>9882.23万</t>
  </si>
  <si>
    <t>6939.46万</t>
  </si>
  <si>
    <t>3174.62万</t>
  </si>
  <si>
    <t>4691.88万</t>
  </si>
  <si>
    <t>7217.48万</t>
  </si>
  <si>
    <t>凯德石英</t>
  </si>
  <si>
    <t>半导体材料</t>
  </si>
  <si>
    <t>5392.55万</t>
  </si>
  <si>
    <t>3981.55万</t>
  </si>
  <si>
    <t>3444.74万</t>
  </si>
  <si>
    <t>3246.04万</t>
  </si>
  <si>
    <t>2140.97万</t>
  </si>
  <si>
    <t>2003.95万</t>
  </si>
  <si>
    <t>10派0.8元(含税)</t>
  </si>
  <si>
    <t>国源科技</t>
  </si>
  <si>
    <t>488.85万</t>
  </si>
  <si>
    <t>4164.76万</t>
  </si>
  <si>
    <t>4570.88万</t>
  </si>
  <si>
    <t>4103.75万</t>
  </si>
  <si>
    <t>9757.13万</t>
  </si>
  <si>
    <t>513.83万</t>
  </si>
  <si>
    <t>贝特瑞</t>
  </si>
  <si>
    <t>256.79亿</t>
  </si>
  <si>
    <t>104.91亿</t>
  </si>
  <si>
    <t>43.90亿</t>
  </si>
  <si>
    <t>众诚科技</t>
  </si>
  <si>
    <t>1991.90万</t>
  </si>
  <si>
    <t>4284.54万</t>
  </si>
  <si>
    <t>4032.36万</t>
  </si>
  <si>
    <t>3088.95万</t>
  </si>
  <si>
    <t>1724.48万</t>
  </si>
  <si>
    <t>-1130.98万</t>
  </si>
  <si>
    <t>力佳科技</t>
  </si>
  <si>
    <t>923.98万</t>
  </si>
  <si>
    <t>4467.57万</t>
  </si>
  <si>
    <t>3003.55万</t>
  </si>
  <si>
    <t>2949.47万</t>
  </si>
  <si>
    <t>1835.64万</t>
  </si>
  <si>
    <t>1396.73万</t>
  </si>
  <si>
    <t>云创数据</t>
  </si>
  <si>
    <t>6578.06万</t>
  </si>
  <si>
    <t>7173.78万</t>
  </si>
  <si>
    <t>8080.88万</t>
  </si>
  <si>
    <t>5605.68万</t>
  </si>
  <si>
    <t>-1662.77万</t>
  </si>
  <si>
    <t>连城数控</t>
  </si>
  <si>
    <t>37.72亿</t>
  </si>
  <si>
    <t>18.55亿</t>
  </si>
  <si>
    <t>9.72亿</t>
  </si>
  <si>
    <t>殷图网联</t>
  </si>
  <si>
    <t>7339.64万</t>
  </si>
  <si>
    <t>648.15万</t>
  </si>
  <si>
    <t>9079.30万</t>
  </si>
  <si>
    <t>9141.46万</t>
  </si>
  <si>
    <t>8724.63万</t>
  </si>
  <si>
    <t>7315.40万</t>
  </si>
  <si>
    <t>801.32万</t>
  </si>
  <si>
    <t>1546.81万</t>
  </si>
  <si>
    <t>2015.36万</t>
  </si>
  <si>
    <t>2019.55万</t>
  </si>
  <si>
    <t>2540.66万</t>
  </si>
  <si>
    <t>-139.77万</t>
  </si>
  <si>
    <t>富士达</t>
  </si>
  <si>
    <t>通信网络设备及器件</t>
  </si>
  <si>
    <t>8.08亿</t>
  </si>
  <si>
    <t>6848.02万</t>
  </si>
  <si>
    <t>5830.20万</t>
  </si>
  <si>
    <t>2119.80万</t>
  </si>
  <si>
    <t>967.76万</t>
  </si>
  <si>
    <t>9020.60万</t>
  </si>
  <si>
    <t>数字人</t>
  </si>
  <si>
    <t>其他医疗服务</t>
  </si>
  <si>
    <t>7142.73万</t>
  </si>
  <si>
    <t>8371.75万</t>
  </si>
  <si>
    <t>7404.05万</t>
  </si>
  <si>
    <t>1593.98万</t>
  </si>
  <si>
    <t>2907.01万</t>
  </si>
  <si>
    <t>3519.82万</t>
  </si>
  <si>
    <t>2376.67万</t>
  </si>
  <si>
    <t>1819.89万</t>
  </si>
  <si>
    <t>-698.82万</t>
  </si>
  <si>
    <t>百甲科技</t>
  </si>
  <si>
    <t>专业工程</t>
  </si>
  <si>
    <t>5069.98万</t>
  </si>
  <si>
    <t>5123.70万</t>
  </si>
  <si>
    <t>3331.21万</t>
  </si>
  <si>
    <t>-5888.12万</t>
  </si>
  <si>
    <t>2336.19万</t>
  </si>
  <si>
    <t>中科美菱</t>
  </si>
  <si>
    <t>5258.69万</t>
  </si>
  <si>
    <t>6749.35万</t>
  </si>
  <si>
    <t>4259.17万</t>
  </si>
  <si>
    <t>1394.05万</t>
  </si>
  <si>
    <t>1276.91万</t>
  </si>
  <si>
    <t>829.02万</t>
  </si>
  <si>
    <t>10派1.80元(含税)</t>
  </si>
  <si>
    <t>海泰新能</t>
  </si>
  <si>
    <t>63.87亿</t>
  </si>
  <si>
    <t>45.28亿</t>
  </si>
  <si>
    <t>26.50亿</t>
  </si>
  <si>
    <t>6204.56万</t>
  </si>
  <si>
    <t>5968.94万</t>
  </si>
  <si>
    <t>92.69万</t>
  </si>
  <si>
    <t>6394.27万</t>
  </si>
  <si>
    <t>吉林碳谷</t>
  </si>
  <si>
    <t>其他纤维</t>
  </si>
  <si>
    <t>20.84亿</t>
  </si>
  <si>
    <t>14.17亿</t>
  </si>
  <si>
    <t>12.09亿</t>
  </si>
  <si>
    <t>11.02亿</t>
  </si>
  <si>
    <t>-3004.77万</t>
  </si>
  <si>
    <t>-8342.71万</t>
  </si>
  <si>
    <t>旭杰科技</t>
  </si>
  <si>
    <t>2010.91万</t>
  </si>
  <si>
    <t>1966.14万</t>
  </si>
  <si>
    <t>1555.92万</t>
  </si>
  <si>
    <t>385.14万</t>
  </si>
  <si>
    <t>365.93万</t>
  </si>
  <si>
    <t>青矩技术</t>
  </si>
  <si>
    <t>5691.36万</t>
  </si>
  <si>
    <t>6435.44万</t>
  </si>
  <si>
    <t>易实精密</t>
  </si>
  <si>
    <t>3783.23万</t>
  </si>
  <si>
    <t>20.32万</t>
  </si>
  <si>
    <t>9067.57万</t>
  </si>
  <si>
    <t>7276.50万</t>
  </si>
  <si>
    <t>5930.39万</t>
  </si>
  <si>
    <t>2819.98万</t>
  </si>
  <si>
    <t>1942.34万</t>
  </si>
  <si>
    <t>1166.56万</t>
  </si>
  <si>
    <t>916.39万</t>
  </si>
  <si>
    <t>1860.67万</t>
  </si>
  <si>
    <t>长虹能源</t>
  </si>
  <si>
    <t>30.71亿</t>
  </si>
  <si>
    <t>6187.34万</t>
  </si>
  <si>
    <t>24.51亿</t>
  </si>
  <si>
    <t>-8158.08万</t>
  </si>
  <si>
    <t>华密新材</t>
  </si>
  <si>
    <t>4263.43万</t>
  </si>
  <si>
    <t>4420.46万</t>
  </si>
  <si>
    <t>4775.12万</t>
  </si>
  <si>
    <t>2500.94万</t>
  </si>
  <si>
    <t>1063.30万</t>
  </si>
  <si>
    <t>2353.91万</t>
  </si>
  <si>
    <t>中寰股份</t>
  </si>
  <si>
    <t>4464.28万</t>
  </si>
  <si>
    <t>4629.28万</t>
  </si>
  <si>
    <t>4461.74万</t>
  </si>
  <si>
    <t>4323.37万</t>
  </si>
  <si>
    <t>2464.91万</t>
  </si>
  <si>
    <t>1425.49万</t>
  </si>
  <si>
    <t>中航泰达</t>
  </si>
  <si>
    <t>大气治理</t>
  </si>
  <si>
    <t>2000.00万</t>
  </si>
  <si>
    <t>1668.73万</t>
  </si>
  <si>
    <t>2920.23万</t>
  </si>
  <si>
    <t>2911.56万</t>
  </si>
  <si>
    <t>3894.21万</t>
  </si>
  <si>
    <t>4314.03万</t>
  </si>
  <si>
    <t>天铭科技</t>
  </si>
  <si>
    <t>4402.25万</t>
  </si>
  <si>
    <t>3594.30万</t>
  </si>
  <si>
    <t>2869.10万</t>
  </si>
  <si>
    <t>1525.32万</t>
  </si>
  <si>
    <t>-93.47万</t>
  </si>
  <si>
    <t>2747.95万</t>
  </si>
  <si>
    <t>朗鸿科技</t>
  </si>
  <si>
    <t>4213.33万</t>
  </si>
  <si>
    <t>4907.82万</t>
  </si>
  <si>
    <t>2048.55万</t>
  </si>
  <si>
    <t>3618.66万</t>
  </si>
  <si>
    <t>1644.08万</t>
  </si>
  <si>
    <t>688.37万</t>
  </si>
  <si>
    <t>5007.25万</t>
  </si>
  <si>
    <t>1779.66万</t>
  </si>
  <si>
    <t>欧普泰</t>
  </si>
  <si>
    <t>2915.90万</t>
  </si>
  <si>
    <t>9422.33万</t>
  </si>
  <si>
    <t>2843.72万</t>
  </si>
  <si>
    <t>2766.37万</t>
  </si>
  <si>
    <t>3057.91万</t>
  </si>
  <si>
    <t>1682.33万</t>
  </si>
  <si>
    <t>18.30万</t>
  </si>
  <si>
    <t>201.16万</t>
  </si>
  <si>
    <t>8347.08万</t>
  </si>
  <si>
    <t>1928.46万</t>
  </si>
  <si>
    <t>万德股份</t>
  </si>
  <si>
    <t>5545.83万</t>
  </si>
  <si>
    <t>1312.25万</t>
  </si>
  <si>
    <t>4290.58万</t>
  </si>
  <si>
    <t>4508.14万</t>
  </si>
  <si>
    <t>815.91万</t>
  </si>
  <si>
    <t>2431.74万</t>
  </si>
  <si>
    <t>润普食品</t>
  </si>
  <si>
    <t>食品及饲料添加剂</t>
  </si>
  <si>
    <t>7357.38万</t>
  </si>
  <si>
    <t>4319.67万</t>
  </si>
  <si>
    <t>2680.11万</t>
  </si>
  <si>
    <t>1481.16万</t>
  </si>
  <si>
    <t>1460.68万</t>
  </si>
  <si>
    <t>1335.30万</t>
  </si>
  <si>
    <t>大唐药业</t>
  </si>
  <si>
    <t>6194.54万</t>
  </si>
  <si>
    <t>6084.36万</t>
  </si>
  <si>
    <t>5421.16万</t>
  </si>
  <si>
    <t>4027.93万</t>
  </si>
  <si>
    <t>2180.78万</t>
  </si>
  <si>
    <t>博迅生物</t>
  </si>
  <si>
    <t>100.00万</t>
  </si>
  <si>
    <t>2816.13万</t>
  </si>
  <si>
    <t>2148.71万</t>
  </si>
  <si>
    <t>1380.70万</t>
  </si>
  <si>
    <t>942.58万</t>
  </si>
  <si>
    <t>6715.48万</t>
  </si>
  <si>
    <t>1105.33万</t>
  </si>
  <si>
    <t>秉扬科技</t>
  </si>
  <si>
    <t>6060.78万</t>
  </si>
  <si>
    <t>5922.44万</t>
  </si>
  <si>
    <t>4918.92万</t>
  </si>
  <si>
    <t>4420.36万</t>
  </si>
  <si>
    <t>3773.86万</t>
  </si>
  <si>
    <t>海达尔</t>
  </si>
  <si>
    <t>小家电Ⅲ</t>
  </si>
  <si>
    <t>3013.75万</t>
  </si>
  <si>
    <t>3006.60万</t>
  </si>
  <si>
    <t>2226.21万</t>
  </si>
  <si>
    <t>862.40万</t>
  </si>
  <si>
    <t>1075.68万</t>
  </si>
  <si>
    <t>1233.38万</t>
  </si>
  <si>
    <t>瑞星股份</t>
  </si>
  <si>
    <t>3760.22万</t>
  </si>
  <si>
    <t>4347.64万</t>
  </si>
  <si>
    <t>3729.29万</t>
  </si>
  <si>
    <t>4538.56万</t>
  </si>
  <si>
    <t>6146.97万</t>
  </si>
  <si>
    <t>8141.53万</t>
  </si>
  <si>
    <t>971.62万</t>
  </si>
  <si>
    <t>吉冈精密</t>
  </si>
  <si>
    <t>5651.83万</t>
  </si>
  <si>
    <t>4347.72万</t>
  </si>
  <si>
    <t>2713.41万</t>
  </si>
  <si>
    <t>2402.23万</t>
  </si>
  <si>
    <t>1954.93万</t>
  </si>
  <si>
    <t>奔朗新材</t>
  </si>
  <si>
    <t>磨具磨料</t>
  </si>
  <si>
    <t>6063.65万</t>
  </si>
  <si>
    <t>8680.04万</t>
  </si>
  <si>
    <t>6535.10万</t>
  </si>
  <si>
    <t>2152.87万</t>
  </si>
  <si>
    <t>2251.45万</t>
  </si>
  <si>
    <t>2061.99万</t>
  </si>
  <si>
    <t>盖世食品</t>
  </si>
  <si>
    <t>4284.42万</t>
  </si>
  <si>
    <t>2663.57万</t>
  </si>
  <si>
    <t>3093.27万</t>
  </si>
  <si>
    <t>1968.27万</t>
  </si>
  <si>
    <t>931.92万</t>
  </si>
  <si>
    <t>10转2股派1.5元(含税)</t>
  </si>
  <si>
    <t>派特尔</t>
  </si>
  <si>
    <t>1715.81万</t>
  </si>
  <si>
    <t>8971.78万</t>
  </si>
  <si>
    <t>2941.91万</t>
  </si>
  <si>
    <t>2666.43万</t>
  </si>
  <si>
    <t>1825.02万</t>
  </si>
  <si>
    <t>1420.99万</t>
  </si>
  <si>
    <t>8421.07万</t>
  </si>
  <si>
    <t>1040.78万</t>
  </si>
  <si>
    <t>广咨国际</t>
  </si>
  <si>
    <t>7856.55万</t>
  </si>
  <si>
    <t>6883.14万</t>
  </si>
  <si>
    <t>6113.36万</t>
  </si>
  <si>
    <t>5257.74万</t>
  </si>
  <si>
    <t>4418.92万</t>
  </si>
  <si>
    <t>3973.67万</t>
  </si>
  <si>
    <t>恒立钻具</t>
  </si>
  <si>
    <t>4853.33万</t>
  </si>
  <si>
    <t>4105.09万</t>
  </si>
  <si>
    <t>1393.99万</t>
  </si>
  <si>
    <t>2274.79万</t>
  </si>
  <si>
    <t>7657.60万</t>
  </si>
  <si>
    <t>汉维科技</t>
  </si>
  <si>
    <t>3294.36万</t>
  </si>
  <si>
    <t>4333.57万</t>
  </si>
  <si>
    <t>5166.12万</t>
  </si>
  <si>
    <t>3686.95万</t>
  </si>
  <si>
    <t>953.32万</t>
  </si>
  <si>
    <t>晟楠科技</t>
  </si>
  <si>
    <t>航空装备</t>
  </si>
  <si>
    <t>4696.36万</t>
  </si>
  <si>
    <t>1350.00万</t>
  </si>
  <si>
    <t>8965.12万</t>
  </si>
  <si>
    <t>6464.80万</t>
  </si>
  <si>
    <t>5855.76万</t>
  </si>
  <si>
    <t>2493.67万</t>
  </si>
  <si>
    <t>2014.54万</t>
  </si>
  <si>
    <t>1246.36万</t>
  </si>
  <si>
    <t>432.93万</t>
  </si>
  <si>
    <t>8168.80万</t>
  </si>
  <si>
    <t>3085.56万</t>
  </si>
  <si>
    <t>亿能电力</t>
  </si>
  <si>
    <t>1694.11万</t>
  </si>
  <si>
    <t>8705.09万</t>
  </si>
  <si>
    <t>2632.91万</t>
  </si>
  <si>
    <t>2348.69万</t>
  </si>
  <si>
    <t>1907.77万</t>
  </si>
  <si>
    <t>762.85万</t>
  </si>
  <si>
    <t>1081.52万</t>
  </si>
  <si>
    <t>汉鑫科技</t>
  </si>
  <si>
    <t>4841.02万</t>
  </si>
  <si>
    <t>3899.86万</t>
  </si>
  <si>
    <t>4118.38万</t>
  </si>
  <si>
    <t>3054.27万</t>
  </si>
  <si>
    <t>1207.65万</t>
  </si>
  <si>
    <t>宏裕包材</t>
  </si>
  <si>
    <t>4761.40万</t>
  </si>
  <si>
    <t>3696.29万</t>
  </si>
  <si>
    <t>7067.39万</t>
  </si>
  <si>
    <t>4701.36万</t>
  </si>
  <si>
    <t>2846.18万</t>
  </si>
  <si>
    <t>2500.99万</t>
  </si>
  <si>
    <t>智新电子</t>
  </si>
  <si>
    <t>5698.15万</t>
  </si>
  <si>
    <t>3964.69万</t>
  </si>
  <si>
    <t>2914.27万</t>
  </si>
  <si>
    <t>2312.49万</t>
  </si>
  <si>
    <t>909.25万</t>
  </si>
  <si>
    <t>建邦科技</t>
  </si>
  <si>
    <t>4163.73万</t>
  </si>
  <si>
    <t>3745.52万</t>
  </si>
  <si>
    <t>4670.60万</t>
  </si>
  <si>
    <t>5814.74万</t>
  </si>
  <si>
    <t>2958.48万</t>
  </si>
  <si>
    <t>三元基因</t>
  </si>
  <si>
    <t>4041.46万</t>
  </si>
  <si>
    <t>3596.38万</t>
  </si>
  <si>
    <t>6009.19万</t>
  </si>
  <si>
    <t>5809.64万</t>
  </si>
  <si>
    <t>921.43万</t>
  </si>
  <si>
    <t>华信永道</t>
  </si>
  <si>
    <t>3517.05万</t>
  </si>
  <si>
    <t>-2939.14万</t>
  </si>
  <si>
    <t>2833.57万</t>
  </si>
  <si>
    <t>1887.32万</t>
  </si>
  <si>
    <t>5483.75万</t>
  </si>
  <si>
    <t>-2254.76万</t>
  </si>
  <si>
    <t>明阳科技</t>
  </si>
  <si>
    <t>5094.50万</t>
  </si>
  <si>
    <t>3785.23万</t>
  </si>
  <si>
    <t>3556.57万</t>
  </si>
  <si>
    <t>2927.95万</t>
  </si>
  <si>
    <t>2978.12万</t>
  </si>
  <si>
    <t>2596.52万</t>
  </si>
  <si>
    <t>路桥信息</t>
  </si>
  <si>
    <t>2595.39万</t>
  </si>
  <si>
    <t>2393.87万</t>
  </si>
  <si>
    <t>1696.66万</t>
  </si>
  <si>
    <t>211.07万</t>
  </si>
  <si>
    <t>9065.67万</t>
  </si>
  <si>
    <t>-570.34万</t>
  </si>
  <si>
    <t>则成电子</t>
  </si>
  <si>
    <t>印制电路板</t>
  </si>
  <si>
    <t>2804.45万</t>
  </si>
  <si>
    <t>3289.81万</t>
  </si>
  <si>
    <t>3975.86万</t>
  </si>
  <si>
    <t>4612.08万</t>
  </si>
  <si>
    <t>4372.76万</t>
  </si>
  <si>
    <t>872.25万</t>
  </si>
  <si>
    <t>德众汽车</t>
  </si>
  <si>
    <t>汽车服务Ⅲ</t>
  </si>
  <si>
    <t>26.58亿</t>
  </si>
  <si>
    <t>27.45亿</t>
  </si>
  <si>
    <t>17.56亿</t>
  </si>
  <si>
    <t>5778.05万</t>
  </si>
  <si>
    <t>4771.37万</t>
  </si>
  <si>
    <t>4915.80万</t>
  </si>
  <si>
    <t>3781.55万</t>
  </si>
  <si>
    <t>452.52万</t>
  </si>
  <si>
    <t>方大新材</t>
  </si>
  <si>
    <t>4079.48万</t>
  </si>
  <si>
    <t>690.66万</t>
  </si>
  <si>
    <t>3630.51万</t>
  </si>
  <si>
    <t>4707.83万</t>
  </si>
  <si>
    <t>2862.20万</t>
  </si>
  <si>
    <t>3428.08万</t>
  </si>
  <si>
    <t>2147.05万</t>
  </si>
  <si>
    <t>903.39万</t>
  </si>
  <si>
    <t>邦德股份</t>
  </si>
  <si>
    <t>7796.19万</t>
  </si>
  <si>
    <t>3640.52万</t>
  </si>
  <si>
    <t>4128.90万</t>
  </si>
  <si>
    <t>4747.30万</t>
  </si>
  <si>
    <t>3121.73万</t>
  </si>
  <si>
    <t>4713.68万</t>
  </si>
  <si>
    <t>美登科技</t>
  </si>
  <si>
    <t>4189.91万</t>
  </si>
  <si>
    <t>4.90万</t>
  </si>
  <si>
    <t>9510.02万</t>
  </si>
  <si>
    <t>6962.37万</t>
  </si>
  <si>
    <t>6596.46万</t>
  </si>
  <si>
    <t>4835.95万</t>
  </si>
  <si>
    <t>3506.66万</t>
  </si>
  <si>
    <t>3125.02万</t>
  </si>
  <si>
    <t>3124.28万</t>
  </si>
  <si>
    <t>5370.40万</t>
  </si>
  <si>
    <t>2125.85万</t>
  </si>
  <si>
    <t>太湖雪</t>
  </si>
  <si>
    <t>家纺</t>
  </si>
  <si>
    <t>3634.38万</t>
  </si>
  <si>
    <t>2439.70万</t>
  </si>
  <si>
    <t>1234.11万</t>
  </si>
  <si>
    <t>2194.36万</t>
  </si>
  <si>
    <t>1571.97万</t>
  </si>
  <si>
    <t>驱动力</t>
  </si>
  <si>
    <t>动物保健</t>
  </si>
  <si>
    <t>9843.37万</t>
  </si>
  <si>
    <t>4001.70万</t>
  </si>
  <si>
    <t>4008.34万</t>
  </si>
  <si>
    <t>2125.66万</t>
  </si>
  <si>
    <t>3539.37万</t>
  </si>
  <si>
    <t>8204.21万</t>
  </si>
  <si>
    <t>308.70万</t>
  </si>
  <si>
    <t>10派0.6元(含税)</t>
  </si>
  <si>
    <t>硅烷科技</t>
  </si>
  <si>
    <t>7579.99万</t>
  </si>
  <si>
    <t>4682.89万</t>
  </si>
  <si>
    <t>1571.78万</t>
  </si>
  <si>
    <t>660.81万</t>
  </si>
  <si>
    <t>恒进感应</t>
  </si>
  <si>
    <t>机床工具</t>
  </si>
  <si>
    <t>6116.82万</t>
  </si>
  <si>
    <t>9864.25万</t>
  </si>
  <si>
    <t>5079.33万</t>
  </si>
  <si>
    <t>4240.47万</t>
  </si>
  <si>
    <t>5434.31万</t>
  </si>
  <si>
    <t>3627.81万</t>
  </si>
  <si>
    <t>1571.54万</t>
  </si>
  <si>
    <t>1093.85万</t>
  </si>
  <si>
    <t>2652.14万</t>
  </si>
  <si>
    <t>1434.83万</t>
  </si>
  <si>
    <t>豪声电子</t>
  </si>
  <si>
    <t>6.69亿</t>
  </si>
  <si>
    <t>6537.16万</t>
  </si>
  <si>
    <t>3777.91万</t>
  </si>
  <si>
    <t>3852.89万</t>
  </si>
  <si>
    <t>2392.93万</t>
  </si>
  <si>
    <t>472.65万</t>
  </si>
  <si>
    <t>5.16亿</t>
  </si>
  <si>
    <t>1735.34万</t>
  </si>
  <si>
    <t>春光药装</t>
  </si>
  <si>
    <t>印刷包装机械</t>
  </si>
  <si>
    <t>4101.32万</t>
  </si>
  <si>
    <t>7539.91万</t>
  </si>
  <si>
    <t>8091.00万</t>
  </si>
  <si>
    <t>3495.67万</t>
  </si>
  <si>
    <t>275.05万</t>
  </si>
  <si>
    <t>170.24万</t>
  </si>
  <si>
    <t>135.36万</t>
  </si>
  <si>
    <t>1868.22万</t>
  </si>
  <si>
    <t>华原股份</t>
  </si>
  <si>
    <t>3844.29万</t>
  </si>
  <si>
    <t>4273.79万</t>
  </si>
  <si>
    <t>2015.82万</t>
  </si>
  <si>
    <t>1390.56万</t>
  </si>
  <si>
    <t>2728.83万</t>
  </si>
  <si>
    <t>2486.20万</t>
  </si>
  <si>
    <t>广脉科技</t>
  </si>
  <si>
    <t>通信服务Ⅲ</t>
  </si>
  <si>
    <t>1491.64万</t>
  </si>
  <si>
    <t>3078.24万</t>
  </si>
  <si>
    <t>3029.99万</t>
  </si>
  <si>
    <t>1219.04万</t>
  </si>
  <si>
    <t>68.68万</t>
  </si>
  <si>
    <t>天马新材</t>
  </si>
  <si>
    <t>3563.50万</t>
  </si>
  <si>
    <t>5424.65万</t>
  </si>
  <si>
    <t>1622.20万</t>
  </si>
  <si>
    <t>1715.51万</t>
  </si>
  <si>
    <t>1267.36万</t>
  </si>
  <si>
    <t>8170.67万</t>
  </si>
  <si>
    <t>1440.21万</t>
  </si>
  <si>
    <t>同享科技</t>
  </si>
  <si>
    <t>12.47亿</t>
  </si>
  <si>
    <t>5019.86万</t>
  </si>
  <si>
    <t>12.67亿</t>
  </si>
  <si>
    <t>-1.92亿</t>
  </si>
  <si>
    <t>5397.66万</t>
  </si>
  <si>
    <t>6014.20万</t>
  </si>
  <si>
    <t>3047.55万</t>
  </si>
  <si>
    <t>1679.86万</t>
  </si>
  <si>
    <t>4751.39万</t>
  </si>
  <si>
    <t>一致魔芋</t>
  </si>
  <si>
    <t>6530.08万</t>
  </si>
  <si>
    <t>5935.27万</t>
  </si>
  <si>
    <t>4435.45万</t>
  </si>
  <si>
    <t>3863.72万</t>
  </si>
  <si>
    <t>3060.82万</t>
  </si>
  <si>
    <t>3692.32万</t>
  </si>
  <si>
    <t>欧福蛋业</t>
  </si>
  <si>
    <t>其他农产品加工</t>
  </si>
  <si>
    <t>3580.59万</t>
  </si>
  <si>
    <t>2248.80万</t>
  </si>
  <si>
    <t>4873.69万</t>
  </si>
  <si>
    <t>-1020.86万</t>
  </si>
  <si>
    <t>-503.35万</t>
  </si>
  <si>
    <t>3010.58万</t>
  </si>
  <si>
    <t>并行科技</t>
  </si>
  <si>
    <t>8564.34万</t>
  </si>
  <si>
    <t>-8168.21万</t>
  </si>
  <si>
    <t>-3195.78万</t>
  </si>
  <si>
    <t>-3745.52万</t>
  </si>
  <si>
    <t>-5071.59万</t>
  </si>
  <si>
    <t>-3984.21万</t>
  </si>
  <si>
    <t>广道数字</t>
  </si>
  <si>
    <t>72.03万</t>
  </si>
  <si>
    <t>5386.45万</t>
  </si>
  <si>
    <t>4739.52万</t>
  </si>
  <si>
    <t>4229.22万</t>
  </si>
  <si>
    <t>3695.64万</t>
  </si>
  <si>
    <t>9620.94万</t>
  </si>
  <si>
    <t>1201.50万</t>
  </si>
  <si>
    <t>宁新新材</t>
  </si>
  <si>
    <t>冶钢原料</t>
  </si>
  <si>
    <t>7384.61万</t>
  </si>
  <si>
    <t>4412.83万</t>
  </si>
  <si>
    <t>4810.20万</t>
  </si>
  <si>
    <t>4977.16万</t>
  </si>
  <si>
    <t>4073.69万</t>
  </si>
  <si>
    <t>惠丰钻石</t>
  </si>
  <si>
    <t>5601.22万</t>
  </si>
  <si>
    <t>3237.32万</t>
  </si>
  <si>
    <t>1593.01万</t>
  </si>
  <si>
    <t>3911.34万</t>
  </si>
  <si>
    <t>3982.46万</t>
  </si>
  <si>
    <t>永顺生物</t>
  </si>
  <si>
    <t>9134.22万</t>
  </si>
  <si>
    <t>8022.07万</t>
  </si>
  <si>
    <t>6345.28万</t>
  </si>
  <si>
    <t>3979.06万</t>
  </si>
  <si>
    <t>10派2.8元(含税)</t>
  </si>
  <si>
    <t>联迪信息</t>
  </si>
  <si>
    <t>1874.64万</t>
  </si>
  <si>
    <t>3014.27万</t>
  </si>
  <si>
    <t>3322.14万</t>
  </si>
  <si>
    <t>4744.03万</t>
  </si>
  <si>
    <t>3491.01万</t>
  </si>
  <si>
    <t>223.74万</t>
  </si>
  <si>
    <t>东和新材</t>
  </si>
  <si>
    <t>9368.81万</t>
  </si>
  <si>
    <t>6447.31万</t>
  </si>
  <si>
    <t>8147.41万</t>
  </si>
  <si>
    <t>7254.11万</t>
  </si>
  <si>
    <t>3710.44万</t>
  </si>
  <si>
    <t>华阳变速</t>
  </si>
  <si>
    <t>-1222.58万</t>
  </si>
  <si>
    <t>1900.00万</t>
  </si>
  <si>
    <t>2209.76万</t>
  </si>
  <si>
    <t>5288.95万</t>
  </si>
  <si>
    <t>3623.39万</t>
  </si>
  <si>
    <t>1650.11万</t>
  </si>
  <si>
    <t>-628.65万</t>
  </si>
  <si>
    <t>倍益康</t>
  </si>
  <si>
    <t>32.13万</t>
  </si>
  <si>
    <t>4224.07万</t>
  </si>
  <si>
    <t>2636.61万</t>
  </si>
  <si>
    <t>7981.03万</t>
  </si>
  <si>
    <t>2394.95万</t>
  </si>
  <si>
    <t>370.19万</t>
  </si>
  <si>
    <t>161.12万</t>
  </si>
  <si>
    <t>2202.79万</t>
  </si>
  <si>
    <t>沪江材料</t>
  </si>
  <si>
    <t>4264.72万</t>
  </si>
  <si>
    <t>3266.66万</t>
  </si>
  <si>
    <t>2876.09万</t>
  </si>
  <si>
    <t>2632.77万</t>
  </si>
  <si>
    <t>1390.70万</t>
  </si>
  <si>
    <t>灿能电力</t>
  </si>
  <si>
    <t>9786.00万</t>
  </si>
  <si>
    <t>2511.62万</t>
  </si>
  <si>
    <t>8991.60万</t>
  </si>
  <si>
    <t>8181.28万</t>
  </si>
  <si>
    <t>7362.64万</t>
  </si>
  <si>
    <t>8216.08万</t>
  </si>
  <si>
    <t>2560.93万</t>
  </si>
  <si>
    <t>2794.57万</t>
  </si>
  <si>
    <t>2405.21万</t>
  </si>
  <si>
    <t>2878.80万</t>
  </si>
  <si>
    <t>4012.57万</t>
  </si>
  <si>
    <t>767.20万</t>
  </si>
  <si>
    <t>雅葆轩</t>
  </si>
  <si>
    <t>5847.78万</t>
  </si>
  <si>
    <t>8722.96万</t>
  </si>
  <si>
    <t>6891.10万</t>
  </si>
  <si>
    <t>6808.70万</t>
  </si>
  <si>
    <t>4677.74万</t>
  </si>
  <si>
    <t>1834.65万</t>
  </si>
  <si>
    <t>1026.21万</t>
  </si>
  <si>
    <t>1253.07万</t>
  </si>
  <si>
    <t>2526.79万</t>
  </si>
  <si>
    <t>大地电气</t>
  </si>
  <si>
    <t>5203.43万</t>
  </si>
  <si>
    <t>6331.33万</t>
  </si>
  <si>
    <t>2367.05万</t>
  </si>
  <si>
    <t>2272.15万</t>
  </si>
  <si>
    <t>-649.20万</t>
  </si>
  <si>
    <t>丰安股份</t>
  </si>
  <si>
    <t>农用机械</t>
  </si>
  <si>
    <t>3449.44万</t>
  </si>
  <si>
    <t>8283.28万</t>
  </si>
  <si>
    <t>8893.19万</t>
  </si>
  <si>
    <t>4541.13万</t>
  </si>
  <si>
    <t>4052.88万</t>
  </si>
  <si>
    <t>2276.58万</t>
  </si>
  <si>
    <t>2609.03万</t>
  </si>
  <si>
    <t>6067.23万</t>
  </si>
  <si>
    <t>1627.21万</t>
  </si>
  <si>
    <t>鸿智科技</t>
  </si>
  <si>
    <t>3445.53万</t>
  </si>
  <si>
    <t>2235.80万</t>
  </si>
  <si>
    <t>2232.08万</t>
  </si>
  <si>
    <t>2339.21万</t>
  </si>
  <si>
    <t>1369.16万</t>
  </si>
  <si>
    <t>绿亨科技</t>
  </si>
  <si>
    <t>2.58万</t>
  </si>
  <si>
    <t>6240.84万</t>
  </si>
  <si>
    <t>5449.61万</t>
  </si>
  <si>
    <t>4142.77万</t>
  </si>
  <si>
    <t>3098.84万</t>
  </si>
  <si>
    <t>2698.49万</t>
  </si>
  <si>
    <t>视声智能</t>
  </si>
  <si>
    <t>3406.40万</t>
  </si>
  <si>
    <t>9.07万</t>
  </si>
  <si>
    <t>2578.59万</t>
  </si>
  <si>
    <t>1969.64万</t>
  </si>
  <si>
    <t>47.67万</t>
  </si>
  <si>
    <t>980.49万</t>
  </si>
  <si>
    <t>1606.17万</t>
  </si>
  <si>
    <t>威博液压</t>
  </si>
  <si>
    <t>3022.24万</t>
  </si>
  <si>
    <t>10.00万</t>
  </si>
  <si>
    <t>4222.95万</t>
  </si>
  <si>
    <t>2654.04万</t>
  </si>
  <si>
    <t>2049.40万</t>
  </si>
  <si>
    <t>1792.77万</t>
  </si>
  <si>
    <t>1044.86万</t>
  </si>
  <si>
    <t>常辅股份</t>
  </si>
  <si>
    <t>其他自动化设备</t>
  </si>
  <si>
    <t>2470.48万</t>
  </si>
  <si>
    <t>2300.00万</t>
  </si>
  <si>
    <t>3051.17万</t>
  </si>
  <si>
    <t>3343.79万</t>
  </si>
  <si>
    <t>2895.95万</t>
  </si>
  <si>
    <t>2772.90万</t>
  </si>
  <si>
    <t>9316.31万</t>
  </si>
  <si>
    <t>969.19万</t>
  </si>
  <si>
    <t>巨能股份</t>
  </si>
  <si>
    <t>机器人</t>
  </si>
  <si>
    <t>7461.97万</t>
  </si>
  <si>
    <t>3015.71万</t>
  </si>
  <si>
    <t>3015.70万</t>
  </si>
  <si>
    <t>992.87万</t>
  </si>
  <si>
    <t>-247.96万</t>
  </si>
  <si>
    <t>1701.44万</t>
  </si>
  <si>
    <t>凯腾精工</t>
  </si>
  <si>
    <t>2746.42万</t>
  </si>
  <si>
    <t>3430.12万</t>
  </si>
  <si>
    <t>4962.38万</t>
  </si>
  <si>
    <t>2055.63万</t>
  </si>
  <si>
    <t>1048.80万</t>
  </si>
  <si>
    <t>新威凌</t>
  </si>
  <si>
    <t>铅锌</t>
  </si>
  <si>
    <t>5.85亿</t>
  </si>
  <si>
    <t>2987.92万</t>
  </si>
  <si>
    <t>1853.64万</t>
  </si>
  <si>
    <t>1274.08万</t>
  </si>
  <si>
    <t>941.47万</t>
  </si>
  <si>
    <t>787.71万</t>
  </si>
  <si>
    <t>通易航天</t>
  </si>
  <si>
    <t>2879.13万</t>
  </si>
  <si>
    <t>9419.41万</t>
  </si>
  <si>
    <t>9086.75万</t>
  </si>
  <si>
    <t>8113.96万</t>
  </si>
  <si>
    <t>2199.97万</t>
  </si>
  <si>
    <t>3684.49万</t>
  </si>
  <si>
    <t>3261.62万</t>
  </si>
  <si>
    <t>2249.38万</t>
  </si>
  <si>
    <t>1165.63万</t>
  </si>
  <si>
    <t>中裕科技</t>
  </si>
  <si>
    <t>9220.52万</t>
  </si>
  <si>
    <t>5142.76万</t>
  </si>
  <si>
    <t>4987.87万</t>
  </si>
  <si>
    <t>6991.99万</t>
  </si>
  <si>
    <t>8157.36万</t>
  </si>
  <si>
    <t>5113.47万</t>
  </si>
  <si>
    <t>天纺标</t>
  </si>
  <si>
    <t>3303.04万</t>
  </si>
  <si>
    <t>3695.24万</t>
  </si>
  <si>
    <t>5674.34万</t>
  </si>
  <si>
    <t>2180.42万</t>
  </si>
  <si>
    <t>2273.23万</t>
  </si>
  <si>
    <t>7021.74万</t>
  </si>
  <si>
    <t>1317.39万</t>
  </si>
  <si>
    <t>泓禧科技</t>
  </si>
  <si>
    <t>3291.01万</t>
  </si>
  <si>
    <t>4039.96万</t>
  </si>
  <si>
    <t>3791.42万</t>
  </si>
  <si>
    <t>2860.70万</t>
  </si>
  <si>
    <t>1110.30万</t>
  </si>
  <si>
    <t>2071.66万</t>
  </si>
  <si>
    <t>大禹生物</t>
  </si>
  <si>
    <t>1814.72万</t>
  </si>
  <si>
    <t>8943.97万</t>
  </si>
  <si>
    <t>3505.89万</t>
  </si>
  <si>
    <t>3274.23万</t>
  </si>
  <si>
    <t>2768.44万</t>
  </si>
  <si>
    <t>2173.47万</t>
  </si>
  <si>
    <t>6924.77万</t>
  </si>
  <si>
    <t>-606.73万</t>
  </si>
  <si>
    <t>晶赛科技</t>
  </si>
  <si>
    <t>4359.53万</t>
  </si>
  <si>
    <t>6549.80万</t>
  </si>
  <si>
    <t>3117.13万</t>
  </si>
  <si>
    <t>1934.78万</t>
  </si>
  <si>
    <t>1975.05万</t>
  </si>
  <si>
    <t>-436.59万</t>
  </si>
  <si>
    <t>雷神科技</t>
  </si>
  <si>
    <t>6867.33万</t>
  </si>
  <si>
    <t>22.54亿</t>
  </si>
  <si>
    <t>16.73亿</t>
  </si>
  <si>
    <t>7773.43万</t>
  </si>
  <si>
    <t>6075.95万</t>
  </si>
  <si>
    <t>1124.25万</t>
  </si>
  <si>
    <t>2390.80万</t>
  </si>
  <si>
    <t>华光源海</t>
  </si>
  <si>
    <t>物流Ⅲ</t>
  </si>
  <si>
    <t>14.63万</t>
  </si>
  <si>
    <t>4123.50万</t>
  </si>
  <si>
    <t>1697.51万</t>
  </si>
  <si>
    <t>2162.50万</t>
  </si>
  <si>
    <t>2218.75万</t>
  </si>
  <si>
    <t>2133.03万</t>
  </si>
  <si>
    <t>云里物里</t>
  </si>
  <si>
    <t>其他通信设备</t>
  </si>
  <si>
    <t>7883.01万</t>
  </si>
  <si>
    <t>4491.70万</t>
  </si>
  <si>
    <t>2142.93万</t>
  </si>
  <si>
    <t>2107.37万</t>
  </si>
  <si>
    <t>1223.46万</t>
  </si>
  <si>
    <t>8386.93万</t>
  </si>
  <si>
    <t>1315.46万</t>
  </si>
  <si>
    <t>佳合科技</t>
  </si>
  <si>
    <t>2619.53万</t>
  </si>
  <si>
    <t>226.07万</t>
  </si>
  <si>
    <t>3543.49万</t>
  </si>
  <si>
    <t>4165.77万</t>
  </si>
  <si>
    <t>3014.68万</t>
  </si>
  <si>
    <t>2495.12万</t>
  </si>
  <si>
    <t>1104.91万</t>
  </si>
  <si>
    <t>铁大科技</t>
  </si>
  <si>
    <t>轨交设备</t>
  </si>
  <si>
    <t>3336.09万</t>
  </si>
  <si>
    <t>3013.97万</t>
  </si>
  <si>
    <t>2661.59万</t>
  </si>
  <si>
    <t>2635.07万</t>
  </si>
  <si>
    <t>2189.06万</t>
  </si>
  <si>
    <t>1013.05万</t>
  </si>
  <si>
    <t>曙光数创</t>
  </si>
  <si>
    <t>9371.97万</t>
  </si>
  <si>
    <t>6815.89万</t>
  </si>
  <si>
    <t>2819.81万</t>
  </si>
  <si>
    <t>4774.39万</t>
  </si>
  <si>
    <t>花溪科技</t>
  </si>
  <si>
    <t>2.22万</t>
  </si>
  <si>
    <t>9876.65万</t>
  </si>
  <si>
    <t>9441.62万</t>
  </si>
  <si>
    <t>2845.94万</t>
  </si>
  <si>
    <t>2664.70万</t>
  </si>
  <si>
    <t>1540.81万</t>
  </si>
  <si>
    <t>1771.94万</t>
  </si>
  <si>
    <t>3764.75万</t>
  </si>
  <si>
    <t>249.02万</t>
  </si>
  <si>
    <t>锦好医疗</t>
  </si>
  <si>
    <t>2288.14万</t>
  </si>
  <si>
    <t>4138.85万</t>
  </si>
  <si>
    <t>2461.88万</t>
  </si>
  <si>
    <t>1992.41万</t>
  </si>
  <si>
    <t>1511.90万</t>
  </si>
  <si>
    <t>国子软件</t>
  </si>
  <si>
    <t>5660.32万</t>
  </si>
  <si>
    <t>1868.37万</t>
  </si>
  <si>
    <t>1413.78万</t>
  </si>
  <si>
    <t>2330.61万</t>
  </si>
  <si>
    <t>7870.69万</t>
  </si>
  <si>
    <t>957.16万</t>
  </si>
  <si>
    <t>纬达光电</t>
  </si>
  <si>
    <t>面板</t>
  </si>
  <si>
    <t>6407.34万</t>
  </si>
  <si>
    <t>6913.08万</t>
  </si>
  <si>
    <t>4808.08万</t>
  </si>
  <si>
    <t>5014.58万</t>
  </si>
  <si>
    <t>5479.85万</t>
  </si>
  <si>
    <t>中纺标</t>
  </si>
  <si>
    <t>3421.51万</t>
  </si>
  <si>
    <t>3227.77万</t>
  </si>
  <si>
    <t>2843.50万</t>
  </si>
  <si>
    <t>1677.78万</t>
  </si>
  <si>
    <t>8880.68万</t>
  </si>
  <si>
    <t>1148.51万</t>
  </si>
  <si>
    <t>泰鹏智能</t>
  </si>
  <si>
    <t>4409.47万</t>
  </si>
  <si>
    <t>2664.75万</t>
  </si>
  <si>
    <t>1851.49万</t>
  </si>
  <si>
    <t>308.42万</t>
  </si>
  <si>
    <t>470.02万</t>
  </si>
  <si>
    <t>2240.71万</t>
  </si>
  <si>
    <t>天宏锂电</t>
  </si>
  <si>
    <t>3227.30万</t>
  </si>
  <si>
    <t>8577.24万</t>
  </si>
  <si>
    <t>2720.10万</t>
  </si>
  <si>
    <t>2094.32万</t>
  </si>
  <si>
    <t>234.13万</t>
  </si>
  <si>
    <t>40.58万</t>
  </si>
  <si>
    <t>568.50万</t>
  </si>
  <si>
    <t>新赣江</t>
  </si>
  <si>
    <t>4632.23万</t>
  </si>
  <si>
    <t>5483.08万</t>
  </si>
  <si>
    <t>4612.93万</t>
  </si>
  <si>
    <t>2649.29万</t>
  </si>
  <si>
    <t>5116.37万</t>
  </si>
  <si>
    <t>3048.07万</t>
  </si>
  <si>
    <t>七丰精工</t>
  </si>
  <si>
    <t>3389.68万</t>
  </si>
  <si>
    <t>3713.12万</t>
  </si>
  <si>
    <t>1318.72万</t>
  </si>
  <si>
    <t>3622.74万</t>
  </si>
  <si>
    <t>3475.86万</t>
  </si>
  <si>
    <t>2213.80万</t>
  </si>
  <si>
    <t>1268.02万</t>
  </si>
  <si>
    <t>7733.04万</t>
  </si>
  <si>
    <t>1287.07万</t>
  </si>
  <si>
    <t>荣亿精密</t>
  </si>
  <si>
    <t>819.42万</t>
  </si>
  <si>
    <t>2298.62万</t>
  </si>
  <si>
    <t>2278.36万</t>
  </si>
  <si>
    <t>2151.28万</t>
  </si>
  <si>
    <t>1222.03万</t>
  </si>
  <si>
    <t>-1508.28万</t>
  </si>
  <si>
    <t>九菱科技</t>
  </si>
  <si>
    <t>3117.21万</t>
  </si>
  <si>
    <t>3085.70万</t>
  </si>
  <si>
    <t>3837.33万</t>
  </si>
  <si>
    <t>1808.27万</t>
  </si>
  <si>
    <t>6406.52万</t>
  </si>
  <si>
    <t>1944.02万</t>
  </si>
  <si>
    <t>恒太照明</t>
  </si>
  <si>
    <t>LED</t>
  </si>
  <si>
    <t>7985.10万</t>
  </si>
  <si>
    <t>4844.68万</t>
  </si>
  <si>
    <t>7210.66万</t>
  </si>
  <si>
    <t>夜光明</t>
  </si>
  <si>
    <t>辅料</t>
  </si>
  <si>
    <t>3202.81万</t>
  </si>
  <si>
    <t>578.16万</t>
  </si>
  <si>
    <t>3287.49万</t>
  </si>
  <si>
    <t>2557.77万</t>
  </si>
  <si>
    <t>2775.67万</t>
  </si>
  <si>
    <t>2200.09万</t>
  </si>
  <si>
    <t>1129.93万</t>
  </si>
  <si>
    <t>坤博精工</t>
  </si>
  <si>
    <t>3364.69万</t>
  </si>
  <si>
    <t>8535.10万</t>
  </si>
  <si>
    <t>7438.08万</t>
  </si>
  <si>
    <t>5450.40万</t>
  </si>
  <si>
    <t>1421.70万</t>
  </si>
  <si>
    <t>1786.76万</t>
  </si>
  <si>
    <t>1291.82万</t>
  </si>
  <si>
    <t>789.44万</t>
  </si>
  <si>
    <t>2876.17万</t>
  </si>
  <si>
    <t>天力复合</t>
  </si>
  <si>
    <t>4386.92万</t>
  </si>
  <si>
    <t>3230.71万</t>
  </si>
  <si>
    <t>4721.30万</t>
  </si>
  <si>
    <t>2212.01万</t>
  </si>
  <si>
    <t>3804.20万</t>
  </si>
  <si>
    <t>鼎智科技</t>
  </si>
  <si>
    <t>7868.97万</t>
  </si>
  <si>
    <t>7238.55万</t>
  </si>
  <si>
    <t>4959.51万</t>
  </si>
  <si>
    <t>3430.37万</t>
  </si>
  <si>
    <t>216.47万</t>
  </si>
  <si>
    <t>5422.63万</t>
  </si>
  <si>
    <t>科强股份</t>
  </si>
  <si>
    <t>5241.54万</t>
  </si>
  <si>
    <t>4258.52万</t>
  </si>
  <si>
    <t>5435.46万</t>
  </si>
  <si>
    <t>4921.39万</t>
  </si>
  <si>
    <t>3484.00万</t>
  </si>
  <si>
    <t>前进科技</t>
  </si>
  <si>
    <t>5205.77万</t>
  </si>
  <si>
    <t>4596.93万</t>
  </si>
  <si>
    <t>5952.03万</t>
  </si>
  <si>
    <t>6661.44万</t>
  </si>
  <si>
    <t>6024.57万</t>
  </si>
  <si>
    <t>8802.90万</t>
  </si>
  <si>
    <t>2624.33万</t>
  </si>
  <si>
    <t>阿为特</t>
  </si>
  <si>
    <t>2823.71万</t>
  </si>
  <si>
    <t>2815.78万</t>
  </si>
  <si>
    <t>2199.00万</t>
  </si>
  <si>
    <t>2290.43万</t>
  </si>
  <si>
    <t>1395.14万</t>
  </si>
  <si>
    <t>1795.22万</t>
  </si>
  <si>
    <t>卓兆点胶</t>
  </si>
  <si>
    <t>6657.02万</t>
  </si>
  <si>
    <t>9051.04万</t>
  </si>
  <si>
    <t>6467.73万</t>
  </si>
  <si>
    <t>美心翼申</t>
  </si>
  <si>
    <t>6140.93万</t>
  </si>
  <si>
    <t>5727.61万</t>
  </si>
  <si>
    <t>2776.52万</t>
  </si>
  <si>
    <t>北交所</t>
  </si>
  <si>
    <t>26.54万</t>
  </si>
  <si>
    <t>15.07亿</t>
  </si>
  <si>
    <t>2495.28万</t>
  </si>
  <si>
    <t>4063.85万</t>
  </si>
  <si>
    <t>6538.82万</t>
  </si>
  <si>
    <t>1283.78万</t>
  </si>
  <si>
    <t>7318.42万</t>
  </si>
  <si>
    <t>303460亿</t>
  </si>
  <si>
    <t>22444691亿</t>
  </si>
  <si>
    <t>785.78万</t>
  </si>
  <si>
    <t>936613060亿</t>
  </si>
  <si>
    <t>2654.17万</t>
  </si>
  <si>
    <t>1000.72万</t>
  </si>
  <si>
    <t>804.48万</t>
  </si>
  <si>
    <t>4474.57万</t>
  </si>
  <si>
    <t>4925.51万</t>
  </si>
  <si>
    <t>-6669.30万</t>
  </si>
  <si>
    <t>-5.94万</t>
  </si>
  <si>
    <t>9272.35万</t>
  </si>
  <si>
    <t>258.51万</t>
  </si>
  <si>
    <t>1718.57万</t>
  </si>
  <si>
    <t>32.54万</t>
  </si>
  <si>
    <t>1612.15万</t>
  </si>
  <si>
    <t>-1225.03万</t>
  </si>
  <si>
    <t>2794.55万</t>
  </si>
  <si>
    <t>758.24万</t>
  </si>
  <si>
    <t>245.51万</t>
  </si>
  <si>
    <t>613.92万</t>
  </si>
  <si>
    <t>4349.29万</t>
  </si>
  <si>
    <t>391510亿</t>
  </si>
  <si>
    <t>4.99万</t>
  </si>
  <si>
    <t>-16022898亿</t>
  </si>
  <si>
    <t>8567.81万</t>
  </si>
  <si>
    <t>286103740亿</t>
  </si>
  <si>
    <t>4812.99万</t>
  </si>
  <si>
    <t>7083.00万</t>
  </si>
  <si>
    <t>-545.68万</t>
  </si>
  <si>
    <t>5967.51万</t>
  </si>
  <si>
    <t>-4813.48万</t>
  </si>
  <si>
    <t>416.77万</t>
  </si>
  <si>
    <t>1746.24万</t>
  </si>
  <si>
    <t>391.82万</t>
  </si>
  <si>
    <t>22.33万</t>
  </si>
  <si>
    <t>231.08万</t>
  </si>
  <si>
    <t>474.32万</t>
  </si>
  <si>
    <t>1490.47万</t>
  </si>
  <si>
    <t>12833亿</t>
  </si>
  <si>
    <t>223313亿</t>
  </si>
  <si>
    <t>6876.92万</t>
  </si>
  <si>
    <t>268.89万</t>
  </si>
  <si>
    <t>382173370亿</t>
  </si>
  <si>
    <t>3786.30万</t>
  </si>
  <si>
    <t>-338.60万</t>
  </si>
  <si>
    <t>-275.18万</t>
  </si>
  <si>
    <t>-49.66万</t>
  </si>
  <si>
    <t>-4650.22万</t>
  </si>
  <si>
    <t>-1.28亿</t>
  </si>
  <si>
    <t>2793.58万</t>
  </si>
  <si>
    <t>119.09万</t>
  </si>
  <si>
    <t>11.05亿</t>
  </si>
  <si>
    <t>6409.10万</t>
  </si>
  <si>
    <t>521.83万</t>
  </si>
  <si>
    <t>6698.28万</t>
  </si>
  <si>
    <t>3767.08万</t>
  </si>
  <si>
    <t>211.90万</t>
  </si>
  <si>
    <t>630.57万</t>
  </si>
  <si>
    <t>6705.12万</t>
  </si>
  <si>
    <t>345701亿</t>
  </si>
  <si>
    <t>-686860亿</t>
  </si>
  <si>
    <t>9135.61万</t>
  </si>
  <si>
    <t>1320.63万</t>
  </si>
  <si>
    <t>329025010亿</t>
  </si>
  <si>
    <t>805.44万</t>
  </si>
  <si>
    <t>1899.75万</t>
  </si>
  <si>
    <t>-1.58亿</t>
  </si>
  <si>
    <t>-246.49万</t>
  </si>
  <si>
    <t>7486.26万</t>
  </si>
  <si>
    <t>10派0.59元(含税)</t>
  </si>
  <si>
    <t>909.70万</t>
  </si>
  <si>
    <t>7933.37万</t>
  </si>
  <si>
    <t>250.73万</t>
  </si>
  <si>
    <t>2436.22万</t>
  </si>
  <si>
    <t>-4362.53万</t>
  </si>
  <si>
    <t>3353.13万</t>
  </si>
  <si>
    <t>1952.59万</t>
  </si>
  <si>
    <t>510.64万</t>
  </si>
  <si>
    <t>221.95万</t>
  </si>
  <si>
    <t>2405.40万</t>
  </si>
  <si>
    <t>167742亿</t>
  </si>
  <si>
    <t>-43625311亿</t>
  </si>
  <si>
    <t>6837.51万</t>
  </si>
  <si>
    <t>376.49万</t>
  </si>
  <si>
    <t>383030780亿</t>
  </si>
  <si>
    <t>3683.30万</t>
  </si>
  <si>
    <t>1111.15万</t>
  </si>
  <si>
    <t>6343.61万</t>
  </si>
  <si>
    <t>30.18万</t>
  </si>
  <si>
    <t>4700.00万</t>
  </si>
  <si>
    <t>-6387.10万</t>
  </si>
  <si>
    <t>-228.00万</t>
  </si>
  <si>
    <t>-1741.55万</t>
  </si>
  <si>
    <t>-2210.28万</t>
  </si>
  <si>
    <t>1402.95万</t>
  </si>
  <si>
    <t>8799.23万</t>
  </si>
  <si>
    <t>50.01万</t>
  </si>
  <si>
    <t>2085.91万</t>
  </si>
  <si>
    <t>-905.55万</t>
  </si>
  <si>
    <t>3069.84万</t>
  </si>
  <si>
    <t>1018.67万</t>
  </si>
  <si>
    <t>743.30万</t>
  </si>
  <si>
    <t>576.30万</t>
  </si>
  <si>
    <t>2697.38万</t>
  </si>
  <si>
    <t>373.8亿</t>
  </si>
  <si>
    <t>14.54万</t>
  </si>
  <si>
    <t>-9743072亿</t>
  </si>
  <si>
    <t>3261.58万</t>
  </si>
  <si>
    <t>269303060亿</t>
  </si>
  <si>
    <t>42.42万</t>
  </si>
  <si>
    <t>9547.61万</t>
  </si>
  <si>
    <t>1611.60万</t>
  </si>
  <si>
    <t>8.38万</t>
  </si>
  <si>
    <t>850.00万</t>
  </si>
  <si>
    <t>-1670.91万</t>
  </si>
  <si>
    <t>-3533.82万</t>
  </si>
  <si>
    <t>-373.36万</t>
  </si>
  <si>
    <t>-1178.27万</t>
  </si>
  <si>
    <t>360.19万</t>
  </si>
  <si>
    <t>1954.54万</t>
  </si>
  <si>
    <t>73.37万</t>
  </si>
  <si>
    <t>7.43亿</t>
  </si>
  <si>
    <t>3275.24万</t>
  </si>
  <si>
    <t>257.40万</t>
  </si>
  <si>
    <t>1422.03万</t>
  </si>
  <si>
    <t>4163.02万</t>
  </si>
  <si>
    <t>413041亿</t>
  </si>
  <si>
    <t>32675744亿</t>
  </si>
  <si>
    <t>4525.54万</t>
  </si>
  <si>
    <t>551348220亿</t>
  </si>
  <si>
    <t>568.31万</t>
  </si>
  <si>
    <t>8383.19万</t>
  </si>
  <si>
    <t>3773.96万</t>
  </si>
  <si>
    <t>-1315.54万</t>
  </si>
  <si>
    <t>10转4股派4.50元(含税)</t>
  </si>
  <si>
    <t>390.79万</t>
  </si>
  <si>
    <t>3015.35万</t>
  </si>
  <si>
    <t>388.52万</t>
  </si>
  <si>
    <t>1650.70万</t>
  </si>
  <si>
    <t>1987.17万</t>
  </si>
  <si>
    <t>491.20万</t>
  </si>
  <si>
    <t>1576.93万</t>
  </si>
  <si>
    <t>870.51万</t>
  </si>
  <si>
    <t>207.48万</t>
  </si>
  <si>
    <t>163.37万</t>
  </si>
  <si>
    <t>1584.23万</t>
  </si>
  <si>
    <t>976317亿</t>
  </si>
  <si>
    <t>1.11万</t>
  </si>
  <si>
    <t>4020001亿</t>
  </si>
  <si>
    <t>9007.09万</t>
  </si>
  <si>
    <t>163.93万</t>
  </si>
  <si>
    <t>219707410亿</t>
  </si>
  <si>
    <t>5.87万</t>
  </si>
  <si>
    <t>762.05万</t>
  </si>
  <si>
    <t>1474.94万</t>
  </si>
  <si>
    <t>391.80万</t>
  </si>
  <si>
    <t>1957.76万</t>
  </si>
  <si>
    <t>2769.26万</t>
  </si>
  <si>
    <t>8329.40万</t>
  </si>
  <si>
    <t>2754.83万</t>
  </si>
  <si>
    <t>10转4股派4元(含税)</t>
  </si>
  <si>
    <t>1428.66万</t>
  </si>
  <si>
    <t>3162.95万</t>
  </si>
  <si>
    <t>9.71万</t>
  </si>
  <si>
    <t>4026.12万</t>
  </si>
  <si>
    <t>-1300.86万</t>
  </si>
  <si>
    <t>5927.67万</t>
  </si>
  <si>
    <t>1471.13万</t>
  </si>
  <si>
    <t>1628.66万</t>
  </si>
  <si>
    <t>1452.43万</t>
  </si>
  <si>
    <t>5523.24万</t>
  </si>
  <si>
    <t>-650246亿</t>
  </si>
  <si>
    <t>-15728788亿</t>
  </si>
  <si>
    <t>60.51万</t>
  </si>
  <si>
    <t>273535510亿</t>
  </si>
  <si>
    <t>2862.64万</t>
  </si>
  <si>
    <t>19.78万</t>
  </si>
  <si>
    <t>6750.40万</t>
  </si>
  <si>
    <t>15.54万</t>
  </si>
  <si>
    <t>-3833.68万</t>
  </si>
  <si>
    <t>-159.27万</t>
  </si>
  <si>
    <t>-184.65万</t>
  </si>
  <si>
    <t>4444.33万</t>
  </si>
  <si>
    <t>4506.34万</t>
  </si>
  <si>
    <t>146.39万</t>
  </si>
  <si>
    <t>1395.54万</t>
  </si>
  <si>
    <t>35.40万</t>
  </si>
  <si>
    <t>6621.50万</t>
  </si>
  <si>
    <t>7002.49万</t>
  </si>
  <si>
    <t>1245.59万</t>
  </si>
  <si>
    <t>5699.03万</t>
  </si>
  <si>
    <t>4468.29万</t>
  </si>
  <si>
    <t>57.07万</t>
  </si>
  <si>
    <t>692.68万</t>
  </si>
  <si>
    <t>1581.81万</t>
  </si>
  <si>
    <t>131573亿</t>
  </si>
  <si>
    <t>11380894亿</t>
  </si>
  <si>
    <t>5630.18万</t>
  </si>
  <si>
    <t>492.63万</t>
  </si>
  <si>
    <t>361640010亿</t>
  </si>
  <si>
    <t>1287.28万</t>
  </si>
  <si>
    <t>1144.47万</t>
  </si>
  <si>
    <t>2582.38万</t>
  </si>
  <si>
    <t>5023.27万</t>
  </si>
  <si>
    <t>454.03万</t>
  </si>
  <si>
    <t>-1613.79万</t>
  </si>
  <si>
    <t>-227.96万</t>
  </si>
  <si>
    <t>5654.65万</t>
  </si>
  <si>
    <t>4857.25万</t>
  </si>
  <si>
    <t>446.92万</t>
  </si>
  <si>
    <t>1824.53万</t>
  </si>
  <si>
    <t>168.45万</t>
  </si>
  <si>
    <t>5.30亿</t>
  </si>
  <si>
    <t>1091.03万</t>
  </si>
  <si>
    <t>182.66万</t>
  </si>
  <si>
    <t>428.41万</t>
  </si>
  <si>
    <t>1977.70万</t>
  </si>
  <si>
    <t>-351925亿</t>
  </si>
  <si>
    <t>8546002亿</t>
  </si>
  <si>
    <t>443788820亿</t>
  </si>
  <si>
    <t>800.00万</t>
  </si>
  <si>
    <t>-2008.24万</t>
  </si>
  <si>
    <t>-2369.05万</t>
  </si>
  <si>
    <t>4025.81万</t>
  </si>
  <si>
    <t>5.36亿</t>
  </si>
  <si>
    <t>2037.42万</t>
  </si>
  <si>
    <t>820.07万</t>
  </si>
  <si>
    <t>9249.26万</t>
  </si>
  <si>
    <t>161.40万</t>
  </si>
  <si>
    <t>5734.97万</t>
  </si>
  <si>
    <t>572.87万</t>
  </si>
  <si>
    <t>5076.88万</t>
  </si>
  <si>
    <t>3607.16万</t>
  </si>
  <si>
    <t>188.72万</t>
  </si>
  <si>
    <t>734.14万</t>
  </si>
  <si>
    <t>1435.49万</t>
  </si>
  <si>
    <t>5729228亿</t>
  </si>
  <si>
    <t>2554.86万</t>
  </si>
  <si>
    <t>150788660亿</t>
  </si>
  <si>
    <t>2999.88万</t>
  </si>
  <si>
    <t>600.60万</t>
  </si>
  <si>
    <t>3594.77万</t>
  </si>
  <si>
    <t>6351.64万</t>
  </si>
  <si>
    <t>4820.00万</t>
  </si>
  <si>
    <t>2476.23万</t>
  </si>
  <si>
    <t>-1579.17万</t>
  </si>
  <si>
    <t>96.62万</t>
  </si>
  <si>
    <t>3557.57万</t>
  </si>
  <si>
    <t>10转4股派1.2元(含税)</t>
  </si>
  <si>
    <t>858.66万</t>
  </si>
  <si>
    <t>6394.43万</t>
  </si>
  <si>
    <t>53.20万</t>
  </si>
  <si>
    <t>6112.36万</t>
  </si>
  <si>
    <t>485.08万</t>
  </si>
  <si>
    <t>5778.02万</t>
  </si>
  <si>
    <t>4042.92万</t>
  </si>
  <si>
    <t>507.54万</t>
  </si>
  <si>
    <t>503.23万</t>
  </si>
  <si>
    <t>2642.06万</t>
  </si>
  <si>
    <t>389436亿</t>
  </si>
  <si>
    <t>3.33万</t>
  </si>
  <si>
    <t>3842418亿</t>
  </si>
  <si>
    <t>9349.83万</t>
  </si>
  <si>
    <t>3391.10万</t>
  </si>
  <si>
    <t>530542190亿</t>
  </si>
  <si>
    <t>79.12万</t>
  </si>
  <si>
    <t>879.81万</t>
  </si>
  <si>
    <t>4888.48万</t>
  </si>
  <si>
    <t>-2038.52万</t>
  </si>
  <si>
    <t>547.42万</t>
  </si>
  <si>
    <t>227.10万</t>
  </si>
  <si>
    <t>3911.54万</t>
  </si>
  <si>
    <t>431.50万</t>
  </si>
  <si>
    <t>4411.95万</t>
  </si>
  <si>
    <t>132.86万</t>
  </si>
  <si>
    <t>8483.02万</t>
  </si>
  <si>
    <t>1523.58万</t>
  </si>
  <si>
    <t>-639.33万</t>
  </si>
  <si>
    <t>1911.24万</t>
  </si>
  <si>
    <t>990.59万</t>
  </si>
  <si>
    <t>96.80万</t>
  </si>
  <si>
    <t>498.81万</t>
  </si>
  <si>
    <t>1531.07万</t>
  </si>
  <si>
    <t>270365亿</t>
  </si>
  <si>
    <t>1.47万</t>
  </si>
  <si>
    <t>-6712347亿</t>
  </si>
  <si>
    <t>349398760亿</t>
  </si>
  <si>
    <t>3182.93万</t>
  </si>
  <si>
    <t>6248.03万</t>
  </si>
  <si>
    <t>-1389.13万</t>
  </si>
  <si>
    <t>-5040.88万</t>
  </si>
  <si>
    <t>-106.29万</t>
  </si>
  <si>
    <t>4350.70万</t>
  </si>
  <si>
    <t>575.06万</t>
  </si>
  <si>
    <t>753.02万</t>
  </si>
  <si>
    <t>5142.69万</t>
  </si>
  <si>
    <t>35.01万</t>
  </si>
  <si>
    <t>4472.18万</t>
  </si>
  <si>
    <t>2742.83万</t>
  </si>
  <si>
    <t>293.57万</t>
  </si>
  <si>
    <t>2591.07万</t>
  </si>
  <si>
    <t>1031.09万</t>
  </si>
  <si>
    <t>530.14万</t>
  </si>
  <si>
    <t>571.75万</t>
  </si>
  <si>
    <t>1841.69万</t>
  </si>
  <si>
    <t>711676亿</t>
  </si>
  <si>
    <t>1550720亿</t>
  </si>
  <si>
    <t>16.20万</t>
  </si>
  <si>
    <t>485042390亿</t>
  </si>
  <si>
    <t>5877.36万</t>
  </si>
  <si>
    <t>3375.03万</t>
  </si>
  <si>
    <t>5472.96万</t>
  </si>
  <si>
    <t>-994.77万</t>
  </si>
  <si>
    <t>4158.73万</t>
  </si>
  <si>
    <t>-132.54万</t>
  </si>
  <si>
    <t>5820.50万</t>
  </si>
  <si>
    <t>168.82万</t>
  </si>
  <si>
    <t>1978.51万</t>
  </si>
  <si>
    <t>31.69万</t>
  </si>
  <si>
    <t>2036.48万</t>
  </si>
  <si>
    <t>396.40万</t>
  </si>
  <si>
    <t>526.97万</t>
  </si>
  <si>
    <t>-92483亿</t>
  </si>
  <si>
    <t>19671665亿</t>
  </si>
  <si>
    <t>5093.67万</t>
  </si>
  <si>
    <t>554423080亿</t>
  </si>
  <si>
    <t>6321.13万</t>
  </si>
  <si>
    <t>296.88万</t>
  </si>
  <si>
    <t>7153.74万</t>
  </si>
  <si>
    <t>42.54万</t>
  </si>
  <si>
    <t>842.89万</t>
  </si>
  <si>
    <t>-5103.62万</t>
  </si>
  <si>
    <t>-222.77万</t>
  </si>
  <si>
    <t>4504.77万</t>
  </si>
  <si>
    <t>10.49亿</t>
  </si>
  <si>
    <t>6246.72万</t>
  </si>
  <si>
    <t>454.08万</t>
  </si>
  <si>
    <t>1769.61万</t>
  </si>
  <si>
    <t>4.71万</t>
  </si>
  <si>
    <t>5313.57万</t>
  </si>
  <si>
    <t>3108.10万</t>
  </si>
  <si>
    <t>1524.87万</t>
  </si>
  <si>
    <t>1887.71万</t>
  </si>
  <si>
    <t>1106.99万</t>
  </si>
  <si>
    <t>229.93万</t>
  </si>
  <si>
    <t>197.49万</t>
  </si>
  <si>
    <t>1540.45万</t>
  </si>
  <si>
    <t>1165907亿</t>
  </si>
  <si>
    <t>2.82万</t>
  </si>
  <si>
    <t>13297284亿</t>
  </si>
  <si>
    <t>1120.18万</t>
  </si>
  <si>
    <t>565690460亿</t>
  </si>
  <si>
    <t>70.58万</t>
  </si>
  <si>
    <t>1171.05万</t>
  </si>
  <si>
    <t>727.54万</t>
  </si>
  <si>
    <t>5723.63万</t>
  </si>
  <si>
    <t>1195.75万</t>
  </si>
  <si>
    <t>-1535.52万</t>
  </si>
  <si>
    <t>9936.68万</t>
  </si>
  <si>
    <t>10派9元(含税)</t>
  </si>
  <si>
    <t>37.64万</t>
  </si>
  <si>
    <t>448.52万</t>
  </si>
  <si>
    <t>358.66万</t>
  </si>
  <si>
    <t>1150.39万</t>
  </si>
  <si>
    <t>9219.17万</t>
  </si>
  <si>
    <t>238.23万</t>
  </si>
  <si>
    <t>851.61万</t>
  </si>
  <si>
    <t>7028.04万</t>
  </si>
  <si>
    <t>2187301亿</t>
  </si>
  <si>
    <t>11365865亿</t>
  </si>
  <si>
    <t>6625.56万</t>
  </si>
  <si>
    <t>759850920亿</t>
  </si>
  <si>
    <t>121.10万</t>
  </si>
  <si>
    <t>419.06万</t>
  </si>
  <si>
    <t>-9199.78万</t>
  </si>
  <si>
    <t>-6520.88万</t>
  </si>
  <si>
    <t>-274.89万</t>
  </si>
  <si>
    <t>5151.72万</t>
  </si>
  <si>
    <t>7045.98万</t>
  </si>
  <si>
    <t>2239.93万</t>
  </si>
  <si>
    <t>7648.63万</t>
  </si>
  <si>
    <t>51.13万</t>
  </si>
  <si>
    <t>25.77亿</t>
  </si>
  <si>
    <t>22.71亿</t>
  </si>
  <si>
    <t>-1.63亿</t>
  </si>
  <si>
    <t>280.90万</t>
  </si>
  <si>
    <t>2295.12万</t>
  </si>
  <si>
    <t>2.61万</t>
  </si>
  <si>
    <t>-164208280亿</t>
  </si>
  <si>
    <t>5.10亿</t>
  </si>
  <si>
    <t>2300081100亿</t>
  </si>
  <si>
    <t>9283.78万</t>
  </si>
  <si>
    <t>12.12亿</t>
  </si>
  <si>
    <t>26.26亿</t>
  </si>
  <si>
    <t>-3.65亿</t>
  </si>
  <si>
    <t>-7636.65万</t>
  </si>
  <si>
    <t>29.64亿</t>
  </si>
  <si>
    <t>-6.34亿</t>
  </si>
  <si>
    <t>381.08万</t>
  </si>
  <si>
    <t>3188.10万</t>
  </si>
  <si>
    <t>36.48万</t>
  </si>
  <si>
    <t>404.26万</t>
  </si>
  <si>
    <t>9374.29万</t>
  </si>
  <si>
    <t>94.38万</t>
  </si>
  <si>
    <t>824.11万</t>
  </si>
  <si>
    <t>1559.01万</t>
  </si>
  <si>
    <t>3779207亿</t>
  </si>
  <si>
    <t>1094.32万</t>
  </si>
  <si>
    <t>564910930亿</t>
  </si>
  <si>
    <t>8763.26万</t>
  </si>
  <si>
    <t>8235.32万</t>
  </si>
  <si>
    <t>467.60万</t>
  </si>
  <si>
    <t>5364.90万</t>
  </si>
  <si>
    <t>3054.20万</t>
  </si>
  <si>
    <t>-675.00万</t>
  </si>
  <si>
    <t>-1522.18万</t>
  </si>
  <si>
    <t>954.45万</t>
  </si>
  <si>
    <t>168.53万</t>
  </si>
  <si>
    <t>1171.01万</t>
  </si>
  <si>
    <t>7.53万</t>
  </si>
  <si>
    <t>2104.61万</t>
  </si>
  <si>
    <t>158.48万</t>
  </si>
  <si>
    <t>447.14万</t>
  </si>
  <si>
    <t>2558.22万</t>
  </si>
  <si>
    <t>19399953亿</t>
  </si>
  <si>
    <t>3846.31万</t>
  </si>
  <si>
    <t>29.12万</t>
  </si>
  <si>
    <t>493187020亿</t>
  </si>
  <si>
    <t>1018.93万</t>
  </si>
  <si>
    <t>1377.15万</t>
  </si>
  <si>
    <t>1975.40万</t>
  </si>
  <si>
    <t>-865.21万</t>
  </si>
  <si>
    <t>-1678.90万</t>
  </si>
  <si>
    <t>7934.77万</t>
  </si>
  <si>
    <t>48.99万</t>
  </si>
  <si>
    <t>423.29万</t>
  </si>
  <si>
    <t>15.41万</t>
  </si>
  <si>
    <t>6589.14万</t>
  </si>
  <si>
    <t>1349.94万</t>
  </si>
  <si>
    <t>5403.26万</t>
  </si>
  <si>
    <t>3185.66万</t>
  </si>
  <si>
    <t>741.67万</t>
  </si>
  <si>
    <t>890.80万</t>
  </si>
  <si>
    <t>2483.61万</t>
  </si>
  <si>
    <t>167346亿</t>
  </si>
  <si>
    <t>1.65万</t>
  </si>
  <si>
    <t>10339003亿</t>
  </si>
  <si>
    <t>8173.87万</t>
  </si>
  <si>
    <t>498.23万</t>
  </si>
  <si>
    <t>573237440亿</t>
  </si>
  <si>
    <t>92.01万</t>
  </si>
  <si>
    <t>4865.78万</t>
  </si>
  <si>
    <t>8490.23万</t>
  </si>
  <si>
    <t>-2249.60万</t>
  </si>
  <si>
    <t>1817.21万</t>
  </si>
  <si>
    <t>7266.44万</t>
  </si>
  <si>
    <t>182.61万</t>
  </si>
  <si>
    <t>1203.53万</t>
  </si>
  <si>
    <t>XD旺成科</t>
  </si>
  <si>
    <t>44.35万</t>
  </si>
  <si>
    <t>7585.80万</t>
  </si>
  <si>
    <t>758.28万</t>
  </si>
  <si>
    <t>6913.45万</t>
  </si>
  <si>
    <t>5977.63万</t>
  </si>
  <si>
    <t>516.58万</t>
  </si>
  <si>
    <t>354379亿</t>
  </si>
  <si>
    <t>31.11万</t>
  </si>
  <si>
    <t>6763306亿</t>
  </si>
  <si>
    <t>8568.73万</t>
  </si>
  <si>
    <t>271418370亿</t>
  </si>
  <si>
    <t>665.03万</t>
  </si>
  <si>
    <t>5670.47万</t>
  </si>
  <si>
    <t>8735.44万</t>
  </si>
  <si>
    <t>6574.43万</t>
  </si>
  <si>
    <t>1359.45万</t>
  </si>
  <si>
    <t>1133.63万</t>
  </si>
  <si>
    <t>-2312.43万</t>
  </si>
  <si>
    <t>3871.71万</t>
  </si>
  <si>
    <t>329.83万</t>
  </si>
  <si>
    <t>1190.87万</t>
  </si>
  <si>
    <t>39.10万</t>
  </si>
  <si>
    <t>3486.18万</t>
  </si>
  <si>
    <t>9793.59万</t>
  </si>
  <si>
    <t>7733.58万</t>
  </si>
  <si>
    <t>361.26万</t>
  </si>
  <si>
    <t>1254.87万</t>
  </si>
  <si>
    <t>2817.71万</t>
  </si>
  <si>
    <t>-1982亿</t>
  </si>
  <si>
    <t>32702048亿</t>
  </si>
  <si>
    <t>1244.59万</t>
  </si>
  <si>
    <t>940739010亿</t>
  </si>
  <si>
    <t>2345.42万</t>
  </si>
  <si>
    <t>2002.35万</t>
  </si>
  <si>
    <t>153.79万</t>
  </si>
  <si>
    <t>3233.54万</t>
  </si>
  <si>
    <t>9557.54万</t>
  </si>
  <si>
    <t>1983.36万</t>
  </si>
  <si>
    <t>-1288.37万</t>
  </si>
  <si>
    <t>-19.91万</t>
  </si>
  <si>
    <t>10派1.6元(含税)</t>
  </si>
  <si>
    <t>295.22万</t>
  </si>
  <si>
    <t>2279.02万</t>
  </si>
  <si>
    <t>69.63万</t>
  </si>
  <si>
    <t>880.33万</t>
  </si>
  <si>
    <t>336.23万</t>
  </si>
  <si>
    <t>887.04万</t>
  </si>
  <si>
    <t>3530.65万</t>
  </si>
  <si>
    <t>2.71万</t>
  </si>
  <si>
    <t>8685879亿</t>
  </si>
  <si>
    <t>5759.75万</t>
  </si>
  <si>
    <t>319.35万</t>
  </si>
  <si>
    <t>1023854940亿</t>
  </si>
  <si>
    <t>7280.00万</t>
  </si>
  <si>
    <t>-6897.25万</t>
  </si>
  <si>
    <t>-462.55万</t>
  </si>
  <si>
    <t>4081.73万</t>
  </si>
  <si>
    <t>4957.33万</t>
  </si>
  <si>
    <t>7.50亿</t>
  </si>
  <si>
    <t>3328.74万</t>
  </si>
  <si>
    <t>1481.52万</t>
  </si>
  <si>
    <t>4223.22万</t>
  </si>
  <si>
    <t>36.73万</t>
  </si>
  <si>
    <t>993.15万</t>
  </si>
  <si>
    <t>47.79万</t>
  </si>
  <si>
    <t>109.87万</t>
  </si>
  <si>
    <t>9464.69万</t>
  </si>
  <si>
    <t>-768348亿</t>
  </si>
  <si>
    <t>7101220亿</t>
  </si>
  <si>
    <t>613142750亿</t>
  </si>
  <si>
    <t>1481.13万</t>
  </si>
  <si>
    <t>350.42万</t>
  </si>
  <si>
    <t>-7094.94万</t>
  </si>
  <si>
    <t>-1922.03万</t>
  </si>
  <si>
    <t>-4225.97万</t>
  </si>
  <si>
    <t>11.60亿</t>
  </si>
  <si>
    <t>6.52亿</t>
  </si>
  <si>
    <t>496.44万</t>
  </si>
  <si>
    <t>-2191.23万</t>
  </si>
  <si>
    <t>10派1.35元(含税)</t>
  </si>
  <si>
    <t>241.75万</t>
  </si>
  <si>
    <t>2023.74万</t>
  </si>
  <si>
    <t>83.13万</t>
  </si>
  <si>
    <t>1200.13万</t>
  </si>
  <si>
    <t>279.15万</t>
  </si>
  <si>
    <t>659.04万</t>
  </si>
  <si>
    <t>337.43万</t>
  </si>
  <si>
    <t>-675788亿</t>
  </si>
  <si>
    <t>20.68万</t>
  </si>
  <si>
    <t>8473965亿</t>
  </si>
  <si>
    <t>288815780亿</t>
  </si>
  <si>
    <t>1960.78万</t>
  </si>
  <si>
    <t>5000.10万</t>
  </si>
  <si>
    <t>9881.48万</t>
  </si>
  <si>
    <t>2094.59万</t>
  </si>
  <si>
    <t>-651.87万</t>
  </si>
  <si>
    <t>-177.80万</t>
  </si>
  <si>
    <t>4298.60万</t>
  </si>
  <si>
    <t>487.52万</t>
  </si>
  <si>
    <t>6009.25万</t>
  </si>
  <si>
    <t>27.22万</t>
  </si>
  <si>
    <t>5160.94万</t>
  </si>
  <si>
    <t>1477.67万</t>
  </si>
  <si>
    <t>3487.89万</t>
  </si>
  <si>
    <t>2513.74万</t>
  </si>
  <si>
    <t>123.30万</t>
  </si>
  <si>
    <t>885.35万</t>
  </si>
  <si>
    <t>1361.13万</t>
  </si>
  <si>
    <t>372895亿</t>
  </si>
  <si>
    <t>14053757亿</t>
  </si>
  <si>
    <t>6.21亿</t>
  </si>
  <si>
    <t>709992030亿</t>
  </si>
  <si>
    <t>1296.88万</t>
  </si>
  <si>
    <t>-2746.72万</t>
  </si>
  <si>
    <t>-133.76万</t>
  </si>
  <si>
    <t>6302.55万</t>
  </si>
  <si>
    <t>251.17万</t>
  </si>
  <si>
    <t>1662.21万</t>
  </si>
  <si>
    <t>88.18万</t>
  </si>
  <si>
    <t>3506.01万</t>
  </si>
  <si>
    <t>159.01万</t>
  </si>
  <si>
    <t>3837.92万</t>
  </si>
  <si>
    <t>2536.32万</t>
  </si>
  <si>
    <t>561.00万</t>
  </si>
  <si>
    <t>545.13万</t>
  </si>
  <si>
    <t>1831.62万</t>
  </si>
  <si>
    <t>179740亿</t>
  </si>
  <si>
    <t>660230亿</t>
  </si>
  <si>
    <t>699190970亿</t>
  </si>
  <si>
    <t>24.25万</t>
  </si>
  <si>
    <t>3361.23万</t>
  </si>
  <si>
    <t>3508.67万</t>
  </si>
  <si>
    <t>-8546.20万</t>
  </si>
  <si>
    <t>7942.00万</t>
  </si>
  <si>
    <t>320.52万</t>
  </si>
  <si>
    <t>3452.11万</t>
  </si>
  <si>
    <t>150.04万</t>
  </si>
  <si>
    <t>238.70万</t>
  </si>
  <si>
    <t>501.18万</t>
  </si>
  <si>
    <t>2756.55万</t>
  </si>
  <si>
    <t>-3370707亿</t>
  </si>
  <si>
    <t>4518.41万</t>
  </si>
  <si>
    <t>4465.31万</t>
  </si>
  <si>
    <t>525193220亿</t>
  </si>
  <si>
    <t>9558.13万</t>
  </si>
  <si>
    <t>1726.96万</t>
  </si>
  <si>
    <t>177.78万</t>
  </si>
  <si>
    <t>2071.20万</t>
  </si>
  <si>
    <t>-9039.94万</t>
  </si>
  <si>
    <t>6006.12万</t>
  </si>
  <si>
    <t>4208.00万</t>
  </si>
  <si>
    <t>-105.74万</t>
  </si>
  <si>
    <t>895.90万</t>
  </si>
  <si>
    <t>3277.11万</t>
  </si>
  <si>
    <t>78.27万</t>
  </si>
  <si>
    <t>688.57万</t>
  </si>
  <si>
    <t>470.28万</t>
  </si>
  <si>
    <t>768.42万</t>
  </si>
  <si>
    <t>3154.19万</t>
  </si>
  <si>
    <t>93089亿</t>
  </si>
  <si>
    <t>6.61万</t>
  </si>
  <si>
    <t>4833851亿</t>
  </si>
  <si>
    <t>2396.87万</t>
  </si>
  <si>
    <t>386151630亿</t>
  </si>
  <si>
    <t>4573.16万</t>
  </si>
  <si>
    <t>4897.39万</t>
  </si>
  <si>
    <t>8799.62万</t>
  </si>
  <si>
    <t>-2936.37万</t>
  </si>
  <si>
    <t>-542.12万</t>
  </si>
  <si>
    <t>2200.41万</t>
  </si>
  <si>
    <t>2278.35万</t>
  </si>
  <si>
    <t>636.83万</t>
  </si>
  <si>
    <t>1739.26万</t>
  </si>
  <si>
    <t>派诺科技</t>
  </si>
  <si>
    <t>43.66万</t>
  </si>
  <si>
    <t>7629.19万</t>
  </si>
  <si>
    <t>-509.42万</t>
  </si>
  <si>
    <t>8962.94万</t>
  </si>
  <si>
    <t>4119.09万</t>
  </si>
  <si>
    <t>2248.13万</t>
  </si>
  <si>
    <t>1104.77万</t>
  </si>
  <si>
    <t>5410.50万</t>
  </si>
  <si>
    <t>267668亿</t>
  </si>
  <si>
    <t>26.51万</t>
  </si>
  <si>
    <t>-7593260亿</t>
  </si>
  <si>
    <t>1341.47万</t>
  </si>
  <si>
    <t>740500750亿</t>
  </si>
  <si>
    <t>3755.51万</t>
  </si>
  <si>
    <t>564.17万</t>
  </si>
  <si>
    <t>6541.20万</t>
  </si>
  <si>
    <t>-1803.05万</t>
  </si>
  <si>
    <t>-809.41万</t>
  </si>
  <si>
    <t>1529.58万</t>
  </si>
  <si>
    <t>6.13亿</t>
  </si>
  <si>
    <t>6036.71万</t>
  </si>
  <si>
    <t>6225.93万</t>
  </si>
  <si>
    <t>2956.66万</t>
  </si>
  <si>
    <t>1451.99万</t>
  </si>
  <si>
    <t>1300.54万</t>
  </si>
  <si>
    <t>5193.82万</t>
  </si>
  <si>
    <t>1632.63万</t>
  </si>
  <si>
    <t>10派1.89元(含税)</t>
  </si>
  <si>
    <t>275.19万</t>
  </si>
  <si>
    <t>2979.27万</t>
  </si>
  <si>
    <t>49.84万</t>
  </si>
  <si>
    <t>6.93亿</t>
  </si>
  <si>
    <t>562.53万</t>
  </si>
  <si>
    <t>1133.31万</t>
  </si>
  <si>
    <t>3766.73万</t>
  </si>
  <si>
    <t>3285.78万</t>
  </si>
  <si>
    <t>690820亿</t>
  </si>
  <si>
    <t>4771495亿</t>
  </si>
  <si>
    <t>6891.89万</t>
  </si>
  <si>
    <t>846825050亿</t>
  </si>
  <si>
    <t>2421.28万</t>
  </si>
  <si>
    <t>3976.72万</t>
  </si>
  <si>
    <t>4104.85万</t>
  </si>
  <si>
    <t>1357.66万</t>
  </si>
  <si>
    <t>-7318.24万</t>
  </si>
  <si>
    <t>5186.01万</t>
  </si>
  <si>
    <t>8377.05万</t>
  </si>
  <si>
    <t>598.26万</t>
  </si>
  <si>
    <t>2301.18万</t>
  </si>
  <si>
    <t>237.36万</t>
  </si>
  <si>
    <t>7957.56万</t>
  </si>
  <si>
    <t>572.13万</t>
  </si>
  <si>
    <t>7302.38万</t>
  </si>
  <si>
    <t>6044.06万</t>
  </si>
  <si>
    <t>169.68万</t>
  </si>
  <si>
    <t>707.88万</t>
  </si>
  <si>
    <t>1392.83万</t>
  </si>
  <si>
    <t>5671494亿</t>
  </si>
  <si>
    <t>8691.69万</t>
  </si>
  <si>
    <t>2235.60万</t>
  </si>
  <si>
    <t>358093890亿</t>
  </si>
  <si>
    <t>656.04万</t>
  </si>
  <si>
    <t>7580.04万</t>
  </si>
  <si>
    <t>851.13万</t>
  </si>
  <si>
    <t>384.25万</t>
  </si>
  <si>
    <t>-280.04万</t>
  </si>
  <si>
    <t>-1171.86万</t>
  </si>
  <si>
    <t>788.21万</t>
  </si>
  <si>
    <t>1932.14万</t>
  </si>
  <si>
    <t>5841.69万</t>
  </si>
  <si>
    <t>36.14万</t>
  </si>
  <si>
    <t>2270.43万</t>
  </si>
  <si>
    <t>150.87万</t>
  </si>
  <si>
    <t>547.95万</t>
  </si>
  <si>
    <t>54.11万</t>
  </si>
  <si>
    <t>584397亿</t>
  </si>
  <si>
    <t>4.91万</t>
  </si>
  <si>
    <t>22164714亿</t>
  </si>
  <si>
    <t>5621.30万</t>
  </si>
  <si>
    <t>438733530亿</t>
  </si>
  <si>
    <t>397.46万</t>
  </si>
  <si>
    <t>1362.20万</t>
  </si>
  <si>
    <t>4008.83万</t>
  </si>
  <si>
    <t>2171.98万</t>
  </si>
  <si>
    <t>-3.04万</t>
  </si>
  <si>
    <t>7881.51万</t>
  </si>
  <si>
    <t>375.61万</t>
  </si>
  <si>
    <t>5017.64万</t>
  </si>
  <si>
    <t>2945.35万</t>
  </si>
  <si>
    <t>706.24万</t>
  </si>
  <si>
    <t>1028.84万</t>
  </si>
  <si>
    <t>2397.37万</t>
  </si>
  <si>
    <t>10.63万</t>
  </si>
  <si>
    <t>29338388亿</t>
  </si>
  <si>
    <t>1169.65万</t>
  </si>
  <si>
    <t>779459970亿</t>
  </si>
  <si>
    <t>3135.74万</t>
  </si>
  <si>
    <t>7427.90万</t>
  </si>
  <si>
    <t>3311.86万</t>
  </si>
  <si>
    <t>4589.30万</t>
  </si>
  <si>
    <t>-9888.14万</t>
  </si>
  <si>
    <t>3575.76万</t>
  </si>
  <si>
    <t>6063.25万</t>
  </si>
  <si>
    <t>4615.08万</t>
  </si>
  <si>
    <t>53.59万</t>
  </si>
  <si>
    <t>425.17万</t>
  </si>
  <si>
    <t>88.02万</t>
  </si>
  <si>
    <t>7.26亿</t>
  </si>
  <si>
    <t>-180.77万</t>
  </si>
  <si>
    <t>112.99万</t>
  </si>
  <si>
    <t>1202.38万</t>
  </si>
  <si>
    <t>523.03万</t>
  </si>
  <si>
    <t>358925亿</t>
  </si>
  <si>
    <t>2345515亿</t>
  </si>
  <si>
    <t>639329490亿</t>
  </si>
  <si>
    <t>4448.77万</t>
  </si>
  <si>
    <t>4357.87万</t>
  </si>
  <si>
    <t>2295.00万</t>
  </si>
  <si>
    <t>-1433.67万</t>
  </si>
  <si>
    <t>-303.47万</t>
  </si>
  <si>
    <t>-188.15万</t>
  </si>
  <si>
    <t>-5307.05万</t>
  </si>
  <si>
    <t>5.83亿</t>
  </si>
  <si>
    <t>-5433.00万</t>
  </si>
  <si>
    <t>601.72万</t>
  </si>
  <si>
    <t>3986.98万</t>
  </si>
  <si>
    <t>账面净赚</t>
  </si>
  <si>
    <t>许昌智能</t>
  </si>
  <si>
    <t>156.58万</t>
  </si>
  <si>
    <t>5.81亿</t>
  </si>
  <si>
    <t>7037.45万</t>
  </si>
  <si>
    <t>142.80万</t>
  </si>
  <si>
    <t>7740.18万</t>
  </si>
  <si>
    <t>5507.90万</t>
  </si>
  <si>
    <t>486.25万</t>
  </si>
  <si>
    <t>1068.73万</t>
  </si>
  <si>
    <t>2742.37万</t>
  </si>
  <si>
    <t>-589790亿</t>
  </si>
  <si>
    <t>18.49万</t>
  </si>
  <si>
    <t>1191413亿</t>
  </si>
  <si>
    <t>1710.63万</t>
  </si>
  <si>
    <t>744136700亿</t>
  </si>
  <si>
    <t>1237.46万</t>
  </si>
  <si>
    <t>2961.45万</t>
  </si>
  <si>
    <t>391.08万</t>
  </si>
  <si>
    <t>-600.42万</t>
  </si>
  <si>
    <t>8699.47万</t>
  </si>
  <si>
    <t>4188.54万</t>
  </si>
  <si>
    <t>3634.71万</t>
  </si>
  <si>
    <t>2947.64万</t>
  </si>
  <si>
    <t>2099.33万</t>
  </si>
  <si>
    <t>807.90万</t>
  </si>
  <si>
    <t>4635.51万</t>
  </si>
  <si>
    <t>724.06万</t>
  </si>
  <si>
    <t>865.35万</t>
  </si>
  <si>
    <t>8486.47万</t>
  </si>
  <si>
    <t>25.86万</t>
  </si>
  <si>
    <t>6115.13万</t>
  </si>
  <si>
    <t>383.24万</t>
  </si>
  <si>
    <t>5853.03万</t>
  </si>
  <si>
    <t>4310.35万</t>
  </si>
  <si>
    <t>502.58万</t>
  </si>
  <si>
    <t>584.15万</t>
  </si>
  <si>
    <t>2350.93万</t>
  </si>
  <si>
    <t>20.53万</t>
  </si>
  <si>
    <t>3096467亿</t>
  </si>
  <si>
    <t>3062.17万</t>
  </si>
  <si>
    <t>194405250亿</t>
  </si>
  <si>
    <t>675.67万</t>
  </si>
  <si>
    <t>2286.55万</t>
  </si>
  <si>
    <t>-193.01万</t>
  </si>
  <si>
    <t>-2699.11万</t>
  </si>
  <si>
    <t>115.55万</t>
  </si>
  <si>
    <t>1008.69万</t>
  </si>
  <si>
    <t>223.79万</t>
  </si>
  <si>
    <t>3488.15万</t>
  </si>
  <si>
    <t>373.10万</t>
  </si>
  <si>
    <t>2718.72万</t>
  </si>
  <si>
    <t>499.63万</t>
  </si>
  <si>
    <t>2148.82万</t>
  </si>
  <si>
    <t>1797.74万</t>
  </si>
  <si>
    <t>67.10万</t>
  </si>
  <si>
    <t>150.37万</t>
  </si>
  <si>
    <t>644.71万</t>
  </si>
  <si>
    <t>4930637亿</t>
  </si>
  <si>
    <t>821.27万</t>
  </si>
  <si>
    <t>182771440亿</t>
  </si>
  <si>
    <t>1139.93万</t>
  </si>
  <si>
    <t>500.72万</t>
  </si>
  <si>
    <t>767.26万</t>
  </si>
  <si>
    <t>1627.33万</t>
  </si>
  <si>
    <t>388.79万</t>
  </si>
  <si>
    <t>-282.34万</t>
  </si>
  <si>
    <t>1627.11万</t>
  </si>
  <si>
    <t>1568.55万</t>
  </si>
  <si>
    <t>142.11万</t>
  </si>
  <si>
    <t>722.48万</t>
  </si>
  <si>
    <t>257.72万</t>
  </si>
  <si>
    <t>585.33万</t>
  </si>
  <si>
    <t>2178.44万</t>
  </si>
  <si>
    <t>93205亿</t>
  </si>
  <si>
    <t>6870697亿</t>
  </si>
  <si>
    <t>9847.00万</t>
  </si>
  <si>
    <t>111.15万</t>
  </si>
  <si>
    <t>457849310亿</t>
  </si>
  <si>
    <t>316.80万</t>
  </si>
  <si>
    <t>2301.19万</t>
  </si>
  <si>
    <t>9663.35万</t>
  </si>
  <si>
    <t>9500.95万</t>
  </si>
  <si>
    <t>-602.10万</t>
  </si>
  <si>
    <t>-2335.74万</t>
  </si>
  <si>
    <t>-718.32万</t>
  </si>
  <si>
    <t>2764.62万</t>
  </si>
  <si>
    <t>647.72万</t>
  </si>
  <si>
    <t>4586.16万</t>
  </si>
  <si>
    <t>350.01万</t>
  </si>
  <si>
    <t>-647.99万</t>
  </si>
  <si>
    <t>9669.44万</t>
  </si>
  <si>
    <t>469.65万</t>
  </si>
  <si>
    <t>1313.20万</t>
  </si>
  <si>
    <t>2819.10万</t>
  </si>
  <si>
    <t>557347亿</t>
  </si>
  <si>
    <t>-6411842亿</t>
  </si>
  <si>
    <t>7706.59万</t>
  </si>
  <si>
    <t>1314.33万</t>
  </si>
  <si>
    <t>513713610亿</t>
  </si>
  <si>
    <t>254.94万</t>
  </si>
  <si>
    <t>3402.76万</t>
  </si>
  <si>
    <t>1767.45万</t>
  </si>
  <si>
    <t>-1932.45万</t>
  </si>
  <si>
    <t>-432.85万</t>
  </si>
  <si>
    <t>-150.64万</t>
  </si>
  <si>
    <t>2202.96万</t>
  </si>
  <si>
    <t>3069.94万</t>
  </si>
  <si>
    <t>4106.98万</t>
  </si>
  <si>
    <t>14.68万</t>
  </si>
  <si>
    <t>1300.14万</t>
  </si>
  <si>
    <t>9997.01万</t>
  </si>
  <si>
    <t>7759.51万</t>
  </si>
  <si>
    <t>707.97万</t>
  </si>
  <si>
    <t>893.76万</t>
  </si>
  <si>
    <t>2004.91万</t>
  </si>
  <si>
    <t>34.42万</t>
  </si>
  <si>
    <t>13340430亿</t>
  </si>
  <si>
    <t>6118.39万</t>
  </si>
  <si>
    <t>5395.01万</t>
  </si>
  <si>
    <t>485455740亿</t>
  </si>
  <si>
    <t>108.64万</t>
  </si>
  <si>
    <t>2703.08万</t>
  </si>
  <si>
    <t>1495.72万</t>
  </si>
  <si>
    <t>940.00万</t>
  </si>
  <si>
    <t>-78.98万</t>
  </si>
  <si>
    <t>-683.19万</t>
  </si>
  <si>
    <t>292.27万</t>
  </si>
  <si>
    <t>5025.09万</t>
  </si>
  <si>
    <t>6056.91万</t>
  </si>
  <si>
    <t>137.01万</t>
  </si>
  <si>
    <t>1145.68万</t>
  </si>
  <si>
    <t>6.74万</t>
  </si>
  <si>
    <t>6694.77万</t>
  </si>
  <si>
    <t>7552.92万</t>
  </si>
  <si>
    <t>1188.26万</t>
  </si>
  <si>
    <t>6027.50万</t>
  </si>
  <si>
    <t>5406.68万</t>
  </si>
  <si>
    <t>180.17万</t>
  </si>
  <si>
    <t>344.39万</t>
  </si>
  <si>
    <t>463.94万</t>
  </si>
  <si>
    <t>49674亿</t>
  </si>
  <si>
    <t>2.23万</t>
  </si>
  <si>
    <t>11592319亿</t>
  </si>
  <si>
    <t>9851.68万</t>
  </si>
  <si>
    <t>265832920亿</t>
  </si>
  <si>
    <t>1143.25万</t>
  </si>
  <si>
    <t>2247.29万</t>
  </si>
  <si>
    <t>5238.61万</t>
  </si>
  <si>
    <t>3370.84万</t>
  </si>
  <si>
    <t>-1282.83万</t>
  </si>
  <si>
    <t>-900.69万</t>
  </si>
  <si>
    <t>2188.16万</t>
  </si>
  <si>
    <t>59.91万</t>
  </si>
  <si>
    <t>668.45万</t>
  </si>
  <si>
    <t>36.56万</t>
  </si>
  <si>
    <t>-491.97万</t>
  </si>
  <si>
    <t>394.63万</t>
  </si>
  <si>
    <t>590.88万</t>
  </si>
  <si>
    <t>3566.84万</t>
  </si>
  <si>
    <t>-48600亿</t>
  </si>
  <si>
    <t>-4885535亿</t>
  </si>
  <si>
    <t>6704.68万</t>
  </si>
  <si>
    <t>919482470亿</t>
  </si>
  <si>
    <t>331.25万</t>
  </si>
  <si>
    <t>9892.87万</t>
  </si>
  <si>
    <t>1635.00万</t>
  </si>
  <si>
    <t>-7648.55万</t>
  </si>
  <si>
    <t>-709.44万</t>
  </si>
  <si>
    <t>8049.08万</t>
  </si>
  <si>
    <t>1300.67万</t>
  </si>
  <si>
    <t>-3955.58万</t>
  </si>
  <si>
    <t>278.90万</t>
  </si>
  <si>
    <t>1305.51万</t>
  </si>
  <si>
    <t>91.46万</t>
  </si>
  <si>
    <t>7421.49万</t>
  </si>
  <si>
    <t>641.18万</t>
  </si>
  <si>
    <t>6912.40万</t>
  </si>
  <si>
    <t>4273.29万</t>
  </si>
  <si>
    <t>821.44万</t>
  </si>
  <si>
    <t>584.75万</t>
  </si>
  <si>
    <t>4188.88万</t>
  </si>
  <si>
    <t>14019亿</t>
  </si>
  <si>
    <t>6053848亿</t>
  </si>
  <si>
    <t>1412.27万</t>
  </si>
  <si>
    <t>4037.50万</t>
  </si>
  <si>
    <t>773901760亿</t>
  </si>
  <si>
    <t>3150.48万</t>
  </si>
  <si>
    <t>6027.00万</t>
  </si>
  <si>
    <t>4057.23万</t>
  </si>
  <si>
    <t>-1.02亿</t>
  </si>
  <si>
    <t>4951.03万</t>
  </si>
  <si>
    <t>5667.76万</t>
  </si>
  <si>
    <t>5514.60万</t>
  </si>
  <si>
    <t>339.09万</t>
  </si>
  <si>
    <t>1539.80万</t>
  </si>
  <si>
    <t>29.25万</t>
  </si>
  <si>
    <t>7605.31万</t>
  </si>
  <si>
    <t>5105.57万</t>
  </si>
  <si>
    <t>468.22万</t>
  </si>
  <si>
    <t>4715.72万</t>
  </si>
  <si>
    <t>3550.46万</t>
  </si>
  <si>
    <t>478.47万</t>
  </si>
  <si>
    <t>392.65万</t>
  </si>
  <si>
    <t>1379.07万</t>
  </si>
  <si>
    <t>758350亿</t>
  </si>
  <si>
    <t>2.00万</t>
  </si>
  <si>
    <t>3946874亿</t>
  </si>
  <si>
    <t>7143.69万</t>
  </si>
  <si>
    <t>274073130亿</t>
  </si>
  <si>
    <t>378.29万</t>
  </si>
  <si>
    <t>900.87万</t>
  </si>
  <si>
    <t>1877.41万</t>
  </si>
  <si>
    <t>4711.49万</t>
  </si>
  <si>
    <t>-83.37万</t>
  </si>
  <si>
    <t>-4871.40万</t>
  </si>
  <si>
    <t>-550.05万</t>
  </si>
  <si>
    <t>3883.75万</t>
  </si>
  <si>
    <t>10派2.50元(含税)</t>
  </si>
  <si>
    <t>278.84万</t>
  </si>
  <si>
    <t>1685.94万</t>
  </si>
  <si>
    <t>70.07万</t>
  </si>
  <si>
    <t>4924.85万</t>
  </si>
  <si>
    <t>682.65万</t>
  </si>
  <si>
    <t>4061.67万</t>
  </si>
  <si>
    <t>3449.32万</t>
  </si>
  <si>
    <t>88.71万</t>
  </si>
  <si>
    <t>523.07万</t>
  </si>
  <si>
    <t>1250.01万</t>
  </si>
  <si>
    <t>2.89万</t>
  </si>
  <si>
    <t>6704338亿</t>
  </si>
  <si>
    <t>80.63万</t>
  </si>
  <si>
    <t>418693470亿</t>
  </si>
  <si>
    <t>2437.14万</t>
  </si>
  <si>
    <t>4304.69万</t>
  </si>
  <si>
    <t>3022.85万</t>
  </si>
  <si>
    <t>150.93万</t>
  </si>
  <si>
    <t>8684.21万</t>
  </si>
  <si>
    <t>-150.80万</t>
  </si>
  <si>
    <t>-330.35万</t>
  </si>
  <si>
    <t>2.50亿</t>
  </si>
  <si>
    <t>4223.07万</t>
  </si>
  <si>
    <t>676.66万</t>
  </si>
  <si>
    <t>1223.78万</t>
  </si>
  <si>
    <t>36.89万</t>
  </si>
  <si>
    <t>3307.30万</t>
  </si>
  <si>
    <t>-635.17万</t>
  </si>
  <si>
    <t>4024.42万</t>
  </si>
  <si>
    <t>2702.18万</t>
  </si>
  <si>
    <t>455.43万</t>
  </si>
  <si>
    <t>439.55万</t>
  </si>
  <si>
    <t>1971.27万</t>
  </si>
  <si>
    <t>-6072096亿</t>
  </si>
  <si>
    <t>360.55万</t>
  </si>
  <si>
    <t>477349530亿</t>
  </si>
  <si>
    <t>2001.83万</t>
  </si>
  <si>
    <t>7738.35万</t>
  </si>
  <si>
    <t>4865.52万</t>
  </si>
  <si>
    <t>3026.45万</t>
  </si>
  <si>
    <t>-30.17万</t>
  </si>
  <si>
    <t>-143.16万</t>
  </si>
  <si>
    <t>3244.11万</t>
  </si>
  <si>
    <t>804.65万</t>
  </si>
  <si>
    <t>443.50万</t>
  </si>
  <si>
    <t>1558.23万</t>
  </si>
  <si>
    <t>63.99万</t>
  </si>
  <si>
    <t>5.65亿</t>
  </si>
  <si>
    <t>-57.07万</t>
  </si>
  <si>
    <t>9940.80万</t>
  </si>
  <si>
    <t>285.40万</t>
  </si>
  <si>
    <t>1132.14万</t>
  </si>
  <si>
    <t>4298.34万</t>
  </si>
  <si>
    <t>-3386429亿</t>
  </si>
  <si>
    <t>7366.02万</t>
  </si>
  <si>
    <t>1578.07万</t>
  </si>
  <si>
    <t>698009300亿</t>
  </si>
  <si>
    <t>6203.20万</t>
  </si>
  <si>
    <t>-3730.15万</t>
  </si>
  <si>
    <t>-4272.45万</t>
  </si>
  <si>
    <t>7431.29万</t>
  </si>
  <si>
    <t>8.23亿</t>
  </si>
  <si>
    <t>3878.40万</t>
  </si>
  <si>
    <t>10派0.89元(含税)</t>
  </si>
  <si>
    <t>509.85万</t>
  </si>
  <si>
    <t>2066.12万</t>
  </si>
  <si>
    <t>161.25万</t>
  </si>
  <si>
    <t>7.61亿</t>
  </si>
  <si>
    <t>4778.69万</t>
  </si>
  <si>
    <t>-390.71万</t>
  </si>
  <si>
    <t>6294.38万</t>
  </si>
  <si>
    <t>2404.37万</t>
  </si>
  <si>
    <t>366.50万</t>
  </si>
  <si>
    <t>662.43万</t>
  </si>
  <si>
    <t>-490030亿</t>
  </si>
  <si>
    <t>-9112762亿</t>
  </si>
  <si>
    <t>6385.41万</t>
  </si>
  <si>
    <t>34.60万</t>
  </si>
  <si>
    <t>289704690亿</t>
  </si>
  <si>
    <t>5610.60万</t>
  </si>
  <si>
    <t>4503.57万</t>
  </si>
  <si>
    <t>7152.61万</t>
  </si>
  <si>
    <t>3227.56万</t>
  </si>
  <si>
    <t>-1100.71万</t>
  </si>
  <si>
    <t>-3860.41万</t>
  </si>
  <si>
    <t>731.75万</t>
  </si>
  <si>
    <t>3357.51万</t>
  </si>
  <si>
    <t>980.52万</t>
  </si>
  <si>
    <t>5229.15万</t>
  </si>
  <si>
    <t>55.07万</t>
  </si>
  <si>
    <t>5.69亿</t>
  </si>
  <si>
    <t>9639.92万</t>
  </si>
  <si>
    <t>1159.52万</t>
  </si>
  <si>
    <t>8353.82万</t>
  </si>
  <si>
    <t>7263.32万</t>
  </si>
  <si>
    <t>228.66万</t>
  </si>
  <si>
    <t>349.54万</t>
  </si>
  <si>
    <t>1479.56万</t>
  </si>
  <si>
    <t>358474亿</t>
  </si>
  <si>
    <t>11293944亿</t>
  </si>
  <si>
    <t>422.98万</t>
  </si>
  <si>
    <t>377741810亿</t>
  </si>
  <si>
    <t>2277.60万</t>
  </si>
  <si>
    <t>4633.86万</t>
  </si>
  <si>
    <t>8406.94万</t>
  </si>
  <si>
    <t>406.06万</t>
  </si>
  <si>
    <t>-80.69万</t>
  </si>
  <si>
    <t>-3.40万</t>
  </si>
  <si>
    <t>5066.95万</t>
  </si>
  <si>
    <t>361.80万</t>
  </si>
  <si>
    <t>4158.33万</t>
  </si>
  <si>
    <t>278.93万</t>
  </si>
  <si>
    <t>12.01亿</t>
  </si>
  <si>
    <t>8846.85万</t>
  </si>
  <si>
    <t>870.65万</t>
  </si>
  <si>
    <t>8238.77万</t>
  </si>
  <si>
    <t>6680.62万</t>
  </si>
  <si>
    <t>144.51万</t>
  </si>
  <si>
    <t>1194.51万</t>
  </si>
  <si>
    <t>1141.25万</t>
  </si>
  <si>
    <t>7.51万</t>
  </si>
  <si>
    <t>7924045亿</t>
  </si>
  <si>
    <t>480434890亿</t>
  </si>
  <si>
    <t>6622.82万</t>
  </si>
  <si>
    <t>6239.40万</t>
  </si>
  <si>
    <t>6.96万</t>
  </si>
  <si>
    <t>8743.47万</t>
  </si>
  <si>
    <t>3214.57万</t>
  </si>
  <si>
    <t>-7033.39万</t>
  </si>
  <si>
    <t>3486.14万</t>
  </si>
  <si>
    <t>5356.99万</t>
  </si>
  <si>
    <t>3337.81万</t>
  </si>
  <si>
    <t>10派0.11元(含税)</t>
  </si>
  <si>
    <t>1141.27万</t>
  </si>
  <si>
    <t>6536.04万</t>
  </si>
  <si>
    <t>28.80万</t>
  </si>
  <si>
    <t>10.43亿</t>
  </si>
  <si>
    <t>3007.20万</t>
  </si>
  <si>
    <t>360.40万</t>
  </si>
  <si>
    <t>787.84万</t>
  </si>
  <si>
    <t>6117.87万</t>
  </si>
  <si>
    <t>-1724033亿</t>
  </si>
  <si>
    <t>2.92万</t>
  </si>
  <si>
    <t>30276409亿</t>
  </si>
  <si>
    <t>4788.20万</t>
  </si>
  <si>
    <t>1392200800亿</t>
  </si>
  <si>
    <t>693.92万</t>
  </si>
  <si>
    <t>2802.97万</t>
  </si>
  <si>
    <t>-4709.06万</t>
  </si>
  <si>
    <t>-295.39万</t>
  </si>
  <si>
    <t>2024.12万</t>
  </si>
  <si>
    <t>133.05万</t>
  </si>
  <si>
    <t>1383.23万</t>
  </si>
  <si>
    <t>36.08万</t>
  </si>
  <si>
    <t>4341.92万</t>
  </si>
  <si>
    <t>4226.05万</t>
  </si>
  <si>
    <t>770.32万</t>
  </si>
  <si>
    <t>3458.47万</t>
  </si>
  <si>
    <t>2427.31万</t>
  </si>
  <si>
    <t>326.69万</t>
  </si>
  <si>
    <t>359.32万</t>
  </si>
  <si>
    <t>1769.89万</t>
  </si>
  <si>
    <t>1172891亿</t>
  </si>
  <si>
    <t>6455004亿</t>
  </si>
  <si>
    <t>6910.20万</t>
  </si>
  <si>
    <t>247495640亿</t>
  </si>
  <si>
    <t>248.24万</t>
  </si>
  <si>
    <t>3257.81万</t>
  </si>
  <si>
    <t>4639.50万</t>
  </si>
  <si>
    <t>1620.52万</t>
  </si>
  <si>
    <t>3467.67万</t>
  </si>
  <si>
    <t>10派8元(含税)</t>
  </si>
  <si>
    <t>163.06万</t>
  </si>
  <si>
    <t>621.95万</t>
  </si>
  <si>
    <t>56.41万</t>
  </si>
  <si>
    <t>2154.81万</t>
  </si>
  <si>
    <t>756.34万</t>
  </si>
  <si>
    <t>-396.98万</t>
  </si>
  <si>
    <t>1245.90万</t>
  </si>
  <si>
    <t>610.00万</t>
  </si>
  <si>
    <t>207.20万</t>
  </si>
  <si>
    <t>251.79万</t>
  </si>
  <si>
    <t>1209.87万</t>
  </si>
  <si>
    <t>-3971261亿</t>
  </si>
  <si>
    <t>671.38万</t>
  </si>
  <si>
    <t>183727450亿</t>
  </si>
  <si>
    <t>1385.00万</t>
  </si>
  <si>
    <t>1730.72万</t>
  </si>
  <si>
    <t>-912.86万</t>
  </si>
  <si>
    <t>-33.12万</t>
  </si>
  <si>
    <t>-57.19万</t>
  </si>
  <si>
    <t>5835.70万</t>
  </si>
  <si>
    <t>-844.43万</t>
  </si>
  <si>
    <t>138.86万</t>
  </si>
  <si>
    <t>609.10万</t>
  </si>
  <si>
    <t>7.69亿</t>
  </si>
  <si>
    <t>-2543.26万</t>
  </si>
  <si>
    <t>1740.91万</t>
  </si>
  <si>
    <t>3082.93万</t>
  </si>
  <si>
    <t>-1356653亿</t>
  </si>
  <si>
    <t>8.86万</t>
  </si>
  <si>
    <t>-27314653亿</t>
  </si>
  <si>
    <t>54.26万</t>
  </si>
  <si>
    <t>1894434400亿</t>
  </si>
  <si>
    <t>659.56万</t>
  </si>
  <si>
    <t>13.03亿</t>
  </si>
  <si>
    <t>3511.02万</t>
  </si>
  <si>
    <t>-1663.14万</t>
  </si>
  <si>
    <t>-912.46万</t>
  </si>
  <si>
    <t>5182.27万</t>
  </si>
  <si>
    <t>24.26亿</t>
  </si>
  <si>
    <t>-601.60万</t>
  </si>
  <si>
    <t>2953.45万</t>
  </si>
  <si>
    <t>7946.38万</t>
  </si>
  <si>
    <t>152.11万</t>
  </si>
  <si>
    <t>976.07万</t>
  </si>
  <si>
    <t>-757.88万</t>
  </si>
  <si>
    <t>2395.03万</t>
  </si>
  <si>
    <t>776.84万</t>
  </si>
  <si>
    <t>445.82万</t>
  </si>
  <si>
    <t>774.22万</t>
  </si>
  <si>
    <t>2478.26万</t>
  </si>
  <si>
    <t>-121916亿</t>
  </si>
  <si>
    <t>-7775971亿</t>
  </si>
  <si>
    <t>3357.50万</t>
  </si>
  <si>
    <t>75.25万</t>
  </si>
  <si>
    <t>282598850亿</t>
  </si>
  <si>
    <t>36.76万</t>
  </si>
  <si>
    <t>5943.00万</t>
  </si>
  <si>
    <t>246.00万</t>
  </si>
  <si>
    <t>7953.32万</t>
  </si>
  <si>
    <t>61.85万</t>
  </si>
  <si>
    <t>-2136.61万</t>
  </si>
  <si>
    <t>-59.24万</t>
  </si>
  <si>
    <t>-1950.69万</t>
  </si>
  <si>
    <t>-7002.93万</t>
  </si>
  <si>
    <t>1196.98万</t>
  </si>
  <si>
    <t>7197.70万</t>
  </si>
  <si>
    <t>23.88万</t>
  </si>
  <si>
    <t>8.71亿</t>
  </si>
  <si>
    <t>1577.32万</t>
  </si>
  <si>
    <t>8446.70万</t>
  </si>
  <si>
    <t>7310.87万</t>
  </si>
  <si>
    <t>126.53万</t>
  </si>
  <si>
    <t>438.57万</t>
  </si>
  <si>
    <t>1480.63万</t>
  </si>
  <si>
    <t>15559064亿</t>
  </si>
  <si>
    <t>3890.15万</t>
  </si>
  <si>
    <t>742030200亿</t>
  </si>
  <si>
    <t>500.84万</t>
  </si>
  <si>
    <t>705.73万</t>
  </si>
  <si>
    <t>-6479.63万</t>
  </si>
  <si>
    <t>-2442.57万</t>
  </si>
  <si>
    <t>6902.61万</t>
  </si>
  <si>
    <t>188.61万</t>
  </si>
  <si>
    <t>1659.53万</t>
  </si>
  <si>
    <t>51.79万</t>
  </si>
  <si>
    <t>1914.86万</t>
  </si>
  <si>
    <t>8034.43万</t>
  </si>
  <si>
    <t>6036.05万</t>
  </si>
  <si>
    <t>662.96万</t>
  </si>
  <si>
    <t>667.39万</t>
  </si>
  <si>
    <t>2352.66万</t>
  </si>
  <si>
    <t>594335亿</t>
  </si>
  <si>
    <t>7.57万</t>
  </si>
  <si>
    <t>17671183亿</t>
  </si>
  <si>
    <t>9134.95万</t>
  </si>
  <si>
    <t>3562.55万</t>
  </si>
  <si>
    <t>342541710亿</t>
  </si>
  <si>
    <t>2367.99万</t>
  </si>
  <si>
    <t>1541.29万</t>
  </si>
  <si>
    <t>6458.06万</t>
  </si>
  <si>
    <t>2329.47万</t>
  </si>
  <si>
    <t>-447.04万</t>
  </si>
  <si>
    <t>4.85亿</t>
  </si>
  <si>
    <t>10转2股派2元(含税)</t>
  </si>
  <si>
    <t>342.68万</t>
  </si>
  <si>
    <t>1975.63万</t>
  </si>
  <si>
    <t>61.18万</t>
  </si>
  <si>
    <t>6598.80万</t>
  </si>
  <si>
    <t>388.87万</t>
  </si>
  <si>
    <t>6206.01万</t>
  </si>
  <si>
    <t>4908.85万</t>
  </si>
  <si>
    <t>443.65万</t>
  </si>
  <si>
    <t>500.37万</t>
  </si>
  <si>
    <t>1437.16万</t>
  </si>
  <si>
    <t>25433亿</t>
  </si>
  <si>
    <t>3322528亿</t>
  </si>
  <si>
    <t>317750220亿</t>
  </si>
  <si>
    <t>1992.69万</t>
  </si>
  <si>
    <t>990.23万</t>
  </si>
  <si>
    <t>648.31万</t>
  </si>
  <si>
    <t>4323.94万</t>
  </si>
  <si>
    <t>7826.18万</t>
  </si>
  <si>
    <t>-2265.34万</t>
  </si>
  <si>
    <t>792.88万</t>
  </si>
  <si>
    <t>984.99万</t>
  </si>
  <si>
    <t>3168.99万</t>
  </si>
  <si>
    <t>748.55万</t>
  </si>
  <si>
    <t>2206.65万</t>
  </si>
  <si>
    <t>2.80万</t>
  </si>
  <si>
    <t>1407.16万</t>
  </si>
  <si>
    <t>662.47万</t>
  </si>
  <si>
    <t>552.43万</t>
  </si>
  <si>
    <t>2196.70万</t>
  </si>
  <si>
    <t>151405亿</t>
  </si>
  <si>
    <t>1.71万</t>
  </si>
  <si>
    <t>13283875亿</t>
  </si>
  <si>
    <t>403300920亿</t>
  </si>
  <si>
    <t>3023.98万</t>
  </si>
  <si>
    <t>7020.66万</t>
  </si>
  <si>
    <t>3591.96万</t>
  </si>
  <si>
    <t>1150.29万</t>
  </si>
  <si>
    <t>-2706.76万</t>
  </si>
  <si>
    <t>3434.65万</t>
  </si>
  <si>
    <t>6.96亿</t>
  </si>
  <si>
    <t>6839.88万</t>
  </si>
  <si>
    <t>10派0.7元(含税)</t>
  </si>
  <si>
    <t>51.10万</t>
  </si>
  <si>
    <t>505.81万</t>
  </si>
  <si>
    <t>232.14万</t>
  </si>
  <si>
    <t>1916.23万</t>
  </si>
  <si>
    <t>108.05万</t>
  </si>
  <si>
    <t>245.13万</t>
  </si>
  <si>
    <t>2044.72万</t>
  </si>
  <si>
    <t>3949260亿</t>
  </si>
  <si>
    <t>14286147亿</t>
  </si>
  <si>
    <t>7799.10万</t>
  </si>
  <si>
    <t>5387.80万</t>
  </si>
  <si>
    <t>676752920亿</t>
  </si>
  <si>
    <t>3894.88万</t>
  </si>
  <si>
    <t>10.86万</t>
  </si>
  <si>
    <t>-5938.26万</t>
  </si>
  <si>
    <t>-59.34万</t>
  </si>
  <si>
    <t>4774.95万</t>
  </si>
  <si>
    <t>5767.53万</t>
  </si>
  <si>
    <t>10转3股派1.5元(含税)</t>
  </si>
  <si>
    <t>1139.65万</t>
  </si>
  <si>
    <t>6905.36万</t>
  </si>
  <si>
    <t>29.20万</t>
  </si>
  <si>
    <t>246.41万</t>
  </si>
  <si>
    <t>9694.95万</t>
  </si>
  <si>
    <t>76.84万</t>
  </si>
  <si>
    <t>946.77万</t>
  </si>
  <si>
    <t>2189.09万</t>
  </si>
  <si>
    <t>3210亿</t>
  </si>
  <si>
    <t>1776936亿</t>
  </si>
  <si>
    <t>9040.78万</t>
  </si>
  <si>
    <t>6736.30万</t>
  </si>
  <si>
    <t>452038070亿</t>
  </si>
  <si>
    <t>6173.84万</t>
  </si>
  <si>
    <t>3324.96万</t>
  </si>
  <si>
    <t>9551.68万</t>
  </si>
  <si>
    <t>640.58万</t>
  </si>
  <si>
    <t>1280.05万</t>
  </si>
  <si>
    <t>-2658.69万</t>
  </si>
  <si>
    <t>-87.26万</t>
  </si>
  <si>
    <t>2256.91万</t>
  </si>
  <si>
    <t>234.08万</t>
  </si>
  <si>
    <t>3965.57万</t>
  </si>
  <si>
    <t>82.50万</t>
  </si>
  <si>
    <t>9.47亿</t>
  </si>
  <si>
    <t>2038.14万</t>
  </si>
  <si>
    <t>8178.09万</t>
  </si>
  <si>
    <t>497.80万</t>
  </si>
  <si>
    <t>1022.84万</t>
  </si>
  <si>
    <t>4389.78万</t>
  </si>
  <si>
    <t>-335945亿</t>
  </si>
  <si>
    <t>13.95万</t>
  </si>
  <si>
    <t>18026131亿</t>
  </si>
  <si>
    <t>567.72万</t>
  </si>
  <si>
    <t>832395390亿</t>
  </si>
  <si>
    <t>1264.64万</t>
  </si>
  <si>
    <t>2502.44万</t>
  </si>
  <si>
    <t>3246.76万</t>
  </si>
  <si>
    <t>850.89万</t>
  </si>
  <si>
    <t>-1444.70万</t>
  </si>
  <si>
    <t>-117.51万</t>
  </si>
  <si>
    <t>7698.05万</t>
  </si>
  <si>
    <t>561.51万</t>
  </si>
  <si>
    <t>3041.22万</t>
  </si>
  <si>
    <t>79.28万</t>
  </si>
  <si>
    <t>16.54亿</t>
  </si>
  <si>
    <t>9.43亿</t>
  </si>
  <si>
    <t>4882.12万</t>
  </si>
  <si>
    <t>590.40万</t>
  </si>
  <si>
    <t>923.61万</t>
  </si>
  <si>
    <t>2287.76万</t>
  </si>
  <si>
    <t>-539953亿</t>
  </si>
  <si>
    <t>18.47万</t>
  </si>
  <si>
    <t>48335090亿</t>
  </si>
  <si>
    <t>2957.11万</t>
  </si>
  <si>
    <t>2245058500亿</t>
  </si>
  <si>
    <t>1310.82万</t>
  </si>
  <si>
    <t>10000.00万</t>
  </si>
  <si>
    <t>1399.52万</t>
  </si>
  <si>
    <t>2196.50万</t>
  </si>
  <si>
    <t>1626.15万</t>
  </si>
  <si>
    <t>-184.09万</t>
  </si>
  <si>
    <t>-492.37万</t>
  </si>
  <si>
    <t>9.46亿</t>
  </si>
  <si>
    <t>10转2股派3元(含税)</t>
  </si>
  <si>
    <t>337.56万</t>
  </si>
  <si>
    <t>2869.75万</t>
  </si>
  <si>
    <t>47.08万</t>
  </si>
  <si>
    <t>7.78亿</t>
  </si>
  <si>
    <t>9365.54万</t>
  </si>
  <si>
    <t>1988.62万</t>
  </si>
  <si>
    <t>7364.63万</t>
  </si>
  <si>
    <t>1798.73万</t>
  </si>
  <si>
    <t>4480.76万</t>
  </si>
  <si>
    <t>689.19万</t>
  </si>
  <si>
    <t>2190.27万</t>
  </si>
  <si>
    <t>282470亿</t>
  </si>
  <si>
    <t>17402525亿</t>
  </si>
  <si>
    <t>5257.25万</t>
  </si>
  <si>
    <t>1416.16万</t>
  </si>
  <si>
    <t>523805310亿</t>
  </si>
  <si>
    <t>930.99万</t>
  </si>
  <si>
    <t>739.55万</t>
  </si>
  <si>
    <t>8335.88万</t>
  </si>
  <si>
    <t>1979.54万</t>
  </si>
  <si>
    <t>-3008.35万</t>
  </si>
  <si>
    <t>-951.82万</t>
  </si>
  <si>
    <t>10派3.50元(含税)</t>
  </si>
  <si>
    <t>327.07万</t>
  </si>
  <si>
    <t>2393.65万</t>
  </si>
  <si>
    <t>9.34万</t>
  </si>
  <si>
    <t>3793.49万</t>
  </si>
  <si>
    <t>829.30万</t>
  </si>
  <si>
    <t>3370.96万</t>
  </si>
  <si>
    <t>1665.97万</t>
  </si>
  <si>
    <t>965.13万</t>
  </si>
  <si>
    <t>439.42万</t>
  </si>
  <si>
    <t>1303.98万</t>
  </si>
  <si>
    <t>1259059亿</t>
  </si>
  <si>
    <t>3.38万</t>
  </si>
  <si>
    <t>6964863亿</t>
  </si>
  <si>
    <t>7587.77万</t>
  </si>
  <si>
    <t>718.92万</t>
  </si>
  <si>
    <t>414147870亿</t>
  </si>
  <si>
    <t>403.30万</t>
  </si>
  <si>
    <t>9962.60万</t>
  </si>
  <si>
    <t>99.30万</t>
  </si>
  <si>
    <t>-1243.58万</t>
  </si>
  <si>
    <t>6204.95万</t>
  </si>
  <si>
    <t>10派7元(含税)</t>
  </si>
  <si>
    <t>92.70万</t>
  </si>
  <si>
    <t>549.94万</t>
  </si>
  <si>
    <t>128.14万</t>
  </si>
  <si>
    <t>6152.73万</t>
  </si>
  <si>
    <t>835.36万</t>
  </si>
  <si>
    <t>5511.41万</t>
  </si>
  <si>
    <t>4565.22万</t>
  </si>
  <si>
    <t>123.75万</t>
  </si>
  <si>
    <t>488.42万</t>
  </si>
  <si>
    <t>1399.19万</t>
  </si>
  <si>
    <t>826383亿</t>
  </si>
  <si>
    <t>5810829亿</t>
  </si>
  <si>
    <t>9272.25万</t>
  </si>
  <si>
    <t>1488.73万</t>
  </si>
  <si>
    <t>375076620亿</t>
  </si>
  <si>
    <t>7208.36万</t>
  </si>
  <si>
    <t>103.50万</t>
  </si>
  <si>
    <t>1197.77万</t>
  </si>
  <si>
    <t>5429.24万</t>
  </si>
  <si>
    <t>9413.81万</t>
  </si>
  <si>
    <t>1833.20万</t>
  </si>
  <si>
    <t>1024.15万</t>
  </si>
  <si>
    <t>103.29万</t>
  </si>
  <si>
    <t>6261.19万</t>
  </si>
  <si>
    <t>10派2.29元(含税)</t>
  </si>
  <si>
    <t>541.56万</t>
  </si>
  <si>
    <t>2537.95万</t>
  </si>
  <si>
    <t>4.83万</t>
  </si>
  <si>
    <t>3545.42万</t>
  </si>
  <si>
    <t>3521.53万</t>
  </si>
  <si>
    <t>8898.79万</t>
  </si>
  <si>
    <t>1241.54万</t>
  </si>
  <si>
    <t>325711亿</t>
  </si>
  <si>
    <t>4.77万</t>
  </si>
  <si>
    <t>35157333亿</t>
  </si>
  <si>
    <t>5365.50万</t>
  </si>
  <si>
    <t>800465340亿</t>
  </si>
  <si>
    <t>2652.39万</t>
  </si>
  <si>
    <t>2888.08万</t>
  </si>
  <si>
    <t>4920.90万</t>
  </si>
  <si>
    <t>1399.44万</t>
  </si>
  <si>
    <t>6252.82万</t>
  </si>
  <si>
    <t>-19.76万</t>
  </si>
  <si>
    <t>10派3.60元(含税)</t>
  </si>
  <si>
    <t>66.41万</t>
  </si>
  <si>
    <t>487.72万</t>
  </si>
  <si>
    <t>76.88万</t>
  </si>
  <si>
    <t>12.98亿</t>
  </si>
  <si>
    <t>9.35亿</t>
  </si>
  <si>
    <t>1737.74万</t>
  </si>
  <si>
    <t>218.43万</t>
  </si>
  <si>
    <t>1696.50万</t>
  </si>
  <si>
    <t>671.16万</t>
  </si>
  <si>
    <t>-7030118亿</t>
  </si>
  <si>
    <t>190.67万</t>
  </si>
  <si>
    <t>32909529亿</t>
  </si>
  <si>
    <t>73.69万</t>
  </si>
  <si>
    <t>682598170亿</t>
  </si>
  <si>
    <t>2195.87万</t>
  </si>
  <si>
    <t>7.64亿</t>
  </si>
  <si>
    <t>-8075.41万</t>
  </si>
  <si>
    <t>-6171.87万</t>
  </si>
  <si>
    <t>1612.86万</t>
  </si>
  <si>
    <t>9385.19万</t>
  </si>
  <si>
    <t>602.21万</t>
  </si>
  <si>
    <t>5008.79万</t>
  </si>
  <si>
    <t>23.25万</t>
  </si>
  <si>
    <t>6017.33万</t>
  </si>
  <si>
    <t>4441.67万</t>
  </si>
  <si>
    <t>374.91万</t>
  </si>
  <si>
    <t>3942.92万</t>
  </si>
  <si>
    <t>3017.98万</t>
  </si>
  <si>
    <t>398.24万</t>
  </si>
  <si>
    <t>238.84万</t>
  </si>
  <si>
    <t>1129.52万</t>
  </si>
  <si>
    <t>142632亿</t>
  </si>
  <si>
    <t>3.52万</t>
  </si>
  <si>
    <t>3358496亿</t>
  </si>
  <si>
    <t>5855.24万</t>
  </si>
  <si>
    <t>2615.94万</t>
  </si>
  <si>
    <t>319855480亿</t>
  </si>
  <si>
    <t>1263.60万</t>
  </si>
  <si>
    <t>1984.35万</t>
  </si>
  <si>
    <t>2035.74万</t>
  </si>
  <si>
    <t>5315.23万</t>
  </si>
  <si>
    <t>-1233.34万</t>
  </si>
  <si>
    <t>-1741.88万</t>
  </si>
  <si>
    <t>1964.66万</t>
  </si>
  <si>
    <t>347.94万</t>
  </si>
  <si>
    <t>207.68万</t>
  </si>
  <si>
    <t>9073.04万</t>
  </si>
  <si>
    <t>277.62万</t>
  </si>
  <si>
    <t>9387.16万</t>
  </si>
  <si>
    <t>352.35万</t>
  </si>
  <si>
    <t>339.37万</t>
  </si>
  <si>
    <t>3697.61万</t>
  </si>
  <si>
    <t>326976亿</t>
  </si>
  <si>
    <t>1744217亿</t>
  </si>
  <si>
    <t>4429.68万</t>
  </si>
  <si>
    <t>47.50万</t>
  </si>
  <si>
    <t>287239020亿</t>
  </si>
  <si>
    <t>137.04万</t>
  </si>
  <si>
    <t>4396.92万</t>
  </si>
  <si>
    <t>7025.05万</t>
  </si>
  <si>
    <t>-1858.78万</t>
  </si>
  <si>
    <t>1053.56万</t>
  </si>
  <si>
    <t>-106.89万</t>
  </si>
  <si>
    <t>477.08万</t>
  </si>
  <si>
    <t>1397.11万</t>
  </si>
  <si>
    <t>5768.03万</t>
  </si>
  <si>
    <t>59.21万</t>
  </si>
  <si>
    <t>9992.00万</t>
  </si>
  <si>
    <t>2492.37万</t>
  </si>
  <si>
    <t>543.71万</t>
  </si>
  <si>
    <t>2274.76万</t>
  </si>
  <si>
    <t>1387.89万</t>
  </si>
  <si>
    <t>140.78万</t>
  </si>
  <si>
    <t>366.77万</t>
  </si>
  <si>
    <t>1946.78万</t>
  </si>
  <si>
    <t>3329亿</t>
  </si>
  <si>
    <t>28.33万</t>
  </si>
  <si>
    <t>3917798亿</t>
  </si>
  <si>
    <t>3229.08万</t>
  </si>
  <si>
    <t>352954890亿</t>
  </si>
  <si>
    <t>2034.18万</t>
  </si>
  <si>
    <t>3002.12万</t>
  </si>
  <si>
    <t>1025.23万</t>
  </si>
  <si>
    <t>3308.49万</t>
  </si>
  <si>
    <t>26.64万</t>
  </si>
  <si>
    <t>-773.92万</t>
  </si>
  <si>
    <t>1081.48万</t>
  </si>
  <si>
    <t>2334.86万</t>
  </si>
  <si>
    <t>1273.30万</t>
  </si>
  <si>
    <t>10派0.35元(含税)</t>
  </si>
  <si>
    <t>448.99万</t>
  </si>
  <si>
    <t>4188.61万</t>
  </si>
  <si>
    <t>76.41万</t>
  </si>
  <si>
    <t>2834.10万</t>
  </si>
  <si>
    <t>394.20万</t>
  </si>
  <si>
    <t>809.11万</t>
  </si>
  <si>
    <t>3011.30万</t>
  </si>
  <si>
    <t>-112734亿</t>
  </si>
  <si>
    <t>24666306亿</t>
  </si>
  <si>
    <t>7022.35万</t>
  </si>
  <si>
    <t>3450.38万</t>
  </si>
  <si>
    <t>721674390亿</t>
  </si>
  <si>
    <t>190.26万</t>
  </si>
  <si>
    <t>2900.00万</t>
  </si>
  <si>
    <t>3653.39万</t>
  </si>
  <si>
    <t>2110.00万</t>
  </si>
  <si>
    <t>3049.44万</t>
  </si>
  <si>
    <t>-8948.11万</t>
  </si>
  <si>
    <t>-532.11万</t>
  </si>
  <si>
    <t>7738.55万</t>
  </si>
  <si>
    <t>10派2.826432元(含税)</t>
  </si>
  <si>
    <t>410.27万</t>
  </si>
  <si>
    <t>3473.50万</t>
  </si>
  <si>
    <t>12.93万</t>
  </si>
  <si>
    <t>10.54亿</t>
  </si>
  <si>
    <t>1827.27万</t>
  </si>
  <si>
    <t>5397.24万</t>
  </si>
  <si>
    <t>2445.08万</t>
  </si>
  <si>
    <t>216233亿</t>
  </si>
  <si>
    <t>97792975亿</t>
  </si>
  <si>
    <t>1435.19万</t>
  </si>
  <si>
    <t>821341590亿</t>
  </si>
  <si>
    <t>5965.69万</t>
  </si>
  <si>
    <t>6095.13万</t>
  </si>
  <si>
    <t>2966.64万</t>
  </si>
  <si>
    <t>-3298.92万</t>
  </si>
  <si>
    <t>-1843.51万</t>
  </si>
  <si>
    <t>10转3股派10元(含税)</t>
  </si>
  <si>
    <t>71.73万</t>
  </si>
  <si>
    <t>634.55万</t>
  </si>
  <si>
    <t>1026.04万</t>
  </si>
  <si>
    <t>5527.21万</t>
  </si>
  <si>
    <t>-875.25万</t>
  </si>
  <si>
    <t>7173.90万</t>
  </si>
  <si>
    <t>2539.54万</t>
  </si>
  <si>
    <t>2440.83万</t>
  </si>
  <si>
    <t>546.47万</t>
  </si>
  <si>
    <t>6798.36万</t>
  </si>
  <si>
    <t>-9293904亿</t>
  </si>
  <si>
    <t>909.07万</t>
  </si>
  <si>
    <t>693833260亿</t>
  </si>
  <si>
    <t>210.78万</t>
  </si>
  <si>
    <t>2690.72万</t>
  </si>
  <si>
    <t>4967.19万</t>
  </si>
  <si>
    <t>-3518.31万</t>
  </si>
  <si>
    <t>-31.48万</t>
  </si>
  <si>
    <t>1238.71万</t>
  </si>
  <si>
    <t>4141.12万</t>
  </si>
  <si>
    <t>3785.30万</t>
  </si>
  <si>
    <t>5353.98万</t>
  </si>
  <si>
    <t>7031.24万</t>
  </si>
  <si>
    <t>1322.97万</t>
  </si>
  <si>
    <t>9793.13万</t>
  </si>
  <si>
    <t>842.00万</t>
  </si>
  <si>
    <t>1333.58万</t>
  </si>
  <si>
    <t>2038.60万</t>
  </si>
  <si>
    <t>31363亿</t>
  </si>
  <si>
    <t>10875100亿</t>
  </si>
  <si>
    <t>5466.80万</t>
  </si>
  <si>
    <t>2771.67万</t>
  </si>
  <si>
    <t>330797180亿</t>
  </si>
  <si>
    <t>2001.80万</t>
  </si>
  <si>
    <t>1629.99万</t>
  </si>
  <si>
    <t>8824.25万</t>
  </si>
  <si>
    <t>-3280.71万</t>
  </si>
  <si>
    <t>-8875.60万</t>
  </si>
  <si>
    <t>-735.18万</t>
  </si>
  <si>
    <t>3904.07万</t>
  </si>
  <si>
    <t>4608.43万</t>
  </si>
  <si>
    <t>10派4.60元(含税)</t>
  </si>
  <si>
    <t>217.00万</t>
  </si>
  <si>
    <t>1046.96万</t>
  </si>
  <si>
    <t>743.89万</t>
  </si>
  <si>
    <t>13.68亿</t>
  </si>
  <si>
    <t>1595.50万</t>
  </si>
  <si>
    <t>310.25万</t>
  </si>
  <si>
    <t>1865.20万</t>
  </si>
  <si>
    <t>12931501亿</t>
  </si>
  <si>
    <t>3.19万</t>
  </si>
  <si>
    <t>15290796亿</t>
  </si>
  <si>
    <t>75.85万</t>
  </si>
  <si>
    <t>388616650亿</t>
  </si>
  <si>
    <t>6996.53万</t>
  </si>
  <si>
    <t>-4415.04万</t>
  </si>
  <si>
    <t>8.91亿</t>
  </si>
  <si>
    <t>248.38万</t>
  </si>
  <si>
    <t>4540.92万</t>
  </si>
  <si>
    <t>94.81万</t>
  </si>
  <si>
    <t>5971.83万</t>
  </si>
  <si>
    <t>6824.09万</t>
  </si>
  <si>
    <t>865.49万</t>
  </si>
  <si>
    <t>5911.38万</t>
  </si>
  <si>
    <t>5346.62万</t>
  </si>
  <si>
    <t>31.63万</t>
  </si>
  <si>
    <t>247.54万</t>
  </si>
  <si>
    <t>1350.96万</t>
  </si>
  <si>
    <t>348852亿</t>
  </si>
  <si>
    <t>8139647亿</t>
  </si>
  <si>
    <t>2400.04万</t>
  </si>
  <si>
    <t>252728290亿</t>
  </si>
  <si>
    <t>1101.47万</t>
  </si>
  <si>
    <t>1142.93万</t>
  </si>
  <si>
    <t>2875.09万</t>
  </si>
  <si>
    <t>-1072.12万</t>
  </si>
  <si>
    <t>-745.37万</t>
  </si>
  <si>
    <t>-957.81万</t>
  </si>
  <si>
    <t>1667.03万</t>
  </si>
  <si>
    <t>756.36万</t>
  </si>
  <si>
    <t>5989.05万</t>
  </si>
  <si>
    <t>54.53万</t>
  </si>
  <si>
    <t>10.10亿</t>
  </si>
  <si>
    <t>1052.93万</t>
  </si>
  <si>
    <t>3215.81万</t>
  </si>
  <si>
    <t>9188.42万</t>
  </si>
  <si>
    <t>1341.52万</t>
  </si>
  <si>
    <t>2013.06万</t>
  </si>
  <si>
    <t>9348290亿</t>
  </si>
  <si>
    <t>705.37万</t>
  </si>
  <si>
    <t>652234270亿</t>
  </si>
  <si>
    <t>2980.01万</t>
  </si>
  <si>
    <t>9985.68万</t>
  </si>
  <si>
    <t>5250.00万</t>
  </si>
  <si>
    <t>5418.49万</t>
  </si>
  <si>
    <t>-269.60万</t>
  </si>
  <si>
    <t>-104.04万</t>
  </si>
  <si>
    <t>-4891.12万</t>
  </si>
  <si>
    <t>6.22亿</t>
  </si>
  <si>
    <t>-1220.03万</t>
  </si>
  <si>
    <t>362.01万</t>
  </si>
  <si>
    <t>1672.78万</t>
  </si>
  <si>
    <t>灵鸽科技</t>
  </si>
  <si>
    <t>36.23万</t>
  </si>
  <si>
    <t>2588.97万</t>
  </si>
  <si>
    <t>-671.59万</t>
  </si>
  <si>
    <t>3491.42万</t>
  </si>
  <si>
    <t>2025.63万</t>
  </si>
  <si>
    <t>478.19万</t>
  </si>
  <si>
    <t>702.67万</t>
  </si>
  <si>
    <t>1107.12万</t>
  </si>
  <si>
    <t>33562亿</t>
  </si>
  <si>
    <t>17.46万</t>
  </si>
  <si>
    <t>-6987613亿</t>
  </si>
  <si>
    <t>4428.67万</t>
  </si>
  <si>
    <t>467199250亿</t>
  </si>
  <si>
    <t>87.73万</t>
  </si>
  <si>
    <t>3002.52万</t>
  </si>
  <si>
    <t>4231.62万</t>
  </si>
  <si>
    <t>7097.22万</t>
  </si>
  <si>
    <t>-626.43万</t>
  </si>
  <si>
    <t>-70.11万</t>
  </si>
  <si>
    <t>1739.59万</t>
  </si>
  <si>
    <t>7167.49万</t>
  </si>
  <si>
    <t>7806.00万</t>
  </si>
  <si>
    <t>4419.35万</t>
  </si>
  <si>
    <t>1868.32万</t>
  </si>
  <si>
    <t>2445.62万</t>
  </si>
  <si>
    <t>-1520.52万</t>
  </si>
  <si>
    <t>-1239.90万</t>
  </si>
  <si>
    <t>1716.61万</t>
  </si>
  <si>
    <t>1291.41万</t>
  </si>
  <si>
    <t>390.00万</t>
  </si>
  <si>
    <t>2987.34万</t>
  </si>
  <si>
    <t>189.52万</t>
  </si>
  <si>
    <t>8623.03万</t>
  </si>
  <si>
    <t>6093.05万</t>
  </si>
  <si>
    <t>932.62万</t>
  </si>
  <si>
    <t>5126.34万</t>
  </si>
  <si>
    <t>4226.56万</t>
  </si>
  <si>
    <t>102.19万</t>
  </si>
  <si>
    <t>506.74万</t>
  </si>
  <si>
    <t>1221.16万</t>
  </si>
  <si>
    <t>992965亿</t>
  </si>
  <si>
    <t>7.40万</t>
  </si>
  <si>
    <t>8144058亿</t>
  </si>
  <si>
    <t>384562640亿</t>
  </si>
  <si>
    <t>89.08万</t>
  </si>
  <si>
    <t>1157.93万</t>
  </si>
  <si>
    <t>4127.41万</t>
  </si>
  <si>
    <t>8323.78万</t>
  </si>
  <si>
    <t>787.18万</t>
  </si>
  <si>
    <t>6084.72万</t>
  </si>
  <si>
    <t>173.10万</t>
  </si>
  <si>
    <t>3900.92万</t>
  </si>
  <si>
    <t>10派3.3元(含税)</t>
  </si>
  <si>
    <t>1376.00万</t>
  </si>
  <si>
    <t>7015.07万</t>
  </si>
  <si>
    <t>37.95万</t>
  </si>
  <si>
    <t>6.87亿</t>
  </si>
  <si>
    <t>9031.63万</t>
  </si>
  <si>
    <t>2037.77万</t>
  </si>
  <si>
    <t>6930.26万</t>
  </si>
  <si>
    <t>5742.48万</t>
  </si>
  <si>
    <t>224.27万</t>
  </si>
  <si>
    <t>389.74万</t>
  </si>
  <si>
    <t>2004.08万</t>
  </si>
  <si>
    <t>106565亿</t>
  </si>
  <si>
    <t>17020351亿</t>
  </si>
  <si>
    <t>3824.67万</t>
  </si>
  <si>
    <t>557035700亿</t>
  </si>
  <si>
    <t>2060.66万</t>
  </si>
  <si>
    <t>3833.91万</t>
  </si>
  <si>
    <t>3068.84万</t>
  </si>
  <si>
    <t>2393.01万</t>
  </si>
  <si>
    <t>-502.49万</t>
  </si>
  <si>
    <t>8163.39万</t>
  </si>
  <si>
    <t>207.59万</t>
  </si>
  <si>
    <t>1780.22万</t>
  </si>
  <si>
    <t>108.86万</t>
  </si>
  <si>
    <t>1591.02万</t>
  </si>
  <si>
    <t>301.07万</t>
  </si>
  <si>
    <t>1540.64万</t>
  </si>
  <si>
    <t>1122.45万</t>
  </si>
  <si>
    <t>88.70万</t>
  </si>
  <si>
    <t>209.67万</t>
  </si>
  <si>
    <t>782.18万</t>
  </si>
  <si>
    <t>542106亿</t>
  </si>
  <si>
    <t>2578430亿</t>
  </si>
  <si>
    <t>346910360亿</t>
  </si>
  <si>
    <t>5405.95万</t>
  </si>
  <si>
    <t>3193.81万</t>
  </si>
  <si>
    <t>-757.11万</t>
  </si>
  <si>
    <t>-13.30万</t>
  </si>
  <si>
    <t>-154.85万</t>
  </si>
  <si>
    <t>3261.29万</t>
  </si>
  <si>
    <t>2920.37万</t>
  </si>
  <si>
    <t>321.85万</t>
  </si>
  <si>
    <t>1695.42万</t>
  </si>
  <si>
    <t>19.98万</t>
  </si>
  <si>
    <t>1097.64万</t>
  </si>
  <si>
    <t>8042.74万</t>
  </si>
  <si>
    <t>4285.86万</t>
  </si>
  <si>
    <t>949.22万</t>
  </si>
  <si>
    <t>3427.71万</t>
  </si>
  <si>
    <t>1.98万</t>
  </si>
  <si>
    <t>10423853亿</t>
  </si>
  <si>
    <t>632220190亿</t>
  </si>
  <si>
    <t>587.18万</t>
  </si>
  <si>
    <t>8241.76万</t>
  </si>
  <si>
    <t>555.11万</t>
  </si>
  <si>
    <t>-2777.65万</t>
  </si>
  <si>
    <t>-293.65万</t>
  </si>
  <si>
    <t>-3212.08万</t>
  </si>
  <si>
    <t>8.43亿</t>
  </si>
  <si>
    <t>8810.13万</t>
  </si>
  <si>
    <t>104.67万</t>
  </si>
  <si>
    <t>1490.36万</t>
  </si>
  <si>
    <t>236.34万</t>
  </si>
  <si>
    <t>5292.74万</t>
  </si>
  <si>
    <t>2665.11万</t>
  </si>
  <si>
    <t>315.70万</t>
  </si>
  <si>
    <t>2389.59万</t>
  </si>
  <si>
    <t>1958.86万</t>
  </si>
  <si>
    <t>23.52万</t>
  </si>
  <si>
    <t>227.61万</t>
  </si>
  <si>
    <t>612.94万</t>
  </si>
  <si>
    <t>143701亿</t>
  </si>
  <si>
    <t>1.50万</t>
  </si>
  <si>
    <t>2453559亿</t>
  </si>
  <si>
    <t>968.11万</t>
  </si>
  <si>
    <t>244927580亿</t>
  </si>
  <si>
    <t>2129.01万</t>
  </si>
  <si>
    <t>2185.05万</t>
  </si>
  <si>
    <t>4923.04万</t>
  </si>
  <si>
    <t>163.46万</t>
  </si>
  <si>
    <t>413.87万</t>
  </si>
  <si>
    <t>-200.69万</t>
  </si>
  <si>
    <t>2098.34万</t>
  </si>
  <si>
    <t>1340.32万</t>
  </si>
  <si>
    <t>5110.94万</t>
  </si>
  <si>
    <t>74.76万</t>
  </si>
  <si>
    <t>3133.24万</t>
  </si>
  <si>
    <t>1353.86万</t>
  </si>
  <si>
    <t>2398.99万</t>
  </si>
  <si>
    <t>1868.85万</t>
  </si>
  <si>
    <t>105.05万</t>
  </si>
  <si>
    <t>212.47万</t>
  </si>
  <si>
    <t>639.95万</t>
  </si>
  <si>
    <t>161524亿</t>
  </si>
  <si>
    <t>6669568亿</t>
  </si>
  <si>
    <t>1271.37万</t>
  </si>
  <si>
    <t>962.66万</t>
  </si>
  <si>
    <t>298346910亿</t>
  </si>
  <si>
    <t>763.47万</t>
  </si>
  <si>
    <t>581.21万</t>
  </si>
  <si>
    <t>1365.24万</t>
  </si>
  <si>
    <t>14.57万</t>
  </si>
  <si>
    <t>-3005.26万</t>
  </si>
  <si>
    <t>-32.12万</t>
  </si>
  <si>
    <t>2773.47万</t>
  </si>
  <si>
    <t>10派1.4元(含税)</t>
  </si>
  <si>
    <t>672.83万</t>
  </si>
  <si>
    <t>5790.62万</t>
  </si>
  <si>
    <t>19.77万</t>
  </si>
  <si>
    <t>5520.63万</t>
  </si>
  <si>
    <t>3156.65万</t>
  </si>
  <si>
    <t>440.34万</t>
  </si>
  <si>
    <t>2870.69万</t>
  </si>
  <si>
    <t>1464.26万</t>
  </si>
  <si>
    <t>285.21万</t>
  </si>
  <si>
    <t>493.42万</t>
  </si>
  <si>
    <t>3154.97万</t>
  </si>
  <si>
    <t>270857亿</t>
  </si>
  <si>
    <t>3983197亿</t>
  </si>
  <si>
    <t>5516.35万</t>
  </si>
  <si>
    <t>430.92万</t>
  </si>
  <si>
    <t>275182340亿</t>
  </si>
  <si>
    <t>1194.38万</t>
  </si>
  <si>
    <t>127.38万</t>
  </si>
  <si>
    <t>4662.68万</t>
  </si>
  <si>
    <t>316.90万</t>
  </si>
  <si>
    <t>474.96万</t>
  </si>
  <si>
    <t>70.00万</t>
  </si>
  <si>
    <t>3866.00万</t>
  </si>
  <si>
    <t>152.24万</t>
  </si>
  <si>
    <t>768.56万</t>
  </si>
  <si>
    <t>97.63万</t>
  </si>
  <si>
    <t>2878.26万</t>
  </si>
  <si>
    <t>7615.55万</t>
  </si>
  <si>
    <t>6528.85万</t>
  </si>
  <si>
    <t>204.04万</t>
  </si>
  <si>
    <t>495.96万</t>
  </si>
  <si>
    <t>1240.98万</t>
  </si>
  <si>
    <t>-64000亿</t>
  </si>
  <si>
    <t>28770306亿</t>
  </si>
  <si>
    <t>1595.21万</t>
  </si>
  <si>
    <t>381090160亿</t>
  </si>
  <si>
    <t>2058.61万</t>
  </si>
  <si>
    <t>6469.43万</t>
  </si>
  <si>
    <t>1985.29万</t>
  </si>
  <si>
    <t>-1409.53万</t>
  </si>
  <si>
    <t>5330.13万</t>
  </si>
  <si>
    <t>10转3股派2元(含税)</t>
  </si>
  <si>
    <t>444.63万</t>
  </si>
  <si>
    <t>2629.87万</t>
  </si>
  <si>
    <t>42.85万</t>
  </si>
  <si>
    <t>2622.67万</t>
  </si>
  <si>
    <t>182.71万</t>
  </si>
  <si>
    <t>1537.84万</t>
  </si>
  <si>
    <t>2792.26万</t>
  </si>
  <si>
    <t>1259亿</t>
  </si>
  <si>
    <t>4.17万</t>
  </si>
  <si>
    <t>26761415亿</t>
  </si>
  <si>
    <t>9388.77万</t>
  </si>
  <si>
    <t>455060520亿</t>
  </si>
  <si>
    <t>5463.96万</t>
  </si>
  <si>
    <t>1344.00万</t>
  </si>
  <si>
    <t>-332.60万</t>
  </si>
  <si>
    <t>-1877.09万</t>
  </si>
  <si>
    <t>2247.61万</t>
  </si>
  <si>
    <t>6.99亿</t>
  </si>
  <si>
    <t>8833.66万</t>
  </si>
  <si>
    <t>257.03万</t>
  </si>
  <si>
    <t>1313.21万</t>
  </si>
  <si>
    <t>54.13万</t>
  </si>
  <si>
    <t>8.21亿</t>
  </si>
  <si>
    <t>14.22万</t>
  </si>
  <si>
    <t>-8591.17万</t>
  </si>
  <si>
    <t>-6.04万</t>
  </si>
  <si>
    <t>8626.29万</t>
  </si>
  <si>
    <t>2224.41万</t>
  </si>
  <si>
    <t>-85951155亿</t>
  </si>
  <si>
    <t>179447080亿</t>
  </si>
  <si>
    <t>7.49亿</t>
  </si>
  <si>
    <t>6900.00万</t>
  </si>
  <si>
    <t>6231.23万</t>
  </si>
  <si>
    <t>-4452.08万</t>
  </si>
  <si>
    <t>-4377.96万</t>
  </si>
  <si>
    <t>8482.92万</t>
  </si>
  <si>
    <t>177.97万</t>
  </si>
  <si>
    <t>-3.01亿</t>
  </si>
  <si>
    <t>-1.69万</t>
  </si>
  <si>
    <t>-1.54万</t>
  </si>
  <si>
    <t>298.27万</t>
  </si>
  <si>
    <t>2425.32万</t>
  </si>
  <si>
    <t>113.96万</t>
  </si>
  <si>
    <t>3241.03万</t>
  </si>
  <si>
    <t>1853.46万</t>
  </si>
  <si>
    <t>439.88万</t>
  </si>
  <si>
    <t>1612.93万</t>
  </si>
  <si>
    <t>1211.85万</t>
  </si>
  <si>
    <t>147.56万</t>
  </si>
  <si>
    <t>147.03万</t>
  </si>
  <si>
    <t>748.95万</t>
  </si>
  <si>
    <t>62984亿</t>
  </si>
  <si>
    <t>4221069亿</t>
  </si>
  <si>
    <t>5991.88万</t>
  </si>
  <si>
    <t>1129.87万</t>
  </si>
  <si>
    <t>253770850亿</t>
  </si>
  <si>
    <t>2031.91万</t>
  </si>
  <si>
    <t>2449.51万</t>
  </si>
  <si>
    <t>751.21万</t>
  </si>
  <si>
    <t>1019.50万</t>
  </si>
  <si>
    <t>4561.62万</t>
  </si>
  <si>
    <t>-737.35万</t>
  </si>
  <si>
    <t>-282.92万</t>
  </si>
  <si>
    <t>2447.60万</t>
  </si>
  <si>
    <t>1393.58万</t>
  </si>
  <si>
    <t>1527.63万</t>
  </si>
  <si>
    <t>832.81万</t>
  </si>
  <si>
    <t>5340.76万</t>
  </si>
  <si>
    <t>198.39万</t>
  </si>
  <si>
    <t>4818.47万</t>
  </si>
  <si>
    <t>4830.10万</t>
  </si>
  <si>
    <t>836.16万</t>
  </si>
  <si>
    <t>3794.30万</t>
  </si>
  <si>
    <t>3153.19万</t>
  </si>
  <si>
    <t>113.32万</t>
  </si>
  <si>
    <t>207.82万</t>
  </si>
  <si>
    <t>1351.88万</t>
  </si>
  <si>
    <t>8370414亿</t>
  </si>
  <si>
    <t>1140.91万</t>
  </si>
  <si>
    <t>311047160亿</t>
  </si>
  <si>
    <t>171.52万</t>
  </si>
  <si>
    <t>1189.07万</t>
  </si>
  <si>
    <t>3991.56万</t>
  </si>
  <si>
    <t>121.74万</t>
  </si>
  <si>
    <t>-145.75万</t>
  </si>
  <si>
    <t>-1005.83万</t>
  </si>
  <si>
    <t>3464.39万</t>
  </si>
  <si>
    <t>1324.97万</t>
  </si>
  <si>
    <t>7133.59万</t>
  </si>
  <si>
    <t>56.06万</t>
  </si>
  <si>
    <t>4966.38万</t>
  </si>
  <si>
    <t>392.70万</t>
  </si>
  <si>
    <t>4679.04万</t>
  </si>
  <si>
    <t>3724.26万</t>
  </si>
  <si>
    <t>137.29万</t>
  </si>
  <si>
    <t>450.68万</t>
  </si>
  <si>
    <t>1444.98万</t>
  </si>
  <si>
    <t>102214亿</t>
  </si>
  <si>
    <t>3745753亿</t>
  </si>
  <si>
    <t>4733.45万</t>
  </si>
  <si>
    <t>2600.65万</t>
  </si>
  <si>
    <t>531630510亿</t>
  </si>
  <si>
    <t>3703.19万</t>
  </si>
  <si>
    <t>6053.69万</t>
  </si>
  <si>
    <t>3703.00万</t>
  </si>
  <si>
    <t>-4190.71万</t>
  </si>
  <si>
    <t>230.21万</t>
  </si>
  <si>
    <t>-123.04万</t>
  </si>
  <si>
    <t>2490.09万</t>
  </si>
  <si>
    <t>374.86万</t>
  </si>
  <si>
    <t>2564.41万</t>
  </si>
  <si>
    <t>65.37万</t>
  </si>
  <si>
    <t>68.54亿</t>
  </si>
  <si>
    <t>57.50亿</t>
  </si>
  <si>
    <t>13.74亿</t>
  </si>
  <si>
    <t>-2976.42万</t>
  </si>
  <si>
    <t>14.00亿</t>
  </si>
  <si>
    <t>12.07亿</t>
  </si>
  <si>
    <t>1782.51万</t>
  </si>
  <si>
    <t>9250.11万</t>
  </si>
  <si>
    <t>-3193953亿</t>
  </si>
  <si>
    <t>143.68万</t>
  </si>
  <si>
    <t>-32139990亿</t>
  </si>
  <si>
    <t>15.48亿</t>
  </si>
  <si>
    <t>5012768400亿</t>
  </si>
  <si>
    <t>14.37亿</t>
  </si>
  <si>
    <t>37.00亿</t>
  </si>
  <si>
    <t>8.89亿</t>
  </si>
  <si>
    <t>60.45亿</t>
  </si>
  <si>
    <t>8.57亿</t>
  </si>
  <si>
    <t>-1.65亿</t>
  </si>
  <si>
    <t>58.68亿</t>
  </si>
  <si>
    <t>9568.35万</t>
  </si>
  <si>
    <t>437.77万</t>
  </si>
  <si>
    <t>3732.58万</t>
  </si>
  <si>
    <t>81.35万</t>
  </si>
  <si>
    <t>1353.45万</t>
  </si>
  <si>
    <t>-1337.41万</t>
  </si>
  <si>
    <t>3428.05万</t>
  </si>
  <si>
    <t>2191.30万</t>
  </si>
  <si>
    <t>165.20万</t>
  </si>
  <si>
    <t>694.48万</t>
  </si>
  <si>
    <t>1376.41万</t>
  </si>
  <si>
    <t>-210010亿</t>
  </si>
  <si>
    <t>-13439986亿</t>
  </si>
  <si>
    <t>7412.40万</t>
  </si>
  <si>
    <t>104.55万</t>
  </si>
  <si>
    <t>371510390亿</t>
  </si>
  <si>
    <t>3400.00万</t>
  </si>
  <si>
    <t>23.44万</t>
  </si>
  <si>
    <t>2144.94万</t>
  </si>
  <si>
    <t>9644.84万</t>
  </si>
  <si>
    <t>-1231.34万</t>
  </si>
  <si>
    <t>-206.24万</t>
  </si>
  <si>
    <t>-48.41万</t>
  </si>
  <si>
    <t>-901.82万</t>
  </si>
  <si>
    <t>929.67万</t>
  </si>
  <si>
    <t>4713.92万</t>
  </si>
  <si>
    <t>18.50万</t>
  </si>
  <si>
    <t>1196.74万</t>
  </si>
  <si>
    <t>123.40万</t>
  </si>
  <si>
    <t>629.12万</t>
  </si>
  <si>
    <t>2952.28万</t>
  </si>
  <si>
    <t>1040998亿</t>
  </si>
  <si>
    <t>8601996亿</t>
  </si>
  <si>
    <t>5929.81万</t>
  </si>
  <si>
    <t>828687030亿</t>
  </si>
  <si>
    <t>405.43万</t>
  </si>
  <si>
    <t>9841.73万</t>
  </si>
  <si>
    <t>3203.80万</t>
  </si>
  <si>
    <t>1509.09万</t>
  </si>
  <si>
    <t>1307.56万</t>
  </si>
  <si>
    <t>6187.83万</t>
  </si>
  <si>
    <t>8.10亿</t>
  </si>
  <si>
    <t>3160.77万</t>
  </si>
  <si>
    <t>157.12万</t>
  </si>
  <si>
    <t>1493.42万</t>
  </si>
  <si>
    <t>33.94万</t>
  </si>
  <si>
    <t>775.85万</t>
  </si>
  <si>
    <t>618.40万</t>
  </si>
  <si>
    <t>1928.32万</t>
  </si>
  <si>
    <t>3582.11万</t>
  </si>
  <si>
    <t>349899亿</t>
  </si>
  <si>
    <t>29.96万</t>
  </si>
  <si>
    <t>6890353亿</t>
  </si>
  <si>
    <t>2525.55万</t>
  </si>
  <si>
    <t>624213700亿</t>
  </si>
  <si>
    <t>2241.13万</t>
  </si>
  <si>
    <t>3722.79万</t>
  </si>
  <si>
    <t>2303.93万</t>
  </si>
  <si>
    <t>-597.20万</t>
  </si>
  <si>
    <t>-43.62万</t>
  </si>
  <si>
    <t>6339.39万</t>
  </si>
  <si>
    <t>8.93亿</t>
  </si>
  <si>
    <t>7462.54万</t>
  </si>
  <si>
    <t>330.90万</t>
  </si>
  <si>
    <t>1050.19万</t>
  </si>
  <si>
    <t>11.80万</t>
  </si>
  <si>
    <t>5.88亿</t>
  </si>
  <si>
    <t>9518.90万</t>
  </si>
  <si>
    <t>6871.27万</t>
  </si>
  <si>
    <t>1040.65万</t>
  </si>
  <si>
    <t>1077.94万</t>
  </si>
  <si>
    <t>3458.32万</t>
  </si>
  <si>
    <t>126341亿</t>
  </si>
  <si>
    <t>110.99万</t>
  </si>
  <si>
    <t>4943761亿</t>
  </si>
  <si>
    <t>339.40万</t>
  </si>
  <si>
    <t>999062070亿</t>
  </si>
  <si>
    <t>333.99万</t>
  </si>
  <si>
    <t>3139.90万</t>
  </si>
  <si>
    <t>-9183.71万</t>
  </si>
  <si>
    <t>-698.73万</t>
  </si>
  <si>
    <t>-3993.61万</t>
  </si>
  <si>
    <t>5979.45万</t>
  </si>
  <si>
    <t>84.98万</t>
  </si>
  <si>
    <t>730.10万</t>
  </si>
  <si>
    <t>1656.20万</t>
  </si>
  <si>
    <t>6.56亿</t>
  </si>
  <si>
    <t>247.47万</t>
  </si>
  <si>
    <t>9581.77万</t>
  </si>
  <si>
    <t>816.16万</t>
  </si>
  <si>
    <t>1299.19万</t>
  </si>
  <si>
    <t>2507.86万</t>
  </si>
  <si>
    <t>263318亿</t>
  </si>
  <si>
    <t>2025752亿</t>
  </si>
  <si>
    <t>2004.72万</t>
  </si>
  <si>
    <t>942727850亿</t>
  </si>
  <si>
    <t>2350.00万</t>
  </si>
  <si>
    <t>7741.52万</t>
  </si>
  <si>
    <t>-6963.93万</t>
  </si>
  <si>
    <t>-1524.97万</t>
  </si>
  <si>
    <t>-963.13万</t>
  </si>
  <si>
    <t>7.60亿</t>
  </si>
  <si>
    <t>2021.11万</t>
  </si>
  <si>
    <t>10派0.2元(含税)</t>
  </si>
  <si>
    <t>5505.83万</t>
  </si>
  <si>
    <t>33.52万</t>
  </si>
  <si>
    <t>6650.28万</t>
  </si>
  <si>
    <t>2242.73万</t>
  </si>
  <si>
    <t>4299.01万</t>
  </si>
  <si>
    <t>3572.33万</t>
  </si>
  <si>
    <t>103.44万</t>
  </si>
  <si>
    <t>281.86万</t>
  </si>
  <si>
    <t>1133.50万</t>
  </si>
  <si>
    <t>557411亿</t>
  </si>
  <si>
    <t>122.65万</t>
  </si>
  <si>
    <t>20439531亿</t>
  </si>
  <si>
    <t>572266610亿</t>
  </si>
  <si>
    <t>6599.79万</t>
  </si>
  <si>
    <t>6514.11万</t>
  </si>
  <si>
    <t>-1139.39万</t>
  </si>
  <si>
    <t>-8869.25万</t>
  </si>
  <si>
    <t>-7.79万</t>
  </si>
  <si>
    <t>366.56万</t>
  </si>
  <si>
    <t>1739.48万</t>
  </si>
  <si>
    <t>33.56万</t>
  </si>
  <si>
    <t>4900.16万</t>
  </si>
  <si>
    <t>4691.09万</t>
  </si>
  <si>
    <t>3892.90万</t>
  </si>
  <si>
    <t>161.47万</t>
  </si>
  <si>
    <t>407.02万</t>
  </si>
  <si>
    <t>1709.61万</t>
  </si>
  <si>
    <t>243750亿</t>
  </si>
  <si>
    <t>15.33万</t>
  </si>
  <si>
    <t>4056573亿</t>
  </si>
  <si>
    <t>336860970亿</t>
  </si>
  <si>
    <t>6469.16万</t>
  </si>
  <si>
    <t>3792.75万</t>
  </si>
  <si>
    <t>8314.60万</t>
  </si>
  <si>
    <t>4523.37万</t>
  </si>
  <si>
    <t>3100.99万</t>
  </si>
  <si>
    <t>-1675.79万</t>
  </si>
  <si>
    <t>-43.11万</t>
  </si>
  <si>
    <t>6612.91万</t>
  </si>
  <si>
    <t>5130.74万</t>
  </si>
  <si>
    <t>10派8.93元(含税)</t>
  </si>
  <si>
    <t>163.15万</t>
  </si>
  <si>
    <t>2325.98万</t>
  </si>
  <si>
    <t>50.70万</t>
  </si>
  <si>
    <t>367.39万</t>
  </si>
  <si>
    <t>931.66万</t>
  </si>
  <si>
    <t>1247.61万</t>
  </si>
  <si>
    <t>3531.22万</t>
  </si>
  <si>
    <t>499810亿</t>
  </si>
  <si>
    <t>6.82万</t>
  </si>
  <si>
    <t>2375443亿</t>
  </si>
  <si>
    <t>9774.83万</t>
  </si>
  <si>
    <t>37.52万</t>
  </si>
  <si>
    <t>1043361540亿</t>
  </si>
  <si>
    <t>9811.21万</t>
  </si>
  <si>
    <t>-1.26亿</t>
  </si>
  <si>
    <t>-5563.94万</t>
  </si>
  <si>
    <t>10.04亿</t>
  </si>
  <si>
    <t>7303.36万</t>
  </si>
  <si>
    <t>537.35万</t>
  </si>
  <si>
    <t>8600.71万</t>
  </si>
  <si>
    <t>8.75亿</t>
  </si>
  <si>
    <t>14.75亿</t>
  </si>
  <si>
    <t>16.06亿</t>
  </si>
  <si>
    <t>4093.87万</t>
  </si>
  <si>
    <t>15.59亿</t>
  </si>
  <si>
    <t>15.13亿</t>
  </si>
  <si>
    <t>1374.64万</t>
  </si>
  <si>
    <t>2354.18万</t>
  </si>
  <si>
    <t>-475561亿</t>
  </si>
  <si>
    <t>43.39万</t>
  </si>
  <si>
    <t>37491464亿</t>
  </si>
  <si>
    <t>1299567550亿</t>
  </si>
  <si>
    <t>6453.96万</t>
  </si>
  <si>
    <t>986.40万</t>
  </si>
  <si>
    <t>-8631.98万</t>
  </si>
  <si>
    <t>4883.97万</t>
  </si>
  <si>
    <t>-52.71万</t>
  </si>
  <si>
    <t>62.96亿</t>
  </si>
  <si>
    <t>111.57万</t>
  </si>
  <si>
    <t>937.10万</t>
  </si>
  <si>
    <t>68.80万</t>
  </si>
  <si>
    <t>5750.08万</t>
  </si>
  <si>
    <t>3233.56万</t>
  </si>
  <si>
    <t>531.52万</t>
  </si>
  <si>
    <t>3143.66万</t>
  </si>
  <si>
    <t>1689.66万</t>
  </si>
  <si>
    <t>750.22万</t>
  </si>
  <si>
    <t>340.17万</t>
  </si>
  <si>
    <t>1464.92万</t>
  </si>
  <si>
    <t>173092亿</t>
  </si>
  <si>
    <t>2990739亿</t>
  </si>
  <si>
    <t>3559.23万</t>
  </si>
  <si>
    <t>49.77万</t>
  </si>
  <si>
    <t>245548820亿</t>
  </si>
  <si>
    <t>120.27万</t>
  </si>
  <si>
    <t>985.90万</t>
  </si>
  <si>
    <t>2209.44万</t>
  </si>
  <si>
    <t>5410.99万</t>
  </si>
  <si>
    <t>1060.99万</t>
  </si>
  <si>
    <t>-8056.02万</t>
  </si>
  <si>
    <t>13.72万</t>
  </si>
  <si>
    <t>2020.07万</t>
  </si>
  <si>
    <t>238.81万</t>
  </si>
  <si>
    <t>1011.70万</t>
  </si>
  <si>
    <t>262.59万</t>
  </si>
  <si>
    <t>3342.48万</t>
  </si>
  <si>
    <t>308.50万</t>
  </si>
  <si>
    <t>3287.68万</t>
  </si>
  <si>
    <t>1695.10万</t>
  </si>
  <si>
    <t>239.97万</t>
  </si>
  <si>
    <t>1098.27万</t>
  </si>
  <si>
    <t>1789.93万</t>
  </si>
  <si>
    <t>1325301亿</t>
  </si>
  <si>
    <t>1043540亿</t>
  </si>
  <si>
    <t>5915.47万</t>
  </si>
  <si>
    <t>451036800亿</t>
  </si>
  <si>
    <t>1000.08万</t>
  </si>
  <si>
    <t>1469.90万</t>
  </si>
  <si>
    <t>8905.28万</t>
  </si>
  <si>
    <t>523.36万</t>
  </si>
  <si>
    <t>339.22万</t>
  </si>
  <si>
    <t>-66.65万</t>
  </si>
  <si>
    <t>689.69万</t>
  </si>
  <si>
    <t>2008.39万</t>
  </si>
  <si>
    <t>1748.67万</t>
  </si>
  <si>
    <t>28.74万</t>
  </si>
  <si>
    <t>358.05万</t>
  </si>
  <si>
    <t>9454.92万</t>
  </si>
  <si>
    <t>8450.57万</t>
  </si>
  <si>
    <t>116.80万</t>
  </si>
  <si>
    <t>445.59万</t>
  </si>
  <si>
    <t>2342.42万</t>
  </si>
  <si>
    <t>2.31万</t>
  </si>
  <si>
    <t>6107767亿</t>
  </si>
  <si>
    <t>9405.86万</t>
  </si>
  <si>
    <t>970.32万</t>
  </si>
  <si>
    <t>358399530亿</t>
  </si>
  <si>
    <t>395.23万</t>
  </si>
  <si>
    <t>6005.92万</t>
  </si>
  <si>
    <t>2230.62万</t>
  </si>
  <si>
    <t>2831.58万</t>
  </si>
  <si>
    <t>-3140.99万</t>
  </si>
  <si>
    <t>-2761.07万</t>
  </si>
  <si>
    <t>-69.65万</t>
  </si>
  <si>
    <t>3449.02万</t>
  </si>
  <si>
    <t>161.16万</t>
  </si>
  <si>
    <t>1177.06万</t>
  </si>
  <si>
    <t>43.26万</t>
  </si>
  <si>
    <t>32.21亿</t>
  </si>
  <si>
    <t>11.97亿</t>
  </si>
  <si>
    <t>10.67亿</t>
  </si>
  <si>
    <t>7444.06万</t>
  </si>
  <si>
    <t>2195.50万</t>
  </si>
  <si>
    <t>-749644亿</t>
  </si>
  <si>
    <t>2.14万</t>
  </si>
  <si>
    <t>115080926亿</t>
  </si>
  <si>
    <t>5230688900亿</t>
  </si>
  <si>
    <t>2968.98万</t>
  </si>
  <si>
    <t>13.30亿</t>
  </si>
  <si>
    <t>3357.04万</t>
  </si>
  <si>
    <t>33.99亿</t>
  </si>
  <si>
    <t>4155.75万</t>
  </si>
  <si>
    <t>-3257.17万</t>
  </si>
  <si>
    <t>-1407.00万</t>
  </si>
  <si>
    <t>5851.17万</t>
  </si>
  <si>
    <t>58.60亿</t>
  </si>
  <si>
    <t>359.07万</t>
  </si>
  <si>
    <t>3416.14万</t>
  </si>
  <si>
    <t>42.66万</t>
  </si>
  <si>
    <t>9.29亿</t>
  </si>
  <si>
    <t>1903.31万</t>
  </si>
  <si>
    <t>1690.89万</t>
  </si>
  <si>
    <t>632.29万</t>
  </si>
  <si>
    <t>6829.14万</t>
  </si>
  <si>
    <t>174570亿</t>
  </si>
  <si>
    <t>6.28万</t>
  </si>
  <si>
    <t>18723528亿</t>
  </si>
  <si>
    <t>74.31万</t>
  </si>
  <si>
    <t>1538082800亿</t>
  </si>
  <si>
    <t>4044.86万</t>
  </si>
  <si>
    <t>-1.88亿</t>
  </si>
  <si>
    <t>-710.03万</t>
  </si>
  <si>
    <t>5746.51万</t>
  </si>
  <si>
    <t>19.06亿</t>
  </si>
  <si>
    <t>3985.35万</t>
  </si>
  <si>
    <t>344.15万</t>
  </si>
  <si>
    <t>3275.18万</t>
  </si>
  <si>
    <t>57.97万</t>
  </si>
  <si>
    <t>12.53亿</t>
  </si>
  <si>
    <t>10.87亿</t>
  </si>
  <si>
    <t>2118.41万</t>
  </si>
  <si>
    <t>1786.48万</t>
  </si>
  <si>
    <t>801.22万</t>
  </si>
  <si>
    <t>9863.35万</t>
  </si>
  <si>
    <t>30.49万</t>
  </si>
  <si>
    <t>20462681亿</t>
  </si>
  <si>
    <t>2318.54万</t>
  </si>
  <si>
    <t>1937128700亿</t>
  </si>
  <si>
    <t>246.27万</t>
  </si>
  <si>
    <t>7.94亿</t>
  </si>
  <si>
    <t>12.65亿</t>
  </si>
  <si>
    <t>4990.00万</t>
  </si>
  <si>
    <t>5096.55万</t>
  </si>
  <si>
    <t>-723.06万</t>
  </si>
  <si>
    <t>9880.27万</t>
  </si>
  <si>
    <t>29.83亿</t>
  </si>
  <si>
    <t>10转3股派4元(含税)</t>
  </si>
  <si>
    <t>371.68万</t>
  </si>
  <si>
    <t>4536.86万</t>
  </si>
  <si>
    <t>24.76万</t>
  </si>
  <si>
    <t>954.11万</t>
  </si>
  <si>
    <t>9874.62万</t>
  </si>
  <si>
    <t>841.05万</t>
  </si>
  <si>
    <t>1034.57万</t>
  </si>
  <si>
    <t>1327.31万</t>
  </si>
  <si>
    <t>27330亿</t>
  </si>
  <si>
    <t>1.78万</t>
  </si>
  <si>
    <t>9150083亿</t>
  </si>
  <si>
    <t>427415680亿</t>
  </si>
  <si>
    <t>4804.05万</t>
  </si>
  <si>
    <t>1677.66万</t>
  </si>
  <si>
    <t>5564.10万</t>
  </si>
  <si>
    <t>632.00万</t>
  </si>
  <si>
    <t>639.98万</t>
  </si>
  <si>
    <t>-32.42万</t>
  </si>
  <si>
    <t>3095.60万</t>
  </si>
  <si>
    <t>2065.14万</t>
  </si>
  <si>
    <t>122.33万</t>
  </si>
  <si>
    <t>1807.71万</t>
  </si>
  <si>
    <t>141.63万</t>
  </si>
  <si>
    <t>2446.96万</t>
  </si>
  <si>
    <t>651.71万</t>
  </si>
  <si>
    <t>1737.31万</t>
  </si>
  <si>
    <t>1199.27万</t>
  </si>
  <si>
    <t>32.78万</t>
  </si>
  <si>
    <t>295.82万</t>
  </si>
  <si>
    <t>233.47万</t>
  </si>
  <si>
    <t>-122854亿</t>
  </si>
  <si>
    <t>6514643亿</t>
  </si>
  <si>
    <t>209638980亿</t>
  </si>
  <si>
    <t>2090.90万</t>
  </si>
  <si>
    <t>5552.45万</t>
  </si>
  <si>
    <t>2038.03万</t>
  </si>
  <si>
    <t>2526.91万</t>
  </si>
  <si>
    <t>6408.39万</t>
  </si>
  <si>
    <t>2493.06万</t>
  </si>
  <si>
    <t>-1359.01万</t>
  </si>
  <si>
    <t>533.60万</t>
  </si>
  <si>
    <t>6181.81万</t>
  </si>
  <si>
    <t>5363.98万</t>
  </si>
  <si>
    <t>1394.39万</t>
  </si>
  <si>
    <t>6.19万</t>
  </si>
  <si>
    <t>6356.89万</t>
  </si>
  <si>
    <t>5060.82万</t>
  </si>
  <si>
    <t>1162.82万</t>
  </si>
  <si>
    <t>3833.96万</t>
  </si>
  <si>
    <t>3051.81万</t>
  </si>
  <si>
    <t>192.82万</t>
  </si>
  <si>
    <t>319.72万</t>
  </si>
  <si>
    <t>1055.33万</t>
  </si>
  <si>
    <t>399142亿</t>
  </si>
  <si>
    <t>34.07万</t>
  </si>
  <si>
    <t>10997767亿</t>
  </si>
  <si>
    <t>3503.33万</t>
  </si>
  <si>
    <t>215635370亿</t>
  </si>
  <si>
    <t>8244.49万</t>
  </si>
  <si>
    <t>4293.19万</t>
  </si>
  <si>
    <t>5426.57万</t>
  </si>
  <si>
    <t>366.65万</t>
  </si>
  <si>
    <t>-7149.26万</t>
  </si>
  <si>
    <t>5590.50万</t>
  </si>
  <si>
    <t>10转3股派6.3元(含税)</t>
  </si>
  <si>
    <t>77.65万</t>
  </si>
  <si>
    <t>498.15万</t>
  </si>
  <si>
    <t>18.82万</t>
  </si>
  <si>
    <t>3619.14万</t>
  </si>
  <si>
    <t>1723.97万</t>
  </si>
  <si>
    <t>471.51万</t>
  </si>
  <si>
    <t>5635.79万</t>
  </si>
  <si>
    <t>8.98万</t>
  </si>
  <si>
    <t>36518409亿</t>
  </si>
  <si>
    <t>282.43万</t>
  </si>
  <si>
    <t>912210100亿</t>
  </si>
  <si>
    <t>14.81万</t>
  </si>
  <si>
    <t>109.50万</t>
  </si>
  <si>
    <t>167.11万</t>
  </si>
  <si>
    <t>-427.57万</t>
  </si>
  <si>
    <t>-4702.84万</t>
  </si>
  <si>
    <t>9.54亿</t>
  </si>
  <si>
    <t>163.00万</t>
  </si>
  <si>
    <t>2541.38万</t>
  </si>
  <si>
    <t>26.01万</t>
  </si>
  <si>
    <t>7.63亿</t>
  </si>
  <si>
    <t>8463.31万</t>
  </si>
  <si>
    <t>1154.25万</t>
  </si>
  <si>
    <t>6775.42万</t>
  </si>
  <si>
    <t>4721.46万</t>
  </si>
  <si>
    <t>137.64万</t>
  </si>
  <si>
    <t>1216.34万</t>
  </si>
  <si>
    <t>1972.53万</t>
  </si>
  <si>
    <t>26623亿</t>
  </si>
  <si>
    <t>5.99万</t>
  </si>
  <si>
    <t>11205813亿</t>
  </si>
  <si>
    <t>5160.66万</t>
  </si>
  <si>
    <t>439973110亿</t>
  </si>
  <si>
    <t>3428.94万</t>
  </si>
  <si>
    <t>706.30万</t>
  </si>
  <si>
    <t>7505.12万</t>
  </si>
  <si>
    <t>1770.98万</t>
  </si>
  <si>
    <t>-1265.48万</t>
  </si>
  <si>
    <t>-3721.98万</t>
  </si>
  <si>
    <t>3579.87万</t>
  </si>
  <si>
    <t>3795.93万</t>
  </si>
  <si>
    <t>188.89万</t>
  </si>
  <si>
    <t>1024.79万</t>
  </si>
  <si>
    <t>74.32万</t>
  </si>
  <si>
    <t>3475.74万</t>
  </si>
  <si>
    <t>6131.71万</t>
  </si>
  <si>
    <t>169.46万</t>
  </si>
  <si>
    <t>5609.79万</t>
  </si>
  <si>
    <t>4038.53万</t>
  </si>
  <si>
    <t>492.30万</t>
  </si>
  <si>
    <t>436.58万</t>
  </si>
  <si>
    <t>2626.00万</t>
  </si>
  <si>
    <t>347514亿</t>
  </si>
  <si>
    <t>1254525亿</t>
  </si>
  <si>
    <t>564169920亿</t>
  </si>
  <si>
    <t>395.74万</t>
  </si>
  <si>
    <t>2333.82万</t>
  </si>
  <si>
    <t>-3249.81万</t>
  </si>
  <si>
    <t>-3687.05万</t>
  </si>
  <si>
    <t>-61.45万</t>
  </si>
  <si>
    <t>-8268.53万</t>
  </si>
  <si>
    <t>970.04万</t>
  </si>
  <si>
    <t>519.02万</t>
  </si>
  <si>
    <t>2254.02万</t>
  </si>
  <si>
    <t>156.34亿</t>
  </si>
  <si>
    <t>142.06亿</t>
  </si>
  <si>
    <t>35.28亿</t>
  </si>
  <si>
    <t>32.35亿</t>
  </si>
  <si>
    <t>27.88亿</t>
  </si>
  <si>
    <t>1780.51万</t>
  </si>
  <si>
    <t>-5358860亿</t>
  </si>
  <si>
    <t>78.87万</t>
  </si>
  <si>
    <t>253712330亿</t>
  </si>
  <si>
    <t>64.04亿</t>
  </si>
  <si>
    <t>15193903000亿</t>
  </si>
  <si>
    <t>32.86亿</t>
  </si>
  <si>
    <t>17.98亿</t>
  </si>
  <si>
    <t>15.69亿</t>
  </si>
  <si>
    <t>51.98亿</t>
  </si>
  <si>
    <t>5.44万</t>
  </si>
  <si>
    <t>111.01亿</t>
  </si>
  <si>
    <t>47.41亿</t>
  </si>
  <si>
    <t>10.31亿</t>
  </si>
  <si>
    <t>-15.18亿</t>
  </si>
  <si>
    <t>23.11亿</t>
  </si>
  <si>
    <t>251.19亿</t>
  </si>
  <si>
    <t>454.52万</t>
  </si>
  <si>
    <t>4918.64万</t>
  </si>
  <si>
    <t>231.07万</t>
  </si>
  <si>
    <t>83.99万</t>
  </si>
  <si>
    <t>9472.92万</t>
  </si>
  <si>
    <t>591.42万</t>
  </si>
  <si>
    <t>474.27万</t>
  </si>
  <si>
    <t>2758.94万</t>
  </si>
  <si>
    <t>-40131亿</t>
  </si>
  <si>
    <t>512133亿</t>
  </si>
  <si>
    <t>7193.84万</t>
  </si>
  <si>
    <t>482028550亿</t>
  </si>
  <si>
    <t>1447.67万</t>
  </si>
  <si>
    <t>1826.77万</t>
  </si>
  <si>
    <t>9769.79万</t>
  </si>
  <si>
    <t>-2105.69万</t>
  </si>
  <si>
    <t>-124.65万</t>
  </si>
  <si>
    <t>-524.10万</t>
  </si>
  <si>
    <t>461.83万</t>
  </si>
  <si>
    <t>1286.32万</t>
  </si>
  <si>
    <t>5002.25万</t>
  </si>
  <si>
    <t>16.84万</t>
  </si>
  <si>
    <t>8134.66万</t>
  </si>
  <si>
    <t>1382.56万</t>
  </si>
  <si>
    <t>6721.36万</t>
  </si>
  <si>
    <t>5458.84万</t>
  </si>
  <si>
    <t>411.59万</t>
  </si>
  <si>
    <t>411.71万</t>
  </si>
  <si>
    <t>1859.50万</t>
  </si>
  <si>
    <t>1230434亿</t>
  </si>
  <si>
    <t>12949987亿</t>
  </si>
  <si>
    <t>407609290亿</t>
  </si>
  <si>
    <t>4863.56万</t>
  </si>
  <si>
    <t>6353.90万</t>
  </si>
  <si>
    <t>4333.80万</t>
  </si>
  <si>
    <t>12.72万</t>
  </si>
  <si>
    <t>141.91万</t>
  </si>
  <si>
    <t>4108.62万</t>
  </si>
  <si>
    <t>-20.07万</t>
  </si>
  <si>
    <t>3918.63万</t>
  </si>
  <si>
    <t>4461.36万</t>
  </si>
  <si>
    <t>135.11万</t>
  </si>
  <si>
    <t>870.11万</t>
  </si>
  <si>
    <t>263.12万</t>
  </si>
  <si>
    <t>4304.05万</t>
  </si>
  <si>
    <t>-85.51万</t>
  </si>
  <si>
    <t>6053.74万</t>
  </si>
  <si>
    <t>3384.35万</t>
  </si>
  <si>
    <t>855.37万</t>
  </si>
  <si>
    <t>7216.37万</t>
  </si>
  <si>
    <t>20009亿</t>
  </si>
  <si>
    <t>-872149亿</t>
  </si>
  <si>
    <t>731162840亿</t>
  </si>
  <si>
    <t>1172.68万</t>
  </si>
  <si>
    <t>3066.67万</t>
  </si>
  <si>
    <t>982.59万</t>
  </si>
  <si>
    <t>6979.24万</t>
  </si>
  <si>
    <t>-1370.46万</t>
  </si>
  <si>
    <t>-1480.22万</t>
  </si>
  <si>
    <t>-6012.04万</t>
  </si>
  <si>
    <t>2073.67万</t>
  </si>
  <si>
    <t>4981.00万</t>
  </si>
  <si>
    <t>46.80万</t>
  </si>
  <si>
    <t>87.15亿</t>
  </si>
  <si>
    <t>42.14亿</t>
  </si>
  <si>
    <t>10.97亿</t>
  </si>
  <si>
    <t>4860.26万</t>
  </si>
  <si>
    <t>6244.30万</t>
  </si>
  <si>
    <t>32094987亿</t>
  </si>
  <si>
    <t>50.20万</t>
  </si>
  <si>
    <t>212648050亿</t>
  </si>
  <si>
    <t>13.29亿</t>
  </si>
  <si>
    <t>10476720600亿</t>
  </si>
  <si>
    <t>13.47亿</t>
  </si>
  <si>
    <t>78.46亿</t>
  </si>
  <si>
    <t>6490.00万</t>
  </si>
  <si>
    <t>-2.23亿</t>
  </si>
  <si>
    <t>-85.57万</t>
  </si>
  <si>
    <t>60.02亿</t>
  </si>
  <si>
    <t>257.38万</t>
  </si>
  <si>
    <t>2239.87万</t>
  </si>
  <si>
    <t>戈碧迦</t>
  </si>
  <si>
    <t>224.64万</t>
  </si>
  <si>
    <t>3277.80万</t>
  </si>
  <si>
    <t>377.38万</t>
  </si>
  <si>
    <t>1196.62万</t>
  </si>
  <si>
    <t>3892.89万</t>
  </si>
  <si>
    <t>1.93万</t>
  </si>
  <si>
    <t>34454936亿</t>
  </si>
  <si>
    <t>3959.89万</t>
  </si>
  <si>
    <t>725118900亿</t>
  </si>
  <si>
    <t>1427.10万</t>
  </si>
  <si>
    <t>5975.11万</t>
  </si>
  <si>
    <t>5584.84万</t>
  </si>
  <si>
    <t>5719.85万</t>
  </si>
  <si>
    <t>7890.00万</t>
  </si>
  <si>
    <t>2397.10万</t>
  </si>
  <si>
    <t>-3822.06万</t>
  </si>
  <si>
    <t>4583.38万</t>
  </si>
  <si>
    <t>5030.82万</t>
  </si>
  <si>
    <t>3479.47万</t>
  </si>
  <si>
    <t>3154.18万</t>
  </si>
  <si>
    <t>817.05万</t>
  </si>
  <si>
    <t>4818.26万</t>
  </si>
  <si>
    <t>光学元件</t>
  </si>
  <si>
    <t>1029.95万</t>
  </si>
  <si>
    <t>146.02万</t>
  </si>
  <si>
    <t>4690.29万</t>
  </si>
  <si>
    <t>894.22万</t>
  </si>
  <si>
    <t>-140.43万</t>
  </si>
  <si>
    <t>1116.14万</t>
  </si>
  <si>
    <t>399.45万</t>
  </si>
  <si>
    <t>110.15万</t>
  </si>
  <si>
    <t>195.99万</t>
  </si>
  <si>
    <t>1337.31万</t>
  </si>
  <si>
    <t>-58524亿</t>
  </si>
  <si>
    <t>-1438296亿</t>
  </si>
  <si>
    <t>514.51万</t>
  </si>
  <si>
    <t>228912740亿</t>
  </si>
  <si>
    <t>101.77万</t>
  </si>
  <si>
    <t>2286.45万</t>
  </si>
  <si>
    <t>3571.30万</t>
  </si>
  <si>
    <t>-243.01万</t>
  </si>
  <si>
    <t>-432.71万</t>
  </si>
  <si>
    <t>-57.18万</t>
  </si>
  <si>
    <t>7753.29万</t>
  </si>
  <si>
    <t>266.39万</t>
  </si>
  <si>
    <t>701.92万</t>
  </si>
  <si>
    <t>8003.75万</t>
  </si>
  <si>
    <t>机科股份</t>
  </si>
  <si>
    <t>147.26万</t>
  </si>
  <si>
    <t>8175.60万</t>
  </si>
  <si>
    <t>792.19万</t>
  </si>
  <si>
    <t>7469.43万</t>
  </si>
  <si>
    <t>6204.65万</t>
  </si>
  <si>
    <t>222.68万</t>
  </si>
  <si>
    <t>631.17万</t>
  </si>
  <si>
    <t>2085.68万</t>
  </si>
  <si>
    <t>61138亿</t>
  </si>
  <si>
    <t>7921109亿</t>
  </si>
  <si>
    <t>7982.37万</t>
  </si>
  <si>
    <t>1101598070亿</t>
  </si>
  <si>
    <t>4003.28万</t>
  </si>
  <si>
    <t>1931.86万</t>
  </si>
  <si>
    <t>-6982.24万</t>
  </si>
  <si>
    <t>-2.00亿</t>
  </si>
  <si>
    <t>3682.85万</t>
  </si>
  <si>
    <t>4030.00万</t>
  </si>
  <si>
    <t>3806.76万</t>
  </si>
  <si>
    <t>3179.19万</t>
  </si>
  <si>
    <t>1517.32万</t>
  </si>
  <si>
    <t>-383.05万</t>
  </si>
  <si>
    <t>4112.74万</t>
  </si>
  <si>
    <t>1259.10万</t>
  </si>
  <si>
    <t>10派2.3元(含税)</t>
  </si>
  <si>
    <t>1055.00万</t>
  </si>
  <si>
    <t>3665.20万</t>
  </si>
  <si>
    <t>20.29万</t>
  </si>
  <si>
    <t>9.11亿</t>
  </si>
  <si>
    <t>1325.56万</t>
  </si>
  <si>
    <t>352.64万</t>
  </si>
  <si>
    <t>7298.48万</t>
  </si>
  <si>
    <t>244775亿</t>
  </si>
  <si>
    <t>9.54万</t>
  </si>
  <si>
    <t>11534530亿</t>
  </si>
  <si>
    <t>917521410亿</t>
  </si>
  <si>
    <t>1270.81万</t>
  </si>
  <si>
    <t>2983.48万</t>
  </si>
  <si>
    <t>3500.00万</t>
  </si>
  <si>
    <t>-8316.74万</t>
  </si>
  <si>
    <t>-1602.27万</t>
  </si>
  <si>
    <t>-2917.24万</t>
  </si>
  <si>
    <t>8.15亿</t>
  </si>
  <si>
    <t>147.01万</t>
  </si>
  <si>
    <t>1677.52万</t>
  </si>
  <si>
    <t>143.71万</t>
  </si>
  <si>
    <t>2488.94万</t>
  </si>
  <si>
    <t>419.60万</t>
  </si>
  <si>
    <t>80.81万</t>
  </si>
  <si>
    <t>1349.00万</t>
  </si>
  <si>
    <t>171.97万</t>
  </si>
  <si>
    <t>324.21万</t>
  </si>
  <si>
    <t>353.26万</t>
  </si>
  <si>
    <t>2294.14万</t>
  </si>
  <si>
    <t>-5183586亿</t>
  </si>
  <si>
    <t>202472690亿</t>
  </si>
  <si>
    <t>214.71万</t>
  </si>
  <si>
    <t>47.96万</t>
  </si>
  <si>
    <t>1942.18万</t>
  </si>
  <si>
    <t>-130.78万</t>
  </si>
  <si>
    <t>-704.66万</t>
  </si>
  <si>
    <t>-49.55万</t>
  </si>
  <si>
    <t>-424.42万</t>
  </si>
  <si>
    <t>9657.87万</t>
  </si>
  <si>
    <t>1163.83万</t>
  </si>
  <si>
    <t>839.36万</t>
  </si>
  <si>
    <t>3495.29万</t>
  </si>
  <si>
    <t>58.33万</t>
  </si>
  <si>
    <t>8.70亿</t>
  </si>
  <si>
    <t>533.91万</t>
  </si>
  <si>
    <t>276.46万</t>
  </si>
  <si>
    <t>1387.50万</t>
  </si>
  <si>
    <t>4703.22万</t>
  </si>
  <si>
    <t>-19583亿</t>
  </si>
  <si>
    <t>12.56万</t>
  </si>
  <si>
    <t>5082547亿</t>
  </si>
  <si>
    <t>3987.91万</t>
  </si>
  <si>
    <t>1191564220亿</t>
  </si>
  <si>
    <t>2149.53万</t>
  </si>
  <si>
    <t>472.55万</t>
  </si>
  <si>
    <t>450.50万</t>
  </si>
  <si>
    <t>-3138.75万</t>
  </si>
  <si>
    <t>-783.27万</t>
  </si>
  <si>
    <t>6538.54万</t>
  </si>
  <si>
    <t>4968.30万</t>
  </si>
  <si>
    <t>4012.14万</t>
  </si>
  <si>
    <t>360.05万</t>
  </si>
  <si>
    <t>2334.47万</t>
  </si>
  <si>
    <t>6948.77万</t>
  </si>
  <si>
    <t>458.30万</t>
  </si>
  <si>
    <t>6930.72万</t>
  </si>
  <si>
    <t>3954.21万</t>
  </si>
  <si>
    <t>1337.07万</t>
  </si>
  <si>
    <t>904.53万</t>
  </si>
  <si>
    <t>3333.53万</t>
  </si>
  <si>
    <t>10290亿</t>
  </si>
  <si>
    <t>2017659亿</t>
  </si>
  <si>
    <t>22.85万</t>
  </si>
  <si>
    <t>613759940亿</t>
  </si>
  <si>
    <t>118.49万</t>
  </si>
  <si>
    <t>500.50万</t>
  </si>
  <si>
    <t>3494.11万</t>
  </si>
  <si>
    <t>4090.58万</t>
  </si>
  <si>
    <t>399.65万</t>
  </si>
  <si>
    <t>-3.00亿</t>
  </si>
  <si>
    <t>403.79万</t>
  </si>
  <si>
    <t>1612.65万</t>
  </si>
  <si>
    <t>746.70万</t>
  </si>
  <si>
    <t>2581.99万</t>
  </si>
  <si>
    <t>138.76万</t>
  </si>
  <si>
    <t>13.49亿</t>
  </si>
  <si>
    <t>1805.73万</t>
  </si>
  <si>
    <t>3187.09万</t>
  </si>
  <si>
    <t>4058.96万</t>
  </si>
  <si>
    <t>2000000亿</t>
  </si>
  <si>
    <t>5.15万</t>
  </si>
  <si>
    <t>15043633亿</t>
  </si>
  <si>
    <t>2508292000亿</t>
  </si>
  <si>
    <t>6.84亿</t>
  </si>
  <si>
    <t>3005.07万</t>
  </si>
  <si>
    <t>-3.36亿</t>
  </si>
  <si>
    <t>-8311.90万</t>
  </si>
  <si>
    <t>6211.83万</t>
  </si>
  <si>
    <t>41.03亿</t>
  </si>
  <si>
    <t>10派2.2元(含税)</t>
  </si>
  <si>
    <t>1164.44万</t>
  </si>
  <si>
    <t>69.66万</t>
  </si>
  <si>
    <t>28.20亿</t>
  </si>
  <si>
    <t>24.52亿</t>
  </si>
  <si>
    <t>2002.61万</t>
  </si>
  <si>
    <t>146.94万</t>
  </si>
  <si>
    <t>641.76万</t>
  </si>
  <si>
    <t>9553.41万</t>
  </si>
  <si>
    <t>3.48万</t>
  </si>
  <si>
    <t>19407679亿</t>
  </si>
  <si>
    <t>1568012700亿</t>
  </si>
  <si>
    <t>4998.45万</t>
  </si>
  <si>
    <t>15.84亿</t>
  </si>
  <si>
    <t>13.90亿</t>
  </si>
  <si>
    <t>-2.02亿</t>
  </si>
  <si>
    <t>-1.72亿</t>
  </si>
  <si>
    <t>20.49亿</t>
  </si>
  <si>
    <t>358.26万</t>
  </si>
  <si>
    <t>3111.72万</t>
  </si>
  <si>
    <t>41.42万</t>
  </si>
  <si>
    <t>7.30亿</t>
  </si>
  <si>
    <t>1034.80万</t>
  </si>
  <si>
    <t>355.00万</t>
  </si>
  <si>
    <t>753.47万</t>
  </si>
  <si>
    <t>3028.01万</t>
  </si>
  <si>
    <t>9943868亿</t>
  </si>
  <si>
    <t>374.84万</t>
  </si>
  <si>
    <t>677222230亿</t>
  </si>
  <si>
    <t>1484.03万</t>
  </si>
  <si>
    <t>3.56万</t>
  </si>
  <si>
    <t>-63.12万</t>
  </si>
  <si>
    <t>3132.97万</t>
  </si>
  <si>
    <t>-2357.89万</t>
  </si>
  <si>
    <t>7.82亿</t>
  </si>
  <si>
    <t>1070.14万</t>
  </si>
  <si>
    <t>299.49万</t>
  </si>
  <si>
    <t>4927.83万</t>
  </si>
  <si>
    <t>3.27万</t>
  </si>
  <si>
    <t>9.34亿</t>
  </si>
  <si>
    <t>1845.13万</t>
  </si>
  <si>
    <t>8879.45万</t>
  </si>
  <si>
    <t>959.42万</t>
  </si>
  <si>
    <t>1704.57万</t>
  </si>
  <si>
    <t>3322.98万</t>
  </si>
  <si>
    <t>2529687亿</t>
  </si>
  <si>
    <t>13579446亿</t>
  </si>
  <si>
    <t>1716.94万</t>
  </si>
  <si>
    <t>1114825490亿</t>
  </si>
  <si>
    <t>98.24万</t>
  </si>
  <si>
    <t>438.19万</t>
  </si>
  <si>
    <t>6427.61万</t>
  </si>
  <si>
    <t>-7112.27万</t>
  </si>
  <si>
    <t>-7948.36万</t>
  </si>
  <si>
    <t>-483.84万</t>
  </si>
  <si>
    <t>10转4股派16元(含税)</t>
  </si>
  <si>
    <t>19.25万</t>
  </si>
  <si>
    <t>99.60万</t>
  </si>
  <si>
    <t>51.27万</t>
  </si>
  <si>
    <t>7888.28万</t>
  </si>
  <si>
    <t>1456.97万</t>
  </si>
  <si>
    <t>6138.46万</t>
  </si>
  <si>
    <t>5336.29万</t>
  </si>
  <si>
    <t>91.39万</t>
  </si>
  <si>
    <t>333.89万</t>
  </si>
  <si>
    <t>1334.02万</t>
  </si>
  <si>
    <t>312998亿</t>
  </si>
  <si>
    <t>13980300亿</t>
  </si>
  <si>
    <t>6758.46万</t>
  </si>
  <si>
    <t>296714900亿</t>
  </si>
  <si>
    <t>5455.47万</t>
  </si>
  <si>
    <t>3502.50万</t>
  </si>
  <si>
    <t>4986.65万</t>
  </si>
  <si>
    <t>9757.10万</t>
  </si>
  <si>
    <t>2351.45万</t>
  </si>
  <si>
    <t>-1431.49万</t>
  </si>
  <si>
    <t>542.23万</t>
  </si>
  <si>
    <t>5150.91万</t>
  </si>
  <si>
    <t>280.26万</t>
  </si>
  <si>
    <t>2350.11万</t>
  </si>
  <si>
    <t>73.09万</t>
  </si>
  <si>
    <t>36.66亿</t>
  </si>
  <si>
    <t>8.60亿</t>
  </si>
  <si>
    <t>4178.52万</t>
  </si>
  <si>
    <t>7.53亿</t>
  </si>
  <si>
    <t>6.74亿</t>
  </si>
  <si>
    <t>1661.35万</t>
  </si>
  <si>
    <t>1708.46万</t>
  </si>
  <si>
    <t>486299亿</t>
  </si>
  <si>
    <t>2.90万</t>
  </si>
  <si>
    <t>36302521亿</t>
  </si>
  <si>
    <t>2014810600亿</t>
  </si>
  <si>
    <t>7.19亿</t>
  </si>
  <si>
    <t>27.33亿</t>
  </si>
  <si>
    <t>4761.74万</t>
  </si>
  <si>
    <t>-5755.82万</t>
  </si>
  <si>
    <t>-7154.37万</t>
  </si>
  <si>
    <t>27.97亿</t>
  </si>
  <si>
    <t>-2.71亿</t>
  </si>
  <si>
    <t>440.79万</t>
  </si>
  <si>
    <t>3708.83万</t>
  </si>
  <si>
    <t>161.83万</t>
  </si>
  <si>
    <t>8612.71万</t>
  </si>
  <si>
    <t>4.44亿</t>
  </si>
  <si>
    <t>9010.27万</t>
  </si>
  <si>
    <t>1062.73万</t>
  </si>
  <si>
    <t>7885.86万</t>
  </si>
  <si>
    <t>6151.08万</t>
  </si>
  <si>
    <t>408.12万</t>
  </si>
  <si>
    <t>599.89万</t>
  </si>
  <si>
    <t>2577.68万</t>
  </si>
  <si>
    <t>434750亿</t>
  </si>
  <si>
    <t>6.07万</t>
  </si>
  <si>
    <t>10032282亿</t>
  </si>
  <si>
    <t>3493.44万</t>
  </si>
  <si>
    <t>458034440亿</t>
  </si>
  <si>
    <t>4885.13万</t>
  </si>
  <si>
    <t>1219.67万</t>
  </si>
  <si>
    <t>4948.00万</t>
  </si>
  <si>
    <t>552.17万</t>
  </si>
  <si>
    <t>-879.36万</t>
  </si>
  <si>
    <t>5991.95万</t>
  </si>
  <si>
    <t>5188.09万</t>
  </si>
  <si>
    <t>10转3股派1.87元(含税)</t>
  </si>
  <si>
    <t>1299.43万</t>
  </si>
  <si>
    <t>14.21万</t>
  </si>
  <si>
    <t>3241.61万</t>
  </si>
  <si>
    <t>672.02万</t>
  </si>
  <si>
    <t>2685.13万</t>
  </si>
  <si>
    <t>1787.15万</t>
  </si>
  <si>
    <t>295.55万</t>
  </si>
  <si>
    <t>1237.85万</t>
  </si>
  <si>
    <t>560198亿</t>
  </si>
  <si>
    <t>5712955亿</t>
  </si>
  <si>
    <t>8051.51万</t>
  </si>
  <si>
    <t>1874.04万</t>
  </si>
  <si>
    <t>455994470亿</t>
  </si>
  <si>
    <t>63.31万</t>
  </si>
  <si>
    <t>1675.25万</t>
  </si>
  <si>
    <t>3750.69万</t>
  </si>
  <si>
    <t>501.85万</t>
  </si>
  <si>
    <t>721.82万</t>
  </si>
  <si>
    <t>-21.12万</t>
  </si>
  <si>
    <t>4333.73万</t>
  </si>
  <si>
    <t>124.98万</t>
  </si>
  <si>
    <t>941.76万</t>
  </si>
  <si>
    <t>65.63万</t>
  </si>
  <si>
    <t>8414.31万</t>
  </si>
  <si>
    <t>23.36万</t>
  </si>
  <si>
    <t>8690.01万</t>
  </si>
  <si>
    <t>6631.60万</t>
  </si>
  <si>
    <t>29.26万</t>
  </si>
  <si>
    <t>1579.21万</t>
  </si>
  <si>
    <t>2014.85万</t>
  </si>
  <si>
    <t>-899264亿</t>
  </si>
  <si>
    <t>14.86万</t>
  </si>
  <si>
    <t>105615亿</t>
  </si>
  <si>
    <t>4034.56万</t>
  </si>
  <si>
    <t>55.09万</t>
  </si>
  <si>
    <t>332164050亿</t>
  </si>
  <si>
    <t>2689.47万</t>
  </si>
  <si>
    <t>-6.27万</t>
  </si>
  <si>
    <t>-1613.84万</t>
  </si>
  <si>
    <t>4303.27万</t>
  </si>
  <si>
    <t>9013.24万</t>
  </si>
  <si>
    <t>10派1.428980元(含税)</t>
  </si>
  <si>
    <t>326.09万</t>
  </si>
  <si>
    <t>1971.33万</t>
  </si>
  <si>
    <t>15.38万</t>
  </si>
  <si>
    <t>7135.59万</t>
  </si>
  <si>
    <t>4758.42万</t>
  </si>
  <si>
    <t>1299.22万</t>
  </si>
  <si>
    <t>3625.67万</t>
  </si>
  <si>
    <t>2738.10万</t>
  </si>
  <si>
    <t>130.65万</t>
  </si>
  <si>
    <t>459.65万</t>
  </si>
  <si>
    <t>1618.30万</t>
  </si>
  <si>
    <t>482828亿</t>
  </si>
  <si>
    <t>3.63万</t>
  </si>
  <si>
    <t>11785686亿</t>
  </si>
  <si>
    <t>345.80万</t>
  </si>
  <si>
    <t>338813050亿</t>
  </si>
  <si>
    <t>9269.12万</t>
  </si>
  <si>
    <t>3551.26万</t>
  </si>
  <si>
    <t>5347.76万</t>
  </si>
  <si>
    <t>1019.09万</t>
  </si>
  <si>
    <t>129.86万</t>
  </si>
  <si>
    <t>5791.37万</t>
  </si>
  <si>
    <t>10转2股派5元(含税)</t>
  </si>
  <si>
    <t>81.43万</t>
  </si>
  <si>
    <t>537.94万</t>
  </si>
  <si>
    <t>27.44万</t>
  </si>
  <si>
    <t>2643.81万</t>
  </si>
  <si>
    <t>2810.75万</t>
  </si>
  <si>
    <t>875.78万</t>
  </si>
  <si>
    <t>1747.73万</t>
  </si>
  <si>
    <t>1095.66万</t>
  </si>
  <si>
    <t>104.33万</t>
  </si>
  <si>
    <t>274.09万</t>
  </si>
  <si>
    <t>739.19万</t>
  </si>
  <si>
    <t>761317亿</t>
  </si>
  <si>
    <t>8102970亿</t>
  </si>
  <si>
    <t>4376.97万</t>
  </si>
  <si>
    <t>205258430亿</t>
  </si>
  <si>
    <t>100.10万</t>
  </si>
  <si>
    <t>566.95万</t>
  </si>
  <si>
    <t>1115.38万</t>
  </si>
  <si>
    <t>2682.75万</t>
  </si>
  <si>
    <t>-228.80万</t>
  </si>
  <si>
    <t>-88.52万</t>
  </si>
  <si>
    <t>-500.86万</t>
  </si>
  <si>
    <t>4521.01万</t>
  </si>
  <si>
    <t>10转4股派2.8元(含税)</t>
  </si>
  <si>
    <t>2206.29万</t>
  </si>
  <si>
    <t>77.51万</t>
  </si>
  <si>
    <t>6663.50万</t>
  </si>
  <si>
    <t>2545.31万</t>
  </si>
  <si>
    <t>242.54万</t>
  </si>
  <si>
    <t>2388.09万</t>
  </si>
  <si>
    <t>1340.00万</t>
  </si>
  <si>
    <t>181.48万</t>
  </si>
  <si>
    <t>356.16万</t>
  </si>
  <si>
    <t>2029.04万</t>
  </si>
  <si>
    <t>2421493亿</t>
  </si>
  <si>
    <t>355792930亿</t>
  </si>
  <si>
    <t>1.81万</t>
  </si>
  <si>
    <t>2050.00万</t>
  </si>
  <si>
    <t>108.51万</t>
  </si>
  <si>
    <t>2497.88万</t>
  </si>
  <si>
    <t>5991.87万</t>
  </si>
  <si>
    <t>-1323.62万</t>
  </si>
  <si>
    <t>-44.49万</t>
  </si>
  <si>
    <t>1056.00万</t>
  </si>
  <si>
    <t>3438.55万</t>
  </si>
  <si>
    <t>10转2股派0.458904元(含税)</t>
  </si>
  <si>
    <t>876.54万</t>
  </si>
  <si>
    <t>2403.08万</t>
  </si>
  <si>
    <t>15.78万</t>
  </si>
  <si>
    <t>1030.10万</t>
  </si>
  <si>
    <t>303.28万</t>
  </si>
  <si>
    <t>797.24万</t>
  </si>
  <si>
    <t>1509.51万</t>
  </si>
  <si>
    <t>8453978亿</t>
  </si>
  <si>
    <t>1688.61万</t>
  </si>
  <si>
    <t>417454850亿</t>
  </si>
  <si>
    <t>6389.33万</t>
  </si>
  <si>
    <t>1950.00万</t>
  </si>
  <si>
    <t>5697.30万</t>
  </si>
  <si>
    <t>-13.68万</t>
  </si>
  <si>
    <t>-2641.11万</t>
  </si>
  <si>
    <t>-1642.54万</t>
  </si>
  <si>
    <t>5423.67万</t>
  </si>
  <si>
    <t>115.85万</t>
  </si>
  <si>
    <t>737.83万</t>
  </si>
  <si>
    <t>43.76万</t>
  </si>
  <si>
    <t>9508.94万</t>
  </si>
  <si>
    <t>419.41万</t>
  </si>
  <si>
    <t>295.12万</t>
  </si>
  <si>
    <t>321.76万</t>
  </si>
  <si>
    <t>1449.21万</t>
  </si>
  <si>
    <t>3881067亿</t>
  </si>
  <si>
    <t>166.37万</t>
  </si>
  <si>
    <t>283875540亿</t>
  </si>
  <si>
    <t>4314.32万</t>
  </si>
  <si>
    <t>4995.31万</t>
  </si>
  <si>
    <t>1683.89万</t>
  </si>
  <si>
    <t>8130.17万</t>
  </si>
  <si>
    <t>-77.36万</t>
  </si>
  <si>
    <t>-272.97万</t>
  </si>
  <si>
    <t>-831.82万</t>
  </si>
  <si>
    <t>990.84万</t>
  </si>
  <si>
    <t>174.10万</t>
  </si>
  <si>
    <t>850.71万</t>
  </si>
  <si>
    <t>159.47万</t>
  </si>
  <si>
    <t>3810.37万</t>
  </si>
  <si>
    <t>123.27万</t>
  </si>
  <si>
    <t>3689.61万</t>
  </si>
  <si>
    <t>830.12万</t>
  </si>
  <si>
    <t>2071.78万</t>
  </si>
  <si>
    <t>760.48万</t>
  </si>
  <si>
    <t>707.25万</t>
  </si>
  <si>
    <t>46957亿</t>
  </si>
  <si>
    <t>9.45万</t>
  </si>
  <si>
    <t>975307亿</t>
  </si>
  <si>
    <t>3706.82万</t>
  </si>
  <si>
    <t>4.47万</t>
  </si>
  <si>
    <t>198770710亿</t>
  </si>
  <si>
    <t>9808.45万</t>
  </si>
  <si>
    <t>4128.04万</t>
  </si>
  <si>
    <t>-88.60万</t>
  </si>
  <si>
    <t>-5568.93万</t>
  </si>
  <si>
    <t>-2700.64万</t>
  </si>
  <si>
    <t>1487.68万</t>
  </si>
  <si>
    <t>792.76万</t>
  </si>
  <si>
    <t>1677.07万</t>
  </si>
  <si>
    <t>6554.62万</t>
  </si>
  <si>
    <t>97.93万</t>
  </si>
  <si>
    <t>7416.09万</t>
  </si>
  <si>
    <t>2352.25万</t>
  </si>
  <si>
    <t>2217.27万</t>
  </si>
  <si>
    <t>1317.40万</t>
  </si>
  <si>
    <t>323.83万</t>
  </si>
  <si>
    <t>414.16万</t>
  </si>
  <si>
    <t>782.90万</t>
  </si>
  <si>
    <t>334135亿</t>
  </si>
  <si>
    <t>707017亿</t>
  </si>
  <si>
    <t>4051.32万</t>
  </si>
  <si>
    <t>600.25万</t>
  </si>
  <si>
    <t>184970180亿</t>
  </si>
  <si>
    <t>57.16万</t>
  </si>
  <si>
    <t>1846.96万</t>
  </si>
  <si>
    <t>4602.57万</t>
  </si>
  <si>
    <t>-1711.65万</t>
  </si>
  <si>
    <t>-5028.06万</t>
  </si>
  <si>
    <t>-8.22万</t>
  </si>
  <si>
    <t>2641.09万</t>
  </si>
  <si>
    <t>2667.14万</t>
  </si>
  <si>
    <t>363.82万</t>
  </si>
  <si>
    <t>1167.52万</t>
  </si>
  <si>
    <t>无锡晶海</t>
  </si>
  <si>
    <t>20.43万</t>
  </si>
  <si>
    <t>6.41亿</t>
  </si>
  <si>
    <t>9215.82万</t>
  </si>
  <si>
    <t>1467.37万</t>
  </si>
  <si>
    <t>7487.13万</t>
  </si>
  <si>
    <t>6377.52万</t>
  </si>
  <si>
    <t>619.72万</t>
  </si>
  <si>
    <t>1982.27万</t>
  </si>
  <si>
    <t>379280亿</t>
  </si>
  <si>
    <t>14191275亿</t>
  </si>
  <si>
    <t>443.06万</t>
  </si>
  <si>
    <t>506382270亿</t>
  </si>
  <si>
    <t>758.47万</t>
  </si>
  <si>
    <t>4682.38万</t>
  </si>
  <si>
    <t>6029.91万</t>
  </si>
  <si>
    <t>1537.66万</t>
  </si>
  <si>
    <t>-2.08亿</t>
  </si>
  <si>
    <t>2206.90万</t>
  </si>
  <si>
    <t>6435.01万</t>
  </si>
  <si>
    <t>7395.71万</t>
  </si>
  <si>
    <t>4937.43万</t>
  </si>
  <si>
    <t>2194.63万</t>
  </si>
  <si>
    <t>1332.12万</t>
  </si>
  <si>
    <t>5340.56万</t>
  </si>
  <si>
    <t>2765.59万</t>
  </si>
  <si>
    <t>190.23万</t>
  </si>
  <si>
    <t>1404.01万</t>
  </si>
  <si>
    <t>36.10万</t>
  </si>
  <si>
    <t>2244.57万</t>
  </si>
  <si>
    <t>276.39万</t>
  </si>
  <si>
    <t>330.28万</t>
  </si>
  <si>
    <t>1680.22万</t>
  </si>
  <si>
    <t>327767亿</t>
  </si>
  <si>
    <t>22211261亿</t>
  </si>
  <si>
    <t>4412.44万</t>
  </si>
  <si>
    <t>626756550亿</t>
  </si>
  <si>
    <t>1843.13万</t>
  </si>
  <si>
    <t>1119.48万</t>
  </si>
  <si>
    <t>-172.13万</t>
  </si>
  <si>
    <t>-113.34万</t>
  </si>
  <si>
    <t>6133.32万</t>
  </si>
  <si>
    <t>6866.06万</t>
  </si>
  <si>
    <t>157.29万</t>
  </si>
  <si>
    <t>1985.34万</t>
  </si>
  <si>
    <t>152.65万</t>
  </si>
  <si>
    <t>9033.08万</t>
  </si>
  <si>
    <t>1607.50万</t>
  </si>
  <si>
    <t>7448.13万</t>
  </si>
  <si>
    <t>6771.12万</t>
  </si>
  <si>
    <t>76.73万</t>
  </si>
  <si>
    <t>210.11万</t>
  </si>
  <si>
    <t>922.48万</t>
  </si>
  <si>
    <t>220.00万</t>
  </si>
  <si>
    <t>13169878亿</t>
  </si>
  <si>
    <t>1571.59万</t>
  </si>
  <si>
    <t>5456.29万</t>
  </si>
  <si>
    <t>410877040亿</t>
  </si>
  <si>
    <t>64.46万</t>
  </si>
  <si>
    <t>1901.54万</t>
  </si>
  <si>
    <t>3945.60万</t>
  </si>
  <si>
    <t>-6230.07万</t>
  </si>
  <si>
    <t>352.69万</t>
  </si>
  <si>
    <t>3925.65万</t>
  </si>
  <si>
    <t>10派6.57元(含税)</t>
  </si>
  <si>
    <t>883.29万</t>
  </si>
  <si>
    <t>3750.89万</t>
  </si>
  <si>
    <t>9086.65万</t>
  </si>
  <si>
    <t>3218.97万</t>
  </si>
  <si>
    <t>125.17万</t>
  </si>
  <si>
    <t>3327.78万</t>
  </si>
  <si>
    <t>2261.65万</t>
  </si>
  <si>
    <t>296.67万</t>
  </si>
  <si>
    <t>562.21万</t>
  </si>
  <si>
    <t>911.16万</t>
  </si>
  <si>
    <t>74682亿</t>
  </si>
  <si>
    <t>11.91万</t>
  </si>
  <si>
    <t>600976亿</t>
  </si>
  <si>
    <t>478.85万</t>
  </si>
  <si>
    <t>454678710亿</t>
  </si>
  <si>
    <t>3287.94万</t>
  </si>
  <si>
    <t>6005.71万</t>
  </si>
  <si>
    <t>1875.45万</t>
  </si>
  <si>
    <t>8835.66万</t>
  </si>
  <si>
    <t>421.21万</t>
  </si>
  <si>
    <t>-6034.67万</t>
  </si>
  <si>
    <t>1954.90万</t>
  </si>
  <si>
    <t>2360.67万</t>
  </si>
  <si>
    <t>10派0.9元(含税)</t>
  </si>
  <si>
    <t>243.36万</t>
  </si>
  <si>
    <t>945.60万</t>
  </si>
  <si>
    <t>169.99万</t>
  </si>
  <si>
    <t>1048.63万</t>
  </si>
  <si>
    <t>9419.65万</t>
  </si>
  <si>
    <t>8270.09万</t>
  </si>
  <si>
    <t>205.95万</t>
  </si>
  <si>
    <t>284.58万</t>
  </si>
  <si>
    <t>1962.68万</t>
  </si>
  <si>
    <t>471699亿</t>
  </si>
  <si>
    <t>9.50万</t>
  </si>
  <si>
    <t>8953175亿</t>
  </si>
  <si>
    <t>1829.89万</t>
  </si>
  <si>
    <t>416080220亿</t>
  </si>
  <si>
    <t>425.10万</t>
  </si>
  <si>
    <t>510.46万</t>
  </si>
  <si>
    <t>4196.20万</t>
  </si>
  <si>
    <t>479.16万</t>
  </si>
  <si>
    <t>482.44万</t>
  </si>
  <si>
    <t>5659.60万</t>
  </si>
  <si>
    <t>6079.64万</t>
  </si>
  <si>
    <t>4278.56万</t>
  </si>
  <si>
    <t>10派1.58元(含税)</t>
  </si>
  <si>
    <t>1279.93万</t>
  </si>
  <si>
    <t>5939.18万</t>
  </si>
  <si>
    <t>31.87万</t>
  </si>
  <si>
    <t>9.52亿</t>
  </si>
  <si>
    <t>928.67万</t>
  </si>
  <si>
    <t>7996.33万</t>
  </si>
  <si>
    <t>812.48万</t>
  </si>
  <si>
    <t>927.68万</t>
  </si>
  <si>
    <t>3098.87万</t>
  </si>
  <si>
    <t>-17220亿</t>
  </si>
  <si>
    <t>8717823亿</t>
  </si>
  <si>
    <t>2198.07万</t>
  </si>
  <si>
    <t>986116020亿</t>
  </si>
  <si>
    <t>4265.87万</t>
  </si>
  <si>
    <t>5375.50万</t>
  </si>
  <si>
    <t>7061.04万</t>
  </si>
  <si>
    <t>3691.02万</t>
  </si>
  <si>
    <t>-3361.62万</t>
  </si>
  <si>
    <t>-2384.05万</t>
  </si>
  <si>
    <t>4648.70万</t>
  </si>
  <si>
    <t>3839.09万</t>
  </si>
  <si>
    <t>529.43万</t>
  </si>
  <si>
    <t>1614.64万</t>
  </si>
  <si>
    <t>754.61万</t>
  </si>
  <si>
    <t>9683.96万</t>
  </si>
  <si>
    <t>8704.00万</t>
  </si>
  <si>
    <t>410.59万</t>
  </si>
  <si>
    <t>344.99万</t>
  </si>
  <si>
    <t>672.76万</t>
  </si>
  <si>
    <t>10643亿</t>
  </si>
  <si>
    <t>1.18万</t>
  </si>
  <si>
    <t>6568435亿</t>
  </si>
  <si>
    <t>5668.23万</t>
  </si>
  <si>
    <t>265448270亿</t>
  </si>
  <si>
    <t>652.31万</t>
  </si>
  <si>
    <t>4506.82万</t>
  </si>
  <si>
    <t>5657.36万</t>
  </si>
  <si>
    <t>2875.00万</t>
  </si>
  <si>
    <t>-1248.83万</t>
  </si>
  <si>
    <t>-709.65万</t>
  </si>
  <si>
    <t>379.98万</t>
  </si>
  <si>
    <t>3226.29万</t>
  </si>
  <si>
    <t>3487.15万</t>
  </si>
  <si>
    <t>648.95万</t>
  </si>
  <si>
    <t>4466.86万</t>
  </si>
  <si>
    <t>30.65万</t>
  </si>
  <si>
    <t>2597.21万</t>
  </si>
  <si>
    <t>3341.78万</t>
  </si>
  <si>
    <t>568.23万</t>
  </si>
  <si>
    <t>2662.01万</t>
  </si>
  <si>
    <t>2218.31万</t>
  </si>
  <si>
    <t>74.13万</t>
  </si>
  <si>
    <t>182.60万</t>
  </si>
  <si>
    <t>833.50万</t>
  </si>
  <si>
    <t>215480亿</t>
  </si>
  <si>
    <t>1.38万</t>
  </si>
  <si>
    <t>5371004亿</t>
  </si>
  <si>
    <t>2953.92万</t>
  </si>
  <si>
    <t>874.33万</t>
  </si>
  <si>
    <t>180830390亿</t>
  </si>
  <si>
    <t>4097.22万</t>
  </si>
  <si>
    <t>998.67万</t>
  </si>
  <si>
    <t>2530.54万</t>
  </si>
  <si>
    <t>1274.20万</t>
  </si>
  <si>
    <t>-1791.05万</t>
  </si>
  <si>
    <t>-12.00万</t>
  </si>
  <si>
    <t>2298.02万</t>
  </si>
  <si>
    <t>202.88万</t>
  </si>
  <si>
    <t>1016.37万</t>
  </si>
  <si>
    <t>8269.50万</t>
  </si>
  <si>
    <t>565.67万</t>
  </si>
  <si>
    <t>7651.00万</t>
  </si>
  <si>
    <t>5740.50万</t>
  </si>
  <si>
    <t>185.90万</t>
  </si>
  <si>
    <t>1155.28万</t>
  </si>
  <si>
    <t>3199.01万</t>
  </si>
  <si>
    <t>5541515亿</t>
  </si>
  <si>
    <t>714097940亿</t>
  </si>
  <si>
    <t>1436.30万</t>
  </si>
  <si>
    <t>-3765.90万</t>
  </si>
  <si>
    <t>-94.44万</t>
  </si>
  <si>
    <t>-285.87万</t>
  </si>
  <si>
    <t>8832.66万</t>
  </si>
  <si>
    <t>10转2股派6元(含税)</t>
  </si>
  <si>
    <t>283.26万</t>
  </si>
  <si>
    <t>1130.91万</t>
  </si>
  <si>
    <t>20.96万</t>
  </si>
  <si>
    <t>4331.90万</t>
  </si>
  <si>
    <t>485.15万</t>
  </si>
  <si>
    <t>3697.23万</t>
  </si>
  <si>
    <t>2786.55万</t>
  </si>
  <si>
    <t>419.49万</t>
  </si>
  <si>
    <t>216.63万</t>
  </si>
  <si>
    <t>907.60万</t>
  </si>
  <si>
    <t>350075亿</t>
  </si>
  <si>
    <t>4435625亿</t>
  </si>
  <si>
    <t>6655.98万</t>
  </si>
  <si>
    <t>1864.90万</t>
  </si>
  <si>
    <t>569887020亿</t>
  </si>
  <si>
    <t>1326.38万</t>
  </si>
  <si>
    <t>2074.19万</t>
  </si>
  <si>
    <t>-29.25万</t>
  </si>
  <si>
    <t>-7449.03万</t>
  </si>
  <si>
    <t>3125.71万</t>
  </si>
  <si>
    <t>4392.45万</t>
  </si>
  <si>
    <t>105.98万</t>
  </si>
  <si>
    <t>512.24万</t>
  </si>
  <si>
    <t>27.14万</t>
  </si>
  <si>
    <t>685.75万</t>
  </si>
  <si>
    <t>178.21万</t>
  </si>
  <si>
    <t>402.34万</t>
  </si>
  <si>
    <t>1765.08万</t>
  </si>
  <si>
    <t>225918亿</t>
  </si>
  <si>
    <t>6715180亿</t>
  </si>
  <si>
    <t>7399.58万</t>
  </si>
  <si>
    <t>397698490亿</t>
  </si>
  <si>
    <t>7827.27万</t>
  </si>
  <si>
    <t>624.78万</t>
  </si>
  <si>
    <t>6469.30万</t>
  </si>
  <si>
    <t>3919.99万</t>
  </si>
  <si>
    <t>-5215.07万</t>
  </si>
  <si>
    <t>-3692.63万</t>
  </si>
  <si>
    <t>191.26万</t>
  </si>
  <si>
    <t>3609.19万</t>
  </si>
  <si>
    <t>2434.86万</t>
  </si>
  <si>
    <t>233.33万</t>
  </si>
  <si>
    <t>722.79万</t>
  </si>
  <si>
    <t>西磁科技</t>
  </si>
  <si>
    <t>99.71万</t>
  </si>
  <si>
    <t>5116.88万</t>
  </si>
  <si>
    <t>2806.22万</t>
  </si>
  <si>
    <t>882.74万</t>
  </si>
  <si>
    <t>2471.23万</t>
  </si>
  <si>
    <t>1922.08万</t>
  </si>
  <si>
    <t>154.87万</t>
  </si>
  <si>
    <t>221.90万</t>
  </si>
  <si>
    <t>782.50万</t>
  </si>
  <si>
    <t>37728亿</t>
  </si>
  <si>
    <t>608.78万</t>
  </si>
  <si>
    <t>3178750亿</t>
  </si>
  <si>
    <t>6088.36万</t>
  </si>
  <si>
    <t>646.47万</t>
  </si>
  <si>
    <t>263736590亿</t>
  </si>
  <si>
    <t>825.72万</t>
  </si>
  <si>
    <t>4212.29万</t>
  </si>
  <si>
    <t>501.01万</t>
  </si>
  <si>
    <t>-8671.21万</t>
  </si>
  <si>
    <t>1380.96万</t>
  </si>
  <si>
    <t>7827.42万</t>
  </si>
  <si>
    <t>8853.32万</t>
  </si>
  <si>
    <t>8698.48万</t>
  </si>
  <si>
    <t>3159.30万</t>
  </si>
  <si>
    <t>1933.81万</t>
  </si>
  <si>
    <t>982.31万</t>
  </si>
  <si>
    <t>1304.48万</t>
  </si>
  <si>
    <t>1754.69万</t>
  </si>
  <si>
    <t>4414.48万</t>
  </si>
  <si>
    <t>2859.66万</t>
  </si>
  <si>
    <t>10派1.9元(含税)</t>
  </si>
  <si>
    <t>1145.06万</t>
  </si>
  <si>
    <t>2785.48万</t>
  </si>
  <si>
    <t>94.19万</t>
  </si>
  <si>
    <t>1926.36万</t>
  </si>
  <si>
    <t>-55.62万</t>
  </si>
  <si>
    <t>1792.55万</t>
  </si>
  <si>
    <t>977.10万</t>
  </si>
  <si>
    <t>192.14万</t>
  </si>
  <si>
    <t>432.94万</t>
  </si>
  <si>
    <t>280111亿</t>
  </si>
  <si>
    <t>-954141亿</t>
  </si>
  <si>
    <t>9346.76万</t>
  </si>
  <si>
    <t>1698.15万</t>
  </si>
  <si>
    <t>402468150亿</t>
  </si>
  <si>
    <t>129.78万</t>
  </si>
  <si>
    <t>4300.00万</t>
  </si>
  <si>
    <t>800.89万</t>
  </si>
  <si>
    <t>4204.42万</t>
  </si>
  <si>
    <t>-1259.50万</t>
  </si>
  <si>
    <t>3868.47万</t>
  </si>
  <si>
    <t>1370.21万</t>
  </si>
  <si>
    <t>5501.54万</t>
  </si>
  <si>
    <t>10派4.21元(含税)</t>
  </si>
  <si>
    <t>567.86万</t>
  </si>
  <si>
    <t>4585.18万</t>
  </si>
  <si>
    <t>芭薇股份</t>
  </si>
  <si>
    <t>71.13万</t>
  </si>
  <si>
    <t>792.49万</t>
  </si>
  <si>
    <t>7893.00万</t>
  </si>
  <si>
    <t>1002.42万</t>
  </si>
  <si>
    <t>876.01万</t>
  </si>
  <si>
    <t>2743.48万</t>
  </si>
  <si>
    <t>40192亿</t>
  </si>
  <si>
    <t>10.71万</t>
  </si>
  <si>
    <t>7488538亿</t>
  </si>
  <si>
    <t>6581.91万</t>
  </si>
  <si>
    <t>221656140亿</t>
  </si>
  <si>
    <t>5721.62万</t>
  </si>
  <si>
    <t>2794.65万</t>
  </si>
  <si>
    <t>6156.88万</t>
  </si>
  <si>
    <t>-4778.76万</t>
  </si>
  <si>
    <t>2818.88万</t>
  </si>
  <si>
    <t>5541.34万</t>
  </si>
  <si>
    <t>3803.95万</t>
  </si>
  <si>
    <t>2125.13万</t>
  </si>
  <si>
    <t>2835.67万</t>
  </si>
  <si>
    <t>2084.99万</t>
  </si>
  <si>
    <t>2131.11万</t>
  </si>
  <si>
    <t>4115.92万</t>
  </si>
  <si>
    <t>2172.18万</t>
  </si>
  <si>
    <t>化妆品</t>
  </si>
  <si>
    <t>523.79万</t>
  </si>
  <si>
    <t>5819.07万</t>
  </si>
  <si>
    <t>697.90万</t>
  </si>
  <si>
    <t>4397.57万</t>
  </si>
  <si>
    <t>554.81万</t>
  </si>
  <si>
    <t>4008.64万</t>
  </si>
  <si>
    <t>3342.81万</t>
  </si>
  <si>
    <t>196.82万</t>
  </si>
  <si>
    <t>260.45万</t>
  </si>
  <si>
    <t>759.08万</t>
  </si>
  <si>
    <t>254886亿</t>
  </si>
  <si>
    <t>9.21万</t>
  </si>
  <si>
    <t>5165009亿</t>
  </si>
  <si>
    <t>5869.77万</t>
  </si>
  <si>
    <t>1221.00万</t>
  </si>
  <si>
    <t>337231240亿</t>
  </si>
  <si>
    <t>3725.44万</t>
  </si>
  <si>
    <t>4359.00万</t>
  </si>
  <si>
    <t>3702.72万</t>
  </si>
  <si>
    <t>591.45万</t>
  </si>
  <si>
    <t>-184.21万</t>
  </si>
  <si>
    <t>-493.82万</t>
  </si>
  <si>
    <t>10转4股派1元(含税)</t>
  </si>
  <si>
    <t>3838.67万</t>
  </si>
  <si>
    <t>107.11万</t>
  </si>
  <si>
    <t>2681.89万</t>
  </si>
  <si>
    <t>-1055.58万</t>
  </si>
  <si>
    <t>3763.19万</t>
  </si>
  <si>
    <t>2257.80万</t>
  </si>
  <si>
    <t>269.13万</t>
  </si>
  <si>
    <t>1793.11万</t>
  </si>
  <si>
    <t>-26.60亿</t>
  </si>
  <si>
    <t>-10534869亿</t>
  </si>
  <si>
    <t>9091.85万</t>
  </si>
  <si>
    <t>600.35万</t>
  </si>
  <si>
    <t>497362340亿</t>
  </si>
  <si>
    <t>190.52万</t>
  </si>
  <si>
    <t>7995.34万</t>
  </si>
  <si>
    <t>1598.93万</t>
  </si>
  <si>
    <t>4.20万</t>
  </si>
  <si>
    <t>-5705.28万</t>
  </si>
  <si>
    <t>-565.02万</t>
  </si>
  <si>
    <t>2950.98万</t>
  </si>
  <si>
    <t>-1168.48万</t>
  </si>
  <si>
    <t>3001.43万</t>
  </si>
  <si>
    <t>741.25万</t>
  </si>
  <si>
    <t>3609.65万</t>
  </si>
  <si>
    <t>76.75万</t>
  </si>
  <si>
    <t>513.66万</t>
  </si>
  <si>
    <t>193.32万</t>
  </si>
  <si>
    <t>322.61万</t>
  </si>
  <si>
    <t>2531.41万</t>
  </si>
  <si>
    <t>139.22万</t>
  </si>
  <si>
    <t>3571017亿</t>
  </si>
  <si>
    <t>579.85万</t>
  </si>
  <si>
    <t>428339680亿</t>
  </si>
  <si>
    <t>5671.97万</t>
  </si>
  <si>
    <t>9130.21万</t>
  </si>
  <si>
    <t>2504.28万</t>
  </si>
  <si>
    <t>-2648.00万</t>
  </si>
  <si>
    <t>-4930.81万</t>
  </si>
  <si>
    <t>-192.72万</t>
  </si>
  <si>
    <t>3314.90万</t>
  </si>
  <si>
    <t>369.21万</t>
  </si>
  <si>
    <t>1832.05万</t>
  </si>
  <si>
    <t>221.03万</t>
  </si>
  <si>
    <t>9392.95万</t>
  </si>
  <si>
    <t>77.02万</t>
  </si>
  <si>
    <t>145.11万</t>
  </si>
  <si>
    <t>423.87万</t>
  </si>
  <si>
    <t>1867.43万</t>
  </si>
  <si>
    <t>1137212亿</t>
  </si>
  <si>
    <t>6687.33万</t>
  </si>
  <si>
    <t>4094.55万</t>
  </si>
  <si>
    <t>333750180亿</t>
  </si>
  <si>
    <t>3284.26万</t>
  </si>
  <si>
    <t>3923.26万</t>
  </si>
  <si>
    <t>870.41万</t>
  </si>
  <si>
    <t>4731.15万</t>
  </si>
  <si>
    <t>-1428.02万</t>
  </si>
  <si>
    <t>-670.08万</t>
  </si>
  <si>
    <t>3094.96万</t>
  </si>
  <si>
    <t>4545.32万</t>
  </si>
  <si>
    <t>10派0.45元(含税)</t>
  </si>
  <si>
    <t>1363.98万</t>
  </si>
  <si>
    <t>4369.94万</t>
  </si>
  <si>
    <t>11.75万</t>
  </si>
  <si>
    <t>1248.21万</t>
  </si>
  <si>
    <t>865.24万</t>
  </si>
  <si>
    <t>1098.98万</t>
  </si>
  <si>
    <t>1980.63万</t>
  </si>
  <si>
    <t>373617亿</t>
  </si>
  <si>
    <t>14.39万</t>
  </si>
  <si>
    <t>12379356亿</t>
  </si>
  <si>
    <t>4147.03万</t>
  </si>
  <si>
    <t>601349950亿</t>
  </si>
  <si>
    <t>4325.78万</t>
  </si>
  <si>
    <t>9004.07万</t>
  </si>
  <si>
    <t>1729.85万</t>
  </si>
  <si>
    <t>-1.84亿</t>
  </si>
  <si>
    <t>5043.51万</t>
  </si>
  <si>
    <t>6965.05万</t>
  </si>
  <si>
    <t>98.86万</t>
  </si>
  <si>
    <t>588.82万</t>
  </si>
  <si>
    <t>5.50万</t>
  </si>
  <si>
    <t>6.14亿</t>
  </si>
  <si>
    <t>4795.24万</t>
  </si>
  <si>
    <t>192.84万</t>
  </si>
  <si>
    <t>4692.05万</t>
  </si>
  <si>
    <t>918.53万</t>
  </si>
  <si>
    <t>2344.90万</t>
  </si>
  <si>
    <t>889.18万</t>
  </si>
  <si>
    <t>5053.31万</t>
  </si>
  <si>
    <t>1526073亿</t>
  </si>
  <si>
    <t>426.36万</t>
  </si>
  <si>
    <t>276537250亿</t>
  </si>
  <si>
    <t>3572.14万</t>
  </si>
  <si>
    <t>4737.73万</t>
  </si>
  <si>
    <t>1525.66万</t>
  </si>
  <si>
    <t>-4617.31万</t>
  </si>
  <si>
    <t>1053.75万</t>
  </si>
  <si>
    <t>3105.94万</t>
  </si>
  <si>
    <t>3168.17万</t>
  </si>
  <si>
    <t>10派0.75元(含税)</t>
  </si>
  <si>
    <t>81.50万</t>
  </si>
  <si>
    <t>730.39万</t>
  </si>
  <si>
    <t>康农种业</t>
  </si>
  <si>
    <t>37.21万</t>
  </si>
  <si>
    <t>3427.56万</t>
  </si>
  <si>
    <t>1018.04万</t>
  </si>
  <si>
    <t>3338.35万</t>
  </si>
  <si>
    <t>2443.43万</t>
  </si>
  <si>
    <t>271.15万</t>
  </si>
  <si>
    <t>439.63万</t>
  </si>
  <si>
    <t>1074.49万</t>
  </si>
  <si>
    <t>700.00万</t>
  </si>
  <si>
    <t>655927亿</t>
  </si>
  <si>
    <t>504046140亿</t>
  </si>
  <si>
    <t>20.28万</t>
  </si>
  <si>
    <t>2428.95万</t>
  </si>
  <si>
    <t>-1447.64万</t>
  </si>
  <si>
    <t>-1016.55万</t>
  </si>
  <si>
    <t>9825.47万</t>
  </si>
  <si>
    <t>4133.90万</t>
  </si>
  <si>
    <t>4276.96万</t>
  </si>
  <si>
    <t>3949.90万</t>
  </si>
  <si>
    <t>3357.48万</t>
  </si>
  <si>
    <t>3011.09万</t>
  </si>
  <si>
    <t>4723.21万</t>
  </si>
  <si>
    <t>5321.70万</t>
  </si>
  <si>
    <t>1063.96万</t>
  </si>
  <si>
    <t>10转3股派2.00元(含税)</t>
  </si>
  <si>
    <t>270.38万</t>
  </si>
  <si>
    <t>2173.52万</t>
  </si>
  <si>
    <t>257.98万</t>
  </si>
  <si>
    <t>9780.02万</t>
  </si>
  <si>
    <t>1707.68万</t>
  </si>
  <si>
    <t>-902.45万</t>
  </si>
  <si>
    <t>3837.35万</t>
  </si>
  <si>
    <t>1312.07万</t>
  </si>
  <si>
    <t>642.24万</t>
  </si>
  <si>
    <t>1143.81万</t>
  </si>
  <si>
    <t>2689.75万</t>
  </si>
  <si>
    <t>111405亿</t>
  </si>
  <si>
    <t>-16970908亿</t>
  </si>
  <si>
    <t>6455.61万</t>
  </si>
  <si>
    <t>372690200亿</t>
  </si>
  <si>
    <t>1481.50万</t>
  </si>
  <si>
    <t>6001.39万</t>
  </si>
  <si>
    <t>-5662.70万</t>
  </si>
  <si>
    <t>281.37万</t>
  </si>
  <si>
    <t>819.34万</t>
  </si>
  <si>
    <t>3608.64万</t>
  </si>
  <si>
    <t>757.09万</t>
  </si>
  <si>
    <t>1413.44万</t>
  </si>
  <si>
    <t>9172.85万</t>
  </si>
  <si>
    <t>32.16万</t>
  </si>
  <si>
    <t>5965.08万</t>
  </si>
  <si>
    <t>1673.54万</t>
  </si>
  <si>
    <t>4136.01万</t>
  </si>
  <si>
    <t>3173.65万</t>
  </si>
  <si>
    <t>185.40万</t>
  </si>
  <si>
    <t>487.74万</t>
  </si>
  <si>
    <t>1324.33万</t>
  </si>
  <si>
    <t>98164亿</t>
  </si>
  <si>
    <t>16141181亿</t>
  </si>
  <si>
    <t>1155.50万</t>
  </si>
  <si>
    <t>306726510亿</t>
  </si>
  <si>
    <t>525.64万</t>
  </si>
  <si>
    <t>885.26万</t>
  </si>
  <si>
    <t>94.37万</t>
  </si>
  <si>
    <t>2708.42万</t>
  </si>
  <si>
    <t>66.70万</t>
  </si>
  <si>
    <t>7115.61万</t>
  </si>
  <si>
    <t>2812.78万</t>
  </si>
  <si>
    <t>-1025.28万</t>
  </si>
  <si>
    <t>-1276.33万</t>
  </si>
  <si>
    <t>6653.11万</t>
  </si>
  <si>
    <t>10派3.883元(含税)</t>
  </si>
  <si>
    <t>207.30万</t>
  </si>
  <si>
    <t>1310.47万</t>
  </si>
  <si>
    <t>195.81万</t>
  </si>
  <si>
    <t>2649.41万</t>
  </si>
  <si>
    <t>-686.54万</t>
  </si>
  <si>
    <t>4170.76万</t>
  </si>
  <si>
    <t>1981.51万</t>
  </si>
  <si>
    <t>541.86万</t>
  </si>
  <si>
    <t>530.28万</t>
  </si>
  <si>
    <t>3138.30万</t>
  </si>
  <si>
    <t>319496亿</t>
  </si>
  <si>
    <t>-8576785亿</t>
  </si>
  <si>
    <t>6589.55万</t>
  </si>
  <si>
    <t>174.55万</t>
  </si>
  <si>
    <t>398755040亿</t>
  </si>
  <si>
    <t>289.77万</t>
  </si>
  <si>
    <t>7486.34万</t>
  </si>
  <si>
    <t>82.00万</t>
  </si>
  <si>
    <t>4800.47万</t>
  </si>
  <si>
    <t>-1645.45万</t>
  </si>
  <si>
    <t>-123.67万</t>
  </si>
  <si>
    <t>-1071.64万</t>
  </si>
  <si>
    <t>3666.06万</t>
  </si>
  <si>
    <t>2255.68万</t>
  </si>
  <si>
    <t>1394.57万</t>
  </si>
  <si>
    <t>4571.56万</t>
  </si>
  <si>
    <t>542.92万</t>
  </si>
  <si>
    <t>7514.50万</t>
  </si>
  <si>
    <t>357.86万</t>
  </si>
  <si>
    <t>7117.53万</t>
  </si>
  <si>
    <t>5444.79万</t>
  </si>
  <si>
    <t>138.53万</t>
  </si>
  <si>
    <t>958.43万</t>
  </si>
  <si>
    <t>1751.04万</t>
  </si>
  <si>
    <t>505705亿</t>
  </si>
  <si>
    <t>2395578亿</t>
  </si>
  <si>
    <t>8726.85万</t>
  </si>
  <si>
    <t>60.74万</t>
  </si>
  <si>
    <t>303452450亿</t>
  </si>
  <si>
    <t>7398.37万</t>
  </si>
  <si>
    <t>1189.49万</t>
  </si>
  <si>
    <t>4823.09万</t>
  </si>
  <si>
    <t>496.67万</t>
  </si>
  <si>
    <t>1858.53万</t>
  </si>
  <si>
    <t>-659.28万</t>
  </si>
  <si>
    <t>2654.50万</t>
  </si>
  <si>
    <t>10转4股派1.5元(含税)</t>
  </si>
  <si>
    <t>2217.98万</t>
  </si>
  <si>
    <t>292.91万</t>
  </si>
  <si>
    <t>14.11亿</t>
  </si>
  <si>
    <t>217.03万</t>
  </si>
  <si>
    <t>1609.67万</t>
  </si>
  <si>
    <t>2057.69万</t>
  </si>
  <si>
    <t>706.82万</t>
  </si>
  <si>
    <t>7993亿</t>
  </si>
  <si>
    <t>34.82万</t>
  </si>
  <si>
    <t>1392463亿</t>
  </si>
  <si>
    <t>1056984000亿</t>
  </si>
  <si>
    <t>4861.02万</t>
  </si>
  <si>
    <t>824.12万</t>
  </si>
  <si>
    <t>10.02亿</t>
  </si>
  <si>
    <t>2943.16万</t>
  </si>
  <si>
    <t>-1493.05万</t>
  </si>
  <si>
    <t>-3104.96万</t>
  </si>
  <si>
    <t>5736.98万</t>
  </si>
  <si>
    <t>2311.83万</t>
  </si>
  <si>
    <t>25.94亿</t>
  </si>
  <si>
    <t>-1744.16万</t>
  </si>
  <si>
    <t>1616.23万</t>
  </si>
  <si>
    <t>19.82万</t>
  </si>
  <si>
    <t>1361.87万</t>
  </si>
  <si>
    <t>334.05万</t>
  </si>
  <si>
    <t>188.43万</t>
  </si>
  <si>
    <t>1866.69万</t>
  </si>
  <si>
    <t>13738172亿</t>
  </si>
  <si>
    <t>350395430亿</t>
  </si>
  <si>
    <t>8996.49万</t>
  </si>
  <si>
    <t>2729.13万</t>
  </si>
  <si>
    <t>-1738.27万</t>
  </si>
  <si>
    <t>647.02万</t>
  </si>
  <si>
    <t>3937.10万</t>
  </si>
  <si>
    <t>194.18万</t>
  </si>
  <si>
    <t>696.21万</t>
  </si>
  <si>
    <t>47.66万</t>
  </si>
  <si>
    <t>5126.29万</t>
  </si>
  <si>
    <t>8594.66万</t>
  </si>
  <si>
    <t>2310.10万</t>
  </si>
  <si>
    <t>5937.92万</t>
  </si>
  <si>
    <t>4992.02万</t>
  </si>
  <si>
    <t>44.91万</t>
  </si>
  <si>
    <t>505.26万</t>
  </si>
  <si>
    <t>1352.58万</t>
  </si>
  <si>
    <t>22728105亿</t>
  </si>
  <si>
    <t>350650240亿</t>
  </si>
  <si>
    <t>23.14万</t>
  </si>
  <si>
    <t>2338.64万</t>
  </si>
  <si>
    <t>3637.53万</t>
  </si>
  <si>
    <t>2387.25万</t>
  </si>
  <si>
    <t>-547.97万</t>
  </si>
  <si>
    <t>-43.03万</t>
  </si>
  <si>
    <t>8589.60万</t>
  </si>
  <si>
    <t>400.43万</t>
  </si>
  <si>
    <t>1289.02万</t>
  </si>
  <si>
    <t>16.37万</t>
  </si>
  <si>
    <t>2156.00万</t>
  </si>
  <si>
    <t>3468.26万</t>
  </si>
  <si>
    <t>1030.60万</t>
  </si>
  <si>
    <t>2409.56万</t>
  </si>
  <si>
    <t>1122.65万</t>
  </si>
  <si>
    <t>198.60万</t>
  </si>
  <si>
    <t>483.69万</t>
  </si>
  <si>
    <t>2512.41万</t>
  </si>
  <si>
    <t>1418732亿</t>
  </si>
  <si>
    <t>9100059亿</t>
  </si>
  <si>
    <t>308709370亿</t>
  </si>
  <si>
    <t>125.75万</t>
  </si>
  <si>
    <t>1544.93万</t>
  </si>
  <si>
    <t>292.04万</t>
  </si>
  <si>
    <t>9241.25万</t>
  </si>
  <si>
    <t>4247.83万</t>
  </si>
  <si>
    <t>10派10元(含税)</t>
  </si>
  <si>
    <t>73.18万</t>
  </si>
  <si>
    <t>526.49万</t>
  </si>
  <si>
    <t>738.83万</t>
  </si>
  <si>
    <t>6512.98万</t>
  </si>
  <si>
    <t>2699.04万</t>
  </si>
  <si>
    <t>402.46万</t>
  </si>
  <si>
    <t>1848.62万</t>
  </si>
  <si>
    <t>5354721亿</t>
  </si>
  <si>
    <t>9330.83万</t>
  </si>
  <si>
    <t>390953100亿</t>
  </si>
  <si>
    <t>6500.00万</t>
  </si>
  <si>
    <t>2550.24万</t>
  </si>
  <si>
    <t>-1167.69万</t>
  </si>
  <si>
    <t>-1708.84万</t>
  </si>
  <si>
    <t>1639.04万</t>
  </si>
  <si>
    <t>3163.01万</t>
  </si>
  <si>
    <t>3434.60万</t>
  </si>
  <si>
    <t>131.61万</t>
  </si>
  <si>
    <t>1279.64万</t>
  </si>
  <si>
    <t>178.11万</t>
  </si>
  <si>
    <t>885.80万</t>
  </si>
  <si>
    <t>1639.33万</t>
  </si>
  <si>
    <t>312.50万</t>
  </si>
  <si>
    <t>1479.35万</t>
  </si>
  <si>
    <t>999.13万</t>
  </si>
  <si>
    <t>109.66万</t>
  </si>
  <si>
    <t>428.02万</t>
  </si>
  <si>
    <t>1818812亿</t>
  </si>
  <si>
    <t>3112087亿</t>
  </si>
  <si>
    <t>757.17万</t>
  </si>
  <si>
    <t>31189465亿</t>
  </si>
  <si>
    <t>312.78万</t>
  </si>
  <si>
    <t>584.59万</t>
  </si>
  <si>
    <t>-165.71万</t>
  </si>
  <si>
    <t>-65.00万</t>
  </si>
  <si>
    <t>9707.25万</t>
  </si>
  <si>
    <t>1740.02万</t>
  </si>
  <si>
    <t>9347.46万</t>
  </si>
  <si>
    <t>591.47万</t>
  </si>
  <si>
    <t>540.24万</t>
  </si>
  <si>
    <t>3901.20万</t>
  </si>
  <si>
    <t>86.77万</t>
  </si>
  <si>
    <t>8.41亿</t>
  </si>
  <si>
    <t>16.93亿</t>
  </si>
  <si>
    <t>4679.33万</t>
  </si>
  <si>
    <t>53.66万</t>
  </si>
  <si>
    <t>762.58万</t>
  </si>
  <si>
    <t>3173.72万</t>
  </si>
  <si>
    <t>45876070亿</t>
  </si>
  <si>
    <t>771460920亿</t>
  </si>
  <si>
    <t>3864.90万</t>
  </si>
  <si>
    <t>-3070.66万</t>
  </si>
  <si>
    <t>-126.47万</t>
  </si>
  <si>
    <t>2726.01万</t>
  </si>
  <si>
    <t>10转3股派1.8481元(含税)</t>
  </si>
  <si>
    <t>616.58万</t>
  </si>
  <si>
    <t>4865.08万</t>
  </si>
  <si>
    <t>1004.93万</t>
  </si>
  <si>
    <t>3972.13万</t>
  </si>
  <si>
    <t>1393.54万</t>
  </si>
  <si>
    <t>412.95万</t>
  </si>
  <si>
    <t>1423.27万</t>
  </si>
  <si>
    <t>850.21万</t>
  </si>
  <si>
    <t>117.59万</t>
  </si>
  <si>
    <t>254.05万</t>
  </si>
  <si>
    <t>1161.10万</t>
  </si>
  <si>
    <t>1697398亿</t>
  </si>
  <si>
    <t>2819766亿</t>
  </si>
  <si>
    <t>579.88万</t>
  </si>
  <si>
    <t>468331490亿</t>
  </si>
  <si>
    <t>246.83万</t>
  </si>
  <si>
    <t>490.39万</t>
  </si>
  <si>
    <t>4338.65万</t>
  </si>
  <si>
    <t>602.28万</t>
  </si>
  <si>
    <t>5497.44万</t>
  </si>
  <si>
    <t>-12.56万</t>
  </si>
  <si>
    <t>7380.52万</t>
  </si>
  <si>
    <t>2769.44万</t>
  </si>
  <si>
    <t>3493.93万</t>
  </si>
  <si>
    <t>6623.20万</t>
  </si>
  <si>
    <t>190.93万</t>
  </si>
  <si>
    <t>160.72万</t>
  </si>
  <si>
    <t>905.15万</t>
  </si>
  <si>
    <t>2537.73万</t>
  </si>
  <si>
    <t>2918亿</t>
  </si>
  <si>
    <t>72.57万</t>
  </si>
  <si>
    <t>-9714756亿</t>
  </si>
  <si>
    <t>7882.45万</t>
  </si>
  <si>
    <t>628915740亿</t>
  </si>
  <si>
    <t>3166.56万</t>
  </si>
  <si>
    <t>5390.21万</t>
  </si>
  <si>
    <t>-3378.86万</t>
  </si>
  <si>
    <t>543.67万</t>
  </si>
  <si>
    <t>4668.99万</t>
  </si>
  <si>
    <t>62.66万</t>
  </si>
  <si>
    <t>1074.78万</t>
  </si>
  <si>
    <t>-334.21万</t>
  </si>
  <si>
    <t>1737.86万</t>
  </si>
  <si>
    <t>728.91万</t>
  </si>
  <si>
    <t>244.77万</t>
  </si>
  <si>
    <t>531.95万</t>
  </si>
  <si>
    <t>921.00万</t>
  </si>
  <si>
    <t>28280亿</t>
  </si>
  <si>
    <t>1.92万</t>
  </si>
  <si>
    <t>-5308684亿</t>
  </si>
  <si>
    <t>9325.96万</t>
  </si>
  <si>
    <t>271.16万</t>
  </si>
  <si>
    <t>290555080亿</t>
  </si>
  <si>
    <t>4095.59万</t>
  </si>
  <si>
    <t>146.87万</t>
  </si>
  <si>
    <t>3785.94万</t>
  </si>
  <si>
    <t>4640.00万</t>
  </si>
  <si>
    <t>-1143.00万</t>
  </si>
  <si>
    <t>-336.92万</t>
  </si>
  <si>
    <t>1180.84万</t>
  </si>
  <si>
    <t>1448.52万</t>
  </si>
  <si>
    <t>190.86万</t>
  </si>
  <si>
    <t>1390.92万</t>
  </si>
  <si>
    <t>60.89万</t>
  </si>
  <si>
    <t>1362.30万</t>
  </si>
  <si>
    <t>641.86万</t>
  </si>
  <si>
    <t>679.23万</t>
  </si>
  <si>
    <t>1965.44万</t>
  </si>
  <si>
    <t>13100095亿</t>
  </si>
  <si>
    <t>6672.93万</t>
  </si>
  <si>
    <t>734874530亿</t>
  </si>
  <si>
    <t>123.54万</t>
  </si>
  <si>
    <t>4600.57万</t>
  </si>
  <si>
    <t>8495.91万</t>
  </si>
  <si>
    <t>-4470.20万</t>
  </si>
  <si>
    <t>-285.08万</t>
  </si>
  <si>
    <t>6902.15万</t>
  </si>
  <si>
    <t>5553.50万</t>
  </si>
  <si>
    <t>396.11万</t>
  </si>
  <si>
    <t>2280.47万</t>
  </si>
  <si>
    <t>98.05万</t>
  </si>
  <si>
    <t>7312.91万</t>
  </si>
  <si>
    <t>698.43万</t>
  </si>
  <si>
    <t>7047.68万</t>
  </si>
  <si>
    <t>6009.56万</t>
  </si>
  <si>
    <t>123.81万</t>
  </si>
  <si>
    <t>552.88万</t>
  </si>
  <si>
    <t>1666.97万</t>
  </si>
  <si>
    <t>223344亿</t>
  </si>
  <si>
    <t>6269254亿</t>
  </si>
  <si>
    <t>9313.60万</t>
  </si>
  <si>
    <t>948.59万</t>
  </si>
  <si>
    <t>415610100亿</t>
  </si>
  <si>
    <t>9767.40万</t>
  </si>
  <si>
    <t>9178.37万</t>
  </si>
  <si>
    <t>563.57万</t>
  </si>
  <si>
    <t>4169.17万</t>
  </si>
  <si>
    <t>-3460.47万</t>
  </si>
  <si>
    <t>-1421.61万</t>
  </si>
  <si>
    <t>9626.14万</t>
  </si>
  <si>
    <t>2528.89万</t>
  </si>
  <si>
    <t>10转3股派0.5元(含税)</t>
  </si>
  <si>
    <t>652.96万</t>
  </si>
  <si>
    <t>2525.87万</t>
  </si>
  <si>
    <t>42.61万</t>
  </si>
  <si>
    <t>8206.26万</t>
  </si>
  <si>
    <t>4982.01万</t>
  </si>
  <si>
    <t>746.27万</t>
  </si>
  <si>
    <t>4227.65万</t>
  </si>
  <si>
    <t>3675.11万</t>
  </si>
  <si>
    <t>50.97万</t>
  </si>
  <si>
    <t>267.15万</t>
  </si>
  <si>
    <t>893.19万</t>
  </si>
  <si>
    <t>692860亿</t>
  </si>
  <si>
    <t>6657513亿</t>
  </si>
  <si>
    <t>4040.58万</t>
  </si>
  <si>
    <t>3520.40万</t>
  </si>
  <si>
    <t>289537760亿</t>
  </si>
  <si>
    <t>1313.00万</t>
  </si>
  <si>
    <t>1580.45万</t>
  </si>
  <si>
    <t>6404.03万</t>
  </si>
  <si>
    <t>288.20万</t>
  </si>
  <si>
    <t>25.24万</t>
  </si>
  <si>
    <t>1121.21万</t>
  </si>
  <si>
    <t>1225.12万</t>
  </si>
  <si>
    <t>223.30万</t>
  </si>
  <si>
    <t>5173.05万</t>
  </si>
  <si>
    <t>94.11万</t>
  </si>
  <si>
    <t>3276.56万</t>
  </si>
  <si>
    <t>22.03万</t>
  </si>
  <si>
    <t>482.40万</t>
  </si>
  <si>
    <t>7129.72万</t>
  </si>
  <si>
    <t>30784亿</t>
  </si>
  <si>
    <t>39.61万</t>
  </si>
  <si>
    <t>32352805亿</t>
  </si>
  <si>
    <t>1413439800亿</t>
  </si>
  <si>
    <t>4564.75万</t>
  </si>
  <si>
    <t>9029.78万</t>
  </si>
  <si>
    <t>-5238.89万</t>
  </si>
  <si>
    <t>21.75亿</t>
  </si>
  <si>
    <t>10派1.11元(含税)</t>
  </si>
  <si>
    <t>961.83万</t>
  </si>
  <si>
    <t>9317.48万</t>
  </si>
  <si>
    <t>5.29万</t>
  </si>
  <si>
    <t>7602.07万</t>
  </si>
  <si>
    <t>1657.74万</t>
  </si>
  <si>
    <t>9989.73万</t>
  </si>
  <si>
    <t>8824.63万</t>
  </si>
  <si>
    <t>447.94万</t>
  </si>
  <si>
    <t>329.31万</t>
  </si>
  <si>
    <t>1799.58万</t>
  </si>
  <si>
    <t>399364亿</t>
  </si>
  <si>
    <t>23.32万</t>
  </si>
  <si>
    <t>15089238亿</t>
  </si>
  <si>
    <t>499871220亿</t>
  </si>
  <si>
    <t>2760.04万</t>
  </si>
  <si>
    <t>403.01万</t>
  </si>
  <si>
    <t>1841.60万</t>
  </si>
  <si>
    <t>3744.72万</t>
  </si>
  <si>
    <t>3470.42万</t>
  </si>
  <si>
    <t>3129.04万</t>
  </si>
  <si>
    <t>-679.93万</t>
  </si>
  <si>
    <t>5274.36万</t>
  </si>
  <si>
    <t>38.52万</t>
  </si>
  <si>
    <t>464.31万</t>
  </si>
  <si>
    <t>41.21万</t>
  </si>
  <si>
    <t>1930.11万</t>
  </si>
  <si>
    <t>661.93万</t>
  </si>
  <si>
    <t>973.29万</t>
  </si>
  <si>
    <t>1817.01万</t>
  </si>
  <si>
    <t>53465亿</t>
  </si>
  <si>
    <t>21.38万</t>
  </si>
  <si>
    <t>19114200亿</t>
  </si>
  <si>
    <t>417644850亿</t>
  </si>
  <si>
    <t>6457.35万</t>
  </si>
  <si>
    <t>2775.20万</t>
  </si>
  <si>
    <t>-1826.63万</t>
  </si>
  <si>
    <t>4316.14万</t>
  </si>
  <si>
    <t>309.21万</t>
  </si>
  <si>
    <t>2665.50万</t>
  </si>
  <si>
    <t>16.48万</t>
  </si>
  <si>
    <t>249.98万</t>
  </si>
  <si>
    <t>8591.80万</t>
  </si>
  <si>
    <t>2259.79万</t>
  </si>
  <si>
    <t>1011.57万</t>
  </si>
  <si>
    <t>4183.76万</t>
  </si>
  <si>
    <t>2438866亿</t>
  </si>
  <si>
    <t>45.09万</t>
  </si>
  <si>
    <t>594785680亿</t>
  </si>
  <si>
    <t>5979.02万</t>
  </si>
  <si>
    <t>6970.40万</t>
  </si>
  <si>
    <t>-3856.98万</t>
  </si>
  <si>
    <t>-3128.31万</t>
  </si>
  <si>
    <t>3683.70万</t>
  </si>
  <si>
    <t>-8049.95万</t>
  </si>
  <si>
    <t>113.73万</t>
  </si>
  <si>
    <t>1193.52万</t>
  </si>
  <si>
    <t>1368.29万</t>
  </si>
  <si>
    <t>-1158.26万</t>
  </si>
  <si>
    <t>2645.14万</t>
  </si>
  <si>
    <t>912.95万</t>
  </si>
  <si>
    <t>326.53万</t>
  </si>
  <si>
    <t>694.49万</t>
  </si>
  <si>
    <t>2927.05万</t>
  </si>
  <si>
    <t>10.43万</t>
  </si>
  <si>
    <t>-11704747亿</t>
  </si>
  <si>
    <t>9.41万</t>
  </si>
  <si>
    <t>673554200亿</t>
  </si>
  <si>
    <t>9100.00万</t>
  </si>
  <si>
    <t>505.97万</t>
  </si>
  <si>
    <t>2.29万</t>
  </si>
  <si>
    <t>1178.88万</t>
  </si>
  <si>
    <t>-32.84万</t>
  </si>
  <si>
    <t>1105.79万</t>
  </si>
  <si>
    <t>6299.88万</t>
  </si>
  <si>
    <t>4601.18万</t>
  </si>
  <si>
    <t>775.82万</t>
  </si>
  <si>
    <t>3289.45万</t>
  </si>
  <si>
    <t>66.59万</t>
  </si>
  <si>
    <t>9.40亿</t>
  </si>
  <si>
    <t>9.68亿</t>
  </si>
  <si>
    <t>9329.35万</t>
  </si>
  <si>
    <t>-754.00万</t>
  </si>
  <si>
    <t>7740.91万</t>
  </si>
  <si>
    <t>173.37万</t>
  </si>
  <si>
    <t>739.18万</t>
  </si>
  <si>
    <t>2645.35万</t>
  </si>
  <si>
    <t>-136355亿</t>
  </si>
  <si>
    <t>33.13万</t>
  </si>
  <si>
    <t>-7978835亿</t>
  </si>
  <si>
    <t>3998.84万</t>
  </si>
  <si>
    <t>3705.96万</t>
  </si>
  <si>
    <t>1028134380亿</t>
  </si>
  <si>
    <t>7271.45万</t>
  </si>
  <si>
    <t>9303.06万</t>
  </si>
  <si>
    <t>73.13万</t>
  </si>
  <si>
    <t>-4694.61万</t>
  </si>
  <si>
    <t>-2843.87万</t>
  </si>
  <si>
    <t>4014.80万</t>
  </si>
  <si>
    <t>9166.84万</t>
  </si>
  <si>
    <t>5850.41万</t>
  </si>
  <si>
    <t>397.26万</t>
  </si>
  <si>
    <t>2494.62万</t>
  </si>
  <si>
    <t>40.49万</t>
  </si>
  <si>
    <t>6191.25万</t>
  </si>
  <si>
    <t>215.73万</t>
  </si>
  <si>
    <t>6210.37万</t>
  </si>
  <si>
    <t>4983.74万</t>
  </si>
  <si>
    <t>145.05万</t>
  </si>
  <si>
    <t>425.95万</t>
  </si>
  <si>
    <t>3357.90万</t>
  </si>
  <si>
    <t>569063亿</t>
  </si>
  <si>
    <t>1038284亿</t>
  </si>
  <si>
    <t>7196.18万</t>
  </si>
  <si>
    <t>4448.10万</t>
  </si>
  <si>
    <t>713691630亿</t>
  </si>
  <si>
    <t>2452.44万</t>
  </si>
  <si>
    <t>5016.19万</t>
  </si>
  <si>
    <t>3975.96万</t>
  </si>
  <si>
    <t>3202.11万</t>
  </si>
  <si>
    <t>-1490.16万</t>
  </si>
  <si>
    <t>-994.82万</t>
  </si>
  <si>
    <t>-93.46万</t>
  </si>
  <si>
    <t>7353.13万</t>
  </si>
  <si>
    <t>6988.32万</t>
  </si>
  <si>
    <t>167.56万</t>
  </si>
  <si>
    <t>1251.65万</t>
  </si>
  <si>
    <t>6.32万</t>
  </si>
  <si>
    <t>6649.55万</t>
  </si>
  <si>
    <t>837.45万</t>
  </si>
  <si>
    <t>5756.99万</t>
  </si>
  <si>
    <t>2862.13万</t>
  </si>
  <si>
    <t>1484.26万</t>
  </si>
  <si>
    <t>2567.98万</t>
  </si>
  <si>
    <t>1608776亿</t>
  </si>
  <si>
    <t>7.59万</t>
  </si>
  <si>
    <t>6388368亿</t>
  </si>
  <si>
    <t>1340.84万</t>
  </si>
  <si>
    <t>584482910亿</t>
  </si>
  <si>
    <t>740.32万</t>
  </si>
  <si>
    <t>2738.80万</t>
  </si>
  <si>
    <t>5630.74万</t>
  </si>
  <si>
    <t>1651.01万</t>
  </si>
  <si>
    <t>1559.45万</t>
  </si>
  <si>
    <t>1251.09万</t>
  </si>
  <si>
    <t>8612.28万</t>
  </si>
  <si>
    <t>5805.87万</t>
  </si>
  <si>
    <t>93.64万</t>
  </si>
  <si>
    <t>934.55万</t>
  </si>
  <si>
    <t>250.80万</t>
  </si>
  <si>
    <t>2429.40万</t>
  </si>
  <si>
    <t>4626.70万</t>
  </si>
  <si>
    <t>-13.96万</t>
  </si>
  <si>
    <t>4595.87万</t>
  </si>
  <si>
    <t>3119.97万</t>
  </si>
  <si>
    <t>73.87万</t>
  </si>
  <si>
    <t>435.70万</t>
  </si>
  <si>
    <t>2088.21万</t>
  </si>
  <si>
    <t>-198550亿</t>
  </si>
  <si>
    <t>-742542亿</t>
  </si>
  <si>
    <t>290364350亿</t>
  </si>
  <si>
    <t>990.93万</t>
  </si>
  <si>
    <t>2064.09万</t>
  </si>
  <si>
    <t>-812.17万</t>
  </si>
  <si>
    <t>2480.39万</t>
  </si>
  <si>
    <t>-27.08万</t>
  </si>
  <si>
    <t>1093.58万</t>
  </si>
  <si>
    <t>975.42万</t>
  </si>
  <si>
    <t>4165.85万</t>
  </si>
  <si>
    <t>19.94万</t>
  </si>
  <si>
    <t>1696.25万</t>
  </si>
  <si>
    <t>186.67万</t>
  </si>
  <si>
    <t>940.32万</t>
  </si>
  <si>
    <t>1699.20万</t>
  </si>
  <si>
    <t>-199041亿</t>
  </si>
  <si>
    <t>15.00万</t>
  </si>
  <si>
    <t>13594289亿</t>
  </si>
  <si>
    <t>8205.50万</t>
  </si>
  <si>
    <t>798488260亿</t>
  </si>
  <si>
    <t>6194.92万</t>
  </si>
  <si>
    <t>2646.66万</t>
  </si>
  <si>
    <t>6043.00万</t>
  </si>
  <si>
    <t>-543.60万</t>
  </si>
  <si>
    <t>-5400.33万</t>
  </si>
  <si>
    <t>6390.83万</t>
  </si>
  <si>
    <t>6157.58万</t>
  </si>
  <si>
    <t>137.20万</t>
  </si>
  <si>
    <t>850.28万</t>
  </si>
  <si>
    <t>225.85万</t>
  </si>
  <si>
    <t>-902.57万</t>
  </si>
  <si>
    <t>98.61万</t>
  </si>
  <si>
    <t>247.10万</t>
  </si>
  <si>
    <t>1252.60万</t>
  </si>
  <si>
    <t>-446736亿</t>
  </si>
  <si>
    <t>-9091156亿</t>
  </si>
  <si>
    <t>7745.60万</t>
  </si>
  <si>
    <t>467.00万</t>
  </si>
  <si>
    <t>247230370亿</t>
  </si>
  <si>
    <t>1090.66万</t>
  </si>
  <si>
    <t>4973.40万</t>
  </si>
  <si>
    <t>422.29万</t>
  </si>
  <si>
    <t>1800.00万</t>
  </si>
  <si>
    <t>357.18万</t>
  </si>
  <si>
    <t>-1497.21万</t>
  </si>
  <si>
    <t>737.12万</t>
  </si>
  <si>
    <t>-2972.69万</t>
  </si>
  <si>
    <t>1009.68万</t>
  </si>
  <si>
    <t>4873.99万</t>
  </si>
  <si>
    <t>113.93万</t>
  </si>
  <si>
    <t>5016.59万</t>
  </si>
  <si>
    <t>420.45万</t>
  </si>
  <si>
    <t>4896.51万</t>
  </si>
  <si>
    <t>3192.38万</t>
  </si>
  <si>
    <t>1068.99万</t>
  </si>
  <si>
    <t>229.96万</t>
  </si>
  <si>
    <t>2040.00万</t>
  </si>
  <si>
    <t>462551亿</t>
  </si>
  <si>
    <t>23.23万</t>
  </si>
  <si>
    <t>2604200亿</t>
  </si>
  <si>
    <t>8112.31万</t>
  </si>
  <si>
    <t>435336390亿</t>
  </si>
  <si>
    <t>7154.05万</t>
  </si>
  <si>
    <t>-1327.65万</t>
  </si>
  <si>
    <t>2382.71万</t>
  </si>
  <si>
    <t>833.94万</t>
  </si>
  <si>
    <t>7002.62万</t>
  </si>
  <si>
    <t>4388.69万</t>
  </si>
  <si>
    <t>864.74万</t>
  </si>
  <si>
    <t>2504.62万</t>
  </si>
  <si>
    <t>60.91万</t>
  </si>
  <si>
    <t>7795.68万</t>
  </si>
  <si>
    <t>6806.15万</t>
  </si>
  <si>
    <t>5182.01万</t>
  </si>
  <si>
    <t>264.16万</t>
  </si>
  <si>
    <t>906.82万</t>
  </si>
  <si>
    <t>1312.78万</t>
  </si>
  <si>
    <t>304539亿</t>
  </si>
  <si>
    <t>9692245亿</t>
  </si>
  <si>
    <t>6367.35万</t>
  </si>
  <si>
    <t>1591.62万</t>
  </si>
  <si>
    <t>277736040亿</t>
  </si>
  <si>
    <t>3000.72万</t>
  </si>
  <si>
    <t>4658.70万</t>
  </si>
  <si>
    <t>4873.37万</t>
  </si>
  <si>
    <t>41.29万</t>
  </si>
  <si>
    <t>298.79万</t>
  </si>
  <si>
    <t>-961.34万</t>
  </si>
  <si>
    <t>1618.08万</t>
  </si>
  <si>
    <t>2868.45万</t>
  </si>
  <si>
    <t>2940.70万</t>
  </si>
  <si>
    <t>10转3股派1.3元(含税)</t>
  </si>
  <si>
    <t>454.48万</t>
  </si>
  <si>
    <t>2680.91万</t>
  </si>
  <si>
    <t>203.99万</t>
  </si>
  <si>
    <t>3676.26万</t>
  </si>
  <si>
    <t>2017.07万</t>
  </si>
  <si>
    <t>352.68万</t>
  </si>
  <si>
    <t>1802.31万</t>
  </si>
  <si>
    <t>974.65万</t>
  </si>
  <si>
    <t>462.13万</t>
  </si>
  <si>
    <t>215.45万</t>
  </si>
  <si>
    <t>1057.99万</t>
  </si>
  <si>
    <t>3312587亿</t>
  </si>
  <si>
    <t>394.24万</t>
  </si>
  <si>
    <t>271812160亿</t>
  </si>
  <si>
    <t>870.40万</t>
  </si>
  <si>
    <t>2526.61万</t>
  </si>
  <si>
    <t>192.28万</t>
  </si>
  <si>
    <t>-1106.00万</t>
  </si>
  <si>
    <t>2451.52万</t>
  </si>
  <si>
    <t>10派2.219528元(含税)</t>
  </si>
  <si>
    <t>1314.79万</t>
  </si>
  <si>
    <t>330.18万</t>
  </si>
  <si>
    <t>8568.13万</t>
  </si>
  <si>
    <t>561.34万</t>
  </si>
  <si>
    <t>8074.41万</t>
  </si>
  <si>
    <t>7397.24万</t>
  </si>
  <si>
    <t>130.91万</t>
  </si>
  <si>
    <t>205.61万</t>
  </si>
  <si>
    <t>1221.60万</t>
  </si>
  <si>
    <t>4945599亿</t>
  </si>
  <si>
    <t>419401880亿</t>
  </si>
  <si>
    <t>101.64万</t>
  </si>
  <si>
    <t>4943.44万</t>
  </si>
  <si>
    <t>5368.01万</t>
  </si>
  <si>
    <t>501.94万</t>
  </si>
  <si>
    <t>-963.11万</t>
  </si>
  <si>
    <t>2946.38万</t>
  </si>
  <si>
    <t>4305.69万</t>
  </si>
  <si>
    <t>1011.81万</t>
  </si>
  <si>
    <t>9202.09万</t>
  </si>
  <si>
    <t>14.65万</t>
  </si>
  <si>
    <t>-127.49万</t>
  </si>
  <si>
    <t>278.31万</t>
  </si>
  <si>
    <t>1870.27万</t>
  </si>
  <si>
    <t>5574.95万</t>
  </si>
  <si>
    <t>-430927亿</t>
  </si>
  <si>
    <t>8.20万</t>
  </si>
  <si>
    <t>-1709036亿</t>
  </si>
  <si>
    <t>7584.27万</t>
  </si>
  <si>
    <t>3126.67万</t>
  </si>
  <si>
    <t>737357050亿</t>
  </si>
  <si>
    <t>2503.57万</t>
  </si>
  <si>
    <t>247.33万</t>
  </si>
  <si>
    <t>552.12万</t>
  </si>
  <si>
    <t>1546.50万</t>
  </si>
  <si>
    <t>-756.69万</t>
  </si>
  <si>
    <t>-2402.61万</t>
  </si>
  <si>
    <t>521.92万</t>
  </si>
  <si>
    <t>244.29万</t>
  </si>
  <si>
    <t>1195.84万</t>
  </si>
  <si>
    <t>34.33万</t>
  </si>
  <si>
    <t>7812.43万</t>
  </si>
  <si>
    <t>4149.55万</t>
  </si>
  <si>
    <t>961.23万</t>
  </si>
  <si>
    <t>3390.08万</t>
  </si>
  <si>
    <t>2874.29万</t>
  </si>
  <si>
    <t>176.41万</t>
  </si>
  <si>
    <t>727.95万</t>
  </si>
  <si>
    <t>1577311亿</t>
  </si>
  <si>
    <t>109.09万</t>
  </si>
  <si>
    <t>8058309亿</t>
  </si>
  <si>
    <t>365122220亿</t>
  </si>
  <si>
    <t>1451.83万</t>
  </si>
  <si>
    <t>1132.78万</t>
  </si>
  <si>
    <t>52.65万</t>
  </si>
  <si>
    <t>2052.16万</t>
  </si>
  <si>
    <t>-1086.18万</t>
  </si>
  <si>
    <t>550.18万</t>
  </si>
  <si>
    <t>9744.08万</t>
  </si>
  <si>
    <t>2675.02万</t>
  </si>
  <si>
    <t>254.21万</t>
  </si>
  <si>
    <t>1959.18万</t>
  </si>
  <si>
    <t>海昇药业</t>
  </si>
  <si>
    <t>2298.24万</t>
  </si>
  <si>
    <t>4191.06万</t>
  </si>
  <si>
    <t>1676.60万</t>
  </si>
  <si>
    <t>2262.54万</t>
  </si>
  <si>
    <t>2049.51万</t>
  </si>
  <si>
    <t>24.18万</t>
  </si>
  <si>
    <t>194.02万</t>
  </si>
  <si>
    <t>903.41万</t>
  </si>
  <si>
    <t>16641653亿</t>
  </si>
  <si>
    <t>153.51万</t>
  </si>
  <si>
    <t>529409710亿</t>
  </si>
  <si>
    <t>5409.86万</t>
  </si>
  <si>
    <t>400.23万</t>
  </si>
  <si>
    <t>732.68万</t>
  </si>
  <si>
    <t>1845.39万</t>
  </si>
  <si>
    <t>442.80万</t>
  </si>
  <si>
    <t>-1032.25万</t>
  </si>
  <si>
    <t>7948.50万</t>
  </si>
  <si>
    <t>2891.02万</t>
  </si>
  <si>
    <t>1468.78万</t>
  </si>
  <si>
    <t>8475.57万</t>
  </si>
  <si>
    <t>5396.56万</t>
  </si>
  <si>
    <t>483.70万</t>
  </si>
  <si>
    <t>133.31万</t>
  </si>
  <si>
    <t>9747.12万</t>
  </si>
  <si>
    <t>9794.95万</t>
  </si>
  <si>
    <t>708.81万</t>
  </si>
  <si>
    <t>9052.57万</t>
  </si>
  <si>
    <t>7989.23万</t>
  </si>
  <si>
    <t>489.41万</t>
  </si>
  <si>
    <t>353.46万</t>
  </si>
  <si>
    <t>1451.23万</t>
  </si>
  <si>
    <t>7124715亿</t>
  </si>
  <si>
    <t>34.88万</t>
  </si>
  <si>
    <t>296776400亿</t>
  </si>
  <si>
    <t>1015.76万</t>
  </si>
  <si>
    <t>6864.89万</t>
  </si>
  <si>
    <t>8795.96万</t>
  </si>
  <si>
    <t>-560.14万</t>
  </si>
  <si>
    <t>-11.72万</t>
  </si>
  <si>
    <t>3656.30万</t>
  </si>
  <si>
    <t>10转4.50股派3.5元(含税)</t>
  </si>
  <si>
    <t>878.00万</t>
  </si>
  <si>
    <t>4004.41万</t>
  </si>
  <si>
    <t>12.34万</t>
  </si>
  <si>
    <t>8078.52万</t>
  </si>
  <si>
    <t>554.17万</t>
  </si>
  <si>
    <t>7684.54万</t>
  </si>
  <si>
    <t>4681.70万</t>
  </si>
  <si>
    <t>1511.34万</t>
  </si>
  <si>
    <t>1036.54万</t>
  </si>
  <si>
    <t>1500.74万</t>
  </si>
  <si>
    <t>192866亿</t>
  </si>
  <si>
    <t>2264475亿</t>
  </si>
  <si>
    <t>16.19万</t>
  </si>
  <si>
    <t>470372790亿</t>
  </si>
  <si>
    <t>2935.62万</t>
  </si>
  <si>
    <t>1949.48万</t>
  </si>
  <si>
    <t>8339.05万</t>
  </si>
  <si>
    <t>-3017.60万</t>
  </si>
  <si>
    <t>-564.70万</t>
  </si>
  <si>
    <t>-1988.10万</t>
  </si>
  <si>
    <t>4780.39万</t>
  </si>
  <si>
    <t>5137.83万</t>
  </si>
  <si>
    <t>78.63万</t>
  </si>
  <si>
    <t>779.37万</t>
  </si>
  <si>
    <t>45.58万</t>
  </si>
  <si>
    <t>5859.98万</t>
  </si>
  <si>
    <t>4818.72万</t>
  </si>
  <si>
    <t>994.61万</t>
  </si>
  <si>
    <t>4462.63万</t>
  </si>
  <si>
    <t>2265.46万</t>
  </si>
  <si>
    <t>755.92万</t>
  </si>
  <si>
    <t>700.71万</t>
  </si>
  <si>
    <t>2915.80万</t>
  </si>
  <si>
    <t>4717690亿</t>
  </si>
  <si>
    <t>416.74万</t>
  </si>
  <si>
    <t>311365410亿</t>
  </si>
  <si>
    <t>1430.30万</t>
  </si>
  <si>
    <t>5198.94万</t>
  </si>
  <si>
    <t>1250.47万</t>
  </si>
  <si>
    <t>-40.19万</t>
  </si>
  <si>
    <t>-34.47万</t>
  </si>
  <si>
    <t>3915.72万</t>
  </si>
  <si>
    <t>10转4股派6元(含税)</t>
  </si>
  <si>
    <t>357.15万</t>
  </si>
  <si>
    <t>2328.32万</t>
  </si>
  <si>
    <t>33.44万</t>
  </si>
  <si>
    <t>7139.96万</t>
  </si>
  <si>
    <t>680.11万</t>
  </si>
  <si>
    <t>6544.19万</t>
  </si>
  <si>
    <t>5582.69万</t>
  </si>
  <si>
    <t>186.54万</t>
  </si>
  <si>
    <t>428.06万</t>
  </si>
  <si>
    <t>1238.08万</t>
  </si>
  <si>
    <t>6.69万</t>
  </si>
  <si>
    <t>5802677亿</t>
  </si>
  <si>
    <t>3594.39万</t>
  </si>
  <si>
    <t>921.57万</t>
  </si>
  <si>
    <t>201987670亿</t>
  </si>
  <si>
    <t>7115.23万</t>
  </si>
  <si>
    <t>4597.32万</t>
  </si>
  <si>
    <t>6696.67万</t>
  </si>
  <si>
    <t>1347.13万</t>
  </si>
  <si>
    <t>-2563.73万</t>
  </si>
  <si>
    <t>1489.22万</t>
  </si>
  <si>
    <t>1925.85万</t>
  </si>
  <si>
    <t>324.23万</t>
  </si>
  <si>
    <t>914.09万</t>
  </si>
  <si>
    <t>莱赛激光</t>
  </si>
  <si>
    <t>73.02万</t>
  </si>
  <si>
    <t>8674.19万</t>
  </si>
  <si>
    <t>3665.79万</t>
  </si>
  <si>
    <t>250.11万</t>
  </si>
  <si>
    <t>3546.64万</t>
  </si>
  <si>
    <t>2666.53万</t>
  </si>
  <si>
    <t>273.49万</t>
  </si>
  <si>
    <t>295.59万</t>
  </si>
  <si>
    <t>1479.89万</t>
  </si>
  <si>
    <t>-83513亿</t>
  </si>
  <si>
    <t>76.17万</t>
  </si>
  <si>
    <t>1853681亿</t>
  </si>
  <si>
    <t>17.51万</t>
  </si>
  <si>
    <t>358279950亿</t>
  </si>
  <si>
    <t>66.28万</t>
  </si>
  <si>
    <t>1274.84万</t>
  </si>
  <si>
    <t>5112.25万</t>
  </si>
  <si>
    <t>7707.09万</t>
  </si>
  <si>
    <t>-1631.07万</t>
  </si>
  <si>
    <t>-1187.56万</t>
  </si>
  <si>
    <t>1883.70万</t>
  </si>
  <si>
    <t>3370.22万</t>
  </si>
  <si>
    <t>3254.16万</t>
  </si>
  <si>
    <t>2836.69万</t>
  </si>
  <si>
    <t>3935.75万</t>
  </si>
  <si>
    <t>1003.67万</t>
  </si>
  <si>
    <t>2684.53万</t>
  </si>
  <si>
    <t>1598.57万</t>
  </si>
  <si>
    <t>347.88万</t>
  </si>
  <si>
    <t>2196.06万</t>
  </si>
  <si>
    <t>10.41万</t>
  </si>
  <si>
    <t>5851.77万</t>
  </si>
  <si>
    <t>764.08万</t>
  </si>
  <si>
    <t>4969.44万</t>
  </si>
  <si>
    <t>3369.40万</t>
  </si>
  <si>
    <t>676.26万</t>
  </si>
  <si>
    <t>690.73万</t>
  </si>
  <si>
    <t>833.74万</t>
  </si>
  <si>
    <t>33.86万</t>
  </si>
  <si>
    <t>7289967亿</t>
  </si>
  <si>
    <t>4867.57万</t>
  </si>
  <si>
    <t>377187830亿</t>
  </si>
  <si>
    <t>158.20万</t>
  </si>
  <si>
    <t>1546.80万</t>
  </si>
  <si>
    <t>3512.43万</t>
  </si>
  <si>
    <t>4.43万</t>
  </si>
  <si>
    <t>9934.83万</t>
  </si>
  <si>
    <t>1586.39万</t>
  </si>
  <si>
    <t>-39.87万</t>
  </si>
  <si>
    <t>-18.37万</t>
  </si>
  <si>
    <t>3561.71万</t>
  </si>
  <si>
    <t>70.97万</t>
  </si>
  <si>
    <t>899.38万</t>
  </si>
  <si>
    <t>244.72万</t>
  </si>
  <si>
    <t>3740.89万</t>
  </si>
  <si>
    <t>-672.38万</t>
  </si>
  <si>
    <t>4375.07万</t>
  </si>
  <si>
    <t>2870.91万</t>
  </si>
  <si>
    <t>732.01万</t>
  </si>
  <si>
    <t>429.22万</t>
  </si>
  <si>
    <t>1123.58万</t>
  </si>
  <si>
    <t>-6985052亿</t>
  </si>
  <si>
    <t>3619.38万</t>
  </si>
  <si>
    <t>415855570亿</t>
  </si>
  <si>
    <t>2002.63万</t>
  </si>
  <si>
    <t>8929.96万</t>
  </si>
  <si>
    <t>3880.00万</t>
  </si>
  <si>
    <t>-4431.52万</t>
  </si>
  <si>
    <t>-164.46万</t>
  </si>
  <si>
    <t>-90.22万</t>
  </si>
  <si>
    <t>3496.06万</t>
  </si>
  <si>
    <t>2465.96万</t>
  </si>
  <si>
    <t>891.95万</t>
  </si>
  <si>
    <t>2797.60万</t>
  </si>
  <si>
    <t>421.73万</t>
  </si>
  <si>
    <t>9269.20万</t>
  </si>
  <si>
    <t>31.01万</t>
  </si>
  <si>
    <t>9163.73万</t>
  </si>
  <si>
    <t>6435.85万</t>
  </si>
  <si>
    <t>1078.48万</t>
  </si>
  <si>
    <t>1003.01万</t>
  </si>
  <si>
    <t>2651.18万</t>
  </si>
  <si>
    <t>-189489亿</t>
  </si>
  <si>
    <t>7341.17万</t>
  </si>
  <si>
    <t>2567.33万</t>
  </si>
  <si>
    <t>245823160亿</t>
  </si>
  <si>
    <t>6120.05万</t>
  </si>
  <si>
    <t>5799.89万</t>
  </si>
  <si>
    <t>1286.84万</t>
  </si>
  <si>
    <t>4760.00万</t>
  </si>
  <si>
    <t>828.48万</t>
  </si>
  <si>
    <t>-1341.76万</t>
  </si>
  <si>
    <t>1564.27万</t>
  </si>
  <si>
    <t>1883.48万</t>
  </si>
  <si>
    <t>2333.93万</t>
  </si>
  <si>
    <t>2277.16万</t>
  </si>
  <si>
    <t>3759.20万</t>
  </si>
  <si>
    <t>162.82万</t>
  </si>
  <si>
    <t>4275.59万</t>
  </si>
  <si>
    <t>529.45万</t>
  </si>
  <si>
    <t>130.98万</t>
  </si>
  <si>
    <t>417.22万</t>
  </si>
  <si>
    <t>1868.87万</t>
  </si>
  <si>
    <t>414763亿</t>
  </si>
  <si>
    <t>4188801亿</t>
  </si>
  <si>
    <t>3467.76万</t>
  </si>
  <si>
    <t>3595.42万</t>
  </si>
  <si>
    <t>230972770亿</t>
  </si>
  <si>
    <t>1254.07万</t>
  </si>
  <si>
    <t>4730.00万</t>
  </si>
  <si>
    <t>1117.84万</t>
  </si>
  <si>
    <t>6499.32万</t>
  </si>
  <si>
    <t>-2703.88万</t>
  </si>
  <si>
    <t>-995.86万</t>
  </si>
  <si>
    <t>3701.18万</t>
  </si>
  <si>
    <t>2003.86万</t>
  </si>
  <si>
    <t>2190.04万</t>
  </si>
  <si>
    <t>1389.34万</t>
  </si>
  <si>
    <t>6130.28万</t>
  </si>
  <si>
    <t>71.87万</t>
  </si>
  <si>
    <t>2835.45万</t>
  </si>
  <si>
    <t>-727.28万</t>
  </si>
  <si>
    <t>3721.67万</t>
  </si>
  <si>
    <t>2531.90万</t>
  </si>
  <si>
    <t>109.19万</t>
  </si>
  <si>
    <t>478.42万</t>
  </si>
  <si>
    <t>2022.23万</t>
  </si>
  <si>
    <t>-200848亿</t>
  </si>
  <si>
    <t>-7540526亿</t>
  </si>
  <si>
    <t>3171.41万</t>
  </si>
  <si>
    <t>253.49万</t>
  </si>
  <si>
    <t>221407600亿</t>
  </si>
  <si>
    <t>89.15万</t>
  </si>
  <si>
    <t>1150.00万</t>
  </si>
  <si>
    <t>1796.73万</t>
  </si>
  <si>
    <t>1650.00万</t>
  </si>
  <si>
    <t>-3746.29万</t>
  </si>
  <si>
    <t>-665.07万</t>
  </si>
  <si>
    <t>-1582.12万</t>
  </si>
  <si>
    <t>1632.85万</t>
  </si>
  <si>
    <t>590.37万</t>
  </si>
  <si>
    <t>7468.49万</t>
  </si>
  <si>
    <t>4.49万</t>
  </si>
  <si>
    <t>1431.28万</t>
  </si>
  <si>
    <t>6332.64万</t>
  </si>
  <si>
    <t>2361.00万</t>
  </si>
  <si>
    <t>1145.10万</t>
  </si>
  <si>
    <t>3257.53万</t>
  </si>
  <si>
    <t>1650亿</t>
  </si>
  <si>
    <t>6.23万</t>
  </si>
  <si>
    <t>13902653亿</t>
  </si>
  <si>
    <t>902.33万</t>
  </si>
  <si>
    <t>684839660亿</t>
  </si>
  <si>
    <t>6113.74万</t>
  </si>
  <si>
    <t>4484.09万</t>
  </si>
  <si>
    <t>5416.46万</t>
  </si>
  <si>
    <t>222.05万</t>
  </si>
  <si>
    <t>-8290.11万</t>
  </si>
  <si>
    <t>-6622.57万</t>
  </si>
  <si>
    <t>3704.78万</t>
  </si>
  <si>
    <t>6.67亿</t>
  </si>
  <si>
    <t>62.43万</t>
  </si>
  <si>
    <t>715.55万</t>
  </si>
  <si>
    <t>407.40万</t>
  </si>
  <si>
    <t>6664.98万</t>
  </si>
  <si>
    <t>3399.20万</t>
  </si>
  <si>
    <t>179.67万</t>
  </si>
  <si>
    <t>3473.10万</t>
  </si>
  <si>
    <t>524.96万</t>
  </si>
  <si>
    <t>448.69万</t>
  </si>
  <si>
    <t>1207.55万</t>
  </si>
  <si>
    <t>-196197亿</t>
  </si>
  <si>
    <t>1823743亿</t>
  </si>
  <si>
    <t>33.35万</t>
  </si>
  <si>
    <t>255902820亿</t>
  </si>
  <si>
    <t>753.30万</t>
  </si>
  <si>
    <t>4142.46万</t>
  </si>
  <si>
    <t>123.07万</t>
  </si>
  <si>
    <t>-407.02万</t>
  </si>
  <si>
    <t>-4280.25万</t>
  </si>
  <si>
    <t>3593.26万</t>
  </si>
  <si>
    <t>10派3.08元(含税)</t>
  </si>
  <si>
    <t>1017.43万</t>
  </si>
  <si>
    <t>6866.72万</t>
  </si>
  <si>
    <t>61.67万</t>
  </si>
  <si>
    <t>672.77万</t>
  </si>
  <si>
    <t>9664.94万</t>
  </si>
  <si>
    <t>397.49万</t>
  </si>
  <si>
    <t>551.08万</t>
  </si>
  <si>
    <t>2048.92万</t>
  </si>
  <si>
    <t>159550亿</t>
  </si>
  <si>
    <t>6591508亿</t>
  </si>
  <si>
    <t>454444350亿</t>
  </si>
  <si>
    <t>89.65万</t>
  </si>
  <si>
    <t>528.85万</t>
  </si>
  <si>
    <t>3936.30万</t>
  </si>
  <si>
    <t>-114.96万</t>
  </si>
  <si>
    <t>3827.93万</t>
  </si>
  <si>
    <t>303.88万</t>
  </si>
  <si>
    <t>3103.28万</t>
  </si>
  <si>
    <t>18.54万</t>
  </si>
  <si>
    <t>2510.07万</t>
  </si>
  <si>
    <t>-445.09万</t>
  </si>
  <si>
    <t>3076.21万</t>
  </si>
  <si>
    <t>1912.19万</t>
  </si>
  <si>
    <t>322.73万</t>
  </si>
  <si>
    <t>556.33万</t>
  </si>
  <si>
    <t>1026.06万</t>
  </si>
  <si>
    <t>-5679240亿</t>
  </si>
  <si>
    <t>2113.76万</t>
  </si>
  <si>
    <t>81021515亿</t>
  </si>
  <si>
    <t>6850.00万</t>
  </si>
  <si>
    <t>1013.45万</t>
  </si>
  <si>
    <t>8776.19万</t>
  </si>
  <si>
    <t>-75.78万</t>
  </si>
  <si>
    <t>-379.13万</t>
  </si>
  <si>
    <t>588.58万</t>
  </si>
  <si>
    <t>-208.98万</t>
  </si>
  <si>
    <t>131.78万</t>
  </si>
  <si>
    <t>1170.73万</t>
  </si>
  <si>
    <t>71.60万</t>
  </si>
  <si>
    <t>-55.66万</t>
  </si>
  <si>
    <t>237.67万</t>
  </si>
  <si>
    <t>1642.28万</t>
  </si>
  <si>
    <t>-992277亿</t>
  </si>
  <si>
    <t>5413.90万</t>
  </si>
  <si>
    <t>3255.02万</t>
  </si>
  <si>
    <t>317850400亿</t>
  </si>
  <si>
    <t>3133.69万</t>
  </si>
  <si>
    <t>5005.13万</t>
  </si>
  <si>
    <t>3009.18万</t>
  </si>
  <si>
    <t>-534.28万</t>
  </si>
  <si>
    <t>-3175.58万</t>
  </si>
  <si>
    <t>457.85万</t>
  </si>
  <si>
    <t>-566.52万</t>
  </si>
  <si>
    <t>1975.14万</t>
  </si>
  <si>
    <t>343.90万</t>
  </si>
  <si>
    <t>609.05万</t>
  </si>
  <si>
    <t>2298.11万</t>
  </si>
  <si>
    <t>932.75万</t>
  </si>
  <si>
    <t>4570.97万</t>
  </si>
  <si>
    <t>46197亿</t>
  </si>
  <si>
    <t>4909375亿</t>
  </si>
  <si>
    <t>145.80万</t>
  </si>
  <si>
    <t>1325567740亿</t>
  </si>
  <si>
    <t>-138.88万</t>
  </si>
  <si>
    <t>-5276.94万</t>
  </si>
  <si>
    <t>25.55亿</t>
  </si>
  <si>
    <t>3448.81万</t>
  </si>
  <si>
    <t>1273.64万</t>
  </si>
  <si>
    <t>84.68万</t>
  </si>
  <si>
    <t>355.60万</t>
  </si>
  <si>
    <t>1003.32万</t>
  </si>
  <si>
    <t>752.26万</t>
  </si>
  <si>
    <t>185.09万</t>
  </si>
  <si>
    <t>-325662亿</t>
  </si>
  <si>
    <t>246.36万</t>
  </si>
  <si>
    <t>2006177亿</t>
  </si>
  <si>
    <t>2461.99万</t>
  </si>
  <si>
    <t>791885400亿</t>
  </si>
  <si>
    <t>5755.00万</t>
  </si>
  <si>
    <t>-3148.09万</t>
  </si>
  <si>
    <t>-1002.82万</t>
  </si>
  <si>
    <t>824.83万</t>
  </si>
  <si>
    <t>4886.65万</t>
  </si>
  <si>
    <t>15.51亿</t>
  </si>
  <si>
    <t>3234.55万</t>
  </si>
  <si>
    <t>432.88万</t>
  </si>
  <si>
    <t>4962.30万</t>
  </si>
  <si>
    <t>233.17万</t>
  </si>
  <si>
    <t>6196.98万</t>
  </si>
  <si>
    <t>5793.15万</t>
  </si>
  <si>
    <t>846.92万</t>
  </si>
  <si>
    <t>4589.73万</t>
  </si>
  <si>
    <t>3018.56万</t>
  </si>
  <si>
    <t>622.01万</t>
  </si>
  <si>
    <t>2213.48万</t>
  </si>
  <si>
    <t>-2714066亿</t>
  </si>
  <si>
    <t>2.43万</t>
  </si>
  <si>
    <t>10382526亿</t>
  </si>
  <si>
    <t>6.30万</t>
  </si>
  <si>
    <t>288826220亿</t>
  </si>
  <si>
    <t>1435.25万</t>
  </si>
  <si>
    <t>4905.46万</t>
  </si>
  <si>
    <t>-232.82万</t>
  </si>
  <si>
    <t>-103.62万</t>
  </si>
  <si>
    <t>-189.59万</t>
  </si>
  <si>
    <t>2652.24万</t>
  </si>
  <si>
    <t>2711.26万</t>
  </si>
  <si>
    <t>1207.36万</t>
  </si>
  <si>
    <t>2832.66万</t>
  </si>
  <si>
    <t>82.41万</t>
  </si>
  <si>
    <t>7572.16万</t>
  </si>
  <si>
    <t>349.12万</t>
  </si>
  <si>
    <t>8127.62万</t>
  </si>
  <si>
    <t>7134.98万</t>
  </si>
  <si>
    <t>253.17万</t>
  </si>
  <si>
    <t>415.16万</t>
  </si>
  <si>
    <t>1078.73万</t>
  </si>
  <si>
    <t>2910828亿</t>
  </si>
  <si>
    <t>350.00万</t>
  </si>
  <si>
    <t>-491801亿</t>
  </si>
  <si>
    <t>5990.36万</t>
  </si>
  <si>
    <t>126.05万</t>
  </si>
  <si>
    <t>214056680亿</t>
  </si>
  <si>
    <t>646.88万</t>
  </si>
  <si>
    <t>4403.82万</t>
  </si>
  <si>
    <t>1644.34万</t>
  </si>
  <si>
    <t>3859.20万</t>
  </si>
  <si>
    <t>15.10万</t>
  </si>
  <si>
    <t>-3542.97万</t>
  </si>
  <si>
    <t>-171.59万</t>
  </si>
  <si>
    <t>2062.13万</t>
  </si>
  <si>
    <t>566.09万</t>
  </si>
  <si>
    <t>890.09万</t>
  </si>
  <si>
    <t>99.06万</t>
  </si>
  <si>
    <t>5302.09万</t>
  </si>
  <si>
    <t>1176.29万</t>
  </si>
  <si>
    <t>3667.53万</t>
  </si>
  <si>
    <t>2335.94万</t>
  </si>
  <si>
    <t>418.21万</t>
  </si>
  <si>
    <t>368.10万</t>
  </si>
  <si>
    <t>2350.82万</t>
  </si>
  <si>
    <t>10572456亿</t>
  </si>
  <si>
    <t>4597.38万</t>
  </si>
  <si>
    <t>468167050亿</t>
  </si>
  <si>
    <t>7106.72万</t>
  </si>
  <si>
    <t>1877.43万</t>
  </si>
  <si>
    <t>-45.47万</t>
  </si>
  <si>
    <t>3890.09万</t>
  </si>
  <si>
    <t>10派1.422858元(含税)</t>
  </si>
  <si>
    <t>515.41万</t>
  </si>
  <si>
    <t>4158.55万</t>
  </si>
  <si>
    <t>59.84万</t>
  </si>
  <si>
    <t>1183.12万</t>
  </si>
  <si>
    <t>-730.18万</t>
  </si>
  <si>
    <t>3492.52万</t>
  </si>
  <si>
    <t>1057.72万</t>
  </si>
  <si>
    <t>583.90万</t>
  </si>
  <si>
    <t>559.56万</t>
  </si>
  <si>
    <t>6825.33万</t>
  </si>
  <si>
    <t>308.48万</t>
  </si>
  <si>
    <t>-18973759亿</t>
  </si>
  <si>
    <t>877163830亿</t>
  </si>
  <si>
    <t>8.13万</t>
  </si>
  <si>
    <t>2103.62万</t>
  </si>
  <si>
    <t>-471.94万</t>
  </si>
  <si>
    <t>-51.28万</t>
  </si>
  <si>
    <t>10派1.05元(含税)</t>
  </si>
  <si>
    <t>418.56万</t>
  </si>
  <si>
    <t>3530.20万</t>
  </si>
  <si>
    <t>38.88万</t>
  </si>
  <si>
    <t>2964.47万</t>
  </si>
  <si>
    <t>1583.08万</t>
  </si>
  <si>
    <t>201.98万</t>
  </si>
  <si>
    <t>1332.32万</t>
  </si>
  <si>
    <t>1002.13万</t>
  </si>
  <si>
    <t>65.97万</t>
  </si>
  <si>
    <t>221.53万</t>
  </si>
  <si>
    <t>484.90万</t>
  </si>
  <si>
    <t>2019821亿</t>
  </si>
  <si>
    <t>9248.23万</t>
  </si>
  <si>
    <t>28.50万</t>
  </si>
  <si>
    <t>150076570亿</t>
  </si>
  <si>
    <t>209.70万</t>
  </si>
  <si>
    <t>1551.54万</t>
  </si>
  <si>
    <t>3115.45万</t>
  </si>
  <si>
    <t>167.44万</t>
  </si>
  <si>
    <t>1537.92万</t>
  </si>
  <si>
    <t>2478.01万</t>
  </si>
  <si>
    <t>7848.34万</t>
  </si>
  <si>
    <t>336.28万</t>
  </si>
  <si>
    <t>330.05万</t>
  </si>
  <si>
    <t>1369.15万</t>
  </si>
  <si>
    <t>38.50万</t>
  </si>
  <si>
    <t>5502.45万</t>
  </si>
  <si>
    <t>3613.30万</t>
  </si>
  <si>
    <t>86.78万</t>
  </si>
  <si>
    <t>3678.50万</t>
  </si>
  <si>
    <t>1855.32万</t>
  </si>
  <si>
    <t>880.20万</t>
  </si>
  <si>
    <t>355.53万</t>
  </si>
  <si>
    <t>2360.13万</t>
  </si>
  <si>
    <t>-18555亿</t>
  </si>
  <si>
    <t>3.41万</t>
  </si>
  <si>
    <t>473789亿</t>
  </si>
  <si>
    <t>5711.51万</t>
  </si>
  <si>
    <t>156540880亿</t>
  </si>
  <si>
    <t>2929.49万</t>
  </si>
  <si>
    <t>4844.81万</t>
  </si>
  <si>
    <t>583.57万</t>
  </si>
  <si>
    <t>1068.83万</t>
  </si>
  <si>
    <t>-45.65万</t>
  </si>
  <si>
    <t>4030.74万</t>
  </si>
  <si>
    <t>1173.99万</t>
  </si>
  <si>
    <t>446.83万</t>
  </si>
  <si>
    <t>957.12万</t>
  </si>
  <si>
    <t>XD无锡鼎</t>
  </si>
  <si>
    <t>120.26万</t>
  </si>
  <si>
    <t>1037.64万</t>
  </si>
  <si>
    <t>9180.79万</t>
  </si>
  <si>
    <t>7946.92万</t>
  </si>
  <si>
    <t>277.76万</t>
  </si>
  <si>
    <t>450.78万</t>
  </si>
  <si>
    <t>1627.62万</t>
  </si>
  <si>
    <t>10331105亿</t>
  </si>
  <si>
    <t>1370.54万</t>
  </si>
  <si>
    <t>470818820亿</t>
  </si>
  <si>
    <t>676.00万</t>
  </si>
  <si>
    <t>9005.72万</t>
  </si>
  <si>
    <t>-2817.09万</t>
  </si>
  <si>
    <t>-1689.88万</t>
  </si>
  <si>
    <t>4041.06万</t>
  </si>
  <si>
    <t>1988.50万</t>
  </si>
  <si>
    <t>1539.10万</t>
  </si>
  <si>
    <t>1570.06万</t>
  </si>
  <si>
    <t>848.68万</t>
  </si>
  <si>
    <t>4706.50万</t>
  </si>
  <si>
    <t>2052.46万</t>
  </si>
  <si>
    <t>799.43万</t>
  </si>
  <si>
    <t>9124.32万</t>
  </si>
  <si>
    <t>282.68万</t>
  </si>
  <si>
    <t>6822.87万</t>
  </si>
  <si>
    <t>2606.95万</t>
  </si>
  <si>
    <t>257.66万</t>
  </si>
  <si>
    <t>2690.39万</t>
  </si>
  <si>
    <t>1158.31万</t>
  </si>
  <si>
    <t>844.58万</t>
  </si>
  <si>
    <t>246.68万</t>
  </si>
  <si>
    <t>2209.93万</t>
  </si>
  <si>
    <t>807384亿</t>
  </si>
  <si>
    <t>553800亿</t>
  </si>
  <si>
    <t>513658710亿</t>
  </si>
  <si>
    <t>1099.84万</t>
  </si>
  <si>
    <t>3240.61万</t>
  </si>
  <si>
    <t>-3968.41万</t>
  </si>
  <si>
    <t>-5080.00万</t>
  </si>
  <si>
    <t>5185.27万</t>
  </si>
  <si>
    <t>5584.90万</t>
  </si>
  <si>
    <t>865.00万</t>
  </si>
  <si>
    <t>2097.37万</t>
  </si>
  <si>
    <t>176.04万</t>
  </si>
  <si>
    <t>2562.99万</t>
  </si>
  <si>
    <t>4932.81万</t>
  </si>
  <si>
    <t>730.43万</t>
  </si>
  <si>
    <t>3922.15万</t>
  </si>
  <si>
    <t>3530.32万</t>
  </si>
  <si>
    <t>48.36万</t>
  </si>
  <si>
    <t>184.94万</t>
  </si>
  <si>
    <t>1594.53万</t>
  </si>
  <si>
    <t>-93424亿</t>
  </si>
  <si>
    <t>6661489亿</t>
  </si>
  <si>
    <t>639481340亿</t>
  </si>
  <si>
    <t>4944.18万</t>
  </si>
  <si>
    <t>429.77万</t>
  </si>
  <si>
    <t>1012.14万</t>
  </si>
  <si>
    <t>1963.99万</t>
  </si>
  <si>
    <t>76.45万</t>
  </si>
  <si>
    <t>-6356.76万</t>
  </si>
  <si>
    <t>-29.27万</t>
  </si>
  <si>
    <t>3165.65万</t>
  </si>
  <si>
    <t>1113.99万</t>
  </si>
  <si>
    <t>8092.90万</t>
  </si>
  <si>
    <t>302.13万</t>
  </si>
  <si>
    <t>7458.83万</t>
  </si>
  <si>
    <t>3799.09万</t>
  </si>
  <si>
    <t>-123.00万</t>
  </si>
  <si>
    <t>4150.50万</t>
  </si>
  <si>
    <t>2574.03万</t>
  </si>
  <si>
    <t>415.36万</t>
  </si>
  <si>
    <t>621.10万</t>
  </si>
  <si>
    <t>1812.43万</t>
  </si>
  <si>
    <t>8.33万</t>
  </si>
  <si>
    <t>-3351605亿</t>
  </si>
  <si>
    <t>272666810亿</t>
  </si>
  <si>
    <t>970.62万</t>
  </si>
  <si>
    <t>1027.38万</t>
  </si>
  <si>
    <t>4089.95万</t>
  </si>
  <si>
    <t>233.39万</t>
  </si>
  <si>
    <t>-1137.74万</t>
  </si>
  <si>
    <t>-364.91万</t>
  </si>
  <si>
    <t>3589.90万</t>
  </si>
  <si>
    <t>3314.77万</t>
  </si>
  <si>
    <t>10派1.799611元(含税)</t>
  </si>
  <si>
    <t>718.12万</t>
  </si>
  <si>
    <t>4442.35万</t>
  </si>
  <si>
    <t>41.05万</t>
  </si>
  <si>
    <t>1733.57万</t>
  </si>
  <si>
    <t>596.42万</t>
  </si>
  <si>
    <t>445.09万</t>
  </si>
  <si>
    <t>580.52万</t>
  </si>
  <si>
    <t>-251157亿</t>
  </si>
  <si>
    <t>17306484亿</t>
  </si>
  <si>
    <t>293130890亿</t>
  </si>
  <si>
    <t>4600.00万</t>
  </si>
  <si>
    <t>1441.00万</t>
  </si>
  <si>
    <t>6274.25万</t>
  </si>
  <si>
    <t>4907.73万</t>
  </si>
  <si>
    <t>-4036.90万</t>
  </si>
  <si>
    <t>-590.79万</t>
  </si>
  <si>
    <t>2957.92万</t>
  </si>
  <si>
    <t>10转4股派1.8元(含税)</t>
  </si>
  <si>
    <t>1879.18万</t>
  </si>
  <si>
    <t>232.95万</t>
  </si>
  <si>
    <t>9329.52万</t>
  </si>
  <si>
    <t>9121.77万</t>
  </si>
  <si>
    <t>8400.25万</t>
  </si>
  <si>
    <t>259.32万</t>
  </si>
  <si>
    <t>269.57万</t>
  </si>
  <si>
    <t>1074.89万</t>
  </si>
  <si>
    <t>1119198亿</t>
  </si>
  <si>
    <t>3.82万</t>
  </si>
  <si>
    <t>1378749亿</t>
  </si>
  <si>
    <t>349234090亿</t>
  </si>
  <si>
    <t>585.43万</t>
  </si>
  <si>
    <t>2490.00万</t>
  </si>
  <si>
    <t>3999.11万</t>
  </si>
  <si>
    <t>6894.65万</t>
  </si>
  <si>
    <t>613.00万</t>
  </si>
  <si>
    <t>3137.15万</t>
  </si>
  <si>
    <t>420.10万</t>
  </si>
  <si>
    <t>1179.05万</t>
  </si>
  <si>
    <t>834.27万</t>
  </si>
  <si>
    <t>4952.45万</t>
  </si>
  <si>
    <t>102.54万</t>
  </si>
  <si>
    <t>4820.75万</t>
  </si>
  <si>
    <t>3985.07万</t>
  </si>
  <si>
    <t>1358.31万</t>
  </si>
  <si>
    <t>3329.33万</t>
  </si>
  <si>
    <t>2218.14万</t>
  </si>
  <si>
    <t>262.53万</t>
  </si>
  <si>
    <t>634.65万</t>
  </si>
  <si>
    <t>1002.86万</t>
  </si>
  <si>
    <t>-458129亿</t>
  </si>
  <si>
    <t>5685974亿</t>
  </si>
  <si>
    <t>339544270亿</t>
  </si>
  <si>
    <t>5165.03万</t>
  </si>
  <si>
    <t>2044.71万</t>
  </si>
  <si>
    <t>4016.69万</t>
  </si>
  <si>
    <t>1794.46万</t>
  </si>
  <si>
    <t>93.28万</t>
  </si>
  <si>
    <t>-31.18万</t>
  </si>
  <si>
    <t>4556.56万</t>
  </si>
  <si>
    <t>851.66万</t>
  </si>
  <si>
    <t>1925.17万</t>
  </si>
  <si>
    <t>5212.18万</t>
  </si>
  <si>
    <t>3492.49万</t>
  </si>
  <si>
    <t>161.21万</t>
  </si>
  <si>
    <t>3335.48万</t>
  </si>
  <si>
    <t>2713.12万</t>
  </si>
  <si>
    <t>92.52万</t>
  </si>
  <si>
    <t>754.09万</t>
  </si>
  <si>
    <t>1498737亿</t>
  </si>
  <si>
    <t>195.72万</t>
  </si>
  <si>
    <t>259470750亿</t>
  </si>
  <si>
    <t>506.10万</t>
  </si>
  <si>
    <t>475.94万</t>
  </si>
  <si>
    <t>1311.77万</t>
  </si>
  <si>
    <t>3718.51万</t>
  </si>
  <si>
    <t>1073.01万</t>
  </si>
  <si>
    <t>-2155.00万</t>
  </si>
  <si>
    <t>-8.01万</t>
  </si>
  <si>
    <t>1963.57万</t>
  </si>
  <si>
    <t>1488.13万</t>
  </si>
  <si>
    <t>5992.86万</t>
  </si>
  <si>
    <t>209.38万</t>
  </si>
  <si>
    <t>6366.25万</t>
  </si>
  <si>
    <t>-759.56万</t>
  </si>
  <si>
    <t>7251.35万</t>
  </si>
  <si>
    <t>5640.36万</t>
  </si>
  <si>
    <t>240.87万</t>
  </si>
  <si>
    <t>817.74万</t>
  </si>
  <si>
    <t>1872.54万</t>
  </si>
  <si>
    <t>4542亿</t>
  </si>
  <si>
    <t>-7951281亿</t>
  </si>
  <si>
    <t>5634.27万</t>
  </si>
  <si>
    <t>662.82万</t>
  </si>
  <si>
    <t>217172110亿</t>
  </si>
  <si>
    <t>973.14万</t>
  </si>
  <si>
    <t>6454.95万</t>
  </si>
  <si>
    <t>1946.58万</t>
  </si>
  <si>
    <t>6420.27万</t>
  </si>
  <si>
    <t>-2288.46万</t>
  </si>
  <si>
    <t>-1210.45万</t>
  </si>
  <si>
    <t>-3118.32万</t>
  </si>
  <si>
    <t>1368.87万</t>
  </si>
  <si>
    <t>6698.01万</t>
  </si>
  <si>
    <t>284.91万</t>
  </si>
  <si>
    <t>5429.86万</t>
  </si>
  <si>
    <t>3476.36万</t>
  </si>
  <si>
    <t>524.36万</t>
  </si>
  <si>
    <t>3117.04万</t>
  </si>
  <si>
    <t>2589.04万</t>
  </si>
  <si>
    <t>41.95万</t>
  </si>
  <si>
    <t>232.11万</t>
  </si>
  <si>
    <t>780.27万</t>
  </si>
  <si>
    <t>250604亿</t>
  </si>
  <si>
    <t>4973358亿</t>
  </si>
  <si>
    <t>8639.56万</t>
  </si>
  <si>
    <t>1769.19万</t>
  </si>
  <si>
    <t>252032900亿</t>
  </si>
  <si>
    <t>3501.33万</t>
  </si>
  <si>
    <t>615.00万</t>
  </si>
  <si>
    <t>1828.42万</t>
  </si>
  <si>
    <t>3107.72万</t>
  </si>
  <si>
    <t>-133.94万</t>
  </si>
  <si>
    <t>-840.09万</t>
  </si>
  <si>
    <t>2056.55万</t>
  </si>
  <si>
    <t>3238.80万</t>
  </si>
  <si>
    <t>10转4.5股派1.5元(含税)</t>
  </si>
  <si>
    <t>2595.65万</t>
  </si>
  <si>
    <t>4485.65万</t>
  </si>
  <si>
    <t>1245.38万</t>
  </si>
  <si>
    <t>9463.18万</t>
  </si>
  <si>
    <t>244.87万</t>
  </si>
  <si>
    <t>769.39万</t>
  </si>
  <si>
    <t>2021.46万</t>
  </si>
  <si>
    <t>309518亿</t>
  </si>
  <si>
    <t>12018663亿</t>
  </si>
  <si>
    <t>533781820亿</t>
  </si>
  <si>
    <t>167.59万</t>
  </si>
  <si>
    <t>3270.51万</t>
  </si>
  <si>
    <t>980.93万</t>
  </si>
  <si>
    <t>-3818.91万</t>
  </si>
  <si>
    <t>-508.61万</t>
  </si>
  <si>
    <t>7318.76万</t>
  </si>
  <si>
    <t>171.05万</t>
  </si>
  <si>
    <t>1055.65万</t>
  </si>
  <si>
    <t>12.92万</t>
  </si>
  <si>
    <t>7852.18万</t>
  </si>
  <si>
    <t>232.86万</t>
  </si>
  <si>
    <t>6419.55万</t>
  </si>
  <si>
    <t>309.84万</t>
  </si>
  <si>
    <t>366.17万</t>
  </si>
  <si>
    <t>1442.04万</t>
  </si>
  <si>
    <t>20181亿</t>
  </si>
  <si>
    <t>2299907亿</t>
  </si>
  <si>
    <t>702.57万</t>
  </si>
  <si>
    <t>349463250亿</t>
  </si>
  <si>
    <t>5276.48万</t>
  </si>
  <si>
    <t>5852.70万</t>
  </si>
  <si>
    <t>-157.63万</t>
  </si>
  <si>
    <t>-820.23万</t>
  </si>
  <si>
    <t>-478.71万</t>
  </si>
  <si>
    <t>1041.57万</t>
  </si>
  <si>
    <t>945.90万</t>
  </si>
  <si>
    <t>45.03万</t>
  </si>
  <si>
    <t>4460.77万</t>
  </si>
  <si>
    <t>774.99万</t>
  </si>
  <si>
    <t>3681.49万</t>
  </si>
  <si>
    <t>3308.24万</t>
  </si>
  <si>
    <t>12.89万</t>
  </si>
  <si>
    <t>201.56万</t>
  </si>
  <si>
    <t>1246.51万</t>
  </si>
  <si>
    <t>6617591亿</t>
  </si>
  <si>
    <t>298273200亿</t>
  </si>
  <si>
    <t>3575.51万</t>
  </si>
  <si>
    <t>1691.61万</t>
  </si>
  <si>
    <t>2860.66万</t>
  </si>
  <si>
    <t>2198.54万</t>
  </si>
  <si>
    <t>7187.44万</t>
  </si>
  <si>
    <t>4498.90万</t>
  </si>
  <si>
    <t>-1549.50万</t>
  </si>
  <si>
    <t>-2212.95万</t>
  </si>
  <si>
    <t>-53.54万</t>
  </si>
  <si>
    <t>5226.13万</t>
  </si>
  <si>
    <t>10转4股派4.6元(含税)</t>
  </si>
  <si>
    <t>274.50万</t>
  </si>
  <si>
    <t>1311.58万</t>
  </si>
  <si>
    <t>23.63万</t>
  </si>
  <si>
    <t>1782.86万</t>
  </si>
  <si>
    <t>149.17万</t>
  </si>
  <si>
    <t>918.92万</t>
  </si>
  <si>
    <t>3672.15万</t>
  </si>
  <si>
    <t>16948728亿</t>
  </si>
  <si>
    <t>7795.82万</t>
  </si>
  <si>
    <t>691654500亿</t>
  </si>
  <si>
    <t>259.53万</t>
  </si>
  <si>
    <t>6755.85万</t>
  </si>
  <si>
    <t>997.47万</t>
  </si>
  <si>
    <t>-946.60万</t>
  </si>
  <si>
    <t>7314.14万</t>
  </si>
  <si>
    <t>8884.52万</t>
  </si>
  <si>
    <t>10派7.00元(含税)</t>
  </si>
  <si>
    <t>109.39万</t>
  </si>
  <si>
    <t>1228.50万</t>
  </si>
  <si>
    <t>121.32万</t>
  </si>
  <si>
    <t>4820.15万</t>
  </si>
  <si>
    <t>4330.78万</t>
  </si>
  <si>
    <t>536.60万</t>
  </si>
  <si>
    <t>3842.24万</t>
  </si>
  <si>
    <t>1990.44万</t>
  </si>
  <si>
    <t>901.60万</t>
  </si>
  <si>
    <t>522.20万</t>
  </si>
  <si>
    <t>2202.43万</t>
  </si>
  <si>
    <t>1333066亿</t>
  </si>
  <si>
    <t>3682414亿</t>
  </si>
  <si>
    <t>446.28万</t>
  </si>
  <si>
    <t>449860860亿</t>
  </si>
  <si>
    <t>500.35万</t>
  </si>
  <si>
    <t>582.33万</t>
  </si>
  <si>
    <t>1687.81万</t>
  </si>
  <si>
    <t>4556.28万</t>
  </si>
  <si>
    <t>-722.14万</t>
  </si>
  <si>
    <t>3570.88万</t>
  </si>
  <si>
    <t>-30.69万</t>
  </si>
  <si>
    <t>8091.01万</t>
  </si>
  <si>
    <t>535.72万</t>
  </si>
  <si>
    <t>4275.55万</t>
  </si>
  <si>
    <t>7926.19万</t>
  </si>
  <si>
    <t>1980.31万</t>
  </si>
  <si>
    <t>5764.12万</t>
  </si>
  <si>
    <t>4531.42万</t>
  </si>
  <si>
    <t>324.29万</t>
  </si>
  <si>
    <t>533.31万</t>
  </si>
  <si>
    <t>1507.60万</t>
  </si>
  <si>
    <t>199660亿</t>
  </si>
  <si>
    <t>313.25万</t>
  </si>
  <si>
    <t>16152226亿</t>
  </si>
  <si>
    <t>1870.58万</t>
  </si>
  <si>
    <t>647435090亿</t>
  </si>
  <si>
    <t>130.69万</t>
  </si>
  <si>
    <t>1314.23万</t>
  </si>
  <si>
    <t>6092.56万</t>
  </si>
  <si>
    <t>9219.92万</t>
  </si>
  <si>
    <t>107.98万</t>
  </si>
  <si>
    <t>-955.39万</t>
  </si>
  <si>
    <t>-37.55万</t>
  </si>
  <si>
    <t>7527.76万</t>
  </si>
  <si>
    <t>171.21万</t>
  </si>
  <si>
    <t>1175.06万</t>
  </si>
  <si>
    <t>3162.07万</t>
  </si>
  <si>
    <t>5732.76万</t>
  </si>
  <si>
    <t>1384.66万</t>
  </si>
  <si>
    <t>3856.38万</t>
  </si>
  <si>
    <t>3345.79万</t>
  </si>
  <si>
    <t>88.78万</t>
  </si>
  <si>
    <t>293.69万</t>
  </si>
  <si>
    <t>731.36万</t>
  </si>
  <si>
    <t>13850484亿</t>
  </si>
  <si>
    <t>471840600亿</t>
  </si>
  <si>
    <t>214.36万</t>
  </si>
  <si>
    <t>1097.89万</t>
  </si>
  <si>
    <t>797.89万</t>
  </si>
  <si>
    <t>3236.57万</t>
  </si>
  <si>
    <t>-2137.35万</t>
  </si>
  <si>
    <t>-70.81万</t>
  </si>
  <si>
    <t>4238.44万</t>
  </si>
  <si>
    <t>344.29万</t>
  </si>
  <si>
    <t>1498.09万</t>
  </si>
  <si>
    <t>捷众科技</t>
  </si>
  <si>
    <t>113.61万</t>
  </si>
  <si>
    <t>8069.64万</t>
  </si>
  <si>
    <t>1599.78万</t>
  </si>
  <si>
    <t>4286.91万</t>
  </si>
  <si>
    <t>3113.18万</t>
  </si>
  <si>
    <t>198.44万</t>
  </si>
  <si>
    <t>709.21万</t>
  </si>
  <si>
    <t>1124.21万</t>
  </si>
  <si>
    <t>852.72万</t>
  </si>
  <si>
    <t>7879051亿</t>
  </si>
  <si>
    <t>325266510亿</t>
  </si>
  <si>
    <t>181.09万</t>
  </si>
  <si>
    <t>2002.34万</t>
  </si>
  <si>
    <t>95.74万</t>
  </si>
  <si>
    <t>3015.25万</t>
  </si>
  <si>
    <t>6211.50万</t>
  </si>
  <si>
    <t>2365.28万</t>
  </si>
  <si>
    <t>-275.68万</t>
  </si>
  <si>
    <t>786.61万</t>
  </si>
  <si>
    <t>3756.02万</t>
  </si>
  <si>
    <t>3002.29万</t>
  </si>
  <si>
    <t>3204.62万</t>
  </si>
  <si>
    <t>2600.08万</t>
  </si>
  <si>
    <t>9287.17万</t>
  </si>
  <si>
    <t>3985.05万</t>
  </si>
  <si>
    <t>1355.33万</t>
  </si>
  <si>
    <t>428.59万</t>
  </si>
  <si>
    <t>1604.07万</t>
  </si>
  <si>
    <t>120.57万</t>
  </si>
  <si>
    <t>7339.39万</t>
  </si>
  <si>
    <t>5169.05万</t>
  </si>
  <si>
    <t>633.79万</t>
  </si>
  <si>
    <t>4644.27万</t>
  </si>
  <si>
    <t>3601.99万</t>
  </si>
  <si>
    <t>105.31万</t>
  </si>
  <si>
    <t>441.77万</t>
  </si>
  <si>
    <t>1913.06万</t>
  </si>
  <si>
    <t>572150亿</t>
  </si>
  <si>
    <t>5637517亿</t>
  </si>
  <si>
    <t>8864.45万</t>
  </si>
  <si>
    <t>207.85万</t>
  </si>
  <si>
    <t>274855610亿</t>
  </si>
  <si>
    <t>2310.00万</t>
  </si>
  <si>
    <t>3412.59万</t>
  </si>
  <si>
    <t>6620.01万</t>
  </si>
  <si>
    <t>618.74万</t>
  </si>
  <si>
    <t>266.27万</t>
  </si>
  <si>
    <t>-530.92万</t>
  </si>
  <si>
    <t>2295.42万</t>
  </si>
  <si>
    <t>10派0.36元(含税)</t>
  </si>
  <si>
    <t>628.42万</t>
  </si>
  <si>
    <t>7031.86万</t>
  </si>
  <si>
    <t>广厦环能</t>
  </si>
  <si>
    <t>35.82万</t>
  </si>
  <si>
    <t>10.19亿</t>
  </si>
  <si>
    <t>3907.32万</t>
  </si>
  <si>
    <t>9871.06万</t>
  </si>
  <si>
    <t>283.83万</t>
  </si>
  <si>
    <t>606.87万</t>
  </si>
  <si>
    <t>2385.28万</t>
  </si>
  <si>
    <t>1573048亿</t>
  </si>
  <si>
    <t>37863293亿</t>
  </si>
  <si>
    <t>3920.79万</t>
  </si>
  <si>
    <t>1219797440亿</t>
  </si>
  <si>
    <t>5143.77万</t>
  </si>
  <si>
    <t>9272.22万</t>
  </si>
  <si>
    <t>2456.73万</t>
  </si>
  <si>
    <t>-3.39亿</t>
  </si>
  <si>
    <t>4870.10万</t>
  </si>
  <si>
    <t>9235.38万</t>
  </si>
  <si>
    <t>4854.85万</t>
  </si>
  <si>
    <t>7204.06万</t>
  </si>
  <si>
    <t>10转4股派7元(含税)</t>
  </si>
  <si>
    <t>216.31万</t>
  </si>
  <si>
    <t>1791.63万</t>
  </si>
  <si>
    <t>铁拓机械</t>
  </si>
  <si>
    <t>51.12万</t>
  </si>
  <si>
    <t>9915.06万</t>
  </si>
  <si>
    <t>1430.93万</t>
  </si>
  <si>
    <t>8289.28万</t>
  </si>
  <si>
    <t>6394.88万</t>
  </si>
  <si>
    <t>645.71万</t>
  </si>
  <si>
    <t>778.92万</t>
  </si>
  <si>
    <t>1725.37万</t>
  </si>
  <si>
    <t>40459亿</t>
  </si>
  <si>
    <t>23.58万</t>
  </si>
  <si>
    <t>13805470亿</t>
  </si>
  <si>
    <t>20.00万</t>
  </si>
  <si>
    <t>411746900亿</t>
  </si>
  <si>
    <t>1413.48万</t>
  </si>
  <si>
    <t>2406.34万</t>
  </si>
  <si>
    <t>3555.60万</t>
  </si>
  <si>
    <t>-1060.86万</t>
  </si>
  <si>
    <t>-2612.47万</t>
  </si>
  <si>
    <t>4184.99万</t>
  </si>
  <si>
    <t>1688.21万</t>
  </si>
  <si>
    <t>4267.24万</t>
  </si>
  <si>
    <t>2367.88万</t>
  </si>
  <si>
    <t>6276.49万</t>
  </si>
  <si>
    <t>3834.70万</t>
  </si>
  <si>
    <t>296.57万</t>
  </si>
  <si>
    <t>2881.93万</t>
  </si>
  <si>
    <t>64.74万</t>
  </si>
  <si>
    <t>4383.29万</t>
  </si>
  <si>
    <t>1844.09万</t>
  </si>
  <si>
    <t>-1218.82万</t>
  </si>
  <si>
    <t>3369.96万</t>
  </si>
  <si>
    <t>780.17万</t>
  </si>
  <si>
    <t>842.26万</t>
  </si>
  <si>
    <t>976.30万</t>
  </si>
  <si>
    <t>2560.37万</t>
  </si>
  <si>
    <t>599851亿</t>
  </si>
  <si>
    <t>-13563243亿</t>
  </si>
  <si>
    <t>520633770亿</t>
  </si>
  <si>
    <t>3589.99万</t>
  </si>
  <si>
    <t>36.05万</t>
  </si>
  <si>
    <t>4990.90万</t>
  </si>
  <si>
    <t>3232.17万</t>
  </si>
  <si>
    <t>-2177.71万</t>
  </si>
  <si>
    <t>-1.59万</t>
  </si>
  <si>
    <t>8845.90万</t>
  </si>
  <si>
    <t>6393.27万</t>
  </si>
  <si>
    <t>10派6.8元(含税)</t>
  </si>
  <si>
    <t>278.06万</t>
  </si>
  <si>
    <t>2166.82万</t>
  </si>
  <si>
    <t>云星宇</t>
  </si>
  <si>
    <t>1132.00万</t>
  </si>
  <si>
    <t>21.44亿</t>
  </si>
  <si>
    <t>14.40亿</t>
  </si>
  <si>
    <t>2188.24万</t>
  </si>
  <si>
    <t>1078.46万</t>
  </si>
  <si>
    <t>2068.46万</t>
  </si>
  <si>
    <t>9376.95万</t>
  </si>
  <si>
    <t>2939258亿</t>
  </si>
  <si>
    <t>21821367亿</t>
  </si>
  <si>
    <t>9.69亿</t>
  </si>
  <si>
    <t>501.80万</t>
  </si>
  <si>
    <t>3012872100亿</t>
  </si>
  <si>
    <t>1261.59万</t>
  </si>
  <si>
    <t>14.08亿</t>
  </si>
  <si>
    <t>131.83万</t>
  </si>
  <si>
    <t>20.16亿</t>
  </si>
  <si>
    <t>-1.64亿</t>
  </si>
  <si>
    <t>-256.61万</t>
  </si>
  <si>
    <t>23.97亿</t>
  </si>
  <si>
    <t>27.55亿</t>
  </si>
  <si>
    <t>24.72亿</t>
  </si>
  <si>
    <t>9858.90万</t>
  </si>
  <si>
    <t>22.02亿</t>
  </si>
  <si>
    <t>5854.86万</t>
  </si>
  <si>
    <t>6511.32万</t>
  </si>
  <si>
    <t>21.46万</t>
  </si>
  <si>
    <t>469.93万</t>
  </si>
  <si>
    <t>9915.73万</t>
  </si>
  <si>
    <t>8673.48万</t>
  </si>
  <si>
    <t>112.56万</t>
  </si>
  <si>
    <t>880.60万</t>
  </si>
  <si>
    <t>845.28万</t>
  </si>
  <si>
    <t>-1098792亿</t>
  </si>
  <si>
    <t>6.93万</t>
  </si>
  <si>
    <t>4419621亿</t>
  </si>
  <si>
    <t>6669.31万</t>
  </si>
  <si>
    <t>477.57万</t>
  </si>
  <si>
    <t>387101690亿</t>
  </si>
  <si>
    <t>646.97万</t>
  </si>
  <si>
    <t>4655.59万</t>
  </si>
  <si>
    <t>2519.60万</t>
  </si>
  <si>
    <t>9032.76万</t>
  </si>
  <si>
    <t>409.34万</t>
  </si>
  <si>
    <t>-1.05亿</t>
  </si>
  <si>
    <t>-2400.79万</t>
  </si>
  <si>
    <t>5130.87万</t>
  </si>
  <si>
    <t>4350.76万</t>
  </si>
  <si>
    <t>243.84万</t>
  </si>
  <si>
    <t>1029.96万</t>
  </si>
  <si>
    <t>万达轴承</t>
  </si>
  <si>
    <t>102.53万</t>
  </si>
  <si>
    <t>6064.56万</t>
  </si>
  <si>
    <t>8553.95万</t>
  </si>
  <si>
    <t>1425.98万</t>
  </si>
  <si>
    <t>7016.15万</t>
  </si>
  <si>
    <t>5803.85万</t>
  </si>
  <si>
    <t>198.93万</t>
  </si>
  <si>
    <t>701.73万</t>
  </si>
  <si>
    <t>1080.29万</t>
  </si>
  <si>
    <t>1318051亿</t>
  </si>
  <si>
    <t>13826321亿</t>
  </si>
  <si>
    <t>427544360亿</t>
  </si>
  <si>
    <t>4345.04万</t>
  </si>
  <si>
    <t>461.02万</t>
  </si>
  <si>
    <t>4010.55万</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</si>
</sst>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宋体"/>
      <family val="2"/>
      <charset val="134"/>
      <scheme val="minor"/>
    </font>
    <font>
      <sz val="9"/>
      <name val="宋体"/>
      <family val="2"/>
      <charset val="134"/>
      <scheme val="minor"/>
    </font>
    <font>
      <sz val="11"/>
      <color indexed="8"/>
      <name val="Calibri"/>
      <family val="2"/>
    </font>
    <font>
      <sz val="11"/>
      <color rgb="FF000000"/>
      <name val="宋体"/>
      <family val="3"/>
      <charset val="134"/>
    </font>
    <font>
      <sz val="9"/>
      <color theme="1"/>
      <name val="宋体"/>
      <family val="2"/>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2" fillId="0" borderId="0" applyFill="0" applyProtection="0"/>
  </cellStyleXfs>
  <cellXfs count="13">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4" fillId="0" borderId="0" xfId="0" applyFont="1" applyAlignment="1">
      <alignment vertical="center" wrapText="1"/>
    </xf>
    <xf numFmtId="0" fontId="0" fillId="4" borderId="0" xfId="0" applyFill="1">
      <alignment vertical="center"/>
    </xf>
    <xf numFmtId="0" fontId="0" fillId="5" borderId="0" xfId="0" applyFill="1">
      <alignment vertical="center"/>
    </xf>
    <xf numFmtId="0" fontId="4" fillId="0" borderId="0" xfId="0" applyFont="1">
      <alignment vertical="center"/>
    </xf>
    <xf numFmtId="10" fontId="0" fillId="5" borderId="0" xfId="0" applyNumberFormat="1" applyFill="1">
      <alignment vertical="center"/>
    </xf>
    <xf numFmtId="0" fontId="0" fillId="0" borderId="0" xfId="0" applyNumberFormat="1">
      <alignment vertical="center"/>
    </xf>
  </cellXfs>
  <cellStyles count="3">
    <cellStyle name="Normal 2" xfId="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368300</xdr:colOff>
          <xdr:row>0</xdr:row>
          <xdr:rowOff>139700</xdr:rowOff>
        </xdr:from>
        <xdr:to>
          <xdr:col>147</xdr:col>
          <xdr:colOff>1663700</xdr:colOff>
          <xdr:row>0</xdr:row>
          <xdr:rowOff>444500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50"/>
  <sheetViews>
    <sheetView tabSelected="1" zoomScale="85" zoomScaleNormal="85" workbookViewId="0">
      <pane xSplit="5" ySplit="1" topLeftCell="F2" activePane="bottomRight" state="frozen"/>
      <selection pane="topRight" activeCell="F1" sqref="F1"/>
      <selection pane="bottomLeft" activeCell="A2" sqref="A2"/>
      <selection pane="bottomRight" activeCell="C32" sqref="C32:C33"/>
    </sheetView>
  </sheetViews>
  <sheetFormatPr defaultRowHeight="14" x14ac:dyDescent="0.25"/>
  <cols>
    <col min="1" max="1" width="32.36328125" customWidth="1"/>
    <col min="2" max="2" width="29.81640625" customWidth="1"/>
    <col min="3" max="3" width="42" customWidth="1"/>
    <col min="4" max="4" width="10.90625" customWidth="1"/>
    <col min="148" max="148" width="27.81640625" customWidth="1"/>
  </cols>
  <sheetData>
    <row r="1" spans="1:146" ht="54.5" customHeight="1" x14ac:dyDescent="0.25">
      <c r="A1" s="3" t="s">
        <v>10</v>
      </c>
      <c r="B1" s="4" t="s">
        <v>11</v>
      </c>
      <c r="C1" s="3" t="s">
        <v>12</v>
      </c>
      <c r="D1" t="s">
        <v>5</v>
      </c>
      <c r="E1" t="s">
        <v>695</v>
      </c>
      <c r="F1" t="s">
        <v>3</v>
      </c>
      <c r="G1" t="s">
        <v>95</v>
      </c>
      <c r="H1" t="s">
        <v>696</v>
      </c>
      <c r="I1" t="s">
        <v>6</v>
      </c>
      <c r="J1" t="s">
        <v>7</v>
      </c>
      <c r="K1" t="s">
        <v>4</v>
      </c>
      <c r="L1" t="s">
        <v>8</v>
      </c>
      <c r="M1" t="s">
        <v>697</v>
      </c>
      <c r="N1" t="s">
        <v>698</v>
      </c>
      <c r="O1" t="s">
        <v>699</v>
      </c>
      <c r="P1" t="s">
        <v>700</v>
      </c>
      <c r="Q1" t="s">
        <v>701</v>
      </c>
      <c r="R1" t="s">
        <v>702</v>
      </c>
      <c r="S1" t="s">
        <v>13</v>
      </c>
      <c r="T1" t="s">
        <v>703</v>
      </c>
      <c r="U1" t="s">
        <v>73</v>
      </c>
      <c r="V1" t="s">
        <v>14</v>
      </c>
      <c r="W1" t="s">
        <v>704</v>
      </c>
      <c r="X1" t="s">
        <v>705</v>
      </c>
      <c r="Y1" t="s">
        <v>706</v>
      </c>
      <c r="Z1" t="s">
        <v>707</v>
      </c>
      <c r="AA1" t="s">
        <v>708</v>
      </c>
      <c r="AB1" t="s">
        <v>709</v>
      </c>
      <c r="AC1" t="s">
        <v>710</v>
      </c>
      <c r="AD1" t="s">
        <v>711</v>
      </c>
      <c r="AE1" t="s">
        <v>712</v>
      </c>
      <c r="AF1" t="s">
        <v>713</v>
      </c>
      <c r="AG1" t="s">
        <v>714</v>
      </c>
      <c r="AH1" t="s">
        <v>715</v>
      </c>
      <c r="AI1" t="s">
        <v>716</v>
      </c>
      <c r="AJ1" t="s">
        <v>717</v>
      </c>
      <c r="AK1" t="s">
        <v>718</v>
      </c>
      <c r="AL1" t="s">
        <v>28</v>
      </c>
      <c r="AM1" t="s">
        <v>719</v>
      </c>
      <c r="AN1" t="s">
        <v>720</v>
      </c>
      <c r="AO1" t="s">
        <v>721</v>
      </c>
      <c r="AP1" t="s">
        <v>722</v>
      </c>
      <c r="AQ1" t="s">
        <v>723</v>
      </c>
      <c r="AR1" t="s">
        <v>724</v>
      </c>
      <c r="AS1" t="s">
        <v>725</v>
      </c>
      <c r="AT1" t="s">
        <v>726</v>
      </c>
      <c r="AU1" t="s">
        <v>727</v>
      </c>
      <c r="AV1" t="s">
        <v>728</v>
      </c>
      <c r="AW1" t="s">
        <v>729</v>
      </c>
      <c r="AX1" t="s">
        <v>730</v>
      </c>
      <c r="AY1" t="s">
        <v>731</v>
      </c>
      <c r="AZ1" t="s">
        <v>732</v>
      </c>
      <c r="BA1" t="s">
        <v>733</v>
      </c>
      <c r="BB1" t="s">
        <v>734</v>
      </c>
      <c r="BC1" t="s">
        <v>735</v>
      </c>
      <c r="BD1" t="s">
        <v>736</v>
      </c>
      <c r="BE1" t="s">
        <v>737</v>
      </c>
      <c r="BF1" t="s">
        <v>738</v>
      </c>
      <c r="BG1" t="s">
        <v>739</v>
      </c>
      <c r="BH1" t="s">
        <v>740</v>
      </c>
      <c r="BI1" t="s">
        <v>741</v>
      </c>
      <c r="BJ1" t="s">
        <v>742</v>
      </c>
      <c r="BK1" t="s">
        <v>743</v>
      </c>
      <c r="BL1" t="s">
        <v>744</v>
      </c>
      <c r="BM1" t="s">
        <v>745</v>
      </c>
      <c r="BN1" t="s">
        <v>746</v>
      </c>
      <c r="BO1" t="s">
        <v>747</v>
      </c>
      <c r="BP1" t="s">
        <v>748</v>
      </c>
      <c r="BQ1" t="s">
        <v>749</v>
      </c>
      <c r="BR1" t="s">
        <v>750</v>
      </c>
      <c r="BS1" t="s">
        <v>751</v>
      </c>
      <c r="BT1" t="s">
        <v>752</v>
      </c>
      <c r="BU1" t="s">
        <v>753</v>
      </c>
      <c r="BV1" t="s">
        <v>754</v>
      </c>
      <c r="BW1" t="s">
        <v>755</v>
      </c>
      <c r="BX1" t="s">
        <v>756</v>
      </c>
      <c r="BY1" t="s">
        <v>757</v>
      </c>
      <c r="BZ1" t="s">
        <v>758</v>
      </c>
      <c r="CA1" t="s">
        <v>759</v>
      </c>
      <c r="CB1" t="s">
        <v>760</v>
      </c>
      <c r="CC1" t="s">
        <v>761</v>
      </c>
      <c r="CD1" t="s">
        <v>762</v>
      </c>
      <c r="CE1" t="s">
        <v>763</v>
      </c>
      <c r="CF1" t="s">
        <v>81</v>
      </c>
      <c r="CG1" t="s">
        <v>82</v>
      </c>
      <c r="CH1" t="s">
        <v>46</v>
      </c>
      <c r="CI1" t="s">
        <v>47</v>
      </c>
      <c r="CJ1" t="s">
        <v>48</v>
      </c>
      <c r="CK1" t="s">
        <v>49</v>
      </c>
      <c r="CL1" t="s">
        <v>50</v>
      </c>
      <c r="CM1" t="s">
        <v>51</v>
      </c>
      <c r="CN1" t="s">
        <v>52</v>
      </c>
      <c r="CO1" t="s">
        <v>53</v>
      </c>
      <c r="CP1" t="s">
        <v>54</v>
      </c>
      <c r="CQ1" t="s">
        <v>55</v>
      </c>
      <c r="CR1" t="s">
        <v>183</v>
      </c>
      <c r="CS1" t="s">
        <v>184</v>
      </c>
      <c r="CT1" t="s">
        <v>185</v>
      </c>
      <c r="CU1" t="s">
        <v>186</v>
      </c>
      <c r="CV1" t="s">
        <v>187</v>
      </c>
      <c r="CW1" t="s">
        <v>188</v>
      </c>
      <c r="CX1">
        <v>1</v>
      </c>
      <c r="CY1" t="s">
        <v>189</v>
      </c>
      <c r="CZ1" t="s">
        <v>190</v>
      </c>
      <c r="DA1">
        <v>3</v>
      </c>
      <c r="DB1" t="s">
        <v>191</v>
      </c>
      <c r="DC1" t="s">
        <v>192</v>
      </c>
      <c r="DD1">
        <v>6</v>
      </c>
      <c r="DE1" t="s">
        <v>193</v>
      </c>
      <c r="DF1" t="s">
        <v>194</v>
      </c>
      <c r="DG1">
        <v>10</v>
      </c>
      <c r="DH1" t="s">
        <v>195</v>
      </c>
      <c r="DI1" t="s">
        <v>196</v>
      </c>
      <c r="DJ1">
        <v>20</v>
      </c>
      <c r="DK1" t="s">
        <v>197</v>
      </c>
      <c r="DL1" t="s">
        <v>56</v>
      </c>
      <c r="DM1" t="s">
        <v>57</v>
      </c>
      <c r="DN1" t="s">
        <v>58</v>
      </c>
      <c r="DO1" t="s">
        <v>198</v>
      </c>
      <c r="DP1" t="s">
        <v>199</v>
      </c>
      <c r="DQ1" t="s">
        <v>200</v>
      </c>
      <c r="DR1" t="s">
        <v>201</v>
      </c>
      <c r="DS1" t="s">
        <v>202</v>
      </c>
      <c r="DT1" t="s">
        <v>203</v>
      </c>
      <c r="DU1" t="s">
        <v>204</v>
      </c>
      <c r="DV1" t="s">
        <v>205</v>
      </c>
      <c r="DW1" t="s">
        <v>206</v>
      </c>
      <c r="DX1" t="s">
        <v>207</v>
      </c>
      <c r="DY1" t="s">
        <v>208</v>
      </c>
      <c r="DZ1" t="s">
        <v>209</v>
      </c>
      <c r="EA1" t="s">
        <v>210</v>
      </c>
      <c r="EB1" t="s">
        <v>211</v>
      </c>
      <c r="EC1" t="s">
        <v>212</v>
      </c>
      <c r="ED1" t="s">
        <v>213</v>
      </c>
      <c r="EE1" t="s">
        <v>214</v>
      </c>
      <c r="EF1" t="s">
        <v>215</v>
      </c>
      <c r="EG1" t="s">
        <v>216</v>
      </c>
      <c r="EH1" t="s">
        <v>217</v>
      </c>
      <c r="EI1" t="s">
        <v>218</v>
      </c>
      <c r="EK1" t="s">
        <v>219</v>
      </c>
      <c r="EL1" t="s">
        <v>220</v>
      </c>
      <c r="EM1" t="s">
        <v>221</v>
      </c>
      <c r="EN1" t="s">
        <v>222</v>
      </c>
      <c r="EO1" t="s">
        <v>223</v>
      </c>
      <c r="EP1" t="s">
        <v>224</v>
      </c>
    </row>
    <row r="2" spans="1:146" ht="96" x14ac:dyDescent="0.25">
      <c r="A2" s="7"/>
      <c r="B2" s="7"/>
      <c r="C2" s="7" t="str">
        <f>""&amp;CHAR(10)&amp;Basic_Fundamental_Information_Constructure(F2)&amp;CHAR(10)&amp;Basic_Fundamental_Information_Concatenate("")</f>
        <v xml:space="preserve">
市值13.0299564亿, 利润2495.28万; PE13.5; 平均PE.05, PB.866; ROIC6.62%; ROE6.675%; 股利率2.3518%; 毛利74.43%; 净利12.6433%; 上一年度营收增-74.63%, 利润增-69.39%; 当季营收增-53.47%, 利润增18.11%; 过往5年营收增0%, 利润增0%
Income profile:
</v>
      </c>
      <c r="D2">
        <v>430017</v>
      </c>
      <c r="E2" t="s">
        <v>764</v>
      </c>
      <c r="F2">
        <v>10.63</v>
      </c>
      <c r="G2" s="5">
        <v>-1.1200000000000001</v>
      </c>
      <c r="H2" t="s">
        <v>2605</v>
      </c>
      <c r="I2">
        <v>1302995640</v>
      </c>
      <c r="J2">
        <v>13.5</v>
      </c>
      <c r="K2">
        <v>0.86599999999999999</v>
      </c>
      <c r="L2" t="s">
        <v>2604</v>
      </c>
      <c r="M2" t="s">
        <v>488</v>
      </c>
      <c r="N2" t="s">
        <v>2606</v>
      </c>
      <c r="O2" t="s">
        <v>238</v>
      </c>
      <c r="P2">
        <v>5.32</v>
      </c>
      <c r="Q2" t="s">
        <v>238</v>
      </c>
      <c r="R2">
        <v>24952837</v>
      </c>
      <c r="S2" s="5">
        <v>0.18110000000000001</v>
      </c>
      <c r="T2" t="s">
        <v>2607</v>
      </c>
      <c r="U2">
        <v>78644874</v>
      </c>
      <c r="V2">
        <v>122577200</v>
      </c>
      <c r="W2">
        <v>1.21</v>
      </c>
      <c r="X2">
        <v>0.09</v>
      </c>
      <c r="Y2">
        <v>15.69</v>
      </c>
      <c r="Z2" t="s">
        <v>59</v>
      </c>
      <c r="AA2" t="s">
        <v>2608</v>
      </c>
      <c r="AB2" t="s">
        <v>2609</v>
      </c>
      <c r="AC2" t="s">
        <v>2610</v>
      </c>
      <c r="AD2" t="s">
        <v>2611</v>
      </c>
      <c r="AE2">
        <v>2103630</v>
      </c>
      <c r="AF2" t="s">
        <v>2612</v>
      </c>
      <c r="AG2">
        <v>1499.99</v>
      </c>
      <c r="AH2" t="s">
        <v>2613</v>
      </c>
      <c r="AI2" t="s">
        <v>60</v>
      </c>
      <c r="AJ2" t="s">
        <v>9</v>
      </c>
      <c r="AK2" t="s">
        <v>2614</v>
      </c>
      <c r="AL2" t="s">
        <v>2615</v>
      </c>
      <c r="AM2" t="s">
        <v>9</v>
      </c>
      <c r="AN2" t="s">
        <v>2616</v>
      </c>
      <c r="AO2" t="s">
        <v>2617</v>
      </c>
      <c r="AP2" t="s">
        <v>2618</v>
      </c>
      <c r="AQ2" t="s">
        <v>2619</v>
      </c>
      <c r="AR2" t="s">
        <v>9</v>
      </c>
      <c r="AS2" t="s">
        <v>585</v>
      </c>
      <c r="AT2" t="s">
        <v>9</v>
      </c>
      <c r="AU2" t="s">
        <v>2620</v>
      </c>
      <c r="AV2" t="s">
        <v>2621</v>
      </c>
      <c r="AW2" t="s">
        <v>2622</v>
      </c>
      <c r="AX2" t="s">
        <v>353</v>
      </c>
      <c r="AY2" t="s">
        <v>79</v>
      </c>
      <c r="AZ2" t="s">
        <v>376</v>
      </c>
      <c r="BA2" t="s">
        <v>475</v>
      </c>
      <c r="BB2" t="s">
        <v>618</v>
      </c>
      <c r="BC2" t="s">
        <v>766</v>
      </c>
      <c r="BD2" t="s">
        <v>768</v>
      </c>
      <c r="BE2" t="s">
        <v>769</v>
      </c>
      <c r="BF2" t="s">
        <v>770</v>
      </c>
      <c r="BG2" t="s">
        <v>771</v>
      </c>
      <c r="BH2" t="s">
        <v>433</v>
      </c>
      <c r="BI2" t="s">
        <v>269</v>
      </c>
      <c r="BJ2" t="s">
        <v>353</v>
      </c>
      <c r="BK2" t="s">
        <v>2623</v>
      </c>
      <c r="BL2" t="s">
        <v>772</v>
      </c>
      <c r="BM2" t="s">
        <v>766</v>
      </c>
      <c r="BN2">
        <v>5.41</v>
      </c>
      <c r="BO2">
        <v>7.62</v>
      </c>
      <c r="BP2">
        <v>6.83</v>
      </c>
      <c r="BQ2">
        <v>5.68</v>
      </c>
      <c r="BR2">
        <v>7.67</v>
      </c>
      <c r="BS2" t="s">
        <v>9</v>
      </c>
      <c r="BT2" t="s">
        <v>1165</v>
      </c>
      <c r="BU2" t="s">
        <v>765</v>
      </c>
      <c r="BV2">
        <v>74.13</v>
      </c>
      <c r="BW2">
        <v>75.11</v>
      </c>
      <c r="BX2">
        <v>74.05</v>
      </c>
      <c r="BY2">
        <v>12.47</v>
      </c>
      <c r="BZ2">
        <v>13.42</v>
      </c>
      <c r="CA2">
        <v>12.04</v>
      </c>
      <c r="CB2">
        <v>2.02</v>
      </c>
      <c r="CC2">
        <v>-5.34</v>
      </c>
      <c r="CD2" t="s">
        <v>2624</v>
      </c>
      <c r="CE2" t="s">
        <v>2625</v>
      </c>
      <c r="CF2" s="8">
        <v>-0.53474320241691842</v>
      </c>
      <c r="CG2" s="9">
        <v>0.18110000000000001</v>
      </c>
      <c r="CH2" s="8">
        <v>-0.74629324674606323</v>
      </c>
      <c r="CI2" s="8">
        <v>4.2955327779054642E-2</v>
      </c>
      <c r="CJ2" s="8">
        <v>-7.0287540555000305E-2</v>
      </c>
      <c r="CK2" s="8">
        <v>-1.726844534277916E-2</v>
      </c>
      <c r="CL2" s="8">
        <v>0.63753211498260498</v>
      </c>
      <c r="CM2" s="9">
        <v>-0.69386672973632813</v>
      </c>
      <c r="CN2" s="9">
        <v>0.17332673072814941</v>
      </c>
      <c r="CO2" s="9">
        <v>-1.057809591293335E-2</v>
      </c>
      <c r="CP2" s="9">
        <v>-9.9718622863292694E-2</v>
      </c>
      <c r="CQ2" s="9">
        <v>0.64161223173141479</v>
      </c>
      <c r="CR2">
        <v>4.7723547427947106E-2</v>
      </c>
      <c r="CS2" t="e">
        <v>#DIV/0!</v>
      </c>
      <c r="CT2">
        <v>2.3518344308560675</v>
      </c>
      <c r="CU2" s="8">
        <v>0</v>
      </c>
      <c r="CV2" s="9">
        <v>0</v>
      </c>
      <c r="CW2">
        <v>0.06</v>
      </c>
      <c r="CX2">
        <v>4.8000776826648712</v>
      </c>
      <c r="CY2">
        <v>23540377.358490568</v>
      </c>
      <c r="CZ2">
        <v>0</v>
      </c>
      <c r="DA2">
        <v>1.6941095879640184</v>
      </c>
      <c r="DB2">
        <v>66699132.572526313</v>
      </c>
      <c r="DC2">
        <v>0</v>
      </c>
      <c r="DD2">
        <v>0.92090227776454081</v>
      </c>
      <c r="DE2">
        <v>122701010.44194733</v>
      </c>
      <c r="DF2">
        <v>0</v>
      </c>
      <c r="DG2">
        <v>0.61526108871972407</v>
      </c>
      <c r="DH2">
        <v>183654780.17654064</v>
      </c>
      <c r="DI2">
        <v>0</v>
      </c>
      <c r="DJ2">
        <v>0.39480438322415912</v>
      </c>
      <c r="DK2">
        <v>286206650.18261504</v>
      </c>
      <c r="DL2">
        <v>0</v>
      </c>
      <c r="DM2">
        <v>24952800.000000004</v>
      </c>
      <c r="DN2">
        <v>0</v>
      </c>
      <c r="DO2">
        <v>112995640</v>
      </c>
      <c r="DP2">
        <v>732613060</v>
      </c>
      <c r="DQ2">
        <v>1</v>
      </c>
      <c r="DR2">
        <v>-0.53474320241691842</v>
      </c>
      <c r="DS2">
        <v>0.18110000000000001</v>
      </c>
      <c r="DT2">
        <v>-0.44</v>
      </c>
      <c r="DU2">
        <v>-0.22</v>
      </c>
      <c r="DV2">
        <v>-0.66</v>
      </c>
      <c r="DW2">
        <v>-1.0533999999999999</v>
      </c>
      <c r="DX2">
        <v>0.26042157142275235</v>
      </c>
      <c r="DY2">
        <v>-1.008032511913975</v>
      </c>
      <c r="DZ2">
        <v>0</v>
      </c>
      <c r="EA2">
        <v>-1.008032511913975</v>
      </c>
      <c r="EB2">
        <v>1</v>
      </c>
      <c r="EC2">
        <v>2.1089566412024422E-2</v>
      </c>
      <c r="ED2">
        <v>0.14020307202318213</v>
      </c>
      <c r="EE2">
        <v>0</v>
      </c>
      <c r="EF2">
        <v>0</v>
      </c>
      <c r="EG2">
        <v>11.150421571422752</v>
      </c>
      <c r="EH2" t="s">
        <v>86</v>
      </c>
      <c r="EI2">
        <v>0</v>
      </c>
      <c r="EJ2">
        <v>0</v>
      </c>
      <c r="EK2">
        <v>0</v>
      </c>
      <c r="EL2">
        <v>0</v>
      </c>
      <c r="EM2">
        <v>0</v>
      </c>
      <c r="EN2">
        <v>0</v>
      </c>
      <c r="EO2">
        <v>0</v>
      </c>
      <c r="EP2">
        <v>0</v>
      </c>
    </row>
    <row r="3" spans="1:146" ht="108" x14ac:dyDescent="0.25">
      <c r="A3" s="7"/>
      <c r="B3" s="7"/>
      <c r="C3" s="7" t="str">
        <f>""&amp;CHAR(10)&amp;Basic_Fundamental_Information_Constructure(F3)&amp;CHAR(10)&amp;Basic_Fundamental_Information_Concatenate("")</f>
        <v xml:space="preserve">
市值37.108998亿, 利润-1225.03万; PE; 平均PE.14, PB10.2; ROIC0%; ROE-26.46%; 股利率0%; 毛利62.4933%; 净利-88.2167%; 上一年度营收增-75.07%, 利润增81.88%; 当季营收增-44.07%, 利润增21.74%; 过往5年营收增0%, 利润增0%
Income profile:
</v>
      </c>
      <c r="D3">
        <v>430047</v>
      </c>
      <c r="E3" t="s">
        <v>775</v>
      </c>
      <c r="F3">
        <v>13.53</v>
      </c>
      <c r="G3" s="5">
        <v>-2.94</v>
      </c>
      <c r="H3" t="s">
        <v>2626</v>
      </c>
      <c r="I3">
        <v>3710899800</v>
      </c>
      <c r="K3">
        <v>10.199999999999999</v>
      </c>
      <c r="L3" t="s">
        <v>2604</v>
      </c>
      <c r="M3" t="s">
        <v>406</v>
      </c>
      <c r="N3" t="s">
        <v>302</v>
      </c>
      <c r="O3" t="s">
        <v>2627</v>
      </c>
      <c r="P3">
        <v>30.17</v>
      </c>
      <c r="Q3" t="s">
        <v>2627</v>
      </c>
      <c r="R3">
        <v>-12250307</v>
      </c>
      <c r="S3" s="5">
        <v>0.21740000000000001</v>
      </c>
      <c r="T3" t="s">
        <v>2628</v>
      </c>
      <c r="U3">
        <v>165396030</v>
      </c>
      <c r="V3">
        <v>274873970</v>
      </c>
      <c r="W3">
        <v>1.25</v>
      </c>
      <c r="X3">
        <v>0.04</v>
      </c>
      <c r="Y3">
        <v>-69.97</v>
      </c>
      <c r="Z3" t="s">
        <v>2629</v>
      </c>
      <c r="AA3" t="s">
        <v>2630</v>
      </c>
      <c r="AB3" t="s">
        <v>2631</v>
      </c>
      <c r="AC3" t="s">
        <v>2632</v>
      </c>
      <c r="AD3" t="s">
        <v>2633</v>
      </c>
      <c r="AE3">
        <v>344025</v>
      </c>
      <c r="AF3" t="s">
        <v>2634</v>
      </c>
      <c r="AG3" t="s">
        <v>2635</v>
      </c>
      <c r="AH3" t="s">
        <v>2636</v>
      </c>
      <c r="AI3" t="s">
        <v>2637</v>
      </c>
      <c r="AJ3" t="s">
        <v>9</v>
      </c>
      <c r="AK3" t="s">
        <v>9</v>
      </c>
      <c r="AL3" t="s">
        <v>2638</v>
      </c>
      <c r="AM3" t="s">
        <v>9</v>
      </c>
      <c r="AN3" t="s">
        <v>68</v>
      </c>
      <c r="AO3" t="s">
        <v>9</v>
      </c>
      <c r="AP3" t="s">
        <v>9</v>
      </c>
      <c r="AQ3" t="s">
        <v>2639</v>
      </c>
      <c r="AR3" t="s">
        <v>9</v>
      </c>
      <c r="AS3" t="s">
        <v>2640</v>
      </c>
      <c r="AT3" t="s">
        <v>9</v>
      </c>
      <c r="AU3" t="s">
        <v>2641</v>
      </c>
      <c r="AV3" t="s">
        <v>334</v>
      </c>
      <c r="AW3" t="s">
        <v>117</v>
      </c>
      <c r="AX3" t="s">
        <v>777</v>
      </c>
      <c r="AY3" t="s">
        <v>779</v>
      </c>
      <c r="AZ3" t="s">
        <v>780</v>
      </c>
      <c r="BA3" t="s">
        <v>781</v>
      </c>
      <c r="BB3" t="s">
        <v>782</v>
      </c>
      <c r="BC3" t="s">
        <v>778</v>
      </c>
      <c r="BD3" t="s">
        <v>783</v>
      </c>
      <c r="BE3" t="s">
        <v>784</v>
      </c>
      <c r="BF3" t="s">
        <v>785</v>
      </c>
      <c r="BG3" t="s">
        <v>786</v>
      </c>
      <c r="BH3" t="s">
        <v>2642</v>
      </c>
      <c r="BI3" t="s">
        <v>787</v>
      </c>
      <c r="BJ3" t="s">
        <v>777</v>
      </c>
      <c r="BK3" t="s">
        <v>2643</v>
      </c>
      <c r="BL3" t="s">
        <v>788</v>
      </c>
      <c r="BM3" t="s">
        <v>778</v>
      </c>
      <c r="BN3" t="s">
        <v>9</v>
      </c>
      <c r="BO3" t="s">
        <v>9</v>
      </c>
      <c r="BP3" t="s">
        <v>9</v>
      </c>
      <c r="BQ3">
        <v>-26.86</v>
      </c>
      <c r="BR3">
        <v>-32.07</v>
      </c>
      <c r="BS3">
        <v>-20.45</v>
      </c>
      <c r="BT3" t="s">
        <v>773</v>
      </c>
      <c r="BU3" t="s">
        <v>776</v>
      </c>
      <c r="BV3">
        <v>49.2</v>
      </c>
      <c r="BW3">
        <v>64.95</v>
      </c>
      <c r="BX3">
        <v>73.33</v>
      </c>
      <c r="BY3">
        <v>-75.989999999999995</v>
      </c>
      <c r="BZ3">
        <v>-99.79</v>
      </c>
      <c r="CA3">
        <v>-88.87</v>
      </c>
      <c r="CB3">
        <v>-8.89</v>
      </c>
      <c r="CC3">
        <v>-16.12</v>
      </c>
      <c r="CD3" t="s">
        <v>2644</v>
      </c>
      <c r="CE3" t="s">
        <v>2645</v>
      </c>
      <c r="CF3" s="8">
        <v>-0.44073835095606806</v>
      </c>
      <c r="CG3" s="9">
        <v>0.21740000000000001</v>
      </c>
      <c r="CH3" s="8">
        <v>-0.75065189599990845</v>
      </c>
      <c r="CI3" s="8">
        <v>0.13716606795787811</v>
      </c>
      <c r="CJ3" s="8">
        <v>0.3720516562461853</v>
      </c>
      <c r="CK3" s="8">
        <v>4.7143292427062988</v>
      </c>
      <c r="CL3" s="8">
        <v>-0.29542472958564758</v>
      </c>
      <c r="CM3" s="9">
        <v>0.81882756948471069</v>
      </c>
      <c r="CN3" s="9">
        <v>-0.31124931573867798</v>
      </c>
      <c r="CO3" s="9">
        <v>-1.0341091156005859</v>
      </c>
      <c r="CP3" s="9">
        <v>0.31484338641166687</v>
      </c>
      <c r="CQ3" s="9">
        <v>-0.46709570288658142</v>
      </c>
      <c r="CR3">
        <v>0.13971607893308666</v>
      </c>
      <c r="CS3" t="e">
        <v>#DIV/0!</v>
      </c>
      <c r="CT3">
        <v>0</v>
      </c>
      <c r="CU3" s="8">
        <v>0</v>
      </c>
      <c r="CV3" s="9">
        <v>0</v>
      </c>
      <c r="CW3">
        <v>0.06</v>
      </c>
      <c r="CX3" t="e">
        <v>#VALUE!</v>
      </c>
      <c r="CY3" t="s">
        <v>85</v>
      </c>
      <c r="CZ3">
        <v>0</v>
      </c>
      <c r="DA3" t="e">
        <v>#VALUE!</v>
      </c>
      <c r="DB3" t="s">
        <v>84</v>
      </c>
      <c r="DC3">
        <v>0</v>
      </c>
      <c r="DD3" t="e">
        <v>#VALUE!</v>
      </c>
      <c r="DE3" t="s">
        <v>84</v>
      </c>
      <c r="DF3">
        <v>0</v>
      </c>
      <c r="DG3" t="e">
        <v>#VALUE!</v>
      </c>
      <c r="DH3" t="s">
        <v>84</v>
      </c>
      <c r="DI3">
        <v>0</v>
      </c>
      <c r="DJ3" t="e">
        <v>#VALUE!</v>
      </c>
      <c r="DK3" t="s">
        <v>84</v>
      </c>
      <c r="DL3">
        <v>0</v>
      </c>
      <c r="DM3">
        <v>-12250300</v>
      </c>
      <c r="DN3">
        <v>0</v>
      </c>
      <c r="DO3">
        <v>3432899800</v>
      </c>
      <c r="DP3">
        <v>215273740</v>
      </c>
      <c r="DQ3">
        <v>2</v>
      </c>
      <c r="DR3">
        <v>-0.44073835095606806</v>
      </c>
      <c r="DS3">
        <v>0.21740000000000001</v>
      </c>
      <c r="DT3">
        <v>-0.44</v>
      </c>
      <c r="DU3" t="e">
        <v>#VALUE!</v>
      </c>
      <c r="DV3" t="e">
        <v>#VALUE!</v>
      </c>
      <c r="DW3">
        <v>-9.5514888337468982</v>
      </c>
      <c r="DX3">
        <v>0.31866707898112517</v>
      </c>
      <c r="DY3">
        <v>-9.1316222290410796</v>
      </c>
      <c r="DZ3">
        <v>0</v>
      </c>
      <c r="EA3">
        <v>-9.1316222290410796</v>
      </c>
      <c r="EB3">
        <v>9</v>
      </c>
      <c r="EC3">
        <v>1.5162221435518248E-2</v>
      </c>
      <c r="ED3">
        <v>6.3528751012691384E-2</v>
      </c>
      <c r="EE3">
        <v>0</v>
      </c>
      <c r="EF3">
        <v>0</v>
      </c>
      <c r="EG3">
        <v>8.2386670789811252</v>
      </c>
      <c r="EH3" t="s">
        <v>86</v>
      </c>
      <c r="EI3">
        <v>0</v>
      </c>
      <c r="EJ3">
        <v>0</v>
      </c>
      <c r="EK3">
        <v>0</v>
      </c>
      <c r="EL3">
        <v>0</v>
      </c>
      <c r="EM3">
        <v>0</v>
      </c>
      <c r="EN3">
        <v>0</v>
      </c>
      <c r="EO3">
        <v>0</v>
      </c>
      <c r="EP3">
        <v>0</v>
      </c>
    </row>
    <row r="4" spans="1:146" ht="96" x14ac:dyDescent="0.25">
      <c r="A4" s="7"/>
      <c r="B4" s="7"/>
      <c r="C4" s="7" t="str">
        <f>""&amp;CHAR(10)&amp;Basic_Fundamental_Information_Constructure(F4)&amp;CHAR(10)&amp;Basic_Fundamental_Information_Concatenate("")</f>
        <v xml:space="preserve">
市值5.2225389亿, 利润22.33万; PE; 平均PE-2.97, PB2.94; ROIC8.28%; ROE-5.85%; 股利率0%; 毛利5.3367%; 净利-25.24%; 上一年度营收增-53.57%, 利润增100.48%; 当季营收增75%, 利润增101.6%; 过往5年营收增0%, 利润增0%
Income profile:
</v>
      </c>
      <c r="D4">
        <v>430090</v>
      </c>
      <c r="E4" t="s">
        <v>789</v>
      </c>
      <c r="F4">
        <v>2.62</v>
      </c>
      <c r="G4" s="5">
        <v>-5.42</v>
      </c>
      <c r="H4" t="s">
        <v>2646</v>
      </c>
      <c r="I4">
        <v>522253890</v>
      </c>
      <c r="K4">
        <v>2.94</v>
      </c>
      <c r="L4" t="s">
        <v>2604</v>
      </c>
      <c r="M4" t="s">
        <v>374</v>
      </c>
      <c r="N4" t="s">
        <v>91</v>
      </c>
      <c r="O4" t="s">
        <v>164</v>
      </c>
      <c r="P4">
        <v>273.31</v>
      </c>
      <c r="Q4" t="s">
        <v>164</v>
      </c>
      <c r="R4">
        <v>223250</v>
      </c>
      <c r="S4" s="5">
        <v>1.016</v>
      </c>
      <c r="T4" t="s">
        <v>2647</v>
      </c>
      <c r="U4">
        <v>171880590</v>
      </c>
      <c r="V4">
        <v>199333550</v>
      </c>
      <c r="W4">
        <v>2.41</v>
      </c>
      <c r="X4">
        <v>0.43</v>
      </c>
      <c r="Y4">
        <v>0.14000000000000001</v>
      </c>
      <c r="Z4" t="s">
        <v>227</v>
      </c>
      <c r="AA4" t="s">
        <v>114</v>
      </c>
      <c r="AB4" t="s">
        <v>2648</v>
      </c>
      <c r="AC4" t="s">
        <v>2649</v>
      </c>
      <c r="AD4" t="s">
        <v>2650</v>
      </c>
      <c r="AE4">
        <v>229594</v>
      </c>
      <c r="AF4" t="s">
        <v>2651</v>
      </c>
      <c r="AG4">
        <v>1376.13</v>
      </c>
      <c r="AH4" t="s">
        <v>2652</v>
      </c>
      <c r="AI4" t="s">
        <v>2653</v>
      </c>
      <c r="AJ4" t="s">
        <v>9</v>
      </c>
      <c r="AK4" t="s">
        <v>2654</v>
      </c>
      <c r="AL4" t="s">
        <v>2655</v>
      </c>
      <c r="AM4" t="s">
        <v>9</v>
      </c>
      <c r="AN4">
        <v>0</v>
      </c>
      <c r="AO4" t="s">
        <v>2656</v>
      </c>
      <c r="AP4" t="s">
        <v>9</v>
      </c>
      <c r="AQ4" t="s">
        <v>337</v>
      </c>
      <c r="AR4" t="s">
        <v>9</v>
      </c>
      <c r="AS4" t="s">
        <v>332</v>
      </c>
      <c r="AT4" t="s">
        <v>9</v>
      </c>
      <c r="AU4" t="s">
        <v>2657</v>
      </c>
      <c r="AV4" t="s">
        <v>2658</v>
      </c>
      <c r="AW4" t="s">
        <v>2659</v>
      </c>
      <c r="AX4" t="s">
        <v>409</v>
      </c>
      <c r="AY4" t="s">
        <v>319</v>
      </c>
      <c r="AZ4" t="s">
        <v>97</v>
      </c>
      <c r="BA4" t="s">
        <v>146</v>
      </c>
      <c r="BB4" t="s">
        <v>159</v>
      </c>
      <c r="BC4" t="s">
        <v>2660</v>
      </c>
      <c r="BD4" t="s">
        <v>791</v>
      </c>
      <c r="BE4" t="s">
        <v>792</v>
      </c>
      <c r="BF4" t="s">
        <v>793</v>
      </c>
      <c r="BG4" t="s">
        <v>794</v>
      </c>
      <c r="BH4" t="s">
        <v>378</v>
      </c>
      <c r="BI4" t="s">
        <v>795</v>
      </c>
      <c r="BJ4" t="s">
        <v>409</v>
      </c>
      <c r="BK4" t="s">
        <v>2661</v>
      </c>
      <c r="BL4" t="s">
        <v>796</v>
      </c>
      <c r="BM4" t="s">
        <v>2660</v>
      </c>
      <c r="BN4" t="s">
        <v>9</v>
      </c>
      <c r="BO4" t="s">
        <v>9</v>
      </c>
      <c r="BP4">
        <v>8.2799999999999994</v>
      </c>
      <c r="BQ4">
        <v>-12.34</v>
      </c>
      <c r="BR4">
        <v>-14.28</v>
      </c>
      <c r="BS4">
        <v>9.07</v>
      </c>
      <c r="BT4" t="s">
        <v>773</v>
      </c>
      <c r="BU4" t="s">
        <v>790</v>
      </c>
      <c r="BV4">
        <v>-8.68</v>
      </c>
      <c r="BW4">
        <v>7.51</v>
      </c>
      <c r="BX4">
        <v>17.18</v>
      </c>
      <c r="BY4">
        <v>-67.03</v>
      </c>
      <c r="BZ4">
        <v>-13.31</v>
      </c>
      <c r="CA4">
        <v>4.62</v>
      </c>
      <c r="CB4">
        <v>-5.76</v>
      </c>
      <c r="CC4">
        <v>-7.75</v>
      </c>
      <c r="CD4" t="s">
        <v>2662</v>
      </c>
      <c r="CE4" t="s">
        <v>225</v>
      </c>
      <c r="CF4" s="8">
        <v>0.75000897440499692</v>
      </c>
      <c r="CG4" s="9">
        <v>1.016</v>
      </c>
      <c r="CH4" s="8">
        <v>-0.53571426868438721</v>
      </c>
      <c r="CI4" s="8">
        <v>-0.40740740299224854</v>
      </c>
      <c r="CJ4" s="8">
        <v>0.17391304671764374</v>
      </c>
      <c r="CK4" s="8">
        <v>-0.15999999642372131</v>
      </c>
      <c r="CL4" s="8">
        <v>7.8799247741699219E-2</v>
      </c>
      <c r="CM4" s="9">
        <v>1.004801869392395</v>
      </c>
      <c r="CN4" s="9">
        <v>-2.776792049407959</v>
      </c>
      <c r="CO4" s="9">
        <v>-4.6470534056425095E-2</v>
      </c>
      <c r="CP4" s="9">
        <v>-0.32601168751716614</v>
      </c>
      <c r="CQ4" s="9">
        <v>3.0132448673248291</v>
      </c>
      <c r="CR4">
        <v>-2.9664386812770691</v>
      </c>
      <c r="CS4" t="e">
        <v>#DIV/0!</v>
      </c>
      <c r="CT4">
        <v>0</v>
      </c>
      <c r="CU4" s="8">
        <v>0</v>
      </c>
      <c r="CV4" s="9">
        <v>0</v>
      </c>
      <c r="CW4">
        <v>0.06</v>
      </c>
      <c r="CX4">
        <v>2251.2723842364539</v>
      </c>
      <c r="CY4">
        <v>210660.37735849051</v>
      </c>
      <c r="CZ4">
        <v>0</v>
      </c>
      <c r="DA4">
        <v>794.55008510116841</v>
      </c>
      <c r="DB4">
        <v>596883.56831478316</v>
      </c>
      <c r="DC4">
        <v>0</v>
      </c>
      <c r="DD4">
        <v>431.91006553893396</v>
      </c>
      <c r="DE4">
        <v>1098038.5219970036</v>
      </c>
      <c r="DF4">
        <v>0</v>
      </c>
      <c r="DG4">
        <v>288.56205872088907</v>
      </c>
      <c r="DH4">
        <v>1643507.4385809014</v>
      </c>
      <c r="DI4">
        <v>0</v>
      </c>
      <c r="DJ4">
        <v>185.16621269233528</v>
      </c>
      <c r="DK4">
        <v>2561233.4081056202</v>
      </c>
      <c r="DL4">
        <v>0</v>
      </c>
      <c r="DM4">
        <v>223299.99999999997</v>
      </c>
      <c r="DN4">
        <v>0</v>
      </c>
      <c r="DO4">
        <v>474253890</v>
      </c>
      <c r="DP4">
        <v>135173369.99999997</v>
      </c>
      <c r="DQ4">
        <v>3</v>
      </c>
      <c r="DR4">
        <v>0.75000897440499692</v>
      </c>
      <c r="DS4">
        <v>1.016</v>
      </c>
      <c r="DT4">
        <v>-0.44</v>
      </c>
      <c r="DU4">
        <v>0.6</v>
      </c>
      <c r="DV4">
        <v>0.15999999999999998</v>
      </c>
      <c r="DW4">
        <v>-8.743225806451612</v>
      </c>
      <c r="DX4">
        <v>0.37163484848484873</v>
      </c>
      <c r="DY4">
        <v>-8.1572924809384162</v>
      </c>
      <c r="DZ4">
        <v>0</v>
      </c>
      <c r="EA4">
        <v>-8.1572924809384162</v>
      </c>
      <c r="EB4">
        <v>8</v>
      </c>
      <c r="EC4">
        <v>0.14014600151354351</v>
      </c>
      <c r="ED4">
        <v>0.66220663806970781</v>
      </c>
      <c r="EE4">
        <v>0</v>
      </c>
      <c r="EF4">
        <v>0</v>
      </c>
      <c r="EG4">
        <v>16.211634848484849</v>
      </c>
      <c r="EH4" t="s">
        <v>86</v>
      </c>
      <c r="EI4">
        <v>0</v>
      </c>
      <c r="EJ4">
        <v>0</v>
      </c>
      <c r="EK4">
        <v>0</v>
      </c>
      <c r="EL4">
        <v>0</v>
      </c>
      <c r="EM4">
        <v>0</v>
      </c>
      <c r="EN4">
        <v>0</v>
      </c>
      <c r="EO4">
        <v>0</v>
      </c>
      <c r="EP4">
        <v>0</v>
      </c>
    </row>
    <row r="5" spans="1:146" ht="108" x14ac:dyDescent="0.25">
      <c r="A5" s="7"/>
      <c r="B5" s="7"/>
      <c r="C5" s="7" t="str">
        <f>""&amp;CHAR(10)&amp;Basic_Fundamental_Information_Constructure(F5)&amp;CHAR(10)&amp;Basic_Fundamental_Information_Concatenate("")</f>
        <v xml:space="preserve">
市值24.86576亿, 利润521.83万; PE39.74; 平均PE4.25, PB2.25; ROIC11.9133%; ROE13.0133%; 股利率.633%; 毛利51.5833%; 净利26.9267%; 上一年度营收增-76.69%, 利润增-92.53%; 当季营收增-57.83%, 利润增-70.19%; 过往5年营收增0%, 利润增0%
Income profile:
</v>
      </c>
      <c r="D5">
        <v>430139</v>
      </c>
      <c r="E5" t="s">
        <v>797</v>
      </c>
      <c r="F5">
        <v>9.32</v>
      </c>
      <c r="G5" s="5">
        <v>-3.42</v>
      </c>
      <c r="H5" t="s">
        <v>2663</v>
      </c>
      <c r="I5">
        <v>2486576000</v>
      </c>
      <c r="J5">
        <v>39.74</v>
      </c>
      <c r="K5">
        <v>2.25</v>
      </c>
      <c r="L5" t="s">
        <v>2604</v>
      </c>
      <c r="M5" t="s">
        <v>585</v>
      </c>
      <c r="N5" t="s">
        <v>2664</v>
      </c>
      <c r="O5" t="s">
        <v>2665</v>
      </c>
      <c r="P5">
        <v>-7.2</v>
      </c>
      <c r="Q5" t="s">
        <v>2665</v>
      </c>
      <c r="R5">
        <v>5218335</v>
      </c>
      <c r="S5" s="5">
        <v>-0.70189999999999997</v>
      </c>
      <c r="T5" t="s">
        <v>2666</v>
      </c>
      <c r="U5">
        <v>132345550</v>
      </c>
      <c r="V5">
        <v>266800000</v>
      </c>
      <c r="W5">
        <v>1.19</v>
      </c>
      <c r="X5">
        <v>0.05</v>
      </c>
      <c r="Y5">
        <v>8.14</v>
      </c>
      <c r="Z5" t="s">
        <v>2667</v>
      </c>
      <c r="AA5" t="s">
        <v>2668</v>
      </c>
      <c r="AB5" t="s">
        <v>2669</v>
      </c>
      <c r="AC5" t="s">
        <v>2670</v>
      </c>
      <c r="AD5" t="s">
        <v>2671</v>
      </c>
      <c r="AE5">
        <v>145371</v>
      </c>
      <c r="AF5" t="s">
        <v>2672</v>
      </c>
      <c r="AG5" t="s">
        <v>9</v>
      </c>
      <c r="AH5" t="s">
        <v>2673</v>
      </c>
      <c r="AI5" t="s">
        <v>2674</v>
      </c>
      <c r="AJ5" t="s">
        <v>9</v>
      </c>
      <c r="AK5" t="s">
        <v>2675</v>
      </c>
      <c r="AL5" t="s">
        <v>2676</v>
      </c>
      <c r="AM5" t="s">
        <v>9</v>
      </c>
      <c r="AN5" t="s">
        <v>530</v>
      </c>
      <c r="AO5" t="s">
        <v>9</v>
      </c>
      <c r="AP5" t="s">
        <v>9</v>
      </c>
      <c r="AQ5" t="s">
        <v>2677</v>
      </c>
      <c r="AR5" t="s">
        <v>9</v>
      </c>
      <c r="AS5" t="s">
        <v>15</v>
      </c>
      <c r="AT5" t="s">
        <v>9</v>
      </c>
      <c r="AU5" t="s">
        <v>2678</v>
      </c>
      <c r="AV5" t="s">
        <v>2679</v>
      </c>
      <c r="AW5" t="s">
        <v>2680</v>
      </c>
      <c r="AX5" t="s">
        <v>112</v>
      </c>
      <c r="AY5" t="s">
        <v>681</v>
      </c>
      <c r="AZ5" t="s">
        <v>131</v>
      </c>
      <c r="BA5" t="s">
        <v>464</v>
      </c>
      <c r="BB5" t="s">
        <v>406</v>
      </c>
      <c r="BC5" t="s">
        <v>799</v>
      </c>
      <c r="BD5" t="s">
        <v>800</v>
      </c>
      <c r="BE5" t="s">
        <v>801</v>
      </c>
      <c r="BF5" t="s">
        <v>802</v>
      </c>
      <c r="BG5" t="s">
        <v>803</v>
      </c>
      <c r="BH5" t="s">
        <v>96</v>
      </c>
      <c r="BI5" t="s">
        <v>552</v>
      </c>
      <c r="BJ5" t="s">
        <v>112</v>
      </c>
      <c r="BK5" t="s">
        <v>2681</v>
      </c>
      <c r="BL5" t="s">
        <v>804</v>
      </c>
      <c r="BM5" t="s">
        <v>799</v>
      </c>
      <c r="BN5">
        <v>5.56</v>
      </c>
      <c r="BO5">
        <v>8.94</v>
      </c>
      <c r="BP5">
        <v>21.24</v>
      </c>
      <c r="BQ5">
        <v>5.85</v>
      </c>
      <c r="BR5">
        <v>11.32</v>
      </c>
      <c r="BS5">
        <v>21.87</v>
      </c>
      <c r="BT5" t="s">
        <v>2682</v>
      </c>
      <c r="BU5" t="s">
        <v>798</v>
      </c>
      <c r="BV5">
        <v>51.12</v>
      </c>
      <c r="BW5">
        <v>49.71</v>
      </c>
      <c r="BX5">
        <v>53.92</v>
      </c>
      <c r="BY5">
        <v>23.73</v>
      </c>
      <c r="BZ5">
        <v>25.36</v>
      </c>
      <c r="CA5">
        <v>31.69</v>
      </c>
      <c r="CB5">
        <v>-10.039999999999999</v>
      </c>
      <c r="CC5">
        <v>-2.82</v>
      </c>
      <c r="CD5" t="s">
        <v>2683</v>
      </c>
      <c r="CE5" t="s">
        <v>2684</v>
      </c>
      <c r="CF5" s="8">
        <v>-0.57834868421052632</v>
      </c>
      <c r="CG5" s="9">
        <v>-0.70189999999999997</v>
      </c>
      <c r="CH5" s="8">
        <v>-0.76694178581237793</v>
      </c>
      <c r="CI5" s="8">
        <v>-3.1690139323472977E-2</v>
      </c>
      <c r="CJ5" s="8">
        <v>0.4791666567325592</v>
      </c>
      <c r="CK5" s="8">
        <v>0.31506848335266113</v>
      </c>
      <c r="CL5" s="8">
        <v>0.11450381577014923</v>
      </c>
      <c r="CM5" s="9">
        <v>-0.92531126737594604</v>
      </c>
      <c r="CN5" s="9">
        <v>-0.2247510552406311</v>
      </c>
      <c r="CO5" s="9">
        <v>0.61485946178436279</v>
      </c>
      <c r="CP5" s="9">
        <v>0.49160361289978027</v>
      </c>
      <c r="CQ5" s="9">
        <v>0.10904967784881592</v>
      </c>
      <c r="CR5">
        <v>4.2539285336187938</v>
      </c>
      <c r="CS5" t="e">
        <v>#DIV/0!</v>
      </c>
      <c r="CT5">
        <v>0.6330472103004291</v>
      </c>
      <c r="CU5" s="8">
        <v>0</v>
      </c>
      <c r="CV5" s="9">
        <v>0</v>
      </c>
      <c r="CW5">
        <v>0.06</v>
      </c>
      <c r="CX5">
        <v>322.08009505011216</v>
      </c>
      <c r="CY5">
        <v>4922924.5283018863</v>
      </c>
      <c r="CZ5">
        <v>0</v>
      </c>
      <c r="DA5">
        <v>113.67294722901934</v>
      </c>
      <c r="DB5">
        <v>13948578.255875655</v>
      </c>
      <c r="DC5">
        <v>0</v>
      </c>
      <c r="DD5">
        <v>61.791561046070726</v>
      </c>
      <c r="DE5">
        <v>25660073.530393928</v>
      </c>
      <c r="DF5">
        <v>0</v>
      </c>
      <c r="DG5">
        <v>41.283363111213099</v>
      </c>
      <c r="DH5">
        <v>38407142.260397308</v>
      </c>
      <c r="DI5">
        <v>0</v>
      </c>
      <c r="DJ5">
        <v>26.490953205666266</v>
      </c>
      <c r="DK5">
        <v>59853489.894839048</v>
      </c>
      <c r="DL5">
        <v>0</v>
      </c>
      <c r="DM5">
        <v>5218300</v>
      </c>
      <c r="DN5">
        <v>0</v>
      </c>
      <c r="DO5">
        <v>1585576000</v>
      </c>
      <c r="DP5">
        <v>141025010</v>
      </c>
      <c r="DQ5">
        <v>4</v>
      </c>
      <c r="DR5">
        <v>-0.57834868421052632</v>
      </c>
      <c r="DS5">
        <v>-0.70189999999999997</v>
      </c>
      <c r="DT5">
        <v>-0.44</v>
      </c>
      <c r="DU5">
        <v>-0.44</v>
      </c>
      <c r="DV5">
        <v>-0.88</v>
      </c>
      <c r="DW5">
        <v>-5.2808764940239046</v>
      </c>
      <c r="DX5">
        <v>0.26466754303240914</v>
      </c>
      <c r="DY5">
        <v>-5.032207417465278</v>
      </c>
      <c r="DZ5">
        <v>0</v>
      </c>
      <c r="EA5">
        <v>-5.032207417465278</v>
      </c>
      <c r="EB5">
        <v>5</v>
      </c>
      <c r="EC5">
        <v>3.4096701649175415E-2</v>
      </c>
      <c r="ED5">
        <v>0.29735269865067465</v>
      </c>
      <c r="EE5">
        <v>0</v>
      </c>
      <c r="EF5">
        <v>0</v>
      </c>
      <c r="EG5">
        <v>15.114667543032409</v>
      </c>
      <c r="EH5" t="s">
        <v>86</v>
      </c>
      <c r="EI5">
        <v>0</v>
      </c>
      <c r="EJ5">
        <v>0</v>
      </c>
      <c r="EK5">
        <v>0</v>
      </c>
      <c r="EL5">
        <v>0</v>
      </c>
      <c r="EM5">
        <v>0</v>
      </c>
      <c r="EN5">
        <v>0</v>
      </c>
      <c r="EO5">
        <v>0</v>
      </c>
      <c r="EP5">
        <v>0</v>
      </c>
    </row>
    <row r="6" spans="1:146" ht="96" x14ac:dyDescent="0.25">
      <c r="A6" s="7"/>
      <c r="B6" s="7"/>
      <c r="C6" s="7" t="str">
        <f>""&amp;CHAR(10)&amp;Basic_Fundamental_Information_Constructure(F6)&amp;CHAR(10)&amp;Basic_Fundamental_Information_Concatenate("")</f>
        <v xml:space="preserve">
市值7.8261478亿, 利润-4362.53万; PE; 平均PE-15.36, PB1.98; ROIC7.56%; ROE-.6267%; 股利率0%; 毛利46.83%; 净利-44.64%; 上一年度营收增-79.87%, 利润增-97.37%; 当季营收增-83.43%, 利润增-40.15%; 过往5年营收增0%, 利润增0%
Income profile:
</v>
      </c>
      <c r="D6">
        <v>430198</v>
      </c>
      <c r="E6" t="s">
        <v>805</v>
      </c>
      <c r="F6">
        <v>4.8499999999999996</v>
      </c>
      <c r="G6" s="5">
        <v>-2.41</v>
      </c>
      <c r="H6" t="s">
        <v>2685</v>
      </c>
      <c r="I6">
        <v>782614780</v>
      </c>
      <c r="K6">
        <v>1.98</v>
      </c>
      <c r="L6" t="s">
        <v>2604</v>
      </c>
      <c r="M6" t="s">
        <v>107</v>
      </c>
      <c r="N6" t="s">
        <v>614</v>
      </c>
      <c r="O6" t="s">
        <v>2686</v>
      </c>
      <c r="P6">
        <v>114.65</v>
      </c>
      <c r="Q6" t="s">
        <v>2686</v>
      </c>
      <c r="R6">
        <v>-43625310</v>
      </c>
      <c r="S6" s="5">
        <v>-0.40150000000000002</v>
      </c>
      <c r="T6" t="s">
        <v>2687</v>
      </c>
      <c r="U6">
        <v>70244378</v>
      </c>
      <c r="V6">
        <v>161363870</v>
      </c>
      <c r="W6">
        <v>1.6</v>
      </c>
      <c r="X6">
        <v>0.04</v>
      </c>
      <c r="Y6">
        <v>-179.07</v>
      </c>
      <c r="Z6" t="s">
        <v>2688</v>
      </c>
      <c r="AA6" t="s">
        <v>2689</v>
      </c>
      <c r="AB6" t="s">
        <v>2690</v>
      </c>
      <c r="AC6" t="s">
        <v>2691</v>
      </c>
      <c r="AD6" t="s">
        <v>2692</v>
      </c>
      <c r="AE6">
        <v>565992</v>
      </c>
      <c r="AF6" t="s">
        <v>2693</v>
      </c>
      <c r="AG6">
        <v>1.38</v>
      </c>
      <c r="AH6" t="s">
        <v>2694</v>
      </c>
      <c r="AI6" t="s">
        <v>2695</v>
      </c>
      <c r="AJ6" t="s">
        <v>9</v>
      </c>
      <c r="AK6" t="s">
        <v>2696</v>
      </c>
      <c r="AL6" t="s">
        <v>2697</v>
      </c>
      <c r="AM6" t="s">
        <v>9</v>
      </c>
      <c r="AN6" t="s">
        <v>225</v>
      </c>
      <c r="AO6" t="s">
        <v>2698</v>
      </c>
      <c r="AP6" t="s">
        <v>2699</v>
      </c>
      <c r="AQ6" t="s">
        <v>2700</v>
      </c>
      <c r="AR6" t="s">
        <v>2701</v>
      </c>
      <c r="AS6" t="s">
        <v>108</v>
      </c>
      <c r="AT6" t="s">
        <v>2702</v>
      </c>
      <c r="AU6" t="s">
        <v>2703</v>
      </c>
      <c r="AV6" t="s">
        <v>2704</v>
      </c>
      <c r="AW6" t="s">
        <v>2705</v>
      </c>
      <c r="AX6" t="s">
        <v>435</v>
      </c>
      <c r="AY6" t="s">
        <v>238</v>
      </c>
      <c r="AZ6" t="s">
        <v>239</v>
      </c>
      <c r="BA6" t="s">
        <v>149</v>
      </c>
      <c r="BB6" t="s">
        <v>434</v>
      </c>
      <c r="BC6" t="s">
        <v>2706</v>
      </c>
      <c r="BD6" t="s">
        <v>806</v>
      </c>
      <c r="BE6" t="s">
        <v>807</v>
      </c>
      <c r="BF6" t="s">
        <v>808</v>
      </c>
      <c r="BG6" t="s">
        <v>809</v>
      </c>
      <c r="BH6" t="s">
        <v>20</v>
      </c>
      <c r="BI6" t="s">
        <v>328</v>
      </c>
      <c r="BJ6" t="s">
        <v>435</v>
      </c>
      <c r="BK6" t="s">
        <v>2169</v>
      </c>
      <c r="BL6" t="s">
        <v>810</v>
      </c>
      <c r="BM6" t="s">
        <v>2706</v>
      </c>
      <c r="BN6" t="s">
        <v>9</v>
      </c>
      <c r="BO6" t="s">
        <v>9</v>
      </c>
      <c r="BP6">
        <v>7.56</v>
      </c>
      <c r="BQ6">
        <v>-5.77</v>
      </c>
      <c r="BR6">
        <v>-4.05</v>
      </c>
      <c r="BS6">
        <v>7.94</v>
      </c>
      <c r="BT6" t="s">
        <v>773</v>
      </c>
      <c r="BU6" t="s">
        <v>790</v>
      </c>
      <c r="BV6">
        <v>43.03</v>
      </c>
      <c r="BW6">
        <v>36.950000000000003</v>
      </c>
      <c r="BX6">
        <v>60.51</v>
      </c>
      <c r="BY6">
        <v>-144.47</v>
      </c>
      <c r="BZ6">
        <v>-16.82</v>
      </c>
      <c r="CA6">
        <v>27.37</v>
      </c>
      <c r="CB6">
        <v>-4.1500000000000004</v>
      </c>
      <c r="CC6">
        <v>-22.15</v>
      </c>
      <c r="CD6" t="s">
        <v>2707</v>
      </c>
      <c r="CE6" t="s">
        <v>2708</v>
      </c>
      <c r="CF6" s="8">
        <v>-0.83427074829931969</v>
      </c>
      <c r="CG6" s="9">
        <v>-0.40150000000000002</v>
      </c>
      <c r="CH6" s="8">
        <v>-0.79865950345993042</v>
      </c>
      <c r="CI6" s="8">
        <v>-0.2142857164144516</v>
      </c>
      <c r="CJ6" s="8">
        <v>-0.2142857164144516</v>
      </c>
      <c r="CK6" s="8">
        <v>0.17365269362926483</v>
      </c>
      <c r="CL6" s="8">
        <v>9.1503269970417023E-2</v>
      </c>
      <c r="CM6" s="9">
        <v>-0.97374540567398071</v>
      </c>
      <c r="CN6" s="9">
        <v>-1.5256838798522949</v>
      </c>
      <c r="CO6" s="9">
        <v>-0.30054464936256409</v>
      </c>
      <c r="CP6" s="9">
        <v>0.21060687303543091</v>
      </c>
      <c r="CQ6" s="9">
        <v>0.16575692594051361</v>
      </c>
      <c r="CR6">
        <v>-15.360055189955899</v>
      </c>
      <c r="CS6" t="e">
        <v>#DIV/0!</v>
      </c>
      <c r="CT6">
        <v>0</v>
      </c>
      <c r="CU6" s="8">
        <v>0</v>
      </c>
      <c r="CV6" s="9">
        <v>0</v>
      </c>
      <c r="CW6">
        <v>0.06</v>
      </c>
      <c r="CX6" t="e">
        <v>#VALUE!</v>
      </c>
      <c r="CY6" t="s">
        <v>85</v>
      </c>
      <c r="CZ6">
        <v>0</v>
      </c>
      <c r="DA6" t="e">
        <v>#VALUE!</v>
      </c>
      <c r="DB6" t="s">
        <v>84</v>
      </c>
      <c r="DC6">
        <v>0</v>
      </c>
      <c r="DD6" t="e">
        <v>#VALUE!</v>
      </c>
      <c r="DE6" t="s">
        <v>84</v>
      </c>
      <c r="DF6">
        <v>0</v>
      </c>
      <c r="DG6" t="e">
        <v>#VALUE!</v>
      </c>
      <c r="DH6" t="s">
        <v>84</v>
      </c>
      <c r="DI6">
        <v>0</v>
      </c>
      <c r="DJ6" t="e">
        <v>#VALUE!</v>
      </c>
      <c r="DK6" t="s">
        <v>84</v>
      </c>
      <c r="DL6">
        <v>0</v>
      </c>
      <c r="DM6">
        <v>-43625300</v>
      </c>
      <c r="DN6">
        <v>0</v>
      </c>
      <c r="DO6">
        <v>711614780</v>
      </c>
      <c r="DP6">
        <v>219030780</v>
      </c>
      <c r="DQ6">
        <v>5</v>
      </c>
      <c r="DR6">
        <v>-0.83427074829931969</v>
      </c>
      <c r="DS6">
        <v>-0.40150000000000002</v>
      </c>
      <c r="DT6">
        <v>-0.44</v>
      </c>
      <c r="DU6" t="e">
        <v>#VALUE!</v>
      </c>
      <c r="DV6" t="e">
        <v>#VALUE!</v>
      </c>
      <c r="DW6">
        <v>-8.187358916478555</v>
      </c>
      <c r="DX6">
        <v>0.36944008012337104</v>
      </c>
      <c r="DY6">
        <v>-8.029872520655168</v>
      </c>
      <c r="DZ6">
        <v>0</v>
      </c>
      <c r="EA6">
        <v>-8.029872520655168</v>
      </c>
      <c r="EB6">
        <v>8</v>
      </c>
      <c r="EC6">
        <v>8.6943254397654199E-2</v>
      </c>
      <c r="ED6">
        <v>0.54530360482802009</v>
      </c>
      <c r="EE6">
        <v>0</v>
      </c>
      <c r="EF6">
        <v>0</v>
      </c>
      <c r="EG6">
        <v>21.159440080123371</v>
      </c>
      <c r="EH6" t="s">
        <v>86</v>
      </c>
      <c r="EI6">
        <v>0</v>
      </c>
      <c r="EJ6">
        <v>0</v>
      </c>
      <c r="EK6">
        <v>0</v>
      </c>
      <c r="EL6">
        <v>0</v>
      </c>
      <c r="EM6">
        <v>0</v>
      </c>
      <c r="EN6">
        <v>0</v>
      </c>
      <c r="EO6">
        <v>0</v>
      </c>
      <c r="EP6">
        <v>0</v>
      </c>
    </row>
    <row r="7" spans="1:146" ht="96" x14ac:dyDescent="0.25">
      <c r="A7" s="7"/>
      <c r="B7" s="7"/>
      <c r="C7" s="7" t="str">
        <f>""&amp;CHAR(10)&amp;Basic_Fundamental_Information_Constructure(F7)&amp;CHAR(10)&amp;Basic_Fundamental_Information_Concatenate("")</f>
        <v xml:space="preserve">
市值6.3526873亿, 利润-905.55万; PE; 平均PE-1.6, PB2.27; ROIC9.275%; ROE7.13%; 股利率0%; 毛利38.52%; 净利5.48%; 上一年度营收增-88.9%, 利润增-138.56%; 当季营收增-62.81%, 利润增-91.35%; 过往5年营收增0%, 利润增0%
Income profile:
</v>
      </c>
      <c r="D7">
        <v>430300</v>
      </c>
      <c r="E7" t="s">
        <v>811</v>
      </c>
      <c r="F7">
        <v>7.4</v>
      </c>
      <c r="G7" s="5">
        <v>-2.89</v>
      </c>
      <c r="H7" t="s">
        <v>2709</v>
      </c>
      <c r="I7">
        <v>635268730</v>
      </c>
      <c r="K7">
        <v>2.27</v>
      </c>
      <c r="L7" t="s">
        <v>2604</v>
      </c>
      <c r="M7" t="s">
        <v>62</v>
      </c>
      <c r="N7" t="s">
        <v>394</v>
      </c>
      <c r="O7" t="s">
        <v>2710</v>
      </c>
      <c r="P7">
        <v>6.7</v>
      </c>
      <c r="Q7" t="s">
        <v>2710</v>
      </c>
      <c r="R7">
        <v>-9055465</v>
      </c>
      <c r="S7" s="5">
        <v>-0.91349999999999998</v>
      </c>
      <c r="T7" t="s">
        <v>2711</v>
      </c>
      <c r="U7">
        <v>60093167</v>
      </c>
      <c r="V7">
        <v>85847126</v>
      </c>
      <c r="W7">
        <v>1.66</v>
      </c>
      <c r="X7">
        <v>0.04</v>
      </c>
      <c r="Y7">
        <v>-43.41</v>
      </c>
      <c r="Z7" t="s">
        <v>2712</v>
      </c>
      <c r="AA7" t="s">
        <v>2713</v>
      </c>
      <c r="AB7" t="s">
        <v>2714</v>
      </c>
      <c r="AC7" t="s">
        <v>2715</v>
      </c>
      <c r="AD7" t="s">
        <v>2716</v>
      </c>
      <c r="AE7">
        <v>923107</v>
      </c>
      <c r="AF7" t="s">
        <v>2717</v>
      </c>
      <c r="AG7" t="s">
        <v>2718</v>
      </c>
      <c r="AH7" t="s">
        <v>2719</v>
      </c>
      <c r="AI7" t="s">
        <v>2720</v>
      </c>
      <c r="AJ7" t="s">
        <v>9</v>
      </c>
      <c r="AK7" t="s">
        <v>9</v>
      </c>
      <c r="AL7" t="s">
        <v>2721</v>
      </c>
      <c r="AM7" t="s">
        <v>9</v>
      </c>
      <c r="AN7" t="s">
        <v>2722</v>
      </c>
      <c r="AO7" t="s">
        <v>2723</v>
      </c>
      <c r="AP7" t="s">
        <v>9</v>
      </c>
      <c r="AQ7" t="s">
        <v>2724</v>
      </c>
      <c r="AR7" t="s">
        <v>2725</v>
      </c>
      <c r="AS7" t="s">
        <v>167</v>
      </c>
      <c r="AT7" t="s">
        <v>2726</v>
      </c>
      <c r="AU7" t="s">
        <v>2727</v>
      </c>
      <c r="AV7" t="s">
        <v>2728</v>
      </c>
      <c r="AW7" t="s">
        <v>2729</v>
      </c>
      <c r="AX7" t="s">
        <v>15</v>
      </c>
      <c r="AY7" t="s">
        <v>239</v>
      </c>
      <c r="AZ7" t="s">
        <v>253</v>
      </c>
      <c r="BA7" t="s">
        <v>134</v>
      </c>
      <c r="BB7" t="s">
        <v>552</v>
      </c>
      <c r="BC7" t="s">
        <v>813</v>
      </c>
      <c r="BD7" t="s">
        <v>814</v>
      </c>
      <c r="BE7" t="s">
        <v>815</v>
      </c>
      <c r="BF7" t="s">
        <v>816</v>
      </c>
      <c r="BG7" t="s">
        <v>817</v>
      </c>
      <c r="BH7" t="s">
        <v>39</v>
      </c>
      <c r="BI7" t="s">
        <v>818</v>
      </c>
      <c r="BJ7" t="s">
        <v>15</v>
      </c>
      <c r="BK7" t="s">
        <v>2730</v>
      </c>
      <c r="BL7" t="s">
        <v>819</v>
      </c>
      <c r="BM7" t="s">
        <v>813</v>
      </c>
      <c r="BN7" t="s">
        <v>9</v>
      </c>
      <c r="BO7">
        <v>8.1</v>
      </c>
      <c r="BP7">
        <v>10.45</v>
      </c>
      <c r="BQ7">
        <v>-2.29</v>
      </c>
      <c r="BR7">
        <v>10.78</v>
      </c>
      <c r="BS7">
        <v>12.9</v>
      </c>
      <c r="BT7" t="s">
        <v>773</v>
      </c>
      <c r="BU7" t="s">
        <v>812</v>
      </c>
      <c r="BV7">
        <v>35.01</v>
      </c>
      <c r="BW7">
        <v>40.74</v>
      </c>
      <c r="BX7">
        <v>39.81</v>
      </c>
      <c r="BY7">
        <v>-7.55</v>
      </c>
      <c r="BZ7">
        <v>12.09</v>
      </c>
      <c r="CA7">
        <v>11.9</v>
      </c>
      <c r="CB7">
        <v>-1.46</v>
      </c>
      <c r="CC7">
        <v>-9.09</v>
      </c>
      <c r="CD7" t="s">
        <v>2731</v>
      </c>
      <c r="CE7" t="s">
        <v>2732</v>
      </c>
      <c r="CF7" s="8">
        <v>-0.62807727625279708</v>
      </c>
      <c r="CG7" s="9">
        <v>-0.91349999999999998</v>
      </c>
      <c r="CH7" s="8">
        <v>-0.88904732465744019</v>
      </c>
      <c r="CI7" s="8">
        <v>-4.0816325694322586E-2</v>
      </c>
      <c r="CJ7" s="8">
        <v>0.38028168678283691</v>
      </c>
      <c r="CK7" s="8">
        <v>5.9701491147279739E-2</v>
      </c>
      <c r="CL7" s="8">
        <v>-0.11842105537652969</v>
      </c>
      <c r="CM7" s="9">
        <v>-1.3856308460235596</v>
      </c>
      <c r="CN7" s="9">
        <v>-3.1406097114086151E-2</v>
      </c>
      <c r="CO7" s="9">
        <v>3.8430252075195313</v>
      </c>
      <c r="CP7" s="9">
        <v>0.66885584592819214</v>
      </c>
      <c r="CQ7" s="9">
        <v>0.62747544050216675</v>
      </c>
      <c r="CR7">
        <v>-1.5987934760746971</v>
      </c>
      <c r="CS7" t="e">
        <v>#DIV/0!</v>
      </c>
      <c r="CT7">
        <v>0</v>
      </c>
      <c r="CU7" s="8">
        <v>0</v>
      </c>
      <c r="CV7" s="9">
        <v>0</v>
      </c>
      <c r="CW7">
        <v>0.06</v>
      </c>
      <c r="CX7" t="e">
        <v>#VALUE!</v>
      </c>
      <c r="CY7" t="s">
        <v>85</v>
      </c>
      <c r="CZ7">
        <v>0</v>
      </c>
      <c r="DA7" t="e">
        <v>#VALUE!</v>
      </c>
      <c r="DB7" t="s">
        <v>84</v>
      </c>
      <c r="DC7">
        <v>0</v>
      </c>
      <c r="DD7" t="e">
        <v>#VALUE!</v>
      </c>
      <c r="DE7" t="s">
        <v>84</v>
      </c>
      <c r="DF7">
        <v>0</v>
      </c>
      <c r="DG7" t="e">
        <v>#VALUE!</v>
      </c>
      <c r="DH7" t="s">
        <v>84</v>
      </c>
      <c r="DI7">
        <v>0</v>
      </c>
      <c r="DJ7" t="e">
        <v>#VALUE!</v>
      </c>
      <c r="DK7" t="s">
        <v>84</v>
      </c>
      <c r="DL7">
        <v>0</v>
      </c>
      <c r="DM7">
        <v>-9055500</v>
      </c>
      <c r="DN7">
        <v>0</v>
      </c>
      <c r="DO7">
        <v>550268730</v>
      </c>
      <c r="DP7">
        <v>134303060</v>
      </c>
      <c r="DQ7">
        <v>6</v>
      </c>
      <c r="DR7">
        <v>-0.62807727625279708</v>
      </c>
      <c r="DS7">
        <v>-0.91349999999999998</v>
      </c>
      <c r="DT7">
        <v>-0.44</v>
      </c>
      <c r="DU7" t="e">
        <v>#VALUE!</v>
      </c>
      <c r="DV7" t="e">
        <v>#VALUE!</v>
      </c>
      <c r="DW7">
        <v>-2.0909</v>
      </c>
      <c r="DX7">
        <v>0.34428377009424327</v>
      </c>
      <c r="DY7">
        <v>-2.0167513947015667</v>
      </c>
      <c r="DZ7">
        <v>0</v>
      </c>
      <c r="EA7">
        <v>-2.0167513947015667</v>
      </c>
      <c r="EB7">
        <v>2</v>
      </c>
      <c r="EC7">
        <v>4.1957141349146625E-2</v>
      </c>
      <c r="ED7">
        <v>0.22767681238391138</v>
      </c>
      <c r="EE7">
        <v>0</v>
      </c>
      <c r="EF7">
        <v>0</v>
      </c>
      <c r="EG7">
        <v>16.184283770094243</v>
      </c>
      <c r="EH7" t="s">
        <v>86</v>
      </c>
      <c r="EI7">
        <v>0</v>
      </c>
      <c r="EJ7">
        <v>0</v>
      </c>
      <c r="EK7">
        <v>0</v>
      </c>
      <c r="EL7">
        <v>0</v>
      </c>
      <c r="EM7">
        <v>0</v>
      </c>
      <c r="EN7">
        <v>0</v>
      </c>
      <c r="EO7">
        <v>0</v>
      </c>
      <c r="EP7">
        <v>0</v>
      </c>
    </row>
    <row r="8" spans="1:146" ht="108" x14ac:dyDescent="0.25">
      <c r="C8" s="7" t="str">
        <f>""&amp;CHAR(10)&amp;Basic_Fundamental_Information_Constructure(F8)&amp;CHAR(10)&amp;Basic_Fundamental_Information_Concatenate("")</f>
        <v xml:space="preserve">
市值17.982182亿, 利润3275.24万; PE13.29; 平均PE3.17, PB2.42; ROIC12.1967%; ROE13.18%; 股利率3.3886%; 毛利33.0333%; 净利15.4133%; 上一年度营收增-70.34%, 利润增-60.87%; 当季营收增-45.07%, 利润增51.39%; 过往5年营收增0%, 利润增0%
Income profile:
</v>
      </c>
      <c r="D8" s="12">
        <v>430418</v>
      </c>
      <c r="E8" t="s">
        <v>821</v>
      </c>
      <c r="F8">
        <v>13.28</v>
      </c>
      <c r="G8">
        <v>-0.45</v>
      </c>
      <c r="H8" t="s">
        <v>2733</v>
      </c>
      <c r="I8">
        <v>1798218200</v>
      </c>
      <c r="J8">
        <v>13.29</v>
      </c>
      <c r="K8">
        <v>2.42</v>
      </c>
      <c r="L8" t="s">
        <v>2604</v>
      </c>
      <c r="M8" t="s">
        <v>83</v>
      </c>
      <c r="N8" t="s">
        <v>2734</v>
      </c>
      <c r="O8" t="s">
        <v>149</v>
      </c>
      <c r="P8" s="5">
        <v>15.55</v>
      </c>
      <c r="Q8" t="s">
        <v>149</v>
      </c>
      <c r="R8">
        <v>32752436</v>
      </c>
      <c r="S8">
        <v>0.51390000000000002</v>
      </c>
      <c r="T8" t="s">
        <v>2735</v>
      </c>
      <c r="U8">
        <v>51142517</v>
      </c>
      <c r="V8">
        <v>96720000</v>
      </c>
      <c r="W8">
        <v>1.1499999999999999</v>
      </c>
      <c r="X8">
        <v>0.2</v>
      </c>
      <c r="Y8">
        <v>19.62</v>
      </c>
      <c r="Z8" t="s">
        <v>94</v>
      </c>
      <c r="AA8" t="s">
        <v>37</v>
      </c>
      <c r="AB8" t="s">
        <v>2736</v>
      </c>
      <c r="AC8" t="s">
        <v>2737</v>
      </c>
      <c r="AD8" t="s">
        <v>2738</v>
      </c>
      <c r="AE8">
        <v>1164227</v>
      </c>
      <c r="AF8" t="s">
        <v>2739</v>
      </c>
      <c r="AG8">
        <v>1500</v>
      </c>
      <c r="AH8" t="s">
        <v>2740</v>
      </c>
      <c r="AI8" t="s">
        <v>332</v>
      </c>
      <c r="AJ8" t="s">
        <v>9</v>
      </c>
      <c r="AK8" t="s">
        <v>2741</v>
      </c>
      <c r="AL8" t="s">
        <v>2742</v>
      </c>
      <c r="AM8" t="s">
        <v>9</v>
      </c>
      <c r="AN8" t="s">
        <v>2743</v>
      </c>
      <c r="AO8" t="s">
        <v>9</v>
      </c>
      <c r="AP8" t="s">
        <v>9</v>
      </c>
      <c r="AQ8" t="s">
        <v>2744</v>
      </c>
      <c r="AR8" t="s">
        <v>9</v>
      </c>
      <c r="AS8" t="s">
        <v>78</v>
      </c>
      <c r="AT8" t="s">
        <v>9</v>
      </c>
      <c r="AU8" t="s">
        <v>2745</v>
      </c>
      <c r="AV8" t="s">
        <v>2746</v>
      </c>
      <c r="AW8" t="s">
        <v>9</v>
      </c>
      <c r="AX8" t="s">
        <v>686</v>
      </c>
      <c r="AY8" t="s">
        <v>360</v>
      </c>
      <c r="AZ8" t="s">
        <v>474</v>
      </c>
      <c r="BA8" t="s">
        <v>414</v>
      </c>
      <c r="BB8" t="s">
        <v>439</v>
      </c>
      <c r="BC8" t="s">
        <v>823</v>
      </c>
      <c r="BD8" t="s">
        <v>824</v>
      </c>
      <c r="BE8" t="s">
        <v>825</v>
      </c>
      <c r="BF8" t="s">
        <v>826</v>
      </c>
      <c r="BG8" t="s">
        <v>827</v>
      </c>
      <c r="BH8" t="s">
        <v>1142</v>
      </c>
      <c r="BI8" t="s">
        <v>574</v>
      </c>
      <c r="BJ8" t="s">
        <v>686</v>
      </c>
      <c r="BK8" t="s">
        <v>89</v>
      </c>
      <c r="BL8" t="s">
        <v>828</v>
      </c>
      <c r="BM8" t="s">
        <v>823</v>
      </c>
      <c r="BN8">
        <v>11.97</v>
      </c>
      <c r="BO8">
        <v>11.99</v>
      </c>
      <c r="BP8">
        <v>12.63</v>
      </c>
      <c r="BQ8">
        <v>13.45</v>
      </c>
      <c r="BR8">
        <v>14.27</v>
      </c>
      <c r="BS8">
        <v>11.82</v>
      </c>
      <c r="BT8" t="s">
        <v>2747</v>
      </c>
      <c r="BU8" t="s">
        <v>822</v>
      </c>
      <c r="BV8">
        <v>36.67</v>
      </c>
      <c r="BW8">
        <v>32.869999999999997</v>
      </c>
      <c r="BX8">
        <v>29.56</v>
      </c>
      <c r="BY8">
        <v>19.510000000000002</v>
      </c>
      <c r="BZ8">
        <v>14.86</v>
      </c>
      <c r="CA8">
        <v>11.87</v>
      </c>
      <c r="CB8">
        <v>-2.06</v>
      </c>
      <c r="CC8" s="8">
        <v>-13.97</v>
      </c>
      <c r="CD8" s="11" t="s">
        <v>2748</v>
      </c>
      <c r="CE8" s="8" t="s">
        <v>2749</v>
      </c>
      <c r="CF8" s="8">
        <v>-0.45065789473684209</v>
      </c>
      <c r="CG8" s="8">
        <v>0.51390000000000002</v>
      </c>
      <c r="CH8" s="8">
        <v>-0.70337480306625366</v>
      </c>
      <c r="CI8" s="8">
        <v>5.8270677924156189E-2</v>
      </c>
      <c r="CJ8" s="9">
        <v>0.22298850119113922</v>
      </c>
      <c r="CK8" s="9">
        <v>6.9444444961845875E-3</v>
      </c>
      <c r="CL8" s="9">
        <v>4.8543687909841537E-2</v>
      </c>
      <c r="CM8" s="9">
        <v>-0.60873967409133911</v>
      </c>
      <c r="CN8" s="9">
        <v>0.3248523473739624</v>
      </c>
      <c r="CO8">
        <v>-9.9437469616532326E-3</v>
      </c>
      <c r="CP8">
        <v>-3.7856172770261765E-2</v>
      </c>
      <c r="CQ8">
        <v>5.1351875066757202E-2</v>
      </c>
      <c r="CR8" s="8">
        <v>3.1707594122922371</v>
      </c>
      <c r="CS8" s="9" t="e">
        <v>#DIV/0!</v>
      </c>
      <c r="CT8">
        <v>3.3885542168674698</v>
      </c>
      <c r="CU8">
        <v>0</v>
      </c>
      <c r="CV8">
        <v>0</v>
      </c>
      <c r="CW8">
        <v>0.06</v>
      </c>
      <c r="CX8">
        <v>37.905353256555252</v>
      </c>
      <c r="CY8">
        <v>30898490.566037729</v>
      </c>
      <c r="CZ8">
        <v>0</v>
      </c>
      <c r="DA8">
        <v>13.378079821292085</v>
      </c>
      <c r="DB8">
        <v>87547556.573547274</v>
      </c>
      <c r="DC8">
        <v>0</v>
      </c>
      <c r="DD8">
        <v>7.2722002561533152</v>
      </c>
      <c r="DE8">
        <v>161054173.25505894</v>
      </c>
      <c r="DF8">
        <v>0</v>
      </c>
      <c r="DG8">
        <v>4.8586065590476784</v>
      </c>
      <c r="DH8">
        <v>241060515.14275464</v>
      </c>
      <c r="DI8">
        <v>0</v>
      </c>
      <c r="DJ8">
        <v>3.1176994629470043</v>
      </c>
      <c r="DK8">
        <v>375667447.71893644</v>
      </c>
      <c r="DL8">
        <v>0</v>
      </c>
      <c r="DM8">
        <v>32752399.999999996</v>
      </c>
      <c r="DN8">
        <v>0</v>
      </c>
      <c r="DO8">
        <v>1171218200</v>
      </c>
      <c r="DP8">
        <v>449348220</v>
      </c>
      <c r="DQ8">
        <v>7</v>
      </c>
      <c r="DR8">
        <v>-0.45065789473684209</v>
      </c>
      <c r="DS8">
        <v>0.51390000000000002</v>
      </c>
      <c r="DT8">
        <v>-0.44</v>
      </c>
      <c r="DU8">
        <v>-0.22</v>
      </c>
      <c r="DV8">
        <v>-0.66</v>
      </c>
      <c r="DW8">
        <v>-2.1396999999999999</v>
      </c>
      <c r="DX8">
        <v>0.35960021224733607</v>
      </c>
      <c r="DY8">
        <v>-2.0181051496509528</v>
      </c>
      <c r="DZ8">
        <v>0</v>
      </c>
      <c r="EA8">
        <v>-2.0181051496509528</v>
      </c>
      <c r="EB8">
        <v>2</v>
      </c>
      <c r="EC8">
        <v>4.0404259718775849E-2</v>
      </c>
      <c r="ED8">
        <v>0.31176075268817205</v>
      </c>
      <c r="EE8">
        <v>0</v>
      </c>
      <c r="EF8">
        <v>0</v>
      </c>
      <c r="EG8">
        <v>23.129600212247336</v>
      </c>
      <c r="EH8" t="s">
        <v>86</v>
      </c>
      <c r="EI8">
        <v>0</v>
      </c>
      <c r="EJ8">
        <v>0</v>
      </c>
      <c r="EK8">
        <v>0</v>
      </c>
      <c r="EL8">
        <v>0</v>
      </c>
      <c r="EM8">
        <v>0</v>
      </c>
      <c r="EN8">
        <v>0</v>
      </c>
      <c r="EO8">
        <v>0</v>
      </c>
      <c r="EP8">
        <v>0</v>
      </c>
    </row>
    <row r="9" spans="1:146" ht="108" x14ac:dyDescent="0.25">
      <c r="A9" s="7"/>
      <c r="B9" s="7"/>
      <c r="C9" s="7" t="str">
        <f>""&amp;CHAR(10)&amp;Basic_Fundamental_Information_Constructure(F9)&amp;CHAR(10)&amp;Basic_Fundamental_Information_Concatenate("")</f>
        <v xml:space="preserve">
市值5.5634521亿, 利润491.20万; PE20.72; 平均PE-2.89, PB2.26; ROIC24.2733%; ROE17.78%; 股利率3.643%; 毛利67.0633%; 净利33.21%; 上一年度营收增-75.46%, 利润增-82.26%; 当季营收增-47.88%, 利润增-12.42%; 过往5年营收增0%, 利润增0%
Income profile:
</v>
      </c>
      <c r="D9">
        <v>430425</v>
      </c>
      <c r="E9" t="s">
        <v>830</v>
      </c>
      <c r="F9">
        <v>10.98</v>
      </c>
      <c r="G9" s="5">
        <v>-7.03</v>
      </c>
      <c r="H9" t="s">
        <v>2750</v>
      </c>
      <c r="I9">
        <v>556345210</v>
      </c>
      <c r="J9">
        <v>20.72</v>
      </c>
      <c r="K9">
        <v>2.2599999999999998</v>
      </c>
      <c r="L9" t="s">
        <v>2604</v>
      </c>
      <c r="M9" t="s">
        <v>2751</v>
      </c>
      <c r="N9" t="s">
        <v>169</v>
      </c>
      <c r="O9" t="s">
        <v>2752</v>
      </c>
      <c r="P9">
        <v>-1.42</v>
      </c>
      <c r="Q9" t="s">
        <v>2752</v>
      </c>
      <c r="R9">
        <v>4912008</v>
      </c>
      <c r="S9" s="5">
        <v>-0.1242</v>
      </c>
      <c r="T9" t="s">
        <v>2753</v>
      </c>
      <c r="U9">
        <v>18952117</v>
      </c>
      <c r="V9">
        <v>36192117</v>
      </c>
      <c r="W9">
        <v>1.06</v>
      </c>
      <c r="X9">
        <v>0.08</v>
      </c>
      <c r="Y9">
        <v>24.72</v>
      </c>
      <c r="Z9" t="s">
        <v>2754</v>
      </c>
      <c r="AA9" t="s">
        <v>2755</v>
      </c>
      <c r="AB9" t="s">
        <v>2756</v>
      </c>
      <c r="AC9" t="s">
        <v>2757</v>
      </c>
      <c r="AD9" t="s">
        <v>2758</v>
      </c>
      <c r="AE9">
        <v>354152</v>
      </c>
      <c r="AF9" t="s">
        <v>2759</v>
      </c>
      <c r="AG9" t="s">
        <v>2760</v>
      </c>
      <c r="AH9" t="s">
        <v>2761</v>
      </c>
      <c r="AI9" t="s">
        <v>2762</v>
      </c>
      <c r="AJ9" t="s">
        <v>9</v>
      </c>
      <c r="AK9" t="s">
        <v>2763</v>
      </c>
      <c r="AL9" t="s">
        <v>2764</v>
      </c>
      <c r="AM9" t="s">
        <v>9</v>
      </c>
      <c r="AN9" t="s">
        <v>2765</v>
      </c>
      <c r="AO9" t="s">
        <v>9</v>
      </c>
      <c r="AP9" t="s">
        <v>9</v>
      </c>
      <c r="AQ9" t="s">
        <v>2766</v>
      </c>
      <c r="AR9" t="s">
        <v>9</v>
      </c>
      <c r="AS9" t="s">
        <v>2767</v>
      </c>
      <c r="AT9" t="s">
        <v>9</v>
      </c>
      <c r="AU9" t="s">
        <v>2768</v>
      </c>
      <c r="AV9" t="s">
        <v>2769</v>
      </c>
      <c r="AW9" t="s">
        <v>9</v>
      </c>
      <c r="AX9" t="s">
        <v>832</v>
      </c>
      <c r="AY9" t="s">
        <v>37</v>
      </c>
      <c r="AZ9" t="s">
        <v>833</v>
      </c>
      <c r="BA9" t="s">
        <v>834</v>
      </c>
      <c r="BB9" t="s">
        <v>835</v>
      </c>
      <c r="BC9" t="s">
        <v>2770</v>
      </c>
      <c r="BD9" t="s">
        <v>836</v>
      </c>
      <c r="BE9" t="s">
        <v>837</v>
      </c>
      <c r="BF9" t="s">
        <v>838</v>
      </c>
      <c r="BG9" t="s">
        <v>839</v>
      </c>
      <c r="BH9" t="s">
        <v>2771</v>
      </c>
      <c r="BI9" t="s">
        <v>840</v>
      </c>
      <c r="BJ9" t="s">
        <v>832</v>
      </c>
      <c r="BK9" t="s">
        <v>2772</v>
      </c>
      <c r="BL9" t="s">
        <v>841</v>
      </c>
      <c r="BM9" t="s">
        <v>2770</v>
      </c>
      <c r="BN9">
        <v>11.71</v>
      </c>
      <c r="BO9">
        <v>24.68</v>
      </c>
      <c r="BP9">
        <v>36.43</v>
      </c>
      <c r="BQ9">
        <v>10.15</v>
      </c>
      <c r="BR9">
        <v>25.41</v>
      </c>
      <c r="BS9" t="s">
        <v>9</v>
      </c>
      <c r="BT9" t="s">
        <v>2773</v>
      </c>
      <c r="BU9" t="s">
        <v>831</v>
      </c>
      <c r="BV9">
        <v>65.599999999999994</v>
      </c>
      <c r="BW9">
        <v>70.760000000000005</v>
      </c>
      <c r="BX9">
        <v>64.83</v>
      </c>
      <c r="BY9">
        <v>33.07</v>
      </c>
      <c r="BZ9">
        <v>34.229999999999997</v>
      </c>
      <c r="CA9">
        <v>32.33</v>
      </c>
      <c r="CB9">
        <v>5.68</v>
      </c>
      <c r="CC9">
        <v>5.94</v>
      </c>
      <c r="CD9" t="s">
        <v>2774</v>
      </c>
      <c r="CE9" t="s">
        <v>2775</v>
      </c>
      <c r="CF9" s="8">
        <v>-0.47879695540646161</v>
      </c>
      <c r="CG9" s="9">
        <v>-0.1242</v>
      </c>
      <c r="CH9" s="8">
        <v>-0.75458616018295288</v>
      </c>
      <c r="CI9" s="8">
        <v>-0.21386213600635529</v>
      </c>
      <c r="CJ9" s="8">
        <v>0.39870774745941162</v>
      </c>
      <c r="CK9" s="8">
        <v>0.20466755330562592</v>
      </c>
      <c r="CL9" s="8">
        <v>3.9375916123390198E-2</v>
      </c>
      <c r="CM9" s="9">
        <v>-0.8226240873336792</v>
      </c>
      <c r="CN9" s="9">
        <v>-0.16447874903678894</v>
      </c>
      <c r="CO9" s="9">
        <v>1.10379958152771</v>
      </c>
      <c r="CP9" s="9">
        <v>0.42970970273017883</v>
      </c>
      <c r="CQ9" s="9">
        <v>0.87690341472625732</v>
      </c>
      <c r="CR9">
        <v>-2.8943276983588784</v>
      </c>
      <c r="CS9" t="e">
        <v>#DIV/0!</v>
      </c>
      <c r="CT9">
        <v>3.6429872495446265</v>
      </c>
      <c r="CU9" s="8">
        <v>0</v>
      </c>
      <c r="CV9" s="9">
        <v>0</v>
      </c>
      <c r="CW9">
        <v>0.06</v>
      </c>
      <c r="CX9">
        <v>70.53406811889252</v>
      </c>
      <c r="CY9">
        <v>4633962.2641509427</v>
      </c>
      <c r="CZ9">
        <v>0</v>
      </c>
      <c r="DA9">
        <v>24.893855678598957</v>
      </c>
      <c r="DB9">
        <v>13129834.695755554</v>
      </c>
      <c r="DC9">
        <v>0</v>
      </c>
      <c r="DD9">
        <v>13.532069329891799</v>
      </c>
      <c r="DE9">
        <v>24153897.089338478</v>
      </c>
      <c r="DF9">
        <v>0</v>
      </c>
      <c r="DG9">
        <v>9.0408677549918828</v>
      </c>
      <c r="DH9">
        <v>36152747.596548982</v>
      </c>
      <c r="DI9">
        <v>0</v>
      </c>
      <c r="DJ9">
        <v>5.8013976233214226</v>
      </c>
      <c r="DK9">
        <v>56340253.025592513</v>
      </c>
      <c r="DL9">
        <v>0</v>
      </c>
      <c r="DM9">
        <v>4912000</v>
      </c>
      <c r="DN9">
        <v>0</v>
      </c>
      <c r="DO9">
        <v>326852210</v>
      </c>
      <c r="DP9">
        <v>204958010</v>
      </c>
      <c r="DQ9">
        <v>8</v>
      </c>
      <c r="DR9">
        <v>-0.47879695540646161</v>
      </c>
      <c r="DS9">
        <v>-0.1242</v>
      </c>
      <c r="DT9">
        <v>-0.44</v>
      </c>
      <c r="DU9">
        <v>-0.22</v>
      </c>
      <c r="DV9">
        <v>-0.66</v>
      </c>
      <c r="DW9">
        <v>8.9562289562289568</v>
      </c>
      <c r="DX9">
        <v>0.82168592611327795</v>
      </c>
      <c r="DY9">
        <v>8.4319151616706112</v>
      </c>
      <c r="DZ9">
        <v>0</v>
      </c>
      <c r="EA9">
        <v>8.4319151616706112</v>
      </c>
      <c r="EB9">
        <v>8</v>
      </c>
      <c r="EC9">
        <v>0.39474341885002195</v>
      </c>
      <c r="ED9">
        <v>0.87393340378513917</v>
      </c>
      <c r="EE9">
        <v>0</v>
      </c>
      <c r="EF9">
        <v>0</v>
      </c>
      <c r="EG9">
        <v>37.451685926113278</v>
      </c>
      <c r="EH9" t="s">
        <v>86</v>
      </c>
      <c r="EI9">
        <v>0</v>
      </c>
      <c r="EJ9">
        <v>0</v>
      </c>
      <c r="EK9">
        <v>0</v>
      </c>
      <c r="EL9">
        <v>0</v>
      </c>
      <c r="EM9">
        <v>0</v>
      </c>
      <c r="EN9">
        <v>0</v>
      </c>
      <c r="EO9">
        <v>0</v>
      </c>
      <c r="EP9">
        <v>0</v>
      </c>
    </row>
    <row r="10" spans="1:146" ht="108" x14ac:dyDescent="0.25">
      <c r="A10" s="7"/>
      <c r="B10" s="7"/>
      <c r="C10" s="7" t="str">
        <f>""&amp;CHAR(10)&amp;Basic_Fundamental_Information_Constructure(F10)&amp;CHAR(10)&amp;Basic_Fundamental_Information_Concatenate("")</f>
        <v xml:space="preserve">
市值6.2419892亿, 利润-1300.86万; PE18.59; 平均PE.97, PB1.28; ROIC8.4567%; ROE10.24%; 股利率2.71%; 毛利68.0933%; 净利15.19%; 上一年度营收增-85.97%, 利润增-129.27%; 当季营收增-69.5%, 利润增-749.6%; 过往5年营收增0%, 利润增0%
Income profile:
</v>
      </c>
      <c r="D10">
        <v>430476</v>
      </c>
      <c r="E10" t="s">
        <v>843</v>
      </c>
      <c r="F10">
        <v>7.38</v>
      </c>
      <c r="G10" s="5">
        <v>-2.25</v>
      </c>
      <c r="H10" t="s">
        <v>2776</v>
      </c>
      <c r="I10">
        <v>624198920</v>
      </c>
      <c r="J10">
        <v>18.59</v>
      </c>
      <c r="K10">
        <v>1.28</v>
      </c>
      <c r="L10" t="s">
        <v>2604</v>
      </c>
      <c r="M10" t="s">
        <v>166</v>
      </c>
      <c r="N10" t="s">
        <v>478</v>
      </c>
      <c r="O10" t="s">
        <v>2777</v>
      </c>
      <c r="P10">
        <v>-22.56</v>
      </c>
      <c r="Q10" t="s">
        <v>2777</v>
      </c>
      <c r="R10">
        <v>-13008577</v>
      </c>
      <c r="S10" s="5">
        <v>-7.4960000000000004</v>
      </c>
      <c r="T10" t="s">
        <v>2778</v>
      </c>
      <c r="U10">
        <v>59206860</v>
      </c>
      <c r="V10">
        <v>84579800</v>
      </c>
      <c r="W10">
        <v>1.18</v>
      </c>
      <c r="X10">
        <v>7.0000000000000007E-2</v>
      </c>
      <c r="Y10">
        <v>-40.04</v>
      </c>
      <c r="Z10" t="s">
        <v>2779</v>
      </c>
      <c r="AA10" t="s">
        <v>2780</v>
      </c>
      <c r="AB10" t="s">
        <v>2781</v>
      </c>
      <c r="AC10" t="s">
        <v>2782</v>
      </c>
      <c r="AD10" t="s">
        <v>2783</v>
      </c>
      <c r="AE10">
        <v>178456</v>
      </c>
      <c r="AF10" t="s">
        <v>2784</v>
      </c>
      <c r="AG10">
        <v>3406.52</v>
      </c>
      <c r="AH10" t="s">
        <v>2785</v>
      </c>
      <c r="AI10" t="s">
        <v>238</v>
      </c>
      <c r="AJ10" t="s">
        <v>9</v>
      </c>
      <c r="AK10" t="s">
        <v>2786</v>
      </c>
      <c r="AL10" t="s">
        <v>2787</v>
      </c>
      <c r="AM10" t="s">
        <v>9</v>
      </c>
      <c r="AN10">
        <v>0</v>
      </c>
      <c r="AO10" t="s">
        <v>9</v>
      </c>
      <c r="AP10" t="s">
        <v>9</v>
      </c>
      <c r="AQ10" t="s">
        <v>2788</v>
      </c>
      <c r="AR10" t="s">
        <v>2789</v>
      </c>
      <c r="AS10" t="s">
        <v>2790</v>
      </c>
      <c r="AT10" t="s">
        <v>2791</v>
      </c>
      <c r="AU10" t="s">
        <v>2792</v>
      </c>
      <c r="AV10" t="s">
        <v>2793</v>
      </c>
      <c r="AW10" t="s">
        <v>2794</v>
      </c>
      <c r="AX10" t="s">
        <v>174</v>
      </c>
      <c r="AY10" t="s">
        <v>332</v>
      </c>
      <c r="AZ10" t="s">
        <v>315</v>
      </c>
      <c r="BA10" t="s">
        <v>171</v>
      </c>
      <c r="BB10" t="s">
        <v>275</v>
      </c>
      <c r="BC10" t="s">
        <v>2795</v>
      </c>
      <c r="BD10" t="s">
        <v>845</v>
      </c>
      <c r="BE10" t="s">
        <v>846</v>
      </c>
      <c r="BF10" t="s">
        <v>847</v>
      </c>
      <c r="BG10" t="s">
        <v>848</v>
      </c>
      <c r="BH10" t="s">
        <v>382</v>
      </c>
      <c r="BI10" t="s">
        <v>225</v>
      </c>
      <c r="BJ10" t="s">
        <v>174</v>
      </c>
      <c r="BK10" t="s">
        <v>2796</v>
      </c>
      <c r="BL10" t="s">
        <v>850</v>
      </c>
      <c r="BM10" t="s">
        <v>2795</v>
      </c>
      <c r="BN10">
        <v>2.3199999999999998</v>
      </c>
      <c r="BO10">
        <v>8.8699999999999992</v>
      </c>
      <c r="BP10">
        <v>14.18</v>
      </c>
      <c r="BQ10">
        <v>3.5</v>
      </c>
      <c r="BR10">
        <v>11.17</v>
      </c>
      <c r="BS10">
        <v>16.05</v>
      </c>
      <c r="BT10" t="s">
        <v>851</v>
      </c>
      <c r="BU10" t="s">
        <v>844</v>
      </c>
      <c r="BV10">
        <v>68.14</v>
      </c>
      <c r="BW10">
        <v>69.260000000000005</v>
      </c>
      <c r="BX10">
        <v>66.88</v>
      </c>
      <c r="BY10">
        <v>11.16</v>
      </c>
      <c r="BZ10">
        <v>13.69</v>
      </c>
      <c r="CA10">
        <v>20.72</v>
      </c>
      <c r="CB10">
        <v>-4.53</v>
      </c>
      <c r="CC10">
        <v>-19.96</v>
      </c>
      <c r="CD10" t="s">
        <v>2797</v>
      </c>
      <c r="CE10" t="s">
        <v>2798</v>
      </c>
      <c r="CF10" s="8">
        <v>-0.6949909090909091</v>
      </c>
      <c r="CG10" s="9">
        <v>-7.4960000000000004</v>
      </c>
      <c r="CH10" s="8">
        <v>-0.85971707105636597</v>
      </c>
      <c r="CI10" s="8">
        <v>0.16194331645965576</v>
      </c>
      <c r="CJ10" s="8">
        <v>0.17619048058986664</v>
      </c>
      <c r="CK10" s="8">
        <v>6.5989844501018524E-2</v>
      </c>
      <c r="CL10" s="8">
        <v>5.9139784425497055E-2</v>
      </c>
      <c r="CM10" s="9">
        <v>-1.2927010059356689</v>
      </c>
      <c r="CN10" s="9">
        <v>-0.16740883886814117</v>
      </c>
      <c r="CO10" s="9">
        <v>0.68056130409240723</v>
      </c>
      <c r="CP10" s="9">
        <v>0.1448482871055603</v>
      </c>
      <c r="CQ10" s="9">
        <v>0.35088470578193665</v>
      </c>
      <c r="CR10">
        <v>0.96925513861133339</v>
      </c>
      <c r="CS10" t="e">
        <v>#DIV/0!</v>
      </c>
      <c r="CT10">
        <v>2.7100271002710028</v>
      </c>
      <c r="CU10" s="8">
        <v>0</v>
      </c>
      <c r="CV10" s="9">
        <v>0</v>
      </c>
      <c r="CW10">
        <v>0.06</v>
      </c>
      <c r="CX10" t="e">
        <v>#VALUE!</v>
      </c>
      <c r="CY10" t="s">
        <v>85</v>
      </c>
      <c r="CZ10">
        <v>0</v>
      </c>
      <c r="DA10" t="e">
        <v>#VALUE!</v>
      </c>
      <c r="DB10" t="s">
        <v>84</v>
      </c>
      <c r="DC10">
        <v>0</v>
      </c>
      <c r="DD10" t="e">
        <v>#VALUE!</v>
      </c>
      <c r="DE10" t="s">
        <v>84</v>
      </c>
      <c r="DF10">
        <v>0</v>
      </c>
      <c r="DG10" t="e">
        <v>#VALUE!</v>
      </c>
      <c r="DH10" t="s">
        <v>84</v>
      </c>
      <c r="DI10">
        <v>0</v>
      </c>
      <c r="DJ10" t="e">
        <v>#VALUE!</v>
      </c>
      <c r="DK10" t="s">
        <v>84</v>
      </c>
      <c r="DL10">
        <v>0</v>
      </c>
      <c r="DM10">
        <v>-13008599.999999998</v>
      </c>
      <c r="DN10">
        <v>0</v>
      </c>
      <c r="DO10">
        <v>242198920</v>
      </c>
      <c r="DP10">
        <v>206031510</v>
      </c>
      <c r="DQ10">
        <v>9</v>
      </c>
      <c r="DR10">
        <v>-0.6949909090909091</v>
      </c>
      <c r="DS10">
        <v>-7.4960000000000004</v>
      </c>
      <c r="DT10">
        <v>-0.44</v>
      </c>
      <c r="DU10" t="e">
        <v>#VALUE!</v>
      </c>
      <c r="DV10" t="e">
        <v>#VALUE!</v>
      </c>
      <c r="DW10">
        <v>-8.2269539078156306</v>
      </c>
      <c r="DX10">
        <v>0.17489846224400613</v>
      </c>
      <c r="DY10">
        <v>-8.0238071159301274</v>
      </c>
      <c r="DZ10">
        <v>0</v>
      </c>
      <c r="EA10">
        <v>-8.0238071159301274</v>
      </c>
      <c r="EB10">
        <v>8</v>
      </c>
      <c r="EC10">
        <v>1.7307915128671383E-2</v>
      </c>
      <c r="ED10">
        <v>0.16499684321788419</v>
      </c>
      <c r="EE10">
        <v>0</v>
      </c>
      <c r="EF10">
        <v>0</v>
      </c>
      <c r="EG10">
        <v>7.1048984622440061</v>
      </c>
      <c r="EH10" t="s">
        <v>86</v>
      </c>
      <c r="EI10">
        <v>0</v>
      </c>
      <c r="EJ10">
        <v>0</v>
      </c>
      <c r="EK10">
        <v>0</v>
      </c>
      <c r="EL10">
        <v>0</v>
      </c>
      <c r="EM10">
        <v>0</v>
      </c>
      <c r="EN10">
        <v>0</v>
      </c>
      <c r="EO10">
        <v>0</v>
      </c>
      <c r="EP10">
        <v>0</v>
      </c>
    </row>
    <row r="11" spans="1:146" ht="108" x14ac:dyDescent="0.25">
      <c r="A11" s="7"/>
      <c r="B11" s="7"/>
      <c r="C11" s="7" t="str">
        <f>""&amp;CHAR(10)&amp;Basic_Fundamental_Information_Constructure(F11)&amp;CHAR(10)&amp;Basic_Fundamental_Information_Concatenate("")</f>
        <v xml:space="preserve">
市值6.6115308亿, 利润1245.59万; PE14.02; 平均PE.74, PB1.41; ROIC12.1267%; ROE14.94%; 股利率3.4014%; 毛利35.4567%; 净利17.5967%; 上一年度营收增-72.96%, 利润增-77.97%; 当季营收增-43.07%, 利润增-10.23%; 过往5年营收增0%, 利润增0%
Income profile:
</v>
      </c>
      <c r="D11">
        <v>430478</v>
      </c>
      <c r="E11" t="s">
        <v>852</v>
      </c>
      <c r="F11">
        <v>11.76</v>
      </c>
      <c r="G11" s="5">
        <v>-2.57</v>
      </c>
      <c r="H11" t="s">
        <v>2799</v>
      </c>
      <c r="I11">
        <v>661153080</v>
      </c>
      <c r="J11">
        <v>14.02</v>
      </c>
      <c r="K11">
        <v>1.41</v>
      </c>
      <c r="L11" t="s">
        <v>2604</v>
      </c>
      <c r="M11" t="s">
        <v>2800</v>
      </c>
      <c r="N11" t="s">
        <v>688</v>
      </c>
      <c r="O11" t="s">
        <v>2801</v>
      </c>
      <c r="P11">
        <v>5.04</v>
      </c>
      <c r="Q11" t="s">
        <v>2801</v>
      </c>
      <c r="R11">
        <v>12455924</v>
      </c>
      <c r="S11" s="5">
        <v>-0.1023</v>
      </c>
      <c r="T11" t="s">
        <v>2802</v>
      </c>
      <c r="U11">
        <v>19217524</v>
      </c>
      <c r="V11">
        <v>40157500</v>
      </c>
      <c r="W11">
        <v>1.1100000000000001</v>
      </c>
      <c r="X11">
        <v>0.13</v>
      </c>
      <c r="Y11">
        <v>16.64</v>
      </c>
      <c r="Z11" t="s">
        <v>2803</v>
      </c>
      <c r="AA11" t="s">
        <v>2804</v>
      </c>
      <c r="AB11" t="s">
        <v>2805</v>
      </c>
      <c r="AC11" t="s">
        <v>2806</v>
      </c>
      <c r="AD11" t="s">
        <v>2807</v>
      </c>
      <c r="AE11">
        <v>611906</v>
      </c>
      <c r="AF11" t="s">
        <v>2808</v>
      </c>
      <c r="AG11" t="s">
        <v>9</v>
      </c>
      <c r="AH11" t="s">
        <v>2809</v>
      </c>
      <c r="AI11" t="s">
        <v>2810</v>
      </c>
      <c r="AJ11" t="s">
        <v>9</v>
      </c>
      <c r="AK11" t="s">
        <v>2811</v>
      </c>
      <c r="AL11" t="s">
        <v>2812</v>
      </c>
      <c r="AM11" t="s">
        <v>9</v>
      </c>
      <c r="AN11" t="s">
        <v>2813</v>
      </c>
      <c r="AO11" t="s">
        <v>9</v>
      </c>
      <c r="AP11" t="s">
        <v>2814</v>
      </c>
      <c r="AQ11" t="s">
        <v>2815</v>
      </c>
      <c r="AR11" t="s">
        <v>9</v>
      </c>
      <c r="AS11" t="s">
        <v>2816</v>
      </c>
      <c r="AT11" t="s">
        <v>9</v>
      </c>
      <c r="AU11" t="s">
        <v>2817</v>
      </c>
      <c r="AV11" t="s">
        <v>2818</v>
      </c>
      <c r="AW11" t="s">
        <v>2819</v>
      </c>
      <c r="AX11" t="s">
        <v>543</v>
      </c>
      <c r="AY11" t="s">
        <v>333</v>
      </c>
      <c r="AZ11" t="s">
        <v>416</v>
      </c>
      <c r="BA11" t="s">
        <v>114</v>
      </c>
      <c r="BB11" t="s">
        <v>411</v>
      </c>
      <c r="BC11" t="s">
        <v>2820</v>
      </c>
      <c r="BD11" t="s">
        <v>854</v>
      </c>
      <c r="BE11" t="s">
        <v>855</v>
      </c>
      <c r="BF11" t="s">
        <v>856</v>
      </c>
      <c r="BG11" t="s">
        <v>857</v>
      </c>
      <c r="BH11" t="s">
        <v>1000</v>
      </c>
      <c r="BI11" t="s">
        <v>21</v>
      </c>
      <c r="BJ11" t="s">
        <v>543</v>
      </c>
      <c r="BK11" t="s">
        <v>2821</v>
      </c>
      <c r="BL11" t="s">
        <v>858</v>
      </c>
      <c r="BM11" t="s">
        <v>2820</v>
      </c>
      <c r="BN11">
        <v>9.36</v>
      </c>
      <c r="BO11">
        <v>17.07</v>
      </c>
      <c r="BP11">
        <v>9.9499999999999993</v>
      </c>
      <c r="BQ11">
        <v>10.050000000000001</v>
      </c>
      <c r="BR11">
        <v>19.829999999999998</v>
      </c>
      <c r="BS11" t="s">
        <v>9</v>
      </c>
      <c r="BT11" t="s">
        <v>2773</v>
      </c>
      <c r="BU11" t="s">
        <v>853</v>
      </c>
      <c r="BV11">
        <v>35.94</v>
      </c>
      <c r="BW11">
        <v>37.25</v>
      </c>
      <c r="BX11">
        <v>33.18</v>
      </c>
      <c r="BY11">
        <v>19.47</v>
      </c>
      <c r="BZ11">
        <v>20.3</v>
      </c>
      <c r="CA11">
        <v>13.02</v>
      </c>
      <c r="CB11">
        <v>0.26</v>
      </c>
      <c r="CC11">
        <v>-10.029999999999999</v>
      </c>
      <c r="CD11" t="s">
        <v>2822</v>
      </c>
      <c r="CE11" t="s">
        <v>2823</v>
      </c>
      <c r="CF11" s="8">
        <v>-0.43069186991869918</v>
      </c>
      <c r="CG11" s="9">
        <v>-0.1023</v>
      </c>
      <c r="CH11" s="8">
        <v>-0.729633629322052</v>
      </c>
      <c r="CI11" s="8">
        <v>0.23923444747924805</v>
      </c>
      <c r="CJ11" s="8">
        <v>3.4653466194868088E-2</v>
      </c>
      <c r="CK11" s="8">
        <v>0.34666666388511658</v>
      </c>
      <c r="CL11" s="8">
        <v>0.32743361592292786</v>
      </c>
      <c r="CM11" s="9">
        <v>-0.77972286939620972</v>
      </c>
      <c r="CN11" s="9">
        <v>0.69699233770370483</v>
      </c>
      <c r="CO11" s="9">
        <v>-0.37311682105064392</v>
      </c>
      <c r="CP11" s="9">
        <v>0.65549290180206299</v>
      </c>
      <c r="CQ11" s="9">
        <v>1.489544153213501</v>
      </c>
      <c r="CR11">
        <v>0.74238817616142394</v>
      </c>
      <c r="CS11" t="e">
        <v>#DIV/0!</v>
      </c>
      <c r="CT11">
        <v>3.4013605442176873</v>
      </c>
      <c r="CU11" s="8">
        <v>0</v>
      </c>
      <c r="CV11" s="9">
        <v>0</v>
      </c>
      <c r="CW11">
        <v>0.06</v>
      </c>
      <c r="CX11">
        <v>21.136181632800522</v>
      </c>
      <c r="CY11">
        <v>11750849.056603773</v>
      </c>
      <c r="CZ11">
        <v>0</v>
      </c>
      <c r="DA11">
        <v>7.4596725978812248</v>
      </c>
      <c r="DB11">
        <v>33294769.54129919</v>
      </c>
      <c r="DC11">
        <v>0</v>
      </c>
      <c r="DD11">
        <v>4.0550089177067186</v>
      </c>
      <c r="DE11">
        <v>61249700.07229054</v>
      </c>
      <c r="DF11">
        <v>0</v>
      </c>
      <c r="DG11">
        <v>2.7091790971922505</v>
      </c>
      <c r="DH11">
        <v>91676508.303716302</v>
      </c>
      <c r="DI11">
        <v>0</v>
      </c>
      <c r="DJ11">
        <v>1.7384421055075274</v>
      </c>
      <c r="DK11">
        <v>142868191.7063269</v>
      </c>
      <c r="DL11">
        <v>0</v>
      </c>
      <c r="DM11">
        <v>12455900</v>
      </c>
      <c r="DN11">
        <v>0</v>
      </c>
      <c r="DO11">
        <v>248368080</v>
      </c>
      <c r="DP11">
        <v>311407310</v>
      </c>
      <c r="DQ11">
        <v>10</v>
      </c>
      <c r="DR11">
        <v>-0.43069186991869918</v>
      </c>
      <c r="DS11">
        <v>-0.1023</v>
      </c>
      <c r="DT11">
        <v>-0.44</v>
      </c>
      <c r="DU11">
        <v>-0.44</v>
      </c>
      <c r="DV11">
        <v>-0.88</v>
      </c>
      <c r="DW11">
        <v>-2.1002999999999998</v>
      </c>
      <c r="DX11">
        <v>0.32495075444087002</v>
      </c>
      <c r="DY11">
        <v>-2.0245685606704193</v>
      </c>
      <c r="DZ11">
        <v>0</v>
      </c>
      <c r="EA11">
        <v>-2.0245685606704193</v>
      </c>
      <c r="EB11">
        <v>2</v>
      </c>
      <c r="EC11">
        <v>0.11129178858245657</v>
      </c>
      <c r="ED11">
        <v>0.45434352238062631</v>
      </c>
      <c r="EE11">
        <v>0</v>
      </c>
      <c r="EF11">
        <v>0</v>
      </c>
      <c r="EG11">
        <v>8.24495075444087</v>
      </c>
      <c r="EH11" t="s">
        <v>86</v>
      </c>
      <c r="EI11">
        <v>0</v>
      </c>
      <c r="EJ11">
        <v>0</v>
      </c>
      <c r="EK11">
        <v>0</v>
      </c>
      <c r="EL11">
        <v>0</v>
      </c>
      <c r="EM11">
        <v>0</v>
      </c>
      <c r="EN11">
        <v>0</v>
      </c>
      <c r="EO11">
        <v>0</v>
      </c>
      <c r="EP11">
        <v>0</v>
      </c>
    </row>
    <row r="12" spans="1:146" ht="108" x14ac:dyDescent="0.25">
      <c r="A12" s="7"/>
      <c r="B12" s="7"/>
      <c r="C12" s="7" t="str">
        <f>""&amp;CHAR(10)&amp;Basic_Fundamental_Information_Constructure(F12)&amp;CHAR(10)&amp;Basic_Fundamental_Information_Concatenate("")</f>
        <v xml:space="preserve">
市值8.5150541亿, 利润1091.03万; PE41.81; 平均PE10.94, PB1.63; ROIC8.2567%; ROE10.5233%; 股利率3.2051%; 毛利17.7133%; 净利9.65%; 上一年度营收增-74.07%, 利润增-81.91%; 当季营收增-42.35%, 利润增-.07%; 过往5年营收增0%, 利润增0%
Income profile:
</v>
      </c>
      <c r="D12">
        <v>430489</v>
      </c>
      <c r="E12" t="s">
        <v>860</v>
      </c>
      <c r="F12">
        <v>6.24</v>
      </c>
      <c r="G12" s="5">
        <v>-0.48</v>
      </c>
      <c r="H12" t="s">
        <v>2824</v>
      </c>
      <c r="I12">
        <v>851505410</v>
      </c>
      <c r="J12">
        <v>41.81</v>
      </c>
      <c r="K12">
        <v>1.63</v>
      </c>
      <c r="L12" t="s">
        <v>2604</v>
      </c>
      <c r="M12" t="s">
        <v>2825</v>
      </c>
      <c r="N12" t="s">
        <v>634</v>
      </c>
      <c r="O12" t="s">
        <v>328</v>
      </c>
      <c r="P12">
        <v>18.43</v>
      </c>
      <c r="Q12" t="s">
        <v>328</v>
      </c>
      <c r="R12">
        <v>10910256</v>
      </c>
      <c r="S12" s="5">
        <v>-7.2999999999999996E-4</v>
      </c>
      <c r="T12" t="s">
        <v>2826</v>
      </c>
      <c r="U12">
        <v>85693749</v>
      </c>
      <c r="V12">
        <v>136459200</v>
      </c>
      <c r="W12">
        <v>1.96</v>
      </c>
      <c r="X12">
        <v>0.14000000000000001</v>
      </c>
      <c r="Y12">
        <v>7.41</v>
      </c>
      <c r="Z12" t="s">
        <v>300</v>
      </c>
      <c r="AA12" t="s">
        <v>160</v>
      </c>
      <c r="AB12" t="s">
        <v>2827</v>
      </c>
      <c r="AC12" t="s">
        <v>2828</v>
      </c>
      <c r="AD12" t="s">
        <v>2829</v>
      </c>
      <c r="AE12">
        <v>480442</v>
      </c>
      <c r="AF12" t="s">
        <v>2830</v>
      </c>
      <c r="AG12" t="s">
        <v>9</v>
      </c>
      <c r="AH12" t="s">
        <v>2831</v>
      </c>
      <c r="AI12" t="s">
        <v>328</v>
      </c>
      <c r="AJ12" t="s">
        <v>9</v>
      </c>
      <c r="AK12" t="s">
        <v>167</v>
      </c>
      <c r="AL12" t="s">
        <v>2832</v>
      </c>
      <c r="AM12" t="s">
        <v>9</v>
      </c>
      <c r="AN12" t="s">
        <v>18</v>
      </c>
      <c r="AO12" t="s">
        <v>83</v>
      </c>
      <c r="AP12" t="s">
        <v>2833</v>
      </c>
      <c r="AQ12" t="s">
        <v>241</v>
      </c>
      <c r="AR12" t="s">
        <v>9</v>
      </c>
      <c r="AS12" t="s">
        <v>251</v>
      </c>
      <c r="AT12" t="s">
        <v>239</v>
      </c>
      <c r="AU12" t="s">
        <v>2834</v>
      </c>
      <c r="AV12" t="s">
        <v>2835</v>
      </c>
      <c r="AW12" t="s">
        <v>2836</v>
      </c>
      <c r="AX12" t="s">
        <v>319</v>
      </c>
      <c r="AY12" t="s">
        <v>688</v>
      </c>
      <c r="AZ12" t="s">
        <v>130</v>
      </c>
      <c r="BA12" t="s">
        <v>164</v>
      </c>
      <c r="BB12" t="s">
        <v>258</v>
      </c>
      <c r="BC12" t="s">
        <v>862</v>
      </c>
      <c r="BD12" t="s">
        <v>864</v>
      </c>
      <c r="BE12" t="s">
        <v>865</v>
      </c>
      <c r="BF12" t="s">
        <v>866</v>
      </c>
      <c r="BG12" t="s">
        <v>867</v>
      </c>
      <c r="BH12" t="s">
        <v>2837</v>
      </c>
      <c r="BI12" t="s">
        <v>637</v>
      </c>
      <c r="BJ12" t="s">
        <v>319</v>
      </c>
      <c r="BK12" t="s">
        <v>2838</v>
      </c>
      <c r="BL12" t="s">
        <v>868</v>
      </c>
      <c r="BM12" t="s">
        <v>862</v>
      </c>
      <c r="BN12">
        <v>4.3</v>
      </c>
      <c r="BO12">
        <v>9.82</v>
      </c>
      <c r="BP12">
        <v>10.65</v>
      </c>
      <c r="BQ12">
        <v>5.77</v>
      </c>
      <c r="BR12">
        <v>12.13</v>
      </c>
      <c r="BS12">
        <v>13.67</v>
      </c>
      <c r="BT12" t="s">
        <v>851</v>
      </c>
      <c r="BU12" t="s">
        <v>861</v>
      </c>
      <c r="BV12">
        <v>14.35</v>
      </c>
      <c r="BW12">
        <v>15.83</v>
      </c>
      <c r="BX12">
        <v>22.96</v>
      </c>
      <c r="BY12">
        <v>3.79</v>
      </c>
      <c r="BZ12">
        <v>11.26</v>
      </c>
      <c r="CA12">
        <v>13.9</v>
      </c>
      <c r="CB12">
        <v>-3.55</v>
      </c>
      <c r="CC12">
        <v>7.4</v>
      </c>
      <c r="CD12" t="s">
        <v>2839</v>
      </c>
      <c r="CE12" t="s">
        <v>2840</v>
      </c>
      <c r="CF12" s="8">
        <v>-0.42352941176470582</v>
      </c>
      <c r="CG12" s="9">
        <v>-7.2999999999999996E-4</v>
      </c>
      <c r="CH12" s="8">
        <v>-0.74074071645736694</v>
      </c>
      <c r="CI12" s="8">
        <v>0.1837160736322403</v>
      </c>
      <c r="CJ12" s="8">
        <v>2.3263888359069824</v>
      </c>
      <c r="CK12" s="8">
        <v>-7.6923079788684845E-2</v>
      </c>
      <c r="CL12" s="8">
        <v>7.586207240819931E-2</v>
      </c>
      <c r="CM12" s="9">
        <v>-0.81906330585479736</v>
      </c>
      <c r="CN12" s="9">
        <v>-3.0843164771795273E-2</v>
      </c>
      <c r="CO12" s="9">
        <v>1.2627772092819214</v>
      </c>
      <c r="CP12" s="9">
        <v>-0.22992925345897675</v>
      </c>
      <c r="CQ12" s="9">
        <v>0.41130667924880981</v>
      </c>
      <c r="CR12">
        <v>10.944956707819072</v>
      </c>
      <c r="CS12" t="e">
        <v>#DIV/0!</v>
      </c>
      <c r="CT12">
        <v>3.2051282051282048</v>
      </c>
      <c r="CU12" s="8">
        <v>0</v>
      </c>
      <c r="CV12" s="9">
        <v>0</v>
      </c>
      <c r="CW12">
        <v>0.06</v>
      </c>
      <c r="CX12">
        <v>80.688499362987272</v>
      </c>
      <c r="CY12">
        <v>10292735.849056603</v>
      </c>
      <c r="CZ12">
        <v>0</v>
      </c>
      <c r="DA12">
        <v>28.477697538714825</v>
      </c>
      <c r="DB12">
        <v>29163362.272211283</v>
      </c>
      <c r="DC12">
        <v>0</v>
      </c>
      <c r="DD12">
        <v>15.480212564294359</v>
      </c>
      <c r="DE12">
        <v>53649483.594016612</v>
      </c>
      <c r="DF12">
        <v>0</v>
      </c>
      <c r="DG12">
        <v>10.342435528599832</v>
      </c>
      <c r="DH12">
        <v>80300757.757049754</v>
      </c>
      <c r="DI12">
        <v>0</v>
      </c>
      <c r="DJ12">
        <v>6.636595349140574</v>
      </c>
      <c r="DK12">
        <v>125140281.47091246</v>
      </c>
      <c r="DL12">
        <v>0</v>
      </c>
      <c r="DM12">
        <v>10910300</v>
      </c>
      <c r="DN12">
        <v>0</v>
      </c>
      <c r="DO12">
        <v>830505410</v>
      </c>
      <c r="DP12">
        <v>129788820</v>
      </c>
      <c r="DQ12">
        <v>11</v>
      </c>
      <c r="DR12">
        <v>-0.42352941176470582</v>
      </c>
      <c r="DS12">
        <v>-7.2999999999999996E-4</v>
      </c>
      <c r="DT12">
        <v>-0.44</v>
      </c>
      <c r="DU12">
        <v>-0.22</v>
      </c>
      <c r="DV12">
        <v>-0.66</v>
      </c>
      <c r="DW12">
        <v>-6.3242009132420094</v>
      </c>
      <c r="DX12">
        <v>0.33866330928096033</v>
      </c>
      <c r="DY12">
        <v>-6.0287447258399451</v>
      </c>
      <c r="DZ12">
        <v>0</v>
      </c>
      <c r="EA12">
        <v>-6.0287447258399451</v>
      </c>
      <c r="EB12">
        <v>6</v>
      </c>
      <c r="EC12">
        <v>6.0096351143785108E-2</v>
      </c>
      <c r="ED12">
        <v>0.67780406158031115</v>
      </c>
      <c r="EE12">
        <v>0</v>
      </c>
      <c r="EF12">
        <v>0</v>
      </c>
      <c r="EG12">
        <v>25.08866330928096</v>
      </c>
      <c r="EH12" t="s">
        <v>86</v>
      </c>
      <c r="EI12">
        <v>0</v>
      </c>
      <c r="EJ12">
        <v>0</v>
      </c>
      <c r="EK12">
        <v>0</v>
      </c>
      <c r="EL12">
        <v>0</v>
      </c>
      <c r="EM12">
        <v>0</v>
      </c>
      <c r="EN12">
        <v>0</v>
      </c>
      <c r="EO12">
        <v>0</v>
      </c>
      <c r="EP12">
        <v>0</v>
      </c>
    </row>
    <row r="13" spans="1:146" ht="96" x14ac:dyDescent="0.25">
      <c r="A13" s="7"/>
      <c r="B13" s="7"/>
      <c r="C13" s="7" t="str">
        <f>""&amp;CHAR(10)&amp;Basic_Fundamental_Information_Constructure(F13)&amp;CHAR(10)&amp;Basic_Fundamental_Information_Concatenate("")</f>
        <v xml:space="preserve">
市值20.092476亿, 利润572.87万; PE45.92; 平均PE22.25, PB4.63; ROIC12.27%; ROE13.21%; 股利率.7859%; 毛利34.26%; 净利21.5067%; 上一年度营收增-76.97%, 利润增-92.17%; 当季营收增-40.01%, 利润增333.3%; 过往5年营收增0%, 利润增0%
Income profile:
</v>
      </c>
      <c r="D13">
        <v>430510</v>
      </c>
      <c r="E13" t="s">
        <v>869</v>
      </c>
      <c r="F13">
        <v>15.27</v>
      </c>
      <c r="G13" s="5">
        <v>-0.84</v>
      </c>
      <c r="H13" t="s">
        <v>2841</v>
      </c>
      <c r="I13">
        <v>2009247600</v>
      </c>
      <c r="J13">
        <v>45.92</v>
      </c>
      <c r="K13">
        <v>4.63</v>
      </c>
      <c r="L13" t="s">
        <v>2604</v>
      </c>
      <c r="M13" t="s">
        <v>21</v>
      </c>
      <c r="N13" t="s">
        <v>628</v>
      </c>
      <c r="O13" t="s">
        <v>2842</v>
      </c>
      <c r="P13">
        <v>35.869999999999997</v>
      </c>
      <c r="Q13" t="s">
        <v>2842</v>
      </c>
      <c r="R13">
        <v>5728736</v>
      </c>
      <c r="S13" s="5">
        <v>3.3330000000000002</v>
      </c>
      <c r="T13" t="s">
        <v>2843</v>
      </c>
      <c r="U13">
        <v>62501343</v>
      </c>
      <c r="V13">
        <v>131581378</v>
      </c>
      <c r="W13">
        <v>1.27</v>
      </c>
      <c r="X13">
        <v>0.1</v>
      </c>
      <c r="Y13">
        <v>9.99</v>
      </c>
      <c r="Z13" t="s">
        <v>2844</v>
      </c>
      <c r="AA13" t="s">
        <v>2845</v>
      </c>
      <c r="AB13" t="s">
        <v>2846</v>
      </c>
      <c r="AC13" t="s">
        <v>2847</v>
      </c>
      <c r="AD13" t="s">
        <v>2848</v>
      </c>
      <c r="AE13">
        <v>1321374</v>
      </c>
      <c r="AF13" t="s">
        <v>17</v>
      </c>
      <c r="AG13">
        <v>779.11</v>
      </c>
      <c r="AH13" t="s">
        <v>2849</v>
      </c>
      <c r="AI13" t="s">
        <v>2850</v>
      </c>
      <c r="AJ13" t="s">
        <v>9</v>
      </c>
      <c r="AK13" t="s">
        <v>9</v>
      </c>
      <c r="AL13" t="s">
        <v>2851</v>
      </c>
      <c r="AM13" t="s">
        <v>9</v>
      </c>
      <c r="AN13" t="s">
        <v>2852</v>
      </c>
      <c r="AO13" t="s">
        <v>2853</v>
      </c>
      <c r="AP13" t="s">
        <v>9</v>
      </c>
      <c r="AQ13" t="s">
        <v>2854</v>
      </c>
      <c r="AR13" t="s">
        <v>9</v>
      </c>
      <c r="AS13" t="s">
        <v>2855</v>
      </c>
      <c r="AT13" t="s">
        <v>2856</v>
      </c>
      <c r="AU13" t="s">
        <v>2857</v>
      </c>
      <c r="AV13" t="s">
        <v>2858</v>
      </c>
      <c r="AW13" t="s">
        <v>2859</v>
      </c>
      <c r="AX13" t="s">
        <v>33</v>
      </c>
      <c r="AY13" t="s">
        <v>331</v>
      </c>
      <c r="AZ13" t="s">
        <v>377</v>
      </c>
      <c r="BA13" t="s">
        <v>233</v>
      </c>
      <c r="BB13" t="s">
        <v>377</v>
      </c>
      <c r="BC13" t="s">
        <v>871</v>
      </c>
      <c r="BD13" t="s">
        <v>872</v>
      </c>
      <c r="BE13" t="s">
        <v>873</v>
      </c>
      <c r="BF13" t="s">
        <v>874</v>
      </c>
      <c r="BG13" t="s">
        <v>875</v>
      </c>
      <c r="BH13" t="s">
        <v>100</v>
      </c>
      <c r="BI13" t="s">
        <v>876</v>
      </c>
      <c r="BJ13" t="s">
        <v>33</v>
      </c>
      <c r="BK13" t="s">
        <v>2860</v>
      </c>
      <c r="BL13" t="s">
        <v>877</v>
      </c>
      <c r="BM13" t="s">
        <v>871</v>
      </c>
      <c r="BN13">
        <v>3.46</v>
      </c>
      <c r="BO13">
        <v>18.48</v>
      </c>
      <c r="BP13">
        <v>14.87</v>
      </c>
      <c r="BQ13">
        <v>4.04</v>
      </c>
      <c r="BR13">
        <v>20.53</v>
      </c>
      <c r="BS13">
        <v>15.06</v>
      </c>
      <c r="BT13" t="s">
        <v>2861</v>
      </c>
      <c r="BU13" t="s">
        <v>870</v>
      </c>
      <c r="BV13">
        <v>35.340000000000003</v>
      </c>
      <c r="BW13">
        <v>30.69</v>
      </c>
      <c r="BX13">
        <v>36.75</v>
      </c>
      <c r="BY13">
        <v>16.850000000000001</v>
      </c>
      <c r="BZ13">
        <v>29.08</v>
      </c>
      <c r="CA13">
        <v>18.59</v>
      </c>
      <c r="CB13">
        <v>-2.12</v>
      </c>
      <c r="CC13">
        <v>-4.2</v>
      </c>
      <c r="CD13" t="s">
        <v>2862</v>
      </c>
      <c r="CE13" t="s">
        <v>2863</v>
      </c>
      <c r="CF13" s="8">
        <v>-0.40012091784594678</v>
      </c>
      <c r="CG13" s="9">
        <v>3.3330000000000002</v>
      </c>
      <c r="CH13" s="8">
        <v>-0.7696799635887146</v>
      </c>
      <c r="CI13" s="8">
        <v>-5.3231939673423767E-2</v>
      </c>
      <c r="CJ13" s="8">
        <v>0.43715846538543701</v>
      </c>
      <c r="CK13" s="8">
        <v>1.666666753590107E-2</v>
      </c>
      <c r="CL13" s="8">
        <v>-1.6393441706895828E-2</v>
      </c>
      <c r="CM13" s="9">
        <v>-0.92172235250473022</v>
      </c>
      <c r="CN13" s="9">
        <v>0.49578455090522766</v>
      </c>
      <c r="CO13" s="9">
        <v>0.46393212676048279</v>
      </c>
      <c r="CP13" s="9">
        <v>0.31057268381118774</v>
      </c>
      <c r="CQ13" s="9">
        <v>0.15621004998683929</v>
      </c>
      <c r="CR13">
        <v>22.253732541768592</v>
      </c>
      <c r="CS13" t="e">
        <v>#DIV/0!</v>
      </c>
      <c r="CT13">
        <v>0.78585461689587421</v>
      </c>
      <c r="CU13" s="8">
        <v>0</v>
      </c>
      <c r="CV13" s="9">
        <v>0</v>
      </c>
      <c r="CW13">
        <v>0.06</v>
      </c>
      <c r="CX13">
        <v>314.232278876534</v>
      </c>
      <c r="CY13">
        <v>5404433.9622641504</v>
      </c>
      <c r="CZ13">
        <v>0</v>
      </c>
      <c r="DA13">
        <v>110.90318775778162</v>
      </c>
      <c r="DB13">
        <v>15312883.554880872</v>
      </c>
      <c r="DC13">
        <v>0</v>
      </c>
      <c r="DD13">
        <v>60.285945456592749</v>
      </c>
      <c r="DE13">
        <v>28169875.86638708</v>
      </c>
      <c r="DF13">
        <v>0</v>
      </c>
      <c r="DG13">
        <v>40.277451073483888</v>
      </c>
      <c r="DH13">
        <v>42163730.691439368</v>
      </c>
      <c r="DI13">
        <v>0</v>
      </c>
      <c r="DJ13">
        <v>25.845473605355718</v>
      </c>
      <c r="DK13">
        <v>65707737.684794754</v>
      </c>
      <c r="DL13">
        <v>0</v>
      </c>
      <c r="DM13">
        <v>5728700</v>
      </c>
      <c r="DN13">
        <v>0</v>
      </c>
      <c r="DO13">
        <v>1698247600</v>
      </c>
      <c r="DP13">
        <v>87272260</v>
      </c>
      <c r="DQ13">
        <v>12</v>
      </c>
      <c r="DR13">
        <v>-0.40012091784594678</v>
      </c>
      <c r="DS13">
        <v>3.3330000000000002</v>
      </c>
      <c r="DT13">
        <v>-0.44</v>
      </c>
      <c r="DU13">
        <v>0.6</v>
      </c>
      <c r="DV13">
        <v>0.15999999999999998</v>
      </c>
      <c r="DW13">
        <v>-1.042</v>
      </c>
      <c r="DX13">
        <v>0.36428249273195545</v>
      </c>
      <c r="DY13">
        <v>-1.0056398646947422</v>
      </c>
      <c r="DZ13">
        <v>0</v>
      </c>
      <c r="EA13">
        <v>-1.0056398646947422</v>
      </c>
      <c r="EB13">
        <v>1</v>
      </c>
      <c r="EC13">
        <v>6.5256954521330512E-2</v>
      </c>
      <c r="ED13">
        <v>0.48596770281581941</v>
      </c>
      <c r="EE13">
        <v>0</v>
      </c>
      <c r="EF13">
        <v>0</v>
      </c>
      <c r="EG13">
        <v>23.134282492731955</v>
      </c>
      <c r="EH13" t="s">
        <v>86</v>
      </c>
      <c r="EI13">
        <v>0</v>
      </c>
      <c r="EJ13">
        <v>0</v>
      </c>
      <c r="EK13">
        <v>0</v>
      </c>
      <c r="EL13">
        <v>0</v>
      </c>
      <c r="EM13">
        <v>0</v>
      </c>
      <c r="EN13">
        <v>0</v>
      </c>
      <c r="EO13">
        <v>0</v>
      </c>
      <c r="EP13">
        <v>0</v>
      </c>
    </row>
    <row r="14" spans="1:146" ht="108" x14ac:dyDescent="0.25">
      <c r="A14" s="7"/>
      <c r="B14" s="7"/>
      <c r="C14" s="7" t="str">
        <f>""&amp;CHAR(10)&amp;Basic_Fundamental_Information_Constructure(F14)&amp;CHAR(10)&amp;Basic_Fundamental_Information_Concatenate("")</f>
        <v xml:space="preserve">
市值6.5655286亿, 利润485.08万; PE18.22; 平均PE-404.22, PB1.21; ROIC9.9233%; ROE8.94%; 股利率7.371%; 毛利35.1167%; 净利13.1167%; 上一年度营收增-80.28%, 利润增-88.72%; 当季营收增-59.25%, 利润增-38.89%; 过往5年营收增0%, 利润增0%
Income profile:
</v>
      </c>
      <c r="D14">
        <v>430556</v>
      </c>
      <c r="E14" t="s">
        <v>878</v>
      </c>
      <c r="F14">
        <v>4.07</v>
      </c>
      <c r="G14" s="5">
        <v>-2.16</v>
      </c>
      <c r="H14" t="s">
        <v>2864</v>
      </c>
      <c r="I14">
        <v>656552860</v>
      </c>
      <c r="J14">
        <v>18.22</v>
      </c>
      <c r="K14">
        <v>1.21</v>
      </c>
      <c r="L14" t="s">
        <v>2604</v>
      </c>
      <c r="M14" t="s">
        <v>94</v>
      </c>
      <c r="N14" t="s">
        <v>647</v>
      </c>
      <c r="O14" t="s">
        <v>2865</v>
      </c>
      <c r="P14">
        <v>-15.27</v>
      </c>
      <c r="Q14" t="s">
        <v>2865</v>
      </c>
      <c r="R14">
        <v>4850807</v>
      </c>
      <c r="S14" s="5">
        <v>-0.38890000000000002</v>
      </c>
      <c r="T14" t="s">
        <v>2866</v>
      </c>
      <c r="U14">
        <v>79826254</v>
      </c>
      <c r="V14">
        <v>161315200</v>
      </c>
      <c r="W14">
        <v>1.22</v>
      </c>
      <c r="X14">
        <v>0.09</v>
      </c>
      <c r="Y14">
        <v>7.64</v>
      </c>
      <c r="Z14" t="s">
        <v>2867</v>
      </c>
      <c r="AA14" t="s">
        <v>2868</v>
      </c>
      <c r="AB14" t="s">
        <v>2869</v>
      </c>
      <c r="AC14" t="s">
        <v>2870</v>
      </c>
      <c r="AD14" t="s">
        <v>2871</v>
      </c>
      <c r="AE14">
        <v>76594</v>
      </c>
      <c r="AF14" t="s">
        <v>2872</v>
      </c>
      <c r="AG14" t="s">
        <v>2873</v>
      </c>
      <c r="AH14" t="s">
        <v>2874</v>
      </c>
      <c r="AI14" t="s">
        <v>2875</v>
      </c>
      <c r="AJ14" t="s">
        <v>9</v>
      </c>
      <c r="AK14" t="s">
        <v>2876</v>
      </c>
      <c r="AL14" t="s">
        <v>2877</v>
      </c>
      <c r="AM14" t="s">
        <v>9</v>
      </c>
      <c r="AN14" t="s">
        <v>2878</v>
      </c>
      <c r="AO14" t="s">
        <v>2879</v>
      </c>
      <c r="AP14" t="s">
        <v>9</v>
      </c>
      <c r="AQ14" t="s">
        <v>2880</v>
      </c>
      <c r="AR14" t="s">
        <v>9</v>
      </c>
      <c r="AS14" t="s">
        <v>314</v>
      </c>
      <c r="AT14" t="s">
        <v>9</v>
      </c>
      <c r="AU14" t="s">
        <v>2881</v>
      </c>
      <c r="AV14" t="s">
        <v>2882</v>
      </c>
      <c r="AW14" t="s">
        <v>2883</v>
      </c>
      <c r="AX14" t="s">
        <v>155</v>
      </c>
      <c r="AY14" t="s">
        <v>107</v>
      </c>
      <c r="AZ14" t="s">
        <v>307</v>
      </c>
      <c r="BA14" t="s">
        <v>401</v>
      </c>
      <c r="BB14" t="s">
        <v>111</v>
      </c>
      <c r="BC14" t="s">
        <v>880</v>
      </c>
      <c r="BD14" t="s">
        <v>881</v>
      </c>
      <c r="BE14" t="s">
        <v>882</v>
      </c>
      <c r="BF14" t="s">
        <v>883</v>
      </c>
      <c r="BG14" t="s">
        <v>884</v>
      </c>
      <c r="BH14" t="s">
        <v>251</v>
      </c>
      <c r="BI14" t="s">
        <v>114</v>
      </c>
      <c r="BJ14" t="s">
        <v>155</v>
      </c>
      <c r="BK14" t="s">
        <v>2884</v>
      </c>
      <c r="BL14" t="s">
        <v>885</v>
      </c>
      <c r="BM14" t="s">
        <v>880</v>
      </c>
      <c r="BN14">
        <v>5.93</v>
      </c>
      <c r="BO14">
        <v>10.82</v>
      </c>
      <c r="BP14">
        <v>13.02</v>
      </c>
      <c r="BQ14">
        <v>6.19</v>
      </c>
      <c r="BR14">
        <v>11.69</v>
      </c>
      <c r="BS14" t="s">
        <v>9</v>
      </c>
      <c r="BT14" t="s">
        <v>859</v>
      </c>
      <c r="BU14" t="s">
        <v>879</v>
      </c>
      <c r="BV14">
        <v>34.799999999999997</v>
      </c>
      <c r="BW14">
        <v>33.299999999999997</v>
      </c>
      <c r="BX14">
        <v>37.25</v>
      </c>
      <c r="BY14">
        <v>11.85</v>
      </c>
      <c r="BZ14">
        <v>13.23</v>
      </c>
      <c r="CA14">
        <v>14.27</v>
      </c>
      <c r="CB14">
        <v>-1.45</v>
      </c>
      <c r="CC14">
        <v>-11.52</v>
      </c>
      <c r="CD14" t="s">
        <v>2885</v>
      </c>
      <c r="CE14" t="s">
        <v>2886</v>
      </c>
      <c r="CF14" s="8">
        <v>-0.59250933333333333</v>
      </c>
      <c r="CG14" s="9">
        <v>-0.38890000000000002</v>
      </c>
      <c r="CH14" s="8">
        <v>-0.80282711982727051</v>
      </c>
      <c r="CI14" s="8">
        <v>-4.3209876865148544E-2</v>
      </c>
      <c r="CJ14" s="8">
        <v>0.10958904027938843</v>
      </c>
      <c r="CK14" s="8">
        <v>0.23206751048564911</v>
      </c>
      <c r="CL14" s="8">
        <v>0.33146068453788757</v>
      </c>
      <c r="CM14" s="9">
        <v>-0.88719749450683594</v>
      </c>
      <c r="CN14" s="9">
        <v>-7.278219610452652E-2</v>
      </c>
      <c r="CO14" s="9">
        <v>-0.34157842397689819</v>
      </c>
      <c r="CP14" s="9">
        <v>0.50453579425811768</v>
      </c>
      <c r="CQ14" s="9">
        <v>1.4455211162567139</v>
      </c>
      <c r="CR14">
        <v>-404.22323968231166</v>
      </c>
      <c r="CS14" t="e">
        <v>#DIV/0!</v>
      </c>
      <c r="CT14">
        <v>7.3710073710073702</v>
      </c>
      <c r="CU14" s="8">
        <v>0</v>
      </c>
      <c r="CV14" s="9">
        <v>0</v>
      </c>
      <c r="CW14">
        <v>0.06</v>
      </c>
      <c r="CX14">
        <v>53.221330832027711</v>
      </c>
      <c r="CY14">
        <v>4576226.4150943393</v>
      </c>
      <c r="CZ14">
        <v>0</v>
      </c>
      <c r="DA14">
        <v>18.783605767956509</v>
      </c>
      <c r="DB14">
        <v>12966246.364448503</v>
      </c>
      <c r="DC14">
        <v>0</v>
      </c>
      <c r="DD14">
        <v>10.210594083899197</v>
      </c>
      <c r="DE14">
        <v>23852956.840586949</v>
      </c>
      <c r="DF14">
        <v>0</v>
      </c>
      <c r="DG14">
        <v>6.8217675036973269</v>
      </c>
      <c r="DH14">
        <v>35702310.269002408</v>
      </c>
      <c r="DI14">
        <v>0</v>
      </c>
      <c r="DJ14">
        <v>4.3774322172724363</v>
      </c>
      <c r="DK14">
        <v>55638293.84701632</v>
      </c>
      <c r="DL14">
        <v>0</v>
      </c>
      <c r="DM14">
        <v>4850800</v>
      </c>
      <c r="DN14">
        <v>0</v>
      </c>
      <c r="DO14">
        <v>243552860</v>
      </c>
      <c r="DP14">
        <v>423542190</v>
      </c>
      <c r="DQ14">
        <v>13</v>
      </c>
      <c r="DR14">
        <v>-0.59250933333333333</v>
      </c>
      <c r="DS14">
        <v>-0.38890000000000002</v>
      </c>
      <c r="DT14">
        <v>-0.44</v>
      </c>
      <c r="DU14">
        <v>-0.44</v>
      </c>
      <c r="DV14">
        <v>-0.88</v>
      </c>
      <c r="DW14">
        <v>-2.1152000000000002</v>
      </c>
      <c r="DX14">
        <v>0.23780255895918978</v>
      </c>
      <c r="DY14">
        <v>-2.0112668547920989</v>
      </c>
      <c r="DZ14">
        <v>0</v>
      </c>
      <c r="EA14">
        <v>-2.0112668547920989</v>
      </c>
      <c r="EB14">
        <v>2</v>
      </c>
      <c r="EC14">
        <v>2.6748874253635119E-2</v>
      </c>
      <c r="ED14">
        <v>0.27349871555811234</v>
      </c>
      <c r="EE14">
        <v>0</v>
      </c>
      <c r="EF14">
        <v>0</v>
      </c>
      <c r="EG14">
        <v>14.09780255895919</v>
      </c>
      <c r="EH14" t="s">
        <v>86</v>
      </c>
      <c r="EI14">
        <v>0</v>
      </c>
      <c r="EJ14">
        <v>0</v>
      </c>
      <c r="EK14">
        <v>0</v>
      </c>
      <c r="EL14">
        <v>0</v>
      </c>
      <c r="EM14">
        <v>0</v>
      </c>
      <c r="EN14">
        <v>0</v>
      </c>
      <c r="EO14">
        <v>0</v>
      </c>
      <c r="EP14">
        <v>0</v>
      </c>
    </row>
    <row r="15" spans="1:146" ht="108" x14ac:dyDescent="0.25">
      <c r="A15" s="7"/>
      <c r="B15" s="7"/>
      <c r="C15" s="7" t="str">
        <f>""&amp;CHAR(10)&amp;Basic_Fundamental_Information_Constructure(F15)&amp;CHAR(10)&amp;Basic_Fundamental_Information_Concatenate("")</f>
        <v xml:space="preserve">
市值6.1635498亿, 利润-639.33万; PE105.7; 平均PE1.93, PB1.96; ROIC22.65%; ROE14.84%; 股利率.6046%; 毛利31.4033%; 净利13.4233%; 上一年度营收增-93.17%, 利润增-114.69%; 当季营收增-74.71%, 利润增1.26%; 过往5年营收增0%, 利润增0%
Income profile:
</v>
      </c>
      <c r="D15">
        <v>430564</v>
      </c>
      <c r="E15" t="s">
        <v>887</v>
      </c>
      <c r="F15">
        <v>8.27</v>
      </c>
      <c r="G15" s="5">
        <v>-2.13</v>
      </c>
      <c r="H15" t="s">
        <v>2887</v>
      </c>
      <c r="I15">
        <v>616354980</v>
      </c>
      <c r="J15">
        <v>105.7</v>
      </c>
      <c r="K15">
        <v>1.96</v>
      </c>
      <c r="L15" t="s">
        <v>2604</v>
      </c>
      <c r="M15" t="s">
        <v>2888</v>
      </c>
      <c r="N15" t="s">
        <v>251</v>
      </c>
      <c r="O15" t="s">
        <v>2889</v>
      </c>
      <c r="P15">
        <v>74.739999999999995</v>
      </c>
      <c r="Q15" t="s">
        <v>2889</v>
      </c>
      <c r="R15">
        <v>-6393250</v>
      </c>
      <c r="S15" s="5">
        <v>1.26E-2</v>
      </c>
      <c r="T15" t="s">
        <v>2890</v>
      </c>
      <c r="U15">
        <v>20877635</v>
      </c>
      <c r="V15">
        <v>74529018</v>
      </c>
      <c r="W15">
        <v>1.22</v>
      </c>
      <c r="X15">
        <v>0.04</v>
      </c>
      <c r="Y15">
        <v>-41.96</v>
      </c>
      <c r="Z15" t="s">
        <v>2891</v>
      </c>
      <c r="AA15" t="s">
        <v>2892</v>
      </c>
      <c r="AB15" t="s">
        <v>2893</v>
      </c>
      <c r="AC15" t="s">
        <v>2894</v>
      </c>
      <c r="AD15" t="s">
        <v>2895</v>
      </c>
      <c r="AE15">
        <v>255007</v>
      </c>
      <c r="AF15" t="s">
        <v>2896</v>
      </c>
      <c r="AG15" t="s">
        <v>2897</v>
      </c>
      <c r="AH15" t="s">
        <v>2898</v>
      </c>
      <c r="AI15" t="s">
        <v>63</v>
      </c>
      <c r="AJ15" t="s">
        <v>9</v>
      </c>
      <c r="AK15" t="s">
        <v>9</v>
      </c>
      <c r="AL15" t="s">
        <v>2899</v>
      </c>
      <c r="AM15" t="s">
        <v>9</v>
      </c>
      <c r="AN15">
        <v>0</v>
      </c>
      <c r="AO15" t="s">
        <v>9</v>
      </c>
      <c r="AP15" t="s">
        <v>9</v>
      </c>
      <c r="AQ15" t="s">
        <v>2900</v>
      </c>
      <c r="AR15" t="s">
        <v>9</v>
      </c>
      <c r="AS15" t="s">
        <v>2901</v>
      </c>
      <c r="AT15" t="s">
        <v>9</v>
      </c>
      <c r="AU15" t="s">
        <v>2902</v>
      </c>
      <c r="AV15" t="s">
        <v>2903</v>
      </c>
      <c r="AW15" t="s">
        <v>2904</v>
      </c>
      <c r="AX15" t="s">
        <v>181</v>
      </c>
      <c r="AY15" t="s">
        <v>171</v>
      </c>
      <c r="AZ15" t="s">
        <v>241</v>
      </c>
      <c r="BA15" t="s">
        <v>90</v>
      </c>
      <c r="BB15" t="s">
        <v>889</v>
      </c>
      <c r="BC15" t="s">
        <v>2905</v>
      </c>
      <c r="BD15" t="s">
        <v>890</v>
      </c>
      <c r="BE15" t="s">
        <v>891</v>
      </c>
      <c r="BF15" t="s">
        <v>892</v>
      </c>
      <c r="BG15" t="s">
        <v>893</v>
      </c>
      <c r="BH15" t="s">
        <v>386</v>
      </c>
      <c r="BI15" t="s">
        <v>894</v>
      </c>
      <c r="BJ15" t="s">
        <v>181</v>
      </c>
      <c r="BK15" t="s">
        <v>2906</v>
      </c>
      <c r="BL15" t="s">
        <v>895</v>
      </c>
      <c r="BM15" t="s">
        <v>2905</v>
      </c>
      <c r="BN15" t="s">
        <v>9</v>
      </c>
      <c r="BO15">
        <v>18.55</v>
      </c>
      <c r="BP15">
        <v>26.75</v>
      </c>
      <c r="BQ15">
        <v>-2.68</v>
      </c>
      <c r="BR15">
        <v>19.22</v>
      </c>
      <c r="BS15">
        <v>27.98</v>
      </c>
      <c r="BT15" t="s">
        <v>985</v>
      </c>
      <c r="BU15" t="s">
        <v>888</v>
      </c>
      <c r="BV15">
        <v>25.67</v>
      </c>
      <c r="BW15">
        <v>33.49</v>
      </c>
      <c r="BX15">
        <v>35.049999999999997</v>
      </c>
      <c r="BY15">
        <v>3.7</v>
      </c>
      <c r="BZ15">
        <v>19.47</v>
      </c>
      <c r="CA15">
        <v>17.100000000000001</v>
      </c>
      <c r="CB15">
        <v>-4.9400000000000004</v>
      </c>
      <c r="CC15">
        <v>-3.39</v>
      </c>
      <c r="CD15" t="s">
        <v>2907</v>
      </c>
      <c r="CE15" t="s">
        <v>2908</v>
      </c>
      <c r="CF15" s="8">
        <v>-0.74707747472567609</v>
      </c>
      <c r="CG15" s="9">
        <v>1.26E-2</v>
      </c>
      <c r="CH15" s="8">
        <v>-0.93167799711227417</v>
      </c>
      <c r="CI15" s="8">
        <v>0.13197968900203705</v>
      </c>
      <c r="CJ15" s="8">
        <v>0.13872832059860229</v>
      </c>
      <c r="CK15" s="8">
        <v>0.46610170602798462</v>
      </c>
      <c r="CL15" s="8">
        <v>0.33989807963371277</v>
      </c>
      <c r="CM15" s="9">
        <v>-1.1469488143920898</v>
      </c>
      <c r="CN15" s="9">
        <v>0.28823748230934143</v>
      </c>
      <c r="CO15" s="9">
        <v>0.1519530862569809</v>
      </c>
      <c r="CP15" s="9">
        <v>0.95673733949661255</v>
      </c>
      <c r="CQ15" s="9">
        <v>0.32137155532836914</v>
      </c>
      <c r="CR15">
        <v>1.9255008742810278</v>
      </c>
      <c r="CS15" t="e">
        <v>#DIV/0!</v>
      </c>
      <c r="CT15">
        <v>0.60459492140266025</v>
      </c>
      <c r="CU15" s="8">
        <v>0</v>
      </c>
      <c r="CV15" s="9">
        <v>0</v>
      </c>
      <c r="CW15">
        <v>0.06</v>
      </c>
      <c r="CX15" t="e">
        <v>#VALUE!</v>
      </c>
      <c r="CY15" t="s">
        <v>85</v>
      </c>
      <c r="CZ15">
        <v>0</v>
      </c>
      <c r="DA15" t="e">
        <v>#VALUE!</v>
      </c>
      <c r="DB15" t="s">
        <v>84</v>
      </c>
      <c r="DC15">
        <v>0</v>
      </c>
      <c r="DD15" t="e">
        <v>#VALUE!</v>
      </c>
      <c r="DE15" t="s">
        <v>84</v>
      </c>
      <c r="DF15">
        <v>0</v>
      </c>
      <c r="DG15" t="e">
        <v>#VALUE!</v>
      </c>
      <c r="DH15" t="s">
        <v>84</v>
      </c>
      <c r="DI15">
        <v>0</v>
      </c>
      <c r="DJ15" t="e">
        <v>#VALUE!</v>
      </c>
      <c r="DK15" t="s">
        <v>84</v>
      </c>
      <c r="DL15">
        <v>0</v>
      </c>
      <c r="DM15">
        <v>-6393300</v>
      </c>
      <c r="DN15">
        <v>0</v>
      </c>
      <c r="DO15">
        <v>387185180</v>
      </c>
      <c r="DP15">
        <v>286918460</v>
      </c>
      <c r="DQ15">
        <v>14</v>
      </c>
      <c r="DR15">
        <v>-0.74707747472567609</v>
      </c>
      <c r="DS15">
        <v>1.26E-2</v>
      </c>
      <c r="DT15">
        <v>-0.44</v>
      </c>
      <c r="DU15" t="e">
        <v>#VALUE!</v>
      </c>
      <c r="DV15" t="e">
        <v>#VALUE!</v>
      </c>
      <c r="DW15">
        <v>-4.6862348178137649</v>
      </c>
      <c r="DX15">
        <v>0.35642531437827341</v>
      </c>
      <c r="DY15">
        <v>-4.1004821489356971</v>
      </c>
      <c r="DZ15">
        <v>0</v>
      </c>
      <c r="EA15">
        <v>-4.1004821489356971</v>
      </c>
      <c r="EB15">
        <v>4</v>
      </c>
      <c r="EC15">
        <v>0.10103715575589631</v>
      </c>
      <c r="ED15">
        <v>0.6900251926035037</v>
      </c>
      <c r="EE15">
        <v>0</v>
      </c>
      <c r="EF15">
        <v>0</v>
      </c>
      <c r="EG15">
        <v>21.146425314378273</v>
      </c>
      <c r="EH15" t="s">
        <v>86</v>
      </c>
      <c r="EI15">
        <v>0</v>
      </c>
      <c r="EJ15">
        <v>0</v>
      </c>
      <c r="EK15">
        <v>0</v>
      </c>
      <c r="EL15">
        <v>0</v>
      </c>
      <c r="EM15">
        <v>0</v>
      </c>
      <c r="EN15">
        <v>0</v>
      </c>
      <c r="EO15">
        <v>0</v>
      </c>
      <c r="EP15">
        <v>0</v>
      </c>
    </row>
    <row r="16" spans="1:146" ht="108" x14ac:dyDescent="0.25">
      <c r="A16" s="10"/>
      <c r="B16" s="10"/>
      <c r="C16" s="7" t="str">
        <f>""&amp;CHAR(10)&amp;Basic_Fundamental_Information_Constructure(F16)&amp;CHAR(10)&amp;Basic_Fundamental_Information_Concatenate("")</f>
        <v xml:space="preserve">
市值6.9643631亿, 利润293.57万; PE15.31; 平均PE116.56, PB1.29; ROIC17.72%; ROE18.3467%; 股利率5.2562%; 毛利65.3467%; 净利31.8267%; 上一年度营收增-85.56%, 利润增-92.68%; 当季营收增-68.84%, 利润增-81.25%; 过往5年营收增0%, 利润增0%
Income profile:
</v>
      </c>
      <c r="D16">
        <v>430685</v>
      </c>
      <c r="E16" t="s">
        <v>897</v>
      </c>
      <c r="F16">
        <v>7.61</v>
      </c>
      <c r="G16" s="5">
        <v>-1.17</v>
      </c>
      <c r="H16" t="s">
        <v>2909</v>
      </c>
      <c r="I16">
        <v>696436310</v>
      </c>
      <c r="J16">
        <v>15.31</v>
      </c>
      <c r="K16">
        <v>1.29</v>
      </c>
      <c r="L16" t="s">
        <v>2604</v>
      </c>
      <c r="M16" t="s">
        <v>2910</v>
      </c>
      <c r="N16" t="s">
        <v>102</v>
      </c>
      <c r="O16" t="s">
        <v>2911</v>
      </c>
      <c r="P16">
        <v>-43.28</v>
      </c>
      <c r="Q16" t="s">
        <v>2911</v>
      </c>
      <c r="R16">
        <v>2935721</v>
      </c>
      <c r="S16" s="5">
        <v>-0.8125</v>
      </c>
      <c r="T16" t="s">
        <v>2912</v>
      </c>
      <c r="U16">
        <v>44584441</v>
      </c>
      <c r="V16">
        <v>91515941</v>
      </c>
      <c r="W16">
        <v>1.1000000000000001</v>
      </c>
      <c r="X16">
        <v>0.04</v>
      </c>
      <c r="Y16">
        <v>11.42</v>
      </c>
      <c r="Z16" t="s">
        <v>2913</v>
      </c>
      <c r="AA16" t="s">
        <v>2914</v>
      </c>
      <c r="AB16" t="s">
        <v>2915</v>
      </c>
      <c r="AC16" t="s">
        <v>2916</v>
      </c>
      <c r="AD16" t="s">
        <v>2917</v>
      </c>
      <c r="AE16">
        <v>518651</v>
      </c>
      <c r="AF16" t="s">
        <v>2918</v>
      </c>
      <c r="AG16">
        <v>1154.45</v>
      </c>
      <c r="AH16" t="s">
        <v>2919</v>
      </c>
      <c r="AI16" t="s">
        <v>469</v>
      </c>
      <c r="AJ16" t="s">
        <v>9</v>
      </c>
      <c r="AK16" t="s">
        <v>2920</v>
      </c>
      <c r="AL16" t="s">
        <v>2921</v>
      </c>
      <c r="AM16" t="s">
        <v>9</v>
      </c>
      <c r="AN16" t="s">
        <v>2922</v>
      </c>
      <c r="AO16" t="s">
        <v>9</v>
      </c>
      <c r="AP16" t="s">
        <v>9</v>
      </c>
      <c r="AQ16" t="s">
        <v>2923</v>
      </c>
      <c r="AR16" t="s">
        <v>9</v>
      </c>
      <c r="AS16" t="s">
        <v>2924</v>
      </c>
      <c r="AT16" t="s">
        <v>9</v>
      </c>
      <c r="AU16" t="s">
        <v>2925</v>
      </c>
      <c r="AV16" t="s">
        <v>2926</v>
      </c>
      <c r="AW16" t="s">
        <v>2927</v>
      </c>
      <c r="AX16" t="s">
        <v>176</v>
      </c>
      <c r="AY16" t="s">
        <v>70</v>
      </c>
      <c r="AZ16" t="s">
        <v>535</v>
      </c>
      <c r="BA16" t="s">
        <v>435</v>
      </c>
      <c r="BB16" t="s">
        <v>899</v>
      </c>
      <c r="BC16" t="s">
        <v>898</v>
      </c>
      <c r="BD16" t="s">
        <v>900</v>
      </c>
      <c r="BE16" t="s">
        <v>901</v>
      </c>
      <c r="BF16" t="s">
        <v>902</v>
      </c>
      <c r="BG16" t="s">
        <v>903</v>
      </c>
      <c r="BH16" t="s">
        <v>378</v>
      </c>
      <c r="BI16" t="s">
        <v>904</v>
      </c>
      <c r="BJ16" t="s">
        <v>176</v>
      </c>
      <c r="BK16" t="s">
        <v>2928</v>
      </c>
      <c r="BL16" t="s">
        <v>905</v>
      </c>
      <c r="BM16" t="s">
        <v>898</v>
      </c>
      <c r="BN16">
        <v>7.3</v>
      </c>
      <c r="BO16">
        <v>12.32</v>
      </c>
      <c r="BP16">
        <v>33.54</v>
      </c>
      <c r="BQ16">
        <v>6.87</v>
      </c>
      <c r="BR16">
        <v>15.18</v>
      </c>
      <c r="BS16">
        <v>32.99</v>
      </c>
      <c r="BT16" t="s">
        <v>842</v>
      </c>
      <c r="BU16" t="s">
        <v>844</v>
      </c>
      <c r="BV16">
        <v>65.19</v>
      </c>
      <c r="BW16">
        <v>62.58</v>
      </c>
      <c r="BX16">
        <v>68.27</v>
      </c>
      <c r="BY16">
        <v>35.07</v>
      </c>
      <c r="BZ16">
        <v>26.32</v>
      </c>
      <c r="CA16">
        <v>34.090000000000003</v>
      </c>
      <c r="CB16">
        <v>-0.26</v>
      </c>
      <c r="CC16">
        <v>-13.52</v>
      </c>
      <c r="CD16" t="s">
        <v>2929</v>
      </c>
      <c r="CE16" t="s">
        <v>2930</v>
      </c>
      <c r="CF16" s="8">
        <v>-0.68838063772884373</v>
      </c>
      <c r="CG16" s="9">
        <v>-0.8125</v>
      </c>
      <c r="CH16" s="8">
        <v>-0.85564053058624268</v>
      </c>
      <c r="CI16" s="8">
        <v>0.130952388048172</v>
      </c>
      <c r="CJ16" s="8">
        <v>0.17482517659664154</v>
      </c>
      <c r="CK16" s="8">
        <v>0.18181818723678589</v>
      </c>
      <c r="CL16" s="8">
        <v>0.21600346267223358</v>
      </c>
      <c r="CM16" s="9">
        <v>-0.92675507068634033</v>
      </c>
      <c r="CN16" s="9">
        <v>-0.17210224270820618</v>
      </c>
      <c r="CO16" s="9">
        <v>0.31654089689254761</v>
      </c>
      <c r="CP16" s="9">
        <v>8.0270037055015564E-2</v>
      </c>
      <c r="CQ16" s="9">
        <v>0.46451234817504883</v>
      </c>
      <c r="CR16">
        <v>116.55642750748942</v>
      </c>
      <c r="CS16" t="e">
        <v>#DIV/0!</v>
      </c>
      <c r="CT16">
        <v>5.2562417871222076</v>
      </c>
      <c r="CU16" s="8">
        <v>0</v>
      </c>
      <c r="CV16" s="9">
        <v>0</v>
      </c>
      <c r="CW16">
        <v>0.06</v>
      </c>
      <c r="CX16">
        <v>61.800455291753245</v>
      </c>
      <c r="CY16">
        <v>2769528.3018867923</v>
      </c>
      <c r="CZ16">
        <v>0</v>
      </c>
      <c r="DA16">
        <v>21.811468641102511</v>
      </c>
      <c r="DB16">
        <v>7847161.1800345238</v>
      </c>
      <c r="DC16">
        <v>0</v>
      </c>
      <c r="DD16">
        <v>11.856512291581323</v>
      </c>
      <c r="DE16">
        <v>14435789.023854025</v>
      </c>
      <c r="DF16">
        <v>0</v>
      </c>
      <c r="DG16">
        <v>7.921416676962858</v>
      </c>
      <c r="DH16">
        <v>21607007.556838121</v>
      </c>
      <c r="DI16">
        <v>0</v>
      </c>
      <c r="DJ16">
        <v>5.0830616184709667</v>
      </c>
      <c r="DK16">
        <v>33672247.721342005</v>
      </c>
      <c r="DL16">
        <v>0</v>
      </c>
      <c r="DM16">
        <v>2935700</v>
      </c>
      <c r="DN16">
        <v>0</v>
      </c>
      <c r="DO16">
        <v>171158110</v>
      </c>
      <c r="DP16">
        <v>430312790</v>
      </c>
      <c r="DQ16">
        <v>15</v>
      </c>
      <c r="DR16">
        <v>-0.68838063772884373</v>
      </c>
      <c r="DS16">
        <v>-0.8125</v>
      </c>
      <c r="DT16">
        <v>-0.44</v>
      </c>
      <c r="DU16">
        <v>-0.44</v>
      </c>
      <c r="DV16">
        <v>-0.88</v>
      </c>
      <c r="DW16">
        <v>-2.1352000000000002</v>
      </c>
      <c r="DX16">
        <v>0.34532683686208387</v>
      </c>
      <c r="DY16">
        <v>-2.0115361883437535</v>
      </c>
      <c r="DZ16">
        <v>0</v>
      </c>
      <c r="EA16">
        <v>-2.0115361883437535</v>
      </c>
      <c r="EB16">
        <v>2</v>
      </c>
      <c r="EC16">
        <v>1.8447059403563365E-2</v>
      </c>
      <c r="ED16">
        <v>0.21619293626669916</v>
      </c>
      <c r="EE16">
        <v>0</v>
      </c>
      <c r="EF16">
        <v>0</v>
      </c>
      <c r="EG16">
        <v>26.085326836862084</v>
      </c>
      <c r="EH16" t="s">
        <v>86</v>
      </c>
      <c r="EI16">
        <v>0</v>
      </c>
      <c r="EJ16">
        <v>0</v>
      </c>
      <c r="EK16">
        <v>0</v>
      </c>
      <c r="EL16">
        <v>0</v>
      </c>
      <c r="EM16">
        <v>0</v>
      </c>
      <c r="EN16">
        <v>0</v>
      </c>
      <c r="EO16">
        <v>0</v>
      </c>
      <c r="EP16">
        <v>0</v>
      </c>
    </row>
    <row r="17" spans="1:146" ht="108" x14ac:dyDescent="0.25">
      <c r="A17" s="10"/>
      <c r="B17" s="10"/>
      <c r="C17" s="7" t="str">
        <f>""&amp;CHAR(10)&amp;Basic_Fundamental_Information_Constructure(F17)&amp;CHAR(10)&amp;Basic_Fundamental_Information_Concatenate("")</f>
        <v xml:space="preserve">
市值8.5680032亿, 利润2036.48万; PE12.41; 平均PE1.59, PB1.64; ROIC10.93%; ROE13.4233%; 股利率1.0582%; 毛利12.5433%; 净利5.3267%; 上一年度营收增-70.84%, 利润增-54.79%; 当季营收增-41.87%, 利润增47.65%; 过往5年营收增0%, 利润增0%
Income profile:
</v>
      </c>
      <c r="D17">
        <v>430718</v>
      </c>
      <c r="E17" t="s">
        <v>906</v>
      </c>
      <c r="F17">
        <v>9.4499999999999993</v>
      </c>
      <c r="G17" s="5">
        <v>-1.87</v>
      </c>
      <c r="H17" t="s">
        <v>2931</v>
      </c>
      <c r="I17">
        <v>856800320</v>
      </c>
      <c r="J17">
        <v>12.41</v>
      </c>
      <c r="K17">
        <v>1.64</v>
      </c>
      <c r="L17" t="s">
        <v>2604</v>
      </c>
      <c r="M17" t="s">
        <v>66</v>
      </c>
      <c r="N17" t="s">
        <v>279</v>
      </c>
      <c r="O17" t="s">
        <v>516</v>
      </c>
      <c r="P17">
        <v>31.98</v>
      </c>
      <c r="Q17" t="s">
        <v>516</v>
      </c>
      <c r="R17">
        <v>20364813</v>
      </c>
      <c r="S17" s="5">
        <v>0.47649999999999998</v>
      </c>
      <c r="T17" t="s">
        <v>2932</v>
      </c>
      <c r="U17">
        <v>24392100</v>
      </c>
      <c r="V17">
        <v>90666700</v>
      </c>
      <c r="W17">
        <v>1.59</v>
      </c>
      <c r="X17">
        <v>0.32</v>
      </c>
      <c r="Y17">
        <v>7.6</v>
      </c>
      <c r="Z17" t="s">
        <v>262</v>
      </c>
      <c r="AA17" t="s">
        <v>444</v>
      </c>
      <c r="AB17" t="s">
        <v>2933</v>
      </c>
      <c r="AC17" t="s">
        <v>2934</v>
      </c>
      <c r="AD17" t="s">
        <v>2515</v>
      </c>
      <c r="AE17">
        <v>314429</v>
      </c>
      <c r="AF17" t="s">
        <v>2935</v>
      </c>
      <c r="AG17">
        <v>2020</v>
      </c>
      <c r="AH17" t="s">
        <v>2936</v>
      </c>
      <c r="AI17" t="s">
        <v>2937</v>
      </c>
      <c r="AJ17" t="s">
        <v>9</v>
      </c>
      <c r="AK17" t="s">
        <v>167</v>
      </c>
      <c r="AL17" t="s">
        <v>2938</v>
      </c>
      <c r="AM17" t="s">
        <v>9</v>
      </c>
      <c r="AN17" t="s">
        <v>2939</v>
      </c>
      <c r="AO17" t="s">
        <v>2940</v>
      </c>
      <c r="AP17" t="s">
        <v>2941</v>
      </c>
      <c r="AQ17" t="s">
        <v>434</v>
      </c>
      <c r="AR17" t="s">
        <v>2942</v>
      </c>
      <c r="AS17" t="s">
        <v>681</v>
      </c>
      <c r="AT17" t="s">
        <v>9</v>
      </c>
      <c r="AU17" t="s">
        <v>2943</v>
      </c>
      <c r="AV17" t="s">
        <v>2944</v>
      </c>
      <c r="AW17" t="s">
        <v>2945</v>
      </c>
      <c r="AX17" t="s">
        <v>613</v>
      </c>
      <c r="AY17" t="s">
        <v>908</v>
      </c>
      <c r="AZ17" t="s">
        <v>508</v>
      </c>
      <c r="BA17" t="s">
        <v>492</v>
      </c>
      <c r="BB17" t="s">
        <v>607</v>
      </c>
      <c r="BC17" t="s">
        <v>2946</v>
      </c>
      <c r="BD17" t="s">
        <v>909</v>
      </c>
      <c r="BE17" t="s">
        <v>910</v>
      </c>
      <c r="BF17" t="s">
        <v>911</v>
      </c>
      <c r="BG17" t="s">
        <v>912</v>
      </c>
      <c r="BH17" t="s">
        <v>2947</v>
      </c>
      <c r="BI17" t="s">
        <v>361</v>
      </c>
      <c r="BJ17" t="s">
        <v>613</v>
      </c>
      <c r="BK17" t="s">
        <v>2948</v>
      </c>
      <c r="BL17" t="s">
        <v>913</v>
      </c>
      <c r="BM17" t="s">
        <v>2946</v>
      </c>
      <c r="BN17">
        <v>9.06</v>
      </c>
      <c r="BO17">
        <v>10.66</v>
      </c>
      <c r="BP17">
        <v>13.07</v>
      </c>
      <c r="BQ17">
        <v>9.7200000000000006</v>
      </c>
      <c r="BR17">
        <v>14.61</v>
      </c>
      <c r="BS17">
        <v>15.94</v>
      </c>
      <c r="BT17" t="s">
        <v>886</v>
      </c>
      <c r="BU17" t="s">
        <v>907</v>
      </c>
      <c r="BV17">
        <v>13.52</v>
      </c>
      <c r="BW17">
        <v>11.61</v>
      </c>
      <c r="BX17">
        <v>12.5</v>
      </c>
      <c r="BY17">
        <v>5.95</v>
      </c>
      <c r="BZ17">
        <v>4.9000000000000004</v>
      </c>
      <c r="CA17">
        <v>5.13</v>
      </c>
      <c r="CB17">
        <v>-12.5</v>
      </c>
      <c r="CC17">
        <v>-12.58</v>
      </c>
      <c r="CD17" t="s">
        <v>2949</v>
      </c>
      <c r="CE17" t="s">
        <v>2950</v>
      </c>
      <c r="CF17" s="8">
        <v>-0.41865509761388287</v>
      </c>
      <c r="CG17" s="9">
        <v>0.47649999999999998</v>
      </c>
      <c r="CH17" s="8">
        <v>-0.70837867259979248</v>
      </c>
      <c r="CI17" s="8">
        <v>6.9848664104938507E-2</v>
      </c>
      <c r="CJ17" s="8">
        <v>0.35275590419769287</v>
      </c>
      <c r="CK17" s="8">
        <v>0.24266144633293152</v>
      </c>
      <c r="CL17" s="8">
        <v>5.1440328359603882E-2</v>
      </c>
      <c r="CM17" s="9">
        <v>-0.5479280948638916</v>
      </c>
      <c r="CN17" s="9">
        <v>2.3513615131378174E-2</v>
      </c>
      <c r="CO17" s="9">
        <v>1.1222033500671387</v>
      </c>
      <c r="CP17" s="9">
        <v>1.7724998295307159E-2</v>
      </c>
      <c r="CQ17" s="9">
        <v>0.31076890230178833</v>
      </c>
      <c r="CR17">
        <v>1.5874684408624997</v>
      </c>
      <c r="CS17" t="e">
        <v>#DIV/0!</v>
      </c>
      <c r="CT17">
        <v>1.0582010582010584</v>
      </c>
      <c r="CU17" s="8">
        <v>0</v>
      </c>
      <c r="CV17" s="9">
        <v>0</v>
      </c>
      <c r="CW17">
        <v>0.06</v>
      </c>
      <c r="CX17">
        <v>34.343000628535513</v>
      </c>
      <c r="CY17">
        <v>19212075.471698113</v>
      </c>
      <c r="CZ17">
        <v>0</v>
      </c>
      <c r="DA17">
        <v>12.120805222459639</v>
      </c>
      <c r="DB17">
        <v>54435353.748396322</v>
      </c>
      <c r="DC17">
        <v>0</v>
      </c>
      <c r="DD17">
        <v>6.5887574316358197</v>
      </c>
      <c r="DE17">
        <v>100140326.43423457</v>
      </c>
      <c r="DF17">
        <v>0</v>
      </c>
      <c r="DG17">
        <v>4.4019937495853574</v>
      </c>
      <c r="DH17">
        <v>149886700.78465</v>
      </c>
      <c r="DI17">
        <v>0</v>
      </c>
      <c r="DJ17">
        <v>2.8246974481647182</v>
      </c>
      <c r="DK17">
        <v>233582651.63183761</v>
      </c>
      <c r="DL17">
        <v>0</v>
      </c>
      <c r="DM17">
        <v>20364800</v>
      </c>
      <c r="DN17">
        <v>0</v>
      </c>
      <c r="DO17">
        <v>659800320</v>
      </c>
      <c r="DP17">
        <v>270423080</v>
      </c>
      <c r="DQ17">
        <v>16</v>
      </c>
      <c r="DR17">
        <v>-0.41865509761388287</v>
      </c>
      <c r="DS17">
        <v>0.47649999999999998</v>
      </c>
      <c r="DT17">
        <v>-0.44</v>
      </c>
      <c r="DU17">
        <v>-0.22</v>
      </c>
      <c r="DV17">
        <v>-0.66</v>
      </c>
      <c r="DW17">
        <v>-9.993640699523052</v>
      </c>
      <c r="DX17">
        <v>0.32659891162459481</v>
      </c>
      <c r="DY17">
        <v>-9.2549671220435172</v>
      </c>
      <c r="DZ17">
        <v>0</v>
      </c>
      <c r="EA17">
        <v>-9.2549671220435172</v>
      </c>
      <c r="EB17">
        <v>9</v>
      </c>
      <c r="EC17">
        <v>5.0082334528553485E-2</v>
      </c>
      <c r="ED17">
        <v>0.1951775017729773</v>
      </c>
      <c r="EE17">
        <v>0</v>
      </c>
      <c r="EF17">
        <v>0</v>
      </c>
      <c r="EG17">
        <v>7.2565989116245948</v>
      </c>
      <c r="EH17" t="s">
        <v>86</v>
      </c>
      <c r="EI17">
        <v>0</v>
      </c>
      <c r="EJ17">
        <v>0</v>
      </c>
      <c r="EK17">
        <v>0</v>
      </c>
      <c r="EL17">
        <v>0</v>
      </c>
      <c r="EM17">
        <v>0</v>
      </c>
      <c r="EN17">
        <v>0</v>
      </c>
      <c r="EO17">
        <v>0</v>
      </c>
      <c r="EP17">
        <v>0</v>
      </c>
    </row>
    <row r="18" spans="1:146" ht="96" x14ac:dyDescent="0.25">
      <c r="A18" s="7"/>
      <c r="B18" s="7"/>
      <c r="C18" s="7" t="str">
        <f>""&amp;CHAR(10)&amp;Basic_Fundamental_Information_Constructure(F18)&amp;CHAR(10)&amp;Basic_Fundamental_Information_Concatenate("")</f>
        <v xml:space="preserve">
市值12.42384亿, 利润1524.87万; PE12.25; 平均PE-31.11, PB2.33; ROIC28.73%; ROE27.375%; 股利率4.1436%; 毛利64.0933%; 净利45.8733%; 上一年度营收增-81.39%, 利润增-78.41%; 当季营收增-63.73%, 利润增15.35%; 过往5年营收增0%, 利润增0%
Income profile:
</v>
      </c>
      <c r="D18">
        <v>830779</v>
      </c>
      <c r="E18" t="s">
        <v>914</v>
      </c>
      <c r="F18">
        <v>21.72</v>
      </c>
      <c r="G18" s="5">
        <v>-1.27</v>
      </c>
      <c r="H18" t="s">
        <v>2951</v>
      </c>
      <c r="I18">
        <v>1242384000</v>
      </c>
      <c r="J18">
        <v>12.25</v>
      </c>
      <c r="K18">
        <v>2.33</v>
      </c>
      <c r="L18" t="s">
        <v>2604</v>
      </c>
      <c r="M18" t="s">
        <v>2952</v>
      </c>
      <c r="N18" t="s">
        <v>143</v>
      </c>
      <c r="O18" t="s">
        <v>2953</v>
      </c>
      <c r="P18">
        <v>6.68</v>
      </c>
      <c r="Q18" t="s">
        <v>2953</v>
      </c>
      <c r="R18">
        <v>15248728</v>
      </c>
      <c r="S18" s="6">
        <v>0.1535</v>
      </c>
      <c r="T18" t="s">
        <v>2954</v>
      </c>
      <c r="U18">
        <v>14313201</v>
      </c>
      <c r="V18">
        <v>57200000</v>
      </c>
      <c r="W18">
        <v>1.1100000000000001</v>
      </c>
      <c r="X18">
        <v>0.05</v>
      </c>
      <c r="Y18">
        <v>49.72</v>
      </c>
      <c r="Z18" t="s">
        <v>2955</v>
      </c>
      <c r="AA18" t="s">
        <v>2956</v>
      </c>
      <c r="AB18" t="s">
        <v>2957</v>
      </c>
      <c r="AC18" t="s">
        <v>2958</v>
      </c>
      <c r="AD18" t="s">
        <v>2959</v>
      </c>
      <c r="AE18">
        <v>632880</v>
      </c>
      <c r="AF18" t="s">
        <v>2960</v>
      </c>
      <c r="AG18" t="s">
        <v>2961</v>
      </c>
      <c r="AH18" t="s">
        <v>2962</v>
      </c>
      <c r="AI18" t="s">
        <v>72</v>
      </c>
      <c r="AJ18" t="s">
        <v>9</v>
      </c>
      <c r="AK18" t="s">
        <v>2963</v>
      </c>
      <c r="AL18" t="s">
        <v>2964</v>
      </c>
      <c r="AM18" t="s">
        <v>9</v>
      </c>
      <c r="AN18" t="s">
        <v>2965</v>
      </c>
      <c r="AO18" t="s">
        <v>9</v>
      </c>
      <c r="AP18" t="s">
        <v>2966</v>
      </c>
      <c r="AQ18" t="s">
        <v>2967</v>
      </c>
      <c r="AR18" t="s">
        <v>9</v>
      </c>
      <c r="AS18" t="s">
        <v>2968</v>
      </c>
      <c r="AT18" t="s">
        <v>9</v>
      </c>
      <c r="AU18" t="s">
        <v>2969</v>
      </c>
      <c r="AV18" t="s">
        <v>2970</v>
      </c>
      <c r="AW18" t="s">
        <v>9</v>
      </c>
      <c r="AX18" t="s">
        <v>149</v>
      </c>
      <c r="AY18" t="s">
        <v>411</v>
      </c>
      <c r="AZ18" t="s">
        <v>917</v>
      </c>
      <c r="BA18" t="s">
        <v>918</v>
      </c>
      <c r="BB18" t="s">
        <v>919</v>
      </c>
      <c r="BC18" t="s">
        <v>916</v>
      </c>
      <c r="BD18" t="s">
        <v>920</v>
      </c>
      <c r="BE18" t="s">
        <v>921</v>
      </c>
      <c r="BF18" t="s">
        <v>922</v>
      </c>
      <c r="BG18" t="s">
        <v>923</v>
      </c>
      <c r="BH18" t="s">
        <v>585</v>
      </c>
      <c r="BI18" t="s">
        <v>924</v>
      </c>
      <c r="BJ18" t="s">
        <v>149</v>
      </c>
      <c r="BK18" t="s">
        <v>2971</v>
      </c>
      <c r="BL18" t="s">
        <v>925</v>
      </c>
      <c r="BM18" t="s">
        <v>916</v>
      </c>
      <c r="BN18">
        <v>18.670000000000002</v>
      </c>
      <c r="BO18">
        <v>37.68</v>
      </c>
      <c r="BP18">
        <v>29.84</v>
      </c>
      <c r="BQ18">
        <v>18.21</v>
      </c>
      <c r="BR18">
        <v>36.54</v>
      </c>
      <c r="BS18" t="s">
        <v>9</v>
      </c>
      <c r="BT18" t="s">
        <v>2972</v>
      </c>
      <c r="BU18" t="s">
        <v>915</v>
      </c>
      <c r="BV18">
        <v>65.58</v>
      </c>
      <c r="BW18">
        <v>63.84</v>
      </c>
      <c r="BX18">
        <v>62.86</v>
      </c>
      <c r="BY18">
        <v>50.55</v>
      </c>
      <c r="BZ18">
        <v>44.88</v>
      </c>
      <c r="CA18">
        <v>42.19</v>
      </c>
      <c r="CB18">
        <v>-0.09</v>
      </c>
      <c r="CC18">
        <v>-11.67</v>
      </c>
      <c r="CD18" t="s">
        <v>2973</v>
      </c>
      <c r="CE18" t="s">
        <v>2974</v>
      </c>
      <c r="CF18" s="8">
        <v>-0.63730376466112681</v>
      </c>
      <c r="CG18" s="9">
        <v>0.1535</v>
      </c>
      <c r="CH18" s="8">
        <v>-0.81388628482818604</v>
      </c>
      <c r="CI18" s="8">
        <v>0.47787609696388245</v>
      </c>
      <c r="CJ18" s="8">
        <v>0.27282503247261047</v>
      </c>
      <c r="CK18" s="8">
        <v>5.5366363376379013E-2</v>
      </c>
      <c r="CL18" s="8">
        <v>0.41711083054542542</v>
      </c>
      <c r="CM18" s="9">
        <v>-0.78413140773773193</v>
      </c>
      <c r="CN18" s="9">
        <v>0.53067797422409058</v>
      </c>
      <c r="CO18" s="9">
        <v>0.16542418301105499</v>
      </c>
      <c r="CP18" s="9">
        <v>-1.301336195319891E-2</v>
      </c>
      <c r="CQ18" s="9">
        <v>0.32719910144805908</v>
      </c>
      <c r="CR18">
        <v>-31.112127642169199</v>
      </c>
      <c r="CS18" t="e">
        <v>#DIV/0!</v>
      </c>
      <c r="CT18">
        <v>4.1436464088397793</v>
      </c>
      <c r="CU18" s="8">
        <v>0</v>
      </c>
      <c r="CV18" s="9">
        <v>0</v>
      </c>
      <c r="CW18">
        <v>0.06</v>
      </c>
      <c r="CX18">
        <v>52.588803111084893</v>
      </c>
      <c r="CY18">
        <v>14385566.037735846</v>
      </c>
      <c r="CZ18">
        <v>0</v>
      </c>
      <c r="DA18">
        <v>18.560365364874666</v>
      </c>
      <c r="DB18">
        <v>40759957.313755639</v>
      </c>
      <c r="DC18">
        <v>0</v>
      </c>
      <c r="DD18">
        <v>10.089242668885833</v>
      </c>
      <c r="DE18">
        <v>74982803.449958384</v>
      </c>
      <c r="DF18">
        <v>0</v>
      </c>
      <c r="DG18">
        <v>6.7406917961857289</v>
      </c>
      <c r="DH18">
        <v>112231759.42090726</v>
      </c>
      <c r="DI18">
        <v>0</v>
      </c>
      <c r="DJ18">
        <v>4.3254070765875525</v>
      </c>
      <c r="DK18">
        <v>174901387.68553591</v>
      </c>
      <c r="DL18">
        <v>0</v>
      </c>
      <c r="DM18">
        <v>15248699.999999998</v>
      </c>
      <c r="DN18">
        <v>0</v>
      </c>
      <c r="DO18">
        <v>756519700</v>
      </c>
      <c r="DP18">
        <v>508454160</v>
      </c>
      <c r="DQ18">
        <v>17</v>
      </c>
      <c r="DR18">
        <v>-0.63730376466112681</v>
      </c>
      <c r="DS18">
        <v>0.1535</v>
      </c>
      <c r="DT18">
        <v>-0.44</v>
      </c>
      <c r="DU18">
        <v>-0.44</v>
      </c>
      <c r="DV18">
        <v>-0.88</v>
      </c>
      <c r="DW18">
        <v>-2.1166999999999998</v>
      </c>
      <c r="DX18">
        <v>0.22392044947828482</v>
      </c>
      <c r="DY18">
        <v>-2.0097935164541156</v>
      </c>
      <c r="DZ18">
        <v>0</v>
      </c>
      <c r="EA18">
        <v>-2.0097935164541156</v>
      </c>
      <c r="EB18">
        <v>2</v>
      </c>
      <c r="EC18">
        <v>6.5804195804195801E-3</v>
      </c>
      <c r="ED18">
        <v>7.8412587412587414E-2</v>
      </c>
      <c r="EE18">
        <v>0</v>
      </c>
      <c r="EF18">
        <v>0</v>
      </c>
      <c r="EG18">
        <v>14.083920449478285</v>
      </c>
      <c r="EH18" t="s">
        <v>86</v>
      </c>
      <c r="EI18">
        <v>0</v>
      </c>
      <c r="EJ18">
        <v>0</v>
      </c>
      <c r="EK18">
        <v>0</v>
      </c>
      <c r="EL18">
        <v>0</v>
      </c>
      <c r="EM18">
        <v>0</v>
      </c>
      <c r="EN18">
        <v>0</v>
      </c>
      <c r="EO18">
        <v>0</v>
      </c>
      <c r="EP18">
        <v>0</v>
      </c>
    </row>
    <row r="19" spans="1:146" ht="108" x14ac:dyDescent="0.25">
      <c r="A19" s="10"/>
      <c r="B19" s="10"/>
      <c r="C19" s="7" t="str">
        <f>""&amp;CHAR(10)&amp;Basic_Fundamental_Information_Constructure(F19)&amp;CHAR(10)&amp;Basic_Fundamental_Information_Concatenate("")</f>
        <v xml:space="preserve">
市值20.258564亿, 利润1150.39万; PE26.88; 平均PE20.58, PB5.08; ROIC9.19%; ROE13.49%; 股利率1.5576%; 毛利32.8433%; 净利11.1333%; 上一年度营收增-77.56%, 利润增-77.67%; 当季营收增-54.36%, 利润增74.18%; 过往5年营收增0%, 利润增0%
Income profile:
</v>
      </c>
      <c r="D19">
        <v>830799</v>
      </c>
      <c r="E19" t="s">
        <v>926</v>
      </c>
      <c r="F19">
        <v>9.6300000000000008</v>
      </c>
      <c r="G19" s="5">
        <v>-6.05</v>
      </c>
      <c r="H19" t="s">
        <v>2975</v>
      </c>
      <c r="I19">
        <v>2025856400</v>
      </c>
      <c r="J19">
        <v>26.88</v>
      </c>
      <c r="K19">
        <v>5.08</v>
      </c>
      <c r="L19" t="s">
        <v>2604</v>
      </c>
      <c r="M19" t="s">
        <v>159</v>
      </c>
      <c r="N19" t="s">
        <v>623</v>
      </c>
      <c r="O19" t="s">
        <v>59</v>
      </c>
      <c r="P19">
        <v>6.87</v>
      </c>
      <c r="Q19" t="s">
        <v>59</v>
      </c>
      <c r="R19">
        <v>11503856</v>
      </c>
      <c r="S19" s="5">
        <v>0.74180000000000001</v>
      </c>
      <c r="T19" t="s">
        <v>2976</v>
      </c>
      <c r="U19">
        <v>120930071</v>
      </c>
      <c r="V19">
        <v>210369300</v>
      </c>
      <c r="W19">
        <v>2.2999999999999998</v>
      </c>
      <c r="X19">
        <v>0.15</v>
      </c>
      <c r="Y19">
        <v>8.83</v>
      </c>
      <c r="Z19" t="s">
        <v>89</v>
      </c>
      <c r="AA19" t="s">
        <v>2977</v>
      </c>
      <c r="AB19" t="s">
        <v>2978</v>
      </c>
      <c r="AC19" t="s">
        <v>2979</v>
      </c>
      <c r="AD19" t="s">
        <v>2980</v>
      </c>
      <c r="AE19">
        <v>2312613</v>
      </c>
      <c r="AF19" t="s">
        <v>2981</v>
      </c>
      <c r="AG19">
        <v>9142.86</v>
      </c>
      <c r="AH19" t="s">
        <v>2982</v>
      </c>
      <c r="AI19" t="s">
        <v>2983</v>
      </c>
      <c r="AJ19" t="s">
        <v>9</v>
      </c>
      <c r="AK19" t="s">
        <v>9</v>
      </c>
      <c r="AL19" t="s">
        <v>2984</v>
      </c>
      <c r="AM19" t="s">
        <v>9</v>
      </c>
      <c r="AN19">
        <v>0</v>
      </c>
      <c r="AO19" t="s">
        <v>1336</v>
      </c>
      <c r="AP19" t="s">
        <v>9</v>
      </c>
      <c r="AQ19" t="s">
        <v>2985</v>
      </c>
      <c r="AR19" t="s">
        <v>9</v>
      </c>
      <c r="AS19" t="s">
        <v>455</v>
      </c>
      <c r="AT19" t="s">
        <v>2986</v>
      </c>
      <c r="AU19" t="s">
        <v>2987</v>
      </c>
      <c r="AV19" t="s">
        <v>2988</v>
      </c>
      <c r="AW19" t="s">
        <v>2989</v>
      </c>
      <c r="AX19" t="s">
        <v>507</v>
      </c>
      <c r="AY19" t="s">
        <v>145</v>
      </c>
      <c r="AZ19" t="s">
        <v>112</v>
      </c>
      <c r="BA19" t="s">
        <v>117</v>
      </c>
      <c r="BB19" t="s">
        <v>849</v>
      </c>
      <c r="BC19" t="s">
        <v>2990</v>
      </c>
      <c r="BD19" t="s">
        <v>929</v>
      </c>
      <c r="BE19" t="s">
        <v>930</v>
      </c>
      <c r="BF19" t="s">
        <v>931</v>
      </c>
      <c r="BG19" t="s">
        <v>932</v>
      </c>
      <c r="BH19" t="s">
        <v>507</v>
      </c>
      <c r="BI19" t="s">
        <v>603</v>
      </c>
      <c r="BJ19" t="s">
        <v>507</v>
      </c>
      <c r="BK19" t="s">
        <v>2991</v>
      </c>
      <c r="BL19" t="s">
        <v>933</v>
      </c>
      <c r="BM19" t="s">
        <v>2990</v>
      </c>
      <c r="BN19">
        <v>6.46</v>
      </c>
      <c r="BO19">
        <v>10.039999999999999</v>
      </c>
      <c r="BP19">
        <v>11.07</v>
      </c>
      <c r="BQ19">
        <v>11.05</v>
      </c>
      <c r="BR19">
        <v>14.96</v>
      </c>
      <c r="BS19">
        <v>14.46</v>
      </c>
      <c r="BT19" t="s">
        <v>1006</v>
      </c>
      <c r="BU19" t="s">
        <v>927</v>
      </c>
      <c r="BV19">
        <v>33.18</v>
      </c>
      <c r="BW19">
        <v>31.26</v>
      </c>
      <c r="BX19">
        <v>34.090000000000003</v>
      </c>
      <c r="BY19">
        <v>12.67</v>
      </c>
      <c r="BZ19">
        <v>8.7100000000000009</v>
      </c>
      <c r="CA19">
        <v>12.02</v>
      </c>
      <c r="CB19">
        <v>0.31</v>
      </c>
      <c r="CC19">
        <v>-1.43</v>
      </c>
      <c r="CD19" t="s">
        <v>2992</v>
      </c>
      <c r="CE19" t="s">
        <v>2993</v>
      </c>
      <c r="CF19" s="8">
        <v>-0.5436241610738255</v>
      </c>
      <c r="CG19" s="9">
        <v>0.74180000000000001</v>
      </c>
      <c r="CH19" s="8">
        <v>-0.77557754516601563</v>
      </c>
      <c r="CI19" s="8">
        <v>0.43942993879318237</v>
      </c>
      <c r="CJ19" s="8">
        <v>0.53090906143188477</v>
      </c>
      <c r="CK19" s="8">
        <v>0.2910798192024231</v>
      </c>
      <c r="CL19" s="8">
        <v>0.26035502552986145</v>
      </c>
      <c r="CM19" s="9">
        <v>-0.77669787406921387</v>
      </c>
      <c r="CN19" s="9">
        <v>2.2566359490156174E-2</v>
      </c>
      <c r="CO19" s="9">
        <v>5.9542663395404816E-2</v>
      </c>
      <c r="CP19" s="9">
        <v>9.472106397151947E-2</v>
      </c>
      <c r="CQ19" s="9">
        <v>-0.19263133406639099</v>
      </c>
      <c r="CR19">
        <v>20.581421326105733</v>
      </c>
      <c r="CS19" t="e">
        <v>#DIV/0!</v>
      </c>
      <c r="CT19">
        <v>1.557632398753894</v>
      </c>
      <c r="CU19" s="8">
        <v>0</v>
      </c>
      <c r="CV19" s="9">
        <v>0</v>
      </c>
      <c r="CW19">
        <v>0.06</v>
      </c>
      <c r="CX19">
        <v>198.46206799433233</v>
      </c>
      <c r="CY19">
        <v>10852735.849056605</v>
      </c>
      <c r="CZ19">
        <v>0</v>
      </c>
      <c r="DA19">
        <v>70.043968965457921</v>
      </c>
      <c r="DB19">
        <v>30750062.165411718</v>
      </c>
      <c r="DC19">
        <v>0</v>
      </c>
      <c r="DD19">
        <v>38.075252641406465</v>
      </c>
      <c r="DE19">
        <v>56568407.313933417</v>
      </c>
      <c r="DF19">
        <v>0</v>
      </c>
      <c r="DG19">
        <v>25.438335813759359</v>
      </c>
      <c r="DH19">
        <v>84669705.430769533</v>
      </c>
      <c r="DI19">
        <v>0</v>
      </c>
      <c r="DJ19">
        <v>16.323422146033625</v>
      </c>
      <c r="DK19">
        <v>131948826.70625281</v>
      </c>
      <c r="DL19">
        <v>0</v>
      </c>
      <c r="DM19">
        <v>11503900.000000002</v>
      </c>
      <c r="DN19">
        <v>0</v>
      </c>
      <c r="DO19">
        <v>2153856400</v>
      </c>
      <c r="DP19">
        <v>245850920.00000006</v>
      </c>
      <c r="DQ19">
        <v>18</v>
      </c>
      <c r="DR19">
        <v>-0.5436241610738255</v>
      </c>
      <c r="DS19">
        <v>0.74180000000000001</v>
      </c>
      <c r="DT19">
        <v>-0.44</v>
      </c>
      <c r="DU19">
        <v>-0.22</v>
      </c>
      <c r="DV19">
        <v>-0.66</v>
      </c>
      <c r="DW19">
        <v>-1.43E-2</v>
      </c>
      <c r="DX19">
        <v>0.48285373757895172</v>
      </c>
      <c r="DY19">
        <v>-4.1878084473790239E-3</v>
      </c>
      <c r="DZ19">
        <v>0</v>
      </c>
      <c r="EA19">
        <v>-4.1878084473790239E-3</v>
      </c>
      <c r="EB19">
        <v>0</v>
      </c>
      <c r="EC19">
        <v>0.10647608752798056</v>
      </c>
      <c r="ED19">
        <v>0.3635810928685887</v>
      </c>
      <c r="EE19">
        <v>0</v>
      </c>
      <c r="EF19">
        <v>0</v>
      </c>
      <c r="EG19">
        <v>19.292853737578952</v>
      </c>
      <c r="EH19" t="s">
        <v>86</v>
      </c>
      <c r="EI19">
        <v>0</v>
      </c>
      <c r="EJ19">
        <v>0</v>
      </c>
      <c r="EK19">
        <v>0</v>
      </c>
      <c r="EL19">
        <v>0</v>
      </c>
      <c r="EM19">
        <v>0</v>
      </c>
      <c r="EN19">
        <v>0</v>
      </c>
      <c r="EO19">
        <v>0</v>
      </c>
      <c r="EP19">
        <v>0</v>
      </c>
    </row>
    <row r="20" spans="1:146" ht="96" x14ac:dyDescent="0.25">
      <c r="A20" s="7"/>
      <c r="B20" s="7"/>
      <c r="C20" s="7" t="str">
        <f>""&amp;CHAR(10)&amp;Basic_Fundamental_Information_Constructure(F20)&amp;CHAR(10)&amp;Basic_Fundamental_Information_Concatenate("")</f>
        <v xml:space="preserve">
市值22.197843亿, 利润-1.63亿; PE; 平均PE11.23, PB.977; ROIC29.84%; ROE16.005%; 股利率0%; 毛利12.98%; 净利1.8767%; 上一年度营收增-96.63%, 利润增-120.1%; 当季营收增-93%, 利润增-799.9%; 过往5年营收增0%, 利润增0%
Income profile:
</v>
      </c>
      <c r="D20">
        <v>830809</v>
      </c>
      <c r="E20" t="s">
        <v>935</v>
      </c>
      <c r="F20">
        <v>3.63</v>
      </c>
      <c r="G20" s="5">
        <v>-1.0900000000000001</v>
      </c>
      <c r="H20" t="s">
        <v>2994</v>
      </c>
      <c r="I20">
        <v>2219784300</v>
      </c>
      <c r="K20">
        <v>0.97699999999999998</v>
      </c>
      <c r="L20" t="s">
        <v>2604</v>
      </c>
      <c r="M20" t="s">
        <v>2995</v>
      </c>
      <c r="N20" t="s">
        <v>2996</v>
      </c>
      <c r="O20" t="s">
        <v>620</v>
      </c>
      <c r="P20">
        <v>-75.819999999999993</v>
      </c>
      <c r="Q20" t="s">
        <v>620</v>
      </c>
      <c r="R20">
        <v>-163216370</v>
      </c>
      <c r="S20" s="5">
        <v>-7.9989999999999997</v>
      </c>
      <c r="T20" t="s">
        <v>2997</v>
      </c>
      <c r="U20">
        <v>331643150</v>
      </c>
      <c r="V20">
        <v>611510820</v>
      </c>
      <c r="W20">
        <v>2.2599999999999998</v>
      </c>
      <c r="X20">
        <v>0.04</v>
      </c>
      <c r="Y20">
        <v>-73.78</v>
      </c>
      <c r="Z20" t="s">
        <v>421</v>
      </c>
      <c r="AA20" t="s">
        <v>262</v>
      </c>
      <c r="AB20" t="s">
        <v>2998</v>
      </c>
      <c r="AC20" t="s">
        <v>2999</v>
      </c>
      <c r="AD20" t="s">
        <v>578</v>
      </c>
      <c r="AE20">
        <v>11798176</v>
      </c>
      <c r="AF20" t="s">
        <v>17</v>
      </c>
      <c r="AG20" t="s">
        <v>3000</v>
      </c>
      <c r="AH20" t="s">
        <v>3001</v>
      </c>
      <c r="AI20" t="s">
        <v>3002</v>
      </c>
      <c r="AJ20" t="s">
        <v>9</v>
      </c>
      <c r="AK20" t="s">
        <v>303</v>
      </c>
      <c r="AL20" t="s">
        <v>3003</v>
      </c>
      <c r="AM20" t="s">
        <v>9</v>
      </c>
      <c r="AN20" t="s">
        <v>3004</v>
      </c>
      <c r="AO20" t="s">
        <v>3005</v>
      </c>
      <c r="AP20" t="s">
        <v>97</v>
      </c>
      <c r="AQ20" t="s">
        <v>424</v>
      </c>
      <c r="AR20" t="s">
        <v>9</v>
      </c>
      <c r="AS20" t="s">
        <v>3006</v>
      </c>
      <c r="AT20" t="s">
        <v>16</v>
      </c>
      <c r="AU20" t="s">
        <v>3007</v>
      </c>
      <c r="AV20" t="s">
        <v>3008</v>
      </c>
      <c r="AW20" t="s">
        <v>608</v>
      </c>
      <c r="AX20" t="s">
        <v>527</v>
      </c>
      <c r="AY20" t="s">
        <v>646</v>
      </c>
      <c r="AZ20" t="s">
        <v>938</v>
      </c>
      <c r="BA20" t="s">
        <v>238</v>
      </c>
      <c r="BB20" t="s">
        <v>939</v>
      </c>
      <c r="BC20" t="s">
        <v>522</v>
      </c>
      <c r="BD20" t="s">
        <v>427</v>
      </c>
      <c r="BE20" t="s">
        <v>677</v>
      </c>
      <c r="BF20" t="s">
        <v>310</v>
      </c>
      <c r="BG20" t="s">
        <v>940</v>
      </c>
      <c r="BH20" t="s">
        <v>3009</v>
      </c>
      <c r="BI20" t="s">
        <v>941</v>
      </c>
      <c r="BJ20" t="s">
        <v>527</v>
      </c>
      <c r="BK20" t="s">
        <v>3010</v>
      </c>
      <c r="BL20" t="s">
        <v>624</v>
      </c>
      <c r="BM20" t="s">
        <v>522</v>
      </c>
      <c r="BN20" t="s">
        <v>9</v>
      </c>
      <c r="BO20">
        <v>38.17</v>
      </c>
      <c r="BP20">
        <v>21.51</v>
      </c>
      <c r="BQ20">
        <v>-14.92</v>
      </c>
      <c r="BR20">
        <v>46.93</v>
      </c>
      <c r="BS20" t="s">
        <v>9</v>
      </c>
      <c r="BT20" t="s">
        <v>773</v>
      </c>
      <c r="BU20" t="s">
        <v>915</v>
      </c>
      <c r="BV20">
        <v>-4.7</v>
      </c>
      <c r="BW20">
        <v>19.100000000000001</v>
      </c>
      <c r="BX20">
        <v>24.54</v>
      </c>
      <c r="BY20">
        <v>-21.38</v>
      </c>
      <c r="BZ20">
        <v>12.37</v>
      </c>
      <c r="CA20">
        <v>14.64</v>
      </c>
      <c r="CB20">
        <v>0</v>
      </c>
      <c r="CC20">
        <v>-10.15</v>
      </c>
      <c r="CD20" t="s">
        <v>3011</v>
      </c>
      <c r="CE20" t="s">
        <v>3012</v>
      </c>
      <c r="CF20" s="8">
        <v>-0.93001899936668775</v>
      </c>
      <c r="CG20" s="9">
        <v>-7.9989999999999997</v>
      </c>
      <c r="CH20" s="8">
        <v>-0.96630066633224487</v>
      </c>
      <c r="CI20" s="8">
        <v>3.1585290431976318</v>
      </c>
      <c r="CJ20" s="8">
        <v>16.029262542724609</v>
      </c>
      <c r="CK20" s="8">
        <v>-0.39866691827774048</v>
      </c>
      <c r="CL20" s="8">
        <v>-0.767722487449646</v>
      </c>
      <c r="CM20" s="9">
        <v>-1.200986385345459</v>
      </c>
      <c r="CN20" s="9">
        <v>2.5108225345611572</v>
      </c>
      <c r="CO20" s="9">
        <v>2.2419354915618896</v>
      </c>
      <c r="CP20" s="9">
        <v>0.1696428507566452</v>
      </c>
      <c r="CQ20" s="9">
        <v>-6.2020797729492187</v>
      </c>
      <c r="CR20">
        <v>11.229937436762226</v>
      </c>
      <c r="CS20" t="e">
        <v>#DIV/0!</v>
      </c>
      <c r="CT20">
        <v>0</v>
      </c>
      <c r="CU20" s="8">
        <v>0</v>
      </c>
      <c r="CV20" s="9">
        <v>0</v>
      </c>
      <c r="CW20">
        <v>0.06</v>
      </c>
      <c r="CX20" t="e">
        <v>#VALUE!</v>
      </c>
      <c r="CY20" t="s">
        <v>85</v>
      </c>
      <c r="CZ20">
        <v>0</v>
      </c>
      <c r="DA20" t="e">
        <v>#VALUE!</v>
      </c>
      <c r="DB20" t="s">
        <v>84</v>
      </c>
      <c r="DC20">
        <v>0</v>
      </c>
      <c r="DD20" t="e">
        <v>#VALUE!</v>
      </c>
      <c r="DE20" t="s">
        <v>84</v>
      </c>
      <c r="DF20">
        <v>0</v>
      </c>
      <c r="DG20" t="e">
        <v>#VALUE!</v>
      </c>
      <c r="DH20" t="s">
        <v>84</v>
      </c>
      <c r="DI20">
        <v>0</v>
      </c>
      <c r="DJ20" t="e">
        <v>#VALUE!</v>
      </c>
      <c r="DK20" t="s">
        <v>84</v>
      </c>
      <c r="DL20">
        <v>0</v>
      </c>
      <c r="DM20">
        <v>-163000000</v>
      </c>
      <c r="DN20">
        <v>0</v>
      </c>
      <c r="DO20">
        <v>2525784300</v>
      </c>
      <c r="DP20">
        <v>-325918900</v>
      </c>
      <c r="DQ20">
        <v>19</v>
      </c>
      <c r="DR20">
        <v>-0.93001899936668775</v>
      </c>
      <c r="DS20">
        <v>-7.9989999999999997</v>
      </c>
      <c r="DT20">
        <v>-0.44</v>
      </c>
      <c r="DU20" t="e">
        <v>#VALUE!</v>
      </c>
      <c r="DV20" t="e">
        <v>#VALUE!</v>
      </c>
      <c r="DW20">
        <v>-2.1015000000000001</v>
      </c>
      <c r="DX20">
        <v>0.26953200966092583</v>
      </c>
      <c r="DY20">
        <v>-2.0121324989805842</v>
      </c>
      <c r="DZ20">
        <v>0</v>
      </c>
      <c r="EA20">
        <v>-2.0121324989805842</v>
      </c>
      <c r="EB20">
        <v>2</v>
      </c>
      <c r="EC20">
        <v>6.2317785317355465E-3</v>
      </c>
      <c r="ED20">
        <v>5.2134809323570105E-2</v>
      </c>
      <c r="EE20">
        <v>0</v>
      </c>
      <c r="EF20">
        <v>0</v>
      </c>
      <c r="EG20">
        <v>15.119532009660926</v>
      </c>
      <c r="EH20" t="s">
        <v>86</v>
      </c>
      <c r="EI20">
        <v>0</v>
      </c>
      <c r="EJ20">
        <v>0</v>
      </c>
      <c r="EK20">
        <v>0</v>
      </c>
      <c r="EL20">
        <v>0</v>
      </c>
      <c r="EM20">
        <v>0</v>
      </c>
      <c r="EN20">
        <v>0</v>
      </c>
      <c r="EO20">
        <v>0</v>
      </c>
      <c r="EP20">
        <v>0</v>
      </c>
    </row>
    <row r="21" spans="1:146" ht="108" x14ac:dyDescent="0.25">
      <c r="A21" s="7"/>
      <c r="B21" s="7"/>
      <c r="C21" s="7" t="str">
        <f>""&amp;CHAR(10)&amp;Basic_Fundamental_Information_Constructure(F21)&amp;CHAR(10)&amp;Basic_Fundamental_Information_Concatenate("")</f>
        <v xml:space="preserve">
市值5.5366782亿, 利润404.26万; PE45.85; 平均PE.3, PB.733; ROIC5.1933%; ROE5.45%; 股利率2.005%; 毛利20.49%; 净利7.05%; 上一年度营收增-80.24%, 利润增-91.38%; 当季营收增-42.42%, 利润增167.3%; 过往5年营收增0%, 利润增0%
Income profile:
</v>
      </c>
      <c r="D21">
        <v>830832</v>
      </c>
      <c r="E21" t="s">
        <v>942</v>
      </c>
      <c r="F21">
        <v>3.99</v>
      </c>
      <c r="G21" s="5">
        <v>-0.25</v>
      </c>
      <c r="H21" t="s">
        <v>3013</v>
      </c>
      <c r="I21">
        <v>553667820</v>
      </c>
      <c r="J21">
        <v>45.85</v>
      </c>
      <c r="K21">
        <v>0.73299999999999998</v>
      </c>
      <c r="L21" t="s">
        <v>2604</v>
      </c>
      <c r="M21" t="s">
        <v>250</v>
      </c>
      <c r="N21" t="s">
        <v>1599</v>
      </c>
      <c r="O21" t="s">
        <v>272</v>
      </c>
      <c r="P21">
        <v>4.7</v>
      </c>
      <c r="Q21" t="s">
        <v>272</v>
      </c>
      <c r="R21">
        <v>4042607</v>
      </c>
      <c r="S21" s="5">
        <v>1.673</v>
      </c>
      <c r="T21" t="s">
        <v>3014</v>
      </c>
      <c r="U21">
        <v>124853604</v>
      </c>
      <c r="V21">
        <v>138763870</v>
      </c>
      <c r="W21">
        <v>1.37</v>
      </c>
      <c r="X21">
        <v>0.11</v>
      </c>
      <c r="Y21">
        <v>3.56</v>
      </c>
      <c r="Z21" t="s">
        <v>518</v>
      </c>
      <c r="AA21" t="s">
        <v>3015</v>
      </c>
      <c r="AB21" t="s">
        <v>3016</v>
      </c>
      <c r="AC21" t="s">
        <v>3017</v>
      </c>
      <c r="AD21" t="s">
        <v>3018</v>
      </c>
      <c r="AE21">
        <v>151300</v>
      </c>
      <c r="AF21" t="s">
        <v>17</v>
      </c>
      <c r="AG21">
        <v>0</v>
      </c>
      <c r="AH21" t="s">
        <v>3019</v>
      </c>
      <c r="AI21" t="s">
        <v>469</v>
      </c>
      <c r="AJ21" t="s">
        <v>9</v>
      </c>
      <c r="AK21" t="s">
        <v>3020</v>
      </c>
      <c r="AL21" t="s">
        <v>3021</v>
      </c>
      <c r="AM21" t="s">
        <v>9</v>
      </c>
      <c r="AN21" t="s">
        <v>3022</v>
      </c>
      <c r="AO21" t="s">
        <v>3023</v>
      </c>
      <c r="AP21" t="s">
        <v>3024</v>
      </c>
      <c r="AQ21" t="s">
        <v>83</v>
      </c>
      <c r="AR21" t="s">
        <v>9</v>
      </c>
      <c r="AS21" t="s">
        <v>489</v>
      </c>
      <c r="AT21" t="s">
        <v>3025</v>
      </c>
      <c r="AU21" t="s">
        <v>3026</v>
      </c>
      <c r="AV21" t="s">
        <v>3027</v>
      </c>
      <c r="AW21" t="s">
        <v>3028</v>
      </c>
      <c r="AX21" t="s">
        <v>501</v>
      </c>
      <c r="AY21" t="s">
        <v>142</v>
      </c>
      <c r="AZ21" t="s">
        <v>567</v>
      </c>
      <c r="BA21" t="s">
        <v>636</v>
      </c>
      <c r="BB21" t="s">
        <v>143</v>
      </c>
      <c r="BC21" t="s">
        <v>944</v>
      </c>
      <c r="BD21" t="s">
        <v>945</v>
      </c>
      <c r="BE21" t="s">
        <v>946</v>
      </c>
      <c r="BF21" t="s">
        <v>947</v>
      </c>
      <c r="BG21" t="s">
        <v>948</v>
      </c>
      <c r="BH21" t="s">
        <v>293</v>
      </c>
      <c r="BI21" t="s">
        <v>168</v>
      </c>
      <c r="BJ21" t="s">
        <v>501</v>
      </c>
      <c r="BK21" t="s">
        <v>3029</v>
      </c>
      <c r="BL21" t="s">
        <v>949</v>
      </c>
      <c r="BM21" t="s">
        <v>944</v>
      </c>
      <c r="BN21">
        <v>0.99</v>
      </c>
      <c r="BO21">
        <v>5.62</v>
      </c>
      <c r="BP21">
        <v>8.9700000000000006</v>
      </c>
      <c r="BQ21">
        <v>1.1200000000000001</v>
      </c>
      <c r="BR21">
        <v>6.25</v>
      </c>
      <c r="BS21">
        <v>8.98</v>
      </c>
      <c r="BT21" t="s">
        <v>1698</v>
      </c>
      <c r="BU21" t="s">
        <v>943</v>
      </c>
      <c r="BV21">
        <v>16.75</v>
      </c>
      <c r="BW21">
        <v>19.010000000000002</v>
      </c>
      <c r="BX21">
        <v>25.71</v>
      </c>
      <c r="BY21">
        <v>2.57</v>
      </c>
      <c r="BZ21">
        <v>8.1199999999999992</v>
      </c>
      <c r="CA21">
        <v>10.46</v>
      </c>
      <c r="CB21">
        <v>2.0499999999999998</v>
      </c>
      <c r="CC21">
        <v>-6.12</v>
      </c>
      <c r="CD21" t="s">
        <v>3030</v>
      </c>
      <c r="CE21" t="s">
        <v>3031</v>
      </c>
      <c r="CF21" s="8">
        <v>-0.42424242424242431</v>
      </c>
      <c r="CG21" s="9">
        <v>1.673</v>
      </c>
      <c r="CH21" s="8">
        <v>-0.80242633819580078</v>
      </c>
      <c r="CI21" s="8">
        <v>-5.1724137738347054E-3</v>
      </c>
      <c r="CJ21" s="8">
        <v>4.316546767950058E-2</v>
      </c>
      <c r="CK21" s="8">
        <v>-2.7972027659416199E-2</v>
      </c>
      <c r="CL21" s="8">
        <v>6.1224490404129028E-2</v>
      </c>
      <c r="CM21" s="9">
        <v>-0.91376322507858276</v>
      </c>
      <c r="CN21" s="9">
        <v>-0.22695265710353851</v>
      </c>
      <c r="CO21" s="9">
        <v>-4.6578064560890198E-2</v>
      </c>
      <c r="CP21" s="9">
        <v>0.18564134836196899</v>
      </c>
      <c r="CQ21" s="9">
        <v>0.11787836998701096</v>
      </c>
      <c r="CR21">
        <v>0.30282534363175584</v>
      </c>
      <c r="CS21" t="e">
        <v>#DIV/0!</v>
      </c>
      <c r="CT21">
        <v>2.0050125313283207</v>
      </c>
      <c r="CU21" s="8">
        <v>0</v>
      </c>
      <c r="CV21" s="9">
        <v>0</v>
      </c>
      <c r="CW21">
        <v>0.06</v>
      </c>
      <c r="CX21">
        <v>19.054046702617132</v>
      </c>
      <c r="CY21">
        <v>3813773.5849056598</v>
      </c>
      <c r="CZ21">
        <v>0</v>
      </c>
      <c r="DA21">
        <v>6.7248168347344537</v>
      </c>
      <c r="DB21">
        <v>10805918.106893608</v>
      </c>
      <c r="DC21">
        <v>0</v>
      </c>
      <c r="DD21">
        <v>3.6555481325732395</v>
      </c>
      <c r="DE21">
        <v>19878775.320309393</v>
      </c>
      <c r="DF21">
        <v>0</v>
      </c>
      <c r="DG21">
        <v>2.442296623887195</v>
      </c>
      <c r="DH21">
        <v>29753887.914049048</v>
      </c>
      <c r="DI21">
        <v>0</v>
      </c>
      <c r="DJ21">
        <v>1.567187377720672</v>
      </c>
      <c r="DK21">
        <v>46368303.518171884</v>
      </c>
      <c r="DL21">
        <v>0</v>
      </c>
      <c r="DM21">
        <v>4042600</v>
      </c>
      <c r="DN21">
        <v>0</v>
      </c>
      <c r="DO21">
        <v>72667820</v>
      </c>
      <c r="DP21">
        <v>346910930</v>
      </c>
      <c r="DQ21">
        <v>20</v>
      </c>
      <c r="DR21">
        <v>-0.42424242424242431</v>
      </c>
      <c r="DS21">
        <v>1.673</v>
      </c>
      <c r="DT21">
        <v>-0.44</v>
      </c>
      <c r="DU21">
        <v>-0.22</v>
      </c>
      <c r="DV21">
        <v>-0.66</v>
      </c>
      <c r="DW21">
        <v>-2.0611999999999999</v>
      </c>
      <c r="DX21">
        <v>0.41391849770710865</v>
      </c>
      <c r="DY21">
        <v>-2.0088078120596751</v>
      </c>
      <c r="DZ21">
        <v>0</v>
      </c>
      <c r="EA21">
        <v>-2.0088078120596751</v>
      </c>
      <c r="EB21">
        <v>2</v>
      </c>
      <c r="EC21">
        <v>1.2145092234743813E-2</v>
      </c>
      <c r="ED21">
        <v>8.438868129002168E-2</v>
      </c>
      <c r="EE21">
        <v>0</v>
      </c>
      <c r="EF21">
        <v>0</v>
      </c>
      <c r="EG21">
        <v>27.143918497707109</v>
      </c>
      <c r="EH21" t="s">
        <v>86</v>
      </c>
      <c r="EI21">
        <v>0</v>
      </c>
      <c r="EJ21">
        <v>0</v>
      </c>
      <c r="EK21">
        <v>0</v>
      </c>
      <c r="EL21">
        <v>0</v>
      </c>
      <c r="EM21">
        <v>0</v>
      </c>
      <c r="EN21">
        <v>0</v>
      </c>
      <c r="EO21">
        <v>0</v>
      </c>
      <c r="EP21">
        <v>0</v>
      </c>
    </row>
    <row r="22" spans="1:146" ht="108" x14ac:dyDescent="0.25">
      <c r="A22" s="7"/>
      <c r="B22" s="7"/>
      <c r="C22" s="7" t="str">
        <f>""&amp;CHAR(10)&amp;Basic_Fundamental_Information_Constructure(F22)&amp;CHAR(10)&amp;Basic_Fundamental_Information_Concatenate("")</f>
        <v xml:space="preserve">
市值11.69189亿, 利润2104.61万; PE13.75; 平均PE1.04, PB2.16; ROIC11.9133%; ROE12.2167%; 股利率4.0816%; 毛利23.2767%; 净利12.3767%; 上一年度营收增-71.88%, 利润增-66.77%; 当季营收增-58.84%, 利润增37.1%; 过往5年营收增0%, 利润增0%
Income profile:
</v>
      </c>
      <c r="D22">
        <v>830839</v>
      </c>
      <c r="E22" t="s">
        <v>950</v>
      </c>
      <c r="F22">
        <v>9.8000000000000007</v>
      </c>
      <c r="G22" s="5">
        <v>-2</v>
      </c>
      <c r="H22" t="s">
        <v>3032</v>
      </c>
      <c r="I22">
        <v>1169189000</v>
      </c>
      <c r="J22">
        <v>13.75</v>
      </c>
      <c r="K22">
        <v>2.16</v>
      </c>
      <c r="L22" t="s">
        <v>2604</v>
      </c>
      <c r="M22" t="s">
        <v>108</v>
      </c>
      <c r="N22" t="s">
        <v>342</v>
      </c>
      <c r="O22" t="s">
        <v>253</v>
      </c>
      <c r="P22">
        <v>-6.21</v>
      </c>
      <c r="Q22" t="s">
        <v>253</v>
      </c>
      <c r="R22">
        <v>21046068</v>
      </c>
      <c r="S22" s="5">
        <v>0.371</v>
      </c>
      <c r="T22" t="s">
        <v>3033</v>
      </c>
      <c r="U22">
        <v>64381375</v>
      </c>
      <c r="V22">
        <v>119305000</v>
      </c>
      <c r="W22">
        <v>1.31</v>
      </c>
      <c r="X22">
        <v>0.2</v>
      </c>
      <c r="Y22">
        <v>14.86</v>
      </c>
      <c r="Z22" t="s">
        <v>256</v>
      </c>
      <c r="AA22" t="s">
        <v>314</v>
      </c>
      <c r="AB22" t="s">
        <v>3034</v>
      </c>
      <c r="AC22" t="s">
        <v>3035</v>
      </c>
      <c r="AD22" t="s">
        <v>3036</v>
      </c>
      <c r="AE22">
        <v>96091</v>
      </c>
      <c r="AF22" t="s">
        <v>17</v>
      </c>
      <c r="AG22">
        <v>4031.26</v>
      </c>
      <c r="AH22" t="s">
        <v>3037</v>
      </c>
      <c r="AI22" t="s">
        <v>3038</v>
      </c>
      <c r="AJ22" t="s">
        <v>9</v>
      </c>
      <c r="AK22" t="s">
        <v>3039</v>
      </c>
      <c r="AL22" t="s">
        <v>3040</v>
      </c>
      <c r="AM22" t="s">
        <v>9</v>
      </c>
      <c r="AN22" t="s">
        <v>3041</v>
      </c>
      <c r="AO22" t="s">
        <v>3042</v>
      </c>
      <c r="AP22" t="s">
        <v>9</v>
      </c>
      <c r="AQ22" t="s">
        <v>25</v>
      </c>
      <c r="AR22" t="s">
        <v>9</v>
      </c>
      <c r="AS22" t="s">
        <v>552</v>
      </c>
      <c r="AT22" t="s">
        <v>9</v>
      </c>
      <c r="AU22" t="s">
        <v>3043</v>
      </c>
      <c r="AV22" t="s">
        <v>3044</v>
      </c>
      <c r="AW22" t="s">
        <v>3045</v>
      </c>
      <c r="AX22" t="s">
        <v>530</v>
      </c>
      <c r="AY22" t="s">
        <v>409</v>
      </c>
      <c r="AZ22" t="s">
        <v>428</v>
      </c>
      <c r="BA22" t="s">
        <v>251</v>
      </c>
      <c r="BB22" t="s">
        <v>305</v>
      </c>
      <c r="BC22" t="s">
        <v>952</v>
      </c>
      <c r="BD22" t="s">
        <v>953</v>
      </c>
      <c r="BE22" t="s">
        <v>954</v>
      </c>
      <c r="BF22" t="s">
        <v>955</v>
      </c>
      <c r="BG22" t="s">
        <v>956</v>
      </c>
      <c r="BH22" t="s">
        <v>2125</v>
      </c>
      <c r="BI22" t="s">
        <v>343</v>
      </c>
      <c r="BJ22" t="s">
        <v>530</v>
      </c>
      <c r="BK22" t="s">
        <v>3046</v>
      </c>
      <c r="BL22" t="s">
        <v>957</v>
      </c>
      <c r="BM22" t="s">
        <v>952</v>
      </c>
      <c r="BN22">
        <v>11.57</v>
      </c>
      <c r="BO22">
        <v>13.9</v>
      </c>
      <c r="BP22">
        <v>10.27</v>
      </c>
      <c r="BQ22">
        <v>11.82</v>
      </c>
      <c r="BR22">
        <v>14.53</v>
      </c>
      <c r="BS22">
        <v>10.3</v>
      </c>
      <c r="BT22" t="s">
        <v>842</v>
      </c>
      <c r="BU22" t="s">
        <v>951</v>
      </c>
      <c r="BV22">
        <v>21.89</v>
      </c>
      <c r="BW22">
        <v>21.8</v>
      </c>
      <c r="BX22">
        <v>26.14</v>
      </c>
      <c r="BY22">
        <v>11.87</v>
      </c>
      <c r="BZ22">
        <v>12.55</v>
      </c>
      <c r="CA22">
        <v>12.71</v>
      </c>
      <c r="CB22">
        <v>-3.73</v>
      </c>
      <c r="CC22">
        <v>-5.13</v>
      </c>
      <c r="CD22" t="s">
        <v>3047</v>
      </c>
      <c r="CE22" t="s">
        <v>3048</v>
      </c>
      <c r="CF22" s="8">
        <v>-0.58840579710144925</v>
      </c>
      <c r="CG22" s="9">
        <v>0.371</v>
      </c>
      <c r="CH22" s="8">
        <v>-0.71881186962127686</v>
      </c>
      <c r="CI22" s="8">
        <v>0.5029761791229248</v>
      </c>
      <c r="CJ22" s="8">
        <v>5.6603774428367615E-2</v>
      </c>
      <c r="CK22" s="8">
        <v>1.2738853693008423E-2</v>
      </c>
      <c r="CL22" s="8">
        <v>-0.1490514874458313</v>
      </c>
      <c r="CM22" s="9">
        <v>-0.66771239042282104</v>
      </c>
      <c r="CN22" s="9">
        <v>0.48467552661895752</v>
      </c>
      <c r="CO22" s="9">
        <v>-0.29385817050933838</v>
      </c>
      <c r="CP22" s="9">
        <v>0.47876584529876709</v>
      </c>
      <c r="CQ22" s="9">
        <v>-5.4222363978624344E-2</v>
      </c>
      <c r="CR22">
        <v>1.0431354515175739</v>
      </c>
      <c r="CS22" t="e">
        <v>#DIV/0!</v>
      </c>
      <c r="CT22">
        <v>4.0816326530612246</v>
      </c>
      <c r="CU22" s="8">
        <v>0</v>
      </c>
      <c r="CV22" s="9">
        <v>0</v>
      </c>
      <c r="CW22">
        <v>0.06</v>
      </c>
      <c r="CX22">
        <v>39.949460470110857</v>
      </c>
      <c r="CY22">
        <v>19854811.320754714</v>
      </c>
      <c r="CZ22">
        <v>0</v>
      </c>
      <c r="DA22">
        <v>14.09951431844973</v>
      </c>
      <c r="DB22">
        <v>56256476.789564535</v>
      </c>
      <c r="DC22">
        <v>0</v>
      </c>
      <c r="DD22">
        <v>7.6643653654298829</v>
      </c>
      <c r="DE22">
        <v>103490499.49754205</v>
      </c>
      <c r="DF22">
        <v>0</v>
      </c>
      <c r="DG22">
        <v>5.1206147415848084</v>
      </c>
      <c r="DH22">
        <v>154901128.09277883</v>
      </c>
      <c r="DI22">
        <v>0</v>
      </c>
      <c r="DJ22">
        <v>3.2858264269347699</v>
      </c>
      <c r="DK22">
        <v>241397108.95804611</v>
      </c>
      <c r="DL22">
        <v>0</v>
      </c>
      <c r="DM22">
        <v>21046100</v>
      </c>
      <c r="DN22">
        <v>0</v>
      </c>
      <c r="DO22">
        <v>793189000</v>
      </c>
      <c r="DP22">
        <v>341187020</v>
      </c>
      <c r="DQ22">
        <v>21</v>
      </c>
      <c r="DR22">
        <v>-0.58840579710144925</v>
      </c>
      <c r="DS22">
        <v>0.371</v>
      </c>
      <c r="DT22">
        <v>-0.44</v>
      </c>
      <c r="DU22">
        <v>-0.22</v>
      </c>
      <c r="DV22">
        <v>-0.66</v>
      </c>
      <c r="DW22">
        <v>-8.7270955165692001</v>
      </c>
      <c r="DX22">
        <v>0.29573625646719776</v>
      </c>
      <c r="DY22">
        <v>-8.0841513131818026</v>
      </c>
      <c r="DZ22">
        <v>0</v>
      </c>
      <c r="EA22">
        <v>-8.0841513131818026</v>
      </c>
      <c r="EB22">
        <v>8</v>
      </c>
      <c r="EC22">
        <v>4.1062822178450191E-3</v>
      </c>
      <c r="ED22">
        <v>3.547965299023511E-2</v>
      </c>
      <c r="EE22">
        <v>0</v>
      </c>
      <c r="EF22">
        <v>0</v>
      </c>
      <c r="EG22">
        <v>18.115736256467198</v>
      </c>
      <c r="EH22" t="s">
        <v>86</v>
      </c>
      <c r="EI22">
        <v>0</v>
      </c>
      <c r="EJ22">
        <v>0</v>
      </c>
      <c r="EK22">
        <v>0</v>
      </c>
      <c r="EL22">
        <v>0</v>
      </c>
      <c r="EM22">
        <v>0</v>
      </c>
      <c r="EN22">
        <v>0</v>
      </c>
      <c r="EO22">
        <v>0</v>
      </c>
      <c r="EP22">
        <v>0</v>
      </c>
    </row>
    <row r="23" spans="1:146" ht="108" x14ac:dyDescent="0.25">
      <c r="A23" s="7"/>
      <c r="B23" s="7"/>
      <c r="C23" s="7" t="str">
        <f>""&amp;CHAR(10)&amp;Basic_Fundamental_Information_Constructure(F23)&amp;CHAR(10)&amp;Basic_Fundamental_Information_Concatenate("")</f>
        <v xml:space="preserve">
市值11.2435207亿, 利润1349.94万; PE15.35; 平均PE3.89, PB1.96; ROIC10.2467%; ROE10.98%; 股利率3.1017%; 毛利52.3133%; 净利20.58%; 上一年度营收增-77.96%, 利润增-77.71%; 当季营收增-50.46%, 利润增4.34%; 过往5年营收增0%, 利润增0%
Income profile:
</v>
      </c>
      <c r="D23">
        <v>830879</v>
      </c>
      <c r="E23" t="s">
        <v>958</v>
      </c>
      <c r="F23">
        <v>8.06</v>
      </c>
      <c r="G23" s="5">
        <v>-1.83</v>
      </c>
      <c r="H23" t="s">
        <v>3049</v>
      </c>
      <c r="I23">
        <v>1124352070</v>
      </c>
      <c r="J23">
        <v>15.35</v>
      </c>
      <c r="K23">
        <v>1.96</v>
      </c>
      <c r="L23" t="s">
        <v>2604</v>
      </c>
      <c r="M23" t="s">
        <v>166</v>
      </c>
      <c r="N23" t="s">
        <v>410</v>
      </c>
      <c r="O23" t="s">
        <v>3050</v>
      </c>
      <c r="P23">
        <v>14.53</v>
      </c>
      <c r="Q23" t="s">
        <v>3050</v>
      </c>
      <c r="R23">
        <v>13499396</v>
      </c>
      <c r="S23" s="5">
        <v>4.3400000000000001E-2</v>
      </c>
      <c r="T23" t="s">
        <v>3051</v>
      </c>
      <c r="U23">
        <v>52437437</v>
      </c>
      <c r="V23">
        <v>139497780</v>
      </c>
      <c r="W23">
        <v>1.1499999999999999</v>
      </c>
      <c r="X23">
        <v>0.1</v>
      </c>
      <c r="Y23">
        <v>20.49</v>
      </c>
      <c r="Z23" t="s">
        <v>3052</v>
      </c>
      <c r="AA23" t="s">
        <v>3053</v>
      </c>
      <c r="AB23" t="s">
        <v>3054</v>
      </c>
      <c r="AC23" t="s">
        <v>3055</v>
      </c>
      <c r="AD23" t="s">
        <v>3056</v>
      </c>
      <c r="AE23">
        <v>104767</v>
      </c>
      <c r="AF23" t="s">
        <v>3057</v>
      </c>
      <c r="AG23" t="s">
        <v>3058</v>
      </c>
      <c r="AH23" t="s">
        <v>3059</v>
      </c>
      <c r="AI23" t="s">
        <v>3060</v>
      </c>
      <c r="AJ23" t="s">
        <v>9</v>
      </c>
      <c r="AK23" t="s">
        <v>3061</v>
      </c>
      <c r="AL23" t="s">
        <v>3062</v>
      </c>
      <c r="AM23" t="s">
        <v>9</v>
      </c>
      <c r="AN23">
        <v>0</v>
      </c>
      <c r="AO23" t="s">
        <v>9</v>
      </c>
      <c r="AP23" t="s">
        <v>3063</v>
      </c>
      <c r="AQ23" t="s">
        <v>3064</v>
      </c>
      <c r="AR23" t="s">
        <v>9</v>
      </c>
      <c r="AS23" t="s">
        <v>3065</v>
      </c>
      <c r="AT23" t="s">
        <v>9</v>
      </c>
      <c r="AU23" t="s">
        <v>3066</v>
      </c>
      <c r="AV23" t="s">
        <v>3067</v>
      </c>
      <c r="AW23" t="s">
        <v>9</v>
      </c>
      <c r="AX23" t="s">
        <v>415</v>
      </c>
      <c r="AY23" t="s">
        <v>543</v>
      </c>
      <c r="AZ23" t="s">
        <v>104</v>
      </c>
      <c r="BA23" t="s">
        <v>22</v>
      </c>
      <c r="BB23" t="s">
        <v>434</v>
      </c>
      <c r="BC23" t="s">
        <v>960</v>
      </c>
      <c r="BD23" t="s">
        <v>961</v>
      </c>
      <c r="BE23" t="s">
        <v>962</v>
      </c>
      <c r="BF23" t="s">
        <v>963</v>
      </c>
      <c r="BG23" t="s">
        <v>964</v>
      </c>
      <c r="BH23" t="s">
        <v>486</v>
      </c>
      <c r="BI23" t="s">
        <v>20</v>
      </c>
      <c r="BJ23" t="s">
        <v>415</v>
      </c>
      <c r="BK23" t="s">
        <v>3068</v>
      </c>
      <c r="BL23" t="s">
        <v>965</v>
      </c>
      <c r="BM23" t="s">
        <v>960</v>
      </c>
      <c r="BN23">
        <v>8.5</v>
      </c>
      <c r="BO23">
        <v>11.19</v>
      </c>
      <c r="BP23">
        <v>11.05</v>
      </c>
      <c r="BQ23">
        <v>8.73</v>
      </c>
      <c r="BR23">
        <v>12.7</v>
      </c>
      <c r="BS23">
        <v>11.51</v>
      </c>
      <c r="BT23" t="s">
        <v>1165</v>
      </c>
      <c r="BU23" t="s">
        <v>844</v>
      </c>
      <c r="BV23">
        <v>54.55</v>
      </c>
      <c r="BW23">
        <v>50.79</v>
      </c>
      <c r="BX23">
        <v>51.6</v>
      </c>
      <c r="BY23">
        <v>22.04</v>
      </c>
      <c r="BZ23">
        <v>20.260000000000002</v>
      </c>
      <c r="CA23">
        <v>19.440000000000001</v>
      </c>
      <c r="CB23">
        <v>-6.39</v>
      </c>
      <c r="CC23">
        <v>-6.93</v>
      </c>
      <c r="CD23" t="s">
        <v>3069</v>
      </c>
      <c r="CE23" t="s">
        <v>3070</v>
      </c>
      <c r="CF23" s="8">
        <v>-0.50457593984962401</v>
      </c>
      <c r="CG23" s="9">
        <v>4.3400000000000001E-2</v>
      </c>
      <c r="CH23" s="8">
        <v>-0.77962744235992432</v>
      </c>
      <c r="CI23" s="8">
        <v>0.15444014966487885</v>
      </c>
      <c r="CJ23" s="8">
        <v>0.22169812023639679</v>
      </c>
      <c r="CK23" s="8">
        <v>0.23976607620716095</v>
      </c>
      <c r="CL23" s="8">
        <v>0.11764705926179886</v>
      </c>
      <c r="CM23" s="9">
        <v>-0.77705293893814087</v>
      </c>
      <c r="CN23" s="9">
        <v>0.20173780620098114</v>
      </c>
      <c r="CO23" s="9">
        <v>0.24354781210422516</v>
      </c>
      <c r="CP23" s="9">
        <v>0.93337243795394897</v>
      </c>
      <c r="CQ23" s="9">
        <v>0.47078680992126465</v>
      </c>
      <c r="CR23">
        <v>3.8916150879544578</v>
      </c>
      <c r="CS23" t="e">
        <v>#DIV/0!</v>
      </c>
      <c r="CT23">
        <v>3.1017369727047144</v>
      </c>
      <c r="CU23" s="8">
        <v>0</v>
      </c>
      <c r="CV23" s="9">
        <v>0</v>
      </c>
      <c r="CW23">
        <v>0.06</v>
      </c>
      <c r="CX23">
        <v>51.538082744418276</v>
      </c>
      <c r="CY23">
        <v>12735283.018867923</v>
      </c>
      <c r="CZ23">
        <v>0</v>
      </c>
      <c r="DA23">
        <v>18.189530648205924</v>
      </c>
      <c r="DB23">
        <v>36084057.510562405</v>
      </c>
      <c r="DC23">
        <v>0</v>
      </c>
      <c r="DD23">
        <v>9.8876603523222197</v>
      </c>
      <c r="DE23">
        <v>66380928.00647717</v>
      </c>
      <c r="DF23">
        <v>0</v>
      </c>
      <c r="DG23">
        <v>6.6060132764880253</v>
      </c>
      <c r="DH23">
        <v>99356759.141867548</v>
      </c>
      <c r="DI23">
        <v>0</v>
      </c>
      <c r="DJ23">
        <v>4.2389857655739824</v>
      </c>
      <c r="DK23">
        <v>154837054.49789974</v>
      </c>
      <c r="DL23">
        <v>0</v>
      </c>
      <c r="DM23">
        <v>13499400</v>
      </c>
      <c r="DN23">
        <v>0</v>
      </c>
      <c r="DO23">
        <v>656352070</v>
      </c>
      <c r="DP23">
        <v>488335140</v>
      </c>
      <c r="DQ23">
        <v>22</v>
      </c>
      <c r="DR23">
        <v>-0.50457593984962401</v>
      </c>
      <c r="DS23">
        <v>4.3400000000000001E-2</v>
      </c>
      <c r="DT23">
        <v>-0.44</v>
      </c>
      <c r="DU23">
        <v>-0.22</v>
      </c>
      <c r="DV23">
        <v>-0.66</v>
      </c>
      <c r="DW23">
        <v>-9.9220779220779214</v>
      </c>
      <c r="DX23">
        <v>0.24172866484424929</v>
      </c>
      <c r="DY23">
        <v>-9.1399056519992428</v>
      </c>
      <c r="DZ23">
        <v>0</v>
      </c>
      <c r="EA23">
        <v>-9.1399056519992428</v>
      </c>
      <c r="EB23">
        <v>9</v>
      </c>
      <c r="EC23">
        <v>1.3090530903072438E-2</v>
      </c>
      <c r="ED23">
        <v>8.627592496454066E-2</v>
      </c>
      <c r="EE23">
        <v>0</v>
      </c>
      <c r="EF23">
        <v>0</v>
      </c>
      <c r="EG23">
        <v>9.1517286648442493</v>
      </c>
      <c r="EH23" t="s">
        <v>86</v>
      </c>
      <c r="EI23">
        <v>0</v>
      </c>
      <c r="EJ23">
        <v>0</v>
      </c>
      <c r="EK23">
        <v>0</v>
      </c>
      <c r="EL23">
        <v>0</v>
      </c>
      <c r="EM23">
        <v>0</v>
      </c>
      <c r="EN23">
        <v>0</v>
      </c>
      <c r="EO23">
        <v>0</v>
      </c>
      <c r="EP23">
        <v>0</v>
      </c>
    </row>
    <row r="24" spans="1:146" ht="108" x14ac:dyDescent="0.25">
      <c r="A24" s="7"/>
      <c r="B24" s="7"/>
      <c r="C24" s="7" t="str">
        <f>""&amp;CHAR(10)&amp;Basic_Fundamental_Information_Constructure(F24)&amp;CHAR(10)&amp;Basic_Fundamental_Information_Concatenate("")</f>
        <v xml:space="preserve">
市值7.0452071亿, 利润758.28万; PE18.09; 平均PE1.05, PB1.73; ROIC9.3933%; ROE12.325%; 股利率2.8736%; 毛利23.6%; 净利10.9767%; 上一年度营收增-76.44%, 利润增-79.33%; 当季营收增-53.75%, 利润增3.09%; 过往5年营收增0%, 利润增0%
Income profile:
</v>
      </c>
      <c r="D24">
        <v>830896</v>
      </c>
      <c r="E24" t="s">
        <v>3071</v>
      </c>
      <c r="F24">
        <v>6.96</v>
      </c>
      <c r="G24" s="5">
        <v>-2.11</v>
      </c>
      <c r="H24" t="s">
        <v>3072</v>
      </c>
      <c r="I24">
        <v>704520710</v>
      </c>
      <c r="J24">
        <v>18.09</v>
      </c>
      <c r="K24">
        <v>1.73</v>
      </c>
      <c r="L24" t="s">
        <v>2604</v>
      </c>
      <c r="M24" t="s">
        <v>416</v>
      </c>
      <c r="N24" t="s">
        <v>979</v>
      </c>
      <c r="O24" t="s">
        <v>3073</v>
      </c>
      <c r="P24">
        <v>1.46</v>
      </c>
      <c r="Q24" t="s">
        <v>3073</v>
      </c>
      <c r="R24">
        <v>7582817</v>
      </c>
      <c r="S24" s="5">
        <v>3.09E-2</v>
      </c>
      <c r="T24" t="s">
        <v>3074</v>
      </c>
      <c r="U24">
        <v>25461001</v>
      </c>
      <c r="V24">
        <v>101224240</v>
      </c>
      <c r="W24">
        <v>1.41</v>
      </c>
      <c r="X24">
        <v>0.13</v>
      </c>
      <c r="Y24">
        <v>10</v>
      </c>
      <c r="Z24" t="s">
        <v>3075</v>
      </c>
      <c r="AA24" t="s">
        <v>3076</v>
      </c>
      <c r="AB24" t="s">
        <v>2786</v>
      </c>
      <c r="AC24" t="s">
        <v>3077</v>
      </c>
      <c r="AD24" t="s">
        <v>2517</v>
      </c>
      <c r="AE24">
        <v>266287</v>
      </c>
      <c r="AF24" t="s">
        <v>3078</v>
      </c>
      <c r="AG24" t="s">
        <v>3079</v>
      </c>
      <c r="AH24" t="s">
        <v>3080</v>
      </c>
      <c r="AI24" t="s">
        <v>3081</v>
      </c>
      <c r="AJ24" t="s">
        <v>9</v>
      </c>
      <c r="AK24" t="s">
        <v>9</v>
      </c>
      <c r="AL24" t="s">
        <v>3082</v>
      </c>
      <c r="AM24" t="s">
        <v>9</v>
      </c>
      <c r="AN24" t="s">
        <v>3083</v>
      </c>
      <c r="AO24" t="s">
        <v>9</v>
      </c>
      <c r="AP24" t="s">
        <v>1838</v>
      </c>
      <c r="AQ24" t="s">
        <v>3084</v>
      </c>
      <c r="AR24" t="s">
        <v>9</v>
      </c>
      <c r="AS24" t="s">
        <v>3085</v>
      </c>
      <c r="AT24" t="s">
        <v>3086</v>
      </c>
      <c r="AU24" t="s">
        <v>3087</v>
      </c>
      <c r="AV24" t="s">
        <v>3088</v>
      </c>
      <c r="AW24" t="s">
        <v>3089</v>
      </c>
      <c r="AX24" t="s">
        <v>362</v>
      </c>
      <c r="AY24" t="s">
        <v>358</v>
      </c>
      <c r="AZ24" t="s">
        <v>681</v>
      </c>
      <c r="BA24" t="s">
        <v>263</v>
      </c>
      <c r="BB24" t="s">
        <v>421</v>
      </c>
      <c r="BC24" t="s">
        <v>967</v>
      </c>
      <c r="BD24" t="s">
        <v>968</v>
      </c>
      <c r="BE24" t="s">
        <v>969</v>
      </c>
      <c r="BF24" t="s">
        <v>970</v>
      </c>
      <c r="BG24" t="s">
        <v>971</v>
      </c>
      <c r="BH24" t="s">
        <v>45</v>
      </c>
      <c r="BI24" t="s">
        <v>108</v>
      </c>
      <c r="BJ24" t="s">
        <v>362</v>
      </c>
      <c r="BK24" t="s">
        <v>3090</v>
      </c>
      <c r="BL24" t="s">
        <v>972</v>
      </c>
      <c r="BM24" t="s">
        <v>967</v>
      </c>
      <c r="BN24">
        <v>7.36</v>
      </c>
      <c r="BO24">
        <v>10.23</v>
      </c>
      <c r="BP24">
        <v>10.59</v>
      </c>
      <c r="BQ24">
        <v>9.92</v>
      </c>
      <c r="BR24">
        <v>14.73</v>
      </c>
      <c r="BS24" t="s">
        <v>9</v>
      </c>
      <c r="BT24" t="s">
        <v>851</v>
      </c>
      <c r="BU24" t="s">
        <v>822</v>
      </c>
      <c r="BV24">
        <v>22.36</v>
      </c>
      <c r="BW24">
        <v>23.5</v>
      </c>
      <c r="BX24">
        <v>24.94</v>
      </c>
      <c r="BY24">
        <v>11.27</v>
      </c>
      <c r="BZ24">
        <v>11.41</v>
      </c>
      <c r="CA24">
        <v>10.25</v>
      </c>
      <c r="CB24">
        <v>0.87</v>
      </c>
      <c r="CC24">
        <v>-8.9</v>
      </c>
      <c r="CD24" t="s">
        <v>3091</v>
      </c>
      <c r="CE24" t="s">
        <v>3092</v>
      </c>
      <c r="CF24" s="8">
        <v>-0.5374512195121951</v>
      </c>
      <c r="CG24" s="9">
        <v>3.09E-2</v>
      </c>
      <c r="CH24" s="8">
        <v>-0.7644161581993103</v>
      </c>
      <c r="CI24" s="8">
        <v>-0.11780822277069092</v>
      </c>
      <c r="CJ24" s="8">
        <v>0.28521126508712769</v>
      </c>
      <c r="CK24" s="8">
        <v>-6.2706269323825836E-2</v>
      </c>
      <c r="CL24" s="8">
        <v>-7.6219514012336731E-2</v>
      </c>
      <c r="CM24" s="9">
        <v>-0.79332280158996582</v>
      </c>
      <c r="CN24" s="9">
        <v>-1.8125910311937332E-2</v>
      </c>
      <c r="CO24" s="9">
        <v>0.53940337896347046</v>
      </c>
      <c r="CP24" s="9">
        <v>-0.15198297798633575</v>
      </c>
      <c r="CQ24" s="9">
        <v>-0.35474154353141785</v>
      </c>
      <c r="CR24">
        <v>1.0505871185253102</v>
      </c>
      <c r="CS24" t="e">
        <v>#DIV/0!</v>
      </c>
      <c r="CT24">
        <v>2.8735632183908044</v>
      </c>
      <c r="CU24" s="8">
        <v>0</v>
      </c>
      <c r="CV24" s="9">
        <v>0</v>
      </c>
      <c r="CW24">
        <v>0.06</v>
      </c>
      <c r="CX24">
        <v>69.828025610592391</v>
      </c>
      <c r="CY24">
        <v>7153584.9056603769</v>
      </c>
      <c r="CZ24">
        <v>0</v>
      </c>
      <c r="DA24">
        <v>24.644669423313744</v>
      </c>
      <c r="DB24">
        <v>20268915.01037769</v>
      </c>
      <c r="DC24">
        <v>0</v>
      </c>
      <c r="DD24">
        <v>13.396613989983383</v>
      </c>
      <c r="DE24">
        <v>37287086.899233676</v>
      </c>
      <c r="DF24">
        <v>0</v>
      </c>
      <c r="DG24">
        <v>8.9503691191243959</v>
      </c>
      <c r="DH24">
        <v>55810068.093467355</v>
      </c>
      <c r="DI24">
        <v>0</v>
      </c>
      <c r="DJ24">
        <v>5.7433259221016399</v>
      </c>
      <c r="DK24">
        <v>86974118.616136581</v>
      </c>
      <c r="DL24">
        <v>0</v>
      </c>
      <c r="DM24">
        <v>7582800</v>
      </c>
      <c r="DN24">
        <v>0</v>
      </c>
      <c r="DO24">
        <v>499520710</v>
      </c>
      <c r="DP24">
        <v>184063970</v>
      </c>
      <c r="DQ24">
        <v>23</v>
      </c>
      <c r="DR24">
        <v>-0.5374512195121951</v>
      </c>
      <c r="DS24">
        <v>3.09E-2</v>
      </c>
      <c r="DT24">
        <v>-0.44</v>
      </c>
      <c r="DU24">
        <v>-0.22</v>
      </c>
      <c r="DV24">
        <v>-0.66</v>
      </c>
      <c r="DW24">
        <v>-2.089</v>
      </c>
      <c r="DX24">
        <v>0.42696557978620719</v>
      </c>
      <c r="DY24">
        <v>-2.0246499366009725</v>
      </c>
      <c r="DZ24">
        <v>0</v>
      </c>
      <c r="EA24">
        <v>-2.0246499366009725</v>
      </c>
      <c r="EB24">
        <v>2</v>
      </c>
      <c r="EC24">
        <v>3.2584092505905701E-2</v>
      </c>
      <c r="ED24">
        <v>0.11764672177336177</v>
      </c>
      <c r="EE24">
        <v>0</v>
      </c>
      <c r="EF24">
        <v>0</v>
      </c>
      <c r="EG24">
        <v>15.276965579786207</v>
      </c>
      <c r="EH24" t="s">
        <v>86</v>
      </c>
      <c r="EI24">
        <v>0</v>
      </c>
      <c r="EJ24">
        <v>0</v>
      </c>
      <c r="EK24">
        <v>0</v>
      </c>
      <c r="EL24">
        <v>0</v>
      </c>
      <c r="EM24">
        <v>0</v>
      </c>
      <c r="EN24">
        <v>0</v>
      </c>
      <c r="EO24">
        <v>0</v>
      </c>
      <c r="EP24">
        <v>0</v>
      </c>
    </row>
    <row r="25" spans="1:146" ht="96" x14ac:dyDescent="0.25">
      <c r="A25" s="7"/>
      <c r="B25" s="7"/>
      <c r="C25" s="7" t="str">
        <f>""&amp;CHAR(10)&amp;Basic_Fundamental_Information_Constructure(F25)&amp;CHAR(10)&amp;Basic_Fundamental_Information_Concatenate("")</f>
        <v xml:space="preserve">
市值26.853164亿, 利润3486.18万; PE21.66; 平均PE16.36, PB2.29; ROIC11.59%; ROE12.8133%; 股利率2.5437%; 毛利44.2433%; 净利25.1167%; 上一年度营收增-77.88%, 利润增-78.35%; 当季营收增-56.6%, 利润增-23.21%; 过往5年营收增0%, 利润增0%
Income profile:
</v>
      </c>
      <c r="D25">
        <v>830946</v>
      </c>
      <c r="E25" t="s">
        <v>973</v>
      </c>
      <c r="F25">
        <v>6.29</v>
      </c>
      <c r="G25" s="5">
        <v>-2.48</v>
      </c>
      <c r="H25" t="s">
        <v>3093</v>
      </c>
      <c r="I25">
        <v>2685316400</v>
      </c>
      <c r="J25">
        <v>21.66</v>
      </c>
      <c r="K25">
        <v>2.29</v>
      </c>
      <c r="L25" t="s">
        <v>2604</v>
      </c>
      <c r="M25" t="s">
        <v>90</v>
      </c>
      <c r="N25" t="s">
        <v>2166</v>
      </c>
      <c r="O25" t="s">
        <v>300</v>
      </c>
      <c r="P25">
        <v>-21.4</v>
      </c>
      <c r="Q25" t="s">
        <v>300</v>
      </c>
      <c r="R25">
        <v>34861755</v>
      </c>
      <c r="S25" s="5">
        <v>-0.2321</v>
      </c>
      <c r="T25" t="s">
        <v>3094</v>
      </c>
      <c r="U25">
        <v>426712090</v>
      </c>
      <c r="V25">
        <v>426918340</v>
      </c>
      <c r="W25">
        <v>1.08</v>
      </c>
      <c r="X25">
        <v>0.1</v>
      </c>
      <c r="Y25">
        <v>26.42</v>
      </c>
      <c r="Z25" t="s">
        <v>3095</v>
      </c>
      <c r="AA25" t="s">
        <v>3096</v>
      </c>
      <c r="AB25" t="s">
        <v>3097</v>
      </c>
      <c r="AC25" t="s">
        <v>3098</v>
      </c>
      <c r="AD25" t="s">
        <v>3099</v>
      </c>
      <c r="AE25">
        <v>4414159</v>
      </c>
      <c r="AF25" t="s">
        <v>3100</v>
      </c>
      <c r="AG25">
        <v>2500.27</v>
      </c>
      <c r="AH25" t="s">
        <v>3101</v>
      </c>
      <c r="AI25" t="s">
        <v>448</v>
      </c>
      <c r="AJ25" t="s">
        <v>9</v>
      </c>
      <c r="AK25" t="s">
        <v>3102</v>
      </c>
      <c r="AL25" t="s">
        <v>3103</v>
      </c>
      <c r="AM25" t="s">
        <v>9</v>
      </c>
      <c r="AN25" t="s">
        <v>3104</v>
      </c>
      <c r="AO25" t="s">
        <v>3105</v>
      </c>
      <c r="AP25" t="s">
        <v>3106</v>
      </c>
      <c r="AQ25" t="s">
        <v>3107</v>
      </c>
      <c r="AR25" t="s">
        <v>9</v>
      </c>
      <c r="AS25" t="s">
        <v>3108</v>
      </c>
      <c r="AT25" t="s">
        <v>9</v>
      </c>
      <c r="AU25" t="s">
        <v>3109</v>
      </c>
      <c r="AV25" t="s">
        <v>3110</v>
      </c>
      <c r="AW25" t="s">
        <v>3111</v>
      </c>
      <c r="AX25" t="s">
        <v>321</v>
      </c>
      <c r="AY25" t="s">
        <v>352</v>
      </c>
      <c r="AZ25" t="s">
        <v>335</v>
      </c>
      <c r="BA25" t="s">
        <v>974</v>
      </c>
      <c r="BB25" t="s">
        <v>270</v>
      </c>
      <c r="BC25" t="s">
        <v>128</v>
      </c>
      <c r="BD25" t="s">
        <v>406</v>
      </c>
      <c r="BE25" t="s">
        <v>258</v>
      </c>
      <c r="BF25" t="s">
        <v>166</v>
      </c>
      <c r="BG25" t="s">
        <v>975</v>
      </c>
      <c r="BH25" t="s">
        <v>589</v>
      </c>
      <c r="BI25" t="s">
        <v>428</v>
      </c>
      <c r="BJ25" t="s">
        <v>321</v>
      </c>
      <c r="BK25" t="s">
        <v>167</v>
      </c>
      <c r="BL25" t="s">
        <v>976</v>
      </c>
      <c r="BM25" t="s">
        <v>128</v>
      </c>
      <c r="BN25">
        <v>8.2799999999999994</v>
      </c>
      <c r="BO25">
        <v>14.06</v>
      </c>
      <c r="BP25">
        <v>12.43</v>
      </c>
      <c r="BQ25">
        <v>9.3800000000000008</v>
      </c>
      <c r="BR25">
        <v>15.56</v>
      </c>
      <c r="BS25">
        <v>13.5</v>
      </c>
      <c r="BT25" t="s">
        <v>3112</v>
      </c>
      <c r="BU25" t="s">
        <v>853</v>
      </c>
      <c r="BV25">
        <v>43.01</v>
      </c>
      <c r="BW25">
        <v>44.85</v>
      </c>
      <c r="BX25">
        <v>44.87</v>
      </c>
      <c r="BY25">
        <v>23.95</v>
      </c>
      <c r="BZ25">
        <v>26.93</v>
      </c>
      <c r="CA25">
        <v>24.47</v>
      </c>
      <c r="CB25">
        <v>-1.72</v>
      </c>
      <c r="CC25">
        <v>-10.91</v>
      </c>
      <c r="CD25" t="s">
        <v>3113</v>
      </c>
      <c r="CE25" t="s">
        <v>3114</v>
      </c>
      <c r="CF25" s="8">
        <v>-0.56603773584905659</v>
      </c>
      <c r="CG25" s="9">
        <v>-0.2321</v>
      </c>
      <c r="CH25" s="8">
        <v>-0.7788461446762085</v>
      </c>
      <c r="CI25" s="8">
        <v>0.10638298094272614</v>
      </c>
      <c r="CJ25" s="8">
        <v>2.9197080060839653E-2</v>
      </c>
      <c r="CK25" s="8">
        <v>8.0867849290370941E-2</v>
      </c>
      <c r="CL25" s="8">
        <v>0.31688311696052551</v>
      </c>
      <c r="CM25" s="9">
        <v>-0.78346705436706543</v>
      </c>
      <c r="CN25" s="9">
        <v>0.22900763154029846</v>
      </c>
      <c r="CO25" s="9">
        <v>-9.6551723778247833E-2</v>
      </c>
      <c r="CP25" s="9">
        <v>0.36792454123497009</v>
      </c>
      <c r="CQ25" s="9">
        <v>1.2620764970779419</v>
      </c>
      <c r="CR25">
        <v>16.35955257884914</v>
      </c>
      <c r="CS25" t="e">
        <v>#DIV/0!</v>
      </c>
      <c r="CT25">
        <v>2.5437201907790143</v>
      </c>
      <c r="CU25" s="8">
        <v>0</v>
      </c>
      <c r="CV25" s="9">
        <v>0</v>
      </c>
      <c r="CW25">
        <v>0.06</v>
      </c>
      <c r="CX25">
        <v>47.321004193701995</v>
      </c>
      <c r="CY25">
        <v>32888490.566037733</v>
      </c>
      <c r="CZ25">
        <v>0</v>
      </c>
      <c r="DA25">
        <v>16.701181150912038</v>
      </c>
      <c r="DB25">
        <v>93186007.979741648</v>
      </c>
      <c r="DC25">
        <v>0</v>
      </c>
      <c r="DD25">
        <v>9.0786073536818748</v>
      </c>
      <c r="DE25">
        <v>171426777.18833473</v>
      </c>
      <c r="DF25">
        <v>0</v>
      </c>
      <c r="DG25">
        <v>6.0654794535250094</v>
      </c>
      <c r="DH25">
        <v>256585882.76900885</v>
      </c>
      <c r="DI25">
        <v>0</v>
      </c>
      <c r="DJ25">
        <v>3.8921328172902259</v>
      </c>
      <c r="DK25">
        <v>399862099.53737807</v>
      </c>
      <c r="DL25">
        <v>0</v>
      </c>
      <c r="DM25">
        <v>34861800</v>
      </c>
      <c r="DN25">
        <v>0</v>
      </c>
      <c r="DO25">
        <v>1556316400</v>
      </c>
      <c r="DP25">
        <v>845163610</v>
      </c>
      <c r="DQ25">
        <v>24</v>
      </c>
      <c r="DR25">
        <v>-0.56603773584905659</v>
      </c>
      <c r="DS25">
        <v>-0.2321</v>
      </c>
      <c r="DT25">
        <v>-0.44</v>
      </c>
      <c r="DU25">
        <v>-0.22</v>
      </c>
      <c r="DV25">
        <v>-0.66</v>
      </c>
      <c r="DW25">
        <v>-2.1091000000000002</v>
      </c>
      <c r="DX25">
        <v>0.27953813481233214</v>
      </c>
      <c r="DY25">
        <v>-2.0141326105080255</v>
      </c>
      <c r="DZ25">
        <v>0</v>
      </c>
      <c r="EA25">
        <v>-2.0141326105080255</v>
      </c>
      <c r="EB25">
        <v>2</v>
      </c>
      <c r="EC25">
        <v>6.9151397899654549E-3</v>
      </c>
      <c r="ED25">
        <v>5.3383042761760952E-2</v>
      </c>
      <c r="EE25">
        <v>0</v>
      </c>
      <c r="EF25">
        <v>0</v>
      </c>
      <c r="EG25">
        <v>15.129538134812332</v>
      </c>
      <c r="EH25" t="s">
        <v>86</v>
      </c>
      <c r="EI25">
        <v>0</v>
      </c>
      <c r="EJ25">
        <v>0</v>
      </c>
      <c r="EK25">
        <v>0</v>
      </c>
      <c r="EL25">
        <v>0</v>
      </c>
      <c r="EM25">
        <v>0</v>
      </c>
      <c r="EN25">
        <v>0</v>
      </c>
      <c r="EO25">
        <v>0</v>
      </c>
      <c r="EP25">
        <v>0</v>
      </c>
    </row>
    <row r="26" spans="1:146" ht="108" x14ac:dyDescent="0.25">
      <c r="A26" s="7"/>
      <c r="B26" s="7"/>
      <c r="C26" s="7" t="str">
        <f>""&amp;CHAR(10)&amp;Basic_Fundamental_Information_Constructure(F26)&amp;CHAR(10)&amp;Basic_Fundamental_Information_Concatenate("")</f>
        <v xml:space="preserve">
市值7.2093408亿, 利润880.33万; PE23.07; 平均PE6.24, PB.796; ROIC5.1033%; ROE5.2233%; 股利率1.8116%; 毛利21.7033%; 净利7.2767%; 上一年度营收增-80.3%, 利润增-82.24%; 当季营收增-59.38%, 利润增-18.75%; 过往5年营收增0%, 利润增0%
Income profile:
</v>
      </c>
      <c r="D26">
        <v>830964</v>
      </c>
      <c r="E26" t="s">
        <v>977</v>
      </c>
      <c r="F26">
        <v>2.76</v>
      </c>
      <c r="G26" s="5">
        <v>-1.43</v>
      </c>
      <c r="H26" t="s">
        <v>3115</v>
      </c>
      <c r="I26">
        <v>720934080</v>
      </c>
      <c r="J26">
        <v>23.07</v>
      </c>
      <c r="K26">
        <v>0.79600000000000004</v>
      </c>
      <c r="L26" t="s">
        <v>2604</v>
      </c>
      <c r="M26" t="s">
        <v>426</v>
      </c>
      <c r="N26" t="s">
        <v>1552</v>
      </c>
      <c r="O26" t="s">
        <v>94</v>
      </c>
      <c r="P26">
        <v>6.85</v>
      </c>
      <c r="Q26" t="s">
        <v>94</v>
      </c>
      <c r="R26">
        <v>8803289</v>
      </c>
      <c r="S26" s="5">
        <v>-0.1875</v>
      </c>
      <c r="T26" t="s">
        <v>3116</v>
      </c>
      <c r="U26">
        <v>179395410</v>
      </c>
      <c r="V26">
        <v>261208000</v>
      </c>
      <c r="W26">
        <v>1.32</v>
      </c>
      <c r="X26">
        <v>0.11</v>
      </c>
      <c r="Y26">
        <v>6.75</v>
      </c>
      <c r="Z26" t="s">
        <v>21</v>
      </c>
      <c r="AA26" t="s">
        <v>166</v>
      </c>
      <c r="AB26" t="s">
        <v>3117</v>
      </c>
      <c r="AC26" t="s">
        <v>3118</v>
      </c>
      <c r="AD26" t="s">
        <v>3119</v>
      </c>
      <c r="AE26">
        <v>677284</v>
      </c>
      <c r="AF26" t="s">
        <v>17</v>
      </c>
      <c r="AG26" t="s">
        <v>3120</v>
      </c>
      <c r="AH26" t="s">
        <v>3121</v>
      </c>
      <c r="AI26" t="s">
        <v>3122</v>
      </c>
      <c r="AJ26" t="s">
        <v>9</v>
      </c>
      <c r="AK26" t="s">
        <v>3123</v>
      </c>
      <c r="AL26" t="s">
        <v>3124</v>
      </c>
      <c r="AM26" t="s">
        <v>9</v>
      </c>
      <c r="AN26">
        <v>4095.13</v>
      </c>
      <c r="AO26" t="s">
        <v>3125</v>
      </c>
      <c r="AP26" t="s">
        <v>9</v>
      </c>
      <c r="AQ26" t="s">
        <v>314</v>
      </c>
      <c r="AR26" t="s">
        <v>9</v>
      </c>
      <c r="AS26" t="s">
        <v>262</v>
      </c>
      <c r="AT26" t="s">
        <v>9</v>
      </c>
      <c r="AU26" t="s">
        <v>3126</v>
      </c>
      <c r="AV26" t="s">
        <v>3127</v>
      </c>
      <c r="AW26" t="s">
        <v>3128</v>
      </c>
      <c r="AX26" t="s">
        <v>308</v>
      </c>
      <c r="AY26" t="s">
        <v>676</v>
      </c>
      <c r="AZ26" t="s">
        <v>455</v>
      </c>
      <c r="BA26" t="s">
        <v>542</v>
      </c>
      <c r="BB26" t="s">
        <v>474</v>
      </c>
      <c r="BC26" t="s">
        <v>3129</v>
      </c>
      <c r="BD26" t="s">
        <v>980</v>
      </c>
      <c r="BE26" t="s">
        <v>981</v>
      </c>
      <c r="BF26" t="s">
        <v>982</v>
      </c>
      <c r="BG26" t="s">
        <v>983</v>
      </c>
      <c r="BH26" t="s">
        <v>3130</v>
      </c>
      <c r="BI26" t="s">
        <v>42</v>
      </c>
      <c r="BJ26" t="s">
        <v>308</v>
      </c>
      <c r="BK26" t="s">
        <v>3131</v>
      </c>
      <c r="BL26" t="s">
        <v>984</v>
      </c>
      <c r="BM26" t="s">
        <v>3129</v>
      </c>
      <c r="BN26">
        <v>2.73</v>
      </c>
      <c r="BO26">
        <v>5.67</v>
      </c>
      <c r="BP26">
        <v>6.91</v>
      </c>
      <c r="BQ26">
        <v>2.73</v>
      </c>
      <c r="BR26">
        <v>5.79</v>
      </c>
      <c r="BS26">
        <v>7.15</v>
      </c>
      <c r="BT26" t="s">
        <v>985</v>
      </c>
      <c r="BU26" t="s">
        <v>978</v>
      </c>
      <c r="BV26">
        <v>18.41</v>
      </c>
      <c r="BW26">
        <v>20.88</v>
      </c>
      <c r="BX26">
        <v>25.82</v>
      </c>
      <c r="BY26">
        <v>4.4400000000000004</v>
      </c>
      <c r="BZ26">
        <v>7.51</v>
      </c>
      <c r="CA26">
        <v>9.8800000000000008</v>
      </c>
      <c r="CB26">
        <v>-4.17</v>
      </c>
      <c r="CC26">
        <v>-6.76</v>
      </c>
      <c r="CD26" t="s">
        <v>3132</v>
      </c>
      <c r="CE26" t="s">
        <v>3133</v>
      </c>
      <c r="CF26" s="8">
        <v>-0.59375</v>
      </c>
      <c r="CG26" s="9">
        <v>-0.1875</v>
      </c>
      <c r="CH26" s="8">
        <v>-0.80303031206130981</v>
      </c>
      <c r="CI26" s="8">
        <v>0.12054329365491867</v>
      </c>
      <c r="CJ26" s="8">
        <v>0.14591439068317413</v>
      </c>
      <c r="CK26" s="8">
        <v>0.10537634044885635</v>
      </c>
      <c r="CL26" s="8">
        <v>6.8965516984462738E-2</v>
      </c>
      <c r="CM26" s="9">
        <v>-0.82241851091384888</v>
      </c>
      <c r="CN26" s="9">
        <v>-0.14775210618972778</v>
      </c>
      <c r="CO26" s="9">
        <v>5.2180599421262741E-2</v>
      </c>
      <c r="CP26" s="9">
        <v>8.1046730279922485E-2</v>
      </c>
      <c r="CQ26" s="9">
        <v>6.0507208108901978E-2</v>
      </c>
      <c r="CR26">
        <v>6.2436256871178299</v>
      </c>
      <c r="CS26" t="e">
        <v>#DIV/0!</v>
      </c>
      <c r="CT26">
        <v>1.8115942028985508</v>
      </c>
      <c r="CU26" s="8">
        <v>0</v>
      </c>
      <c r="CV26" s="9">
        <v>0</v>
      </c>
      <c r="CW26">
        <v>0.06</v>
      </c>
      <c r="CX26">
        <v>7.9390824804334743</v>
      </c>
      <c r="CY26">
        <v>8304999.9999999991</v>
      </c>
      <c r="CZ26">
        <v>0</v>
      </c>
      <c r="DA26">
        <v>2.8019704344185992</v>
      </c>
      <c r="DB26">
        <v>23531326.094695617</v>
      </c>
      <c r="DC26">
        <v>0</v>
      </c>
      <c r="DD26">
        <v>1.5231251706603246</v>
      </c>
      <c r="DE26">
        <v>43288681.239123255</v>
      </c>
      <c r="DF26">
        <v>0</v>
      </c>
      <c r="DG26">
        <v>1.0176103082638837</v>
      </c>
      <c r="DH26">
        <v>64793054.33971899</v>
      </c>
      <c r="DI26">
        <v>0</v>
      </c>
      <c r="DJ26">
        <v>0.65298621590497696</v>
      </c>
      <c r="DK26">
        <v>100973157.46339548</v>
      </c>
      <c r="DL26">
        <v>0</v>
      </c>
      <c r="DM26">
        <v>8803300</v>
      </c>
      <c r="DN26">
        <v>0</v>
      </c>
      <c r="DO26">
        <v>65934080</v>
      </c>
      <c r="DP26">
        <v>770854940</v>
      </c>
      <c r="DQ26">
        <v>25</v>
      </c>
      <c r="DR26">
        <v>-0.59375</v>
      </c>
      <c r="DS26">
        <v>-0.1875</v>
      </c>
      <c r="DT26">
        <v>-0.44</v>
      </c>
      <c r="DU26">
        <v>-0.22</v>
      </c>
      <c r="DV26">
        <v>-0.66</v>
      </c>
      <c r="DW26">
        <v>-8.6168639053254434</v>
      </c>
      <c r="DX26">
        <v>0.39080341540341296</v>
      </c>
      <c r="DY26">
        <v>-8.2163979648272534</v>
      </c>
      <c r="DZ26">
        <v>0</v>
      </c>
      <c r="EA26">
        <v>-8.2163979648272534</v>
      </c>
      <c r="EB26">
        <v>8</v>
      </c>
      <c r="EC26">
        <v>5.6718017824875198E-2</v>
      </c>
      <c r="ED26">
        <v>0.16168034669688525</v>
      </c>
      <c r="EE26">
        <v>0</v>
      </c>
      <c r="EF26">
        <v>0</v>
      </c>
      <c r="EG26">
        <v>4.350803415403413</v>
      </c>
      <c r="EH26" t="s">
        <v>86</v>
      </c>
      <c r="EI26">
        <v>0</v>
      </c>
      <c r="EJ26">
        <v>0</v>
      </c>
      <c r="EK26">
        <v>0</v>
      </c>
      <c r="EL26">
        <v>0</v>
      </c>
      <c r="EM26">
        <v>0</v>
      </c>
      <c r="EN26">
        <v>0</v>
      </c>
      <c r="EO26">
        <v>0</v>
      </c>
      <c r="EP26">
        <v>0</v>
      </c>
    </row>
    <row r="27" spans="1:146" ht="96" x14ac:dyDescent="0.25">
      <c r="A27" s="10"/>
      <c r="B27" s="10"/>
      <c r="C27" s="7" t="str">
        <f>""&amp;CHAR(10)&amp;Basic_Fundamental_Information_Constructure(F27)&amp;CHAR(10)&amp;Basic_Fundamental_Information_Concatenate("")</f>
        <v xml:space="preserve">
市值7.6986亿, 利润993.15万; PE55.79; 平均PE1.49, PB1.22; ROIC11.54%; ROE5.295%; 股利率2.8723%; 毛利3.87%; 净利2.49%; 上一年度营收增-85.68%, 利润增-85.39%; 当季营收增-56.44%, 利润增806.6%; 过往5年营收增0%, 利润增0%
Income profile:
</v>
      </c>
      <c r="D27">
        <v>830974</v>
      </c>
      <c r="E27" t="s">
        <v>986</v>
      </c>
      <c r="F27">
        <v>4.7</v>
      </c>
      <c r="G27" s="5">
        <v>-2.69</v>
      </c>
      <c r="H27" t="s">
        <v>3134</v>
      </c>
      <c r="I27">
        <v>769860000</v>
      </c>
      <c r="J27">
        <v>55.79</v>
      </c>
      <c r="K27">
        <v>1.22</v>
      </c>
      <c r="L27" t="s">
        <v>2604</v>
      </c>
      <c r="M27" t="s">
        <v>251</v>
      </c>
      <c r="N27" t="s">
        <v>590</v>
      </c>
      <c r="O27" t="s">
        <v>681</v>
      </c>
      <c r="P27">
        <v>-26.99</v>
      </c>
      <c r="Q27" t="s">
        <v>681</v>
      </c>
      <c r="R27">
        <v>9931548</v>
      </c>
      <c r="S27" s="5">
        <v>8.0660000000000007</v>
      </c>
      <c r="T27" t="s">
        <v>3135</v>
      </c>
      <c r="U27">
        <v>106923396</v>
      </c>
      <c r="V27">
        <v>163800000</v>
      </c>
      <c r="W27">
        <v>1.37</v>
      </c>
      <c r="X27">
        <v>0.31</v>
      </c>
      <c r="Y27">
        <v>3.49</v>
      </c>
      <c r="Z27" t="s">
        <v>619</v>
      </c>
      <c r="AA27" t="s">
        <v>491</v>
      </c>
      <c r="AB27" t="s">
        <v>3136</v>
      </c>
      <c r="AC27" t="s">
        <v>3137</v>
      </c>
      <c r="AD27" t="s">
        <v>3138</v>
      </c>
      <c r="AE27">
        <v>1030544</v>
      </c>
      <c r="AF27" t="s">
        <v>3139</v>
      </c>
      <c r="AG27" t="s">
        <v>9</v>
      </c>
      <c r="AH27" t="s">
        <v>3140</v>
      </c>
      <c r="AI27" t="s">
        <v>438</v>
      </c>
      <c r="AJ27" t="s">
        <v>9</v>
      </c>
      <c r="AK27" t="s">
        <v>9</v>
      </c>
      <c r="AL27" t="s">
        <v>3141</v>
      </c>
      <c r="AM27" t="s">
        <v>9</v>
      </c>
      <c r="AN27" t="s">
        <v>94</v>
      </c>
      <c r="AO27" t="s">
        <v>171</v>
      </c>
      <c r="AP27" t="s">
        <v>9</v>
      </c>
      <c r="AQ27" t="s">
        <v>3142</v>
      </c>
      <c r="AR27" t="s">
        <v>9</v>
      </c>
      <c r="AS27" t="s">
        <v>65</v>
      </c>
      <c r="AT27" t="s">
        <v>3143</v>
      </c>
      <c r="AU27" t="s">
        <v>3144</v>
      </c>
      <c r="AV27" t="s">
        <v>3145</v>
      </c>
      <c r="AW27" t="s">
        <v>3146</v>
      </c>
      <c r="AX27" t="s">
        <v>988</v>
      </c>
      <c r="AY27" t="s">
        <v>990</v>
      </c>
      <c r="AZ27" t="s">
        <v>654</v>
      </c>
      <c r="BA27" t="s">
        <v>493</v>
      </c>
      <c r="BB27" t="s">
        <v>586</v>
      </c>
      <c r="BC27" t="s">
        <v>989</v>
      </c>
      <c r="BD27" t="s">
        <v>991</v>
      </c>
      <c r="BE27" t="s">
        <v>992</v>
      </c>
      <c r="BF27" t="s">
        <v>993</v>
      </c>
      <c r="BG27" t="s">
        <v>994</v>
      </c>
      <c r="BH27" t="s">
        <v>3147</v>
      </c>
      <c r="BI27" t="s">
        <v>3148</v>
      </c>
      <c r="BJ27" t="s">
        <v>988</v>
      </c>
      <c r="BK27" t="s">
        <v>3149</v>
      </c>
      <c r="BL27" t="s">
        <v>3150</v>
      </c>
      <c r="BM27" t="s">
        <v>989</v>
      </c>
      <c r="BN27" t="s">
        <v>9</v>
      </c>
      <c r="BO27">
        <v>11.09</v>
      </c>
      <c r="BP27">
        <v>11.99</v>
      </c>
      <c r="BQ27">
        <v>-1.85</v>
      </c>
      <c r="BR27">
        <v>12.44</v>
      </c>
      <c r="BS27" t="s">
        <v>9</v>
      </c>
      <c r="BT27" t="s">
        <v>3151</v>
      </c>
      <c r="BU27" t="s">
        <v>987</v>
      </c>
      <c r="BV27">
        <v>1.67</v>
      </c>
      <c r="BW27">
        <v>4.95</v>
      </c>
      <c r="BX27">
        <v>4.99</v>
      </c>
      <c r="BY27">
        <v>0.4</v>
      </c>
      <c r="BZ27">
        <v>3.43</v>
      </c>
      <c r="CA27">
        <v>3.64</v>
      </c>
      <c r="CB27">
        <v>-4.08</v>
      </c>
      <c r="CC27">
        <v>-21.14</v>
      </c>
      <c r="CD27" t="s">
        <v>3152</v>
      </c>
      <c r="CE27" t="s">
        <v>3153</v>
      </c>
      <c r="CF27" s="8">
        <v>-0.56441717791411039</v>
      </c>
      <c r="CG27" s="9">
        <v>8.0660000000000007</v>
      </c>
      <c r="CH27" s="8">
        <v>-0.85678267478942871</v>
      </c>
      <c r="CI27" s="8">
        <v>0.15897127985954285</v>
      </c>
      <c r="CJ27" s="8">
        <v>-0.24758128821849823</v>
      </c>
      <c r="CK27" s="8">
        <v>0.11689580976963043</v>
      </c>
      <c r="CL27" s="8">
        <v>1.4324971437454224</v>
      </c>
      <c r="CM27" s="9">
        <v>-0.85393136739730835</v>
      </c>
      <c r="CN27" s="9">
        <v>9.2514753341674805E-2</v>
      </c>
      <c r="CO27" s="9">
        <v>-0.13331620395183563</v>
      </c>
      <c r="CP27" s="9">
        <v>0.324898362159729</v>
      </c>
      <c r="CQ27" s="9">
        <v>1.7062849998474121</v>
      </c>
      <c r="CR27">
        <v>1.4900845389648125</v>
      </c>
      <c r="CS27" t="e">
        <v>#DIV/0!</v>
      </c>
      <c r="CT27">
        <v>2.8723404255319149</v>
      </c>
      <c r="CU27" s="8">
        <v>0</v>
      </c>
      <c r="CV27" s="9">
        <v>0</v>
      </c>
      <c r="CW27">
        <v>0.06</v>
      </c>
      <c r="CX27">
        <v>46.519820772290196</v>
      </c>
      <c r="CY27">
        <v>9369339.6226415075</v>
      </c>
      <c r="CZ27">
        <v>0</v>
      </c>
      <c r="DA27">
        <v>16.418416452991977</v>
      </c>
      <c r="DB27">
        <v>26547018.176078238</v>
      </c>
      <c r="DC27">
        <v>0</v>
      </c>
      <c r="DD27">
        <v>8.9248990834282775</v>
      </c>
      <c r="DE27">
        <v>48836406.543722533</v>
      </c>
      <c r="DF27">
        <v>0</v>
      </c>
      <c r="DG27">
        <v>5.9627859104804415</v>
      </c>
      <c r="DH27">
        <v>73096704.55112505</v>
      </c>
      <c r="DI27">
        <v>0</v>
      </c>
      <c r="DJ27">
        <v>3.8262358157308052</v>
      </c>
      <c r="DK27">
        <v>113913522.58218078</v>
      </c>
      <c r="DL27">
        <v>0</v>
      </c>
      <c r="DM27">
        <v>9931500</v>
      </c>
      <c r="DN27">
        <v>0</v>
      </c>
      <c r="DO27">
        <v>435860000</v>
      </c>
      <c r="DP27">
        <v>384142750</v>
      </c>
      <c r="DQ27">
        <v>26</v>
      </c>
      <c r="DR27">
        <v>-0.56441717791411039</v>
      </c>
      <c r="DS27">
        <v>8.0660000000000007</v>
      </c>
      <c r="DT27">
        <v>-0.44</v>
      </c>
      <c r="DU27">
        <v>0.6</v>
      </c>
      <c r="DV27">
        <v>0.15999999999999998</v>
      </c>
      <c r="DW27">
        <v>-8.1929990539262061</v>
      </c>
      <c r="DX27">
        <v>0.28945704487730783</v>
      </c>
      <c r="DY27">
        <v>-8.0230550966461411</v>
      </c>
      <c r="DZ27">
        <v>0</v>
      </c>
      <c r="EA27">
        <v>-8.0230550966461411</v>
      </c>
      <c r="EB27">
        <v>8</v>
      </c>
      <c r="EC27">
        <v>1.4758852258852258E-2</v>
      </c>
      <c r="ED27">
        <v>0.12354945054945055</v>
      </c>
      <c r="EE27">
        <v>0</v>
      </c>
      <c r="EF27">
        <v>0</v>
      </c>
      <c r="EG27">
        <v>17.119457044877308</v>
      </c>
      <c r="EH27" t="s">
        <v>86</v>
      </c>
      <c r="EI27">
        <v>0</v>
      </c>
      <c r="EJ27">
        <v>0</v>
      </c>
      <c r="EK27">
        <v>0</v>
      </c>
      <c r="EL27">
        <v>0</v>
      </c>
      <c r="EM27">
        <v>0</v>
      </c>
      <c r="EN27">
        <v>0</v>
      </c>
      <c r="EO27">
        <v>0</v>
      </c>
      <c r="EP27">
        <v>0</v>
      </c>
    </row>
    <row r="28" spans="1:146" ht="108" x14ac:dyDescent="0.25">
      <c r="A28" s="10"/>
      <c r="B28" s="10"/>
      <c r="C28" s="7" t="str">
        <f>""&amp;CHAR(10)&amp;Basic_Fundamental_Information_Constructure(F28)&amp;CHAR(10)&amp;Basic_Fundamental_Information_Concatenate("")</f>
        <v xml:space="preserve">
市值8.6296亿, 利润1200.13万; PE18.99; 平均PE2.12, PB1.33; ROIC7.71%; ROE9.5867%; 股利率1.3587%; 毛利22.94%; 净利12.05%; 上一年度营收增-61.95%, 利润增-78.87%; 当季营收增-32.28%, 利润增25.64%; 过往5年营收增0%, 利润增0%
Income profile:
</v>
      </c>
      <c r="D28">
        <v>831010</v>
      </c>
      <c r="E28" t="s">
        <v>996</v>
      </c>
      <c r="F28">
        <v>3.68</v>
      </c>
      <c r="G28" s="5">
        <v>-1.87</v>
      </c>
      <c r="H28" t="s">
        <v>3154</v>
      </c>
      <c r="I28">
        <v>862960000</v>
      </c>
      <c r="J28">
        <v>18.989999999999998</v>
      </c>
      <c r="K28">
        <v>1.33</v>
      </c>
      <c r="L28" t="s">
        <v>2604</v>
      </c>
      <c r="M28" t="s">
        <v>408</v>
      </c>
      <c r="N28" t="s">
        <v>598</v>
      </c>
      <c r="O28" t="s">
        <v>148</v>
      </c>
      <c r="P28">
        <v>14.02</v>
      </c>
      <c r="Q28" t="s">
        <v>148</v>
      </c>
      <c r="R28">
        <v>12001335</v>
      </c>
      <c r="S28" s="5">
        <v>0.25640000000000002</v>
      </c>
      <c r="T28" t="s">
        <v>3155</v>
      </c>
      <c r="U28">
        <v>161168100</v>
      </c>
      <c r="V28">
        <v>234500000</v>
      </c>
      <c r="W28">
        <v>1.53</v>
      </c>
      <c r="X28">
        <v>0.17</v>
      </c>
      <c r="Y28">
        <v>6.91</v>
      </c>
      <c r="Z28" t="s">
        <v>128</v>
      </c>
      <c r="AA28" t="s">
        <v>182</v>
      </c>
      <c r="AB28" t="s">
        <v>3156</v>
      </c>
      <c r="AC28" t="s">
        <v>3157</v>
      </c>
      <c r="AD28" t="s">
        <v>3158</v>
      </c>
      <c r="AE28">
        <v>1437606</v>
      </c>
      <c r="AF28" t="s">
        <v>3159</v>
      </c>
      <c r="AG28" t="s">
        <v>3160</v>
      </c>
      <c r="AH28" t="s">
        <v>3161</v>
      </c>
      <c r="AI28" t="s">
        <v>386</v>
      </c>
      <c r="AJ28" t="s">
        <v>9</v>
      </c>
      <c r="AK28" t="s">
        <v>9</v>
      </c>
      <c r="AL28" t="s">
        <v>3162</v>
      </c>
      <c r="AM28" t="s">
        <v>9</v>
      </c>
      <c r="AN28" t="s">
        <v>3163</v>
      </c>
      <c r="AO28" t="s">
        <v>3164</v>
      </c>
      <c r="AP28" t="s">
        <v>9</v>
      </c>
      <c r="AQ28" t="s">
        <v>3165</v>
      </c>
      <c r="AR28" t="s">
        <v>9</v>
      </c>
      <c r="AS28" t="s">
        <v>620</v>
      </c>
      <c r="AT28" t="s">
        <v>160</v>
      </c>
      <c r="AU28" t="s">
        <v>3166</v>
      </c>
      <c r="AV28" t="s">
        <v>3167</v>
      </c>
      <c r="AW28" t="s">
        <v>3168</v>
      </c>
      <c r="AX28" t="s">
        <v>389</v>
      </c>
      <c r="AY28" t="s">
        <v>645</v>
      </c>
      <c r="AZ28" t="s">
        <v>138</v>
      </c>
      <c r="BA28" t="s">
        <v>289</v>
      </c>
      <c r="BB28" t="s">
        <v>348</v>
      </c>
      <c r="BC28" t="s">
        <v>998</v>
      </c>
      <c r="BD28" t="s">
        <v>1001</v>
      </c>
      <c r="BE28" t="s">
        <v>1002</v>
      </c>
      <c r="BF28" t="s">
        <v>1003</v>
      </c>
      <c r="BG28" t="s">
        <v>1004</v>
      </c>
      <c r="BH28" t="s">
        <v>647</v>
      </c>
      <c r="BI28" t="s">
        <v>298</v>
      </c>
      <c r="BJ28" t="s">
        <v>389</v>
      </c>
      <c r="BK28" t="s">
        <v>3169</v>
      </c>
      <c r="BL28" t="s">
        <v>1005</v>
      </c>
      <c r="BM28" t="s">
        <v>998</v>
      </c>
      <c r="BN28">
        <v>5.94</v>
      </c>
      <c r="BO28">
        <v>7.14</v>
      </c>
      <c r="BP28">
        <v>10.050000000000001</v>
      </c>
      <c r="BQ28">
        <v>6.87</v>
      </c>
      <c r="BR28">
        <v>9.32</v>
      </c>
      <c r="BS28">
        <v>12.57</v>
      </c>
      <c r="BT28" t="s">
        <v>985</v>
      </c>
      <c r="BU28" t="s">
        <v>997</v>
      </c>
      <c r="BV28">
        <v>20.21</v>
      </c>
      <c r="BW28">
        <v>23.24</v>
      </c>
      <c r="BX28">
        <v>25.37</v>
      </c>
      <c r="BY28">
        <v>7.87</v>
      </c>
      <c r="BZ28">
        <v>12.54</v>
      </c>
      <c r="CA28">
        <v>15.74</v>
      </c>
      <c r="CB28">
        <v>-1.6</v>
      </c>
      <c r="CC28">
        <v>-11.33</v>
      </c>
      <c r="CD28" t="s">
        <v>3170</v>
      </c>
      <c r="CE28" t="s">
        <v>3171</v>
      </c>
      <c r="CF28" s="8">
        <v>-0.32283464566929132</v>
      </c>
      <c r="CG28" s="9">
        <v>0.25640000000000002</v>
      </c>
      <c r="CH28" s="8">
        <v>-0.6194690465927124</v>
      </c>
      <c r="CI28" s="8">
        <v>-1.5250544995069504E-2</v>
      </c>
      <c r="CJ28" s="8">
        <v>0.18911917507648468</v>
      </c>
      <c r="CK28" s="8">
        <v>8.7323941290378571E-2</v>
      </c>
      <c r="CL28" s="8">
        <v>0.20748299360275269</v>
      </c>
      <c r="CM28" s="9">
        <v>-0.78867900371551514</v>
      </c>
      <c r="CN28" s="9">
        <v>-0.21452400088310242</v>
      </c>
      <c r="CO28" s="9">
        <v>0.15725871920585632</v>
      </c>
      <c r="CP28" s="9">
        <v>2.0599089562892914E-2</v>
      </c>
      <c r="CQ28" s="9">
        <v>0.48236766457557678</v>
      </c>
      <c r="CR28">
        <v>2.1159612788109268</v>
      </c>
      <c r="CS28" t="e">
        <v>#DIV/0!</v>
      </c>
      <c r="CT28">
        <v>1.3586956521739131</v>
      </c>
      <c r="CU28" s="8">
        <v>0</v>
      </c>
      <c r="CV28" s="9">
        <v>0</v>
      </c>
      <c r="CW28">
        <v>0.06</v>
      </c>
      <c r="CX28">
        <v>49.987717997216969</v>
      </c>
      <c r="CY28">
        <v>11321981.132075472</v>
      </c>
      <c r="CZ28">
        <v>0</v>
      </c>
      <c r="DA28">
        <v>17.642354548835588</v>
      </c>
      <c r="DB28">
        <v>32079618.309073936</v>
      </c>
      <c r="DC28">
        <v>0</v>
      </c>
      <c r="DD28">
        <v>9.5902204937508291</v>
      </c>
      <c r="DE28">
        <v>59014284.433688499</v>
      </c>
      <c r="DF28">
        <v>0</v>
      </c>
      <c r="DG28">
        <v>6.4072916796020785</v>
      </c>
      <c r="DH28">
        <v>88330612.730143204</v>
      </c>
      <c r="DI28">
        <v>0</v>
      </c>
      <c r="DJ28">
        <v>4.1114689130859876</v>
      </c>
      <c r="DK28">
        <v>137653965.52036718</v>
      </c>
      <c r="DL28">
        <v>0</v>
      </c>
      <c r="DM28">
        <v>12001300.000000002</v>
      </c>
      <c r="DN28">
        <v>0</v>
      </c>
      <c r="DO28">
        <v>565960000</v>
      </c>
      <c r="DP28">
        <v>67815780</v>
      </c>
      <c r="DQ28">
        <v>27</v>
      </c>
      <c r="DR28">
        <v>-0.32283464566929132</v>
      </c>
      <c r="DS28">
        <v>0.25640000000000002</v>
      </c>
      <c r="DT28">
        <v>-0.44</v>
      </c>
      <c r="DU28">
        <v>-0.22</v>
      </c>
      <c r="DV28">
        <v>-0.66</v>
      </c>
      <c r="DW28">
        <v>-2.1133000000000002</v>
      </c>
      <c r="DX28">
        <v>0.28112826059824486</v>
      </c>
      <c r="DY28">
        <v>-2.0091918319257811</v>
      </c>
      <c r="DZ28">
        <v>0</v>
      </c>
      <c r="EA28">
        <v>-2.0091918319257811</v>
      </c>
      <c r="EB28">
        <v>2</v>
      </c>
      <c r="EC28">
        <v>2.0789765458422173E-2</v>
      </c>
      <c r="ED28">
        <v>0.2562579957356077</v>
      </c>
      <c r="EE28">
        <v>0</v>
      </c>
      <c r="EF28">
        <v>0</v>
      </c>
      <c r="EG28">
        <v>20.081128260598245</v>
      </c>
      <c r="EH28" t="s">
        <v>86</v>
      </c>
      <c r="EI28">
        <v>0</v>
      </c>
      <c r="EJ28">
        <v>0</v>
      </c>
      <c r="EK28">
        <v>0</v>
      </c>
      <c r="EL28">
        <v>0</v>
      </c>
      <c r="EM28">
        <v>0</v>
      </c>
      <c r="EN28">
        <v>0</v>
      </c>
      <c r="EO28">
        <v>0</v>
      </c>
      <c r="EP28">
        <v>0</v>
      </c>
    </row>
    <row r="29" spans="1:146" ht="108" x14ac:dyDescent="0.25">
      <c r="A29" s="10"/>
      <c r="B29" s="10"/>
      <c r="C29" s="7" t="str">
        <f>""&amp;CHAR(10)&amp;Basic_Fundamental_Information_Constructure(F29)&amp;CHAR(10)&amp;Basic_Fundamental_Information_Concatenate("")</f>
        <v xml:space="preserve">
市值8.213988亿, 利润1477.67万; PE14.08; 平均PE1.54, PB1.34; ROIC10.04%; ROE11.8833%; 股利率5.2434%; 毛利53.0667%; 净利30.3467%; 上一年度营收增-76.43%, 利润增-77.68%; 当季营收增-54.33%, 利润增-24.12%; 过往5年营收增0%, 利润增0%
Income profile:
</v>
      </c>
      <c r="D29">
        <v>831039</v>
      </c>
      <c r="E29" t="s">
        <v>1007</v>
      </c>
      <c r="F29">
        <v>5.34</v>
      </c>
      <c r="G29" s="5">
        <v>-1.48</v>
      </c>
      <c r="H29" t="s">
        <v>3172</v>
      </c>
      <c r="I29">
        <v>821398800</v>
      </c>
      <c r="J29">
        <v>14.08</v>
      </c>
      <c r="K29">
        <v>1.34</v>
      </c>
      <c r="L29" t="s">
        <v>2604</v>
      </c>
      <c r="M29" t="s">
        <v>444</v>
      </c>
      <c r="N29" t="s">
        <v>505</v>
      </c>
      <c r="O29" t="s">
        <v>3173</v>
      </c>
      <c r="P29">
        <v>-10.59</v>
      </c>
      <c r="Q29" t="s">
        <v>3173</v>
      </c>
      <c r="R29">
        <v>14776724</v>
      </c>
      <c r="S29" s="5">
        <v>-0.2412</v>
      </c>
      <c r="T29" t="s">
        <v>3174</v>
      </c>
      <c r="U29">
        <v>153819900</v>
      </c>
      <c r="V29">
        <v>153820000</v>
      </c>
      <c r="W29">
        <v>1.33</v>
      </c>
      <c r="X29">
        <v>0.06</v>
      </c>
      <c r="Y29">
        <v>28.98</v>
      </c>
      <c r="Z29" t="s">
        <v>3175</v>
      </c>
      <c r="AA29" t="s">
        <v>3176</v>
      </c>
      <c r="AB29" t="s">
        <v>3177</v>
      </c>
      <c r="AC29" t="s">
        <v>3178</v>
      </c>
      <c r="AD29" t="s">
        <v>3179</v>
      </c>
      <c r="AE29">
        <v>3055505</v>
      </c>
      <c r="AF29" t="s">
        <v>3180</v>
      </c>
      <c r="AG29">
        <v>0</v>
      </c>
      <c r="AH29" t="s">
        <v>3181</v>
      </c>
      <c r="AI29" t="s">
        <v>3182</v>
      </c>
      <c r="AJ29" t="s">
        <v>9</v>
      </c>
      <c r="AK29" t="s">
        <v>9</v>
      </c>
      <c r="AL29" t="s">
        <v>3183</v>
      </c>
      <c r="AM29" t="s">
        <v>9</v>
      </c>
      <c r="AN29">
        <v>0</v>
      </c>
      <c r="AO29" t="s">
        <v>9</v>
      </c>
      <c r="AP29" t="s">
        <v>9</v>
      </c>
      <c r="AQ29" t="s">
        <v>3184</v>
      </c>
      <c r="AR29" t="s">
        <v>9</v>
      </c>
      <c r="AS29" t="s">
        <v>131</v>
      </c>
      <c r="AT29" t="s">
        <v>9</v>
      </c>
      <c r="AU29" t="s">
        <v>3185</v>
      </c>
      <c r="AV29" t="s">
        <v>29</v>
      </c>
      <c r="AW29" t="s">
        <v>3186</v>
      </c>
      <c r="AX29" t="s">
        <v>554</v>
      </c>
      <c r="AY29" t="s">
        <v>427</v>
      </c>
      <c r="AZ29" t="s">
        <v>117</v>
      </c>
      <c r="BA29" t="s">
        <v>287</v>
      </c>
      <c r="BB29" t="s">
        <v>113</v>
      </c>
      <c r="BC29" t="s">
        <v>1009</v>
      </c>
      <c r="BD29" t="s">
        <v>1010</v>
      </c>
      <c r="BE29" t="s">
        <v>1011</v>
      </c>
      <c r="BF29" t="s">
        <v>1012</v>
      </c>
      <c r="BG29" t="s">
        <v>1013</v>
      </c>
      <c r="BH29" t="s">
        <v>237</v>
      </c>
      <c r="BI29" t="s">
        <v>411</v>
      </c>
      <c r="BJ29" t="s">
        <v>554</v>
      </c>
      <c r="BK29" t="s">
        <v>3187</v>
      </c>
      <c r="BL29" t="s">
        <v>1014</v>
      </c>
      <c r="BM29" t="s">
        <v>1009</v>
      </c>
      <c r="BN29">
        <v>7.02</v>
      </c>
      <c r="BO29">
        <v>9.74</v>
      </c>
      <c r="BP29">
        <v>13.36</v>
      </c>
      <c r="BQ29">
        <v>8.85</v>
      </c>
      <c r="BR29">
        <v>11.57</v>
      </c>
      <c r="BS29">
        <v>15.23</v>
      </c>
      <c r="BT29" t="s">
        <v>2223</v>
      </c>
      <c r="BU29" t="s">
        <v>1008</v>
      </c>
      <c r="BV29">
        <v>51.19</v>
      </c>
      <c r="BW29">
        <v>52.74</v>
      </c>
      <c r="BX29">
        <v>55.27</v>
      </c>
      <c r="BY29">
        <v>26.68</v>
      </c>
      <c r="BZ29">
        <v>30.64</v>
      </c>
      <c r="CA29">
        <v>33.72</v>
      </c>
      <c r="CB29">
        <v>-1.84</v>
      </c>
      <c r="CC29">
        <v>-14.97</v>
      </c>
      <c r="CD29" t="s">
        <v>3188</v>
      </c>
      <c r="CE29" t="s">
        <v>3189</v>
      </c>
      <c r="CF29" s="8">
        <v>-0.54327964601769907</v>
      </c>
      <c r="CG29" s="9">
        <v>-0.2412</v>
      </c>
      <c r="CH29" s="8">
        <v>-0.76434057950973511</v>
      </c>
      <c r="CI29" s="8">
        <v>-5.1948051899671555E-2</v>
      </c>
      <c r="CJ29" s="8">
        <v>8.4507040679454803E-2</v>
      </c>
      <c r="CK29" s="8">
        <v>0.13903743028640747</v>
      </c>
      <c r="CL29" s="8">
        <v>0.15432098507881165</v>
      </c>
      <c r="CM29" s="9">
        <v>-0.77679711580276489</v>
      </c>
      <c r="CN29" s="9">
        <v>-0.13019318878650665</v>
      </c>
      <c r="CO29" s="9">
        <v>3.8585241883993149E-2</v>
      </c>
      <c r="CP29" s="9">
        <v>0.16843137145042419</v>
      </c>
      <c r="CQ29" s="9">
        <v>0.2627314031124115</v>
      </c>
      <c r="CR29">
        <v>1.5426407736102496</v>
      </c>
      <c r="CS29" t="e">
        <v>#DIV/0!</v>
      </c>
      <c r="CT29">
        <v>5.2434456928838946</v>
      </c>
      <c r="CU29" s="8">
        <v>0</v>
      </c>
      <c r="CV29" s="9">
        <v>0</v>
      </c>
      <c r="CW29">
        <v>0.06</v>
      </c>
      <c r="CX29">
        <v>31.448342864103626</v>
      </c>
      <c r="CY29">
        <v>13940283.018867923</v>
      </c>
      <c r="CZ29">
        <v>0</v>
      </c>
      <c r="DA29">
        <v>11.099182699493289</v>
      </c>
      <c r="DB29">
        <v>39498295.673609756</v>
      </c>
      <c r="DC29">
        <v>0</v>
      </c>
      <c r="DD29">
        <v>6.0334128924753161</v>
      </c>
      <c r="DE29">
        <v>72661826.36808385</v>
      </c>
      <c r="DF29">
        <v>0</v>
      </c>
      <c r="DG29">
        <v>4.0309642776984314</v>
      </c>
      <c r="DH29">
        <v>108757798.33263953</v>
      </c>
      <c r="DI29">
        <v>0</v>
      </c>
      <c r="DJ29">
        <v>2.5866130568518901</v>
      </c>
      <c r="DK29">
        <v>169487584.87037313</v>
      </c>
      <c r="DL29">
        <v>0</v>
      </c>
      <c r="DM29">
        <v>14776700</v>
      </c>
      <c r="DN29">
        <v>0</v>
      </c>
      <c r="DO29">
        <v>438398800</v>
      </c>
      <c r="DP29">
        <v>517992030</v>
      </c>
      <c r="DQ29">
        <v>28</v>
      </c>
      <c r="DR29">
        <v>-0.54327964601769907</v>
      </c>
      <c r="DS29">
        <v>-0.2412</v>
      </c>
      <c r="DT29">
        <v>-0.44</v>
      </c>
      <c r="DU29">
        <v>-0.22</v>
      </c>
      <c r="DV29">
        <v>-0.66</v>
      </c>
      <c r="DW29">
        <v>-2.1497000000000002</v>
      </c>
      <c r="DX29">
        <v>0.27110605759801742</v>
      </c>
      <c r="DY29">
        <v>-2.022620576822423</v>
      </c>
      <c r="DZ29">
        <v>0</v>
      </c>
      <c r="EA29">
        <v>-2.022620576822423</v>
      </c>
      <c r="EB29">
        <v>2</v>
      </c>
      <c r="EC29">
        <v>1.632882590040307E-2</v>
      </c>
      <c r="ED29">
        <v>0.1080620205434924</v>
      </c>
      <c r="EE29">
        <v>0</v>
      </c>
      <c r="EF29">
        <v>0</v>
      </c>
      <c r="EG29">
        <v>12.151106057598017</v>
      </c>
      <c r="EH29" t="s">
        <v>86</v>
      </c>
      <c r="EI29">
        <v>0</v>
      </c>
      <c r="EJ29">
        <v>0</v>
      </c>
      <c r="EK29">
        <v>0</v>
      </c>
      <c r="EL29">
        <v>0</v>
      </c>
      <c r="EM29">
        <v>0</v>
      </c>
      <c r="EN29">
        <v>0</v>
      </c>
      <c r="EO29">
        <v>0</v>
      </c>
      <c r="EP29">
        <v>0</v>
      </c>
    </row>
    <row r="30" spans="1:146" ht="96" x14ac:dyDescent="0.25">
      <c r="A30" s="10"/>
      <c r="B30" s="10"/>
      <c r="C30" s="7" t="str">
        <f>""&amp;CHAR(10)&amp;Basic_Fundamental_Information_Constructure(F30)&amp;CHAR(10)&amp;Basic_Fundamental_Information_Concatenate("")</f>
        <v xml:space="preserve">
市值10.39108亿, 利润159.01万; PE14.58; 平均PE-12.74, PB1.91; ROIC9.145%; ROE13.4367%; 股利率3.1797%; 毛利32.1833%; 净利13.6067%; 上一年度营收增-92%, 利润增-97.42%; 当季营收增-68.13%, 利润增-83.71%; 过往5年营收增0%, 利润增0%
Income profile:
</v>
      </c>
      <c r="D30">
        <v>831087</v>
      </c>
      <c r="E30" t="s">
        <v>1015</v>
      </c>
      <c r="F30">
        <v>6.29</v>
      </c>
      <c r="G30" s="5">
        <v>0.32</v>
      </c>
      <c r="H30" t="s">
        <v>3190</v>
      </c>
      <c r="I30">
        <v>1039108000</v>
      </c>
      <c r="J30">
        <v>14.58</v>
      </c>
      <c r="K30">
        <v>1.91</v>
      </c>
      <c r="L30" t="s">
        <v>2604</v>
      </c>
      <c r="M30" t="s">
        <v>620</v>
      </c>
      <c r="N30" t="s">
        <v>595</v>
      </c>
      <c r="O30" t="s">
        <v>3191</v>
      </c>
      <c r="P30">
        <v>-36.979999999999997</v>
      </c>
      <c r="Q30" t="s">
        <v>3191</v>
      </c>
      <c r="R30">
        <v>1590052</v>
      </c>
      <c r="S30" s="6">
        <v>-0.83709999999999996</v>
      </c>
      <c r="T30" t="s">
        <v>3192</v>
      </c>
      <c r="U30">
        <v>71150100</v>
      </c>
      <c r="V30">
        <v>165200000</v>
      </c>
      <c r="W30">
        <v>1.52</v>
      </c>
      <c r="X30">
        <v>0.04</v>
      </c>
      <c r="Y30">
        <v>4.54</v>
      </c>
      <c r="Z30" t="s">
        <v>3193</v>
      </c>
      <c r="AA30" t="s">
        <v>3194</v>
      </c>
      <c r="AB30" t="s">
        <v>3195</v>
      </c>
      <c r="AC30" t="s">
        <v>3196</v>
      </c>
      <c r="AD30" t="s">
        <v>3197</v>
      </c>
      <c r="AE30">
        <v>1178308</v>
      </c>
      <c r="AF30" t="s">
        <v>3198</v>
      </c>
      <c r="AG30">
        <v>519.83000000000004</v>
      </c>
      <c r="AH30" t="s">
        <v>3199</v>
      </c>
      <c r="AI30" t="s">
        <v>656</v>
      </c>
      <c r="AJ30" t="s">
        <v>9</v>
      </c>
      <c r="AK30" t="s">
        <v>9</v>
      </c>
      <c r="AL30" t="s">
        <v>3200</v>
      </c>
      <c r="AM30" t="s">
        <v>9</v>
      </c>
      <c r="AN30" t="s">
        <v>3201</v>
      </c>
      <c r="AO30" t="s">
        <v>9</v>
      </c>
      <c r="AP30" t="s">
        <v>9</v>
      </c>
      <c r="AQ30" t="s">
        <v>3202</v>
      </c>
      <c r="AR30" t="s">
        <v>9</v>
      </c>
      <c r="AS30" t="s">
        <v>23</v>
      </c>
      <c r="AT30" t="s">
        <v>9</v>
      </c>
      <c r="AU30" t="s">
        <v>3203</v>
      </c>
      <c r="AV30" t="s">
        <v>3204</v>
      </c>
      <c r="AW30" t="s">
        <v>9</v>
      </c>
      <c r="AX30" t="s">
        <v>255</v>
      </c>
      <c r="AY30" t="s">
        <v>584</v>
      </c>
      <c r="AZ30" t="s">
        <v>41</v>
      </c>
      <c r="BA30" t="s">
        <v>107</v>
      </c>
      <c r="BB30" t="s">
        <v>170</v>
      </c>
      <c r="BC30" t="s">
        <v>1018</v>
      </c>
      <c r="BD30" t="s">
        <v>1019</v>
      </c>
      <c r="BE30" t="s">
        <v>1020</v>
      </c>
      <c r="BF30" t="s">
        <v>1021</v>
      </c>
      <c r="BG30" t="s">
        <v>1022</v>
      </c>
      <c r="BH30" t="s">
        <v>650</v>
      </c>
      <c r="BI30" t="s">
        <v>72</v>
      </c>
      <c r="BJ30" t="s">
        <v>255</v>
      </c>
      <c r="BK30" t="s">
        <v>3205</v>
      </c>
      <c r="BL30" t="s">
        <v>1023</v>
      </c>
      <c r="BM30" t="s">
        <v>1018</v>
      </c>
      <c r="BN30">
        <v>2.83</v>
      </c>
      <c r="BO30">
        <v>15.46</v>
      </c>
      <c r="BP30" t="s">
        <v>9</v>
      </c>
      <c r="BQ30">
        <v>3.7</v>
      </c>
      <c r="BR30">
        <v>20.350000000000001</v>
      </c>
      <c r="BS30">
        <v>16.260000000000002</v>
      </c>
      <c r="BT30" t="s">
        <v>851</v>
      </c>
      <c r="BU30" t="s">
        <v>1016</v>
      </c>
      <c r="BV30">
        <v>32.090000000000003</v>
      </c>
      <c r="BW30">
        <v>32.75</v>
      </c>
      <c r="BX30">
        <v>31.71</v>
      </c>
      <c r="BY30">
        <v>14.87</v>
      </c>
      <c r="BZ30">
        <v>14.11</v>
      </c>
      <c r="CA30">
        <v>11.84</v>
      </c>
      <c r="CB30">
        <v>0.8</v>
      </c>
      <c r="CC30">
        <v>-8.84</v>
      </c>
      <c r="CD30" t="s">
        <v>3206</v>
      </c>
      <c r="CE30" t="s">
        <v>3207</v>
      </c>
      <c r="CF30" s="8">
        <v>-0.68127181818181826</v>
      </c>
      <c r="CG30" s="9">
        <v>-0.83709999999999996</v>
      </c>
      <c r="CH30" s="8">
        <v>-0.91995412111282349</v>
      </c>
      <c r="CI30" s="8">
        <v>0.29203540086746216</v>
      </c>
      <c r="CJ30" s="8">
        <v>0.24632352590560913</v>
      </c>
      <c r="CK30" s="8">
        <v>-0.16049382090568542</v>
      </c>
      <c r="CL30" s="8">
        <v>0.17391304671764374</v>
      </c>
      <c r="CM30" s="9">
        <v>-0.97423660755157471</v>
      </c>
      <c r="CN30" s="9">
        <v>0.54013323783874512</v>
      </c>
      <c r="CO30" s="9">
        <v>0.94106191396713257</v>
      </c>
      <c r="CP30" s="9">
        <v>-0.45912256836891174</v>
      </c>
      <c r="CQ30" s="9">
        <v>3.9206790924072266</v>
      </c>
      <c r="CR30">
        <v>-12.743776556995185</v>
      </c>
      <c r="CS30" t="e">
        <v>#DIV/0!</v>
      </c>
      <c r="CT30">
        <v>3.1796502384737679</v>
      </c>
      <c r="CU30" s="8">
        <v>0</v>
      </c>
      <c r="CV30" s="9">
        <v>0</v>
      </c>
      <c r="CW30">
        <v>0.06</v>
      </c>
      <c r="CX30">
        <v>476.70868498836552</v>
      </c>
      <c r="CY30">
        <v>1500094.3396226414</v>
      </c>
      <c r="CZ30">
        <v>0</v>
      </c>
      <c r="DA30">
        <v>168.24660084587495</v>
      </c>
      <c r="DB30">
        <v>4250356.3008389473</v>
      </c>
      <c r="DC30">
        <v>0</v>
      </c>
      <c r="DD30">
        <v>91.457293581174483</v>
      </c>
      <c r="DE30">
        <v>7819037.4107811712</v>
      </c>
      <c r="DF30">
        <v>0</v>
      </c>
      <c r="DG30">
        <v>61.103241221974876</v>
      </c>
      <c r="DH30">
        <v>11703274.420454508</v>
      </c>
      <c r="DI30">
        <v>0</v>
      </c>
      <c r="DJ30">
        <v>39.209090101630281</v>
      </c>
      <c r="DK30">
        <v>18238321.729640607</v>
      </c>
      <c r="DL30">
        <v>0</v>
      </c>
      <c r="DM30">
        <v>1590100</v>
      </c>
      <c r="DN30">
        <v>0</v>
      </c>
      <c r="DO30">
        <v>715108000</v>
      </c>
      <c r="DP30">
        <v>439190970</v>
      </c>
      <c r="DQ30">
        <v>29</v>
      </c>
      <c r="DR30">
        <v>-0.68127181818181826</v>
      </c>
      <c r="DS30">
        <v>-0.83709999999999996</v>
      </c>
      <c r="DT30">
        <v>-0.44</v>
      </c>
      <c r="DU30">
        <v>-0.44</v>
      </c>
      <c r="DV30">
        <v>-0.88</v>
      </c>
      <c r="DW30">
        <v>-2.0884</v>
      </c>
      <c r="DX30">
        <v>0.46284756279492967</v>
      </c>
      <c r="DY30">
        <v>-2.0082077245510717</v>
      </c>
      <c r="DZ30">
        <v>0</v>
      </c>
      <c r="EA30">
        <v>-2.0082077245510717</v>
      </c>
      <c r="EB30">
        <v>2</v>
      </c>
      <c r="EC30">
        <v>1.9401937046004843E-2</v>
      </c>
      <c r="ED30">
        <v>0.20896549636803874</v>
      </c>
      <c r="EE30">
        <v>0</v>
      </c>
      <c r="EF30">
        <v>0</v>
      </c>
      <c r="EG30">
        <v>37.09284756279493</v>
      </c>
      <c r="EH30" t="s">
        <v>86</v>
      </c>
      <c r="EI30">
        <v>0</v>
      </c>
      <c r="EJ30">
        <v>0</v>
      </c>
      <c r="EK30">
        <v>0</v>
      </c>
      <c r="EL30">
        <v>0</v>
      </c>
      <c r="EM30">
        <v>0</v>
      </c>
      <c r="EN30">
        <v>0</v>
      </c>
      <c r="EO30">
        <v>0</v>
      </c>
      <c r="EP30">
        <v>0</v>
      </c>
    </row>
    <row r="31" spans="1:146" ht="108" x14ac:dyDescent="0.25">
      <c r="A31" s="10"/>
      <c r="B31" s="10"/>
      <c r="C31" s="7" t="str">
        <f>""&amp;CHAR(10)&amp;Basic_Fundamental_Information_Constructure(F31)&amp;CHAR(10)&amp;Basic_Fundamental_Information_Concatenate("")</f>
        <v xml:space="preserve">
市值10.7071416亿, 利润-7878.83; PE; 平均PE.32, PB2.42; ROIC7.6267%; ROE9.4033%; 股利率.3043%; 毛利13.46%; 净利4.2133%; 上一年度营收增-80.46%, 利润增-100%; 当季营收增-56.86%, 利润增-100.1%; 过往5年营收增0%, 利润增0%
Income profile:
</v>
      </c>
      <c r="D31">
        <v>831152</v>
      </c>
      <c r="E31" t="s">
        <v>1024</v>
      </c>
      <c r="F31">
        <v>9.86</v>
      </c>
      <c r="G31" s="5">
        <v>1.02</v>
      </c>
      <c r="H31" t="s">
        <v>3208</v>
      </c>
      <c r="I31">
        <v>1070714160</v>
      </c>
      <c r="K31">
        <v>2.42</v>
      </c>
      <c r="L31" t="s">
        <v>2604</v>
      </c>
      <c r="M31" t="s">
        <v>341</v>
      </c>
      <c r="N31" t="s">
        <v>581</v>
      </c>
      <c r="O31" t="s">
        <v>72</v>
      </c>
      <c r="P31">
        <v>-20.16</v>
      </c>
      <c r="Q31" t="s">
        <v>72</v>
      </c>
      <c r="R31">
        <v>-7879</v>
      </c>
      <c r="S31" s="5">
        <v>-1.0009999999999999</v>
      </c>
      <c r="T31">
        <v>-7878.83</v>
      </c>
      <c r="U31">
        <v>83687475</v>
      </c>
      <c r="V31">
        <v>108591700</v>
      </c>
      <c r="W31">
        <v>2.64</v>
      </c>
      <c r="X31">
        <v>0.09</v>
      </c>
      <c r="Y31">
        <v>-0.13</v>
      </c>
      <c r="Z31" t="s">
        <v>83</v>
      </c>
      <c r="AA31" t="s">
        <v>18</v>
      </c>
      <c r="AB31" t="s">
        <v>3209</v>
      </c>
      <c r="AC31" t="s">
        <v>3210</v>
      </c>
      <c r="AD31" t="s">
        <v>3211</v>
      </c>
      <c r="AE31">
        <v>4124570</v>
      </c>
      <c r="AF31" t="s">
        <v>17</v>
      </c>
      <c r="AG31">
        <v>7.37</v>
      </c>
      <c r="AH31" t="s">
        <v>3212</v>
      </c>
      <c r="AI31" t="s">
        <v>3213</v>
      </c>
      <c r="AJ31" t="s">
        <v>9</v>
      </c>
      <c r="AK31" t="s">
        <v>3214</v>
      </c>
      <c r="AL31" t="s">
        <v>3215</v>
      </c>
      <c r="AM31" t="s">
        <v>9</v>
      </c>
      <c r="AN31" t="s">
        <v>62</v>
      </c>
      <c r="AO31" t="s">
        <v>3216</v>
      </c>
      <c r="AP31" t="s">
        <v>3217</v>
      </c>
      <c r="AQ31" t="s">
        <v>131</v>
      </c>
      <c r="AR31" t="s">
        <v>3218</v>
      </c>
      <c r="AS31" t="s">
        <v>267</v>
      </c>
      <c r="AT31" t="s">
        <v>101</v>
      </c>
      <c r="AU31" t="s">
        <v>3219</v>
      </c>
      <c r="AV31" t="s">
        <v>3220</v>
      </c>
      <c r="AW31" t="s">
        <v>3221</v>
      </c>
      <c r="AX31" t="s">
        <v>686</v>
      </c>
      <c r="AY31" t="s">
        <v>420</v>
      </c>
      <c r="AZ31" t="s">
        <v>423</v>
      </c>
      <c r="BA31" t="s">
        <v>103</v>
      </c>
      <c r="BB31" t="s">
        <v>458</v>
      </c>
      <c r="BC31" t="s">
        <v>3222</v>
      </c>
      <c r="BD31" t="s">
        <v>1026</v>
      </c>
      <c r="BE31" t="s">
        <v>1027</v>
      </c>
      <c r="BF31" t="s">
        <v>1028</v>
      </c>
      <c r="BG31" t="s">
        <v>1029</v>
      </c>
      <c r="BH31" t="s">
        <v>115</v>
      </c>
      <c r="BI31" t="s">
        <v>637</v>
      </c>
      <c r="BJ31" t="s">
        <v>686</v>
      </c>
      <c r="BK31" t="s">
        <v>3223</v>
      </c>
      <c r="BL31" t="s">
        <v>1030</v>
      </c>
      <c r="BM31" t="s">
        <v>3222</v>
      </c>
      <c r="BN31">
        <v>2.4</v>
      </c>
      <c r="BO31">
        <v>9.68</v>
      </c>
      <c r="BP31">
        <v>10.8</v>
      </c>
      <c r="BQ31">
        <v>2.66</v>
      </c>
      <c r="BR31">
        <v>12.87</v>
      </c>
      <c r="BS31">
        <v>12.68</v>
      </c>
      <c r="BT31" t="s">
        <v>820</v>
      </c>
      <c r="BU31" t="s">
        <v>1025</v>
      </c>
      <c r="BV31">
        <v>13.76</v>
      </c>
      <c r="BW31">
        <v>14.27</v>
      </c>
      <c r="BX31">
        <v>12.35</v>
      </c>
      <c r="BY31">
        <v>-0.28999999999999998</v>
      </c>
      <c r="BZ31">
        <v>7.47</v>
      </c>
      <c r="CA31">
        <v>5.46</v>
      </c>
      <c r="CB31">
        <v>7.17</v>
      </c>
      <c r="CC31">
        <v>-2.95</v>
      </c>
      <c r="CD31" t="s">
        <v>3224</v>
      </c>
      <c r="CE31" t="s">
        <v>3225</v>
      </c>
      <c r="CF31" s="8">
        <v>-0.56862745098039202</v>
      </c>
      <c r="CG31" s="9">
        <v>-1.0009999999999999</v>
      </c>
      <c r="CH31" s="8">
        <v>-0.80461812019348145</v>
      </c>
      <c r="CI31" s="8">
        <v>-5.3003532811999321E-3</v>
      </c>
      <c r="CJ31" s="8">
        <v>0.40446650981903076</v>
      </c>
      <c r="CK31" s="8">
        <v>-3.5885166376829147E-2</v>
      </c>
      <c r="CL31" s="8">
        <v>0.38410595059394836</v>
      </c>
      <c r="CM31" s="9">
        <v>-1</v>
      </c>
      <c r="CN31" s="9">
        <v>0.3595903217792511</v>
      </c>
      <c r="CO31" s="9">
        <v>-2.7195189613848925E-3</v>
      </c>
      <c r="CP31" s="9">
        <v>-0.19674451649188995</v>
      </c>
      <c r="CQ31" s="9">
        <v>0.71673077344894409</v>
      </c>
      <c r="CR31">
        <v>0.31872816828735862</v>
      </c>
      <c r="CS31" t="e">
        <v>#DIV/0!</v>
      </c>
      <c r="CT31">
        <v>0.30425963488843816</v>
      </c>
      <c r="CU31" s="8">
        <v>0</v>
      </c>
      <c r="CV31" s="9">
        <v>0</v>
      </c>
      <c r="CW31">
        <v>0.06</v>
      </c>
      <c r="CX31" t="e">
        <v>#DIV/0!</v>
      </c>
      <c r="CY31">
        <v>0</v>
      </c>
      <c r="CZ31">
        <v>0</v>
      </c>
      <c r="DA31" t="e">
        <v>#DIV/0!</v>
      </c>
      <c r="DB31">
        <v>0</v>
      </c>
      <c r="DC31">
        <v>0</v>
      </c>
      <c r="DD31" t="e">
        <v>#DIV/0!</v>
      </c>
      <c r="DE31">
        <v>0</v>
      </c>
      <c r="DF31">
        <v>0</v>
      </c>
      <c r="DG31" t="e">
        <v>#DIV/0!</v>
      </c>
      <c r="DH31">
        <v>0</v>
      </c>
      <c r="DI31">
        <v>0</v>
      </c>
      <c r="DJ31" t="e">
        <v>#DIV/0!</v>
      </c>
      <c r="DK31">
        <v>0</v>
      </c>
      <c r="DL31">
        <v>0</v>
      </c>
      <c r="DM31">
        <v>0</v>
      </c>
      <c r="DN31">
        <v>0</v>
      </c>
      <c r="DO31">
        <v>1257714160</v>
      </c>
      <c r="DP31">
        <v>36193220.00000006</v>
      </c>
      <c r="DQ31">
        <v>30</v>
      </c>
      <c r="DR31">
        <v>-0.56862745098039202</v>
      </c>
      <c r="DS31">
        <v>-1.0009999999999999</v>
      </c>
      <c r="DT31">
        <v>-0.44</v>
      </c>
      <c r="DU31" t="e">
        <v>#VALUE!</v>
      </c>
      <c r="DV31" t="e">
        <v>#VALUE!</v>
      </c>
      <c r="DW31">
        <v>5.4114365411436545</v>
      </c>
      <c r="DX31">
        <v>0.47338111933990562</v>
      </c>
      <c r="DY31">
        <v>5.1124789821551913</v>
      </c>
      <c r="DZ31">
        <v>0</v>
      </c>
      <c r="EA31">
        <v>5.1124789821551913</v>
      </c>
      <c r="EB31">
        <v>5</v>
      </c>
      <c r="EC31">
        <v>8.2501701327081164E-2</v>
      </c>
      <c r="ED31">
        <v>0.30178273293446922</v>
      </c>
      <c r="EE31">
        <v>0</v>
      </c>
      <c r="EF31">
        <v>0</v>
      </c>
      <c r="EG31">
        <v>20.273381119339906</v>
      </c>
      <c r="EH31" t="s">
        <v>86</v>
      </c>
      <c r="EI31">
        <v>1</v>
      </c>
      <c r="EJ31">
        <v>0</v>
      </c>
      <c r="EK31">
        <v>0</v>
      </c>
      <c r="EL31">
        <v>0</v>
      </c>
      <c r="EM31">
        <v>0</v>
      </c>
      <c r="EN31">
        <v>0</v>
      </c>
      <c r="EO31">
        <v>0</v>
      </c>
      <c r="EP31">
        <v>0</v>
      </c>
    </row>
    <row r="32" spans="1:146" ht="108" x14ac:dyDescent="0.25">
      <c r="A32" s="10"/>
      <c r="B32" s="10"/>
      <c r="C32" s="7" t="str">
        <f>""&amp;CHAR(10)&amp;Basic_Fundamental_Information_Constructure(F32)&amp;CHAR(10)&amp;Basic_Fundamental_Information_Concatenate("")</f>
        <v xml:space="preserve">
市值5.7980212亿, 利润688.57万; PE22.64; 平均PE-1.99, PB2.19; ROIC9.7033%; ROE11.77%; 股利率1.7241%; 毛利15.8%; 净利3.9733%; 上一年度营收增-75.69%, 利润增-68.71%; 当季营收增-45.65%, 利润增69.44%; 过往5年营收增0%, 利润增0%
Income profile:
</v>
      </c>
      <c r="D32">
        <v>831167</v>
      </c>
      <c r="E32" t="s">
        <v>1031</v>
      </c>
      <c r="F32">
        <v>11.6</v>
      </c>
      <c r="G32" s="5">
        <v>-1.69</v>
      </c>
      <c r="H32" t="s">
        <v>3226</v>
      </c>
      <c r="I32">
        <v>579802120</v>
      </c>
      <c r="J32">
        <v>22.64</v>
      </c>
      <c r="K32">
        <v>2.19</v>
      </c>
      <c r="L32" t="s">
        <v>2604</v>
      </c>
      <c r="M32" t="s">
        <v>556</v>
      </c>
      <c r="N32" t="s">
        <v>681</v>
      </c>
      <c r="O32" t="s">
        <v>114</v>
      </c>
      <c r="P32">
        <v>3.03</v>
      </c>
      <c r="Q32" t="s">
        <v>114</v>
      </c>
      <c r="R32">
        <v>6885698</v>
      </c>
      <c r="S32" s="5">
        <v>0.69440000000000002</v>
      </c>
      <c r="T32" t="s">
        <v>3227</v>
      </c>
      <c r="U32">
        <v>20212293</v>
      </c>
      <c r="V32">
        <v>49982941</v>
      </c>
      <c r="W32">
        <v>2.06</v>
      </c>
      <c r="X32">
        <v>0.25</v>
      </c>
      <c r="Y32">
        <v>4.45</v>
      </c>
      <c r="Z32" t="s">
        <v>258</v>
      </c>
      <c r="AA32" t="s">
        <v>230</v>
      </c>
      <c r="AB32" t="s">
        <v>3228</v>
      </c>
      <c r="AC32" t="s">
        <v>3229</v>
      </c>
      <c r="AD32" t="s">
        <v>3230</v>
      </c>
      <c r="AE32">
        <v>367171</v>
      </c>
      <c r="AF32" t="s">
        <v>3231</v>
      </c>
      <c r="AG32" t="s">
        <v>3232</v>
      </c>
      <c r="AH32" t="s">
        <v>3233</v>
      </c>
      <c r="AI32" t="s">
        <v>154</v>
      </c>
      <c r="AJ32" t="s">
        <v>9</v>
      </c>
      <c r="AK32" t="s">
        <v>3234</v>
      </c>
      <c r="AL32" t="s">
        <v>3235</v>
      </c>
      <c r="AM32" t="s">
        <v>9</v>
      </c>
      <c r="AN32" t="s">
        <v>3236</v>
      </c>
      <c r="AO32" t="s">
        <v>3237</v>
      </c>
      <c r="AP32" t="s">
        <v>72</v>
      </c>
      <c r="AQ32" t="s">
        <v>3238</v>
      </c>
      <c r="AR32" t="s">
        <v>9</v>
      </c>
      <c r="AS32" t="s">
        <v>419</v>
      </c>
      <c r="AT32" t="s">
        <v>9</v>
      </c>
      <c r="AU32" t="s">
        <v>2436</v>
      </c>
      <c r="AV32" t="s">
        <v>3239</v>
      </c>
      <c r="AW32" t="s">
        <v>3240</v>
      </c>
      <c r="AX32" t="s">
        <v>505</v>
      </c>
      <c r="AY32" t="s">
        <v>271</v>
      </c>
      <c r="AZ32" t="s">
        <v>549</v>
      </c>
      <c r="BA32" t="s">
        <v>538</v>
      </c>
      <c r="BB32" t="s">
        <v>632</v>
      </c>
      <c r="BC32" t="s">
        <v>3241</v>
      </c>
      <c r="BD32" t="s">
        <v>1035</v>
      </c>
      <c r="BE32" t="s">
        <v>1036</v>
      </c>
      <c r="BF32" t="s">
        <v>1037</v>
      </c>
      <c r="BG32" t="s">
        <v>1038</v>
      </c>
      <c r="BH32" t="s">
        <v>234</v>
      </c>
      <c r="BI32" t="s">
        <v>170</v>
      </c>
      <c r="BJ32" t="s">
        <v>505</v>
      </c>
      <c r="BK32" t="s">
        <v>3242</v>
      </c>
      <c r="BL32" t="s">
        <v>1040</v>
      </c>
      <c r="BM32" t="s">
        <v>3241</v>
      </c>
      <c r="BN32">
        <v>5.52</v>
      </c>
      <c r="BO32">
        <v>7.39</v>
      </c>
      <c r="BP32">
        <v>16.2</v>
      </c>
      <c r="BQ32">
        <v>7.11</v>
      </c>
      <c r="BR32">
        <v>9.02</v>
      </c>
      <c r="BS32">
        <v>19.18</v>
      </c>
      <c r="BT32" t="s">
        <v>851</v>
      </c>
      <c r="BU32" t="s">
        <v>1032</v>
      </c>
      <c r="BV32">
        <v>15.24</v>
      </c>
      <c r="BW32">
        <v>15.77</v>
      </c>
      <c r="BX32">
        <v>16.39</v>
      </c>
      <c r="BY32">
        <v>3.72</v>
      </c>
      <c r="BZ32">
        <v>3.29</v>
      </c>
      <c r="CA32">
        <v>4.91</v>
      </c>
      <c r="CB32">
        <v>0.35</v>
      </c>
      <c r="CC32">
        <v>7.81</v>
      </c>
      <c r="CD32" t="s">
        <v>3243</v>
      </c>
      <c r="CE32" t="s">
        <v>3244</v>
      </c>
      <c r="CF32" s="8">
        <v>-0.45652173913043476</v>
      </c>
      <c r="CG32" s="9">
        <v>0.69440000000000002</v>
      </c>
      <c r="CH32" s="8">
        <v>-0.75688815116882324</v>
      </c>
      <c r="CI32" s="8">
        <v>-0.16846361756324768</v>
      </c>
      <c r="CJ32" s="8">
        <v>0.1967741996049881</v>
      </c>
      <c r="CK32" s="8">
        <v>0.19922630488872528</v>
      </c>
      <c r="CL32" s="8">
        <v>4.8681542277336121E-2</v>
      </c>
      <c r="CM32" s="9">
        <v>-0.68707197904586792</v>
      </c>
      <c r="CN32" s="9">
        <v>-0.37965419888496399</v>
      </c>
      <c r="CO32" s="9">
        <v>-0.12098758667707443</v>
      </c>
      <c r="CP32" s="9">
        <v>0.49423640966415405</v>
      </c>
      <c r="CQ32" s="9">
        <v>0.19304205477237701</v>
      </c>
      <c r="CR32">
        <v>-1.9854941655347484</v>
      </c>
      <c r="CS32" t="e">
        <v>#DIV/0!</v>
      </c>
      <c r="CT32">
        <v>1.7241379310344829</v>
      </c>
      <c r="CU32" s="8">
        <v>0</v>
      </c>
      <c r="CV32" s="9">
        <v>0</v>
      </c>
      <c r="CW32">
        <v>0.06</v>
      </c>
      <c r="CX32">
        <v>97.414968296614717</v>
      </c>
      <c r="CY32">
        <v>6495943.3962264154</v>
      </c>
      <c r="CZ32">
        <v>0</v>
      </c>
      <c r="DA32">
        <v>34.381033540041557</v>
      </c>
      <c r="DB32">
        <v>18405558.380407989</v>
      </c>
      <c r="DC32">
        <v>0</v>
      </c>
      <c r="DD32">
        <v>18.689211326036016</v>
      </c>
      <c r="DE32">
        <v>33859220.11157532</v>
      </c>
      <c r="DF32">
        <v>0</v>
      </c>
      <c r="DG32">
        <v>12.48638947411742</v>
      </c>
      <c r="DH32">
        <v>50679351.409926176</v>
      </c>
      <c r="DI32">
        <v>0</v>
      </c>
      <c r="DJ32">
        <v>8.0123404281645154</v>
      </c>
      <c r="DK32">
        <v>78978436.534674764</v>
      </c>
      <c r="DL32">
        <v>0</v>
      </c>
      <c r="DM32">
        <v>6885700.0000000009</v>
      </c>
      <c r="DN32">
        <v>0</v>
      </c>
      <c r="DO32">
        <v>632802120</v>
      </c>
      <c r="DP32">
        <v>93151630</v>
      </c>
      <c r="DQ32">
        <v>31</v>
      </c>
      <c r="DR32">
        <v>-0.45652173913043476</v>
      </c>
      <c r="DS32">
        <v>0.69440000000000002</v>
      </c>
      <c r="DT32">
        <v>-0.44</v>
      </c>
      <c r="DU32">
        <v>-0.22</v>
      </c>
      <c r="DV32">
        <v>-0.66</v>
      </c>
      <c r="DW32">
        <v>2.0781000000000001</v>
      </c>
      <c r="DX32">
        <v>0.50614997182709887</v>
      </c>
      <c r="DY32">
        <v>2.0285963127996962</v>
      </c>
      <c r="DZ32">
        <v>0</v>
      </c>
      <c r="EA32">
        <v>2.0285963127996962</v>
      </c>
      <c r="EB32">
        <v>2</v>
      </c>
      <c r="EC32">
        <v>0.12740946956282545</v>
      </c>
      <c r="ED32">
        <v>0.34797072065047152</v>
      </c>
      <c r="EE32">
        <v>0</v>
      </c>
      <c r="EF32">
        <v>0</v>
      </c>
      <c r="EG32">
        <v>14.366149971827099</v>
      </c>
      <c r="EH32" t="s">
        <v>86</v>
      </c>
      <c r="EI32">
        <v>1</v>
      </c>
      <c r="EJ32">
        <v>0</v>
      </c>
      <c r="EK32">
        <v>0</v>
      </c>
      <c r="EL32">
        <v>0</v>
      </c>
      <c r="EM32">
        <v>0</v>
      </c>
      <c r="EN32">
        <v>0</v>
      </c>
      <c r="EO32">
        <v>0</v>
      </c>
      <c r="EP32">
        <v>0</v>
      </c>
    </row>
    <row r="33" spans="1:146" ht="96" x14ac:dyDescent="0.25">
      <c r="C33" s="7" t="str">
        <f>""&amp;CHAR(10)&amp;Basic_Fundamental_Information_Constructure(F33)&amp;CHAR(10)&amp;Basic_Fundamental_Information_Concatenate("")</f>
        <v xml:space="preserve">
市值8.812827亿, 利润-509.42万; PE17.59; 平均PE2.94, PB1.19; ROIC8.43%; ROE7.22%; 股利率1.7073%; 毛利40.2367%; 净利10.8633%; 上一年度营收增-87.55%, 利润增-108.44%; 当季营收增-69.73%, 利润增-1436%; 过往5年营收增0%, 利润增0%
Income profile:
</v>
      </c>
      <c r="D33">
        <v>831175</v>
      </c>
      <c r="E33" t="s">
        <v>3245</v>
      </c>
      <c r="F33">
        <v>11.07</v>
      </c>
      <c r="G33">
        <v>-2.64</v>
      </c>
      <c r="H33" t="s">
        <v>3246</v>
      </c>
      <c r="I33">
        <v>881282700</v>
      </c>
      <c r="J33">
        <v>17.59</v>
      </c>
      <c r="K33">
        <v>1.19</v>
      </c>
      <c r="L33" t="s">
        <v>2604</v>
      </c>
      <c r="M33" t="s">
        <v>652</v>
      </c>
      <c r="N33" t="s">
        <v>605</v>
      </c>
      <c r="O33" t="s">
        <v>3247</v>
      </c>
      <c r="P33" s="6">
        <v>2.83</v>
      </c>
      <c r="Q33" t="s">
        <v>3247</v>
      </c>
      <c r="R33">
        <v>-5094204</v>
      </c>
      <c r="S33">
        <v>-14.36</v>
      </c>
      <c r="T33" t="s">
        <v>3248</v>
      </c>
      <c r="U33">
        <v>38306599</v>
      </c>
      <c r="V33">
        <v>79610000</v>
      </c>
      <c r="W33">
        <v>1.36</v>
      </c>
      <c r="X33">
        <v>7.0000000000000007E-2</v>
      </c>
      <c r="Y33">
        <v>-6.36</v>
      </c>
      <c r="Z33" t="s">
        <v>3249</v>
      </c>
      <c r="AA33" t="s">
        <v>3250</v>
      </c>
      <c r="AB33" t="s">
        <v>3251</v>
      </c>
      <c r="AC33" t="s">
        <v>3252</v>
      </c>
      <c r="AD33" t="s">
        <v>3253</v>
      </c>
      <c r="AE33">
        <v>321415</v>
      </c>
      <c r="AF33" t="s">
        <v>3254</v>
      </c>
      <c r="AG33" t="s">
        <v>3255</v>
      </c>
      <c r="AH33" t="s">
        <v>3256</v>
      </c>
      <c r="AI33" t="s">
        <v>565</v>
      </c>
      <c r="AJ33" t="s">
        <v>9</v>
      </c>
      <c r="AK33" t="s">
        <v>3257</v>
      </c>
      <c r="AL33" t="s">
        <v>3258</v>
      </c>
      <c r="AM33" t="s">
        <v>9</v>
      </c>
      <c r="AN33" t="s">
        <v>3259</v>
      </c>
      <c r="AO33" t="s">
        <v>3260</v>
      </c>
      <c r="AP33" t="s">
        <v>3261</v>
      </c>
      <c r="AQ33" t="s">
        <v>487</v>
      </c>
      <c r="AR33" t="s">
        <v>9</v>
      </c>
      <c r="AS33" t="s">
        <v>516</v>
      </c>
      <c r="AT33" t="s">
        <v>9</v>
      </c>
      <c r="AU33" t="s">
        <v>3262</v>
      </c>
      <c r="AV33" t="s">
        <v>3263</v>
      </c>
      <c r="AW33" t="s">
        <v>3264</v>
      </c>
      <c r="AX33" t="s">
        <v>3265</v>
      </c>
      <c r="AY33" t="s">
        <v>526</v>
      </c>
      <c r="AZ33" t="s">
        <v>582</v>
      </c>
      <c r="BA33" t="s">
        <v>458</v>
      </c>
      <c r="BB33" t="s">
        <v>105</v>
      </c>
      <c r="BC33" t="s">
        <v>3266</v>
      </c>
      <c r="BD33" t="s">
        <v>3267</v>
      </c>
      <c r="BE33" t="s">
        <v>3268</v>
      </c>
      <c r="BF33" t="s">
        <v>3269</v>
      </c>
      <c r="BG33" t="s">
        <v>3270</v>
      </c>
      <c r="BH33" t="s">
        <v>471</v>
      </c>
      <c r="BI33" t="s">
        <v>40</v>
      </c>
      <c r="BJ33" t="s">
        <v>3265</v>
      </c>
      <c r="BK33" t="s">
        <v>3271</v>
      </c>
      <c r="BL33" t="s">
        <v>3272</v>
      </c>
      <c r="BM33" t="s">
        <v>3266</v>
      </c>
      <c r="BN33">
        <v>3.27</v>
      </c>
      <c r="BO33">
        <v>10.18</v>
      </c>
      <c r="BP33">
        <v>11.84</v>
      </c>
      <c r="BQ33">
        <v>3.56</v>
      </c>
      <c r="BR33">
        <v>10.88</v>
      </c>
      <c r="BS33" t="s">
        <v>9</v>
      </c>
      <c r="BT33" t="s">
        <v>3273</v>
      </c>
      <c r="BU33" t="s">
        <v>879</v>
      </c>
      <c r="BV33">
        <v>40.409999999999997</v>
      </c>
      <c r="BW33">
        <v>38.090000000000003</v>
      </c>
      <c r="BX33">
        <v>42.21</v>
      </c>
      <c r="BY33">
        <v>9.27</v>
      </c>
      <c r="BZ33">
        <v>10.14</v>
      </c>
      <c r="CA33">
        <v>13.18</v>
      </c>
      <c r="CB33">
        <v>-0.9</v>
      </c>
      <c r="CC33" s="8">
        <v>-7.52</v>
      </c>
      <c r="CD33" s="11" t="s">
        <v>3274</v>
      </c>
      <c r="CE33" s="8" t="s">
        <v>3275</v>
      </c>
      <c r="CF33" s="8">
        <v>-0.69725436507936511</v>
      </c>
      <c r="CG33" s="8">
        <v>-14.36</v>
      </c>
      <c r="CH33" s="8">
        <v>-0.87554341554641724</v>
      </c>
      <c r="CI33" s="8">
        <v>0.24593496322631836</v>
      </c>
      <c r="CJ33" s="9">
        <v>0.45562130212783813</v>
      </c>
      <c r="CK33" s="9">
        <v>0.1192052960395813</v>
      </c>
      <c r="CL33" s="9">
        <v>0.13108614087104797</v>
      </c>
      <c r="CM33" s="9">
        <v>-1.0843870639801025</v>
      </c>
      <c r="CN33" s="9">
        <v>-3.0392246320843697E-2</v>
      </c>
      <c r="CO33">
        <v>1.1057307720184326</v>
      </c>
      <c r="CP33">
        <v>1.0362812280654907</v>
      </c>
      <c r="CQ33">
        <v>0.11645162850618362</v>
      </c>
      <c r="CR33" s="8">
        <v>2.9446862261572107</v>
      </c>
      <c r="CS33" s="9" t="e">
        <v>#DIV/0!</v>
      </c>
      <c r="CT33">
        <v>1.7073170731707317</v>
      </c>
      <c r="CU33">
        <v>0</v>
      </c>
      <c r="CV33">
        <v>0</v>
      </c>
      <c r="CW33">
        <v>0.06</v>
      </c>
      <c r="CX33" t="e">
        <v>#VALUE!</v>
      </c>
      <c r="CY33" t="s">
        <v>85</v>
      </c>
      <c r="CZ33">
        <v>0</v>
      </c>
      <c r="DA33" t="e">
        <v>#VALUE!</v>
      </c>
      <c r="DB33" t="s">
        <v>84</v>
      </c>
      <c r="DC33">
        <v>0</v>
      </c>
      <c r="DD33" t="e">
        <v>#VALUE!</v>
      </c>
      <c r="DE33" t="s">
        <v>84</v>
      </c>
      <c r="DF33">
        <v>0</v>
      </c>
      <c r="DG33" t="e">
        <v>#VALUE!</v>
      </c>
      <c r="DH33" t="s">
        <v>84</v>
      </c>
      <c r="DI33">
        <v>0</v>
      </c>
      <c r="DJ33" t="e">
        <v>#VALUE!</v>
      </c>
      <c r="DK33" t="s">
        <v>84</v>
      </c>
      <c r="DL33">
        <v>0</v>
      </c>
      <c r="DM33">
        <v>-5094200</v>
      </c>
      <c r="DN33">
        <v>0</v>
      </c>
      <c r="DO33">
        <v>436282700</v>
      </c>
      <c r="DP33">
        <v>472500750</v>
      </c>
      <c r="DQ33">
        <v>32</v>
      </c>
      <c r="DR33">
        <v>-0.69725436507936511</v>
      </c>
      <c r="DS33">
        <v>-14.36</v>
      </c>
      <c r="DT33">
        <v>-0.44</v>
      </c>
      <c r="DU33" t="e">
        <v>#VALUE!</v>
      </c>
      <c r="DV33" t="e">
        <v>#VALUE!</v>
      </c>
      <c r="DW33">
        <v>-2.0752000000000002</v>
      </c>
      <c r="DX33">
        <v>0.27236826470914038</v>
      </c>
      <c r="DY33">
        <v>-2.0069460935061274</v>
      </c>
      <c r="DZ33">
        <v>0</v>
      </c>
      <c r="EA33">
        <v>-2.0069460935061274</v>
      </c>
      <c r="EB33">
        <v>2</v>
      </c>
      <c r="EC33">
        <v>3.456726541891722E-2</v>
      </c>
      <c r="ED33">
        <v>0.37423313654063561</v>
      </c>
      <c r="EE33">
        <v>0</v>
      </c>
      <c r="EF33">
        <v>0</v>
      </c>
      <c r="EG33">
        <v>18.09236826470914</v>
      </c>
      <c r="EH33" t="s">
        <v>86</v>
      </c>
      <c r="EI33">
        <v>0</v>
      </c>
      <c r="EJ33">
        <v>0</v>
      </c>
      <c r="EK33">
        <v>0</v>
      </c>
      <c r="EL33">
        <v>0</v>
      </c>
      <c r="EM33">
        <v>0</v>
      </c>
      <c r="EN33">
        <v>0</v>
      </c>
      <c r="EO33">
        <v>0</v>
      </c>
      <c r="EP33">
        <v>0</v>
      </c>
    </row>
    <row r="34" spans="1:146" ht="108" x14ac:dyDescent="0.25">
      <c r="A34" s="10"/>
      <c r="B34" s="10"/>
      <c r="C34" s="7" t="str">
        <f>""&amp;CHAR(10)&amp;Basic_Fundamental_Information_Constructure(F34)&amp;CHAR(10)&amp;Basic_Fundamental_Information_Concatenate("")</f>
        <v xml:space="preserve">
市值7.25422亿, 利润562.53万; PE10.93; 平均PE25.81, PB1.06; ROIC13.1467%; ROE17.0467%; 股利率2.027%; 毛利31.7733%; 净利10.8833%; 上一年度营收增-70.9%, 利润增-91.32%; 当季营收增-46.72%, 利润增-75.57%; 过往5年营收增0%, 利润增0%
Income profile:
</v>
      </c>
      <c r="D34">
        <v>831195</v>
      </c>
      <c r="E34" t="s">
        <v>1041</v>
      </c>
      <c r="F34">
        <v>7.4</v>
      </c>
      <c r="G34" s="5">
        <v>-1.86</v>
      </c>
      <c r="H34" t="s">
        <v>3276</v>
      </c>
      <c r="I34">
        <v>725422000</v>
      </c>
      <c r="J34">
        <v>10.93</v>
      </c>
      <c r="K34">
        <v>1.06</v>
      </c>
      <c r="L34" t="s">
        <v>2604</v>
      </c>
      <c r="M34" t="s">
        <v>179</v>
      </c>
      <c r="N34" t="s">
        <v>3277</v>
      </c>
      <c r="O34" t="s">
        <v>100</v>
      </c>
      <c r="P34">
        <v>14.41</v>
      </c>
      <c r="Q34" t="s">
        <v>100</v>
      </c>
      <c r="R34">
        <v>5625346</v>
      </c>
      <c r="S34" s="5">
        <v>-0.75570000000000004</v>
      </c>
      <c r="T34" t="s">
        <v>3278</v>
      </c>
      <c r="U34">
        <v>39229000</v>
      </c>
      <c r="V34">
        <v>98030000</v>
      </c>
      <c r="W34">
        <v>1.81</v>
      </c>
      <c r="X34">
        <v>0.17</v>
      </c>
      <c r="Y34">
        <v>2.4700000000000002</v>
      </c>
      <c r="Z34" t="s">
        <v>93</v>
      </c>
      <c r="AA34" t="s">
        <v>77</v>
      </c>
      <c r="AB34" t="s">
        <v>3279</v>
      </c>
      <c r="AC34" t="s">
        <v>3280</v>
      </c>
      <c r="AD34" t="s">
        <v>3281</v>
      </c>
      <c r="AE34">
        <v>5972289</v>
      </c>
      <c r="AF34" t="s">
        <v>3282</v>
      </c>
      <c r="AG34">
        <v>3162.86</v>
      </c>
      <c r="AH34" t="s">
        <v>3283</v>
      </c>
      <c r="AI34" t="s">
        <v>131</v>
      </c>
      <c r="AJ34" t="s">
        <v>9</v>
      </c>
      <c r="AK34" t="s">
        <v>3284</v>
      </c>
      <c r="AL34" t="s">
        <v>3285</v>
      </c>
      <c r="AM34" t="s">
        <v>9</v>
      </c>
      <c r="AN34" t="s">
        <v>3286</v>
      </c>
      <c r="AO34" t="s">
        <v>444</v>
      </c>
      <c r="AP34" t="s">
        <v>3287</v>
      </c>
      <c r="AQ34" t="s">
        <v>238</v>
      </c>
      <c r="AR34" t="s">
        <v>9</v>
      </c>
      <c r="AS34" t="s">
        <v>688</v>
      </c>
      <c r="AT34" t="s">
        <v>3288</v>
      </c>
      <c r="AU34" t="s">
        <v>3289</v>
      </c>
      <c r="AV34" t="s">
        <v>3290</v>
      </c>
      <c r="AW34" t="s">
        <v>3291</v>
      </c>
      <c r="AX34" t="s">
        <v>1043</v>
      </c>
      <c r="AY34" t="s">
        <v>346</v>
      </c>
      <c r="AZ34" t="s">
        <v>319</v>
      </c>
      <c r="BA34" t="s">
        <v>344</v>
      </c>
      <c r="BB34" t="s">
        <v>410</v>
      </c>
      <c r="BC34" t="s">
        <v>1044</v>
      </c>
      <c r="BD34" t="s">
        <v>1046</v>
      </c>
      <c r="BE34" t="s">
        <v>1047</v>
      </c>
      <c r="BF34" t="s">
        <v>1048</v>
      </c>
      <c r="BG34" t="s">
        <v>1049</v>
      </c>
      <c r="BH34" t="s">
        <v>671</v>
      </c>
      <c r="BI34" t="s">
        <v>147</v>
      </c>
      <c r="BJ34" t="s">
        <v>1043</v>
      </c>
      <c r="BK34" t="s">
        <v>3292</v>
      </c>
      <c r="BL34" t="s">
        <v>1050</v>
      </c>
      <c r="BM34" t="s">
        <v>1044</v>
      </c>
      <c r="BN34">
        <v>9.01</v>
      </c>
      <c r="BO34">
        <v>11.86</v>
      </c>
      <c r="BP34">
        <v>18.57</v>
      </c>
      <c r="BQ34">
        <v>11.06</v>
      </c>
      <c r="BR34">
        <v>14.88</v>
      </c>
      <c r="BS34">
        <v>25.2</v>
      </c>
      <c r="BT34" t="s">
        <v>1006</v>
      </c>
      <c r="BU34" t="s">
        <v>822</v>
      </c>
      <c r="BV34">
        <v>33.950000000000003</v>
      </c>
      <c r="BW34">
        <v>30.44</v>
      </c>
      <c r="BX34">
        <v>30.93</v>
      </c>
      <c r="BY34">
        <v>10.08</v>
      </c>
      <c r="BZ34">
        <v>9.2200000000000006</v>
      </c>
      <c r="CA34">
        <v>13.35</v>
      </c>
      <c r="CB34">
        <v>-1.86</v>
      </c>
      <c r="CC34">
        <v>-12.43</v>
      </c>
      <c r="CD34" t="s">
        <v>3293</v>
      </c>
      <c r="CE34" t="s">
        <v>3294</v>
      </c>
      <c r="CF34" s="8">
        <v>-0.46717171717171718</v>
      </c>
      <c r="CG34" s="9">
        <v>-0.75570000000000004</v>
      </c>
      <c r="CH34" s="8">
        <v>-0.70896553993225098</v>
      </c>
      <c r="CI34" s="8">
        <v>0.18464052677154541</v>
      </c>
      <c r="CJ34" s="8">
        <v>7.9365082085132599E-2</v>
      </c>
      <c r="CK34" s="8">
        <v>7.7946767210960388E-2</v>
      </c>
      <c r="CL34" s="8">
        <v>-8.3623692393302917E-2</v>
      </c>
      <c r="CM34" s="9">
        <v>-0.91324108839035034</v>
      </c>
      <c r="CN34" s="9">
        <v>-0.19962106645107269</v>
      </c>
      <c r="CO34" s="9">
        <v>0.81430631875991821</v>
      </c>
      <c r="CP34" s="9">
        <v>0.23011311888694763</v>
      </c>
      <c r="CQ34" s="9">
        <v>1.7369184494018555</v>
      </c>
      <c r="CR34">
        <v>25.810325596123707</v>
      </c>
      <c r="CS34" t="e">
        <v>#DIV/0!</v>
      </c>
      <c r="CT34">
        <v>2.0270270270270268</v>
      </c>
      <c r="CU34" s="8">
        <v>0</v>
      </c>
      <c r="CV34" s="9">
        <v>0</v>
      </c>
      <c r="CW34">
        <v>0.06</v>
      </c>
      <c r="CX34">
        <v>105.602780296162</v>
      </c>
      <c r="CY34">
        <v>5306886.7924528299</v>
      </c>
      <c r="CZ34">
        <v>0</v>
      </c>
      <c r="DA34">
        <v>37.270789025244255</v>
      </c>
      <c r="DB34">
        <v>15036494.11930654</v>
      </c>
      <c r="DC34">
        <v>0</v>
      </c>
      <c r="DD34">
        <v>20.260055637060756</v>
      </c>
      <c r="DE34">
        <v>27661424.531078123</v>
      </c>
      <c r="DF34">
        <v>0</v>
      </c>
      <c r="DG34">
        <v>13.535881265316332</v>
      </c>
      <c r="DH34">
        <v>41402697.690323085</v>
      </c>
      <c r="DI34">
        <v>0</v>
      </c>
      <c r="DJ34">
        <v>8.6857845430610041</v>
      </c>
      <c r="DK34">
        <v>64521747.830795102</v>
      </c>
      <c r="DL34">
        <v>0</v>
      </c>
      <c r="DM34">
        <v>5625300</v>
      </c>
      <c r="DN34">
        <v>0</v>
      </c>
      <c r="DO34">
        <v>560422000</v>
      </c>
      <c r="DP34">
        <v>367825050</v>
      </c>
      <c r="DQ34">
        <v>33</v>
      </c>
      <c r="DR34">
        <v>-0.46717171717171718</v>
      </c>
      <c r="DS34">
        <v>-0.75570000000000004</v>
      </c>
      <c r="DT34">
        <v>-0.44</v>
      </c>
      <c r="DU34">
        <v>-0.44</v>
      </c>
      <c r="DV34">
        <v>-0.88</v>
      </c>
      <c r="DW34">
        <v>-2.1242999999999999</v>
      </c>
      <c r="DX34">
        <v>0.34997966260787916</v>
      </c>
      <c r="DY34">
        <v>-2.0323154720621592</v>
      </c>
      <c r="DZ34">
        <v>0</v>
      </c>
      <c r="EA34">
        <v>-2.0323154720621592</v>
      </c>
      <c r="EB34">
        <v>2</v>
      </c>
      <c r="EC34">
        <v>6.1028256656125678E-2</v>
      </c>
      <c r="ED34">
        <v>0.23474242578802407</v>
      </c>
      <c r="EE34">
        <v>0</v>
      </c>
      <c r="EF34">
        <v>0</v>
      </c>
      <c r="EG34">
        <v>9.2599796626078792</v>
      </c>
      <c r="EH34" t="s">
        <v>86</v>
      </c>
      <c r="EI34">
        <v>0</v>
      </c>
      <c r="EJ34">
        <v>0</v>
      </c>
      <c r="EK34">
        <v>0</v>
      </c>
      <c r="EL34">
        <v>0</v>
      </c>
      <c r="EM34">
        <v>0</v>
      </c>
      <c r="EN34">
        <v>0</v>
      </c>
      <c r="EO34">
        <v>0</v>
      </c>
      <c r="EP34">
        <v>0</v>
      </c>
    </row>
    <row r="35" spans="1:146" ht="108" x14ac:dyDescent="0.25">
      <c r="A35" s="10"/>
      <c r="B35" s="10"/>
      <c r="C35" s="7" t="str">
        <f>""&amp;CHAR(10)&amp;Basic_Fundamental_Information_Constructure(F35)&amp;CHAR(10)&amp;Basic_Fundamental_Information_Concatenate("")</f>
        <v xml:space="preserve">
市值6.4232238亿, 利润572.13万; PE54.22; 平均PE1.08, PB1.79; ROIC6.0467%; ROE6.64%; 股利率2.4213%; 毛利25.71%; 净利7.1333%; 上一年度营收增-68.92%, 利润增-70.04%; 当季营收增-38.79%, 利润增225.5%; 过往5年营收增0%, 利润增0%
Income profile:
</v>
      </c>
      <c r="D35">
        <v>831278</v>
      </c>
      <c r="E35" t="s">
        <v>1051</v>
      </c>
      <c r="F35">
        <v>4.13</v>
      </c>
      <c r="G35" s="5">
        <v>-2.13</v>
      </c>
      <c r="H35" t="s">
        <v>3295</v>
      </c>
      <c r="I35">
        <v>642322380</v>
      </c>
      <c r="J35">
        <v>54.22</v>
      </c>
      <c r="K35">
        <v>1.79</v>
      </c>
      <c r="L35" t="s">
        <v>2604</v>
      </c>
      <c r="M35" t="s">
        <v>227</v>
      </c>
      <c r="N35" t="s">
        <v>60</v>
      </c>
      <c r="O35" t="s">
        <v>3296</v>
      </c>
      <c r="P35">
        <v>25.94</v>
      </c>
      <c r="Q35" t="s">
        <v>3296</v>
      </c>
      <c r="R35">
        <v>5721322</v>
      </c>
      <c r="S35" s="5">
        <v>2.2549999999999999</v>
      </c>
      <c r="T35" t="s">
        <v>3297</v>
      </c>
      <c r="U35">
        <v>97510916</v>
      </c>
      <c r="V35">
        <v>155526000</v>
      </c>
      <c r="W35">
        <v>1.43</v>
      </c>
      <c r="X35">
        <v>0.16</v>
      </c>
      <c r="Y35">
        <v>7.19</v>
      </c>
      <c r="Z35" t="s">
        <v>3298</v>
      </c>
      <c r="AA35" t="s">
        <v>3299</v>
      </c>
      <c r="AB35" t="s">
        <v>3300</v>
      </c>
      <c r="AC35" t="s">
        <v>3301</v>
      </c>
      <c r="AD35" t="s">
        <v>3302</v>
      </c>
      <c r="AE35">
        <v>15737</v>
      </c>
      <c r="AF35" t="s">
        <v>17</v>
      </c>
      <c r="AG35" t="s">
        <v>9</v>
      </c>
      <c r="AH35" t="s">
        <v>3303</v>
      </c>
      <c r="AI35" t="s">
        <v>3304</v>
      </c>
      <c r="AJ35" t="s">
        <v>9</v>
      </c>
      <c r="AK35" t="s">
        <v>3305</v>
      </c>
      <c r="AL35" t="s">
        <v>3306</v>
      </c>
      <c r="AM35" t="s">
        <v>9</v>
      </c>
      <c r="AN35">
        <v>0</v>
      </c>
      <c r="AO35" t="s">
        <v>815</v>
      </c>
      <c r="AP35" t="s">
        <v>3307</v>
      </c>
      <c r="AQ35" t="s">
        <v>3308</v>
      </c>
      <c r="AR35" t="s">
        <v>9</v>
      </c>
      <c r="AS35" t="s">
        <v>300</v>
      </c>
      <c r="AT35" t="s">
        <v>3309</v>
      </c>
      <c r="AU35" t="s">
        <v>3310</v>
      </c>
      <c r="AV35" t="s">
        <v>3311</v>
      </c>
      <c r="AW35" t="s">
        <v>3312</v>
      </c>
      <c r="AX35" t="s">
        <v>101</v>
      </c>
      <c r="AY35" t="s">
        <v>635</v>
      </c>
      <c r="AZ35" t="s">
        <v>554</v>
      </c>
      <c r="BA35" t="s">
        <v>240</v>
      </c>
      <c r="BB35" t="s">
        <v>61</v>
      </c>
      <c r="BC35" t="s">
        <v>1052</v>
      </c>
      <c r="BD35" t="s">
        <v>1053</v>
      </c>
      <c r="BE35" t="s">
        <v>1054</v>
      </c>
      <c r="BF35" t="s">
        <v>1055</v>
      </c>
      <c r="BG35" t="s">
        <v>1056</v>
      </c>
      <c r="BH35" t="s">
        <v>170</v>
      </c>
      <c r="BI35" t="s">
        <v>94</v>
      </c>
      <c r="BJ35" t="s">
        <v>101</v>
      </c>
      <c r="BK35" t="s">
        <v>3313</v>
      </c>
      <c r="BL35" t="s">
        <v>1057</v>
      </c>
      <c r="BM35" t="s">
        <v>1052</v>
      </c>
      <c r="BN35">
        <v>1.1100000000000001</v>
      </c>
      <c r="BO35">
        <v>5.66</v>
      </c>
      <c r="BP35">
        <v>11.37</v>
      </c>
      <c r="BQ35">
        <v>1.1000000000000001</v>
      </c>
      <c r="BR35">
        <v>6.14</v>
      </c>
      <c r="BS35">
        <v>12.68</v>
      </c>
      <c r="BT35" t="s">
        <v>886</v>
      </c>
      <c r="BU35" t="s">
        <v>822</v>
      </c>
      <c r="BV35">
        <v>21.55</v>
      </c>
      <c r="BW35">
        <v>26.17</v>
      </c>
      <c r="BX35">
        <v>29.41</v>
      </c>
      <c r="BY35">
        <v>2.86</v>
      </c>
      <c r="BZ35">
        <v>7.45</v>
      </c>
      <c r="CA35">
        <v>11.09</v>
      </c>
      <c r="CB35">
        <v>4.5599999999999996</v>
      </c>
      <c r="CC35">
        <v>7.27</v>
      </c>
      <c r="CD35" t="s">
        <v>3314</v>
      </c>
      <c r="CE35" t="s">
        <v>3315</v>
      </c>
      <c r="CF35" s="8">
        <v>-0.38788</v>
      </c>
      <c r="CG35" s="9">
        <v>2.2549999999999999</v>
      </c>
      <c r="CH35" s="8">
        <v>-0.68915778398513794</v>
      </c>
      <c r="CI35" s="8">
        <v>-9.5406360924243927E-2</v>
      </c>
      <c r="CJ35" s="8">
        <v>0.29223743081092834</v>
      </c>
      <c r="CK35" s="8">
        <v>-4.5454544015228748E-3</v>
      </c>
      <c r="CL35" s="8">
        <v>-2.222222276031971E-2</v>
      </c>
      <c r="CM35" s="9">
        <v>-0.70035040378570557</v>
      </c>
      <c r="CN35" s="9">
        <v>-0.39152812957763672</v>
      </c>
      <c r="CO35" s="9">
        <v>5.3431808948516846E-2</v>
      </c>
      <c r="CP35" s="9">
        <v>0.20639657974243164</v>
      </c>
      <c r="CQ35" s="9">
        <v>4.3601568788290024E-2</v>
      </c>
      <c r="CR35">
        <v>1.0787111437995458</v>
      </c>
      <c r="CS35" t="e">
        <v>#DIV/0!</v>
      </c>
      <c r="CT35">
        <v>2.4213075060532687</v>
      </c>
      <c r="CU35" s="8">
        <v>0</v>
      </c>
      <c r="CV35" s="9">
        <v>0</v>
      </c>
      <c r="CW35">
        <v>0.06</v>
      </c>
      <c r="CX35">
        <v>81.950207610158543</v>
      </c>
      <c r="CY35">
        <v>5397452.8301886786</v>
      </c>
      <c r="CZ35">
        <v>0</v>
      </c>
      <c r="DA35">
        <v>28.922997006776647</v>
      </c>
      <c r="DB35">
        <v>15293103.266454857</v>
      </c>
      <c r="DC35">
        <v>0</v>
      </c>
      <c r="DD35">
        <v>15.722273229872849</v>
      </c>
      <c r="DE35">
        <v>28133487.666374642</v>
      </c>
      <c r="DF35">
        <v>0</v>
      </c>
      <c r="DG35">
        <v>10.504157909178115</v>
      </c>
      <c r="DH35">
        <v>42109266.047258899</v>
      </c>
      <c r="DI35">
        <v>0</v>
      </c>
      <c r="DJ35">
        <v>6.740370325144033</v>
      </c>
      <c r="DK35">
        <v>65622860.267777368</v>
      </c>
      <c r="DL35">
        <v>0</v>
      </c>
      <c r="DM35">
        <v>5721300</v>
      </c>
      <c r="DN35">
        <v>0</v>
      </c>
      <c r="DO35">
        <v>442322380</v>
      </c>
      <c r="DP35">
        <v>220093890</v>
      </c>
      <c r="DQ35">
        <v>34</v>
      </c>
      <c r="DR35">
        <v>-0.38788</v>
      </c>
      <c r="DS35">
        <v>2.2549999999999999</v>
      </c>
      <c r="DT35">
        <v>-0.44</v>
      </c>
      <c r="DU35">
        <v>0.6</v>
      </c>
      <c r="DV35">
        <v>0.15999999999999998</v>
      </c>
      <c r="DW35">
        <v>8.6272352132049512</v>
      </c>
      <c r="DX35">
        <v>0.47075017674679687</v>
      </c>
      <c r="DY35">
        <v>8.2074581576293539</v>
      </c>
      <c r="DZ35">
        <v>0</v>
      </c>
      <c r="EA35">
        <v>8.2074581576293539</v>
      </c>
      <c r="EB35">
        <v>8</v>
      </c>
      <c r="EC35">
        <v>0.12423260419479701</v>
      </c>
      <c r="ED35">
        <v>0.37560857991589824</v>
      </c>
      <c r="EE35">
        <v>0</v>
      </c>
      <c r="EF35">
        <v>0</v>
      </c>
      <c r="EG35">
        <v>14.330750176746797</v>
      </c>
      <c r="EH35" t="s">
        <v>86</v>
      </c>
      <c r="EI35">
        <v>0</v>
      </c>
      <c r="EJ35">
        <v>0</v>
      </c>
      <c r="EK35">
        <v>0</v>
      </c>
      <c r="EL35">
        <v>0</v>
      </c>
      <c r="EM35">
        <v>0</v>
      </c>
      <c r="EN35">
        <v>0</v>
      </c>
      <c r="EO35">
        <v>0</v>
      </c>
      <c r="EP35">
        <v>0</v>
      </c>
    </row>
    <row r="36" spans="1:146" ht="108" x14ac:dyDescent="0.25">
      <c r="A36" s="10"/>
      <c r="B36" s="10"/>
      <c r="C36" s="7" t="str">
        <f>""&amp;CHAR(10)&amp;Basic_Fundamental_Information_Constructure(F36)&amp;CHAR(10)&amp;Basic_Fundamental_Information_Concatenate("")</f>
        <v xml:space="preserve">
市值9.8508816亿, 利润2270.43万; PE12.01; 平均PE1.82, PB2.06; ROIC21.2633%; ROE23.505%; 股利率3.2949%; 毛利15.2267%; 净利8.32%; 上一年度营收增-77.02%, 利润增-67.72%; 当季营收增-52.72%, 利润增16.26%; 过往5年营收增0%, 利润增0%
Income profile:
</v>
      </c>
      <c r="D36">
        <v>831304</v>
      </c>
      <c r="E36" t="s">
        <v>1058</v>
      </c>
      <c r="F36">
        <v>6.07</v>
      </c>
      <c r="G36" s="5">
        <v>-1.62</v>
      </c>
      <c r="H36" t="s">
        <v>3316</v>
      </c>
      <c r="I36">
        <v>985088160</v>
      </c>
      <c r="J36">
        <v>12.01</v>
      </c>
      <c r="K36">
        <v>2.06</v>
      </c>
      <c r="L36" t="s">
        <v>2604</v>
      </c>
      <c r="M36" t="s">
        <v>123</v>
      </c>
      <c r="N36" t="s">
        <v>519</v>
      </c>
      <c r="O36" t="s">
        <v>378</v>
      </c>
      <c r="P36">
        <v>-9.61</v>
      </c>
      <c r="Q36" t="s">
        <v>378</v>
      </c>
      <c r="R36">
        <v>22704345</v>
      </c>
      <c r="S36" s="5">
        <v>0.16259999999999999</v>
      </c>
      <c r="T36" t="s">
        <v>3317</v>
      </c>
      <c r="U36">
        <v>64382910</v>
      </c>
      <c r="V36">
        <v>162288000</v>
      </c>
      <c r="W36">
        <v>1.38</v>
      </c>
      <c r="X36">
        <v>0.28999999999999998</v>
      </c>
      <c r="Y36">
        <v>11.89</v>
      </c>
      <c r="Z36" t="s">
        <v>113</v>
      </c>
      <c r="AA36" t="s">
        <v>386</v>
      </c>
      <c r="AB36" t="s">
        <v>3318</v>
      </c>
      <c r="AC36" t="s">
        <v>3319</v>
      </c>
      <c r="AD36" t="s">
        <v>3320</v>
      </c>
      <c r="AE36">
        <v>1079499</v>
      </c>
      <c r="AF36" t="s">
        <v>3321</v>
      </c>
      <c r="AG36" t="s">
        <v>3322</v>
      </c>
      <c r="AH36" t="s">
        <v>3323</v>
      </c>
      <c r="AI36" t="s">
        <v>124</v>
      </c>
      <c r="AJ36" t="s">
        <v>9</v>
      </c>
      <c r="AK36" t="s">
        <v>3324</v>
      </c>
      <c r="AL36" t="s">
        <v>3325</v>
      </c>
      <c r="AM36" t="s">
        <v>9</v>
      </c>
      <c r="AN36" t="s">
        <v>3326</v>
      </c>
      <c r="AO36" t="s">
        <v>9</v>
      </c>
      <c r="AP36" t="s">
        <v>3327</v>
      </c>
      <c r="AQ36" t="s">
        <v>3328</v>
      </c>
      <c r="AR36" t="s">
        <v>9</v>
      </c>
      <c r="AS36" t="s">
        <v>109</v>
      </c>
      <c r="AT36" t="s">
        <v>9</v>
      </c>
      <c r="AU36" t="s">
        <v>3329</v>
      </c>
      <c r="AV36" t="s">
        <v>176</v>
      </c>
      <c r="AW36" t="s">
        <v>3330</v>
      </c>
      <c r="AX36" t="s">
        <v>615</v>
      </c>
      <c r="AY36" t="s">
        <v>974</v>
      </c>
      <c r="AZ36" t="s">
        <v>496</v>
      </c>
      <c r="BA36" t="s">
        <v>96</v>
      </c>
      <c r="BB36" t="s">
        <v>491</v>
      </c>
      <c r="BC36" t="s">
        <v>1059</v>
      </c>
      <c r="BD36" t="s">
        <v>1060</v>
      </c>
      <c r="BE36" t="s">
        <v>1061</v>
      </c>
      <c r="BF36" t="s">
        <v>1062</v>
      </c>
      <c r="BG36" t="s">
        <v>1063</v>
      </c>
      <c r="BH36" t="s">
        <v>609</v>
      </c>
      <c r="BI36" t="s">
        <v>119</v>
      </c>
      <c r="BJ36" t="s">
        <v>615</v>
      </c>
      <c r="BK36" t="s">
        <v>3331</v>
      </c>
      <c r="BL36" t="s">
        <v>1064</v>
      </c>
      <c r="BM36" t="s">
        <v>1059</v>
      </c>
      <c r="BN36">
        <v>16</v>
      </c>
      <c r="BO36">
        <v>31.03</v>
      </c>
      <c r="BP36">
        <v>16.760000000000002</v>
      </c>
      <c r="BQ36">
        <v>16.059999999999999</v>
      </c>
      <c r="BR36">
        <v>30.95</v>
      </c>
      <c r="BS36" t="s">
        <v>9</v>
      </c>
      <c r="BT36" t="s">
        <v>851</v>
      </c>
      <c r="BU36" t="s">
        <v>861</v>
      </c>
      <c r="BV36">
        <v>15.67</v>
      </c>
      <c r="BW36">
        <v>15.95</v>
      </c>
      <c r="BX36">
        <v>14.06</v>
      </c>
      <c r="BY36">
        <v>10.35</v>
      </c>
      <c r="BZ36">
        <v>8.4600000000000009</v>
      </c>
      <c r="CA36">
        <v>6.15</v>
      </c>
      <c r="CB36">
        <v>-1.1399999999999999</v>
      </c>
      <c r="CC36">
        <v>-13.16</v>
      </c>
      <c r="CD36" t="s">
        <v>3332</v>
      </c>
      <c r="CE36" t="s">
        <v>3333</v>
      </c>
      <c r="CF36" s="8">
        <v>-0.52722772277227725</v>
      </c>
      <c r="CG36" s="9">
        <v>0.16259999999999999</v>
      </c>
      <c r="CH36" s="8">
        <v>-0.77015644311904907</v>
      </c>
      <c r="CI36" s="8">
        <v>0.63905322551727295</v>
      </c>
      <c r="CJ36" s="8">
        <v>0.58934170007705688</v>
      </c>
      <c r="CK36" s="8">
        <v>1.2698412872850895E-2</v>
      </c>
      <c r="CL36" s="8">
        <v>0.15384615957736969</v>
      </c>
      <c r="CM36" s="9">
        <v>-0.67723762989044189</v>
      </c>
      <c r="CN36" s="9">
        <v>1.256963849067688</v>
      </c>
      <c r="CO36" s="9">
        <v>0.20845094323158264</v>
      </c>
      <c r="CP36" s="9">
        <v>5.967426672577858E-2</v>
      </c>
      <c r="CQ36" s="9">
        <v>0.30598184466362</v>
      </c>
      <c r="CR36">
        <v>1.8154378946515504</v>
      </c>
      <c r="CS36" t="e">
        <v>#DIV/0!</v>
      </c>
      <c r="CT36">
        <v>3.2948929159802307</v>
      </c>
      <c r="CU36" s="8">
        <v>0</v>
      </c>
      <c r="CV36" s="9">
        <v>0</v>
      </c>
      <c r="CW36">
        <v>0.06</v>
      </c>
      <c r="CX36">
        <v>33.33877061173434</v>
      </c>
      <c r="CY36">
        <v>21419150.943396226</v>
      </c>
      <c r="CZ36">
        <v>0</v>
      </c>
      <c r="DA36">
        <v>11.766378520965169</v>
      </c>
      <c r="DB36">
        <v>60688865.204161815</v>
      </c>
      <c r="DC36">
        <v>0</v>
      </c>
      <c r="DD36">
        <v>6.3960943601168809</v>
      </c>
      <c r="DE36">
        <v>111644406.69492419</v>
      </c>
      <c r="DF36">
        <v>0</v>
      </c>
      <c r="DG36">
        <v>4.2732742382963043</v>
      </c>
      <c r="DH36">
        <v>167105624.44143468</v>
      </c>
      <c r="DI36">
        <v>0</v>
      </c>
      <c r="DJ36">
        <v>2.7420999489971081</v>
      </c>
      <c r="DK36">
        <v>260416532.32267103</v>
      </c>
      <c r="DL36">
        <v>0</v>
      </c>
      <c r="DM36">
        <v>22704300</v>
      </c>
      <c r="DN36">
        <v>0</v>
      </c>
      <c r="DO36">
        <v>714088160</v>
      </c>
      <c r="DP36">
        <v>259733530</v>
      </c>
      <c r="DQ36">
        <v>35</v>
      </c>
      <c r="DR36">
        <v>-0.52722772277227725</v>
      </c>
      <c r="DS36">
        <v>0.16259999999999999</v>
      </c>
      <c r="DT36">
        <v>-0.44</v>
      </c>
      <c r="DU36">
        <v>-0.22</v>
      </c>
      <c r="DV36">
        <v>-0.66</v>
      </c>
      <c r="DW36">
        <v>-2.1316000000000002</v>
      </c>
      <c r="DX36">
        <v>0.17485790132412796</v>
      </c>
      <c r="DY36">
        <v>-2.0098512998142555</v>
      </c>
      <c r="DZ36">
        <v>0</v>
      </c>
      <c r="EA36">
        <v>-2.0098512998142555</v>
      </c>
      <c r="EB36">
        <v>2</v>
      </c>
      <c r="EC36">
        <v>2.3144656413289954E-2</v>
      </c>
      <c r="ED36">
        <v>0.30918120871537019</v>
      </c>
      <c r="EE36">
        <v>0</v>
      </c>
      <c r="EF36">
        <v>0</v>
      </c>
      <c r="EG36">
        <v>10.074857901324128</v>
      </c>
      <c r="EH36" t="s">
        <v>86</v>
      </c>
      <c r="EI36">
        <v>0</v>
      </c>
      <c r="EJ36">
        <v>0</v>
      </c>
      <c r="EK36">
        <v>0</v>
      </c>
      <c r="EL36">
        <v>0</v>
      </c>
      <c r="EM36">
        <v>0</v>
      </c>
      <c r="EN36">
        <v>0</v>
      </c>
      <c r="EO36">
        <v>0</v>
      </c>
      <c r="EP36">
        <v>0</v>
      </c>
    </row>
    <row r="37" spans="1:146" ht="108" x14ac:dyDescent="0.25">
      <c r="A37" s="10"/>
      <c r="B37" s="10"/>
      <c r="C37" s="7" t="str">
        <f>""&amp;CHAR(10)&amp;Basic_Fundamental_Information_Constructure(F37)&amp;CHAR(10)&amp;Basic_Fundamental_Information_Concatenate("")</f>
        <v xml:space="preserve">
市值14.37665亿, 利润2945.35万; PE22.81; 平均PE2.58, PB1.81; ROIC9.4667%; ROE11.53%; 股利率.9756%; 毛利51.5967%; 净利28.1067%; 上一年度营收增-14.55%, 利润增-51.42%; 当季营收增72.48%, 利润增134.3%; 过往5年营收增0%, 利润增0%
Income profile:
</v>
      </c>
      <c r="D37">
        <v>831305</v>
      </c>
      <c r="E37" t="s">
        <v>1065</v>
      </c>
      <c r="F37">
        <v>10.25</v>
      </c>
      <c r="G37" s="5">
        <v>-0.57999999999999996</v>
      </c>
      <c r="H37" t="s">
        <v>2456</v>
      </c>
      <c r="I37">
        <v>1437665000</v>
      </c>
      <c r="J37">
        <v>22.81</v>
      </c>
      <c r="K37">
        <v>1.81</v>
      </c>
      <c r="L37" t="s">
        <v>2604</v>
      </c>
      <c r="M37" t="s">
        <v>260</v>
      </c>
      <c r="N37" t="s">
        <v>127</v>
      </c>
      <c r="O37" t="s">
        <v>15</v>
      </c>
      <c r="P37">
        <v>282.92</v>
      </c>
      <c r="Q37" t="s">
        <v>15</v>
      </c>
      <c r="R37">
        <v>29453497</v>
      </c>
      <c r="S37" s="5">
        <v>1.343</v>
      </c>
      <c r="T37" t="s">
        <v>3334</v>
      </c>
      <c r="U37">
        <v>109917756</v>
      </c>
      <c r="V37">
        <v>140260000</v>
      </c>
      <c r="W37">
        <v>1.28</v>
      </c>
      <c r="X37">
        <v>0.19</v>
      </c>
      <c r="Y37">
        <v>16.5</v>
      </c>
      <c r="Z37" t="s">
        <v>227</v>
      </c>
      <c r="AA37" t="s">
        <v>134</v>
      </c>
      <c r="AB37" t="s">
        <v>3335</v>
      </c>
      <c r="AC37" t="s">
        <v>3336</v>
      </c>
      <c r="AD37" t="s">
        <v>3337</v>
      </c>
      <c r="AE37">
        <v>162803</v>
      </c>
      <c r="AF37" t="s">
        <v>17</v>
      </c>
      <c r="AG37" t="s">
        <v>3338</v>
      </c>
      <c r="AH37" t="s">
        <v>3339</v>
      </c>
      <c r="AI37" t="s">
        <v>496</v>
      </c>
      <c r="AJ37" t="s">
        <v>9</v>
      </c>
      <c r="AK37" t="s">
        <v>3340</v>
      </c>
      <c r="AL37" t="s">
        <v>3341</v>
      </c>
      <c r="AM37" t="s">
        <v>9</v>
      </c>
      <c r="AN37" t="s">
        <v>487</v>
      </c>
      <c r="AO37" t="s">
        <v>3342</v>
      </c>
      <c r="AP37" t="s">
        <v>9</v>
      </c>
      <c r="AQ37" t="s">
        <v>3343</v>
      </c>
      <c r="AR37" t="s">
        <v>9</v>
      </c>
      <c r="AS37" t="s">
        <v>453</v>
      </c>
      <c r="AT37" t="s">
        <v>3344</v>
      </c>
      <c r="AU37" t="s">
        <v>3345</v>
      </c>
      <c r="AV37" t="s">
        <v>3346</v>
      </c>
      <c r="AW37" t="s">
        <v>3347</v>
      </c>
      <c r="AX37" t="s">
        <v>240</v>
      </c>
      <c r="AY37" t="s">
        <v>156</v>
      </c>
      <c r="AZ37" t="s">
        <v>432</v>
      </c>
      <c r="BA37" t="s">
        <v>571</v>
      </c>
      <c r="BB37" t="s">
        <v>315</v>
      </c>
      <c r="BC37" t="s">
        <v>3348</v>
      </c>
      <c r="BD37" t="s">
        <v>1067</v>
      </c>
      <c r="BE37" t="s">
        <v>1068</v>
      </c>
      <c r="BF37" t="s">
        <v>1069</v>
      </c>
      <c r="BG37" t="s">
        <v>1070</v>
      </c>
      <c r="BH37" t="s">
        <v>444</v>
      </c>
      <c r="BI37" t="s">
        <v>518</v>
      </c>
      <c r="BJ37" t="s">
        <v>240</v>
      </c>
      <c r="BK37" t="s">
        <v>3349</v>
      </c>
      <c r="BL37" t="s">
        <v>1071</v>
      </c>
      <c r="BM37" t="s">
        <v>3348</v>
      </c>
      <c r="BN37">
        <v>4.45</v>
      </c>
      <c r="BO37">
        <v>7.46</v>
      </c>
      <c r="BP37">
        <v>16.489999999999998</v>
      </c>
      <c r="BQ37">
        <v>4.93</v>
      </c>
      <c r="BR37">
        <v>8.09</v>
      </c>
      <c r="BS37">
        <v>21.57</v>
      </c>
      <c r="BT37" t="s">
        <v>886</v>
      </c>
      <c r="BU37" t="s">
        <v>831</v>
      </c>
      <c r="BV37">
        <v>49.15</v>
      </c>
      <c r="BW37">
        <v>53.28</v>
      </c>
      <c r="BX37">
        <v>52.36</v>
      </c>
      <c r="BY37">
        <v>20.91</v>
      </c>
      <c r="BZ37">
        <v>29.45</v>
      </c>
      <c r="CA37">
        <v>33.96</v>
      </c>
      <c r="CB37">
        <v>1.49</v>
      </c>
      <c r="CC37">
        <v>-3.85</v>
      </c>
      <c r="CD37" t="s">
        <v>3350</v>
      </c>
      <c r="CE37" t="s">
        <v>3351</v>
      </c>
      <c r="CF37" s="8">
        <v>0.72477064220183463</v>
      </c>
      <c r="CG37" s="9">
        <v>1.343</v>
      </c>
      <c r="CH37" s="8">
        <v>-0.14545454084873199</v>
      </c>
      <c r="CI37" s="8">
        <v>-0.23076923191547394</v>
      </c>
      <c r="CJ37" s="8">
        <v>-1.3793103396892548E-2</v>
      </c>
      <c r="CK37" s="8">
        <v>0.2446351945400238</v>
      </c>
      <c r="CL37" s="8">
        <v>0.10952381044626236</v>
      </c>
      <c r="CM37" s="9">
        <v>-0.5142291784286499</v>
      </c>
      <c r="CN37" s="9">
        <v>-0.33813026547431946</v>
      </c>
      <c r="CO37" s="9">
        <v>-1.9860072061419487E-3</v>
      </c>
      <c r="CP37" s="9">
        <v>0.23416231572628021</v>
      </c>
      <c r="CQ37" s="9">
        <v>7.2182267904281616E-2</v>
      </c>
      <c r="CR37">
        <v>2.5849039754706529</v>
      </c>
      <c r="CS37" t="e">
        <v>#DIV/0!</v>
      </c>
      <c r="CT37">
        <v>0.97560975609756095</v>
      </c>
      <c r="CU37" s="8">
        <v>0</v>
      </c>
      <c r="CV37" s="9">
        <v>0</v>
      </c>
      <c r="CW37">
        <v>0.06</v>
      </c>
      <c r="CX37">
        <v>25.18019590201504</v>
      </c>
      <c r="CY37">
        <v>27786320.754716977</v>
      </c>
      <c r="CZ37">
        <v>0</v>
      </c>
      <c r="DA37">
        <v>8.8869418631436421</v>
      </c>
      <c r="DB37">
        <v>78729557.453468293</v>
      </c>
      <c r="DC37">
        <v>0</v>
      </c>
      <c r="DD37">
        <v>4.8308592680628006</v>
      </c>
      <c r="DE37">
        <v>144832412.03599977</v>
      </c>
      <c r="DF37">
        <v>0</v>
      </c>
      <c r="DG37">
        <v>3.2275300045245845</v>
      </c>
      <c r="DH37">
        <v>216780323.96884274</v>
      </c>
      <c r="DI37">
        <v>0</v>
      </c>
      <c r="DJ37">
        <v>2.0710605889693512</v>
      </c>
      <c r="DK37">
        <v>337829324.61101162</v>
      </c>
      <c r="DL37">
        <v>0</v>
      </c>
      <c r="DM37">
        <v>29453500</v>
      </c>
      <c r="DN37">
        <v>0</v>
      </c>
      <c r="DO37">
        <v>699664999.99999988</v>
      </c>
      <c r="DP37">
        <v>576459970</v>
      </c>
      <c r="DQ37">
        <v>36</v>
      </c>
      <c r="DR37">
        <v>0.72477064220183463</v>
      </c>
      <c r="DS37">
        <v>1.343</v>
      </c>
      <c r="DT37">
        <v>-0.44</v>
      </c>
      <c r="DU37">
        <v>0.6</v>
      </c>
      <c r="DV37">
        <v>0.15999999999999998</v>
      </c>
      <c r="DW37">
        <v>-1.0385</v>
      </c>
      <c r="DX37">
        <v>0.16604370016699208</v>
      </c>
      <c r="DY37">
        <v>-1.0048526824564292</v>
      </c>
      <c r="DZ37">
        <v>0</v>
      </c>
      <c r="EA37">
        <v>-1.0048526824564292</v>
      </c>
      <c r="EB37">
        <v>1</v>
      </c>
      <c r="EC37">
        <v>3.8207614430343646E-3</v>
      </c>
      <c r="ED37">
        <v>3.031299016112933E-2</v>
      </c>
      <c r="EE37">
        <v>0</v>
      </c>
      <c r="EF37">
        <v>0</v>
      </c>
      <c r="EG37">
        <v>4.1260437001669921</v>
      </c>
      <c r="EH37" t="s">
        <v>86</v>
      </c>
      <c r="EI37">
        <v>0</v>
      </c>
      <c r="EJ37">
        <v>0</v>
      </c>
      <c r="EK37">
        <v>0</v>
      </c>
      <c r="EL37">
        <v>0</v>
      </c>
      <c r="EM37">
        <v>0</v>
      </c>
      <c r="EN37">
        <v>0</v>
      </c>
      <c r="EO37">
        <v>0</v>
      </c>
      <c r="EP37">
        <v>0</v>
      </c>
    </row>
    <row r="38" spans="1:146" ht="96" x14ac:dyDescent="0.25">
      <c r="A38" s="10"/>
      <c r="B38" s="10"/>
      <c r="C38" s="7" t="str">
        <f>""&amp;CHAR(10)&amp;Basic_Fundamental_Information_Constructure(F38)&amp;CHAR(10)&amp;Basic_Fundamental_Information_Concatenate("")</f>
        <v xml:space="preserve">
市值5.268016亿, 利润-180.77万; PE; 平均PE.91, PB.752; ROIC4.59%; ROE-2.1267%; 股利率0%; 毛利15.91%; 净利-3.8233%; 上一年度营收增-79.37%, 利润增96.59%; 当季营收增-57.09%, 利润增-217.8%; 过往5年营收增0%, 利润增0%
Income profile:
</v>
      </c>
      <c r="D38">
        <v>831370</v>
      </c>
      <c r="E38" t="s">
        <v>1072</v>
      </c>
      <c r="F38">
        <v>1.72</v>
      </c>
      <c r="G38" s="5">
        <v>-1.1499999999999999</v>
      </c>
      <c r="H38" t="s">
        <v>3352</v>
      </c>
      <c r="I38">
        <v>526801600</v>
      </c>
      <c r="K38">
        <v>0.752</v>
      </c>
      <c r="L38" t="s">
        <v>2604</v>
      </c>
      <c r="M38" t="s">
        <v>168</v>
      </c>
      <c r="N38" t="s">
        <v>3353</v>
      </c>
      <c r="O38" t="s">
        <v>89</v>
      </c>
      <c r="P38">
        <v>-8.66</v>
      </c>
      <c r="Q38" t="s">
        <v>89</v>
      </c>
      <c r="R38">
        <v>-1807688</v>
      </c>
      <c r="S38" s="5">
        <v>-2.1779999999999999</v>
      </c>
      <c r="T38" t="s">
        <v>3354</v>
      </c>
      <c r="U38">
        <v>267337380</v>
      </c>
      <c r="V38">
        <v>306280000</v>
      </c>
      <c r="W38">
        <v>1.24</v>
      </c>
      <c r="X38">
        <v>0.14000000000000001</v>
      </c>
      <c r="Y38">
        <v>-1.7</v>
      </c>
      <c r="Z38" t="s">
        <v>256</v>
      </c>
      <c r="AA38" t="s">
        <v>37</v>
      </c>
      <c r="AB38" t="s">
        <v>3355</v>
      </c>
      <c r="AC38" t="s">
        <v>3356</v>
      </c>
      <c r="AD38" t="s">
        <v>3357</v>
      </c>
      <c r="AE38">
        <v>479774</v>
      </c>
      <c r="AF38" t="s">
        <v>3358</v>
      </c>
      <c r="AG38">
        <v>185.6</v>
      </c>
      <c r="AH38" t="s">
        <v>3359</v>
      </c>
      <c r="AI38" t="s">
        <v>92</v>
      </c>
      <c r="AJ38" t="s">
        <v>9</v>
      </c>
      <c r="AK38" t="s">
        <v>9</v>
      </c>
      <c r="AL38" t="s">
        <v>3360</v>
      </c>
      <c r="AM38" t="s">
        <v>9</v>
      </c>
      <c r="AN38">
        <v>0</v>
      </c>
      <c r="AO38" t="s">
        <v>3361</v>
      </c>
      <c r="AP38" t="s">
        <v>9</v>
      </c>
      <c r="AQ38" t="s">
        <v>3362</v>
      </c>
      <c r="AR38" t="s">
        <v>9</v>
      </c>
      <c r="AS38" t="s">
        <v>300</v>
      </c>
      <c r="AT38" t="s">
        <v>3363</v>
      </c>
      <c r="AU38" t="s">
        <v>3364</v>
      </c>
      <c r="AV38" t="s">
        <v>3365</v>
      </c>
      <c r="AW38" t="s">
        <v>3366</v>
      </c>
      <c r="AX38" t="s">
        <v>600</v>
      </c>
      <c r="AY38" t="s">
        <v>557</v>
      </c>
      <c r="AZ38" t="s">
        <v>612</v>
      </c>
      <c r="BA38" t="s">
        <v>76</v>
      </c>
      <c r="BB38" t="s">
        <v>384</v>
      </c>
      <c r="BC38" t="s">
        <v>3367</v>
      </c>
      <c r="BD38" t="s">
        <v>1074</v>
      </c>
      <c r="BE38" t="s">
        <v>1075</v>
      </c>
      <c r="BF38" t="s">
        <v>1076</v>
      </c>
      <c r="BG38" t="s">
        <v>1077</v>
      </c>
      <c r="BH38" t="s">
        <v>3368</v>
      </c>
      <c r="BI38" t="s">
        <v>1078</v>
      </c>
      <c r="BJ38" t="s">
        <v>600</v>
      </c>
      <c r="BK38" t="s">
        <v>3369</v>
      </c>
      <c r="BL38" t="s">
        <v>1079</v>
      </c>
      <c r="BM38" t="s">
        <v>3367</v>
      </c>
      <c r="BN38" t="s">
        <v>9</v>
      </c>
      <c r="BO38" t="s">
        <v>9</v>
      </c>
      <c r="BP38">
        <v>4.59</v>
      </c>
      <c r="BQ38">
        <v>-4.72</v>
      </c>
      <c r="BR38">
        <v>-6.65</v>
      </c>
      <c r="BS38">
        <v>4.99</v>
      </c>
      <c r="BT38" t="s">
        <v>773</v>
      </c>
      <c r="BU38" t="s">
        <v>1073</v>
      </c>
      <c r="BV38">
        <v>9.4</v>
      </c>
      <c r="BW38">
        <v>16.690000000000001</v>
      </c>
      <c r="BX38">
        <v>21.64</v>
      </c>
      <c r="BY38">
        <v>-9.44</v>
      </c>
      <c r="BZ38">
        <v>-8.85</v>
      </c>
      <c r="CA38">
        <v>6.82</v>
      </c>
      <c r="CB38">
        <v>-1.1499999999999999</v>
      </c>
      <c r="CC38">
        <v>-18.48</v>
      </c>
      <c r="CD38" t="s">
        <v>3370</v>
      </c>
      <c r="CE38" t="s">
        <v>3371</v>
      </c>
      <c r="CF38" s="8">
        <v>-0.5709342560553633</v>
      </c>
      <c r="CG38" s="9">
        <v>-2.1779999999999999</v>
      </c>
      <c r="CH38" s="8">
        <v>-0.79367721080780029</v>
      </c>
      <c r="CI38" s="8">
        <v>-1.6366612166166306E-2</v>
      </c>
      <c r="CJ38" s="8">
        <v>-0.13086770474910736</v>
      </c>
      <c r="CK38" s="8">
        <v>0.15625</v>
      </c>
      <c r="CL38" s="8">
        <v>0.2854122519493103</v>
      </c>
      <c r="CM38" s="9">
        <v>0.96593773365020752</v>
      </c>
      <c r="CN38" s="9">
        <v>-2.2854824066162109</v>
      </c>
      <c r="CO38" s="9">
        <v>-0.55710452795028687</v>
      </c>
      <c r="CP38" s="9">
        <v>0.81502920389175415</v>
      </c>
      <c r="CQ38" s="9">
        <v>0.61206918954849243</v>
      </c>
      <c r="CR38">
        <v>0.90666530357490605</v>
      </c>
      <c r="CS38" t="e">
        <v>#DIV/0!</v>
      </c>
      <c r="CT38">
        <v>0</v>
      </c>
      <c r="CU38" s="8">
        <v>0</v>
      </c>
      <c r="CV38" s="9">
        <v>0</v>
      </c>
      <c r="CW38">
        <v>0.06</v>
      </c>
      <c r="CX38" t="s">
        <v>3372</v>
      </c>
      <c r="CY38" t="s">
        <v>85</v>
      </c>
      <c r="CZ38">
        <v>0</v>
      </c>
      <c r="DA38" t="s">
        <v>3372</v>
      </c>
      <c r="DB38" t="s">
        <v>84</v>
      </c>
      <c r="DC38">
        <v>0</v>
      </c>
      <c r="DD38" t="s">
        <v>3372</v>
      </c>
      <c r="DE38" t="s">
        <v>84</v>
      </c>
      <c r="DF38">
        <v>0</v>
      </c>
      <c r="DG38" t="s">
        <v>3372</v>
      </c>
      <c r="DH38" t="s">
        <v>84</v>
      </c>
      <c r="DI38">
        <v>0</v>
      </c>
      <c r="DJ38" t="s">
        <v>3372</v>
      </c>
      <c r="DK38" t="s">
        <v>84</v>
      </c>
      <c r="DL38">
        <v>0</v>
      </c>
      <c r="DM38">
        <v>-1807700</v>
      </c>
      <c r="DN38">
        <v>0</v>
      </c>
      <c r="DO38">
        <v>-1198400</v>
      </c>
      <c r="DP38">
        <v>501329490</v>
      </c>
      <c r="DQ38">
        <v>37</v>
      </c>
      <c r="DR38">
        <v>-0.5709342560553633</v>
      </c>
      <c r="DS38">
        <v>-2.1779999999999999</v>
      </c>
      <c r="DT38">
        <v>-0.44</v>
      </c>
      <c r="DU38" t="e">
        <v>#VALUE!</v>
      </c>
      <c r="DV38" t="e">
        <v>#VALUE!</v>
      </c>
      <c r="DW38">
        <v>-3.0280476190476189</v>
      </c>
      <c r="DX38">
        <v>0.32092124866440319</v>
      </c>
      <c r="DY38">
        <v>-3.0042329816887303</v>
      </c>
      <c r="DZ38">
        <v>0</v>
      </c>
      <c r="EA38">
        <v>-3.0042329816887303</v>
      </c>
      <c r="EB38">
        <v>3</v>
      </c>
      <c r="EC38">
        <v>1.9646075486482957E-2</v>
      </c>
      <c r="ED38">
        <v>0.13017435026772889</v>
      </c>
      <c r="EE38">
        <v>0</v>
      </c>
      <c r="EF38">
        <v>0</v>
      </c>
      <c r="EG38">
        <v>17.150921248664403</v>
      </c>
      <c r="EH38" t="s">
        <v>86</v>
      </c>
      <c r="EI38">
        <v>0</v>
      </c>
      <c r="EJ38">
        <v>0</v>
      </c>
      <c r="EK38">
        <v>0</v>
      </c>
      <c r="EL38">
        <v>0</v>
      </c>
      <c r="EM38">
        <v>0</v>
      </c>
      <c r="EN38">
        <v>0</v>
      </c>
      <c r="EO38">
        <v>0</v>
      </c>
      <c r="EP38">
        <v>0</v>
      </c>
    </row>
    <row r="39" spans="1:146" ht="96" x14ac:dyDescent="0.25">
      <c r="C39" s="7" t="str">
        <f>""&amp;CHAR(10)&amp;Basic_Fundamental_Information_Constructure(F39)&amp;CHAR(10)&amp;Basic_Fundamental_Information_Concatenate("")</f>
        <v xml:space="preserve">
市值8.5271125亿, 利润142.80万; PE16.67; 平均PE-2.02, PB1.48; ROIC9.3067%; ROE6.48%; 股利率3.8835%; 毛利25.74%; 净利8.82%; 上一年度营收增-85.4%, 利润增-96.59%; 当季营收增-64.64%, 利润增49.15%; 过往5年营收增0%, 利润增0%
Income profile:
</v>
      </c>
      <c r="D39">
        <v>831396</v>
      </c>
      <c r="E39" t="s">
        <v>3373</v>
      </c>
      <c r="F39">
        <v>5.15</v>
      </c>
      <c r="G39">
        <v>-0.96</v>
      </c>
      <c r="H39" t="s">
        <v>3374</v>
      </c>
      <c r="I39">
        <v>852711250</v>
      </c>
      <c r="J39">
        <v>16.670000000000002</v>
      </c>
      <c r="K39">
        <v>1.48</v>
      </c>
      <c r="L39" t="s">
        <v>2604</v>
      </c>
      <c r="M39" t="s">
        <v>482</v>
      </c>
      <c r="N39" t="s">
        <v>3375</v>
      </c>
      <c r="O39" t="s">
        <v>3376</v>
      </c>
      <c r="P39" s="5">
        <v>23.46</v>
      </c>
      <c r="Q39" t="s">
        <v>3376</v>
      </c>
      <c r="R39">
        <v>1427983</v>
      </c>
      <c r="S39">
        <v>0.49149999999999999</v>
      </c>
      <c r="T39" t="s">
        <v>3377</v>
      </c>
      <c r="U39">
        <v>86058043</v>
      </c>
      <c r="V39">
        <v>165575000</v>
      </c>
      <c r="W39">
        <v>1.56</v>
      </c>
      <c r="X39">
        <v>0.08</v>
      </c>
      <c r="Y39">
        <v>1.36</v>
      </c>
      <c r="Z39" t="s">
        <v>3378</v>
      </c>
      <c r="AA39" t="s">
        <v>3379</v>
      </c>
      <c r="AB39" t="s">
        <v>3380</v>
      </c>
      <c r="AC39" t="s">
        <v>3381</v>
      </c>
      <c r="AD39" t="s">
        <v>3382</v>
      </c>
      <c r="AE39">
        <v>252977</v>
      </c>
      <c r="AF39" t="s">
        <v>3383</v>
      </c>
      <c r="AG39" t="s">
        <v>3384</v>
      </c>
      <c r="AH39" t="s">
        <v>3385</v>
      </c>
      <c r="AI39" t="s">
        <v>240</v>
      </c>
      <c r="AJ39" t="s">
        <v>9</v>
      </c>
      <c r="AK39" t="s">
        <v>3386</v>
      </c>
      <c r="AL39" t="s">
        <v>3387</v>
      </c>
      <c r="AM39" t="s">
        <v>9</v>
      </c>
      <c r="AN39" t="s">
        <v>3388</v>
      </c>
      <c r="AO39" t="s">
        <v>9</v>
      </c>
      <c r="AP39" t="s">
        <v>3389</v>
      </c>
      <c r="AQ39" t="s">
        <v>554</v>
      </c>
      <c r="AR39" t="s">
        <v>9</v>
      </c>
      <c r="AS39" t="s">
        <v>488</v>
      </c>
      <c r="AT39" t="s">
        <v>9</v>
      </c>
      <c r="AU39" t="s">
        <v>3390</v>
      </c>
      <c r="AV39" t="s">
        <v>3391</v>
      </c>
      <c r="AW39" t="s">
        <v>3392</v>
      </c>
      <c r="AX39" t="s">
        <v>528</v>
      </c>
      <c r="AY39" t="s">
        <v>291</v>
      </c>
      <c r="AZ39" t="s">
        <v>450</v>
      </c>
      <c r="BA39" t="s">
        <v>637</v>
      </c>
      <c r="BB39" t="s">
        <v>489</v>
      </c>
      <c r="BC39" t="s">
        <v>3393</v>
      </c>
      <c r="BD39" t="s">
        <v>3394</v>
      </c>
      <c r="BE39" t="s">
        <v>3395</v>
      </c>
      <c r="BF39" t="s">
        <v>3396</v>
      </c>
      <c r="BG39" t="s">
        <v>3397</v>
      </c>
      <c r="BH39" t="s">
        <v>336</v>
      </c>
      <c r="BI39" t="s">
        <v>437</v>
      </c>
      <c r="BJ39" t="s">
        <v>528</v>
      </c>
      <c r="BK39" t="s">
        <v>3398</v>
      </c>
      <c r="BL39" t="s">
        <v>3399</v>
      </c>
      <c r="BM39" t="s">
        <v>3393</v>
      </c>
      <c r="BN39">
        <v>5.64</v>
      </c>
      <c r="BO39">
        <v>10.64</v>
      </c>
      <c r="BP39">
        <v>11.64</v>
      </c>
      <c r="BQ39">
        <v>6.48</v>
      </c>
      <c r="BR39" t="s">
        <v>9</v>
      </c>
      <c r="BS39" t="s">
        <v>9</v>
      </c>
      <c r="BT39" t="s">
        <v>851</v>
      </c>
      <c r="BU39" t="s">
        <v>1598</v>
      </c>
      <c r="BV39">
        <v>25.66</v>
      </c>
      <c r="BW39">
        <v>25.67</v>
      </c>
      <c r="BX39">
        <v>25.89</v>
      </c>
      <c r="BY39">
        <v>7.77</v>
      </c>
      <c r="BZ39">
        <v>8.69</v>
      </c>
      <c r="CA39">
        <v>10</v>
      </c>
      <c r="CB39">
        <v>-2.46</v>
      </c>
      <c r="CC39" s="8">
        <v>-4.9800000000000004</v>
      </c>
      <c r="CD39" s="11" t="s">
        <v>3400</v>
      </c>
      <c r="CE39" s="8" t="s">
        <v>3401</v>
      </c>
      <c r="CF39" s="8">
        <v>-0.64635929648241208</v>
      </c>
      <c r="CG39" s="8">
        <v>0.49149999999999999</v>
      </c>
      <c r="CH39" s="8">
        <v>-0.85399484634399414</v>
      </c>
      <c r="CI39" s="8">
        <v>0.15865384042263031</v>
      </c>
      <c r="CJ39" s="9">
        <v>0.2800000011920929</v>
      </c>
      <c r="CK39" s="9">
        <v>0.27450981736183167</v>
      </c>
      <c r="CL39" s="9">
        <v>0.16972477734088898</v>
      </c>
      <c r="CM39" s="9">
        <v>-0.96590697765350342</v>
      </c>
      <c r="CN39" s="9">
        <v>0.15237253904342651</v>
      </c>
      <c r="CO39">
        <v>0.2330915629863739</v>
      </c>
      <c r="CP39">
        <v>0.40408605337142944</v>
      </c>
      <c r="CQ39">
        <v>1.5985022783279419</v>
      </c>
      <c r="CR39" s="8">
        <v>-2.0182759215269392</v>
      </c>
      <c r="CS39" s="9" t="e">
        <v>#DIV/0!</v>
      </c>
      <c r="CT39">
        <v>3.8834951456310676</v>
      </c>
      <c r="CU39">
        <v>0</v>
      </c>
      <c r="CV39">
        <v>0</v>
      </c>
      <c r="CW39">
        <v>0.06</v>
      </c>
      <c r="CX39">
        <v>526.07417717086844</v>
      </c>
      <c r="CY39">
        <v>1347169.8113207545</v>
      </c>
      <c r="CZ39">
        <v>0</v>
      </c>
      <c r="DA39">
        <v>185.66935088239345</v>
      </c>
      <c r="DB39">
        <v>3817061.0638312157</v>
      </c>
      <c r="DC39">
        <v>0</v>
      </c>
      <c r="DD39">
        <v>100.92813909644872</v>
      </c>
      <c r="DE39">
        <v>7021939.1375356978</v>
      </c>
      <c r="DF39">
        <v>0</v>
      </c>
      <c r="DG39">
        <v>67.430777664787129</v>
      </c>
      <c r="DH39">
        <v>10510204.309420185</v>
      </c>
      <c r="DI39">
        <v>0</v>
      </c>
      <c r="DJ39">
        <v>43.269381201513056</v>
      </c>
      <c r="DK39">
        <v>16379047.500111178</v>
      </c>
      <c r="DL39">
        <v>0</v>
      </c>
      <c r="DM39">
        <v>1428000</v>
      </c>
      <c r="DN39">
        <v>0</v>
      </c>
      <c r="DO39">
        <v>708711250</v>
      </c>
      <c r="DP39">
        <v>427136700</v>
      </c>
      <c r="DQ39">
        <v>38</v>
      </c>
      <c r="DR39">
        <v>-0.64635929648241208</v>
      </c>
      <c r="DS39">
        <v>0.49149999999999999</v>
      </c>
      <c r="DT39">
        <v>-0.44</v>
      </c>
      <c r="DU39">
        <v>-0.44</v>
      </c>
      <c r="DV39">
        <v>-0.88</v>
      </c>
      <c r="DW39">
        <v>-1.0498000000000001</v>
      </c>
      <c r="DX39">
        <v>0.32196818691549223</v>
      </c>
      <c r="DY39">
        <v>-1.0050780157083916</v>
      </c>
      <c r="DZ39">
        <v>0</v>
      </c>
      <c r="EA39">
        <v>-1.0050780157083916</v>
      </c>
      <c r="EB39">
        <v>1</v>
      </c>
      <c r="EC39">
        <v>5.2263324777291259E-2</v>
      </c>
      <c r="ED39">
        <v>0.51254537218783025</v>
      </c>
      <c r="EE39">
        <v>0</v>
      </c>
      <c r="EF39">
        <v>0</v>
      </c>
      <c r="EG39">
        <v>22.101968186915492</v>
      </c>
      <c r="EH39" t="s">
        <v>86</v>
      </c>
      <c r="EI39">
        <v>0</v>
      </c>
      <c r="EJ39">
        <v>0</v>
      </c>
      <c r="EK39">
        <v>0</v>
      </c>
      <c r="EL39">
        <v>0</v>
      </c>
      <c r="EM39">
        <v>0</v>
      </c>
      <c r="EN39">
        <v>0</v>
      </c>
      <c r="EO39">
        <v>0</v>
      </c>
      <c r="EP39">
        <v>0</v>
      </c>
    </row>
    <row r="40" spans="1:146" ht="108" x14ac:dyDescent="0.25">
      <c r="A40" s="10"/>
      <c r="B40" s="10"/>
      <c r="C40" s="7" t="str">
        <f>""&amp;CHAR(10)&amp;Basic_Fundamental_Information_Constructure(F40)&amp;CHAR(10)&amp;Basic_Fundamental_Information_Concatenate("")</f>
        <v xml:space="preserve">
市值6.1544362亿, 利润383.24万; PE48.64; 平均PE18.63, PB1.68; ROIC10.0533%; ROE10.5167%; 股利率3.632%; 毛利26.49%; 净利11.8467%; 上一年度营收增-82.27%, 利润增-91.12%; 当季营收增-57.83%, 利润增202.5%; 过往5年营收增0%, 利润增0%
Income profile:
</v>
      </c>
      <c r="D40">
        <v>831445</v>
      </c>
      <c r="E40" t="s">
        <v>1080</v>
      </c>
      <c r="F40">
        <v>4.13</v>
      </c>
      <c r="G40" s="5">
        <v>-1.67</v>
      </c>
      <c r="H40" t="s">
        <v>3402</v>
      </c>
      <c r="I40">
        <v>615443620</v>
      </c>
      <c r="J40">
        <v>48.64</v>
      </c>
      <c r="K40">
        <v>1.68</v>
      </c>
      <c r="L40" t="s">
        <v>2604</v>
      </c>
      <c r="M40" t="s">
        <v>114</v>
      </c>
      <c r="N40" t="s">
        <v>533</v>
      </c>
      <c r="O40" t="s">
        <v>3403</v>
      </c>
      <c r="P40">
        <v>-14.84</v>
      </c>
      <c r="Q40" t="s">
        <v>3403</v>
      </c>
      <c r="R40">
        <v>3832392</v>
      </c>
      <c r="S40" s="5">
        <v>2.0249999999999999</v>
      </c>
      <c r="T40" t="s">
        <v>3404</v>
      </c>
      <c r="U40">
        <v>92456474</v>
      </c>
      <c r="V40">
        <v>149500030</v>
      </c>
      <c r="W40">
        <v>1.37</v>
      </c>
      <c r="X40">
        <v>0.12</v>
      </c>
      <c r="Y40">
        <v>6.27</v>
      </c>
      <c r="Z40" t="s">
        <v>3405</v>
      </c>
      <c r="AA40" t="s">
        <v>3406</v>
      </c>
      <c r="AB40" t="s">
        <v>3407</v>
      </c>
      <c r="AC40" t="s">
        <v>3408</v>
      </c>
      <c r="AD40" t="s">
        <v>3409</v>
      </c>
      <c r="AE40">
        <v>77243</v>
      </c>
      <c r="AF40" t="s">
        <v>17</v>
      </c>
      <c r="AG40" t="s">
        <v>3410</v>
      </c>
      <c r="AH40" t="s">
        <v>3411</v>
      </c>
      <c r="AI40" t="s">
        <v>3412</v>
      </c>
      <c r="AJ40" t="s">
        <v>9</v>
      </c>
      <c r="AK40" t="s">
        <v>9</v>
      </c>
      <c r="AL40" t="s">
        <v>3413</v>
      </c>
      <c r="AM40" t="s">
        <v>9</v>
      </c>
      <c r="AN40" t="s">
        <v>3414</v>
      </c>
      <c r="AO40" t="s">
        <v>1083</v>
      </c>
      <c r="AP40" t="s">
        <v>9</v>
      </c>
      <c r="AQ40" t="s">
        <v>3415</v>
      </c>
      <c r="AR40" t="s">
        <v>9</v>
      </c>
      <c r="AS40" t="s">
        <v>29</v>
      </c>
      <c r="AT40" t="s">
        <v>9</v>
      </c>
      <c r="AU40" t="s">
        <v>3416</v>
      </c>
      <c r="AV40" t="s">
        <v>3417</v>
      </c>
      <c r="AW40" t="s">
        <v>3418</v>
      </c>
      <c r="AX40" t="s">
        <v>343</v>
      </c>
      <c r="AY40" t="s">
        <v>294</v>
      </c>
      <c r="AZ40" t="s">
        <v>324</v>
      </c>
      <c r="BA40" t="s">
        <v>250</v>
      </c>
      <c r="BB40" t="s">
        <v>165</v>
      </c>
      <c r="BC40" t="s">
        <v>1082</v>
      </c>
      <c r="BD40" t="s">
        <v>1084</v>
      </c>
      <c r="BE40" t="s">
        <v>1085</v>
      </c>
      <c r="BF40" t="s">
        <v>1086</v>
      </c>
      <c r="BG40" t="s">
        <v>1087</v>
      </c>
      <c r="BH40" t="s">
        <v>450</v>
      </c>
      <c r="BI40" t="s">
        <v>258</v>
      </c>
      <c r="BJ40" t="s">
        <v>343</v>
      </c>
      <c r="BK40" t="s">
        <v>3419</v>
      </c>
      <c r="BL40" t="s">
        <v>1088</v>
      </c>
      <c r="BM40" t="s">
        <v>1082</v>
      </c>
      <c r="BN40">
        <v>2.2400000000000002</v>
      </c>
      <c r="BO40">
        <v>9.98</v>
      </c>
      <c r="BP40">
        <v>17.940000000000001</v>
      </c>
      <c r="BQ40">
        <v>2.75</v>
      </c>
      <c r="BR40">
        <v>11.07</v>
      </c>
      <c r="BS40">
        <v>17.73</v>
      </c>
      <c r="BT40" t="s">
        <v>1006</v>
      </c>
      <c r="BU40" t="s">
        <v>1081</v>
      </c>
      <c r="BV40">
        <v>22.21</v>
      </c>
      <c r="BW40">
        <v>25.42</v>
      </c>
      <c r="BX40">
        <v>31.84</v>
      </c>
      <c r="BY40">
        <v>3.1</v>
      </c>
      <c r="BZ40">
        <v>12.51</v>
      </c>
      <c r="CA40">
        <v>19.93</v>
      </c>
      <c r="CB40">
        <v>-0.96</v>
      </c>
      <c r="CC40">
        <v>-3.73</v>
      </c>
      <c r="CD40" t="s">
        <v>3420</v>
      </c>
      <c r="CE40" t="s">
        <v>3421</v>
      </c>
      <c r="CF40" s="8">
        <v>-0.57826689655172414</v>
      </c>
      <c r="CG40" s="9">
        <v>2.0249999999999999</v>
      </c>
      <c r="CH40" s="8">
        <v>-0.82274985313415527</v>
      </c>
      <c r="CI40" s="8">
        <v>-1.1461318470537663E-2</v>
      </c>
      <c r="CJ40" s="8">
        <v>0.11501597613096237</v>
      </c>
      <c r="CK40" s="8">
        <v>0.14233577251434326</v>
      </c>
      <c r="CL40" s="8">
        <v>0.15126051008701324</v>
      </c>
      <c r="CM40" s="9">
        <v>-0.91121470928192139</v>
      </c>
      <c r="CN40" s="9">
        <v>-0.37959679961204529</v>
      </c>
      <c r="CO40" s="9">
        <v>3.8446556776762009E-2</v>
      </c>
      <c r="CP40" s="9">
        <v>0.21116340160369873</v>
      </c>
      <c r="CQ40" s="9">
        <v>0.17884868383407593</v>
      </c>
      <c r="CR40">
        <v>18.629455397966765</v>
      </c>
      <c r="CS40" t="e">
        <v>#DIV/0!</v>
      </c>
      <c r="CT40">
        <v>3.6319612590799033</v>
      </c>
      <c r="CU40" s="8">
        <v>0</v>
      </c>
      <c r="CV40" s="9">
        <v>0</v>
      </c>
      <c r="CW40">
        <v>0.06</v>
      </c>
      <c r="CX40">
        <v>110.2051553073792</v>
      </c>
      <c r="CY40">
        <v>3615471.6981132072</v>
      </c>
      <c r="CZ40">
        <v>0</v>
      </c>
      <c r="DA40">
        <v>38.895122660940849</v>
      </c>
      <c r="DB40">
        <v>10244050.995116772</v>
      </c>
      <c r="DC40">
        <v>0</v>
      </c>
      <c r="DD40">
        <v>21.143028353578028</v>
      </c>
      <c r="DE40">
        <v>18845153.746983059</v>
      </c>
      <c r="DF40">
        <v>0</v>
      </c>
      <c r="DG40">
        <v>14.125801355635764</v>
      </c>
      <c r="DH40">
        <v>28206797.615841679</v>
      </c>
      <c r="DI40">
        <v>0</v>
      </c>
      <c r="DJ40">
        <v>9.0643279641877061</v>
      </c>
      <c r="DK40">
        <v>43957326.078029469</v>
      </c>
      <c r="DL40">
        <v>0</v>
      </c>
      <c r="DM40">
        <v>3832400</v>
      </c>
      <c r="DN40">
        <v>0</v>
      </c>
      <c r="DO40">
        <v>398443620</v>
      </c>
      <c r="DP40">
        <v>72405250</v>
      </c>
      <c r="DQ40">
        <v>39</v>
      </c>
      <c r="DR40">
        <v>-0.57826689655172414</v>
      </c>
      <c r="DS40">
        <v>2.0249999999999999</v>
      </c>
      <c r="DT40">
        <v>-0.44</v>
      </c>
      <c r="DU40">
        <v>0.6</v>
      </c>
      <c r="DV40">
        <v>0.15999999999999998</v>
      </c>
      <c r="DW40">
        <v>-1.0373000000000001</v>
      </c>
      <c r="DX40">
        <v>0.19415721800954622</v>
      </c>
      <c r="DY40">
        <v>-1.002393064231756</v>
      </c>
      <c r="DZ40">
        <v>0</v>
      </c>
      <c r="EA40">
        <v>-1.002393064231756</v>
      </c>
      <c r="EB40">
        <v>1</v>
      </c>
      <c r="EC40">
        <v>1.4969227765372354E-2</v>
      </c>
      <c r="ED40">
        <v>0.23332102341384145</v>
      </c>
      <c r="EE40">
        <v>0</v>
      </c>
      <c r="EF40">
        <v>0</v>
      </c>
      <c r="EG40">
        <v>13.064157218009546</v>
      </c>
      <c r="EH40" t="s">
        <v>86</v>
      </c>
      <c r="EI40">
        <v>0</v>
      </c>
      <c r="EJ40">
        <v>0</v>
      </c>
      <c r="EK40">
        <v>0</v>
      </c>
      <c r="EL40">
        <v>0</v>
      </c>
      <c r="EM40">
        <v>0</v>
      </c>
      <c r="EN40">
        <v>0</v>
      </c>
      <c r="EO40">
        <v>0</v>
      </c>
      <c r="EP40">
        <v>0</v>
      </c>
    </row>
    <row r="41" spans="1:146" ht="108" x14ac:dyDescent="0.25">
      <c r="A41" s="10"/>
      <c r="B41" s="10"/>
      <c r="C41" s="7" t="str">
        <f>""&amp;CHAR(10)&amp;Basic_Fundamental_Information_Constructure(F41)&amp;CHAR(10)&amp;Basic_Fundamental_Information_Concatenate("")</f>
        <v xml:space="preserve">
市值15.36566亿, 利润499.63万; PE88.8; 平均PE2.34, PB7.22; ROIC12.0267%; ROE12.9933%; 股利率.5382%; 毛利27.99%; 净利14.9033%; 上一年度营收增-76.76%, 利润增-69.85%; 当季营收增-46.71%, 利润增26.07%; 过往5年营收增0%, 利润增0%
Income profile:
</v>
      </c>
      <c r="D41">
        <v>831526</v>
      </c>
      <c r="E41" t="s">
        <v>1090</v>
      </c>
      <c r="F41">
        <v>18.579999999999998</v>
      </c>
      <c r="G41" s="5">
        <v>0.7</v>
      </c>
      <c r="H41" t="s">
        <v>3422</v>
      </c>
      <c r="I41">
        <v>1536566000</v>
      </c>
      <c r="J41">
        <v>88.8</v>
      </c>
      <c r="K41">
        <v>7.22</v>
      </c>
      <c r="L41" t="s">
        <v>2604</v>
      </c>
      <c r="M41" t="s">
        <v>1155</v>
      </c>
      <c r="N41" t="s">
        <v>117</v>
      </c>
      <c r="O41" t="s">
        <v>3423</v>
      </c>
      <c r="P41">
        <v>13.56</v>
      </c>
      <c r="Q41" t="s">
        <v>3423</v>
      </c>
      <c r="R41">
        <v>4996293</v>
      </c>
      <c r="S41" s="5">
        <v>0.26069999999999999</v>
      </c>
      <c r="T41" t="s">
        <v>3424</v>
      </c>
      <c r="U41">
        <v>24663068</v>
      </c>
      <c r="V41">
        <v>82700000</v>
      </c>
      <c r="W41">
        <v>1.08</v>
      </c>
      <c r="X41">
        <v>0.12</v>
      </c>
      <c r="Y41">
        <v>18.38</v>
      </c>
      <c r="Z41" t="s">
        <v>3425</v>
      </c>
      <c r="AA41" t="s">
        <v>3426</v>
      </c>
      <c r="AB41" t="s">
        <v>3427</v>
      </c>
      <c r="AC41" t="s">
        <v>3428</v>
      </c>
      <c r="AD41" t="s">
        <v>3429</v>
      </c>
      <c r="AE41">
        <v>292471</v>
      </c>
      <c r="AF41" t="s">
        <v>17</v>
      </c>
      <c r="AG41">
        <v>1528.54</v>
      </c>
      <c r="AH41" t="s">
        <v>3430</v>
      </c>
      <c r="AI41" t="s">
        <v>154</v>
      </c>
      <c r="AJ41" t="s">
        <v>9</v>
      </c>
      <c r="AK41" t="s">
        <v>3431</v>
      </c>
      <c r="AL41" t="s">
        <v>3432</v>
      </c>
      <c r="AM41" t="s">
        <v>9</v>
      </c>
      <c r="AN41" t="s">
        <v>3433</v>
      </c>
      <c r="AO41" t="s">
        <v>3434</v>
      </c>
      <c r="AP41" t="s">
        <v>9</v>
      </c>
      <c r="AQ41" t="s">
        <v>3435</v>
      </c>
      <c r="AR41" t="s">
        <v>9</v>
      </c>
      <c r="AS41" t="s">
        <v>3436</v>
      </c>
      <c r="AT41" t="s">
        <v>9</v>
      </c>
      <c r="AU41" t="s">
        <v>3437</v>
      </c>
      <c r="AV41" t="s">
        <v>3438</v>
      </c>
      <c r="AW41" t="s">
        <v>9</v>
      </c>
      <c r="AX41" t="s">
        <v>99</v>
      </c>
      <c r="AY41" t="s">
        <v>59</v>
      </c>
      <c r="AZ41" t="s">
        <v>78</v>
      </c>
      <c r="BA41" t="s">
        <v>1093</v>
      </c>
      <c r="BB41" t="s">
        <v>63</v>
      </c>
      <c r="BC41" t="s">
        <v>1092</v>
      </c>
      <c r="BD41" t="s">
        <v>1094</v>
      </c>
      <c r="BE41" t="s">
        <v>1095</v>
      </c>
      <c r="BF41" t="s">
        <v>1096</v>
      </c>
      <c r="BG41" t="s">
        <v>1097</v>
      </c>
      <c r="BH41" t="s">
        <v>25</v>
      </c>
      <c r="BI41" t="s">
        <v>1098</v>
      </c>
      <c r="BJ41" t="s">
        <v>99</v>
      </c>
      <c r="BK41" t="s">
        <v>3439</v>
      </c>
      <c r="BL41" t="s">
        <v>1099</v>
      </c>
      <c r="BM41" t="s">
        <v>1092</v>
      </c>
      <c r="BN41">
        <v>6.19</v>
      </c>
      <c r="BO41">
        <v>10.99</v>
      </c>
      <c r="BP41">
        <v>18.899999999999999</v>
      </c>
      <c r="BQ41">
        <v>6.62</v>
      </c>
      <c r="BR41">
        <v>14.37</v>
      </c>
      <c r="BS41">
        <v>17.989999999999998</v>
      </c>
      <c r="BT41" t="s">
        <v>886</v>
      </c>
      <c r="BU41" t="s">
        <v>1091</v>
      </c>
      <c r="BV41">
        <v>30.23</v>
      </c>
      <c r="BW41">
        <v>26.07</v>
      </c>
      <c r="BX41">
        <v>27.67</v>
      </c>
      <c r="BY41">
        <v>15.55</v>
      </c>
      <c r="BZ41">
        <v>14.13</v>
      </c>
      <c r="CA41">
        <v>15.03</v>
      </c>
      <c r="CB41">
        <v>-3.23</v>
      </c>
      <c r="CC41">
        <v>12.47</v>
      </c>
      <c r="CD41" t="s">
        <v>3440</v>
      </c>
      <c r="CE41" t="s">
        <v>34</v>
      </c>
      <c r="CF41" s="8">
        <v>-0.46709737108269378</v>
      </c>
      <c r="CG41" s="9">
        <v>0.26069999999999999</v>
      </c>
      <c r="CH41" s="8">
        <v>-0.76763075590133667</v>
      </c>
      <c r="CI41" s="8">
        <v>-0.13970588147640228</v>
      </c>
      <c r="CJ41" s="8">
        <v>0.3333333432674408</v>
      </c>
      <c r="CK41" s="8">
        <v>8.7385267019271851E-2</v>
      </c>
      <c r="CL41" s="8">
        <v>-9.8048076033592224E-2</v>
      </c>
      <c r="CM41" s="9">
        <v>-0.69850045442581177</v>
      </c>
      <c r="CN41" s="9">
        <v>-0.17707438766956329</v>
      </c>
      <c r="CO41" s="9">
        <v>1.034564059227705E-2</v>
      </c>
      <c r="CP41" s="9">
        <v>0.28280696272850037</v>
      </c>
      <c r="CQ41" s="9">
        <v>0.26160955429077148</v>
      </c>
      <c r="CR41">
        <v>2.3417334682280497</v>
      </c>
      <c r="CS41" t="e">
        <v>#DIV/0!</v>
      </c>
      <c r="CT41">
        <v>0.53821313240043067</v>
      </c>
      <c r="CU41" s="8">
        <v>0</v>
      </c>
      <c r="CV41" s="9">
        <v>0</v>
      </c>
      <c r="CW41">
        <v>0.06</v>
      </c>
      <c r="CX41">
        <v>284.19248563937322</v>
      </c>
      <c r="CY41">
        <v>4713490.566037735</v>
      </c>
      <c r="CZ41">
        <v>0</v>
      </c>
      <c r="DA41">
        <v>100.30112981040322</v>
      </c>
      <c r="DB41">
        <v>13355169.60309517</v>
      </c>
      <c r="DC41">
        <v>0</v>
      </c>
      <c r="DD41">
        <v>54.522764973997077</v>
      </c>
      <c r="DE41">
        <v>24568427.530020732</v>
      </c>
      <c r="DF41">
        <v>0</v>
      </c>
      <c r="DG41">
        <v>36.427030910752251</v>
      </c>
      <c r="DH41">
        <v>36773202.934983246</v>
      </c>
      <c r="DI41">
        <v>0</v>
      </c>
      <c r="DJ41">
        <v>23.374713166621675</v>
      </c>
      <c r="DK41">
        <v>57307167.384317562</v>
      </c>
      <c r="DL41">
        <v>0</v>
      </c>
      <c r="DM41">
        <v>4996300</v>
      </c>
      <c r="DN41">
        <v>0</v>
      </c>
      <c r="DO41">
        <v>1339538600</v>
      </c>
      <c r="DP41">
        <v>166498140</v>
      </c>
      <c r="DQ41">
        <v>40</v>
      </c>
      <c r="DR41">
        <v>-0.46709737108269378</v>
      </c>
      <c r="DS41">
        <v>0.26069999999999999</v>
      </c>
      <c r="DT41">
        <v>-0.44</v>
      </c>
      <c r="DU41">
        <v>-0.22</v>
      </c>
      <c r="DV41">
        <v>-0.66</v>
      </c>
      <c r="DW41">
        <v>-6.2057324840764334</v>
      </c>
      <c r="DX41">
        <v>0.4001465517241391</v>
      </c>
      <c r="DY41">
        <v>-6.0185460740171317</v>
      </c>
      <c r="DZ41">
        <v>0</v>
      </c>
      <c r="EA41">
        <v>-6.0185460740171317</v>
      </c>
      <c r="EB41">
        <v>6</v>
      </c>
      <c r="EC41">
        <v>0.18966747279322854</v>
      </c>
      <c r="ED41">
        <v>2.1039903264812576</v>
      </c>
      <c r="EE41">
        <v>0</v>
      </c>
      <c r="EF41">
        <v>0</v>
      </c>
      <c r="EG41">
        <v>31.090146551724139</v>
      </c>
      <c r="EH41" t="s">
        <v>86</v>
      </c>
      <c r="EI41">
        <v>0</v>
      </c>
      <c r="EJ41">
        <v>0</v>
      </c>
      <c r="EK41">
        <v>0</v>
      </c>
      <c r="EL41">
        <v>0</v>
      </c>
      <c r="EM41">
        <v>0</v>
      </c>
      <c r="EN41">
        <v>0</v>
      </c>
      <c r="EO41">
        <v>0</v>
      </c>
      <c r="EP41">
        <v>0</v>
      </c>
    </row>
    <row r="42" spans="1:146" ht="96" x14ac:dyDescent="0.25">
      <c r="A42" s="10"/>
      <c r="B42" s="10"/>
      <c r="C42" s="7" t="str">
        <f>""&amp;CHAR(10)&amp;Basic_Fundamental_Information_Constructure(F42)&amp;CHAR(10)&amp;Basic_Fundamental_Information_Concatenate("")</f>
        <v xml:space="preserve">
市值7.943245亿, 利润722.48万; PE29.62; 平均PE.92, PB1.76; ROIC10.4767%; ROE11.82%; 股利率3.5672%; 毛利17.3133%; 净利6.7333%; 上一年度营收增-75.27%, 利润增-80.9%; 当季营收增-53.74%, 利润增14.55%; 过往5年营收增0%, 利润增0%
Income profile:
</v>
      </c>
      <c r="D42">
        <v>831627</v>
      </c>
      <c r="E42" t="s">
        <v>1100</v>
      </c>
      <c r="F42">
        <v>8.41</v>
      </c>
      <c r="G42" s="5">
        <v>-5.29</v>
      </c>
      <c r="H42" t="s">
        <v>3441</v>
      </c>
      <c r="I42">
        <v>794324500</v>
      </c>
      <c r="J42">
        <v>29.62</v>
      </c>
      <c r="K42">
        <v>1.76</v>
      </c>
      <c r="L42" t="s">
        <v>2604</v>
      </c>
      <c r="M42" t="s">
        <v>174</v>
      </c>
      <c r="N42" t="s">
        <v>606</v>
      </c>
      <c r="O42" t="s">
        <v>59</v>
      </c>
      <c r="P42">
        <v>2.97</v>
      </c>
      <c r="Q42" t="s">
        <v>59</v>
      </c>
      <c r="R42">
        <v>7224786</v>
      </c>
      <c r="S42" s="5">
        <v>0.14549999999999999</v>
      </c>
      <c r="T42" t="s">
        <v>3442</v>
      </c>
      <c r="U42">
        <v>26818700</v>
      </c>
      <c r="V42">
        <v>94450000</v>
      </c>
      <c r="W42">
        <v>1.56</v>
      </c>
      <c r="X42">
        <v>0.19</v>
      </c>
      <c r="Y42">
        <v>5.33</v>
      </c>
      <c r="Z42" t="s">
        <v>242</v>
      </c>
      <c r="AA42" t="s">
        <v>272</v>
      </c>
      <c r="AB42" t="s">
        <v>3443</v>
      </c>
      <c r="AC42" t="s">
        <v>3444</v>
      </c>
      <c r="AD42" t="s">
        <v>3445</v>
      </c>
      <c r="AE42">
        <v>1444859</v>
      </c>
      <c r="AF42" t="s">
        <v>3446</v>
      </c>
      <c r="AG42" t="s">
        <v>9</v>
      </c>
      <c r="AH42" t="s">
        <v>3447</v>
      </c>
      <c r="AI42" t="s">
        <v>3448</v>
      </c>
      <c r="AJ42" t="s">
        <v>9</v>
      </c>
      <c r="AK42" t="s">
        <v>3449</v>
      </c>
      <c r="AL42" t="s">
        <v>3450</v>
      </c>
      <c r="AM42" t="s">
        <v>9</v>
      </c>
      <c r="AN42" t="s">
        <v>3451</v>
      </c>
      <c r="AO42" t="s">
        <v>3452</v>
      </c>
      <c r="AP42" t="s">
        <v>3453</v>
      </c>
      <c r="AQ42" t="s">
        <v>3454</v>
      </c>
      <c r="AR42" t="s">
        <v>9</v>
      </c>
      <c r="AS42" t="s">
        <v>444</v>
      </c>
      <c r="AT42" t="s">
        <v>9</v>
      </c>
      <c r="AU42" t="s">
        <v>3455</v>
      </c>
      <c r="AV42" t="s">
        <v>3456</v>
      </c>
      <c r="AW42" t="s">
        <v>3457</v>
      </c>
      <c r="AX42" t="s">
        <v>532</v>
      </c>
      <c r="AY42" t="s">
        <v>292</v>
      </c>
      <c r="AZ42" t="s">
        <v>591</v>
      </c>
      <c r="BA42" t="s">
        <v>150</v>
      </c>
      <c r="BB42" t="s">
        <v>156</v>
      </c>
      <c r="BC42" t="s">
        <v>1101</v>
      </c>
      <c r="BD42" t="s">
        <v>1102</v>
      </c>
      <c r="BE42" t="s">
        <v>1103</v>
      </c>
      <c r="BF42" t="s">
        <v>1104</v>
      </c>
      <c r="BG42" t="s">
        <v>1105</v>
      </c>
      <c r="BH42" t="s">
        <v>523</v>
      </c>
      <c r="BI42" t="s">
        <v>348</v>
      </c>
      <c r="BJ42" t="s">
        <v>532</v>
      </c>
      <c r="BK42" t="s">
        <v>3458</v>
      </c>
      <c r="BL42" t="s">
        <v>1106</v>
      </c>
      <c r="BM42" t="s">
        <v>1101</v>
      </c>
      <c r="BN42">
        <v>5.82</v>
      </c>
      <c r="BO42">
        <v>11.77</v>
      </c>
      <c r="BP42">
        <v>13.84</v>
      </c>
      <c r="BQ42">
        <v>8.89</v>
      </c>
      <c r="BR42">
        <v>14.75</v>
      </c>
      <c r="BS42" t="s">
        <v>9</v>
      </c>
      <c r="BT42" t="s">
        <v>859</v>
      </c>
      <c r="BU42" t="s">
        <v>915</v>
      </c>
      <c r="BV42">
        <v>15.78</v>
      </c>
      <c r="BW42">
        <v>16.18</v>
      </c>
      <c r="BX42">
        <v>19.98</v>
      </c>
      <c r="BY42">
        <v>4.71</v>
      </c>
      <c r="BZ42">
        <v>6.88</v>
      </c>
      <c r="CA42">
        <v>8.61</v>
      </c>
      <c r="CB42">
        <v>-8.7899999999999991</v>
      </c>
      <c r="CC42">
        <v>-24.91</v>
      </c>
      <c r="CD42" t="s">
        <v>3459</v>
      </c>
      <c r="CE42" t="s">
        <v>3460</v>
      </c>
      <c r="CF42" s="8">
        <v>-0.5374149659863946</v>
      </c>
      <c r="CG42" s="9">
        <v>0.14549999999999999</v>
      </c>
      <c r="CH42" s="8">
        <v>-0.75272727012634277</v>
      </c>
      <c r="CI42" s="8">
        <v>0.17270788550376892</v>
      </c>
      <c r="CJ42" s="8">
        <v>0.1666666716337204</v>
      </c>
      <c r="CK42" s="8">
        <v>0.21084336936473846</v>
      </c>
      <c r="CL42" s="8">
        <v>0.16083915531635284</v>
      </c>
      <c r="CM42" s="9">
        <v>-0.80895113945007324</v>
      </c>
      <c r="CN42" s="9">
        <v>-6.4117126166820526E-2</v>
      </c>
      <c r="CO42" s="9">
        <v>-0.2239975780248642</v>
      </c>
      <c r="CP42" s="9">
        <v>0.76461958885192871</v>
      </c>
      <c r="CQ42" s="9">
        <v>0.24335940182209015</v>
      </c>
      <c r="CR42">
        <v>0.92395100733104918</v>
      </c>
      <c r="CS42" t="e">
        <v>#DIV/0!</v>
      </c>
      <c r="CT42">
        <v>3.56718192627824</v>
      </c>
      <c r="CU42" s="8">
        <v>0</v>
      </c>
      <c r="CV42" s="9">
        <v>0</v>
      </c>
      <c r="CW42">
        <v>0.06</v>
      </c>
      <c r="CX42">
        <v>92.625950891374174</v>
      </c>
      <c r="CY42">
        <v>6815849.0566037726</v>
      </c>
      <c r="CZ42">
        <v>0</v>
      </c>
      <c r="DA42">
        <v>32.690827497659257</v>
      </c>
      <c r="DB42">
        <v>19311976.732470427</v>
      </c>
      <c r="DC42">
        <v>0</v>
      </c>
      <c r="DD42">
        <v>17.770430979487202</v>
      </c>
      <c r="DE42">
        <v>35526684.790523745</v>
      </c>
      <c r="DF42">
        <v>0</v>
      </c>
      <c r="DG42">
        <v>11.87254606210618</v>
      </c>
      <c r="DH42">
        <v>53175156.929060891</v>
      </c>
      <c r="DI42">
        <v>0</v>
      </c>
      <c r="DJ42">
        <v>7.6184457481359047</v>
      </c>
      <c r="DK42">
        <v>82867886.819890216</v>
      </c>
      <c r="DL42">
        <v>0</v>
      </c>
      <c r="DM42">
        <v>7224800</v>
      </c>
      <c r="DN42">
        <v>0</v>
      </c>
      <c r="DO42">
        <v>631324500</v>
      </c>
      <c r="DP42">
        <v>223849310</v>
      </c>
      <c r="DQ42">
        <v>41</v>
      </c>
      <c r="DR42">
        <v>-0.5374149659863946</v>
      </c>
      <c r="DS42">
        <v>0.14549999999999999</v>
      </c>
      <c r="DT42">
        <v>-0.44</v>
      </c>
      <c r="DU42">
        <v>-0.44</v>
      </c>
      <c r="DV42">
        <v>-0.88</v>
      </c>
      <c r="DW42">
        <v>-9.3528703331995189</v>
      </c>
      <c r="DX42">
        <v>0.42123362464458114</v>
      </c>
      <c r="DY42">
        <v>-9.0498371561873103</v>
      </c>
      <c r="DZ42">
        <v>0</v>
      </c>
      <c r="EA42">
        <v>-9.0498371561873103</v>
      </c>
      <c r="EB42">
        <v>9</v>
      </c>
      <c r="EC42">
        <v>6.8578083642138701E-2</v>
      </c>
      <c r="ED42">
        <v>0.48556484912652198</v>
      </c>
      <c r="EE42">
        <v>0</v>
      </c>
      <c r="EF42">
        <v>0</v>
      </c>
      <c r="EG42">
        <v>28.141233624644581</v>
      </c>
      <c r="EH42" t="s">
        <v>86</v>
      </c>
      <c r="EI42">
        <v>0</v>
      </c>
      <c r="EJ42">
        <v>0</v>
      </c>
      <c r="EK42">
        <v>0</v>
      </c>
      <c r="EL42">
        <v>0</v>
      </c>
      <c r="EM42">
        <v>0</v>
      </c>
      <c r="EN42">
        <v>0</v>
      </c>
      <c r="EO42">
        <v>0</v>
      </c>
      <c r="EP42">
        <v>0</v>
      </c>
    </row>
    <row r="43" spans="1:146" ht="108" x14ac:dyDescent="0.25">
      <c r="A43" s="10"/>
      <c r="B43" s="10"/>
      <c r="C43" s="7" t="str">
        <f>""&amp;CHAR(10)&amp;Basic_Fundamental_Information_Constructure(F43)&amp;CHAR(10)&amp;Basic_Fundamental_Information_Concatenate("")</f>
        <v xml:space="preserve">
市值4.9868175亿, 利润-647.99万; PE; 平均PE2.42, PB1.46; ROIC14.8067%; ROE16.52%; 股利率3.1008%; 毛利23.6267%; 净利7.5333%; 上一年度营收增-83.77%, 利润增-110.25%; 当季营收增-60.2%, 利润增-136.9%; 过往5年营收增0%, 利润增0%
Income profile:
</v>
      </c>
      <c r="D43">
        <v>831641</v>
      </c>
      <c r="E43" t="s">
        <v>1107</v>
      </c>
      <c r="F43">
        <v>6.45</v>
      </c>
      <c r="G43" s="5">
        <v>-6.93</v>
      </c>
      <c r="H43" t="s">
        <v>3461</v>
      </c>
      <c r="I43">
        <v>498681750</v>
      </c>
      <c r="K43">
        <v>1.46</v>
      </c>
      <c r="L43" t="s">
        <v>2604</v>
      </c>
      <c r="M43" t="s">
        <v>285</v>
      </c>
      <c r="N43" t="s">
        <v>1432</v>
      </c>
      <c r="O43" t="s">
        <v>99</v>
      </c>
      <c r="P43">
        <v>-22.12</v>
      </c>
      <c r="Q43" t="s">
        <v>99</v>
      </c>
      <c r="R43">
        <v>-6479895</v>
      </c>
      <c r="S43" s="5">
        <v>-1.369</v>
      </c>
      <c r="T43" t="s">
        <v>3462</v>
      </c>
      <c r="U43">
        <v>26088670</v>
      </c>
      <c r="V43">
        <v>82655000</v>
      </c>
      <c r="W43">
        <v>1.63</v>
      </c>
      <c r="X43">
        <v>0.19</v>
      </c>
      <c r="Y43">
        <v>-5.22</v>
      </c>
      <c r="Z43" t="s">
        <v>435</v>
      </c>
      <c r="AA43" t="s">
        <v>3463</v>
      </c>
      <c r="AB43" t="s">
        <v>3464</v>
      </c>
      <c r="AC43" t="s">
        <v>3465</v>
      </c>
      <c r="AD43" t="s">
        <v>3466</v>
      </c>
      <c r="AE43">
        <v>36556</v>
      </c>
      <c r="AF43" t="s">
        <v>3467</v>
      </c>
      <c r="AG43">
        <v>0.74</v>
      </c>
      <c r="AH43" t="s">
        <v>3468</v>
      </c>
      <c r="AI43" t="s">
        <v>3469</v>
      </c>
      <c r="AJ43" t="s">
        <v>9</v>
      </c>
      <c r="AK43" t="s">
        <v>3470</v>
      </c>
      <c r="AL43" t="s">
        <v>3471</v>
      </c>
      <c r="AM43" t="s">
        <v>9</v>
      </c>
      <c r="AN43" t="s">
        <v>3472</v>
      </c>
      <c r="AO43" t="s">
        <v>3473</v>
      </c>
      <c r="AP43" t="s">
        <v>3474</v>
      </c>
      <c r="AQ43" t="s">
        <v>411</v>
      </c>
      <c r="AR43" t="s">
        <v>9</v>
      </c>
      <c r="AS43" t="s">
        <v>565</v>
      </c>
      <c r="AT43" t="s">
        <v>9</v>
      </c>
      <c r="AU43" t="s">
        <v>3475</v>
      </c>
      <c r="AV43" t="s">
        <v>3476</v>
      </c>
      <c r="AW43" t="s">
        <v>3477</v>
      </c>
      <c r="AX43" t="s">
        <v>396</v>
      </c>
      <c r="AY43" t="s">
        <v>363</v>
      </c>
      <c r="AZ43" t="s">
        <v>293</v>
      </c>
      <c r="BA43" t="s">
        <v>562</v>
      </c>
      <c r="BB43" t="s">
        <v>283</v>
      </c>
      <c r="BC43" t="s">
        <v>1110</v>
      </c>
      <c r="BD43" t="s">
        <v>1111</v>
      </c>
      <c r="BE43" t="s">
        <v>1112</v>
      </c>
      <c r="BF43" t="s">
        <v>1113</v>
      </c>
      <c r="BG43" t="s">
        <v>1114</v>
      </c>
      <c r="BH43" t="s">
        <v>601</v>
      </c>
      <c r="BI43" t="s">
        <v>348</v>
      </c>
      <c r="BJ43" t="s">
        <v>396</v>
      </c>
      <c r="BK43" t="s">
        <v>3478</v>
      </c>
      <c r="BL43" t="s">
        <v>1115</v>
      </c>
      <c r="BM43" t="s">
        <v>1110</v>
      </c>
      <c r="BN43">
        <v>6.8</v>
      </c>
      <c r="BO43">
        <v>20.62</v>
      </c>
      <c r="BP43">
        <v>17</v>
      </c>
      <c r="BQ43">
        <v>7.16</v>
      </c>
      <c r="BR43">
        <v>24.54</v>
      </c>
      <c r="BS43">
        <v>17.86</v>
      </c>
      <c r="BT43" t="s">
        <v>851</v>
      </c>
      <c r="BU43" t="s">
        <v>1108</v>
      </c>
      <c r="BV43">
        <v>22.06</v>
      </c>
      <c r="BW43">
        <v>25.58</v>
      </c>
      <c r="BX43">
        <v>23.24</v>
      </c>
      <c r="BY43">
        <v>4.46</v>
      </c>
      <c r="BZ43">
        <v>9.81</v>
      </c>
      <c r="CA43">
        <v>8.33</v>
      </c>
      <c r="CB43">
        <v>-14</v>
      </c>
      <c r="CC43">
        <v>-2.71</v>
      </c>
      <c r="CD43" t="s">
        <v>3479</v>
      </c>
      <c r="CE43" t="s">
        <v>3480</v>
      </c>
      <c r="CF43" s="8">
        <v>-0.60204081632653061</v>
      </c>
      <c r="CG43" s="9">
        <v>-1.369</v>
      </c>
      <c r="CH43" s="8">
        <v>-0.83772540092468262</v>
      </c>
      <c r="CI43" s="8">
        <v>0.4305555522441864</v>
      </c>
      <c r="CJ43" s="8">
        <v>0.35483869910240173</v>
      </c>
      <c r="CK43" s="8">
        <v>2.7624309062957764E-2</v>
      </c>
      <c r="CL43" s="8">
        <v>-0.12348668277263641</v>
      </c>
      <c r="CM43" s="9">
        <v>-1.1024993658065796</v>
      </c>
      <c r="CN43" s="9">
        <v>0.73491936922073364</v>
      </c>
      <c r="CO43" s="9">
        <v>0.15946175158023834</v>
      </c>
      <c r="CP43" s="9">
        <v>-2.5280140340328217E-2</v>
      </c>
      <c r="CQ43" s="9">
        <v>-4.384198784828186E-2</v>
      </c>
      <c r="CR43">
        <v>2.4182667532647231</v>
      </c>
      <c r="CS43" t="e">
        <v>#DIV/0!</v>
      </c>
      <c r="CT43">
        <v>3.1007751937984493</v>
      </c>
      <c r="CU43" s="8">
        <v>0</v>
      </c>
      <c r="CV43" s="9">
        <v>0</v>
      </c>
      <c r="CW43">
        <v>0.06</v>
      </c>
      <c r="CX43" t="e">
        <v>#VALUE!</v>
      </c>
      <c r="CY43" t="s">
        <v>85</v>
      </c>
      <c r="CZ43">
        <v>0</v>
      </c>
      <c r="DA43" t="e">
        <v>#VALUE!</v>
      </c>
      <c r="DB43" t="s">
        <v>84</v>
      </c>
      <c r="DC43">
        <v>0</v>
      </c>
      <c r="DD43" t="e">
        <v>#VALUE!</v>
      </c>
      <c r="DE43" t="s">
        <v>84</v>
      </c>
      <c r="DF43">
        <v>0</v>
      </c>
      <c r="DG43" t="e">
        <v>#VALUE!</v>
      </c>
      <c r="DH43" t="s">
        <v>84</v>
      </c>
      <c r="DI43">
        <v>0</v>
      </c>
      <c r="DJ43" t="e">
        <v>#VALUE!</v>
      </c>
      <c r="DK43" t="s">
        <v>84</v>
      </c>
      <c r="DL43">
        <v>0</v>
      </c>
      <c r="DM43">
        <v>-6479900</v>
      </c>
      <c r="DN43">
        <v>0</v>
      </c>
      <c r="DO43">
        <v>358681750</v>
      </c>
      <c r="DP43">
        <v>285713610</v>
      </c>
      <c r="DQ43">
        <v>42</v>
      </c>
      <c r="DR43">
        <v>-0.60204081632653061</v>
      </c>
      <c r="DS43">
        <v>-1.369</v>
      </c>
      <c r="DT43">
        <v>-0.44</v>
      </c>
      <c r="DU43" t="e">
        <v>#VALUE!</v>
      </c>
      <c r="DV43" t="e">
        <v>#VALUE!</v>
      </c>
      <c r="DW43">
        <v>-5.1935714285714285</v>
      </c>
      <c r="DX43">
        <v>0.86749329190792224</v>
      </c>
      <c r="DY43">
        <v>-5.1446933443621763</v>
      </c>
      <c r="DZ43">
        <v>0</v>
      </c>
      <c r="EA43">
        <v>-5.1446933443621763</v>
      </c>
      <c r="EB43">
        <v>5</v>
      </c>
      <c r="EC43">
        <v>0.37141612727602685</v>
      </c>
      <c r="ED43">
        <v>0.49688222128122911</v>
      </c>
      <c r="EE43">
        <v>0</v>
      </c>
      <c r="EF43">
        <v>0</v>
      </c>
      <c r="EG43">
        <v>12.747493291907922</v>
      </c>
      <c r="EH43" t="s">
        <v>86</v>
      </c>
      <c r="EI43">
        <v>0</v>
      </c>
      <c r="EJ43">
        <v>0</v>
      </c>
      <c r="EK43">
        <v>0</v>
      </c>
      <c r="EL43">
        <v>0</v>
      </c>
      <c r="EM43">
        <v>0</v>
      </c>
      <c r="EN43">
        <v>0</v>
      </c>
      <c r="EO43">
        <v>0</v>
      </c>
      <c r="EP43">
        <v>0</v>
      </c>
    </row>
    <row r="44" spans="1:146" ht="108" x14ac:dyDescent="0.25">
      <c r="A44" s="10"/>
      <c r="B44" s="10"/>
      <c r="C44" s="7" t="str">
        <f>""&amp;CHAR(10)&amp;Basic_Fundamental_Information_Constructure(F44)&amp;CHAR(10)&amp;Basic_Fundamental_Information_Concatenate("")</f>
        <v xml:space="preserve">
市值8.2208亿, 利润1300.14万; PE13.22; 平均PE1.3, PB1.78; ROIC12.9967%; ROE13.8933%; 股利率4.4643%; 毛利29.54%; 净利11.8333%; 上一年度营收增-72.27%, 利润增-74.13%; 当季营收增-51.25%, 利润增14.37%; 过往5年营收增0%, 利润增0%
Income profile:
</v>
      </c>
      <c r="D44">
        <v>831689</v>
      </c>
      <c r="E44" t="s">
        <v>1117</v>
      </c>
      <c r="F44">
        <v>11.2</v>
      </c>
      <c r="G44" s="5">
        <v>-0.88</v>
      </c>
      <c r="H44" t="s">
        <v>3481</v>
      </c>
      <c r="I44">
        <v>822080000</v>
      </c>
      <c r="J44">
        <v>13.22</v>
      </c>
      <c r="K44">
        <v>1.78</v>
      </c>
      <c r="L44" t="s">
        <v>2604</v>
      </c>
      <c r="M44" t="s">
        <v>332</v>
      </c>
      <c r="N44" t="s">
        <v>140</v>
      </c>
      <c r="O44" t="s">
        <v>99</v>
      </c>
      <c r="P44">
        <v>22.33</v>
      </c>
      <c r="Q44" t="s">
        <v>99</v>
      </c>
      <c r="R44">
        <v>13001367</v>
      </c>
      <c r="S44" s="5">
        <v>0.14369999999999999</v>
      </c>
      <c r="T44" t="s">
        <v>3482</v>
      </c>
      <c r="U44">
        <v>35693553</v>
      </c>
      <c r="V44">
        <v>73400000</v>
      </c>
      <c r="W44">
        <v>1.52</v>
      </c>
      <c r="X44">
        <v>0.17</v>
      </c>
      <c r="Y44">
        <v>11.13</v>
      </c>
      <c r="Z44" t="s">
        <v>3483</v>
      </c>
      <c r="AA44" t="s">
        <v>3484</v>
      </c>
      <c r="AB44" t="s">
        <v>3485</v>
      </c>
      <c r="AC44" t="s">
        <v>3486</v>
      </c>
      <c r="AD44" t="s">
        <v>3487</v>
      </c>
      <c r="AE44">
        <v>583892</v>
      </c>
      <c r="AF44" t="s">
        <v>17</v>
      </c>
      <c r="AG44" t="s">
        <v>3488</v>
      </c>
      <c r="AH44" t="s">
        <v>3489</v>
      </c>
      <c r="AI44" t="s">
        <v>3490</v>
      </c>
      <c r="AJ44" t="s">
        <v>9</v>
      </c>
      <c r="AK44" t="s">
        <v>3491</v>
      </c>
      <c r="AL44" t="s">
        <v>3492</v>
      </c>
      <c r="AM44" t="s">
        <v>9</v>
      </c>
      <c r="AN44" t="s">
        <v>3493</v>
      </c>
      <c r="AO44" t="s">
        <v>3494</v>
      </c>
      <c r="AP44" t="s">
        <v>3495</v>
      </c>
      <c r="AQ44" t="s">
        <v>72</v>
      </c>
      <c r="AR44" t="s">
        <v>9</v>
      </c>
      <c r="AS44" t="s">
        <v>345</v>
      </c>
      <c r="AT44" t="s">
        <v>3496</v>
      </c>
      <c r="AU44" t="s">
        <v>3497</v>
      </c>
      <c r="AV44" t="s">
        <v>3498</v>
      </c>
      <c r="AW44" t="s">
        <v>3499</v>
      </c>
      <c r="AX44" t="s">
        <v>290</v>
      </c>
      <c r="AY44" t="s">
        <v>666</v>
      </c>
      <c r="AZ44" t="s">
        <v>178</v>
      </c>
      <c r="BA44" t="s">
        <v>637</v>
      </c>
      <c r="BB44" t="s">
        <v>470</v>
      </c>
      <c r="BC44" t="s">
        <v>3500</v>
      </c>
      <c r="BD44" t="s">
        <v>1119</v>
      </c>
      <c r="BE44" t="s">
        <v>1120</v>
      </c>
      <c r="BF44" t="s">
        <v>1121</v>
      </c>
      <c r="BG44" t="s">
        <v>1122</v>
      </c>
      <c r="BH44" t="s">
        <v>316</v>
      </c>
      <c r="BI44" t="s">
        <v>597</v>
      </c>
      <c r="BJ44" t="s">
        <v>290</v>
      </c>
      <c r="BK44" t="s">
        <v>3501</v>
      </c>
      <c r="BL44" t="s">
        <v>1123</v>
      </c>
      <c r="BM44" t="s">
        <v>3500</v>
      </c>
      <c r="BN44">
        <v>10.130000000000001</v>
      </c>
      <c r="BO44">
        <v>13.18</v>
      </c>
      <c r="BP44">
        <v>15.68</v>
      </c>
      <c r="BQ44">
        <v>11.01</v>
      </c>
      <c r="BR44">
        <v>13.54</v>
      </c>
      <c r="BS44">
        <v>17.13</v>
      </c>
      <c r="BT44" t="s">
        <v>1116</v>
      </c>
      <c r="BU44" t="s">
        <v>1118</v>
      </c>
      <c r="BV44">
        <v>29.81</v>
      </c>
      <c r="BW44">
        <v>29.15</v>
      </c>
      <c r="BX44">
        <v>29.66</v>
      </c>
      <c r="BY44">
        <v>11.91</v>
      </c>
      <c r="BZ44">
        <v>11.9</v>
      </c>
      <c r="CA44">
        <v>11.69</v>
      </c>
      <c r="CB44">
        <v>0.54</v>
      </c>
      <c r="CC44">
        <v>-2.44</v>
      </c>
      <c r="CD44" t="s">
        <v>3502</v>
      </c>
      <c r="CE44" t="s">
        <v>3503</v>
      </c>
      <c r="CF44" s="8">
        <v>-0.51249999999999996</v>
      </c>
      <c r="CG44" s="9">
        <v>0.14369999999999999</v>
      </c>
      <c r="CH44" s="8">
        <v>-0.72274881601333618</v>
      </c>
      <c r="CI44" s="8">
        <v>7.6530613005161285E-2</v>
      </c>
      <c r="CJ44" s="8">
        <v>0.37543860077857971</v>
      </c>
      <c r="CK44" s="8">
        <v>0.11764705926179886</v>
      </c>
      <c r="CL44" s="8">
        <v>0.1805555522441864</v>
      </c>
      <c r="CM44" s="9">
        <v>-0.74127030372619629</v>
      </c>
      <c r="CN44" s="9">
        <v>9.7854800522327423E-2</v>
      </c>
      <c r="CO44" s="9">
        <v>0.80241233110427856</v>
      </c>
      <c r="CP44" s="9">
        <v>0.15379512310028076</v>
      </c>
      <c r="CQ44" s="9">
        <v>0.20532956719398499</v>
      </c>
      <c r="CR44">
        <v>1.3017889093416539</v>
      </c>
      <c r="CS44" t="e">
        <v>#DIV/0!</v>
      </c>
      <c r="CT44">
        <v>4.4642857142857144</v>
      </c>
      <c r="CU44" s="8">
        <v>0</v>
      </c>
      <c r="CV44" s="9">
        <v>0</v>
      </c>
      <c r="CW44">
        <v>0.06</v>
      </c>
      <c r="CX44">
        <v>49.413509314381521</v>
      </c>
      <c r="CY44">
        <v>12265471.698113209</v>
      </c>
      <c r="CZ44">
        <v>0</v>
      </c>
      <c r="DA44">
        <v>17.439696904648539</v>
      </c>
      <c r="DB44">
        <v>34752897.559730515</v>
      </c>
      <c r="DC44">
        <v>0</v>
      </c>
      <c r="DD44">
        <v>9.4800576757937325</v>
      </c>
      <c r="DE44">
        <v>63932100.492126495</v>
      </c>
      <c r="DF44">
        <v>0</v>
      </c>
      <c r="DG44">
        <v>6.3336911500461666</v>
      </c>
      <c r="DH44">
        <v>95691435.790263042</v>
      </c>
      <c r="DI44">
        <v>0</v>
      </c>
      <c r="DJ44">
        <v>4.0642404889112056</v>
      </c>
      <c r="DK44">
        <v>149125033.73105428</v>
      </c>
      <c r="DL44">
        <v>0</v>
      </c>
      <c r="DM44">
        <v>13001400.000000002</v>
      </c>
      <c r="DN44">
        <v>0</v>
      </c>
      <c r="DO44">
        <v>606080000</v>
      </c>
      <c r="DP44">
        <v>271455740</v>
      </c>
      <c r="DQ44">
        <v>43</v>
      </c>
      <c r="DR44">
        <v>-0.51249999999999996</v>
      </c>
      <c r="DS44">
        <v>0.14369999999999999</v>
      </c>
      <c r="DT44">
        <v>-0.44</v>
      </c>
      <c r="DU44">
        <v>-0.22</v>
      </c>
      <c r="DV44">
        <v>-0.66</v>
      </c>
      <c r="DW44">
        <v>-2.4399999999999998E-2</v>
      </c>
      <c r="DX44">
        <v>0.23958836673416684</v>
      </c>
      <c r="DY44">
        <v>-2.9179561483136649E-3</v>
      </c>
      <c r="DZ44">
        <v>0</v>
      </c>
      <c r="EA44">
        <v>-2.9179561483136649E-3</v>
      </c>
      <c r="EB44">
        <v>0</v>
      </c>
      <c r="EC44">
        <v>1.8666212534059947E-2</v>
      </c>
      <c r="ED44">
        <v>0.15608719346049046</v>
      </c>
      <c r="EE44">
        <v>0</v>
      </c>
      <c r="EF44">
        <v>0</v>
      </c>
      <c r="EG44">
        <v>12.119588366734167</v>
      </c>
      <c r="EH44" t="s">
        <v>86</v>
      </c>
      <c r="EI44">
        <v>0</v>
      </c>
      <c r="EJ44">
        <v>0</v>
      </c>
      <c r="EK44">
        <v>0</v>
      </c>
      <c r="EL44">
        <v>0</v>
      </c>
      <c r="EM44">
        <v>0</v>
      </c>
      <c r="EN44">
        <v>0</v>
      </c>
      <c r="EO44">
        <v>0</v>
      </c>
      <c r="EP44">
        <v>0</v>
      </c>
    </row>
    <row r="45" spans="1:146" ht="108" x14ac:dyDescent="0.25">
      <c r="A45" s="10"/>
      <c r="B45" s="10"/>
      <c r="C45" s="7" t="str">
        <f>""&amp;CHAR(10)&amp;Basic_Fundamental_Information_Constructure(F45)&amp;CHAR(10)&amp;Basic_Fundamental_Information_Concatenate("")</f>
        <v xml:space="preserve">
市值7.491744亿, 利润1188.26万; PE33.7; 平均PE.26, PB1.66; ROIC11.2467%; ROE12.16%; 股利率.6793%; 毛利31.0133%; 净利16.8433%; 上一年度营收增-75.15%, 利润增-81.44%; 当季营收增-30.71%, 利润增3.01%; 过往5年营收增0%, 利润增0%
Income profile:
</v>
      </c>
      <c r="D45">
        <v>831726</v>
      </c>
      <c r="E45" t="s">
        <v>1124</v>
      </c>
      <c r="F45">
        <v>7.36</v>
      </c>
      <c r="G45" s="5">
        <v>-0.81</v>
      </c>
      <c r="H45" t="s">
        <v>3504</v>
      </c>
      <c r="I45">
        <v>749174400</v>
      </c>
      <c r="J45">
        <v>33.700000000000003</v>
      </c>
      <c r="K45">
        <v>1.66</v>
      </c>
      <c r="L45" t="s">
        <v>2604</v>
      </c>
      <c r="M45" t="s">
        <v>3505</v>
      </c>
      <c r="N45" t="s">
        <v>389</v>
      </c>
      <c r="O45" t="s">
        <v>3506</v>
      </c>
      <c r="P45">
        <v>11.26</v>
      </c>
      <c r="Q45" t="s">
        <v>3506</v>
      </c>
      <c r="R45">
        <v>11882595</v>
      </c>
      <c r="S45" s="5">
        <v>3.0099999999999998E-2</v>
      </c>
      <c r="T45" t="s">
        <v>3507</v>
      </c>
      <c r="U45">
        <v>55939705</v>
      </c>
      <c r="V45">
        <v>101910000</v>
      </c>
      <c r="W45">
        <v>1.1299999999999999</v>
      </c>
      <c r="X45">
        <v>0.15</v>
      </c>
      <c r="Y45">
        <v>15.73</v>
      </c>
      <c r="Z45" t="s">
        <v>3508</v>
      </c>
      <c r="AA45" t="s">
        <v>3509</v>
      </c>
      <c r="AB45" t="s">
        <v>3510</v>
      </c>
      <c r="AC45" t="s">
        <v>3511</v>
      </c>
      <c r="AD45" t="s">
        <v>3512</v>
      </c>
      <c r="AE45">
        <v>296928</v>
      </c>
      <c r="AF45" t="s">
        <v>3513</v>
      </c>
      <c r="AG45" t="s">
        <v>3514</v>
      </c>
      <c r="AH45" t="s">
        <v>3515</v>
      </c>
      <c r="AI45" t="s">
        <v>3516</v>
      </c>
      <c r="AJ45" t="s">
        <v>9</v>
      </c>
      <c r="AK45" t="s">
        <v>9</v>
      </c>
      <c r="AL45" t="s">
        <v>3517</v>
      </c>
      <c r="AM45" t="s">
        <v>9</v>
      </c>
      <c r="AN45">
        <v>0</v>
      </c>
      <c r="AO45" t="s">
        <v>3518</v>
      </c>
      <c r="AP45" t="s">
        <v>9</v>
      </c>
      <c r="AQ45" t="s">
        <v>3519</v>
      </c>
      <c r="AR45" t="s">
        <v>9</v>
      </c>
      <c r="AS45" t="s">
        <v>3520</v>
      </c>
      <c r="AT45" t="s">
        <v>9</v>
      </c>
      <c r="AU45" t="s">
        <v>3521</v>
      </c>
      <c r="AV45" t="s">
        <v>3522</v>
      </c>
      <c r="AW45" t="s">
        <v>3523</v>
      </c>
      <c r="AX45" t="s">
        <v>574</v>
      </c>
      <c r="AY45" t="s">
        <v>153</v>
      </c>
      <c r="AZ45" t="s">
        <v>101</v>
      </c>
      <c r="BA45" t="s">
        <v>640</v>
      </c>
      <c r="BB45" t="s">
        <v>315</v>
      </c>
      <c r="BC45" t="s">
        <v>1126</v>
      </c>
      <c r="BD45" t="s">
        <v>1128</v>
      </c>
      <c r="BE45" t="s">
        <v>1129</v>
      </c>
      <c r="BF45" t="s">
        <v>1130</v>
      </c>
      <c r="BG45" t="s">
        <v>1131</v>
      </c>
      <c r="BH45" t="s">
        <v>393</v>
      </c>
      <c r="BI45" t="s">
        <v>518</v>
      </c>
      <c r="BJ45" t="s">
        <v>574</v>
      </c>
      <c r="BK45" t="s">
        <v>3524</v>
      </c>
      <c r="BL45" t="s">
        <v>1132</v>
      </c>
      <c r="BM45" t="s">
        <v>1126</v>
      </c>
      <c r="BN45">
        <v>4.8499999999999996</v>
      </c>
      <c r="BO45">
        <v>12.49</v>
      </c>
      <c r="BP45">
        <v>16.399999999999999</v>
      </c>
      <c r="BQ45">
        <v>5.62</v>
      </c>
      <c r="BR45">
        <v>13.91</v>
      </c>
      <c r="BS45">
        <v>16.95</v>
      </c>
      <c r="BT45" t="s">
        <v>985</v>
      </c>
      <c r="BU45" t="s">
        <v>1125</v>
      </c>
      <c r="BV45">
        <v>25.04</v>
      </c>
      <c r="BW45">
        <v>32.29</v>
      </c>
      <c r="BX45">
        <v>35.71</v>
      </c>
      <c r="BY45">
        <v>9.06</v>
      </c>
      <c r="BZ45">
        <v>21.03</v>
      </c>
      <c r="CA45">
        <v>20.440000000000001</v>
      </c>
      <c r="CB45">
        <v>0</v>
      </c>
      <c r="CC45">
        <v>-3.41</v>
      </c>
      <c r="CD45" t="s">
        <v>3525</v>
      </c>
      <c r="CE45" t="s">
        <v>3526</v>
      </c>
      <c r="CF45" s="8">
        <v>-0.30707155963302762</v>
      </c>
      <c r="CG45" s="9">
        <v>3.0099999999999998E-2</v>
      </c>
      <c r="CH45" s="8">
        <v>-0.75154870748519897</v>
      </c>
      <c r="CI45" s="8">
        <v>7.8014187514781952E-2</v>
      </c>
      <c r="CJ45" s="8">
        <v>0.1015625</v>
      </c>
      <c r="CK45" s="8">
        <v>0.35449734330177307</v>
      </c>
      <c r="CL45" s="8">
        <v>-0.10000000149011612</v>
      </c>
      <c r="CM45" s="9">
        <v>-0.81444627046585083</v>
      </c>
      <c r="CN45" s="9">
        <v>0.11235673725605011</v>
      </c>
      <c r="CO45" s="9">
        <v>0.16061931848526001</v>
      </c>
      <c r="CP45" s="9">
        <v>1.0207686424255371</v>
      </c>
      <c r="CQ45" s="9">
        <v>-0.39164441823959351</v>
      </c>
      <c r="CR45">
        <v>0.25939620596194701</v>
      </c>
      <c r="CS45" t="e">
        <v>#DIV/0!</v>
      </c>
      <c r="CT45">
        <v>0.67934782608695654</v>
      </c>
      <c r="CU45" s="8">
        <v>0</v>
      </c>
      <c r="CV45" s="9">
        <v>0</v>
      </c>
      <c r="CW45">
        <v>0.06</v>
      </c>
      <c r="CX45">
        <v>32.481900089206079</v>
      </c>
      <c r="CY45">
        <v>11209999.999999998</v>
      </c>
      <c r="CZ45">
        <v>0</v>
      </c>
      <c r="DA45">
        <v>11.463959963636118</v>
      </c>
      <c r="DB45">
        <v>31762331.790672835</v>
      </c>
      <c r="DC45">
        <v>0</v>
      </c>
      <c r="DD45">
        <v>6.2317024339621589</v>
      </c>
      <c r="DE45">
        <v>58430598.03619165</v>
      </c>
      <c r="DF45">
        <v>0</v>
      </c>
      <c r="DG45">
        <v>4.1634428719235217</v>
      </c>
      <c r="DH45">
        <v>87456970.397140265</v>
      </c>
      <c r="DI45">
        <v>0</v>
      </c>
      <c r="DJ45">
        <v>2.6716227066450795</v>
      </c>
      <c r="DK45">
        <v>136292485.87172344</v>
      </c>
      <c r="DL45">
        <v>0</v>
      </c>
      <c r="DM45">
        <v>11882600</v>
      </c>
      <c r="DN45">
        <v>0</v>
      </c>
      <c r="DO45">
        <v>364122100.00000006</v>
      </c>
      <c r="DP45">
        <v>213446820</v>
      </c>
      <c r="DQ45">
        <v>44</v>
      </c>
      <c r="DR45">
        <v>-0.30707155963302762</v>
      </c>
      <c r="DS45">
        <v>3.0099999999999998E-2</v>
      </c>
      <c r="DT45">
        <v>-0.44</v>
      </c>
      <c r="DU45">
        <v>-0.22</v>
      </c>
      <c r="DV45">
        <v>-0.66</v>
      </c>
      <c r="DW45">
        <v>-1.0341</v>
      </c>
      <c r="DX45">
        <v>0.20962525244969654</v>
      </c>
      <c r="DY45">
        <v>-1.0030562211085348</v>
      </c>
      <c r="DZ45">
        <v>0</v>
      </c>
      <c r="EA45">
        <v>-1.0030562211085348</v>
      </c>
      <c r="EB45">
        <v>1</v>
      </c>
      <c r="EC45">
        <v>5.8787165145716812E-3</v>
      </c>
      <c r="ED45">
        <v>6.5592189186537142E-2</v>
      </c>
      <c r="EE45">
        <v>0</v>
      </c>
      <c r="EF45">
        <v>0</v>
      </c>
      <c r="EG45">
        <v>12.089625252449697</v>
      </c>
      <c r="EH45" t="s">
        <v>86</v>
      </c>
      <c r="EI45">
        <v>0</v>
      </c>
      <c r="EJ45">
        <v>0</v>
      </c>
      <c r="EK45">
        <v>0</v>
      </c>
      <c r="EL45">
        <v>0</v>
      </c>
      <c r="EM45">
        <v>0</v>
      </c>
      <c r="EN45">
        <v>0</v>
      </c>
      <c r="EO45">
        <v>0</v>
      </c>
      <c r="EP45">
        <v>0</v>
      </c>
    </row>
    <row r="46" spans="1:146" ht="96" x14ac:dyDescent="0.25">
      <c r="A46" s="10"/>
      <c r="B46" s="10"/>
      <c r="C46" s="7" t="str">
        <f>""&amp;CHAR(10)&amp;Basic_Fundamental_Information_Constructure(F46)&amp;CHAR(10)&amp;Basic_Fundamental_Information_Concatenate("")</f>
        <v xml:space="preserve">
市值4.094793亿, 利润-491.97万; PE; 平均PE.74, PB.628; ROIC4.94%; ROE2.7933%; 股利率0%; 毛利7.89%; 净利.8033%; 上一年度营收增-65.42%, 利润增-137.82%; 当季营收增-23.58%, 利润增60.04%; 过往5年营收增0%, 利润增0%
Income profile:
</v>
      </c>
      <c r="D46">
        <v>831768</v>
      </c>
      <c r="E46" t="s">
        <v>1133</v>
      </c>
      <c r="F46">
        <v>3.69</v>
      </c>
      <c r="G46" s="5">
        <v>-4.16</v>
      </c>
      <c r="H46" t="s">
        <v>3527</v>
      </c>
      <c r="I46">
        <v>409479300</v>
      </c>
      <c r="K46">
        <v>0.628</v>
      </c>
      <c r="L46" t="s">
        <v>2604</v>
      </c>
      <c r="M46" t="s">
        <v>319</v>
      </c>
      <c r="N46" t="s">
        <v>3148</v>
      </c>
      <c r="O46" t="s">
        <v>457</v>
      </c>
      <c r="P46">
        <v>76</v>
      </c>
      <c r="Q46" t="s">
        <v>457</v>
      </c>
      <c r="R46">
        <v>-4919735</v>
      </c>
      <c r="S46" s="5">
        <v>0.60040000000000004</v>
      </c>
      <c r="T46" t="s">
        <v>3528</v>
      </c>
      <c r="U46">
        <v>76744640</v>
      </c>
      <c r="V46">
        <v>110970000</v>
      </c>
      <c r="W46">
        <v>2.02</v>
      </c>
      <c r="X46">
        <v>0.28000000000000003</v>
      </c>
      <c r="Y46">
        <v>-1.41</v>
      </c>
      <c r="Z46" t="s">
        <v>44</v>
      </c>
      <c r="AA46" t="s">
        <v>497</v>
      </c>
      <c r="AB46" t="s">
        <v>3529</v>
      </c>
      <c r="AC46" t="s">
        <v>3530</v>
      </c>
      <c r="AD46" t="s">
        <v>3531</v>
      </c>
      <c r="AE46">
        <v>480493</v>
      </c>
      <c r="AF46" t="s">
        <v>3532</v>
      </c>
      <c r="AG46">
        <v>0</v>
      </c>
      <c r="AH46" t="s">
        <v>3533</v>
      </c>
      <c r="AI46" t="s">
        <v>3534</v>
      </c>
      <c r="AJ46" t="s">
        <v>9</v>
      </c>
      <c r="AK46" t="s">
        <v>312</v>
      </c>
      <c r="AL46" t="s">
        <v>3535</v>
      </c>
      <c r="AM46" t="s">
        <v>9</v>
      </c>
      <c r="AN46" t="s">
        <v>3536</v>
      </c>
      <c r="AO46" t="s">
        <v>489</v>
      </c>
      <c r="AP46" t="s">
        <v>3537</v>
      </c>
      <c r="AQ46" t="s">
        <v>312</v>
      </c>
      <c r="AR46" t="s">
        <v>9</v>
      </c>
      <c r="AS46" t="s">
        <v>691</v>
      </c>
      <c r="AT46" t="s">
        <v>3538</v>
      </c>
      <c r="AU46" t="s">
        <v>3539</v>
      </c>
      <c r="AV46" t="s">
        <v>3540</v>
      </c>
      <c r="AW46" t="s">
        <v>3541</v>
      </c>
      <c r="AX46" t="s">
        <v>500</v>
      </c>
      <c r="AY46" t="s">
        <v>1134</v>
      </c>
      <c r="AZ46" t="s">
        <v>545</v>
      </c>
      <c r="BA46" t="s">
        <v>330</v>
      </c>
      <c r="BB46" t="s">
        <v>129</v>
      </c>
      <c r="BC46" t="s">
        <v>3542</v>
      </c>
      <c r="BD46" t="s">
        <v>1135</v>
      </c>
      <c r="BE46" t="s">
        <v>1136</v>
      </c>
      <c r="BF46" t="s">
        <v>1137</v>
      </c>
      <c r="BG46" t="s">
        <v>1138</v>
      </c>
      <c r="BH46" t="s">
        <v>136</v>
      </c>
      <c r="BI46" t="s">
        <v>71</v>
      </c>
      <c r="BJ46" t="s">
        <v>500</v>
      </c>
      <c r="BK46" t="s">
        <v>3543</v>
      </c>
      <c r="BL46" t="s">
        <v>1139</v>
      </c>
      <c r="BM46" t="s">
        <v>3542</v>
      </c>
      <c r="BN46" t="s">
        <v>9</v>
      </c>
      <c r="BO46">
        <v>1.21</v>
      </c>
      <c r="BP46">
        <v>8.67</v>
      </c>
      <c r="BQ46">
        <v>-5.64</v>
      </c>
      <c r="BR46">
        <v>1.86</v>
      </c>
      <c r="BS46">
        <v>12.16</v>
      </c>
      <c r="BT46" t="s">
        <v>773</v>
      </c>
      <c r="BU46" t="s">
        <v>907</v>
      </c>
      <c r="BV46">
        <v>3.15</v>
      </c>
      <c r="BW46">
        <v>8.11</v>
      </c>
      <c r="BX46">
        <v>12.41</v>
      </c>
      <c r="BY46">
        <v>-3.48</v>
      </c>
      <c r="BZ46">
        <v>1.29</v>
      </c>
      <c r="CA46">
        <v>4.5999999999999996</v>
      </c>
      <c r="CB46">
        <v>-4.6500000000000004</v>
      </c>
      <c r="CC46">
        <v>-13.38</v>
      </c>
      <c r="CD46" t="s">
        <v>3544</v>
      </c>
      <c r="CE46" t="s">
        <v>3545</v>
      </c>
      <c r="CF46" s="8">
        <v>-0.23580786026200873</v>
      </c>
      <c r="CG46" s="9">
        <v>0.60040000000000004</v>
      </c>
      <c r="CH46" s="8">
        <v>-0.65415018796920776</v>
      </c>
      <c r="CI46" s="8">
        <v>-0.28531074523925781</v>
      </c>
      <c r="CJ46" s="8">
        <v>0.24757702648639679</v>
      </c>
      <c r="CK46" s="8">
        <v>0.41875007748603821</v>
      </c>
      <c r="CL46" s="8">
        <v>2.5062656495720148E-3</v>
      </c>
      <c r="CM46" s="9">
        <v>-1.3782435655593872</v>
      </c>
      <c r="CN46" s="9">
        <v>-0.80014568567276001</v>
      </c>
      <c r="CO46" s="9">
        <v>0.18113084137439728</v>
      </c>
      <c r="CP46" s="9">
        <v>0.70819306373596191</v>
      </c>
      <c r="CQ46" s="9">
        <v>6.1128217726945877E-2</v>
      </c>
      <c r="CR46">
        <v>0.74426417315567872</v>
      </c>
      <c r="CS46" t="e">
        <v>#DIV/0!</v>
      </c>
      <c r="CT46">
        <v>0</v>
      </c>
      <c r="CU46" s="8">
        <v>0</v>
      </c>
      <c r="CV46" s="9">
        <v>0</v>
      </c>
      <c r="CW46">
        <v>0.06</v>
      </c>
      <c r="CX46" t="e">
        <v>#VALUE!</v>
      </c>
      <c r="CY46" t="s">
        <v>85</v>
      </c>
      <c r="CZ46">
        <v>0</v>
      </c>
      <c r="DA46" t="e">
        <v>#VALUE!</v>
      </c>
      <c r="DB46" t="s">
        <v>84</v>
      </c>
      <c r="DC46">
        <v>0</v>
      </c>
      <c r="DD46" t="e">
        <v>#VALUE!</v>
      </c>
      <c r="DE46" t="s">
        <v>84</v>
      </c>
      <c r="DF46">
        <v>0</v>
      </c>
      <c r="DG46" t="e">
        <v>#VALUE!</v>
      </c>
      <c r="DH46" t="s">
        <v>84</v>
      </c>
      <c r="DI46">
        <v>0</v>
      </c>
      <c r="DJ46" t="e">
        <v>#VALUE!</v>
      </c>
      <c r="DK46" t="s">
        <v>84</v>
      </c>
      <c r="DL46">
        <v>0</v>
      </c>
      <c r="DM46">
        <v>-4919700</v>
      </c>
      <c r="DN46">
        <v>0</v>
      </c>
      <c r="DO46">
        <v>324479300</v>
      </c>
      <c r="DP46">
        <v>314482470</v>
      </c>
      <c r="DQ46">
        <v>45</v>
      </c>
      <c r="DR46">
        <v>-0.23580786026200873</v>
      </c>
      <c r="DS46">
        <v>0.60040000000000004</v>
      </c>
      <c r="DT46">
        <v>-0.44</v>
      </c>
      <c r="DU46" t="e">
        <v>#VALUE!</v>
      </c>
      <c r="DV46" t="e">
        <v>#VALUE!</v>
      </c>
      <c r="DW46">
        <v>-8.3475336322869964</v>
      </c>
      <c r="DX46">
        <v>0.36363298634250152</v>
      </c>
      <c r="DY46">
        <v>-8.0742446477199277</v>
      </c>
      <c r="DZ46">
        <v>0</v>
      </c>
      <c r="EA46">
        <v>-8.0742446477199277</v>
      </c>
      <c r="EB46">
        <v>8</v>
      </c>
      <c r="EC46">
        <v>2.5132918806884744E-2</v>
      </c>
      <c r="ED46">
        <v>0.11764530954311976</v>
      </c>
      <c r="EE46">
        <v>0</v>
      </c>
      <c r="EF46">
        <v>0</v>
      </c>
      <c r="EG46">
        <v>15.213632986342501</v>
      </c>
      <c r="EH46" t="s">
        <v>86</v>
      </c>
      <c r="EI46">
        <v>0</v>
      </c>
      <c r="EJ46">
        <v>0</v>
      </c>
      <c r="EK46">
        <v>0</v>
      </c>
      <c r="EL46">
        <v>0</v>
      </c>
      <c r="EM46">
        <v>0</v>
      </c>
      <c r="EN46">
        <v>0</v>
      </c>
      <c r="EO46">
        <v>0</v>
      </c>
      <c r="EP46">
        <v>0</v>
      </c>
    </row>
    <row r="47" spans="1:146" ht="108" x14ac:dyDescent="0.25">
      <c r="A47" s="10"/>
      <c r="B47" s="10"/>
      <c r="C47" s="7" t="str">
        <f>""&amp;CHAR(10)&amp;Basic_Fundamental_Information_Constructure(F47)&amp;CHAR(10)&amp;Basic_Fundamental_Information_Concatenate("")</f>
        <v xml:space="preserve">
市值8.77128亿, 利润641.18万; PE15.6; 平均PE1.35, PB1.29; ROIC6.85%; ROE8.45%; 股利率1.7621%; 毛利43.1433%; 净利14.7%; 上一年度营收增-78.61%, 利润增-88.69%; 当季营收增-53.03%, 利润增20.52%; 过往5年营收增0%, 利润增0%
Income profile:
</v>
      </c>
      <c r="D47">
        <v>831832</v>
      </c>
      <c r="E47" t="s">
        <v>1141</v>
      </c>
      <c r="F47">
        <v>11.35</v>
      </c>
      <c r="G47" s="5">
        <v>0.27</v>
      </c>
      <c r="H47" t="s">
        <v>3546</v>
      </c>
      <c r="I47">
        <v>877128000</v>
      </c>
      <c r="J47">
        <v>15.6</v>
      </c>
      <c r="K47">
        <v>1.29</v>
      </c>
      <c r="L47" t="s">
        <v>2604</v>
      </c>
      <c r="M47" t="s">
        <v>634</v>
      </c>
      <c r="N47" t="s">
        <v>379</v>
      </c>
      <c r="O47" t="s">
        <v>3547</v>
      </c>
      <c r="P47">
        <v>19.09</v>
      </c>
      <c r="Q47" t="s">
        <v>3547</v>
      </c>
      <c r="R47">
        <v>6411808</v>
      </c>
      <c r="S47" s="5">
        <v>0.20519999999999999</v>
      </c>
      <c r="T47" t="s">
        <v>3548</v>
      </c>
      <c r="U47">
        <v>61709548</v>
      </c>
      <c r="V47">
        <v>77280000</v>
      </c>
      <c r="W47">
        <v>1.88</v>
      </c>
      <c r="X47">
        <v>0.06</v>
      </c>
      <c r="Y47">
        <v>6.5</v>
      </c>
      <c r="Z47" t="s">
        <v>3549</v>
      </c>
      <c r="AA47" t="s">
        <v>3550</v>
      </c>
      <c r="AB47" t="s">
        <v>3551</v>
      </c>
      <c r="AC47" t="s">
        <v>3552</v>
      </c>
      <c r="AD47" t="s">
        <v>3553</v>
      </c>
      <c r="AE47">
        <v>2224036</v>
      </c>
      <c r="AF47" t="s">
        <v>3554</v>
      </c>
      <c r="AG47">
        <v>14.27</v>
      </c>
      <c r="AH47" t="s">
        <v>3555</v>
      </c>
      <c r="AI47" t="s">
        <v>3556</v>
      </c>
      <c r="AJ47" t="s">
        <v>9</v>
      </c>
      <c r="AK47" t="s">
        <v>3557</v>
      </c>
      <c r="AL47" t="s">
        <v>3558</v>
      </c>
      <c r="AM47" t="s">
        <v>9</v>
      </c>
      <c r="AN47" t="s">
        <v>3559</v>
      </c>
      <c r="AO47" t="s">
        <v>3560</v>
      </c>
      <c r="AP47" t="s">
        <v>9</v>
      </c>
      <c r="AQ47" t="s">
        <v>67</v>
      </c>
      <c r="AR47" t="s">
        <v>9</v>
      </c>
      <c r="AS47" t="s">
        <v>259</v>
      </c>
      <c r="AT47" t="s">
        <v>640</v>
      </c>
      <c r="AU47" t="s">
        <v>3561</v>
      </c>
      <c r="AV47" t="s">
        <v>3562</v>
      </c>
      <c r="AW47" t="s">
        <v>3563</v>
      </c>
      <c r="AX47" t="s">
        <v>303</v>
      </c>
      <c r="AY47" t="s">
        <v>331</v>
      </c>
      <c r="AZ47" t="s">
        <v>286</v>
      </c>
      <c r="BA47" t="s">
        <v>264</v>
      </c>
      <c r="BB47" t="s">
        <v>434</v>
      </c>
      <c r="BC47" t="s">
        <v>3564</v>
      </c>
      <c r="BD47" t="s">
        <v>1143</v>
      </c>
      <c r="BE47" t="s">
        <v>1144</v>
      </c>
      <c r="BF47" t="s">
        <v>1145</v>
      </c>
      <c r="BG47" t="s">
        <v>1146</v>
      </c>
      <c r="BH47" t="s">
        <v>1336</v>
      </c>
      <c r="BI47" t="s">
        <v>227</v>
      </c>
      <c r="BJ47" t="s">
        <v>303</v>
      </c>
      <c r="BK47" t="s">
        <v>3565</v>
      </c>
      <c r="BL47" t="s">
        <v>1147</v>
      </c>
      <c r="BM47" t="s">
        <v>3564</v>
      </c>
      <c r="BN47">
        <v>3.37</v>
      </c>
      <c r="BO47">
        <v>8.34</v>
      </c>
      <c r="BP47">
        <v>8.84</v>
      </c>
      <c r="BQ47">
        <v>3.46</v>
      </c>
      <c r="BR47">
        <v>9.51</v>
      </c>
      <c r="BS47">
        <v>12.38</v>
      </c>
      <c r="BT47" t="s">
        <v>851</v>
      </c>
      <c r="BU47" t="s">
        <v>927</v>
      </c>
      <c r="BV47">
        <v>42.91</v>
      </c>
      <c r="BW47">
        <v>41.74</v>
      </c>
      <c r="BX47">
        <v>44.78</v>
      </c>
      <c r="BY47">
        <v>12.52</v>
      </c>
      <c r="BZ47">
        <v>16.37</v>
      </c>
      <c r="CA47">
        <v>15.21</v>
      </c>
      <c r="CB47">
        <v>1.7</v>
      </c>
      <c r="CC47">
        <v>-6.35</v>
      </c>
      <c r="CD47" t="s">
        <v>3566</v>
      </c>
      <c r="CE47" t="s">
        <v>3567</v>
      </c>
      <c r="CF47" s="8">
        <v>-0.53028544303797465</v>
      </c>
      <c r="CG47" s="9">
        <v>0.20519999999999999</v>
      </c>
      <c r="CH47" s="8">
        <v>-0.78612416982650757</v>
      </c>
      <c r="CI47" s="8">
        <v>0.3193916380405426</v>
      </c>
      <c r="CJ47" s="8">
        <v>0.30845770239830017</v>
      </c>
      <c r="CK47" s="8">
        <v>3.6082472652196884E-2</v>
      </c>
      <c r="CL47" s="8">
        <v>0.26797387003898621</v>
      </c>
      <c r="CM47" s="9">
        <v>-0.88687241077423096</v>
      </c>
      <c r="CN47" s="9">
        <v>0.42975777387619019</v>
      </c>
      <c r="CO47" s="9">
        <v>0.36408025026321411</v>
      </c>
      <c r="CP47" s="9">
        <v>-7.3579013347625732E-2</v>
      </c>
      <c r="CQ47" s="9">
        <v>1.3602750301361084</v>
      </c>
      <c r="CR47">
        <v>1.352405828650671</v>
      </c>
      <c r="CS47" t="e">
        <v>#DIV/0!</v>
      </c>
      <c r="CT47">
        <v>1.7621145374449341</v>
      </c>
      <c r="CU47" s="8">
        <v>0</v>
      </c>
      <c r="CV47" s="9">
        <v>0</v>
      </c>
      <c r="CW47">
        <v>0.06</v>
      </c>
      <c r="CX47">
        <v>122.19278205808044</v>
      </c>
      <c r="CY47">
        <v>6048867.9245283008</v>
      </c>
      <c r="CZ47">
        <v>0</v>
      </c>
      <c r="DA47">
        <v>43.125961151042596</v>
      </c>
      <c r="DB47">
        <v>17138818.017558113</v>
      </c>
      <c r="DC47">
        <v>0</v>
      </c>
      <c r="DD47">
        <v>23.44287296225593</v>
      </c>
      <c r="DE47">
        <v>31528900.113481358</v>
      </c>
      <c r="DF47">
        <v>0</v>
      </c>
      <c r="DG47">
        <v>15.662343214622398</v>
      </c>
      <c r="DH47">
        <v>47191406.156260736</v>
      </c>
      <c r="DI47">
        <v>0</v>
      </c>
      <c r="DJ47">
        <v>10.050305254247839</v>
      </c>
      <c r="DK47">
        <v>73542840.869196668</v>
      </c>
      <c r="DL47">
        <v>0</v>
      </c>
      <c r="DM47">
        <v>6411799.9999999991</v>
      </c>
      <c r="DN47">
        <v>0</v>
      </c>
      <c r="DO47">
        <v>739128000</v>
      </c>
      <c r="DP47">
        <v>443901760</v>
      </c>
      <c r="DQ47">
        <v>46</v>
      </c>
      <c r="DR47">
        <v>-0.53028544303797465</v>
      </c>
      <c r="DS47">
        <v>0.20519999999999999</v>
      </c>
      <c r="DT47">
        <v>-0.44</v>
      </c>
      <c r="DU47">
        <v>-0.22</v>
      </c>
      <c r="DV47">
        <v>-0.66</v>
      </c>
      <c r="DW47">
        <v>-2.0634999999999999</v>
      </c>
      <c r="DX47">
        <v>0.58021691128718145</v>
      </c>
      <c r="DY47">
        <v>-2.0139837738667361</v>
      </c>
      <c r="DZ47">
        <v>0</v>
      </c>
      <c r="EA47">
        <v>-2.0139837738667361</v>
      </c>
      <c r="EB47">
        <v>2</v>
      </c>
      <c r="EC47">
        <v>4.3878105590062104E-2</v>
      </c>
      <c r="ED47">
        <v>0.19924948240165632</v>
      </c>
      <c r="EE47">
        <v>0</v>
      </c>
      <c r="EF47">
        <v>0</v>
      </c>
      <c r="EG47">
        <v>36.220216911287181</v>
      </c>
      <c r="EH47" t="s">
        <v>86</v>
      </c>
      <c r="EI47">
        <v>0</v>
      </c>
      <c r="EJ47">
        <v>0</v>
      </c>
      <c r="EK47">
        <v>0</v>
      </c>
      <c r="EL47">
        <v>0</v>
      </c>
      <c r="EM47">
        <v>0</v>
      </c>
      <c r="EN47">
        <v>0</v>
      </c>
      <c r="EO47">
        <v>0</v>
      </c>
      <c r="EP47">
        <v>0</v>
      </c>
    </row>
    <row r="48" spans="1:146" ht="108" x14ac:dyDescent="0.25">
      <c r="A48" s="10"/>
      <c r="B48" s="10"/>
      <c r="C48" s="7" t="str">
        <f>""&amp;CHAR(10)&amp;Basic_Fundamental_Information_Constructure(F48)&amp;CHAR(10)&amp;Basic_Fundamental_Information_Concatenate("")</f>
        <v xml:space="preserve">
市值5.9400002亿, 利润468.22万; PE15.81; 平均PE-5.91, PB1.97; ROIC15.75%; ROE17.7067%; 股利率5.0505%; 毛利32.1333%; 净利14.33%; 上一年度营收增-80.13%, 利润增-87.33%; 当季营收增-60.11%, 利润增-21.21%; 过往5年营收增0%, 利润增0%
Income profile:
</v>
      </c>
      <c r="D48">
        <v>831834</v>
      </c>
      <c r="E48" t="s">
        <v>1148</v>
      </c>
      <c r="F48">
        <v>4.95</v>
      </c>
      <c r="G48" s="5">
        <v>-1.98</v>
      </c>
      <c r="H48" t="s">
        <v>3568</v>
      </c>
      <c r="I48">
        <v>594000020</v>
      </c>
      <c r="J48">
        <v>15.81</v>
      </c>
      <c r="K48">
        <v>1.97</v>
      </c>
      <c r="L48" t="s">
        <v>2604</v>
      </c>
      <c r="M48" t="s">
        <v>3569</v>
      </c>
      <c r="N48" t="s">
        <v>1039</v>
      </c>
      <c r="O48" t="s">
        <v>3570</v>
      </c>
      <c r="P48">
        <v>-5.18</v>
      </c>
      <c r="Q48" t="s">
        <v>3570</v>
      </c>
      <c r="R48">
        <v>4682208</v>
      </c>
      <c r="S48" s="5">
        <v>-0.21210000000000001</v>
      </c>
      <c r="T48" t="s">
        <v>3571</v>
      </c>
      <c r="U48">
        <v>32964004</v>
      </c>
      <c r="V48">
        <v>120000005</v>
      </c>
      <c r="W48">
        <v>1.21</v>
      </c>
      <c r="X48">
        <v>0.14000000000000001</v>
      </c>
      <c r="Y48">
        <v>8.91</v>
      </c>
      <c r="Z48" t="s">
        <v>3572</v>
      </c>
      <c r="AA48" t="s">
        <v>3573</v>
      </c>
      <c r="AB48" t="s">
        <v>3574</v>
      </c>
      <c r="AC48" t="s">
        <v>3575</v>
      </c>
      <c r="AD48" t="s">
        <v>3576</v>
      </c>
      <c r="AE48">
        <v>376935</v>
      </c>
      <c r="AF48" t="s">
        <v>3577</v>
      </c>
      <c r="AG48" t="s">
        <v>3578</v>
      </c>
      <c r="AH48" t="s">
        <v>3579</v>
      </c>
      <c r="AI48" t="s">
        <v>3580</v>
      </c>
      <c r="AJ48" t="s">
        <v>9</v>
      </c>
      <c r="AK48" t="s">
        <v>9</v>
      </c>
      <c r="AL48" t="s">
        <v>3581</v>
      </c>
      <c r="AM48" t="s">
        <v>9</v>
      </c>
      <c r="AN48" t="s">
        <v>3582</v>
      </c>
      <c r="AO48" t="s">
        <v>3583</v>
      </c>
      <c r="AP48" t="s">
        <v>9</v>
      </c>
      <c r="AQ48" t="s">
        <v>3584</v>
      </c>
      <c r="AR48" t="s">
        <v>9</v>
      </c>
      <c r="AS48" t="s">
        <v>3585</v>
      </c>
      <c r="AT48" t="s">
        <v>9</v>
      </c>
      <c r="AU48" t="s">
        <v>3586</v>
      </c>
      <c r="AV48" t="s">
        <v>3587</v>
      </c>
      <c r="AW48" t="s">
        <v>3588</v>
      </c>
      <c r="AX48" t="s">
        <v>669</v>
      </c>
      <c r="AY48" t="s">
        <v>178</v>
      </c>
      <c r="AZ48" t="s">
        <v>232</v>
      </c>
      <c r="BA48" t="s">
        <v>296</v>
      </c>
      <c r="BB48" t="s">
        <v>480</v>
      </c>
      <c r="BC48" t="s">
        <v>1150</v>
      </c>
      <c r="BD48" t="s">
        <v>1151</v>
      </c>
      <c r="BE48" t="s">
        <v>1152</v>
      </c>
      <c r="BF48" t="s">
        <v>1153</v>
      </c>
      <c r="BG48" t="s">
        <v>1154</v>
      </c>
      <c r="BH48" t="s">
        <v>105</v>
      </c>
      <c r="BI48" t="s">
        <v>242</v>
      </c>
      <c r="BJ48" t="s">
        <v>669</v>
      </c>
      <c r="BK48" t="s">
        <v>3589</v>
      </c>
      <c r="BL48" t="s">
        <v>1156</v>
      </c>
      <c r="BM48" t="s">
        <v>1150</v>
      </c>
      <c r="BN48">
        <v>8.48</v>
      </c>
      <c r="BO48">
        <v>13.9</v>
      </c>
      <c r="BP48">
        <v>24.87</v>
      </c>
      <c r="BQ48">
        <v>8.93</v>
      </c>
      <c r="BR48">
        <v>16.489999999999998</v>
      </c>
      <c r="BS48">
        <v>27.7</v>
      </c>
      <c r="BT48" t="s">
        <v>3590</v>
      </c>
      <c r="BU48" t="s">
        <v>1149</v>
      </c>
      <c r="BV48">
        <v>32.22</v>
      </c>
      <c r="BW48">
        <v>31.24</v>
      </c>
      <c r="BX48">
        <v>32.94</v>
      </c>
      <c r="BY48">
        <v>14.66</v>
      </c>
      <c r="BZ48">
        <v>14.37</v>
      </c>
      <c r="CA48">
        <v>13.96</v>
      </c>
      <c r="CB48">
        <v>-0.8</v>
      </c>
      <c r="CC48">
        <v>-4.99</v>
      </c>
      <c r="CD48" t="s">
        <v>3591</v>
      </c>
      <c r="CE48" t="s">
        <v>3592</v>
      </c>
      <c r="CF48" s="8">
        <v>-0.60112734374999999</v>
      </c>
      <c r="CG48" s="9">
        <v>-0.21210000000000001</v>
      </c>
      <c r="CH48" s="8">
        <v>-0.80133968591690063</v>
      </c>
      <c r="CI48" s="8">
        <v>-9.8245613276958466E-2</v>
      </c>
      <c r="CJ48" s="8">
        <v>0.22844827175140381</v>
      </c>
      <c r="CK48" s="8">
        <v>0.26086956262588501</v>
      </c>
      <c r="CL48" s="8">
        <v>0.11515151709318161</v>
      </c>
      <c r="CM48" s="9">
        <v>-0.87330168485641479</v>
      </c>
      <c r="CN48" s="9">
        <v>-6.9712117314338684E-2</v>
      </c>
      <c r="CO48" s="9">
        <v>3.8342408835887909E-2</v>
      </c>
      <c r="CP48" s="9">
        <v>0.59081137180328369</v>
      </c>
      <c r="CQ48" s="9">
        <v>0.55980956554412842</v>
      </c>
      <c r="CR48">
        <v>-5.9098628543741194</v>
      </c>
      <c r="CS48" t="e">
        <v>#DIV/0!</v>
      </c>
      <c r="CT48">
        <v>5.0505050505050502</v>
      </c>
      <c r="CU48" s="8">
        <v>0</v>
      </c>
      <c r="CV48" s="9">
        <v>0</v>
      </c>
      <c r="CW48">
        <v>0.06</v>
      </c>
      <c r="CX48">
        <v>82.417732518901374</v>
      </c>
      <c r="CY48">
        <v>4417169.8113207547</v>
      </c>
      <c r="CZ48">
        <v>0</v>
      </c>
      <c r="DA48">
        <v>29.088002342705614</v>
      </c>
      <c r="DB48">
        <v>12515576.549769271</v>
      </c>
      <c r="DC48">
        <v>0</v>
      </c>
      <c r="DD48">
        <v>15.811968601872312</v>
      </c>
      <c r="DE48">
        <v>23023895.95922244</v>
      </c>
      <c r="DF48">
        <v>0</v>
      </c>
      <c r="DG48">
        <v>10.564083998581946</v>
      </c>
      <c r="DH48">
        <v>34461399.592133887</v>
      </c>
      <c r="DI48">
        <v>0</v>
      </c>
      <c r="DJ48">
        <v>6.7788240534877948</v>
      </c>
      <c r="DK48">
        <v>53704465.129566215</v>
      </c>
      <c r="DL48">
        <v>0</v>
      </c>
      <c r="DM48">
        <v>4682200</v>
      </c>
      <c r="DN48">
        <v>0</v>
      </c>
      <c r="DO48">
        <v>364053120</v>
      </c>
      <c r="DP48">
        <v>226958230</v>
      </c>
      <c r="DQ48">
        <v>47</v>
      </c>
      <c r="DR48">
        <v>-0.60112734374999999</v>
      </c>
      <c r="DS48">
        <v>-0.21210000000000001</v>
      </c>
      <c r="DT48">
        <v>-0.44</v>
      </c>
      <c r="DU48">
        <v>-0.44</v>
      </c>
      <c r="DV48">
        <v>-0.88</v>
      </c>
      <c r="DW48">
        <v>-1.0499000000000001</v>
      </c>
      <c r="DX48">
        <v>0.2753914136920651</v>
      </c>
      <c r="DY48">
        <v>-1.0082530315432341</v>
      </c>
      <c r="DZ48">
        <v>0</v>
      </c>
      <c r="EA48">
        <v>-1.0082530315432341</v>
      </c>
      <c r="EB48">
        <v>1</v>
      </c>
      <c r="EC48">
        <v>2.3236665698472259E-2</v>
      </c>
      <c r="ED48">
        <v>0.14049499414604191</v>
      </c>
      <c r="EE48">
        <v>0</v>
      </c>
      <c r="EF48">
        <v>0</v>
      </c>
      <c r="EG48">
        <v>11.165391413692065</v>
      </c>
      <c r="EH48" t="s">
        <v>86</v>
      </c>
      <c r="EI48">
        <v>0</v>
      </c>
      <c r="EJ48">
        <v>0</v>
      </c>
      <c r="EK48">
        <v>0</v>
      </c>
      <c r="EL48">
        <v>0</v>
      </c>
      <c r="EM48">
        <v>0</v>
      </c>
      <c r="EN48">
        <v>0</v>
      </c>
      <c r="EO48">
        <v>0</v>
      </c>
      <c r="EP48">
        <v>0</v>
      </c>
    </row>
    <row r="49" spans="1:146" ht="96" x14ac:dyDescent="0.25">
      <c r="A49" s="10"/>
      <c r="B49" s="10"/>
      <c r="C49" s="7" t="str">
        <f>""&amp;CHAR(10)&amp;Basic_Fundamental_Information_Constructure(F49)&amp;CHAR(10)&amp;Basic_Fundamental_Information_Concatenate("")</f>
        <v xml:space="preserve">
市值5.8441466亿, 利润682.65万; PE14.09; 平均PE.12, PB1.07; ROIC8.4567%; ROE10.2367%; 股利率3.5806%; 毛利33.13%; 净利16.6267%; 上一年度营收增-79.04%, 利润增-83.75%; 当季营收增-61.82%, 利润增-9.77%; 过往5年营收增0%, 利润增0%
Income profile:
</v>
      </c>
      <c r="D49">
        <v>831855</v>
      </c>
      <c r="E49" t="s">
        <v>1157</v>
      </c>
      <c r="F49">
        <v>7.82</v>
      </c>
      <c r="G49" s="5">
        <v>-1.39</v>
      </c>
      <c r="H49" t="s">
        <v>3593</v>
      </c>
      <c r="I49">
        <v>584414660</v>
      </c>
      <c r="J49">
        <v>14.09</v>
      </c>
      <c r="K49">
        <v>1.07</v>
      </c>
      <c r="L49" t="s">
        <v>2604</v>
      </c>
      <c r="M49" t="s">
        <v>314</v>
      </c>
      <c r="N49" t="s">
        <v>595</v>
      </c>
      <c r="O49" t="s">
        <v>3594</v>
      </c>
      <c r="P49">
        <v>-8.9499999999999993</v>
      </c>
      <c r="Q49" t="s">
        <v>3594</v>
      </c>
      <c r="R49">
        <v>6826518</v>
      </c>
      <c r="S49" s="5">
        <v>-9.7699999999999995E-2</v>
      </c>
      <c r="T49" t="s">
        <v>3595</v>
      </c>
      <c r="U49">
        <v>20878406</v>
      </c>
      <c r="V49">
        <v>74733333</v>
      </c>
      <c r="W49">
        <v>1.18</v>
      </c>
      <c r="X49">
        <v>0.08</v>
      </c>
      <c r="Y49">
        <v>13.86</v>
      </c>
      <c r="Z49" t="s">
        <v>3596</v>
      </c>
      <c r="AA49" t="s">
        <v>3597</v>
      </c>
      <c r="AB49" t="s">
        <v>3598</v>
      </c>
      <c r="AC49" t="s">
        <v>3599</v>
      </c>
      <c r="AD49" t="s">
        <v>3600</v>
      </c>
      <c r="AE49">
        <v>3501254</v>
      </c>
      <c r="AF49" t="s">
        <v>17</v>
      </c>
      <c r="AG49" t="s">
        <v>3601</v>
      </c>
      <c r="AH49" t="s">
        <v>3602</v>
      </c>
      <c r="AI49" t="s">
        <v>415</v>
      </c>
      <c r="AJ49" t="s">
        <v>9</v>
      </c>
      <c r="AK49" t="s">
        <v>3603</v>
      </c>
      <c r="AL49" t="s">
        <v>3604</v>
      </c>
      <c r="AM49" t="s">
        <v>9</v>
      </c>
      <c r="AN49" t="s">
        <v>3605</v>
      </c>
      <c r="AO49" t="s">
        <v>9</v>
      </c>
      <c r="AP49" t="s">
        <v>3606</v>
      </c>
      <c r="AQ49" t="s">
        <v>3607</v>
      </c>
      <c r="AR49" t="s">
        <v>3608</v>
      </c>
      <c r="AS49" t="s">
        <v>3609</v>
      </c>
      <c r="AT49" t="s">
        <v>9</v>
      </c>
      <c r="AU49" t="s">
        <v>3610</v>
      </c>
      <c r="AV49" t="s">
        <v>3611</v>
      </c>
      <c r="AW49" t="s">
        <v>9</v>
      </c>
      <c r="AX49" t="s">
        <v>447</v>
      </c>
      <c r="AY49" t="s">
        <v>419</v>
      </c>
      <c r="AZ49" t="s">
        <v>40</v>
      </c>
      <c r="BA49" t="s">
        <v>427</v>
      </c>
      <c r="BB49" t="s">
        <v>565</v>
      </c>
      <c r="BC49" t="s">
        <v>1158</v>
      </c>
      <c r="BD49" t="s">
        <v>1160</v>
      </c>
      <c r="BE49" t="s">
        <v>1161</v>
      </c>
      <c r="BF49" t="s">
        <v>1162</v>
      </c>
      <c r="BG49" t="s">
        <v>1163</v>
      </c>
      <c r="BH49" t="s">
        <v>3612</v>
      </c>
      <c r="BI49" t="s">
        <v>374</v>
      </c>
      <c r="BJ49" t="s">
        <v>447</v>
      </c>
      <c r="BK49" t="s">
        <v>3613</v>
      </c>
      <c r="BL49" t="s">
        <v>1164</v>
      </c>
      <c r="BM49" t="s">
        <v>1158</v>
      </c>
      <c r="BN49">
        <v>4.6399999999999997</v>
      </c>
      <c r="BO49">
        <v>8.14</v>
      </c>
      <c r="BP49">
        <v>12.59</v>
      </c>
      <c r="BQ49">
        <v>6.42</v>
      </c>
      <c r="BR49">
        <v>11.41</v>
      </c>
      <c r="BS49">
        <v>12.88</v>
      </c>
      <c r="BT49" t="s">
        <v>2223</v>
      </c>
      <c r="BU49" t="s">
        <v>1118</v>
      </c>
      <c r="BV49">
        <v>31.66</v>
      </c>
      <c r="BW49">
        <v>34.74</v>
      </c>
      <c r="BX49">
        <v>32.99</v>
      </c>
      <c r="BY49">
        <v>16.91</v>
      </c>
      <c r="BZ49">
        <v>17.899999999999999</v>
      </c>
      <c r="CA49">
        <v>15.07</v>
      </c>
      <c r="CB49">
        <v>0.9</v>
      </c>
      <c r="CC49">
        <v>-9.8000000000000007</v>
      </c>
      <c r="CD49" t="s">
        <v>3614</v>
      </c>
      <c r="CE49" t="s">
        <v>3615</v>
      </c>
      <c r="CF49" s="8">
        <v>-0.61822868217054261</v>
      </c>
      <c r="CG49" s="9">
        <v>-9.7699999999999995E-2</v>
      </c>
      <c r="CH49" s="8">
        <v>-0.7904319167137146</v>
      </c>
      <c r="CI49" s="8">
        <v>-0.19795222580432892</v>
      </c>
      <c r="CJ49" s="8">
        <v>0.1626984179019928</v>
      </c>
      <c r="CK49" s="8">
        <v>9.0909093618392944E-2</v>
      </c>
      <c r="CL49" s="8">
        <v>1.315789483487606E-2</v>
      </c>
      <c r="CM49" s="9">
        <v>-0.83753466606140137</v>
      </c>
      <c r="CN49" s="9">
        <v>-4.7864854335784912E-2</v>
      </c>
      <c r="CO49" s="9">
        <v>0.35412415862083435</v>
      </c>
      <c r="CP49" s="9">
        <v>-0.10332617163658142</v>
      </c>
      <c r="CQ49" s="9">
        <v>0.12604409456253052</v>
      </c>
      <c r="CR49">
        <v>0.12302678075736655</v>
      </c>
      <c r="CS49" t="e">
        <v>#DIV/0!</v>
      </c>
      <c r="CT49">
        <v>3.5805626598465468</v>
      </c>
      <c r="CU49" s="8">
        <v>0</v>
      </c>
      <c r="CV49" s="9">
        <v>0</v>
      </c>
      <c r="CW49">
        <v>0.06</v>
      </c>
      <c r="CX49">
        <v>22.734862608950415</v>
      </c>
      <c r="CY49">
        <v>6440094.339622641</v>
      </c>
      <c r="CZ49">
        <v>0</v>
      </c>
      <c r="DA49">
        <v>8.0239011268427838</v>
      </c>
      <c r="DB49">
        <v>18247316.072999857</v>
      </c>
      <c r="DC49">
        <v>0</v>
      </c>
      <c r="DD49">
        <v>4.3617183190299764</v>
      </c>
      <c r="DE49">
        <v>33568114.511475801</v>
      </c>
      <c r="DF49">
        <v>0</v>
      </c>
      <c r="DG49">
        <v>2.9140937387726806</v>
      </c>
      <c r="DH49">
        <v>50243634.256482422</v>
      </c>
      <c r="DI49">
        <v>0</v>
      </c>
      <c r="DJ49">
        <v>1.8699329476329509</v>
      </c>
      <c r="DK49">
        <v>78299417.198535681</v>
      </c>
      <c r="DL49">
        <v>0</v>
      </c>
      <c r="DM49">
        <v>6826500</v>
      </c>
      <c r="DN49">
        <v>0</v>
      </c>
      <c r="DO49">
        <v>146414660</v>
      </c>
      <c r="DP49">
        <v>331851370</v>
      </c>
      <c r="DQ49">
        <v>48</v>
      </c>
      <c r="DR49">
        <v>-0.61822868217054261</v>
      </c>
      <c r="DS49">
        <v>-9.7699999999999995E-2</v>
      </c>
      <c r="DT49">
        <v>-0.44</v>
      </c>
      <c r="DU49">
        <v>-0.44</v>
      </c>
      <c r="DV49">
        <v>-0.88</v>
      </c>
      <c r="DW49">
        <v>-2.0979999999999999</v>
      </c>
      <c r="DX49">
        <v>0.66292617954207478</v>
      </c>
      <c r="DY49">
        <v>-2.0541867655951234</v>
      </c>
      <c r="DZ49">
        <v>0</v>
      </c>
      <c r="EA49">
        <v>-2.0541867655951234</v>
      </c>
      <c r="EB49">
        <v>2</v>
      </c>
      <c r="EC49">
        <v>9.0543265345866486E-2</v>
      </c>
      <c r="ED49">
        <v>0.163752899927533</v>
      </c>
      <c r="EE49">
        <v>0</v>
      </c>
      <c r="EF49">
        <v>0</v>
      </c>
      <c r="EG49">
        <v>11.552926179542075</v>
      </c>
      <c r="EH49" t="s">
        <v>86</v>
      </c>
      <c r="EI49">
        <v>0</v>
      </c>
      <c r="EJ49">
        <v>0</v>
      </c>
      <c r="EK49">
        <v>0</v>
      </c>
      <c r="EL49">
        <v>0</v>
      </c>
      <c r="EM49">
        <v>0</v>
      </c>
      <c r="EN49">
        <v>0</v>
      </c>
      <c r="EO49">
        <v>0</v>
      </c>
      <c r="EP49">
        <v>0</v>
      </c>
    </row>
    <row r="50" spans="1:146" ht="108" x14ac:dyDescent="0.25">
      <c r="A50" s="10"/>
      <c r="B50" s="10"/>
      <c r="C50" s="7" t="str">
        <f>""&amp;CHAR(10)&amp;Basic_Fundamental_Information_Constructure(F50)&amp;CHAR(10)&amp;Basic_Fundamental_Information_Concatenate("")</f>
        <v xml:space="preserve">
市值3.8199586亿, 利润-635.17万; PE; 平均PE271.47, PB.877; ROIC4.9433%; ROE5.4167%; 股利率0%; 毛利19.1133%; 净利4.8033%; 上一年度营收增-92.65%, 利润增-119.58%; 当季营收增-83.87%, 利润增-206.3%; 过往5年营收增0%, 利润增0%
Income profile:
</v>
      </c>
      <c r="D50">
        <v>831856</v>
      </c>
      <c r="E50" t="s">
        <v>1166</v>
      </c>
      <c r="F50">
        <v>4.3899999999999997</v>
      </c>
      <c r="G50" s="5">
        <v>-3.52</v>
      </c>
      <c r="H50" t="s">
        <v>3616</v>
      </c>
      <c r="I50">
        <v>381995860</v>
      </c>
      <c r="K50">
        <v>0.877</v>
      </c>
      <c r="L50" t="s">
        <v>2604</v>
      </c>
      <c r="M50" t="s">
        <v>286</v>
      </c>
      <c r="N50" t="s">
        <v>610</v>
      </c>
      <c r="O50" t="s">
        <v>3617</v>
      </c>
      <c r="P50">
        <v>-58.2</v>
      </c>
      <c r="Q50" t="s">
        <v>3617</v>
      </c>
      <c r="R50">
        <v>-6351674</v>
      </c>
      <c r="S50" s="5">
        <v>-2.0630000000000002</v>
      </c>
      <c r="T50" t="s">
        <v>3618</v>
      </c>
      <c r="U50">
        <v>47615987</v>
      </c>
      <c r="V50">
        <v>87015003</v>
      </c>
      <c r="W50">
        <v>1.51</v>
      </c>
      <c r="X50">
        <v>0.05</v>
      </c>
      <c r="Y50">
        <v>-19.37</v>
      </c>
      <c r="Z50" t="s">
        <v>3619</v>
      </c>
      <c r="AA50" t="s">
        <v>3620</v>
      </c>
      <c r="AB50" t="s">
        <v>3621</v>
      </c>
      <c r="AC50" t="s">
        <v>3622</v>
      </c>
      <c r="AD50" t="s">
        <v>3623</v>
      </c>
      <c r="AE50">
        <v>562609</v>
      </c>
      <c r="AF50" t="s">
        <v>17</v>
      </c>
      <c r="AG50">
        <v>1933</v>
      </c>
      <c r="AH50" t="s">
        <v>3624</v>
      </c>
      <c r="AI50" t="s">
        <v>77</v>
      </c>
      <c r="AJ50" t="s">
        <v>9</v>
      </c>
      <c r="AK50" t="s">
        <v>3625</v>
      </c>
      <c r="AL50" t="s">
        <v>3626</v>
      </c>
      <c r="AM50" t="s">
        <v>9</v>
      </c>
      <c r="AN50">
        <v>0</v>
      </c>
      <c r="AO50" t="s">
        <v>3627</v>
      </c>
      <c r="AP50" t="s">
        <v>9</v>
      </c>
      <c r="AQ50" t="s">
        <v>3628</v>
      </c>
      <c r="AR50" t="s">
        <v>9</v>
      </c>
      <c r="AS50" t="s">
        <v>312</v>
      </c>
      <c r="AT50" t="s">
        <v>3629</v>
      </c>
      <c r="AU50" t="s">
        <v>3630</v>
      </c>
      <c r="AV50" t="s">
        <v>3631</v>
      </c>
      <c r="AW50" t="s">
        <v>3632</v>
      </c>
      <c r="AX50" t="s">
        <v>606</v>
      </c>
      <c r="AY50" t="s">
        <v>283</v>
      </c>
      <c r="AZ50" t="s">
        <v>440</v>
      </c>
      <c r="BA50" t="s">
        <v>322</v>
      </c>
      <c r="BB50" t="s">
        <v>31</v>
      </c>
      <c r="BC50" t="s">
        <v>3633</v>
      </c>
      <c r="BD50" t="s">
        <v>1168</v>
      </c>
      <c r="BE50" t="s">
        <v>1169</v>
      </c>
      <c r="BF50" t="s">
        <v>1170</v>
      </c>
      <c r="BG50" t="s">
        <v>1171</v>
      </c>
      <c r="BH50" t="s">
        <v>627</v>
      </c>
      <c r="BI50" t="s">
        <v>93</v>
      </c>
      <c r="BJ50" t="s">
        <v>606</v>
      </c>
      <c r="BK50" t="s">
        <v>3634</v>
      </c>
      <c r="BL50" t="s">
        <v>1172</v>
      </c>
      <c r="BM50" t="s">
        <v>3633</v>
      </c>
      <c r="BN50">
        <v>2.8</v>
      </c>
      <c r="BO50">
        <v>6.73</v>
      </c>
      <c r="BP50">
        <v>5.3</v>
      </c>
      <c r="BQ50">
        <v>2.93</v>
      </c>
      <c r="BR50">
        <v>7.49</v>
      </c>
      <c r="BS50">
        <v>5.83</v>
      </c>
      <c r="BT50" t="s">
        <v>773</v>
      </c>
      <c r="BU50" t="s">
        <v>1167</v>
      </c>
      <c r="BV50">
        <v>15.09</v>
      </c>
      <c r="BW50">
        <v>21.11</v>
      </c>
      <c r="BX50">
        <v>21.14</v>
      </c>
      <c r="BY50">
        <v>1.63</v>
      </c>
      <c r="BZ50">
        <v>7.16</v>
      </c>
      <c r="CA50">
        <v>5.62</v>
      </c>
      <c r="CB50">
        <v>-1.57</v>
      </c>
      <c r="CC50">
        <v>-8.16</v>
      </c>
      <c r="CD50" t="s">
        <v>3635</v>
      </c>
      <c r="CE50" t="s">
        <v>3636</v>
      </c>
      <c r="CF50" s="8">
        <v>-0.83866829268292675</v>
      </c>
      <c r="CG50" s="9">
        <v>-2.0630000000000002</v>
      </c>
      <c r="CH50" s="8">
        <v>-0.92650443315505981</v>
      </c>
      <c r="CI50" s="8">
        <v>8.9588381350040436E-2</v>
      </c>
      <c r="CJ50" s="8">
        <v>0.13461539149284363</v>
      </c>
      <c r="CK50" s="8">
        <v>-0.30268198251724243</v>
      </c>
      <c r="CL50" s="8">
        <v>0.74000000953674316</v>
      </c>
      <c r="CM50" s="9">
        <v>-1.1957917213439941</v>
      </c>
      <c r="CN50" s="9">
        <v>0.3980400562286377</v>
      </c>
      <c r="CO50" s="9">
        <v>-0.12037437409162521</v>
      </c>
      <c r="CP50" s="9">
        <v>-0.38126063346862793</v>
      </c>
      <c r="CQ50" s="9">
        <v>1.6674633026123047</v>
      </c>
      <c r="CR50">
        <v>271.47097645330933</v>
      </c>
      <c r="CS50" t="e">
        <v>#DIV/0!</v>
      </c>
      <c r="CT50">
        <v>0</v>
      </c>
      <c r="CU50" s="8">
        <v>0</v>
      </c>
      <c r="CV50" s="9">
        <v>0</v>
      </c>
      <c r="CW50">
        <v>0.06</v>
      </c>
      <c r="CX50" t="e">
        <v>#VALUE!</v>
      </c>
      <c r="CY50" t="s">
        <v>85</v>
      </c>
      <c r="CZ50">
        <v>0</v>
      </c>
      <c r="DA50" t="e">
        <v>#VALUE!</v>
      </c>
      <c r="DB50" t="s">
        <v>84</v>
      </c>
      <c r="DC50">
        <v>0</v>
      </c>
      <c r="DD50" t="e">
        <v>#VALUE!</v>
      </c>
      <c r="DE50" t="s">
        <v>84</v>
      </c>
      <c r="DF50">
        <v>0</v>
      </c>
      <c r="DG50" t="e">
        <v>#VALUE!</v>
      </c>
      <c r="DH50" t="s">
        <v>84</v>
      </c>
      <c r="DI50">
        <v>0</v>
      </c>
      <c r="DJ50" t="e">
        <v>#VALUE!</v>
      </c>
      <c r="DK50" t="s">
        <v>84</v>
      </c>
      <c r="DL50">
        <v>0</v>
      </c>
      <c r="DM50">
        <v>-6351700</v>
      </c>
      <c r="DN50">
        <v>0</v>
      </c>
      <c r="DO50">
        <v>146995859.99999994</v>
      </c>
      <c r="DP50">
        <v>326349530</v>
      </c>
      <c r="DQ50">
        <v>49</v>
      </c>
      <c r="DR50">
        <v>-0.83866829268292675</v>
      </c>
      <c r="DS50">
        <v>-2.0630000000000002</v>
      </c>
      <c r="DT50">
        <v>-0.44</v>
      </c>
      <c r="DU50" t="e">
        <v>#VALUE!</v>
      </c>
      <c r="DV50" t="e">
        <v>#VALUE!</v>
      </c>
      <c r="DW50">
        <v>-2.0815999999999999</v>
      </c>
      <c r="DX50">
        <v>0.3746178035334965</v>
      </c>
      <c r="DY50">
        <v>-2.0232248127683334</v>
      </c>
      <c r="DZ50">
        <v>0</v>
      </c>
      <c r="EA50">
        <v>-2.0232248127683334</v>
      </c>
      <c r="EB50">
        <v>2</v>
      </c>
      <c r="EC50">
        <v>5.0968222112225868E-2</v>
      </c>
      <c r="ED50">
        <v>0.17907601520165436</v>
      </c>
      <c r="EE50">
        <v>0</v>
      </c>
      <c r="EF50">
        <v>0</v>
      </c>
      <c r="EG50">
        <v>9.2846178035334965</v>
      </c>
      <c r="EH50" t="s">
        <v>86</v>
      </c>
      <c r="EI50">
        <v>0</v>
      </c>
      <c r="EJ50">
        <v>0</v>
      </c>
      <c r="EK50">
        <v>0</v>
      </c>
      <c r="EL50">
        <v>0</v>
      </c>
      <c r="EM50">
        <v>0</v>
      </c>
      <c r="EN50">
        <v>0</v>
      </c>
      <c r="EO50">
        <v>0</v>
      </c>
      <c r="EP50">
        <v>0</v>
      </c>
    </row>
    <row r="51" spans="1:146" ht="108" x14ac:dyDescent="0.25">
      <c r="A51" s="10"/>
      <c r="B51" s="10"/>
      <c r="C51" s="7" t="str">
        <f>""&amp;CHAR(10)&amp;Basic_Fundamental_Information_Constructure(F51)&amp;CHAR(10)&amp;Basic_Fundamental_Information_Concatenate("")</f>
        <v xml:space="preserve">
市值6.678916亿, 利润-57.07万; PE32.34; 平均PE-7.04, PB1.24; ROIC8.9%; ROE10.725%; 股利率.8658%; 毛利18.71%; 净利6.2433%; 上一年度营收增-85.92%, 利润增-100.9%; 当季营收增-64.79%, 利润增-103.2%; 过往5年营收增0%, 利润增0%
Income profile:
</v>
      </c>
      <c r="D51">
        <v>831906</v>
      </c>
      <c r="E51" t="s">
        <v>1173</v>
      </c>
      <c r="F51">
        <v>10.28</v>
      </c>
      <c r="G51" s="5">
        <v>-2.2799999999999998</v>
      </c>
      <c r="H51" t="s">
        <v>3637</v>
      </c>
      <c r="I51">
        <v>667891600</v>
      </c>
      <c r="J51">
        <v>32.340000000000003</v>
      </c>
      <c r="K51">
        <v>1.24</v>
      </c>
      <c r="L51" t="s">
        <v>2604</v>
      </c>
      <c r="M51" t="s">
        <v>553</v>
      </c>
      <c r="N51" t="s">
        <v>3638</v>
      </c>
      <c r="O51" t="s">
        <v>256</v>
      </c>
      <c r="P51">
        <v>-30.16</v>
      </c>
      <c r="Q51" t="s">
        <v>256</v>
      </c>
      <c r="R51">
        <v>-570669</v>
      </c>
      <c r="S51" s="6">
        <v>-1.032</v>
      </c>
      <c r="T51" t="s">
        <v>3639</v>
      </c>
      <c r="U51">
        <v>24783150</v>
      </c>
      <c r="V51">
        <v>64970000</v>
      </c>
      <c r="W51">
        <v>2.34</v>
      </c>
      <c r="X51">
        <v>0.09</v>
      </c>
      <c r="Y51">
        <v>-0.19</v>
      </c>
      <c r="Z51" t="s">
        <v>67</v>
      </c>
      <c r="AA51" t="s">
        <v>3640</v>
      </c>
      <c r="AB51" t="s">
        <v>3641</v>
      </c>
      <c r="AC51" t="s">
        <v>3642</v>
      </c>
      <c r="AD51" t="s">
        <v>3643</v>
      </c>
      <c r="AE51">
        <v>2179278</v>
      </c>
      <c r="AF51" t="s">
        <v>17</v>
      </c>
      <c r="AG51">
        <v>2474.27</v>
      </c>
      <c r="AH51" t="s">
        <v>3644</v>
      </c>
      <c r="AI51" t="s">
        <v>3645</v>
      </c>
      <c r="AJ51" t="s">
        <v>9</v>
      </c>
      <c r="AK51" t="s">
        <v>3646</v>
      </c>
      <c r="AL51" t="s">
        <v>3647</v>
      </c>
      <c r="AM51" t="s">
        <v>9</v>
      </c>
      <c r="AN51" t="s">
        <v>37</v>
      </c>
      <c r="AO51" t="s">
        <v>565</v>
      </c>
      <c r="AP51" t="s">
        <v>241</v>
      </c>
      <c r="AQ51" t="s">
        <v>337</v>
      </c>
      <c r="AR51" t="s">
        <v>9</v>
      </c>
      <c r="AS51" t="s">
        <v>266</v>
      </c>
      <c r="AT51" t="s">
        <v>3648</v>
      </c>
      <c r="AU51" t="s">
        <v>3649</v>
      </c>
      <c r="AV51" t="s">
        <v>3650</v>
      </c>
      <c r="AW51" t="s">
        <v>3651</v>
      </c>
      <c r="AX51" t="s">
        <v>152</v>
      </c>
      <c r="AY51" t="s">
        <v>465</v>
      </c>
      <c r="AZ51" t="s">
        <v>370</v>
      </c>
      <c r="BA51" t="s">
        <v>462</v>
      </c>
      <c r="BB51" t="s">
        <v>120</v>
      </c>
      <c r="BC51" t="s">
        <v>1174</v>
      </c>
      <c r="BD51" t="s">
        <v>1176</v>
      </c>
      <c r="BE51" t="s">
        <v>1177</v>
      </c>
      <c r="BF51" t="s">
        <v>1178</v>
      </c>
      <c r="BG51" t="s">
        <v>1179</v>
      </c>
      <c r="BH51" t="s">
        <v>3652</v>
      </c>
      <c r="BI51" t="s">
        <v>582</v>
      </c>
      <c r="BJ51" t="s">
        <v>152</v>
      </c>
      <c r="BK51" t="s">
        <v>3653</v>
      </c>
      <c r="BL51" t="s">
        <v>1180</v>
      </c>
      <c r="BM51" t="s">
        <v>1174</v>
      </c>
      <c r="BN51">
        <v>4.45</v>
      </c>
      <c r="BO51">
        <v>11.9</v>
      </c>
      <c r="BP51">
        <v>10.35</v>
      </c>
      <c r="BQ51">
        <v>5.44</v>
      </c>
      <c r="BR51">
        <v>16.010000000000002</v>
      </c>
      <c r="BS51" t="s">
        <v>9</v>
      </c>
      <c r="BT51" t="s">
        <v>3654</v>
      </c>
      <c r="BU51" t="s">
        <v>822</v>
      </c>
      <c r="BV51">
        <v>17.91</v>
      </c>
      <c r="BW51">
        <v>18.96</v>
      </c>
      <c r="BX51">
        <v>19.260000000000002</v>
      </c>
      <c r="BY51">
        <v>4.83</v>
      </c>
      <c r="BZ51">
        <v>7.57</v>
      </c>
      <c r="CA51">
        <v>6.33</v>
      </c>
      <c r="CB51">
        <v>1.37</v>
      </c>
      <c r="CC51">
        <v>-12.14</v>
      </c>
      <c r="CD51" t="s">
        <v>3655</v>
      </c>
      <c r="CE51" t="s">
        <v>3656</v>
      </c>
      <c r="CF51" s="8">
        <v>-0.64792899408284022</v>
      </c>
      <c r="CG51" s="9">
        <v>-1.032</v>
      </c>
      <c r="CH51" s="8">
        <v>-0.85917156934738159</v>
      </c>
      <c r="CI51" s="8">
        <v>0.16712707281112671</v>
      </c>
      <c r="CJ51" s="8">
        <v>0.42239686846733093</v>
      </c>
      <c r="CK51" s="8">
        <v>0.12114537507295609</v>
      </c>
      <c r="CL51" s="8">
        <v>8.3532221615314484E-2</v>
      </c>
      <c r="CM51" s="9">
        <v>-1.0089811086654663</v>
      </c>
      <c r="CN51" s="9">
        <v>0.39728346467018127</v>
      </c>
      <c r="CO51" s="9">
        <v>0.44361203908920288</v>
      </c>
      <c r="CP51" s="9">
        <v>0.22943481802940369</v>
      </c>
      <c r="CQ51" s="9">
        <v>-0.18627199530601501</v>
      </c>
      <c r="CR51">
        <v>-7.0393865605294028</v>
      </c>
      <c r="CS51" t="e">
        <v>#DIV/0!</v>
      </c>
      <c r="CT51">
        <v>0.86575875486381326</v>
      </c>
      <c r="CU51" s="8">
        <v>0</v>
      </c>
      <c r="CV51" s="9">
        <v>0</v>
      </c>
      <c r="CW51">
        <v>0.06</v>
      </c>
      <c r="CX51" t="e">
        <v>#VALUE!</v>
      </c>
      <c r="CY51" t="s">
        <v>85</v>
      </c>
      <c r="CZ51">
        <v>0</v>
      </c>
      <c r="DA51" t="e">
        <v>#VALUE!</v>
      </c>
      <c r="DB51" t="s">
        <v>84</v>
      </c>
      <c r="DC51">
        <v>0</v>
      </c>
      <c r="DD51" t="e">
        <v>#VALUE!</v>
      </c>
      <c r="DE51" t="s">
        <v>84</v>
      </c>
      <c r="DF51">
        <v>0</v>
      </c>
      <c r="DG51" t="e">
        <v>#VALUE!</v>
      </c>
      <c r="DH51" t="s">
        <v>84</v>
      </c>
      <c r="DI51">
        <v>0</v>
      </c>
      <c r="DJ51" t="e">
        <v>#VALUE!</v>
      </c>
      <c r="DK51" t="s">
        <v>84</v>
      </c>
      <c r="DL51">
        <v>0</v>
      </c>
      <c r="DM51">
        <v>-570700</v>
      </c>
      <c r="DN51">
        <v>0</v>
      </c>
      <c r="DO51">
        <v>890891600</v>
      </c>
      <c r="DP51">
        <v>13009300</v>
      </c>
      <c r="DQ51">
        <v>50</v>
      </c>
      <c r="DR51">
        <v>-0.64792899408284022</v>
      </c>
      <c r="DS51">
        <v>-1.032</v>
      </c>
      <c r="DT51">
        <v>-0.44</v>
      </c>
      <c r="DU51" t="e">
        <v>#VALUE!</v>
      </c>
      <c r="DV51" t="e">
        <v>#VALUE!</v>
      </c>
      <c r="DW51">
        <v>-2.1214</v>
      </c>
      <c r="DX51">
        <v>0.3867668867248758</v>
      </c>
      <c r="DY51">
        <v>-2.0299575000484</v>
      </c>
      <c r="DZ51">
        <v>0</v>
      </c>
      <c r="EA51">
        <v>-2.0299575000484</v>
      </c>
      <c r="EB51">
        <v>2</v>
      </c>
      <c r="EC51">
        <v>7.8474680621825457E-2</v>
      </c>
      <c r="ED51">
        <v>0.31801138987224875</v>
      </c>
      <c r="EE51">
        <v>0</v>
      </c>
      <c r="EF51">
        <v>0</v>
      </c>
      <c r="EG51">
        <v>14.246766886724876</v>
      </c>
      <c r="EH51" t="s">
        <v>86</v>
      </c>
      <c r="EI51">
        <v>0</v>
      </c>
      <c r="EJ51">
        <v>0</v>
      </c>
      <c r="EK51">
        <v>0</v>
      </c>
      <c r="EL51">
        <v>0</v>
      </c>
      <c r="EM51">
        <v>0</v>
      </c>
      <c r="EN51">
        <v>0</v>
      </c>
      <c r="EO51">
        <v>0</v>
      </c>
      <c r="EP51">
        <v>0</v>
      </c>
    </row>
    <row r="52" spans="1:146" ht="108" x14ac:dyDescent="0.25">
      <c r="A52" s="10"/>
      <c r="B52" s="10"/>
      <c r="C52" s="7" t="str">
        <f>""&amp;CHAR(10)&amp;Basic_Fundamental_Information_Constructure(F52)&amp;CHAR(10)&amp;Basic_Fundamental_Information_Concatenate("")</f>
        <v xml:space="preserve">
市值13.2698832亿, 利润-390.71万; PE53.82; 平均PE3.74, PB1.78; ROIC4.3333%; ROE4.4733%; 股利率.5382%; 毛利45.88%; 净利10.1233%; 上一年度营收增-84.97%, 利润增-117.54%; 当季营收增-60.18%, 利润增-178%; 过往5年营收增0%, 利润增0%
Income profile:
</v>
      </c>
      <c r="D52">
        <v>831961</v>
      </c>
      <c r="E52" t="s">
        <v>1182</v>
      </c>
      <c r="F52">
        <v>9.2899999999999991</v>
      </c>
      <c r="G52" s="5">
        <v>-3.13</v>
      </c>
      <c r="H52" t="s">
        <v>3657</v>
      </c>
      <c r="I52">
        <v>1326988320</v>
      </c>
      <c r="J52">
        <v>53.82</v>
      </c>
      <c r="K52">
        <v>1.78</v>
      </c>
      <c r="L52" t="s">
        <v>2604</v>
      </c>
      <c r="M52" t="s">
        <v>1017</v>
      </c>
      <c r="N52" t="s">
        <v>3658</v>
      </c>
      <c r="O52" t="s">
        <v>3659</v>
      </c>
      <c r="P52">
        <v>-28.52</v>
      </c>
      <c r="Q52" t="s">
        <v>3659</v>
      </c>
      <c r="R52">
        <v>-3907122</v>
      </c>
      <c r="S52" s="5">
        <v>-1.78</v>
      </c>
      <c r="T52" t="s">
        <v>3660</v>
      </c>
      <c r="U52">
        <v>105438808</v>
      </c>
      <c r="V52">
        <v>142840510</v>
      </c>
      <c r="W52">
        <v>1.52</v>
      </c>
      <c r="X52">
        <v>0.04</v>
      </c>
      <c r="Y52">
        <v>-9.4499999999999993</v>
      </c>
      <c r="Z52" t="s">
        <v>3661</v>
      </c>
      <c r="AA52" t="s">
        <v>3662</v>
      </c>
      <c r="AB52" t="s">
        <v>3663</v>
      </c>
      <c r="AC52" t="s">
        <v>3664</v>
      </c>
      <c r="AD52" t="s">
        <v>113</v>
      </c>
      <c r="AE52">
        <v>595196</v>
      </c>
      <c r="AF52" t="s">
        <v>3665</v>
      </c>
      <c r="AG52">
        <v>6000</v>
      </c>
      <c r="AH52" t="s">
        <v>3666</v>
      </c>
      <c r="AI52" t="s">
        <v>3667</v>
      </c>
      <c r="AJ52" t="s">
        <v>9</v>
      </c>
      <c r="AK52" t="s">
        <v>3668</v>
      </c>
      <c r="AL52" t="s">
        <v>3669</v>
      </c>
      <c r="AM52" t="s">
        <v>9</v>
      </c>
      <c r="AN52" t="s">
        <v>3670</v>
      </c>
      <c r="AO52" t="s">
        <v>3671</v>
      </c>
      <c r="AP52" t="s">
        <v>9</v>
      </c>
      <c r="AQ52" t="s">
        <v>3672</v>
      </c>
      <c r="AR52" t="s">
        <v>9</v>
      </c>
      <c r="AS52" t="s">
        <v>39</v>
      </c>
      <c r="AT52" t="s">
        <v>3673</v>
      </c>
      <c r="AU52" t="s">
        <v>3674</v>
      </c>
      <c r="AV52" t="s">
        <v>3675</v>
      </c>
      <c r="AW52" t="s">
        <v>3676</v>
      </c>
      <c r="AX52" t="s">
        <v>428</v>
      </c>
      <c r="AY52" t="s">
        <v>145</v>
      </c>
      <c r="AZ52" t="s">
        <v>371</v>
      </c>
      <c r="BA52" t="s">
        <v>240</v>
      </c>
      <c r="BB52" t="s">
        <v>536</v>
      </c>
      <c r="BC52" t="s">
        <v>1183</v>
      </c>
      <c r="BD52" t="s">
        <v>1186</v>
      </c>
      <c r="BE52" t="s">
        <v>1187</v>
      </c>
      <c r="BF52" t="s">
        <v>1188</v>
      </c>
      <c r="BG52" t="s">
        <v>1189</v>
      </c>
      <c r="BH52" t="s">
        <v>665</v>
      </c>
      <c r="BI52" t="s">
        <v>68</v>
      </c>
      <c r="BJ52" t="s">
        <v>428</v>
      </c>
      <c r="BK52" t="s">
        <v>3677</v>
      </c>
      <c r="BL52" t="s">
        <v>782</v>
      </c>
      <c r="BM52" t="s">
        <v>1183</v>
      </c>
      <c r="BN52">
        <v>2.58</v>
      </c>
      <c r="BO52">
        <v>3.05</v>
      </c>
      <c r="BP52">
        <v>7.37</v>
      </c>
      <c r="BQ52">
        <v>2.75</v>
      </c>
      <c r="BR52">
        <v>3.14</v>
      </c>
      <c r="BS52">
        <v>7.53</v>
      </c>
      <c r="BT52" t="s">
        <v>985</v>
      </c>
      <c r="BU52" t="s">
        <v>844</v>
      </c>
      <c r="BV52">
        <v>49.59</v>
      </c>
      <c r="BW52">
        <v>45.44</v>
      </c>
      <c r="BX52">
        <v>42.61</v>
      </c>
      <c r="BY52">
        <v>11.81</v>
      </c>
      <c r="BZ52">
        <v>6.45</v>
      </c>
      <c r="CA52">
        <v>12.11</v>
      </c>
      <c r="CB52">
        <v>0.65</v>
      </c>
      <c r="CC52">
        <v>0.11</v>
      </c>
      <c r="CD52" t="s">
        <v>3678</v>
      </c>
      <c r="CE52" t="s">
        <v>3679</v>
      </c>
      <c r="CF52" s="8">
        <v>-0.60177583333333329</v>
      </c>
      <c r="CG52" s="9">
        <v>-1.78</v>
      </c>
      <c r="CH52" s="8">
        <v>-0.84972667694091797</v>
      </c>
      <c r="CI52" s="8">
        <v>-0.24465557932853699</v>
      </c>
      <c r="CJ52" s="8">
        <v>0.38032788038253784</v>
      </c>
      <c r="CK52" s="8">
        <v>0.38636362552642822</v>
      </c>
      <c r="CL52" s="8">
        <v>2.3255813866853714E-2</v>
      </c>
      <c r="CM52" s="9">
        <v>-1.1754446029663086</v>
      </c>
      <c r="CN52" s="9">
        <v>-0.56833136081695557</v>
      </c>
      <c r="CO52" s="9">
        <v>6.1599340289831161E-2</v>
      </c>
      <c r="CP52" s="9">
        <v>0.53756076097488403</v>
      </c>
      <c r="CQ52" s="9">
        <v>0.25687870383262634</v>
      </c>
      <c r="CR52">
        <v>3.7395878404366476</v>
      </c>
      <c r="CS52" t="e">
        <v>#DIV/0!</v>
      </c>
      <c r="CT52">
        <v>0.53821313240043067</v>
      </c>
      <c r="CU52" s="8">
        <v>0</v>
      </c>
      <c r="CV52" s="9">
        <v>0</v>
      </c>
      <c r="CW52">
        <v>0.06</v>
      </c>
      <c r="CX52" t="e">
        <v>#VALUE!</v>
      </c>
      <c r="CY52" t="s">
        <v>85</v>
      </c>
      <c r="CZ52">
        <v>0</v>
      </c>
      <c r="DA52" t="e">
        <v>#VALUE!</v>
      </c>
      <c r="DB52" t="s">
        <v>84</v>
      </c>
      <c r="DC52">
        <v>0</v>
      </c>
      <c r="DD52" t="e">
        <v>#VALUE!</v>
      </c>
      <c r="DE52" t="s">
        <v>84</v>
      </c>
      <c r="DF52">
        <v>0</v>
      </c>
      <c r="DG52" t="e">
        <v>#VALUE!</v>
      </c>
      <c r="DH52" t="s">
        <v>84</v>
      </c>
      <c r="DI52">
        <v>0</v>
      </c>
      <c r="DJ52" t="e">
        <v>#VALUE!</v>
      </c>
      <c r="DK52" t="s">
        <v>84</v>
      </c>
      <c r="DL52">
        <v>0</v>
      </c>
      <c r="DM52">
        <v>-3907100</v>
      </c>
      <c r="DN52">
        <v>0</v>
      </c>
      <c r="DO52">
        <v>982988320</v>
      </c>
      <c r="DP52">
        <v>123704690</v>
      </c>
      <c r="DQ52">
        <v>51</v>
      </c>
      <c r="DR52">
        <v>-0.60177583333333329</v>
      </c>
      <c r="DS52">
        <v>-1.78</v>
      </c>
      <c r="DT52">
        <v>-0.44</v>
      </c>
      <c r="DU52" t="e">
        <v>#VALUE!</v>
      </c>
      <c r="DV52" t="e">
        <v>#VALUE!</v>
      </c>
      <c r="DW52">
        <v>1.1000000000000001E-3</v>
      </c>
      <c r="DX52">
        <v>0.37751039843951745</v>
      </c>
      <c r="DY52">
        <v>2.0626143828346866E-4</v>
      </c>
      <c r="DZ52">
        <v>0</v>
      </c>
      <c r="EA52">
        <v>2.0626143828346866E-4</v>
      </c>
      <c r="EB52">
        <v>0</v>
      </c>
      <c r="EC52">
        <v>6.8644392266591595E-2</v>
      </c>
      <c r="ED52">
        <v>0.36608312305801766</v>
      </c>
      <c r="EE52">
        <v>0</v>
      </c>
      <c r="EF52">
        <v>0</v>
      </c>
      <c r="EG52">
        <v>19.187510398439517</v>
      </c>
      <c r="EH52" t="s">
        <v>86</v>
      </c>
      <c r="EI52">
        <v>0</v>
      </c>
      <c r="EJ52">
        <v>0</v>
      </c>
      <c r="EK52">
        <v>0</v>
      </c>
      <c r="EL52">
        <v>0</v>
      </c>
      <c r="EM52">
        <v>0</v>
      </c>
      <c r="EN52">
        <v>0</v>
      </c>
      <c r="EO52">
        <v>0</v>
      </c>
      <c r="EP52">
        <v>0</v>
      </c>
    </row>
    <row r="53" spans="1:146" ht="108" x14ac:dyDescent="0.25">
      <c r="A53" s="10"/>
      <c r="B53" s="10"/>
      <c r="C53" s="7" t="str">
        <f>""&amp;CHAR(10)&amp;Basic_Fundamental_Information_Constructure(F53)&amp;CHAR(10)&amp;Basic_Fundamental_Information_Concatenate("")</f>
        <v xml:space="preserve">
市值6.527616亿, 利润1159.52万; PE13.75; 平均PE27.34, PB1.15; ROIC7.8933%; ROE8.2567%; 股利率1.5449%; 毛利21.7633%; 净利11.45%; 上一年度营收增-74.7%, 利润增-72.47%; 当季营收增-49.26%, 利润增-21.62%; 过往5年营收增0%, 利润增0%
Income profile:
</v>
      </c>
      <c r="D53">
        <v>832000</v>
      </c>
      <c r="E53" t="s">
        <v>1190</v>
      </c>
      <c r="F53">
        <v>7.12</v>
      </c>
      <c r="G53" s="5">
        <v>0.56000000000000005</v>
      </c>
      <c r="H53" t="s">
        <v>3680</v>
      </c>
      <c r="I53">
        <v>652761600</v>
      </c>
      <c r="J53">
        <v>13.75</v>
      </c>
      <c r="K53">
        <v>1.1499999999999999</v>
      </c>
      <c r="L53" t="s">
        <v>2604</v>
      </c>
      <c r="M53" t="s">
        <v>128</v>
      </c>
      <c r="N53" t="s">
        <v>3681</v>
      </c>
      <c r="O53" t="s">
        <v>3682</v>
      </c>
      <c r="P53">
        <v>-1.68</v>
      </c>
      <c r="Q53" t="s">
        <v>3682</v>
      </c>
      <c r="R53">
        <v>11595186</v>
      </c>
      <c r="S53" s="5">
        <v>-0.2162</v>
      </c>
      <c r="T53" t="s">
        <v>3683</v>
      </c>
      <c r="U53">
        <v>32811381</v>
      </c>
      <c r="V53">
        <v>91680000</v>
      </c>
      <c r="W53">
        <v>1.25</v>
      </c>
      <c r="X53">
        <v>0.14000000000000001</v>
      </c>
      <c r="Y53">
        <v>12.12</v>
      </c>
      <c r="Z53" t="s">
        <v>3684</v>
      </c>
      <c r="AA53" t="s">
        <v>3685</v>
      </c>
      <c r="AB53" t="s">
        <v>3686</v>
      </c>
      <c r="AC53" t="s">
        <v>3687</v>
      </c>
      <c r="AD53" t="s">
        <v>3688</v>
      </c>
      <c r="AE53">
        <v>194444</v>
      </c>
      <c r="AF53" t="s">
        <v>3689</v>
      </c>
      <c r="AG53" t="s">
        <v>9</v>
      </c>
      <c r="AH53" t="s">
        <v>3690</v>
      </c>
      <c r="AI53" t="s">
        <v>29</v>
      </c>
      <c r="AJ53" t="s">
        <v>9</v>
      </c>
      <c r="AK53" t="s">
        <v>3691</v>
      </c>
      <c r="AL53" t="s">
        <v>3692</v>
      </c>
      <c r="AM53" t="s">
        <v>9</v>
      </c>
      <c r="AN53">
        <v>4455.45</v>
      </c>
      <c r="AO53" t="s">
        <v>9</v>
      </c>
      <c r="AP53" t="s">
        <v>3693</v>
      </c>
      <c r="AQ53" t="s">
        <v>3694</v>
      </c>
      <c r="AR53" t="s">
        <v>9</v>
      </c>
      <c r="AS53" t="s">
        <v>3695</v>
      </c>
      <c r="AT53" t="s">
        <v>122</v>
      </c>
      <c r="AU53" t="s">
        <v>3696</v>
      </c>
      <c r="AV53" t="s">
        <v>3697</v>
      </c>
      <c r="AW53" t="s">
        <v>3698</v>
      </c>
      <c r="AX53" t="s">
        <v>509</v>
      </c>
      <c r="AY53" t="s">
        <v>364</v>
      </c>
      <c r="AZ53" t="s">
        <v>458</v>
      </c>
      <c r="BA53" t="s">
        <v>419</v>
      </c>
      <c r="BB53" t="s">
        <v>491</v>
      </c>
      <c r="BC53" t="s">
        <v>1191</v>
      </c>
      <c r="BD53" t="s">
        <v>1193</v>
      </c>
      <c r="BE53" t="s">
        <v>1194</v>
      </c>
      <c r="BF53" t="s">
        <v>1195</v>
      </c>
      <c r="BG53" t="s">
        <v>1196</v>
      </c>
      <c r="BH53" t="s">
        <v>119</v>
      </c>
      <c r="BI53" t="s">
        <v>176</v>
      </c>
      <c r="BJ53" t="s">
        <v>509</v>
      </c>
      <c r="BK53" t="s">
        <v>3699</v>
      </c>
      <c r="BL53" t="s">
        <v>1197</v>
      </c>
      <c r="BM53" t="s">
        <v>1191</v>
      </c>
      <c r="BN53">
        <v>7.17</v>
      </c>
      <c r="BO53">
        <v>8.27</v>
      </c>
      <c r="BP53">
        <v>8.24</v>
      </c>
      <c r="BQ53">
        <v>7.66</v>
      </c>
      <c r="BR53">
        <v>8.4</v>
      </c>
      <c r="BS53">
        <v>8.7100000000000009</v>
      </c>
      <c r="BT53" t="s">
        <v>896</v>
      </c>
      <c r="BU53" t="s">
        <v>822</v>
      </c>
      <c r="BV53">
        <v>23.29</v>
      </c>
      <c r="BW53">
        <v>21.14</v>
      </c>
      <c r="BX53">
        <v>20.86</v>
      </c>
      <c r="BY53">
        <v>12.68</v>
      </c>
      <c r="BZ53">
        <v>11.15</v>
      </c>
      <c r="CA53">
        <v>10.52</v>
      </c>
      <c r="CB53">
        <v>-2.06</v>
      </c>
      <c r="CC53">
        <v>-22.36</v>
      </c>
      <c r="CD53" t="s">
        <v>3700</v>
      </c>
      <c r="CE53" t="s">
        <v>3701</v>
      </c>
      <c r="CF53" s="8">
        <v>-0.49263578947368419</v>
      </c>
      <c r="CG53" s="9">
        <v>-0.2162</v>
      </c>
      <c r="CH53" s="8">
        <v>-0.74698370695114136</v>
      </c>
      <c r="CI53" s="8">
        <v>-2.3076923564076424E-2</v>
      </c>
      <c r="CJ53" s="8">
        <v>0.29139071702957153</v>
      </c>
      <c r="CK53" s="8">
        <v>3.0716722831130028E-2</v>
      </c>
      <c r="CL53" s="8">
        <v>7.3260076344013214E-2</v>
      </c>
      <c r="CM53" s="9">
        <v>-0.72465610504150391</v>
      </c>
      <c r="CN53" s="9">
        <v>3.3492036163806915E-2</v>
      </c>
      <c r="CO53" s="9">
        <v>-0.14007200300693512</v>
      </c>
      <c r="CP53" s="9">
        <v>5.5818855762481689E-2</v>
      </c>
      <c r="CQ53" s="9">
        <v>0.40653765201568604</v>
      </c>
      <c r="CR53">
        <v>27.344904121735546</v>
      </c>
      <c r="CS53" t="e">
        <v>#DIV/0!</v>
      </c>
      <c r="CT53">
        <v>1.5449438202247192</v>
      </c>
      <c r="CU53" s="8">
        <v>0</v>
      </c>
      <c r="CV53" s="9">
        <v>0</v>
      </c>
      <c r="CW53">
        <v>0.06</v>
      </c>
      <c r="CX53">
        <v>22.375404995170417</v>
      </c>
      <c r="CY53">
        <v>10938867.924528301</v>
      </c>
      <c r="CZ53">
        <v>0</v>
      </c>
      <c r="DA53">
        <v>7.8970363904301681</v>
      </c>
      <c r="DB53">
        <v>30994108.156397559</v>
      </c>
      <c r="DC53">
        <v>0</v>
      </c>
      <c r="DD53">
        <v>4.2927558235926053</v>
      </c>
      <c r="DE53">
        <v>57017359.024897702</v>
      </c>
      <c r="DF53">
        <v>0</v>
      </c>
      <c r="DG53">
        <v>2.8680194255169642</v>
      </c>
      <c r="DH53">
        <v>85341681.378563672</v>
      </c>
      <c r="DI53">
        <v>0</v>
      </c>
      <c r="DJ53">
        <v>1.8403677091335495</v>
      </c>
      <c r="DK53">
        <v>132996030.5135078</v>
      </c>
      <c r="DL53">
        <v>0</v>
      </c>
      <c r="DM53">
        <v>11595200</v>
      </c>
      <c r="DN53">
        <v>0</v>
      </c>
      <c r="DO53">
        <v>244761600</v>
      </c>
      <c r="DP53">
        <v>293672410</v>
      </c>
      <c r="DQ53">
        <v>52</v>
      </c>
      <c r="DR53">
        <v>-0.49263578947368419</v>
      </c>
      <c r="DS53">
        <v>-0.2162</v>
      </c>
      <c r="DT53">
        <v>-0.44</v>
      </c>
      <c r="DU53">
        <v>-0.22</v>
      </c>
      <c r="DV53">
        <v>-0.66</v>
      </c>
      <c r="DW53">
        <v>-3.0719285714285713</v>
      </c>
      <c r="DX53">
        <v>0.25700608176840067</v>
      </c>
      <c r="DY53">
        <v>-3.0062582231671988</v>
      </c>
      <c r="DZ53">
        <v>0</v>
      </c>
      <c r="EA53">
        <v>-3.0062582231671988</v>
      </c>
      <c r="EB53">
        <v>3</v>
      </c>
      <c r="EC53">
        <v>3.9463350785340315E-2</v>
      </c>
      <c r="ED53">
        <v>0.45357002617801045</v>
      </c>
      <c r="EE53">
        <v>0</v>
      </c>
      <c r="EF53">
        <v>0</v>
      </c>
      <c r="EG53">
        <v>17.087006081768401</v>
      </c>
      <c r="EH53" t="s">
        <v>86</v>
      </c>
      <c r="EI53">
        <v>0</v>
      </c>
      <c r="EJ53">
        <v>0</v>
      </c>
      <c r="EK53">
        <v>0</v>
      </c>
      <c r="EL53">
        <v>0</v>
      </c>
      <c r="EM53">
        <v>0</v>
      </c>
      <c r="EN53">
        <v>0</v>
      </c>
      <c r="EO53">
        <v>0</v>
      </c>
      <c r="EP53">
        <v>0</v>
      </c>
    </row>
    <row r="54" spans="1:146" ht="108" x14ac:dyDescent="0.25">
      <c r="A54" s="10"/>
      <c r="B54" s="10"/>
      <c r="C54" s="7" t="str">
        <f>""&amp;CHAR(10)&amp;Basic_Fundamental_Information_Constructure(F54)&amp;CHAR(10)&amp;Basic_Fundamental_Information_Concatenate("")</f>
        <v xml:space="preserve">
市值7.4952616亿, 利润870.65万; PE21.4; 平均PE.61, PB.624; ROIC5.0167%; ROE3.84%; 股利率.4803%; 毛利26.4067%; 净利10.94%; 上一年度营收增-81.22%, 利润增-83.75%; 当季营收增-60.15%, 利润增23.44%; 过往5年营收增0%, 利润增0%
Income profile:
</v>
      </c>
      <c r="D54">
        <v>832023</v>
      </c>
      <c r="E54" t="s">
        <v>1198</v>
      </c>
      <c r="F54">
        <v>2.29</v>
      </c>
      <c r="G54" s="5">
        <v>0.88</v>
      </c>
      <c r="H54" t="s">
        <v>3702</v>
      </c>
      <c r="I54">
        <v>749526160</v>
      </c>
      <c r="J54">
        <v>21.4</v>
      </c>
      <c r="K54">
        <v>0.624</v>
      </c>
      <c r="L54" t="s">
        <v>2604</v>
      </c>
      <c r="M54" t="s">
        <v>404</v>
      </c>
      <c r="N54" t="s">
        <v>3703</v>
      </c>
      <c r="O54" t="s">
        <v>3704</v>
      </c>
      <c r="P54">
        <v>-12.03</v>
      </c>
      <c r="Q54" t="s">
        <v>3704</v>
      </c>
      <c r="R54">
        <v>8706459</v>
      </c>
      <c r="S54" s="5">
        <v>0.2344</v>
      </c>
      <c r="T54" t="s">
        <v>3705</v>
      </c>
      <c r="U54">
        <v>245793440</v>
      </c>
      <c r="V54">
        <v>327304000</v>
      </c>
      <c r="W54">
        <v>1.27</v>
      </c>
      <c r="X54">
        <v>0.06</v>
      </c>
      <c r="Y54">
        <v>9.84</v>
      </c>
      <c r="Z54" t="s">
        <v>3706</v>
      </c>
      <c r="AA54" t="s">
        <v>3707</v>
      </c>
      <c r="AB54" t="s">
        <v>3708</v>
      </c>
      <c r="AC54" t="s">
        <v>3709</v>
      </c>
      <c r="AD54" t="s">
        <v>3710</v>
      </c>
      <c r="AE54">
        <v>378502</v>
      </c>
      <c r="AF54" t="s">
        <v>17</v>
      </c>
      <c r="AG54" t="s">
        <v>3711</v>
      </c>
      <c r="AH54" t="s">
        <v>3712</v>
      </c>
      <c r="AI54" t="s">
        <v>535</v>
      </c>
      <c r="AJ54" t="s">
        <v>9</v>
      </c>
      <c r="AK54" t="s">
        <v>9</v>
      </c>
      <c r="AL54" t="s">
        <v>3713</v>
      </c>
      <c r="AM54" t="s">
        <v>9</v>
      </c>
      <c r="AN54" t="s">
        <v>265</v>
      </c>
      <c r="AO54" t="s">
        <v>3714</v>
      </c>
      <c r="AP54" t="s">
        <v>9</v>
      </c>
      <c r="AQ54" t="s">
        <v>3715</v>
      </c>
      <c r="AR54" t="s">
        <v>3716</v>
      </c>
      <c r="AS54" t="s">
        <v>164</v>
      </c>
      <c r="AT54" t="s">
        <v>3717</v>
      </c>
      <c r="AU54" t="s">
        <v>3718</v>
      </c>
      <c r="AV54" t="s">
        <v>3719</v>
      </c>
      <c r="AW54" t="s">
        <v>3720</v>
      </c>
      <c r="AX54" t="s">
        <v>248</v>
      </c>
      <c r="AY54" t="s">
        <v>645</v>
      </c>
      <c r="AZ54" t="s">
        <v>75</v>
      </c>
      <c r="BA54" t="s">
        <v>432</v>
      </c>
      <c r="BB54" t="s">
        <v>151</v>
      </c>
      <c r="BC54" t="s">
        <v>3721</v>
      </c>
      <c r="BD54" t="s">
        <v>1200</v>
      </c>
      <c r="BE54" t="s">
        <v>1201</v>
      </c>
      <c r="BF54" t="s">
        <v>1202</v>
      </c>
      <c r="BG54" t="s">
        <v>1203</v>
      </c>
      <c r="BH54" t="s">
        <v>173</v>
      </c>
      <c r="BI54" t="s">
        <v>297</v>
      </c>
      <c r="BJ54" t="s">
        <v>248</v>
      </c>
      <c r="BK54" t="s">
        <v>3722</v>
      </c>
      <c r="BL54" t="s">
        <v>1204</v>
      </c>
      <c r="BM54" t="s">
        <v>3721</v>
      </c>
      <c r="BN54">
        <v>1.87</v>
      </c>
      <c r="BO54">
        <v>5.53</v>
      </c>
      <c r="BP54">
        <v>7.65</v>
      </c>
      <c r="BQ54">
        <v>2.08</v>
      </c>
      <c r="BR54">
        <v>5.6</v>
      </c>
      <c r="BS54" t="s">
        <v>9</v>
      </c>
      <c r="BT54" t="s">
        <v>3723</v>
      </c>
      <c r="BU54" t="s">
        <v>1199</v>
      </c>
      <c r="BV54">
        <v>21.68</v>
      </c>
      <c r="BW54">
        <v>28.38</v>
      </c>
      <c r="BX54">
        <v>29.16</v>
      </c>
      <c r="BY54">
        <v>7.26</v>
      </c>
      <c r="BZ54">
        <v>11.37</v>
      </c>
      <c r="CA54">
        <v>14.19</v>
      </c>
      <c r="CB54">
        <v>1.33</v>
      </c>
      <c r="CC54">
        <v>-10.55</v>
      </c>
      <c r="CD54" t="s">
        <v>3724</v>
      </c>
      <c r="CE54" t="s">
        <v>3725</v>
      </c>
      <c r="CF54" s="8">
        <v>-0.60149324324324327</v>
      </c>
      <c r="CG54" s="9">
        <v>0.2344</v>
      </c>
      <c r="CH54" s="8">
        <v>-0.81216883659362793</v>
      </c>
      <c r="CI54" s="8">
        <v>2.6143791154026985E-2</v>
      </c>
      <c r="CJ54" s="8">
        <v>0.72556388378143311</v>
      </c>
      <c r="CK54" s="8">
        <v>-8.2758620381355286E-2</v>
      </c>
      <c r="CL54" s="8">
        <v>0.12403100728988647</v>
      </c>
      <c r="CM54" s="9">
        <v>-0.83747404813766479</v>
      </c>
      <c r="CN54" s="9">
        <v>-0.17809338867664337</v>
      </c>
      <c r="CO54" s="9">
        <v>2.1034440994262695</v>
      </c>
      <c r="CP54" s="9">
        <v>-0.13647520542144775</v>
      </c>
      <c r="CQ54" s="9">
        <v>1.6207747161388397E-2</v>
      </c>
      <c r="CR54">
        <v>0.60791232525918681</v>
      </c>
      <c r="CS54" t="e">
        <v>#DIV/0!</v>
      </c>
      <c r="CT54">
        <v>0.48034934497816595</v>
      </c>
      <c r="CU54" s="8">
        <v>0</v>
      </c>
      <c r="CV54" s="9">
        <v>0</v>
      </c>
      <c r="CW54">
        <v>0.06</v>
      </c>
      <c r="CX54" t="s">
        <v>3372</v>
      </c>
      <c r="CY54">
        <v>8213679.2452830179</v>
      </c>
      <c r="CZ54">
        <v>0</v>
      </c>
      <c r="DA54" t="s">
        <v>3372</v>
      </c>
      <c r="DB54">
        <v>23272578.537987731</v>
      </c>
      <c r="DC54">
        <v>0</v>
      </c>
      <c r="DD54" t="s">
        <v>3372</v>
      </c>
      <c r="DE54">
        <v>42812684.244365931</v>
      </c>
      <c r="DF54">
        <v>0</v>
      </c>
      <c r="DG54" t="s">
        <v>3372</v>
      </c>
      <c r="DH54">
        <v>64080597.913142048</v>
      </c>
      <c r="DI54">
        <v>0</v>
      </c>
      <c r="DJ54" t="s">
        <v>3372</v>
      </c>
      <c r="DK54">
        <v>99862869.089438349</v>
      </c>
      <c r="DL54">
        <v>0</v>
      </c>
      <c r="DM54">
        <v>8706500</v>
      </c>
      <c r="DN54">
        <v>0</v>
      </c>
      <c r="DO54">
        <v>-170473840</v>
      </c>
      <c r="DP54">
        <v>324434890</v>
      </c>
      <c r="DQ54">
        <v>53</v>
      </c>
      <c r="DR54">
        <v>-0.60149324324324327</v>
      </c>
      <c r="DS54">
        <v>0.2344</v>
      </c>
      <c r="DT54">
        <v>-0.44</v>
      </c>
      <c r="DU54">
        <v>-0.22</v>
      </c>
      <c r="DV54">
        <v>-0.66</v>
      </c>
      <c r="DW54">
        <v>-2.1055000000000001</v>
      </c>
      <c r="DX54">
        <v>0.49461184448075785</v>
      </c>
      <c r="DY54">
        <v>-2.0184215495927198</v>
      </c>
      <c r="DZ54">
        <v>0</v>
      </c>
      <c r="EA54">
        <v>-2.0184215495927198</v>
      </c>
      <c r="EB54">
        <v>2</v>
      </c>
      <c r="EC54">
        <v>3.4868806980666293E-2</v>
      </c>
      <c r="ED54">
        <v>0.19969325153374234</v>
      </c>
      <c r="EE54">
        <v>0</v>
      </c>
      <c r="EF54">
        <v>0</v>
      </c>
      <c r="EG54">
        <v>32.174611844480758</v>
      </c>
      <c r="EH54" t="s">
        <v>86</v>
      </c>
      <c r="EI54">
        <v>0</v>
      </c>
      <c r="EJ54">
        <v>0</v>
      </c>
      <c r="EK54">
        <v>0</v>
      </c>
      <c r="EL54">
        <v>0</v>
      </c>
      <c r="EM54">
        <v>0</v>
      </c>
      <c r="EN54">
        <v>0</v>
      </c>
      <c r="EO54">
        <v>0</v>
      </c>
      <c r="EP54">
        <v>0</v>
      </c>
    </row>
    <row r="55" spans="1:146" ht="108" x14ac:dyDescent="0.25">
      <c r="A55" s="10"/>
      <c r="B55" s="10"/>
      <c r="C55" s="7" t="str">
        <f>""&amp;CHAR(10)&amp;Basic_Fundamental_Information_Constructure(F55)&amp;CHAR(10)&amp;Basic_Fundamental_Information_Concatenate("")</f>
        <v xml:space="preserve">
市值13.0026484亿, 利润3007.20万; PE11.05; 平均PE15.12, PB1.25; ROIC9.9433%; ROE10.7833%; 股利率1.3905%; 毛利16.8133%; 净利8.2233%; 上一年度营收增-70.65%, 利润增-67.08%; 当季营收增-44.98%, 利润增6.69%; 过往5年营收增0%, 利润增0%
Income profile:
</v>
      </c>
      <c r="D55">
        <v>832089</v>
      </c>
      <c r="E55" t="s">
        <v>1205</v>
      </c>
      <c r="F55">
        <v>8.6300000000000008</v>
      </c>
      <c r="G55" s="5">
        <v>-1.48</v>
      </c>
      <c r="H55" t="s">
        <v>3726</v>
      </c>
      <c r="I55">
        <v>1300264840</v>
      </c>
      <c r="J55">
        <v>11.05</v>
      </c>
      <c r="K55">
        <v>1.25</v>
      </c>
      <c r="L55" t="s">
        <v>2604</v>
      </c>
      <c r="M55" t="s">
        <v>321</v>
      </c>
      <c r="N55" t="s">
        <v>3727</v>
      </c>
      <c r="O55" t="s">
        <v>486</v>
      </c>
      <c r="P55">
        <v>14.12</v>
      </c>
      <c r="Q55" t="s">
        <v>486</v>
      </c>
      <c r="R55">
        <v>30071979</v>
      </c>
      <c r="S55" s="5">
        <v>6.6900000000000001E-2</v>
      </c>
      <c r="T55" t="s">
        <v>3728</v>
      </c>
      <c r="U55">
        <v>66786299</v>
      </c>
      <c r="V55">
        <v>107620000</v>
      </c>
      <c r="W55">
        <v>1.56</v>
      </c>
      <c r="X55">
        <v>0.2</v>
      </c>
      <c r="Y55">
        <v>9.15</v>
      </c>
      <c r="Z55" t="s">
        <v>307</v>
      </c>
      <c r="AA55" t="s">
        <v>665</v>
      </c>
      <c r="AB55" t="s">
        <v>3729</v>
      </c>
      <c r="AC55" t="s">
        <v>3730</v>
      </c>
      <c r="AD55" t="s">
        <v>3731</v>
      </c>
      <c r="AE55">
        <v>367523</v>
      </c>
      <c r="AF55" t="s">
        <v>3732</v>
      </c>
      <c r="AG55" t="s">
        <v>3733</v>
      </c>
      <c r="AH55" t="s">
        <v>3734</v>
      </c>
      <c r="AI55" t="s">
        <v>3735</v>
      </c>
      <c r="AJ55" t="s">
        <v>9</v>
      </c>
      <c r="AK55" t="s">
        <v>100</v>
      </c>
      <c r="AL55" t="s">
        <v>3736</v>
      </c>
      <c r="AM55" t="s">
        <v>9</v>
      </c>
      <c r="AN55" t="s">
        <v>3737</v>
      </c>
      <c r="AO55" t="s">
        <v>3738</v>
      </c>
      <c r="AP55" t="s">
        <v>358</v>
      </c>
      <c r="AQ55" t="s">
        <v>272</v>
      </c>
      <c r="AR55" t="s">
        <v>9</v>
      </c>
      <c r="AS55" t="s">
        <v>410</v>
      </c>
      <c r="AT55" t="s">
        <v>9</v>
      </c>
      <c r="AU55" t="s">
        <v>3739</v>
      </c>
      <c r="AV55" t="s">
        <v>3740</v>
      </c>
      <c r="AW55" t="s">
        <v>3741</v>
      </c>
      <c r="AX55" t="s">
        <v>391</v>
      </c>
      <c r="AY55" t="s">
        <v>1208</v>
      </c>
      <c r="AZ55" t="s">
        <v>366</v>
      </c>
      <c r="BA55" t="s">
        <v>102</v>
      </c>
      <c r="BB55" t="s">
        <v>474</v>
      </c>
      <c r="BC55" t="s">
        <v>1207</v>
      </c>
      <c r="BD55" t="s">
        <v>1209</v>
      </c>
      <c r="BE55" t="s">
        <v>1210</v>
      </c>
      <c r="BF55" t="s">
        <v>1211</v>
      </c>
      <c r="BG55" t="s">
        <v>1212</v>
      </c>
      <c r="BH55" t="s">
        <v>1792</v>
      </c>
      <c r="BI55" t="s">
        <v>177</v>
      </c>
      <c r="BJ55" t="s">
        <v>391</v>
      </c>
      <c r="BK55" t="s">
        <v>83</v>
      </c>
      <c r="BL55" t="s">
        <v>1213</v>
      </c>
      <c r="BM55" t="s">
        <v>1207</v>
      </c>
      <c r="BN55">
        <v>8.77</v>
      </c>
      <c r="BO55">
        <v>9.99</v>
      </c>
      <c r="BP55">
        <v>11.07</v>
      </c>
      <c r="BQ55">
        <v>9.06</v>
      </c>
      <c r="BR55">
        <v>10.37</v>
      </c>
      <c r="BS55">
        <v>12.92</v>
      </c>
      <c r="BT55" t="s">
        <v>2861</v>
      </c>
      <c r="BU55" t="s">
        <v>1206</v>
      </c>
      <c r="BV55">
        <v>17.79</v>
      </c>
      <c r="BW55">
        <v>16.170000000000002</v>
      </c>
      <c r="BX55">
        <v>16.48</v>
      </c>
      <c r="BY55">
        <v>8.18</v>
      </c>
      <c r="BZ55">
        <v>8.15</v>
      </c>
      <c r="CA55">
        <v>8.34</v>
      </c>
      <c r="CB55">
        <v>-2.4900000000000002</v>
      </c>
      <c r="CC55">
        <v>-11.16</v>
      </c>
      <c r="CD55" t="s">
        <v>3742</v>
      </c>
      <c r="CE55" t="s">
        <v>3743</v>
      </c>
      <c r="CF55" s="8">
        <v>-0.44983277591973242</v>
      </c>
      <c r="CG55" s="9">
        <v>6.6900000000000001E-2</v>
      </c>
      <c r="CH55" s="8">
        <v>-0.70651203393936157</v>
      </c>
      <c r="CI55" s="8">
        <v>0.14738990366458893</v>
      </c>
      <c r="CJ55" s="8">
        <v>0.2197253406047821</v>
      </c>
      <c r="CK55" s="8">
        <v>0.40526315569877625</v>
      </c>
      <c r="CL55" s="8">
        <v>0.31034481525421143</v>
      </c>
      <c r="CM55" s="9">
        <v>-0.67076677083969116</v>
      </c>
      <c r="CN55" s="9">
        <v>0.12138086557388306</v>
      </c>
      <c r="CO55" s="9">
        <v>0.18221995234489441</v>
      </c>
      <c r="CP55" s="9">
        <v>1.967634916305542</v>
      </c>
      <c r="CQ55" s="9">
        <v>-0.53055495023727417</v>
      </c>
      <c r="CR55">
        <v>15.121960988635253</v>
      </c>
      <c r="CS55" t="e">
        <v>#DIV/0!</v>
      </c>
      <c r="CT55">
        <v>1.3904982618771724</v>
      </c>
      <c r="CU55" s="8">
        <v>0</v>
      </c>
      <c r="CV55" s="9">
        <v>0</v>
      </c>
      <c r="CW55">
        <v>0.06</v>
      </c>
      <c r="CX55">
        <v>31.063472013833469</v>
      </c>
      <c r="CY55">
        <v>28369811.320754714</v>
      </c>
      <c r="CZ55">
        <v>0</v>
      </c>
      <c r="DA55">
        <v>10.963348773320545</v>
      </c>
      <c r="DB55">
        <v>80382815.344210312</v>
      </c>
      <c r="DC55">
        <v>0</v>
      </c>
      <c r="DD55">
        <v>5.9595748285750263</v>
      </c>
      <c r="DE55">
        <v>147873777.13163412</v>
      </c>
      <c r="DF55">
        <v>0</v>
      </c>
      <c r="DG55">
        <v>3.9816325639203662</v>
      </c>
      <c r="DH55">
        <v>221332537.81014273</v>
      </c>
      <c r="DI55">
        <v>0</v>
      </c>
      <c r="DJ55">
        <v>2.5549575902725432</v>
      </c>
      <c r="DK55">
        <v>344923470.88469422</v>
      </c>
      <c r="DL55">
        <v>0</v>
      </c>
      <c r="DM55">
        <v>30072000</v>
      </c>
      <c r="DN55">
        <v>0</v>
      </c>
      <c r="DO55">
        <v>881264840</v>
      </c>
      <c r="DP55">
        <v>818200800</v>
      </c>
      <c r="DQ55">
        <v>54</v>
      </c>
      <c r="DR55">
        <v>-0.44983277591973242</v>
      </c>
      <c r="DS55">
        <v>6.6900000000000001E-2</v>
      </c>
      <c r="DT55">
        <v>-0.44</v>
      </c>
      <c r="DU55">
        <v>-0.22</v>
      </c>
      <c r="DV55">
        <v>-0.66</v>
      </c>
      <c r="DW55">
        <v>-2.1116000000000001</v>
      </c>
      <c r="DX55">
        <v>0.36618790801240708</v>
      </c>
      <c r="DY55">
        <v>-2.0107345705341846</v>
      </c>
      <c r="DZ55">
        <v>0</v>
      </c>
      <c r="EA55">
        <v>-2.0107345705341846</v>
      </c>
      <c r="EB55">
        <v>2</v>
      </c>
      <c r="EC55">
        <v>1.2362943690763798E-2</v>
      </c>
      <c r="ED55">
        <v>0.12852908381341757</v>
      </c>
      <c r="EE55">
        <v>0</v>
      </c>
      <c r="EF55">
        <v>0</v>
      </c>
      <c r="EG55">
        <v>27.096187908012407</v>
      </c>
      <c r="EH55" t="s">
        <v>86</v>
      </c>
      <c r="EI55">
        <v>0</v>
      </c>
      <c r="EJ55">
        <v>0</v>
      </c>
      <c r="EK55">
        <v>0</v>
      </c>
      <c r="EL55">
        <v>0</v>
      </c>
      <c r="EM55">
        <v>0</v>
      </c>
      <c r="EN55">
        <v>0</v>
      </c>
      <c r="EO55">
        <v>0</v>
      </c>
      <c r="EP55">
        <v>0</v>
      </c>
    </row>
    <row r="56" spans="1:146" ht="96" x14ac:dyDescent="0.25">
      <c r="A56" s="10"/>
      <c r="B56" s="10"/>
      <c r="C56" s="7" t="str">
        <f>""&amp;CHAR(10)&amp;Basic_Fundamental_Information_Constructure(F56)&amp;CHAR(10)&amp;Basic_Fundamental_Information_Concatenate("")</f>
        <v xml:space="preserve">
市值6.825亿, 利润770.32万; PE20.97; 平均PE3.99, PB1.93; ROIC16.05%; ROE16.7033%; 股利率4.5714%; 毛利46.92%; 净利23.68%; 上一年度营收增-75.57%, 利润增-80.34%; 当季营收增-42.34%, 利润增-21.64%; 过往5年营收增0%, 利润增0%
Income profile:
</v>
      </c>
      <c r="D56">
        <v>832110</v>
      </c>
      <c r="E56" t="s">
        <v>1214</v>
      </c>
      <c r="F56">
        <v>17.5</v>
      </c>
      <c r="G56" s="5">
        <v>0.86</v>
      </c>
      <c r="H56" t="s">
        <v>3744</v>
      </c>
      <c r="I56">
        <v>682500000</v>
      </c>
      <c r="J56">
        <v>20.97</v>
      </c>
      <c r="K56">
        <v>1.93</v>
      </c>
      <c r="L56" t="s">
        <v>2604</v>
      </c>
      <c r="M56" t="s">
        <v>3745</v>
      </c>
      <c r="N56" t="s">
        <v>244</v>
      </c>
      <c r="O56" t="s">
        <v>3746</v>
      </c>
      <c r="P56">
        <v>21.78</v>
      </c>
      <c r="Q56" t="s">
        <v>3746</v>
      </c>
      <c r="R56">
        <v>7703219</v>
      </c>
      <c r="S56" s="5">
        <v>-0.21640000000000001</v>
      </c>
      <c r="T56" t="s">
        <v>3747</v>
      </c>
      <c r="U56">
        <v>12027000</v>
      </c>
      <c r="V56">
        <v>39000000</v>
      </c>
      <c r="W56">
        <v>1.1299999999999999</v>
      </c>
      <c r="X56">
        <v>0.11</v>
      </c>
      <c r="Y56">
        <v>18.23</v>
      </c>
      <c r="Z56" t="s">
        <v>3748</v>
      </c>
      <c r="AA56" t="s">
        <v>3749</v>
      </c>
      <c r="AB56" t="s">
        <v>3750</v>
      </c>
      <c r="AC56" t="s">
        <v>3751</v>
      </c>
      <c r="AD56" t="s">
        <v>3752</v>
      </c>
      <c r="AE56">
        <v>541117</v>
      </c>
      <c r="AF56" t="s">
        <v>3753</v>
      </c>
      <c r="AG56">
        <v>0.95</v>
      </c>
      <c r="AH56" t="s">
        <v>3754</v>
      </c>
      <c r="AI56" t="s">
        <v>3755</v>
      </c>
      <c r="AJ56" t="s">
        <v>9</v>
      </c>
      <c r="AK56" t="s">
        <v>9</v>
      </c>
      <c r="AL56" t="s">
        <v>3756</v>
      </c>
      <c r="AM56" t="s">
        <v>9</v>
      </c>
      <c r="AN56" t="s">
        <v>3757</v>
      </c>
      <c r="AO56" t="s">
        <v>9</v>
      </c>
      <c r="AP56" t="s">
        <v>9</v>
      </c>
      <c r="AQ56" t="s">
        <v>3758</v>
      </c>
      <c r="AR56" t="s">
        <v>9</v>
      </c>
      <c r="AS56" t="s">
        <v>3759</v>
      </c>
      <c r="AT56" t="s">
        <v>9</v>
      </c>
      <c r="AU56" t="s">
        <v>2064</v>
      </c>
      <c r="AV56" t="s">
        <v>3760</v>
      </c>
      <c r="AW56" t="s">
        <v>9</v>
      </c>
      <c r="AX56" t="s">
        <v>241</v>
      </c>
      <c r="AY56" t="s">
        <v>552</v>
      </c>
      <c r="AZ56" t="s">
        <v>1217</v>
      </c>
      <c r="BA56" t="s">
        <v>1218</v>
      </c>
      <c r="BB56" t="s">
        <v>1219</v>
      </c>
      <c r="BC56" t="s">
        <v>1216</v>
      </c>
      <c r="BD56" t="s">
        <v>1220</v>
      </c>
      <c r="BE56" t="s">
        <v>1221</v>
      </c>
      <c r="BF56" t="s">
        <v>1222</v>
      </c>
      <c r="BG56" t="s">
        <v>1223</v>
      </c>
      <c r="BH56" t="s">
        <v>495</v>
      </c>
      <c r="BI56" t="s">
        <v>1224</v>
      </c>
      <c r="BJ56" t="s">
        <v>241</v>
      </c>
      <c r="BK56" t="s">
        <v>3761</v>
      </c>
      <c r="BL56" t="s">
        <v>1225</v>
      </c>
      <c r="BM56" t="s">
        <v>1216</v>
      </c>
      <c r="BN56">
        <v>7.12</v>
      </c>
      <c r="BO56">
        <v>15.64</v>
      </c>
      <c r="BP56">
        <v>25.39</v>
      </c>
      <c r="BQ56">
        <v>7.3</v>
      </c>
      <c r="BR56">
        <v>19.22</v>
      </c>
      <c r="BS56">
        <v>23.59</v>
      </c>
      <c r="BT56" t="s">
        <v>3762</v>
      </c>
      <c r="BU56" t="s">
        <v>1215</v>
      </c>
      <c r="BV56">
        <v>44.95</v>
      </c>
      <c r="BW56">
        <v>46.52</v>
      </c>
      <c r="BX56">
        <v>49.29</v>
      </c>
      <c r="BY56">
        <v>19.8</v>
      </c>
      <c r="BZ56">
        <v>22.71</v>
      </c>
      <c r="CA56">
        <v>28.53</v>
      </c>
      <c r="CB56">
        <v>1.39</v>
      </c>
      <c r="CC56">
        <v>6.71</v>
      </c>
      <c r="CD56" t="s">
        <v>3763</v>
      </c>
      <c r="CE56" t="s">
        <v>3764</v>
      </c>
      <c r="CF56" s="8">
        <v>-0.4234473782582478</v>
      </c>
      <c r="CG56" s="9">
        <v>-0.21640000000000001</v>
      </c>
      <c r="CH56" s="8">
        <v>-0.75571966171264648</v>
      </c>
      <c r="CI56" s="8">
        <v>0.13815788924694061</v>
      </c>
      <c r="CJ56" s="8">
        <v>0.59985178709030151</v>
      </c>
      <c r="CK56" s="8">
        <v>-2.6293782517313957E-2</v>
      </c>
      <c r="CL56" s="8">
        <v>0.29480800032615662</v>
      </c>
      <c r="CM56" s="9">
        <v>-0.80342763662338257</v>
      </c>
      <c r="CN56" s="9">
        <v>-9.345041960477829E-2</v>
      </c>
      <c r="CO56" s="9">
        <v>1.130037784576416</v>
      </c>
      <c r="CP56" s="9">
        <v>-0.23710119724273682</v>
      </c>
      <c r="CQ56" s="9">
        <v>0.64211636781692505</v>
      </c>
      <c r="CR56">
        <v>3.9884944353928184</v>
      </c>
      <c r="CS56" t="e">
        <v>#DIV/0!</v>
      </c>
      <c r="CT56">
        <v>4.5714285714285712</v>
      </c>
      <c r="CU56" s="8">
        <v>0</v>
      </c>
      <c r="CV56" s="9">
        <v>0</v>
      </c>
      <c r="CW56">
        <v>0.06</v>
      </c>
      <c r="CX56">
        <v>51.177997715235229</v>
      </c>
      <c r="CY56">
        <v>7267169.8113207547</v>
      </c>
      <c r="CZ56">
        <v>0</v>
      </c>
      <c r="DA56">
        <v>18.06244447569993</v>
      </c>
      <c r="DB56">
        <v>20590745.649092875</v>
      </c>
      <c r="DC56">
        <v>0</v>
      </c>
      <c r="DD56">
        <v>9.8185774862758759</v>
      </c>
      <c r="DE56">
        <v>37879132.748084731</v>
      </c>
      <c r="DF56">
        <v>0</v>
      </c>
      <c r="DG56">
        <v>6.5598585428079987</v>
      </c>
      <c r="DH56">
        <v>56696222.57445769</v>
      </c>
      <c r="DI56">
        <v>0</v>
      </c>
      <c r="DJ56">
        <v>4.2093689224199062</v>
      </c>
      <c r="DK56">
        <v>88355097.13085185</v>
      </c>
      <c r="DL56">
        <v>0</v>
      </c>
      <c r="DM56">
        <v>7703200.0000000009</v>
      </c>
      <c r="DN56">
        <v>0</v>
      </c>
      <c r="DO56">
        <v>371919200</v>
      </c>
      <c r="DP56">
        <v>201100640</v>
      </c>
      <c r="DQ56">
        <v>55</v>
      </c>
      <c r="DR56">
        <v>-0.4234473782582478</v>
      </c>
      <c r="DS56">
        <v>-0.21640000000000001</v>
      </c>
      <c r="DT56">
        <v>-0.44</v>
      </c>
      <c r="DU56">
        <v>-0.22</v>
      </c>
      <c r="DV56">
        <v>-0.66</v>
      </c>
      <c r="DW56">
        <v>2.0670999999999999</v>
      </c>
      <c r="DX56">
        <v>0.54217541603022812</v>
      </c>
      <c r="DY56">
        <v>2.0175919704156282</v>
      </c>
      <c r="DZ56">
        <v>0</v>
      </c>
      <c r="EA56">
        <v>2.0175919704156282</v>
      </c>
      <c r="EB56">
        <v>2</v>
      </c>
      <c r="EC56">
        <v>4.1810256410256409E-2</v>
      </c>
      <c r="ED56">
        <v>0.15947435897435897</v>
      </c>
      <c r="EE56">
        <v>0</v>
      </c>
      <c r="EF56">
        <v>0</v>
      </c>
      <c r="EG56">
        <v>28.262175416030228</v>
      </c>
      <c r="EH56" t="s">
        <v>86</v>
      </c>
      <c r="EI56">
        <v>1</v>
      </c>
      <c r="EJ56">
        <v>0</v>
      </c>
      <c r="EK56">
        <v>0</v>
      </c>
      <c r="EL56">
        <v>0</v>
      </c>
      <c r="EM56">
        <v>0</v>
      </c>
      <c r="EN56">
        <v>0</v>
      </c>
      <c r="EO56">
        <v>0</v>
      </c>
      <c r="EP56">
        <v>0</v>
      </c>
    </row>
    <row r="57" spans="1:146" ht="96" x14ac:dyDescent="0.25">
      <c r="A57" s="10"/>
      <c r="B57" s="10"/>
      <c r="C57" s="7" t="str">
        <f>""&amp;CHAR(10)&amp;Basic_Fundamental_Information_Constructure(F57)&amp;CHAR(10)&amp;Basic_Fundamental_Information_Concatenate("")</f>
        <v xml:space="preserve">
市值3.37229亿, 利润-396.98万; PE; 平均PE.1, PB1.24; ROIC4.105%; ROE2.9667%; 股利率0%; 毛利43.4433%; 净利4.1167%; 上一年度营收增-85.86%, 利润增-169.77%; 当季营收增-63.3%, 利润增-52.06%; 过往5年营收增0%, 利润增0%
Income profile:
</v>
      </c>
      <c r="D57">
        <v>832145</v>
      </c>
      <c r="E57" t="s">
        <v>1226</v>
      </c>
      <c r="F57">
        <v>4.78</v>
      </c>
      <c r="G57" s="5">
        <v>2.8</v>
      </c>
      <c r="H57" t="s">
        <v>3765</v>
      </c>
      <c r="I57">
        <v>337229000</v>
      </c>
      <c r="K57">
        <v>1.24</v>
      </c>
      <c r="L57" t="s">
        <v>2604</v>
      </c>
      <c r="M57" t="s">
        <v>3766</v>
      </c>
      <c r="N57" t="s">
        <v>655</v>
      </c>
      <c r="O57" t="s">
        <v>3767</v>
      </c>
      <c r="P57">
        <v>14.67</v>
      </c>
      <c r="Q57" t="s">
        <v>3767</v>
      </c>
      <c r="R57">
        <v>-3969796</v>
      </c>
      <c r="S57" s="5">
        <v>-0.52059999999999995</v>
      </c>
      <c r="T57" t="s">
        <v>3768</v>
      </c>
      <c r="U57">
        <v>44827250</v>
      </c>
      <c r="V57">
        <v>70550000</v>
      </c>
      <c r="W57">
        <v>1.07</v>
      </c>
      <c r="X57">
        <v>0.03</v>
      </c>
      <c r="Y57">
        <v>-65.08</v>
      </c>
      <c r="Z57" t="s">
        <v>3769</v>
      </c>
      <c r="AA57" t="s">
        <v>3770</v>
      </c>
      <c r="AB57" t="s">
        <v>3771</v>
      </c>
      <c r="AC57" t="s">
        <v>3772</v>
      </c>
      <c r="AD57" t="s">
        <v>3773</v>
      </c>
      <c r="AE57">
        <v>342276</v>
      </c>
      <c r="AF57" t="s">
        <v>17</v>
      </c>
      <c r="AG57" t="s">
        <v>9</v>
      </c>
      <c r="AH57" t="s">
        <v>3774</v>
      </c>
      <c r="AI57" t="s">
        <v>314</v>
      </c>
      <c r="AJ57" t="s">
        <v>9</v>
      </c>
      <c r="AK57" t="s">
        <v>3775</v>
      </c>
      <c r="AL57" t="s">
        <v>3776</v>
      </c>
      <c r="AM57" t="s">
        <v>9</v>
      </c>
      <c r="AN57">
        <v>0</v>
      </c>
      <c r="AO57" t="s">
        <v>9</v>
      </c>
      <c r="AP57" t="s">
        <v>9</v>
      </c>
      <c r="AQ57" t="s">
        <v>3777</v>
      </c>
      <c r="AR57" t="s">
        <v>9</v>
      </c>
      <c r="AS57" t="s">
        <v>3778</v>
      </c>
      <c r="AT57" t="s">
        <v>9</v>
      </c>
      <c r="AU57" t="s">
        <v>3779</v>
      </c>
      <c r="AV57" t="s">
        <v>3780</v>
      </c>
      <c r="AW57" t="s">
        <v>3781</v>
      </c>
      <c r="AX57" t="s">
        <v>1229</v>
      </c>
      <c r="AY57" t="s">
        <v>1231</v>
      </c>
      <c r="AZ57" t="s">
        <v>90</v>
      </c>
      <c r="BA57" t="s">
        <v>90</v>
      </c>
      <c r="BB57" t="s">
        <v>18</v>
      </c>
      <c r="BC57" t="s">
        <v>1230</v>
      </c>
      <c r="BD57" t="s">
        <v>1232</v>
      </c>
      <c r="BE57" t="s">
        <v>1233</v>
      </c>
      <c r="BF57" t="s">
        <v>1234</v>
      </c>
      <c r="BG57" t="s">
        <v>1235</v>
      </c>
      <c r="BH57" t="s">
        <v>3782</v>
      </c>
      <c r="BI57" t="s">
        <v>1236</v>
      </c>
      <c r="BJ57" t="s">
        <v>1229</v>
      </c>
      <c r="BK57" t="s">
        <v>3783</v>
      </c>
      <c r="BL57" t="s">
        <v>1237</v>
      </c>
      <c r="BM57" t="s">
        <v>1230</v>
      </c>
      <c r="BN57" t="s">
        <v>9</v>
      </c>
      <c r="BO57">
        <v>1.0900000000000001</v>
      </c>
      <c r="BP57">
        <v>7.12</v>
      </c>
      <c r="BQ57">
        <v>-2.9</v>
      </c>
      <c r="BR57">
        <v>1.99</v>
      </c>
      <c r="BS57">
        <v>9.81</v>
      </c>
      <c r="BT57" t="s">
        <v>773</v>
      </c>
      <c r="BU57" t="s">
        <v>1228</v>
      </c>
      <c r="BV57">
        <v>32.65</v>
      </c>
      <c r="BW57">
        <v>46.56</v>
      </c>
      <c r="BX57">
        <v>51.12</v>
      </c>
      <c r="BY57">
        <v>-20.22</v>
      </c>
      <c r="BZ57">
        <v>8.4600000000000009</v>
      </c>
      <c r="CA57">
        <v>24.11</v>
      </c>
      <c r="CB57">
        <v>3.02</v>
      </c>
      <c r="CC57">
        <v>-4.0199999999999996</v>
      </c>
      <c r="CD57" t="s">
        <v>3784</v>
      </c>
      <c r="CE57" t="s">
        <v>3785</v>
      </c>
      <c r="CF57" s="8">
        <v>-0.63302102387687464</v>
      </c>
      <c r="CG57" s="9">
        <v>-0.52059999999999995</v>
      </c>
      <c r="CH57" s="8">
        <v>-0.85858100652694702</v>
      </c>
      <c r="CI57" s="8">
        <v>-0.21173040568828583</v>
      </c>
      <c r="CJ57" s="8">
        <v>-0.42502033710479736</v>
      </c>
      <c r="CK57" s="8">
        <v>0</v>
      </c>
      <c r="CL57" s="8">
        <v>0.16831682622432709</v>
      </c>
      <c r="CM57" s="9">
        <v>-1.6976556777954102</v>
      </c>
      <c r="CN57" s="9">
        <v>-0.65210956335067749</v>
      </c>
      <c r="CO57" s="9">
        <v>-0.46725621819496155</v>
      </c>
      <c r="CP57" s="9">
        <v>2.8611632063984871E-2</v>
      </c>
      <c r="CQ57" s="9">
        <v>0.21520553529262543</v>
      </c>
      <c r="CR57">
        <v>9.7300844506587936E-2</v>
      </c>
      <c r="CS57" t="e">
        <v>#DIV/0!</v>
      </c>
      <c r="CT57">
        <v>0</v>
      </c>
      <c r="CU57" s="8">
        <v>0</v>
      </c>
      <c r="CV57" s="9">
        <v>0</v>
      </c>
      <c r="CW57">
        <v>0.06</v>
      </c>
      <c r="CX57" t="e">
        <v>#VALUE!</v>
      </c>
      <c r="CY57" t="s">
        <v>85</v>
      </c>
      <c r="CZ57">
        <v>0</v>
      </c>
      <c r="DA57" t="e">
        <v>#VALUE!</v>
      </c>
      <c r="DB57" t="s">
        <v>84</v>
      </c>
      <c r="DC57">
        <v>0</v>
      </c>
      <c r="DD57" t="e">
        <v>#VALUE!</v>
      </c>
      <c r="DE57" t="s">
        <v>84</v>
      </c>
      <c r="DF57">
        <v>0</v>
      </c>
      <c r="DG57" t="e">
        <v>#VALUE!</v>
      </c>
      <c r="DH57" t="s">
        <v>84</v>
      </c>
      <c r="DI57">
        <v>0</v>
      </c>
      <c r="DJ57" t="e">
        <v>#VALUE!</v>
      </c>
      <c r="DK57" t="s">
        <v>84</v>
      </c>
      <c r="DL57">
        <v>0</v>
      </c>
      <c r="DM57">
        <v>-3969800</v>
      </c>
      <c r="DN57">
        <v>0</v>
      </c>
      <c r="DO57">
        <v>89777100</v>
      </c>
      <c r="DP57">
        <v>166420250</v>
      </c>
      <c r="DQ57">
        <v>56</v>
      </c>
      <c r="DR57">
        <v>-0.63302102387687464</v>
      </c>
      <c r="DS57">
        <v>-0.52059999999999995</v>
      </c>
      <c r="DT57">
        <v>-0.44</v>
      </c>
      <c r="DU57" t="e">
        <v>#VALUE!</v>
      </c>
      <c r="DV57" t="e">
        <v>#VALUE!</v>
      </c>
      <c r="DW57">
        <v>6.4289772727272725</v>
      </c>
      <c r="DX57">
        <v>0.90797570185520049</v>
      </c>
      <c r="DY57">
        <v>6.0977963948299276</v>
      </c>
      <c r="DZ57">
        <v>0</v>
      </c>
      <c r="EA57">
        <v>6.0977963948299276</v>
      </c>
      <c r="EB57">
        <v>6</v>
      </c>
      <c r="EC57">
        <v>1.9682494684620841E-2</v>
      </c>
      <c r="ED57">
        <v>8.6335931963146706E-2</v>
      </c>
      <c r="EE57">
        <v>0</v>
      </c>
      <c r="EF57">
        <v>0</v>
      </c>
      <c r="EG57">
        <v>68.2279757018552</v>
      </c>
      <c r="EH57" t="s">
        <v>86</v>
      </c>
      <c r="EI57">
        <v>0</v>
      </c>
      <c r="EJ57">
        <v>0</v>
      </c>
      <c r="EK57">
        <v>0</v>
      </c>
      <c r="EL57">
        <v>0</v>
      </c>
      <c r="EM57">
        <v>0</v>
      </c>
      <c r="EN57">
        <v>0</v>
      </c>
      <c r="EO57">
        <v>0</v>
      </c>
      <c r="EP57">
        <v>0</v>
      </c>
    </row>
    <row r="58" spans="1:146" ht="96" x14ac:dyDescent="0.25">
      <c r="A58" s="10"/>
      <c r="B58" s="10"/>
      <c r="C58" s="7" t="str">
        <f>""&amp;CHAR(10)&amp;Basic_Fundamental_Information_Constructure(F58)&amp;CHAR(10)&amp;Basic_Fundamental_Information_Concatenate("")</f>
        <v xml:space="preserve">
市值15.768962亿, 利润-2543.26万; PE; 平均PE-17.74, PB2.07; ROIC20%; ROE7.595%; 股利率0%; 毛利17.7433%; 净利4.1267%; 上一年度营收增-82.89%, 利润增-122.91%; 当季营收增-58.59%, 利润增-432.4%; 过往5年营收增0%, 利润增0%
Income profile:
</v>
      </c>
      <c r="D58">
        <v>832149</v>
      </c>
      <c r="E58" t="s">
        <v>1238</v>
      </c>
      <c r="F58">
        <v>3.74</v>
      </c>
      <c r="G58" s="5">
        <v>6.55</v>
      </c>
      <c r="H58" t="s">
        <v>1753</v>
      </c>
      <c r="I58">
        <v>1576896200</v>
      </c>
      <c r="K58">
        <v>2.0699999999999998</v>
      </c>
      <c r="L58" t="s">
        <v>2604</v>
      </c>
      <c r="M58" t="s">
        <v>604</v>
      </c>
      <c r="N58" t="s">
        <v>3786</v>
      </c>
      <c r="O58" t="s">
        <v>1575</v>
      </c>
      <c r="P58">
        <v>-10.54</v>
      </c>
      <c r="Q58" t="s">
        <v>1575</v>
      </c>
      <c r="R58">
        <v>-25432607</v>
      </c>
      <c r="S58" s="5">
        <v>-4.3239999999999998</v>
      </c>
      <c r="T58" t="s">
        <v>3787</v>
      </c>
      <c r="U58">
        <v>114538843</v>
      </c>
      <c r="V58">
        <v>421630000</v>
      </c>
      <c r="W58">
        <v>2.79</v>
      </c>
      <c r="X58">
        <v>0.2</v>
      </c>
      <c r="Y58">
        <v>-5.82</v>
      </c>
      <c r="Z58" t="s">
        <v>248</v>
      </c>
      <c r="AA58" t="s">
        <v>364</v>
      </c>
      <c r="AB58" t="s">
        <v>3788</v>
      </c>
      <c r="AC58" t="s">
        <v>3789</v>
      </c>
      <c r="AD58" t="s">
        <v>63</v>
      </c>
      <c r="AE58">
        <v>5524335</v>
      </c>
      <c r="AF58" t="s">
        <v>3790</v>
      </c>
      <c r="AG58" t="s">
        <v>3791</v>
      </c>
      <c r="AH58" t="s">
        <v>3792</v>
      </c>
      <c r="AI58" t="s">
        <v>576</v>
      </c>
      <c r="AJ58" t="s">
        <v>9</v>
      </c>
      <c r="AK58" t="s">
        <v>3793</v>
      </c>
      <c r="AL58" t="s">
        <v>3794</v>
      </c>
      <c r="AM58" t="s">
        <v>9</v>
      </c>
      <c r="AN58" t="s">
        <v>3795</v>
      </c>
      <c r="AO58" t="s">
        <v>628</v>
      </c>
      <c r="AP58" t="s">
        <v>171</v>
      </c>
      <c r="AQ58" t="s">
        <v>507</v>
      </c>
      <c r="AR58" t="s">
        <v>9</v>
      </c>
      <c r="AS58" t="s">
        <v>3796</v>
      </c>
      <c r="AT58" t="s">
        <v>3797</v>
      </c>
      <c r="AU58" t="s">
        <v>3798</v>
      </c>
      <c r="AV58" t="s">
        <v>3799</v>
      </c>
      <c r="AW58" t="s">
        <v>3800</v>
      </c>
      <c r="AX58" t="s">
        <v>1240</v>
      </c>
      <c r="AY58" t="s">
        <v>163</v>
      </c>
      <c r="AZ58" t="s">
        <v>604</v>
      </c>
      <c r="BA58" t="s">
        <v>1241</v>
      </c>
      <c r="BB58" t="s">
        <v>659</v>
      </c>
      <c r="BC58" t="s">
        <v>537</v>
      </c>
      <c r="BD58" t="s">
        <v>395</v>
      </c>
      <c r="BE58" t="s">
        <v>1242</v>
      </c>
      <c r="BF58" t="s">
        <v>1243</v>
      </c>
      <c r="BG58" t="s">
        <v>1244</v>
      </c>
      <c r="BH58" t="s">
        <v>3801</v>
      </c>
      <c r="BI58" t="s">
        <v>484</v>
      </c>
      <c r="BJ58" t="s">
        <v>1240</v>
      </c>
      <c r="BK58" t="s">
        <v>3802</v>
      </c>
      <c r="BL58" t="s">
        <v>1245</v>
      </c>
      <c r="BM58" t="s">
        <v>537</v>
      </c>
      <c r="BN58" t="s">
        <v>9</v>
      </c>
      <c r="BO58">
        <v>12.75</v>
      </c>
      <c r="BP58">
        <v>27.25</v>
      </c>
      <c r="BQ58">
        <v>-0.18</v>
      </c>
      <c r="BR58">
        <v>15.37</v>
      </c>
      <c r="BS58" t="s">
        <v>9</v>
      </c>
      <c r="BT58" t="s">
        <v>773</v>
      </c>
      <c r="BU58" t="s">
        <v>1239</v>
      </c>
      <c r="BV58">
        <v>13.24</v>
      </c>
      <c r="BW58">
        <v>17.399999999999999</v>
      </c>
      <c r="BX58">
        <v>22.59</v>
      </c>
      <c r="BY58">
        <v>-0.27</v>
      </c>
      <c r="BZ58">
        <v>4.3600000000000003</v>
      </c>
      <c r="CA58">
        <v>8.2899999999999991</v>
      </c>
      <c r="CB58">
        <v>2.4700000000000002</v>
      </c>
      <c r="CC58">
        <v>-2.6</v>
      </c>
      <c r="CD58" t="s">
        <v>3803</v>
      </c>
      <c r="CE58" t="s">
        <v>3804</v>
      </c>
      <c r="CF58" s="8">
        <v>-0.58591549295774648</v>
      </c>
      <c r="CG58" s="9">
        <v>-4.3239999999999998</v>
      </c>
      <c r="CH58" s="8">
        <v>-0.82893717288970947</v>
      </c>
      <c r="CI58" s="8">
        <v>0.16863088309764862</v>
      </c>
      <c r="CJ58" s="8">
        <v>0.60203355550765991</v>
      </c>
      <c r="CK58" s="8">
        <v>9.633752703666687E-2</v>
      </c>
      <c r="CL58" s="8">
        <v>5.6349929422140121E-2</v>
      </c>
      <c r="CM58" s="9">
        <v>-1.2291226387023926</v>
      </c>
      <c r="CN58" s="9">
        <v>-0.38674032688140869</v>
      </c>
      <c r="CO58" s="9">
        <v>2.52980637550354</v>
      </c>
      <c r="CP58" s="9">
        <v>-0.2795054018497467</v>
      </c>
      <c r="CQ58" s="9">
        <v>1.1320767402648926</v>
      </c>
      <c r="CR58">
        <v>-17.741600265672734</v>
      </c>
      <c r="CS58" t="e">
        <v>#DIV/0!</v>
      </c>
      <c r="CT58">
        <v>0</v>
      </c>
      <c r="CU58" s="8">
        <v>0</v>
      </c>
      <c r="CV58" s="9">
        <v>0</v>
      </c>
      <c r="CW58">
        <v>0.06</v>
      </c>
      <c r="CX58" t="e">
        <v>#VALUE!</v>
      </c>
      <c r="CY58" t="s">
        <v>85</v>
      </c>
      <c r="CZ58">
        <v>0</v>
      </c>
      <c r="DA58" t="e">
        <v>#VALUE!</v>
      </c>
      <c r="DB58" t="s">
        <v>84</v>
      </c>
      <c r="DC58">
        <v>0</v>
      </c>
      <c r="DD58" t="e">
        <v>#VALUE!</v>
      </c>
      <c r="DE58" t="s">
        <v>84</v>
      </c>
      <c r="DF58">
        <v>0</v>
      </c>
      <c r="DG58" t="e">
        <v>#VALUE!</v>
      </c>
      <c r="DH58" t="s">
        <v>84</v>
      </c>
      <c r="DI58">
        <v>0</v>
      </c>
      <c r="DJ58" t="e">
        <v>#VALUE!</v>
      </c>
      <c r="DK58" t="s">
        <v>84</v>
      </c>
      <c r="DL58">
        <v>0</v>
      </c>
      <c r="DM58">
        <v>-25432600.000000004</v>
      </c>
      <c r="DN58">
        <v>0</v>
      </c>
      <c r="DO58">
        <v>2184896200</v>
      </c>
      <c r="DP58">
        <v>591434400</v>
      </c>
      <c r="DQ58">
        <v>57</v>
      </c>
      <c r="DR58">
        <v>-0.58591549295774648</v>
      </c>
      <c r="DS58">
        <v>-4.3239999999999998</v>
      </c>
      <c r="DT58">
        <v>-0.44</v>
      </c>
      <c r="DU58" t="e">
        <v>#VALUE!</v>
      </c>
      <c r="DV58" t="e">
        <v>#VALUE!</v>
      </c>
      <c r="DW58">
        <v>-1.026</v>
      </c>
      <c r="DX58">
        <v>0.85167238415479884</v>
      </c>
      <c r="DY58">
        <v>-1.0096634819880248</v>
      </c>
      <c r="DZ58">
        <v>0</v>
      </c>
      <c r="EA58">
        <v>-1.0096634819880248</v>
      </c>
      <c r="EB58">
        <v>1</v>
      </c>
      <c r="EC58">
        <v>7.0048383653914567E-2</v>
      </c>
      <c r="ED58">
        <v>0.18846808813414606</v>
      </c>
      <c r="EE58">
        <v>0</v>
      </c>
      <c r="EF58">
        <v>0</v>
      </c>
      <c r="EG58">
        <v>48.371672384154799</v>
      </c>
      <c r="EH58" t="s">
        <v>86</v>
      </c>
      <c r="EI58">
        <v>0</v>
      </c>
      <c r="EJ58">
        <v>0</v>
      </c>
      <c r="EK58">
        <v>0</v>
      </c>
      <c r="EL58">
        <v>0</v>
      </c>
      <c r="EM58">
        <v>0</v>
      </c>
      <c r="EN58">
        <v>0</v>
      </c>
      <c r="EO58">
        <v>0</v>
      </c>
      <c r="EP58">
        <v>0</v>
      </c>
    </row>
    <row r="59" spans="1:146" ht="96" x14ac:dyDescent="0.25">
      <c r="A59" s="10"/>
      <c r="B59" s="10"/>
      <c r="C59" s="7" t="str">
        <f>""&amp;CHAR(10)&amp;Basic_Fundamental_Information_Constructure(F59)&amp;CHAR(10)&amp;Basic_Fundamental_Information_Concatenate("")</f>
        <v xml:space="preserve">
市值5.763411亿, 利润-757.88万; PE; 平均PE6.71, PB2.04; ROIC11%; ROE.81%; 股利率0%; 毛利30.4533%; 净利-14.1%; 上一年度营收增-95.92%, 利润增61.15%; 当季营收增-83.48%, 利润增29.56%; 过往5年营收增0%, 利润增0%
Income profile:
</v>
      </c>
      <c r="D59">
        <v>832171</v>
      </c>
      <c r="E59" t="s">
        <v>1246</v>
      </c>
      <c r="F59">
        <v>5.75</v>
      </c>
      <c r="G59" s="5">
        <v>-2.04</v>
      </c>
      <c r="H59" t="s">
        <v>3805</v>
      </c>
      <c r="I59">
        <v>576341100</v>
      </c>
      <c r="K59">
        <v>2.04</v>
      </c>
      <c r="L59" t="s">
        <v>2604</v>
      </c>
      <c r="M59" t="s">
        <v>395</v>
      </c>
      <c r="N59" t="s">
        <v>158</v>
      </c>
      <c r="O59" t="s">
        <v>3806</v>
      </c>
      <c r="P59">
        <v>37.799999999999997</v>
      </c>
      <c r="Q59" t="s">
        <v>3806</v>
      </c>
      <c r="R59">
        <v>-7578843</v>
      </c>
      <c r="S59" s="5">
        <v>0.29559999999999997</v>
      </c>
      <c r="T59" t="s">
        <v>3807</v>
      </c>
      <c r="U59">
        <v>66960733</v>
      </c>
      <c r="V59">
        <v>100233235</v>
      </c>
      <c r="W59">
        <v>1.57</v>
      </c>
      <c r="X59">
        <v>0.02</v>
      </c>
      <c r="Y59">
        <v>-86.06</v>
      </c>
      <c r="Z59" t="s">
        <v>3808</v>
      </c>
      <c r="AA59" t="s">
        <v>3809</v>
      </c>
      <c r="AB59" t="s">
        <v>3810</v>
      </c>
      <c r="AC59" t="s">
        <v>3811</v>
      </c>
      <c r="AD59" t="s">
        <v>3812</v>
      </c>
      <c r="AE59">
        <v>295724</v>
      </c>
      <c r="AF59" t="s">
        <v>3813</v>
      </c>
      <c r="AG59" t="s">
        <v>9</v>
      </c>
      <c r="AH59" t="s">
        <v>3814</v>
      </c>
      <c r="AI59" t="s">
        <v>3815</v>
      </c>
      <c r="AJ59" t="s">
        <v>9</v>
      </c>
      <c r="AK59" t="s">
        <v>3816</v>
      </c>
      <c r="AL59" t="s">
        <v>3817</v>
      </c>
      <c r="AM59" t="s">
        <v>9</v>
      </c>
      <c r="AN59" t="s">
        <v>3818</v>
      </c>
      <c r="AO59" t="s">
        <v>3819</v>
      </c>
      <c r="AP59" t="s">
        <v>3820</v>
      </c>
      <c r="AQ59" t="s">
        <v>3821</v>
      </c>
      <c r="AR59" t="s">
        <v>3822</v>
      </c>
      <c r="AS59" t="s">
        <v>92</v>
      </c>
      <c r="AT59" t="s">
        <v>9</v>
      </c>
      <c r="AU59" t="s">
        <v>3823</v>
      </c>
      <c r="AV59" t="s">
        <v>9</v>
      </c>
      <c r="AW59" t="s">
        <v>3824</v>
      </c>
      <c r="AX59" t="s">
        <v>285</v>
      </c>
      <c r="AY59" t="s">
        <v>404</v>
      </c>
      <c r="AZ59" t="s">
        <v>403</v>
      </c>
      <c r="BA59" t="s">
        <v>418</v>
      </c>
      <c r="BB59" t="s">
        <v>516</v>
      </c>
      <c r="BC59" t="s">
        <v>3825</v>
      </c>
      <c r="BD59" t="s">
        <v>1247</v>
      </c>
      <c r="BE59" t="s">
        <v>1248</v>
      </c>
      <c r="BF59" t="s">
        <v>1249</v>
      </c>
      <c r="BG59" t="s">
        <v>1250</v>
      </c>
      <c r="BH59" t="s">
        <v>312</v>
      </c>
      <c r="BI59" t="s">
        <v>1251</v>
      </c>
      <c r="BJ59" t="s">
        <v>285</v>
      </c>
      <c r="BK59" t="s">
        <v>3826</v>
      </c>
      <c r="BL59" t="s">
        <v>1252</v>
      </c>
      <c r="BM59" t="s">
        <v>3825</v>
      </c>
      <c r="BN59" t="s">
        <v>9</v>
      </c>
      <c r="BO59" t="s">
        <v>9</v>
      </c>
      <c r="BP59">
        <v>11</v>
      </c>
      <c r="BQ59">
        <v>-6.51</v>
      </c>
      <c r="BR59">
        <v>-5.22</v>
      </c>
      <c r="BS59">
        <v>14.16</v>
      </c>
      <c r="BT59" t="s">
        <v>773</v>
      </c>
      <c r="BU59" t="s">
        <v>888</v>
      </c>
      <c r="BV59">
        <v>29.24</v>
      </c>
      <c r="BW59">
        <v>25.32</v>
      </c>
      <c r="BX59">
        <v>36.799999999999997</v>
      </c>
      <c r="BY59">
        <v>-47.3</v>
      </c>
      <c r="BZ59">
        <v>-8.61</v>
      </c>
      <c r="CA59">
        <v>13.61</v>
      </c>
      <c r="CB59">
        <v>-6.5</v>
      </c>
      <c r="CC59">
        <v>-7.41</v>
      </c>
      <c r="CD59" t="s">
        <v>3827</v>
      </c>
      <c r="CE59" t="s">
        <v>3828</v>
      </c>
      <c r="CF59" s="8">
        <v>-0.83478534637577884</v>
      </c>
      <c r="CG59" s="9">
        <v>0.29559999999999997</v>
      </c>
      <c r="CH59" s="8">
        <v>-0.9591602087020874</v>
      </c>
      <c r="CI59" s="8">
        <v>-0.14946618676185608</v>
      </c>
      <c r="CJ59" s="8">
        <v>-6.6445179283618927E-2</v>
      </c>
      <c r="CK59" s="8">
        <v>-0.14730878174304962</v>
      </c>
      <c r="CL59" s="8">
        <v>0.31716418266296387</v>
      </c>
      <c r="CM59" s="9">
        <v>0.61148107051849365</v>
      </c>
      <c r="CN59" s="9">
        <v>-1.4893006086349487</v>
      </c>
      <c r="CO59" s="9">
        <v>-6.9248013198375702E-2</v>
      </c>
      <c r="CP59" s="9">
        <v>-0.1458120197057724</v>
      </c>
      <c r="CQ59" s="9">
        <v>0.20690427720546722</v>
      </c>
      <c r="CR59">
        <v>6.7111533673893575</v>
      </c>
      <c r="CS59" t="e">
        <v>#DIV/0!</v>
      </c>
      <c r="CT59">
        <v>0</v>
      </c>
      <c r="CU59" s="8">
        <v>0</v>
      </c>
      <c r="CV59" s="9">
        <v>0</v>
      </c>
      <c r="CW59">
        <v>0.06</v>
      </c>
      <c r="CX59" t="e">
        <v>#VALUE!</v>
      </c>
      <c r="CY59" t="s">
        <v>85</v>
      </c>
      <c r="CZ59">
        <v>0</v>
      </c>
      <c r="DA59" t="e">
        <v>#VALUE!</v>
      </c>
      <c r="DB59" t="s">
        <v>84</v>
      </c>
      <c r="DC59">
        <v>0</v>
      </c>
      <c r="DD59" t="e">
        <v>#VALUE!</v>
      </c>
      <c r="DE59" t="s">
        <v>84</v>
      </c>
      <c r="DF59">
        <v>0</v>
      </c>
      <c r="DG59" t="e">
        <v>#VALUE!</v>
      </c>
      <c r="DH59" t="s">
        <v>84</v>
      </c>
      <c r="DI59">
        <v>0</v>
      </c>
      <c r="DJ59" t="e">
        <v>#VALUE!</v>
      </c>
      <c r="DK59" t="s">
        <v>84</v>
      </c>
      <c r="DL59">
        <v>0</v>
      </c>
      <c r="DM59">
        <v>-7578800</v>
      </c>
      <c r="DN59">
        <v>0</v>
      </c>
      <c r="DO59">
        <v>469341100</v>
      </c>
      <c r="DP59">
        <v>125598850</v>
      </c>
      <c r="DQ59">
        <v>58</v>
      </c>
      <c r="DR59">
        <v>-0.83478534637577884</v>
      </c>
      <c r="DS59">
        <v>0.29559999999999997</v>
      </c>
      <c r="DT59">
        <v>-0.44</v>
      </c>
      <c r="DU59" t="e">
        <v>#VALUE!</v>
      </c>
      <c r="DV59" t="e">
        <v>#VALUE!</v>
      </c>
      <c r="DW59">
        <v>-9.8771929824561404</v>
      </c>
      <c r="DX59">
        <v>0.30630034594384392</v>
      </c>
      <c r="DY59">
        <v>-9.1458774964419671</v>
      </c>
      <c r="DZ59">
        <v>0</v>
      </c>
      <c r="EA59">
        <v>-9.1458774964419671</v>
      </c>
      <c r="EB59">
        <v>9</v>
      </c>
      <c r="EC59">
        <v>0.11941947199449364</v>
      </c>
      <c r="ED59">
        <v>0.71809515077508967</v>
      </c>
      <c r="EE59">
        <v>0</v>
      </c>
      <c r="EF59">
        <v>0</v>
      </c>
      <c r="EG59">
        <v>14.166300345943844</v>
      </c>
      <c r="EH59" t="s">
        <v>86</v>
      </c>
      <c r="EI59">
        <v>0</v>
      </c>
      <c r="EJ59">
        <v>0</v>
      </c>
      <c r="EK59">
        <v>0</v>
      </c>
      <c r="EL59">
        <v>0</v>
      </c>
      <c r="EM59">
        <v>0</v>
      </c>
      <c r="EN59">
        <v>0</v>
      </c>
      <c r="EO59">
        <v>0</v>
      </c>
      <c r="EP59">
        <v>0</v>
      </c>
    </row>
    <row r="60" spans="1:146" ht="96" x14ac:dyDescent="0.25">
      <c r="A60" s="10"/>
      <c r="B60" s="10"/>
      <c r="C60" s="7" t="str">
        <f>""&amp;CHAR(10)&amp;Basic_Fundamental_Information_Constructure(F60)&amp;CHAR(10)&amp;Basic_Fundamental_Information_Concatenate("")</f>
        <v xml:space="preserve">
市值9.7104亿, 利润1577.32万; PE13.79; 平均PE3.14, PB1.11; ROIC14.96%; ROE18.27%; 股利率1.2255%; 毛利33.55%; 净利20.1533%; 上一年度营收增-71.35%, 利润增-84.38%; 当季营收增-45.74%, 利润增9.73%; 过往5年营收增0%, 利润增0%
Income profile:
</v>
      </c>
      <c r="D60">
        <v>832175</v>
      </c>
      <c r="E60" t="s">
        <v>1253</v>
      </c>
      <c r="F60">
        <v>8.16</v>
      </c>
      <c r="G60" s="5">
        <v>-1.21</v>
      </c>
      <c r="H60" t="s">
        <v>3829</v>
      </c>
      <c r="I60">
        <v>971040000</v>
      </c>
      <c r="J60">
        <v>13.79</v>
      </c>
      <c r="K60">
        <v>1.1100000000000001</v>
      </c>
      <c r="L60" t="s">
        <v>2604</v>
      </c>
      <c r="M60" t="s">
        <v>566</v>
      </c>
      <c r="N60" t="s">
        <v>3830</v>
      </c>
      <c r="O60" t="s">
        <v>78</v>
      </c>
      <c r="P60">
        <v>23.82</v>
      </c>
      <c r="Q60" t="s">
        <v>78</v>
      </c>
      <c r="R60">
        <v>15773179</v>
      </c>
      <c r="S60" s="5">
        <v>9.7299999999999998E-2</v>
      </c>
      <c r="T60" t="s">
        <v>3831</v>
      </c>
      <c r="U60">
        <v>60493299</v>
      </c>
      <c r="V60">
        <v>119000000</v>
      </c>
      <c r="W60">
        <v>1.4</v>
      </c>
      <c r="X60">
        <v>0.08</v>
      </c>
      <c r="Y60">
        <v>15.39</v>
      </c>
      <c r="Z60" t="s">
        <v>3832</v>
      </c>
      <c r="AA60" t="s">
        <v>3833</v>
      </c>
      <c r="AB60" t="s">
        <v>3834</v>
      </c>
      <c r="AC60" t="s">
        <v>3835</v>
      </c>
      <c r="AD60" t="s">
        <v>3836</v>
      </c>
      <c r="AE60">
        <v>1556520</v>
      </c>
      <c r="AF60" t="s">
        <v>17</v>
      </c>
      <c r="AG60">
        <v>5000.6099999999997</v>
      </c>
      <c r="AH60" t="s">
        <v>3837</v>
      </c>
      <c r="AI60" t="s">
        <v>89</v>
      </c>
      <c r="AJ60" t="s">
        <v>9</v>
      </c>
      <c r="AK60" t="s">
        <v>3838</v>
      </c>
      <c r="AL60" t="s">
        <v>3839</v>
      </c>
      <c r="AM60" t="s">
        <v>9</v>
      </c>
      <c r="AN60" t="s">
        <v>176</v>
      </c>
      <c r="AO60" t="s">
        <v>438</v>
      </c>
      <c r="AP60" t="s">
        <v>9</v>
      </c>
      <c r="AQ60" t="s">
        <v>29</v>
      </c>
      <c r="AR60" t="s">
        <v>9</v>
      </c>
      <c r="AS60" t="s">
        <v>259</v>
      </c>
      <c r="AT60" t="s">
        <v>3840</v>
      </c>
      <c r="AU60" t="s">
        <v>3841</v>
      </c>
      <c r="AV60" t="s">
        <v>3842</v>
      </c>
      <c r="AW60" t="s">
        <v>3843</v>
      </c>
      <c r="AX60" t="s">
        <v>408</v>
      </c>
      <c r="AY60" t="s">
        <v>450</v>
      </c>
      <c r="AZ60" t="s">
        <v>333</v>
      </c>
      <c r="BA60" t="s">
        <v>441</v>
      </c>
      <c r="BB60" t="s">
        <v>61</v>
      </c>
      <c r="BC60" t="s">
        <v>18</v>
      </c>
      <c r="BD60" t="s">
        <v>1254</v>
      </c>
      <c r="BE60" t="s">
        <v>1255</v>
      </c>
      <c r="BF60" t="s">
        <v>1256</v>
      </c>
      <c r="BG60" t="s">
        <v>1257</v>
      </c>
      <c r="BH60" t="s">
        <v>261</v>
      </c>
      <c r="BI60" t="s">
        <v>15</v>
      </c>
      <c r="BJ60" t="s">
        <v>408</v>
      </c>
      <c r="BK60" t="s">
        <v>3844</v>
      </c>
      <c r="BL60" t="s">
        <v>1258</v>
      </c>
      <c r="BM60" t="s">
        <v>18</v>
      </c>
      <c r="BN60">
        <v>8.25</v>
      </c>
      <c r="BO60">
        <v>23.39</v>
      </c>
      <c r="BP60">
        <v>13.24</v>
      </c>
      <c r="BQ60">
        <v>10.15</v>
      </c>
      <c r="BR60">
        <v>26.39</v>
      </c>
      <c r="BS60" t="s">
        <v>9</v>
      </c>
      <c r="BT60" t="s">
        <v>886</v>
      </c>
      <c r="BU60" t="s">
        <v>943</v>
      </c>
      <c r="BV60">
        <v>33.42</v>
      </c>
      <c r="BW60">
        <v>40.11</v>
      </c>
      <c r="BX60">
        <v>27.12</v>
      </c>
      <c r="BY60">
        <v>18.28</v>
      </c>
      <c r="BZ60">
        <v>28.27</v>
      </c>
      <c r="CA60">
        <v>13.91</v>
      </c>
      <c r="CB60">
        <v>-0.37</v>
      </c>
      <c r="CC60">
        <v>-7.27</v>
      </c>
      <c r="CD60" t="s">
        <v>3845</v>
      </c>
      <c r="CE60" t="s">
        <v>3846</v>
      </c>
      <c r="CF60" s="8">
        <v>-0.45744680851063829</v>
      </c>
      <c r="CG60" s="9">
        <v>9.7299999999999998E-2</v>
      </c>
      <c r="CH60" s="8">
        <v>-0.71348315477371216</v>
      </c>
      <c r="CI60" s="8">
        <v>9.5384612679481506E-2</v>
      </c>
      <c r="CJ60" s="8">
        <v>0.5550239086151123</v>
      </c>
      <c r="CK60" s="8">
        <v>0.14835165441036224</v>
      </c>
      <c r="CL60" s="8">
        <v>-0.19111111760139465</v>
      </c>
      <c r="CM60" s="9">
        <v>-0.8438296914100647</v>
      </c>
      <c r="CN60" s="9">
        <v>1.2349138259887695</v>
      </c>
      <c r="CO60" s="9">
        <v>0.43895295262336731</v>
      </c>
      <c r="CP60" s="9">
        <v>0.2878425121307373</v>
      </c>
      <c r="CQ60" s="9">
        <v>-0.10793351382017136</v>
      </c>
      <c r="CR60">
        <v>3.1395215751579992</v>
      </c>
      <c r="CS60" t="e">
        <v>#DIV/0!</v>
      </c>
      <c r="CT60">
        <v>1.2254901960784315</v>
      </c>
      <c r="CU60" s="8">
        <v>0</v>
      </c>
      <c r="CV60" s="9">
        <v>0</v>
      </c>
      <c r="CW60">
        <v>0.06</v>
      </c>
      <c r="CX60">
        <v>30.109451474653206</v>
      </c>
      <c r="CY60">
        <v>14880377.358490564</v>
      </c>
      <c r="CZ60">
        <v>0</v>
      </c>
      <c r="DA60">
        <v>10.626642692838402</v>
      </c>
      <c r="DB60">
        <v>42161952.081248276</v>
      </c>
      <c r="DC60">
        <v>0</v>
      </c>
      <c r="DD60">
        <v>5.7765445224743335</v>
      </c>
      <c r="DE60">
        <v>77561940.058948219</v>
      </c>
      <c r="DF60">
        <v>0</v>
      </c>
      <c r="DG60">
        <v>3.8593487688649581</v>
      </c>
      <c r="DH60">
        <v>116092125.07937428</v>
      </c>
      <c r="DI60">
        <v>0</v>
      </c>
      <c r="DJ60">
        <v>2.4764897996543844</v>
      </c>
      <c r="DK60">
        <v>180917361.36467341</v>
      </c>
      <c r="DL60">
        <v>0</v>
      </c>
      <c r="DM60">
        <v>15773200</v>
      </c>
      <c r="DN60">
        <v>0</v>
      </c>
      <c r="DO60">
        <v>448039999.99999988</v>
      </c>
      <c r="DP60">
        <v>412030200</v>
      </c>
      <c r="DQ60">
        <v>59</v>
      </c>
      <c r="DR60">
        <v>-0.45744680851063829</v>
      </c>
      <c r="DS60">
        <v>9.7299999999999998E-2</v>
      </c>
      <c r="DT60">
        <v>-0.44</v>
      </c>
      <c r="DU60">
        <v>-0.44</v>
      </c>
      <c r="DV60">
        <v>-0.88</v>
      </c>
      <c r="DW60">
        <v>-2.0727000000000002</v>
      </c>
      <c r="DX60">
        <v>0.25365266069308789</v>
      </c>
      <c r="DY60">
        <v>-2.0082625484323873</v>
      </c>
      <c r="DZ60">
        <v>0</v>
      </c>
      <c r="EA60">
        <v>-2.0082625484323873</v>
      </c>
      <c r="EB60">
        <v>2</v>
      </c>
      <c r="EC60">
        <v>1.5849579831932775E-2</v>
      </c>
      <c r="ED60">
        <v>0.13945630252100841</v>
      </c>
      <c r="EE60">
        <v>0</v>
      </c>
      <c r="EF60">
        <v>0</v>
      </c>
      <c r="EG60">
        <v>14.113652660693088</v>
      </c>
      <c r="EH60" t="s">
        <v>86</v>
      </c>
      <c r="EI60">
        <v>0</v>
      </c>
      <c r="EJ60">
        <v>0</v>
      </c>
      <c r="EK60">
        <v>0</v>
      </c>
      <c r="EL60">
        <v>0</v>
      </c>
      <c r="EM60">
        <v>0</v>
      </c>
      <c r="EN60">
        <v>0</v>
      </c>
      <c r="EO60">
        <v>0</v>
      </c>
      <c r="EP60">
        <v>0</v>
      </c>
    </row>
    <row r="61" spans="1:146" ht="108" x14ac:dyDescent="0.25">
      <c r="A61" s="10"/>
      <c r="B61" s="10"/>
      <c r="C61" s="7" t="str">
        <f>""&amp;CHAR(10)&amp;Basic_Fundamental_Information_Constructure(F61)&amp;CHAR(10)&amp;Basic_Fundamental_Information_Concatenate("")</f>
        <v xml:space="preserve">
市值11.1054032亿, 利润1914.86万; PE8.76; 平均PE1.67, PB1.82; ROIC14.9433%; ROE15.2167%; 股利率2.2857%; 毛利37.2067%; 净利19.5667%; 上一年度营收增-73.07%, 利润增-76.98%; 当季营收增-56.47%, 利润增-26.52%; 过往5年营收增0%, 利润增0%
Income profile:
</v>
      </c>
      <c r="D61">
        <v>832225</v>
      </c>
      <c r="E61" t="s">
        <v>1259</v>
      </c>
      <c r="F61">
        <v>8.75</v>
      </c>
      <c r="G61" s="5">
        <v>0.34</v>
      </c>
      <c r="H61" t="s">
        <v>3847</v>
      </c>
      <c r="I61">
        <v>1110540320</v>
      </c>
      <c r="J61">
        <v>8.76</v>
      </c>
      <c r="K61">
        <v>1.82</v>
      </c>
      <c r="L61" t="s">
        <v>2604</v>
      </c>
      <c r="M61" t="s">
        <v>287</v>
      </c>
      <c r="N61" t="s">
        <v>504</v>
      </c>
      <c r="O61" t="s">
        <v>18</v>
      </c>
      <c r="P61">
        <v>-4.24</v>
      </c>
      <c r="Q61" t="s">
        <v>18</v>
      </c>
      <c r="R61">
        <v>19148596</v>
      </c>
      <c r="S61" s="5">
        <v>-0.26519999999999999</v>
      </c>
      <c r="T61" t="s">
        <v>3848</v>
      </c>
      <c r="U61">
        <v>69167226</v>
      </c>
      <c r="V61">
        <v>126918894</v>
      </c>
      <c r="W61">
        <v>1.28</v>
      </c>
      <c r="X61">
        <v>0.13</v>
      </c>
      <c r="Y61">
        <v>18.98</v>
      </c>
      <c r="Z61" t="s">
        <v>3849</v>
      </c>
      <c r="AA61" t="s">
        <v>3850</v>
      </c>
      <c r="AB61" t="s">
        <v>3851</v>
      </c>
      <c r="AC61" t="s">
        <v>3852</v>
      </c>
      <c r="AD61" t="s">
        <v>3853</v>
      </c>
      <c r="AE61">
        <v>168661</v>
      </c>
      <c r="AF61" t="s">
        <v>3854</v>
      </c>
      <c r="AG61" t="s">
        <v>3855</v>
      </c>
      <c r="AH61" t="s">
        <v>3856</v>
      </c>
      <c r="AI61" t="s">
        <v>3857</v>
      </c>
      <c r="AJ61" t="s">
        <v>9</v>
      </c>
      <c r="AK61" t="s">
        <v>3858</v>
      </c>
      <c r="AL61" t="s">
        <v>3859</v>
      </c>
      <c r="AM61" t="s">
        <v>9</v>
      </c>
      <c r="AN61" t="s">
        <v>3860</v>
      </c>
      <c r="AO61" t="s">
        <v>9</v>
      </c>
      <c r="AP61" t="s">
        <v>3861</v>
      </c>
      <c r="AQ61" t="s">
        <v>3862</v>
      </c>
      <c r="AR61" t="s">
        <v>9</v>
      </c>
      <c r="AS61" t="s">
        <v>300</v>
      </c>
      <c r="AT61" t="s">
        <v>9</v>
      </c>
      <c r="AU61" t="s">
        <v>3863</v>
      </c>
      <c r="AV61" t="s">
        <v>3864</v>
      </c>
      <c r="AW61" t="s">
        <v>9</v>
      </c>
      <c r="AX61" t="s">
        <v>157</v>
      </c>
      <c r="AY61" t="s">
        <v>150</v>
      </c>
      <c r="AZ61" t="s">
        <v>156</v>
      </c>
      <c r="BA61" t="s">
        <v>449</v>
      </c>
      <c r="BB61" t="s">
        <v>170</v>
      </c>
      <c r="BC61" t="s">
        <v>1260</v>
      </c>
      <c r="BD61" t="s">
        <v>1262</v>
      </c>
      <c r="BE61" t="s">
        <v>1263</v>
      </c>
      <c r="BF61" t="s">
        <v>1264</v>
      </c>
      <c r="BG61" t="s">
        <v>1265</v>
      </c>
      <c r="BH61" t="s">
        <v>3865</v>
      </c>
      <c r="BI61" t="s">
        <v>232</v>
      </c>
      <c r="BJ61" t="s">
        <v>157</v>
      </c>
      <c r="BK61" t="s">
        <v>134</v>
      </c>
      <c r="BL61" t="s">
        <v>1266</v>
      </c>
      <c r="BM61" t="s">
        <v>1260</v>
      </c>
      <c r="BN61">
        <v>18.25</v>
      </c>
      <c r="BO61">
        <v>18.25</v>
      </c>
      <c r="BP61">
        <v>8.33</v>
      </c>
      <c r="BQ61">
        <v>18.5</v>
      </c>
      <c r="BR61">
        <v>18.989999999999998</v>
      </c>
      <c r="BS61">
        <v>8.16</v>
      </c>
      <c r="BT61" t="s">
        <v>3866</v>
      </c>
      <c r="BU61" t="s">
        <v>1149</v>
      </c>
      <c r="BV61">
        <v>47.84</v>
      </c>
      <c r="BW61">
        <v>38</v>
      </c>
      <c r="BX61">
        <v>25.78</v>
      </c>
      <c r="BY61">
        <v>27.44</v>
      </c>
      <c r="BZ61">
        <v>22.17</v>
      </c>
      <c r="CA61">
        <v>9.09</v>
      </c>
      <c r="CB61">
        <v>1.39</v>
      </c>
      <c r="CC61">
        <v>-10.07</v>
      </c>
      <c r="CD61" t="s">
        <v>3867</v>
      </c>
      <c r="CE61" t="s">
        <v>3868</v>
      </c>
      <c r="CF61" s="8">
        <v>-0.56465517241379304</v>
      </c>
      <c r="CG61" s="9">
        <v>-0.26519999999999999</v>
      </c>
      <c r="CH61" s="8">
        <v>-0.7306666374206543</v>
      </c>
      <c r="CI61" s="8">
        <v>0.12951807677745819</v>
      </c>
      <c r="CJ61" s="8">
        <v>0.16083915531635284</v>
      </c>
      <c r="CK61" s="8">
        <v>9.1603055596351624E-2</v>
      </c>
      <c r="CL61" s="8">
        <v>-5.0724636763334274E-2</v>
      </c>
      <c r="CM61" s="9">
        <v>-0.76975226402282715</v>
      </c>
      <c r="CN61" s="9">
        <v>1.7591959238052368</v>
      </c>
      <c r="CO61" s="9">
        <v>-0.27491748332977295</v>
      </c>
      <c r="CP61" s="9">
        <v>0.35918128490447998</v>
      </c>
      <c r="CQ61" s="9">
        <v>0.28807276487350464</v>
      </c>
      <c r="CR61">
        <v>1.6707606933202037</v>
      </c>
      <c r="CS61" t="e">
        <v>#DIV/0!</v>
      </c>
      <c r="CT61">
        <v>2.2857142857142856</v>
      </c>
      <c r="CU61" s="8">
        <v>0</v>
      </c>
      <c r="CV61" s="9">
        <v>0</v>
      </c>
      <c r="CW61">
        <v>0.06</v>
      </c>
      <c r="CX61">
        <v>38.115201069529888</v>
      </c>
      <c r="CY61">
        <v>18064716.981132075</v>
      </c>
      <c r="CZ61">
        <v>0</v>
      </c>
      <c r="DA61">
        <v>13.452142204335905</v>
      </c>
      <c r="DB61">
        <v>51184436.615461081</v>
      </c>
      <c r="DC61">
        <v>0</v>
      </c>
      <c r="DD61">
        <v>7.3124598814610806</v>
      </c>
      <c r="DE61">
        <v>94159876.588946819</v>
      </c>
      <c r="DF61">
        <v>0</v>
      </c>
      <c r="DG61">
        <v>4.8855042891286953</v>
      </c>
      <c r="DH61">
        <v>140935362.91271943</v>
      </c>
      <c r="DI61">
        <v>0</v>
      </c>
      <c r="DJ61">
        <v>3.1349593578590373</v>
      </c>
      <c r="DK61">
        <v>219632933.44581854</v>
      </c>
      <c r="DL61">
        <v>0</v>
      </c>
      <c r="DM61">
        <v>19148600</v>
      </c>
      <c r="DN61">
        <v>0</v>
      </c>
      <c r="DO61">
        <v>688540320</v>
      </c>
      <c r="DP61">
        <v>204541710</v>
      </c>
      <c r="DQ61">
        <v>60</v>
      </c>
      <c r="DR61">
        <v>-0.56465517241379304</v>
      </c>
      <c r="DS61">
        <v>-0.26519999999999999</v>
      </c>
      <c r="DT61">
        <v>-0.44</v>
      </c>
      <c r="DU61">
        <v>-0.44</v>
      </c>
      <c r="DV61">
        <v>-0.88</v>
      </c>
      <c r="DW61">
        <v>-2.1006999999999998</v>
      </c>
      <c r="DX61">
        <v>0.34345353127862854</v>
      </c>
      <c r="DY61">
        <v>-2.017466770599758</v>
      </c>
      <c r="DZ61">
        <v>0</v>
      </c>
      <c r="EA61">
        <v>-2.017466770599758</v>
      </c>
      <c r="EB61">
        <v>2</v>
      </c>
      <c r="EC61">
        <v>2.6999920122216005E-2</v>
      </c>
      <c r="ED61">
        <v>0.155660826984515</v>
      </c>
      <c r="EE61">
        <v>0</v>
      </c>
      <c r="EF61">
        <v>0</v>
      </c>
      <c r="EG61">
        <v>17.173453531278629</v>
      </c>
      <c r="EH61" t="s">
        <v>86</v>
      </c>
      <c r="EI61">
        <v>0</v>
      </c>
      <c r="EJ61">
        <v>0</v>
      </c>
      <c r="EK61">
        <v>0</v>
      </c>
      <c r="EL61">
        <v>0</v>
      </c>
      <c r="EM61">
        <v>0</v>
      </c>
      <c r="EN61">
        <v>0</v>
      </c>
      <c r="EO61">
        <v>0</v>
      </c>
      <c r="EP61">
        <v>0</v>
      </c>
    </row>
    <row r="62" spans="1:146" ht="96" x14ac:dyDescent="0.25">
      <c r="A62" s="10"/>
      <c r="B62" s="10"/>
      <c r="C62" s="7" t="str">
        <f>""&amp;CHAR(10)&amp;Basic_Fundamental_Information_Constructure(F62)&amp;CHAR(10)&amp;Basic_Fundamental_Information_Concatenate("")</f>
        <v xml:space="preserve">
市值8.7472亿, 利润388.87万; PE37.58; 平均PE.24, PB2.22; ROIC8.3%; ROE8.7667%; 股利率2.0121%; 毛利25.3167%; 净利9.7567%; 上一年度营收增-80.53%, 利润增-88.85%; 当季营收增-59.01%, 利润增-68.39%; 过往5年营收增0%, 利润增0%
Income profile:
</v>
      </c>
      <c r="D62">
        <v>832278</v>
      </c>
      <c r="E62" t="s">
        <v>1267</v>
      </c>
      <c r="F62">
        <v>4.97</v>
      </c>
      <c r="G62" s="5">
        <v>-3.12</v>
      </c>
      <c r="H62" t="s">
        <v>3869</v>
      </c>
      <c r="I62">
        <v>874720000</v>
      </c>
      <c r="J62">
        <v>37.58</v>
      </c>
      <c r="K62">
        <v>2.2200000000000002</v>
      </c>
      <c r="L62" t="s">
        <v>2604</v>
      </c>
      <c r="M62" t="s">
        <v>18</v>
      </c>
      <c r="N62" t="s">
        <v>511</v>
      </c>
      <c r="O62" t="s">
        <v>3870</v>
      </c>
      <c r="P62">
        <v>-17.079999999999998</v>
      </c>
      <c r="Q62" t="s">
        <v>3870</v>
      </c>
      <c r="R62">
        <v>3888729</v>
      </c>
      <c r="S62" s="5">
        <v>-0.68389999999999995</v>
      </c>
      <c r="T62" t="s">
        <v>3871</v>
      </c>
      <c r="U62">
        <v>72988400</v>
      </c>
      <c r="V62">
        <v>176000000</v>
      </c>
      <c r="W62">
        <v>1.21</v>
      </c>
      <c r="X62">
        <v>0.14000000000000001</v>
      </c>
      <c r="Y62">
        <v>5.89</v>
      </c>
      <c r="Z62" t="s">
        <v>3872</v>
      </c>
      <c r="AA62" t="s">
        <v>3873</v>
      </c>
      <c r="AB62" t="s">
        <v>3874</v>
      </c>
      <c r="AC62" t="s">
        <v>3875</v>
      </c>
      <c r="AD62" t="s">
        <v>3876</v>
      </c>
      <c r="AE62">
        <v>953962</v>
      </c>
      <c r="AF62" t="s">
        <v>3877</v>
      </c>
      <c r="AG62">
        <v>4212.38</v>
      </c>
      <c r="AH62" t="s">
        <v>3878</v>
      </c>
      <c r="AI62" t="s">
        <v>318</v>
      </c>
      <c r="AJ62" t="s">
        <v>9</v>
      </c>
      <c r="AK62" t="s">
        <v>9</v>
      </c>
      <c r="AL62" t="s">
        <v>3879</v>
      </c>
      <c r="AM62" t="s">
        <v>9</v>
      </c>
      <c r="AN62" t="s">
        <v>3880</v>
      </c>
      <c r="AO62" t="s">
        <v>3881</v>
      </c>
      <c r="AP62" t="s">
        <v>3882</v>
      </c>
      <c r="AQ62" t="s">
        <v>3883</v>
      </c>
      <c r="AR62" t="s">
        <v>9</v>
      </c>
      <c r="AS62" t="s">
        <v>3884</v>
      </c>
      <c r="AT62" t="s">
        <v>9</v>
      </c>
      <c r="AU62" t="s">
        <v>3885</v>
      </c>
      <c r="AV62" t="s">
        <v>3886</v>
      </c>
      <c r="AW62" t="s">
        <v>3887</v>
      </c>
      <c r="AX62" t="s">
        <v>584</v>
      </c>
      <c r="AY62" t="s">
        <v>423</v>
      </c>
      <c r="AZ62" t="s">
        <v>1045</v>
      </c>
      <c r="BA62" t="s">
        <v>574</v>
      </c>
      <c r="BB62" t="s">
        <v>348</v>
      </c>
      <c r="BC62" t="s">
        <v>1268</v>
      </c>
      <c r="BD62" t="s">
        <v>1270</v>
      </c>
      <c r="BE62" t="s">
        <v>1271</v>
      </c>
      <c r="BF62" t="s">
        <v>1272</v>
      </c>
      <c r="BG62" t="s">
        <v>1273</v>
      </c>
      <c r="BH62" t="s">
        <v>486</v>
      </c>
      <c r="BI62" t="s">
        <v>128</v>
      </c>
      <c r="BJ62" t="s">
        <v>584</v>
      </c>
      <c r="BK62" t="s">
        <v>3888</v>
      </c>
      <c r="BL62" t="s">
        <v>1274</v>
      </c>
      <c r="BM62" t="s">
        <v>1268</v>
      </c>
      <c r="BN62">
        <v>6.23</v>
      </c>
      <c r="BO62">
        <v>8.7200000000000006</v>
      </c>
      <c r="BP62">
        <v>9.9499999999999993</v>
      </c>
      <c r="BQ62">
        <v>6.76</v>
      </c>
      <c r="BR62">
        <v>9.27</v>
      </c>
      <c r="BS62">
        <v>10.27</v>
      </c>
      <c r="BT62" t="s">
        <v>886</v>
      </c>
      <c r="BU62" t="s">
        <v>812</v>
      </c>
      <c r="BV62">
        <v>28.23</v>
      </c>
      <c r="BW62">
        <v>24.47</v>
      </c>
      <c r="BX62">
        <v>23.25</v>
      </c>
      <c r="BY62">
        <v>9.6199999999999992</v>
      </c>
      <c r="BZ62">
        <v>10.220000000000001</v>
      </c>
      <c r="CA62">
        <v>9.43</v>
      </c>
      <c r="CB62">
        <v>8.52</v>
      </c>
      <c r="CC62">
        <v>-7.1</v>
      </c>
      <c r="CD62" t="s">
        <v>3889</v>
      </c>
      <c r="CE62" t="s">
        <v>3890</v>
      </c>
      <c r="CF62" s="8">
        <v>-0.59013664596273296</v>
      </c>
      <c r="CG62" s="9">
        <v>-0.68389999999999995</v>
      </c>
      <c r="CH62" s="8">
        <v>-0.80534511804580688</v>
      </c>
      <c r="CI62" s="8">
        <v>-0.15880893170833588</v>
      </c>
      <c r="CJ62" s="8">
        <v>-2.8915662318468094E-2</v>
      </c>
      <c r="CK62" s="8">
        <v>0.36513158679008484</v>
      </c>
      <c r="CL62" s="8">
        <v>3.4013606607913971E-2</v>
      </c>
      <c r="CM62" s="9">
        <v>-0.88848775625228882</v>
      </c>
      <c r="CN62" s="9">
        <v>-8.5621088743209839E-2</v>
      </c>
      <c r="CO62" s="9">
        <v>-0.29802259802818298</v>
      </c>
      <c r="CP62" s="9">
        <v>0.66941475868225098</v>
      </c>
      <c r="CQ62" s="9">
        <v>0.60428875684738159</v>
      </c>
      <c r="CR62">
        <v>0.23585952953287961</v>
      </c>
      <c r="CS62" t="e">
        <v>#DIV/0!</v>
      </c>
      <c r="CT62">
        <v>2.0120724346076462</v>
      </c>
      <c r="CU62" s="8">
        <v>0</v>
      </c>
      <c r="CV62" s="9">
        <v>0</v>
      </c>
      <c r="CW62">
        <v>0.06</v>
      </c>
      <c r="CX62">
        <v>158.5679533005889</v>
      </c>
      <c r="CY62">
        <v>3668584.9056603769</v>
      </c>
      <c r="CZ62">
        <v>0</v>
      </c>
      <c r="DA62">
        <v>55.963988041381363</v>
      </c>
      <c r="DB62">
        <v>10394541.567871463</v>
      </c>
      <c r="DC62">
        <v>0</v>
      </c>
      <c r="DD62">
        <v>30.421505448200218</v>
      </c>
      <c r="DE62">
        <v>19121999.106537163</v>
      </c>
      <c r="DF62">
        <v>0</v>
      </c>
      <c r="DG62">
        <v>20.324815145411499</v>
      </c>
      <c r="DH62">
        <v>28621170.516836327</v>
      </c>
      <c r="DI62">
        <v>0</v>
      </c>
      <c r="DJ62">
        <v>13.042147886073508</v>
      </c>
      <c r="DK62">
        <v>44603082.64263469</v>
      </c>
      <c r="DL62">
        <v>0</v>
      </c>
      <c r="DM62">
        <v>3888700</v>
      </c>
      <c r="DN62">
        <v>0</v>
      </c>
      <c r="DO62">
        <v>581720000</v>
      </c>
      <c r="DP62">
        <v>239488420</v>
      </c>
      <c r="DQ62">
        <v>61</v>
      </c>
      <c r="DR62">
        <v>-0.59013664596273296</v>
      </c>
      <c r="DS62">
        <v>-0.68389999999999995</v>
      </c>
      <c r="DT62">
        <v>-0.44</v>
      </c>
      <c r="DU62">
        <v>-0.44</v>
      </c>
      <c r="DV62">
        <v>-0.88</v>
      </c>
      <c r="DW62">
        <v>5.833333333333333</v>
      </c>
      <c r="DX62">
        <v>0.41922461650012538</v>
      </c>
      <c r="DY62">
        <v>5.2826871804167705</v>
      </c>
      <c r="DZ62">
        <v>0</v>
      </c>
      <c r="EA62">
        <v>5.2826871804167705</v>
      </c>
      <c r="EB62">
        <v>5</v>
      </c>
      <c r="EC62">
        <v>4.253125E-2</v>
      </c>
      <c r="ED62">
        <v>0.1253778409090909</v>
      </c>
      <c r="EE62">
        <v>0</v>
      </c>
      <c r="EF62">
        <v>0</v>
      </c>
      <c r="EG62">
        <v>8.3392246165001254</v>
      </c>
      <c r="EH62" t="s">
        <v>86</v>
      </c>
      <c r="EI62">
        <v>1</v>
      </c>
      <c r="EJ62">
        <v>0</v>
      </c>
      <c r="EK62">
        <v>0</v>
      </c>
      <c r="EL62">
        <v>0</v>
      </c>
      <c r="EM62">
        <v>0</v>
      </c>
      <c r="EN62">
        <v>0</v>
      </c>
      <c r="EO62">
        <v>0</v>
      </c>
      <c r="EP62">
        <v>0</v>
      </c>
    </row>
    <row r="63" spans="1:146" ht="108" x14ac:dyDescent="0.25">
      <c r="A63" s="10"/>
      <c r="B63" s="10"/>
      <c r="C63" s="7" t="str">
        <f>""&amp;CHAR(10)&amp;Basic_Fundamental_Information_Constructure(F63)&amp;CHAR(10)&amp;Basic_Fundamental_Information_Concatenate("")</f>
        <v xml:space="preserve">
市值7.8129878亿, 利润1407.16万; PE11.31; 平均PE14.42, PB1.58; ROIC10.5267%; ROE10.95%; 股利率.9259%; 毛利17.1833%; 净利8.1533%; 上一年度营收增-71.4%, 利润增-67.38%; 当季营收增-53.69%, 利润增5.06%; 过往5年营收增0%, 利润增0%
Income profile:
</v>
      </c>
      <c r="D63">
        <v>832419</v>
      </c>
      <c r="E63" t="s">
        <v>1276</v>
      </c>
      <c r="F63">
        <v>7.56</v>
      </c>
      <c r="G63" s="5">
        <v>-0.66</v>
      </c>
      <c r="H63" t="s">
        <v>3891</v>
      </c>
      <c r="I63">
        <v>781298780</v>
      </c>
      <c r="J63">
        <v>11.31</v>
      </c>
      <c r="K63">
        <v>1.58</v>
      </c>
      <c r="L63" t="s">
        <v>2604</v>
      </c>
      <c r="M63" t="s">
        <v>480</v>
      </c>
      <c r="N63" t="s">
        <v>492</v>
      </c>
      <c r="O63" t="s">
        <v>92</v>
      </c>
      <c r="P63">
        <v>7.34</v>
      </c>
      <c r="Q63" t="s">
        <v>92</v>
      </c>
      <c r="R63">
        <v>14071643</v>
      </c>
      <c r="S63" s="5">
        <v>5.0599999999999999E-2</v>
      </c>
      <c r="T63" t="s">
        <v>3892</v>
      </c>
      <c r="U63">
        <v>92790549</v>
      </c>
      <c r="V63">
        <v>103346400</v>
      </c>
      <c r="W63">
        <v>1.38</v>
      </c>
      <c r="X63">
        <v>0.23</v>
      </c>
      <c r="Y63">
        <v>9.0500000000000007</v>
      </c>
      <c r="Z63" t="s">
        <v>459</v>
      </c>
      <c r="AA63" t="s">
        <v>89</v>
      </c>
      <c r="AB63" t="s">
        <v>3893</v>
      </c>
      <c r="AC63" t="s">
        <v>3894</v>
      </c>
      <c r="AD63" t="s">
        <v>3895</v>
      </c>
      <c r="AE63">
        <v>2027576</v>
      </c>
      <c r="AF63" t="s">
        <v>3896</v>
      </c>
      <c r="AG63" t="s">
        <v>3897</v>
      </c>
      <c r="AH63" t="s">
        <v>3898</v>
      </c>
      <c r="AI63" t="s">
        <v>131</v>
      </c>
      <c r="AJ63" t="s">
        <v>9</v>
      </c>
      <c r="AK63" t="s">
        <v>9</v>
      </c>
      <c r="AL63" t="s">
        <v>3899</v>
      </c>
      <c r="AM63" t="s">
        <v>9</v>
      </c>
      <c r="AN63" t="s">
        <v>3900</v>
      </c>
      <c r="AO63" t="s">
        <v>3901</v>
      </c>
      <c r="AP63" t="s">
        <v>9</v>
      </c>
      <c r="AQ63" t="s">
        <v>3902</v>
      </c>
      <c r="AR63" t="s">
        <v>9</v>
      </c>
      <c r="AS63" t="s">
        <v>469</v>
      </c>
      <c r="AT63" t="s">
        <v>9</v>
      </c>
      <c r="AU63" t="s">
        <v>3903</v>
      </c>
      <c r="AV63" t="s">
        <v>3904</v>
      </c>
      <c r="AW63" t="s">
        <v>3905</v>
      </c>
      <c r="AX63" t="s">
        <v>236</v>
      </c>
      <c r="AY63" t="s">
        <v>645</v>
      </c>
      <c r="AZ63" t="s">
        <v>531</v>
      </c>
      <c r="BA63" t="s">
        <v>44</v>
      </c>
      <c r="BB63" t="s">
        <v>584</v>
      </c>
      <c r="BC63" t="s">
        <v>1278</v>
      </c>
      <c r="BD63" t="s">
        <v>1279</v>
      </c>
      <c r="BE63" t="s">
        <v>1280</v>
      </c>
      <c r="BF63" t="s">
        <v>1281</v>
      </c>
      <c r="BG63" t="s">
        <v>1282</v>
      </c>
      <c r="BH63" t="s">
        <v>3906</v>
      </c>
      <c r="BI63" t="s">
        <v>584</v>
      </c>
      <c r="BJ63" t="s">
        <v>236</v>
      </c>
      <c r="BK63" t="s">
        <v>3907</v>
      </c>
      <c r="BL63" t="s">
        <v>1283</v>
      </c>
      <c r="BM63" t="s">
        <v>1278</v>
      </c>
      <c r="BN63">
        <v>10.08</v>
      </c>
      <c r="BO63">
        <v>11.34</v>
      </c>
      <c r="BP63">
        <v>10.16</v>
      </c>
      <c r="BQ63">
        <v>11.67</v>
      </c>
      <c r="BR63">
        <v>10.73</v>
      </c>
      <c r="BS63">
        <v>10.45</v>
      </c>
      <c r="BT63" t="s">
        <v>3908</v>
      </c>
      <c r="BU63" t="s">
        <v>1277</v>
      </c>
      <c r="BV63">
        <v>19.87</v>
      </c>
      <c r="BW63">
        <v>15.16</v>
      </c>
      <c r="BX63">
        <v>16.52</v>
      </c>
      <c r="BY63">
        <v>9.8800000000000008</v>
      </c>
      <c r="BZ63">
        <v>7.94</v>
      </c>
      <c r="CA63">
        <v>6.64</v>
      </c>
      <c r="CB63">
        <v>0.13</v>
      </c>
      <c r="CC63">
        <v>-13.9</v>
      </c>
      <c r="CD63" t="s">
        <v>3909</v>
      </c>
      <c r="CE63" t="s">
        <v>3910</v>
      </c>
      <c r="CF63" s="8">
        <v>-0.53687315634218291</v>
      </c>
      <c r="CG63" s="9">
        <v>5.0599999999999999E-2</v>
      </c>
      <c r="CH63" s="8">
        <v>-0.71402549743652344</v>
      </c>
      <c r="CI63" s="8">
        <v>0.19607843458652496</v>
      </c>
      <c r="CJ63" s="8">
        <v>8.2547172904014587E-2</v>
      </c>
      <c r="CK63" s="8">
        <v>0.22543352842330933</v>
      </c>
      <c r="CL63" s="8">
        <v>2.064896747469902E-2</v>
      </c>
      <c r="CM63" s="9">
        <v>-0.67375648021697998</v>
      </c>
      <c r="CN63" s="9">
        <v>0.41939198970794678</v>
      </c>
      <c r="CO63" s="9">
        <v>-0.21613450348377228</v>
      </c>
      <c r="CP63" s="9">
        <v>0.30971783399581909</v>
      </c>
      <c r="CQ63" s="9">
        <v>-0.32843255996704102</v>
      </c>
      <c r="CR63">
        <v>14.4208004636517</v>
      </c>
      <c r="CS63" t="e">
        <v>#DIV/0!</v>
      </c>
      <c r="CT63">
        <v>0.92592592592592593</v>
      </c>
      <c r="CU63" s="8">
        <v>0</v>
      </c>
      <c r="CV63" s="9">
        <v>0</v>
      </c>
      <c r="CW63">
        <v>0.06</v>
      </c>
      <c r="CX63">
        <v>32.790635521191618</v>
      </c>
      <c r="CY63">
        <v>13275094.339622641</v>
      </c>
      <c r="CZ63">
        <v>0</v>
      </c>
      <c r="DA63">
        <v>11.572923128411517</v>
      </c>
      <c r="DB63">
        <v>37613554.948044352</v>
      </c>
      <c r="DC63">
        <v>0</v>
      </c>
      <c r="DD63">
        <v>6.2909338008979256</v>
      </c>
      <c r="DE63">
        <v>69194620.985817447</v>
      </c>
      <c r="DF63">
        <v>0</v>
      </c>
      <c r="DG63">
        <v>4.203015751899148</v>
      </c>
      <c r="DH63">
        <v>103568200.95268703</v>
      </c>
      <c r="DI63">
        <v>0</v>
      </c>
      <c r="DJ63">
        <v>2.6970160668910386</v>
      </c>
      <c r="DK63">
        <v>161400143.41916278</v>
      </c>
      <c r="DL63">
        <v>0</v>
      </c>
      <c r="DM63">
        <v>14071600</v>
      </c>
      <c r="DN63">
        <v>0</v>
      </c>
      <c r="DO63">
        <v>435298779.99999994</v>
      </c>
      <c r="DP63">
        <v>243300920</v>
      </c>
      <c r="DQ63">
        <v>62</v>
      </c>
      <c r="DR63">
        <v>-0.53687315634218291</v>
      </c>
      <c r="DS63">
        <v>5.0599999999999999E-2</v>
      </c>
      <c r="DT63">
        <v>-0.44</v>
      </c>
      <c r="DU63">
        <v>-0.44</v>
      </c>
      <c r="DV63">
        <v>-0.88</v>
      </c>
      <c r="DW63">
        <v>-2.1390000000000002</v>
      </c>
      <c r="DX63">
        <v>0.15102607698542964</v>
      </c>
      <c r="DY63">
        <v>-2.0140426247009748</v>
      </c>
      <c r="DZ63">
        <v>0</v>
      </c>
      <c r="EA63">
        <v>-2.0140426247009748</v>
      </c>
      <c r="EB63">
        <v>2</v>
      </c>
      <c r="EC63">
        <v>4.9445360457645356E-3</v>
      </c>
      <c r="ED63">
        <v>4.894316589644148E-2</v>
      </c>
      <c r="EE63">
        <v>0</v>
      </c>
      <c r="EF63">
        <v>0</v>
      </c>
      <c r="EG63">
        <v>5.1010260769854296</v>
      </c>
      <c r="EH63" t="s">
        <v>86</v>
      </c>
      <c r="EI63">
        <v>0</v>
      </c>
      <c r="EJ63">
        <v>0</v>
      </c>
      <c r="EK63">
        <v>0</v>
      </c>
      <c r="EL63">
        <v>0</v>
      </c>
      <c r="EM63">
        <v>0</v>
      </c>
      <c r="EN63">
        <v>0</v>
      </c>
      <c r="EO63">
        <v>0</v>
      </c>
      <c r="EP63">
        <v>0</v>
      </c>
    </row>
    <row r="64" spans="1:146" ht="96" x14ac:dyDescent="0.25">
      <c r="A64" s="10"/>
      <c r="B64" s="10"/>
      <c r="C64" s="7" t="str">
        <f>""&amp;CHAR(10)&amp;Basic_Fundamental_Information_Constructure(F64)&amp;CHAR(10)&amp;Basic_Fundamental_Information_Concatenate("")</f>
        <v xml:space="preserve">
市值11.3602476亿, 利润1916.23万; PE16.75; 平均PE13.01, PB2.38; ROIC10.35%; ROE15.35%; 股利率1.861%; 毛利18.6867%; 净利9.3133%; 上一年度营收增-62.82%, 利润增-58.05%; 当季营收增-29.27%, 利润增256%; 过往5年营收增0%, 利润增0%
Income profile:
</v>
      </c>
      <c r="D64">
        <v>832469</v>
      </c>
      <c r="E64" t="s">
        <v>1284</v>
      </c>
      <c r="F64">
        <v>8.06</v>
      </c>
      <c r="G64" s="5">
        <v>-0.12</v>
      </c>
      <c r="H64" t="s">
        <v>3911</v>
      </c>
      <c r="I64">
        <v>1136024760</v>
      </c>
      <c r="J64">
        <v>16.75</v>
      </c>
      <c r="K64">
        <v>2.38</v>
      </c>
      <c r="L64" t="s">
        <v>2604</v>
      </c>
      <c r="M64" t="s">
        <v>2837</v>
      </c>
      <c r="N64" t="s">
        <v>519</v>
      </c>
      <c r="O64" t="s">
        <v>34</v>
      </c>
      <c r="P64">
        <v>50.44</v>
      </c>
      <c r="Q64" t="s">
        <v>34</v>
      </c>
      <c r="R64">
        <v>19162346</v>
      </c>
      <c r="S64" s="6">
        <v>2.56</v>
      </c>
      <c r="T64" t="s">
        <v>3912</v>
      </c>
      <c r="U64">
        <v>58231329</v>
      </c>
      <c r="V64">
        <v>108420000</v>
      </c>
      <c r="W64">
        <v>2.14</v>
      </c>
      <c r="X64">
        <v>0.17</v>
      </c>
      <c r="Y64">
        <v>10.98</v>
      </c>
      <c r="Z64" t="s">
        <v>128</v>
      </c>
      <c r="AA64" t="s">
        <v>328</v>
      </c>
      <c r="AB64" t="s">
        <v>3913</v>
      </c>
      <c r="AC64" t="s">
        <v>3914</v>
      </c>
      <c r="AD64" t="s">
        <v>3915</v>
      </c>
      <c r="AE64">
        <v>3537314</v>
      </c>
      <c r="AF64" t="s">
        <v>3916</v>
      </c>
      <c r="AG64">
        <v>3335.89</v>
      </c>
      <c r="AH64" t="s">
        <v>3917</v>
      </c>
      <c r="AI64" t="s">
        <v>3918</v>
      </c>
      <c r="AJ64" t="s">
        <v>9</v>
      </c>
      <c r="AK64" t="s">
        <v>3919</v>
      </c>
      <c r="AL64" t="s">
        <v>3920</v>
      </c>
      <c r="AM64" t="s">
        <v>9</v>
      </c>
      <c r="AN64" t="s">
        <v>153</v>
      </c>
      <c r="AO64" t="s">
        <v>22</v>
      </c>
      <c r="AP64" t="s">
        <v>2323</v>
      </c>
      <c r="AQ64" t="s">
        <v>3921</v>
      </c>
      <c r="AR64" t="s">
        <v>3922</v>
      </c>
      <c r="AS64" t="s">
        <v>244</v>
      </c>
      <c r="AT64" t="s">
        <v>377</v>
      </c>
      <c r="AU64" t="s">
        <v>3923</v>
      </c>
      <c r="AV64" t="s">
        <v>3924</v>
      </c>
      <c r="AW64" t="s">
        <v>3925</v>
      </c>
      <c r="AX64" t="s">
        <v>517</v>
      </c>
      <c r="AY64" t="s">
        <v>660</v>
      </c>
      <c r="AZ64" t="s">
        <v>440</v>
      </c>
      <c r="BA64" t="s">
        <v>66</v>
      </c>
      <c r="BB64" t="s">
        <v>533</v>
      </c>
      <c r="BC64" t="s">
        <v>1285</v>
      </c>
      <c r="BD64" t="s">
        <v>1287</v>
      </c>
      <c r="BE64" t="s">
        <v>1288</v>
      </c>
      <c r="BF64" t="s">
        <v>1289</v>
      </c>
      <c r="BG64" t="s">
        <v>1290</v>
      </c>
      <c r="BH64" t="s">
        <v>142</v>
      </c>
      <c r="BI64" t="s">
        <v>169</v>
      </c>
      <c r="BJ64" t="s">
        <v>517</v>
      </c>
      <c r="BK64" t="s">
        <v>3926</v>
      </c>
      <c r="BL64" t="s">
        <v>1291</v>
      </c>
      <c r="BM64" t="s">
        <v>1285</v>
      </c>
      <c r="BN64">
        <v>7.71</v>
      </c>
      <c r="BO64">
        <v>10.93</v>
      </c>
      <c r="BP64">
        <v>12.41</v>
      </c>
      <c r="BQ64">
        <v>12.8</v>
      </c>
      <c r="BR64">
        <v>17.899999999999999</v>
      </c>
      <c r="BS64" t="s">
        <v>9</v>
      </c>
      <c r="BT64" t="s">
        <v>3927</v>
      </c>
      <c r="BU64" t="s">
        <v>1206</v>
      </c>
      <c r="BV64">
        <v>19.579999999999998</v>
      </c>
      <c r="BW64">
        <v>19.329999999999998</v>
      </c>
      <c r="BX64">
        <v>17.149999999999999</v>
      </c>
      <c r="BY64">
        <v>9.76</v>
      </c>
      <c r="BZ64">
        <v>9.66</v>
      </c>
      <c r="CA64">
        <v>8.52</v>
      </c>
      <c r="CB64">
        <v>2.54</v>
      </c>
      <c r="CC64">
        <v>4.78</v>
      </c>
      <c r="CD64" t="s">
        <v>3928</v>
      </c>
      <c r="CE64" t="s">
        <v>3929</v>
      </c>
      <c r="CF64" s="8">
        <v>-0.29268292682926828</v>
      </c>
      <c r="CG64" s="9">
        <v>2.56</v>
      </c>
      <c r="CH64" s="8">
        <v>-0.62820512056350708</v>
      </c>
      <c r="CI64" s="8">
        <v>0.14146341383457184</v>
      </c>
      <c r="CJ64" s="8">
        <v>0.12637363374233246</v>
      </c>
      <c r="CK64" s="8">
        <v>0.11656441539525986</v>
      </c>
      <c r="CL64" s="8">
        <v>-0.1117166206240654</v>
      </c>
      <c r="CM64" s="9">
        <v>-0.58049261569976807</v>
      </c>
      <c r="CN64" s="9">
        <v>0.27954518795013428</v>
      </c>
      <c r="CO64" s="9">
        <v>0.31695502996444702</v>
      </c>
      <c r="CP64" s="9">
        <v>24.98945426940918</v>
      </c>
      <c r="CQ64" s="9">
        <v>1.0167646408081055</v>
      </c>
      <c r="CR64">
        <v>13.010998520832892</v>
      </c>
      <c r="CS64" t="e">
        <v>#DIV/0!</v>
      </c>
      <c r="CT64">
        <v>1.8610421836228286</v>
      </c>
      <c r="CU64" s="8">
        <v>0</v>
      </c>
      <c r="CV64" s="9">
        <v>0</v>
      </c>
      <c r="CW64">
        <v>0.06</v>
      </c>
      <c r="CX64">
        <v>66.049808509416934</v>
      </c>
      <c r="CY64">
        <v>18077641.509433959</v>
      </c>
      <c r="CZ64">
        <v>0</v>
      </c>
      <c r="DA64">
        <v>23.311208958782782</v>
      </c>
      <c r="DB64">
        <v>51221056.879168704</v>
      </c>
      <c r="DC64">
        <v>0</v>
      </c>
      <c r="DD64">
        <v>12.671757234659003</v>
      </c>
      <c r="DE64">
        <v>94227243.932213098</v>
      </c>
      <c r="DF64">
        <v>0</v>
      </c>
      <c r="DG64">
        <v>8.4660873802092578</v>
      </c>
      <c r="DH64">
        <v>141036196.10532382</v>
      </c>
      <c r="DI64">
        <v>0</v>
      </c>
      <c r="DJ64">
        <v>5.4325691446220672</v>
      </c>
      <c r="DK64">
        <v>219790071.36651289</v>
      </c>
      <c r="DL64">
        <v>0</v>
      </c>
      <c r="DM64">
        <v>19162300</v>
      </c>
      <c r="DN64">
        <v>0</v>
      </c>
      <c r="DO64">
        <v>1194024760</v>
      </c>
      <c r="DP64">
        <v>322752920</v>
      </c>
      <c r="DQ64">
        <v>63</v>
      </c>
      <c r="DR64">
        <v>-0.29268292682926828</v>
      </c>
      <c r="DS64">
        <v>2.56</v>
      </c>
      <c r="DT64">
        <v>-0.44</v>
      </c>
      <c r="DU64">
        <v>-0.22</v>
      </c>
      <c r="DV64">
        <v>-0.66</v>
      </c>
      <c r="DW64">
        <v>8.531380753138075</v>
      </c>
      <c r="DX64">
        <v>0.4150384628752164</v>
      </c>
      <c r="DY64">
        <v>8.0876982626993819</v>
      </c>
      <c r="DZ64">
        <v>0</v>
      </c>
      <c r="EA64">
        <v>8.0876982626993819</v>
      </c>
      <c r="EB64">
        <v>8</v>
      </c>
      <c r="EC64">
        <v>0.1051143700424276</v>
      </c>
      <c r="ED64">
        <v>0.63690831949824755</v>
      </c>
      <c r="EE64">
        <v>0</v>
      </c>
      <c r="EF64">
        <v>0</v>
      </c>
      <c r="EG64">
        <v>25.165038462875216</v>
      </c>
      <c r="EH64" t="s">
        <v>86</v>
      </c>
      <c r="EI64">
        <v>0</v>
      </c>
      <c r="EJ64">
        <v>0</v>
      </c>
      <c r="EK64">
        <v>0</v>
      </c>
      <c r="EL64">
        <v>0</v>
      </c>
      <c r="EM64">
        <v>0</v>
      </c>
      <c r="EN64">
        <v>0</v>
      </c>
      <c r="EO64">
        <v>0</v>
      </c>
      <c r="EP64">
        <v>0</v>
      </c>
    </row>
    <row r="65" spans="1:146" ht="96" x14ac:dyDescent="0.25">
      <c r="A65" s="10"/>
      <c r="B65" s="10"/>
      <c r="C65" s="7" t="str">
        <f>""&amp;CHAR(10)&amp;Basic_Fundamental_Information_Constructure(F65)&amp;CHAR(10)&amp;Basic_Fundamental_Information_Concatenate("")</f>
        <v xml:space="preserve">
市值7.4464亿, 利润246.41万; PE27.31; 平均PE.15, PB1.34; ROIC16.91%; ROE9.39%; 股利率1.1173%; 毛利30.2467%; 净利17.4533%; 上一年度营收增-78.55%, 利润增-96.04%; 当季营收增-43.72%, 利润增210.5%; 过往5年营收增0%, 利润增0%
Income profile:
</v>
      </c>
      <c r="D65">
        <v>832471</v>
      </c>
      <c r="E65" t="s">
        <v>1292</v>
      </c>
      <c r="F65">
        <v>8.9499999999999993</v>
      </c>
      <c r="G65" s="5">
        <v>-2.08</v>
      </c>
      <c r="H65" t="s">
        <v>3930</v>
      </c>
      <c r="I65">
        <v>744640000</v>
      </c>
      <c r="J65">
        <v>27.31</v>
      </c>
      <c r="K65">
        <v>1.34</v>
      </c>
      <c r="L65" t="s">
        <v>2604</v>
      </c>
      <c r="M65" t="s">
        <v>681</v>
      </c>
      <c r="N65" t="s">
        <v>694</v>
      </c>
      <c r="O65" t="s">
        <v>435</v>
      </c>
      <c r="P65">
        <v>30.71</v>
      </c>
      <c r="Q65" t="s">
        <v>435</v>
      </c>
      <c r="R65">
        <v>2464085</v>
      </c>
      <c r="S65" s="5">
        <v>2.105</v>
      </c>
      <c r="T65" t="s">
        <v>3931</v>
      </c>
      <c r="U65">
        <v>28584143</v>
      </c>
      <c r="V65">
        <v>83200000</v>
      </c>
      <c r="W65">
        <v>1.46</v>
      </c>
      <c r="X65">
        <v>0.12</v>
      </c>
      <c r="Y65">
        <v>5.16</v>
      </c>
      <c r="Z65" t="s">
        <v>411</v>
      </c>
      <c r="AA65" t="s">
        <v>3932</v>
      </c>
      <c r="AB65" t="s">
        <v>3933</v>
      </c>
      <c r="AC65" t="s">
        <v>3934</v>
      </c>
      <c r="AD65" t="s">
        <v>3935</v>
      </c>
      <c r="AE65">
        <v>446892</v>
      </c>
      <c r="AF65" t="s">
        <v>3936</v>
      </c>
      <c r="AG65">
        <v>2271.4499999999998</v>
      </c>
      <c r="AH65" t="s">
        <v>3937</v>
      </c>
      <c r="AI65" t="s">
        <v>3938</v>
      </c>
      <c r="AJ65" t="s">
        <v>9</v>
      </c>
      <c r="AK65" t="s">
        <v>3939</v>
      </c>
      <c r="AL65" t="s">
        <v>3940</v>
      </c>
      <c r="AM65" t="s">
        <v>9</v>
      </c>
      <c r="AN65" t="s">
        <v>22</v>
      </c>
      <c r="AO65" t="s">
        <v>3941</v>
      </c>
      <c r="AP65" t="s">
        <v>3942</v>
      </c>
      <c r="AQ65" t="s">
        <v>3943</v>
      </c>
      <c r="AR65">
        <v>10000</v>
      </c>
      <c r="AS65" t="s">
        <v>619</v>
      </c>
      <c r="AT65" t="s">
        <v>3944</v>
      </c>
      <c r="AU65" t="s">
        <v>3945</v>
      </c>
      <c r="AV65" t="s">
        <v>3946</v>
      </c>
      <c r="AW65" t="s">
        <v>3947</v>
      </c>
      <c r="AX65" t="s">
        <v>352</v>
      </c>
      <c r="AY65" t="s">
        <v>235</v>
      </c>
      <c r="AZ65" t="s">
        <v>488</v>
      </c>
      <c r="BA65" t="s">
        <v>148</v>
      </c>
      <c r="BB65" t="s">
        <v>438</v>
      </c>
      <c r="BC65" t="s">
        <v>1293</v>
      </c>
      <c r="BD65" t="s">
        <v>78</v>
      </c>
      <c r="BE65" t="s">
        <v>1294</v>
      </c>
      <c r="BF65" t="s">
        <v>1295</v>
      </c>
      <c r="BG65" t="s">
        <v>1296</v>
      </c>
      <c r="BH65" t="s">
        <v>519</v>
      </c>
      <c r="BI65" t="s">
        <v>536</v>
      </c>
      <c r="BJ65" t="s">
        <v>352</v>
      </c>
      <c r="BK65" t="s">
        <v>3948</v>
      </c>
      <c r="BL65" t="s">
        <v>1297</v>
      </c>
      <c r="BM65" t="s">
        <v>1293</v>
      </c>
      <c r="BN65">
        <v>2.94</v>
      </c>
      <c r="BO65">
        <v>16.170000000000002</v>
      </c>
      <c r="BP65">
        <v>31.62</v>
      </c>
      <c r="BQ65">
        <v>3.54</v>
      </c>
      <c r="BR65">
        <v>15.24</v>
      </c>
      <c r="BS65" t="s">
        <v>9</v>
      </c>
      <c r="BT65" t="s">
        <v>886</v>
      </c>
      <c r="BU65" t="s">
        <v>987</v>
      </c>
      <c r="BV65">
        <v>17.05</v>
      </c>
      <c r="BW65">
        <v>29.75</v>
      </c>
      <c r="BX65">
        <v>43.94</v>
      </c>
      <c r="BY65">
        <v>5.77</v>
      </c>
      <c r="BZ65">
        <v>16.920000000000002</v>
      </c>
      <c r="CA65">
        <v>29.67</v>
      </c>
      <c r="CB65">
        <v>1.82</v>
      </c>
      <c r="CC65">
        <v>-16.12</v>
      </c>
      <c r="CD65" t="s">
        <v>3949</v>
      </c>
      <c r="CE65" t="s">
        <v>3950</v>
      </c>
      <c r="CF65" s="8">
        <v>-0.43720930232558142</v>
      </c>
      <c r="CG65" s="9">
        <v>2.105</v>
      </c>
      <c r="CH65" s="8">
        <v>-0.78546100854873657</v>
      </c>
      <c r="CI65" s="8">
        <v>5.0279330462217331E-2</v>
      </c>
      <c r="CJ65" s="8">
        <v>0.69400632381439209</v>
      </c>
      <c r="CK65" s="8">
        <v>0.84302324056625366</v>
      </c>
      <c r="CL65" s="8">
        <v>8.1761009991168976E-2</v>
      </c>
      <c r="CM65" s="9">
        <v>-0.96041792631149292</v>
      </c>
      <c r="CN65" s="9">
        <v>-0.38967746496200562</v>
      </c>
      <c r="CO65" s="9">
        <v>4.4291129112243652</v>
      </c>
      <c r="CP65" s="9">
        <v>-0.24749365448951721</v>
      </c>
      <c r="CQ65" s="9">
        <v>0.92693352699279785</v>
      </c>
      <c r="CR65">
        <v>0.14967405481645427</v>
      </c>
      <c r="CS65" t="e">
        <v>#DIV/0!</v>
      </c>
      <c r="CT65">
        <v>1.1173184357541901</v>
      </c>
      <c r="CU65" s="8">
        <v>0</v>
      </c>
      <c r="CV65" s="9">
        <v>0</v>
      </c>
      <c r="CW65">
        <v>0.06</v>
      </c>
      <c r="CX65">
        <v>153.84862627328437</v>
      </c>
      <c r="CY65">
        <v>2324622.6415094337</v>
      </c>
      <c r="CZ65">
        <v>0</v>
      </c>
      <c r="DA65">
        <v>54.298378087907508</v>
      </c>
      <c r="DB65">
        <v>6586568.7446684167</v>
      </c>
      <c r="DC65">
        <v>0</v>
      </c>
      <c r="DD65">
        <v>29.516095307723557</v>
      </c>
      <c r="DE65">
        <v>12116778.871709883</v>
      </c>
      <c r="DF65">
        <v>0</v>
      </c>
      <c r="DG65">
        <v>19.719904459209477</v>
      </c>
      <c r="DH65">
        <v>18135990.503390953</v>
      </c>
      <c r="DI65">
        <v>0</v>
      </c>
      <c r="DJ65">
        <v>12.653985210503294</v>
      </c>
      <c r="DK65">
        <v>28263032.874666635</v>
      </c>
      <c r="DL65">
        <v>0</v>
      </c>
      <c r="DM65">
        <v>2464100</v>
      </c>
      <c r="DN65">
        <v>0</v>
      </c>
      <c r="DO65">
        <v>357640000</v>
      </c>
      <c r="DP65">
        <v>175038070</v>
      </c>
      <c r="DQ65">
        <v>64</v>
      </c>
      <c r="DR65">
        <v>-0.43720930232558142</v>
      </c>
      <c r="DS65">
        <v>2.105</v>
      </c>
      <c r="DT65">
        <v>-0.44</v>
      </c>
      <c r="DU65">
        <v>-0.44</v>
      </c>
      <c r="DV65">
        <v>-0.88</v>
      </c>
      <c r="DW65">
        <v>-3.0013571428571431</v>
      </c>
      <c r="DX65">
        <v>0.19902808423505236</v>
      </c>
      <c r="DY65">
        <v>-3.0000801095428904</v>
      </c>
      <c r="DZ65">
        <v>0</v>
      </c>
      <c r="EA65">
        <v>-3.0000801095428904</v>
      </c>
      <c r="EB65">
        <v>3</v>
      </c>
      <c r="EC65">
        <v>2.8134615384615383E-2</v>
      </c>
      <c r="ED65">
        <v>0.47663100961538463</v>
      </c>
      <c r="EE65">
        <v>0</v>
      </c>
      <c r="EF65">
        <v>0</v>
      </c>
      <c r="EG65">
        <v>14.059028084235052</v>
      </c>
      <c r="EH65" t="s">
        <v>86</v>
      </c>
      <c r="EI65">
        <v>0</v>
      </c>
      <c r="EJ65">
        <v>0</v>
      </c>
      <c r="EK65">
        <v>0</v>
      </c>
      <c r="EL65">
        <v>0</v>
      </c>
      <c r="EM65">
        <v>0</v>
      </c>
      <c r="EN65">
        <v>0</v>
      </c>
      <c r="EO65">
        <v>0</v>
      </c>
      <c r="EP65">
        <v>0</v>
      </c>
    </row>
    <row r="66" spans="1:146" ht="108" x14ac:dyDescent="0.25">
      <c r="A66" s="10"/>
      <c r="B66" s="10"/>
      <c r="C66" s="7" t="str">
        <f>""&amp;CHAR(10)&amp;Basic_Fundamental_Information_Constructure(F66)&amp;CHAR(10)&amp;Basic_Fundamental_Information_Concatenate("")</f>
        <v xml:space="preserve">
市值16.599046亿, 利润2038.14万; PE20.93; 平均PE1.16, PB1.75; ROIC7.5733%; ROE8.5233%; 股利率1.7007%; 毛利35.9033%; 净利14.92%; 上一年度营收增-67.2%, 利润增-61.53%; 当季营收增-42.33%, 利润增13%; 过往5年营收增0%, 利润增0%
Income profile:
</v>
      </c>
      <c r="D66">
        <v>832491</v>
      </c>
      <c r="E66" t="s">
        <v>1298</v>
      </c>
      <c r="F66">
        <v>11.76</v>
      </c>
      <c r="G66" s="5">
        <v>-2.57</v>
      </c>
      <c r="H66" t="s">
        <v>3951</v>
      </c>
      <c r="I66">
        <v>1659904600</v>
      </c>
      <c r="J66">
        <v>20.93</v>
      </c>
      <c r="K66">
        <v>1.75</v>
      </c>
      <c r="L66" t="s">
        <v>2604</v>
      </c>
      <c r="M66" t="s">
        <v>34</v>
      </c>
      <c r="N66" t="s">
        <v>3952</v>
      </c>
      <c r="O66" t="s">
        <v>89</v>
      </c>
      <c r="P66">
        <v>23.39</v>
      </c>
      <c r="Q66" t="s">
        <v>89</v>
      </c>
      <c r="R66">
        <v>20381445</v>
      </c>
      <c r="S66" s="5">
        <v>0.13</v>
      </c>
      <c r="T66" t="s">
        <v>3953</v>
      </c>
      <c r="U66">
        <v>106888812</v>
      </c>
      <c r="V66">
        <v>141159350</v>
      </c>
      <c r="W66">
        <v>1.1599999999999999</v>
      </c>
      <c r="X66">
        <v>0.11</v>
      </c>
      <c r="Y66">
        <v>16.399999999999999</v>
      </c>
      <c r="Z66" t="s">
        <v>63</v>
      </c>
      <c r="AA66" t="s">
        <v>3954</v>
      </c>
      <c r="AB66" t="s">
        <v>3955</v>
      </c>
      <c r="AC66" t="s">
        <v>3956</v>
      </c>
      <c r="AD66" t="s">
        <v>3957</v>
      </c>
      <c r="AE66">
        <v>4964854</v>
      </c>
      <c r="AF66" t="s">
        <v>3958</v>
      </c>
      <c r="AG66" t="s">
        <v>3959</v>
      </c>
      <c r="AH66" t="s">
        <v>3960</v>
      </c>
      <c r="AI66" t="s">
        <v>532</v>
      </c>
      <c r="AJ66" t="s">
        <v>9</v>
      </c>
      <c r="AK66" t="s">
        <v>3961</v>
      </c>
      <c r="AL66" t="s">
        <v>3962</v>
      </c>
      <c r="AM66" t="s">
        <v>9</v>
      </c>
      <c r="AN66" t="s">
        <v>3963</v>
      </c>
      <c r="AO66" t="s">
        <v>3964</v>
      </c>
      <c r="AP66" t="s">
        <v>9</v>
      </c>
      <c r="AQ66" t="s">
        <v>3965</v>
      </c>
      <c r="AR66" t="s">
        <v>9</v>
      </c>
      <c r="AS66" t="s">
        <v>487</v>
      </c>
      <c r="AT66" t="s">
        <v>9</v>
      </c>
      <c r="AU66" t="s">
        <v>3966</v>
      </c>
      <c r="AV66" t="s">
        <v>3967</v>
      </c>
      <c r="AW66" t="s">
        <v>3968</v>
      </c>
      <c r="AX66" t="s">
        <v>261</v>
      </c>
      <c r="AY66" t="s">
        <v>291</v>
      </c>
      <c r="AZ66" t="s">
        <v>409</v>
      </c>
      <c r="BA66" t="s">
        <v>426</v>
      </c>
      <c r="BB66" t="s">
        <v>419</v>
      </c>
      <c r="BC66" t="s">
        <v>1299</v>
      </c>
      <c r="BD66" t="s">
        <v>1300</v>
      </c>
      <c r="BE66" t="s">
        <v>1301</v>
      </c>
      <c r="BF66" t="s">
        <v>1302</v>
      </c>
      <c r="BG66" t="s">
        <v>1303</v>
      </c>
      <c r="BH66" t="s">
        <v>357</v>
      </c>
      <c r="BI66" t="s">
        <v>536</v>
      </c>
      <c r="BJ66" t="s">
        <v>261</v>
      </c>
      <c r="BK66" t="s">
        <v>3969</v>
      </c>
      <c r="BL66" t="s">
        <v>1304</v>
      </c>
      <c r="BM66" t="s">
        <v>1299</v>
      </c>
      <c r="BN66">
        <v>5.83</v>
      </c>
      <c r="BO66">
        <v>6.31</v>
      </c>
      <c r="BP66">
        <v>10.58</v>
      </c>
      <c r="BQ66">
        <v>7.08</v>
      </c>
      <c r="BR66">
        <v>7.26</v>
      </c>
      <c r="BS66">
        <v>11.23</v>
      </c>
      <c r="BT66" t="s">
        <v>851</v>
      </c>
      <c r="BU66" t="s">
        <v>844</v>
      </c>
      <c r="BV66">
        <v>38.07</v>
      </c>
      <c r="BW66">
        <v>35.15</v>
      </c>
      <c r="BX66">
        <v>34.49</v>
      </c>
      <c r="BY66">
        <v>16.48</v>
      </c>
      <c r="BZ66">
        <v>13.92</v>
      </c>
      <c r="CA66">
        <v>14.36</v>
      </c>
      <c r="CB66">
        <v>-3.13</v>
      </c>
      <c r="CC66">
        <v>-16.649999999999999</v>
      </c>
      <c r="CD66" t="s">
        <v>3970</v>
      </c>
      <c r="CE66" t="s">
        <v>3971</v>
      </c>
      <c r="CF66" s="8">
        <v>-0.42325581395348838</v>
      </c>
      <c r="CG66" s="9">
        <v>0.13</v>
      </c>
      <c r="CH66" s="8">
        <v>-0.67195767164230347</v>
      </c>
      <c r="CI66" s="8">
        <v>-9.1346152126789093E-2</v>
      </c>
      <c r="CJ66" s="8">
        <v>0.2380952388048172</v>
      </c>
      <c r="CK66" s="8">
        <v>0.33864542841911316</v>
      </c>
      <c r="CL66" s="8">
        <v>-0.14334471523761749</v>
      </c>
      <c r="CM66" s="9">
        <v>-0.61525219678878784</v>
      </c>
      <c r="CN66" s="9">
        <v>-0.11363396793603897</v>
      </c>
      <c r="CO66" s="9">
        <v>0.5712130069732666</v>
      </c>
      <c r="CP66" s="9">
        <v>5.7789382934570313</v>
      </c>
      <c r="CQ66" s="9">
        <v>-0.80230635404586792</v>
      </c>
      <c r="CR66">
        <v>1.1645209835941133</v>
      </c>
      <c r="CS66" t="e">
        <v>#DIV/0!</v>
      </c>
      <c r="CT66">
        <v>1.7006802721088436</v>
      </c>
      <c r="CU66" s="8">
        <v>0</v>
      </c>
      <c r="CV66" s="9">
        <v>0</v>
      </c>
      <c r="CW66">
        <v>0.06</v>
      </c>
      <c r="CX66">
        <v>46.126314973456189</v>
      </c>
      <c r="CY66">
        <v>19227735.849056602</v>
      </c>
      <c r="CZ66">
        <v>0</v>
      </c>
      <c r="DA66">
        <v>16.279534961733692</v>
      </c>
      <c r="DB66">
        <v>54479725.746757381</v>
      </c>
      <c r="DC66">
        <v>0</v>
      </c>
      <c r="DD66">
        <v>8.849404391380169</v>
      </c>
      <c r="DE66">
        <v>100221954.01804626</v>
      </c>
      <c r="DF66">
        <v>0</v>
      </c>
      <c r="DG66">
        <v>5.9123473921451044</v>
      </c>
      <c r="DH66">
        <v>150008878.22970349</v>
      </c>
      <c r="DI66">
        <v>0</v>
      </c>
      <c r="DJ66">
        <v>3.7938701282410272</v>
      </c>
      <c r="DK66">
        <v>233773052.3240658</v>
      </c>
      <c r="DL66">
        <v>0</v>
      </c>
      <c r="DM66">
        <v>20381400</v>
      </c>
      <c r="DN66">
        <v>0</v>
      </c>
      <c r="DO66">
        <v>886904599.99999988</v>
      </c>
      <c r="DP66">
        <v>720395390</v>
      </c>
      <c r="DQ66">
        <v>65</v>
      </c>
      <c r="DR66">
        <v>-0.42325581395348838</v>
      </c>
      <c r="DS66">
        <v>0.13</v>
      </c>
      <c r="DT66">
        <v>-0.44</v>
      </c>
      <c r="DU66">
        <v>-0.22</v>
      </c>
      <c r="DV66">
        <v>-0.66</v>
      </c>
      <c r="DW66">
        <v>-8.187987987987988</v>
      </c>
      <c r="DX66">
        <v>0.3546331406475024</v>
      </c>
      <c r="DY66">
        <v>-8.0347088126262278</v>
      </c>
      <c r="DZ66">
        <v>0</v>
      </c>
      <c r="EA66">
        <v>-8.0347088126262278</v>
      </c>
      <c r="EB66">
        <v>8</v>
      </c>
      <c r="EC66">
        <v>3.9778448965654772E-2</v>
      </c>
      <c r="ED66">
        <v>0.2154458773010785</v>
      </c>
      <c r="EE66">
        <v>0</v>
      </c>
      <c r="EF66">
        <v>0</v>
      </c>
      <c r="EG66">
        <v>17.184633140647502</v>
      </c>
      <c r="EH66" t="s">
        <v>86</v>
      </c>
      <c r="EI66">
        <v>0</v>
      </c>
      <c r="EJ66">
        <v>0</v>
      </c>
      <c r="EK66">
        <v>0</v>
      </c>
      <c r="EL66">
        <v>0</v>
      </c>
      <c r="EM66">
        <v>0</v>
      </c>
      <c r="EN66">
        <v>0</v>
      </c>
      <c r="EO66">
        <v>0</v>
      </c>
      <c r="EP66">
        <v>0</v>
      </c>
    </row>
    <row r="67" spans="1:146" ht="96" x14ac:dyDescent="0.25">
      <c r="A67" s="10"/>
      <c r="B67" s="10"/>
      <c r="C67" s="7" t="str">
        <f>""&amp;CHAR(10)&amp;Basic_Fundamental_Information_Constructure(F67)&amp;CHAR(10)&amp;Basic_Fundamental_Information_Concatenate("")</f>
        <v xml:space="preserve">
市值14.080196亿, 利润4882.12万; PE10.82; 平均PE.07, PB1.49; ROIC25.085%; ROE44.3%; 股利率1.9894%; 毛利22.6167%; 净利11.88%; 上一年度营收增-61.38%, 利润增-56.8%; 当季营收增-38%, 利润增437.3%; 过往5年营收增0%, 利润增0%
Income profile:
</v>
      </c>
      <c r="D67">
        <v>832522</v>
      </c>
      <c r="E67" t="s">
        <v>1305</v>
      </c>
      <c r="F67">
        <v>15.08</v>
      </c>
      <c r="G67" s="5">
        <v>-1.24</v>
      </c>
      <c r="H67" t="s">
        <v>3972</v>
      </c>
      <c r="I67">
        <v>1408019600</v>
      </c>
      <c r="J67">
        <v>10.82</v>
      </c>
      <c r="K67">
        <v>1.49</v>
      </c>
      <c r="L67" t="s">
        <v>2604</v>
      </c>
      <c r="M67" t="s">
        <v>3973</v>
      </c>
      <c r="N67" t="s">
        <v>3974</v>
      </c>
      <c r="O67" t="s">
        <v>307</v>
      </c>
      <c r="P67">
        <v>8.56</v>
      </c>
      <c r="Q67" t="s">
        <v>307</v>
      </c>
      <c r="R67">
        <v>48821207</v>
      </c>
      <c r="S67" s="5">
        <v>4.3730000000000002</v>
      </c>
      <c r="T67" t="s">
        <v>3975</v>
      </c>
      <c r="U67">
        <v>50599500</v>
      </c>
      <c r="V67">
        <v>93370000</v>
      </c>
      <c r="W67">
        <v>2.5499999999999998</v>
      </c>
      <c r="X67">
        <v>0.12</v>
      </c>
      <c r="Y67">
        <v>16.72</v>
      </c>
      <c r="Z67" t="s">
        <v>169</v>
      </c>
      <c r="AA67" t="s">
        <v>297</v>
      </c>
      <c r="AB67" t="s">
        <v>3976</v>
      </c>
      <c r="AC67" t="s">
        <v>3977</v>
      </c>
      <c r="AD67" t="s">
        <v>3978</v>
      </c>
      <c r="AE67">
        <v>101409</v>
      </c>
      <c r="AF67" t="s">
        <v>3979</v>
      </c>
      <c r="AG67" t="s">
        <v>3980</v>
      </c>
      <c r="AH67" t="s">
        <v>3981</v>
      </c>
      <c r="AI67" t="s">
        <v>423</v>
      </c>
      <c r="AJ67" t="s">
        <v>9</v>
      </c>
      <c r="AK67" t="s">
        <v>3982</v>
      </c>
      <c r="AL67" t="s">
        <v>3983</v>
      </c>
      <c r="AM67" t="s">
        <v>9</v>
      </c>
      <c r="AN67" t="s">
        <v>3984</v>
      </c>
      <c r="AO67" t="s">
        <v>3985</v>
      </c>
      <c r="AP67" t="s">
        <v>3986</v>
      </c>
      <c r="AQ67" t="s">
        <v>41</v>
      </c>
      <c r="AR67" t="s">
        <v>9</v>
      </c>
      <c r="AS67" t="s">
        <v>513</v>
      </c>
      <c r="AT67" t="s">
        <v>3987</v>
      </c>
      <c r="AU67" t="s">
        <v>3988</v>
      </c>
      <c r="AV67" t="s">
        <v>3989</v>
      </c>
      <c r="AW67" t="s">
        <v>3990</v>
      </c>
      <c r="AX67" t="s">
        <v>605</v>
      </c>
      <c r="AY67" t="s">
        <v>618</v>
      </c>
      <c r="AZ67" t="s">
        <v>1306</v>
      </c>
      <c r="BA67" t="s">
        <v>576</v>
      </c>
      <c r="BB67" t="s">
        <v>22</v>
      </c>
      <c r="BC67" t="s">
        <v>411</v>
      </c>
      <c r="BD67" t="s">
        <v>1307</v>
      </c>
      <c r="BE67" t="s">
        <v>1308</v>
      </c>
      <c r="BF67" t="s">
        <v>1309</v>
      </c>
      <c r="BG67" t="s">
        <v>1310</v>
      </c>
      <c r="BH67" t="s">
        <v>3991</v>
      </c>
      <c r="BI67" t="s">
        <v>248</v>
      </c>
      <c r="BJ67" t="s">
        <v>605</v>
      </c>
      <c r="BK67" t="s">
        <v>89</v>
      </c>
      <c r="BL67" t="s">
        <v>1311</v>
      </c>
      <c r="BM67" t="s">
        <v>411</v>
      </c>
      <c r="BN67" t="s">
        <v>9</v>
      </c>
      <c r="BO67">
        <v>36.590000000000003</v>
      </c>
      <c r="BP67">
        <v>13.58</v>
      </c>
      <c r="BQ67" t="s">
        <v>9</v>
      </c>
      <c r="BR67">
        <v>44.3</v>
      </c>
      <c r="BS67" t="s">
        <v>9</v>
      </c>
      <c r="BT67" t="s">
        <v>3992</v>
      </c>
      <c r="BU67" t="s">
        <v>915</v>
      </c>
      <c r="BV67">
        <v>25.21</v>
      </c>
      <c r="BW67">
        <v>25.13</v>
      </c>
      <c r="BX67">
        <v>17.510000000000002</v>
      </c>
      <c r="BY67">
        <v>13.1</v>
      </c>
      <c r="BZ67">
        <v>14.98</v>
      </c>
      <c r="CA67">
        <v>7.56</v>
      </c>
      <c r="CB67">
        <v>-2.71</v>
      </c>
      <c r="CC67">
        <v>-11.29</v>
      </c>
      <c r="CD67" t="s">
        <v>3993</v>
      </c>
      <c r="CE67" t="s">
        <v>3994</v>
      </c>
      <c r="CF67" s="8">
        <v>-0.38004246284501064</v>
      </c>
      <c r="CG67" s="9">
        <v>4.3730000000000002</v>
      </c>
      <c r="CH67" s="8">
        <v>-0.61375659704208374</v>
      </c>
      <c r="CI67" s="8">
        <v>0.94344472885131836</v>
      </c>
      <c r="CJ67" s="8">
        <v>2.9857048988342285</v>
      </c>
      <c r="CK67" s="8">
        <v>-0.53077501058578491</v>
      </c>
      <c r="CL67" s="8">
        <v>0.21637426316738129</v>
      </c>
      <c r="CM67" s="9">
        <v>-0.56795400381088257</v>
      </c>
      <c r="CN67" s="9">
        <v>2.837493896484375</v>
      </c>
      <c r="CO67" s="9">
        <v>2.040942907333374</v>
      </c>
      <c r="CP67" s="9">
        <v>-1.3962000608444214</v>
      </c>
      <c r="CQ67" s="9">
        <v>-1.7910770177841187</v>
      </c>
      <c r="CR67">
        <v>6.5064688109904609E-2</v>
      </c>
      <c r="CS67" t="e">
        <v>#DIV/0!</v>
      </c>
      <c r="CT67">
        <v>1.9893899204244032</v>
      </c>
      <c r="CU67" s="8">
        <v>0</v>
      </c>
      <c r="CV67" s="9">
        <v>0</v>
      </c>
      <c r="CW67">
        <v>0.06</v>
      </c>
      <c r="CX67">
        <v>46.007897716565758</v>
      </c>
      <c r="CY67">
        <v>46057735.849056602</v>
      </c>
      <c r="CZ67">
        <v>0</v>
      </c>
      <c r="DA67">
        <v>16.237741510972889</v>
      </c>
      <c r="DB67">
        <v>130499650.98705642</v>
      </c>
      <c r="DC67">
        <v>0</v>
      </c>
      <c r="DD67">
        <v>8.826685858721655</v>
      </c>
      <c r="DE67">
        <v>240069674.38477436</v>
      </c>
      <c r="DF67">
        <v>0</v>
      </c>
      <c r="DG67">
        <v>5.8971689856245746</v>
      </c>
      <c r="DH67">
        <v>359328281.95452714</v>
      </c>
      <c r="DI67">
        <v>0</v>
      </c>
      <c r="DJ67">
        <v>3.7841303583538513</v>
      </c>
      <c r="DK67">
        <v>559975317.79581785</v>
      </c>
      <c r="DL67">
        <v>0</v>
      </c>
      <c r="DM67">
        <v>48821200</v>
      </c>
      <c r="DN67">
        <v>0</v>
      </c>
      <c r="DO67">
        <v>2119019600</v>
      </c>
      <c r="DP67">
        <v>830058500</v>
      </c>
      <c r="DQ67">
        <v>66</v>
      </c>
      <c r="DR67">
        <v>-0.38004246284501064</v>
      </c>
      <c r="DS67">
        <v>4.3730000000000002</v>
      </c>
      <c r="DT67">
        <v>-0.44</v>
      </c>
      <c r="DU67">
        <v>-0.22</v>
      </c>
      <c r="DV67">
        <v>-0.66</v>
      </c>
      <c r="DW67">
        <v>-8.2400354295837026</v>
      </c>
      <c r="DX67">
        <v>0.41762697099050355</v>
      </c>
      <c r="DY67">
        <v>-8.0282346405123359</v>
      </c>
      <c r="DZ67">
        <v>0</v>
      </c>
      <c r="EA67">
        <v>-8.0282346405123359</v>
      </c>
      <c r="EB67">
        <v>8</v>
      </c>
      <c r="EC67">
        <v>3.6152939916461388E-2</v>
      </c>
      <c r="ED67">
        <v>0.3073524686730213</v>
      </c>
      <c r="EE67">
        <v>0</v>
      </c>
      <c r="EF67">
        <v>0</v>
      </c>
      <c r="EG67">
        <v>30.117626970990504</v>
      </c>
      <c r="EH67" t="s">
        <v>86</v>
      </c>
      <c r="EI67">
        <v>0</v>
      </c>
      <c r="EJ67">
        <v>0</v>
      </c>
      <c r="EK67">
        <v>0</v>
      </c>
      <c r="EL67">
        <v>0</v>
      </c>
      <c r="EM67">
        <v>0</v>
      </c>
      <c r="EN67">
        <v>0</v>
      </c>
      <c r="EO67">
        <v>0</v>
      </c>
      <c r="EP67">
        <v>0</v>
      </c>
    </row>
    <row r="68" spans="1:146" ht="108" x14ac:dyDescent="0.25">
      <c r="A68" s="10"/>
      <c r="B68" s="10"/>
      <c r="C68" s="7" t="str">
        <f>""&amp;CHAR(10)&amp;Basic_Fundamental_Information_Constructure(F68)&amp;CHAR(10)&amp;Basic_Fundamental_Information_Concatenate("")</f>
        <v xml:space="preserve">
市值9.8928729亿, 利润1988.62万; PE9.33; 平均PE.14, PB1.29; ROIC13.0867%; ROE13.6167%; 股利率5.1852%; 毛利80.48%; 净利22.24%; 上一年度营收增-78.81%, 利润增-80.5%; 当季营收增-52.22%, 利润增22.99%; 过往5年营收增0%, 利润增0%
Income profile:
</v>
      </c>
      <c r="D68">
        <v>832566</v>
      </c>
      <c r="E68" t="s">
        <v>1312</v>
      </c>
      <c r="F68">
        <v>6.75</v>
      </c>
      <c r="G68" s="5">
        <v>-1.6</v>
      </c>
      <c r="H68" t="s">
        <v>3995</v>
      </c>
      <c r="I68">
        <v>989287290</v>
      </c>
      <c r="J68">
        <v>9.33</v>
      </c>
      <c r="K68">
        <v>1.29</v>
      </c>
      <c r="L68" t="s">
        <v>2604</v>
      </c>
      <c r="M68" t="s">
        <v>242</v>
      </c>
      <c r="N68" t="s">
        <v>3996</v>
      </c>
      <c r="O68" t="s">
        <v>3997</v>
      </c>
      <c r="P68">
        <v>3.61</v>
      </c>
      <c r="Q68" t="s">
        <v>3997</v>
      </c>
      <c r="R68">
        <v>19886177</v>
      </c>
      <c r="S68" s="5">
        <v>0.22989999999999999</v>
      </c>
      <c r="T68" t="s">
        <v>3998</v>
      </c>
      <c r="U68">
        <v>112429761</v>
      </c>
      <c r="V68">
        <v>146561080</v>
      </c>
      <c r="W68">
        <v>1.18</v>
      </c>
      <c r="X68">
        <v>0.1</v>
      </c>
      <c r="Y68">
        <v>21.18</v>
      </c>
      <c r="Z68" t="s">
        <v>3999</v>
      </c>
      <c r="AA68" t="s">
        <v>4000</v>
      </c>
      <c r="AB68" t="s">
        <v>4001</v>
      </c>
      <c r="AC68" t="s">
        <v>4002</v>
      </c>
      <c r="AD68" t="s">
        <v>4003</v>
      </c>
      <c r="AE68">
        <v>147715</v>
      </c>
      <c r="AF68" t="s">
        <v>4004</v>
      </c>
      <c r="AG68">
        <v>4224.5600000000004</v>
      </c>
      <c r="AH68" t="s">
        <v>4005</v>
      </c>
      <c r="AI68" t="s">
        <v>4006</v>
      </c>
      <c r="AJ68" t="s">
        <v>9</v>
      </c>
      <c r="AK68" t="s">
        <v>4007</v>
      </c>
      <c r="AL68" t="s">
        <v>4008</v>
      </c>
      <c r="AM68" t="s">
        <v>9</v>
      </c>
      <c r="AN68">
        <v>0</v>
      </c>
      <c r="AO68" t="s">
        <v>9</v>
      </c>
      <c r="AP68" t="s">
        <v>4009</v>
      </c>
      <c r="AQ68" t="s">
        <v>4010</v>
      </c>
      <c r="AR68" t="s">
        <v>9</v>
      </c>
      <c r="AS68" t="s">
        <v>4011</v>
      </c>
      <c r="AT68" t="s">
        <v>9</v>
      </c>
      <c r="AU68" t="s">
        <v>4012</v>
      </c>
      <c r="AV68" t="s">
        <v>4013</v>
      </c>
      <c r="AW68" t="s">
        <v>4014</v>
      </c>
      <c r="AX68" t="s">
        <v>452</v>
      </c>
      <c r="AY68" t="s">
        <v>531</v>
      </c>
      <c r="AZ68" t="s">
        <v>358</v>
      </c>
      <c r="BA68" t="s">
        <v>616</v>
      </c>
      <c r="BB68" t="s">
        <v>619</v>
      </c>
      <c r="BC68" t="s">
        <v>78</v>
      </c>
      <c r="BD68" t="s">
        <v>1313</v>
      </c>
      <c r="BE68" t="s">
        <v>1314</v>
      </c>
      <c r="BF68" t="s">
        <v>1315</v>
      </c>
      <c r="BG68" t="s">
        <v>1316</v>
      </c>
      <c r="BH68" t="s">
        <v>323</v>
      </c>
      <c r="BI68" t="s">
        <v>239</v>
      </c>
      <c r="BJ68" t="s">
        <v>452</v>
      </c>
      <c r="BK68" t="s">
        <v>78</v>
      </c>
      <c r="BL68" t="s">
        <v>1317</v>
      </c>
      <c r="BM68" t="s">
        <v>78</v>
      </c>
      <c r="BN68">
        <v>9.07</v>
      </c>
      <c r="BO68">
        <v>14.88</v>
      </c>
      <c r="BP68">
        <v>15.31</v>
      </c>
      <c r="BQ68">
        <v>9.01</v>
      </c>
      <c r="BR68">
        <v>15.19</v>
      </c>
      <c r="BS68">
        <v>16.649999999999999</v>
      </c>
      <c r="BT68" t="s">
        <v>4015</v>
      </c>
      <c r="BU68" t="s">
        <v>765</v>
      </c>
      <c r="BV68">
        <v>80.94</v>
      </c>
      <c r="BW68">
        <v>79.959999999999994</v>
      </c>
      <c r="BX68">
        <v>80.540000000000006</v>
      </c>
      <c r="BY68">
        <v>25.06</v>
      </c>
      <c r="BZ68">
        <v>22.98</v>
      </c>
      <c r="CA68">
        <v>18.68</v>
      </c>
      <c r="CB68">
        <v>1.66</v>
      </c>
      <c r="CC68">
        <v>-12.56</v>
      </c>
      <c r="CD68" t="s">
        <v>4016</v>
      </c>
      <c r="CE68" t="s">
        <v>4017</v>
      </c>
      <c r="CF68" s="8">
        <v>-0.52216632653061212</v>
      </c>
      <c r="CG68" s="9">
        <v>0.22989999999999999</v>
      </c>
      <c r="CH68" s="8">
        <v>-0.78810995817184448</v>
      </c>
      <c r="CI68" s="8">
        <v>4.2452830821275711E-2</v>
      </c>
      <c r="CJ68" s="8">
        <v>0.16164383292198181</v>
      </c>
      <c r="CK68" s="8">
        <v>3.693181648850441E-2</v>
      </c>
      <c r="CL68" s="8">
        <v>0.27075812220573425</v>
      </c>
      <c r="CM68" s="9">
        <v>-0.80503726005554199</v>
      </c>
      <c r="CN68" s="9">
        <v>0.27332556247711182</v>
      </c>
      <c r="CO68" s="9">
        <v>0.27003344893455505</v>
      </c>
      <c r="CP68" s="9">
        <v>7.7406227588653564E-2</v>
      </c>
      <c r="CQ68" s="9">
        <v>0.38192832469940186</v>
      </c>
      <c r="CR68">
        <v>0.14334420180565011</v>
      </c>
      <c r="CS68" t="e">
        <v>#DIV/0!</v>
      </c>
      <c r="CT68">
        <v>5.1851851851851851</v>
      </c>
      <c r="CU68" s="8">
        <v>0</v>
      </c>
      <c r="CV68" s="9">
        <v>0</v>
      </c>
      <c r="CW68">
        <v>0.06</v>
      </c>
      <c r="CX68">
        <v>18.085130764047435</v>
      </c>
      <c r="CY68">
        <v>18760566.037735846</v>
      </c>
      <c r="CZ68">
        <v>0</v>
      </c>
      <c r="DA68">
        <v>6.3828536645570093</v>
      </c>
      <c r="DB68">
        <v>53156050.229383983</v>
      </c>
      <c r="DC68">
        <v>0</v>
      </c>
      <c r="DD68">
        <v>3.4696601212159246</v>
      </c>
      <c r="DE68">
        <v>97786895.011808395</v>
      </c>
      <c r="DF68">
        <v>0</v>
      </c>
      <c r="DG68">
        <v>2.3181035764714855</v>
      </c>
      <c r="DH68">
        <v>146364163.12184292</v>
      </c>
      <c r="DI68">
        <v>0</v>
      </c>
      <c r="DJ68">
        <v>1.4874944467282103</v>
      </c>
      <c r="DK68">
        <v>228093147.33663228</v>
      </c>
      <c r="DL68">
        <v>0</v>
      </c>
      <c r="DM68">
        <v>19886200</v>
      </c>
      <c r="DN68">
        <v>0</v>
      </c>
      <c r="DO68">
        <v>339287290</v>
      </c>
      <c r="DP68">
        <v>440446510</v>
      </c>
      <c r="DQ68">
        <v>67</v>
      </c>
      <c r="DR68">
        <v>-0.52216632653061212</v>
      </c>
      <c r="DS68">
        <v>0.22989999999999999</v>
      </c>
      <c r="DT68">
        <v>-0.44</v>
      </c>
      <c r="DU68">
        <v>-0.22</v>
      </c>
      <c r="DV68">
        <v>-0.66</v>
      </c>
      <c r="DW68">
        <v>-2.1255999999999999</v>
      </c>
      <c r="DX68">
        <v>0.29664069517264469</v>
      </c>
      <c r="DY68">
        <v>-2.0171620713136842</v>
      </c>
      <c r="DZ68">
        <v>0</v>
      </c>
      <c r="EA68">
        <v>-2.0171620713136842</v>
      </c>
      <c r="EB68">
        <v>2</v>
      </c>
      <c r="EC68">
        <v>2.2316292974915306E-2</v>
      </c>
      <c r="ED68">
        <v>0.16332098535300094</v>
      </c>
      <c r="EE68">
        <v>0</v>
      </c>
      <c r="EF68">
        <v>0</v>
      </c>
      <c r="EG68">
        <v>16.136640695172645</v>
      </c>
      <c r="EH68" t="s">
        <v>86</v>
      </c>
      <c r="EI68">
        <v>0</v>
      </c>
      <c r="EJ68">
        <v>0</v>
      </c>
      <c r="EK68">
        <v>0</v>
      </c>
      <c r="EL68">
        <v>0</v>
      </c>
      <c r="EM68">
        <v>0</v>
      </c>
      <c r="EN68">
        <v>0</v>
      </c>
      <c r="EO68">
        <v>0</v>
      </c>
      <c r="EP68">
        <v>0</v>
      </c>
    </row>
    <row r="69" spans="1:146" ht="96" x14ac:dyDescent="0.25">
      <c r="A69" s="10"/>
      <c r="B69" s="10"/>
      <c r="C69" s="7" t="str">
        <f>""&amp;CHAR(10)&amp;Basic_Fundamental_Information_Constructure(F69)&amp;CHAR(10)&amp;Basic_Fundamental_Information_Concatenate("")</f>
        <v xml:space="preserve">
市值8.6376亿, 利润829.30万; PE14.29; 平均PE1.78, PB1.82; ROIC17.2833%; ROE16.99%; 股利率4.9435%; 毛利51.8033%; 净利23.9533%; 上一年度营收增-84.13%, 利润增-85.49%; 当季营收增-63.87%, 利润增-16.25%; 过往5年营收增0%, 利润增0%
Income profile:
</v>
      </c>
      <c r="D69">
        <v>832651</v>
      </c>
      <c r="E69" t="s">
        <v>1318</v>
      </c>
      <c r="F69">
        <v>14.16</v>
      </c>
      <c r="G69" s="5">
        <v>-2.0099999999999998</v>
      </c>
      <c r="H69" t="s">
        <v>4018</v>
      </c>
      <c r="I69">
        <v>863760000</v>
      </c>
      <c r="J69">
        <v>14.29</v>
      </c>
      <c r="K69">
        <v>1.82</v>
      </c>
      <c r="L69" t="s">
        <v>2604</v>
      </c>
      <c r="M69" t="s">
        <v>239</v>
      </c>
      <c r="N69" t="s">
        <v>280</v>
      </c>
      <c r="O69" t="s">
        <v>4019</v>
      </c>
      <c r="P69">
        <v>-14.44</v>
      </c>
      <c r="Q69" t="s">
        <v>4019</v>
      </c>
      <c r="R69">
        <v>8293047</v>
      </c>
      <c r="S69" s="5">
        <v>-0.16250000000000001</v>
      </c>
      <c r="T69" t="s">
        <v>4020</v>
      </c>
      <c r="U69">
        <v>15274871</v>
      </c>
      <c r="V69">
        <v>61000000</v>
      </c>
      <c r="W69">
        <v>1.38</v>
      </c>
      <c r="X69">
        <v>0.06</v>
      </c>
      <c r="Y69">
        <v>21.86</v>
      </c>
      <c r="Z69" t="s">
        <v>4021</v>
      </c>
      <c r="AA69" t="s">
        <v>4022</v>
      </c>
      <c r="AB69" t="s">
        <v>4023</v>
      </c>
      <c r="AC69" t="s">
        <v>4024</v>
      </c>
      <c r="AD69" t="s">
        <v>4025</v>
      </c>
      <c r="AE69">
        <v>377765</v>
      </c>
      <c r="AF69" t="s">
        <v>4026</v>
      </c>
      <c r="AG69" t="s">
        <v>4027</v>
      </c>
      <c r="AH69" t="s">
        <v>4028</v>
      </c>
      <c r="AI69" t="s">
        <v>4029</v>
      </c>
      <c r="AJ69" t="s">
        <v>9</v>
      </c>
      <c r="AK69" t="s">
        <v>4030</v>
      </c>
      <c r="AL69" t="s">
        <v>4031</v>
      </c>
      <c r="AM69" t="s">
        <v>9</v>
      </c>
      <c r="AN69" t="s">
        <v>4032</v>
      </c>
      <c r="AO69" t="s">
        <v>9</v>
      </c>
      <c r="AP69" t="s">
        <v>9</v>
      </c>
      <c r="AQ69" t="s">
        <v>4033</v>
      </c>
      <c r="AR69" t="s">
        <v>9</v>
      </c>
      <c r="AS69" t="s">
        <v>130</v>
      </c>
      <c r="AT69" t="s">
        <v>9</v>
      </c>
      <c r="AU69" t="s">
        <v>4034</v>
      </c>
      <c r="AV69" t="s">
        <v>4035</v>
      </c>
      <c r="AW69" t="s">
        <v>9</v>
      </c>
      <c r="AX69" t="s">
        <v>285</v>
      </c>
      <c r="AY69" t="s">
        <v>388</v>
      </c>
      <c r="AZ69" t="s">
        <v>548</v>
      </c>
      <c r="BA69" t="s">
        <v>339</v>
      </c>
      <c r="BB69" t="s">
        <v>34</v>
      </c>
      <c r="BC69" t="s">
        <v>1319</v>
      </c>
      <c r="BD69" t="s">
        <v>1321</v>
      </c>
      <c r="BE69" t="s">
        <v>1322</v>
      </c>
      <c r="BF69" t="s">
        <v>1323</v>
      </c>
      <c r="BG69" t="s">
        <v>1324</v>
      </c>
      <c r="BH69" t="s">
        <v>516</v>
      </c>
      <c r="BI69" t="s">
        <v>25</v>
      </c>
      <c r="BJ69" t="s">
        <v>285</v>
      </c>
      <c r="BK69" t="s">
        <v>4036</v>
      </c>
      <c r="BL69" t="s">
        <v>1325</v>
      </c>
      <c r="BM69" t="s">
        <v>1319</v>
      </c>
      <c r="BN69">
        <v>12.55</v>
      </c>
      <c r="BO69">
        <v>18.32</v>
      </c>
      <c r="BP69">
        <v>20.98</v>
      </c>
      <c r="BQ69">
        <v>15.45</v>
      </c>
      <c r="BR69">
        <v>18.53</v>
      </c>
      <c r="BS69" t="s">
        <v>9</v>
      </c>
      <c r="BT69" t="s">
        <v>4037</v>
      </c>
      <c r="BU69" t="s">
        <v>844</v>
      </c>
      <c r="BV69">
        <v>53.52</v>
      </c>
      <c r="BW69">
        <v>50.99</v>
      </c>
      <c r="BX69">
        <v>50.9</v>
      </c>
      <c r="BY69">
        <v>23.14</v>
      </c>
      <c r="BZ69">
        <v>23.92</v>
      </c>
      <c r="CA69">
        <v>24.8</v>
      </c>
      <c r="CB69">
        <v>0.64</v>
      </c>
      <c r="CC69">
        <v>6.47</v>
      </c>
      <c r="CD69" t="s">
        <v>4038</v>
      </c>
      <c r="CE69" t="s">
        <v>4039</v>
      </c>
      <c r="CF69" s="8">
        <v>-0.63871523809523811</v>
      </c>
      <c r="CG69" s="9">
        <v>-0.16250000000000001</v>
      </c>
      <c r="CH69" s="8">
        <v>-0.84127658605575562</v>
      </c>
      <c r="CI69" s="8">
        <v>-1.6460904851555824E-2</v>
      </c>
      <c r="CJ69" s="8">
        <v>5.6521739810705185E-2</v>
      </c>
      <c r="CK69" s="8">
        <v>1.3215859420597553E-2</v>
      </c>
      <c r="CL69" s="8">
        <v>0.30459770560264587</v>
      </c>
      <c r="CM69" s="9">
        <v>-0.85491883754730225</v>
      </c>
      <c r="CN69" s="9">
        <v>-5.0439056009054184E-2</v>
      </c>
      <c r="CO69" s="9">
        <v>0.11090113967657089</v>
      </c>
      <c r="CP69" s="9">
        <v>0.11814775317907333</v>
      </c>
      <c r="CQ69" s="9">
        <v>0.25333490967750549</v>
      </c>
      <c r="CR69">
        <v>1.7844480567215499</v>
      </c>
      <c r="CS69" t="e">
        <v>#DIV/0!</v>
      </c>
      <c r="CT69">
        <v>4.9435028248587569</v>
      </c>
      <c r="CU69" s="8">
        <v>0</v>
      </c>
      <c r="CV69" s="9">
        <v>0</v>
      </c>
      <c r="CW69">
        <v>0.06</v>
      </c>
      <c r="CX69">
        <v>74.871047871699034</v>
      </c>
      <c r="CY69">
        <v>7823584.9056603769</v>
      </c>
      <c r="CZ69">
        <v>0</v>
      </c>
      <c r="DA69">
        <v>26.424522361050709</v>
      </c>
      <c r="DB69">
        <v>22167288.096885346</v>
      </c>
      <c r="DC69">
        <v>0</v>
      </c>
      <c r="DD69">
        <v>14.364125558357021</v>
      </c>
      <c r="DE69">
        <v>40779370.635562703</v>
      </c>
      <c r="DF69">
        <v>0</v>
      </c>
      <c r="DG69">
        <v>9.5967701925927944</v>
      </c>
      <c r="DH69">
        <v>61037201.917382069</v>
      </c>
      <c r="DI69">
        <v>0</v>
      </c>
      <c r="DJ69">
        <v>6.1581123953648298</v>
      </c>
      <c r="DK69">
        <v>95120056.665561616</v>
      </c>
      <c r="DL69">
        <v>0</v>
      </c>
      <c r="DM69">
        <v>8293000</v>
      </c>
      <c r="DN69">
        <v>0</v>
      </c>
      <c r="DO69">
        <v>585760000</v>
      </c>
      <c r="DP69">
        <v>270147870</v>
      </c>
      <c r="DQ69">
        <v>68</v>
      </c>
      <c r="DR69">
        <v>-0.63871523809523811</v>
      </c>
      <c r="DS69">
        <v>-0.16250000000000001</v>
      </c>
      <c r="DT69">
        <v>-0.44</v>
      </c>
      <c r="DU69">
        <v>-0.44</v>
      </c>
      <c r="DV69">
        <v>-0.88</v>
      </c>
      <c r="DW69">
        <v>2.0647000000000002</v>
      </c>
      <c r="DX69">
        <v>0.27856384332836248</v>
      </c>
      <c r="DY69">
        <v>2.0109060806633452</v>
      </c>
      <c r="DZ69">
        <v>0</v>
      </c>
      <c r="EA69">
        <v>2.0109060806633452</v>
      </c>
      <c r="EB69">
        <v>2</v>
      </c>
      <c r="EC69">
        <v>1.519672131147541E-2</v>
      </c>
      <c r="ED69">
        <v>9.0154098360655757E-2</v>
      </c>
      <c r="EE69">
        <v>0</v>
      </c>
      <c r="EF69">
        <v>0</v>
      </c>
      <c r="EG69">
        <v>11.168563843328362</v>
      </c>
      <c r="EH69" t="s">
        <v>86</v>
      </c>
      <c r="EI69">
        <v>1</v>
      </c>
      <c r="EJ69">
        <v>0</v>
      </c>
      <c r="EK69">
        <v>0</v>
      </c>
      <c r="EL69">
        <v>0</v>
      </c>
      <c r="EM69">
        <v>0</v>
      </c>
      <c r="EN69">
        <v>0</v>
      </c>
      <c r="EO69">
        <v>0</v>
      </c>
      <c r="EP69">
        <v>0</v>
      </c>
    </row>
    <row r="70" spans="1:146" ht="108" x14ac:dyDescent="0.25">
      <c r="A70" s="10"/>
      <c r="B70" s="10"/>
      <c r="C70" s="7" t="str">
        <f>""&amp;CHAR(10)&amp;Basic_Fundamental_Information_Constructure(F70)&amp;CHAR(10)&amp;Basic_Fundamental_Information_Concatenate("")</f>
        <v xml:space="preserve">
市值8.6849602亿, 利润835.36万; PE15.85; 平均PE.45, PB1.92; ROIC16.9133%; ROE18.69%; 股利率2.3085%; 毛利28.3267%; 净利15.2867%; 上一年度营收增-82.57%, 利润增-84.52%; 当季营收增-66.56%, 利润增-48.3%; 过往5年营收增0%, 利润增0%
Income profile:
</v>
      </c>
      <c r="D70">
        <v>832662</v>
      </c>
      <c r="E70" t="s">
        <v>1326</v>
      </c>
      <c r="F70">
        <v>9.92</v>
      </c>
      <c r="G70" s="5">
        <v>-2.17</v>
      </c>
      <c r="H70" t="s">
        <v>4040</v>
      </c>
      <c r="I70">
        <v>868496020</v>
      </c>
      <c r="J70">
        <v>15.85</v>
      </c>
      <c r="K70">
        <v>1.92</v>
      </c>
      <c r="L70" t="s">
        <v>2604</v>
      </c>
      <c r="M70" t="s">
        <v>59</v>
      </c>
      <c r="N70" t="s">
        <v>462</v>
      </c>
      <c r="O70" t="s">
        <v>4041</v>
      </c>
      <c r="P70">
        <v>-26.6</v>
      </c>
      <c r="Q70" t="s">
        <v>4041</v>
      </c>
      <c r="R70">
        <v>8353569</v>
      </c>
      <c r="S70" s="5">
        <v>-0.48299999999999998</v>
      </c>
      <c r="T70" t="s">
        <v>4042</v>
      </c>
      <c r="U70">
        <v>24580687</v>
      </c>
      <c r="V70">
        <v>87550002</v>
      </c>
      <c r="W70">
        <v>1.24</v>
      </c>
      <c r="X70">
        <v>0.11</v>
      </c>
      <c r="Y70">
        <v>13.65</v>
      </c>
      <c r="Z70" t="s">
        <v>4043</v>
      </c>
      <c r="AA70" t="s">
        <v>4044</v>
      </c>
      <c r="AB70" t="s">
        <v>4045</v>
      </c>
      <c r="AC70" t="s">
        <v>4046</v>
      </c>
      <c r="AD70" t="s">
        <v>4047</v>
      </c>
      <c r="AE70">
        <v>367949</v>
      </c>
      <c r="AF70" t="s">
        <v>4048</v>
      </c>
      <c r="AG70" t="s">
        <v>863</v>
      </c>
      <c r="AH70" t="s">
        <v>4049</v>
      </c>
      <c r="AI70" t="s">
        <v>4050</v>
      </c>
      <c r="AJ70" t="s">
        <v>9</v>
      </c>
      <c r="AK70" t="s">
        <v>4051</v>
      </c>
      <c r="AL70" t="s">
        <v>4052</v>
      </c>
      <c r="AM70" t="s">
        <v>9</v>
      </c>
      <c r="AN70" t="s">
        <v>4053</v>
      </c>
      <c r="AO70" t="s">
        <v>4054</v>
      </c>
      <c r="AP70" t="s">
        <v>4055</v>
      </c>
      <c r="AQ70" t="s">
        <v>4056</v>
      </c>
      <c r="AR70" t="s">
        <v>9</v>
      </c>
      <c r="AS70" t="s">
        <v>4057</v>
      </c>
      <c r="AT70" t="s">
        <v>9</v>
      </c>
      <c r="AU70" t="s">
        <v>4058</v>
      </c>
      <c r="AV70" t="s">
        <v>4059</v>
      </c>
      <c r="AW70" t="s">
        <v>4060</v>
      </c>
      <c r="AX70" t="s">
        <v>418</v>
      </c>
      <c r="AY70" t="s">
        <v>446</v>
      </c>
      <c r="AZ70" t="s">
        <v>576</v>
      </c>
      <c r="BA70" t="s">
        <v>453</v>
      </c>
      <c r="BB70" t="s">
        <v>377</v>
      </c>
      <c r="BC70" t="s">
        <v>1327</v>
      </c>
      <c r="BD70" t="s">
        <v>1329</v>
      </c>
      <c r="BE70" t="s">
        <v>1330</v>
      </c>
      <c r="BF70" t="s">
        <v>1331</v>
      </c>
      <c r="BG70" t="s">
        <v>1332</v>
      </c>
      <c r="BH70" t="s">
        <v>276</v>
      </c>
      <c r="BI70" t="s">
        <v>296</v>
      </c>
      <c r="BJ70" t="s">
        <v>418</v>
      </c>
      <c r="BK70" t="s">
        <v>4061</v>
      </c>
      <c r="BL70" t="s">
        <v>1333</v>
      </c>
      <c r="BM70" t="s">
        <v>1327</v>
      </c>
      <c r="BN70">
        <v>12.57</v>
      </c>
      <c r="BO70">
        <v>17.079999999999998</v>
      </c>
      <c r="BP70">
        <v>21.09</v>
      </c>
      <c r="BQ70">
        <v>13.15</v>
      </c>
      <c r="BR70">
        <v>21.69</v>
      </c>
      <c r="BS70">
        <v>21.23</v>
      </c>
      <c r="BT70" t="s">
        <v>4062</v>
      </c>
      <c r="BU70" t="s">
        <v>1118</v>
      </c>
      <c r="BV70">
        <v>31</v>
      </c>
      <c r="BW70">
        <v>28.77</v>
      </c>
      <c r="BX70">
        <v>25.21</v>
      </c>
      <c r="BY70">
        <v>18.23</v>
      </c>
      <c r="BZ70">
        <v>15.29</v>
      </c>
      <c r="CA70">
        <v>12.34</v>
      </c>
      <c r="CB70">
        <v>5.87</v>
      </c>
      <c r="CC70">
        <v>-5.26</v>
      </c>
      <c r="CD70" t="s">
        <v>4063</v>
      </c>
      <c r="CE70" t="s">
        <v>4064</v>
      </c>
      <c r="CF70" s="8">
        <v>-0.66561250000000005</v>
      </c>
      <c r="CG70" s="9">
        <v>-0.48299999999999998</v>
      </c>
      <c r="CH70" s="8">
        <v>-0.82570171356201172</v>
      </c>
      <c r="CI70" s="8">
        <v>0.19256757199764252</v>
      </c>
      <c r="CJ70" s="8">
        <v>0.42307692766189575</v>
      </c>
      <c r="CK70" s="8">
        <v>2.4630540981888771E-2</v>
      </c>
      <c r="CL70" s="8">
        <v>0.10928961634635925</v>
      </c>
      <c r="CM70" s="9">
        <v>-0.8452257513999939</v>
      </c>
      <c r="CN70" s="9">
        <v>0.47841116786003113</v>
      </c>
      <c r="CO70" s="9">
        <v>0.14873632788658142</v>
      </c>
      <c r="CP70" s="9">
        <v>2.2561714053153992E-2</v>
      </c>
      <c r="CQ70" s="9">
        <v>9.0620703995227814E-2</v>
      </c>
      <c r="CR70">
        <v>0.44801115151378429</v>
      </c>
      <c r="CS70" t="e">
        <v>#DIV/0!</v>
      </c>
      <c r="CT70">
        <v>2.308467741935484</v>
      </c>
      <c r="CU70" s="8">
        <v>0</v>
      </c>
      <c r="CV70" s="9">
        <v>0</v>
      </c>
      <c r="CW70">
        <v>0.06</v>
      </c>
      <c r="CX70">
        <v>69.853210735491288</v>
      </c>
      <c r="CY70">
        <v>7880754.7169811316</v>
      </c>
      <c r="CZ70">
        <v>0</v>
      </c>
      <c r="DA70">
        <v>24.653558104786413</v>
      </c>
      <c r="DB70">
        <v>22329272.62102272</v>
      </c>
      <c r="DC70">
        <v>0</v>
      </c>
      <c r="DD70">
        <v>13.401445794887069</v>
      </c>
      <c r="DE70">
        <v>41077360.489718631</v>
      </c>
      <c r="DF70">
        <v>0</v>
      </c>
      <c r="DG70">
        <v>8.9535972809145274</v>
      </c>
      <c r="DH70">
        <v>61483223.192697801</v>
      </c>
      <c r="DI70">
        <v>0</v>
      </c>
      <c r="DJ70">
        <v>5.7453973880985423</v>
      </c>
      <c r="DK70">
        <v>95815133.89140667</v>
      </c>
      <c r="DL70">
        <v>0</v>
      </c>
      <c r="DM70">
        <v>8353600</v>
      </c>
      <c r="DN70">
        <v>0</v>
      </c>
      <c r="DO70">
        <v>550496020</v>
      </c>
      <c r="DP70">
        <v>280938520</v>
      </c>
      <c r="DQ70">
        <v>69</v>
      </c>
      <c r="DR70">
        <v>-0.66561250000000005</v>
      </c>
      <c r="DS70">
        <v>-0.48299999999999998</v>
      </c>
      <c r="DT70">
        <v>-0.44</v>
      </c>
      <c r="DU70">
        <v>-0.44</v>
      </c>
      <c r="DV70">
        <v>-0.88</v>
      </c>
      <c r="DW70">
        <v>4.8960817717206133</v>
      </c>
      <c r="DX70">
        <v>0.51338481845583961</v>
      </c>
      <c r="DY70">
        <v>4.1912102461801908</v>
      </c>
      <c r="DZ70">
        <v>0</v>
      </c>
      <c r="EA70">
        <v>4.1912102461801908</v>
      </c>
      <c r="EB70">
        <v>4</v>
      </c>
      <c r="EC70">
        <v>6.1857223030103402E-2</v>
      </c>
      <c r="ED70">
        <v>0.28988577293236384</v>
      </c>
      <c r="EE70">
        <v>0</v>
      </c>
      <c r="EF70">
        <v>0</v>
      </c>
      <c r="EG70">
        <v>30.21338481845584</v>
      </c>
      <c r="EH70" t="s">
        <v>86</v>
      </c>
      <c r="EI70">
        <v>0</v>
      </c>
      <c r="EJ70">
        <v>0</v>
      </c>
      <c r="EK70">
        <v>0</v>
      </c>
      <c r="EL70">
        <v>0</v>
      </c>
      <c r="EM70">
        <v>0</v>
      </c>
      <c r="EN70">
        <v>0</v>
      </c>
      <c r="EO70">
        <v>0</v>
      </c>
      <c r="EP70">
        <v>0</v>
      </c>
    </row>
    <row r="71" spans="1:146" ht="96" x14ac:dyDescent="0.25">
      <c r="A71" s="10"/>
      <c r="B71" s="10"/>
      <c r="C71" s="7" t="str">
        <f>""&amp;CHAR(10)&amp;Basic_Fundamental_Information_Constructure(F71)&amp;CHAR(10)&amp;Basic_Fundamental_Information_Concatenate("")</f>
        <v xml:space="preserve">
市值17.66773亿, 利润3545.42万; PE12.5; 平均PE.9, PB1.79; ROIC12.4%; ROE13.0133%; 股利率1.5943%; 毛利80.05%; 净利17.87%; 上一年度营收增-66.93%, 利润增-70.7%; 当季营收增-41.99%, 利润增10.45%; 过往5年营收增0%, 利润增0%
Income profile:
</v>
      </c>
      <c r="D71">
        <v>832735</v>
      </c>
      <c r="E71" t="s">
        <v>1334</v>
      </c>
      <c r="F71">
        <v>22.58</v>
      </c>
      <c r="G71" s="5">
        <v>-0.75</v>
      </c>
      <c r="H71" t="s">
        <v>4065</v>
      </c>
      <c r="I71">
        <v>1766773000</v>
      </c>
      <c r="J71">
        <v>12.5</v>
      </c>
      <c r="K71">
        <v>1.79</v>
      </c>
      <c r="L71" t="s">
        <v>2604</v>
      </c>
      <c r="M71" t="s">
        <v>639</v>
      </c>
      <c r="N71" t="s">
        <v>483</v>
      </c>
      <c r="O71" t="s">
        <v>315</v>
      </c>
      <c r="P71">
        <v>14.28</v>
      </c>
      <c r="Q71" t="s">
        <v>315</v>
      </c>
      <c r="R71">
        <v>35454181</v>
      </c>
      <c r="S71" s="5">
        <v>0.1045</v>
      </c>
      <c r="T71" t="s">
        <v>4066</v>
      </c>
      <c r="U71">
        <v>50256228</v>
      </c>
      <c r="V71">
        <v>78245040</v>
      </c>
      <c r="W71">
        <v>1.19</v>
      </c>
      <c r="X71">
        <v>0.18</v>
      </c>
      <c r="Y71">
        <v>16.899999999999999</v>
      </c>
      <c r="Z71" t="s">
        <v>70</v>
      </c>
      <c r="AA71" t="s">
        <v>4067</v>
      </c>
      <c r="AB71" t="s">
        <v>4068</v>
      </c>
      <c r="AC71" t="s">
        <v>4069</v>
      </c>
      <c r="AD71" t="s">
        <v>72</v>
      </c>
      <c r="AE71">
        <v>994659</v>
      </c>
      <c r="AF71" t="s">
        <v>4070</v>
      </c>
      <c r="AG71" t="s">
        <v>4071</v>
      </c>
      <c r="AH71" t="s">
        <v>4072</v>
      </c>
      <c r="AI71" t="s">
        <v>651</v>
      </c>
      <c r="AJ71" t="s">
        <v>9</v>
      </c>
      <c r="AK71" t="s">
        <v>4073</v>
      </c>
      <c r="AL71" t="s">
        <v>4074</v>
      </c>
      <c r="AM71" t="s">
        <v>9</v>
      </c>
      <c r="AN71" t="s">
        <v>480</v>
      </c>
      <c r="AO71" t="s">
        <v>4075</v>
      </c>
      <c r="AP71" t="s">
        <v>4076</v>
      </c>
      <c r="AQ71" t="s">
        <v>4077</v>
      </c>
      <c r="AR71" t="s">
        <v>9</v>
      </c>
      <c r="AS71" t="s">
        <v>149</v>
      </c>
      <c r="AT71" t="s">
        <v>9</v>
      </c>
      <c r="AU71" t="s">
        <v>4078</v>
      </c>
      <c r="AV71" t="s">
        <v>4079</v>
      </c>
      <c r="AW71" t="s">
        <v>4080</v>
      </c>
      <c r="AX71" t="s">
        <v>508</v>
      </c>
      <c r="AY71" t="s">
        <v>455</v>
      </c>
      <c r="AZ71" t="s">
        <v>354</v>
      </c>
      <c r="BA71" t="s">
        <v>155</v>
      </c>
      <c r="BB71" t="s">
        <v>101</v>
      </c>
      <c r="BC71" t="s">
        <v>435</v>
      </c>
      <c r="BD71" t="s">
        <v>1337</v>
      </c>
      <c r="BE71" t="s">
        <v>1338</v>
      </c>
      <c r="BF71" t="s">
        <v>1339</v>
      </c>
      <c r="BG71" t="s">
        <v>1340</v>
      </c>
      <c r="BH71" t="s">
        <v>390</v>
      </c>
      <c r="BI71" t="s">
        <v>562</v>
      </c>
      <c r="BJ71" t="s">
        <v>508</v>
      </c>
      <c r="BK71" t="s">
        <v>300</v>
      </c>
      <c r="BL71" t="s">
        <v>1341</v>
      </c>
      <c r="BM71" t="s">
        <v>435</v>
      </c>
      <c r="BN71">
        <v>9.27</v>
      </c>
      <c r="BO71">
        <v>14.73</v>
      </c>
      <c r="BP71">
        <v>13.2</v>
      </c>
      <c r="BQ71">
        <v>9.93</v>
      </c>
      <c r="BR71">
        <v>16.09</v>
      </c>
      <c r="BS71">
        <v>13.02</v>
      </c>
      <c r="BT71" t="s">
        <v>4081</v>
      </c>
      <c r="BU71" t="s">
        <v>765</v>
      </c>
      <c r="BV71">
        <v>81.87</v>
      </c>
      <c r="BW71">
        <v>80.069999999999993</v>
      </c>
      <c r="BX71">
        <v>78.209999999999994</v>
      </c>
      <c r="BY71">
        <v>19.46</v>
      </c>
      <c r="BZ71">
        <v>18.989999999999998</v>
      </c>
      <c r="CA71">
        <v>15.16</v>
      </c>
      <c r="CB71">
        <v>-0.44</v>
      </c>
      <c r="CC71">
        <v>-10.79</v>
      </c>
      <c r="CD71" t="s">
        <v>4082</v>
      </c>
      <c r="CE71" t="s">
        <v>4083</v>
      </c>
      <c r="CF71" s="8">
        <v>-0.41988950276243092</v>
      </c>
      <c r="CG71" s="9">
        <v>0.1045</v>
      </c>
      <c r="CH71" s="8">
        <v>-0.66929131746292114</v>
      </c>
      <c r="CI71" s="8">
        <v>0.23540855944156647</v>
      </c>
      <c r="CJ71" s="8">
        <v>0.29471033811569214</v>
      </c>
      <c r="CK71" s="8">
        <v>0.28064516186714172</v>
      </c>
      <c r="CL71" s="8">
        <v>0.2109375</v>
      </c>
      <c r="CM71" s="9">
        <v>-0.70699006319046021</v>
      </c>
      <c r="CN71" s="9">
        <v>0.5534588098526001</v>
      </c>
      <c r="CO71" s="9">
        <v>0.21665254235267639</v>
      </c>
      <c r="CP71" s="9">
        <v>0.36599797010421753</v>
      </c>
      <c r="CQ71" s="9">
        <v>0.30396023392677307</v>
      </c>
      <c r="CR71">
        <v>0.9034541593045976</v>
      </c>
      <c r="CS71" t="e">
        <v>#DIV/0!</v>
      </c>
      <c r="CT71">
        <v>1.5943312666076175</v>
      </c>
      <c r="CU71" s="8">
        <v>0</v>
      </c>
      <c r="CV71" s="9">
        <v>0</v>
      </c>
      <c r="CW71">
        <v>0.06</v>
      </c>
      <c r="CX71">
        <v>29.562065425252865</v>
      </c>
      <c r="CY71">
        <v>33447358.490566034</v>
      </c>
      <c r="CZ71">
        <v>0</v>
      </c>
      <c r="DA71">
        <v>10.433451662210743</v>
      </c>
      <c r="DB71">
        <v>94769500.258602723</v>
      </c>
      <c r="DC71">
        <v>0</v>
      </c>
      <c r="DD71">
        <v>5.6715276679492934</v>
      </c>
      <c r="DE71">
        <v>174339800.11906031</v>
      </c>
      <c r="DF71">
        <v>0</v>
      </c>
      <c r="DG71">
        <v>3.7891862925533109</v>
      </c>
      <c r="DH71">
        <v>260945998.33826691</v>
      </c>
      <c r="DI71">
        <v>0</v>
      </c>
      <c r="DJ71">
        <v>2.4314675258692167</v>
      </c>
      <c r="DK71">
        <v>406656880.8672561</v>
      </c>
      <c r="DL71">
        <v>0</v>
      </c>
      <c r="DM71">
        <v>35454200</v>
      </c>
      <c r="DN71">
        <v>0</v>
      </c>
      <c r="DO71">
        <v>988773000</v>
      </c>
      <c r="DP71">
        <v>633465340</v>
      </c>
      <c r="DQ71">
        <v>70</v>
      </c>
      <c r="DR71">
        <v>-0.41988950276243092</v>
      </c>
      <c r="DS71">
        <v>0.1045</v>
      </c>
      <c r="DT71">
        <v>-0.44</v>
      </c>
      <c r="DU71">
        <v>-0.22</v>
      </c>
      <c r="DV71">
        <v>-0.66</v>
      </c>
      <c r="DW71">
        <v>-2.1078999999999999</v>
      </c>
      <c r="DX71">
        <v>0.20616419256950697</v>
      </c>
      <c r="DY71">
        <v>-2.0146921163782499</v>
      </c>
      <c r="DZ71">
        <v>0</v>
      </c>
      <c r="EA71">
        <v>-2.0146921163782499</v>
      </c>
      <c r="EB71">
        <v>2</v>
      </c>
      <c r="EC71">
        <v>8.4874389482068133E-3</v>
      </c>
      <c r="ED71">
        <v>6.2332385541626664E-2</v>
      </c>
      <c r="EE71">
        <v>0</v>
      </c>
      <c r="EF71">
        <v>0</v>
      </c>
      <c r="EG71">
        <v>7.136164192569507</v>
      </c>
      <c r="EH71" t="s">
        <v>86</v>
      </c>
      <c r="EI71">
        <v>0</v>
      </c>
      <c r="EJ71">
        <v>0</v>
      </c>
      <c r="EK71">
        <v>0</v>
      </c>
      <c r="EL71">
        <v>0</v>
      </c>
      <c r="EM71">
        <v>0</v>
      </c>
      <c r="EN71">
        <v>0</v>
      </c>
      <c r="EO71">
        <v>0</v>
      </c>
      <c r="EP71">
        <v>0</v>
      </c>
    </row>
    <row r="72" spans="1:146" ht="96" x14ac:dyDescent="0.25">
      <c r="A72" s="10"/>
      <c r="B72" s="10"/>
      <c r="C72" s="7" t="str">
        <f>""&amp;CHAR(10)&amp;Basic_Fundamental_Information_Constructure(F72)&amp;CHAR(10)&amp;Basic_Fundamental_Information_Concatenate("")</f>
        <v xml:space="preserve">
市值9.2192373亿, 利润1737.74万; PE9.9; 平均PE3.89, PB1.11; ROIC9.6233%; ROE14.295%; 股利率4.5351%; 毛利20.2633%; 净利7.33%; 上一年度营收增-75%, 利润增-75.74%; 当季营收增-52.12%, 利润增-9.8%; 过往5年营收增0%, 利润增0%
Income profile:
</v>
      </c>
      <c r="D72">
        <v>832786</v>
      </c>
      <c r="E72" t="s">
        <v>1342</v>
      </c>
      <c r="F72">
        <v>4.41</v>
      </c>
      <c r="G72" s="5">
        <v>-1.56</v>
      </c>
      <c r="H72" t="s">
        <v>4084</v>
      </c>
      <c r="I72">
        <v>921923730</v>
      </c>
      <c r="J72">
        <v>9.9</v>
      </c>
      <c r="K72">
        <v>1.1100000000000001</v>
      </c>
      <c r="L72" t="s">
        <v>2604</v>
      </c>
      <c r="M72" t="s">
        <v>4085</v>
      </c>
      <c r="N72" t="s">
        <v>4086</v>
      </c>
      <c r="O72" t="s">
        <v>401</v>
      </c>
      <c r="P72">
        <v>7.23</v>
      </c>
      <c r="Q72" t="s">
        <v>401</v>
      </c>
      <c r="R72">
        <v>17377426</v>
      </c>
      <c r="S72" s="5">
        <v>-9.8000000000000004E-2</v>
      </c>
      <c r="T72" t="s">
        <v>4087</v>
      </c>
      <c r="U72">
        <v>95553720</v>
      </c>
      <c r="V72">
        <v>209053000</v>
      </c>
      <c r="W72">
        <v>2.25</v>
      </c>
      <c r="X72">
        <v>0.11</v>
      </c>
      <c r="Y72">
        <v>7.7</v>
      </c>
      <c r="Z72" t="s">
        <v>416</v>
      </c>
      <c r="AA72" t="s">
        <v>39</v>
      </c>
      <c r="AB72" t="s">
        <v>4088</v>
      </c>
      <c r="AC72" t="s">
        <v>4089</v>
      </c>
      <c r="AD72" t="s">
        <v>4090</v>
      </c>
      <c r="AE72">
        <v>13541317</v>
      </c>
      <c r="AF72" t="s">
        <v>4091</v>
      </c>
      <c r="AG72" t="s">
        <v>4092</v>
      </c>
      <c r="AH72" t="s">
        <v>4093</v>
      </c>
      <c r="AI72" t="s">
        <v>371</v>
      </c>
      <c r="AJ72" t="s">
        <v>9</v>
      </c>
      <c r="AK72" t="s">
        <v>4094</v>
      </c>
      <c r="AL72" t="s">
        <v>4095</v>
      </c>
      <c r="AM72" t="s">
        <v>9</v>
      </c>
      <c r="AN72" t="s">
        <v>4096</v>
      </c>
      <c r="AO72" t="s">
        <v>44</v>
      </c>
      <c r="AP72" t="s">
        <v>9</v>
      </c>
      <c r="AQ72" t="s">
        <v>480</v>
      </c>
      <c r="AR72" t="s">
        <v>9</v>
      </c>
      <c r="AS72" t="s">
        <v>4097</v>
      </c>
      <c r="AT72" t="s">
        <v>68</v>
      </c>
      <c r="AU72" t="s">
        <v>4098</v>
      </c>
      <c r="AV72" t="s">
        <v>4099</v>
      </c>
      <c r="AW72" t="s">
        <v>4100</v>
      </c>
      <c r="AX72" t="s">
        <v>381</v>
      </c>
      <c r="AY72" t="s">
        <v>1348</v>
      </c>
      <c r="AZ72" t="s">
        <v>412</v>
      </c>
      <c r="BA72" t="s">
        <v>1142</v>
      </c>
      <c r="BB72" t="s">
        <v>621</v>
      </c>
      <c r="BC72" t="s">
        <v>1345</v>
      </c>
      <c r="BD72" t="s">
        <v>1349</v>
      </c>
      <c r="BE72" t="s">
        <v>1350</v>
      </c>
      <c r="BF72" t="s">
        <v>1351</v>
      </c>
      <c r="BG72" t="s">
        <v>1352</v>
      </c>
      <c r="BH72" t="s">
        <v>1241</v>
      </c>
      <c r="BI72" t="s">
        <v>555</v>
      </c>
      <c r="BJ72" t="s">
        <v>381</v>
      </c>
      <c r="BK72" t="s">
        <v>4101</v>
      </c>
      <c r="BL72" t="s">
        <v>1353</v>
      </c>
      <c r="BM72" t="s">
        <v>1345</v>
      </c>
      <c r="BN72">
        <v>7.31</v>
      </c>
      <c r="BO72">
        <v>10.26</v>
      </c>
      <c r="BP72">
        <v>11.3</v>
      </c>
      <c r="BQ72">
        <v>13.93</v>
      </c>
      <c r="BR72">
        <v>14.66</v>
      </c>
      <c r="BS72" t="s">
        <v>9</v>
      </c>
      <c r="BT72" t="s">
        <v>851</v>
      </c>
      <c r="BU72" t="s">
        <v>1343</v>
      </c>
      <c r="BV72">
        <v>18.96</v>
      </c>
      <c r="BW72">
        <v>21.37</v>
      </c>
      <c r="BX72">
        <v>20.46</v>
      </c>
      <c r="BY72">
        <v>8.07</v>
      </c>
      <c r="BZ72">
        <v>7.56</v>
      </c>
      <c r="CA72">
        <v>6.36</v>
      </c>
      <c r="CB72">
        <v>0.23</v>
      </c>
      <c r="CC72">
        <v>-11.8</v>
      </c>
      <c r="CD72" t="s">
        <v>4102</v>
      </c>
      <c r="CE72" t="s">
        <v>4103</v>
      </c>
      <c r="CF72" s="8">
        <v>-0.52121212121212124</v>
      </c>
      <c r="CG72" s="9">
        <v>-9.8000000000000004E-2</v>
      </c>
      <c r="CH72" s="8">
        <v>-0.75</v>
      </c>
      <c r="CI72" s="8">
        <v>8.2191780209541321E-2</v>
      </c>
      <c r="CJ72" s="8">
        <v>0.23903818428516388</v>
      </c>
      <c r="CK72" s="8">
        <v>0.11163522303104401</v>
      </c>
      <c r="CL72" s="8">
        <v>0.41019955277442932</v>
      </c>
      <c r="CM72" s="9">
        <v>-0.75737988948822021</v>
      </c>
      <c r="CN72" s="9">
        <v>0.28525933623313904</v>
      </c>
      <c r="CO72" s="9">
        <v>1.4354697465896606</v>
      </c>
      <c r="CP72" s="9">
        <v>-0.38838815689086914</v>
      </c>
      <c r="CQ72" s="9">
        <v>0.39106282591819763</v>
      </c>
      <c r="CR72">
        <v>3.8917245466701544</v>
      </c>
      <c r="CS72" t="e">
        <v>#DIV/0!</v>
      </c>
      <c r="CT72">
        <v>4.5351473922902494</v>
      </c>
      <c r="CU72" s="8">
        <v>0</v>
      </c>
      <c r="CV72" s="9">
        <v>0</v>
      </c>
      <c r="CW72">
        <v>0.06</v>
      </c>
      <c r="CX72">
        <v>78.378765166250432</v>
      </c>
      <c r="CY72">
        <v>16393773.584905658</v>
      </c>
      <c r="CZ72">
        <v>0</v>
      </c>
      <c r="DA72">
        <v>27.662514304811843</v>
      </c>
      <c r="DB72">
        <v>46449997.850574628</v>
      </c>
      <c r="DC72">
        <v>0</v>
      </c>
      <c r="DD72">
        <v>15.037086510212511</v>
      </c>
      <c r="DE72">
        <v>85450311.742726073</v>
      </c>
      <c r="DF72">
        <v>0</v>
      </c>
      <c r="DG72">
        <v>10.046379991484329</v>
      </c>
      <c r="DH72">
        <v>127899176.72725374</v>
      </c>
      <c r="DI72">
        <v>0</v>
      </c>
      <c r="DJ72">
        <v>6.4466206768039838</v>
      </c>
      <c r="DK72">
        <v>199317408.98349577</v>
      </c>
      <c r="DL72">
        <v>0</v>
      </c>
      <c r="DM72">
        <v>17377400</v>
      </c>
      <c r="DN72">
        <v>0</v>
      </c>
      <c r="DO72">
        <v>1284923730</v>
      </c>
      <c r="DP72">
        <v>-81401830</v>
      </c>
      <c r="DQ72">
        <v>71</v>
      </c>
      <c r="DR72">
        <v>-0.52121212121212124</v>
      </c>
      <c r="DS72">
        <v>-9.8000000000000004E-2</v>
      </c>
      <c r="DT72">
        <v>-0.44</v>
      </c>
      <c r="DU72">
        <v>-0.22</v>
      </c>
      <c r="DV72">
        <v>-0.66</v>
      </c>
      <c r="DW72">
        <v>-2.1179999999999999</v>
      </c>
      <c r="DX72">
        <v>0.26023063454447148</v>
      </c>
      <c r="DY72">
        <v>-2.0141872148762476</v>
      </c>
      <c r="DZ72">
        <v>0</v>
      </c>
      <c r="EA72">
        <v>-2.0141872148762476</v>
      </c>
      <c r="EB72">
        <v>2</v>
      </c>
      <c r="EC72">
        <v>2.8806570582579537E-2</v>
      </c>
      <c r="ED72">
        <v>0.23959426556901839</v>
      </c>
      <c r="EE72">
        <v>0</v>
      </c>
      <c r="EF72">
        <v>0</v>
      </c>
      <c r="EG72">
        <v>14.120230634544471</v>
      </c>
      <c r="EH72" t="s">
        <v>86</v>
      </c>
      <c r="EI72">
        <v>0</v>
      </c>
      <c r="EJ72">
        <v>0</v>
      </c>
      <c r="EK72">
        <v>0</v>
      </c>
      <c r="EL72">
        <v>0</v>
      </c>
      <c r="EM72">
        <v>0</v>
      </c>
      <c r="EN72">
        <v>0</v>
      </c>
      <c r="EO72">
        <v>0</v>
      </c>
      <c r="EP72">
        <v>0</v>
      </c>
    </row>
    <row r="73" spans="1:146" ht="96" x14ac:dyDescent="0.25">
      <c r="A73" s="10"/>
      <c r="B73" s="10"/>
      <c r="C73" s="7" t="str">
        <f>""&amp;CHAR(10)&amp;Basic_Fundamental_Information_Constructure(F73)&amp;CHAR(10)&amp;Basic_Fundamental_Information_Concatenate("")</f>
        <v xml:space="preserve">
市值5.3683888亿, 利润374.91万; PE23.63; 平均PE4.8, PB1.28; ROIC8.61%; ROE6.94%; 股利率1.7626%; 毛利35.4567%; 净利16.6433%; 上一年度营收增-75.6%, 利润增-89.23%; 当季营收增-41.12%, 利润增455.4%; 过往5年营收增0%, 利润增0%
Income profile:
</v>
      </c>
      <c r="D73">
        <v>832802</v>
      </c>
      <c r="E73" t="s">
        <v>1354</v>
      </c>
      <c r="F73">
        <v>8.51</v>
      </c>
      <c r="G73" s="5">
        <v>-1.85</v>
      </c>
      <c r="H73" t="s">
        <v>4104</v>
      </c>
      <c r="I73">
        <v>536838880</v>
      </c>
      <c r="J73">
        <v>23.63</v>
      </c>
      <c r="K73">
        <v>1.28</v>
      </c>
      <c r="L73" t="s">
        <v>2604</v>
      </c>
      <c r="M73" t="s">
        <v>4105</v>
      </c>
      <c r="N73" t="s">
        <v>103</v>
      </c>
      <c r="O73" t="s">
        <v>4106</v>
      </c>
      <c r="P73">
        <v>48.64</v>
      </c>
      <c r="Q73" t="s">
        <v>4106</v>
      </c>
      <c r="R73">
        <v>3749123</v>
      </c>
      <c r="S73" s="5">
        <v>4.5540000000000003</v>
      </c>
      <c r="T73" t="s">
        <v>4107</v>
      </c>
      <c r="U73">
        <v>15873918</v>
      </c>
      <c r="V73">
        <v>63083300</v>
      </c>
      <c r="W73">
        <v>1.1299999999999999</v>
      </c>
      <c r="X73">
        <v>0.09</v>
      </c>
      <c r="Y73">
        <v>8.44</v>
      </c>
      <c r="Z73" t="s">
        <v>4108</v>
      </c>
      <c r="AA73" t="s">
        <v>4109</v>
      </c>
      <c r="AB73" t="s">
        <v>4110</v>
      </c>
      <c r="AC73" t="s">
        <v>4111</v>
      </c>
      <c r="AD73" t="s">
        <v>4112</v>
      </c>
      <c r="AE73">
        <v>195858</v>
      </c>
      <c r="AF73" t="s">
        <v>4113</v>
      </c>
      <c r="AG73" t="s">
        <v>4114</v>
      </c>
      <c r="AH73" t="s">
        <v>4115</v>
      </c>
      <c r="AI73" t="s">
        <v>4116</v>
      </c>
      <c r="AJ73" t="s">
        <v>9</v>
      </c>
      <c r="AK73" t="s">
        <v>4117</v>
      </c>
      <c r="AL73" t="s">
        <v>4118</v>
      </c>
      <c r="AM73" t="s">
        <v>9</v>
      </c>
      <c r="AN73" t="s">
        <v>4119</v>
      </c>
      <c r="AO73" t="s">
        <v>9</v>
      </c>
      <c r="AP73" t="s">
        <v>4120</v>
      </c>
      <c r="AQ73" t="s">
        <v>4121</v>
      </c>
      <c r="AR73" t="s">
        <v>9</v>
      </c>
      <c r="AS73" t="s">
        <v>4122</v>
      </c>
      <c r="AT73" t="s">
        <v>9</v>
      </c>
      <c r="AU73" t="s">
        <v>4123</v>
      </c>
      <c r="AV73" t="s">
        <v>4124</v>
      </c>
      <c r="AW73" t="s">
        <v>9</v>
      </c>
      <c r="AX73" t="s">
        <v>441</v>
      </c>
      <c r="AY73" t="s">
        <v>62</v>
      </c>
      <c r="AZ73" t="s">
        <v>441</v>
      </c>
      <c r="BA73" t="s">
        <v>65</v>
      </c>
      <c r="BB73" t="s">
        <v>585</v>
      </c>
      <c r="BC73" t="s">
        <v>1355</v>
      </c>
      <c r="BD73" t="s">
        <v>1356</v>
      </c>
      <c r="BE73" t="s">
        <v>1357</v>
      </c>
      <c r="BF73" t="s">
        <v>1358</v>
      </c>
      <c r="BG73" t="s">
        <v>1359</v>
      </c>
      <c r="BH73" t="s">
        <v>22</v>
      </c>
      <c r="BI73" t="s">
        <v>1360</v>
      </c>
      <c r="BJ73" t="s">
        <v>441</v>
      </c>
      <c r="BK73" t="s">
        <v>4125</v>
      </c>
      <c r="BL73" t="s">
        <v>1361</v>
      </c>
      <c r="BM73" t="s">
        <v>1355</v>
      </c>
      <c r="BN73">
        <v>3.08</v>
      </c>
      <c r="BO73">
        <v>10.220000000000001</v>
      </c>
      <c r="BP73">
        <v>12.53</v>
      </c>
      <c r="BQ73">
        <v>2.97</v>
      </c>
      <c r="BR73">
        <v>10.91</v>
      </c>
      <c r="BS73" t="s">
        <v>9</v>
      </c>
      <c r="BT73" t="s">
        <v>1006</v>
      </c>
      <c r="BU73" t="s">
        <v>1228</v>
      </c>
      <c r="BV73">
        <v>30.69</v>
      </c>
      <c r="BW73">
        <v>37.020000000000003</v>
      </c>
      <c r="BX73">
        <v>38.659999999999997</v>
      </c>
      <c r="BY73">
        <v>11.52</v>
      </c>
      <c r="BZ73">
        <v>19.11</v>
      </c>
      <c r="CA73">
        <v>19.3</v>
      </c>
      <c r="CB73">
        <v>2.9</v>
      </c>
      <c r="CC73">
        <v>-1.62</v>
      </c>
      <c r="CD73" t="s">
        <v>4126</v>
      </c>
      <c r="CE73" t="s">
        <v>2070</v>
      </c>
      <c r="CF73" s="8">
        <v>-0.41120880839798984</v>
      </c>
      <c r="CG73" s="9">
        <v>4.5540000000000003</v>
      </c>
      <c r="CH73" s="8">
        <v>-0.75595217943191528</v>
      </c>
      <c r="CI73" s="8">
        <v>-6.6666670143604279E-2</v>
      </c>
      <c r="CJ73" s="8">
        <v>7.1428574621677399E-2</v>
      </c>
      <c r="CK73" s="8">
        <v>-0.20524017512798309</v>
      </c>
      <c r="CL73" s="8">
        <v>0.12254901975393295</v>
      </c>
      <c r="CM73" s="9">
        <v>-0.89225608110427856</v>
      </c>
      <c r="CN73" s="9">
        <v>-7.4851706624031067E-2</v>
      </c>
      <c r="CO73" s="9">
        <v>-0.19248861074447632</v>
      </c>
      <c r="CP73" s="9">
        <v>-0.21582417190074921</v>
      </c>
      <c r="CQ73" s="9">
        <v>0.39806801080703735</v>
      </c>
      <c r="CR73">
        <v>4.8037647047594367</v>
      </c>
      <c r="CS73" t="e">
        <v>#DIV/0!</v>
      </c>
      <c r="CT73">
        <v>1.7626321974148063</v>
      </c>
      <c r="CU73" s="8">
        <v>0</v>
      </c>
      <c r="CV73" s="9">
        <v>0</v>
      </c>
      <c r="CW73">
        <v>0.06</v>
      </c>
      <c r="CX73">
        <v>50.612923314928913</v>
      </c>
      <c r="CY73">
        <v>3536886.7924528304</v>
      </c>
      <c r="CZ73">
        <v>0</v>
      </c>
      <c r="DA73">
        <v>17.863010628425094</v>
      </c>
      <c r="DB73">
        <v>10021389.099726619</v>
      </c>
      <c r="DC73">
        <v>0</v>
      </c>
      <c r="DD73">
        <v>9.710167094454965</v>
      </c>
      <c r="DE73">
        <v>18435540.630626813</v>
      </c>
      <c r="DF73">
        <v>0</v>
      </c>
      <c r="DG73">
        <v>6.4874288210983515</v>
      </c>
      <c r="DH73">
        <v>27593702.36445884</v>
      </c>
      <c r="DI73">
        <v>0</v>
      </c>
      <c r="DJ73">
        <v>4.1628917891655046</v>
      </c>
      <c r="DK73">
        <v>43001881.640522987</v>
      </c>
      <c r="DL73">
        <v>0</v>
      </c>
      <c r="DM73">
        <v>3749100.0000000005</v>
      </c>
      <c r="DN73">
        <v>0</v>
      </c>
      <c r="DO73">
        <v>179012180</v>
      </c>
      <c r="DP73">
        <v>266703180</v>
      </c>
      <c r="DQ73">
        <v>72</v>
      </c>
      <c r="DR73">
        <v>-0.41120880839798984</v>
      </c>
      <c r="DS73">
        <v>4.5540000000000003</v>
      </c>
      <c r="DT73">
        <v>-0.44</v>
      </c>
      <c r="DU73">
        <v>-0.22</v>
      </c>
      <c r="DV73">
        <v>-0.66</v>
      </c>
      <c r="DW73">
        <v>4.5586206896551724</v>
      </c>
      <c r="DX73">
        <v>0.45514927107893638</v>
      </c>
      <c r="DY73">
        <v>4.2151523514303024</v>
      </c>
      <c r="DZ73">
        <v>0</v>
      </c>
      <c r="EA73">
        <v>4.2151523514303024</v>
      </c>
      <c r="EB73">
        <v>4</v>
      </c>
      <c r="EC73">
        <v>5.5155643411172212E-2</v>
      </c>
      <c r="ED73">
        <v>0.14320588808765553</v>
      </c>
      <c r="EE73">
        <v>0</v>
      </c>
      <c r="EF73">
        <v>0</v>
      </c>
      <c r="EG73">
        <v>7.3851492710789364</v>
      </c>
      <c r="EH73" t="s">
        <v>86</v>
      </c>
      <c r="EI73">
        <v>0</v>
      </c>
      <c r="EJ73">
        <v>0</v>
      </c>
      <c r="EK73">
        <v>0</v>
      </c>
      <c r="EL73">
        <v>0</v>
      </c>
      <c r="EM73">
        <v>0</v>
      </c>
      <c r="EN73">
        <v>0</v>
      </c>
      <c r="EO73">
        <v>0</v>
      </c>
      <c r="EP73">
        <v>0</v>
      </c>
    </row>
    <row r="74" spans="1:146" ht="108" x14ac:dyDescent="0.25">
      <c r="A74" s="10"/>
      <c r="B74" s="10"/>
      <c r="C74" s="7" t="str">
        <f>""&amp;CHAR(10)&amp;Basic_Fundamental_Information_Constructure(F74)&amp;CHAR(10)&amp;Basic_Fundamental_Information_Concatenate("")</f>
        <v xml:space="preserve">
市值5.4168476亿, 利润277.62万; PE; 平均PE5.05, PB2.14; ROIC13.2767%; ROE15.4%; 股利率0%; 毛利19.2667%; 净利4.4767%; 上一年度营收增-73.75%, 利润增-88.68%; 当季营收增-55.1%, 利润增-66.41%; 过往5年营收增0%, 利润增0%
Income profile:
</v>
      </c>
      <c r="D74">
        <v>832876</v>
      </c>
      <c r="E74" t="s">
        <v>1362</v>
      </c>
      <c r="F74">
        <v>8.44</v>
      </c>
      <c r="G74" s="5">
        <v>-5.17</v>
      </c>
      <c r="H74" t="s">
        <v>4127</v>
      </c>
      <c r="I74">
        <v>541684760</v>
      </c>
      <c r="K74">
        <v>2.14</v>
      </c>
      <c r="L74" t="s">
        <v>2604</v>
      </c>
      <c r="M74" t="s">
        <v>4128</v>
      </c>
      <c r="N74" t="s">
        <v>262</v>
      </c>
      <c r="O74" t="s">
        <v>72</v>
      </c>
      <c r="P74">
        <v>-30.15</v>
      </c>
      <c r="Q74" t="s">
        <v>72</v>
      </c>
      <c r="R74">
        <v>2776163</v>
      </c>
      <c r="S74" s="5">
        <v>-0.66410000000000002</v>
      </c>
      <c r="T74" t="s">
        <v>4129</v>
      </c>
      <c r="U74">
        <v>29924676</v>
      </c>
      <c r="V74">
        <v>64180659</v>
      </c>
      <c r="W74">
        <v>1.3</v>
      </c>
      <c r="X74">
        <v>0.33</v>
      </c>
      <c r="Y74">
        <v>2.52</v>
      </c>
      <c r="Z74" t="s">
        <v>72</v>
      </c>
      <c r="AA74" t="s">
        <v>4130</v>
      </c>
      <c r="AB74" t="s">
        <v>4131</v>
      </c>
      <c r="AC74" t="s">
        <v>4132</v>
      </c>
      <c r="AD74" t="s">
        <v>4133</v>
      </c>
      <c r="AE74">
        <v>573881</v>
      </c>
      <c r="AF74" t="s">
        <v>4134</v>
      </c>
      <c r="AG74">
        <v>5049.95</v>
      </c>
      <c r="AH74" t="s">
        <v>4135</v>
      </c>
      <c r="AI74" t="s">
        <v>4136</v>
      </c>
      <c r="AJ74" t="s">
        <v>9</v>
      </c>
      <c r="AK74" t="s">
        <v>4137</v>
      </c>
      <c r="AL74" t="s">
        <v>4138</v>
      </c>
      <c r="AM74" t="s">
        <v>9</v>
      </c>
      <c r="AN74" t="s">
        <v>4139</v>
      </c>
      <c r="AO74" t="s">
        <v>9</v>
      </c>
      <c r="AP74" t="s">
        <v>9</v>
      </c>
      <c r="AQ74" t="s">
        <v>4140</v>
      </c>
      <c r="AR74" t="s">
        <v>9</v>
      </c>
      <c r="AS74" t="s">
        <v>4141</v>
      </c>
      <c r="AT74" t="s">
        <v>9</v>
      </c>
      <c r="AU74" t="s">
        <v>4142</v>
      </c>
      <c r="AV74" t="s">
        <v>4143</v>
      </c>
      <c r="AW74" t="s">
        <v>4144</v>
      </c>
      <c r="AX74" t="s">
        <v>120</v>
      </c>
      <c r="AY74" t="s">
        <v>1336</v>
      </c>
      <c r="AZ74" t="s">
        <v>488</v>
      </c>
      <c r="BA74" t="s">
        <v>156</v>
      </c>
      <c r="BB74" t="s">
        <v>262</v>
      </c>
      <c r="BC74" t="s">
        <v>1363</v>
      </c>
      <c r="BD74" t="s">
        <v>1364</v>
      </c>
      <c r="BE74" t="s">
        <v>1365</v>
      </c>
      <c r="BF74" t="s">
        <v>1366</v>
      </c>
      <c r="BG74" t="s">
        <v>1367</v>
      </c>
      <c r="BH74" t="s">
        <v>292</v>
      </c>
      <c r="BI74" t="s">
        <v>247</v>
      </c>
      <c r="BJ74" t="s">
        <v>120</v>
      </c>
      <c r="BK74" t="s">
        <v>4145</v>
      </c>
      <c r="BL74" t="s">
        <v>1368</v>
      </c>
      <c r="BM74" t="s">
        <v>1363</v>
      </c>
      <c r="BN74">
        <v>5.1100000000000003</v>
      </c>
      <c r="BO74">
        <v>11.89</v>
      </c>
      <c r="BP74">
        <v>22.83</v>
      </c>
      <c r="BQ74">
        <v>3.1</v>
      </c>
      <c r="BR74">
        <v>17.329999999999998</v>
      </c>
      <c r="BS74">
        <v>25.77</v>
      </c>
      <c r="BT74" t="s">
        <v>773</v>
      </c>
      <c r="BU74" t="s">
        <v>1032</v>
      </c>
      <c r="BV74">
        <v>15.6</v>
      </c>
      <c r="BW74">
        <v>21.16</v>
      </c>
      <c r="BX74">
        <v>21.04</v>
      </c>
      <c r="BY74">
        <v>1.02</v>
      </c>
      <c r="BZ74">
        <v>5.86</v>
      </c>
      <c r="CA74">
        <v>6.55</v>
      </c>
      <c r="CB74">
        <v>-0.24</v>
      </c>
      <c r="CC74">
        <v>-9.93</v>
      </c>
      <c r="CD74" t="s">
        <v>4146</v>
      </c>
      <c r="CE74" t="s">
        <v>4147</v>
      </c>
      <c r="CF74" s="8">
        <v>-0.55102040816326525</v>
      </c>
      <c r="CG74" s="9">
        <v>-0.66410000000000002</v>
      </c>
      <c r="CH74" s="8">
        <v>-0.73747014999389648</v>
      </c>
      <c r="CI74" s="8">
        <v>-4.7727271914482117E-2</v>
      </c>
      <c r="CJ74" s="8">
        <v>0.38801261782646179</v>
      </c>
      <c r="CK74" s="8">
        <v>0.10839160531759262</v>
      </c>
      <c r="CL74" s="8">
        <v>0.1304347813129425</v>
      </c>
      <c r="CM74" s="9">
        <v>-0.88683211803436279</v>
      </c>
      <c r="CN74" s="9">
        <v>-0.14874280989170074</v>
      </c>
      <c r="CO74" s="9">
        <v>1.3180608861148357E-2</v>
      </c>
      <c r="CP74" s="9">
        <v>1.0087076425552368</v>
      </c>
      <c r="CQ74" s="9">
        <v>6.5084414482116699</v>
      </c>
      <c r="CR74">
        <v>5.0485068568859806</v>
      </c>
      <c r="CS74" t="e">
        <v>#DIV/0!</v>
      </c>
      <c r="CT74">
        <v>0</v>
      </c>
      <c r="CU74" s="8">
        <v>0</v>
      </c>
      <c r="CV74" s="9">
        <v>0</v>
      </c>
      <c r="CW74">
        <v>0.06</v>
      </c>
      <c r="CX74">
        <v>144.86710957423819</v>
      </c>
      <c r="CY74">
        <v>2619056.6037735846</v>
      </c>
      <c r="CZ74">
        <v>0</v>
      </c>
      <c r="DA74">
        <v>51.128497398421288</v>
      </c>
      <c r="DB74">
        <v>7420815.7740953937</v>
      </c>
      <c r="DC74">
        <v>0</v>
      </c>
      <c r="DD74">
        <v>27.792977530733747</v>
      </c>
      <c r="DE74">
        <v>13651475.793856164</v>
      </c>
      <c r="DF74">
        <v>0</v>
      </c>
      <c r="DG74">
        <v>18.568677727490908</v>
      </c>
      <c r="DH74">
        <v>20433073.672137477</v>
      </c>
      <c r="DI74">
        <v>0</v>
      </c>
      <c r="DJ74">
        <v>11.915259215799015</v>
      </c>
      <c r="DK74">
        <v>31842795.286980849</v>
      </c>
      <c r="DL74">
        <v>0</v>
      </c>
      <c r="DM74">
        <v>2776200</v>
      </c>
      <c r="DN74">
        <v>0</v>
      </c>
      <c r="DO74">
        <v>379415160</v>
      </c>
      <c r="DP74">
        <v>216988520</v>
      </c>
      <c r="DQ74">
        <v>73</v>
      </c>
      <c r="DR74">
        <v>-0.55102040816326525</v>
      </c>
      <c r="DS74">
        <v>-0.66410000000000002</v>
      </c>
      <c r="DT74">
        <v>-0.44</v>
      </c>
      <c r="DU74">
        <v>-0.44</v>
      </c>
      <c r="DV74">
        <v>-0.88</v>
      </c>
      <c r="DW74">
        <v>-2.0992999999999999</v>
      </c>
      <c r="DX74">
        <v>0.41221614658731032</v>
      </c>
      <c r="DY74">
        <v>-2.0240520633561196</v>
      </c>
      <c r="DZ74">
        <v>0</v>
      </c>
      <c r="EA74">
        <v>-2.0240520633561196</v>
      </c>
      <c r="EB74">
        <v>2</v>
      </c>
      <c r="EC74">
        <v>0.21768395989826153</v>
      </c>
      <c r="ED74">
        <v>0.89871778973163863</v>
      </c>
      <c r="EE74">
        <v>0</v>
      </c>
      <c r="EF74">
        <v>0</v>
      </c>
      <c r="EG74">
        <v>17.24221614658731</v>
      </c>
      <c r="EH74" t="s">
        <v>86</v>
      </c>
      <c r="EI74">
        <v>0</v>
      </c>
      <c r="EJ74">
        <v>0</v>
      </c>
      <c r="EK74">
        <v>0</v>
      </c>
      <c r="EL74">
        <v>0</v>
      </c>
      <c r="EM74">
        <v>0</v>
      </c>
      <c r="EN74">
        <v>0</v>
      </c>
      <c r="EO74">
        <v>0</v>
      </c>
      <c r="EP74">
        <v>0</v>
      </c>
    </row>
    <row r="75" spans="1:146" ht="108" x14ac:dyDescent="0.25">
      <c r="A75" s="10"/>
      <c r="B75" s="10"/>
      <c r="C75" s="7" t="str">
        <f>""&amp;CHAR(10)&amp;Basic_Fundamental_Information_Constructure(F75)&amp;CHAR(10)&amp;Basic_Fundamental_Information_Concatenate("")</f>
        <v xml:space="preserve">
市值9.2643945亿, 利润543.71万; PE79.21; 平均PE.66, PB2.47; ROIC6.2%; ROE8.12%; 股利率.6446%; 毛利47.07%; 净利18.6933%; 上一年度营收增-79.9%, 利润增-76.71%; 当季营收增-60.47%, 利润增-16.02%; 过往5年营收增0%, 利润增0%
Income profile:
</v>
      </c>
      <c r="D75">
        <v>832885</v>
      </c>
      <c r="E75" t="s">
        <v>1369</v>
      </c>
      <c r="F75">
        <v>5.43</v>
      </c>
      <c r="G75" s="5">
        <v>-1.63</v>
      </c>
      <c r="H75" t="s">
        <v>4148</v>
      </c>
      <c r="I75">
        <v>926439450</v>
      </c>
      <c r="J75">
        <v>79.209999999999994</v>
      </c>
      <c r="K75">
        <v>2.4700000000000002</v>
      </c>
      <c r="L75" t="s">
        <v>2604</v>
      </c>
      <c r="M75" t="s">
        <v>4149</v>
      </c>
      <c r="N75" t="s">
        <v>644</v>
      </c>
      <c r="O75" t="s">
        <v>4150</v>
      </c>
      <c r="P75">
        <v>-28.98</v>
      </c>
      <c r="Q75" t="s">
        <v>4150</v>
      </c>
      <c r="R75">
        <v>5437109</v>
      </c>
      <c r="S75" s="5">
        <v>-0.16020000000000001</v>
      </c>
      <c r="T75" t="s">
        <v>4151</v>
      </c>
      <c r="U75">
        <v>86304521</v>
      </c>
      <c r="V75">
        <v>171114960</v>
      </c>
      <c r="W75">
        <v>1.32</v>
      </c>
      <c r="X75">
        <v>0.05</v>
      </c>
      <c r="Y75">
        <v>22</v>
      </c>
      <c r="Z75" t="s">
        <v>4152</v>
      </c>
      <c r="AA75" t="s">
        <v>4153</v>
      </c>
      <c r="AB75" t="s">
        <v>4154</v>
      </c>
      <c r="AC75" t="s">
        <v>4155</v>
      </c>
      <c r="AD75" t="s">
        <v>4156</v>
      </c>
      <c r="AE75">
        <v>822291</v>
      </c>
      <c r="AF75" t="s">
        <v>4157</v>
      </c>
      <c r="AG75" t="s">
        <v>4158</v>
      </c>
      <c r="AH75" t="s">
        <v>4159</v>
      </c>
      <c r="AI75" t="s">
        <v>374</v>
      </c>
      <c r="AJ75" t="s">
        <v>9</v>
      </c>
      <c r="AK75" t="s">
        <v>4160</v>
      </c>
      <c r="AL75" t="s">
        <v>4161</v>
      </c>
      <c r="AM75" t="s">
        <v>9</v>
      </c>
      <c r="AN75" t="s">
        <v>4162</v>
      </c>
      <c r="AO75" t="s">
        <v>4163</v>
      </c>
      <c r="AP75" t="s">
        <v>4164</v>
      </c>
      <c r="AQ75" t="s">
        <v>4165</v>
      </c>
      <c r="AR75" t="s">
        <v>9</v>
      </c>
      <c r="AS75" t="s">
        <v>256</v>
      </c>
      <c r="AT75" t="s">
        <v>9</v>
      </c>
      <c r="AU75" t="s">
        <v>4166</v>
      </c>
      <c r="AV75" t="s">
        <v>4167</v>
      </c>
      <c r="AW75" t="s">
        <v>4168</v>
      </c>
      <c r="AX75" t="s">
        <v>89</v>
      </c>
      <c r="AY75" t="s">
        <v>253</v>
      </c>
      <c r="AZ75" t="s">
        <v>26</v>
      </c>
      <c r="BA75" t="s">
        <v>1370</v>
      </c>
      <c r="BB75" t="s">
        <v>1371</v>
      </c>
      <c r="BC75" t="s">
        <v>4169</v>
      </c>
      <c r="BD75" t="s">
        <v>1372</v>
      </c>
      <c r="BE75" t="s">
        <v>1373</v>
      </c>
      <c r="BF75" t="s">
        <v>1374</v>
      </c>
      <c r="BG75" t="s">
        <v>1375</v>
      </c>
      <c r="BH75" t="s">
        <v>167</v>
      </c>
      <c r="BI75" t="s">
        <v>1376</v>
      </c>
      <c r="BJ75" t="s">
        <v>89</v>
      </c>
      <c r="BK75" t="s">
        <v>4170</v>
      </c>
      <c r="BL75" t="s">
        <v>1377</v>
      </c>
      <c r="BM75" t="s">
        <v>4169</v>
      </c>
      <c r="BN75">
        <v>0.97</v>
      </c>
      <c r="BO75">
        <v>3.94</v>
      </c>
      <c r="BP75">
        <v>13.69</v>
      </c>
      <c r="BQ75">
        <v>2.14</v>
      </c>
      <c r="BR75">
        <v>6.2</v>
      </c>
      <c r="BS75">
        <v>16.02</v>
      </c>
      <c r="BT75" t="s">
        <v>4171</v>
      </c>
      <c r="BU75" t="s">
        <v>831</v>
      </c>
      <c r="BV75">
        <v>43.23</v>
      </c>
      <c r="BW75">
        <v>45.29</v>
      </c>
      <c r="BX75">
        <v>52.69</v>
      </c>
      <c r="BY75">
        <v>8.5399999999999991</v>
      </c>
      <c r="BZ75">
        <v>17.329999999999998</v>
      </c>
      <c r="CA75">
        <v>30.21</v>
      </c>
      <c r="CB75">
        <v>-1.27</v>
      </c>
      <c r="CC75">
        <v>-6.86</v>
      </c>
      <c r="CD75" t="s">
        <v>4172</v>
      </c>
      <c r="CE75" t="s">
        <v>4173</v>
      </c>
      <c r="CF75" s="8">
        <v>-0.60465680676107814</v>
      </c>
      <c r="CG75" s="9">
        <v>-0.16020000000000001</v>
      </c>
      <c r="CH75" s="8">
        <v>-0.79900246858596802</v>
      </c>
      <c r="CI75" s="8">
        <v>-0.12676055729389191</v>
      </c>
      <c r="CJ75" s="8">
        <v>3.6496348679065704E-2</v>
      </c>
      <c r="CK75" s="8">
        <v>0.44104039669036865</v>
      </c>
      <c r="CL75" s="8">
        <v>0.1622316986322403</v>
      </c>
      <c r="CM75" s="9">
        <v>-0.76713377237319946</v>
      </c>
      <c r="CN75" s="9">
        <v>-0.4615684449672699</v>
      </c>
      <c r="CO75" s="9">
        <v>0.12839187681674957</v>
      </c>
      <c r="CP75" s="9">
        <v>0.69356334209442139</v>
      </c>
      <c r="CQ75" s="9">
        <v>0.27601739764213562</v>
      </c>
      <c r="CR75">
        <v>0.65592990241204341</v>
      </c>
      <c r="CS75" t="e">
        <v>#DIV/0!</v>
      </c>
      <c r="CT75">
        <v>0.64456721915285453</v>
      </c>
      <c r="CU75" s="8">
        <v>0</v>
      </c>
      <c r="CV75" s="9">
        <v>0</v>
      </c>
      <c r="CW75">
        <v>0.06</v>
      </c>
      <c r="CX75">
        <v>126.79204300086445</v>
      </c>
      <c r="CY75">
        <v>5129339.6226415085</v>
      </c>
      <c r="CZ75">
        <v>0</v>
      </c>
      <c r="DA75">
        <v>44.749195726778268</v>
      </c>
      <c r="DB75">
        <v>14533433.27041786</v>
      </c>
      <c r="DC75">
        <v>0</v>
      </c>
      <c r="DD75">
        <v>24.325248239960153</v>
      </c>
      <c r="DE75">
        <v>26735984.092923909</v>
      </c>
      <c r="DF75">
        <v>0</v>
      </c>
      <c r="DG75">
        <v>16.251864151998642</v>
      </c>
      <c r="DH75">
        <v>40017529.307246841</v>
      </c>
      <c r="DI75">
        <v>0</v>
      </c>
      <c r="DJ75">
        <v>10.428592544547424</v>
      </c>
      <c r="DK75">
        <v>62363108.657461122</v>
      </c>
      <c r="DL75">
        <v>0</v>
      </c>
      <c r="DM75">
        <v>5437100</v>
      </c>
      <c r="DN75">
        <v>0</v>
      </c>
      <c r="DO75">
        <v>650359450</v>
      </c>
      <c r="DP75">
        <v>233954890</v>
      </c>
      <c r="DQ75">
        <v>74</v>
      </c>
      <c r="DR75">
        <v>-0.60465680676107814</v>
      </c>
      <c r="DS75">
        <v>-0.16020000000000001</v>
      </c>
      <c r="DT75">
        <v>-0.44</v>
      </c>
      <c r="DU75">
        <v>0</v>
      </c>
      <c r="DV75">
        <v>-0.44</v>
      </c>
      <c r="DW75">
        <v>-2.0686</v>
      </c>
      <c r="DX75">
        <v>0.2571930783720614</v>
      </c>
      <c r="DY75">
        <v>-2.0073534451763235</v>
      </c>
      <c r="DZ75">
        <v>0</v>
      </c>
      <c r="EA75">
        <v>-2.0073534451763235</v>
      </c>
      <c r="EB75">
        <v>2</v>
      </c>
      <c r="EC75">
        <v>2.6239085115643893E-2</v>
      </c>
      <c r="ED75">
        <v>0.24478339006712213</v>
      </c>
      <c r="EE75">
        <v>0</v>
      </c>
      <c r="EF75">
        <v>0</v>
      </c>
      <c r="EG75">
        <v>15.107193078372061</v>
      </c>
      <c r="EH75" t="s">
        <v>86</v>
      </c>
      <c r="EI75">
        <v>0</v>
      </c>
      <c r="EJ75">
        <v>0</v>
      </c>
      <c r="EK75">
        <v>0</v>
      </c>
      <c r="EL75">
        <v>0</v>
      </c>
      <c r="EM75">
        <v>0</v>
      </c>
      <c r="EN75">
        <v>0</v>
      </c>
      <c r="EO75">
        <v>0</v>
      </c>
      <c r="EP75">
        <v>0</v>
      </c>
    </row>
    <row r="76" spans="1:146" ht="96" x14ac:dyDescent="0.25">
      <c r="A76" s="10"/>
      <c r="B76" s="10"/>
      <c r="C76" s="7" t="str">
        <f>""&amp;CHAR(10)&amp;Basic_Fundamental_Information_Constructure(F76)&amp;CHAR(10)&amp;Basic_Fundamental_Information_Concatenate("")</f>
        <v xml:space="preserve">
市值16.734879亿, 利润2834.10万; PE14.06; 平均PE-36.9, PB2.72; ROIC15.0833%; ROE19.325%; 股利率2.9878%; 毛利32.42%; 净利14.79%; 上一年度营收增-68.54%, 利润增-63.38%; 当季营收增-43.36%, 利润增22.95%; 过往5年营收增0%, 利润增0%
Income profile:
</v>
      </c>
      <c r="D76">
        <v>832978</v>
      </c>
      <c r="E76" t="s">
        <v>1378</v>
      </c>
      <c r="F76">
        <v>9.4600000000000009</v>
      </c>
      <c r="G76" s="5">
        <v>-1.56</v>
      </c>
      <c r="H76" t="s">
        <v>4174</v>
      </c>
      <c r="I76">
        <v>1673487900</v>
      </c>
      <c r="J76">
        <v>14.06</v>
      </c>
      <c r="K76">
        <v>2.72</v>
      </c>
      <c r="L76" t="s">
        <v>2604</v>
      </c>
      <c r="M76" t="s">
        <v>425</v>
      </c>
      <c r="N76" t="s">
        <v>473</v>
      </c>
      <c r="O76" t="s">
        <v>113</v>
      </c>
      <c r="P76">
        <v>23.48</v>
      </c>
      <c r="Q76" t="s">
        <v>113</v>
      </c>
      <c r="R76">
        <v>28341012</v>
      </c>
      <c r="S76" s="5">
        <v>0.22950000000000001</v>
      </c>
      <c r="T76" t="s">
        <v>4175</v>
      </c>
      <c r="U76">
        <v>89461463</v>
      </c>
      <c r="V76">
        <v>176901470</v>
      </c>
      <c r="W76">
        <v>1.52</v>
      </c>
      <c r="X76">
        <v>0.17</v>
      </c>
      <c r="Y76">
        <v>17.34</v>
      </c>
      <c r="Z76" t="s">
        <v>134</v>
      </c>
      <c r="AA76" t="s">
        <v>537</v>
      </c>
      <c r="AB76" t="s">
        <v>4176</v>
      </c>
      <c r="AC76" t="s">
        <v>4177</v>
      </c>
      <c r="AD76" t="s">
        <v>4178</v>
      </c>
      <c r="AE76">
        <v>358936</v>
      </c>
      <c r="AF76" t="s">
        <v>4179</v>
      </c>
      <c r="AG76" t="s">
        <v>1175</v>
      </c>
      <c r="AH76" t="s">
        <v>4180</v>
      </c>
      <c r="AI76" t="s">
        <v>4181</v>
      </c>
      <c r="AJ76" t="s">
        <v>9</v>
      </c>
      <c r="AK76" t="s">
        <v>4182</v>
      </c>
      <c r="AL76" t="s">
        <v>4183</v>
      </c>
      <c r="AM76" t="s">
        <v>9</v>
      </c>
      <c r="AN76" t="s">
        <v>4184</v>
      </c>
      <c r="AO76" t="s">
        <v>4185</v>
      </c>
      <c r="AP76" t="s">
        <v>4186</v>
      </c>
      <c r="AQ76" t="s">
        <v>72</v>
      </c>
      <c r="AR76" t="s">
        <v>9</v>
      </c>
      <c r="AS76" t="s">
        <v>577</v>
      </c>
      <c r="AT76" t="s">
        <v>4187</v>
      </c>
      <c r="AU76" t="s">
        <v>4188</v>
      </c>
      <c r="AV76" t="s">
        <v>4189</v>
      </c>
      <c r="AW76" t="s">
        <v>4190</v>
      </c>
      <c r="AX76" t="s">
        <v>674</v>
      </c>
      <c r="AY76" t="s">
        <v>509</v>
      </c>
      <c r="AZ76" t="s">
        <v>304</v>
      </c>
      <c r="BA76" t="s">
        <v>298</v>
      </c>
      <c r="BB76" t="s">
        <v>75</v>
      </c>
      <c r="BC76" t="s">
        <v>4191</v>
      </c>
      <c r="BD76" t="s">
        <v>1379</v>
      </c>
      <c r="BE76" t="s">
        <v>1380</v>
      </c>
      <c r="BF76" t="s">
        <v>1381</v>
      </c>
      <c r="BG76" t="s">
        <v>1382</v>
      </c>
      <c r="BH76" t="s">
        <v>598</v>
      </c>
      <c r="BI76" t="s">
        <v>156</v>
      </c>
      <c r="BJ76" t="s">
        <v>674</v>
      </c>
      <c r="BK76" t="s">
        <v>272</v>
      </c>
      <c r="BL76" t="s">
        <v>1383</v>
      </c>
      <c r="BM76" t="s">
        <v>4191</v>
      </c>
      <c r="BN76">
        <v>14.33</v>
      </c>
      <c r="BO76">
        <v>18.25</v>
      </c>
      <c r="BP76">
        <v>12.67</v>
      </c>
      <c r="BQ76">
        <v>17.89</v>
      </c>
      <c r="BR76">
        <v>20.76</v>
      </c>
      <c r="BS76" t="s">
        <v>9</v>
      </c>
      <c r="BT76" t="s">
        <v>4192</v>
      </c>
      <c r="BU76" t="s">
        <v>822</v>
      </c>
      <c r="BV76">
        <v>33.44</v>
      </c>
      <c r="BW76">
        <v>31.04</v>
      </c>
      <c r="BX76">
        <v>32.78</v>
      </c>
      <c r="BY76">
        <v>17.350000000000001</v>
      </c>
      <c r="BZ76">
        <v>14.97</v>
      </c>
      <c r="CA76">
        <v>12.05</v>
      </c>
      <c r="CB76">
        <v>-2.77</v>
      </c>
      <c r="CC76">
        <v>2.4900000000000002</v>
      </c>
      <c r="CD76" t="s">
        <v>4193</v>
      </c>
      <c r="CE76" t="s">
        <v>4194</v>
      </c>
      <c r="CF76" s="8">
        <v>-0.43356643356643354</v>
      </c>
      <c r="CG76" s="9">
        <v>0.22950000000000001</v>
      </c>
      <c r="CH76" s="8">
        <v>-0.6854369044303894</v>
      </c>
      <c r="CI76" s="8">
        <v>0.35170602798461914</v>
      </c>
      <c r="CJ76" s="8">
        <v>0.37050360441207886</v>
      </c>
      <c r="CK76" s="8">
        <v>9.4488188624382019E-2</v>
      </c>
      <c r="CL76" s="8">
        <v>-4.5112781226634979E-2</v>
      </c>
      <c r="CM76" s="9">
        <v>-0.63376861810684204</v>
      </c>
      <c r="CN76" s="9">
        <v>0.67755991220474243</v>
      </c>
      <c r="CO76" s="9">
        <v>0.49699658155441284</v>
      </c>
      <c r="CP76" s="9">
        <v>2.3700320720672607</v>
      </c>
      <c r="CQ76" s="9">
        <v>-0.47205477952957153</v>
      </c>
      <c r="CR76">
        <v>-36.897281796070203</v>
      </c>
      <c r="CS76" t="e">
        <v>#DIV/0!</v>
      </c>
      <c r="CT76">
        <v>2.9877716701902748</v>
      </c>
      <c r="CU76" s="8">
        <v>0</v>
      </c>
      <c r="CV76" s="9">
        <v>0</v>
      </c>
      <c r="CW76">
        <v>0.06</v>
      </c>
      <c r="CX76">
        <v>52.081337073497771</v>
      </c>
      <c r="CY76">
        <v>26736792.452830184</v>
      </c>
      <c r="CZ76">
        <v>0</v>
      </c>
      <c r="DA76">
        <v>18.381263455139493</v>
      </c>
      <c r="DB76">
        <v>75755831.659692213</v>
      </c>
      <c r="DC76">
        <v>0</v>
      </c>
      <c r="DD76">
        <v>9.9918845299561543</v>
      </c>
      <c r="DE76">
        <v>139361888.72331879</v>
      </c>
      <c r="DF76">
        <v>0</v>
      </c>
      <c r="DG76">
        <v>6.6756461599657753</v>
      </c>
      <c r="DH76">
        <v>208592227.1241439</v>
      </c>
      <c r="DI76">
        <v>0</v>
      </c>
      <c r="DJ76">
        <v>4.2836682070895975</v>
      </c>
      <c r="DK76">
        <v>325069037.25535774</v>
      </c>
      <c r="DL76">
        <v>0</v>
      </c>
      <c r="DM76">
        <v>28341000</v>
      </c>
      <c r="DN76">
        <v>0</v>
      </c>
      <c r="DO76">
        <v>1392487900</v>
      </c>
      <c r="DP76">
        <v>442674390</v>
      </c>
      <c r="DQ76">
        <v>75</v>
      </c>
      <c r="DR76">
        <v>-0.43356643356643354</v>
      </c>
      <c r="DS76">
        <v>0.22950000000000001</v>
      </c>
      <c r="DT76">
        <v>-0.44</v>
      </c>
      <c r="DU76">
        <v>-0.22</v>
      </c>
      <c r="DV76">
        <v>-0.66</v>
      </c>
      <c r="DW76">
        <v>-4.8989169675090256</v>
      </c>
      <c r="DX76">
        <v>0.33811429393982917</v>
      </c>
      <c r="DY76">
        <v>-4.1061749429278613</v>
      </c>
      <c r="DZ76">
        <v>0</v>
      </c>
      <c r="EA76">
        <v>-4.1061749429278613</v>
      </c>
      <c r="EB76">
        <v>4</v>
      </c>
      <c r="EC76">
        <v>2.319200626201693E-2</v>
      </c>
      <c r="ED76">
        <v>0.1963522406003749</v>
      </c>
      <c r="EE76">
        <v>0</v>
      </c>
      <c r="EF76">
        <v>0</v>
      </c>
      <c r="EG76">
        <v>22.118114293939829</v>
      </c>
      <c r="EH76" t="s">
        <v>86</v>
      </c>
      <c r="EI76">
        <v>0</v>
      </c>
      <c r="EJ76">
        <v>0</v>
      </c>
      <c r="EK76">
        <v>0</v>
      </c>
      <c r="EL76">
        <v>0</v>
      </c>
      <c r="EM76">
        <v>0</v>
      </c>
      <c r="EN76">
        <v>0</v>
      </c>
      <c r="EO76">
        <v>0</v>
      </c>
      <c r="EP76">
        <v>0</v>
      </c>
    </row>
    <row r="77" spans="1:146" ht="96" x14ac:dyDescent="0.25">
      <c r="A77" s="10"/>
      <c r="B77" s="10"/>
      <c r="C77" s="7" t="str">
        <f>""&amp;CHAR(10)&amp;Basic_Fundamental_Information_Constructure(F77)&amp;CHAR(10)&amp;Basic_Fundamental_Information_Concatenate("")</f>
        <v xml:space="preserve">
市值131.466577亿, 利润1.01亿; PE36.71; 平均PE-15.07, PB12.46; ROIC22.22%; ROE30.515%; 股利率.6733%; 毛利85.9633%; 净利30.19%; 上一年度营收增-42.05%, 利润增-7.34%; 当季营收增-28.48%, 利润增135.7%; 过往5年营收增0%, 利润增0%
Income profile:
</v>
      </c>
      <c r="D77">
        <v>832982</v>
      </c>
      <c r="E77" t="s">
        <v>1384</v>
      </c>
      <c r="F77">
        <v>148.53</v>
      </c>
      <c r="G77" s="5">
        <v>-1.95</v>
      </c>
      <c r="H77" t="s">
        <v>4195</v>
      </c>
      <c r="I77">
        <v>13146657700</v>
      </c>
      <c r="J77">
        <v>36.71</v>
      </c>
      <c r="K77">
        <v>12.46</v>
      </c>
      <c r="L77" t="s">
        <v>2604</v>
      </c>
      <c r="M77" t="s">
        <v>454</v>
      </c>
      <c r="N77" t="s">
        <v>4196</v>
      </c>
      <c r="O77" t="s">
        <v>1000</v>
      </c>
      <c r="P77">
        <v>76.09</v>
      </c>
      <c r="Q77" t="s">
        <v>1000</v>
      </c>
      <c r="R77">
        <v>101369816</v>
      </c>
      <c r="S77" s="5">
        <v>1.357</v>
      </c>
      <c r="T77" t="s">
        <v>18</v>
      </c>
      <c r="U77">
        <v>30755906</v>
      </c>
      <c r="V77">
        <v>88511800</v>
      </c>
      <c r="W77">
        <v>1.45</v>
      </c>
      <c r="X77">
        <v>0.15</v>
      </c>
      <c r="Y77">
        <v>44.95</v>
      </c>
      <c r="Z77" t="s">
        <v>537</v>
      </c>
      <c r="AA77" t="s">
        <v>4197</v>
      </c>
      <c r="AB77" t="s">
        <v>4198</v>
      </c>
      <c r="AC77" t="s">
        <v>4199</v>
      </c>
      <c r="AD77" t="s">
        <v>63</v>
      </c>
      <c r="AE77">
        <v>2503375</v>
      </c>
      <c r="AF77" t="s">
        <v>4200</v>
      </c>
      <c r="AG77">
        <v>3206.7</v>
      </c>
      <c r="AH77" t="s">
        <v>4201</v>
      </c>
      <c r="AI77" t="s">
        <v>636</v>
      </c>
      <c r="AJ77" t="s">
        <v>9</v>
      </c>
      <c r="AK77" t="s">
        <v>4202</v>
      </c>
      <c r="AL77" t="s">
        <v>4203</v>
      </c>
      <c r="AM77" t="s">
        <v>9</v>
      </c>
      <c r="AN77" t="s">
        <v>406</v>
      </c>
      <c r="AO77" t="s">
        <v>4204</v>
      </c>
      <c r="AP77" t="s">
        <v>9</v>
      </c>
      <c r="AQ77" t="s">
        <v>4205</v>
      </c>
      <c r="AR77" t="s">
        <v>9</v>
      </c>
      <c r="AS77" t="s">
        <v>33</v>
      </c>
      <c r="AT77" t="s">
        <v>4206</v>
      </c>
      <c r="AU77" t="s">
        <v>25</v>
      </c>
      <c r="AV77" t="s">
        <v>4207</v>
      </c>
      <c r="AW77" t="s">
        <v>4208</v>
      </c>
      <c r="AX77" t="s">
        <v>364</v>
      </c>
      <c r="AY77" t="s">
        <v>571</v>
      </c>
      <c r="AZ77" t="s">
        <v>128</v>
      </c>
      <c r="BA77" t="s">
        <v>164</v>
      </c>
      <c r="BB77" t="s">
        <v>242</v>
      </c>
      <c r="BC77" t="s">
        <v>518</v>
      </c>
      <c r="BD77" t="s">
        <v>1386</v>
      </c>
      <c r="BE77" t="s">
        <v>1387</v>
      </c>
      <c r="BF77" t="s">
        <v>1388</v>
      </c>
      <c r="BG77" t="s">
        <v>1389</v>
      </c>
      <c r="BH77" t="s">
        <v>1344</v>
      </c>
      <c r="BI77" t="s">
        <v>19</v>
      </c>
      <c r="BJ77" t="s">
        <v>364</v>
      </c>
      <c r="BK77" t="s">
        <v>31</v>
      </c>
      <c r="BL77" t="s">
        <v>518</v>
      </c>
      <c r="BM77" t="s">
        <v>518</v>
      </c>
      <c r="BN77">
        <v>26.09</v>
      </c>
      <c r="BO77">
        <v>24.73</v>
      </c>
      <c r="BP77">
        <v>15.84</v>
      </c>
      <c r="BQ77">
        <v>32.72</v>
      </c>
      <c r="BR77">
        <v>28.31</v>
      </c>
      <c r="BS77" t="s">
        <v>9</v>
      </c>
      <c r="BT77" t="s">
        <v>4209</v>
      </c>
      <c r="BU77" t="s">
        <v>1385</v>
      </c>
      <c r="BV77">
        <v>90.16</v>
      </c>
      <c r="BW77">
        <v>85.44</v>
      </c>
      <c r="BX77">
        <v>82.29</v>
      </c>
      <c r="BY77">
        <v>38.28</v>
      </c>
      <c r="BZ77">
        <v>27.91</v>
      </c>
      <c r="CA77">
        <v>24.38</v>
      </c>
      <c r="CB77">
        <v>-1.1100000000000001</v>
      </c>
      <c r="CC77">
        <v>-18.93</v>
      </c>
      <c r="CD77" t="s">
        <v>4210</v>
      </c>
      <c r="CE77" t="s">
        <v>4211</v>
      </c>
      <c r="CF77" s="8">
        <v>-0.28481012658227856</v>
      </c>
      <c r="CG77" s="9">
        <v>1.357</v>
      </c>
      <c r="CH77" s="8">
        <v>-0.42051282525062561</v>
      </c>
      <c r="CI77" s="8">
        <v>0.67381972074508667</v>
      </c>
      <c r="CJ77" s="8">
        <v>0.44720497727394104</v>
      </c>
      <c r="CK77" s="8">
        <v>3.2051283866167068E-2</v>
      </c>
      <c r="CL77" s="8">
        <v>0.21875</v>
      </c>
      <c r="CM77" s="9">
        <v>-7.3394492268562317E-2</v>
      </c>
      <c r="CN77" s="9">
        <v>0.89937496185302734</v>
      </c>
      <c r="CO77" s="9">
        <v>0.79624956846237183</v>
      </c>
      <c r="CP77" s="9">
        <v>-0.29424342513084412</v>
      </c>
      <c r="CQ77" s="9">
        <v>3.2822493463754654E-2</v>
      </c>
      <c r="CR77">
        <v>-15.067100253588945</v>
      </c>
      <c r="CS77" t="e">
        <v>#DIV/0!</v>
      </c>
      <c r="CT77">
        <v>0.67326466033797883</v>
      </c>
      <c r="CU77" s="8">
        <v>0</v>
      </c>
      <c r="CV77" s="9">
        <v>0</v>
      </c>
      <c r="CW77">
        <v>0.06</v>
      </c>
      <c r="CX77">
        <v>131.96116001980201</v>
      </c>
      <c r="CY77">
        <v>95283018.867924511</v>
      </c>
      <c r="CZ77">
        <v>0</v>
      </c>
      <c r="DA77">
        <v>46.5735517647473</v>
      </c>
      <c r="DB77">
        <v>269974206.89562523</v>
      </c>
      <c r="DC77">
        <v>0</v>
      </c>
      <c r="DD77">
        <v>25.316951281342661</v>
      </c>
      <c r="DE77">
        <v>496649756.92654443</v>
      </c>
      <c r="DF77">
        <v>0</v>
      </c>
      <c r="DG77">
        <v>16.914427713475323</v>
      </c>
      <c r="DH77">
        <v>743368792.19288421</v>
      </c>
      <c r="DI77">
        <v>0</v>
      </c>
      <c r="DJ77">
        <v>10.853750258941361</v>
      </c>
      <c r="DK77">
        <v>1158462043.0750904</v>
      </c>
      <c r="DL77">
        <v>0</v>
      </c>
      <c r="DM77">
        <v>101000000</v>
      </c>
      <c r="DN77">
        <v>0</v>
      </c>
      <c r="DO77">
        <v>12573657700</v>
      </c>
      <c r="DP77">
        <v>572341590</v>
      </c>
      <c r="DQ77">
        <v>76</v>
      </c>
      <c r="DR77">
        <v>-0.28481012658227856</v>
      </c>
      <c r="DS77">
        <v>1.357</v>
      </c>
      <c r="DT77">
        <v>-0.44</v>
      </c>
      <c r="DU77">
        <v>0</v>
      </c>
      <c r="DV77">
        <v>-0.44</v>
      </c>
      <c r="DW77">
        <v>-3.0331369047619048</v>
      </c>
      <c r="DX77">
        <v>0.32304073753053242</v>
      </c>
      <c r="DY77">
        <v>-3.0037458201537648</v>
      </c>
      <c r="DZ77">
        <v>0</v>
      </c>
      <c r="EA77">
        <v>-3.0037458201537648</v>
      </c>
      <c r="EB77">
        <v>3</v>
      </c>
      <c r="EC77">
        <v>8.1040042118677956E-3</v>
      </c>
      <c r="ED77">
        <v>7.169100617092862E-2</v>
      </c>
      <c r="EE77">
        <v>0</v>
      </c>
      <c r="EF77">
        <v>0</v>
      </c>
      <c r="EG77">
        <v>21.113040737530532</v>
      </c>
      <c r="EH77" t="s">
        <v>86</v>
      </c>
      <c r="EI77">
        <v>0</v>
      </c>
      <c r="EJ77">
        <v>0</v>
      </c>
      <c r="EK77">
        <v>0</v>
      </c>
      <c r="EL77">
        <v>0</v>
      </c>
      <c r="EM77">
        <v>0</v>
      </c>
      <c r="EN77">
        <v>0</v>
      </c>
      <c r="EO77">
        <v>0</v>
      </c>
      <c r="EP77">
        <v>0</v>
      </c>
    </row>
    <row r="78" spans="1:146" ht="96" x14ac:dyDescent="0.25">
      <c r="A78" s="10"/>
      <c r="B78" s="10"/>
      <c r="C78" s="7" t="str">
        <f>""&amp;CHAR(10)&amp;Basic_Fundamental_Information_Constructure(F78)&amp;CHAR(10)&amp;Basic_Fundamental_Information_Concatenate("")</f>
        <v xml:space="preserve">
市值12.1115369亿, 利润-875.25万; PE29.03; 平均PE9.4, PB1.92; ROIC10.365%; ROE8.72%; 股利率1.5232%; 毛利53.4467%; 净利9.9967%; 上一年度营收增-88.11%, 利润增-121.14%; 当季营收增-69.96%, 利润增0%; 过往5年营收增0%, 利润增0%
Income profile:
</v>
      </c>
      <c r="D78">
        <v>833030</v>
      </c>
      <c r="E78" t="s">
        <v>1390</v>
      </c>
      <c r="F78">
        <v>13.13</v>
      </c>
      <c r="G78" s="5">
        <v>-9.76</v>
      </c>
      <c r="H78" t="s">
        <v>4212</v>
      </c>
      <c r="I78">
        <v>1211153690</v>
      </c>
      <c r="J78">
        <v>29.03</v>
      </c>
      <c r="K78">
        <v>1.92</v>
      </c>
      <c r="L78" t="s">
        <v>2604</v>
      </c>
      <c r="M78" t="s">
        <v>109</v>
      </c>
      <c r="N78" t="s">
        <v>563</v>
      </c>
      <c r="O78" t="s">
        <v>4213</v>
      </c>
      <c r="P78">
        <v>1.47</v>
      </c>
      <c r="Q78" t="s">
        <v>4213</v>
      </c>
      <c r="R78">
        <v>-8752504</v>
      </c>
      <c r="S78" s="5">
        <v>0</v>
      </c>
      <c r="T78" t="s">
        <v>4214</v>
      </c>
      <c r="U78">
        <v>22402727</v>
      </c>
      <c r="V78">
        <v>92243236</v>
      </c>
      <c r="W78">
        <v>1.25</v>
      </c>
      <c r="X78">
        <v>7.0000000000000007E-2</v>
      </c>
      <c r="Y78">
        <v>-15.96</v>
      </c>
      <c r="Z78" t="s">
        <v>4215</v>
      </c>
      <c r="AA78" t="s">
        <v>4216</v>
      </c>
      <c r="AB78" t="s">
        <v>4217</v>
      </c>
      <c r="AC78" t="s">
        <v>4218</v>
      </c>
      <c r="AD78" t="s">
        <v>4219</v>
      </c>
      <c r="AE78">
        <v>1433993</v>
      </c>
      <c r="AF78" t="s">
        <v>17</v>
      </c>
      <c r="AG78">
        <v>6440.4</v>
      </c>
      <c r="AH78" t="s">
        <v>4220</v>
      </c>
      <c r="AI78" t="s">
        <v>449</v>
      </c>
      <c r="AJ78" t="s">
        <v>9</v>
      </c>
      <c r="AK78" t="s">
        <v>4221</v>
      </c>
      <c r="AL78" t="s">
        <v>4222</v>
      </c>
      <c r="AM78" t="s">
        <v>9</v>
      </c>
      <c r="AN78" t="s">
        <v>4223</v>
      </c>
      <c r="AO78" t="s">
        <v>2239</v>
      </c>
      <c r="AP78" t="s">
        <v>4224</v>
      </c>
      <c r="AQ78" t="s">
        <v>4225</v>
      </c>
      <c r="AR78" t="s">
        <v>9</v>
      </c>
      <c r="AS78" t="s">
        <v>300</v>
      </c>
      <c r="AT78" t="s">
        <v>9</v>
      </c>
      <c r="AU78" t="s">
        <v>4226</v>
      </c>
      <c r="AV78" t="s">
        <v>4227</v>
      </c>
      <c r="AW78" t="s">
        <v>4228</v>
      </c>
      <c r="AX78" t="s">
        <v>542</v>
      </c>
      <c r="AY78" t="s">
        <v>517</v>
      </c>
      <c r="AZ78" t="s">
        <v>347</v>
      </c>
      <c r="BA78" t="s">
        <v>673</v>
      </c>
      <c r="BB78" t="s">
        <v>69</v>
      </c>
      <c r="BC78" t="s">
        <v>4229</v>
      </c>
      <c r="BD78" t="s">
        <v>1391</v>
      </c>
      <c r="BE78" t="s">
        <v>1392</v>
      </c>
      <c r="BF78" t="s">
        <v>1393</v>
      </c>
      <c r="BG78" t="s">
        <v>1394</v>
      </c>
      <c r="BH78" t="s">
        <v>454</v>
      </c>
      <c r="BI78" t="s">
        <v>296</v>
      </c>
      <c r="BJ78" t="s">
        <v>542</v>
      </c>
      <c r="BK78" t="s">
        <v>4230</v>
      </c>
      <c r="BL78" t="s">
        <v>1395</v>
      </c>
      <c r="BM78" t="s">
        <v>4229</v>
      </c>
      <c r="BN78" t="s">
        <v>9</v>
      </c>
      <c r="BO78">
        <v>7.42</v>
      </c>
      <c r="BP78">
        <v>13.31</v>
      </c>
      <c r="BQ78" t="s">
        <v>9</v>
      </c>
      <c r="BR78">
        <v>8.7200000000000006</v>
      </c>
      <c r="BS78" t="s">
        <v>9</v>
      </c>
      <c r="BT78" t="s">
        <v>851</v>
      </c>
      <c r="BU78" t="s">
        <v>888</v>
      </c>
      <c r="BV78">
        <v>51.82</v>
      </c>
      <c r="BW78">
        <v>53.63</v>
      </c>
      <c r="BX78">
        <v>54.89</v>
      </c>
      <c r="BY78">
        <v>7.89</v>
      </c>
      <c r="BZ78">
        <v>8.93</v>
      </c>
      <c r="CA78">
        <v>13.17</v>
      </c>
      <c r="CB78">
        <v>-0.53</v>
      </c>
      <c r="CC78">
        <v>60.32</v>
      </c>
      <c r="CD78" t="s">
        <v>4231</v>
      </c>
      <c r="CE78" t="s">
        <v>4232</v>
      </c>
      <c r="CF78" s="8">
        <v>-0.69960815217391303</v>
      </c>
      <c r="CG78" s="9">
        <v>0</v>
      </c>
      <c r="CH78" s="8">
        <v>-0.88113528490066528</v>
      </c>
      <c r="CI78" s="8">
        <v>-6.4102564938366413E-3</v>
      </c>
      <c r="CJ78" s="8">
        <v>8.5846871137619019E-2</v>
      </c>
      <c r="CK78" s="8">
        <v>8.2914575934410095E-2</v>
      </c>
      <c r="CL78" s="8">
        <v>5.5702917277812958E-2</v>
      </c>
      <c r="CM78" s="9">
        <v>-1.2113559246063232</v>
      </c>
      <c r="CN78" s="9">
        <v>-0.32917121052742004</v>
      </c>
      <c r="CO78" s="9">
        <v>6.5265670418739319E-2</v>
      </c>
      <c r="CP78" s="9">
        <v>0.29038602113723755</v>
      </c>
      <c r="CQ78" s="9">
        <v>0.31718885898590088</v>
      </c>
      <c r="CR78">
        <v>9.3997315737999365</v>
      </c>
      <c r="CS78" t="e">
        <v>#DIV/0!</v>
      </c>
      <c r="CT78">
        <v>1.5232292460015231</v>
      </c>
      <c r="CU78" s="8">
        <v>0</v>
      </c>
      <c r="CV78" s="9">
        <v>0</v>
      </c>
      <c r="CW78">
        <v>0.06</v>
      </c>
      <c r="CX78" t="e">
        <v>#VALUE!</v>
      </c>
      <c r="CY78" t="s">
        <v>85</v>
      </c>
      <c r="CZ78">
        <v>0</v>
      </c>
      <c r="DA78" t="e">
        <v>#VALUE!</v>
      </c>
      <c r="DB78" t="s">
        <v>84</v>
      </c>
      <c r="DC78">
        <v>0</v>
      </c>
      <c r="DD78" t="e">
        <v>#VALUE!</v>
      </c>
      <c r="DE78" t="s">
        <v>84</v>
      </c>
      <c r="DF78">
        <v>0</v>
      </c>
      <c r="DG78" t="e">
        <v>#VALUE!</v>
      </c>
      <c r="DH78" t="s">
        <v>84</v>
      </c>
      <c r="DI78">
        <v>0</v>
      </c>
      <c r="DJ78" t="e">
        <v>#VALUE!</v>
      </c>
      <c r="DK78" t="s">
        <v>84</v>
      </c>
      <c r="DL78">
        <v>0</v>
      </c>
      <c r="DM78">
        <v>-8752500</v>
      </c>
      <c r="DN78">
        <v>0</v>
      </c>
      <c r="DO78">
        <v>760153690</v>
      </c>
      <c r="DP78">
        <v>555833260</v>
      </c>
      <c r="DQ78">
        <v>77</v>
      </c>
      <c r="DR78">
        <v>-0.69960815217391303</v>
      </c>
      <c r="DS78">
        <v>0</v>
      </c>
      <c r="DT78">
        <v>-0.44</v>
      </c>
      <c r="DU78" t="e">
        <v>#VALUE!</v>
      </c>
      <c r="DV78" t="e">
        <v>#VALUE!</v>
      </c>
      <c r="DW78">
        <v>3.501238095238095</v>
      </c>
      <c r="DX78">
        <v>0.99145601629299973</v>
      </c>
      <c r="DY78">
        <v>3.3816707632142919</v>
      </c>
      <c r="DZ78">
        <v>0</v>
      </c>
      <c r="EA78">
        <v>3.3816707632142919</v>
      </c>
      <c r="EB78">
        <v>3</v>
      </c>
      <c r="EC78">
        <v>0.58041979359874141</v>
      </c>
      <c r="ED78">
        <v>0.76224992800556135</v>
      </c>
      <c r="EE78">
        <v>0</v>
      </c>
      <c r="EF78">
        <v>0</v>
      </c>
      <c r="EG78">
        <v>23.761456016293</v>
      </c>
      <c r="EH78" t="s">
        <v>86</v>
      </c>
      <c r="EI78">
        <v>0</v>
      </c>
      <c r="EJ78">
        <v>0</v>
      </c>
      <c r="EK78">
        <v>0</v>
      </c>
      <c r="EL78">
        <v>0</v>
      </c>
      <c r="EM78">
        <v>0</v>
      </c>
      <c r="EN78">
        <v>0</v>
      </c>
      <c r="EO78">
        <v>0</v>
      </c>
      <c r="EP78">
        <v>0</v>
      </c>
    </row>
    <row r="79" spans="1:146" ht="108" x14ac:dyDescent="0.25">
      <c r="A79" s="10"/>
      <c r="B79" s="10"/>
      <c r="C79" s="7" t="str">
        <f>""&amp;CHAR(10)&amp;Basic_Fundamental_Information_Constructure(F79)&amp;CHAR(10)&amp;Basic_Fundamental_Information_Concatenate("")</f>
        <v xml:space="preserve">
市值7.0583535亿, 利润1322.97万; PE13.75; 平均PE-.59, PB1.72; ROIC11.85%; ROE14.7967%; 股利率4.2241%; 毛利34.32%; 净利8.7733%; 上一年度营收增-71.46%, 利润增-66.11%; 当季营收增-41.35%, 利润增65.71%; 过往5年营收增0%, 利润增0%
Income profile:
</v>
      </c>
      <c r="D79">
        <v>833075</v>
      </c>
      <c r="E79" t="s">
        <v>1396</v>
      </c>
      <c r="F79">
        <v>10.89</v>
      </c>
      <c r="G79" s="5">
        <v>-4.22</v>
      </c>
      <c r="H79" t="s">
        <v>3093</v>
      </c>
      <c r="I79">
        <v>705835350</v>
      </c>
      <c r="J79">
        <v>13.75</v>
      </c>
      <c r="K79">
        <v>1.72</v>
      </c>
      <c r="L79" t="s">
        <v>2604</v>
      </c>
      <c r="M79" t="s">
        <v>153</v>
      </c>
      <c r="N79" t="s">
        <v>283</v>
      </c>
      <c r="O79" t="s">
        <v>110</v>
      </c>
      <c r="P79">
        <v>36.79</v>
      </c>
      <c r="Q79" t="s">
        <v>110</v>
      </c>
      <c r="R79">
        <v>13229683</v>
      </c>
      <c r="S79" s="5">
        <v>0.65710000000000002</v>
      </c>
      <c r="T79" t="s">
        <v>4233</v>
      </c>
      <c r="U79">
        <v>24623750</v>
      </c>
      <c r="V79">
        <v>64815000</v>
      </c>
      <c r="W79">
        <v>1.49</v>
      </c>
      <c r="X79">
        <v>0.21</v>
      </c>
      <c r="Y79">
        <v>9.41</v>
      </c>
      <c r="Z79" t="s">
        <v>230</v>
      </c>
      <c r="AA79" t="s">
        <v>4234</v>
      </c>
      <c r="AB79" t="s">
        <v>4235</v>
      </c>
      <c r="AC79" t="s">
        <v>4236</v>
      </c>
      <c r="AD79" t="s">
        <v>4237</v>
      </c>
      <c r="AE79">
        <v>49933</v>
      </c>
      <c r="AF79" t="s">
        <v>4238</v>
      </c>
      <c r="AG79" t="s">
        <v>937</v>
      </c>
      <c r="AH79" t="s">
        <v>4239</v>
      </c>
      <c r="AI79" t="s">
        <v>4240</v>
      </c>
      <c r="AJ79" t="s">
        <v>9</v>
      </c>
      <c r="AK79" t="s">
        <v>4241</v>
      </c>
      <c r="AL79" t="s">
        <v>4242</v>
      </c>
      <c r="AM79" t="s">
        <v>9</v>
      </c>
      <c r="AN79" t="s">
        <v>495</v>
      </c>
      <c r="AO79" t="s">
        <v>4243</v>
      </c>
      <c r="AP79" t="s">
        <v>4244</v>
      </c>
      <c r="AQ79" t="s">
        <v>4245</v>
      </c>
      <c r="AR79" t="s">
        <v>9</v>
      </c>
      <c r="AS79" t="s">
        <v>15</v>
      </c>
      <c r="AT79" t="s">
        <v>9</v>
      </c>
      <c r="AU79" t="s">
        <v>4246</v>
      </c>
      <c r="AV79" t="s">
        <v>4247</v>
      </c>
      <c r="AW79" t="s">
        <v>4248</v>
      </c>
      <c r="AX79" t="s">
        <v>385</v>
      </c>
      <c r="AY79" t="s">
        <v>670</v>
      </c>
      <c r="AZ79" t="s">
        <v>153</v>
      </c>
      <c r="BA79" t="s">
        <v>593</v>
      </c>
      <c r="BB79" t="s">
        <v>457</v>
      </c>
      <c r="BC79" t="s">
        <v>4249</v>
      </c>
      <c r="BD79" t="s">
        <v>1398</v>
      </c>
      <c r="BE79" t="s">
        <v>1399</v>
      </c>
      <c r="BF79" t="s">
        <v>1400</v>
      </c>
      <c r="BG79" t="s">
        <v>1401</v>
      </c>
      <c r="BH79" t="s">
        <v>649</v>
      </c>
      <c r="BI79" t="s">
        <v>401</v>
      </c>
      <c r="BJ79" t="s">
        <v>385</v>
      </c>
      <c r="BK79" t="s">
        <v>4250</v>
      </c>
      <c r="BL79" t="s">
        <v>1402</v>
      </c>
      <c r="BM79" t="s">
        <v>4249</v>
      </c>
      <c r="BN79">
        <v>6.85</v>
      </c>
      <c r="BO79">
        <v>11.32</v>
      </c>
      <c r="BP79">
        <v>17.38</v>
      </c>
      <c r="BQ79">
        <v>7.71</v>
      </c>
      <c r="BR79">
        <v>16.66</v>
      </c>
      <c r="BS79">
        <v>20.02</v>
      </c>
      <c r="BT79" t="s">
        <v>4251</v>
      </c>
      <c r="BU79" t="s">
        <v>1397</v>
      </c>
      <c r="BV79">
        <v>33.950000000000003</v>
      </c>
      <c r="BW79">
        <v>33.79</v>
      </c>
      <c r="BX79">
        <v>35.22</v>
      </c>
      <c r="BY79">
        <v>8.48</v>
      </c>
      <c r="BZ79">
        <v>7.94</v>
      </c>
      <c r="CA79">
        <v>9.9</v>
      </c>
      <c r="CB79">
        <v>1.97</v>
      </c>
      <c r="CC79">
        <v>7.5</v>
      </c>
      <c r="CD79" t="s">
        <v>4252</v>
      </c>
      <c r="CE79" t="s">
        <v>4253</v>
      </c>
      <c r="CF79" s="8">
        <v>-0.41350210970464135</v>
      </c>
      <c r="CG79" s="9">
        <v>0.65710000000000002</v>
      </c>
      <c r="CH79" s="8">
        <v>-0.71457904577255249</v>
      </c>
      <c r="CI79" s="8">
        <v>0.14319248497486115</v>
      </c>
      <c r="CJ79" s="8">
        <v>0.51063829660415649</v>
      </c>
      <c r="CK79" s="8">
        <v>-0.21008403599262238</v>
      </c>
      <c r="CL79" s="8">
        <v>1.9999999552965164E-2</v>
      </c>
      <c r="CM79" s="9">
        <v>-0.66113054752349854</v>
      </c>
      <c r="CN79" s="9">
        <v>-7.5303174555301666E-2</v>
      </c>
      <c r="CO79" s="9">
        <v>0.88630354404449463</v>
      </c>
      <c r="CP79" s="9">
        <v>-0.32828551530838013</v>
      </c>
      <c r="CQ79" s="9">
        <v>1.9811074889730662E-4</v>
      </c>
      <c r="CR79">
        <v>-0.58862367016776063</v>
      </c>
      <c r="CS79" t="e">
        <v>#DIV/0!</v>
      </c>
      <c r="CT79">
        <v>4.2240587695133147</v>
      </c>
      <c r="CU79" s="8">
        <v>0</v>
      </c>
      <c r="CV79" s="9">
        <v>0</v>
      </c>
      <c r="CW79">
        <v>0.06</v>
      </c>
      <c r="CX79">
        <v>46.05739139965381</v>
      </c>
      <c r="CY79">
        <v>12480849.056603773</v>
      </c>
      <c r="CZ79">
        <v>0</v>
      </c>
      <c r="DA79">
        <v>16.25520950391099</v>
      </c>
      <c r="DB79">
        <v>35363146.187792599</v>
      </c>
      <c r="DC79">
        <v>0</v>
      </c>
      <c r="DD79">
        <v>8.8361812978590972</v>
      </c>
      <c r="DE79">
        <v>65054725.635753512</v>
      </c>
      <c r="DF79">
        <v>0</v>
      </c>
      <c r="DG79">
        <v>5.9035129532339905</v>
      </c>
      <c r="DH79">
        <v>97371743.664101005</v>
      </c>
      <c r="DI79">
        <v>0</v>
      </c>
      <c r="DJ79">
        <v>3.7882011931021391</v>
      </c>
      <c r="DK79">
        <v>151743616.7452527</v>
      </c>
      <c r="DL79">
        <v>0</v>
      </c>
      <c r="DM79">
        <v>13229700</v>
      </c>
      <c r="DN79">
        <v>0</v>
      </c>
      <c r="DO79">
        <v>574835350</v>
      </c>
      <c r="DP79">
        <v>142797180</v>
      </c>
      <c r="DQ79">
        <v>78</v>
      </c>
      <c r="DR79">
        <v>-0.41350210970464135</v>
      </c>
      <c r="DS79">
        <v>0.65710000000000002</v>
      </c>
      <c r="DT79">
        <v>-0.44</v>
      </c>
      <c r="DU79">
        <v>-0.22</v>
      </c>
      <c r="DV79">
        <v>-0.66</v>
      </c>
      <c r="DW79">
        <v>2.0750000000000002</v>
      </c>
      <c r="DX79">
        <v>0.41726675326660168</v>
      </c>
      <c r="DY79">
        <v>2.0155450064949951</v>
      </c>
      <c r="DZ79">
        <v>0</v>
      </c>
      <c r="EA79">
        <v>2.0155450064949951</v>
      </c>
      <c r="EB79">
        <v>2</v>
      </c>
      <c r="EC79">
        <v>3.3479904343130445E-2</v>
      </c>
      <c r="ED79">
        <v>0.16153050991282883</v>
      </c>
      <c r="EE79">
        <v>0</v>
      </c>
      <c r="EF79">
        <v>0</v>
      </c>
      <c r="EG79">
        <v>21.207266753266602</v>
      </c>
      <c r="EH79" t="s">
        <v>86</v>
      </c>
      <c r="EI79">
        <v>1</v>
      </c>
      <c r="EJ79">
        <v>0</v>
      </c>
      <c r="EK79">
        <v>0</v>
      </c>
      <c r="EL79">
        <v>0</v>
      </c>
      <c r="EM79">
        <v>0</v>
      </c>
      <c r="EN79">
        <v>0</v>
      </c>
      <c r="EO79">
        <v>0</v>
      </c>
      <c r="EP79">
        <v>0</v>
      </c>
    </row>
    <row r="80" spans="1:146" ht="96" x14ac:dyDescent="0.25">
      <c r="A80" s="10"/>
      <c r="B80" s="10"/>
      <c r="C80" s="7" t="str">
        <f>""&amp;CHAR(10)&amp;Basic_Fundamental_Information_Constructure(F80)&amp;CHAR(10)&amp;Basic_Fundamental_Information_Concatenate("")</f>
        <v xml:space="preserve">
市值21.049942亿, 利润1595.50万; PE62.07; 平均PE-1.86, PB1.54; ROIC13.6433%; ROE31.8467%; 股利率0%; 毛利22.0367%; 净利14.04%; 上一年度营收增-80.74%, 利润增-91.51%; 当季营收增-50.33%, 利润增203.1%; 过往5年营收增0%, 利润增0%
Income profile:
</v>
      </c>
      <c r="D80">
        <v>833171</v>
      </c>
      <c r="E80" t="s">
        <v>1403</v>
      </c>
      <c r="F80">
        <v>3.79</v>
      </c>
      <c r="G80" s="5">
        <v>-2.3199999999999998</v>
      </c>
      <c r="H80" t="s">
        <v>4254</v>
      </c>
      <c r="I80">
        <v>2104994200</v>
      </c>
      <c r="J80">
        <v>62.07</v>
      </c>
      <c r="K80">
        <v>1.54</v>
      </c>
      <c r="L80" t="s">
        <v>2604</v>
      </c>
      <c r="M80" t="s">
        <v>1552</v>
      </c>
      <c r="N80" t="s">
        <v>4255</v>
      </c>
      <c r="O80" t="s">
        <v>181</v>
      </c>
      <c r="P80">
        <v>16.399999999999999</v>
      </c>
      <c r="Q80" t="s">
        <v>181</v>
      </c>
      <c r="R80">
        <v>15954989</v>
      </c>
      <c r="S80" s="5">
        <v>2.0310000000000001</v>
      </c>
      <c r="T80" t="s">
        <v>4256</v>
      </c>
      <c r="U80">
        <v>219750280</v>
      </c>
      <c r="V80">
        <v>555407450</v>
      </c>
      <c r="W80">
        <v>1.94</v>
      </c>
      <c r="X80">
        <v>0.09</v>
      </c>
      <c r="Y80">
        <v>7.11</v>
      </c>
      <c r="Z80" t="s">
        <v>297</v>
      </c>
      <c r="AA80" t="s">
        <v>378</v>
      </c>
      <c r="AB80" t="s">
        <v>4257</v>
      </c>
      <c r="AC80" t="s">
        <v>4258</v>
      </c>
      <c r="AD80">
        <v>0</v>
      </c>
      <c r="AE80">
        <v>7831863</v>
      </c>
      <c r="AF80" t="s">
        <v>4259</v>
      </c>
      <c r="AG80" t="s">
        <v>4260</v>
      </c>
      <c r="AH80" t="s">
        <v>4261</v>
      </c>
      <c r="AI80" t="s">
        <v>388</v>
      </c>
      <c r="AJ80" t="s">
        <v>9</v>
      </c>
      <c r="AK80" t="s">
        <v>4262</v>
      </c>
      <c r="AL80" t="s">
        <v>4263</v>
      </c>
      <c r="AM80" t="s">
        <v>9</v>
      </c>
      <c r="AN80" t="s">
        <v>637</v>
      </c>
      <c r="AO80" t="s">
        <v>83</v>
      </c>
      <c r="AP80" t="s">
        <v>9</v>
      </c>
      <c r="AQ80" t="s">
        <v>287</v>
      </c>
      <c r="AR80" t="s">
        <v>9</v>
      </c>
      <c r="AS80" t="s">
        <v>71</v>
      </c>
      <c r="AT80" t="s">
        <v>263</v>
      </c>
      <c r="AU80" t="s">
        <v>4264</v>
      </c>
      <c r="AV80" t="s">
        <v>4265</v>
      </c>
      <c r="AW80" t="s">
        <v>683</v>
      </c>
      <c r="AX80" t="s">
        <v>350</v>
      </c>
      <c r="AY80" t="s">
        <v>252</v>
      </c>
      <c r="AZ80" t="s">
        <v>468</v>
      </c>
      <c r="BA80" t="s">
        <v>325</v>
      </c>
      <c r="BB80" t="s">
        <v>476</v>
      </c>
      <c r="BC80" t="s">
        <v>15</v>
      </c>
      <c r="BD80" t="s">
        <v>98</v>
      </c>
      <c r="BE80" t="s">
        <v>1405</v>
      </c>
      <c r="BF80" t="s">
        <v>1406</v>
      </c>
      <c r="BG80" t="s">
        <v>480</v>
      </c>
      <c r="BH80" t="s">
        <v>4266</v>
      </c>
      <c r="BI80" t="s">
        <v>133</v>
      </c>
      <c r="BJ80" t="s">
        <v>350</v>
      </c>
      <c r="BK80" t="s">
        <v>4267</v>
      </c>
      <c r="BL80" t="s">
        <v>1407</v>
      </c>
      <c r="BM80" t="s">
        <v>15</v>
      </c>
      <c r="BN80">
        <v>1.19</v>
      </c>
      <c r="BO80">
        <v>11.71</v>
      </c>
      <c r="BP80">
        <v>28.03</v>
      </c>
      <c r="BQ80">
        <v>0.55000000000000004</v>
      </c>
      <c r="BR80">
        <v>23.72</v>
      </c>
      <c r="BS80">
        <v>71.27</v>
      </c>
      <c r="BT80" t="s">
        <v>773</v>
      </c>
      <c r="BU80" t="s">
        <v>1404</v>
      </c>
      <c r="BV80">
        <v>11.35</v>
      </c>
      <c r="BW80">
        <v>24.22</v>
      </c>
      <c r="BX80">
        <v>30.54</v>
      </c>
      <c r="BY80">
        <v>0.26</v>
      </c>
      <c r="BZ80">
        <v>16.239999999999998</v>
      </c>
      <c r="CA80">
        <v>25.62</v>
      </c>
      <c r="CB80">
        <v>-4.53</v>
      </c>
      <c r="CC80">
        <v>-18.84</v>
      </c>
      <c r="CD80" t="s">
        <v>4268</v>
      </c>
      <c r="CE80" t="s">
        <v>538</v>
      </c>
      <c r="CF80" s="8">
        <v>-0.5033407572383074</v>
      </c>
      <c r="CG80" s="9">
        <v>2.0310000000000001</v>
      </c>
      <c r="CH80" s="8">
        <v>-0.8074265718460083</v>
      </c>
      <c r="CI80" s="8">
        <v>-0.19527453184127808</v>
      </c>
      <c r="CJ80" s="8">
        <v>1.0705037117004395</v>
      </c>
      <c r="CK80" s="8">
        <v>-0.22863484919071198</v>
      </c>
      <c r="CL80" s="8">
        <v>-0.14190475642681122</v>
      </c>
      <c r="CM80" s="9">
        <v>-0.91513293981552124</v>
      </c>
      <c r="CN80" s="9">
        <v>-0.48913043737411499</v>
      </c>
      <c r="CO80" s="9">
        <v>5.936396598815918</v>
      </c>
      <c r="CP80" s="9">
        <v>-3.5865519046783447</v>
      </c>
      <c r="CQ80" s="9">
        <v>-0.82532423734664917</v>
      </c>
      <c r="CR80">
        <v>-1.8630891519380681</v>
      </c>
      <c r="CS80" t="e">
        <v>#DIV/0!</v>
      </c>
      <c r="CT80">
        <v>0</v>
      </c>
      <c r="CU80" s="8">
        <v>0</v>
      </c>
      <c r="CV80" s="9">
        <v>0</v>
      </c>
      <c r="CW80">
        <v>0.06</v>
      </c>
      <c r="CX80">
        <v>109.15536521466626</v>
      </c>
      <c r="CY80">
        <v>15051886.792452829</v>
      </c>
      <c r="CZ80">
        <v>0</v>
      </c>
      <c r="DA80">
        <v>38.52461626938026</v>
      </c>
      <c r="DB80">
        <v>42647905.653660402</v>
      </c>
      <c r="DC80">
        <v>0</v>
      </c>
      <c r="DD80">
        <v>20.941624511501605</v>
      </c>
      <c r="DE80">
        <v>78455909.621416003</v>
      </c>
      <c r="DF80">
        <v>0</v>
      </c>
      <c r="DG80">
        <v>13.991242075959448</v>
      </c>
      <c r="DH80">
        <v>117430188.90532146</v>
      </c>
      <c r="DI80">
        <v>0</v>
      </c>
      <c r="DJ80">
        <v>8.9779831678180209</v>
      </c>
      <c r="DK80">
        <v>183002593.04220858</v>
      </c>
      <c r="DL80">
        <v>0</v>
      </c>
      <c r="DM80">
        <v>15955000</v>
      </c>
      <c r="DN80">
        <v>0</v>
      </c>
      <c r="DO80">
        <v>1642994200</v>
      </c>
      <c r="DP80">
        <v>-69383350</v>
      </c>
      <c r="DQ80">
        <v>79</v>
      </c>
      <c r="DR80">
        <v>-0.5033407572383074</v>
      </c>
      <c r="DS80">
        <v>2.0310000000000001</v>
      </c>
      <c r="DT80">
        <v>-0.44</v>
      </c>
      <c r="DU80">
        <v>0</v>
      </c>
      <c r="DV80">
        <v>-0.44</v>
      </c>
      <c r="DW80">
        <v>-8.2404458598726116</v>
      </c>
      <c r="DX80">
        <v>0.27783210831721533</v>
      </c>
      <c r="DY80">
        <v>-8.0211188668087576</v>
      </c>
      <c r="DZ80">
        <v>0</v>
      </c>
      <c r="EA80">
        <v>-8.0211188668087576</v>
      </c>
      <c r="EB80">
        <v>8</v>
      </c>
      <c r="EC80">
        <v>8.1758355960115409E-2</v>
      </c>
      <c r="ED80">
        <v>0.93084815480959071</v>
      </c>
      <c r="EE80">
        <v>0</v>
      </c>
      <c r="EF80">
        <v>0</v>
      </c>
      <c r="EG80">
        <v>19.087832108317215</v>
      </c>
      <c r="EH80" t="s">
        <v>86</v>
      </c>
      <c r="EI80">
        <v>0</v>
      </c>
      <c r="EJ80">
        <v>0</v>
      </c>
      <c r="EK80">
        <v>0</v>
      </c>
      <c r="EL80">
        <v>0</v>
      </c>
      <c r="EM80">
        <v>0</v>
      </c>
      <c r="EN80">
        <v>0</v>
      </c>
      <c r="EO80">
        <v>0</v>
      </c>
      <c r="EP80">
        <v>0</v>
      </c>
    </row>
    <row r="81" spans="1:146" ht="108" x14ac:dyDescent="0.25">
      <c r="A81" s="10"/>
      <c r="B81" s="10"/>
      <c r="C81" s="7" t="str">
        <f>""&amp;CHAR(10)&amp;Basic_Fundamental_Information_Constructure(F81)&amp;CHAR(10)&amp;Basic_Fundamental_Information_Concatenate("")</f>
        <v xml:space="preserve">
市值6.7009424亿, 利润865.49万; PE34.01; 平均PE4.56, PB1.66; ROIC13.38%; ROE18.2533%; 股利率2.2573%; 毛利21.02%; 净利11.0533%; 上一年度营收增-74.63%, 利润增-74.29%; 当季营收增-39.07%, 利润增53.91%; 过往5年营收增0%, 利润增0%
Income profile:
</v>
      </c>
      <c r="D81">
        <v>833230</v>
      </c>
      <c r="E81" t="s">
        <v>1408</v>
      </c>
      <c r="F81">
        <v>8.86</v>
      </c>
      <c r="G81" s="5">
        <v>-4.1100000000000003</v>
      </c>
      <c r="H81" t="s">
        <v>4269</v>
      </c>
      <c r="I81">
        <v>670094240</v>
      </c>
      <c r="J81">
        <v>34.01</v>
      </c>
      <c r="K81">
        <v>1.66</v>
      </c>
      <c r="L81" t="s">
        <v>2604</v>
      </c>
      <c r="M81" t="s">
        <v>4270</v>
      </c>
      <c r="N81" t="s">
        <v>119</v>
      </c>
      <c r="O81" t="s">
        <v>4271</v>
      </c>
      <c r="P81">
        <v>15.81</v>
      </c>
      <c r="Q81" t="s">
        <v>4271</v>
      </c>
      <c r="R81">
        <v>8654940</v>
      </c>
      <c r="S81" s="5">
        <v>0.53910000000000002</v>
      </c>
      <c r="T81" t="s">
        <v>4272</v>
      </c>
      <c r="U81">
        <v>18907851</v>
      </c>
      <c r="V81">
        <v>75631404</v>
      </c>
      <c r="W81">
        <v>1.08</v>
      </c>
      <c r="X81">
        <v>0.15</v>
      </c>
      <c r="Y81">
        <v>12.55</v>
      </c>
      <c r="Z81" t="s">
        <v>4273</v>
      </c>
      <c r="AA81" t="s">
        <v>4274</v>
      </c>
      <c r="AB81" t="s">
        <v>4275</v>
      </c>
      <c r="AC81" t="s">
        <v>4276</v>
      </c>
      <c r="AD81" t="s">
        <v>4277</v>
      </c>
      <c r="AE81">
        <v>200318</v>
      </c>
      <c r="AF81" t="s">
        <v>4278</v>
      </c>
      <c r="AG81">
        <v>1565</v>
      </c>
      <c r="AH81" t="s">
        <v>4279</v>
      </c>
      <c r="AI81" t="s">
        <v>4280</v>
      </c>
      <c r="AJ81" t="s">
        <v>9</v>
      </c>
      <c r="AK81" t="s">
        <v>9</v>
      </c>
      <c r="AL81" t="s">
        <v>4281</v>
      </c>
      <c r="AM81" t="s">
        <v>9</v>
      </c>
      <c r="AN81" t="s">
        <v>459</v>
      </c>
      <c r="AO81" t="s">
        <v>4282</v>
      </c>
      <c r="AP81" t="s">
        <v>9</v>
      </c>
      <c r="AQ81" t="s">
        <v>4283</v>
      </c>
      <c r="AR81" t="s">
        <v>9</v>
      </c>
      <c r="AS81" t="s">
        <v>4284</v>
      </c>
      <c r="AT81" t="s">
        <v>9</v>
      </c>
      <c r="AU81" t="s">
        <v>4285</v>
      </c>
      <c r="AV81" t="s">
        <v>4286</v>
      </c>
      <c r="AW81" t="s">
        <v>4287</v>
      </c>
      <c r="AX81" t="s">
        <v>655</v>
      </c>
      <c r="AY81" t="s">
        <v>403</v>
      </c>
      <c r="AZ81" t="s">
        <v>378</v>
      </c>
      <c r="BA81" t="s">
        <v>258</v>
      </c>
      <c r="BB81" t="s">
        <v>242</v>
      </c>
      <c r="BC81" t="s">
        <v>1409</v>
      </c>
      <c r="BD81" t="s">
        <v>1410</v>
      </c>
      <c r="BE81" t="s">
        <v>1411</v>
      </c>
      <c r="BF81" t="s">
        <v>1412</v>
      </c>
      <c r="BG81" t="s">
        <v>1413</v>
      </c>
      <c r="BH81" t="s">
        <v>388</v>
      </c>
      <c r="BI81" t="s">
        <v>487</v>
      </c>
      <c r="BJ81" t="s">
        <v>655</v>
      </c>
      <c r="BK81" t="s">
        <v>4288</v>
      </c>
      <c r="BL81" t="s">
        <v>1414</v>
      </c>
      <c r="BM81" t="s">
        <v>1409</v>
      </c>
      <c r="BN81">
        <v>2.86</v>
      </c>
      <c r="BO81">
        <v>11.56</v>
      </c>
      <c r="BP81">
        <v>25.72</v>
      </c>
      <c r="BQ81">
        <v>3.18</v>
      </c>
      <c r="BR81">
        <v>18.86</v>
      </c>
      <c r="BS81">
        <v>32.72</v>
      </c>
      <c r="BT81" t="s">
        <v>851</v>
      </c>
      <c r="BU81" t="s">
        <v>853</v>
      </c>
      <c r="BV81">
        <v>16.25</v>
      </c>
      <c r="BW81">
        <v>22.51</v>
      </c>
      <c r="BX81">
        <v>24.3</v>
      </c>
      <c r="BY81">
        <v>6.79</v>
      </c>
      <c r="BZ81">
        <v>12.49</v>
      </c>
      <c r="CA81">
        <v>13.88</v>
      </c>
      <c r="CB81">
        <v>-4.01</v>
      </c>
      <c r="CC81">
        <v>-17.579999999999998</v>
      </c>
      <c r="CD81" t="s">
        <v>4289</v>
      </c>
      <c r="CE81" t="s">
        <v>4290</v>
      </c>
      <c r="CF81" s="8">
        <v>-0.39070625000000009</v>
      </c>
      <c r="CG81" s="9">
        <v>0.53910000000000002</v>
      </c>
      <c r="CH81" s="8">
        <v>-0.74631637334823608</v>
      </c>
      <c r="CI81" s="8">
        <v>-0.10631228983402252</v>
      </c>
      <c r="CJ81" s="8">
        <v>0.57591623067855835</v>
      </c>
      <c r="CK81" s="8">
        <v>0.317241370677948</v>
      </c>
      <c r="CL81" s="8">
        <v>0.1328125</v>
      </c>
      <c r="CM81" s="9">
        <v>-0.74289268255233765</v>
      </c>
      <c r="CN81" s="9">
        <v>-0.1969071626663208</v>
      </c>
      <c r="CO81" s="9">
        <v>0.85000860691070557</v>
      </c>
      <c r="CP81" s="9">
        <v>0.85887748003005981</v>
      </c>
      <c r="CQ81" s="9">
        <v>0.22086000442504883</v>
      </c>
      <c r="CR81">
        <v>4.5602485053959319</v>
      </c>
      <c r="CS81" t="e">
        <v>#DIV/0!</v>
      </c>
      <c r="CT81">
        <v>2.2573363431151243</v>
      </c>
      <c r="CU81" s="8">
        <v>0</v>
      </c>
      <c r="CV81" s="9">
        <v>0</v>
      </c>
      <c r="CW81">
        <v>0.06</v>
      </c>
      <c r="CX81">
        <v>39.903556644213111</v>
      </c>
      <c r="CY81">
        <v>8164999.9999999991</v>
      </c>
      <c r="CZ81">
        <v>0</v>
      </c>
      <c r="DA81">
        <v>14.083313307399752</v>
      </c>
      <c r="DB81">
        <v>23134651.12139551</v>
      </c>
      <c r="DC81">
        <v>0</v>
      </c>
      <c r="DD81">
        <v>7.6555586459094869</v>
      </c>
      <c r="DE81">
        <v>42558950.309144057</v>
      </c>
      <c r="DF81">
        <v>0</v>
      </c>
      <c r="DG81">
        <v>5.1147309122459115</v>
      </c>
      <c r="DH81">
        <v>63700817.421289049</v>
      </c>
      <c r="DI81">
        <v>0</v>
      </c>
      <c r="DJ81">
        <v>3.2820508564400175</v>
      </c>
      <c r="DK81">
        <v>99271021.154560387</v>
      </c>
      <c r="DL81">
        <v>0</v>
      </c>
      <c r="DM81">
        <v>8654900</v>
      </c>
      <c r="DN81">
        <v>0</v>
      </c>
      <c r="DO81">
        <v>325812540</v>
      </c>
      <c r="DP81">
        <v>223977390</v>
      </c>
      <c r="DQ81">
        <v>80</v>
      </c>
      <c r="DR81">
        <v>-0.39070625000000009</v>
      </c>
      <c r="DS81">
        <v>0.53910000000000002</v>
      </c>
      <c r="DT81">
        <v>-0.44</v>
      </c>
      <c r="DU81">
        <v>-0.22</v>
      </c>
      <c r="DV81">
        <v>-0.66</v>
      </c>
      <c r="DW81">
        <v>-8.2281001137656435</v>
      </c>
      <c r="DX81">
        <v>0.26629048012623124</v>
      </c>
      <c r="DY81">
        <v>-8.0288068728843101</v>
      </c>
      <c r="DZ81">
        <v>0</v>
      </c>
      <c r="EA81">
        <v>-8.0288068728843101</v>
      </c>
      <c r="EB81">
        <v>8</v>
      </c>
      <c r="EC81">
        <v>0.100006076840779</v>
      </c>
      <c r="ED81">
        <v>0.79187343923960474</v>
      </c>
      <c r="EE81">
        <v>0</v>
      </c>
      <c r="EF81">
        <v>0</v>
      </c>
      <c r="EG81">
        <v>14.126290480126231</v>
      </c>
      <c r="EH81" t="s">
        <v>86</v>
      </c>
      <c r="EI81">
        <v>0</v>
      </c>
      <c r="EJ81">
        <v>0</v>
      </c>
      <c r="EK81">
        <v>0</v>
      </c>
      <c r="EL81">
        <v>0</v>
      </c>
      <c r="EM81">
        <v>0</v>
      </c>
      <c r="EN81">
        <v>0</v>
      </c>
      <c r="EO81">
        <v>0</v>
      </c>
      <c r="EP81">
        <v>0</v>
      </c>
    </row>
    <row r="82" spans="1:146" ht="96" x14ac:dyDescent="0.25">
      <c r="A82" s="10"/>
      <c r="B82" s="10"/>
      <c r="C82" s="7" t="str">
        <f>""&amp;CHAR(10)&amp;Basic_Fundamental_Information_Constructure(F82)&amp;CHAR(10)&amp;Basic_Fundamental_Information_Concatenate("")</f>
        <v xml:space="preserve">
市值10.0068006亿, 利润1052.93万; PE; 平均PE7.6, PB.991; ROIC4.08%; ROE1.3%; 股利率0%; 毛利80.5767%; 净利1.4733%; 上一年度营收增-73.76%, 利润增121.53%; 当季营收增-50.8%, 利润增510.2%; 过往5年营收增0%, 利润增0%
Income profile:
</v>
      </c>
      <c r="D82">
        <v>833266</v>
      </c>
      <c r="E82" t="s">
        <v>1415</v>
      </c>
      <c r="F82">
        <v>8.07</v>
      </c>
      <c r="G82" s="5">
        <v>-1.59</v>
      </c>
      <c r="H82" t="s">
        <v>4291</v>
      </c>
      <c r="I82">
        <v>1000680060</v>
      </c>
      <c r="K82">
        <v>0.99099999999999999</v>
      </c>
      <c r="L82" t="s">
        <v>2604</v>
      </c>
      <c r="M82" t="s">
        <v>265</v>
      </c>
      <c r="N82" t="s">
        <v>4292</v>
      </c>
      <c r="O82" t="s">
        <v>238</v>
      </c>
      <c r="P82">
        <v>13.71</v>
      </c>
      <c r="Q82" t="s">
        <v>238</v>
      </c>
      <c r="R82">
        <v>10529264</v>
      </c>
      <c r="S82" s="5">
        <v>5.1020000000000003</v>
      </c>
      <c r="T82" t="s">
        <v>4293</v>
      </c>
      <c r="U82">
        <v>94278856</v>
      </c>
      <c r="V82">
        <v>124000007</v>
      </c>
      <c r="W82">
        <v>1.23</v>
      </c>
      <c r="X82">
        <v>0.12</v>
      </c>
      <c r="Y82">
        <v>6.82</v>
      </c>
      <c r="Z82" t="s">
        <v>535</v>
      </c>
      <c r="AA82" t="s">
        <v>4294</v>
      </c>
      <c r="AB82" t="s">
        <v>4295</v>
      </c>
      <c r="AC82" t="s">
        <v>4296</v>
      </c>
      <c r="AD82" t="s">
        <v>4297</v>
      </c>
      <c r="AE82">
        <v>137597</v>
      </c>
      <c r="AF82" t="s">
        <v>17</v>
      </c>
      <c r="AG82">
        <v>0.32</v>
      </c>
      <c r="AH82" t="s">
        <v>4298</v>
      </c>
      <c r="AI82" t="s">
        <v>639</v>
      </c>
      <c r="AJ82" t="s">
        <v>9</v>
      </c>
      <c r="AK82" t="s">
        <v>4299</v>
      </c>
      <c r="AL82" t="s">
        <v>4300</v>
      </c>
      <c r="AM82" t="s">
        <v>9</v>
      </c>
      <c r="AN82" t="s">
        <v>21</v>
      </c>
      <c r="AO82" t="s">
        <v>9</v>
      </c>
      <c r="AP82" t="s">
        <v>9</v>
      </c>
      <c r="AQ82" t="s">
        <v>4301</v>
      </c>
      <c r="AR82" t="s">
        <v>9</v>
      </c>
      <c r="AS82" t="s">
        <v>4302</v>
      </c>
      <c r="AT82" t="s">
        <v>4303</v>
      </c>
      <c r="AU82" t="s">
        <v>4304</v>
      </c>
      <c r="AV82" t="s">
        <v>4305</v>
      </c>
      <c r="AW82" t="s">
        <v>4306</v>
      </c>
      <c r="AX82" t="s">
        <v>523</v>
      </c>
      <c r="AY82" t="s">
        <v>420</v>
      </c>
      <c r="AZ82" t="s">
        <v>621</v>
      </c>
      <c r="BA82" t="s">
        <v>633</v>
      </c>
      <c r="BB82" t="s">
        <v>532</v>
      </c>
      <c r="BC82" t="s">
        <v>4307</v>
      </c>
      <c r="BD82" t="s">
        <v>1417</v>
      </c>
      <c r="BE82" t="s">
        <v>1418</v>
      </c>
      <c r="BF82" t="s">
        <v>1419</v>
      </c>
      <c r="BG82" t="s">
        <v>1420</v>
      </c>
      <c r="BH82" t="s">
        <v>4308</v>
      </c>
      <c r="BI82" t="s">
        <v>324</v>
      </c>
      <c r="BJ82" t="s">
        <v>523</v>
      </c>
      <c r="BK82" t="s">
        <v>4309</v>
      </c>
      <c r="BL82" t="s">
        <v>1421</v>
      </c>
      <c r="BM82" t="s">
        <v>4307</v>
      </c>
      <c r="BN82">
        <v>0.55000000000000004</v>
      </c>
      <c r="BO82" t="s">
        <v>9</v>
      </c>
      <c r="BP82">
        <v>7.61</v>
      </c>
      <c r="BQ82">
        <v>0.6</v>
      </c>
      <c r="BR82">
        <v>-4.7300000000000004</v>
      </c>
      <c r="BS82">
        <v>8.0299999999999994</v>
      </c>
      <c r="BT82" t="s">
        <v>773</v>
      </c>
      <c r="BU82" t="s">
        <v>1416</v>
      </c>
      <c r="BV82">
        <v>80.94</v>
      </c>
      <c r="BW82">
        <v>80.78</v>
      </c>
      <c r="BX82">
        <v>80.010000000000005</v>
      </c>
      <c r="BY82">
        <v>-1.96</v>
      </c>
      <c r="BZ82">
        <v>-8.3699999999999992</v>
      </c>
      <c r="CA82">
        <v>14.75</v>
      </c>
      <c r="CB82">
        <v>5.22</v>
      </c>
      <c r="CC82">
        <v>-4.6100000000000003</v>
      </c>
      <c r="CD82" t="s">
        <v>4310</v>
      </c>
      <c r="CE82" t="s">
        <v>4311</v>
      </c>
      <c r="CF82" s="8">
        <v>-0.50798722044728439</v>
      </c>
      <c r="CG82" s="9">
        <v>5.1020000000000003</v>
      </c>
      <c r="CH82" s="8">
        <v>-0.73764908313751221</v>
      </c>
      <c r="CI82" s="8">
        <v>3.710247203707695E-2</v>
      </c>
      <c r="CJ82" s="8">
        <v>0.2549889087677002</v>
      </c>
      <c r="CK82" s="8">
        <v>-0.19175627827644348</v>
      </c>
      <c r="CL82" s="8">
        <v>1.4545454643666744E-2</v>
      </c>
      <c r="CM82" s="9">
        <v>1.2152738571166992</v>
      </c>
      <c r="CN82" s="9">
        <v>-1.5858660936355591</v>
      </c>
      <c r="CO82" s="9">
        <v>0.1140715554356575</v>
      </c>
      <c r="CP82" s="9">
        <v>-0.17804449796676636</v>
      </c>
      <c r="CQ82" s="9">
        <v>0.26190236210823059</v>
      </c>
      <c r="CR82">
        <v>7.5950130627669337</v>
      </c>
      <c r="CS82" t="e">
        <v>#DIV/0!</v>
      </c>
      <c r="CT82">
        <v>0</v>
      </c>
      <c r="CU82" s="8">
        <v>0</v>
      </c>
      <c r="CV82" s="9">
        <v>0</v>
      </c>
      <c r="CW82">
        <v>0.06</v>
      </c>
      <c r="CX82">
        <v>22.820212511752921</v>
      </c>
      <c r="CY82">
        <v>9933301.8867924511</v>
      </c>
      <c r="CZ82">
        <v>0</v>
      </c>
      <c r="DA82">
        <v>8.0540239911438558</v>
      </c>
      <c r="DB82">
        <v>28144944.719466403</v>
      </c>
      <c r="DC82">
        <v>0</v>
      </c>
      <c r="DD82">
        <v>4.3780928290054435</v>
      </c>
      <c r="DE82">
        <v>51775983.025808558</v>
      </c>
      <c r="DF82">
        <v>0</v>
      </c>
      <c r="DG82">
        <v>2.9250336604972884</v>
      </c>
      <c r="DH82">
        <v>77496564.590460762</v>
      </c>
      <c r="DI82">
        <v>0</v>
      </c>
      <c r="DJ82">
        <v>1.8769529414667749</v>
      </c>
      <c r="DK82">
        <v>120770241.4866391</v>
      </c>
      <c r="DL82">
        <v>0</v>
      </c>
      <c r="DM82">
        <v>10529300</v>
      </c>
      <c r="DN82">
        <v>0</v>
      </c>
      <c r="DO82">
        <v>226680060</v>
      </c>
      <c r="DP82">
        <v>552377470</v>
      </c>
      <c r="DQ82">
        <v>81</v>
      </c>
      <c r="DR82">
        <v>-0.50798722044728439</v>
      </c>
      <c r="DS82">
        <v>5.1020000000000003</v>
      </c>
      <c r="DT82">
        <v>-0.44</v>
      </c>
      <c r="DU82">
        <v>0.6</v>
      </c>
      <c r="DV82">
        <v>0.15999999999999998</v>
      </c>
      <c r="DW82">
        <v>4.883141762452107</v>
      </c>
      <c r="DX82">
        <v>0.3864122000502147</v>
      </c>
      <c r="DY82">
        <v>4.1911226517684854</v>
      </c>
      <c r="DZ82">
        <v>0</v>
      </c>
      <c r="EA82">
        <v>4.1911226517684854</v>
      </c>
      <c r="EB82">
        <v>4</v>
      </c>
      <c r="EC82">
        <v>2.9194353190641353E-2</v>
      </c>
      <c r="ED82">
        <v>0.13490160528781261</v>
      </c>
      <c r="EE82">
        <v>0</v>
      </c>
      <c r="EF82">
        <v>0</v>
      </c>
      <c r="EG82">
        <v>17.216412200050215</v>
      </c>
      <c r="EH82" t="s">
        <v>86</v>
      </c>
      <c r="EI82">
        <v>0</v>
      </c>
      <c r="EJ82">
        <v>0</v>
      </c>
      <c r="EK82">
        <v>0</v>
      </c>
      <c r="EL82">
        <v>0</v>
      </c>
      <c r="EM82">
        <v>0</v>
      </c>
      <c r="EN82">
        <v>0</v>
      </c>
      <c r="EO82">
        <v>0</v>
      </c>
      <c r="EP82">
        <v>0</v>
      </c>
    </row>
    <row r="83" spans="1:146" ht="96" x14ac:dyDescent="0.25">
      <c r="C83" s="7" t="str">
        <f>""&amp;CHAR(10)&amp;Basic_Fundamental_Information_Constructure(F83)&amp;CHAR(10)&amp;Basic_Fundamental_Information_Concatenate("")</f>
        <v xml:space="preserve">
市值5.9623032亿, 利润-671.59万; PE38.3; 平均PE-15.08, PB1.7; ROIC12.4167%; ROE12.575%; 股利率.5272%; 毛利28.03%; 净利9.6433%; 上一年度营收增-92.03%, 利润增-115.2%; 当季营收增-84.31%, 利润增-175.2%; 过往5年营收增0%, 利润增0%
Income profile:
</v>
      </c>
      <c r="D83">
        <v>833284</v>
      </c>
      <c r="E83" t="s">
        <v>4312</v>
      </c>
      <c r="F83">
        <v>5.69</v>
      </c>
      <c r="G83">
        <v>-3.56</v>
      </c>
      <c r="H83" t="s">
        <v>4313</v>
      </c>
      <c r="I83">
        <v>596230320</v>
      </c>
      <c r="J83">
        <v>38.299999999999997</v>
      </c>
      <c r="K83">
        <v>1.7</v>
      </c>
      <c r="L83" t="s">
        <v>2604</v>
      </c>
      <c r="M83" t="s">
        <v>64</v>
      </c>
      <c r="N83" t="s">
        <v>594</v>
      </c>
      <c r="O83" t="s">
        <v>4314</v>
      </c>
      <c r="P83" s="5">
        <v>24.56</v>
      </c>
      <c r="Q83" t="s">
        <v>4314</v>
      </c>
      <c r="R83">
        <v>-6715936</v>
      </c>
      <c r="S83">
        <v>-1.752</v>
      </c>
      <c r="T83" t="s">
        <v>4315</v>
      </c>
      <c r="U83">
        <v>42197870</v>
      </c>
      <c r="V83">
        <v>104785645</v>
      </c>
      <c r="W83">
        <v>1.78</v>
      </c>
      <c r="X83">
        <v>0.04</v>
      </c>
      <c r="Y83">
        <v>-25.94</v>
      </c>
      <c r="Z83" t="s">
        <v>4316</v>
      </c>
      <c r="AA83" t="s">
        <v>4317</v>
      </c>
      <c r="AB83" t="s">
        <v>4318</v>
      </c>
      <c r="AC83" t="s">
        <v>4319</v>
      </c>
      <c r="AD83" t="s">
        <v>4320</v>
      </c>
      <c r="AE83">
        <v>222806</v>
      </c>
      <c r="AF83" t="s">
        <v>4321</v>
      </c>
      <c r="AG83" t="s">
        <v>4322</v>
      </c>
      <c r="AH83" t="s">
        <v>4323</v>
      </c>
      <c r="AI83" t="s">
        <v>272</v>
      </c>
      <c r="AJ83" t="s">
        <v>9</v>
      </c>
      <c r="AK83" t="s">
        <v>4324</v>
      </c>
      <c r="AL83" t="s">
        <v>4325</v>
      </c>
      <c r="AM83" t="s">
        <v>9</v>
      </c>
      <c r="AN83" t="s">
        <v>4326</v>
      </c>
      <c r="AO83" t="s">
        <v>4327</v>
      </c>
      <c r="AP83" t="s">
        <v>4328</v>
      </c>
      <c r="AQ83" t="s">
        <v>4329</v>
      </c>
      <c r="AR83" t="s">
        <v>9</v>
      </c>
      <c r="AS83" t="s">
        <v>246</v>
      </c>
      <c r="AT83" t="s">
        <v>9</v>
      </c>
      <c r="AU83" t="s">
        <v>4330</v>
      </c>
      <c r="AV83" t="s">
        <v>4331</v>
      </c>
      <c r="AW83" t="s">
        <v>4332</v>
      </c>
      <c r="AX83" t="s">
        <v>450</v>
      </c>
      <c r="AY83" t="s">
        <v>315</v>
      </c>
      <c r="AZ83" t="s">
        <v>328</v>
      </c>
      <c r="BA83" t="s">
        <v>4333</v>
      </c>
      <c r="BB83" t="s">
        <v>4334</v>
      </c>
      <c r="BC83" t="s">
        <v>4335</v>
      </c>
      <c r="BD83" t="s">
        <v>4336</v>
      </c>
      <c r="BE83" t="s">
        <v>4337</v>
      </c>
      <c r="BF83" t="s">
        <v>4338</v>
      </c>
      <c r="BG83" t="s">
        <v>4339</v>
      </c>
      <c r="BH83" t="s">
        <v>392</v>
      </c>
      <c r="BI83" t="s">
        <v>480</v>
      </c>
      <c r="BJ83" t="s">
        <v>450</v>
      </c>
      <c r="BK83" t="s">
        <v>4340</v>
      </c>
      <c r="BL83" t="s">
        <v>4341</v>
      </c>
      <c r="BM83" t="s">
        <v>4335</v>
      </c>
      <c r="BN83">
        <v>4.99</v>
      </c>
      <c r="BO83">
        <v>19.41</v>
      </c>
      <c r="BP83">
        <v>12.85</v>
      </c>
      <c r="BQ83">
        <v>5.16</v>
      </c>
      <c r="BR83">
        <v>19.989999999999998</v>
      </c>
      <c r="BS83" t="s">
        <v>9</v>
      </c>
      <c r="BT83" t="s">
        <v>820</v>
      </c>
      <c r="BU83" t="s">
        <v>1167</v>
      </c>
      <c r="BV83">
        <v>28.92</v>
      </c>
      <c r="BW83">
        <v>27.64</v>
      </c>
      <c r="BX83">
        <v>27.53</v>
      </c>
      <c r="BY83">
        <v>6.48</v>
      </c>
      <c r="BZ83">
        <v>13.61</v>
      </c>
      <c r="CA83">
        <v>8.84</v>
      </c>
      <c r="CB83">
        <v>-2.57</v>
      </c>
      <c r="CC83" s="8">
        <v>-15.2</v>
      </c>
      <c r="CD83" s="11" t="s">
        <v>4342</v>
      </c>
      <c r="CE83" s="8" t="s">
        <v>4343</v>
      </c>
      <c r="CF83" s="8">
        <v>-0.84309272727272733</v>
      </c>
      <c r="CG83" s="8">
        <v>-1.752</v>
      </c>
      <c r="CH83" s="8">
        <v>-0.92033940553665161</v>
      </c>
      <c r="CI83" s="8">
        <v>0.5476190447807312</v>
      </c>
      <c r="CJ83" s="9">
        <v>0.4285714328289032</v>
      </c>
      <c r="CK83" s="9">
        <v>1.0509272813796997</v>
      </c>
      <c r="CL83" s="9">
        <v>-8.1797383725643158E-2</v>
      </c>
      <c r="CM83" s="9">
        <v>-1.1519657373428345</v>
      </c>
      <c r="CN83" s="9">
        <v>1.3654139041900635</v>
      </c>
      <c r="CO83">
        <v>-0.23605465888977051</v>
      </c>
      <c r="CP83">
        <v>2.6084103584289551</v>
      </c>
      <c r="CQ83">
        <v>-0.22632470726966858</v>
      </c>
      <c r="CR83" s="8">
        <v>-15.078418456677674</v>
      </c>
      <c r="CS83" s="9" t="e">
        <v>#DIV/0!</v>
      </c>
      <c r="CT83">
        <v>0.52724077328646746</v>
      </c>
      <c r="CU83">
        <v>0</v>
      </c>
      <c r="CV83">
        <v>0</v>
      </c>
      <c r="CW83">
        <v>0.06</v>
      </c>
      <c r="CX83" t="e">
        <v>#VALUE!</v>
      </c>
      <c r="CY83" t="s">
        <v>85</v>
      </c>
      <c r="CZ83">
        <v>0</v>
      </c>
      <c r="DA83" t="e">
        <v>#VALUE!</v>
      </c>
      <c r="DB83" t="s">
        <v>84</v>
      </c>
      <c r="DC83">
        <v>0</v>
      </c>
      <c r="DD83" t="e">
        <v>#VALUE!</v>
      </c>
      <c r="DE83" t="s">
        <v>84</v>
      </c>
      <c r="DF83">
        <v>0</v>
      </c>
      <c r="DG83" t="e">
        <v>#VALUE!</v>
      </c>
      <c r="DH83" t="s">
        <v>84</v>
      </c>
      <c r="DI83">
        <v>0</v>
      </c>
      <c r="DJ83" t="e">
        <v>#VALUE!</v>
      </c>
      <c r="DK83" t="s">
        <v>84</v>
      </c>
      <c r="DL83">
        <v>0</v>
      </c>
      <c r="DM83">
        <v>-6715900</v>
      </c>
      <c r="DN83">
        <v>0</v>
      </c>
      <c r="DO83">
        <v>493230320</v>
      </c>
      <c r="DP83">
        <v>196199250</v>
      </c>
      <c r="DQ83">
        <v>82</v>
      </c>
      <c r="DR83">
        <v>-0.84309272727272733</v>
      </c>
      <c r="DS83">
        <v>-1.752</v>
      </c>
      <c r="DT83">
        <v>-0.44</v>
      </c>
      <c r="DU83" t="e">
        <v>#VALUE!</v>
      </c>
      <c r="DV83" t="e">
        <v>#VALUE!</v>
      </c>
      <c r="DW83">
        <v>-8.1690789473684209</v>
      </c>
      <c r="DX83">
        <v>0.23055092490309051</v>
      </c>
      <c r="DY83">
        <v>-8.0220734129605891</v>
      </c>
      <c r="DZ83">
        <v>0</v>
      </c>
      <c r="EA83">
        <v>-8.0220734129605891</v>
      </c>
      <c r="EB83">
        <v>8</v>
      </c>
      <c r="EC83">
        <v>3.721883851552376E-2</v>
      </c>
      <c r="ED83">
        <v>0.28509057705375579</v>
      </c>
      <c r="EE83">
        <v>0</v>
      </c>
      <c r="EF83">
        <v>0</v>
      </c>
      <c r="EG83">
        <v>10.130550924903091</v>
      </c>
      <c r="EH83" t="s">
        <v>86</v>
      </c>
      <c r="EI83">
        <v>0</v>
      </c>
      <c r="EJ83">
        <v>0</v>
      </c>
      <c r="EK83">
        <v>0</v>
      </c>
      <c r="EL83">
        <v>0</v>
      </c>
      <c r="EM83">
        <v>0</v>
      </c>
      <c r="EN83">
        <v>0</v>
      </c>
      <c r="EO83">
        <v>0</v>
      </c>
      <c r="EP83">
        <v>0</v>
      </c>
    </row>
    <row r="84" spans="1:146" ht="108" x14ac:dyDescent="0.25">
      <c r="A84" s="10"/>
      <c r="B84" s="10"/>
      <c r="C84" s="7" t="str">
        <f>""&amp;CHAR(10)&amp;Basic_Fundamental_Information_Constructure(F84)&amp;CHAR(10)&amp;Basic_Fundamental_Information_Concatenate("")</f>
        <v xml:space="preserve">
市值9.1171341亿, 利润932.62万; PE21.43; 平均PE8.58, PB2.07; ROIC10.18%; ROE11.3967%; 股利率2.9204%; 毛利30.79%; 净利16.4867%; 上一年度营收增-69.84%, 利润增-73.18%; 当季营收增-43.06%, 利润增60.87%; 过往5年营收增0%, 利润增0%
Income profile:
</v>
      </c>
      <c r="D84">
        <v>833346</v>
      </c>
      <c r="E84" t="s">
        <v>1422</v>
      </c>
      <c r="F84">
        <v>11.3</v>
      </c>
      <c r="G84" s="5">
        <v>-3.25</v>
      </c>
      <c r="H84" t="s">
        <v>4344</v>
      </c>
      <c r="I84">
        <v>911713410</v>
      </c>
      <c r="J84">
        <v>21.43</v>
      </c>
      <c r="K84">
        <v>2.0699999999999998</v>
      </c>
      <c r="L84" t="s">
        <v>2604</v>
      </c>
      <c r="M84" t="s">
        <v>4345</v>
      </c>
      <c r="N84" t="s">
        <v>452</v>
      </c>
      <c r="O84" t="s">
        <v>4346</v>
      </c>
      <c r="P84">
        <v>16.41</v>
      </c>
      <c r="Q84" t="s">
        <v>4346</v>
      </c>
      <c r="R84">
        <v>9326168</v>
      </c>
      <c r="S84" s="5">
        <v>0.60870000000000002</v>
      </c>
      <c r="T84" t="s">
        <v>4347</v>
      </c>
      <c r="U84">
        <v>28376103</v>
      </c>
      <c r="V84">
        <v>80682603</v>
      </c>
      <c r="W84">
        <v>1.2</v>
      </c>
      <c r="X84">
        <v>0.12</v>
      </c>
      <c r="Y84">
        <v>15.36</v>
      </c>
      <c r="Z84" t="s">
        <v>4348</v>
      </c>
      <c r="AA84" t="s">
        <v>4349</v>
      </c>
      <c r="AB84" t="s">
        <v>4350</v>
      </c>
      <c r="AC84" t="s">
        <v>4351</v>
      </c>
      <c r="AD84" t="s">
        <v>4352</v>
      </c>
      <c r="AE84">
        <v>1080013</v>
      </c>
      <c r="AF84" t="s">
        <v>4353</v>
      </c>
      <c r="AG84" t="s">
        <v>4354</v>
      </c>
      <c r="AH84" t="s">
        <v>4355</v>
      </c>
      <c r="AI84" t="s">
        <v>93</v>
      </c>
      <c r="AJ84" t="s">
        <v>9</v>
      </c>
      <c r="AK84" t="s">
        <v>9</v>
      </c>
      <c r="AL84" t="s">
        <v>4356</v>
      </c>
      <c r="AM84" t="s">
        <v>9</v>
      </c>
      <c r="AN84" t="s">
        <v>4357</v>
      </c>
      <c r="AO84" t="s">
        <v>4358</v>
      </c>
      <c r="AP84" t="s">
        <v>9</v>
      </c>
      <c r="AQ84" t="s">
        <v>4359</v>
      </c>
      <c r="AR84" t="s">
        <v>9</v>
      </c>
      <c r="AS84" t="s">
        <v>4360</v>
      </c>
      <c r="AT84" t="s">
        <v>9</v>
      </c>
      <c r="AU84" t="s">
        <v>4361</v>
      </c>
      <c r="AV84" t="s">
        <v>4362</v>
      </c>
      <c r="AW84" t="s">
        <v>4363</v>
      </c>
      <c r="AX84" t="s">
        <v>416</v>
      </c>
      <c r="AY84" t="s">
        <v>297</v>
      </c>
      <c r="AZ84" t="s">
        <v>148</v>
      </c>
      <c r="BA84" t="s">
        <v>92</v>
      </c>
      <c r="BB84" t="s">
        <v>130</v>
      </c>
      <c r="BC84" t="s">
        <v>1423</v>
      </c>
      <c r="BD84" t="s">
        <v>1424</v>
      </c>
      <c r="BE84" t="s">
        <v>1425</v>
      </c>
      <c r="BF84" t="s">
        <v>1426</v>
      </c>
      <c r="BG84" t="s">
        <v>1427</v>
      </c>
      <c r="BH84" t="s">
        <v>65</v>
      </c>
      <c r="BI84" t="s">
        <v>314</v>
      </c>
      <c r="BJ84" t="s">
        <v>416</v>
      </c>
      <c r="BK84" t="s">
        <v>4364</v>
      </c>
      <c r="BL84" t="s">
        <v>1428</v>
      </c>
      <c r="BM84" t="s">
        <v>1423</v>
      </c>
      <c r="BN84">
        <v>5.55</v>
      </c>
      <c r="BO84">
        <v>9.9700000000000006</v>
      </c>
      <c r="BP84">
        <v>15.02</v>
      </c>
      <c r="BQ84">
        <v>6.84</v>
      </c>
      <c r="BR84">
        <v>9.27</v>
      </c>
      <c r="BS84">
        <v>18.079999999999998</v>
      </c>
      <c r="BT84" t="s">
        <v>4365</v>
      </c>
      <c r="BU84" t="s">
        <v>1032</v>
      </c>
      <c r="BV84">
        <v>31.29</v>
      </c>
      <c r="BW84">
        <v>29.12</v>
      </c>
      <c r="BX84">
        <v>31.96</v>
      </c>
      <c r="BY84">
        <v>17.11</v>
      </c>
      <c r="BZ84">
        <v>17.18</v>
      </c>
      <c r="CA84">
        <v>15.17</v>
      </c>
      <c r="CB84">
        <v>-3.17</v>
      </c>
      <c r="CC84">
        <v>4.1500000000000004</v>
      </c>
      <c r="CD84" t="s">
        <v>4366</v>
      </c>
      <c r="CE84" t="s">
        <v>4367</v>
      </c>
      <c r="CF84" s="8">
        <v>-0.43055607476635516</v>
      </c>
      <c r="CG84" s="9">
        <v>0.60870000000000002</v>
      </c>
      <c r="CH84" s="8">
        <v>-0.69836390018463135</v>
      </c>
      <c r="CI84" s="8">
        <v>-9.0090088546276093E-2</v>
      </c>
      <c r="CJ84" s="8">
        <v>0.29069766402244568</v>
      </c>
      <c r="CK84" s="8">
        <v>9.5541402697563171E-2</v>
      </c>
      <c r="CL84" s="8">
        <v>9.0277776122093201E-2</v>
      </c>
      <c r="CM84" s="9">
        <v>-0.73183619976043701</v>
      </c>
      <c r="CN84" s="9">
        <v>1.3764436356723309E-2</v>
      </c>
      <c r="CO84" s="9">
        <v>0.16605484485626221</v>
      </c>
      <c r="CP84" s="9">
        <v>-3.7057403475046158E-2</v>
      </c>
      <c r="CQ84" s="9">
        <v>7.5371682643890381E-2</v>
      </c>
      <c r="CR84">
        <v>8.5807432581874448</v>
      </c>
      <c r="CS84" t="e">
        <v>#DIV/0!</v>
      </c>
      <c r="CT84">
        <v>2.9203539823008846</v>
      </c>
      <c r="CU84" s="8">
        <v>0</v>
      </c>
      <c r="CV84" s="9">
        <v>0</v>
      </c>
      <c r="CW84">
        <v>0.06</v>
      </c>
      <c r="CX84">
        <v>63.18761474126655</v>
      </c>
      <c r="CY84">
        <v>8798301.8867924511</v>
      </c>
      <c r="CZ84">
        <v>0</v>
      </c>
      <c r="DA84">
        <v>22.301044076921436</v>
      </c>
      <c r="DB84">
        <v>24929044.043069109</v>
      </c>
      <c r="DC84">
        <v>0</v>
      </c>
      <c r="DD84">
        <v>12.122640963059448</v>
      </c>
      <c r="DE84">
        <v>45859950.129191473</v>
      </c>
      <c r="DF84">
        <v>0</v>
      </c>
      <c r="DG84">
        <v>8.0992190563321813</v>
      </c>
      <c r="DH84">
        <v>68641643.858903736</v>
      </c>
      <c r="DI84">
        <v>0</v>
      </c>
      <c r="DJ84">
        <v>5.1971549034351829</v>
      </c>
      <c r="DK84">
        <v>106970779.26858324</v>
      </c>
      <c r="DL84">
        <v>0</v>
      </c>
      <c r="DM84">
        <v>9326200</v>
      </c>
      <c r="DN84">
        <v>0</v>
      </c>
      <c r="DO84">
        <v>555943710</v>
      </c>
      <c r="DP84">
        <v>301324840</v>
      </c>
      <c r="DQ84">
        <v>83</v>
      </c>
      <c r="DR84">
        <v>-0.43055607476635516</v>
      </c>
      <c r="DS84">
        <v>0.60870000000000002</v>
      </c>
      <c r="DT84">
        <v>-0.44</v>
      </c>
      <c r="DU84">
        <v>-0.22</v>
      </c>
      <c r="DV84">
        <v>-0.66</v>
      </c>
      <c r="DW84">
        <v>-6.4330601092896176</v>
      </c>
      <c r="DX84">
        <v>0.34614913629377109</v>
      </c>
      <c r="DY84">
        <v>-6.0849443664004443</v>
      </c>
      <c r="DZ84">
        <v>0</v>
      </c>
      <c r="EA84">
        <v>-6.0849443664004443</v>
      </c>
      <c r="EB84">
        <v>6</v>
      </c>
      <c r="EC84">
        <v>0.17054481992852907</v>
      </c>
      <c r="ED84">
        <v>0.86946500722094944</v>
      </c>
      <c r="EE84">
        <v>0</v>
      </c>
      <c r="EF84">
        <v>0</v>
      </c>
      <c r="EG84">
        <v>15.196149136293771</v>
      </c>
      <c r="EH84" t="s">
        <v>86</v>
      </c>
      <c r="EI84">
        <v>0</v>
      </c>
      <c r="EJ84">
        <v>0</v>
      </c>
      <c r="EK84">
        <v>0</v>
      </c>
      <c r="EL84">
        <v>0</v>
      </c>
      <c r="EM84">
        <v>0</v>
      </c>
      <c r="EN84">
        <v>0</v>
      </c>
      <c r="EO84">
        <v>0</v>
      </c>
      <c r="EP84">
        <v>0</v>
      </c>
    </row>
    <row r="85" spans="1:146" ht="96" x14ac:dyDescent="0.25">
      <c r="A85" s="10"/>
      <c r="B85" s="10"/>
      <c r="C85" s="7" t="str">
        <f>""&amp;CHAR(10)&amp;Basic_Fundamental_Information_Constructure(F85)&amp;CHAR(10)&amp;Basic_Fundamental_Information_Concatenate("")</f>
        <v xml:space="preserve">
市值20.197125亿, 利润2037.77万; PE23.71; 平均PE2.81, PB3.04; ROIC15.38%; ROE17.105%; 股利率1.4482%; 毛利31.4033%; 净利21.09%; 上一年度营收增-67.97%, 利润增-67.86%; 当季营收增-48.09%, 利润增21.05%; 过往5年营收增0%, 利润增0%
Income profile:
</v>
      </c>
      <c r="D85">
        <v>833394</v>
      </c>
      <c r="E85" t="s">
        <v>1429</v>
      </c>
      <c r="F85">
        <v>13.81</v>
      </c>
      <c r="G85" s="5">
        <v>-1.36</v>
      </c>
      <c r="H85" t="s">
        <v>4368</v>
      </c>
      <c r="I85">
        <v>2019712500</v>
      </c>
      <c r="J85">
        <v>23.71</v>
      </c>
      <c r="K85">
        <v>3.04</v>
      </c>
      <c r="L85" t="s">
        <v>2604</v>
      </c>
      <c r="M85" t="s">
        <v>464</v>
      </c>
      <c r="N85" t="s">
        <v>4369</v>
      </c>
      <c r="O85" t="s">
        <v>4370</v>
      </c>
      <c r="P85">
        <v>4.82</v>
      </c>
      <c r="Q85" t="s">
        <v>4370</v>
      </c>
      <c r="R85">
        <v>20377662</v>
      </c>
      <c r="S85" s="5">
        <v>0.21049999999999999</v>
      </c>
      <c r="T85" t="s">
        <v>4371</v>
      </c>
      <c r="U85">
        <v>42310000</v>
      </c>
      <c r="V85">
        <v>146250000</v>
      </c>
      <c r="W85">
        <v>1.24</v>
      </c>
      <c r="X85">
        <v>0.11</v>
      </c>
      <c r="Y85">
        <v>21.04</v>
      </c>
      <c r="Z85" t="s">
        <v>4372</v>
      </c>
      <c r="AA85" t="s">
        <v>4373</v>
      </c>
      <c r="AB85" t="s">
        <v>4374</v>
      </c>
      <c r="AC85" t="s">
        <v>4375</v>
      </c>
      <c r="AD85" t="s">
        <v>4376</v>
      </c>
      <c r="AE85">
        <v>724559</v>
      </c>
      <c r="AF85" t="s">
        <v>4377</v>
      </c>
      <c r="AG85">
        <v>0.72</v>
      </c>
      <c r="AH85" t="s">
        <v>4378</v>
      </c>
      <c r="AI85" t="s">
        <v>303</v>
      </c>
      <c r="AJ85" t="s">
        <v>9</v>
      </c>
      <c r="AK85" t="s">
        <v>4379</v>
      </c>
      <c r="AL85" t="s">
        <v>4380</v>
      </c>
      <c r="AM85" t="s">
        <v>9</v>
      </c>
      <c r="AN85" t="s">
        <v>4381</v>
      </c>
      <c r="AO85" t="s">
        <v>9</v>
      </c>
      <c r="AP85" t="s">
        <v>4382</v>
      </c>
      <c r="AQ85" t="s">
        <v>4383</v>
      </c>
      <c r="AR85" t="s">
        <v>9</v>
      </c>
      <c r="AS85" t="s">
        <v>63</v>
      </c>
      <c r="AT85" t="s">
        <v>9</v>
      </c>
      <c r="AU85" t="s">
        <v>4384</v>
      </c>
      <c r="AV85" t="s">
        <v>4385</v>
      </c>
      <c r="AW85" t="s">
        <v>9</v>
      </c>
      <c r="AX85" t="s">
        <v>153</v>
      </c>
      <c r="AY85" t="s">
        <v>489</v>
      </c>
      <c r="AZ85" t="s">
        <v>438</v>
      </c>
      <c r="BA85" t="s">
        <v>26</v>
      </c>
      <c r="BB85" t="s">
        <v>487</v>
      </c>
      <c r="BC85" t="s">
        <v>1431</v>
      </c>
      <c r="BD85" t="s">
        <v>1433</v>
      </c>
      <c r="BE85" t="s">
        <v>1434</v>
      </c>
      <c r="BF85" t="s">
        <v>1435</v>
      </c>
      <c r="BG85" t="s">
        <v>1436</v>
      </c>
      <c r="BH85" t="s">
        <v>306</v>
      </c>
      <c r="BI85" t="s">
        <v>34</v>
      </c>
      <c r="BJ85" t="s">
        <v>153</v>
      </c>
      <c r="BK85" t="s">
        <v>4386</v>
      </c>
      <c r="BL85" t="s">
        <v>1437</v>
      </c>
      <c r="BM85" t="s">
        <v>1431</v>
      </c>
      <c r="BN85">
        <v>12.79</v>
      </c>
      <c r="BO85">
        <v>20.37</v>
      </c>
      <c r="BP85">
        <v>12.98</v>
      </c>
      <c r="BQ85">
        <v>13.39</v>
      </c>
      <c r="BR85">
        <v>20.82</v>
      </c>
      <c r="BS85" t="s">
        <v>9</v>
      </c>
      <c r="BT85" t="s">
        <v>851</v>
      </c>
      <c r="BU85" t="s">
        <v>1430</v>
      </c>
      <c r="BV85">
        <v>34.01</v>
      </c>
      <c r="BW85">
        <v>31.44</v>
      </c>
      <c r="BX85">
        <v>28.76</v>
      </c>
      <c r="BY85">
        <v>23.68</v>
      </c>
      <c r="BZ85">
        <v>22.48</v>
      </c>
      <c r="CA85">
        <v>17.11</v>
      </c>
      <c r="CB85">
        <v>-1.5</v>
      </c>
      <c r="CC85">
        <v>-11.7</v>
      </c>
      <c r="CD85" t="s">
        <v>4387</v>
      </c>
      <c r="CE85" t="s">
        <v>4388</v>
      </c>
      <c r="CF85" s="8">
        <v>-0.48094080459770122</v>
      </c>
      <c r="CG85" s="9">
        <v>0.21049999999999999</v>
      </c>
      <c r="CH85" s="8">
        <v>-0.67972946166992188</v>
      </c>
      <c r="CI85" s="8">
        <v>0.29357796907424927</v>
      </c>
      <c r="CJ85" s="8">
        <v>0.37106919288635254</v>
      </c>
      <c r="CK85" s="8">
        <v>0.16058394312858582</v>
      </c>
      <c r="CL85" s="8">
        <v>0.2232142835855484</v>
      </c>
      <c r="CM85" s="9">
        <v>-0.67864698171615601</v>
      </c>
      <c r="CN85" s="9">
        <v>0.70097559690475464</v>
      </c>
      <c r="CO85" s="9">
        <v>0.33488616347312927</v>
      </c>
      <c r="CP85" s="9">
        <v>0.34210211038589478</v>
      </c>
      <c r="CQ85" s="9">
        <v>0.27215093374252319</v>
      </c>
      <c r="CR85">
        <v>2.8140297586995215</v>
      </c>
      <c r="CS85" t="e">
        <v>#DIV/0!</v>
      </c>
      <c r="CT85">
        <v>1.448225923244026</v>
      </c>
      <c r="CU85" s="8">
        <v>0</v>
      </c>
      <c r="CV85" s="9">
        <v>0</v>
      </c>
      <c r="CW85">
        <v>0.06</v>
      </c>
      <c r="CX85">
        <v>76.91914445693088</v>
      </c>
      <c r="CY85">
        <v>19224245.283018865</v>
      </c>
      <c r="CZ85">
        <v>0</v>
      </c>
      <c r="DA85">
        <v>27.147364842256415</v>
      </c>
      <c r="DB85">
        <v>54469835.602544375</v>
      </c>
      <c r="DC85">
        <v>0</v>
      </c>
      <c r="DD85">
        <v>14.757056034718532</v>
      </c>
      <c r="DE85">
        <v>100203759.91804005</v>
      </c>
      <c r="DF85">
        <v>0</v>
      </c>
      <c r="DG85">
        <v>9.8592897220961806</v>
      </c>
      <c r="DH85">
        <v>149981645.90761325</v>
      </c>
      <c r="DI85">
        <v>0</v>
      </c>
      <c r="DJ85">
        <v>6.326567483505622</v>
      </c>
      <c r="DK85">
        <v>233730613.6155571</v>
      </c>
      <c r="DL85">
        <v>0</v>
      </c>
      <c r="DM85">
        <v>20377700</v>
      </c>
      <c r="DN85">
        <v>0</v>
      </c>
      <c r="DO85">
        <v>1478712500</v>
      </c>
      <c r="DP85">
        <v>453035700</v>
      </c>
      <c r="DQ85">
        <v>84</v>
      </c>
      <c r="DR85">
        <v>-0.48094080459770122</v>
      </c>
      <c r="DS85">
        <v>0.21049999999999999</v>
      </c>
      <c r="DT85">
        <v>-0.44</v>
      </c>
      <c r="DU85">
        <v>-0.22</v>
      </c>
      <c r="DV85">
        <v>-0.66</v>
      </c>
      <c r="DW85">
        <v>-2.117</v>
      </c>
      <c r="DX85">
        <v>0.33660918313467048</v>
      </c>
      <c r="DY85">
        <v>-2.0136432744267561</v>
      </c>
      <c r="DZ85">
        <v>0</v>
      </c>
      <c r="EA85">
        <v>-2.0136432744267561</v>
      </c>
      <c r="EB85">
        <v>2</v>
      </c>
      <c r="EC85">
        <v>1.4194188034188034E-2</v>
      </c>
      <c r="ED85">
        <v>0.12172444444444444</v>
      </c>
      <c r="EE85">
        <v>0</v>
      </c>
      <c r="EF85">
        <v>0</v>
      </c>
      <c r="EG85">
        <v>22.116609183134671</v>
      </c>
      <c r="EH85" t="s">
        <v>86</v>
      </c>
      <c r="EI85">
        <v>0</v>
      </c>
      <c r="EJ85">
        <v>0</v>
      </c>
      <c r="EK85">
        <v>0</v>
      </c>
      <c r="EL85">
        <v>0</v>
      </c>
      <c r="EM85">
        <v>0</v>
      </c>
      <c r="EN85">
        <v>0</v>
      </c>
      <c r="EO85">
        <v>0</v>
      </c>
      <c r="EP85">
        <v>0</v>
      </c>
    </row>
    <row r="86" spans="1:146" ht="108" x14ac:dyDescent="0.25">
      <c r="A86" s="10"/>
      <c r="B86" s="10"/>
      <c r="C86" s="7" t="str">
        <f>""&amp;CHAR(10)&amp;Basic_Fundamental_Information_Constructure(F86)&amp;CHAR(10)&amp;Basic_Fundamental_Information_Concatenate("")</f>
        <v xml:space="preserve">
市值9.1032885亿, 利润301.07万; PE47.53; 平均PE1.89, PB2.55; ROIC11.5533%; ROE12.71%; 股利率3.171%; 毛利48.3533%; 净利25.81%; 上一年度营收增-89.03%, 利润增-90.77%; 当季营收增-70.78%, 利润增-76.95%; 过往5年营收增0%, 利润增0%
Income profile:
</v>
      </c>
      <c r="D86">
        <v>833427</v>
      </c>
      <c r="E86" t="s">
        <v>1438</v>
      </c>
      <c r="F86">
        <v>8.83</v>
      </c>
      <c r="G86" s="5">
        <v>4.5</v>
      </c>
      <c r="H86" t="s">
        <v>4389</v>
      </c>
      <c r="I86">
        <v>910328850</v>
      </c>
      <c r="J86">
        <v>47.53</v>
      </c>
      <c r="K86">
        <v>2.5499999999999998</v>
      </c>
      <c r="L86" t="s">
        <v>2604</v>
      </c>
      <c r="M86" t="s">
        <v>77</v>
      </c>
      <c r="N86" t="s">
        <v>408</v>
      </c>
      <c r="O86" t="s">
        <v>4390</v>
      </c>
      <c r="P86">
        <v>-47.55</v>
      </c>
      <c r="Q86" t="s">
        <v>4390</v>
      </c>
      <c r="R86">
        <v>3010715</v>
      </c>
      <c r="S86" s="5">
        <v>-0.76949999999999996</v>
      </c>
      <c r="T86" t="s">
        <v>4391</v>
      </c>
      <c r="U86">
        <v>39373602</v>
      </c>
      <c r="V86">
        <v>103095000</v>
      </c>
      <c r="W86">
        <v>1.34</v>
      </c>
      <c r="X86">
        <v>0.03</v>
      </c>
      <c r="Y86">
        <v>18.920000000000002</v>
      </c>
      <c r="Z86" t="s">
        <v>4392</v>
      </c>
      <c r="AA86" t="s">
        <v>4393</v>
      </c>
      <c r="AB86" t="s">
        <v>4394</v>
      </c>
      <c r="AC86" t="s">
        <v>4395</v>
      </c>
      <c r="AD86" t="s">
        <v>4396</v>
      </c>
      <c r="AE86">
        <v>14097</v>
      </c>
      <c r="AF86" t="s">
        <v>4397</v>
      </c>
      <c r="AG86">
        <v>834</v>
      </c>
      <c r="AH86" t="s">
        <v>4398</v>
      </c>
      <c r="AI86" t="s">
        <v>166</v>
      </c>
      <c r="AJ86" t="s">
        <v>9</v>
      </c>
      <c r="AK86" t="s">
        <v>9</v>
      </c>
      <c r="AL86" t="s">
        <v>4399</v>
      </c>
      <c r="AM86" t="s">
        <v>9</v>
      </c>
      <c r="AN86">
        <v>0</v>
      </c>
      <c r="AO86" t="s">
        <v>4400</v>
      </c>
      <c r="AP86" t="s">
        <v>9</v>
      </c>
      <c r="AQ86" t="s">
        <v>4401</v>
      </c>
      <c r="AR86" t="s">
        <v>9</v>
      </c>
      <c r="AS86" t="s">
        <v>83</v>
      </c>
      <c r="AT86" t="s">
        <v>9</v>
      </c>
      <c r="AU86" t="s">
        <v>4402</v>
      </c>
      <c r="AV86" t="s">
        <v>4403</v>
      </c>
      <c r="AW86" t="s">
        <v>4404</v>
      </c>
      <c r="AX86" t="s">
        <v>258</v>
      </c>
      <c r="AY86" t="s">
        <v>395</v>
      </c>
      <c r="AZ86" t="s">
        <v>22</v>
      </c>
      <c r="BA86" t="s">
        <v>176</v>
      </c>
      <c r="BB86" t="s">
        <v>92</v>
      </c>
      <c r="BC86" t="s">
        <v>4405</v>
      </c>
      <c r="BD86" t="s">
        <v>1441</v>
      </c>
      <c r="BE86" t="s">
        <v>1442</v>
      </c>
      <c r="BF86" t="s">
        <v>1443</v>
      </c>
      <c r="BG86" t="s">
        <v>1444</v>
      </c>
      <c r="BH86" t="s">
        <v>160</v>
      </c>
      <c r="BI86" t="s">
        <v>1445</v>
      </c>
      <c r="BJ86" t="s">
        <v>258</v>
      </c>
      <c r="BK86" t="s">
        <v>4406</v>
      </c>
      <c r="BL86" t="s">
        <v>1446</v>
      </c>
      <c r="BM86" t="s">
        <v>4405</v>
      </c>
      <c r="BN86">
        <v>6.65</v>
      </c>
      <c r="BO86">
        <v>8.06</v>
      </c>
      <c r="BP86">
        <v>19.95</v>
      </c>
      <c r="BQ86">
        <v>7.34</v>
      </c>
      <c r="BR86">
        <v>9.18</v>
      </c>
      <c r="BS86">
        <v>21.61</v>
      </c>
      <c r="BT86" t="s">
        <v>2223</v>
      </c>
      <c r="BU86" t="s">
        <v>1439</v>
      </c>
      <c r="BV86">
        <v>48.19</v>
      </c>
      <c r="BW86">
        <v>49.61</v>
      </c>
      <c r="BX86">
        <v>47.26</v>
      </c>
      <c r="BY86">
        <v>23.61</v>
      </c>
      <c r="BZ86">
        <v>22.34</v>
      </c>
      <c r="CA86">
        <v>31.48</v>
      </c>
      <c r="CB86">
        <v>4.25</v>
      </c>
      <c r="CC86">
        <v>-13.69</v>
      </c>
      <c r="CD86" t="s">
        <v>4407</v>
      </c>
      <c r="CE86" t="s">
        <v>4408</v>
      </c>
      <c r="CF86" s="8">
        <v>-0.70784189505577744</v>
      </c>
      <c r="CG86" s="9">
        <v>-0.76949999999999996</v>
      </c>
      <c r="CH86" s="8">
        <v>-0.89027446508407593</v>
      </c>
      <c r="CI86" s="8">
        <v>-0.19889502227306366</v>
      </c>
      <c r="CJ86" s="8">
        <v>5.8479532599449158E-2</v>
      </c>
      <c r="CK86" s="8">
        <v>-0.10000000149011612</v>
      </c>
      <c r="CL86" s="8">
        <v>0.21019108593463898</v>
      </c>
      <c r="CM86" s="9">
        <v>-0.90768378973007202</v>
      </c>
      <c r="CN86" s="9">
        <v>-0.42727315425872803</v>
      </c>
      <c r="CO86" s="9">
        <v>0.22305677831172943</v>
      </c>
      <c r="CP86" s="9">
        <v>-6.4408913254737854E-2</v>
      </c>
      <c r="CQ86" s="9">
        <v>0.315553218126297</v>
      </c>
      <c r="CR86">
        <v>1.8858450782032248</v>
      </c>
      <c r="CS86" t="e">
        <v>#DIV/0!</v>
      </c>
      <c r="CT86">
        <v>3.1710079275198186</v>
      </c>
      <c r="CU86" s="8">
        <v>0</v>
      </c>
      <c r="CV86" s="9">
        <v>0</v>
      </c>
      <c r="CW86">
        <v>0.06</v>
      </c>
      <c r="CX86">
        <v>244.45762812634936</v>
      </c>
      <c r="CY86">
        <v>2840283.0188679243</v>
      </c>
      <c r="CZ86">
        <v>0</v>
      </c>
      <c r="DA86">
        <v>86.277356126010233</v>
      </c>
      <c r="DB86">
        <v>8047637.0762441466</v>
      </c>
      <c r="DC86">
        <v>0</v>
      </c>
      <c r="DD86">
        <v>46.899571515578245</v>
      </c>
      <c r="DE86">
        <v>14804588.34830443</v>
      </c>
      <c r="DF86">
        <v>0</v>
      </c>
      <c r="DG86">
        <v>31.33392340087261</v>
      </c>
      <c r="DH86">
        <v>22159014.085694224</v>
      </c>
      <c r="DI86">
        <v>0</v>
      </c>
      <c r="DJ86">
        <v>20.10653774321479</v>
      </c>
      <c r="DK86">
        <v>34532491.812734403</v>
      </c>
      <c r="DL86">
        <v>0</v>
      </c>
      <c r="DM86">
        <v>3010700</v>
      </c>
      <c r="DN86">
        <v>0</v>
      </c>
      <c r="DO86">
        <v>694328850</v>
      </c>
      <c r="DP86">
        <v>230910360</v>
      </c>
      <c r="DQ86">
        <v>85</v>
      </c>
      <c r="DR86">
        <v>-0.70784189505577744</v>
      </c>
      <c r="DS86">
        <v>-0.76949999999999996</v>
      </c>
      <c r="DT86">
        <v>-0.44</v>
      </c>
      <c r="DU86">
        <v>-0.44</v>
      </c>
      <c r="DV86">
        <v>-0.88</v>
      </c>
      <c r="DW86">
        <v>6.2369007803790408</v>
      </c>
      <c r="DX86">
        <v>0.69983496714678695</v>
      </c>
      <c r="DY86">
        <v>6.0449720518603023</v>
      </c>
      <c r="DZ86">
        <v>0</v>
      </c>
      <c r="EA86">
        <v>6.0449720518603023</v>
      </c>
      <c r="EB86">
        <v>6</v>
      </c>
      <c r="EC86">
        <v>3.121877879625588E-2</v>
      </c>
      <c r="ED86">
        <v>0.16445220427760804</v>
      </c>
      <c r="EE86">
        <v>0</v>
      </c>
      <c r="EF86">
        <v>0</v>
      </c>
      <c r="EG86">
        <v>51.189834967146787</v>
      </c>
      <c r="EH86" t="s">
        <v>86</v>
      </c>
      <c r="EI86">
        <v>0</v>
      </c>
      <c r="EJ86">
        <v>0</v>
      </c>
      <c r="EK86">
        <v>0</v>
      </c>
      <c r="EL86">
        <v>0</v>
      </c>
      <c r="EM86">
        <v>0</v>
      </c>
      <c r="EN86">
        <v>0</v>
      </c>
      <c r="EO86">
        <v>0</v>
      </c>
      <c r="EP86">
        <v>0</v>
      </c>
    </row>
    <row r="87" spans="1:146" ht="108" x14ac:dyDescent="0.25">
      <c r="A87" s="10"/>
      <c r="B87" s="10"/>
      <c r="C87" s="7" t="str">
        <f>""&amp;CHAR(10)&amp;Basic_Fundamental_Information_Constructure(F87)&amp;CHAR(10)&amp;Basic_Fundamental_Information_Concatenate("")</f>
        <v xml:space="preserve">
市值12.4251亿, 利润1097.64万; PE14.07; 平均PE.34, PB1.54; ROIC7.7467%; ROE8.9667%; 股利率2.004%; 毛利42.05%; 净利9.55%; 上一年度营收增-75.75%, 利润增-80.95%; 当季营收增-58.82%, 利润增2.19%; 过往5年营收增0%, 利润增0%
Income profile:
</v>
      </c>
      <c r="D87">
        <v>833429</v>
      </c>
      <c r="E87" t="s">
        <v>1447</v>
      </c>
      <c r="F87">
        <v>9.98</v>
      </c>
      <c r="G87" s="5">
        <v>-2.54</v>
      </c>
      <c r="H87" t="s">
        <v>4409</v>
      </c>
      <c r="I87">
        <v>1242510000</v>
      </c>
      <c r="J87">
        <v>14.07</v>
      </c>
      <c r="K87">
        <v>1.54</v>
      </c>
      <c r="L87" t="s">
        <v>2604</v>
      </c>
      <c r="M87" t="s">
        <v>246</v>
      </c>
      <c r="N87" t="s">
        <v>1642</v>
      </c>
      <c r="O87" t="s">
        <v>238</v>
      </c>
      <c r="P87">
        <v>17.41</v>
      </c>
      <c r="Q87" t="s">
        <v>238</v>
      </c>
      <c r="R87">
        <v>10976426</v>
      </c>
      <c r="S87" s="5">
        <v>2.1899999999999999E-2</v>
      </c>
      <c r="T87" t="s">
        <v>4410</v>
      </c>
      <c r="U87">
        <v>49410013</v>
      </c>
      <c r="V87">
        <v>124500000</v>
      </c>
      <c r="W87">
        <v>1.29</v>
      </c>
      <c r="X87">
        <v>0.15</v>
      </c>
      <c r="Y87">
        <v>7.15</v>
      </c>
      <c r="Z87" t="s">
        <v>459</v>
      </c>
      <c r="AA87" t="s">
        <v>4411</v>
      </c>
      <c r="AB87" t="s">
        <v>4412</v>
      </c>
      <c r="AC87" t="s">
        <v>4413</v>
      </c>
      <c r="AD87" t="s">
        <v>4414</v>
      </c>
      <c r="AE87">
        <v>734657</v>
      </c>
      <c r="AF87" t="s">
        <v>17</v>
      </c>
      <c r="AG87" t="s">
        <v>4415</v>
      </c>
      <c r="AH87" t="s">
        <v>4416</v>
      </c>
      <c r="AI87" t="s">
        <v>44</v>
      </c>
      <c r="AJ87" t="s">
        <v>9</v>
      </c>
      <c r="AK87" t="s">
        <v>9</v>
      </c>
      <c r="AL87" t="s">
        <v>4417</v>
      </c>
      <c r="AM87" t="s">
        <v>9</v>
      </c>
      <c r="AN87" t="s">
        <v>4418</v>
      </c>
      <c r="AO87" t="s">
        <v>9</v>
      </c>
      <c r="AP87" t="s">
        <v>9</v>
      </c>
      <c r="AQ87" t="s">
        <v>4419</v>
      </c>
      <c r="AR87" t="s">
        <v>4420</v>
      </c>
      <c r="AS87" t="s">
        <v>576</v>
      </c>
      <c r="AT87" t="s">
        <v>1974</v>
      </c>
      <c r="AU87" t="s">
        <v>4421</v>
      </c>
      <c r="AV87" t="s">
        <v>4422</v>
      </c>
      <c r="AW87" t="s">
        <v>4423</v>
      </c>
      <c r="AX87" t="s">
        <v>508</v>
      </c>
      <c r="AY87" t="s">
        <v>115</v>
      </c>
      <c r="AZ87" t="s">
        <v>593</v>
      </c>
      <c r="BA87" t="s">
        <v>162</v>
      </c>
      <c r="BB87" t="s">
        <v>19</v>
      </c>
      <c r="BC87" t="s">
        <v>1449</v>
      </c>
      <c r="BD87" t="s">
        <v>1450</v>
      </c>
      <c r="BE87" t="s">
        <v>1451</v>
      </c>
      <c r="BF87" t="s">
        <v>1452</v>
      </c>
      <c r="BG87" t="s">
        <v>1453</v>
      </c>
      <c r="BH87" t="s">
        <v>4424</v>
      </c>
      <c r="BI87" t="s">
        <v>116</v>
      </c>
      <c r="BJ87" t="s">
        <v>508</v>
      </c>
      <c r="BK87" t="s">
        <v>4425</v>
      </c>
      <c r="BL87" t="s">
        <v>682</v>
      </c>
      <c r="BM87" t="s">
        <v>1449</v>
      </c>
      <c r="BN87">
        <v>7.56</v>
      </c>
      <c r="BO87">
        <v>8.26</v>
      </c>
      <c r="BP87">
        <v>7.42</v>
      </c>
      <c r="BQ87">
        <v>8.4600000000000009</v>
      </c>
      <c r="BR87">
        <v>9.7799999999999994</v>
      </c>
      <c r="BS87">
        <v>8.66</v>
      </c>
      <c r="BT87" t="s">
        <v>851</v>
      </c>
      <c r="BU87" t="s">
        <v>1448</v>
      </c>
      <c r="BV87">
        <v>40.090000000000003</v>
      </c>
      <c r="BW87">
        <v>43.13</v>
      </c>
      <c r="BX87">
        <v>42.93</v>
      </c>
      <c r="BY87">
        <v>10.45</v>
      </c>
      <c r="BZ87">
        <v>9.06</v>
      </c>
      <c r="CA87">
        <v>9.14</v>
      </c>
      <c r="CB87">
        <v>-2.92</v>
      </c>
      <c r="CC87">
        <v>-2.82</v>
      </c>
      <c r="CD87" t="s">
        <v>4426</v>
      </c>
      <c r="CE87" t="s">
        <v>4427</v>
      </c>
      <c r="CF87" s="8">
        <v>-0.58823529411764708</v>
      </c>
      <c r="CG87" s="9">
        <v>2.1899999999999999E-2</v>
      </c>
      <c r="CH87" s="8">
        <v>-0.75748032331466675</v>
      </c>
      <c r="CI87" s="8">
        <v>0.29591837525367737</v>
      </c>
      <c r="CJ87" s="8">
        <v>0.37254902720451355</v>
      </c>
      <c r="CK87" s="8">
        <v>-8.3333337679505348E-3</v>
      </c>
      <c r="CL87" s="8">
        <v>0.13924050331115723</v>
      </c>
      <c r="CM87" s="9">
        <v>-0.80948281288146973</v>
      </c>
      <c r="CN87" s="9">
        <v>0.26901865005493164</v>
      </c>
      <c r="CO87" s="9">
        <v>1.7240391969680786</v>
      </c>
      <c r="CP87" s="9">
        <v>-0.63871133327484131</v>
      </c>
      <c r="CQ87" s="9">
        <v>-0.41600275039672852</v>
      </c>
      <c r="CR87">
        <v>0.33999489323115251</v>
      </c>
      <c r="CS87" t="e">
        <v>#DIV/0!</v>
      </c>
      <c r="CT87">
        <v>2.0040080160320639</v>
      </c>
      <c r="CU87" s="8">
        <v>0</v>
      </c>
      <c r="CV87" s="9">
        <v>0</v>
      </c>
      <c r="CW87">
        <v>0.06</v>
      </c>
      <c r="CX87">
        <v>68.03511169418023</v>
      </c>
      <c r="CY87">
        <v>10355094.339622643</v>
      </c>
      <c r="CZ87">
        <v>0</v>
      </c>
      <c r="DA87">
        <v>24.011889527447202</v>
      </c>
      <c r="DB87">
        <v>29340048.362070706</v>
      </c>
      <c r="DC87">
        <v>0</v>
      </c>
      <c r="DD87">
        <v>13.052640700671311</v>
      </c>
      <c r="DE87">
        <v>53974518.731965579</v>
      </c>
      <c r="DF87">
        <v>0</v>
      </c>
      <c r="DG87">
        <v>8.7205582199849321</v>
      </c>
      <c r="DH87">
        <v>80787259.511148274</v>
      </c>
      <c r="DI87">
        <v>0</v>
      </c>
      <c r="DJ87">
        <v>5.5958595018185955</v>
      </c>
      <c r="DK87">
        <v>125898443.26345964</v>
      </c>
      <c r="DL87">
        <v>0</v>
      </c>
      <c r="DM87">
        <v>10976400.000000002</v>
      </c>
      <c r="DN87">
        <v>0</v>
      </c>
      <c r="DO87">
        <v>704510000</v>
      </c>
      <c r="DP87">
        <v>424220190</v>
      </c>
      <c r="DQ87">
        <v>86</v>
      </c>
      <c r="DR87">
        <v>-0.58823529411764708</v>
      </c>
      <c r="DS87">
        <v>2.1899999999999999E-2</v>
      </c>
      <c r="DT87">
        <v>-0.44</v>
      </c>
      <c r="DU87">
        <v>-0.44</v>
      </c>
      <c r="DV87">
        <v>-0.88</v>
      </c>
      <c r="DW87">
        <v>-4.9657534246575343</v>
      </c>
      <c r="DX87">
        <v>0.30023135349848529</v>
      </c>
      <c r="DY87">
        <v>-4.0678261701594947</v>
      </c>
      <c r="DZ87">
        <v>0</v>
      </c>
      <c r="EA87">
        <v>-4.0678261701594947</v>
      </c>
      <c r="EB87">
        <v>4</v>
      </c>
      <c r="EC87">
        <v>8.4072289156626508E-3</v>
      </c>
      <c r="ED87">
        <v>0.11970763052208834</v>
      </c>
      <c r="EE87">
        <v>0</v>
      </c>
      <c r="EF87">
        <v>0</v>
      </c>
      <c r="EG87">
        <v>23.070231353498485</v>
      </c>
      <c r="EH87" t="s">
        <v>86</v>
      </c>
      <c r="EI87">
        <v>0</v>
      </c>
      <c r="EJ87">
        <v>0</v>
      </c>
      <c r="EK87">
        <v>0</v>
      </c>
      <c r="EL87">
        <v>0</v>
      </c>
      <c r="EM87">
        <v>0</v>
      </c>
      <c r="EN87">
        <v>0</v>
      </c>
      <c r="EO87">
        <v>0</v>
      </c>
      <c r="EP87">
        <v>0</v>
      </c>
    </row>
    <row r="88" spans="1:146" ht="108" x14ac:dyDescent="0.25">
      <c r="A88" s="10"/>
      <c r="B88" s="10"/>
      <c r="C88" s="7" t="str">
        <f>""&amp;CHAR(10)&amp;Basic_Fundamental_Information_Constructure(F88)&amp;CHAR(10)&amp;Basic_Fundamental_Information_Concatenate("")</f>
        <v xml:space="preserve">
市值7.65128亿, 利润315.70万; PE36.83; 平均PE26.98, PB2.48; ROIC7.0933%; ROE8.0667%; 股利率1.3736%; 毛利26.1567%; 净利14.6533%; 上一年度营收增-83.34%, 利润增-83.64%; 当季营收增-71.65%, 利润增-6.22%; 过往5年营收增0%, 利润增0%
Income profile:
</v>
      </c>
      <c r="D88">
        <v>833454</v>
      </c>
      <c r="E88" t="s">
        <v>1454</v>
      </c>
      <c r="F88">
        <v>7.28</v>
      </c>
      <c r="G88" s="5">
        <v>-4.46</v>
      </c>
      <c r="H88" t="s">
        <v>4428</v>
      </c>
      <c r="I88">
        <v>765128000</v>
      </c>
      <c r="J88">
        <v>36.83</v>
      </c>
      <c r="K88">
        <v>2.48</v>
      </c>
      <c r="L88" t="s">
        <v>2604</v>
      </c>
      <c r="M88" t="s">
        <v>4429</v>
      </c>
      <c r="N88" t="s">
        <v>30</v>
      </c>
      <c r="O88" t="s">
        <v>4430</v>
      </c>
      <c r="P88">
        <v>-22.67</v>
      </c>
      <c r="Q88" t="s">
        <v>4430</v>
      </c>
      <c r="R88">
        <v>3156986</v>
      </c>
      <c r="S88" s="5">
        <v>-6.2199999999999998E-2</v>
      </c>
      <c r="T88" t="s">
        <v>4431</v>
      </c>
      <c r="U88">
        <v>59992375</v>
      </c>
      <c r="V88">
        <v>105100000</v>
      </c>
      <c r="W88">
        <v>1.18</v>
      </c>
      <c r="X88">
        <v>7.0000000000000007E-2</v>
      </c>
      <c r="Y88">
        <v>11.85</v>
      </c>
      <c r="Z88" t="s">
        <v>4432</v>
      </c>
      <c r="AA88" t="s">
        <v>4433</v>
      </c>
      <c r="AB88" t="s">
        <v>4434</v>
      </c>
      <c r="AC88" t="s">
        <v>4435</v>
      </c>
      <c r="AD88" t="s">
        <v>4436</v>
      </c>
      <c r="AE88">
        <v>68469</v>
      </c>
      <c r="AF88" t="s">
        <v>4437</v>
      </c>
      <c r="AG88" t="s">
        <v>4438</v>
      </c>
      <c r="AH88" t="s">
        <v>4439</v>
      </c>
      <c r="AI88" t="s">
        <v>1264</v>
      </c>
      <c r="AJ88" t="s">
        <v>9</v>
      </c>
      <c r="AK88" t="s">
        <v>4440</v>
      </c>
      <c r="AL88" t="s">
        <v>4441</v>
      </c>
      <c r="AM88" t="s">
        <v>9</v>
      </c>
      <c r="AN88">
        <v>0</v>
      </c>
      <c r="AO88" t="s">
        <v>9</v>
      </c>
      <c r="AP88" t="s">
        <v>4442</v>
      </c>
      <c r="AQ88" t="s">
        <v>4443</v>
      </c>
      <c r="AR88" t="s">
        <v>9</v>
      </c>
      <c r="AS88" t="s">
        <v>4444</v>
      </c>
      <c r="AT88" t="s">
        <v>9</v>
      </c>
      <c r="AU88" t="s">
        <v>4445</v>
      </c>
      <c r="AV88" t="s">
        <v>4446</v>
      </c>
      <c r="AW88" t="s">
        <v>4447</v>
      </c>
      <c r="AX88" t="s">
        <v>469</v>
      </c>
      <c r="AY88" t="s">
        <v>225</v>
      </c>
      <c r="AZ88" t="s">
        <v>77</v>
      </c>
      <c r="BA88" t="s">
        <v>83</v>
      </c>
      <c r="BB88" t="s">
        <v>160</v>
      </c>
      <c r="BC88" t="s">
        <v>1455</v>
      </c>
      <c r="BD88" t="s">
        <v>1456</v>
      </c>
      <c r="BE88" t="s">
        <v>1457</v>
      </c>
      <c r="BF88" t="s">
        <v>1458</v>
      </c>
      <c r="BG88" t="s">
        <v>1459</v>
      </c>
      <c r="BH88" t="s">
        <v>114</v>
      </c>
      <c r="BI88" t="s">
        <v>1460</v>
      </c>
      <c r="BJ88" t="s">
        <v>469</v>
      </c>
      <c r="BK88" t="s">
        <v>4448</v>
      </c>
      <c r="BL88" t="s">
        <v>1461</v>
      </c>
      <c r="BM88" t="s">
        <v>1455</v>
      </c>
      <c r="BN88">
        <v>5.15</v>
      </c>
      <c r="BO88">
        <v>5.99</v>
      </c>
      <c r="BP88">
        <v>10.14</v>
      </c>
      <c r="BQ88">
        <v>5.24</v>
      </c>
      <c r="BR88">
        <v>6.57</v>
      </c>
      <c r="BS88">
        <v>12.39</v>
      </c>
      <c r="BT88" t="s">
        <v>886</v>
      </c>
      <c r="BU88" t="s">
        <v>822</v>
      </c>
      <c r="BV88">
        <v>25.22</v>
      </c>
      <c r="BW88">
        <v>20.350000000000001</v>
      </c>
      <c r="BX88">
        <v>32.9</v>
      </c>
      <c r="BY88">
        <v>13.96</v>
      </c>
      <c r="BZ88">
        <v>12.03</v>
      </c>
      <c r="CA88">
        <v>17.97</v>
      </c>
      <c r="CB88">
        <v>-5.58</v>
      </c>
      <c r="CC88">
        <v>-5.7</v>
      </c>
      <c r="CD88" t="s">
        <v>4449</v>
      </c>
      <c r="CE88" t="s">
        <v>4450</v>
      </c>
      <c r="CF88" s="8">
        <v>-0.716464689342172</v>
      </c>
      <c r="CG88" s="9">
        <v>-6.2199999999999998E-2</v>
      </c>
      <c r="CH88" s="8">
        <v>-0.83343058824539185</v>
      </c>
      <c r="CI88" s="8">
        <v>0.21212121844291687</v>
      </c>
      <c r="CJ88" s="8">
        <v>-5.714285746216774E-2</v>
      </c>
      <c r="CK88" s="8">
        <v>0.20689655840396881</v>
      </c>
      <c r="CL88" s="8">
        <v>-7.1999996900558472E-2</v>
      </c>
      <c r="CM88" s="9">
        <v>-0.83640789985656738</v>
      </c>
      <c r="CN88" s="9">
        <v>-0.18939466774463654</v>
      </c>
      <c r="CO88" s="9">
        <v>-0.19587312638759613</v>
      </c>
      <c r="CP88" s="9">
        <v>0.73470717668533325</v>
      </c>
      <c r="CQ88" s="9">
        <v>0.15483979880809784</v>
      </c>
      <c r="CR88">
        <v>26.979601191840477</v>
      </c>
      <c r="CS88" t="e">
        <v>#DIV/0!</v>
      </c>
      <c r="CT88">
        <v>1.3736263736263736</v>
      </c>
      <c r="CU88" s="8">
        <v>0</v>
      </c>
      <c r="CV88" s="9">
        <v>0</v>
      </c>
      <c r="CW88">
        <v>0.06</v>
      </c>
      <c r="CX88">
        <v>170.92135698447896</v>
      </c>
      <c r="CY88">
        <v>2978301.8867924525</v>
      </c>
      <c r="CZ88">
        <v>0</v>
      </c>
      <c r="DA88">
        <v>60.323921569217418</v>
      </c>
      <c r="DB88">
        <v>8438698.7244503833</v>
      </c>
      <c r="DC88">
        <v>0</v>
      </c>
      <c r="DD88">
        <v>32.791524923452421</v>
      </c>
      <c r="DE88">
        <v>15523992.897199018</v>
      </c>
      <c r="DF88">
        <v>0</v>
      </c>
      <c r="DG88">
        <v>21.908241311074054</v>
      </c>
      <c r="DH88">
        <v>23235794.821316194</v>
      </c>
      <c r="DI88">
        <v>0</v>
      </c>
      <c r="DJ88">
        <v>14.058210176013279</v>
      </c>
      <c r="DK88">
        <v>36210541.287010498</v>
      </c>
      <c r="DL88">
        <v>0</v>
      </c>
      <c r="DM88">
        <v>3157000</v>
      </c>
      <c r="DN88">
        <v>0</v>
      </c>
      <c r="DO88">
        <v>509055400</v>
      </c>
      <c r="DP88">
        <v>195697180</v>
      </c>
      <c r="DQ88">
        <v>87</v>
      </c>
      <c r="DR88">
        <v>-0.716464689342172</v>
      </c>
      <c r="DS88">
        <v>-6.2199999999999998E-2</v>
      </c>
      <c r="DT88">
        <v>-0.44</v>
      </c>
      <c r="DU88">
        <v>-0.44</v>
      </c>
      <c r="DV88">
        <v>-0.88</v>
      </c>
      <c r="DW88">
        <v>-8.9789473684210535</v>
      </c>
      <c r="DX88">
        <v>0.4722453012557386</v>
      </c>
      <c r="DY88">
        <v>-8.2567243475450898</v>
      </c>
      <c r="DZ88">
        <v>0</v>
      </c>
      <c r="EA88">
        <v>-8.2567243475450898</v>
      </c>
      <c r="EB88">
        <v>8</v>
      </c>
      <c r="EC88">
        <v>0.12752806850618459</v>
      </c>
      <c r="ED88">
        <v>0.48629305423406272</v>
      </c>
      <c r="EE88">
        <v>0</v>
      </c>
      <c r="EF88">
        <v>0</v>
      </c>
      <c r="EG88">
        <v>21.262245301255739</v>
      </c>
      <c r="EH88" t="s">
        <v>86</v>
      </c>
      <c r="EI88">
        <v>0</v>
      </c>
      <c r="EJ88">
        <v>0</v>
      </c>
      <c r="EK88">
        <v>0</v>
      </c>
      <c r="EL88">
        <v>0</v>
      </c>
      <c r="EM88">
        <v>0</v>
      </c>
      <c r="EN88">
        <v>0</v>
      </c>
      <c r="EO88">
        <v>0</v>
      </c>
      <c r="EP88">
        <v>0</v>
      </c>
    </row>
    <row r="89" spans="1:146" ht="96" x14ac:dyDescent="0.25">
      <c r="A89" s="10"/>
      <c r="B89" s="10"/>
      <c r="C89" s="7" t="str">
        <f>""&amp;CHAR(10)&amp;Basic_Fundamental_Information_Constructure(F89)&amp;CHAR(10)&amp;Basic_Fundamental_Information_Concatenate("")</f>
        <v xml:space="preserve">
市值7.66584亿, 利润1353.86万; PE23.11; 平均PE-3.99, PB2.19; ROIC14.5133%; ROE13.305%; 股利率3.2407%; 毛利43.27%; 净利24.1367%; 上一年度营收增-77.78%, 利润增-61.36%; 当季营收增-52.34%, 利润增67.01%; 过往5年营收增0%, 利润增0%
Income profile:
</v>
      </c>
      <c r="D89">
        <v>833455</v>
      </c>
      <c r="E89" t="s">
        <v>1462</v>
      </c>
      <c r="F89">
        <v>4.32</v>
      </c>
      <c r="G89" s="5">
        <v>-3.57</v>
      </c>
      <c r="H89" t="s">
        <v>4451</v>
      </c>
      <c r="I89">
        <v>766584000</v>
      </c>
      <c r="J89">
        <v>23.11</v>
      </c>
      <c r="K89">
        <v>2.19</v>
      </c>
      <c r="L89" t="s">
        <v>2604</v>
      </c>
      <c r="M89" t="s">
        <v>1490</v>
      </c>
      <c r="N89" t="s">
        <v>594</v>
      </c>
      <c r="O89" t="s">
        <v>4452</v>
      </c>
      <c r="P89">
        <v>-1.61</v>
      </c>
      <c r="Q89" t="s">
        <v>4452</v>
      </c>
      <c r="R89">
        <v>13538590</v>
      </c>
      <c r="S89" s="5">
        <v>0.67010000000000003</v>
      </c>
      <c r="T89" t="s">
        <v>4453</v>
      </c>
      <c r="U89">
        <v>50859059</v>
      </c>
      <c r="V89">
        <v>177450000</v>
      </c>
      <c r="W89">
        <v>1.04</v>
      </c>
      <c r="X89">
        <v>0.09</v>
      </c>
      <c r="Y89">
        <v>43.21</v>
      </c>
      <c r="Z89" t="s">
        <v>4454</v>
      </c>
      <c r="AA89" t="s">
        <v>4455</v>
      </c>
      <c r="AB89" t="s">
        <v>4456</v>
      </c>
      <c r="AC89" t="s">
        <v>4457</v>
      </c>
      <c r="AD89" t="s">
        <v>4458</v>
      </c>
      <c r="AE89">
        <v>120317</v>
      </c>
      <c r="AF89" t="s">
        <v>4459</v>
      </c>
      <c r="AG89" t="s">
        <v>9</v>
      </c>
      <c r="AH89" t="s">
        <v>4460</v>
      </c>
      <c r="AI89" t="s">
        <v>4461</v>
      </c>
      <c r="AJ89" t="s">
        <v>9</v>
      </c>
      <c r="AK89" t="s">
        <v>4462</v>
      </c>
      <c r="AL89" t="s">
        <v>4463</v>
      </c>
      <c r="AM89" t="s">
        <v>9</v>
      </c>
      <c r="AN89" t="s">
        <v>4464</v>
      </c>
      <c r="AO89" t="s">
        <v>9</v>
      </c>
      <c r="AP89" t="s">
        <v>9</v>
      </c>
      <c r="AQ89" t="s">
        <v>4465</v>
      </c>
      <c r="AR89" t="s">
        <v>9</v>
      </c>
      <c r="AS89" t="s">
        <v>4466</v>
      </c>
      <c r="AT89" t="s">
        <v>9</v>
      </c>
      <c r="AU89" t="s">
        <v>4467</v>
      </c>
      <c r="AV89" t="s">
        <v>4468</v>
      </c>
      <c r="AW89" t="s">
        <v>4469</v>
      </c>
      <c r="AX89" t="s">
        <v>459</v>
      </c>
      <c r="AY89" t="s">
        <v>230</v>
      </c>
      <c r="AZ89" t="s">
        <v>242</v>
      </c>
      <c r="BA89" t="s">
        <v>110</v>
      </c>
      <c r="BB89" t="s">
        <v>59</v>
      </c>
      <c r="BC89" t="s">
        <v>1463</v>
      </c>
      <c r="BD89" t="s">
        <v>1464</v>
      </c>
      <c r="BE89" t="s">
        <v>1465</v>
      </c>
      <c r="BF89" t="s">
        <v>1466</v>
      </c>
      <c r="BG89" t="s">
        <v>1467</v>
      </c>
      <c r="BH89" t="s">
        <v>167</v>
      </c>
      <c r="BI89" t="s">
        <v>1468</v>
      </c>
      <c r="BJ89" t="s">
        <v>459</v>
      </c>
      <c r="BK89" t="s">
        <v>4470</v>
      </c>
      <c r="BL89" t="s">
        <v>1469</v>
      </c>
      <c r="BM89" t="s">
        <v>1463</v>
      </c>
      <c r="BN89">
        <v>7.35</v>
      </c>
      <c r="BO89">
        <v>17.63</v>
      </c>
      <c r="BP89">
        <v>18.559999999999999</v>
      </c>
      <c r="BQ89">
        <v>8.07</v>
      </c>
      <c r="BR89">
        <v>18.54</v>
      </c>
      <c r="BS89" t="s">
        <v>9</v>
      </c>
      <c r="BT89" t="s">
        <v>4471</v>
      </c>
      <c r="BU89" t="s">
        <v>1118</v>
      </c>
      <c r="BV89">
        <v>38.25</v>
      </c>
      <c r="BW89">
        <v>44.16</v>
      </c>
      <c r="BX89">
        <v>47.4</v>
      </c>
      <c r="BY89">
        <v>20.58</v>
      </c>
      <c r="BZ89">
        <v>24.84</v>
      </c>
      <c r="CA89">
        <v>26.99</v>
      </c>
      <c r="CB89">
        <v>0.7</v>
      </c>
      <c r="CC89">
        <v>9.92</v>
      </c>
      <c r="CD89" t="s">
        <v>4472</v>
      </c>
      <c r="CE89" t="s">
        <v>4473</v>
      </c>
      <c r="CF89" s="8">
        <v>-0.52338620861702845</v>
      </c>
      <c r="CG89" s="9">
        <v>0.67010000000000003</v>
      </c>
      <c r="CH89" s="8">
        <v>-0.77778440713882446</v>
      </c>
      <c r="CI89" s="8">
        <v>0.1190476194024086</v>
      </c>
      <c r="CJ89" s="8">
        <v>-1.5625E-2</v>
      </c>
      <c r="CK89" s="8">
        <v>-7.9136691987514496E-2</v>
      </c>
      <c r="CL89" s="8">
        <v>2.2058824077248573E-2</v>
      </c>
      <c r="CM89" s="9">
        <v>-0.61362111568450928</v>
      </c>
      <c r="CN89" s="9">
        <v>2.9807057231664658E-2</v>
      </c>
      <c r="CO89" s="9">
        <v>1.1868651024997234E-2</v>
      </c>
      <c r="CP89" s="9">
        <v>-8.7141087278723717E-3</v>
      </c>
      <c r="CQ89" s="9">
        <v>-3.5303752869367599E-2</v>
      </c>
      <c r="CR89">
        <v>-3.9857157340963623</v>
      </c>
      <c r="CS89" t="e">
        <v>#DIV/0!</v>
      </c>
      <c r="CT89">
        <v>3.2407407407407405</v>
      </c>
      <c r="CU89" s="8">
        <v>0</v>
      </c>
      <c r="CV89" s="9">
        <v>0</v>
      </c>
      <c r="CW89">
        <v>0.06</v>
      </c>
      <c r="CX89">
        <v>33.750883547781903</v>
      </c>
      <c r="CY89">
        <v>12772264.150943393</v>
      </c>
      <c r="CZ89">
        <v>0</v>
      </c>
      <c r="DA89">
        <v>11.911827099600375</v>
      </c>
      <c r="DB89">
        <v>36188839.578981295</v>
      </c>
      <c r="DC89">
        <v>0</v>
      </c>
      <c r="DD89">
        <v>6.4751588600255028</v>
      </c>
      <c r="DE89">
        <v>66573687.12005657</v>
      </c>
      <c r="DF89">
        <v>0</v>
      </c>
      <c r="DG89">
        <v>4.3260977695953509</v>
      </c>
      <c r="DH89">
        <v>99645274.554282978</v>
      </c>
      <c r="DI89">
        <v>0</v>
      </c>
      <c r="DJ89">
        <v>2.775996065745916</v>
      </c>
      <c r="DK89">
        <v>155286675.40966749</v>
      </c>
      <c r="DL89">
        <v>0</v>
      </c>
      <c r="DM89">
        <v>13538599.999999998</v>
      </c>
      <c r="DN89">
        <v>0</v>
      </c>
      <c r="DO89">
        <v>431075200</v>
      </c>
      <c r="DP89">
        <v>284694510</v>
      </c>
      <c r="DQ89">
        <v>88</v>
      </c>
      <c r="DR89">
        <v>-0.52338620861702845</v>
      </c>
      <c r="DS89">
        <v>0.67010000000000003</v>
      </c>
      <c r="DT89">
        <v>-0.44</v>
      </c>
      <c r="DU89">
        <v>-0.22</v>
      </c>
      <c r="DV89">
        <v>-0.66</v>
      </c>
      <c r="DW89">
        <v>2.0992000000000002</v>
      </c>
      <c r="DX89">
        <v>0.23619308467832389</v>
      </c>
      <c r="DY89">
        <v>2.0115263540000896</v>
      </c>
      <c r="DZ89">
        <v>0</v>
      </c>
      <c r="EA89">
        <v>2.0115263540000896</v>
      </c>
      <c r="EB89">
        <v>2</v>
      </c>
      <c r="EC89">
        <v>3.7916596224288529E-2</v>
      </c>
      <c r="ED89">
        <v>0.32632403493941953</v>
      </c>
      <c r="EE89">
        <v>0</v>
      </c>
      <c r="EF89">
        <v>0</v>
      </c>
      <c r="EG89">
        <v>12.116193084678324</v>
      </c>
      <c r="EH89" t="s">
        <v>86</v>
      </c>
      <c r="EI89">
        <v>1</v>
      </c>
      <c r="EJ89">
        <v>0</v>
      </c>
      <c r="EK89">
        <v>0</v>
      </c>
      <c r="EL89">
        <v>0</v>
      </c>
      <c r="EM89">
        <v>0</v>
      </c>
      <c r="EN89">
        <v>0</v>
      </c>
      <c r="EO89">
        <v>0</v>
      </c>
      <c r="EP89">
        <v>0</v>
      </c>
    </row>
    <row r="90" spans="1:146" ht="108" x14ac:dyDescent="0.25">
      <c r="A90" s="10"/>
      <c r="B90" s="10"/>
      <c r="C90" s="7" t="str">
        <f>""&amp;CHAR(10)&amp;Basic_Fundamental_Information_Constructure(F90)&amp;CHAR(10)&amp;Basic_Fundamental_Information_Concatenate("")</f>
        <v xml:space="preserve">
市值11.1033007亿, 利润440.34万; PE28.16; 平均PE.95, PB3.22; ROIC13.3133%; ROE13.55%; 股利率3.6443%; 毛利55.8967%; 净利26.8433%; 上一年度营收增-83.39%, 利润增-92.16%; 当季营收增-58.66%, 利润增21.05%; 过往5年营收增0%, 利润增0%
Income profile:
</v>
      </c>
      <c r="D90">
        <v>833509</v>
      </c>
      <c r="E90" t="s">
        <v>1470</v>
      </c>
      <c r="F90">
        <v>6.86</v>
      </c>
      <c r="G90" s="5">
        <v>-2.56</v>
      </c>
      <c r="H90" t="s">
        <v>4474</v>
      </c>
      <c r="I90">
        <v>1110330070</v>
      </c>
      <c r="J90">
        <v>28.16</v>
      </c>
      <c r="K90">
        <v>3.22</v>
      </c>
      <c r="L90" t="s">
        <v>2604</v>
      </c>
      <c r="M90" t="s">
        <v>4475</v>
      </c>
      <c r="N90" t="s">
        <v>457</v>
      </c>
      <c r="O90" t="s">
        <v>4476</v>
      </c>
      <c r="P90">
        <v>10.55</v>
      </c>
      <c r="Q90" t="s">
        <v>4476</v>
      </c>
      <c r="R90">
        <v>4403400</v>
      </c>
      <c r="S90" s="5">
        <v>0.21049999999999999</v>
      </c>
      <c r="T90" t="s">
        <v>4477</v>
      </c>
      <c r="U90">
        <v>81691403</v>
      </c>
      <c r="V90">
        <v>163091450</v>
      </c>
      <c r="W90">
        <v>1.1399999999999999</v>
      </c>
      <c r="X90">
        <v>0.08</v>
      </c>
      <c r="Y90">
        <v>13.69</v>
      </c>
      <c r="Z90" t="s">
        <v>4478</v>
      </c>
      <c r="AA90" t="s">
        <v>4479</v>
      </c>
      <c r="AB90" t="s">
        <v>4480</v>
      </c>
      <c r="AC90" t="s">
        <v>4481</v>
      </c>
      <c r="AD90" t="s">
        <v>4482</v>
      </c>
      <c r="AE90">
        <v>71911</v>
      </c>
      <c r="AF90" t="s">
        <v>4483</v>
      </c>
      <c r="AG90">
        <v>7500.07</v>
      </c>
      <c r="AH90" t="s">
        <v>4484</v>
      </c>
      <c r="AI90" t="s">
        <v>4485</v>
      </c>
      <c r="AJ90" t="s">
        <v>9</v>
      </c>
      <c r="AK90" t="s">
        <v>4486</v>
      </c>
      <c r="AL90" t="s">
        <v>4487</v>
      </c>
      <c r="AM90" t="s">
        <v>9</v>
      </c>
      <c r="AN90">
        <v>0</v>
      </c>
      <c r="AO90" t="s">
        <v>9</v>
      </c>
      <c r="AP90" t="s">
        <v>9</v>
      </c>
      <c r="AQ90" t="s">
        <v>4488</v>
      </c>
      <c r="AR90" t="s">
        <v>4489</v>
      </c>
      <c r="AS90" t="s">
        <v>4490</v>
      </c>
      <c r="AT90" t="s">
        <v>9</v>
      </c>
      <c r="AU90" t="s">
        <v>4491</v>
      </c>
      <c r="AV90" t="s">
        <v>4492</v>
      </c>
      <c r="AW90" t="s">
        <v>4493</v>
      </c>
      <c r="AX90" t="s">
        <v>176</v>
      </c>
      <c r="AY90" t="s">
        <v>318</v>
      </c>
      <c r="AZ90" t="s">
        <v>260</v>
      </c>
      <c r="BA90" t="s">
        <v>1472</v>
      </c>
      <c r="BB90" t="s">
        <v>1473</v>
      </c>
      <c r="BC90" t="s">
        <v>1471</v>
      </c>
      <c r="BD90" t="s">
        <v>1474</v>
      </c>
      <c r="BE90" t="s">
        <v>1475</v>
      </c>
      <c r="BF90" t="s">
        <v>1476</v>
      </c>
      <c r="BG90" t="s">
        <v>1477</v>
      </c>
      <c r="BH90" t="s">
        <v>849</v>
      </c>
      <c r="BI90" t="s">
        <v>1478</v>
      </c>
      <c r="BJ90" t="s">
        <v>176</v>
      </c>
      <c r="BK90" t="s">
        <v>4494</v>
      </c>
      <c r="BL90" t="s">
        <v>1479</v>
      </c>
      <c r="BM90" t="s">
        <v>1471</v>
      </c>
      <c r="BN90">
        <v>7.68</v>
      </c>
      <c r="BO90">
        <v>17.53</v>
      </c>
      <c r="BP90">
        <v>14.73</v>
      </c>
      <c r="BQ90">
        <v>7.86</v>
      </c>
      <c r="BR90">
        <v>17.989999999999998</v>
      </c>
      <c r="BS90">
        <v>14.8</v>
      </c>
      <c r="BT90" t="s">
        <v>1165</v>
      </c>
      <c r="BU90" t="s">
        <v>844</v>
      </c>
      <c r="BV90">
        <v>57.09</v>
      </c>
      <c r="BW90">
        <v>55.98</v>
      </c>
      <c r="BX90">
        <v>54.62</v>
      </c>
      <c r="BY90">
        <v>22.79</v>
      </c>
      <c r="BZ90">
        <v>29.44</v>
      </c>
      <c r="CA90">
        <v>28.3</v>
      </c>
      <c r="CB90">
        <v>-1.29</v>
      </c>
      <c r="CC90">
        <v>2.85</v>
      </c>
      <c r="CD90" t="s">
        <v>4495</v>
      </c>
      <c r="CE90" t="s">
        <v>4496</v>
      </c>
      <c r="CF90" s="8">
        <v>-0.58659269823683258</v>
      </c>
      <c r="CG90" s="9">
        <v>0.21049999999999999</v>
      </c>
      <c r="CH90" s="8">
        <v>-0.83386057615280151</v>
      </c>
      <c r="CI90" s="8">
        <v>0.28378379344940186</v>
      </c>
      <c r="CJ90" s="8">
        <v>0.47999998927116394</v>
      </c>
      <c r="CK90" s="8">
        <v>9.1461122035980225E-2</v>
      </c>
      <c r="CL90" s="8">
        <v>-2.1651268471032381E-3</v>
      </c>
      <c r="CM90" s="9">
        <v>-0.92157161235809326</v>
      </c>
      <c r="CN90" s="9">
        <v>0.33623448014259338</v>
      </c>
      <c r="CO90" s="9">
        <v>0.3219015896320343</v>
      </c>
      <c r="CP90" s="9">
        <v>-2.2432586178183556E-2</v>
      </c>
      <c r="CQ90" s="9">
        <v>7.9776443541049957E-2</v>
      </c>
      <c r="CR90">
        <v>0.95247300434515969</v>
      </c>
      <c r="CS90" t="e">
        <v>#DIV/0!</v>
      </c>
      <c r="CT90">
        <v>3.6443148688046647</v>
      </c>
      <c r="CU90" s="8">
        <v>0</v>
      </c>
      <c r="CV90" s="9">
        <v>0</v>
      </c>
      <c r="CW90">
        <v>0.06</v>
      </c>
      <c r="CX90">
        <v>196.31842489894174</v>
      </c>
      <c r="CY90">
        <v>4154150.943396226</v>
      </c>
      <c r="CZ90">
        <v>0</v>
      </c>
      <c r="DA90">
        <v>69.287404892716083</v>
      </c>
      <c r="DB90">
        <v>11770340.818259368</v>
      </c>
      <c r="DC90">
        <v>0</v>
      </c>
      <c r="DD90">
        <v>37.663991420283168</v>
      </c>
      <c r="DE90">
        <v>21652945.937132135</v>
      </c>
      <c r="DF90">
        <v>0</v>
      </c>
      <c r="DG90">
        <v>25.163569388736772</v>
      </c>
      <c r="DH90">
        <v>32409407.322199471</v>
      </c>
      <c r="DI90">
        <v>0</v>
      </c>
      <c r="DJ90">
        <v>16.147108397365589</v>
      </c>
      <c r="DK90">
        <v>50506651.093830228</v>
      </c>
      <c r="DL90">
        <v>0</v>
      </c>
      <c r="DM90">
        <v>4403400</v>
      </c>
      <c r="DN90">
        <v>0</v>
      </c>
      <c r="DO90">
        <v>815536370</v>
      </c>
      <c r="DP90">
        <v>228555540</v>
      </c>
      <c r="DQ90">
        <v>89</v>
      </c>
      <c r="DR90">
        <v>-0.58659269823683258</v>
      </c>
      <c r="DS90">
        <v>0.21049999999999999</v>
      </c>
      <c r="DT90">
        <v>-0.44</v>
      </c>
      <c r="DU90">
        <v>-0.44</v>
      </c>
      <c r="DV90">
        <v>-0.88</v>
      </c>
      <c r="DW90">
        <v>1.0285</v>
      </c>
      <c r="DX90">
        <v>0.33808472988446014</v>
      </c>
      <c r="DY90">
        <v>1.0056454148017071</v>
      </c>
      <c r="DZ90">
        <v>0</v>
      </c>
      <c r="EA90">
        <v>1.0056454148017071</v>
      </c>
      <c r="EB90">
        <v>1</v>
      </c>
      <c r="EC90">
        <v>9.334640166605913E-3</v>
      </c>
      <c r="ED90">
        <v>4.7124481387589595E-2</v>
      </c>
      <c r="EE90">
        <v>0</v>
      </c>
      <c r="EF90">
        <v>0</v>
      </c>
      <c r="EG90">
        <v>14.19808472988446</v>
      </c>
      <c r="EH90" t="s">
        <v>86</v>
      </c>
      <c r="EI90">
        <v>0</v>
      </c>
      <c r="EJ90">
        <v>0</v>
      </c>
      <c r="EK90">
        <v>0</v>
      </c>
      <c r="EL90">
        <v>0</v>
      </c>
      <c r="EM90">
        <v>0</v>
      </c>
      <c r="EN90">
        <v>0</v>
      </c>
      <c r="EO90">
        <v>0</v>
      </c>
      <c r="EP90">
        <v>0</v>
      </c>
    </row>
    <row r="91" spans="1:146" ht="108" x14ac:dyDescent="0.25">
      <c r="A91" s="10"/>
      <c r="B91" s="10"/>
      <c r="C91" s="7" t="str">
        <f>""&amp;CHAR(10)&amp;Basic_Fundamental_Information_Constructure(F91)&amp;CHAR(10)&amp;Basic_Fundamental_Information_Concatenate("")</f>
        <v xml:space="preserve">
市值10.8898972亿, 利润2878.26万; PE14.13; 平均PE-15.52, PB2.23; ROIC10.4833%; ROE11.2167%; 股利率1.8605%; 毛利31.0367%; 净利17.3367%; 上一年度营收增-60.71%, 利润增-34.79%; 当季营收增-16.03%, 利润增473.8%; 过往5年营收增0%, 利润增0%
Income profile:
</v>
      </c>
      <c r="D91">
        <v>833523</v>
      </c>
      <c r="E91" t="s">
        <v>1480</v>
      </c>
      <c r="F91">
        <v>10.75</v>
      </c>
      <c r="G91" s="5">
        <v>-2.8</v>
      </c>
      <c r="H91" t="s">
        <v>4497</v>
      </c>
      <c r="I91">
        <v>1088989720</v>
      </c>
      <c r="J91">
        <v>14.13</v>
      </c>
      <c r="K91">
        <v>2.23</v>
      </c>
      <c r="L91" t="s">
        <v>2604</v>
      </c>
      <c r="M91" t="s">
        <v>99</v>
      </c>
      <c r="N91" t="s">
        <v>478</v>
      </c>
      <c r="O91" t="s">
        <v>72</v>
      </c>
      <c r="P91">
        <v>79.23</v>
      </c>
      <c r="Q91" t="s">
        <v>72</v>
      </c>
      <c r="R91">
        <v>28782634</v>
      </c>
      <c r="S91" s="5">
        <v>4.7380000000000004</v>
      </c>
      <c r="T91" t="s">
        <v>4498</v>
      </c>
      <c r="U91">
        <v>46100341</v>
      </c>
      <c r="V91">
        <v>77924130</v>
      </c>
      <c r="W91">
        <v>1.23</v>
      </c>
      <c r="X91">
        <v>0.19</v>
      </c>
      <c r="Y91">
        <v>26.19</v>
      </c>
      <c r="Z91" t="s">
        <v>4499</v>
      </c>
      <c r="AA91" t="s">
        <v>4500</v>
      </c>
      <c r="AB91" t="s">
        <v>4501</v>
      </c>
      <c r="AC91" t="s">
        <v>4502</v>
      </c>
      <c r="AD91" t="s">
        <v>4503</v>
      </c>
      <c r="AE91">
        <v>1686515</v>
      </c>
      <c r="AF91" t="s">
        <v>4504</v>
      </c>
      <c r="AG91" t="s">
        <v>9</v>
      </c>
      <c r="AH91" t="s">
        <v>4505</v>
      </c>
      <c r="AI91" t="s">
        <v>65</v>
      </c>
      <c r="AJ91" t="s">
        <v>9</v>
      </c>
      <c r="AK91" t="s">
        <v>4506</v>
      </c>
      <c r="AL91" t="s">
        <v>4507</v>
      </c>
      <c r="AM91" t="s">
        <v>9</v>
      </c>
      <c r="AN91" t="s">
        <v>4508</v>
      </c>
      <c r="AO91" t="s">
        <v>9</v>
      </c>
      <c r="AP91" t="s">
        <v>2833</v>
      </c>
      <c r="AQ91" t="s">
        <v>4509</v>
      </c>
      <c r="AR91" t="s">
        <v>9</v>
      </c>
      <c r="AS91" t="s">
        <v>537</v>
      </c>
      <c r="AT91" t="s">
        <v>9</v>
      </c>
      <c r="AU91" t="s">
        <v>4510</v>
      </c>
      <c r="AV91" t="s">
        <v>4511</v>
      </c>
      <c r="AW91" t="s">
        <v>9</v>
      </c>
      <c r="AX91" t="s">
        <v>394</v>
      </c>
      <c r="AY91" t="s">
        <v>620</v>
      </c>
      <c r="AZ91" t="s">
        <v>34</v>
      </c>
      <c r="BA91" t="s">
        <v>128</v>
      </c>
      <c r="BB91" t="s">
        <v>130</v>
      </c>
      <c r="BC91" t="s">
        <v>1481</v>
      </c>
      <c r="BD91" t="s">
        <v>1482</v>
      </c>
      <c r="BE91" t="s">
        <v>1483</v>
      </c>
      <c r="BF91" t="s">
        <v>1484</v>
      </c>
      <c r="BG91" t="s">
        <v>1485</v>
      </c>
      <c r="BH91" t="s">
        <v>44</v>
      </c>
      <c r="BI91" t="s">
        <v>406</v>
      </c>
      <c r="BJ91" t="s">
        <v>394</v>
      </c>
      <c r="BK91" t="s">
        <v>4512</v>
      </c>
      <c r="BL91" t="s">
        <v>1486</v>
      </c>
      <c r="BM91" t="s">
        <v>1481</v>
      </c>
      <c r="BN91">
        <v>6.42</v>
      </c>
      <c r="BO91">
        <v>10.31</v>
      </c>
      <c r="BP91">
        <v>14.72</v>
      </c>
      <c r="BQ91">
        <v>7.44</v>
      </c>
      <c r="BR91">
        <v>11.21</v>
      </c>
      <c r="BS91">
        <v>15</v>
      </c>
      <c r="BT91" t="s">
        <v>4513</v>
      </c>
      <c r="BU91" t="s">
        <v>915</v>
      </c>
      <c r="BV91">
        <v>30.19</v>
      </c>
      <c r="BW91">
        <v>27.34</v>
      </c>
      <c r="BX91">
        <v>35.58</v>
      </c>
      <c r="BY91">
        <v>15.39</v>
      </c>
      <c r="BZ91">
        <v>15.77</v>
      </c>
      <c r="CA91">
        <v>20.85</v>
      </c>
      <c r="CB91">
        <v>1.9</v>
      </c>
      <c r="CC91">
        <v>-0.18</v>
      </c>
      <c r="CD91" t="s">
        <v>4514</v>
      </c>
      <c r="CE91" t="s">
        <v>4515</v>
      </c>
      <c r="CF91" s="8">
        <v>-0.16030534351145026</v>
      </c>
      <c r="CG91" s="9">
        <v>4.7380000000000004</v>
      </c>
      <c r="CH91" s="8">
        <v>-0.6071428656578064</v>
      </c>
      <c r="CI91" s="8">
        <v>0.26696833968162537</v>
      </c>
      <c r="CJ91" s="8">
        <v>0.27011492848396301</v>
      </c>
      <c r="CK91" s="8">
        <v>8.0745339393615723E-2</v>
      </c>
      <c r="CL91" s="8">
        <v>0.1180555522441864</v>
      </c>
      <c r="CM91" s="9">
        <v>-0.34786716103553772</v>
      </c>
      <c r="CN91" s="9">
        <v>-4.372309148311615E-2</v>
      </c>
      <c r="CO91" s="9">
        <v>0.34097558259963989</v>
      </c>
      <c r="CP91" s="9">
        <v>-1.9416065886616707E-2</v>
      </c>
      <c r="CQ91" s="9">
        <v>0.16196416318416595</v>
      </c>
      <c r="CR91">
        <v>-15.52140394253083</v>
      </c>
      <c r="CS91" t="e">
        <v>#DIV/0!</v>
      </c>
      <c r="CT91">
        <v>1.8604651162790697</v>
      </c>
      <c r="CU91" s="8">
        <v>0</v>
      </c>
      <c r="CV91" s="9">
        <v>0</v>
      </c>
      <c r="CW91">
        <v>0.06</v>
      </c>
      <c r="CX91">
        <v>26.441985894255559</v>
      </c>
      <c r="CY91">
        <v>27153396.226415094</v>
      </c>
      <c r="CZ91">
        <v>0</v>
      </c>
      <c r="DA91">
        <v>9.3322701818022189</v>
      </c>
      <c r="DB91">
        <v>76936233.736574486</v>
      </c>
      <c r="DC91">
        <v>0</v>
      </c>
      <c r="DD91">
        <v>5.0729356165584134</v>
      </c>
      <c r="DE91">
        <v>141533379.14568278</v>
      </c>
      <c r="DF91">
        <v>0</v>
      </c>
      <c r="DG91">
        <v>3.389262862966691</v>
      </c>
      <c r="DH91">
        <v>211842441.56604865</v>
      </c>
      <c r="DI91">
        <v>0</v>
      </c>
      <c r="DJ91">
        <v>2.1748422884705914</v>
      </c>
      <c r="DK91">
        <v>330134154.46547621</v>
      </c>
      <c r="DL91">
        <v>0</v>
      </c>
      <c r="DM91">
        <v>28782600.000000004</v>
      </c>
      <c r="DN91">
        <v>0</v>
      </c>
      <c r="DO91">
        <v>717989720</v>
      </c>
      <c r="DP91">
        <v>270090160</v>
      </c>
      <c r="DQ91">
        <v>90</v>
      </c>
      <c r="DR91">
        <v>-0.16030534351145026</v>
      </c>
      <c r="DS91">
        <v>4.7380000000000004</v>
      </c>
      <c r="DT91">
        <v>-0.44</v>
      </c>
      <c r="DU91">
        <v>0.6</v>
      </c>
      <c r="DV91">
        <v>0.15999999999999998</v>
      </c>
      <c r="DW91">
        <v>-1.8E-3</v>
      </c>
      <c r="DX91">
        <v>0.44906919353428054</v>
      </c>
      <c r="DY91">
        <v>-3.0432454836170605E-4</v>
      </c>
      <c r="DZ91">
        <v>0</v>
      </c>
      <c r="EA91">
        <v>-3.0432454836170605E-4</v>
      </c>
      <c r="EB91">
        <v>0</v>
      </c>
      <c r="EC91">
        <v>5.7059347342087743E-2</v>
      </c>
      <c r="ED91">
        <v>0.33749109550533318</v>
      </c>
      <c r="EE91">
        <v>0</v>
      </c>
      <c r="EF91">
        <v>0</v>
      </c>
      <c r="EG91">
        <v>28.169069193534281</v>
      </c>
      <c r="EH91" t="s">
        <v>86</v>
      </c>
      <c r="EI91">
        <v>0</v>
      </c>
      <c r="EJ91">
        <v>0</v>
      </c>
      <c r="EK91">
        <v>0</v>
      </c>
      <c r="EL91">
        <v>0</v>
      </c>
      <c r="EM91">
        <v>0</v>
      </c>
      <c r="EN91">
        <v>0</v>
      </c>
      <c r="EO91">
        <v>0</v>
      </c>
      <c r="EP91">
        <v>0</v>
      </c>
    </row>
    <row r="92" spans="1:146" ht="108" x14ac:dyDescent="0.25">
      <c r="A92" s="10"/>
      <c r="B92" s="10"/>
      <c r="C92" s="7" t="str">
        <f>""&amp;CHAR(10)&amp;Basic_Fundamental_Information_Constructure(F92)&amp;CHAR(10)&amp;Basic_Fundamental_Information_Concatenate("")</f>
        <v xml:space="preserve">
市值12.1182831亿, 利润2622.67万; PE12.77; 平均PE.89, PB3.53; ROIC16.09%; ROE25.5133%; 股利率.8264%; 毛利25.3267%; 净利10.1633%; 上一年度营收增-63.82%, 利润增-56.84%; 当季营收增-33.12%, 利润增33.14%; 过往5年营收增0%, 利润增0%
Income profile:
</v>
      </c>
      <c r="D92">
        <v>833533</v>
      </c>
      <c r="E92" t="s">
        <v>1487</v>
      </c>
      <c r="F92">
        <v>12.1</v>
      </c>
      <c r="G92" s="5">
        <v>0</v>
      </c>
      <c r="H92" t="s">
        <v>4516</v>
      </c>
      <c r="I92">
        <v>1211828310</v>
      </c>
      <c r="J92">
        <v>12.77</v>
      </c>
      <c r="K92">
        <v>3.53</v>
      </c>
      <c r="L92" t="s">
        <v>2604</v>
      </c>
      <c r="M92" t="s">
        <v>305</v>
      </c>
      <c r="N92" t="s">
        <v>45</v>
      </c>
      <c r="O92" t="s">
        <v>104</v>
      </c>
      <c r="P92">
        <v>32.14</v>
      </c>
      <c r="Q92" t="s">
        <v>104</v>
      </c>
      <c r="R92">
        <v>26226725</v>
      </c>
      <c r="S92" s="5">
        <v>0.33139999999999997</v>
      </c>
      <c r="T92" t="s">
        <v>4517</v>
      </c>
      <c r="U92">
        <v>35898763</v>
      </c>
      <c r="V92">
        <v>100151100</v>
      </c>
      <c r="W92">
        <v>2.15</v>
      </c>
      <c r="X92">
        <v>0.3</v>
      </c>
      <c r="Y92">
        <v>12.05</v>
      </c>
      <c r="Z92" t="s">
        <v>111</v>
      </c>
      <c r="AA92" t="s">
        <v>386</v>
      </c>
      <c r="AB92" t="s">
        <v>4518</v>
      </c>
      <c r="AC92" t="s">
        <v>4519</v>
      </c>
      <c r="AD92" t="s">
        <v>4520</v>
      </c>
      <c r="AE92">
        <v>1153589</v>
      </c>
      <c r="AF92" t="s">
        <v>4521</v>
      </c>
      <c r="AG92" t="s">
        <v>4522</v>
      </c>
      <c r="AH92" t="s">
        <v>4523</v>
      </c>
      <c r="AI92" t="s">
        <v>4524</v>
      </c>
      <c r="AJ92" t="s">
        <v>9</v>
      </c>
      <c r="AK92" t="s">
        <v>9</v>
      </c>
      <c r="AL92" t="s">
        <v>4525</v>
      </c>
      <c r="AM92" t="s">
        <v>9</v>
      </c>
      <c r="AN92" t="s">
        <v>4526</v>
      </c>
      <c r="AO92" t="s">
        <v>70</v>
      </c>
      <c r="AP92" t="s">
        <v>9</v>
      </c>
      <c r="AQ92" t="s">
        <v>26</v>
      </c>
      <c r="AR92" t="s">
        <v>9</v>
      </c>
      <c r="AS92" t="s">
        <v>382</v>
      </c>
      <c r="AT92" t="s">
        <v>4527</v>
      </c>
      <c r="AU92" t="s">
        <v>4528</v>
      </c>
      <c r="AV92" t="s">
        <v>4529</v>
      </c>
      <c r="AW92" t="s">
        <v>4530</v>
      </c>
      <c r="AX92" t="s">
        <v>336</v>
      </c>
      <c r="AY92" t="s">
        <v>343</v>
      </c>
      <c r="AZ92" t="s">
        <v>109</v>
      </c>
      <c r="BA92" t="s">
        <v>164</v>
      </c>
      <c r="BB92" t="s">
        <v>26</v>
      </c>
      <c r="BC92" t="s">
        <v>1489</v>
      </c>
      <c r="BD92" t="s">
        <v>1491</v>
      </c>
      <c r="BE92" t="s">
        <v>1492</v>
      </c>
      <c r="BF92" t="s">
        <v>1493</v>
      </c>
      <c r="BG92" t="s">
        <v>1494</v>
      </c>
      <c r="BH92" t="s">
        <v>4531</v>
      </c>
      <c r="BI92" t="s">
        <v>488</v>
      </c>
      <c r="BJ92" t="s">
        <v>336</v>
      </c>
      <c r="BK92" t="s">
        <v>4532</v>
      </c>
      <c r="BL92" t="s">
        <v>1495</v>
      </c>
      <c r="BM92" t="s">
        <v>1489</v>
      </c>
      <c r="BN92">
        <v>13.88</v>
      </c>
      <c r="BO92">
        <v>21.06</v>
      </c>
      <c r="BP92">
        <v>13.33</v>
      </c>
      <c r="BQ92">
        <v>20.7</v>
      </c>
      <c r="BR92">
        <v>30.06</v>
      </c>
      <c r="BS92">
        <v>25.78</v>
      </c>
      <c r="BT92" t="s">
        <v>886</v>
      </c>
      <c r="BU92" t="s">
        <v>822</v>
      </c>
      <c r="BV92">
        <v>27.52</v>
      </c>
      <c r="BW92">
        <v>25.89</v>
      </c>
      <c r="BX92">
        <v>22.57</v>
      </c>
      <c r="BY92">
        <v>12.42</v>
      </c>
      <c r="BZ92">
        <v>10.48</v>
      </c>
      <c r="CA92">
        <v>7.59</v>
      </c>
      <c r="CB92">
        <v>-0.08</v>
      </c>
      <c r="CC92">
        <v>-7.63</v>
      </c>
      <c r="CD92" t="s">
        <v>4533</v>
      </c>
      <c r="CE92" t="s">
        <v>4534</v>
      </c>
      <c r="CF92" s="8">
        <v>-0.33123028391167192</v>
      </c>
      <c r="CG92" s="9">
        <v>0.33139999999999997</v>
      </c>
      <c r="CH92" s="8">
        <v>-0.638225257396698</v>
      </c>
      <c r="CI92" s="8">
        <v>0.69855070114135742</v>
      </c>
      <c r="CJ92" s="8">
        <v>0.92737430334091187</v>
      </c>
      <c r="CK92" s="8">
        <v>0.14743590354919434</v>
      </c>
      <c r="CL92" s="8">
        <v>0.13868613541126251</v>
      </c>
      <c r="CM92" s="9">
        <v>-0.56843185424804688</v>
      </c>
      <c r="CN92" s="9">
        <v>1.1656100749969482</v>
      </c>
      <c r="CO92" s="9">
        <v>0.33486664295196533</v>
      </c>
      <c r="CP92" s="9">
        <v>6.2451988458633423E-2</v>
      </c>
      <c r="CQ92" s="9">
        <v>-0.20853450894355774</v>
      </c>
      <c r="CR92">
        <v>0.89102547359376671</v>
      </c>
      <c r="CS92" t="e">
        <v>#DIV/0!</v>
      </c>
      <c r="CT92">
        <v>0.82644628099173556</v>
      </c>
      <c r="CU92" s="8">
        <v>0</v>
      </c>
      <c r="CV92" s="9">
        <v>0</v>
      </c>
      <c r="CW92">
        <v>0.06</v>
      </c>
      <c r="CX92">
        <v>49.988675990498237</v>
      </c>
      <c r="CY92">
        <v>24742169.811320752</v>
      </c>
      <c r="CZ92">
        <v>0</v>
      </c>
      <c r="DA92">
        <v>17.642692657030977</v>
      </c>
      <c r="DB92">
        <v>70104282.494945481</v>
      </c>
      <c r="DC92">
        <v>0</v>
      </c>
      <c r="DD92">
        <v>9.5904042862336034</v>
      </c>
      <c r="DE92">
        <v>128965189.90084557</v>
      </c>
      <c r="DF92">
        <v>0</v>
      </c>
      <c r="DG92">
        <v>6.4074144726125652</v>
      </c>
      <c r="DH92">
        <v>193030795.07133779</v>
      </c>
      <c r="DI92">
        <v>0</v>
      </c>
      <c r="DJ92">
        <v>4.1115477076329832</v>
      </c>
      <c r="DK92">
        <v>300818182.82294524</v>
      </c>
      <c r="DL92">
        <v>0</v>
      </c>
      <c r="DM92">
        <v>26226700</v>
      </c>
      <c r="DN92">
        <v>0</v>
      </c>
      <c r="DO92">
        <v>1236828310</v>
      </c>
      <c r="DP92">
        <v>114060520</v>
      </c>
      <c r="DQ92">
        <v>91</v>
      </c>
      <c r="DR92">
        <v>-0.33123028391167192</v>
      </c>
      <c r="DS92">
        <v>0.33139999999999997</v>
      </c>
      <c r="DT92">
        <v>-0.44</v>
      </c>
      <c r="DU92">
        <v>-0.22</v>
      </c>
      <c r="DV92">
        <v>-0.66</v>
      </c>
      <c r="DW92">
        <v>-2.0762999999999998</v>
      </c>
      <c r="DX92">
        <v>0.39572650223498301</v>
      </c>
      <c r="DY92">
        <v>-2.0149339321205293</v>
      </c>
      <c r="DZ92">
        <v>0</v>
      </c>
      <c r="EA92">
        <v>-2.0149339321205293</v>
      </c>
      <c r="EB92">
        <v>2</v>
      </c>
      <c r="EC92">
        <v>2.5664221361522733E-2</v>
      </c>
      <c r="ED92">
        <v>0.13112287333838571</v>
      </c>
      <c r="EE92">
        <v>0</v>
      </c>
      <c r="EF92">
        <v>0</v>
      </c>
      <c r="EG92">
        <v>20.195726502234983</v>
      </c>
      <c r="EH92" t="s">
        <v>86</v>
      </c>
      <c r="EI92">
        <v>0</v>
      </c>
      <c r="EJ92">
        <v>0</v>
      </c>
      <c r="EK92">
        <v>0</v>
      </c>
      <c r="EL92">
        <v>0</v>
      </c>
      <c r="EM92">
        <v>0</v>
      </c>
      <c r="EN92">
        <v>0</v>
      </c>
      <c r="EO92">
        <v>0</v>
      </c>
      <c r="EP92">
        <v>0</v>
      </c>
    </row>
    <row r="93" spans="1:146" ht="96" x14ac:dyDescent="0.25">
      <c r="A93" s="10"/>
      <c r="B93" s="10"/>
      <c r="C93" s="7" t="str">
        <f>""&amp;CHAR(10)&amp;Basic_Fundamental_Information_Constructure(F93)&amp;CHAR(10)&amp;Basic_Fundamental_Information_Concatenate("")</f>
        <v xml:space="preserve">
市值57.620794亿, 利润-8591.17万; PE; 平均PE4.7, PB7.01; ROIC0%; ROE-24.66%; 股利率0%; 毛利96.42%; 净利0%; 上一年度营收增-92.52%, 利润增70.68%; 当季营收增-83.05%, 利润增-18.33%; 过往5年营收增0%, 利润增0%
Income profile:
</v>
      </c>
      <c r="D93">
        <v>833575</v>
      </c>
      <c r="E93" t="s">
        <v>1496</v>
      </c>
      <c r="F93">
        <v>20.51</v>
      </c>
      <c r="G93" s="5">
        <v>0.94</v>
      </c>
      <c r="H93" t="s">
        <v>4535</v>
      </c>
      <c r="I93">
        <v>5762079400</v>
      </c>
      <c r="K93">
        <v>7.01</v>
      </c>
      <c r="L93" t="s">
        <v>2604</v>
      </c>
      <c r="M93" t="s">
        <v>601</v>
      </c>
      <c r="N93" t="s">
        <v>4536</v>
      </c>
      <c r="O93" t="s">
        <v>4537</v>
      </c>
      <c r="P93">
        <v>-44.01</v>
      </c>
      <c r="Q93" t="s">
        <v>4537</v>
      </c>
      <c r="R93">
        <v>-85911743</v>
      </c>
      <c r="S93" s="5">
        <v>-0.18329999999999999</v>
      </c>
      <c r="T93" t="s">
        <v>4538</v>
      </c>
      <c r="U93">
        <v>186834680</v>
      </c>
      <c r="V93">
        <v>280940000</v>
      </c>
      <c r="W93">
        <v>1.84</v>
      </c>
      <c r="X93">
        <v>0</v>
      </c>
      <c r="Y93" t="s">
        <v>4539</v>
      </c>
      <c r="Z93" t="s">
        <v>4540</v>
      </c>
      <c r="AA93">
        <v>6424.49</v>
      </c>
      <c r="AB93" t="s">
        <v>9</v>
      </c>
      <c r="AC93" t="s">
        <v>4541</v>
      </c>
      <c r="AD93" t="s">
        <v>383</v>
      </c>
      <c r="AE93">
        <v>655720</v>
      </c>
      <c r="AF93" t="s">
        <v>17</v>
      </c>
      <c r="AG93">
        <v>3333.44</v>
      </c>
      <c r="AH93" t="s">
        <v>4542</v>
      </c>
      <c r="AI93" t="s">
        <v>26</v>
      </c>
      <c r="AJ93" t="s">
        <v>9</v>
      </c>
      <c r="AK93" t="s">
        <v>9</v>
      </c>
      <c r="AL93" t="s">
        <v>4543</v>
      </c>
      <c r="AM93" t="s">
        <v>9</v>
      </c>
      <c r="AN93" t="s">
        <v>4544</v>
      </c>
      <c r="AO93" t="s">
        <v>4545</v>
      </c>
      <c r="AP93" t="s">
        <v>9</v>
      </c>
      <c r="AQ93" t="s">
        <v>154</v>
      </c>
      <c r="AR93" t="s">
        <v>9</v>
      </c>
      <c r="AS93" t="s">
        <v>691</v>
      </c>
      <c r="AT93" t="s">
        <v>4546</v>
      </c>
      <c r="AU93" t="s">
        <v>4547</v>
      </c>
      <c r="AV93" t="s">
        <v>4548</v>
      </c>
      <c r="AW93" t="s">
        <v>4549</v>
      </c>
      <c r="AX93" t="s">
        <v>1499</v>
      </c>
      <c r="AY93" t="s">
        <v>1501</v>
      </c>
      <c r="AZ93" t="s">
        <v>1502</v>
      </c>
      <c r="BA93" t="s">
        <v>1503</v>
      </c>
      <c r="BB93" t="s">
        <v>1504</v>
      </c>
      <c r="BC93" t="s">
        <v>1500</v>
      </c>
      <c r="BD93" t="s">
        <v>1505</v>
      </c>
      <c r="BE93" t="s">
        <v>1506</v>
      </c>
      <c r="BF93" t="s">
        <v>1507</v>
      </c>
      <c r="BG93" t="s">
        <v>1508</v>
      </c>
      <c r="BH93" t="s">
        <v>4550</v>
      </c>
      <c r="BI93" t="s">
        <v>1509</v>
      </c>
      <c r="BJ93" t="s">
        <v>1499</v>
      </c>
      <c r="BK93" t="s">
        <v>4551</v>
      </c>
      <c r="BL93" t="s">
        <v>1510</v>
      </c>
      <c r="BM93" t="s">
        <v>1500</v>
      </c>
      <c r="BN93" t="s">
        <v>9</v>
      </c>
      <c r="BO93" t="s">
        <v>9</v>
      </c>
      <c r="BP93" t="s">
        <v>9</v>
      </c>
      <c r="BQ93">
        <v>-21.92</v>
      </c>
      <c r="BR93">
        <v>-27.4</v>
      </c>
      <c r="BS93" t="s">
        <v>9</v>
      </c>
      <c r="BT93" t="s">
        <v>773</v>
      </c>
      <c r="BU93" t="s">
        <v>1497</v>
      </c>
      <c r="BV93">
        <v>95.58</v>
      </c>
      <c r="BW93">
        <v>97.42</v>
      </c>
      <c r="BX93">
        <v>96.26</v>
      </c>
      <c r="BY93" t="s">
        <v>4552</v>
      </c>
      <c r="BZ93" t="s">
        <v>4553</v>
      </c>
      <c r="CA93" t="s">
        <v>1511</v>
      </c>
      <c r="CB93">
        <v>-0.82</v>
      </c>
      <c r="CC93">
        <v>2.35</v>
      </c>
      <c r="CD93" t="s">
        <v>4554</v>
      </c>
      <c r="CE93" t="s">
        <v>4555</v>
      </c>
      <c r="CF93" s="8">
        <v>-0.83051251489868894</v>
      </c>
      <c r="CG93" s="9">
        <v>-0.18329999999999999</v>
      </c>
      <c r="CH93" s="8">
        <v>-0.92518150806427002</v>
      </c>
      <c r="CI93" s="8">
        <v>5.9163026809692383</v>
      </c>
      <c r="CJ93" s="8">
        <v>2.1916375160217285</v>
      </c>
      <c r="CK93" s="8">
        <v>-0.99357813596725464</v>
      </c>
      <c r="CL93" s="8">
        <v>118.81501007080078</v>
      </c>
      <c r="CM93" s="9">
        <v>0.70678603649139404</v>
      </c>
      <c r="CN93" s="9">
        <v>0.22894737124443054</v>
      </c>
      <c r="CO93" s="9">
        <v>-1.5</v>
      </c>
      <c r="CP93" s="9">
        <v>-2.6233179569244385</v>
      </c>
      <c r="CQ93" s="9">
        <v>9.6552513539791107E-2</v>
      </c>
      <c r="CR93">
        <v>4.6998452152892183</v>
      </c>
      <c r="CS93" t="e">
        <v>#DIV/0!</v>
      </c>
      <c r="CT93">
        <v>0</v>
      </c>
      <c r="CU93" s="8">
        <v>0</v>
      </c>
      <c r="CV93" s="9">
        <v>0</v>
      </c>
      <c r="CW93">
        <v>0.06</v>
      </c>
      <c r="CX93" t="e">
        <v>#VALUE!</v>
      </c>
      <c r="CY93" t="s">
        <v>85</v>
      </c>
      <c r="CZ93">
        <v>0</v>
      </c>
      <c r="DA93" t="e">
        <v>#VALUE!</v>
      </c>
      <c r="DB93" t="s">
        <v>84</v>
      </c>
      <c r="DC93">
        <v>0</v>
      </c>
      <c r="DD93" t="e">
        <v>#VALUE!</v>
      </c>
      <c r="DE93" t="s">
        <v>84</v>
      </c>
      <c r="DF93">
        <v>0</v>
      </c>
      <c r="DG93" t="e">
        <v>#VALUE!</v>
      </c>
      <c r="DH93" t="s">
        <v>84</v>
      </c>
      <c r="DI93">
        <v>0</v>
      </c>
      <c r="DJ93" t="e">
        <v>#VALUE!</v>
      </c>
      <c r="DK93" t="s">
        <v>84</v>
      </c>
      <c r="DL93">
        <v>0</v>
      </c>
      <c r="DM93">
        <v>-85911700</v>
      </c>
      <c r="DN93">
        <v>0</v>
      </c>
      <c r="DO93">
        <v>5488079400</v>
      </c>
      <c r="DP93">
        <v>-425552920</v>
      </c>
      <c r="DQ93">
        <v>92</v>
      </c>
      <c r="DR93">
        <v>-0.83051251489868894</v>
      </c>
      <c r="DS93">
        <v>-0.18329999999999999</v>
      </c>
      <c r="DT93">
        <v>-0.44</v>
      </c>
      <c r="DU93" t="e">
        <v>#VALUE!</v>
      </c>
      <c r="DV93" t="e">
        <v>#VALUE!</v>
      </c>
      <c r="DW93">
        <v>2.35E-2</v>
      </c>
      <c r="DX93">
        <v>0.3429817096300678</v>
      </c>
      <c r="DY93">
        <v>2.8900701763066318E-3</v>
      </c>
      <c r="DZ93">
        <v>0</v>
      </c>
      <c r="EA93">
        <v>2.8900701763066318E-3</v>
      </c>
      <c r="EB93">
        <v>0</v>
      </c>
      <c r="EC93">
        <v>1.0616857692033885E-2</v>
      </c>
      <c r="ED93">
        <v>8.6328753470491917E-2</v>
      </c>
      <c r="EE93">
        <v>0</v>
      </c>
      <c r="EF93">
        <v>0</v>
      </c>
      <c r="EG93">
        <v>22.122981709630068</v>
      </c>
      <c r="EH93" t="s">
        <v>86</v>
      </c>
      <c r="EI93">
        <v>0</v>
      </c>
      <c r="EJ93">
        <v>0</v>
      </c>
      <c r="EK93">
        <v>0</v>
      </c>
      <c r="EL93">
        <v>0</v>
      </c>
      <c r="EM93">
        <v>0</v>
      </c>
      <c r="EN93">
        <v>0</v>
      </c>
      <c r="EO93">
        <v>0</v>
      </c>
      <c r="EP93">
        <v>0</v>
      </c>
    </row>
    <row r="94" spans="1:146" ht="96" x14ac:dyDescent="0.25">
      <c r="A94" s="10"/>
      <c r="B94" s="10"/>
      <c r="C94" s="7" t="str">
        <f>""&amp;CHAR(10)&amp;Basic_Fundamental_Information_Constructure(F94)&amp;CHAR(10)&amp;Basic_Fundamental_Information_Concatenate("")</f>
        <v xml:space="preserve">
市值4.6784亿, 利润439.88万; PE31.73; 平均PE.72, PB1.4; ROIC7.1067%; ROE7.35%; 股利率2.2059%; 毛利38.82%; 净利16.3367%; 上一年度营收增-82.84%, 利润增-68.44%; 当季营收增-60.79%, 利润增-10.78%; 过往5年营收增0%, 利润增0%
Income profile:
</v>
      </c>
      <c r="D94">
        <v>833580</v>
      </c>
      <c r="E94" t="s">
        <v>1512</v>
      </c>
      <c r="F94">
        <v>5.44</v>
      </c>
      <c r="G94" s="5">
        <v>-5.39</v>
      </c>
      <c r="H94" t="s">
        <v>4556</v>
      </c>
      <c r="I94">
        <v>467840000</v>
      </c>
      <c r="J94">
        <v>31.73</v>
      </c>
      <c r="K94">
        <v>1.4</v>
      </c>
      <c r="L94" t="s">
        <v>2604</v>
      </c>
      <c r="M94" t="s">
        <v>4557</v>
      </c>
      <c r="N94" t="s">
        <v>425</v>
      </c>
      <c r="O94" t="s">
        <v>4558</v>
      </c>
      <c r="P94">
        <v>-6.5</v>
      </c>
      <c r="Q94" t="s">
        <v>4558</v>
      </c>
      <c r="R94">
        <v>4398779</v>
      </c>
      <c r="S94" s="5">
        <v>-0.10780000000000001</v>
      </c>
      <c r="T94" t="s">
        <v>4559</v>
      </c>
      <c r="U94">
        <v>55903561</v>
      </c>
      <c r="V94">
        <v>86000000</v>
      </c>
      <c r="W94">
        <v>1.1399999999999999</v>
      </c>
      <c r="X94">
        <v>0.05</v>
      </c>
      <c r="Y94">
        <v>23.73</v>
      </c>
      <c r="Z94" t="s">
        <v>4560</v>
      </c>
      <c r="AA94" t="s">
        <v>4561</v>
      </c>
      <c r="AB94" t="s">
        <v>4562</v>
      </c>
      <c r="AC94" t="s">
        <v>4563</v>
      </c>
      <c r="AD94" t="s">
        <v>4564</v>
      </c>
      <c r="AE94">
        <v>126349</v>
      </c>
      <c r="AF94" t="s">
        <v>4565</v>
      </c>
      <c r="AG94">
        <v>0.98</v>
      </c>
      <c r="AH94" t="s">
        <v>4566</v>
      </c>
      <c r="AI94" t="s">
        <v>4567</v>
      </c>
      <c r="AJ94" t="s">
        <v>9</v>
      </c>
      <c r="AK94" t="s">
        <v>4568</v>
      </c>
      <c r="AL94" t="s">
        <v>4569</v>
      </c>
      <c r="AM94" t="s">
        <v>9</v>
      </c>
      <c r="AN94" t="s">
        <v>4570</v>
      </c>
      <c r="AO94" t="s">
        <v>4571</v>
      </c>
      <c r="AP94" t="s">
        <v>4572</v>
      </c>
      <c r="AQ94" t="s">
        <v>4573</v>
      </c>
      <c r="AR94" t="s">
        <v>9</v>
      </c>
      <c r="AS94" t="s">
        <v>4574</v>
      </c>
      <c r="AT94" t="s">
        <v>9</v>
      </c>
      <c r="AU94" t="s">
        <v>4575</v>
      </c>
      <c r="AV94" t="s">
        <v>4576</v>
      </c>
      <c r="AW94" t="s">
        <v>4577</v>
      </c>
      <c r="AX94" t="s">
        <v>27</v>
      </c>
      <c r="AY94" t="s">
        <v>29</v>
      </c>
      <c r="AZ94" t="s">
        <v>83</v>
      </c>
      <c r="BA94" t="s">
        <v>72</v>
      </c>
      <c r="BB94" t="s">
        <v>78</v>
      </c>
      <c r="BC94" t="s">
        <v>4578</v>
      </c>
      <c r="BD94" t="s">
        <v>1514</v>
      </c>
      <c r="BE94" t="s">
        <v>1515</v>
      </c>
      <c r="BF94" t="s">
        <v>1516</v>
      </c>
      <c r="BG94" t="s">
        <v>1517</v>
      </c>
      <c r="BH94" t="s">
        <v>166</v>
      </c>
      <c r="BI94" t="s">
        <v>1518</v>
      </c>
      <c r="BJ94" t="s">
        <v>27</v>
      </c>
      <c r="BK94" t="s">
        <v>4579</v>
      </c>
      <c r="BL94" t="s">
        <v>1519</v>
      </c>
      <c r="BM94" t="s">
        <v>4578</v>
      </c>
      <c r="BN94">
        <v>3.82</v>
      </c>
      <c r="BO94">
        <v>4.79</v>
      </c>
      <c r="BP94">
        <v>12.71</v>
      </c>
      <c r="BQ94">
        <v>4</v>
      </c>
      <c r="BR94">
        <v>4.9000000000000004</v>
      </c>
      <c r="BS94">
        <v>13.15</v>
      </c>
      <c r="BT94" t="s">
        <v>1089</v>
      </c>
      <c r="BU94" t="s">
        <v>1513</v>
      </c>
      <c r="BV94">
        <v>37.17</v>
      </c>
      <c r="BW94">
        <v>36.130000000000003</v>
      </c>
      <c r="BX94">
        <v>43.16</v>
      </c>
      <c r="BY94">
        <v>14.4</v>
      </c>
      <c r="BZ94">
        <v>12.86</v>
      </c>
      <c r="CA94">
        <v>21.75</v>
      </c>
      <c r="CB94">
        <v>-2.68</v>
      </c>
      <c r="CC94">
        <v>7.94</v>
      </c>
      <c r="CD94" t="s">
        <v>4580</v>
      </c>
      <c r="CE94" t="s">
        <v>4581</v>
      </c>
      <c r="CF94" s="8">
        <v>-0.60790013137268595</v>
      </c>
      <c r="CG94" s="9">
        <v>-0.10780000000000001</v>
      </c>
      <c r="CH94" s="8">
        <v>-0.82838332653045654</v>
      </c>
      <c r="CI94" s="8">
        <v>-0.1147540956735611</v>
      </c>
      <c r="CJ94" s="8">
        <v>5.1724139600992203E-2</v>
      </c>
      <c r="CK94" s="8">
        <v>5.4545454680919647E-2</v>
      </c>
      <c r="CL94" s="8">
        <v>7.8431375324726105E-2</v>
      </c>
      <c r="CM94" s="9">
        <v>-0.68435251712799072</v>
      </c>
      <c r="CN94" s="9">
        <v>-0.47417432069778442</v>
      </c>
      <c r="CO94" s="9">
        <v>2.8189586009830236E-3</v>
      </c>
      <c r="CP94" s="9">
        <v>2.0062990486621857E-2</v>
      </c>
      <c r="CQ94" s="9">
        <v>9.1919049620628357E-2</v>
      </c>
      <c r="CR94">
        <v>0.72338956501068907</v>
      </c>
      <c r="CS94" t="e">
        <v>#DIV/0!</v>
      </c>
      <c r="CT94">
        <v>2.2058823529411762</v>
      </c>
      <c r="CU94" s="8">
        <v>0</v>
      </c>
      <c r="CV94" s="9">
        <v>0</v>
      </c>
      <c r="CW94">
        <v>0.06</v>
      </c>
      <c r="CX94">
        <v>39.821159861780487</v>
      </c>
      <c r="CY94">
        <v>4149811.3207547166</v>
      </c>
      <c r="CZ94">
        <v>0</v>
      </c>
      <c r="DA94">
        <v>14.054232699050306</v>
      </c>
      <c r="DB94">
        <v>11758044.963291844</v>
      </c>
      <c r="DC94">
        <v>0</v>
      </c>
      <c r="DD94">
        <v>7.639750696613854</v>
      </c>
      <c r="DE94">
        <v>21630326.245232511</v>
      </c>
      <c r="DF94">
        <v>0</v>
      </c>
      <c r="DG94">
        <v>5.1041695135732237</v>
      </c>
      <c r="DH94">
        <v>32375550.921762962</v>
      </c>
      <c r="DI94">
        <v>0</v>
      </c>
      <c r="DJ94">
        <v>3.2752737555223703</v>
      </c>
      <c r="DK94">
        <v>50453889.456224822</v>
      </c>
      <c r="DL94">
        <v>0</v>
      </c>
      <c r="DM94">
        <v>4398800</v>
      </c>
      <c r="DN94">
        <v>0</v>
      </c>
      <c r="DO94">
        <v>165250300</v>
      </c>
      <c r="DP94">
        <v>208154650</v>
      </c>
      <c r="DQ94">
        <v>93</v>
      </c>
      <c r="DR94">
        <v>-0.60790013137268595</v>
      </c>
      <c r="DS94">
        <v>-0.10780000000000001</v>
      </c>
      <c r="DT94">
        <v>-0.44</v>
      </c>
      <c r="DU94">
        <v>-0.22</v>
      </c>
      <c r="DV94">
        <v>-0.66</v>
      </c>
      <c r="DW94">
        <v>-6.2523540489642189</v>
      </c>
      <c r="DX94">
        <v>0.30593473588028675</v>
      </c>
      <c r="DY94">
        <v>-6.039350761973556</v>
      </c>
      <c r="DZ94">
        <v>0</v>
      </c>
      <c r="EA94">
        <v>-6.039350761973556</v>
      </c>
      <c r="EB94">
        <v>6</v>
      </c>
      <c r="EC94">
        <v>9.6838372093023248E-2</v>
      </c>
      <c r="ED94">
        <v>0.62101860465116276</v>
      </c>
      <c r="EE94">
        <v>0</v>
      </c>
      <c r="EF94">
        <v>0</v>
      </c>
      <c r="EG94">
        <v>15.155934735880287</v>
      </c>
      <c r="EH94" t="s">
        <v>86</v>
      </c>
      <c r="EI94">
        <v>0</v>
      </c>
      <c r="EJ94">
        <v>0</v>
      </c>
      <c r="EK94">
        <v>0</v>
      </c>
      <c r="EL94">
        <v>0</v>
      </c>
      <c r="EM94">
        <v>0</v>
      </c>
      <c r="EN94">
        <v>0</v>
      </c>
      <c r="EO94">
        <v>0</v>
      </c>
      <c r="EP94">
        <v>0</v>
      </c>
    </row>
    <row r="95" spans="1:146" ht="96" x14ac:dyDescent="0.25">
      <c r="A95" s="10"/>
      <c r="B95" s="10"/>
      <c r="C95" s="7" t="str">
        <f>""&amp;CHAR(10)&amp;Basic_Fundamental_Information_Constructure(F95)&amp;CHAR(10)&amp;Basic_Fundamental_Information_Concatenate("")</f>
        <v xml:space="preserve">
市值7.063892亿, 利润836.16万; PE19.72; 平均PE-6.37, PB1.88; ROIC11.7267%; ROE12.43%; 股利率3.6855%; 毛利38.3633%; 净利17.0967%; 上一年度营收增-74.17%, 利润增-74.93%; 当季营收增-45.54%, 利润增16.26%; 过往5年营收增0%, 利润增0%
Income profile:
</v>
      </c>
      <c r="D95">
        <v>833751</v>
      </c>
      <c r="E95" t="s">
        <v>1520</v>
      </c>
      <c r="F95">
        <v>8.14</v>
      </c>
      <c r="G95" s="5">
        <v>-4.01</v>
      </c>
      <c r="H95" t="s">
        <v>4582</v>
      </c>
      <c r="I95">
        <v>706389200</v>
      </c>
      <c r="J95">
        <v>19.72</v>
      </c>
      <c r="K95">
        <v>1.88</v>
      </c>
      <c r="L95" t="s">
        <v>2604</v>
      </c>
      <c r="M95" t="s">
        <v>4583</v>
      </c>
      <c r="N95" t="s">
        <v>644</v>
      </c>
      <c r="O95" t="s">
        <v>4584</v>
      </c>
      <c r="P95">
        <v>8.61</v>
      </c>
      <c r="Q95" t="s">
        <v>4584</v>
      </c>
      <c r="R95">
        <v>8361568</v>
      </c>
      <c r="S95" s="6">
        <v>0.16259999999999999</v>
      </c>
      <c r="T95" t="s">
        <v>4585</v>
      </c>
      <c r="U95">
        <v>46123500</v>
      </c>
      <c r="V95">
        <v>86780000</v>
      </c>
      <c r="W95">
        <v>1.1100000000000001</v>
      </c>
      <c r="X95">
        <v>0.12</v>
      </c>
      <c r="Y95">
        <v>17.309999999999999</v>
      </c>
      <c r="Z95" t="s">
        <v>4586</v>
      </c>
      <c r="AA95" t="s">
        <v>4587</v>
      </c>
      <c r="AB95" t="s">
        <v>4588</v>
      </c>
      <c r="AC95" t="s">
        <v>4589</v>
      </c>
      <c r="AD95" t="s">
        <v>4590</v>
      </c>
      <c r="AE95">
        <v>108473</v>
      </c>
      <c r="AF95" t="s">
        <v>17</v>
      </c>
      <c r="AG95">
        <v>473.82</v>
      </c>
      <c r="AH95" t="s">
        <v>4591</v>
      </c>
      <c r="AI95" t="s">
        <v>258</v>
      </c>
      <c r="AJ95" t="s">
        <v>9</v>
      </c>
      <c r="AK95" t="s">
        <v>4592</v>
      </c>
      <c r="AL95" t="s">
        <v>4593</v>
      </c>
      <c r="AM95" t="s">
        <v>9</v>
      </c>
      <c r="AN95" t="s">
        <v>4594</v>
      </c>
      <c r="AO95" t="s">
        <v>9</v>
      </c>
      <c r="AP95" t="s">
        <v>9</v>
      </c>
      <c r="AQ95" t="s">
        <v>4595</v>
      </c>
      <c r="AR95" t="s">
        <v>9</v>
      </c>
      <c r="AS95" t="s">
        <v>4596</v>
      </c>
      <c r="AT95" t="s">
        <v>9</v>
      </c>
      <c r="AU95" t="s">
        <v>4597</v>
      </c>
      <c r="AV95" t="s">
        <v>4598</v>
      </c>
      <c r="AW95" t="s">
        <v>4599</v>
      </c>
      <c r="AX95" t="s">
        <v>287</v>
      </c>
      <c r="AY95" t="s">
        <v>395</v>
      </c>
      <c r="AZ95" t="s">
        <v>386</v>
      </c>
      <c r="BA95" t="s">
        <v>438</v>
      </c>
      <c r="BB95" t="s">
        <v>459</v>
      </c>
      <c r="BC95" t="s">
        <v>1521</v>
      </c>
      <c r="BD95" t="s">
        <v>1522</v>
      </c>
      <c r="BE95" t="s">
        <v>1523</v>
      </c>
      <c r="BF95" t="s">
        <v>1524</v>
      </c>
      <c r="BG95" t="s">
        <v>1525</v>
      </c>
      <c r="BH95" t="s">
        <v>378</v>
      </c>
      <c r="BI95" t="s">
        <v>1526</v>
      </c>
      <c r="BJ95" t="s">
        <v>287</v>
      </c>
      <c r="BK95" t="s">
        <v>4600</v>
      </c>
      <c r="BL95" t="s">
        <v>1527</v>
      </c>
      <c r="BM95" t="s">
        <v>1521</v>
      </c>
      <c r="BN95">
        <v>7.54</v>
      </c>
      <c r="BO95">
        <v>14.77</v>
      </c>
      <c r="BP95">
        <v>12.87</v>
      </c>
      <c r="BQ95">
        <v>9.27</v>
      </c>
      <c r="BR95">
        <v>15.59</v>
      </c>
      <c r="BS95" t="s">
        <v>9</v>
      </c>
      <c r="BT95" t="s">
        <v>859</v>
      </c>
      <c r="BU95" t="s">
        <v>1025</v>
      </c>
      <c r="BV95">
        <v>39.15</v>
      </c>
      <c r="BW95">
        <v>37.04</v>
      </c>
      <c r="BX95">
        <v>38.9</v>
      </c>
      <c r="BY95">
        <v>18.13</v>
      </c>
      <c r="BZ95">
        <v>17.87</v>
      </c>
      <c r="CA95">
        <v>15.29</v>
      </c>
      <c r="CB95">
        <v>2.91</v>
      </c>
      <c r="CC95">
        <v>6.54</v>
      </c>
      <c r="CD95" t="s">
        <v>4601</v>
      </c>
      <c r="CE95" t="s">
        <v>4602</v>
      </c>
      <c r="CF95" s="8">
        <v>-0.45537247579389367</v>
      </c>
      <c r="CG95" s="9">
        <v>0.16259999999999999</v>
      </c>
      <c r="CH95" s="8">
        <v>-0.74170595407485962</v>
      </c>
      <c r="CI95" s="8">
        <v>3.3149171620607376E-2</v>
      </c>
      <c r="CJ95" s="8">
        <v>0.16774193942546844</v>
      </c>
      <c r="CK95" s="8">
        <v>-2.5157231837511063E-2</v>
      </c>
      <c r="CL95" s="8">
        <v>0.12765957415103912</v>
      </c>
      <c r="CM95" s="9">
        <v>-0.74928790330886841</v>
      </c>
      <c r="CN95" s="9">
        <v>0.20345686376094818</v>
      </c>
      <c r="CO95" s="9">
        <v>0.39729645848274231</v>
      </c>
      <c r="CP95" s="9">
        <v>-0.19889083504676819</v>
      </c>
      <c r="CQ95" s="9">
        <v>0.45618328452110291</v>
      </c>
      <c r="CR95">
        <v>-6.3682986583004837</v>
      </c>
      <c r="CS95" t="e">
        <v>#DIV/0!</v>
      </c>
      <c r="CT95">
        <v>3.6855036855036851</v>
      </c>
      <c r="CU95" s="8">
        <v>0</v>
      </c>
      <c r="CV95" s="9">
        <v>0</v>
      </c>
      <c r="CW95">
        <v>0.06</v>
      </c>
      <c r="CX95">
        <v>47.991811854190587</v>
      </c>
      <c r="CY95">
        <v>7888301.8867924521</v>
      </c>
      <c r="CZ95">
        <v>0</v>
      </c>
      <c r="DA95">
        <v>16.937931837972279</v>
      </c>
      <c r="DB95">
        <v>22350656.716618415</v>
      </c>
      <c r="DC95">
        <v>0</v>
      </c>
      <c r="DD95">
        <v>9.2073028339064571</v>
      </c>
      <c r="DE95">
        <v>41116699.08432667</v>
      </c>
      <c r="DF95">
        <v>0</v>
      </c>
      <c r="DG95">
        <v>6.1514617810619701</v>
      </c>
      <c r="DH95">
        <v>61542103.88910912</v>
      </c>
      <c r="DI95">
        <v>0</v>
      </c>
      <c r="DJ95">
        <v>3.9473064670037887</v>
      </c>
      <c r="DK95">
        <v>95906893.261155203</v>
      </c>
      <c r="DL95">
        <v>0</v>
      </c>
      <c r="DM95">
        <v>8361600</v>
      </c>
      <c r="DN95">
        <v>0</v>
      </c>
      <c r="DO95">
        <v>378573900</v>
      </c>
      <c r="DP95">
        <v>271131560</v>
      </c>
      <c r="DQ95">
        <v>94</v>
      </c>
      <c r="DR95">
        <v>-0.45537247579389367</v>
      </c>
      <c r="DS95">
        <v>0.16259999999999999</v>
      </c>
      <c r="DT95">
        <v>-0.44</v>
      </c>
      <c r="DU95">
        <v>-0.22</v>
      </c>
      <c r="DV95">
        <v>-0.66</v>
      </c>
      <c r="DW95">
        <v>8.4449541284403669</v>
      </c>
      <c r="DX95">
        <v>0.35573676447697455</v>
      </c>
      <c r="DY95">
        <v>8.0826443401571861</v>
      </c>
      <c r="DZ95">
        <v>0</v>
      </c>
      <c r="EA95">
        <v>8.0826443401571861</v>
      </c>
      <c r="EB95">
        <v>8</v>
      </c>
      <c r="EC95">
        <v>0.15268149343166629</v>
      </c>
      <c r="ED95">
        <v>0.82203157409541372</v>
      </c>
      <c r="EE95">
        <v>0</v>
      </c>
      <c r="EF95">
        <v>0</v>
      </c>
      <c r="EG95">
        <v>17.185736764476975</v>
      </c>
      <c r="EH95" t="s">
        <v>86</v>
      </c>
      <c r="EI95">
        <v>0</v>
      </c>
      <c r="EJ95">
        <v>0</v>
      </c>
      <c r="EK95">
        <v>0</v>
      </c>
      <c r="EL95">
        <v>0</v>
      </c>
      <c r="EM95">
        <v>0</v>
      </c>
      <c r="EN95">
        <v>0</v>
      </c>
      <c r="EO95">
        <v>0</v>
      </c>
      <c r="EP95">
        <v>0</v>
      </c>
    </row>
    <row r="96" spans="1:146" ht="108" x14ac:dyDescent="0.25">
      <c r="A96" s="10"/>
      <c r="B96" s="10"/>
      <c r="C96" s="7" t="str">
        <f>""&amp;CHAR(10)&amp;Basic_Fundamental_Information_Constructure(F96)&amp;CHAR(10)&amp;Basic_Fundamental_Information_Concatenate("")</f>
        <v xml:space="preserve">
市值5.8735481亿, 利润392.70万; PE21.77; 平均PE-98.21, PB1.48; ROIC15.92%; ROE22.1233%; 股利率1.1962%; 毛利27.99%; 净利11.3867%; 上一年度营收增-85.35%, 利润增-91.23%; 当季营收增-67.11%, 利润增112.3%; 过往5年营收增0%, 利润增0%
Income profile:
</v>
      </c>
      <c r="D96">
        <v>833781</v>
      </c>
      <c r="E96" t="s">
        <v>1528</v>
      </c>
      <c r="F96">
        <v>4.18</v>
      </c>
      <c r="G96" s="5">
        <v>-0.24</v>
      </c>
      <c r="H96" t="s">
        <v>4603</v>
      </c>
      <c r="I96">
        <v>587354810</v>
      </c>
      <c r="J96">
        <v>21.77</v>
      </c>
      <c r="K96">
        <v>1.48</v>
      </c>
      <c r="L96" t="s">
        <v>2604</v>
      </c>
      <c r="M96" t="s">
        <v>673</v>
      </c>
      <c r="N96" t="s">
        <v>354</v>
      </c>
      <c r="O96" t="s">
        <v>4604</v>
      </c>
      <c r="P96">
        <v>25.54</v>
      </c>
      <c r="Q96" t="s">
        <v>4604</v>
      </c>
      <c r="R96">
        <v>3926986</v>
      </c>
      <c r="S96" s="5">
        <v>1.123</v>
      </c>
      <c r="T96" t="s">
        <v>4605</v>
      </c>
      <c r="U96">
        <v>91179133</v>
      </c>
      <c r="V96">
        <v>140515500</v>
      </c>
      <c r="W96">
        <v>1.87</v>
      </c>
      <c r="X96">
        <v>0.06</v>
      </c>
      <c r="Y96">
        <v>7.91</v>
      </c>
      <c r="Z96" t="s">
        <v>4606</v>
      </c>
      <c r="AA96" t="s">
        <v>4607</v>
      </c>
      <c r="AB96" t="s">
        <v>4608</v>
      </c>
      <c r="AC96" t="s">
        <v>4609</v>
      </c>
      <c r="AD96" t="s">
        <v>4610</v>
      </c>
      <c r="AE96">
        <v>399881</v>
      </c>
      <c r="AF96" t="s">
        <v>4611</v>
      </c>
      <c r="AG96">
        <v>600.01</v>
      </c>
      <c r="AH96" t="s">
        <v>4612</v>
      </c>
      <c r="AI96" t="s">
        <v>4613</v>
      </c>
      <c r="AJ96" t="s">
        <v>9</v>
      </c>
      <c r="AK96" t="s">
        <v>4614</v>
      </c>
      <c r="AL96" t="s">
        <v>4615</v>
      </c>
      <c r="AM96" t="s">
        <v>9</v>
      </c>
      <c r="AN96" t="s">
        <v>90</v>
      </c>
      <c r="AO96" t="s">
        <v>4616</v>
      </c>
      <c r="AP96" t="s">
        <v>9</v>
      </c>
      <c r="AQ96" t="s">
        <v>4617</v>
      </c>
      <c r="AR96" t="s">
        <v>9</v>
      </c>
      <c r="AS96" t="s">
        <v>458</v>
      </c>
      <c r="AT96" t="s">
        <v>4618</v>
      </c>
      <c r="AU96" t="s">
        <v>4619</v>
      </c>
      <c r="AV96" t="s">
        <v>4620</v>
      </c>
      <c r="AW96" t="s">
        <v>4621</v>
      </c>
      <c r="AX96" t="s">
        <v>584</v>
      </c>
      <c r="AY96" t="s">
        <v>432</v>
      </c>
      <c r="AZ96" t="s">
        <v>227</v>
      </c>
      <c r="BA96" t="s">
        <v>434</v>
      </c>
      <c r="BB96" t="s">
        <v>227</v>
      </c>
      <c r="BC96" t="s">
        <v>1530</v>
      </c>
      <c r="BD96" t="s">
        <v>1531</v>
      </c>
      <c r="BE96" t="s">
        <v>1532</v>
      </c>
      <c r="BF96" t="s">
        <v>1533</v>
      </c>
      <c r="BG96" t="s">
        <v>1534</v>
      </c>
      <c r="BH96" t="s">
        <v>80</v>
      </c>
      <c r="BI96" t="s">
        <v>312</v>
      </c>
      <c r="BJ96" t="s">
        <v>584</v>
      </c>
      <c r="BK96" t="s">
        <v>4622</v>
      </c>
      <c r="BL96" t="s">
        <v>1535</v>
      </c>
      <c r="BM96" t="s">
        <v>1530</v>
      </c>
      <c r="BN96">
        <v>4.76</v>
      </c>
      <c r="BO96">
        <v>14.85</v>
      </c>
      <c r="BP96">
        <v>28.15</v>
      </c>
      <c r="BQ96">
        <v>5.53</v>
      </c>
      <c r="BR96">
        <v>29.17</v>
      </c>
      <c r="BS96">
        <v>31.67</v>
      </c>
      <c r="BT96" t="s">
        <v>985</v>
      </c>
      <c r="BU96" t="s">
        <v>1529</v>
      </c>
      <c r="BV96">
        <v>23.31</v>
      </c>
      <c r="BW96">
        <v>30.08</v>
      </c>
      <c r="BX96">
        <v>30.58</v>
      </c>
      <c r="BY96">
        <v>6.67</v>
      </c>
      <c r="BZ96">
        <v>13.22</v>
      </c>
      <c r="CA96">
        <v>14.27</v>
      </c>
      <c r="CB96">
        <v>1.7</v>
      </c>
      <c r="CC96">
        <v>-5.64</v>
      </c>
      <c r="CD96" t="s">
        <v>4623</v>
      </c>
      <c r="CE96" t="s">
        <v>4624</v>
      </c>
      <c r="CF96" s="8">
        <v>-0.67110066225165566</v>
      </c>
      <c r="CG96" s="9">
        <v>1.123</v>
      </c>
      <c r="CH96" s="8">
        <v>-0.85349911451339722</v>
      </c>
      <c r="CI96" s="8">
        <v>0.16896551847457886</v>
      </c>
      <c r="CJ96" s="8">
        <v>0.83544301986694336</v>
      </c>
      <c r="CK96" s="8">
        <v>3.2679740339517593E-2</v>
      </c>
      <c r="CL96" s="8">
        <v>-3.1645569950342178E-2</v>
      </c>
      <c r="CM96" s="9">
        <v>-0.91225874423980713</v>
      </c>
      <c r="CN96" s="9">
        <v>8.0701395869255066E-2</v>
      </c>
      <c r="CO96" s="9">
        <v>1.0352857112884521</v>
      </c>
      <c r="CP96" s="9">
        <v>0.53413856029510498</v>
      </c>
      <c r="CQ96" s="9">
        <v>7.2317309677600861E-2</v>
      </c>
      <c r="CR96">
        <v>-98.209740355648933</v>
      </c>
      <c r="CS96" t="e">
        <v>#DIV/0!</v>
      </c>
      <c r="CT96">
        <v>1.1961722488038278</v>
      </c>
      <c r="CU96" s="8">
        <v>0</v>
      </c>
      <c r="CV96" s="9">
        <v>0</v>
      </c>
      <c r="CW96">
        <v>0.06</v>
      </c>
      <c r="CX96">
        <v>158.81235003819711</v>
      </c>
      <c r="CY96">
        <v>3704716.9811320752</v>
      </c>
      <c r="CZ96">
        <v>0</v>
      </c>
      <c r="DA96">
        <v>56.050243907186285</v>
      </c>
      <c r="DB96">
        <v>10496917.925535845</v>
      </c>
      <c r="DC96">
        <v>0</v>
      </c>
      <c r="DD96">
        <v>30.468393337776345</v>
      </c>
      <c r="DE96">
        <v>19310332.62822317</v>
      </c>
      <c r="DF96">
        <v>0</v>
      </c>
      <c r="DG96">
        <v>20.356141264028999</v>
      </c>
      <c r="DH96">
        <v>28903061.850905512</v>
      </c>
      <c r="DI96">
        <v>0</v>
      </c>
      <c r="DJ96">
        <v>13.062249415597053</v>
      </c>
      <c r="DK96">
        <v>45042380.625305742</v>
      </c>
      <c r="DL96">
        <v>0</v>
      </c>
      <c r="DM96">
        <v>3927000</v>
      </c>
      <c r="DN96">
        <v>0</v>
      </c>
      <c r="DO96">
        <v>588354810</v>
      </c>
      <c r="DP96">
        <v>229630510</v>
      </c>
      <c r="DQ96">
        <v>95</v>
      </c>
      <c r="DR96">
        <v>-0.67110066225165566</v>
      </c>
      <c r="DS96">
        <v>1.123</v>
      </c>
      <c r="DT96">
        <v>-0.44</v>
      </c>
      <c r="DU96">
        <v>-0.44</v>
      </c>
      <c r="DV96">
        <v>-0.88</v>
      </c>
      <c r="DW96">
        <v>-1.0564</v>
      </c>
      <c r="DX96">
        <v>0.31617787327299329</v>
      </c>
      <c r="DY96">
        <v>-1.008244432052597</v>
      </c>
      <c r="DZ96">
        <v>0</v>
      </c>
      <c r="EA96">
        <v>-1.008244432052597</v>
      </c>
      <c r="EB96">
        <v>1</v>
      </c>
      <c r="EC96">
        <v>2.667748397863581E-2</v>
      </c>
      <c r="ED96">
        <v>0.18250015122886798</v>
      </c>
      <c r="EE96">
        <v>0</v>
      </c>
      <c r="EF96">
        <v>0</v>
      </c>
      <c r="EG96">
        <v>17.146177873272993</v>
      </c>
      <c r="EH96" t="s">
        <v>86</v>
      </c>
      <c r="EI96">
        <v>0</v>
      </c>
      <c r="EJ96">
        <v>0</v>
      </c>
      <c r="EK96">
        <v>0</v>
      </c>
      <c r="EL96">
        <v>0</v>
      </c>
      <c r="EM96">
        <v>0</v>
      </c>
      <c r="EN96">
        <v>0</v>
      </c>
      <c r="EO96">
        <v>0</v>
      </c>
      <c r="EP96">
        <v>0</v>
      </c>
    </row>
    <row r="97" spans="1:146" ht="96" x14ac:dyDescent="0.25">
      <c r="A97" s="10"/>
      <c r="B97" s="10"/>
      <c r="C97" s="7" t="str">
        <f>""&amp;CHAR(10)&amp;Basic_Fundamental_Information_Constructure(F97)&amp;CHAR(10)&amp;Basic_Fundamental_Information_Concatenate("")</f>
        <v xml:space="preserve">
市值36.1611亿, 利润-2976.42万; PE; 平均PE27.08, PB.629; ROIC7.15%; ROE10.8167%; 股利率3.3898%; 毛利21.12%; 净利6.9067%; 上一年度营收增-83.16%, 利润增-102.82%; 当季营收增-53.5%, 利润增-142.2%; 过往5年营收增0%, 利润增0%
Income profile:
</v>
      </c>
      <c r="D97">
        <v>833819</v>
      </c>
      <c r="E97" t="s">
        <v>1536</v>
      </c>
      <c r="F97">
        <v>2.95</v>
      </c>
      <c r="G97" s="5">
        <v>-1.34</v>
      </c>
      <c r="H97" t="s">
        <v>4625</v>
      </c>
      <c r="I97">
        <v>3616110000</v>
      </c>
      <c r="K97">
        <v>0.629</v>
      </c>
      <c r="L97" t="s">
        <v>2604</v>
      </c>
      <c r="M97" t="s">
        <v>4626</v>
      </c>
      <c r="N97" t="s">
        <v>4627</v>
      </c>
      <c r="O97" t="s">
        <v>4628</v>
      </c>
      <c r="P97">
        <v>-16.350000000000001</v>
      </c>
      <c r="Q97" t="s">
        <v>4628</v>
      </c>
      <c r="R97">
        <v>-29764161</v>
      </c>
      <c r="S97" s="5">
        <v>-1.4219999999999999</v>
      </c>
      <c r="T97" t="s">
        <v>4629</v>
      </c>
      <c r="U97">
        <v>1208070750</v>
      </c>
      <c r="V97">
        <v>1225800000</v>
      </c>
      <c r="W97">
        <v>2.23</v>
      </c>
      <c r="X97">
        <v>0.11</v>
      </c>
      <c r="Y97">
        <v>-2.2799999999999998</v>
      </c>
      <c r="Z97" t="s">
        <v>4630</v>
      </c>
      <c r="AA97" t="s">
        <v>4631</v>
      </c>
      <c r="AB97" t="s">
        <v>4632</v>
      </c>
      <c r="AC97" t="s">
        <v>4633</v>
      </c>
      <c r="AD97" t="s">
        <v>149</v>
      </c>
      <c r="AE97">
        <v>35924484</v>
      </c>
      <c r="AF97" t="s">
        <v>4634</v>
      </c>
      <c r="AG97" t="s">
        <v>4635</v>
      </c>
      <c r="AH97" t="s">
        <v>4636</v>
      </c>
      <c r="AI97" t="s">
        <v>4637</v>
      </c>
      <c r="AJ97" t="s">
        <v>9</v>
      </c>
      <c r="AK97" t="s">
        <v>9</v>
      </c>
      <c r="AL97" t="s">
        <v>4638</v>
      </c>
      <c r="AM97" t="s">
        <v>9</v>
      </c>
      <c r="AN97" t="s">
        <v>4639</v>
      </c>
      <c r="AO97" t="s">
        <v>4640</v>
      </c>
      <c r="AP97" t="s">
        <v>522</v>
      </c>
      <c r="AQ97" t="s">
        <v>4641</v>
      </c>
      <c r="AR97" t="s">
        <v>9</v>
      </c>
      <c r="AS97" t="s">
        <v>4642</v>
      </c>
      <c r="AT97" t="s">
        <v>4643</v>
      </c>
      <c r="AU97" t="s">
        <v>334</v>
      </c>
      <c r="AV97" t="s">
        <v>4644</v>
      </c>
      <c r="AW97" t="s">
        <v>267</v>
      </c>
      <c r="AX97" t="s">
        <v>1538</v>
      </c>
      <c r="AY97" t="s">
        <v>1539</v>
      </c>
      <c r="AZ97" t="s">
        <v>295</v>
      </c>
      <c r="BA97" t="s">
        <v>1540</v>
      </c>
      <c r="BB97" t="s">
        <v>1541</v>
      </c>
      <c r="BC97" t="s">
        <v>351</v>
      </c>
      <c r="BD97" t="s">
        <v>573</v>
      </c>
      <c r="BE97" t="s">
        <v>450</v>
      </c>
      <c r="BF97" t="s">
        <v>153</v>
      </c>
      <c r="BG97" t="s">
        <v>355</v>
      </c>
      <c r="BH97" t="s">
        <v>4645</v>
      </c>
      <c r="BI97" t="s">
        <v>661</v>
      </c>
      <c r="BJ97" t="s">
        <v>1538</v>
      </c>
      <c r="BK97" t="s">
        <v>4646</v>
      </c>
      <c r="BL97" t="s">
        <v>114</v>
      </c>
      <c r="BM97" t="s">
        <v>351</v>
      </c>
      <c r="BN97">
        <v>2.08</v>
      </c>
      <c r="BO97">
        <v>12.76</v>
      </c>
      <c r="BP97">
        <v>6.61</v>
      </c>
      <c r="BQ97">
        <v>2.58</v>
      </c>
      <c r="BR97">
        <v>19.59</v>
      </c>
      <c r="BS97">
        <v>10.28</v>
      </c>
      <c r="BT97" t="s">
        <v>886</v>
      </c>
      <c r="BU97" t="s">
        <v>1537</v>
      </c>
      <c r="BV97">
        <v>17.12</v>
      </c>
      <c r="BW97">
        <v>26.04</v>
      </c>
      <c r="BX97">
        <v>20.2</v>
      </c>
      <c r="BY97">
        <v>1.55</v>
      </c>
      <c r="BZ97">
        <v>12.96</v>
      </c>
      <c r="CA97">
        <v>6.21</v>
      </c>
      <c r="CB97">
        <v>-1.34</v>
      </c>
      <c r="CC97">
        <v>-11.68</v>
      </c>
      <c r="CD97" t="s">
        <v>4647</v>
      </c>
      <c r="CE97" t="s">
        <v>4648</v>
      </c>
      <c r="CF97" s="8">
        <v>-0.53502538071065986</v>
      </c>
      <c r="CG97" s="9">
        <v>-1.4219999999999999</v>
      </c>
      <c r="CH97" s="8">
        <v>-0.83163827657699585</v>
      </c>
      <c r="CI97" s="8">
        <v>9.8976582288742065E-2</v>
      </c>
      <c r="CJ97" s="8">
        <v>0.19293171167373657</v>
      </c>
      <c r="CK97" s="8">
        <v>0.17563736438751221</v>
      </c>
      <c r="CL97" s="8">
        <v>-0.15035299956798553</v>
      </c>
      <c r="CM97" s="9">
        <v>-1.0281591415405273</v>
      </c>
      <c r="CN97" s="9">
        <v>1.220588207244873</v>
      </c>
      <c r="CO97" s="9">
        <v>0.46461537480354309</v>
      </c>
      <c r="CP97" s="9">
        <v>0.15248227119445801</v>
      </c>
      <c r="CQ97" s="9">
        <v>-0.36343115568161011</v>
      </c>
      <c r="CR97">
        <v>27.078994722901797</v>
      </c>
      <c r="CS97" t="e">
        <v>#DIV/0!</v>
      </c>
      <c r="CT97">
        <v>3.3898305084745761</v>
      </c>
      <c r="CU97" s="8">
        <v>0</v>
      </c>
      <c r="CV97" s="9">
        <v>0</v>
      </c>
      <c r="CW97">
        <v>0.06</v>
      </c>
      <c r="CX97" t="e">
        <v>#VALUE!</v>
      </c>
      <c r="CY97" t="s">
        <v>85</v>
      </c>
      <c r="CZ97">
        <v>0</v>
      </c>
      <c r="DA97" t="e">
        <v>#VALUE!</v>
      </c>
      <c r="DB97" t="s">
        <v>84</v>
      </c>
      <c r="DC97">
        <v>0</v>
      </c>
      <c r="DD97" t="e">
        <v>#VALUE!</v>
      </c>
      <c r="DE97" t="s">
        <v>84</v>
      </c>
      <c r="DF97">
        <v>0</v>
      </c>
      <c r="DG97" t="e">
        <v>#VALUE!</v>
      </c>
      <c r="DH97" t="s">
        <v>84</v>
      </c>
      <c r="DI97">
        <v>0</v>
      </c>
      <c r="DJ97" t="e">
        <v>#VALUE!</v>
      </c>
      <c r="DK97" t="s">
        <v>84</v>
      </c>
      <c r="DL97">
        <v>0</v>
      </c>
      <c r="DM97">
        <v>-29764200</v>
      </c>
      <c r="DN97">
        <v>0</v>
      </c>
      <c r="DO97">
        <v>4720110000</v>
      </c>
      <c r="DP97">
        <v>-1032231600</v>
      </c>
      <c r="DQ97">
        <v>96</v>
      </c>
      <c r="DR97">
        <v>-0.53502538071065986</v>
      </c>
      <c r="DS97">
        <v>-1.4219999999999999</v>
      </c>
      <c r="DT97">
        <v>-0.44</v>
      </c>
      <c r="DU97" t="e">
        <v>#VALUE!</v>
      </c>
      <c r="DV97" t="e">
        <v>#VALUE!</v>
      </c>
      <c r="DW97">
        <v>-2.1168</v>
      </c>
      <c r="DX97">
        <v>0.28728348756088284</v>
      </c>
      <c r="DY97">
        <v>-2.0136987113471112</v>
      </c>
      <c r="DZ97">
        <v>0</v>
      </c>
      <c r="EA97">
        <v>-2.0136987113471112</v>
      </c>
      <c r="EB97">
        <v>2</v>
      </c>
      <c r="EC97">
        <v>3.5713003752651331E-3</v>
      </c>
      <c r="ED97">
        <v>3.0450155000815795E-2</v>
      </c>
      <c r="EE97">
        <v>0</v>
      </c>
      <c r="EF97">
        <v>0</v>
      </c>
      <c r="EG97">
        <v>17.117283487560883</v>
      </c>
      <c r="EH97" t="s">
        <v>86</v>
      </c>
      <c r="EI97">
        <v>0</v>
      </c>
      <c r="EJ97">
        <v>0</v>
      </c>
      <c r="EK97">
        <v>0</v>
      </c>
      <c r="EL97">
        <v>0</v>
      </c>
      <c r="EM97">
        <v>0</v>
      </c>
      <c r="EN97">
        <v>0</v>
      </c>
      <c r="EO97">
        <v>0</v>
      </c>
      <c r="EP97">
        <v>0</v>
      </c>
    </row>
    <row r="98" spans="1:146" ht="96" x14ac:dyDescent="0.25">
      <c r="A98" s="10"/>
      <c r="B98" s="10"/>
      <c r="C98" s="7" t="str">
        <f>""&amp;CHAR(10)&amp;Basic_Fundamental_Information_Constructure(F98)&amp;CHAR(10)&amp;Basic_Fundamental_Information_Concatenate("")</f>
        <v xml:space="preserve">
市值4.2794974亿, 利润-1337.41万; PE; 平均PE-7.16, PB1.05; ROIC7.13%; ROE-.3933%; 股利率0%; 毛利34.3667%; 净利-3.8967%; 上一年度营收增-91.9%, 利润增54.94%; 当季营收增-74.69%, 利润增-27.22%; 过往5年营收增0%, 利润增0%
Income profile:
</v>
      </c>
      <c r="D98">
        <v>833873</v>
      </c>
      <c r="E98" t="s">
        <v>1542</v>
      </c>
      <c r="F98">
        <v>2.79</v>
      </c>
      <c r="G98" s="5">
        <v>-2.11</v>
      </c>
      <c r="H98" t="s">
        <v>4649</v>
      </c>
      <c r="I98">
        <v>427949740</v>
      </c>
      <c r="K98">
        <v>1.05</v>
      </c>
      <c r="L98" t="s">
        <v>2604</v>
      </c>
      <c r="M98" t="s">
        <v>272</v>
      </c>
      <c r="N98" t="s">
        <v>405</v>
      </c>
      <c r="O98" t="s">
        <v>4650</v>
      </c>
      <c r="P98">
        <v>-28.74</v>
      </c>
      <c r="Q98" t="s">
        <v>4650</v>
      </c>
      <c r="R98">
        <v>-13374143</v>
      </c>
      <c r="S98" s="5">
        <v>-0.2722</v>
      </c>
      <c r="T98" t="s">
        <v>4651</v>
      </c>
      <c r="U98">
        <v>109180502</v>
      </c>
      <c r="V98">
        <v>153387000</v>
      </c>
      <c r="W98">
        <v>1.23</v>
      </c>
      <c r="X98">
        <v>0.03</v>
      </c>
      <c r="Y98">
        <v>-108.43</v>
      </c>
      <c r="Z98" t="s">
        <v>4652</v>
      </c>
      <c r="AA98" t="s">
        <v>4653</v>
      </c>
      <c r="AB98" t="s">
        <v>4654</v>
      </c>
      <c r="AC98" t="s">
        <v>4655</v>
      </c>
      <c r="AD98" t="s">
        <v>4656</v>
      </c>
      <c r="AE98">
        <v>129037</v>
      </c>
      <c r="AF98" t="s">
        <v>4657</v>
      </c>
      <c r="AG98" t="s">
        <v>9</v>
      </c>
      <c r="AH98" t="s">
        <v>4658</v>
      </c>
      <c r="AI98" t="s">
        <v>4659</v>
      </c>
      <c r="AJ98" t="s">
        <v>9</v>
      </c>
      <c r="AK98" t="s">
        <v>4660</v>
      </c>
      <c r="AL98" t="s">
        <v>4661</v>
      </c>
      <c r="AM98" t="s">
        <v>9</v>
      </c>
      <c r="AN98">
        <v>0</v>
      </c>
      <c r="AO98" t="s">
        <v>4662</v>
      </c>
      <c r="AP98" t="s">
        <v>4663</v>
      </c>
      <c r="AQ98" t="s">
        <v>4664</v>
      </c>
      <c r="AR98" t="s">
        <v>9</v>
      </c>
      <c r="AS98" t="s">
        <v>4665</v>
      </c>
      <c r="AT98" t="s">
        <v>9</v>
      </c>
      <c r="AU98" t="s">
        <v>4666</v>
      </c>
      <c r="AV98" t="s">
        <v>4667</v>
      </c>
      <c r="AW98" t="s">
        <v>4668</v>
      </c>
      <c r="AX98" t="s">
        <v>149</v>
      </c>
      <c r="AY98" t="s">
        <v>565</v>
      </c>
      <c r="AZ98" t="s">
        <v>36</v>
      </c>
      <c r="BA98" t="s">
        <v>65</v>
      </c>
      <c r="BB98" t="s">
        <v>168</v>
      </c>
      <c r="BC98" t="s">
        <v>1543</v>
      </c>
      <c r="BD98" t="s">
        <v>1544</v>
      </c>
      <c r="BE98" t="s">
        <v>1545</v>
      </c>
      <c r="BF98" t="s">
        <v>1546</v>
      </c>
      <c r="BG98" t="s">
        <v>1547</v>
      </c>
      <c r="BH98" t="s">
        <v>108</v>
      </c>
      <c r="BI98" t="s">
        <v>1548</v>
      </c>
      <c r="BJ98" t="s">
        <v>149</v>
      </c>
      <c r="BK98" t="s">
        <v>4669</v>
      </c>
      <c r="BL98" t="s">
        <v>1549</v>
      </c>
      <c r="BM98" t="s">
        <v>1543</v>
      </c>
      <c r="BN98" t="s">
        <v>9</v>
      </c>
      <c r="BO98" t="s">
        <v>9</v>
      </c>
      <c r="BP98">
        <v>7.13</v>
      </c>
      <c r="BQ98">
        <v>-3.12</v>
      </c>
      <c r="BR98">
        <v>-6.65</v>
      </c>
      <c r="BS98">
        <v>8.59</v>
      </c>
      <c r="BT98" t="s">
        <v>773</v>
      </c>
      <c r="BU98" t="s">
        <v>1439</v>
      </c>
      <c r="BV98">
        <v>39.409999999999997</v>
      </c>
      <c r="BW98">
        <v>21.25</v>
      </c>
      <c r="BX98">
        <v>42.44</v>
      </c>
      <c r="BY98">
        <v>-6.37</v>
      </c>
      <c r="BZ98">
        <v>-17.329999999999998</v>
      </c>
      <c r="CA98">
        <v>12.01</v>
      </c>
      <c r="CB98">
        <v>-2.4500000000000002</v>
      </c>
      <c r="CC98">
        <v>-10.29</v>
      </c>
      <c r="CD98" t="s">
        <v>4670</v>
      </c>
      <c r="CE98" t="s">
        <v>4671</v>
      </c>
      <c r="CF98" s="8">
        <v>-0.74686444450263156</v>
      </c>
      <c r="CG98" s="9">
        <v>-0.2722</v>
      </c>
      <c r="CH98" s="8">
        <v>-0.91895508766174316</v>
      </c>
      <c r="CI98" s="8">
        <v>-0.26754385232925415</v>
      </c>
      <c r="CJ98" s="8">
        <v>5.0691243261098862E-2</v>
      </c>
      <c r="CK98" s="8">
        <v>-5.2401747554540634E-2</v>
      </c>
      <c r="CL98" s="8">
        <v>0.15656565129756927</v>
      </c>
      <c r="CM98" s="9">
        <v>0.54941898584365845</v>
      </c>
      <c r="CN98" s="9">
        <v>-2.0834708213806152</v>
      </c>
      <c r="CO98" s="9">
        <v>7.1296729147434235E-2</v>
      </c>
      <c r="CP98" s="9">
        <v>-0.18423856794834137</v>
      </c>
      <c r="CQ98" s="9">
        <v>1.5601418018341064</v>
      </c>
      <c r="CR98">
        <v>-7.1645590586092371</v>
      </c>
      <c r="CS98" t="e">
        <v>#DIV/0!</v>
      </c>
      <c r="CT98">
        <v>0</v>
      </c>
      <c r="CU98" s="8">
        <v>0</v>
      </c>
      <c r="CV98" s="9">
        <v>0</v>
      </c>
      <c r="CW98">
        <v>0.06</v>
      </c>
      <c r="CX98" t="e">
        <v>#VALUE!</v>
      </c>
      <c r="CY98" t="s">
        <v>85</v>
      </c>
      <c r="CZ98">
        <v>0</v>
      </c>
      <c r="DA98" t="e">
        <v>#VALUE!</v>
      </c>
      <c r="DB98" t="s">
        <v>84</v>
      </c>
      <c r="DC98">
        <v>0</v>
      </c>
      <c r="DD98" t="e">
        <v>#VALUE!</v>
      </c>
      <c r="DE98" t="s">
        <v>84</v>
      </c>
      <c r="DF98">
        <v>0</v>
      </c>
      <c r="DG98" t="e">
        <v>#VALUE!</v>
      </c>
      <c r="DH98" t="s">
        <v>84</v>
      </c>
      <c r="DI98">
        <v>0</v>
      </c>
      <c r="DJ98" t="e">
        <v>#VALUE!</v>
      </c>
      <c r="DK98" t="s">
        <v>84</v>
      </c>
      <c r="DL98">
        <v>0</v>
      </c>
      <c r="DM98">
        <v>-13374100</v>
      </c>
      <c r="DN98">
        <v>0</v>
      </c>
      <c r="DO98">
        <v>127949740.00000006</v>
      </c>
      <c r="DP98">
        <v>275061990</v>
      </c>
      <c r="DQ98">
        <v>97</v>
      </c>
      <c r="DR98">
        <v>-0.74686444450263156</v>
      </c>
      <c r="DS98">
        <v>-0.2722</v>
      </c>
      <c r="DT98">
        <v>-0.44</v>
      </c>
      <c r="DU98" t="e">
        <v>#VALUE!</v>
      </c>
      <c r="DV98" t="e">
        <v>#VALUE!</v>
      </c>
      <c r="DW98">
        <v>-2.1029</v>
      </c>
      <c r="DX98">
        <v>0.28721802661054963</v>
      </c>
      <c r="DY98">
        <v>-2.0202937349382255</v>
      </c>
      <c r="DZ98">
        <v>0</v>
      </c>
      <c r="EA98">
        <v>-2.0202937349382255</v>
      </c>
      <c r="EB98">
        <v>2</v>
      </c>
      <c r="EC98">
        <v>6.0609438870308438E-2</v>
      </c>
      <c r="ED98">
        <v>0.30732200251651054</v>
      </c>
      <c r="EE98">
        <v>0</v>
      </c>
      <c r="EF98">
        <v>0</v>
      </c>
      <c r="EG98">
        <v>9.1972180266105497</v>
      </c>
      <c r="EH98" t="s">
        <v>86</v>
      </c>
      <c r="EI98">
        <v>0</v>
      </c>
      <c r="EJ98">
        <v>0</v>
      </c>
      <c r="EK98">
        <v>0</v>
      </c>
      <c r="EL98">
        <v>0</v>
      </c>
      <c r="EM98">
        <v>0</v>
      </c>
      <c r="EN98">
        <v>0</v>
      </c>
      <c r="EO98">
        <v>0</v>
      </c>
      <c r="EP98">
        <v>0</v>
      </c>
    </row>
    <row r="99" spans="1:146" ht="96" x14ac:dyDescent="0.25">
      <c r="A99" s="10"/>
      <c r="B99" s="10"/>
      <c r="C99" s="7" t="str">
        <f>""&amp;CHAR(10)&amp;Basic_Fundamental_Information_Constructure(F99)&amp;CHAR(10)&amp;Basic_Fundamental_Information_Concatenate("")</f>
        <v xml:space="preserve">
市值7.91亿, 利润1196.74万; PE26.37; 平均PE3.3, PB.908; ROIC10.25%; ROE11.9433%; 股利率1.2642%; 毛利14.55%; 净利6.39%; 上一年度营收增-81.02%, 利润增-77.61%; 当季营收增-59.43%, 利润增-11.84%; 过往5年营收增0%, 利润增0%
Income profile:
</v>
      </c>
      <c r="D99">
        <v>833914</v>
      </c>
      <c r="E99" t="s">
        <v>1550</v>
      </c>
      <c r="F99">
        <v>7.91</v>
      </c>
      <c r="G99" s="5">
        <v>-1.74</v>
      </c>
      <c r="H99" t="s">
        <v>4672</v>
      </c>
      <c r="I99">
        <v>791000000</v>
      </c>
      <c r="J99">
        <v>26.37</v>
      </c>
      <c r="K99">
        <v>0.90800000000000003</v>
      </c>
      <c r="L99" t="s">
        <v>2604</v>
      </c>
      <c r="M99" t="s">
        <v>29</v>
      </c>
      <c r="N99" t="s">
        <v>3830</v>
      </c>
      <c r="O99" t="s">
        <v>148</v>
      </c>
      <c r="P99">
        <v>-15.06</v>
      </c>
      <c r="Q99" t="s">
        <v>148</v>
      </c>
      <c r="R99">
        <v>11967392</v>
      </c>
      <c r="S99" s="5">
        <v>-0.11840000000000001</v>
      </c>
      <c r="T99" t="s">
        <v>4673</v>
      </c>
      <c r="U99">
        <v>60199750</v>
      </c>
      <c r="V99">
        <v>100000000</v>
      </c>
      <c r="W99">
        <v>1.19</v>
      </c>
      <c r="X99">
        <v>0.17</v>
      </c>
      <c r="Y99">
        <v>6.96</v>
      </c>
      <c r="Z99" t="s">
        <v>113</v>
      </c>
      <c r="AA99" t="s">
        <v>328</v>
      </c>
      <c r="AB99" t="s">
        <v>4674</v>
      </c>
      <c r="AC99" t="s">
        <v>4675</v>
      </c>
      <c r="AD99" t="s">
        <v>4676</v>
      </c>
      <c r="AE99">
        <v>995718</v>
      </c>
      <c r="AF99" t="s">
        <v>4677</v>
      </c>
      <c r="AG99" t="s">
        <v>1034</v>
      </c>
      <c r="AH99" t="s">
        <v>4678</v>
      </c>
      <c r="AI99" t="s">
        <v>371</v>
      </c>
      <c r="AJ99" t="s">
        <v>9</v>
      </c>
      <c r="AK99" t="s">
        <v>4679</v>
      </c>
      <c r="AL99" t="s">
        <v>4680</v>
      </c>
      <c r="AM99" t="s">
        <v>9</v>
      </c>
      <c r="AN99" t="s">
        <v>4681</v>
      </c>
      <c r="AO99" t="s">
        <v>4682</v>
      </c>
      <c r="AP99" t="s">
        <v>9</v>
      </c>
      <c r="AQ99" t="s">
        <v>4683</v>
      </c>
      <c r="AR99" t="s">
        <v>9</v>
      </c>
      <c r="AS99" t="s">
        <v>229</v>
      </c>
      <c r="AT99" t="s">
        <v>9</v>
      </c>
      <c r="AU99" t="s">
        <v>4684</v>
      </c>
      <c r="AV99" t="s">
        <v>4685</v>
      </c>
      <c r="AW99" t="s">
        <v>4686</v>
      </c>
      <c r="AX99" t="s">
        <v>1552</v>
      </c>
      <c r="AY99" t="s">
        <v>320</v>
      </c>
      <c r="AZ99" t="s">
        <v>102</v>
      </c>
      <c r="BA99" t="s">
        <v>355</v>
      </c>
      <c r="BB99" t="s">
        <v>440</v>
      </c>
      <c r="BC99" t="s">
        <v>1553</v>
      </c>
      <c r="BD99" t="s">
        <v>1554</v>
      </c>
      <c r="BE99" t="s">
        <v>1555</v>
      </c>
      <c r="BF99" t="s">
        <v>1556</v>
      </c>
      <c r="BG99" t="s">
        <v>1557</v>
      </c>
      <c r="BH99" t="s">
        <v>4687</v>
      </c>
      <c r="BI99" t="s">
        <v>531</v>
      </c>
      <c r="BJ99" t="s">
        <v>1552</v>
      </c>
      <c r="BK99" t="s">
        <v>4688</v>
      </c>
      <c r="BL99" t="s">
        <v>1558</v>
      </c>
      <c r="BM99" t="s">
        <v>1553</v>
      </c>
      <c r="BN99">
        <v>3.88</v>
      </c>
      <c r="BO99">
        <v>7.9</v>
      </c>
      <c r="BP99">
        <v>18.97</v>
      </c>
      <c r="BQ99">
        <v>4.25</v>
      </c>
      <c r="BR99">
        <v>10.6</v>
      </c>
      <c r="BS99">
        <v>20.98</v>
      </c>
      <c r="BT99" t="s">
        <v>886</v>
      </c>
      <c r="BU99" t="s">
        <v>1551</v>
      </c>
      <c r="BV99">
        <v>10.42</v>
      </c>
      <c r="BW99">
        <v>14.14</v>
      </c>
      <c r="BX99">
        <v>19.09</v>
      </c>
      <c r="BY99">
        <v>3.9</v>
      </c>
      <c r="BZ99">
        <v>5.9</v>
      </c>
      <c r="CA99">
        <v>9.3699999999999992</v>
      </c>
      <c r="CB99">
        <v>0.51</v>
      </c>
      <c r="CC99">
        <v>-4.47</v>
      </c>
      <c r="CD99" t="s">
        <v>4689</v>
      </c>
      <c r="CE99" t="s">
        <v>4690</v>
      </c>
      <c r="CF99" s="8">
        <v>-0.59433962264150941</v>
      </c>
      <c r="CG99" s="9">
        <v>-0.11840000000000001</v>
      </c>
      <c r="CH99" s="8">
        <v>-0.8101544976234436</v>
      </c>
      <c r="CI99" s="8">
        <v>6.6666668280959129E-3</v>
      </c>
      <c r="CJ99" s="8">
        <v>0.57894736528396606</v>
      </c>
      <c r="CK99" s="8">
        <v>0.28668171167373657</v>
      </c>
      <c r="CL99" s="8">
        <v>0.21703296899795532</v>
      </c>
      <c r="CM99" s="9">
        <v>-0.7761303186416626</v>
      </c>
      <c r="CN99" s="9">
        <v>-0.36613205075263977</v>
      </c>
      <c r="CO99" s="9">
        <v>0.49132275581359863</v>
      </c>
      <c r="CP99" s="9">
        <v>0.14224368333816528</v>
      </c>
      <c r="CQ99" s="9">
        <v>0.64724671840667725</v>
      </c>
      <c r="CR99">
        <v>3.3027889150442804</v>
      </c>
      <c r="CS99" t="e">
        <v>#DIV/0!</v>
      </c>
      <c r="CT99">
        <v>1.2642225031605563</v>
      </c>
      <c r="CU99" s="8">
        <v>0</v>
      </c>
      <c r="CV99" s="9">
        <v>0</v>
      </c>
      <c r="CW99">
        <v>0.06</v>
      </c>
      <c r="CX99">
        <v>3.7201062887510972</v>
      </c>
      <c r="CY99">
        <v>11289999.999999998</v>
      </c>
      <c r="CZ99">
        <v>0</v>
      </c>
      <c r="DA99">
        <v>1.3129511955147419</v>
      </c>
      <c r="DB99">
        <v>31989003.203987181</v>
      </c>
      <c r="DC99">
        <v>0</v>
      </c>
      <c r="DD99">
        <v>0.71370810668529383</v>
      </c>
      <c r="DE99">
        <v>58847587.139036909</v>
      </c>
      <c r="DF99">
        <v>0</v>
      </c>
      <c r="DG99">
        <v>0.4768332507692653</v>
      </c>
      <c r="DH99">
        <v>88081105.779100224</v>
      </c>
      <c r="DI99">
        <v>0</v>
      </c>
      <c r="DJ99">
        <v>0.30597718744487129</v>
      </c>
      <c r="DK99">
        <v>137265135.19105777</v>
      </c>
      <c r="DL99">
        <v>0</v>
      </c>
      <c r="DM99">
        <v>11967400</v>
      </c>
      <c r="DN99">
        <v>0</v>
      </c>
      <c r="DO99">
        <v>41999999.999999881</v>
      </c>
      <c r="DP99">
        <v>665687030</v>
      </c>
      <c r="DQ99">
        <v>98</v>
      </c>
      <c r="DR99">
        <v>-0.59433962264150941</v>
      </c>
      <c r="DS99">
        <v>-0.11840000000000001</v>
      </c>
      <c r="DT99">
        <v>-0.44</v>
      </c>
      <c r="DU99">
        <v>-0.22</v>
      </c>
      <c r="DV99">
        <v>-0.66</v>
      </c>
      <c r="DW99">
        <v>-1.0447</v>
      </c>
      <c r="DX99">
        <v>0.2352081798824176</v>
      </c>
      <c r="DY99">
        <v>-1.0047028056407441</v>
      </c>
      <c r="DZ99">
        <v>0</v>
      </c>
      <c r="EA99">
        <v>-1.0047028056407441</v>
      </c>
      <c r="EB99">
        <v>1</v>
      </c>
      <c r="EC99">
        <v>1.5712E-2</v>
      </c>
      <c r="ED99">
        <v>0.149342</v>
      </c>
      <c r="EE99">
        <v>0</v>
      </c>
      <c r="EF99">
        <v>0</v>
      </c>
      <c r="EG99">
        <v>13.105208179882418</v>
      </c>
      <c r="EH99" t="s">
        <v>86</v>
      </c>
      <c r="EI99">
        <v>0</v>
      </c>
      <c r="EJ99">
        <v>0</v>
      </c>
      <c r="EK99">
        <v>0</v>
      </c>
      <c r="EL99">
        <v>0</v>
      </c>
      <c r="EM99">
        <v>0</v>
      </c>
      <c r="EN99">
        <v>0</v>
      </c>
      <c r="EO99">
        <v>0</v>
      </c>
      <c r="EP99">
        <v>0</v>
      </c>
    </row>
    <row r="100" spans="1:146" ht="108" x14ac:dyDescent="0.25">
      <c r="A100" s="10"/>
      <c r="B100" s="10"/>
      <c r="C100" s="7" t="str">
        <f>""&amp;CHAR(10)&amp;Basic_Fundamental_Information_Constructure(F100)&amp;CHAR(10)&amp;Basic_Fundamental_Information_Concatenate("")</f>
        <v xml:space="preserve">
市值7.7460811亿, 利润775.85万; PE11.39; 平均PE-26.44, PB1.38; ROIC10.8033%; ROE12.08%; 股利率2.6212%; 毛利24.29%; 净利8.06%; 上一年度营收增-81.38%, 利润增-87.76%; 当季营收增-63.79%, 利润增-45.92%; 过往5年营收增0%, 利润增0%
Income profile:
</v>
      </c>
      <c r="D100">
        <v>833943</v>
      </c>
      <c r="E100" t="s">
        <v>1559</v>
      </c>
      <c r="F100">
        <v>7.63</v>
      </c>
      <c r="G100" s="5">
        <v>-1.8</v>
      </c>
      <c r="H100" t="s">
        <v>4691</v>
      </c>
      <c r="I100">
        <v>774608110</v>
      </c>
      <c r="J100">
        <v>11.39</v>
      </c>
      <c r="K100">
        <v>1.38</v>
      </c>
      <c r="L100" t="s">
        <v>2604</v>
      </c>
      <c r="M100" t="s">
        <v>614</v>
      </c>
      <c r="N100" t="s">
        <v>353</v>
      </c>
      <c r="O100" t="s">
        <v>312</v>
      </c>
      <c r="P100">
        <v>-21.12</v>
      </c>
      <c r="Q100" t="s">
        <v>312</v>
      </c>
      <c r="R100">
        <v>7758502</v>
      </c>
      <c r="S100" s="5">
        <v>-0.4592</v>
      </c>
      <c r="T100" t="s">
        <v>4692</v>
      </c>
      <c r="U100">
        <v>41202108</v>
      </c>
      <c r="V100">
        <v>101521378</v>
      </c>
      <c r="W100">
        <v>1.58</v>
      </c>
      <c r="X100">
        <v>0.15</v>
      </c>
      <c r="Y100">
        <v>5.36</v>
      </c>
      <c r="Z100" t="s">
        <v>464</v>
      </c>
      <c r="AA100" t="s">
        <v>537</v>
      </c>
      <c r="AB100" t="s">
        <v>4693</v>
      </c>
      <c r="AC100" t="s">
        <v>4694</v>
      </c>
      <c r="AD100" t="s">
        <v>4695</v>
      </c>
      <c r="AE100">
        <v>1112016</v>
      </c>
      <c r="AF100" t="s">
        <v>4696</v>
      </c>
      <c r="AG100" t="s">
        <v>4697</v>
      </c>
      <c r="AH100" t="s">
        <v>4698</v>
      </c>
      <c r="AI100" t="s">
        <v>300</v>
      </c>
      <c r="AJ100" t="s">
        <v>9</v>
      </c>
      <c r="AK100" t="s">
        <v>4699</v>
      </c>
      <c r="AL100" t="s">
        <v>4700</v>
      </c>
      <c r="AM100" t="s">
        <v>9</v>
      </c>
      <c r="AN100" t="s">
        <v>4701</v>
      </c>
      <c r="AO100" t="s">
        <v>37</v>
      </c>
      <c r="AP100" t="s">
        <v>4702</v>
      </c>
      <c r="AQ100" t="s">
        <v>130</v>
      </c>
      <c r="AR100" t="s">
        <v>9</v>
      </c>
      <c r="AS100" t="s">
        <v>382</v>
      </c>
      <c r="AT100" t="s">
        <v>9</v>
      </c>
      <c r="AU100" t="s">
        <v>4703</v>
      </c>
      <c r="AV100" t="s">
        <v>4704</v>
      </c>
      <c r="AW100" t="s">
        <v>4705</v>
      </c>
      <c r="AX100" t="s">
        <v>522</v>
      </c>
      <c r="AY100" t="s">
        <v>144</v>
      </c>
      <c r="AZ100" t="s">
        <v>319</v>
      </c>
      <c r="BA100" t="s">
        <v>691</v>
      </c>
      <c r="BB100" t="s">
        <v>254</v>
      </c>
      <c r="BC100" t="s">
        <v>4706</v>
      </c>
      <c r="BD100" t="s">
        <v>1560</v>
      </c>
      <c r="BE100" t="s">
        <v>1561</v>
      </c>
      <c r="BF100" t="s">
        <v>1562</v>
      </c>
      <c r="BG100" t="s">
        <v>1563</v>
      </c>
      <c r="BH100" t="s">
        <v>4707</v>
      </c>
      <c r="BI100" t="s">
        <v>1017</v>
      </c>
      <c r="BJ100" t="s">
        <v>522</v>
      </c>
      <c r="BK100" t="s">
        <v>4708</v>
      </c>
      <c r="BL100" t="s">
        <v>1564</v>
      </c>
      <c r="BM100" t="s">
        <v>4706</v>
      </c>
      <c r="BN100">
        <v>9.43</v>
      </c>
      <c r="BO100">
        <v>12.65</v>
      </c>
      <c r="BP100">
        <v>10.33</v>
      </c>
      <c r="BQ100">
        <v>10.74</v>
      </c>
      <c r="BR100">
        <v>14.2</v>
      </c>
      <c r="BS100">
        <v>11.3</v>
      </c>
      <c r="BT100" t="s">
        <v>851</v>
      </c>
      <c r="BU100" t="s">
        <v>870</v>
      </c>
      <c r="BV100">
        <v>27.73</v>
      </c>
      <c r="BW100">
        <v>23.32</v>
      </c>
      <c r="BX100">
        <v>21.82</v>
      </c>
      <c r="BY100">
        <v>9.27</v>
      </c>
      <c r="BZ100">
        <v>8.48</v>
      </c>
      <c r="CA100">
        <v>6.43</v>
      </c>
      <c r="CB100">
        <v>7.31</v>
      </c>
      <c r="CC100">
        <v>-3.9</v>
      </c>
      <c r="CD100" t="s">
        <v>4709</v>
      </c>
      <c r="CE100" t="s">
        <v>4710</v>
      </c>
      <c r="CF100" s="8">
        <v>-0.63788968824940051</v>
      </c>
      <c r="CG100" s="9">
        <v>-0.4592</v>
      </c>
      <c r="CH100" s="8">
        <v>-0.81381011009216309</v>
      </c>
      <c r="CI100" s="8">
        <v>0.14872521162033081</v>
      </c>
      <c r="CJ100" s="8">
        <v>0.24514991044998169</v>
      </c>
      <c r="CK100" s="8">
        <v>-6.2809914350509644E-2</v>
      </c>
      <c r="CL100" s="8">
        <v>-4.1204437613487244E-2</v>
      </c>
      <c r="CM100" s="9">
        <v>-0.87761437892913818</v>
      </c>
      <c r="CN100" s="9">
        <v>0.54017096757888794</v>
      </c>
      <c r="CO100" s="9">
        <v>0.39694547653198242</v>
      </c>
      <c r="CP100" s="9">
        <v>-0.16268105804920197</v>
      </c>
      <c r="CQ100" s="9">
        <v>6.5767951309680939E-2</v>
      </c>
      <c r="CR100">
        <v>-26.440084673831667</v>
      </c>
      <c r="CS100" t="e">
        <v>#DIV/0!</v>
      </c>
      <c r="CT100">
        <v>2.6212319790301444</v>
      </c>
      <c r="CU100" s="8">
        <v>0</v>
      </c>
      <c r="CV100" s="9">
        <v>0</v>
      </c>
      <c r="CW100">
        <v>0.06</v>
      </c>
      <c r="CX100">
        <v>76.865965921247678</v>
      </c>
      <c r="CY100">
        <v>7319339.6226415085</v>
      </c>
      <c r="CZ100">
        <v>0</v>
      </c>
      <c r="DA100">
        <v>27.128596340342341</v>
      </c>
      <c r="DB100">
        <v>20738563.209898103</v>
      </c>
      <c r="DC100">
        <v>0</v>
      </c>
      <c r="DD100">
        <v>14.746853650949685</v>
      </c>
      <c r="DE100">
        <v>38151060.78331282</v>
      </c>
      <c r="DF100">
        <v>0</v>
      </c>
      <c r="DG100">
        <v>9.8524734399599296</v>
      </c>
      <c r="DH100">
        <v>57103235.38840092</v>
      </c>
      <c r="DI100">
        <v>0</v>
      </c>
      <c r="DJ100">
        <v>6.3221935711714545</v>
      </c>
      <c r="DK100">
        <v>88989383.774238497</v>
      </c>
      <c r="DL100">
        <v>0</v>
      </c>
      <c r="DM100">
        <v>7758500</v>
      </c>
      <c r="DN100">
        <v>0</v>
      </c>
      <c r="DO100">
        <v>562608110</v>
      </c>
      <c r="DP100">
        <v>283213700</v>
      </c>
      <c r="DQ100">
        <v>99</v>
      </c>
      <c r="DR100">
        <v>-0.63788968824940051</v>
      </c>
      <c r="DS100">
        <v>-0.4592</v>
      </c>
      <c r="DT100">
        <v>-0.44</v>
      </c>
      <c r="DU100">
        <v>-0.44</v>
      </c>
      <c r="DV100">
        <v>-0.88</v>
      </c>
      <c r="DW100">
        <v>5.5335157318741448</v>
      </c>
      <c r="DX100">
        <v>0.42508584160961382</v>
      </c>
      <c r="DY100">
        <v>5.1681032533895337</v>
      </c>
      <c r="DZ100">
        <v>0</v>
      </c>
      <c r="EA100">
        <v>5.1681032533895337</v>
      </c>
      <c r="EB100">
        <v>5</v>
      </c>
      <c r="EC100">
        <v>3.2594120225594256E-2</v>
      </c>
      <c r="ED100">
        <v>0.10344520737297321</v>
      </c>
      <c r="EE100">
        <v>0</v>
      </c>
      <c r="EF100">
        <v>0</v>
      </c>
      <c r="EG100">
        <v>11.315085841609614</v>
      </c>
      <c r="EH100" t="s">
        <v>86</v>
      </c>
      <c r="EI100">
        <v>1</v>
      </c>
      <c r="EJ100">
        <v>0</v>
      </c>
      <c r="EK100">
        <v>0</v>
      </c>
      <c r="EL100">
        <v>0</v>
      </c>
      <c r="EM100">
        <v>0</v>
      </c>
      <c r="EN100">
        <v>0</v>
      </c>
      <c r="EO100">
        <v>0</v>
      </c>
      <c r="EP100">
        <v>0</v>
      </c>
    </row>
    <row r="101" spans="1:146" ht="108" x14ac:dyDescent="0.25">
      <c r="A101" s="10"/>
      <c r="B101" s="10"/>
      <c r="C101" s="7" t="str">
        <f>""&amp;CHAR(10)&amp;Basic_Fundamental_Information_Constructure(F101)&amp;CHAR(10)&amp;Basic_Fundamental_Information_Concatenate("")</f>
        <v xml:space="preserve">
市值8.5982384亿, 利润688.37万; PE14.12; 平均PE9.32, PB1.09; ROIC10.3833%; ROE13.1333%; 股利率2.6316%; 毛利34.0233%; 净利9.9133%; 上一年度营收增-84.63%, 利润增-89.14%; 当季营收增-61.89%, 利润增19.43%; 过往5年营收增0%, 利润增0%
Income profile:
</v>
      </c>
      <c r="D101">
        <v>834014</v>
      </c>
      <c r="E101" t="s">
        <v>1566</v>
      </c>
      <c r="F101">
        <v>6.84</v>
      </c>
      <c r="G101" s="5">
        <v>-1.01</v>
      </c>
      <c r="H101" t="s">
        <v>4711</v>
      </c>
      <c r="I101">
        <v>859823840</v>
      </c>
      <c r="J101">
        <v>14.12</v>
      </c>
      <c r="K101">
        <v>1.0900000000000001</v>
      </c>
      <c r="L101" t="s">
        <v>2604</v>
      </c>
      <c r="M101" t="s">
        <v>4712</v>
      </c>
      <c r="N101" t="s">
        <v>553</v>
      </c>
      <c r="O101" t="s">
        <v>18</v>
      </c>
      <c r="P101">
        <v>5.8</v>
      </c>
      <c r="Q101" t="s">
        <v>18</v>
      </c>
      <c r="R101">
        <v>6883694</v>
      </c>
      <c r="S101" s="5">
        <v>0.1943</v>
      </c>
      <c r="T101" t="s">
        <v>1857</v>
      </c>
      <c r="U101">
        <v>46258810</v>
      </c>
      <c r="V101">
        <v>125705240</v>
      </c>
      <c r="W101">
        <v>1.59</v>
      </c>
      <c r="X101">
        <v>0.08</v>
      </c>
      <c r="Y101">
        <v>6.8</v>
      </c>
      <c r="Z101" t="s">
        <v>4713</v>
      </c>
      <c r="AA101" t="s">
        <v>4714</v>
      </c>
      <c r="AB101" t="s">
        <v>4715</v>
      </c>
      <c r="AC101" t="s">
        <v>4716</v>
      </c>
      <c r="AD101" t="s">
        <v>4717</v>
      </c>
      <c r="AE101">
        <v>252616</v>
      </c>
      <c r="AF101" t="s">
        <v>4718</v>
      </c>
      <c r="AG101" t="s">
        <v>4719</v>
      </c>
      <c r="AH101" t="s">
        <v>4720</v>
      </c>
      <c r="AI101" t="s">
        <v>105</v>
      </c>
      <c r="AJ101" t="s">
        <v>9</v>
      </c>
      <c r="AK101" t="s">
        <v>4721</v>
      </c>
      <c r="AL101" t="s">
        <v>4722</v>
      </c>
      <c r="AM101" t="s">
        <v>9</v>
      </c>
      <c r="AN101" t="s">
        <v>4723</v>
      </c>
      <c r="AO101" t="s">
        <v>4724</v>
      </c>
      <c r="AP101" t="s">
        <v>253</v>
      </c>
      <c r="AQ101" t="s">
        <v>277</v>
      </c>
      <c r="AR101" t="s">
        <v>9</v>
      </c>
      <c r="AS101" t="s">
        <v>481</v>
      </c>
      <c r="AT101" t="s">
        <v>9</v>
      </c>
      <c r="AU101" t="s">
        <v>4725</v>
      </c>
      <c r="AV101" t="s">
        <v>4726</v>
      </c>
      <c r="AW101" t="s">
        <v>4727</v>
      </c>
      <c r="AX101" t="s">
        <v>657</v>
      </c>
      <c r="AY101" t="s">
        <v>685</v>
      </c>
      <c r="AZ101" t="s">
        <v>928</v>
      </c>
      <c r="BA101" t="s">
        <v>429</v>
      </c>
      <c r="BB101" t="s">
        <v>623</v>
      </c>
      <c r="BC101" t="s">
        <v>1567</v>
      </c>
      <c r="BD101" t="s">
        <v>1568</v>
      </c>
      <c r="BE101" t="s">
        <v>83</v>
      </c>
      <c r="BF101" t="s">
        <v>1569</v>
      </c>
      <c r="BG101" t="s">
        <v>1570</v>
      </c>
      <c r="BH101" t="s">
        <v>663</v>
      </c>
      <c r="BI101" t="s">
        <v>392</v>
      </c>
      <c r="BJ101" t="s">
        <v>657</v>
      </c>
      <c r="BK101" t="s">
        <v>4728</v>
      </c>
      <c r="BL101" t="s">
        <v>1571</v>
      </c>
      <c r="BM101" t="s">
        <v>1567</v>
      </c>
      <c r="BN101">
        <v>4.88</v>
      </c>
      <c r="BO101">
        <v>10.35</v>
      </c>
      <c r="BP101">
        <v>15.92</v>
      </c>
      <c r="BQ101">
        <v>5.26</v>
      </c>
      <c r="BR101">
        <v>15.3</v>
      </c>
      <c r="BS101">
        <v>18.84</v>
      </c>
      <c r="BT101" t="s">
        <v>1780</v>
      </c>
      <c r="BU101" t="s">
        <v>1167</v>
      </c>
      <c r="BV101">
        <v>33.200000000000003</v>
      </c>
      <c r="BW101">
        <v>34.29</v>
      </c>
      <c r="BX101">
        <v>34.58</v>
      </c>
      <c r="BY101">
        <v>8.93</v>
      </c>
      <c r="BZ101">
        <v>9.66</v>
      </c>
      <c r="CA101">
        <v>11.15</v>
      </c>
      <c r="CB101">
        <v>2.2400000000000002</v>
      </c>
      <c r="CC101">
        <v>-5.52</v>
      </c>
      <c r="CD101" t="s">
        <v>4729</v>
      </c>
      <c r="CE101" t="s">
        <v>4730</v>
      </c>
      <c r="CF101" s="8">
        <v>-0.61886792452830186</v>
      </c>
      <c r="CG101" s="9">
        <v>0.1943</v>
      </c>
      <c r="CH101" s="8">
        <v>-0.84627091884613037</v>
      </c>
      <c r="CI101" s="8">
        <v>7.7049180865287781E-2</v>
      </c>
      <c r="CJ101" s="8">
        <v>0.23481781780719757</v>
      </c>
      <c r="CK101" s="8">
        <v>-1.593625545501709E-2</v>
      </c>
      <c r="CL101" s="8">
        <v>0.23950617015361786</v>
      </c>
      <c r="CM101" s="9">
        <v>-0.89142888784408569</v>
      </c>
      <c r="CN101" s="9">
        <v>-6.7047581076622009E-2</v>
      </c>
      <c r="CO101" s="9">
        <v>-0.41414481401443481</v>
      </c>
      <c r="CP101" s="9">
        <v>0.82171100378036499</v>
      </c>
      <c r="CQ101" s="9">
        <v>0.26453715562820435</v>
      </c>
      <c r="CR101">
        <v>9.3217120048858675</v>
      </c>
      <c r="CS101" t="e">
        <v>#DIV/0!</v>
      </c>
      <c r="CT101">
        <v>2.6315789473684212</v>
      </c>
      <c r="CU101" s="8">
        <v>0</v>
      </c>
      <c r="CV101" s="9">
        <v>0</v>
      </c>
      <c r="CW101">
        <v>0.06</v>
      </c>
      <c r="CX101">
        <v>101.60426375350465</v>
      </c>
      <c r="CY101">
        <v>6494056.6037735846</v>
      </c>
      <c r="CZ101">
        <v>0</v>
      </c>
      <c r="DA101">
        <v>35.859577444854203</v>
      </c>
      <c r="DB101">
        <v>18400212.356509063</v>
      </c>
      <c r="DC101">
        <v>0</v>
      </c>
      <c r="DD101">
        <v>19.492934095442696</v>
      </c>
      <c r="DE101">
        <v>33849385.462923303</v>
      </c>
      <c r="DF101">
        <v>0</v>
      </c>
      <c r="DG101">
        <v>13.023362134598143</v>
      </c>
      <c r="DH101">
        <v>50664631.235823341</v>
      </c>
      <c r="DI101">
        <v>0</v>
      </c>
      <c r="DJ101">
        <v>8.3569082285928999</v>
      </c>
      <c r="DK101">
        <v>78955496.692237616</v>
      </c>
      <c r="DL101">
        <v>0</v>
      </c>
      <c r="DM101">
        <v>6883700</v>
      </c>
      <c r="DN101">
        <v>0</v>
      </c>
      <c r="DO101">
        <v>659823840</v>
      </c>
      <c r="DP101">
        <v>546062070</v>
      </c>
      <c r="DQ101">
        <v>100</v>
      </c>
      <c r="DR101">
        <v>-0.61886792452830186</v>
      </c>
      <c r="DS101">
        <v>0.1943</v>
      </c>
      <c r="DT101">
        <v>-0.44</v>
      </c>
      <c r="DU101">
        <v>-0.44</v>
      </c>
      <c r="DV101">
        <v>-0.88</v>
      </c>
      <c r="DW101">
        <v>-1.0551999999999999</v>
      </c>
      <c r="DX101">
        <v>0.27639501438159175</v>
      </c>
      <c r="DY101">
        <v>-1.0064250047938639</v>
      </c>
      <c r="DZ101">
        <v>0</v>
      </c>
      <c r="EA101">
        <v>-1.0064250047938639</v>
      </c>
      <c r="EB101">
        <v>1</v>
      </c>
      <c r="EC101">
        <v>6.760259158647643E-3</v>
      </c>
      <c r="ED101">
        <v>5.8080315506338479E-2</v>
      </c>
      <c r="EE101">
        <v>0</v>
      </c>
      <c r="EF101">
        <v>0</v>
      </c>
      <c r="EG101">
        <v>16.116395014381592</v>
      </c>
      <c r="EH101" t="s">
        <v>86</v>
      </c>
      <c r="EI101">
        <v>0</v>
      </c>
      <c r="EJ101">
        <v>0</v>
      </c>
      <c r="EK101">
        <v>0</v>
      </c>
      <c r="EL101">
        <v>0</v>
      </c>
      <c r="EM101">
        <v>0</v>
      </c>
      <c r="EN101">
        <v>0</v>
      </c>
      <c r="EO101">
        <v>0</v>
      </c>
      <c r="EP101">
        <v>0</v>
      </c>
    </row>
    <row r="102" spans="1:146" ht="108" x14ac:dyDescent="0.25">
      <c r="A102" s="10"/>
      <c r="B102" s="10"/>
      <c r="C102" s="7" t="str">
        <f>""&amp;CHAR(10)&amp;Basic_Fundamental_Information_Constructure(F102)&amp;CHAR(10)&amp;Basic_Fundamental_Information_Concatenate("")</f>
        <v xml:space="preserve">
市值10.0115994亿, 利润247.47万; PE67.03; 平均PE.77, PB1.5; ROIC4.8167%; ROE5.7833%; 股利率.6173%; 毛利18.09%; 净利3.9967%; 上一年度营收增-84.58%, 利润增-88.21%; 当季营收增-52.67%, 利润增-68.07%; 过往5年营收增0%, 利润增0%
Income profile:
</v>
      </c>
      <c r="D102">
        <v>834021</v>
      </c>
      <c r="E102" t="s">
        <v>1572</v>
      </c>
      <c r="F102">
        <v>3.24</v>
      </c>
      <c r="G102" s="5">
        <v>-5.81</v>
      </c>
      <c r="H102" t="s">
        <v>4731</v>
      </c>
      <c r="I102">
        <v>1001159940</v>
      </c>
      <c r="J102">
        <v>67.03</v>
      </c>
      <c r="K102">
        <v>1.5</v>
      </c>
      <c r="L102" t="s">
        <v>2604</v>
      </c>
      <c r="M102" t="s">
        <v>71</v>
      </c>
      <c r="N102" t="s">
        <v>4732</v>
      </c>
      <c r="O102" t="s">
        <v>89</v>
      </c>
      <c r="P102">
        <v>21.12</v>
      </c>
      <c r="Q102" t="s">
        <v>89</v>
      </c>
      <c r="R102">
        <v>2474685</v>
      </c>
      <c r="S102" s="5">
        <v>-0.68069999999999997</v>
      </c>
      <c r="T102" t="s">
        <v>4733</v>
      </c>
      <c r="U102">
        <v>230897970</v>
      </c>
      <c r="V102">
        <v>308999980</v>
      </c>
      <c r="W102">
        <v>1.58</v>
      </c>
      <c r="X102">
        <v>0.12</v>
      </c>
      <c r="Y102">
        <v>0.8</v>
      </c>
      <c r="Z102" t="s">
        <v>89</v>
      </c>
      <c r="AA102" t="s">
        <v>4734</v>
      </c>
      <c r="AB102" t="s">
        <v>4735</v>
      </c>
      <c r="AC102" t="s">
        <v>4736</v>
      </c>
      <c r="AD102" t="s">
        <v>4737</v>
      </c>
      <c r="AE102">
        <v>85694</v>
      </c>
      <c r="AF102" t="s">
        <v>4738</v>
      </c>
      <c r="AG102">
        <v>0.12</v>
      </c>
      <c r="AH102" t="s">
        <v>4739</v>
      </c>
      <c r="AI102" t="s">
        <v>377</v>
      </c>
      <c r="AJ102" t="s">
        <v>9</v>
      </c>
      <c r="AK102" t="s">
        <v>4740</v>
      </c>
      <c r="AL102" t="s">
        <v>4741</v>
      </c>
      <c r="AM102" t="s">
        <v>9</v>
      </c>
      <c r="AN102">
        <v>0</v>
      </c>
      <c r="AO102" t="s">
        <v>4742</v>
      </c>
      <c r="AP102" t="s">
        <v>4743</v>
      </c>
      <c r="AQ102" t="s">
        <v>401</v>
      </c>
      <c r="AR102" t="s">
        <v>9</v>
      </c>
      <c r="AS102" t="s">
        <v>80</v>
      </c>
      <c r="AT102" t="s">
        <v>9</v>
      </c>
      <c r="AU102" t="s">
        <v>4744</v>
      </c>
      <c r="AV102" t="s">
        <v>4745</v>
      </c>
      <c r="AW102" t="s">
        <v>4746</v>
      </c>
      <c r="AX102" t="s">
        <v>245</v>
      </c>
      <c r="AY102" t="s">
        <v>317</v>
      </c>
      <c r="AZ102" t="s">
        <v>330</v>
      </c>
      <c r="BA102" t="s">
        <v>1346</v>
      </c>
      <c r="BB102" t="s">
        <v>87</v>
      </c>
      <c r="BC102" t="s">
        <v>1574</v>
      </c>
      <c r="BD102" t="s">
        <v>1576</v>
      </c>
      <c r="BE102" t="s">
        <v>1577</v>
      </c>
      <c r="BF102" t="s">
        <v>1578</v>
      </c>
      <c r="BG102" t="s">
        <v>1579</v>
      </c>
      <c r="BH102" t="s">
        <v>4747</v>
      </c>
      <c r="BI102" t="s">
        <v>449</v>
      </c>
      <c r="BJ102" t="s">
        <v>245</v>
      </c>
      <c r="BK102" t="s">
        <v>4748</v>
      </c>
      <c r="BL102" t="s">
        <v>1580</v>
      </c>
      <c r="BM102" t="s">
        <v>1574</v>
      </c>
      <c r="BN102">
        <v>1.87</v>
      </c>
      <c r="BO102">
        <v>1.25</v>
      </c>
      <c r="BP102">
        <v>11.33</v>
      </c>
      <c r="BQ102">
        <v>2.0699999999999998</v>
      </c>
      <c r="BR102">
        <v>3.24</v>
      </c>
      <c r="BS102">
        <v>12.04</v>
      </c>
      <c r="BT102" t="s">
        <v>4749</v>
      </c>
      <c r="BU102" t="s">
        <v>1573</v>
      </c>
      <c r="BV102">
        <v>18.11</v>
      </c>
      <c r="BW102">
        <v>16.87</v>
      </c>
      <c r="BX102">
        <v>19.29</v>
      </c>
      <c r="BY102">
        <v>2.4</v>
      </c>
      <c r="BZ102">
        <v>1.04</v>
      </c>
      <c r="CA102">
        <v>8.5500000000000007</v>
      </c>
      <c r="CB102">
        <v>7.28</v>
      </c>
      <c r="CC102">
        <v>-12.2</v>
      </c>
      <c r="CD102" t="s">
        <v>4750</v>
      </c>
      <c r="CE102" t="s">
        <v>296</v>
      </c>
      <c r="CF102" s="8">
        <v>-0.52671755725190839</v>
      </c>
      <c r="CG102" s="9">
        <v>-0.68069999999999997</v>
      </c>
      <c r="CH102" s="8">
        <v>-0.84577113389968872</v>
      </c>
      <c r="CI102" s="8">
        <v>-6.9444447755813599E-2</v>
      </c>
      <c r="CJ102" s="8">
        <v>7.9999998211860657E-2</v>
      </c>
      <c r="CK102" s="8">
        <v>0.14613179862499237</v>
      </c>
      <c r="CL102" s="8">
        <v>0.12762519717216492</v>
      </c>
      <c r="CM102" s="9">
        <v>-0.8821302056312561</v>
      </c>
      <c r="CN102" s="9">
        <v>-0.6983070969581604</v>
      </c>
      <c r="CO102" s="9">
        <v>0.10197201371192932</v>
      </c>
      <c r="CP102" s="9">
        <v>0.23423483967781067</v>
      </c>
      <c r="CQ102" s="9">
        <v>-7.2073675692081451E-2</v>
      </c>
      <c r="CR102">
        <v>0.77136168930346571</v>
      </c>
      <c r="CS102" t="e">
        <v>#DIV/0!</v>
      </c>
      <c r="CT102">
        <v>0.61728395061728392</v>
      </c>
      <c r="CU102" s="8">
        <v>0</v>
      </c>
      <c r="CV102" s="9">
        <v>0</v>
      </c>
      <c r="CW102">
        <v>0.06</v>
      </c>
      <c r="CX102">
        <v>344.02131021942057</v>
      </c>
      <c r="CY102">
        <v>2334622.6415094337</v>
      </c>
      <c r="CZ102">
        <v>0</v>
      </c>
      <c r="DA102">
        <v>121.41674336051669</v>
      </c>
      <c r="DB102">
        <v>6614902.6713327104</v>
      </c>
      <c r="DC102">
        <v>0</v>
      </c>
      <c r="DD102">
        <v>66.001016884527147</v>
      </c>
      <c r="DE102">
        <v>12168902.50956554</v>
      </c>
      <c r="DF102">
        <v>0</v>
      </c>
      <c r="DG102">
        <v>44.095729248881078</v>
      </c>
      <c r="DH102">
        <v>18214007.426135946</v>
      </c>
      <c r="DI102">
        <v>0</v>
      </c>
      <c r="DJ102">
        <v>28.29560898309073</v>
      </c>
      <c r="DK102">
        <v>28384614.039583426</v>
      </c>
      <c r="DL102">
        <v>0</v>
      </c>
      <c r="DM102">
        <v>2474700</v>
      </c>
      <c r="DN102">
        <v>0</v>
      </c>
      <c r="DO102">
        <v>803159940</v>
      </c>
      <c r="DP102">
        <v>569727850</v>
      </c>
      <c r="DQ102">
        <v>101</v>
      </c>
      <c r="DR102">
        <v>-0.52671755725190839</v>
      </c>
      <c r="DS102">
        <v>-0.68069999999999997</v>
      </c>
      <c r="DT102">
        <v>-0.44</v>
      </c>
      <c r="DU102">
        <v>-0.44</v>
      </c>
      <c r="DV102">
        <v>-0.88</v>
      </c>
      <c r="DW102">
        <v>7.3737166324435321</v>
      </c>
      <c r="DX102">
        <v>0.72922989130434979</v>
      </c>
      <c r="DY102">
        <v>7.111827187304705</v>
      </c>
      <c r="DZ102">
        <v>0</v>
      </c>
      <c r="EA102">
        <v>7.111827187304705</v>
      </c>
      <c r="EB102">
        <v>7</v>
      </c>
      <c r="EC102">
        <v>0.17818221218007846</v>
      </c>
      <c r="ED102">
        <v>0.59546929420513228</v>
      </c>
      <c r="EE102">
        <v>0</v>
      </c>
      <c r="EF102">
        <v>0</v>
      </c>
      <c r="EG102">
        <v>43.29922989130435</v>
      </c>
      <c r="EH102" t="s">
        <v>86</v>
      </c>
      <c r="EI102">
        <v>1</v>
      </c>
      <c r="EJ102">
        <v>0</v>
      </c>
      <c r="EK102">
        <v>0</v>
      </c>
      <c r="EL102">
        <v>0</v>
      </c>
      <c r="EM102">
        <v>0</v>
      </c>
      <c r="EN102">
        <v>0</v>
      </c>
      <c r="EO102">
        <v>0</v>
      </c>
      <c r="EP102">
        <v>0</v>
      </c>
    </row>
    <row r="103" spans="1:146" ht="96" x14ac:dyDescent="0.25">
      <c r="A103" s="10"/>
      <c r="B103" s="10"/>
      <c r="C103" s="7" t="str">
        <f>""&amp;CHAR(10)&amp;Basic_Fundamental_Information_Constructure(F103)&amp;CHAR(10)&amp;Basic_Fundamental_Information_Concatenate("")</f>
        <v xml:space="preserve">
市值18.21578亿, 利润2242.73万; PE13.21; 平均PE14.18, PB2.63; ROIC24.0533%; ROE28.51%; 股利率1.308%; 毛利39.1167%; 净利28.7467%; 上一年度营收增-81%, 利润增-78.44%; 当季营收增-69.91%, 利润增-34.71%; 过往5年营收增0%, 利润增0%
Income profile:
</v>
      </c>
      <c r="D103">
        <v>834033</v>
      </c>
      <c r="E103" t="s">
        <v>1581</v>
      </c>
      <c r="F103">
        <v>15.29</v>
      </c>
      <c r="G103" s="5">
        <v>-1.99</v>
      </c>
      <c r="H103" t="s">
        <v>4751</v>
      </c>
      <c r="I103">
        <v>1821578000</v>
      </c>
      <c r="J103">
        <v>13.21</v>
      </c>
      <c r="K103">
        <v>2.63</v>
      </c>
      <c r="L103" t="s">
        <v>2604</v>
      </c>
      <c r="M103" t="s">
        <v>495</v>
      </c>
      <c r="N103" t="s">
        <v>372</v>
      </c>
      <c r="O103" t="s">
        <v>4752</v>
      </c>
      <c r="P103">
        <v>-41.89</v>
      </c>
      <c r="Q103" t="s">
        <v>4752</v>
      </c>
      <c r="R103">
        <v>22427349</v>
      </c>
      <c r="S103" s="5">
        <v>-0.34710000000000002</v>
      </c>
      <c r="T103" t="s">
        <v>4753</v>
      </c>
      <c r="U103">
        <v>41640980</v>
      </c>
      <c r="V103">
        <v>91642500</v>
      </c>
      <c r="W103">
        <v>1.24</v>
      </c>
      <c r="X103">
        <v>0.08</v>
      </c>
      <c r="Y103">
        <v>33.72</v>
      </c>
      <c r="Z103" t="s">
        <v>4754</v>
      </c>
      <c r="AA103" t="s">
        <v>4755</v>
      </c>
      <c r="AB103" t="s">
        <v>4756</v>
      </c>
      <c r="AC103" t="s">
        <v>4757</v>
      </c>
      <c r="AD103" t="s">
        <v>4758</v>
      </c>
      <c r="AE103">
        <v>201070</v>
      </c>
      <c r="AF103" t="s">
        <v>4759</v>
      </c>
      <c r="AG103" t="s">
        <v>4760</v>
      </c>
      <c r="AH103" t="s">
        <v>4761</v>
      </c>
      <c r="AI103" t="s">
        <v>447</v>
      </c>
      <c r="AJ103" t="s">
        <v>9</v>
      </c>
      <c r="AK103" t="s">
        <v>9</v>
      </c>
      <c r="AL103" t="s">
        <v>4762</v>
      </c>
      <c r="AM103" t="s">
        <v>9</v>
      </c>
      <c r="AN103" t="s">
        <v>91</v>
      </c>
      <c r="AO103" t="s">
        <v>1582</v>
      </c>
      <c r="AP103" t="s">
        <v>4763</v>
      </c>
      <c r="AQ103" t="s">
        <v>4764</v>
      </c>
      <c r="AR103" t="s">
        <v>9</v>
      </c>
      <c r="AS103" t="s">
        <v>229</v>
      </c>
      <c r="AT103" t="s">
        <v>9</v>
      </c>
      <c r="AU103" t="s">
        <v>4765</v>
      </c>
      <c r="AV103" t="s">
        <v>4766</v>
      </c>
      <c r="AW103" t="s">
        <v>4767</v>
      </c>
      <c r="AX103" t="s">
        <v>457</v>
      </c>
      <c r="AY103" t="s">
        <v>61</v>
      </c>
      <c r="AZ103" t="s">
        <v>470</v>
      </c>
      <c r="BA103" t="s">
        <v>20</v>
      </c>
      <c r="BB103" t="s">
        <v>1583</v>
      </c>
      <c r="BC103" t="s">
        <v>63</v>
      </c>
      <c r="BD103" t="s">
        <v>1584</v>
      </c>
      <c r="BE103" t="s">
        <v>1585</v>
      </c>
      <c r="BF103" t="s">
        <v>1586</v>
      </c>
      <c r="BG103" t="s">
        <v>1587</v>
      </c>
      <c r="BH103" t="s">
        <v>452</v>
      </c>
      <c r="BI103" t="s">
        <v>620</v>
      </c>
      <c r="BJ103" t="s">
        <v>457</v>
      </c>
      <c r="BK103" t="s">
        <v>114</v>
      </c>
      <c r="BL103" t="s">
        <v>1588</v>
      </c>
      <c r="BM103" t="s">
        <v>63</v>
      </c>
      <c r="BN103">
        <v>18.77</v>
      </c>
      <c r="BO103">
        <v>27.64</v>
      </c>
      <c r="BP103">
        <v>25.75</v>
      </c>
      <c r="BQ103">
        <v>19.29</v>
      </c>
      <c r="BR103">
        <v>39.86</v>
      </c>
      <c r="BS103">
        <v>26.38</v>
      </c>
      <c r="BT103" t="s">
        <v>4513</v>
      </c>
      <c r="BU103" t="s">
        <v>987</v>
      </c>
      <c r="BV103">
        <v>43.85</v>
      </c>
      <c r="BW103">
        <v>38.57</v>
      </c>
      <c r="BX103">
        <v>34.93</v>
      </c>
      <c r="BY103">
        <v>33.9</v>
      </c>
      <c r="BZ103">
        <v>29.72</v>
      </c>
      <c r="CA103">
        <v>22.62</v>
      </c>
      <c r="CB103">
        <v>2.48</v>
      </c>
      <c r="CC103">
        <v>-17.13</v>
      </c>
      <c r="CD103" t="s">
        <v>4768</v>
      </c>
      <c r="CE103" t="s">
        <v>4769</v>
      </c>
      <c r="CF103" s="8">
        <v>-0.69908235294117649</v>
      </c>
      <c r="CG103" s="9">
        <v>-0.34710000000000002</v>
      </c>
      <c r="CH103" s="8">
        <v>-0.80999207496643066</v>
      </c>
      <c r="CI103" s="8">
        <v>0.55555558204650879</v>
      </c>
      <c r="CJ103" s="8">
        <v>4.1666667908430099E-2</v>
      </c>
      <c r="CK103" s="8">
        <v>0.62406015396118164</v>
      </c>
      <c r="CL103" s="8">
        <v>0.68235820531845093</v>
      </c>
      <c r="CM103" s="9">
        <v>-0.78435289859771729</v>
      </c>
      <c r="CN103" s="9">
        <v>1.041192889213562</v>
      </c>
      <c r="CO103" s="9">
        <v>-0.13393506407737732</v>
      </c>
      <c r="CP103" s="9">
        <v>2.8305020332336426</v>
      </c>
      <c r="CQ103" s="9">
        <v>4.7916507720947266</v>
      </c>
      <c r="CR103">
        <v>14.182915308431783</v>
      </c>
      <c r="CS103" t="e">
        <v>#DIV/0!</v>
      </c>
      <c r="CT103">
        <v>1.3080444735120995</v>
      </c>
      <c r="CU103" s="8">
        <v>0</v>
      </c>
      <c r="CV103" s="9">
        <v>0</v>
      </c>
      <c r="CW103">
        <v>0.06</v>
      </c>
      <c r="CX103">
        <v>61.564819661751528</v>
      </c>
      <c r="CY103">
        <v>21157830.188679244</v>
      </c>
      <c r="CZ103">
        <v>0</v>
      </c>
      <c r="DA103">
        <v>21.728304866171637</v>
      </c>
      <c r="DB103">
        <v>59948440.894160941</v>
      </c>
      <c r="DC103">
        <v>0</v>
      </c>
      <c r="DD103">
        <v>11.811305233959166</v>
      </c>
      <c r="DE103">
        <v>110282307.8566207</v>
      </c>
      <c r="DF103">
        <v>0</v>
      </c>
      <c r="DG103">
        <v>7.8912135336304932</v>
      </c>
      <c r="DH103">
        <v>165066880.3281928</v>
      </c>
      <c r="DI103">
        <v>0</v>
      </c>
      <c r="DJ103">
        <v>5.0636806863863795</v>
      </c>
      <c r="DK103">
        <v>257239364.14512846</v>
      </c>
      <c r="DL103">
        <v>0</v>
      </c>
      <c r="DM103">
        <v>22427300</v>
      </c>
      <c r="DN103">
        <v>0</v>
      </c>
      <c r="DO103">
        <v>1302578000</v>
      </c>
      <c r="DP103">
        <v>409266610</v>
      </c>
      <c r="DQ103">
        <v>102</v>
      </c>
      <c r="DR103">
        <v>-0.69908235294117649</v>
      </c>
      <c r="DS103">
        <v>-0.34710000000000002</v>
      </c>
      <c r="DT103">
        <v>-0.44</v>
      </c>
      <c r="DU103">
        <v>-0.44</v>
      </c>
      <c r="DV103">
        <v>-0.88</v>
      </c>
      <c r="DW103">
        <v>-3.012779761904762</v>
      </c>
      <c r="DX103">
        <v>0.31072964334168807</v>
      </c>
      <c r="DY103">
        <v>-3.0026930746681821</v>
      </c>
      <c r="DZ103">
        <v>0</v>
      </c>
      <c r="EA103">
        <v>-3.0026930746681821</v>
      </c>
      <c r="EB103">
        <v>3</v>
      </c>
      <c r="EC103">
        <v>3.9998908803229941E-2</v>
      </c>
      <c r="ED103">
        <v>0.18981149575797254</v>
      </c>
      <c r="EE103">
        <v>0</v>
      </c>
      <c r="EF103">
        <v>0</v>
      </c>
      <c r="EG103">
        <v>10.210729643341688</v>
      </c>
      <c r="EH103" t="s">
        <v>86</v>
      </c>
      <c r="EI103">
        <v>0</v>
      </c>
      <c r="EJ103">
        <v>0</v>
      </c>
      <c r="EK103">
        <v>0</v>
      </c>
      <c r="EL103">
        <v>0</v>
      </c>
      <c r="EM103">
        <v>0</v>
      </c>
      <c r="EN103">
        <v>0</v>
      </c>
      <c r="EO103">
        <v>0</v>
      </c>
      <c r="EP103">
        <v>0</v>
      </c>
    </row>
    <row r="104" spans="1:146" ht="96" x14ac:dyDescent="0.25">
      <c r="A104" s="10"/>
      <c r="B104" s="10"/>
      <c r="C104" s="7" t="str">
        <f>""&amp;CHAR(10)&amp;Basic_Fundamental_Information_Constructure(F104)&amp;CHAR(10)&amp;Basic_Fundamental_Information_Concatenate("")</f>
        <v xml:space="preserve">
市值9.408亿, 利润439.88万; PE19.6; 平均PE-33.35, PB2.6; ROIC52.2733%; ROE34.57%; 股利率5.3155%; 毛利21.52%; 净利12.9867%; 上一年度营收增-88.44%, 利润增-93.35%; 当季营收增-77.83%, 利润增-42.92%; 过往5年营收增0%, 利润增0%
Income profile:
</v>
      </c>
      <c r="D104">
        <v>834058</v>
      </c>
      <c r="E104" t="s">
        <v>1589</v>
      </c>
      <c r="F104">
        <v>16.8</v>
      </c>
      <c r="G104" s="5">
        <v>-2.33</v>
      </c>
      <c r="H104" t="s">
        <v>4770</v>
      </c>
      <c r="I104">
        <v>940800000</v>
      </c>
      <c r="J104">
        <v>19.600000000000001</v>
      </c>
      <c r="K104">
        <v>2.6</v>
      </c>
      <c r="L104" t="s">
        <v>2604</v>
      </c>
      <c r="M104" t="s">
        <v>117</v>
      </c>
      <c r="N104" t="s">
        <v>137</v>
      </c>
      <c r="O104" t="s">
        <v>4771</v>
      </c>
      <c r="P104">
        <v>-29.2</v>
      </c>
      <c r="Q104" t="s">
        <v>4771</v>
      </c>
      <c r="R104">
        <v>4398849</v>
      </c>
      <c r="S104" s="6">
        <v>-0.42920000000000003</v>
      </c>
      <c r="T104" t="s">
        <v>4559</v>
      </c>
      <c r="U104">
        <v>14042392</v>
      </c>
      <c r="V104">
        <v>56000000</v>
      </c>
      <c r="W104">
        <v>1.53</v>
      </c>
      <c r="X104">
        <v>0.09</v>
      </c>
      <c r="Y104">
        <v>8.98</v>
      </c>
      <c r="Z104" t="s">
        <v>4772</v>
      </c>
      <c r="AA104" t="s">
        <v>4773</v>
      </c>
      <c r="AB104" t="s">
        <v>4774</v>
      </c>
      <c r="AC104" t="s">
        <v>4775</v>
      </c>
      <c r="AD104" t="s">
        <v>4776</v>
      </c>
      <c r="AE104">
        <v>1642733</v>
      </c>
      <c r="AF104" t="s">
        <v>4777</v>
      </c>
      <c r="AG104" t="s">
        <v>4778</v>
      </c>
      <c r="AH104" t="s">
        <v>4779</v>
      </c>
      <c r="AI104" t="s">
        <v>70</v>
      </c>
      <c r="AJ104" t="s">
        <v>9</v>
      </c>
      <c r="AK104" t="s">
        <v>9</v>
      </c>
      <c r="AL104" t="s">
        <v>4780</v>
      </c>
      <c r="AM104" t="s">
        <v>9</v>
      </c>
      <c r="AN104" t="s">
        <v>4781</v>
      </c>
      <c r="AO104" t="s">
        <v>4782</v>
      </c>
      <c r="AP104" t="s">
        <v>4783</v>
      </c>
      <c r="AQ104" t="s">
        <v>4784</v>
      </c>
      <c r="AR104" t="s">
        <v>9</v>
      </c>
      <c r="AS104" t="s">
        <v>377</v>
      </c>
      <c r="AT104" t="s">
        <v>9</v>
      </c>
      <c r="AU104" t="s">
        <v>4785</v>
      </c>
      <c r="AV104" t="s">
        <v>4786</v>
      </c>
      <c r="AW104" t="s">
        <v>4787</v>
      </c>
      <c r="AX104" t="s">
        <v>531</v>
      </c>
      <c r="AY104" t="s">
        <v>1591</v>
      </c>
      <c r="AZ104" t="s">
        <v>428</v>
      </c>
      <c r="BA104" t="s">
        <v>131</v>
      </c>
      <c r="BB104" t="s">
        <v>131</v>
      </c>
      <c r="BC104" t="s">
        <v>4788</v>
      </c>
      <c r="BD104" t="s">
        <v>1592</v>
      </c>
      <c r="BE104" t="s">
        <v>1593</v>
      </c>
      <c r="BF104" t="s">
        <v>1594</v>
      </c>
      <c r="BG104" t="s">
        <v>1595</v>
      </c>
      <c r="BH104" t="s">
        <v>688</v>
      </c>
      <c r="BI104" t="s">
        <v>620</v>
      </c>
      <c r="BJ104" t="s">
        <v>531</v>
      </c>
      <c r="BK104" t="s">
        <v>4789</v>
      </c>
      <c r="BL104" t="s">
        <v>1596</v>
      </c>
      <c r="BM104" t="s">
        <v>4788</v>
      </c>
      <c r="BN104">
        <v>12.16</v>
      </c>
      <c r="BO104">
        <v>43.82</v>
      </c>
      <c r="BP104">
        <v>100.84</v>
      </c>
      <c r="BQ104">
        <v>17.75</v>
      </c>
      <c r="BR104">
        <v>51.39</v>
      </c>
      <c r="BS104" t="s">
        <v>9</v>
      </c>
      <c r="BT104" t="s">
        <v>4790</v>
      </c>
      <c r="BU104" t="s">
        <v>1590</v>
      </c>
      <c r="BV104">
        <v>21.79</v>
      </c>
      <c r="BW104">
        <v>21.85</v>
      </c>
      <c r="BX104">
        <v>20.92</v>
      </c>
      <c r="BY104">
        <v>10.72</v>
      </c>
      <c r="BZ104">
        <v>15.6</v>
      </c>
      <c r="CA104">
        <v>12.64</v>
      </c>
      <c r="CB104">
        <v>-8.1</v>
      </c>
      <c r="CC104">
        <v>-19.18</v>
      </c>
      <c r="CD104" t="s">
        <v>4791</v>
      </c>
      <c r="CE104" t="s">
        <v>4792</v>
      </c>
      <c r="CF104" s="8">
        <v>-0.77827330316742083</v>
      </c>
      <c r="CG104" s="9">
        <v>-0.42920000000000003</v>
      </c>
      <c r="CH104" s="8">
        <v>-0.8844301700592041</v>
      </c>
      <c r="CI104" s="8">
        <v>-0.40365681052207947</v>
      </c>
      <c r="CJ104" s="8">
        <v>1.2358490228652954</v>
      </c>
      <c r="CK104" s="8">
        <v>0.65625</v>
      </c>
      <c r="CL104" s="8">
        <v>0</v>
      </c>
      <c r="CM104" s="9">
        <v>-0.93348163366317749</v>
      </c>
      <c r="CN104" s="9">
        <v>-0.26422089338302612</v>
      </c>
      <c r="CO104" s="9">
        <v>2.2641339302062988</v>
      </c>
      <c r="CP104" s="9">
        <v>1.1084854602813721</v>
      </c>
      <c r="CQ104" s="9">
        <v>2.2199086844921112E-2</v>
      </c>
      <c r="CR104">
        <v>-33.35367910910319</v>
      </c>
      <c r="CS104" t="e">
        <v>#DIV/0!</v>
      </c>
      <c r="CT104">
        <v>5.3154761904761898</v>
      </c>
      <c r="CU104" s="8">
        <v>0</v>
      </c>
      <c r="CV104" s="9">
        <v>0</v>
      </c>
      <c r="CW104">
        <v>0.06</v>
      </c>
      <c r="CX104">
        <v>190.56288078566882</v>
      </c>
      <c r="CY104">
        <v>4149811.3207547166</v>
      </c>
      <c r="CZ104">
        <v>0</v>
      </c>
      <c r="DA104">
        <v>67.256078920334687</v>
      </c>
      <c r="DB104">
        <v>11758044.963291844</v>
      </c>
      <c r="DC104">
        <v>0</v>
      </c>
      <c r="DD104">
        <v>36.559781439926191</v>
      </c>
      <c r="DE104">
        <v>21630326.245232511</v>
      </c>
      <c r="DF104">
        <v>0</v>
      </c>
      <c r="DG104">
        <v>24.425839174474753</v>
      </c>
      <c r="DH104">
        <v>32375550.921762962</v>
      </c>
      <c r="DI104">
        <v>0</v>
      </c>
      <c r="DJ104">
        <v>15.673717299557644</v>
      </c>
      <c r="DK104">
        <v>50453889.456224822</v>
      </c>
      <c r="DL104">
        <v>0</v>
      </c>
      <c r="DM104">
        <v>4398800</v>
      </c>
      <c r="DN104">
        <v>0</v>
      </c>
      <c r="DO104">
        <v>790800000</v>
      </c>
      <c r="DP104">
        <v>153860970</v>
      </c>
      <c r="DQ104">
        <v>103</v>
      </c>
      <c r="DR104">
        <v>-0.77827330316742083</v>
      </c>
      <c r="DS104">
        <v>-0.42920000000000003</v>
      </c>
      <c r="DT104">
        <v>-0.44</v>
      </c>
      <c r="DU104">
        <v>-0.44</v>
      </c>
      <c r="DV104">
        <v>-0.88</v>
      </c>
      <c r="DW104">
        <v>-9.4223149113660067</v>
      </c>
      <c r="DX104">
        <v>0.320142477579342</v>
      </c>
      <c r="DY104">
        <v>-9.0296222142019129</v>
      </c>
      <c r="DZ104">
        <v>0</v>
      </c>
      <c r="EA104">
        <v>-9.0296222142019129</v>
      </c>
      <c r="EB104">
        <v>9</v>
      </c>
      <c r="EC104">
        <v>2.9133928571428571E-2</v>
      </c>
      <c r="ED104">
        <v>0.41535357142857143</v>
      </c>
      <c r="EE104">
        <v>0</v>
      </c>
      <c r="EF104">
        <v>0</v>
      </c>
      <c r="EG104">
        <v>25.070142477579342</v>
      </c>
      <c r="EH104" t="s">
        <v>86</v>
      </c>
      <c r="EI104">
        <v>0</v>
      </c>
      <c r="EJ104">
        <v>0</v>
      </c>
      <c r="EK104">
        <v>0</v>
      </c>
      <c r="EL104">
        <v>0</v>
      </c>
      <c r="EM104">
        <v>0</v>
      </c>
      <c r="EN104">
        <v>0</v>
      </c>
      <c r="EO104">
        <v>0</v>
      </c>
      <c r="EP104">
        <v>0</v>
      </c>
    </row>
    <row r="105" spans="1:146" ht="108" x14ac:dyDescent="0.25">
      <c r="A105" s="10"/>
      <c r="B105" s="10"/>
      <c r="C105" s="7" t="str">
        <f>""&amp;CHAR(10)&amp;Basic_Fundamental_Information_Constructure(F105)&amp;CHAR(10)&amp;Basic_Fundamental_Information_Concatenate("")</f>
        <v xml:space="preserve">
市值9.6465105亿, 利润367.39万; PE16.24; 平均PE.97, PB1.41; ROIC7.95%; ROE10.24%; 股利率1.9342%; 毛利19.2133%; 净利6.8333%; 上一年度营收增-76.52%, 利润增-93.64%; 当季营收增-55.94%, 利润增-78.79%; 过往5年营收增0%, 利润增0%
Income profile:
</v>
      </c>
      <c r="D105">
        <v>834062</v>
      </c>
      <c r="E105" t="s">
        <v>1597</v>
      </c>
      <c r="F105">
        <v>5.17</v>
      </c>
      <c r="G105" s="5">
        <v>-2.08</v>
      </c>
      <c r="H105" t="s">
        <v>4793</v>
      </c>
      <c r="I105">
        <v>964651050</v>
      </c>
      <c r="J105">
        <v>16.239999999999998</v>
      </c>
      <c r="K105">
        <v>1.41</v>
      </c>
      <c r="L105" t="s">
        <v>2604</v>
      </c>
      <c r="M105" t="s">
        <v>366</v>
      </c>
      <c r="N105" t="s">
        <v>341</v>
      </c>
      <c r="O105" t="s">
        <v>585</v>
      </c>
      <c r="P105">
        <v>7.48</v>
      </c>
      <c r="Q105" t="s">
        <v>585</v>
      </c>
      <c r="R105">
        <v>3673913</v>
      </c>
      <c r="S105" s="5">
        <v>-0.78790000000000004</v>
      </c>
      <c r="T105" t="s">
        <v>4794</v>
      </c>
      <c r="U105">
        <v>125238355</v>
      </c>
      <c r="V105">
        <v>184086280</v>
      </c>
      <c r="W105">
        <v>2.25</v>
      </c>
      <c r="X105">
        <v>0.14000000000000001</v>
      </c>
      <c r="Y105">
        <v>1.78</v>
      </c>
      <c r="Z105" t="s">
        <v>416</v>
      </c>
      <c r="AA105" t="s">
        <v>849</v>
      </c>
      <c r="AB105" t="s">
        <v>4795</v>
      </c>
      <c r="AC105" t="s">
        <v>4796</v>
      </c>
      <c r="AD105" t="s">
        <v>4797</v>
      </c>
      <c r="AE105">
        <v>2862125</v>
      </c>
      <c r="AF105" t="s">
        <v>4798</v>
      </c>
      <c r="AG105" t="s">
        <v>4799</v>
      </c>
      <c r="AH105" t="s">
        <v>4800</v>
      </c>
      <c r="AI105" t="s">
        <v>4801</v>
      </c>
      <c r="AJ105" t="s">
        <v>9</v>
      </c>
      <c r="AK105" t="s">
        <v>4802</v>
      </c>
      <c r="AL105" t="s">
        <v>4803</v>
      </c>
      <c r="AM105" t="s">
        <v>9</v>
      </c>
      <c r="AN105" t="s">
        <v>260</v>
      </c>
      <c r="AO105" t="s">
        <v>656</v>
      </c>
      <c r="AP105" t="s">
        <v>4804</v>
      </c>
      <c r="AQ105" t="s">
        <v>227</v>
      </c>
      <c r="AR105" t="s">
        <v>9</v>
      </c>
      <c r="AS105" t="s">
        <v>417</v>
      </c>
      <c r="AT105" t="s">
        <v>374</v>
      </c>
      <c r="AU105" t="s">
        <v>4805</v>
      </c>
      <c r="AV105" t="s">
        <v>4806</v>
      </c>
      <c r="AW105" t="s">
        <v>67</v>
      </c>
      <c r="AX105" t="s">
        <v>521</v>
      </c>
      <c r="AY105" t="s">
        <v>583</v>
      </c>
      <c r="AZ105" t="s">
        <v>456</v>
      </c>
      <c r="BA105" t="s">
        <v>257</v>
      </c>
      <c r="BB105" t="s">
        <v>147</v>
      </c>
      <c r="BC105" t="s">
        <v>1600</v>
      </c>
      <c r="BD105" t="s">
        <v>1602</v>
      </c>
      <c r="BE105" t="s">
        <v>1603</v>
      </c>
      <c r="BF105" t="s">
        <v>1604</v>
      </c>
      <c r="BG105" t="s">
        <v>1605</v>
      </c>
      <c r="BH105" t="s">
        <v>4807</v>
      </c>
      <c r="BI105" t="s">
        <v>140</v>
      </c>
      <c r="BJ105" t="s">
        <v>521</v>
      </c>
      <c r="BK105" t="s">
        <v>4808</v>
      </c>
      <c r="BL105" t="s">
        <v>1606</v>
      </c>
      <c r="BM105" t="s">
        <v>1600</v>
      </c>
      <c r="BN105">
        <v>6.15</v>
      </c>
      <c r="BO105">
        <v>8.9700000000000006</v>
      </c>
      <c r="BP105">
        <v>8.73</v>
      </c>
      <c r="BQ105">
        <v>8.2799999999999994</v>
      </c>
      <c r="BR105">
        <v>11.51</v>
      </c>
      <c r="BS105">
        <v>10.93</v>
      </c>
      <c r="BT105" t="s">
        <v>886</v>
      </c>
      <c r="BU105" t="s">
        <v>1598</v>
      </c>
      <c r="BV105">
        <v>19.21</v>
      </c>
      <c r="BW105">
        <v>19.14</v>
      </c>
      <c r="BX105">
        <v>19.29</v>
      </c>
      <c r="BY105">
        <v>7.27</v>
      </c>
      <c r="BZ105">
        <v>6.64</v>
      </c>
      <c r="CA105">
        <v>6.59</v>
      </c>
      <c r="CB105">
        <v>-5.31</v>
      </c>
      <c r="CC105">
        <v>-8.33</v>
      </c>
      <c r="CD105" t="s">
        <v>4809</v>
      </c>
      <c r="CE105" t="s">
        <v>4810</v>
      </c>
      <c r="CF105" s="8">
        <v>-0.55939524838012955</v>
      </c>
      <c r="CG105" s="9">
        <v>-0.78790000000000004</v>
      </c>
      <c r="CH105" s="8">
        <v>-0.7652474045753479</v>
      </c>
      <c r="CI105" s="8">
        <v>0.33486944437026978</v>
      </c>
      <c r="CJ105" s="8">
        <v>0.14010508358478546</v>
      </c>
      <c r="CK105" s="8">
        <v>0.20210526883602142</v>
      </c>
      <c r="CL105" s="8">
        <v>0.19949494302272797</v>
      </c>
      <c r="CM105" s="9">
        <v>-0.93638116121292114</v>
      </c>
      <c r="CN105" s="9">
        <v>0.3363153338432312</v>
      </c>
      <c r="CO105" s="9">
        <v>-0.14918097853660583</v>
      </c>
      <c r="CP105" s="9">
        <v>0.32837814092636108</v>
      </c>
      <c r="CQ105" s="9">
        <v>0.16610093414783478</v>
      </c>
      <c r="CR105">
        <v>0.97101542495052451</v>
      </c>
      <c r="CS105" t="e">
        <v>#DIV/0!</v>
      </c>
      <c r="CT105">
        <v>1.9342359767891684</v>
      </c>
      <c r="CU105" s="8">
        <v>0</v>
      </c>
      <c r="CV105" s="9">
        <v>0</v>
      </c>
      <c r="CW105">
        <v>0.06</v>
      </c>
      <c r="CX105">
        <v>313.81096736438121</v>
      </c>
      <c r="CY105">
        <v>3465943.3962264149</v>
      </c>
      <c r="CZ105">
        <v>0</v>
      </c>
      <c r="DA105">
        <v>110.75449269085901</v>
      </c>
      <c r="DB105">
        <v>9820378.601127103</v>
      </c>
      <c r="DC105">
        <v>0</v>
      </c>
      <c r="DD105">
        <v>60.205116195726596</v>
      </c>
      <c r="DE105">
        <v>18065757.841311205</v>
      </c>
      <c r="DF105">
        <v>0</v>
      </c>
      <c r="DG105">
        <v>40.223448493360358</v>
      </c>
      <c r="DH105">
        <v>27040223.818192452</v>
      </c>
      <c r="DI105">
        <v>0</v>
      </c>
      <c r="DJ105">
        <v>25.810820909566768</v>
      </c>
      <c r="DK105">
        <v>42139343.564886875</v>
      </c>
      <c r="DL105">
        <v>0</v>
      </c>
      <c r="DM105">
        <v>3673900</v>
      </c>
      <c r="DN105">
        <v>0</v>
      </c>
      <c r="DO105">
        <v>1087651050</v>
      </c>
      <c r="DP105">
        <v>384361540</v>
      </c>
      <c r="DQ105">
        <v>104</v>
      </c>
      <c r="DR105">
        <v>-0.55939524838012955</v>
      </c>
      <c r="DS105">
        <v>-0.78790000000000004</v>
      </c>
      <c r="DT105">
        <v>-0.44</v>
      </c>
      <c r="DU105">
        <v>-0.44</v>
      </c>
      <c r="DV105">
        <v>-0.88</v>
      </c>
      <c r="DW105">
        <v>-8.6374549819927964</v>
      </c>
      <c r="DX105">
        <v>0.16247740302730343</v>
      </c>
      <c r="DY105">
        <v>-8.0398265318217259</v>
      </c>
      <c r="DZ105">
        <v>0</v>
      </c>
      <c r="EA105">
        <v>-8.0398265318217259</v>
      </c>
      <c r="EB105">
        <v>8</v>
      </c>
      <c r="EC105">
        <v>2.919011672135479E-2</v>
      </c>
      <c r="ED105">
        <v>0.46721081006145587</v>
      </c>
      <c r="EE105">
        <v>0</v>
      </c>
      <c r="EF105">
        <v>0</v>
      </c>
      <c r="EG105">
        <v>10.062477403027303</v>
      </c>
      <c r="EH105" t="s">
        <v>86</v>
      </c>
      <c r="EI105">
        <v>0</v>
      </c>
      <c r="EJ105">
        <v>0</v>
      </c>
      <c r="EK105">
        <v>0</v>
      </c>
      <c r="EL105">
        <v>0</v>
      </c>
      <c r="EM105">
        <v>0</v>
      </c>
      <c r="EN105">
        <v>0</v>
      </c>
      <c r="EO105">
        <v>0</v>
      </c>
      <c r="EP105">
        <v>0</v>
      </c>
    </row>
    <row r="106" spans="1:146" ht="96" x14ac:dyDescent="0.25">
      <c r="A106" s="10"/>
      <c r="B106" s="10"/>
      <c r="C106" s="7" t="str">
        <f>""&amp;CHAR(10)&amp;Basic_Fundamental_Information_Constructure(F106)&amp;CHAR(10)&amp;Basic_Fundamental_Information_Concatenate("")</f>
        <v xml:space="preserve">
市值18.865402亿, 利润4093.87万; PE14.71; 平均PE-371.64, PB1.28; ROIC13.2833%; ROE11.57%; 股利率4.6296%; 毛利7.04%; 净利2.6667%; 上一年度营收增-74.54%, 利润增-78.57%; 当季营收增-46.68%, 利润增2.41%; 过往5年营收增0%, 利润增0%
Income profile:
</v>
      </c>
      <c r="D106">
        <v>834261</v>
      </c>
      <c r="E106" t="s">
        <v>1607</v>
      </c>
      <c r="F106">
        <v>6.48</v>
      </c>
      <c r="G106" s="5">
        <v>-0.61</v>
      </c>
      <c r="H106" t="s">
        <v>2722</v>
      </c>
      <c r="I106">
        <v>1886540200</v>
      </c>
      <c r="J106">
        <v>14.71</v>
      </c>
      <c r="K106">
        <v>1.28</v>
      </c>
      <c r="L106" t="s">
        <v>2604</v>
      </c>
      <c r="M106" t="s">
        <v>4811</v>
      </c>
      <c r="N106" t="s">
        <v>4812</v>
      </c>
      <c r="O106" t="s">
        <v>4813</v>
      </c>
      <c r="P106">
        <v>14.63</v>
      </c>
      <c r="Q106" t="s">
        <v>4813</v>
      </c>
      <c r="R106">
        <v>40938739</v>
      </c>
      <c r="S106" s="5">
        <v>2.41E-2</v>
      </c>
      <c r="T106" t="s">
        <v>4814</v>
      </c>
      <c r="U106">
        <v>121309477</v>
      </c>
      <c r="V106">
        <v>291132750</v>
      </c>
      <c r="W106">
        <v>1.63</v>
      </c>
      <c r="X106">
        <v>0.68</v>
      </c>
      <c r="Y106">
        <v>2.5499999999999998</v>
      </c>
      <c r="Z106" t="s">
        <v>4815</v>
      </c>
      <c r="AA106" t="s">
        <v>4816</v>
      </c>
      <c r="AB106" t="s">
        <v>4817</v>
      </c>
      <c r="AC106" t="s">
        <v>4818</v>
      </c>
      <c r="AD106" t="s">
        <v>250</v>
      </c>
      <c r="AE106">
        <v>4362632</v>
      </c>
      <c r="AF106" t="s">
        <v>4819</v>
      </c>
      <c r="AG106" t="s">
        <v>4820</v>
      </c>
      <c r="AH106" t="s">
        <v>4821</v>
      </c>
      <c r="AI106" t="s">
        <v>153</v>
      </c>
      <c r="AJ106" t="s">
        <v>9</v>
      </c>
      <c r="AK106" t="s">
        <v>447</v>
      </c>
      <c r="AL106" t="s">
        <v>4822</v>
      </c>
      <c r="AM106" t="s">
        <v>9</v>
      </c>
      <c r="AN106" t="s">
        <v>168</v>
      </c>
      <c r="AO106" t="s">
        <v>4823</v>
      </c>
      <c r="AP106" t="s">
        <v>4824</v>
      </c>
      <c r="AQ106" t="s">
        <v>511</v>
      </c>
      <c r="AR106" t="s">
        <v>9</v>
      </c>
      <c r="AS106" t="s">
        <v>908</v>
      </c>
      <c r="AT106" t="s">
        <v>9</v>
      </c>
      <c r="AU106" t="s">
        <v>4825</v>
      </c>
      <c r="AV106" t="s">
        <v>4826</v>
      </c>
      <c r="AW106" t="s">
        <v>4827</v>
      </c>
      <c r="AX106" t="s">
        <v>611</v>
      </c>
      <c r="AY106" t="s">
        <v>1609</v>
      </c>
      <c r="AZ106" t="s">
        <v>380</v>
      </c>
      <c r="BA106" t="s">
        <v>461</v>
      </c>
      <c r="BB106" t="s">
        <v>1610</v>
      </c>
      <c r="BC106" t="s">
        <v>378</v>
      </c>
      <c r="BD106" t="s">
        <v>447</v>
      </c>
      <c r="BE106" t="s">
        <v>585</v>
      </c>
      <c r="BF106" t="s">
        <v>149</v>
      </c>
      <c r="BG106" t="s">
        <v>27</v>
      </c>
      <c r="BH106" t="s">
        <v>4828</v>
      </c>
      <c r="BI106" t="s">
        <v>1611</v>
      </c>
      <c r="BJ106" t="s">
        <v>611</v>
      </c>
      <c r="BK106" t="s">
        <v>67</v>
      </c>
      <c r="BL106" t="s">
        <v>1613</v>
      </c>
      <c r="BM106" t="s">
        <v>378</v>
      </c>
      <c r="BN106">
        <v>5.77</v>
      </c>
      <c r="BO106">
        <v>14.83</v>
      </c>
      <c r="BP106">
        <v>19.25</v>
      </c>
      <c r="BQ106">
        <v>6.29</v>
      </c>
      <c r="BR106">
        <v>16.850000000000001</v>
      </c>
      <c r="BS106" t="s">
        <v>9</v>
      </c>
      <c r="BT106" t="s">
        <v>859</v>
      </c>
      <c r="BU106" t="s">
        <v>1608</v>
      </c>
      <c r="BV106">
        <v>6.81</v>
      </c>
      <c r="BW106">
        <v>7.47</v>
      </c>
      <c r="BX106">
        <v>6.84</v>
      </c>
      <c r="BY106">
        <v>2.02</v>
      </c>
      <c r="BZ106">
        <v>3.03</v>
      </c>
      <c r="CA106">
        <v>2.95</v>
      </c>
      <c r="CB106">
        <v>-0.31</v>
      </c>
      <c r="CC106">
        <v>-4.42</v>
      </c>
      <c r="CD106" t="s">
        <v>4829</v>
      </c>
      <c r="CE106" t="s">
        <v>4830</v>
      </c>
      <c r="CF106" s="8">
        <v>-0.46679946879150075</v>
      </c>
      <c r="CG106" s="9">
        <v>2.41E-2</v>
      </c>
      <c r="CH106" s="8">
        <v>-0.74540263414382935</v>
      </c>
      <c r="CI106" s="8">
        <v>-0.20922654867172241</v>
      </c>
      <c r="CJ106" s="8">
        <v>0.56197381019592285</v>
      </c>
      <c r="CK106" s="8">
        <v>0.12118551880121231</v>
      </c>
      <c r="CL106" s="8">
        <v>-2.6276013813912868E-3</v>
      </c>
      <c r="CM106" s="9">
        <v>-0.78566122055053711</v>
      </c>
      <c r="CN106" s="9">
        <v>-0.18723404407501221</v>
      </c>
      <c r="CO106" s="9">
        <v>0.15196079015731812</v>
      </c>
      <c r="CP106" s="9">
        <v>0.2215568870306015</v>
      </c>
      <c r="CQ106" s="9">
        <v>0.54629629850387573</v>
      </c>
      <c r="CR106">
        <v>-371.63808166736163</v>
      </c>
      <c r="CS106" t="e">
        <v>#DIV/0!</v>
      </c>
      <c r="CT106">
        <v>4.6296296296296298</v>
      </c>
      <c r="CU106" s="8">
        <v>0</v>
      </c>
      <c r="CV106" s="9">
        <v>0</v>
      </c>
      <c r="CW106">
        <v>0.06</v>
      </c>
      <c r="CX106">
        <v>33.311575892737196</v>
      </c>
      <c r="CY106">
        <v>38621415.094339617</v>
      </c>
      <c r="CZ106">
        <v>0</v>
      </c>
      <c r="DA106">
        <v>11.756780585839776</v>
      </c>
      <c r="DB106">
        <v>109429634.29542507</v>
      </c>
      <c r="DC106">
        <v>0</v>
      </c>
      <c r="DD106">
        <v>6.3908770114981106</v>
      </c>
      <c r="DE106">
        <v>201308865.38503689</v>
      </c>
      <c r="DF106">
        <v>0</v>
      </c>
      <c r="DG106">
        <v>4.2697884921222284</v>
      </c>
      <c r="DH106">
        <v>301312395.77175081</v>
      </c>
      <c r="DI106">
        <v>0</v>
      </c>
      <c r="DJ106">
        <v>2.7398631947255265</v>
      </c>
      <c r="DK106">
        <v>469563663.79047722</v>
      </c>
      <c r="DL106">
        <v>0</v>
      </c>
      <c r="DM106">
        <v>40938700</v>
      </c>
      <c r="DN106">
        <v>0</v>
      </c>
      <c r="DO106">
        <v>1286540200</v>
      </c>
      <c r="DP106">
        <v>440567550</v>
      </c>
      <c r="DQ106">
        <v>105</v>
      </c>
      <c r="DR106">
        <v>-0.46679946879150075</v>
      </c>
      <c r="DS106">
        <v>2.41E-2</v>
      </c>
      <c r="DT106">
        <v>-0.44</v>
      </c>
      <c r="DU106">
        <v>-0.22</v>
      </c>
      <c r="DV106">
        <v>-0.66</v>
      </c>
      <c r="DW106">
        <v>-1.0442</v>
      </c>
      <c r="DX106">
        <v>0.72905879842066013</v>
      </c>
      <c r="DY106">
        <v>-1.0052623988901932</v>
      </c>
      <c r="DZ106">
        <v>0</v>
      </c>
      <c r="EA106">
        <v>-1.0052623988901932</v>
      </c>
      <c r="EB106">
        <v>1</v>
      </c>
      <c r="EC106">
        <v>3.8322723912029822E-3</v>
      </c>
      <c r="ED106">
        <v>3.2188065410023434E-2</v>
      </c>
      <c r="EE106">
        <v>0</v>
      </c>
      <c r="EF106">
        <v>0</v>
      </c>
      <c r="EG106">
        <v>61.11905879842066</v>
      </c>
      <c r="EH106" t="s">
        <v>86</v>
      </c>
      <c r="EI106">
        <v>0</v>
      </c>
      <c r="EJ106">
        <v>0</v>
      </c>
      <c r="EK106">
        <v>0</v>
      </c>
      <c r="EL106">
        <v>0</v>
      </c>
      <c r="EM106">
        <v>0</v>
      </c>
      <c r="EN106">
        <v>0</v>
      </c>
      <c r="EO106">
        <v>0</v>
      </c>
      <c r="EP106">
        <v>0</v>
      </c>
    </row>
    <row r="107" spans="1:146" ht="108" x14ac:dyDescent="0.25">
      <c r="A107" s="10"/>
      <c r="B107" s="10"/>
      <c r="C107" s="7" t="str">
        <f>""&amp;CHAR(10)&amp;Basic_Fundamental_Information_Constructure(F107)&amp;CHAR(10)&amp;Basic_Fundamental_Information_Concatenate("")</f>
        <v xml:space="preserve">
市值6.219896亿, 利润531.52万; PE29.14; 平均PE1.71, PB2.38; ROIC12.1133%; ROE9.635%; 股利率2.1119%; 毛利48.1067%; 净利15.3667%; 上一年度营收增-81.94%, 利润增-80.47%; 当季营收增-57.17%, 利润增27.33%; 过往5年营收增0%, 利润增0%
Income profile:
</v>
      </c>
      <c r="D107">
        <v>834407</v>
      </c>
      <c r="E107" t="s">
        <v>1614</v>
      </c>
      <c r="F107">
        <v>9.4700000000000006</v>
      </c>
      <c r="G107" s="5">
        <v>0.11</v>
      </c>
      <c r="H107" t="s">
        <v>4831</v>
      </c>
      <c r="I107">
        <v>621989600</v>
      </c>
      <c r="J107">
        <v>29.14</v>
      </c>
      <c r="K107">
        <v>2.38</v>
      </c>
      <c r="L107" t="s">
        <v>2604</v>
      </c>
      <c r="M107" t="s">
        <v>4832</v>
      </c>
      <c r="N107" t="s">
        <v>449</v>
      </c>
      <c r="O107" t="s">
        <v>4833</v>
      </c>
      <c r="P107">
        <v>-14.44</v>
      </c>
      <c r="Q107" t="s">
        <v>4833</v>
      </c>
      <c r="R107">
        <v>5315245</v>
      </c>
      <c r="S107" s="5">
        <v>0.27329999999999999</v>
      </c>
      <c r="T107" t="s">
        <v>4834</v>
      </c>
      <c r="U107">
        <v>14120200</v>
      </c>
      <c r="V107">
        <v>65680000</v>
      </c>
      <c r="W107">
        <v>1.22</v>
      </c>
      <c r="X107">
        <v>0.1</v>
      </c>
      <c r="Y107">
        <v>16.21</v>
      </c>
      <c r="Z107" t="s">
        <v>4835</v>
      </c>
      <c r="AA107" t="s">
        <v>4836</v>
      </c>
      <c r="AB107" t="s">
        <v>4837</v>
      </c>
      <c r="AC107" t="s">
        <v>4838</v>
      </c>
      <c r="AD107" t="s">
        <v>4839</v>
      </c>
      <c r="AE107">
        <v>198782</v>
      </c>
      <c r="AF107" t="s">
        <v>4840</v>
      </c>
      <c r="AG107">
        <v>800.43</v>
      </c>
      <c r="AH107" t="s">
        <v>4841</v>
      </c>
      <c r="AI107" t="s">
        <v>4842</v>
      </c>
      <c r="AJ107" t="s">
        <v>9</v>
      </c>
      <c r="AK107" t="s">
        <v>4843</v>
      </c>
      <c r="AL107" t="s">
        <v>4844</v>
      </c>
      <c r="AM107" t="s">
        <v>9</v>
      </c>
      <c r="AN107" t="s">
        <v>4845</v>
      </c>
      <c r="AO107" t="s">
        <v>9</v>
      </c>
      <c r="AP107" t="s">
        <v>4846</v>
      </c>
      <c r="AQ107" t="s">
        <v>4847</v>
      </c>
      <c r="AR107" t="s">
        <v>9</v>
      </c>
      <c r="AS107" t="s">
        <v>4848</v>
      </c>
      <c r="AT107" t="s">
        <v>9</v>
      </c>
      <c r="AU107" t="s">
        <v>4849</v>
      </c>
      <c r="AV107" t="s">
        <v>4850</v>
      </c>
      <c r="AW107" t="s">
        <v>4851</v>
      </c>
      <c r="AX107" t="s">
        <v>109</v>
      </c>
      <c r="AY107" t="s">
        <v>182</v>
      </c>
      <c r="AZ107" t="s">
        <v>90</v>
      </c>
      <c r="BA107" t="s">
        <v>18</v>
      </c>
      <c r="BB107" t="s">
        <v>1616</v>
      </c>
      <c r="BC107" t="s">
        <v>1615</v>
      </c>
      <c r="BD107" t="s">
        <v>1617</v>
      </c>
      <c r="BE107" t="s">
        <v>1618</v>
      </c>
      <c r="BF107" t="s">
        <v>1619</v>
      </c>
      <c r="BG107" t="s">
        <v>1620</v>
      </c>
      <c r="BH107" t="s">
        <v>233</v>
      </c>
      <c r="BI107" t="s">
        <v>1621</v>
      </c>
      <c r="BJ107" t="s">
        <v>109</v>
      </c>
      <c r="BK107" t="s">
        <v>4852</v>
      </c>
      <c r="BL107" t="s">
        <v>1622</v>
      </c>
      <c r="BM107" t="s">
        <v>1615</v>
      </c>
      <c r="BN107">
        <v>4.17</v>
      </c>
      <c r="BO107">
        <v>14.73</v>
      </c>
      <c r="BP107">
        <v>17.440000000000001</v>
      </c>
      <c r="BQ107">
        <v>3.95</v>
      </c>
      <c r="BR107">
        <v>15.32</v>
      </c>
      <c r="BS107" t="s">
        <v>9</v>
      </c>
      <c r="BT107" t="s">
        <v>851</v>
      </c>
      <c r="BU107" t="s">
        <v>844</v>
      </c>
      <c r="BV107">
        <v>44.89</v>
      </c>
      <c r="BW107">
        <v>46.65</v>
      </c>
      <c r="BX107">
        <v>52.78</v>
      </c>
      <c r="BY107">
        <v>11.19</v>
      </c>
      <c r="BZ107">
        <v>15.18</v>
      </c>
      <c r="CA107">
        <v>19.73</v>
      </c>
      <c r="CB107">
        <v>-0.84</v>
      </c>
      <c r="CC107">
        <v>-0.11</v>
      </c>
      <c r="CD107" t="s">
        <v>4853</v>
      </c>
      <c r="CE107" t="s">
        <v>4854</v>
      </c>
      <c r="CF107" s="8">
        <v>-0.57173262625607091</v>
      </c>
      <c r="CG107" s="9">
        <v>0.27329999999999999</v>
      </c>
      <c r="CH107" s="8">
        <v>-0.81935417652130127</v>
      </c>
      <c r="CI107" s="8">
        <v>0.20134228467941284</v>
      </c>
      <c r="CJ107" s="8">
        <v>0.26271185278892517</v>
      </c>
      <c r="CK107" s="8">
        <v>0.16831682622432709</v>
      </c>
      <c r="CL107" s="8">
        <v>0.20388007164001465</v>
      </c>
      <c r="CM107" s="9">
        <v>-0.80470526218414307</v>
      </c>
      <c r="CN107" s="9">
        <v>-7.9161591827869415E-2</v>
      </c>
      <c r="CO107" s="9">
        <v>0.12853527069091797</v>
      </c>
      <c r="CP107" s="9">
        <v>0.44611382484436035</v>
      </c>
      <c r="CQ107" s="9">
        <v>-3.8067467510700226E-2</v>
      </c>
      <c r="CR107">
        <v>1.7069531419806256</v>
      </c>
      <c r="CS107" t="e">
        <v>#DIV/0!</v>
      </c>
      <c r="CT107">
        <v>2.1119324181626187</v>
      </c>
      <c r="CU107" s="8">
        <v>0</v>
      </c>
      <c r="CV107" s="9">
        <v>0</v>
      </c>
      <c r="CW107">
        <v>0.06</v>
      </c>
      <c r="CX107">
        <v>83.25929861529201</v>
      </c>
      <c r="CY107">
        <v>5014339.6226415085</v>
      </c>
      <c r="CZ107">
        <v>0</v>
      </c>
      <c r="DA107">
        <v>29.385019450980678</v>
      </c>
      <c r="DB107">
        <v>14207593.113778487</v>
      </c>
      <c r="DC107">
        <v>0</v>
      </c>
      <c r="DD107">
        <v>15.97342435036038</v>
      </c>
      <c r="DE107">
        <v>26136562.257583853</v>
      </c>
      <c r="DF107">
        <v>0</v>
      </c>
      <c r="DG107">
        <v>10.671953684642411</v>
      </c>
      <c r="DH107">
        <v>39120334.695679389</v>
      </c>
      <c r="DI107">
        <v>0</v>
      </c>
      <c r="DJ107">
        <v>6.8480425131864315</v>
      </c>
      <c r="DK107">
        <v>60964925.260918021</v>
      </c>
      <c r="DL107">
        <v>0</v>
      </c>
      <c r="DM107">
        <v>5315200</v>
      </c>
      <c r="DN107">
        <v>0</v>
      </c>
      <c r="DO107">
        <v>417490400</v>
      </c>
      <c r="DP107">
        <v>191438920</v>
      </c>
      <c r="DQ107">
        <v>106</v>
      </c>
      <c r="DR107">
        <v>-0.57173262625607091</v>
      </c>
      <c r="DS107">
        <v>0.27329999999999999</v>
      </c>
      <c r="DT107">
        <v>-0.44</v>
      </c>
      <c r="DU107">
        <v>0.6</v>
      </c>
      <c r="DV107">
        <v>0.15999999999999998</v>
      </c>
      <c r="DW107">
        <v>-1.1000000000000001E-3</v>
      </c>
      <c r="DX107">
        <v>0.63604823564297563</v>
      </c>
      <c r="DY107">
        <v>-2.5965305920727492E-4</v>
      </c>
      <c r="DZ107">
        <v>0</v>
      </c>
      <c r="EA107">
        <v>-2.5965305920727492E-4</v>
      </c>
      <c r="EB107">
        <v>0</v>
      </c>
      <c r="EC107">
        <v>3.6359622411693056E-2</v>
      </c>
      <c r="ED107">
        <v>0.15403471376370281</v>
      </c>
      <c r="EE107">
        <v>0</v>
      </c>
      <c r="EF107">
        <v>0</v>
      </c>
      <c r="EG107">
        <v>40.236048235642976</v>
      </c>
      <c r="EH107" t="s">
        <v>86</v>
      </c>
      <c r="EI107">
        <v>0</v>
      </c>
      <c r="EJ107">
        <v>0</v>
      </c>
      <c r="EK107">
        <v>0</v>
      </c>
      <c r="EL107">
        <v>0</v>
      </c>
      <c r="EM107">
        <v>0</v>
      </c>
      <c r="EN107">
        <v>0</v>
      </c>
      <c r="EO107">
        <v>0</v>
      </c>
      <c r="EP107">
        <v>0</v>
      </c>
    </row>
    <row r="108" spans="1:146" ht="108" x14ac:dyDescent="0.25">
      <c r="A108" s="10"/>
      <c r="B108" s="10"/>
      <c r="C108" s="7" t="str">
        <f>""&amp;CHAR(10)&amp;Basic_Fundamental_Information_Constructure(F108)&amp;CHAR(10)&amp;Basic_Fundamental_Information_Concatenate("")</f>
        <v xml:space="preserve">
市值7.6719272亿, 利润308.50万; PE40.97; 平均PE19.23, PB1.49; ROIC2.56%; ROE2.6933%; 股利率1.2821%; 毛利41.06%; 净利8.68%; 上一年度营收增-81.33%, 利润增-55.27%; 当季营收增-58.36%, 利润增-30.56%; 过往5年营收增0%, 利润增0%
Income profile:
</v>
      </c>
      <c r="D108">
        <v>834415</v>
      </c>
      <c r="E108" t="s">
        <v>1623</v>
      </c>
      <c r="F108">
        <v>5.46</v>
      </c>
      <c r="G108" s="5">
        <v>-3.87</v>
      </c>
      <c r="H108" t="s">
        <v>4855</v>
      </c>
      <c r="I108">
        <v>767192720</v>
      </c>
      <c r="J108">
        <v>40.97</v>
      </c>
      <c r="K108">
        <v>1.49</v>
      </c>
      <c r="L108" t="s">
        <v>2604</v>
      </c>
      <c r="M108" t="s">
        <v>487</v>
      </c>
      <c r="N108" t="s">
        <v>2131</v>
      </c>
      <c r="O108" t="s">
        <v>4856</v>
      </c>
      <c r="P108">
        <v>9.7899999999999991</v>
      </c>
      <c r="Q108" t="s">
        <v>4856</v>
      </c>
      <c r="R108">
        <v>3085009</v>
      </c>
      <c r="S108" s="5">
        <v>-0.30559999999999998</v>
      </c>
      <c r="T108" t="s">
        <v>4857</v>
      </c>
      <c r="U108">
        <v>137886910</v>
      </c>
      <c r="V108">
        <v>140511490</v>
      </c>
      <c r="W108">
        <v>1.21</v>
      </c>
      <c r="X108">
        <v>0.05</v>
      </c>
      <c r="Y108">
        <v>9.23</v>
      </c>
      <c r="Z108" t="s">
        <v>4858</v>
      </c>
      <c r="AA108" t="s">
        <v>4859</v>
      </c>
      <c r="AB108" t="s">
        <v>4860</v>
      </c>
      <c r="AC108" t="s">
        <v>4861</v>
      </c>
      <c r="AD108" t="s">
        <v>4862</v>
      </c>
      <c r="AE108">
        <v>81581</v>
      </c>
      <c r="AF108" t="s">
        <v>4863</v>
      </c>
      <c r="AG108">
        <v>4690.4799999999996</v>
      </c>
      <c r="AH108" t="s">
        <v>4864</v>
      </c>
      <c r="AI108" t="s">
        <v>4865</v>
      </c>
      <c r="AJ108" t="s">
        <v>9</v>
      </c>
      <c r="AK108" t="s">
        <v>9</v>
      </c>
      <c r="AL108" t="s">
        <v>4866</v>
      </c>
      <c r="AM108" t="s">
        <v>9</v>
      </c>
      <c r="AN108">
        <v>0</v>
      </c>
      <c r="AO108" t="s">
        <v>4867</v>
      </c>
      <c r="AP108" t="s">
        <v>9</v>
      </c>
      <c r="AQ108" t="s">
        <v>4868</v>
      </c>
      <c r="AR108" t="s">
        <v>9</v>
      </c>
      <c r="AS108" t="s">
        <v>4869</v>
      </c>
      <c r="AT108" t="s">
        <v>9</v>
      </c>
      <c r="AU108" t="s">
        <v>4870</v>
      </c>
      <c r="AV108" t="s">
        <v>4871</v>
      </c>
      <c r="AW108" t="s">
        <v>4872</v>
      </c>
      <c r="AX108" t="s">
        <v>109</v>
      </c>
      <c r="AY108" t="s">
        <v>239</v>
      </c>
      <c r="AZ108" t="s">
        <v>489</v>
      </c>
      <c r="BA108" t="s">
        <v>577</v>
      </c>
      <c r="BB108" t="s">
        <v>449</v>
      </c>
      <c r="BC108" t="s">
        <v>4873</v>
      </c>
      <c r="BD108" t="s">
        <v>1624</v>
      </c>
      <c r="BE108" t="s">
        <v>1625</v>
      </c>
      <c r="BF108" t="s">
        <v>1626</v>
      </c>
      <c r="BG108" t="s">
        <v>1627</v>
      </c>
      <c r="BH108" t="s">
        <v>378</v>
      </c>
      <c r="BI108" t="s">
        <v>1628</v>
      </c>
      <c r="BJ108" t="s">
        <v>109</v>
      </c>
      <c r="BK108" t="s">
        <v>4874</v>
      </c>
      <c r="BL108" t="s">
        <v>1629</v>
      </c>
      <c r="BM108" t="s">
        <v>4873</v>
      </c>
      <c r="BN108">
        <v>2.0699999999999998</v>
      </c>
      <c r="BO108">
        <v>1.27</v>
      </c>
      <c r="BP108">
        <v>4.34</v>
      </c>
      <c r="BQ108">
        <v>2.14</v>
      </c>
      <c r="BR108">
        <v>1.38</v>
      </c>
      <c r="BS108">
        <v>4.5599999999999996</v>
      </c>
      <c r="BT108" t="s">
        <v>3908</v>
      </c>
      <c r="BU108" t="s">
        <v>927</v>
      </c>
      <c r="BV108">
        <v>39.28</v>
      </c>
      <c r="BW108">
        <v>39.83</v>
      </c>
      <c r="BX108">
        <v>44.07</v>
      </c>
      <c r="BY108">
        <v>10.53</v>
      </c>
      <c r="BZ108">
        <v>3.93</v>
      </c>
      <c r="CA108">
        <v>11.58</v>
      </c>
      <c r="CB108">
        <v>-5.7</v>
      </c>
      <c r="CC108">
        <v>-26.12</v>
      </c>
      <c r="CD108" t="s">
        <v>4875</v>
      </c>
      <c r="CE108" t="s">
        <v>377</v>
      </c>
      <c r="CF108" s="8">
        <v>-0.58362493257610959</v>
      </c>
      <c r="CG108" s="9">
        <v>-0.30559999999999998</v>
      </c>
      <c r="CH108" s="8">
        <v>-0.81326925754547119</v>
      </c>
      <c r="CI108" s="8">
        <v>-8.6734697222709656E-2</v>
      </c>
      <c r="CJ108" s="8">
        <v>-0.10091742873191833</v>
      </c>
      <c r="CK108" s="8">
        <v>-0.21863798797130585</v>
      </c>
      <c r="CL108" s="8">
        <v>6.4885497093200684E-2</v>
      </c>
      <c r="CM108" s="9">
        <v>-0.55269759893417358</v>
      </c>
      <c r="CN108" s="9">
        <v>-0.69583278894424438</v>
      </c>
      <c r="CO108" s="9">
        <v>9.9176876246929169E-2</v>
      </c>
      <c r="CP108" s="9">
        <v>-0.16920524835586548</v>
      </c>
      <c r="CQ108" s="9">
        <v>0.24499598145484924</v>
      </c>
      <c r="CR108">
        <v>19.228755181938034</v>
      </c>
      <c r="CS108" t="e">
        <v>#DIV/0!</v>
      </c>
      <c r="CT108">
        <v>1.2820512820512819</v>
      </c>
      <c r="CU108" s="8">
        <v>0</v>
      </c>
      <c r="CV108" s="9">
        <v>0</v>
      </c>
      <c r="CW108">
        <v>0.06</v>
      </c>
      <c r="CX108">
        <v>124.79231222042141</v>
      </c>
      <c r="CY108">
        <v>2910377.3584905658</v>
      </c>
      <c r="CZ108">
        <v>0</v>
      </c>
      <c r="DA108">
        <v>44.04342317215275</v>
      </c>
      <c r="DB108">
        <v>8246241.8640891463</v>
      </c>
      <c r="DC108">
        <v>0</v>
      </c>
      <c r="DD108">
        <v>23.941596817551616</v>
      </c>
      <c r="DE108">
        <v>15169945.545726629</v>
      </c>
      <c r="DF108">
        <v>0</v>
      </c>
      <c r="DG108">
        <v>15.995544021688028</v>
      </c>
      <c r="DH108">
        <v>22705868.553614337</v>
      </c>
      <c r="DI108">
        <v>0</v>
      </c>
      <c r="DJ108">
        <v>10.264115523636198</v>
      </c>
      <c r="DK108">
        <v>35384706.9592738</v>
      </c>
      <c r="DL108">
        <v>0</v>
      </c>
      <c r="DM108">
        <v>3085000</v>
      </c>
      <c r="DN108">
        <v>0</v>
      </c>
      <c r="DO108">
        <v>363192720</v>
      </c>
      <c r="DP108">
        <v>361984000</v>
      </c>
      <c r="DQ108">
        <v>107</v>
      </c>
      <c r="DR108">
        <v>-0.58362493257610959</v>
      </c>
      <c r="DS108">
        <v>-0.30559999999999998</v>
      </c>
      <c r="DT108">
        <v>-0.44</v>
      </c>
      <c r="DU108">
        <v>-0.22</v>
      </c>
      <c r="DV108">
        <v>-0.66</v>
      </c>
      <c r="DW108">
        <v>-8.2182235834609489</v>
      </c>
      <c r="DX108">
        <v>0.26555573770491681</v>
      </c>
      <c r="DY108">
        <v>-8.0208525155022219</v>
      </c>
      <c r="DZ108">
        <v>0</v>
      </c>
      <c r="EA108">
        <v>-8.0208525155022219</v>
      </c>
      <c r="EB108">
        <v>8</v>
      </c>
      <c r="EC108">
        <v>0.12445032075312845</v>
      </c>
      <c r="ED108">
        <v>1.3023845950249335</v>
      </c>
      <c r="EE108">
        <v>0</v>
      </c>
      <c r="EF108">
        <v>0</v>
      </c>
      <c r="EG108">
        <v>17.095555737704917</v>
      </c>
      <c r="EH108" t="s">
        <v>86</v>
      </c>
      <c r="EI108">
        <v>0</v>
      </c>
      <c r="EJ108">
        <v>0</v>
      </c>
      <c r="EK108">
        <v>0</v>
      </c>
      <c r="EL108">
        <v>0</v>
      </c>
      <c r="EM108">
        <v>0</v>
      </c>
      <c r="EN108">
        <v>0</v>
      </c>
      <c r="EO108">
        <v>0</v>
      </c>
      <c r="EP108">
        <v>0</v>
      </c>
    </row>
    <row r="109" spans="1:146" ht="108" x14ac:dyDescent="0.25">
      <c r="A109" s="10"/>
      <c r="B109" s="10"/>
      <c r="C109" s="7" t="str">
        <f>""&amp;CHAR(10)&amp;Basic_Fundamental_Information_Constructure(F109)&amp;CHAR(10)&amp;Basic_Fundamental_Information_Concatenate("")</f>
        <v xml:space="preserve">
市值6.741915亿, 利润358.05万; PE31.36; 平均PE13.05, PB1.84; ROIC9.4533%; ROE11.0133%; 股利率1.8321%; 毛利21.2467%; 净利10.8533%; 上一年度营收增-70.52%, 利润增-92.48%; 当季营收增-52.78%, 利润增-78.39%; 过往5年营收增0%, 利润增0%
Income profile:
</v>
      </c>
      <c r="D109">
        <v>834475</v>
      </c>
      <c r="E109" t="s">
        <v>1630</v>
      </c>
      <c r="F109">
        <v>6.55</v>
      </c>
      <c r="G109" s="5">
        <v>-2.2400000000000002</v>
      </c>
      <c r="H109" t="s">
        <v>4876</v>
      </c>
      <c r="I109">
        <v>674191500</v>
      </c>
      <c r="J109">
        <v>31.36</v>
      </c>
      <c r="K109">
        <v>1.84</v>
      </c>
      <c r="L109" t="s">
        <v>2604</v>
      </c>
      <c r="M109" t="s">
        <v>597</v>
      </c>
      <c r="N109" t="s">
        <v>38</v>
      </c>
      <c r="O109" t="s">
        <v>78</v>
      </c>
      <c r="P109">
        <v>-13.44</v>
      </c>
      <c r="Q109" t="s">
        <v>78</v>
      </c>
      <c r="R109">
        <v>3580546</v>
      </c>
      <c r="S109" s="5">
        <v>-0.78390000000000004</v>
      </c>
      <c r="T109" t="s">
        <v>4877</v>
      </c>
      <c r="U109">
        <v>45520998</v>
      </c>
      <c r="V109">
        <v>102930000</v>
      </c>
      <c r="W109">
        <v>1.44</v>
      </c>
      <c r="X109">
        <v>0.18</v>
      </c>
      <c r="Y109">
        <v>3.52</v>
      </c>
      <c r="Z109" t="s">
        <v>4878</v>
      </c>
      <c r="AA109" t="s">
        <v>4879</v>
      </c>
      <c r="AB109" t="s">
        <v>4880</v>
      </c>
      <c r="AC109" t="s">
        <v>4881</v>
      </c>
      <c r="AD109" t="s">
        <v>4882</v>
      </c>
      <c r="AE109">
        <v>60612</v>
      </c>
      <c r="AF109" t="s">
        <v>17</v>
      </c>
      <c r="AG109" t="s">
        <v>4883</v>
      </c>
      <c r="AH109" t="s">
        <v>4884</v>
      </c>
      <c r="AI109" t="s">
        <v>4885</v>
      </c>
      <c r="AJ109" t="s">
        <v>9</v>
      </c>
      <c r="AK109" t="s">
        <v>4886</v>
      </c>
      <c r="AL109" t="s">
        <v>4887</v>
      </c>
      <c r="AM109" t="s">
        <v>9</v>
      </c>
      <c r="AN109" t="s">
        <v>4888</v>
      </c>
      <c r="AO109" t="s">
        <v>4889</v>
      </c>
      <c r="AP109" t="s">
        <v>4890</v>
      </c>
      <c r="AQ109" t="s">
        <v>4891</v>
      </c>
      <c r="AR109" t="s">
        <v>9</v>
      </c>
      <c r="AS109" t="s">
        <v>114</v>
      </c>
      <c r="AT109" t="s">
        <v>9</v>
      </c>
      <c r="AU109" t="s">
        <v>4892</v>
      </c>
      <c r="AV109" t="s">
        <v>4893</v>
      </c>
      <c r="AW109" t="s">
        <v>4894</v>
      </c>
      <c r="AX109" t="s">
        <v>44</v>
      </c>
      <c r="AY109" t="s">
        <v>174</v>
      </c>
      <c r="AZ109" t="s">
        <v>75</v>
      </c>
      <c r="BA109" t="s">
        <v>42</v>
      </c>
      <c r="BB109" t="s">
        <v>377</v>
      </c>
      <c r="BC109" t="s">
        <v>1631</v>
      </c>
      <c r="BD109" t="s">
        <v>1632</v>
      </c>
      <c r="BE109" t="s">
        <v>1633</v>
      </c>
      <c r="BF109" t="s">
        <v>1634</v>
      </c>
      <c r="BG109" t="s">
        <v>1635</v>
      </c>
      <c r="BH109" t="s">
        <v>268</v>
      </c>
      <c r="BI109" t="s">
        <v>470</v>
      </c>
      <c r="BJ109" t="s">
        <v>44</v>
      </c>
      <c r="BK109" t="s">
        <v>4895</v>
      </c>
      <c r="BL109" t="s">
        <v>1636</v>
      </c>
      <c r="BM109" t="s">
        <v>1631</v>
      </c>
      <c r="BN109">
        <v>8.33</v>
      </c>
      <c r="BO109">
        <v>12.35</v>
      </c>
      <c r="BP109">
        <v>7.68</v>
      </c>
      <c r="BQ109">
        <v>9.7899999999999991</v>
      </c>
      <c r="BR109">
        <v>14.22</v>
      </c>
      <c r="BS109">
        <v>9.0299999999999994</v>
      </c>
      <c r="BT109" t="s">
        <v>1089</v>
      </c>
      <c r="BU109" t="s">
        <v>1167</v>
      </c>
      <c r="BV109">
        <v>21.36</v>
      </c>
      <c r="BW109">
        <v>19.95</v>
      </c>
      <c r="BX109">
        <v>22.43</v>
      </c>
      <c r="BY109">
        <v>8.69</v>
      </c>
      <c r="BZ109">
        <v>13.8</v>
      </c>
      <c r="CA109">
        <v>10.07</v>
      </c>
      <c r="CB109">
        <v>-2.82</v>
      </c>
      <c r="CC109">
        <v>-13.47</v>
      </c>
      <c r="CD109" t="s">
        <v>4896</v>
      </c>
      <c r="CE109" t="s">
        <v>4897</v>
      </c>
      <c r="CF109" s="8">
        <v>-0.52777777777777779</v>
      </c>
      <c r="CG109" s="9">
        <v>-0.78390000000000004</v>
      </c>
      <c r="CH109" s="8">
        <v>-0.70520234107971191</v>
      </c>
      <c r="CI109" s="8">
        <v>0.20557491481304169</v>
      </c>
      <c r="CJ109" s="8">
        <v>7.8947365283966064E-2</v>
      </c>
      <c r="CK109" s="8">
        <v>-0.16875000298023224</v>
      </c>
      <c r="CL109" s="8">
        <v>0.74863386154174805</v>
      </c>
      <c r="CM109" s="9">
        <v>-0.92480719089508057</v>
      </c>
      <c r="CN109" s="9">
        <v>0.64504939317703247</v>
      </c>
      <c r="CO109" s="9">
        <v>-0.2421322762966156</v>
      </c>
      <c r="CP109" s="9">
        <v>0.18159149587154388</v>
      </c>
      <c r="CQ109" s="9">
        <v>0.28910070657730103</v>
      </c>
      <c r="CR109">
        <v>13.048320554299336</v>
      </c>
      <c r="CS109" t="e">
        <v>#DIV/0!</v>
      </c>
      <c r="CT109">
        <v>1.83206106870229</v>
      </c>
      <c r="CU109" s="8">
        <v>0</v>
      </c>
      <c r="CV109" s="9">
        <v>0</v>
      </c>
      <c r="CW109">
        <v>0.06</v>
      </c>
      <c r="CX109">
        <v>162.29101801424383</v>
      </c>
      <c r="CY109">
        <v>3377830.1886792448</v>
      </c>
      <c r="CZ109">
        <v>0</v>
      </c>
      <c r="DA109">
        <v>57.27798336499697</v>
      </c>
      <c r="DB109">
        <v>9570719.2850473877</v>
      </c>
      <c r="DC109">
        <v>0</v>
      </c>
      <c r="DD109">
        <v>31.135781133248337</v>
      </c>
      <c r="DE109">
        <v>17606479.749262299</v>
      </c>
      <c r="DF109">
        <v>0</v>
      </c>
      <c r="DG109">
        <v>20.802027599153622</v>
      </c>
      <c r="DH109">
        <v>26352791.68759032</v>
      </c>
      <c r="DI109">
        <v>0</v>
      </c>
      <c r="DJ109">
        <v>13.348368402730257</v>
      </c>
      <c r="DK109">
        <v>41068052.923072882</v>
      </c>
      <c r="DL109">
        <v>0</v>
      </c>
      <c r="DM109">
        <v>3580500</v>
      </c>
      <c r="DN109">
        <v>0</v>
      </c>
      <c r="DO109">
        <v>548191500</v>
      </c>
      <c r="DP109">
        <v>208399530</v>
      </c>
      <c r="DQ109">
        <v>108</v>
      </c>
      <c r="DR109">
        <v>-0.52777777777777779</v>
      </c>
      <c r="DS109">
        <v>-0.78390000000000004</v>
      </c>
      <c r="DT109">
        <v>-0.44</v>
      </c>
      <c r="DU109">
        <v>-0.44</v>
      </c>
      <c r="DV109">
        <v>-0.88</v>
      </c>
      <c r="DW109">
        <v>-8.2093541202672604</v>
      </c>
      <c r="DX109">
        <v>0.34691740438040508</v>
      </c>
      <c r="DY109">
        <v>-8.0286642227433358</v>
      </c>
      <c r="DZ109">
        <v>0</v>
      </c>
      <c r="EA109">
        <v>-8.0286642227433358</v>
      </c>
      <c r="EB109">
        <v>8</v>
      </c>
      <c r="EC109">
        <v>1.5657242786359663E-2</v>
      </c>
      <c r="ED109">
        <v>0.11435538715631983</v>
      </c>
      <c r="EE109">
        <v>0</v>
      </c>
      <c r="EF109">
        <v>0</v>
      </c>
      <c r="EG109">
        <v>21.136917404380405</v>
      </c>
      <c r="EH109" t="s">
        <v>86</v>
      </c>
      <c r="EI109">
        <v>0</v>
      </c>
      <c r="EJ109">
        <v>0</v>
      </c>
      <c r="EK109">
        <v>0</v>
      </c>
      <c r="EL109">
        <v>0</v>
      </c>
      <c r="EM109">
        <v>0</v>
      </c>
      <c r="EN109">
        <v>0</v>
      </c>
      <c r="EO109">
        <v>0</v>
      </c>
      <c r="EP109">
        <v>0</v>
      </c>
    </row>
    <row r="110" spans="1:146" ht="96" x14ac:dyDescent="0.25">
      <c r="A110" s="10"/>
      <c r="B110" s="10"/>
      <c r="C110" s="7" t="str">
        <f>""&amp;CHAR(10)&amp;Basic_Fundamental_Information_Constructure(F110)&amp;CHAR(10)&amp;Basic_Fundamental_Information_Concatenate("")</f>
        <v xml:space="preserve">
市值34.844425亿, 利润1.18亿; PE6.06; 平均PE-6.1, PB1.34; ROIC21.5967%; ROE22.5967%; 股利率6.4935%; 毛利20.0633%; 净利9.6667%; 上一年度营收增-76.99%, 利润增-74.68%; 当季营收增-63.78%, 利润增-25.28%; 过往5年营收增0%, 利润增0%
Income profile:
</v>
      </c>
      <c r="D110">
        <v>834599</v>
      </c>
      <c r="E110" t="s">
        <v>1637</v>
      </c>
      <c r="F110">
        <v>7.7</v>
      </c>
      <c r="G110" s="5">
        <v>-1.03</v>
      </c>
      <c r="H110" t="s">
        <v>4898</v>
      </c>
      <c r="I110">
        <v>3484442500</v>
      </c>
      <c r="J110">
        <v>6.06</v>
      </c>
      <c r="K110">
        <v>1.34</v>
      </c>
      <c r="L110" t="s">
        <v>2604</v>
      </c>
      <c r="M110" t="s">
        <v>4899</v>
      </c>
      <c r="N110" t="s">
        <v>936</v>
      </c>
      <c r="O110" t="s">
        <v>4900</v>
      </c>
      <c r="P110">
        <v>-26.18</v>
      </c>
      <c r="Q110" t="s">
        <v>4900</v>
      </c>
      <c r="R110">
        <v>118244540</v>
      </c>
      <c r="S110" s="5">
        <v>-0.25280000000000002</v>
      </c>
      <c r="T110" t="s">
        <v>90</v>
      </c>
      <c r="U110">
        <v>225298360</v>
      </c>
      <c r="V110">
        <v>452525000</v>
      </c>
      <c r="W110">
        <v>2.34</v>
      </c>
      <c r="X110">
        <v>0.2</v>
      </c>
      <c r="Y110">
        <v>10.06</v>
      </c>
      <c r="Z110" t="s">
        <v>4901</v>
      </c>
      <c r="AA110" t="s">
        <v>3974</v>
      </c>
      <c r="AB110" t="s">
        <v>4902</v>
      </c>
      <c r="AC110" t="s">
        <v>4903</v>
      </c>
      <c r="AD110" t="s">
        <v>37</v>
      </c>
      <c r="AE110">
        <v>541206</v>
      </c>
      <c r="AF110" t="s">
        <v>4904</v>
      </c>
      <c r="AG110" t="s">
        <v>4905</v>
      </c>
      <c r="AH110" t="s">
        <v>4906</v>
      </c>
      <c r="AI110" t="s">
        <v>4266</v>
      </c>
      <c r="AJ110" t="s">
        <v>9</v>
      </c>
      <c r="AK110" t="s">
        <v>313</v>
      </c>
      <c r="AL110" t="s">
        <v>4907</v>
      </c>
      <c r="AM110" t="s">
        <v>9</v>
      </c>
      <c r="AN110">
        <v>0</v>
      </c>
      <c r="AO110" t="s">
        <v>4908</v>
      </c>
      <c r="AP110" t="s">
        <v>3865</v>
      </c>
      <c r="AQ110" t="s">
        <v>4909</v>
      </c>
      <c r="AR110" t="s">
        <v>4910</v>
      </c>
      <c r="AS110" t="s">
        <v>4911</v>
      </c>
      <c r="AT110" t="s">
        <v>4912</v>
      </c>
      <c r="AU110" t="s">
        <v>4913</v>
      </c>
      <c r="AV110" t="s">
        <v>4914</v>
      </c>
      <c r="AW110" t="s">
        <v>4915</v>
      </c>
      <c r="AX110" t="s">
        <v>525</v>
      </c>
      <c r="AY110" t="s">
        <v>309</v>
      </c>
      <c r="AZ110" t="s">
        <v>622</v>
      </c>
      <c r="BA110" t="s">
        <v>399</v>
      </c>
      <c r="BB110" t="s">
        <v>472</v>
      </c>
      <c r="BC110" t="s">
        <v>529</v>
      </c>
      <c r="BD110" t="s">
        <v>121</v>
      </c>
      <c r="BE110" t="s">
        <v>24</v>
      </c>
      <c r="BF110" t="s">
        <v>393</v>
      </c>
      <c r="BG110" t="s">
        <v>238</v>
      </c>
      <c r="BH110" t="s">
        <v>4916</v>
      </c>
      <c r="BI110" t="s">
        <v>1638</v>
      </c>
      <c r="BJ110" t="s">
        <v>525</v>
      </c>
      <c r="BK110" t="s">
        <v>398</v>
      </c>
      <c r="BL110" t="s">
        <v>24</v>
      </c>
      <c r="BM110" t="s">
        <v>529</v>
      </c>
      <c r="BN110">
        <v>18.87</v>
      </c>
      <c r="BO110">
        <v>22.42</v>
      </c>
      <c r="BP110">
        <v>23.5</v>
      </c>
      <c r="BQ110">
        <v>19.690000000000001</v>
      </c>
      <c r="BR110">
        <v>24.6</v>
      </c>
      <c r="BS110">
        <v>23.5</v>
      </c>
      <c r="BT110" t="s">
        <v>1116</v>
      </c>
      <c r="BU110" t="s">
        <v>951</v>
      </c>
      <c r="BV110">
        <v>22.74</v>
      </c>
      <c r="BW110">
        <v>19.239999999999998</v>
      </c>
      <c r="BX110">
        <v>18.21</v>
      </c>
      <c r="BY110">
        <v>10.59</v>
      </c>
      <c r="BZ110">
        <v>9.01</v>
      </c>
      <c r="CA110">
        <v>9.4</v>
      </c>
      <c r="CB110">
        <v>-2.65</v>
      </c>
      <c r="CC110">
        <v>-9.84</v>
      </c>
      <c r="CD110" t="s">
        <v>4917</v>
      </c>
      <c r="CE110" t="s">
        <v>4918</v>
      </c>
      <c r="CF110" s="8">
        <v>-0.63782148260211791</v>
      </c>
      <c r="CG110" s="9">
        <v>-0.25280000000000002</v>
      </c>
      <c r="CH110" s="8">
        <v>-0.76989620923995972</v>
      </c>
      <c r="CI110" s="8">
        <v>0.27063989639282227</v>
      </c>
      <c r="CJ110" s="8">
        <v>0.49579840898513794</v>
      </c>
      <c r="CK110" s="8">
        <v>7.8408226370811462E-2</v>
      </c>
      <c r="CL110" s="8">
        <v>0.26646700501441956</v>
      </c>
      <c r="CM110" s="9">
        <v>-0.7467811107635498</v>
      </c>
      <c r="CN110" s="9">
        <v>0.25945946574211121</v>
      </c>
      <c r="CO110" s="9">
        <v>0.10778442770242691</v>
      </c>
      <c r="CP110" s="9">
        <v>0.3858921229839325</v>
      </c>
      <c r="CQ110" s="9">
        <v>0.56493508815765381</v>
      </c>
      <c r="CR110">
        <v>-6.1002922452063251</v>
      </c>
      <c r="CS110" t="e">
        <v>#DIV/0!</v>
      </c>
      <c r="CT110">
        <v>6.4935064935064934</v>
      </c>
      <c r="CU110" s="8">
        <v>0</v>
      </c>
      <c r="CV110" s="9">
        <v>0</v>
      </c>
      <c r="CW110">
        <v>0.06</v>
      </c>
      <c r="CX110">
        <v>36.591941101694914</v>
      </c>
      <c r="CY110">
        <v>111320754.71698113</v>
      </c>
      <c r="CZ110">
        <v>0</v>
      </c>
      <c r="DA110">
        <v>12.914532297356581</v>
      </c>
      <c r="DB110">
        <v>315415410.03647304</v>
      </c>
      <c r="DC110">
        <v>0</v>
      </c>
      <c r="DD110">
        <v>7.0202201164521139</v>
      </c>
      <c r="DE110">
        <v>580244270.46863604</v>
      </c>
      <c r="DF110">
        <v>0</v>
      </c>
      <c r="DG110">
        <v>4.6902569101960667</v>
      </c>
      <c r="DH110">
        <v>868490272.06693411</v>
      </c>
      <c r="DI110">
        <v>0</v>
      </c>
      <c r="DJ110">
        <v>3.0096718621455798</v>
      </c>
      <c r="DK110">
        <v>1353450703.7906995</v>
      </c>
      <c r="DL110">
        <v>0</v>
      </c>
      <c r="DM110">
        <v>118000000</v>
      </c>
      <c r="DN110">
        <v>0</v>
      </c>
      <c r="DO110">
        <v>4073442500</v>
      </c>
      <c r="DP110">
        <v>1831688900</v>
      </c>
      <c r="DQ110">
        <v>109</v>
      </c>
      <c r="DR110">
        <v>-0.63782148260211791</v>
      </c>
      <c r="DS110">
        <v>-0.25280000000000002</v>
      </c>
      <c r="DT110">
        <v>-0.44</v>
      </c>
      <c r="DU110">
        <v>-0.44</v>
      </c>
      <c r="DV110">
        <v>-0.88</v>
      </c>
      <c r="DW110">
        <v>-8.2693089430894311</v>
      </c>
      <c r="DX110">
        <v>0.23510986083708574</v>
      </c>
      <c r="DY110">
        <v>-8.0283070255303119</v>
      </c>
      <c r="DZ110">
        <v>0</v>
      </c>
      <c r="EA110">
        <v>-8.0283070255303119</v>
      </c>
      <c r="EB110">
        <v>8</v>
      </c>
      <c r="EC110">
        <v>7.9348102314789233E-3</v>
      </c>
      <c r="ED110">
        <v>7.549063587647091E-2</v>
      </c>
      <c r="EE110">
        <v>0</v>
      </c>
      <c r="EF110">
        <v>0</v>
      </c>
      <c r="EG110">
        <v>13.105109860837086</v>
      </c>
      <c r="EH110" t="s">
        <v>86</v>
      </c>
      <c r="EI110">
        <v>0</v>
      </c>
      <c r="EJ110">
        <v>0</v>
      </c>
      <c r="EK110">
        <v>0</v>
      </c>
      <c r="EL110">
        <v>0</v>
      </c>
      <c r="EM110">
        <v>0</v>
      </c>
      <c r="EN110">
        <v>0</v>
      </c>
      <c r="EO110">
        <v>0</v>
      </c>
      <c r="EP110">
        <v>0</v>
      </c>
    </row>
    <row r="111" spans="1:146" ht="108" x14ac:dyDescent="0.25">
      <c r="A111" s="10"/>
      <c r="B111" s="10"/>
      <c r="C111" s="7" t="str">
        <f>""&amp;CHAR(10)&amp;Basic_Fundamental_Information_Constructure(F111)&amp;CHAR(10)&amp;Basic_Fundamental_Information_Concatenate("")</f>
        <v xml:space="preserve">
市值7.68096亿, 利润1903.31万; PE23.03; 平均PE-73.19, PB.905; ROIC6.5933%; ROE8.01%; 股利率2.6247%; 毛利12.43%; 净利2.68%; 上一年度营收增-79.09%, 利润增-66.88%; 当季营收增-57.75%, 利润增-25.46%; 过往5年营收增0%, 利润增0%
Income profile:
</v>
      </c>
      <c r="D111">
        <v>834639</v>
      </c>
      <c r="E111" t="s">
        <v>1639</v>
      </c>
      <c r="F111">
        <v>3.81</v>
      </c>
      <c r="G111" s="5">
        <v>-1.55</v>
      </c>
      <c r="H111" t="s">
        <v>4919</v>
      </c>
      <c r="I111">
        <v>768096000</v>
      </c>
      <c r="J111">
        <v>23.03</v>
      </c>
      <c r="K111">
        <v>0.90500000000000003</v>
      </c>
      <c r="L111" t="s">
        <v>2604</v>
      </c>
      <c r="M111" t="s">
        <v>4920</v>
      </c>
      <c r="N111" t="s">
        <v>503</v>
      </c>
      <c r="O111" t="s">
        <v>364</v>
      </c>
      <c r="P111">
        <v>-11.49</v>
      </c>
      <c r="Q111" t="s">
        <v>364</v>
      </c>
      <c r="R111">
        <v>19033104</v>
      </c>
      <c r="S111" s="5">
        <v>-0.25459999999999999</v>
      </c>
      <c r="T111" t="s">
        <v>4921</v>
      </c>
      <c r="U111">
        <v>88308257</v>
      </c>
      <c r="V111">
        <v>201600000</v>
      </c>
      <c r="W111">
        <v>2.15</v>
      </c>
      <c r="X111">
        <v>0.22</v>
      </c>
      <c r="Y111">
        <v>4.88</v>
      </c>
      <c r="Z111" t="s">
        <v>293</v>
      </c>
      <c r="AA111" t="s">
        <v>24</v>
      </c>
      <c r="AB111" t="s">
        <v>4922</v>
      </c>
      <c r="AC111" t="s">
        <v>4923</v>
      </c>
      <c r="AD111" t="s">
        <v>4924</v>
      </c>
      <c r="AE111">
        <v>2957088</v>
      </c>
      <c r="AF111" t="s">
        <v>4925</v>
      </c>
      <c r="AG111" t="s">
        <v>4926</v>
      </c>
      <c r="AH111" t="s">
        <v>4927</v>
      </c>
      <c r="AI111" t="s">
        <v>318</v>
      </c>
      <c r="AJ111" t="s">
        <v>9</v>
      </c>
      <c r="AK111" t="s">
        <v>4928</v>
      </c>
      <c r="AL111" t="s">
        <v>4929</v>
      </c>
      <c r="AM111" t="s">
        <v>9</v>
      </c>
      <c r="AN111" t="s">
        <v>4930</v>
      </c>
      <c r="AO111" t="s">
        <v>499</v>
      </c>
      <c r="AP111" t="s">
        <v>318</v>
      </c>
      <c r="AQ111" t="s">
        <v>65</v>
      </c>
      <c r="AR111" t="s">
        <v>9</v>
      </c>
      <c r="AS111" t="s">
        <v>995</v>
      </c>
      <c r="AT111" t="s">
        <v>1184</v>
      </c>
      <c r="AU111" t="s">
        <v>4931</v>
      </c>
      <c r="AV111" t="s">
        <v>4932</v>
      </c>
      <c r="AW111" t="s">
        <v>256</v>
      </c>
      <c r="AX111" t="s">
        <v>1641</v>
      </c>
      <c r="AY111" t="s">
        <v>1643</v>
      </c>
      <c r="AZ111" t="s">
        <v>43</v>
      </c>
      <c r="BA111" t="s">
        <v>1644</v>
      </c>
      <c r="BB111" t="s">
        <v>359</v>
      </c>
      <c r="BC111" t="s">
        <v>4933</v>
      </c>
      <c r="BD111" t="s">
        <v>1645</v>
      </c>
      <c r="BE111" t="s">
        <v>1646</v>
      </c>
      <c r="BF111" t="s">
        <v>1647</v>
      </c>
      <c r="BG111" t="s">
        <v>1648</v>
      </c>
      <c r="BH111" t="s">
        <v>4934</v>
      </c>
      <c r="BI111" t="s">
        <v>561</v>
      </c>
      <c r="BJ111" t="s">
        <v>1641</v>
      </c>
      <c r="BK111" t="s">
        <v>4935</v>
      </c>
      <c r="BL111" t="s">
        <v>1649</v>
      </c>
      <c r="BM111" t="s">
        <v>4933</v>
      </c>
      <c r="BN111">
        <v>4.72</v>
      </c>
      <c r="BO111">
        <v>6.97</v>
      </c>
      <c r="BP111">
        <v>8.09</v>
      </c>
      <c r="BQ111">
        <v>5.17</v>
      </c>
      <c r="BR111">
        <v>8.24</v>
      </c>
      <c r="BS111">
        <v>10.62</v>
      </c>
      <c r="BT111" t="s">
        <v>886</v>
      </c>
      <c r="BU111" t="s">
        <v>1640</v>
      </c>
      <c r="BV111">
        <v>13.35</v>
      </c>
      <c r="BW111">
        <v>12.88</v>
      </c>
      <c r="BX111">
        <v>11.06</v>
      </c>
      <c r="BY111">
        <v>2.09</v>
      </c>
      <c r="BZ111">
        <v>3.09</v>
      </c>
      <c r="CA111">
        <v>2.86</v>
      </c>
      <c r="CB111">
        <v>-1.8</v>
      </c>
      <c r="CC111">
        <v>-7.52</v>
      </c>
      <c r="CD111" t="s">
        <v>4936</v>
      </c>
      <c r="CE111" t="s">
        <v>4937</v>
      </c>
      <c r="CF111" s="8">
        <v>-0.57746478873239437</v>
      </c>
      <c r="CG111" s="9">
        <v>-0.25459999999999999</v>
      </c>
      <c r="CH111" s="8">
        <v>-0.79088473320007324</v>
      </c>
      <c r="CI111" s="8">
        <v>-0.11820331215858459</v>
      </c>
      <c r="CJ111" s="8">
        <v>6.6028192639350891E-2</v>
      </c>
      <c r="CK111" s="8">
        <v>4.6413503587245941E-2</v>
      </c>
      <c r="CL111" s="8">
        <v>1.3903743587434292E-2</v>
      </c>
      <c r="CM111" s="9">
        <v>-0.66878855228424072</v>
      </c>
      <c r="CN111" s="9">
        <v>-5.1211223006248474E-2</v>
      </c>
      <c r="CO111" s="9">
        <v>0.20998081564903259</v>
      </c>
      <c r="CP111" s="9">
        <v>-6.2324967235326767E-2</v>
      </c>
      <c r="CQ111" s="9">
        <v>2.4210724830627441</v>
      </c>
      <c r="CR111">
        <v>-73.190454032197835</v>
      </c>
      <c r="CS111" t="e">
        <v>#DIV/0!</v>
      </c>
      <c r="CT111">
        <v>2.6246719160104988</v>
      </c>
      <c r="CU111" s="8">
        <v>0</v>
      </c>
      <c r="CV111" s="9">
        <v>0</v>
      </c>
      <c r="CW111">
        <v>0.06</v>
      </c>
      <c r="CX111">
        <v>47.232545407737049</v>
      </c>
      <c r="CY111">
        <v>17955754.716981132</v>
      </c>
      <c r="CZ111">
        <v>0</v>
      </c>
      <c r="DA111">
        <v>16.669961056707297</v>
      </c>
      <c r="DB111">
        <v>50875703.735298261</v>
      </c>
      <c r="DC111">
        <v>0</v>
      </c>
      <c r="DD111">
        <v>9.0616363996955265</v>
      </c>
      <c r="DE111">
        <v>93591925.629293203</v>
      </c>
      <c r="DF111">
        <v>0</v>
      </c>
      <c r="DG111">
        <v>6.0541410434913203</v>
      </c>
      <c r="DH111">
        <v>140085272.85828105</v>
      </c>
      <c r="DI111">
        <v>0</v>
      </c>
      <c r="DJ111">
        <v>3.8848571191156376</v>
      </c>
      <c r="DK111">
        <v>218308157.54507428</v>
      </c>
      <c r="DL111">
        <v>0</v>
      </c>
      <c r="DM111">
        <v>19033100</v>
      </c>
      <c r="DN111">
        <v>0</v>
      </c>
      <c r="DO111">
        <v>848096000</v>
      </c>
      <c r="DP111">
        <v>581082800</v>
      </c>
      <c r="DQ111">
        <v>110</v>
      </c>
      <c r="DR111">
        <v>-0.57746478873239437</v>
      </c>
      <c r="DS111">
        <v>-0.25459999999999999</v>
      </c>
      <c r="DT111">
        <v>-0.44</v>
      </c>
      <c r="DU111">
        <v>-0.22</v>
      </c>
      <c r="DV111">
        <v>-0.66</v>
      </c>
      <c r="DW111">
        <v>-2.0752000000000002</v>
      </c>
      <c r="DX111">
        <v>0.24507819417558652</v>
      </c>
      <c r="DY111">
        <v>-2.0079018802020041</v>
      </c>
      <c r="DZ111">
        <v>0</v>
      </c>
      <c r="EA111">
        <v>-2.0079018802020041</v>
      </c>
      <c r="EB111">
        <v>2</v>
      </c>
      <c r="EC111">
        <v>1.7070932539682539E-2</v>
      </c>
      <c r="ED111">
        <v>0.16245932539682539</v>
      </c>
      <c r="EE111">
        <v>0</v>
      </c>
      <c r="EF111">
        <v>0</v>
      </c>
      <c r="EG111">
        <v>14.105078194175587</v>
      </c>
      <c r="EH111" t="s">
        <v>86</v>
      </c>
      <c r="EI111">
        <v>0</v>
      </c>
      <c r="EJ111">
        <v>0</v>
      </c>
      <c r="EK111">
        <v>0</v>
      </c>
      <c r="EL111">
        <v>0</v>
      </c>
      <c r="EM111">
        <v>0</v>
      </c>
      <c r="EN111">
        <v>0</v>
      </c>
      <c r="EO111">
        <v>0</v>
      </c>
      <c r="EP111">
        <v>0</v>
      </c>
    </row>
    <row r="112" spans="1:146" ht="96" x14ac:dyDescent="0.25">
      <c r="A112" s="10"/>
      <c r="B112" s="10"/>
      <c r="C112" s="7" t="str">
        <f>""&amp;CHAR(10)&amp;Basic_Fundamental_Information_Constructure(F112)&amp;CHAR(10)&amp;Basic_Fundamental_Information_Concatenate("")</f>
        <v xml:space="preserve">
市值12.844亿, 利润2118.41万; PE10.42; 平均PE-2.71, PB1.18; ROIC6.6167%; ROE9.1067%; 股利率8.4211%; 毛利12.1633%; 净利3.7433%; 上一年度营收增-77.11%, 利润增-80.39%; 当季营收增-57.51%, 利润增3.26%; 过往5年营收增0%, 利润增0%
Income profile:
</v>
      </c>
      <c r="D112">
        <v>834682</v>
      </c>
      <c r="E112" t="s">
        <v>1650</v>
      </c>
      <c r="F112">
        <v>4.75</v>
      </c>
      <c r="G112" s="5">
        <v>-1.25</v>
      </c>
      <c r="H112" t="s">
        <v>4938</v>
      </c>
      <c r="I112">
        <v>1284400000</v>
      </c>
      <c r="J112">
        <v>10.42</v>
      </c>
      <c r="K112">
        <v>1.18</v>
      </c>
      <c r="L112" t="s">
        <v>2604</v>
      </c>
      <c r="M112" t="s">
        <v>4939</v>
      </c>
      <c r="N112" t="s">
        <v>4940</v>
      </c>
      <c r="O112" t="s">
        <v>76</v>
      </c>
      <c r="P112">
        <v>2.2799999999999998</v>
      </c>
      <c r="Q112" t="s">
        <v>76</v>
      </c>
      <c r="R112">
        <v>21184145</v>
      </c>
      <c r="S112" s="5">
        <v>3.2599999999999997E-2</v>
      </c>
      <c r="T112" t="s">
        <v>4941</v>
      </c>
      <c r="U112">
        <v>79933100</v>
      </c>
      <c r="V112">
        <v>208000000</v>
      </c>
      <c r="W112">
        <v>2.2200000000000002</v>
      </c>
      <c r="X112">
        <v>0.26</v>
      </c>
      <c r="Y112">
        <v>3.49</v>
      </c>
      <c r="Z112" t="s">
        <v>4712</v>
      </c>
      <c r="AA112" t="s">
        <v>360</v>
      </c>
      <c r="AB112" t="s">
        <v>4942</v>
      </c>
      <c r="AC112" t="s">
        <v>4943</v>
      </c>
      <c r="AD112" t="s">
        <v>4944</v>
      </c>
      <c r="AE112">
        <v>6256101</v>
      </c>
      <c r="AF112" t="s">
        <v>17</v>
      </c>
      <c r="AG112" t="s">
        <v>4945</v>
      </c>
      <c r="AH112" t="s">
        <v>4946</v>
      </c>
      <c r="AI112" t="s">
        <v>42</v>
      </c>
      <c r="AJ112" t="s">
        <v>9</v>
      </c>
      <c r="AK112" t="s">
        <v>4947</v>
      </c>
      <c r="AL112" t="s">
        <v>4948</v>
      </c>
      <c r="AM112" t="s">
        <v>9</v>
      </c>
      <c r="AN112" t="s">
        <v>4949</v>
      </c>
      <c r="AO112" t="s">
        <v>4950</v>
      </c>
      <c r="AP112" t="s">
        <v>9</v>
      </c>
      <c r="AQ112" t="s">
        <v>68</v>
      </c>
      <c r="AR112" t="s">
        <v>9</v>
      </c>
      <c r="AS112" t="s">
        <v>4951</v>
      </c>
      <c r="AT112" t="s">
        <v>4952</v>
      </c>
      <c r="AU112" t="s">
        <v>4953</v>
      </c>
      <c r="AV112" t="s">
        <v>4954</v>
      </c>
      <c r="AW112" t="s">
        <v>4955</v>
      </c>
      <c r="AX112" t="s">
        <v>680</v>
      </c>
      <c r="AY112" t="s">
        <v>445</v>
      </c>
      <c r="AZ112" t="s">
        <v>668</v>
      </c>
      <c r="BA112" t="s">
        <v>369</v>
      </c>
      <c r="BB112" t="s">
        <v>467</v>
      </c>
      <c r="BC112" t="s">
        <v>27</v>
      </c>
      <c r="BD112" t="s">
        <v>1651</v>
      </c>
      <c r="BE112" t="s">
        <v>1652</v>
      </c>
      <c r="BF112" t="s">
        <v>1653</v>
      </c>
      <c r="BG112" t="s">
        <v>1654</v>
      </c>
      <c r="BH112" t="s">
        <v>4956</v>
      </c>
      <c r="BI112" t="s">
        <v>1656</v>
      </c>
      <c r="BJ112" t="s">
        <v>680</v>
      </c>
      <c r="BK112" t="s">
        <v>21</v>
      </c>
      <c r="BL112" t="s">
        <v>1657</v>
      </c>
      <c r="BM112" t="s">
        <v>27</v>
      </c>
      <c r="BN112">
        <v>4.97</v>
      </c>
      <c r="BO112">
        <v>7.9</v>
      </c>
      <c r="BP112">
        <v>6.98</v>
      </c>
      <c r="BQ112">
        <v>7.44</v>
      </c>
      <c r="BR112">
        <v>11.11</v>
      </c>
      <c r="BS112">
        <v>8.77</v>
      </c>
      <c r="BT112" t="s">
        <v>4957</v>
      </c>
      <c r="BU112" t="s">
        <v>1640</v>
      </c>
      <c r="BV112">
        <v>12.76</v>
      </c>
      <c r="BW112">
        <v>12.62</v>
      </c>
      <c r="BX112">
        <v>11.11</v>
      </c>
      <c r="BY112">
        <v>4.1100000000000003</v>
      </c>
      <c r="BZ112">
        <v>4.07</v>
      </c>
      <c r="CA112">
        <v>3.05</v>
      </c>
      <c r="CB112">
        <v>-1.04</v>
      </c>
      <c r="CC112">
        <v>-16.100000000000001</v>
      </c>
      <c r="CD112" t="s">
        <v>4958</v>
      </c>
      <c r="CE112" t="s">
        <v>4959</v>
      </c>
      <c r="CF112" s="8">
        <v>-0.57512229210342414</v>
      </c>
      <c r="CG112" s="9">
        <v>3.2599999999999997E-2</v>
      </c>
      <c r="CH112" s="8">
        <v>-0.77108430862426758</v>
      </c>
      <c r="CI112" s="8">
        <v>-1.1904762126505375E-2</v>
      </c>
      <c r="CJ112" s="8">
        <v>0.29355150461196899</v>
      </c>
      <c r="CK112" s="8">
        <v>-4.5036762952804565E-2</v>
      </c>
      <c r="CL112" s="8">
        <v>7.033943384885788E-2</v>
      </c>
      <c r="CM112" s="9">
        <v>-0.80385094881057739</v>
      </c>
      <c r="CN112" s="9">
        <v>0.31688535213470459</v>
      </c>
      <c r="CO112" s="9">
        <v>4.8986971378326416E-3</v>
      </c>
      <c r="CP112" s="9">
        <v>2.4083841592073441E-2</v>
      </c>
      <c r="CQ112" s="9">
        <v>0.44640544056892395</v>
      </c>
      <c r="CR112">
        <v>-2.7060738020319364</v>
      </c>
      <c r="CS112" t="e">
        <v>#DIV/0!</v>
      </c>
      <c r="CT112">
        <v>8.4210526315789469</v>
      </c>
      <c r="CU112" s="8">
        <v>0</v>
      </c>
      <c r="CV112" s="9">
        <v>0</v>
      </c>
      <c r="CW112">
        <v>0.06</v>
      </c>
      <c r="CX112">
        <v>72.574430823117353</v>
      </c>
      <c r="CY112">
        <v>19984999.999999996</v>
      </c>
      <c r="CZ112">
        <v>0</v>
      </c>
      <c r="DA112">
        <v>25.613968611903083</v>
      </c>
      <c r="DB112">
        <v>56625352.438590236</v>
      </c>
      <c r="DC112">
        <v>0</v>
      </c>
      <c r="DD112">
        <v>13.923516049300579</v>
      </c>
      <c r="DE112">
        <v>104169090.25453079</v>
      </c>
      <c r="DF112">
        <v>0</v>
      </c>
      <c r="DG112">
        <v>9.3023959763617388</v>
      </c>
      <c r="DH112">
        <v>155916820.10587406</v>
      </c>
      <c r="DI112">
        <v>0</v>
      </c>
      <c r="DJ112">
        <v>5.969216602981736</v>
      </c>
      <c r="DK112">
        <v>242979958.08620813</v>
      </c>
      <c r="DL112">
        <v>0</v>
      </c>
      <c r="DM112">
        <v>21184100</v>
      </c>
      <c r="DN112">
        <v>0</v>
      </c>
      <c r="DO112">
        <v>1450400000</v>
      </c>
      <c r="DP112">
        <v>672128700</v>
      </c>
      <c r="DQ112">
        <v>111</v>
      </c>
      <c r="DR112">
        <v>-0.57512229210342414</v>
      </c>
      <c r="DS112">
        <v>3.2599999999999997E-2</v>
      </c>
      <c r="DT112">
        <v>-0.44</v>
      </c>
      <c r="DU112">
        <v>-0.44</v>
      </c>
      <c r="DV112">
        <v>-0.88</v>
      </c>
      <c r="DW112">
        <v>-3.0011309523809522</v>
      </c>
      <c r="DX112">
        <v>0.26192450284998997</v>
      </c>
      <c r="DY112">
        <v>-3.0000926527115563</v>
      </c>
      <c r="DZ112">
        <v>0</v>
      </c>
      <c r="EA112">
        <v>-3.0000926527115563</v>
      </c>
      <c r="EB112">
        <v>3</v>
      </c>
      <c r="EC112">
        <v>1.7869230769230769E-2</v>
      </c>
      <c r="ED112">
        <v>0.21811826923076924</v>
      </c>
      <c r="EE112">
        <v>0</v>
      </c>
      <c r="EF112">
        <v>0</v>
      </c>
      <c r="EG112">
        <v>18.08192450284999</v>
      </c>
      <c r="EH112" t="s">
        <v>86</v>
      </c>
      <c r="EI112">
        <v>0</v>
      </c>
      <c r="EJ112">
        <v>0</v>
      </c>
      <c r="EK112">
        <v>0</v>
      </c>
      <c r="EL112">
        <v>0</v>
      </c>
      <c r="EM112">
        <v>0</v>
      </c>
      <c r="EN112">
        <v>0</v>
      </c>
      <c r="EO112">
        <v>0</v>
      </c>
      <c r="EP112">
        <v>0</v>
      </c>
    </row>
    <row r="113" spans="1:146" ht="108" x14ac:dyDescent="0.25">
      <c r="A113" s="10"/>
      <c r="B113" s="10"/>
      <c r="C113" s="7" t="str">
        <f>""&amp;CHAR(10)&amp;Basic_Fundamental_Information_Constructure(F113)&amp;CHAR(10)&amp;Basic_Fundamental_Information_Concatenate("")</f>
        <v xml:space="preserve">
市值4.3716992亿, 利润954.11万; PE18.8; 平均PE-5.93, PB1.28; ROIC5.08%; ROE5.2233%; 股利率4.7771%; 毛利20.8467%; 净利4.0033%; 上一年度营收增-73.41%, 利润增-63.28%; 当季营收增-36.49%, 利润增37.56%; 过往5年营收增0%, 利润增0%
Income profile:
</v>
      </c>
      <c r="D113">
        <v>834765</v>
      </c>
      <c r="E113" t="s">
        <v>1658</v>
      </c>
      <c r="F113">
        <v>6.28</v>
      </c>
      <c r="G113" s="5">
        <v>-0.63</v>
      </c>
      <c r="H113" t="s">
        <v>4960</v>
      </c>
      <c r="I113">
        <v>437169920</v>
      </c>
      <c r="J113">
        <v>18.8</v>
      </c>
      <c r="K113">
        <v>1.28</v>
      </c>
      <c r="L113" t="s">
        <v>2604</v>
      </c>
      <c r="M113" t="s">
        <v>272</v>
      </c>
      <c r="N113" t="s">
        <v>451</v>
      </c>
      <c r="O113" t="s">
        <v>134</v>
      </c>
      <c r="P113">
        <v>12.87</v>
      </c>
      <c r="Q113" t="s">
        <v>134</v>
      </c>
      <c r="R113">
        <v>9541137</v>
      </c>
      <c r="S113" s="5">
        <v>0.37559999999999999</v>
      </c>
      <c r="T113" t="s">
        <v>4961</v>
      </c>
      <c r="U113">
        <v>43997295</v>
      </c>
      <c r="V113">
        <v>69613044</v>
      </c>
      <c r="W113">
        <v>1.44</v>
      </c>
      <c r="X113">
        <v>0.28000000000000003</v>
      </c>
      <c r="Y113">
        <v>7.13</v>
      </c>
      <c r="Z113" t="s">
        <v>68</v>
      </c>
      <c r="AA113" t="s">
        <v>4962</v>
      </c>
      <c r="AB113" t="s">
        <v>4963</v>
      </c>
      <c r="AC113" t="s">
        <v>4964</v>
      </c>
      <c r="AD113" t="s">
        <v>4965</v>
      </c>
      <c r="AE113">
        <v>2057501</v>
      </c>
      <c r="AF113" t="s">
        <v>4966</v>
      </c>
      <c r="AG113" t="s">
        <v>4967</v>
      </c>
      <c r="AH113" t="s">
        <v>4968</v>
      </c>
      <c r="AI113" t="s">
        <v>543</v>
      </c>
      <c r="AJ113" t="s">
        <v>9</v>
      </c>
      <c r="AK113" t="s">
        <v>9</v>
      </c>
      <c r="AL113" t="s">
        <v>4969</v>
      </c>
      <c r="AM113" t="s">
        <v>9</v>
      </c>
      <c r="AN113">
        <v>0</v>
      </c>
      <c r="AO113" t="s">
        <v>4970</v>
      </c>
      <c r="AP113" t="s">
        <v>4971</v>
      </c>
      <c r="AQ113" t="s">
        <v>4972</v>
      </c>
      <c r="AR113" t="s">
        <v>9</v>
      </c>
      <c r="AS113" t="s">
        <v>459</v>
      </c>
      <c r="AT113" t="s">
        <v>4973</v>
      </c>
      <c r="AU113" t="s">
        <v>4974</v>
      </c>
      <c r="AV113" t="s">
        <v>4975</v>
      </c>
      <c r="AW113" t="s">
        <v>4976</v>
      </c>
      <c r="AX113" t="s">
        <v>363</v>
      </c>
      <c r="AY113" t="s">
        <v>429</v>
      </c>
      <c r="AZ113" t="s">
        <v>249</v>
      </c>
      <c r="BA113" t="s">
        <v>645</v>
      </c>
      <c r="BB113" t="s">
        <v>422</v>
      </c>
      <c r="BC113" t="s">
        <v>1660</v>
      </c>
      <c r="BD113" t="s">
        <v>1661</v>
      </c>
      <c r="BE113" t="s">
        <v>1662</v>
      </c>
      <c r="BF113" t="s">
        <v>1663</v>
      </c>
      <c r="BG113" t="s">
        <v>1664</v>
      </c>
      <c r="BH113" t="s">
        <v>1109</v>
      </c>
      <c r="BI113" t="s">
        <v>100</v>
      </c>
      <c r="BJ113" t="s">
        <v>363</v>
      </c>
      <c r="BK113" t="s">
        <v>4977</v>
      </c>
      <c r="BL113" t="s">
        <v>1665</v>
      </c>
      <c r="BM113" t="s">
        <v>1660</v>
      </c>
      <c r="BN113">
        <v>3.03</v>
      </c>
      <c r="BO113">
        <v>8.1199999999999992</v>
      </c>
      <c r="BP113">
        <v>4.09</v>
      </c>
      <c r="BQ113">
        <v>4.26</v>
      </c>
      <c r="BR113">
        <v>7.71</v>
      </c>
      <c r="BS113">
        <v>3.7</v>
      </c>
      <c r="BT113" t="s">
        <v>859</v>
      </c>
      <c r="BU113" t="s">
        <v>1659</v>
      </c>
      <c r="BV113">
        <v>25.6</v>
      </c>
      <c r="BW113">
        <v>21.08</v>
      </c>
      <c r="BX113">
        <v>15.86</v>
      </c>
      <c r="BY113">
        <v>4.8499999999999996</v>
      </c>
      <c r="BZ113">
        <v>5.15</v>
      </c>
      <c r="CA113">
        <v>2.0099999999999998</v>
      </c>
      <c r="CB113">
        <v>1.62</v>
      </c>
      <c r="CC113">
        <v>-4.2699999999999996</v>
      </c>
      <c r="CD113" t="s">
        <v>4978</v>
      </c>
      <c r="CE113" t="s">
        <v>4979</v>
      </c>
      <c r="CF113" s="8">
        <v>-0.36492890995260657</v>
      </c>
      <c r="CG113" s="9">
        <v>0.37559999999999999</v>
      </c>
      <c r="CH113" s="8">
        <v>-0.7341269850730896</v>
      </c>
      <c r="CI113" s="8">
        <v>3.9840638637542725E-3</v>
      </c>
      <c r="CJ113" s="8">
        <v>-0.20569619536399841</v>
      </c>
      <c r="CK113" s="8">
        <v>0.37690630555152893</v>
      </c>
      <c r="CL113" s="8">
        <v>-1.0775862261652946E-2</v>
      </c>
      <c r="CM113" s="9">
        <v>-0.63277190923690796</v>
      </c>
      <c r="CN113" s="9">
        <v>1.5741744041442871</v>
      </c>
      <c r="CO113" s="9">
        <v>-0.83498620986938477</v>
      </c>
      <c r="CP113" s="9">
        <v>1.1912957429885864</v>
      </c>
      <c r="CQ113" s="9">
        <v>1.0591038465499878</v>
      </c>
      <c r="CR113">
        <v>-5.9289456749420379</v>
      </c>
      <c r="CS113" t="e">
        <v>#DIV/0!</v>
      </c>
      <c r="CT113">
        <v>4.7770700636942669</v>
      </c>
      <c r="CU113" s="8">
        <v>0</v>
      </c>
      <c r="CV113" s="9">
        <v>0</v>
      </c>
      <c r="CW113">
        <v>0.06</v>
      </c>
      <c r="CX113">
        <v>23.238422739516409</v>
      </c>
      <c r="CY113">
        <v>9001037.7358490564</v>
      </c>
      <c r="CZ113">
        <v>0</v>
      </c>
      <c r="DA113">
        <v>8.201624510026587</v>
      </c>
      <c r="DB113">
        <v>25503474.311008412</v>
      </c>
      <c r="DC113">
        <v>0</v>
      </c>
      <c r="DD113">
        <v>4.4583271036970169</v>
      </c>
      <c r="DE113">
        <v>46916683.126850031</v>
      </c>
      <c r="DF113">
        <v>0</v>
      </c>
      <c r="DG113">
        <v>2.978638726302107</v>
      </c>
      <c r="DH113">
        <v>70223326.566252753</v>
      </c>
      <c r="DI113">
        <v>0</v>
      </c>
      <c r="DJ113">
        <v>1.9113505579108772</v>
      </c>
      <c r="DK113">
        <v>109435665.33845291</v>
      </c>
      <c r="DL113">
        <v>0</v>
      </c>
      <c r="DM113">
        <v>9541100</v>
      </c>
      <c r="DN113">
        <v>0</v>
      </c>
      <c r="DO113">
        <v>209169920</v>
      </c>
      <c r="DP113">
        <v>286415680</v>
      </c>
      <c r="DQ113">
        <v>112</v>
      </c>
      <c r="DR113">
        <v>-0.36492890995260657</v>
      </c>
      <c r="DS113">
        <v>0.37559999999999999</v>
      </c>
      <c r="DT113">
        <v>-0.44</v>
      </c>
      <c r="DU113">
        <v>0.6</v>
      </c>
      <c r="DV113">
        <v>0.15999999999999998</v>
      </c>
      <c r="DW113">
        <v>-1.0427</v>
      </c>
      <c r="DX113">
        <v>0.31767125257923112</v>
      </c>
      <c r="DY113">
        <v>-1.0028895624851331</v>
      </c>
      <c r="DZ113">
        <v>0</v>
      </c>
      <c r="EA113">
        <v>-1.0028895624851331</v>
      </c>
      <c r="EB113">
        <v>1</v>
      </c>
      <c r="EC113">
        <v>1.7572856029683174E-2</v>
      </c>
      <c r="ED113">
        <v>0.25967978070316822</v>
      </c>
      <c r="EE113">
        <v>0</v>
      </c>
      <c r="EF113">
        <v>0</v>
      </c>
      <c r="EG113">
        <v>25.067671252579231</v>
      </c>
      <c r="EH113" t="s">
        <v>86</v>
      </c>
      <c r="EI113">
        <v>0</v>
      </c>
      <c r="EJ113">
        <v>0</v>
      </c>
      <c r="EK113">
        <v>0</v>
      </c>
      <c r="EL113">
        <v>0</v>
      </c>
      <c r="EM113">
        <v>0</v>
      </c>
      <c r="EN113">
        <v>0</v>
      </c>
      <c r="EO113">
        <v>0</v>
      </c>
      <c r="EP113">
        <v>0</v>
      </c>
    </row>
    <row r="114" spans="1:146" ht="96" x14ac:dyDescent="0.25">
      <c r="A114" s="10"/>
      <c r="B114" s="10"/>
      <c r="C114" s="7" t="str">
        <f>""&amp;CHAR(10)&amp;Basic_Fundamental_Information_Constructure(F114)&amp;CHAR(10)&amp;Basic_Fundamental_Information_Concatenate("")</f>
        <v xml:space="preserve">
市值6.8579656亿, 利润651.71万; PE13.99; 平均PE.85, PB1.22; ROIC10.99%; ROE12.94%; 股利率.9488%; 毛利22.8%; 净利14.3867%; 上一年度营收增-94.35%, 利润增-89.46%; 当季营收增-88.12%, 利润增-41.39%; 过往5年营收增0%, 利润增0%
Income profile:
</v>
      </c>
      <c r="D114">
        <v>834770</v>
      </c>
      <c r="E114" t="s">
        <v>1666</v>
      </c>
      <c r="F114">
        <v>5.27</v>
      </c>
      <c r="G114" s="5">
        <v>-2.41</v>
      </c>
      <c r="H114" t="s">
        <v>4980</v>
      </c>
      <c r="I114">
        <v>685796560</v>
      </c>
      <c r="J114">
        <v>13.99</v>
      </c>
      <c r="K114">
        <v>1.22</v>
      </c>
      <c r="L114" t="s">
        <v>2604</v>
      </c>
      <c r="M114" t="s">
        <v>1000</v>
      </c>
      <c r="N114" t="s">
        <v>678</v>
      </c>
      <c r="O114" t="s">
        <v>4981</v>
      </c>
      <c r="P114">
        <v>-73.900000000000006</v>
      </c>
      <c r="Q114" t="s">
        <v>4981</v>
      </c>
      <c r="R114">
        <v>6517146</v>
      </c>
      <c r="S114" s="6">
        <v>-0.41389999999999999</v>
      </c>
      <c r="T114" t="s">
        <v>4982</v>
      </c>
      <c r="U114">
        <v>65814343</v>
      </c>
      <c r="V114">
        <v>130132175</v>
      </c>
      <c r="W114">
        <v>1.47</v>
      </c>
      <c r="X114">
        <v>0.03</v>
      </c>
      <c r="Y114">
        <v>26.63</v>
      </c>
      <c r="Z114" t="s">
        <v>4983</v>
      </c>
      <c r="AA114" t="s">
        <v>4984</v>
      </c>
      <c r="AB114" t="s">
        <v>4985</v>
      </c>
      <c r="AC114" t="s">
        <v>4986</v>
      </c>
      <c r="AD114" t="s">
        <v>4987</v>
      </c>
      <c r="AE114">
        <v>1551257</v>
      </c>
      <c r="AF114" t="s">
        <v>4988</v>
      </c>
      <c r="AG114">
        <v>3532.92</v>
      </c>
      <c r="AH114" t="s">
        <v>4989</v>
      </c>
      <c r="AI114" t="s">
        <v>435</v>
      </c>
      <c r="AJ114" t="s">
        <v>9</v>
      </c>
      <c r="AK114" t="s">
        <v>9</v>
      </c>
      <c r="AL114" t="s">
        <v>4990</v>
      </c>
      <c r="AM114" t="s">
        <v>9</v>
      </c>
      <c r="AN114" t="s">
        <v>4991</v>
      </c>
      <c r="AO114" t="s">
        <v>4992</v>
      </c>
      <c r="AP114" t="s">
        <v>4993</v>
      </c>
      <c r="AQ114" t="s">
        <v>4994</v>
      </c>
      <c r="AR114" t="s">
        <v>9</v>
      </c>
      <c r="AS114" t="s">
        <v>20</v>
      </c>
      <c r="AT114" t="s">
        <v>4995</v>
      </c>
      <c r="AU114" t="s">
        <v>4996</v>
      </c>
      <c r="AV114" t="s">
        <v>4997</v>
      </c>
      <c r="AW114" t="s">
        <v>4998</v>
      </c>
      <c r="AX114" t="s">
        <v>569</v>
      </c>
      <c r="AY114" t="s">
        <v>451</v>
      </c>
      <c r="AZ114" t="s">
        <v>669</v>
      </c>
      <c r="BA114" t="s">
        <v>273</v>
      </c>
      <c r="BB114" t="s">
        <v>291</v>
      </c>
      <c r="BC114" t="s">
        <v>4999</v>
      </c>
      <c r="BD114" t="s">
        <v>1670</v>
      </c>
      <c r="BE114" t="s">
        <v>1671</v>
      </c>
      <c r="BF114" t="s">
        <v>1672</v>
      </c>
      <c r="BG114" t="s">
        <v>1673</v>
      </c>
      <c r="BH114" t="s">
        <v>343</v>
      </c>
      <c r="BI114" t="s">
        <v>639</v>
      </c>
      <c r="BJ114" t="s">
        <v>569</v>
      </c>
      <c r="BK114" t="s">
        <v>5000</v>
      </c>
      <c r="BL114" t="s">
        <v>1674</v>
      </c>
      <c r="BM114" t="s">
        <v>4999</v>
      </c>
      <c r="BN114">
        <v>9.67</v>
      </c>
      <c r="BO114">
        <v>12.96</v>
      </c>
      <c r="BP114">
        <v>10.34</v>
      </c>
      <c r="BQ114">
        <v>10.3</v>
      </c>
      <c r="BR114">
        <v>15.58</v>
      </c>
      <c r="BS114" t="s">
        <v>9</v>
      </c>
      <c r="BT114" t="s">
        <v>985</v>
      </c>
      <c r="BU114" t="s">
        <v>1667</v>
      </c>
      <c r="BV114">
        <v>26.28</v>
      </c>
      <c r="BW114">
        <v>21.1</v>
      </c>
      <c r="BX114">
        <v>21.02</v>
      </c>
      <c r="BY114">
        <v>15.56</v>
      </c>
      <c r="BZ114">
        <v>14.23</v>
      </c>
      <c r="CA114">
        <v>13.37</v>
      </c>
      <c r="CB114">
        <v>-0.94</v>
      </c>
      <c r="CC114">
        <v>-10.68</v>
      </c>
      <c r="CD114" t="s">
        <v>5001</v>
      </c>
      <c r="CE114" t="s">
        <v>518</v>
      </c>
      <c r="CF114" s="8">
        <v>-0.8812155339805825</v>
      </c>
      <c r="CG114" s="9">
        <v>-0.41389999999999999</v>
      </c>
      <c r="CH114" s="8">
        <v>-0.94348824024200439</v>
      </c>
      <c r="CI114" s="8">
        <v>0.26608186960220337</v>
      </c>
      <c r="CJ114" s="8">
        <v>0.33073928952217102</v>
      </c>
      <c r="CK114" s="8">
        <v>-0.28808864951133728</v>
      </c>
      <c r="CL114" s="8">
        <v>-0.13221153616905212</v>
      </c>
      <c r="CM114" s="9">
        <v>-0.89457619190216064</v>
      </c>
      <c r="CN114" s="9">
        <v>0.35245099663734436</v>
      </c>
      <c r="CO114" s="9">
        <v>2.6611499786376953</v>
      </c>
      <c r="CP114" s="9">
        <v>-1.5394554138183594</v>
      </c>
      <c r="CQ114" s="9">
        <v>-5.2963633090257645E-2</v>
      </c>
      <c r="CR114">
        <v>0.84849259733510374</v>
      </c>
      <c r="CS114" t="e">
        <v>#DIV/0!</v>
      </c>
      <c r="CT114">
        <v>0.94876660341555985</v>
      </c>
      <c r="CU114" s="8">
        <v>0</v>
      </c>
      <c r="CV114" s="9">
        <v>0</v>
      </c>
      <c r="CW114">
        <v>0.06</v>
      </c>
      <c r="CX114">
        <v>57.056720565895873</v>
      </c>
      <c r="CY114">
        <v>6148207.5471698111</v>
      </c>
      <c r="CZ114">
        <v>0</v>
      </c>
      <c r="DA114">
        <v>20.137244386179361</v>
      </c>
      <c r="DB114">
        <v>17420286.175836425</v>
      </c>
      <c r="DC114">
        <v>0</v>
      </c>
      <c r="DD114">
        <v>10.946419496639821</v>
      </c>
      <c r="DE114">
        <v>32046694.365009729</v>
      </c>
      <c r="DF114">
        <v>0</v>
      </c>
      <c r="DG114">
        <v>7.313377477395524</v>
      </c>
      <c r="DH114">
        <v>47966423.322774716</v>
      </c>
      <c r="DI114">
        <v>0</v>
      </c>
      <c r="DJ114">
        <v>4.6928914198958891</v>
      </c>
      <c r="DK114">
        <v>74750623.5735116</v>
      </c>
      <c r="DL114">
        <v>0</v>
      </c>
      <c r="DM114">
        <v>6517100</v>
      </c>
      <c r="DN114">
        <v>0</v>
      </c>
      <c r="DO114">
        <v>350796560</v>
      </c>
      <c r="DP114">
        <v>76638980</v>
      </c>
      <c r="DQ114">
        <v>113</v>
      </c>
      <c r="DR114">
        <v>-0.8812155339805825</v>
      </c>
      <c r="DS114">
        <v>-0.41389999999999999</v>
      </c>
      <c r="DT114">
        <v>-0.44</v>
      </c>
      <c r="DU114">
        <v>-0.44</v>
      </c>
      <c r="DV114">
        <v>-0.88</v>
      </c>
      <c r="DW114">
        <v>-2.1067999999999998</v>
      </c>
      <c r="DX114">
        <v>0.23792568807339498</v>
      </c>
      <c r="DY114">
        <v>-2.0136624634862383</v>
      </c>
      <c r="DZ114">
        <v>0</v>
      </c>
      <c r="EA114">
        <v>-2.0136624634862383</v>
      </c>
      <c r="EB114">
        <v>2</v>
      </c>
      <c r="EC114">
        <v>0.10715182467364433</v>
      </c>
      <c r="ED114">
        <v>0.83760991468866186</v>
      </c>
      <c r="EE114">
        <v>0</v>
      </c>
      <c r="EF114">
        <v>0</v>
      </c>
      <c r="EG114">
        <v>11.127925688073395</v>
      </c>
      <c r="EH114" t="s">
        <v>86</v>
      </c>
      <c r="EI114">
        <v>0</v>
      </c>
      <c r="EJ114">
        <v>0</v>
      </c>
      <c r="EK114">
        <v>0</v>
      </c>
      <c r="EL114">
        <v>0</v>
      </c>
      <c r="EM114">
        <v>0</v>
      </c>
      <c r="EN114">
        <v>0</v>
      </c>
      <c r="EO114">
        <v>0</v>
      </c>
      <c r="EP114">
        <v>0</v>
      </c>
    </row>
    <row r="115" spans="1:146" ht="96" x14ac:dyDescent="0.25">
      <c r="A115" s="10"/>
      <c r="B115" s="10"/>
      <c r="C115" s="7" t="str">
        <f>""&amp;CHAR(10)&amp;Basic_Fundamental_Information_Constructure(F115)&amp;CHAR(10)&amp;Basic_Fundamental_Information_Concatenate("")</f>
        <v xml:space="preserve">
市值6.94096亿, 利润1162.82万; PE12.12; 平均PE2.1, PB2.45; ROIC33.2733%; ROE37.6167%; 股利率5.5458%; 毛利39.4433%; 净利25.36%; 上一年度营收增-72.04%, 利润增-71.71%; 当季营收增-56.75%, 利润增13.38%; 过往5年营收增0%, 利润增0%
Income profile:
</v>
      </c>
      <c r="D115">
        <v>834950</v>
      </c>
      <c r="E115" t="s">
        <v>1675</v>
      </c>
      <c r="F115">
        <v>11.36</v>
      </c>
      <c r="G115" s="5">
        <v>-1.73</v>
      </c>
      <c r="H115" t="s">
        <v>5002</v>
      </c>
      <c r="I115">
        <v>694096000</v>
      </c>
      <c r="J115">
        <v>12.12</v>
      </c>
      <c r="K115">
        <v>2.4500000000000002</v>
      </c>
      <c r="L115" t="s">
        <v>2604</v>
      </c>
      <c r="M115" t="s">
        <v>5003</v>
      </c>
      <c r="N115" t="s">
        <v>635</v>
      </c>
      <c r="O115" t="s">
        <v>5004</v>
      </c>
      <c r="P115">
        <v>-1.04</v>
      </c>
      <c r="Q115" t="s">
        <v>5004</v>
      </c>
      <c r="R115">
        <v>11628209</v>
      </c>
      <c r="S115" s="5">
        <v>0.1338</v>
      </c>
      <c r="T115" t="s">
        <v>5005</v>
      </c>
      <c r="U115">
        <v>12000000</v>
      </c>
      <c r="V115">
        <v>47000000</v>
      </c>
      <c r="W115">
        <v>1.19</v>
      </c>
      <c r="X115">
        <v>0.15</v>
      </c>
      <c r="Y115">
        <v>22.98</v>
      </c>
      <c r="Z115" t="s">
        <v>5006</v>
      </c>
      <c r="AA115" t="s">
        <v>5007</v>
      </c>
      <c r="AB115" t="s">
        <v>5008</v>
      </c>
      <c r="AC115" t="s">
        <v>5009</v>
      </c>
      <c r="AD115" t="s">
        <v>5010</v>
      </c>
      <c r="AE115">
        <v>615302</v>
      </c>
      <c r="AF115" t="s">
        <v>5011</v>
      </c>
      <c r="AG115" t="s">
        <v>5012</v>
      </c>
      <c r="AH115" t="s">
        <v>5013</v>
      </c>
      <c r="AI115" t="s">
        <v>5014</v>
      </c>
      <c r="AJ115" t="s">
        <v>9</v>
      </c>
      <c r="AK115" t="s">
        <v>9</v>
      </c>
      <c r="AL115" t="s">
        <v>5015</v>
      </c>
      <c r="AM115" t="s">
        <v>9</v>
      </c>
      <c r="AN115" t="s">
        <v>5016</v>
      </c>
      <c r="AO115" t="s">
        <v>9</v>
      </c>
      <c r="AP115" t="s">
        <v>9</v>
      </c>
      <c r="AQ115" t="s">
        <v>5017</v>
      </c>
      <c r="AR115" t="s">
        <v>9</v>
      </c>
      <c r="AS115" t="s">
        <v>5018</v>
      </c>
      <c r="AT115" t="s">
        <v>9</v>
      </c>
      <c r="AU115" t="s">
        <v>5019</v>
      </c>
      <c r="AV115" t="s">
        <v>5020</v>
      </c>
      <c r="AW115" t="s">
        <v>9</v>
      </c>
      <c r="AX115" t="s">
        <v>395</v>
      </c>
      <c r="AY115" t="s">
        <v>104</v>
      </c>
      <c r="AZ115" t="s">
        <v>91</v>
      </c>
      <c r="BA115" t="s">
        <v>67</v>
      </c>
      <c r="BB115" t="s">
        <v>99</v>
      </c>
      <c r="BC115" t="s">
        <v>1677</v>
      </c>
      <c r="BD115" t="s">
        <v>1678</v>
      </c>
      <c r="BE115" t="s">
        <v>1679</v>
      </c>
      <c r="BF115" t="s">
        <v>1680</v>
      </c>
      <c r="BG115" t="s">
        <v>1681</v>
      </c>
      <c r="BH115" t="s">
        <v>100</v>
      </c>
      <c r="BI115" t="s">
        <v>99</v>
      </c>
      <c r="BJ115" t="s">
        <v>395</v>
      </c>
      <c r="BK115" t="s">
        <v>5021</v>
      </c>
      <c r="BL115" t="s">
        <v>1682</v>
      </c>
      <c r="BM115" t="s">
        <v>1677</v>
      </c>
      <c r="BN115">
        <v>15.65</v>
      </c>
      <c r="BO115">
        <v>24.81</v>
      </c>
      <c r="BP115">
        <v>59.36</v>
      </c>
      <c r="BQ115">
        <v>16.899999999999999</v>
      </c>
      <c r="BR115">
        <v>39.520000000000003</v>
      </c>
      <c r="BS115">
        <v>56.43</v>
      </c>
      <c r="BT115" t="s">
        <v>5022</v>
      </c>
      <c r="BU115" t="s">
        <v>1118</v>
      </c>
      <c r="BV115">
        <v>41.36</v>
      </c>
      <c r="BW115">
        <v>38.369999999999997</v>
      </c>
      <c r="BX115">
        <v>38.6</v>
      </c>
      <c r="BY115">
        <v>26.43</v>
      </c>
      <c r="BZ115">
        <v>22.68</v>
      </c>
      <c r="CA115">
        <v>26.97</v>
      </c>
      <c r="CB115">
        <v>1.25</v>
      </c>
      <c r="CC115">
        <v>-14.09</v>
      </c>
      <c r="CD115" t="s">
        <v>5023</v>
      </c>
      <c r="CE115" t="s">
        <v>5024</v>
      </c>
      <c r="CF115" s="8">
        <v>-0.56745128205128204</v>
      </c>
      <c r="CG115" s="9">
        <v>0.1338</v>
      </c>
      <c r="CH115" s="8">
        <v>-0.72039669752120972</v>
      </c>
      <c r="CI115" s="8">
        <v>-0.1462264209985733</v>
      </c>
      <c r="CJ115" s="8">
        <v>0.1977401077747345</v>
      </c>
      <c r="CK115" s="8">
        <v>0.39370077848434448</v>
      </c>
      <c r="CL115" s="8">
        <v>8.5470087826251984E-2</v>
      </c>
      <c r="CM115" s="9">
        <v>-0.71714562177658081</v>
      </c>
      <c r="CN115" s="9">
        <v>-0.28210347890853882</v>
      </c>
      <c r="CO115" s="9">
        <v>0.31451329588890076</v>
      </c>
      <c r="CP115" s="9">
        <v>0.84889590740203857</v>
      </c>
      <c r="CQ115" s="9">
        <v>0.16813084483146667</v>
      </c>
      <c r="CR115">
        <v>2.0952490007940114</v>
      </c>
      <c r="CS115" t="e">
        <v>#DIV/0!</v>
      </c>
      <c r="CT115">
        <v>5.545774647887324</v>
      </c>
      <c r="CU115" s="8">
        <v>0</v>
      </c>
      <c r="CV115" s="9">
        <v>0</v>
      </c>
      <c r="CW115">
        <v>0.06</v>
      </c>
      <c r="CX115">
        <v>43.269361896080227</v>
      </c>
      <c r="CY115">
        <v>10969999.999999998</v>
      </c>
      <c r="CZ115">
        <v>0</v>
      </c>
      <c r="DA115">
        <v>15.271219696706792</v>
      </c>
      <c r="DB115">
        <v>31082317.550729793</v>
      </c>
      <c r="DC115">
        <v>0</v>
      </c>
      <c r="DD115">
        <v>8.3012935543569437</v>
      </c>
      <c r="DE115">
        <v>57179630.72765588</v>
      </c>
      <c r="DF115">
        <v>0</v>
      </c>
      <c r="DG115">
        <v>5.5461508059615996</v>
      </c>
      <c r="DH115">
        <v>85584564.25126037</v>
      </c>
      <c r="DI115">
        <v>0</v>
      </c>
      <c r="DJ115">
        <v>3.558886931680012</v>
      </c>
      <c r="DK115">
        <v>133374537.91372044</v>
      </c>
      <c r="DL115">
        <v>0</v>
      </c>
      <c r="DM115">
        <v>11628200</v>
      </c>
      <c r="DN115">
        <v>0</v>
      </c>
      <c r="DO115">
        <v>474664900</v>
      </c>
      <c r="DP115">
        <v>161369670</v>
      </c>
      <c r="DQ115">
        <v>114</v>
      </c>
      <c r="DR115">
        <v>-0.56745128205128204</v>
      </c>
      <c r="DS115">
        <v>0.1338</v>
      </c>
      <c r="DT115">
        <v>-0.44</v>
      </c>
      <c r="DU115">
        <v>-0.22</v>
      </c>
      <c r="DV115">
        <v>-0.66</v>
      </c>
      <c r="DW115">
        <v>-2.1408999999999998</v>
      </c>
      <c r="DX115">
        <v>0.23587674395262498</v>
      </c>
      <c r="DY115">
        <v>-2.0219630332229248</v>
      </c>
      <c r="DZ115">
        <v>0</v>
      </c>
      <c r="EA115">
        <v>-2.0219630332229248</v>
      </c>
      <c r="EB115">
        <v>2</v>
      </c>
      <c r="EC115">
        <v>1.6521276595744681E-2</v>
      </c>
      <c r="ED115">
        <v>0.10598936170212767</v>
      </c>
      <c r="EE115">
        <v>0</v>
      </c>
      <c r="EF115">
        <v>0</v>
      </c>
      <c r="EG115">
        <v>8.155876743952625</v>
      </c>
      <c r="EH115" t="s">
        <v>86</v>
      </c>
      <c r="EI115">
        <v>0</v>
      </c>
      <c r="EJ115">
        <v>0</v>
      </c>
      <c r="EK115">
        <v>0</v>
      </c>
      <c r="EL115">
        <v>0</v>
      </c>
      <c r="EM115">
        <v>0</v>
      </c>
      <c r="EN115">
        <v>0</v>
      </c>
      <c r="EO115">
        <v>0</v>
      </c>
      <c r="EP115">
        <v>0</v>
      </c>
    </row>
    <row r="116" spans="1:146" ht="108" x14ac:dyDescent="0.25">
      <c r="A116" s="10"/>
      <c r="B116" s="10"/>
      <c r="C116" s="7" t="str">
        <f>""&amp;CHAR(10)&amp;Basic_Fundamental_Information_Constructure(F116)&amp;CHAR(10)&amp;Basic_Fundamental_Information_Concatenate("")</f>
        <v xml:space="preserve">
市值15.535505亿, 利润3619.14万; PE9.29; 平均PE1263.63, PB2.23; ROIC17.9833%; ROE18.54%; 股利率1.7381%; 毛利34.5567%; 净利15.28%; 上一年度营收增-64.33%, 利润增-53.45%; 当季营收增-55.63%, 利润增10.54%; 过往5年营收增0%, 利润增0%
Income profile:
</v>
      </c>
      <c r="D116">
        <v>835174</v>
      </c>
      <c r="E116" t="s">
        <v>1683</v>
      </c>
      <c r="F116">
        <v>17.260000000000002</v>
      </c>
      <c r="G116" s="5">
        <v>-0.52</v>
      </c>
      <c r="H116" t="s">
        <v>5025</v>
      </c>
      <c r="I116">
        <v>1553550500</v>
      </c>
      <c r="J116">
        <v>9.2899999999999991</v>
      </c>
      <c r="K116">
        <v>2.23</v>
      </c>
      <c r="L116" t="s">
        <v>2604</v>
      </c>
      <c r="M116" t="s">
        <v>451</v>
      </c>
      <c r="N116" t="s">
        <v>468</v>
      </c>
      <c r="O116" t="s">
        <v>578</v>
      </c>
      <c r="P116">
        <v>9.2799999999999994</v>
      </c>
      <c r="Q116" t="s">
        <v>578</v>
      </c>
      <c r="R116">
        <v>36191392</v>
      </c>
      <c r="S116" s="5">
        <v>0.10539999999999999</v>
      </c>
      <c r="T116" t="s">
        <v>5026</v>
      </c>
      <c r="U116">
        <v>49865385</v>
      </c>
      <c r="V116">
        <v>90008718</v>
      </c>
      <c r="W116">
        <v>1.49</v>
      </c>
      <c r="X116">
        <v>0.19</v>
      </c>
      <c r="Y116">
        <v>18.71</v>
      </c>
      <c r="Z116" t="s">
        <v>164</v>
      </c>
      <c r="AA116" t="s">
        <v>29</v>
      </c>
      <c r="AB116" t="s">
        <v>5027</v>
      </c>
      <c r="AC116" t="s">
        <v>5028</v>
      </c>
      <c r="AD116" t="s">
        <v>5029</v>
      </c>
      <c r="AE116">
        <v>193568</v>
      </c>
      <c r="AF116" t="s">
        <v>17</v>
      </c>
      <c r="AG116" t="s">
        <v>5030</v>
      </c>
      <c r="AH116" t="s">
        <v>5031</v>
      </c>
      <c r="AI116" t="s">
        <v>441</v>
      </c>
      <c r="AJ116" t="s">
        <v>9</v>
      </c>
      <c r="AK116" t="s">
        <v>5032</v>
      </c>
      <c r="AL116" t="s">
        <v>5033</v>
      </c>
      <c r="AM116" t="s">
        <v>9</v>
      </c>
      <c r="AN116" t="s">
        <v>5034</v>
      </c>
      <c r="AO116" t="s">
        <v>9</v>
      </c>
      <c r="AP116" t="s">
        <v>27</v>
      </c>
      <c r="AQ116" t="s">
        <v>253</v>
      </c>
      <c r="AR116" t="s">
        <v>5035</v>
      </c>
      <c r="AS116" t="s">
        <v>451</v>
      </c>
      <c r="AT116" t="s">
        <v>9</v>
      </c>
      <c r="AU116" t="s">
        <v>5036</v>
      </c>
      <c r="AV116" t="s">
        <v>5037</v>
      </c>
      <c r="AW116" t="s">
        <v>5038</v>
      </c>
      <c r="AX116" t="s">
        <v>592</v>
      </c>
      <c r="AY116" t="s">
        <v>278</v>
      </c>
      <c r="AZ116" t="s">
        <v>621</v>
      </c>
      <c r="BA116" t="s">
        <v>382</v>
      </c>
      <c r="BB116" t="s">
        <v>273</v>
      </c>
      <c r="BC116" t="s">
        <v>1684</v>
      </c>
      <c r="BD116" t="s">
        <v>1685</v>
      </c>
      <c r="BE116" t="s">
        <v>1686</v>
      </c>
      <c r="BF116" t="s">
        <v>1687</v>
      </c>
      <c r="BG116" t="s">
        <v>1688</v>
      </c>
      <c r="BH116" t="s">
        <v>5039</v>
      </c>
      <c r="BI116" t="s">
        <v>474</v>
      </c>
      <c r="BJ116" t="s">
        <v>592</v>
      </c>
      <c r="BK116" t="s">
        <v>108</v>
      </c>
      <c r="BL116" t="s">
        <v>1689</v>
      </c>
      <c r="BM116" t="s">
        <v>1684</v>
      </c>
      <c r="BN116">
        <v>18.53</v>
      </c>
      <c r="BO116">
        <v>13.68</v>
      </c>
      <c r="BP116">
        <v>21.74</v>
      </c>
      <c r="BQ116">
        <v>18.59</v>
      </c>
      <c r="BR116">
        <v>14.04</v>
      </c>
      <c r="BS116">
        <v>22.99</v>
      </c>
      <c r="BT116" t="s">
        <v>859</v>
      </c>
      <c r="BU116" t="s">
        <v>951</v>
      </c>
      <c r="BV116">
        <v>36.840000000000003</v>
      </c>
      <c r="BW116">
        <v>35.479999999999997</v>
      </c>
      <c r="BX116">
        <v>31.35</v>
      </c>
      <c r="BY116">
        <v>17.16</v>
      </c>
      <c r="BZ116">
        <v>14.37</v>
      </c>
      <c r="CA116">
        <v>14.31</v>
      </c>
      <c r="CB116">
        <v>-4.43</v>
      </c>
      <c r="CC116">
        <v>-5.63</v>
      </c>
      <c r="CD116" t="s">
        <v>5040</v>
      </c>
      <c r="CE116" t="s">
        <v>5041</v>
      </c>
      <c r="CF116" s="8">
        <v>-0.55632183908045973</v>
      </c>
      <c r="CG116" s="9">
        <v>0.10539999999999999</v>
      </c>
      <c r="CH116" s="8">
        <v>-0.64325320720672607</v>
      </c>
      <c r="CI116" s="8">
        <v>-0.21594202518463135</v>
      </c>
      <c r="CJ116" s="8">
        <v>0.52993345260620117</v>
      </c>
      <c r="CK116" s="8">
        <v>0.32258063554763794</v>
      </c>
      <c r="CL116" s="8">
        <v>-5.540166050195694E-2</v>
      </c>
      <c r="CM116" s="9">
        <v>-0.53448402881622314</v>
      </c>
      <c r="CN116" s="9">
        <v>-0.21328788995742798</v>
      </c>
      <c r="CO116" s="9">
        <v>0.42406332492828369</v>
      </c>
      <c r="CP116" s="9">
        <v>1.1859183311462402</v>
      </c>
      <c r="CQ116" s="9">
        <v>-0.32337996363639832</v>
      </c>
      <c r="CR116">
        <v>1263.6313477753954</v>
      </c>
      <c r="CS116" t="e">
        <v>#DIV/0!</v>
      </c>
      <c r="CT116">
        <v>1.7381228273464657</v>
      </c>
      <c r="CU116" s="8">
        <v>0</v>
      </c>
      <c r="CV116" s="9">
        <v>0</v>
      </c>
      <c r="CW116">
        <v>0.06</v>
      </c>
      <c r="CX116">
        <v>35.162594704819384</v>
      </c>
      <c r="CY116">
        <v>34142830.188679241</v>
      </c>
      <c r="CZ116">
        <v>0</v>
      </c>
      <c r="DA116">
        <v>12.410067662500017</v>
      </c>
      <c r="DB116">
        <v>96740044.667745844</v>
      </c>
      <c r="DC116">
        <v>0</v>
      </c>
      <c r="DD116">
        <v>6.7459978143108579</v>
      </c>
      <c r="DE116">
        <v>177964851.6121915</v>
      </c>
      <c r="DF116">
        <v>0</v>
      </c>
      <c r="DG116">
        <v>4.5070471210138576</v>
      </c>
      <c r="DH116">
        <v>266371854.51256981</v>
      </c>
      <c r="DI116">
        <v>0</v>
      </c>
      <c r="DJ116">
        <v>2.8921087183926995</v>
      </c>
      <c r="DK116">
        <v>415112506.78958243</v>
      </c>
      <c r="DL116">
        <v>0</v>
      </c>
      <c r="DM116">
        <v>36191400</v>
      </c>
      <c r="DN116">
        <v>0</v>
      </c>
      <c r="DO116">
        <v>1200550500</v>
      </c>
      <c r="DP116">
        <v>570210100</v>
      </c>
      <c r="DQ116">
        <v>115</v>
      </c>
      <c r="DR116">
        <v>-0.55632183908045973</v>
      </c>
      <c r="DS116">
        <v>0.10539999999999999</v>
      </c>
      <c r="DT116">
        <v>-0.44</v>
      </c>
      <c r="DU116">
        <v>-0.22</v>
      </c>
      <c r="DV116">
        <v>-0.66</v>
      </c>
      <c r="DW116">
        <v>-8.786856127886324</v>
      </c>
      <c r="DX116">
        <v>0.19413838150925955</v>
      </c>
      <c r="DY116">
        <v>-8.0504676785232707</v>
      </c>
      <c r="DZ116">
        <v>0</v>
      </c>
      <c r="EA116">
        <v>-8.0504676785232707</v>
      </c>
      <c r="EB116">
        <v>8</v>
      </c>
      <c r="EC116">
        <v>1.810935691807098E-2</v>
      </c>
      <c r="ED116">
        <v>0.2823482054260566</v>
      </c>
      <c r="EE116">
        <v>0</v>
      </c>
      <c r="EF116">
        <v>0</v>
      </c>
      <c r="EG116">
        <v>13.06413838150926</v>
      </c>
      <c r="EH116" t="s">
        <v>86</v>
      </c>
      <c r="EI116">
        <v>0</v>
      </c>
      <c r="EJ116">
        <v>0</v>
      </c>
      <c r="EK116">
        <v>0</v>
      </c>
      <c r="EL116">
        <v>0</v>
      </c>
      <c r="EM116">
        <v>0</v>
      </c>
      <c r="EN116">
        <v>0</v>
      </c>
      <c r="EO116">
        <v>0</v>
      </c>
      <c r="EP116">
        <v>0</v>
      </c>
    </row>
    <row r="117" spans="1:146" ht="96" x14ac:dyDescent="0.25">
      <c r="A117" s="10"/>
      <c r="B117" s="10"/>
      <c r="C117" s="7" t="str">
        <f>""&amp;CHAR(10)&amp;Basic_Fundamental_Information_Constructure(F117)&amp;CHAR(10)&amp;Basic_Fundamental_Information_Concatenate("")</f>
        <v xml:space="preserve">
市值12.2925亿, 利润1154.25万; PE33.35; 平均PE5.33, PB1.73; ROIC8.26%; ROE8.28%; 股利率.6101%; 毛利43.89%; 净利23.7567%; 上一年度营收增-53.5%, 利润增-78.6%; 当季营收增-25.1%, 利润增-8.67%; 过往5年营收增0%, 利润增0%
Income profile:
</v>
      </c>
      <c r="D117">
        <v>835179</v>
      </c>
      <c r="E117" t="s">
        <v>1690</v>
      </c>
      <c r="F117">
        <v>16.39</v>
      </c>
      <c r="G117" s="5">
        <v>0.31</v>
      </c>
      <c r="H117" t="s">
        <v>5042</v>
      </c>
      <c r="I117">
        <v>1229250000</v>
      </c>
      <c r="J117">
        <v>33.35</v>
      </c>
      <c r="K117">
        <v>1.73</v>
      </c>
      <c r="L117" t="s">
        <v>2604</v>
      </c>
      <c r="M117" t="s">
        <v>123</v>
      </c>
      <c r="N117" t="s">
        <v>5043</v>
      </c>
      <c r="O117" t="s">
        <v>5044</v>
      </c>
      <c r="P117">
        <v>39.57</v>
      </c>
      <c r="Q117" t="s">
        <v>5044</v>
      </c>
      <c r="R117">
        <v>11542541</v>
      </c>
      <c r="S117" s="5">
        <v>-8.6699999999999999E-2</v>
      </c>
      <c r="T117" t="s">
        <v>5045</v>
      </c>
      <c r="U117">
        <v>59712072</v>
      </c>
      <c r="V117">
        <v>75000000</v>
      </c>
      <c r="W117">
        <v>1.28</v>
      </c>
      <c r="X117">
        <v>0.09</v>
      </c>
      <c r="Y117">
        <v>16.38</v>
      </c>
      <c r="Z117" t="s">
        <v>5046</v>
      </c>
      <c r="AA117" t="s">
        <v>5047</v>
      </c>
      <c r="AB117" t="s">
        <v>5048</v>
      </c>
      <c r="AC117" t="s">
        <v>5049</v>
      </c>
      <c r="AD117" t="s">
        <v>5050</v>
      </c>
      <c r="AE117">
        <v>245623</v>
      </c>
      <c r="AF117" t="s">
        <v>5051</v>
      </c>
      <c r="AG117" t="s">
        <v>5052</v>
      </c>
      <c r="AH117" t="s">
        <v>5053</v>
      </c>
      <c r="AI117" t="s">
        <v>72</v>
      </c>
      <c r="AJ117" t="s">
        <v>9</v>
      </c>
      <c r="AK117" t="s">
        <v>5054</v>
      </c>
      <c r="AL117" t="s">
        <v>5055</v>
      </c>
      <c r="AM117" t="s">
        <v>9</v>
      </c>
      <c r="AN117" t="s">
        <v>419</v>
      </c>
      <c r="AO117" t="s">
        <v>5056</v>
      </c>
      <c r="AP117" t="s">
        <v>5057</v>
      </c>
      <c r="AQ117" t="s">
        <v>5058</v>
      </c>
      <c r="AR117" t="s">
        <v>9</v>
      </c>
      <c r="AS117" t="s">
        <v>277</v>
      </c>
      <c r="AT117" t="s">
        <v>5059</v>
      </c>
      <c r="AU117" t="s">
        <v>5060</v>
      </c>
      <c r="AV117" t="s">
        <v>5061</v>
      </c>
      <c r="AW117" t="s">
        <v>5062</v>
      </c>
      <c r="AX117" t="s">
        <v>441</v>
      </c>
      <c r="AY117" t="s">
        <v>39</v>
      </c>
      <c r="AZ117" t="s">
        <v>108</v>
      </c>
      <c r="BA117" t="s">
        <v>386</v>
      </c>
      <c r="BB117" t="s">
        <v>537</v>
      </c>
      <c r="BC117" t="s">
        <v>1692</v>
      </c>
      <c r="BD117" t="s">
        <v>1693</v>
      </c>
      <c r="BE117" t="s">
        <v>1694</v>
      </c>
      <c r="BF117" t="s">
        <v>1695</v>
      </c>
      <c r="BG117" t="s">
        <v>1696</v>
      </c>
      <c r="BH117" t="s">
        <v>23</v>
      </c>
      <c r="BI117" t="s">
        <v>411</v>
      </c>
      <c r="BJ117" t="s">
        <v>441</v>
      </c>
      <c r="BK117" t="s">
        <v>5063</v>
      </c>
      <c r="BL117" t="s">
        <v>1697</v>
      </c>
      <c r="BM117" t="s">
        <v>1692</v>
      </c>
      <c r="BN117">
        <v>4.53</v>
      </c>
      <c r="BO117">
        <v>9.4499999999999993</v>
      </c>
      <c r="BP117">
        <v>10.8</v>
      </c>
      <c r="BQ117">
        <v>4.6399999999999997</v>
      </c>
      <c r="BR117">
        <v>8.83</v>
      </c>
      <c r="BS117">
        <v>11.37</v>
      </c>
      <c r="BT117" t="s">
        <v>886</v>
      </c>
      <c r="BU117" t="s">
        <v>1691</v>
      </c>
      <c r="BV117">
        <v>38.9</v>
      </c>
      <c r="BW117">
        <v>48.08</v>
      </c>
      <c r="BX117">
        <v>44.69</v>
      </c>
      <c r="BY117">
        <v>16.46</v>
      </c>
      <c r="BZ117">
        <v>30.81</v>
      </c>
      <c r="CA117">
        <v>24</v>
      </c>
      <c r="CB117">
        <v>-6.61</v>
      </c>
      <c r="CC117">
        <v>-5.21</v>
      </c>
      <c r="CD117" t="s">
        <v>5064</v>
      </c>
      <c r="CE117" t="s">
        <v>5065</v>
      </c>
      <c r="CF117" s="8">
        <v>-0.25103451327433618</v>
      </c>
      <c r="CG117" s="9">
        <v>-8.6699999999999999E-2</v>
      </c>
      <c r="CH117" s="8">
        <v>-0.53498291969299316</v>
      </c>
      <c r="CI117" s="8">
        <v>9.6385538578033447E-2</v>
      </c>
      <c r="CJ117" s="8">
        <v>1.2195121496915817E-2</v>
      </c>
      <c r="CK117" s="8">
        <v>5.8064516633749008E-2</v>
      </c>
      <c r="CL117" s="8">
        <v>0.39639639854431152</v>
      </c>
      <c r="CM117" s="9">
        <v>-0.78595471382141113</v>
      </c>
      <c r="CN117" s="9">
        <v>0.35438460111618042</v>
      </c>
      <c r="CO117" s="9">
        <v>0.15583468973636627</v>
      </c>
      <c r="CP117" s="9">
        <v>6.1213046312332153E-2</v>
      </c>
      <c r="CQ117" s="9">
        <v>0.51615387201309204</v>
      </c>
      <c r="CR117">
        <v>5.3345891491180231</v>
      </c>
      <c r="CS117" t="e">
        <v>#DIV/0!</v>
      </c>
      <c r="CT117">
        <v>0.61012812690665041</v>
      </c>
      <c r="CU117" s="8">
        <v>0</v>
      </c>
      <c r="CV117" s="9">
        <v>0</v>
      </c>
      <c r="CW117">
        <v>0.06</v>
      </c>
      <c r="CX117">
        <v>61.827593675546893</v>
      </c>
      <c r="CY117">
        <v>10889150.943396226</v>
      </c>
      <c r="CZ117">
        <v>0</v>
      </c>
      <c r="DA117">
        <v>21.821046693631263</v>
      </c>
      <c r="DB117">
        <v>30853240.426660933</v>
      </c>
      <c r="DC117">
        <v>0</v>
      </c>
      <c r="DD117">
        <v>11.861718832204755</v>
      </c>
      <c r="DE117">
        <v>56758216.032917216</v>
      </c>
      <c r="DF117">
        <v>0</v>
      </c>
      <c r="DG117">
        <v>7.9248952022415784</v>
      </c>
      <c r="DH117">
        <v>84953804.790954128</v>
      </c>
      <c r="DI117">
        <v>0</v>
      </c>
      <c r="DJ117">
        <v>5.0852937391956052</v>
      </c>
      <c r="DK117">
        <v>132391565.6652894</v>
      </c>
      <c r="DL117">
        <v>0</v>
      </c>
      <c r="DM117">
        <v>11542500</v>
      </c>
      <c r="DN117">
        <v>0</v>
      </c>
      <c r="DO117">
        <v>673250000</v>
      </c>
      <c r="DP117">
        <v>254973110</v>
      </c>
      <c r="DQ117">
        <v>116</v>
      </c>
      <c r="DR117">
        <v>-0.25103451327433618</v>
      </c>
      <c r="DS117">
        <v>-8.6699999999999999E-2</v>
      </c>
      <c r="DT117">
        <v>-0.44</v>
      </c>
      <c r="DU117">
        <v>-0.22</v>
      </c>
      <c r="DV117">
        <v>-0.66</v>
      </c>
      <c r="DW117">
        <v>-5.7881996974281389</v>
      </c>
      <c r="DX117">
        <v>0.3343206900926049</v>
      </c>
      <c r="DY117">
        <v>-5.1452815121607367</v>
      </c>
      <c r="DZ117">
        <v>0</v>
      </c>
      <c r="EA117">
        <v>-5.1452815121607367</v>
      </c>
      <c r="EB117">
        <v>5</v>
      </c>
      <c r="EC117">
        <v>2.518533333333333E-2</v>
      </c>
      <c r="ED117">
        <v>0.13663866666666666</v>
      </c>
      <c r="EE117">
        <v>0</v>
      </c>
      <c r="EF117">
        <v>0</v>
      </c>
      <c r="EG117">
        <v>15.184320690092605</v>
      </c>
      <c r="EH117" t="s">
        <v>86</v>
      </c>
      <c r="EI117">
        <v>0</v>
      </c>
      <c r="EJ117">
        <v>0</v>
      </c>
      <c r="EK117">
        <v>0</v>
      </c>
      <c r="EL117">
        <v>0</v>
      </c>
      <c r="EM117">
        <v>0</v>
      </c>
      <c r="EN117">
        <v>0</v>
      </c>
      <c r="EO117">
        <v>0</v>
      </c>
      <c r="EP117">
        <v>0</v>
      </c>
    </row>
    <row r="118" spans="1:146" ht="96" x14ac:dyDescent="0.25">
      <c r="A118" s="10"/>
      <c r="B118" s="10"/>
      <c r="C118" s="7" t="str">
        <f>""&amp;CHAR(10)&amp;Basic_Fundamental_Information_Constructure(F118)&amp;CHAR(10)&amp;Basic_Fundamental_Information_Concatenate("")</f>
        <v xml:space="preserve">
市值6.943701亿, 利润169.46万; PE36.27; 平均PE6.65, PB1.17; ROIC.8%; ROE-3.6333%; 股利率0%; 毛利37.3333%; 净利-12.02%; 上一年度营收增-68.87%, 利润增102.05%; 当季营收增-37.16%, 利润增121.9%; 过往5年营收增0%, 利润增0%
Income profile:
</v>
      </c>
      <c r="D118">
        <v>835184</v>
      </c>
      <c r="E118" t="s">
        <v>1699</v>
      </c>
      <c r="F118">
        <v>5.19</v>
      </c>
      <c r="G118" s="5">
        <v>-2.63</v>
      </c>
      <c r="H118" t="s">
        <v>5066</v>
      </c>
      <c r="I118">
        <v>694370100</v>
      </c>
      <c r="J118">
        <v>36.270000000000003</v>
      </c>
      <c r="K118">
        <v>1.17</v>
      </c>
      <c r="L118" t="s">
        <v>2604</v>
      </c>
      <c r="M118" t="s">
        <v>5067</v>
      </c>
      <c r="N118" t="s">
        <v>400</v>
      </c>
      <c r="O118" t="s">
        <v>5068</v>
      </c>
      <c r="P118">
        <v>58.95</v>
      </c>
      <c r="Q118" t="s">
        <v>5068</v>
      </c>
      <c r="R118">
        <v>1694605</v>
      </c>
      <c r="S118" s="5">
        <v>1.2190000000000001</v>
      </c>
      <c r="T118" t="s">
        <v>5069</v>
      </c>
      <c r="U118">
        <v>89101487</v>
      </c>
      <c r="V118">
        <v>133790000</v>
      </c>
      <c r="W118">
        <v>1.05</v>
      </c>
      <c r="X118">
        <v>0.1</v>
      </c>
      <c r="Y118">
        <v>2.63</v>
      </c>
      <c r="Z118" t="s">
        <v>5070</v>
      </c>
      <c r="AA118" t="s">
        <v>5071</v>
      </c>
      <c r="AB118" t="s">
        <v>5072</v>
      </c>
      <c r="AC118" t="s">
        <v>5073</v>
      </c>
      <c r="AD118" t="s">
        <v>5074</v>
      </c>
      <c r="AE118">
        <v>511442</v>
      </c>
      <c r="AF118" t="s">
        <v>5075</v>
      </c>
      <c r="AG118">
        <v>12.65</v>
      </c>
      <c r="AH118" t="s">
        <v>5076</v>
      </c>
      <c r="AI118" t="s">
        <v>110</v>
      </c>
      <c r="AJ118" t="s">
        <v>9</v>
      </c>
      <c r="AK118" t="s">
        <v>9</v>
      </c>
      <c r="AL118" t="s">
        <v>5077</v>
      </c>
      <c r="AM118" t="s">
        <v>9</v>
      </c>
      <c r="AN118">
        <v>0</v>
      </c>
      <c r="AO118" t="s">
        <v>9</v>
      </c>
      <c r="AP118" t="s">
        <v>9</v>
      </c>
      <c r="AQ118" t="s">
        <v>5078</v>
      </c>
      <c r="AR118" t="s">
        <v>9</v>
      </c>
      <c r="AS118" t="s">
        <v>5079</v>
      </c>
      <c r="AT118" t="s">
        <v>9</v>
      </c>
      <c r="AU118" t="s">
        <v>5080</v>
      </c>
      <c r="AV118" t="s">
        <v>5081</v>
      </c>
      <c r="AW118" t="s">
        <v>5082</v>
      </c>
      <c r="AX118" t="s">
        <v>171</v>
      </c>
      <c r="AY118" t="s">
        <v>158</v>
      </c>
      <c r="AZ118" t="s">
        <v>251</v>
      </c>
      <c r="BA118" t="s">
        <v>362</v>
      </c>
      <c r="BB118" t="s">
        <v>428</v>
      </c>
      <c r="BC118" t="s">
        <v>5083</v>
      </c>
      <c r="BD118" t="s">
        <v>1700</v>
      </c>
      <c r="BE118" t="s">
        <v>1701</v>
      </c>
      <c r="BF118" t="s">
        <v>1702</v>
      </c>
      <c r="BG118" t="s">
        <v>1703</v>
      </c>
      <c r="BH118" t="s">
        <v>444</v>
      </c>
      <c r="BI118" t="s">
        <v>1704</v>
      </c>
      <c r="BJ118" t="s">
        <v>171</v>
      </c>
      <c r="BK118" t="s">
        <v>5084</v>
      </c>
      <c r="BL118" t="s">
        <v>1705</v>
      </c>
      <c r="BM118" t="s">
        <v>5083</v>
      </c>
      <c r="BN118">
        <v>1.25</v>
      </c>
      <c r="BO118" t="s">
        <v>9</v>
      </c>
      <c r="BP118">
        <v>0.35</v>
      </c>
      <c r="BQ118">
        <v>1.43</v>
      </c>
      <c r="BR118">
        <v>-13.01</v>
      </c>
      <c r="BS118">
        <v>0.68</v>
      </c>
      <c r="BT118" t="s">
        <v>773</v>
      </c>
      <c r="BU118" t="s">
        <v>888</v>
      </c>
      <c r="BV118">
        <v>44.74</v>
      </c>
      <c r="BW118">
        <v>22.45</v>
      </c>
      <c r="BX118">
        <v>44.81</v>
      </c>
      <c r="BY118">
        <v>4.09</v>
      </c>
      <c r="BZ118">
        <v>-42</v>
      </c>
      <c r="CA118">
        <v>1.85</v>
      </c>
      <c r="CB118">
        <v>-2.81</v>
      </c>
      <c r="CC118">
        <v>-5.98</v>
      </c>
      <c r="CD118" t="s">
        <v>5085</v>
      </c>
      <c r="CE118" t="s">
        <v>5086</v>
      </c>
      <c r="CF118" s="8">
        <v>-0.37156622900381558</v>
      </c>
      <c r="CG118" s="9">
        <v>1.2190000000000001</v>
      </c>
      <c r="CH118" s="8">
        <v>-0.68874567747116089</v>
      </c>
      <c r="CI118" s="8">
        <v>-0.31597220897674561</v>
      </c>
      <c r="CJ118" s="8">
        <v>-8.2802549004554749E-2</v>
      </c>
      <c r="CK118" s="8">
        <v>-2.4844720959663391E-2</v>
      </c>
      <c r="CL118" s="8">
        <v>1.2578615918755531E-2</v>
      </c>
      <c r="CM118" s="9">
        <v>1.0204945802688599</v>
      </c>
      <c r="CN118" s="9">
        <v>-17.91424560546875</v>
      </c>
      <c r="CO118" s="9">
        <v>-0.88262230157852173</v>
      </c>
      <c r="CP118" s="9">
        <v>-8.884941041469574E-2</v>
      </c>
      <c r="CQ118" s="9">
        <v>0.11383002996444702</v>
      </c>
      <c r="CR118">
        <v>6.6533350431573526</v>
      </c>
      <c r="CS118" t="e">
        <v>#DIV/0!</v>
      </c>
      <c r="CT118">
        <v>0</v>
      </c>
      <c r="CU118" s="8">
        <v>0</v>
      </c>
      <c r="CV118" s="9">
        <v>0</v>
      </c>
      <c r="CW118">
        <v>0.06</v>
      </c>
      <c r="CX118">
        <v>83.898943703528857</v>
      </c>
      <c r="CY118">
        <v>1598679.2452830188</v>
      </c>
      <c r="CZ118">
        <v>0</v>
      </c>
      <c r="DA118">
        <v>29.610771813445485</v>
      </c>
      <c r="DB118">
        <v>4529686.0495576877</v>
      </c>
      <c r="DC118">
        <v>0</v>
      </c>
      <c r="DD118">
        <v>16.096141243223499</v>
      </c>
      <c r="DE118">
        <v>8332897.8028487349</v>
      </c>
      <c r="DF118">
        <v>0</v>
      </c>
      <c r="DG118">
        <v>10.753941677212635</v>
      </c>
      <c r="DH118">
        <v>12472403.517327344</v>
      </c>
      <c r="DI118">
        <v>0</v>
      </c>
      <c r="DJ118">
        <v>6.9006530543565727</v>
      </c>
      <c r="DK118">
        <v>19436928.496980675</v>
      </c>
      <c r="DL118">
        <v>0</v>
      </c>
      <c r="DM118">
        <v>1694600</v>
      </c>
      <c r="DN118">
        <v>0</v>
      </c>
      <c r="DO118">
        <v>134127500</v>
      </c>
      <c r="DP118">
        <v>540831720</v>
      </c>
      <c r="DQ118">
        <v>117</v>
      </c>
      <c r="DR118">
        <v>-0.37156622900381558</v>
      </c>
      <c r="DS118">
        <v>1.2190000000000001</v>
      </c>
      <c r="DT118">
        <v>-0.44</v>
      </c>
      <c r="DU118">
        <v>-0.44</v>
      </c>
      <c r="DV118">
        <v>-0.88</v>
      </c>
      <c r="DW118">
        <v>-8.4698996655518393</v>
      </c>
      <c r="DX118">
        <v>0.39026415027373307</v>
      </c>
      <c r="DY118">
        <v>-8.1082010472022059</v>
      </c>
      <c r="DZ118">
        <v>0</v>
      </c>
      <c r="EA118">
        <v>-8.1082010472022059</v>
      </c>
      <c r="EB118">
        <v>8</v>
      </c>
      <c r="EC118">
        <v>3.8793631811047162E-2</v>
      </c>
      <c r="ED118">
        <v>0.16847447492338741</v>
      </c>
      <c r="EE118">
        <v>0</v>
      </c>
      <c r="EF118">
        <v>0</v>
      </c>
      <c r="EG118">
        <v>16.230264150273733</v>
      </c>
      <c r="EH118" t="s">
        <v>86</v>
      </c>
      <c r="EI118">
        <v>0</v>
      </c>
      <c r="EJ118">
        <v>0</v>
      </c>
      <c r="EK118">
        <v>0</v>
      </c>
      <c r="EL118">
        <v>0</v>
      </c>
      <c r="EM118">
        <v>0</v>
      </c>
      <c r="EN118">
        <v>0</v>
      </c>
      <c r="EO118">
        <v>0</v>
      </c>
      <c r="EP118">
        <v>0</v>
      </c>
    </row>
    <row r="119" spans="1:146" ht="108" x14ac:dyDescent="0.25">
      <c r="A119" s="10"/>
      <c r="B119" s="10"/>
      <c r="C119" s="7" t="str">
        <f>""&amp;CHAR(10)&amp;Basic_Fundamental_Information_Constructure(F119)&amp;CHAR(10)&amp;Basic_Fundamental_Information_Concatenate("")</f>
        <v xml:space="preserve">
市值205.35659亿, 利润2.18亿; PE13; 平均PE-191.8, PB1.72; ROIC13.2233%; ROE20.1867%; 股利率2.1751%; 毛利19.5033%; 净利9.99%; 上一年度营收增-86.26%, 利润增-90.57%; 当季营收增-73.72%, 利润增-25.52%; 过往5年营收增0%, 利润增0%
Income profile:
</v>
      </c>
      <c r="D119">
        <v>835185</v>
      </c>
      <c r="E119" t="s">
        <v>1706</v>
      </c>
      <c r="F119">
        <v>18.39</v>
      </c>
      <c r="G119" s="5">
        <v>-1.82</v>
      </c>
      <c r="H119" t="s">
        <v>4394</v>
      </c>
      <c r="I119">
        <v>20535659000</v>
      </c>
      <c r="J119">
        <v>13</v>
      </c>
      <c r="K119">
        <v>1.72</v>
      </c>
      <c r="L119" t="s">
        <v>2604</v>
      </c>
      <c r="M119" t="s">
        <v>5087</v>
      </c>
      <c r="N119" t="s">
        <v>5088</v>
      </c>
      <c r="O119" t="s">
        <v>5089</v>
      </c>
      <c r="P119">
        <v>-47.84</v>
      </c>
      <c r="Q119" t="s">
        <v>5089</v>
      </c>
      <c r="R119">
        <v>218422810</v>
      </c>
      <c r="S119" s="5">
        <v>-0.25519999999999998</v>
      </c>
      <c r="T119" t="s">
        <v>489</v>
      </c>
      <c r="U119">
        <v>1099338670</v>
      </c>
      <c r="V119">
        <v>1116675340</v>
      </c>
      <c r="W119">
        <v>2.21</v>
      </c>
      <c r="X119">
        <v>0.12</v>
      </c>
      <c r="Y119">
        <v>6.28</v>
      </c>
      <c r="Z119" t="s">
        <v>5090</v>
      </c>
      <c r="AA119" t="s">
        <v>5091</v>
      </c>
      <c r="AB119" t="s">
        <v>5092</v>
      </c>
      <c r="AC119" t="s">
        <v>296</v>
      </c>
      <c r="AD119" t="s">
        <v>231</v>
      </c>
      <c r="AE119">
        <v>32948012</v>
      </c>
      <c r="AF119" t="s">
        <v>5093</v>
      </c>
      <c r="AG119" t="s">
        <v>5094</v>
      </c>
      <c r="AH119" t="s">
        <v>5095</v>
      </c>
      <c r="AI119" t="s">
        <v>5096</v>
      </c>
      <c r="AJ119" t="s">
        <v>9</v>
      </c>
      <c r="AK119" t="s">
        <v>253</v>
      </c>
      <c r="AL119" t="s">
        <v>5097</v>
      </c>
      <c r="AM119" t="s">
        <v>9</v>
      </c>
      <c r="AN119" t="s">
        <v>5098</v>
      </c>
      <c r="AO119" t="s">
        <v>5099</v>
      </c>
      <c r="AP119" t="s">
        <v>5100</v>
      </c>
      <c r="AQ119" t="s">
        <v>5101</v>
      </c>
      <c r="AR119" t="s">
        <v>5102</v>
      </c>
      <c r="AS119" t="s">
        <v>5103</v>
      </c>
      <c r="AT119" t="s">
        <v>5104</v>
      </c>
      <c r="AU119" t="s">
        <v>5105</v>
      </c>
      <c r="AV119" t="s">
        <v>5106</v>
      </c>
      <c r="AW119" t="s">
        <v>524</v>
      </c>
      <c r="AX119" t="s">
        <v>1707</v>
      </c>
      <c r="AY119" t="s">
        <v>1708</v>
      </c>
      <c r="AZ119" t="s">
        <v>642</v>
      </c>
      <c r="BA119" t="s">
        <v>1709</v>
      </c>
      <c r="BB119" t="s">
        <v>288</v>
      </c>
      <c r="BC119" t="s">
        <v>5107</v>
      </c>
      <c r="BD119" t="s">
        <v>274</v>
      </c>
      <c r="BE119" t="s">
        <v>555</v>
      </c>
      <c r="BF119" t="s">
        <v>375</v>
      </c>
      <c r="BG119" t="s">
        <v>454</v>
      </c>
      <c r="BH119" t="s">
        <v>5108</v>
      </c>
      <c r="BI119" t="s">
        <v>626</v>
      </c>
      <c r="BJ119" t="s">
        <v>1707</v>
      </c>
      <c r="BK119" t="s">
        <v>3973</v>
      </c>
      <c r="BL119" t="s">
        <v>313</v>
      </c>
      <c r="BM119" t="s">
        <v>5107</v>
      </c>
      <c r="BN119">
        <v>8.19</v>
      </c>
      <c r="BO119">
        <v>15.82</v>
      </c>
      <c r="BP119">
        <v>15.66</v>
      </c>
      <c r="BQ119">
        <v>12.69</v>
      </c>
      <c r="BR119">
        <v>26.89</v>
      </c>
      <c r="BS119">
        <v>20.98</v>
      </c>
      <c r="BT119" t="s">
        <v>842</v>
      </c>
      <c r="BU119" t="s">
        <v>915</v>
      </c>
      <c r="BV119">
        <v>17.66</v>
      </c>
      <c r="BW119">
        <v>15.83</v>
      </c>
      <c r="BX119">
        <v>25.02</v>
      </c>
      <c r="BY119">
        <v>7.32</v>
      </c>
      <c r="BZ119">
        <v>8.92</v>
      </c>
      <c r="CA119">
        <v>13.73</v>
      </c>
      <c r="CB119">
        <v>0.99</v>
      </c>
      <c r="CC119">
        <v>-2.2799999999999998</v>
      </c>
      <c r="CD119" t="s">
        <v>5109</v>
      </c>
      <c r="CE119" t="s">
        <v>5110</v>
      </c>
      <c r="CF119" s="8">
        <v>-0.73716754823809871</v>
      </c>
      <c r="CG119" s="9">
        <v>-0.25519999999999998</v>
      </c>
      <c r="CH119" s="8">
        <v>-0.86261147260665894</v>
      </c>
      <c r="CI119" s="8">
        <v>1.4477170705795288</v>
      </c>
      <c r="CJ119" s="8">
        <v>1.3564691543579102</v>
      </c>
      <c r="CK119" s="8">
        <v>1.4122919179499149E-2</v>
      </c>
      <c r="CL119" s="8">
        <v>9.5036216080188751E-2</v>
      </c>
      <c r="CM119" s="9">
        <v>-0.90566855669021606</v>
      </c>
      <c r="CN119" s="9">
        <v>0.60374748706817627</v>
      </c>
      <c r="CO119" s="9">
        <v>1.9111109972000122</v>
      </c>
      <c r="CP119" s="9">
        <v>-0.25675675272941589</v>
      </c>
      <c r="CQ119" s="9">
        <v>0.38461539149284363</v>
      </c>
      <c r="CR119">
        <v>-191.80299144534115</v>
      </c>
      <c r="CS119" t="e">
        <v>#DIV/0!</v>
      </c>
      <c r="CT119">
        <v>2.1750951604132682</v>
      </c>
      <c r="CU119" s="8">
        <v>0</v>
      </c>
      <c r="CV119" s="9">
        <v>0</v>
      </c>
      <c r="CW119">
        <v>0.06</v>
      </c>
      <c r="CX119">
        <v>106.79577311926604</v>
      </c>
      <c r="CY119">
        <v>205660377.35849059</v>
      </c>
      <c r="CZ119">
        <v>0</v>
      </c>
      <c r="DA119">
        <v>37.6918364985574</v>
      </c>
      <c r="DB119">
        <v>582716604.98263669</v>
      </c>
      <c r="DC119">
        <v>0</v>
      </c>
      <c r="DD119">
        <v>20.488933142964651</v>
      </c>
      <c r="DE119">
        <v>1071976703.0691752</v>
      </c>
      <c r="DF119">
        <v>0</v>
      </c>
      <c r="DG119">
        <v>13.68879588705852</v>
      </c>
      <c r="DH119">
        <v>1604498977.2084038</v>
      </c>
      <c r="DI119">
        <v>0</v>
      </c>
      <c r="DJ119">
        <v>8.7839077041542968</v>
      </c>
      <c r="DK119">
        <v>2500442825.6472249</v>
      </c>
      <c r="DL119">
        <v>0</v>
      </c>
      <c r="DM119">
        <v>218000000.00000003</v>
      </c>
      <c r="DN119">
        <v>0</v>
      </c>
      <c r="DO119">
        <v>21963659000</v>
      </c>
      <c r="DP119">
        <v>4092903000</v>
      </c>
      <c r="DQ119">
        <v>118</v>
      </c>
      <c r="DR119">
        <v>-0.73716754823809871</v>
      </c>
      <c r="DS119">
        <v>-0.25519999999999998</v>
      </c>
      <c r="DT119">
        <v>-0.44</v>
      </c>
      <c r="DU119">
        <v>-0.44</v>
      </c>
      <c r="DV119">
        <v>-0.88</v>
      </c>
      <c r="DW119">
        <v>-2.2799999999999997E-2</v>
      </c>
      <c r="DX119">
        <v>0.33240765740123179</v>
      </c>
      <c r="DY119">
        <v>-2.1068945887481091E-3</v>
      </c>
      <c r="DZ119">
        <v>0</v>
      </c>
      <c r="EA119">
        <v>-2.1068945887481091E-3</v>
      </c>
      <c r="EB119">
        <v>0</v>
      </c>
      <c r="EC119">
        <v>4.0702967435458908E-3</v>
      </c>
      <c r="ED119">
        <v>4.4047180266378945E-2</v>
      </c>
      <c r="EE119">
        <v>0</v>
      </c>
      <c r="EF119">
        <v>0</v>
      </c>
      <c r="EG119">
        <v>24.092407657401232</v>
      </c>
      <c r="EH119" t="s">
        <v>86</v>
      </c>
      <c r="EI119">
        <v>0</v>
      </c>
      <c r="EJ119">
        <v>0</v>
      </c>
      <c r="EK119">
        <v>0</v>
      </c>
      <c r="EL119">
        <v>0</v>
      </c>
      <c r="EM119">
        <v>0</v>
      </c>
      <c r="EN119">
        <v>0</v>
      </c>
      <c r="EO119">
        <v>0</v>
      </c>
      <c r="EP119">
        <v>0</v>
      </c>
    </row>
    <row r="120" spans="1:146" ht="96" x14ac:dyDescent="0.25">
      <c r="A120" s="10"/>
      <c r="B120" s="10"/>
      <c r="C120" s="7" t="str">
        <f>""&amp;CHAR(10)&amp;Basic_Fundamental_Information_Constructure(F120)&amp;CHAR(10)&amp;Basic_Fundamental_Information_Concatenate("")</f>
        <v xml:space="preserve">
市值6.57965亿, 利润83.99万; PE64.34; 平均PE8.05, PB1.96; ROIC11.395%; ROE8.7567%; 股利率1.4286%; 毛利25.9567%; 净利4.9667%; 上一年度营收增-69.5%, 利润增-95.78%; 当季营收增-8.73%, 利润增117.6%; 过往5年营收增0%, 利润增0%
Income profile:
</v>
      </c>
      <c r="D120">
        <v>835207</v>
      </c>
      <c r="E120" t="s">
        <v>1710</v>
      </c>
      <c r="F120">
        <v>7</v>
      </c>
      <c r="G120" s="5">
        <v>-5.15</v>
      </c>
      <c r="H120" t="s">
        <v>5111</v>
      </c>
      <c r="I120">
        <v>657965000</v>
      </c>
      <c r="J120">
        <v>64.34</v>
      </c>
      <c r="K120">
        <v>1.96</v>
      </c>
      <c r="L120" t="s">
        <v>2604</v>
      </c>
      <c r="M120" t="s">
        <v>64</v>
      </c>
      <c r="N120" t="s">
        <v>276</v>
      </c>
      <c r="O120" t="s">
        <v>154</v>
      </c>
      <c r="P120">
        <v>101.57</v>
      </c>
      <c r="Q120" t="s">
        <v>154</v>
      </c>
      <c r="R120">
        <v>839935</v>
      </c>
      <c r="S120" s="5">
        <v>1.1759999999999999</v>
      </c>
      <c r="T120" t="s">
        <v>5112</v>
      </c>
      <c r="U120">
        <v>35212300</v>
      </c>
      <c r="V120">
        <v>95795000</v>
      </c>
      <c r="W120">
        <v>1.81</v>
      </c>
      <c r="X120">
        <v>0.19</v>
      </c>
      <c r="Y120">
        <v>0.78</v>
      </c>
      <c r="Z120" t="s">
        <v>272</v>
      </c>
      <c r="AA120" t="s">
        <v>5113</v>
      </c>
      <c r="AB120" t="s">
        <v>5114</v>
      </c>
      <c r="AC120" t="s">
        <v>5115</v>
      </c>
      <c r="AD120" t="s">
        <v>5116</v>
      </c>
      <c r="AE120">
        <v>914787</v>
      </c>
      <c r="AF120" t="s">
        <v>5117</v>
      </c>
      <c r="AG120">
        <v>4201.42</v>
      </c>
      <c r="AH120" t="s">
        <v>5118</v>
      </c>
      <c r="AI120" t="s">
        <v>5119</v>
      </c>
      <c r="AJ120" t="s">
        <v>9</v>
      </c>
      <c r="AK120" t="s">
        <v>9</v>
      </c>
      <c r="AL120" t="s">
        <v>5120</v>
      </c>
      <c r="AM120" t="s">
        <v>9</v>
      </c>
      <c r="AN120" t="s">
        <v>5121</v>
      </c>
      <c r="AO120" t="s">
        <v>27</v>
      </c>
      <c r="AP120" t="s">
        <v>5122</v>
      </c>
      <c r="AQ120" t="s">
        <v>5123</v>
      </c>
      <c r="AR120" t="s">
        <v>9</v>
      </c>
      <c r="AS120" t="s">
        <v>75</v>
      </c>
      <c r="AT120" t="s">
        <v>9</v>
      </c>
      <c r="AU120" t="s">
        <v>5124</v>
      </c>
      <c r="AV120" t="s">
        <v>5125</v>
      </c>
      <c r="AW120" t="s">
        <v>5126</v>
      </c>
      <c r="AX120" t="s">
        <v>69</v>
      </c>
      <c r="AY120" t="s">
        <v>674</v>
      </c>
      <c r="AZ120" t="s">
        <v>71</v>
      </c>
      <c r="BA120" t="s">
        <v>679</v>
      </c>
      <c r="BB120" t="s">
        <v>240</v>
      </c>
      <c r="BC120" t="s">
        <v>1711</v>
      </c>
      <c r="BD120" t="s">
        <v>1712</v>
      </c>
      <c r="BE120" t="s">
        <v>1713</v>
      </c>
      <c r="BF120" t="s">
        <v>1714</v>
      </c>
      <c r="BG120" t="s">
        <v>1715</v>
      </c>
      <c r="BH120" t="s">
        <v>584</v>
      </c>
      <c r="BI120" t="s">
        <v>230</v>
      </c>
      <c r="BJ120" t="s">
        <v>69</v>
      </c>
      <c r="BK120" t="s">
        <v>5127</v>
      </c>
      <c r="BL120" t="s">
        <v>1716</v>
      </c>
      <c r="BM120" t="s">
        <v>1711</v>
      </c>
      <c r="BN120" t="s">
        <v>9</v>
      </c>
      <c r="BO120">
        <v>5.95</v>
      </c>
      <c r="BP120">
        <v>16.84</v>
      </c>
      <c r="BQ120">
        <v>-1.58</v>
      </c>
      <c r="BR120">
        <v>7.73</v>
      </c>
      <c r="BS120">
        <v>20.12</v>
      </c>
      <c r="BT120" t="s">
        <v>886</v>
      </c>
      <c r="BU120" t="s">
        <v>927</v>
      </c>
      <c r="BV120">
        <v>26.11</v>
      </c>
      <c r="BW120">
        <v>27.54</v>
      </c>
      <c r="BX120">
        <v>24.22</v>
      </c>
      <c r="BY120">
        <v>1.36</v>
      </c>
      <c r="BZ120">
        <v>5.15</v>
      </c>
      <c r="CA120">
        <v>8.39</v>
      </c>
      <c r="CB120">
        <v>1.01</v>
      </c>
      <c r="CC120">
        <v>-5.41</v>
      </c>
      <c r="CD120" t="s">
        <v>5128</v>
      </c>
      <c r="CE120" t="s">
        <v>5129</v>
      </c>
      <c r="CF120" s="8">
        <v>-8.7301587301587422E-2</v>
      </c>
      <c r="CG120" s="9">
        <v>1.1759999999999999</v>
      </c>
      <c r="CH120" s="8">
        <v>-0.69496023654937744</v>
      </c>
      <c r="CI120" s="8">
        <v>-0.26796117424964905</v>
      </c>
      <c r="CJ120" s="8">
        <v>0.12445414811372757</v>
      </c>
      <c r="CK120" s="8">
        <v>0.48701298236846924</v>
      </c>
      <c r="CL120" s="8">
        <v>0.40000000596046448</v>
      </c>
      <c r="CM120" s="9">
        <v>-0.95783424377441406</v>
      </c>
      <c r="CN120" s="9">
        <v>-0.5350959300994873</v>
      </c>
      <c r="CO120" s="9">
        <v>6.2539055943489075E-2</v>
      </c>
      <c r="CP120" s="9">
        <v>0.30541446805000305</v>
      </c>
      <c r="CQ120" s="9">
        <v>0.79123562574386597</v>
      </c>
      <c r="CR120">
        <v>8.0479485915034985</v>
      </c>
      <c r="CS120" t="e">
        <v>#DIV/0!</v>
      </c>
      <c r="CT120">
        <v>1.4285714285714286</v>
      </c>
      <c r="CU120" s="8">
        <v>0</v>
      </c>
      <c r="CV120" s="9">
        <v>0</v>
      </c>
      <c r="CW120">
        <v>0.06</v>
      </c>
      <c r="CX120">
        <v>710.49279676151934</v>
      </c>
      <c r="CY120">
        <v>792358.4905660376</v>
      </c>
      <c r="CZ120">
        <v>0</v>
      </c>
      <c r="DA120">
        <v>250.75691243913906</v>
      </c>
      <c r="DB120">
        <v>2245062.7363528279</v>
      </c>
      <c r="DC120">
        <v>0</v>
      </c>
      <c r="DD120">
        <v>136.30913458670022</v>
      </c>
      <c r="DE120">
        <v>4130060.7014119276</v>
      </c>
      <c r="DF120">
        <v>0</v>
      </c>
      <c r="DG120">
        <v>91.069061911582793</v>
      </c>
      <c r="DH120">
        <v>6181737.1144832028</v>
      </c>
      <c r="DI120">
        <v>0</v>
      </c>
      <c r="DJ120">
        <v>58.437735585752115</v>
      </c>
      <c r="DK120">
        <v>9633586.8314729538</v>
      </c>
      <c r="DL120">
        <v>0</v>
      </c>
      <c r="DM120">
        <v>839900</v>
      </c>
      <c r="DN120">
        <v>0</v>
      </c>
      <c r="DO120">
        <v>562965000</v>
      </c>
      <c r="DP120">
        <v>216028550</v>
      </c>
      <c r="DQ120">
        <v>119</v>
      </c>
      <c r="DR120">
        <v>-8.7301587301587422E-2</v>
      </c>
      <c r="DS120">
        <v>1.1759999999999999</v>
      </c>
      <c r="DT120">
        <v>-0.44</v>
      </c>
      <c r="DU120">
        <v>0.6</v>
      </c>
      <c r="DV120">
        <v>0.15999999999999998</v>
      </c>
      <c r="DW120">
        <v>-1.0541</v>
      </c>
      <c r="DX120">
        <v>0.467148283272528</v>
      </c>
      <c r="DY120">
        <v>-1.0139117221250438</v>
      </c>
      <c r="DZ120">
        <v>0</v>
      </c>
      <c r="EA120">
        <v>-1.0139117221250438</v>
      </c>
      <c r="EB120">
        <v>1</v>
      </c>
      <c r="EC120">
        <v>0.13427840701497989</v>
      </c>
      <c r="ED120">
        <v>0.52218278615794145</v>
      </c>
      <c r="EE120">
        <v>0</v>
      </c>
      <c r="EF120">
        <v>0</v>
      </c>
      <c r="EG120">
        <v>21.257148283272528</v>
      </c>
      <c r="EH120" t="s">
        <v>86</v>
      </c>
      <c r="EI120">
        <v>0</v>
      </c>
      <c r="EJ120">
        <v>0</v>
      </c>
      <c r="EK120">
        <v>0</v>
      </c>
      <c r="EL120">
        <v>0</v>
      </c>
      <c r="EM120">
        <v>0</v>
      </c>
      <c r="EN120">
        <v>0</v>
      </c>
      <c r="EO120">
        <v>0</v>
      </c>
      <c r="EP120">
        <v>0</v>
      </c>
    </row>
    <row r="121" spans="1:146" ht="108" x14ac:dyDescent="0.25">
      <c r="A121" s="10"/>
      <c r="B121" s="10"/>
      <c r="C121" s="7" t="str">
        <f>""&amp;CHAR(10)&amp;Basic_Fundamental_Information_Constructure(F121)&amp;CHAR(10)&amp;Basic_Fundamental_Information_Concatenate("")</f>
        <v xml:space="preserve">
市值6.9159216亿, 利润1382.56万; PE12.23; 平均PE-.5, PB1.51; ROIC12.69%; ROE14.4667%; 股利率2.8958%; 毛利28.72%; 净利12.82%; 上一年度营收增-75.72%, 利润增-64.72%; 当季营收增-55.79%, 利润增629.3%; 过往5年营收增0%, 利润增0%
Income profile:
</v>
      </c>
      <c r="D121">
        <v>835237</v>
      </c>
      <c r="E121" t="s">
        <v>1717</v>
      </c>
      <c r="F121">
        <v>10.36</v>
      </c>
      <c r="G121" s="5">
        <v>-1.89</v>
      </c>
      <c r="H121" t="s">
        <v>5130</v>
      </c>
      <c r="I121">
        <v>691592160</v>
      </c>
      <c r="J121">
        <v>12.23</v>
      </c>
      <c r="K121">
        <v>1.51</v>
      </c>
      <c r="L121" t="s">
        <v>2604</v>
      </c>
      <c r="M121" t="s">
        <v>277</v>
      </c>
      <c r="N121" t="s">
        <v>357</v>
      </c>
      <c r="O121" t="s">
        <v>5131</v>
      </c>
      <c r="P121">
        <v>2.31</v>
      </c>
      <c r="Q121" t="s">
        <v>5131</v>
      </c>
      <c r="R121">
        <v>13825554</v>
      </c>
      <c r="S121" s="5">
        <v>6.2930000000000001</v>
      </c>
      <c r="T121" t="s">
        <v>5132</v>
      </c>
      <c r="U121">
        <v>34387538</v>
      </c>
      <c r="V121">
        <v>51420000</v>
      </c>
      <c r="W121">
        <v>1.32</v>
      </c>
      <c r="X121">
        <v>0.13</v>
      </c>
      <c r="Y121">
        <v>16.7</v>
      </c>
      <c r="Z121" t="s">
        <v>5133</v>
      </c>
      <c r="AA121" t="s">
        <v>5134</v>
      </c>
      <c r="AB121" t="s">
        <v>5135</v>
      </c>
      <c r="AC121" t="s">
        <v>5136</v>
      </c>
      <c r="AD121" t="s">
        <v>5137</v>
      </c>
      <c r="AE121">
        <v>679102</v>
      </c>
      <c r="AF121" t="s">
        <v>5138</v>
      </c>
      <c r="AG121" t="s">
        <v>9</v>
      </c>
      <c r="AH121" t="s">
        <v>5139</v>
      </c>
      <c r="AI121" t="s">
        <v>537</v>
      </c>
      <c r="AJ121" t="s">
        <v>9</v>
      </c>
      <c r="AK121" t="s">
        <v>4137</v>
      </c>
      <c r="AL121" t="s">
        <v>5140</v>
      </c>
      <c r="AM121" t="s">
        <v>9</v>
      </c>
      <c r="AN121" t="s">
        <v>5141</v>
      </c>
      <c r="AO121" t="s">
        <v>9</v>
      </c>
      <c r="AP121" t="s">
        <v>5142</v>
      </c>
      <c r="AQ121" t="s">
        <v>5143</v>
      </c>
      <c r="AR121" t="s">
        <v>5144</v>
      </c>
      <c r="AS121" t="s">
        <v>374</v>
      </c>
      <c r="AT121" t="s">
        <v>9</v>
      </c>
      <c r="AU121" t="s">
        <v>5145</v>
      </c>
      <c r="AV121" t="s">
        <v>5146</v>
      </c>
      <c r="AW121" t="s">
        <v>5147</v>
      </c>
      <c r="AX121" t="s">
        <v>425</v>
      </c>
      <c r="AY121" t="s">
        <v>178</v>
      </c>
      <c r="AZ121" t="s">
        <v>339</v>
      </c>
      <c r="BA121" t="s">
        <v>444</v>
      </c>
      <c r="BB121" t="s">
        <v>15</v>
      </c>
      <c r="BC121" t="s">
        <v>5148</v>
      </c>
      <c r="BD121" t="s">
        <v>1719</v>
      </c>
      <c r="BE121" t="s">
        <v>1720</v>
      </c>
      <c r="BF121" t="s">
        <v>1721</v>
      </c>
      <c r="BG121" t="s">
        <v>1722</v>
      </c>
      <c r="BH121" t="s">
        <v>539</v>
      </c>
      <c r="BI121" t="s">
        <v>296</v>
      </c>
      <c r="BJ121" t="s">
        <v>425</v>
      </c>
      <c r="BK121" t="s">
        <v>5149</v>
      </c>
      <c r="BL121" t="s">
        <v>1723</v>
      </c>
      <c r="BM121" t="s">
        <v>5148</v>
      </c>
      <c r="BN121">
        <v>6.34</v>
      </c>
      <c r="BO121">
        <v>11.93</v>
      </c>
      <c r="BP121">
        <v>19.8</v>
      </c>
      <c r="BQ121">
        <v>7.34</v>
      </c>
      <c r="BR121">
        <v>15.37</v>
      </c>
      <c r="BS121">
        <v>20.69</v>
      </c>
      <c r="BT121" t="s">
        <v>1565</v>
      </c>
      <c r="BU121" t="s">
        <v>915</v>
      </c>
      <c r="BV121">
        <v>24.81</v>
      </c>
      <c r="BW121">
        <v>27.54</v>
      </c>
      <c r="BX121">
        <v>33.81</v>
      </c>
      <c r="BY121">
        <v>11.05</v>
      </c>
      <c r="BZ121">
        <v>11.71</v>
      </c>
      <c r="CA121">
        <v>15.7</v>
      </c>
      <c r="CB121">
        <v>-5.69</v>
      </c>
      <c r="CC121">
        <v>-8.19</v>
      </c>
      <c r="CD121" t="s">
        <v>5150</v>
      </c>
      <c r="CE121" t="s">
        <v>5151</v>
      </c>
      <c r="CF121" s="8">
        <v>-0.55789891304347827</v>
      </c>
      <c r="CG121" s="9">
        <v>6.2930000000000001</v>
      </c>
      <c r="CH121" s="8">
        <v>-0.75717437267303467</v>
      </c>
      <c r="CI121" s="8">
        <v>0.17543859779834747</v>
      </c>
      <c r="CJ121" s="8">
        <v>0.25550660490989685</v>
      </c>
      <c r="CK121" s="8">
        <v>-2.9914529994130135E-2</v>
      </c>
      <c r="CL121" s="8">
        <v>0.24468085169792175</v>
      </c>
      <c r="CM121" s="9">
        <v>-0.64718282222747803</v>
      </c>
      <c r="CN121" s="9">
        <v>-0.12287216633558273</v>
      </c>
      <c r="CO121" s="9">
        <v>0.48742988705635071</v>
      </c>
      <c r="CP121" s="9">
        <v>1.8335497006773949E-2</v>
      </c>
      <c r="CQ121" s="9">
        <v>0.60678017139434814</v>
      </c>
      <c r="CR121">
        <v>-0.4954586927765946</v>
      </c>
      <c r="CS121" t="e">
        <v>#DIV/0!</v>
      </c>
      <c r="CT121">
        <v>2.8957528957528957</v>
      </c>
      <c r="CU121" s="8">
        <v>0</v>
      </c>
      <c r="CV121" s="9">
        <v>0</v>
      </c>
      <c r="CW121">
        <v>0.06</v>
      </c>
      <c r="CX121">
        <v>31.403171623654675</v>
      </c>
      <c r="CY121">
        <v>13043018.867924526</v>
      </c>
      <c r="CZ121">
        <v>0</v>
      </c>
      <c r="DA121">
        <v>11.083240242599066</v>
      </c>
      <c r="DB121">
        <v>36955994.008476794</v>
      </c>
      <c r="DC121">
        <v>0</v>
      </c>
      <c r="DD121">
        <v>6.0247467205987393</v>
      </c>
      <c r="DE121">
        <v>67984959.201620132</v>
      </c>
      <c r="DF121">
        <v>0</v>
      </c>
      <c r="DG121">
        <v>4.0251743491983554</v>
      </c>
      <c r="DH121">
        <v>101757619.53803901</v>
      </c>
      <c r="DI121">
        <v>0</v>
      </c>
      <c r="DJ121">
        <v>2.5828977412041194</v>
      </c>
      <c r="DK121">
        <v>158578542.79939574</v>
      </c>
      <c r="DL121">
        <v>0</v>
      </c>
      <c r="DM121">
        <v>13825600</v>
      </c>
      <c r="DN121">
        <v>0</v>
      </c>
      <c r="DO121">
        <v>409592160</v>
      </c>
      <c r="DP121">
        <v>278609290</v>
      </c>
      <c r="DQ121">
        <v>120</v>
      </c>
      <c r="DR121">
        <v>-0.55789891304347827</v>
      </c>
      <c r="DS121">
        <v>6.2930000000000001</v>
      </c>
      <c r="DT121">
        <v>-0.44</v>
      </c>
      <c r="DU121">
        <v>0</v>
      </c>
      <c r="DV121">
        <v>-0.44</v>
      </c>
      <c r="DW121">
        <v>-8.6947496947496941</v>
      </c>
      <c r="DX121">
        <v>0.29527921757019315</v>
      </c>
      <c r="DY121">
        <v>-8.1078801890078633</v>
      </c>
      <c r="DZ121">
        <v>0</v>
      </c>
      <c r="EA121">
        <v>-8.1078801890078633</v>
      </c>
      <c r="EB121">
        <v>8</v>
      </c>
      <c r="EC121">
        <v>2.6275768183586158E-2</v>
      </c>
      <c r="ED121">
        <v>0.16921625826526643</v>
      </c>
      <c r="EE121">
        <v>0</v>
      </c>
      <c r="EF121">
        <v>0</v>
      </c>
      <c r="EG121">
        <v>14.155279217570193</v>
      </c>
      <c r="EH121" t="s">
        <v>86</v>
      </c>
      <c r="EI121">
        <v>0</v>
      </c>
      <c r="EJ121">
        <v>0</v>
      </c>
      <c r="EK121">
        <v>0</v>
      </c>
      <c r="EL121">
        <v>0</v>
      </c>
      <c r="EM121">
        <v>0</v>
      </c>
      <c r="EN121">
        <v>0</v>
      </c>
      <c r="EO121">
        <v>0</v>
      </c>
      <c r="EP121">
        <v>0</v>
      </c>
    </row>
    <row r="122" spans="1:146" ht="96" x14ac:dyDescent="0.25">
      <c r="A122" s="10"/>
      <c r="B122" s="10"/>
      <c r="C122" s="7" t="str">
        <f>""&amp;CHAR(10)&amp;Basic_Fundamental_Information_Constructure(F122)&amp;CHAR(10)&amp;Basic_Fundamental_Information_Concatenate("")</f>
        <v xml:space="preserve">
市值14.7467亿, 利润-85.51万; PE; 平均PE1.08, PB1.83; ROIC7.76%; ROE2.09%; 股利率0%; 毛利32.4733%; 净利-3.4933%; 上一年度营收增-88.52%, 利润增94.22%; 当季营收增-60.51%, 利润增92.32%; 过往5年营收增0%, 利润增0%
Income profile:
</v>
      </c>
      <c r="D122">
        <v>835305</v>
      </c>
      <c r="E122" t="s">
        <v>1724</v>
      </c>
      <c r="F122">
        <v>11.14</v>
      </c>
      <c r="G122" s="5">
        <v>-2.11</v>
      </c>
      <c r="H122" t="s">
        <v>5152</v>
      </c>
      <c r="I122">
        <v>1474670000</v>
      </c>
      <c r="K122">
        <v>1.83</v>
      </c>
      <c r="L122" t="s">
        <v>2604</v>
      </c>
      <c r="M122" t="s">
        <v>409</v>
      </c>
      <c r="N122" t="s">
        <v>1066</v>
      </c>
      <c r="O122" t="s">
        <v>5153</v>
      </c>
      <c r="P122">
        <v>11.2</v>
      </c>
      <c r="Q122" t="s">
        <v>5153</v>
      </c>
      <c r="R122">
        <v>-855140</v>
      </c>
      <c r="S122" s="5">
        <v>0.92320000000000002</v>
      </c>
      <c r="T122" t="s">
        <v>5154</v>
      </c>
      <c r="U122">
        <v>81100875</v>
      </c>
      <c r="V122">
        <v>132376125</v>
      </c>
      <c r="W122">
        <v>1.41</v>
      </c>
      <c r="X122">
        <v>0.04</v>
      </c>
      <c r="Y122">
        <v>-1.99</v>
      </c>
      <c r="Z122" t="s">
        <v>5155</v>
      </c>
      <c r="AA122" t="s">
        <v>5156</v>
      </c>
      <c r="AB122" t="s">
        <v>2546</v>
      </c>
      <c r="AC122" t="s">
        <v>5157</v>
      </c>
      <c r="AD122" t="s">
        <v>5158</v>
      </c>
      <c r="AE122">
        <v>1907417</v>
      </c>
      <c r="AF122" t="s">
        <v>5159</v>
      </c>
      <c r="AG122">
        <v>2.1</v>
      </c>
      <c r="AH122" t="s">
        <v>5160</v>
      </c>
      <c r="AI122" t="s">
        <v>332</v>
      </c>
      <c r="AJ122" t="s">
        <v>9</v>
      </c>
      <c r="AK122" t="s">
        <v>9</v>
      </c>
      <c r="AL122" t="s">
        <v>5161</v>
      </c>
      <c r="AM122" t="s">
        <v>9</v>
      </c>
      <c r="AN122" t="s">
        <v>619</v>
      </c>
      <c r="AO122" t="s">
        <v>165</v>
      </c>
      <c r="AP122" t="s">
        <v>5162</v>
      </c>
      <c r="AQ122" t="s">
        <v>5163</v>
      </c>
      <c r="AR122" t="s">
        <v>9</v>
      </c>
      <c r="AS122" t="s">
        <v>496</v>
      </c>
      <c r="AT122" t="s">
        <v>5164</v>
      </c>
      <c r="AU122" t="s">
        <v>5165</v>
      </c>
      <c r="AV122" t="s">
        <v>106</v>
      </c>
      <c r="AW122" t="s">
        <v>5166</v>
      </c>
      <c r="AX122" t="s">
        <v>157</v>
      </c>
      <c r="AY122" t="s">
        <v>627</v>
      </c>
      <c r="AZ122" t="s">
        <v>137</v>
      </c>
      <c r="BA122" t="s">
        <v>491</v>
      </c>
      <c r="BB122" t="s">
        <v>277</v>
      </c>
      <c r="BC122" t="s">
        <v>5167</v>
      </c>
      <c r="BD122" t="s">
        <v>1725</v>
      </c>
      <c r="BE122" t="s">
        <v>1726</v>
      </c>
      <c r="BF122" t="s">
        <v>1727</v>
      </c>
      <c r="BG122" t="s">
        <v>1728</v>
      </c>
      <c r="BH122" t="s">
        <v>446</v>
      </c>
      <c r="BI122" t="s">
        <v>518</v>
      </c>
      <c r="BJ122" t="s">
        <v>157</v>
      </c>
      <c r="BK122" t="s">
        <v>5168</v>
      </c>
      <c r="BL122" t="s">
        <v>1729</v>
      </c>
      <c r="BM122" t="s">
        <v>5167</v>
      </c>
      <c r="BN122" t="s">
        <v>9</v>
      </c>
      <c r="BO122" t="s">
        <v>9</v>
      </c>
      <c r="BP122">
        <v>7.76</v>
      </c>
      <c r="BQ122">
        <v>-2.4</v>
      </c>
      <c r="BR122">
        <v>-1.7</v>
      </c>
      <c r="BS122">
        <v>10.37</v>
      </c>
      <c r="BT122" t="s">
        <v>773</v>
      </c>
      <c r="BU122" t="s">
        <v>888</v>
      </c>
      <c r="BV122">
        <v>29.7</v>
      </c>
      <c r="BW122">
        <v>28.35</v>
      </c>
      <c r="BX122">
        <v>39.369999999999997</v>
      </c>
      <c r="BY122">
        <v>-20.329999999999998</v>
      </c>
      <c r="BZ122">
        <v>-3.95</v>
      </c>
      <c r="CA122">
        <v>13.8</v>
      </c>
      <c r="CB122">
        <v>7.95</v>
      </c>
      <c r="CC122">
        <v>1.27</v>
      </c>
      <c r="CD122" t="s">
        <v>5169</v>
      </c>
      <c r="CE122" t="s">
        <v>5170</v>
      </c>
      <c r="CF122" s="8">
        <v>-0.60513302752293585</v>
      </c>
      <c r="CG122" s="9">
        <v>0.92320000000000002</v>
      </c>
      <c r="CH122" s="8">
        <v>-0.88522529602050781</v>
      </c>
      <c r="CI122" s="8">
        <v>-0.21383647620677948</v>
      </c>
      <c r="CJ122" s="8">
        <v>0.31404960155487061</v>
      </c>
      <c r="CK122" s="8">
        <v>0.32967033982276917</v>
      </c>
      <c r="CL122" s="8">
        <v>0.47567567229270935</v>
      </c>
      <c r="CM122" s="9">
        <v>0.94223153591156006</v>
      </c>
      <c r="CN122" s="9">
        <v>-1.2250237464904785</v>
      </c>
      <c r="CO122" s="9">
        <v>-8.3041295409202576E-2</v>
      </c>
      <c r="CP122" s="9">
        <v>-0.1122526228427887</v>
      </c>
      <c r="CQ122" s="9">
        <v>0.44155213236808777</v>
      </c>
      <c r="CR122">
        <v>1.0824398280485583</v>
      </c>
      <c r="CS122" t="e">
        <v>#DIV/0!</v>
      </c>
      <c r="CT122">
        <v>0</v>
      </c>
      <c r="CU122" s="8">
        <v>0</v>
      </c>
      <c r="CV122" s="9">
        <v>0</v>
      </c>
      <c r="CW122">
        <v>0.06</v>
      </c>
      <c r="CX122" t="e">
        <v>#VALUE!</v>
      </c>
      <c r="CY122" t="s">
        <v>85</v>
      </c>
      <c r="CZ122">
        <v>0</v>
      </c>
      <c r="DA122" t="e">
        <v>#VALUE!</v>
      </c>
      <c r="DB122" t="s">
        <v>84</v>
      </c>
      <c r="DC122">
        <v>0</v>
      </c>
      <c r="DD122" t="e">
        <v>#VALUE!</v>
      </c>
      <c r="DE122" t="s">
        <v>84</v>
      </c>
      <c r="DF122">
        <v>0</v>
      </c>
      <c r="DG122" t="e">
        <v>#VALUE!</v>
      </c>
      <c r="DH122" t="s">
        <v>84</v>
      </c>
      <c r="DI122">
        <v>0</v>
      </c>
      <c r="DJ122" t="e">
        <v>#VALUE!</v>
      </c>
      <c r="DK122" t="s">
        <v>84</v>
      </c>
      <c r="DL122">
        <v>0</v>
      </c>
      <c r="DM122">
        <v>-855100</v>
      </c>
      <c r="DN122">
        <v>0</v>
      </c>
      <c r="DO122">
        <v>1005669999.9999999</v>
      </c>
      <c r="DP122">
        <v>412162840</v>
      </c>
      <c r="DQ122">
        <v>121</v>
      </c>
      <c r="DR122">
        <v>-0.60513302752293585</v>
      </c>
      <c r="DS122">
        <v>0.92320000000000002</v>
      </c>
      <c r="DT122">
        <v>-0.44</v>
      </c>
      <c r="DU122" t="e">
        <v>#VALUE!</v>
      </c>
      <c r="DV122" t="e">
        <v>#VALUE!</v>
      </c>
      <c r="DW122">
        <v>5.1597484276729562</v>
      </c>
      <c r="DX122">
        <v>0.55631600080305199</v>
      </c>
      <c r="DY122">
        <v>5.0665058265433807</v>
      </c>
      <c r="DZ122">
        <v>0</v>
      </c>
      <c r="EA122">
        <v>5.0665058265433807</v>
      </c>
      <c r="EB122">
        <v>5</v>
      </c>
      <c r="EC122">
        <v>0.15664984905699575</v>
      </c>
      <c r="ED122">
        <v>0.37627631115505156</v>
      </c>
      <c r="EE122">
        <v>0</v>
      </c>
      <c r="EF122">
        <v>0</v>
      </c>
      <c r="EG122">
        <v>14.416316000803052</v>
      </c>
      <c r="EH122" t="s">
        <v>86</v>
      </c>
      <c r="EI122">
        <v>1</v>
      </c>
      <c r="EJ122">
        <v>0</v>
      </c>
      <c r="EK122">
        <v>0</v>
      </c>
      <c r="EL122">
        <v>0</v>
      </c>
      <c r="EM122">
        <v>0</v>
      </c>
      <c r="EN122">
        <v>0</v>
      </c>
      <c r="EO122">
        <v>0</v>
      </c>
      <c r="EP122">
        <v>0</v>
      </c>
    </row>
    <row r="123" spans="1:146" ht="96" x14ac:dyDescent="0.25">
      <c r="A123" s="10"/>
      <c r="B123" s="10"/>
      <c r="C123" s="7" t="str">
        <f>""&amp;CHAR(10)&amp;Basic_Fundamental_Information_Constructure(F123)&amp;CHAR(10)&amp;Basic_Fundamental_Information_Concatenate("")</f>
        <v xml:space="preserve">
市值60.733256亿, 利润2.21亿; PE7.59; 平均PE1.9, PB1.5; ROIC12.0867%; ROE15.2167%; 股利率1.1534%; 毛利28.2033%; 净利12.1933%; 上一年度营收增-70.92%, 利润增-51.11%; 当季营收增-41.99%, 利润增116%; 过往5年营收增0%, 利润增0%
Income profile:
</v>
      </c>
      <c r="D123">
        <v>835368</v>
      </c>
      <c r="E123" t="s">
        <v>1730</v>
      </c>
      <c r="F123">
        <v>26.01</v>
      </c>
      <c r="G123" s="5">
        <v>-1.1000000000000001</v>
      </c>
      <c r="H123" t="s">
        <v>5171</v>
      </c>
      <c r="I123">
        <v>6073325600</v>
      </c>
      <c r="J123">
        <v>7.59</v>
      </c>
      <c r="K123">
        <v>1.5</v>
      </c>
      <c r="L123" t="s">
        <v>2604</v>
      </c>
      <c r="M123" t="s">
        <v>5172</v>
      </c>
      <c r="N123" t="s">
        <v>5173</v>
      </c>
      <c r="O123" t="s">
        <v>5174</v>
      </c>
      <c r="P123">
        <v>69.349999999999994</v>
      </c>
      <c r="Q123" t="s">
        <v>5174</v>
      </c>
      <c r="R123">
        <v>220936370</v>
      </c>
      <c r="S123" s="5">
        <v>1.1599999999999999</v>
      </c>
      <c r="T123" t="s">
        <v>620</v>
      </c>
      <c r="U123">
        <v>127461936</v>
      </c>
      <c r="V123">
        <v>233499640</v>
      </c>
      <c r="W123">
        <v>2.91</v>
      </c>
      <c r="X123">
        <v>0.09</v>
      </c>
      <c r="Y123">
        <v>20.88</v>
      </c>
      <c r="Z123" t="s">
        <v>613</v>
      </c>
      <c r="AA123" t="s">
        <v>2734</v>
      </c>
      <c r="AB123" t="s">
        <v>5175</v>
      </c>
      <c r="AC123" t="s">
        <v>5176</v>
      </c>
      <c r="AD123" t="s">
        <v>362</v>
      </c>
      <c r="AE123">
        <v>5497137</v>
      </c>
      <c r="AF123" t="s">
        <v>5177</v>
      </c>
      <c r="AG123" t="s">
        <v>5178</v>
      </c>
      <c r="AH123" t="s">
        <v>5179</v>
      </c>
      <c r="AI123" t="s">
        <v>5180</v>
      </c>
      <c r="AJ123" t="s">
        <v>9</v>
      </c>
      <c r="AK123" t="s">
        <v>77</v>
      </c>
      <c r="AL123" t="s">
        <v>5181</v>
      </c>
      <c r="AM123" t="s">
        <v>9</v>
      </c>
      <c r="AN123" t="s">
        <v>314</v>
      </c>
      <c r="AO123" t="s">
        <v>340</v>
      </c>
      <c r="AP123" t="s">
        <v>5182</v>
      </c>
      <c r="AQ123" t="s">
        <v>1820</v>
      </c>
      <c r="AR123" t="s">
        <v>9</v>
      </c>
      <c r="AS123" t="s">
        <v>5183</v>
      </c>
      <c r="AT123" t="s">
        <v>5184</v>
      </c>
      <c r="AU123" t="s">
        <v>5185</v>
      </c>
      <c r="AV123" t="s">
        <v>5186</v>
      </c>
      <c r="AW123" t="s">
        <v>616</v>
      </c>
      <c r="AX123" t="s">
        <v>1731</v>
      </c>
      <c r="AY123" t="s">
        <v>431</v>
      </c>
      <c r="AZ123" t="s">
        <v>1732</v>
      </c>
      <c r="BA123" t="s">
        <v>1733</v>
      </c>
      <c r="BB123" t="s">
        <v>282</v>
      </c>
      <c r="BC123" t="s">
        <v>389</v>
      </c>
      <c r="BD123" t="s">
        <v>44</v>
      </c>
      <c r="BE123" t="s">
        <v>580</v>
      </c>
      <c r="BF123" t="s">
        <v>128</v>
      </c>
      <c r="BG123" t="s">
        <v>480</v>
      </c>
      <c r="BH123" t="s">
        <v>5187</v>
      </c>
      <c r="BI123" t="s">
        <v>349</v>
      </c>
      <c r="BJ123" t="s">
        <v>1731</v>
      </c>
      <c r="BK123" t="s">
        <v>228</v>
      </c>
      <c r="BL123" t="s">
        <v>571</v>
      </c>
      <c r="BM123" t="s">
        <v>389</v>
      </c>
      <c r="BN123">
        <v>9.34</v>
      </c>
      <c r="BO123">
        <v>12.92</v>
      </c>
      <c r="BP123">
        <v>14</v>
      </c>
      <c r="BQ123">
        <v>13.5</v>
      </c>
      <c r="BR123">
        <v>16.579999999999998</v>
      </c>
      <c r="BS123">
        <v>15.57</v>
      </c>
      <c r="BT123" t="s">
        <v>859</v>
      </c>
      <c r="BU123" t="s">
        <v>1667</v>
      </c>
      <c r="BV123">
        <v>26.76</v>
      </c>
      <c r="BW123">
        <v>26.04</v>
      </c>
      <c r="BX123">
        <v>31.81</v>
      </c>
      <c r="BY123">
        <v>9.09</v>
      </c>
      <c r="BZ123">
        <v>11.27</v>
      </c>
      <c r="CA123">
        <v>16.22</v>
      </c>
      <c r="CB123">
        <v>-2.95</v>
      </c>
      <c r="CC123">
        <v>-10.59</v>
      </c>
      <c r="CD123" t="s">
        <v>5188</v>
      </c>
      <c r="CE123" t="s">
        <v>5189</v>
      </c>
      <c r="CF123" s="8">
        <v>-0.41988365943945005</v>
      </c>
      <c r="CG123" s="9">
        <v>1.1599999999999999</v>
      </c>
      <c r="CH123" s="8">
        <v>-0.70917284488677979</v>
      </c>
      <c r="CI123" s="8">
        <v>0.84901958703994751</v>
      </c>
      <c r="CJ123" s="8">
        <v>9.9730417132377625E-2</v>
      </c>
      <c r="CK123" s="8">
        <v>0.90843629837036133</v>
      </c>
      <c r="CL123" s="8">
        <v>-7.6923079788684845E-2</v>
      </c>
      <c r="CM123" s="9">
        <v>-0.51106196641921997</v>
      </c>
      <c r="CN123" s="9">
        <v>0.30635836720466614</v>
      </c>
      <c r="CO123" s="9">
        <v>-8.947368711233139E-2</v>
      </c>
      <c r="CP123" s="9">
        <v>1.3602484464645386</v>
      </c>
      <c r="CQ123" s="9">
        <v>-2.4242423474788666E-2</v>
      </c>
      <c r="CR123">
        <v>1.8958406742625253</v>
      </c>
      <c r="CS123" t="e">
        <v>#DIV/0!</v>
      </c>
      <c r="CT123">
        <v>1.1534025374855823</v>
      </c>
      <c r="CU123" s="8">
        <v>0</v>
      </c>
      <c r="CV123" s="9">
        <v>0</v>
      </c>
      <c r="CW123">
        <v>0.06</v>
      </c>
      <c r="CX123">
        <v>50.718484778280548</v>
      </c>
      <c r="CY123">
        <v>208490566.03773582</v>
      </c>
      <c r="CZ123">
        <v>0</v>
      </c>
      <c r="DA123">
        <v>17.900266835304695</v>
      </c>
      <c r="DB123">
        <v>590735640.83102155</v>
      </c>
      <c r="DC123">
        <v>0</v>
      </c>
      <c r="DD123">
        <v>9.730419223372742</v>
      </c>
      <c r="DE123">
        <v>1086728676.0471914</v>
      </c>
      <c r="DF123">
        <v>0</v>
      </c>
      <c r="DG123">
        <v>6.5009594064684855</v>
      </c>
      <c r="DH123">
        <v>1626579238.3626478</v>
      </c>
      <c r="DI123">
        <v>0</v>
      </c>
      <c r="DJ123">
        <v>4.1715741754071463</v>
      </c>
      <c r="DK123">
        <v>2534852589.3029203</v>
      </c>
      <c r="DL123">
        <v>0</v>
      </c>
      <c r="DM123">
        <v>221000000</v>
      </c>
      <c r="DN123">
        <v>0</v>
      </c>
      <c r="DO123">
        <v>10574325600</v>
      </c>
      <c r="DP123">
        <v>2630720600.000001</v>
      </c>
      <c r="DQ123">
        <v>122</v>
      </c>
      <c r="DR123">
        <v>-0.41988365943945005</v>
      </c>
      <c r="DS123">
        <v>1.1599999999999999</v>
      </c>
      <c r="DT123">
        <v>-0.44</v>
      </c>
      <c r="DU123">
        <v>0</v>
      </c>
      <c r="DV123">
        <v>-0.44</v>
      </c>
      <c r="DW123">
        <v>-8.2785646836638342</v>
      </c>
      <c r="DX123">
        <v>0.33490845450851947</v>
      </c>
      <c r="DY123">
        <v>-8.0320094372804665</v>
      </c>
      <c r="DZ123">
        <v>0</v>
      </c>
      <c r="EA123">
        <v>-8.0320094372804665</v>
      </c>
      <c r="EB123">
        <v>8</v>
      </c>
      <c r="EC123">
        <v>1.1022715067141003E-2</v>
      </c>
      <c r="ED123">
        <v>9.5926057958804559E-2</v>
      </c>
      <c r="EE123">
        <v>0</v>
      </c>
      <c r="EF123">
        <v>0</v>
      </c>
      <c r="EG123">
        <v>22.114908454508519</v>
      </c>
      <c r="EH123" t="s">
        <v>86</v>
      </c>
      <c r="EI123">
        <v>0</v>
      </c>
      <c r="EJ123">
        <v>0</v>
      </c>
      <c r="EK123">
        <v>0</v>
      </c>
      <c r="EL123">
        <v>0</v>
      </c>
      <c r="EM123">
        <v>0</v>
      </c>
      <c r="EN123">
        <v>0</v>
      </c>
      <c r="EO123">
        <v>0</v>
      </c>
      <c r="EP123">
        <v>0</v>
      </c>
    </row>
    <row r="124" spans="1:146" ht="96" x14ac:dyDescent="0.25">
      <c r="C124" s="7" t="str">
        <f>""&amp;CHAR(10)&amp;Basic_Fundamental_Information_Constructure(F124)&amp;CHAR(10)&amp;Basic_Fundamental_Information_Concatenate("")</f>
        <v xml:space="preserve">
市值17.93875亿, 利润3277.80万; PE14.79; 平均PE-4.89, PB1.64; ROIC9.9633%; ROE14.61%; 股利率0%; 毛利29.04%; 净利12.21%; 上一年度营收增-56.64%, 利润增-28.49%; 当季营收增-50%, 利润增109.3%; 过往5年营收增0%, 利润增0%
Income profile:
</v>
      </c>
      <c r="D124">
        <v>835438</v>
      </c>
      <c r="E124" t="s">
        <v>5190</v>
      </c>
      <c r="F124">
        <v>12.7</v>
      </c>
      <c r="G124">
        <v>-3.05</v>
      </c>
      <c r="H124" t="s">
        <v>5191</v>
      </c>
      <c r="I124">
        <v>1793875000</v>
      </c>
      <c r="J124">
        <v>14.79</v>
      </c>
      <c r="K124">
        <v>1.64</v>
      </c>
      <c r="L124" t="s">
        <v>2604</v>
      </c>
      <c r="M124" t="s">
        <v>257</v>
      </c>
      <c r="N124" t="s">
        <v>4266</v>
      </c>
      <c r="O124" t="s">
        <v>275</v>
      </c>
      <c r="P124" s="5">
        <v>18.940000000000001</v>
      </c>
      <c r="Q124" t="s">
        <v>275</v>
      </c>
      <c r="R124">
        <v>32778006</v>
      </c>
      <c r="S124">
        <v>1.093</v>
      </c>
      <c r="T124" t="s">
        <v>5192</v>
      </c>
      <c r="U124">
        <v>57079807</v>
      </c>
      <c r="V124">
        <v>141250000</v>
      </c>
      <c r="W124">
        <v>1.5</v>
      </c>
      <c r="X124">
        <v>0.15</v>
      </c>
      <c r="Y124">
        <v>17.579999999999998</v>
      </c>
      <c r="Z124" t="s">
        <v>318</v>
      </c>
      <c r="AA124" t="s">
        <v>83</v>
      </c>
      <c r="AB124" t="s">
        <v>5193</v>
      </c>
      <c r="AC124" t="s">
        <v>5194</v>
      </c>
      <c r="AD124" t="s">
        <v>5195</v>
      </c>
      <c r="AE124">
        <v>1609060</v>
      </c>
      <c r="AF124" t="s">
        <v>17</v>
      </c>
      <c r="AG124" t="s">
        <v>5196</v>
      </c>
      <c r="AH124" t="s">
        <v>5197</v>
      </c>
      <c r="AI124" t="s">
        <v>491</v>
      </c>
      <c r="AJ124" t="s">
        <v>9</v>
      </c>
      <c r="AK124" t="s">
        <v>5198</v>
      </c>
      <c r="AL124" t="s">
        <v>5199</v>
      </c>
      <c r="AM124" t="s">
        <v>9</v>
      </c>
      <c r="AN124" t="s">
        <v>5200</v>
      </c>
      <c r="AO124" t="s">
        <v>5201</v>
      </c>
      <c r="AP124" t="s">
        <v>5202</v>
      </c>
      <c r="AQ124" t="s">
        <v>5203</v>
      </c>
      <c r="AR124" t="s">
        <v>9</v>
      </c>
      <c r="AS124" t="s">
        <v>101</v>
      </c>
      <c r="AT124" t="s">
        <v>5204</v>
      </c>
      <c r="AU124" t="s">
        <v>5205</v>
      </c>
      <c r="AV124" t="s">
        <v>5206</v>
      </c>
      <c r="AW124" t="s">
        <v>104</v>
      </c>
      <c r="AX124" t="s">
        <v>281</v>
      </c>
      <c r="AY124" t="s">
        <v>270</v>
      </c>
      <c r="AZ124" t="s">
        <v>181</v>
      </c>
      <c r="BA124" t="s">
        <v>690</v>
      </c>
      <c r="BB124" t="s">
        <v>437</v>
      </c>
      <c r="BC124" t="s">
        <v>5207</v>
      </c>
      <c r="BD124" t="s">
        <v>5208</v>
      </c>
      <c r="BE124" t="s">
        <v>5209</v>
      </c>
      <c r="BF124" t="s">
        <v>5210</v>
      </c>
      <c r="BG124" t="s">
        <v>5211</v>
      </c>
      <c r="BH124" t="s">
        <v>1749</v>
      </c>
      <c r="BI124" t="s">
        <v>293</v>
      </c>
      <c r="BJ124" t="s">
        <v>281</v>
      </c>
      <c r="BK124" t="s">
        <v>63</v>
      </c>
      <c r="BL124" t="s">
        <v>5212</v>
      </c>
      <c r="BM124" t="s">
        <v>5207</v>
      </c>
      <c r="BN124">
        <v>12.31</v>
      </c>
      <c r="BO124">
        <v>8.32</v>
      </c>
      <c r="BP124">
        <v>9.26</v>
      </c>
      <c r="BQ124">
        <v>14.61</v>
      </c>
      <c r="BR124" t="s">
        <v>9</v>
      </c>
      <c r="BS124" t="s">
        <v>9</v>
      </c>
      <c r="BT124" t="s">
        <v>773</v>
      </c>
      <c r="BU124" t="s">
        <v>5213</v>
      </c>
      <c r="BV124">
        <v>29.82</v>
      </c>
      <c r="BW124">
        <v>25.02</v>
      </c>
      <c r="BX124">
        <v>32.28</v>
      </c>
      <c r="BY124">
        <v>12.89</v>
      </c>
      <c r="BZ124">
        <v>10.67</v>
      </c>
      <c r="CA124">
        <v>13.07</v>
      </c>
      <c r="CB124">
        <v>-6.27</v>
      </c>
      <c r="CC124" s="8">
        <v>-17.48</v>
      </c>
      <c r="CD124" s="11" t="s">
        <v>5214</v>
      </c>
      <c r="CE124" s="8" t="s">
        <v>63</v>
      </c>
      <c r="CF124" s="8">
        <v>-0.5</v>
      </c>
      <c r="CG124" s="8">
        <v>1.093</v>
      </c>
      <c r="CH124" s="8">
        <v>-0.56643354892730713</v>
      </c>
      <c r="CI124" s="8">
        <v>0.11428571492433548</v>
      </c>
      <c r="CJ124" s="9">
        <v>0.72645741701126099</v>
      </c>
      <c r="CK124" s="9">
        <v>-4.4642859138548374E-3</v>
      </c>
      <c r="CL124" s="9">
        <v>0.12562814354896545</v>
      </c>
      <c r="CM124" s="9">
        <v>-0.28485092520713806</v>
      </c>
      <c r="CN124" s="9">
        <v>-8.8939778506755829E-2</v>
      </c>
      <c r="CO124">
        <v>0.44585812091827393</v>
      </c>
      <c r="CP124">
        <v>0.10312981158494949</v>
      </c>
      <c r="CQ124">
        <v>2.8604490756988525</v>
      </c>
      <c r="CR124" s="8">
        <v>-4.8918927271884378</v>
      </c>
      <c r="CS124" s="9" t="e">
        <v>#DIV/0!</v>
      </c>
      <c r="CT124">
        <v>0</v>
      </c>
      <c r="CU124">
        <v>0</v>
      </c>
      <c r="CV124">
        <v>0</v>
      </c>
      <c r="CW124">
        <v>0.06</v>
      </c>
      <c r="CX124">
        <v>44.558774177802192</v>
      </c>
      <c r="CY124">
        <v>30922641.509433959</v>
      </c>
      <c r="CZ124">
        <v>0</v>
      </c>
      <c r="DA124">
        <v>15.726296854560417</v>
      </c>
      <c r="DB124">
        <v>87615985.679453492</v>
      </c>
      <c r="DC124">
        <v>0</v>
      </c>
      <c r="DD124">
        <v>8.5486692815256138</v>
      </c>
      <c r="DE124">
        <v>161180056.75780469</v>
      </c>
      <c r="DF124">
        <v>0</v>
      </c>
      <c r="DG124">
        <v>5.7114242154161756</v>
      </c>
      <c r="DH124">
        <v>241248933.3712709</v>
      </c>
      <c r="DI124">
        <v>0</v>
      </c>
      <c r="DJ124">
        <v>3.6649405529464656</v>
      </c>
      <c r="DK124">
        <v>375961077.70213181</v>
      </c>
      <c r="DL124">
        <v>0</v>
      </c>
      <c r="DM124">
        <v>32778000</v>
      </c>
      <c r="DN124">
        <v>0</v>
      </c>
      <c r="DO124">
        <v>1377875000</v>
      </c>
      <c r="DP124">
        <v>469118900</v>
      </c>
      <c r="DQ124">
        <v>123</v>
      </c>
      <c r="DR124">
        <v>-0.5</v>
      </c>
      <c r="DS124">
        <v>1.093</v>
      </c>
      <c r="DT124">
        <v>-0.44</v>
      </c>
      <c r="DU124">
        <v>-0.22</v>
      </c>
      <c r="DV124">
        <v>-0.66</v>
      </c>
      <c r="DW124">
        <v>-9.3586956521739122</v>
      </c>
      <c r="DX124">
        <v>0.36903365384615272</v>
      </c>
      <c r="DY124">
        <v>-9.0355229410535109</v>
      </c>
      <c r="DZ124">
        <v>0</v>
      </c>
      <c r="EA124">
        <v>-9.0355229410535109</v>
      </c>
      <c r="EB124">
        <v>9</v>
      </c>
      <c r="EC124">
        <v>7.2916814159292034E-2</v>
      </c>
      <c r="ED124">
        <v>0.73628318584070795</v>
      </c>
      <c r="EE124">
        <v>0</v>
      </c>
      <c r="EF124">
        <v>0</v>
      </c>
      <c r="EG124">
        <v>27.099033653846153</v>
      </c>
      <c r="EH124" t="s">
        <v>86</v>
      </c>
      <c r="EI124">
        <v>0</v>
      </c>
      <c r="EJ124">
        <v>0</v>
      </c>
      <c r="EK124">
        <v>0</v>
      </c>
      <c r="EL124">
        <v>0</v>
      </c>
      <c r="EM124">
        <v>0</v>
      </c>
      <c r="EN124">
        <v>0</v>
      </c>
      <c r="EO124">
        <v>0</v>
      </c>
      <c r="EP124">
        <v>0</v>
      </c>
    </row>
    <row r="125" spans="1:146" ht="96" x14ac:dyDescent="0.25">
      <c r="A125" s="10"/>
      <c r="B125" s="10"/>
      <c r="C125" s="7" t="str">
        <f>""&amp;CHAR(10)&amp;Basic_Fundamental_Information_Constructure(F125)&amp;CHAR(10)&amp;Basic_Fundamental_Information_Concatenate("")</f>
        <v xml:space="preserve">
市值6.83亿, 利润-140.43万; PE228.5; 平均PE2.7, PB3.28; ROIC3.14%; ROE1.8833%; 股利率1.4641%; 毛利32.6767%; 净利7.0333%; 上一年度营收增-87.82%, 利润增-121.67%; 当季营收增-64.8%, 利润增18.81%; 过往5年营收增0%, 利润增0%
Income profile:
</v>
      </c>
      <c r="D125">
        <v>835508</v>
      </c>
      <c r="E125" t="s">
        <v>1734</v>
      </c>
      <c r="F125">
        <v>13.66</v>
      </c>
      <c r="G125" s="5">
        <v>-4.8099999999999996</v>
      </c>
      <c r="H125" t="s">
        <v>5215</v>
      </c>
      <c r="I125">
        <v>683000000</v>
      </c>
      <c r="J125">
        <v>228.5</v>
      </c>
      <c r="K125">
        <v>3.28</v>
      </c>
      <c r="L125" t="s">
        <v>2604</v>
      </c>
      <c r="M125" t="s">
        <v>5216</v>
      </c>
      <c r="N125" t="s">
        <v>576</v>
      </c>
      <c r="O125" t="s">
        <v>5217</v>
      </c>
      <c r="P125">
        <v>2.0299999999999998</v>
      </c>
      <c r="Q125" t="s">
        <v>5217</v>
      </c>
      <c r="R125">
        <v>-1404281</v>
      </c>
      <c r="S125" s="5">
        <v>0.18809999999999999</v>
      </c>
      <c r="T125" t="s">
        <v>5218</v>
      </c>
      <c r="U125">
        <v>26037500</v>
      </c>
      <c r="V125">
        <v>50000000</v>
      </c>
      <c r="W125">
        <v>1.18</v>
      </c>
      <c r="X125">
        <v>0.04</v>
      </c>
      <c r="Y125">
        <v>-15.7</v>
      </c>
      <c r="Z125" t="s">
        <v>5219</v>
      </c>
      <c r="AA125" t="s">
        <v>5220</v>
      </c>
      <c r="AB125" t="s">
        <v>5221</v>
      </c>
      <c r="AC125" t="s">
        <v>5222</v>
      </c>
      <c r="AD125" t="s">
        <v>5223</v>
      </c>
      <c r="AE125">
        <v>815154</v>
      </c>
      <c r="AF125" t="s">
        <v>5224</v>
      </c>
      <c r="AG125" t="s">
        <v>9</v>
      </c>
      <c r="AH125" t="s">
        <v>5225</v>
      </c>
      <c r="AI125" t="s">
        <v>225</v>
      </c>
      <c r="AJ125" t="s">
        <v>9</v>
      </c>
      <c r="AK125" t="s">
        <v>5226</v>
      </c>
      <c r="AL125" t="s">
        <v>5227</v>
      </c>
      <c r="AM125" t="s">
        <v>9</v>
      </c>
      <c r="AN125">
        <v>0</v>
      </c>
      <c r="AO125" t="s">
        <v>9</v>
      </c>
      <c r="AP125" t="s">
        <v>5228</v>
      </c>
      <c r="AQ125" t="s">
        <v>5229</v>
      </c>
      <c r="AR125" t="s">
        <v>9</v>
      </c>
      <c r="AS125" t="s">
        <v>5230</v>
      </c>
      <c r="AT125" t="s">
        <v>9</v>
      </c>
      <c r="AU125" t="s">
        <v>5231</v>
      </c>
      <c r="AV125" t="s">
        <v>5232</v>
      </c>
      <c r="AW125" t="s">
        <v>5233</v>
      </c>
      <c r="AX125" t="s">
        <v>1735</v>
      </c>
      <c r="AY125" t="s">
        <v>1737</v>
      </c>
      <c r="AZ125" t="s">
        <v>1738</v>
      </c>
      <c r="BA125" t="s">
        <v>1739</v>
      </c>
      <c r="BB125" t="s">
        <v>1740</v>
      </c>
      <c r="BC125" t="s">
        <v>1736</v>
      </c>
      <c r="BD125" t="s">
        <v>1741</v>
      </c>
      <c r="BE125" t="s">
        <v>1742</v>
      </c>
      <c r="BF125" t="s">
        <v>1743</v>
      </c>
      <c r="BG125" t="s">
        <v>1744</v>
      </c>
      <c r="BH125" t="s">
        <v>5234</v>
      </c>
      <c r="BI125" t="s">
        <v>1745</v>
      </c>
      <c r="BJ125" t="s">
        <v>1735</v>
      </c>
      <c r="BK125" t="s">
        <v>5235</v>
      </c>
      <c r="BL125" t="s">
        <v>1746</v>
      </c>
      <c r="BM125" t="s">
        <v>1736</v>
      </c>
      <c r="BN125" t="s">
        <v>9</v>
      </c>
      <c r="BO125">
        <v>2.62</v>
      </c>
      <c r="BP125">
        <v>3.66</v>
      </c>
      <c r="BQ125">
        <v>-0.82</v>
      </c>
      <c r="BR125">
        <v>2.93</v>
      </c>
      <c r="BS125">
        <v>3.54</v>
      </c>
      <c r="BT125" t="s">
        <v>851</v>
      </c>
      <c r="BU125" t="s">
        <v>879</v>
      </c>
      <c r="BV125">
        <v>32.979999999999997</v>
      </c>
      <c r="BW125">
        <v>32.450000000000003</v>
      </c>
      <c r="BX125">
        <v>32.6</v>
      </c>
      <c r="BY125">
        <v>3.44</v>
      </c>
      <c r="BZ125">
        <v>8.83</v>
      </c>
      <c r="CA125">
        <v>8.83</v>
      </c>
      <c r="CB125">
        <v>-7.64</v>
      </c>
      <c r="CC125">
        <v>-29.33</v>
      </c>
      <c r="CD125" t="s">
        <v>5236</v>
      </c>
      <c r="CE125" t="s">
        <v>5237</v>
      </c>
      <c r="CF125" s="8">
        <v>-0.64803633701479146</v>
      </c>
      <c r="CG125" s="9">
        <v>0.18809999999999999</v>
      </c>
      <c r="CH125" s="8">
        <v>-0.87816566228866577</v>
      </c>
      <c r="CI125" s="8">
        <v>-0.1916072815656662</v>
      </c>
      <c r="CJ125" s="8">
        <v>-6.7997891455888748E-3</v>
      </c>
      <c r="CK125" s="8">
        <v>4.777628555893898E-2</v>
      </c>
      <c r="CL125" s="8">
        <v>0.19263875484466553</v>
      </c>
      <c r="CM125" s="9">
        <v>-1.2166627645492554</v>
      </c>
      <c r="CN125" s="9">
        <v>-0.1911471039056778</v>
      </c>
      <c r="CO125" s="9">
        <v>-0.48195317387580872</v>
      </c>
      <c r="CP125" s="9">
        <v>-0.23248948156833649</v>
      </c>
      <c r="CQ125" s="9">
        <v>-2.0747196394950151E-3</v>
      </c>
      <c r="CR125">
        <v>2.6967699368983475</v>
      </c>
      <c r="CS125" t="e">
        <v>#DIV/0!</v>
      </c>
      <c r="CT125">
        <v>1.4641288433382138</v>
      </c>
      <c r="CU125" s="8">
        <v>0</v>
      </c>
      <c r="CV125" s="9">
        <v>0</v>
      </c>
      <c r="CW125">
        <v>0.06</v>
      </c>
      <c r="CX125" t="e">
        <v>#VALUE!</v>
      </c>
      <c r="CY125" t="s">
        <v>85</v>
      </c>
      <c r="CZ125">
        <v>0</v>
      </c>
      <c r="DA125" t="e">
        <v>#VALUE!</v>
      </c>
      <c r="DB125" t="s">
        <v>84</v>
      </c>
      <c r="DC125">
        <v>0</v>
      </c>
      <c r="DD125" t="e">
        <v>#VALUE!</v>
      </c>
      <c r="DE125" t="s">
        <v>84</v>
      </c>
      <c r="DF125">
        <v>0</v>
      </c>
      <c r="DG125" t="e">
        <v>#VALUE!</v>
      </c>
      <c r="DH125" t="s">
        <v>84</v>
      </c>
      <c r="DI125">
        <v>0</v>
      </c>
      <c r="DJ125" t="e">
        <v>#VALUE!</v>
      </c>
      <c r="DK125" t="s">
        <v>84</v>
      </c>
      <c r="DL125">
        <v>0</v>
      </c>
      <c r="DM125">
        <v>-1404300</v>
      </c>
      <c r="DN125">
        <v>0</v>
      </c>
      <c r="DO125">
        <v>521902900</v>
      </c>
      <c r="DP125">
        <v>193199740</v>
      </c>
      <c r="DQ125">
        <v>124</v>
      </c>
      <c r="DR125">
        <v>-0.64803633701479146</v>
      </c>
      <c r="DS125">
        <v>0.18809999999999999</v>
      </c>
      <c r="DT125">
        <v>-0.44</v>
      </c>
      <c r="DU125" t="e">
        <v>#VALUE!</v>
      </c>
      <c r="DV125" t="e">
        <v>#VALUE!</v>
      </c>
      <c r="DW125">
        <v>-9.2604841459256733</v>
      </c>
      <c r="DX125">
        <v>0.34769888676188487</v>
      </c>
      <c r="DY125">
        <v>-9.0228441696168016</v>
      </c>
      <c r="DZ125">
        <v>0</v>
      </c>
      <c r="EA125">
        <v>-9.0228441696168016</v>
      </c>
      <c r="EB125">
        <v>9</v>
      </c>
      <c r="EC125">
        <v>0.14038400000000001</v>
      </c>
      <c r="ED125">
        <v>1.6007499999999999</v>
      </c>
      <c r="EE125">
        <v>0</v>
      </c>
      <c r="EF125">
        <v>0</v>
      </c>
      <c r="EG125">
        <v>26.087698886761885</v>
      </c>
      <c r="EH125" t="s">
        <v>86</v>
      </c>
      <c r="EI125">
        <v>0</v>
      </c>
      <c r="EJ125">
        <v>0</v>
      </c>
      <c r="EK125">
        <v>0</v>
      </c>
      <c r="EL125">
        <v>0</v>
      </c>
      <c r="EM125">
        <v>0</v>
      </c>
      <c r="EN125">
        <v>0</v>
      </c>
      <c r="EO125">
        <v>0</v>
      </c>
      <c r="EP125">
        <v>0</v>
      </c>
    </row>
    <row r="126" spans="1:146" ht="96" x14ac:dyDescent="0.25">
      <c r="C126" s="7" t="str">
        <f>""&amp;CHAR(10)&amp;Basic_Fundamental_Information_Constructure(F126)&amp;CHAR(10)&amp;Basic_Fundamental_Information_Concatenate("")</f>
        <v xml:space="preserve">
市值17.272632亿, 利润792.19万; PE41.77; 平均PE6.81, PB3.16; ROIC13.93%; ROE11.4%; 股利率1.7241%; 毛利24.7633%; 净利8.0333%; 上一年度营收增-84.31%, 利润增-80.34%; 当季营收增-48.26%, 利润增0%; 过往5年营收增0%, 利润增0%
Income profile:
</v>
      </c>
      <c r="D126">
        <v>835579</v>
      </c>
      <c r="E126" t="s">
        <v>5238</v>
      </c>
      <c r="F126">
        <v>13.34</v>
      </c>
      <c r="G126">
        <v>-0.37</v>
      </c>
      <c r="H126" t="s">
        <v>5239</v>
      </c>
      <c r="I126">
        <v>1727263200</v>
      </c>
      <c r="J126">
        <v>41.77</v>
      </c>
      <c r="K126">
        <v>3.16</v>
      </c>
      <c r="L126" t="s">
        <v>2604</v>
      </c>
      <c r="M126" t="s">
        <v>341</v>
      </c>
      <c r="N126" t="s">
        <v>601</v>
      </c>
      <c r="O126" t="s">
        <v>5240</v>
      </c>
      <c r="P126" s="6">
        <v>0.34</v>
      </c>
      <c r="Q126" t="s">
        <v>5240</v>
      </c>
      <c r="R126">
        <v>7921939</v>
      </c>
      <c r="S126">
        <v>0</v>
      </c>
      <c r="T126" t="s">
        <v>5241</v>
      </c>
      <c r="U126">
        <v>34635400</v>
      </c>
      <c r="V126">
        <v>129480000</v>
      </c>
      <c r="W126">
        <v>2.13</v>
      </c>
      <c r="X126">
        <v>7.0000000000000007E-2</v>
      </c>
      <c r="Y126">
        <v>9.4700000000000006</v>
      </c>
      <c r="Z126" t="s">
        <v>5242</v>
      </c>
      <c r="AA126" t="s">
        <v>5243</v>
      </c>
      <c r="AB126" t="s">
        <v>5244</v>
      </c>
      <c r="AC126" t="s">
        <v>5245</v>
      </c>
      <c r="AD126" t="s">
        <v>5246</v>
      </c>
      <c r="AE126">
        <v>604495</v>
      </c>
      <c r="AF126" t="s">
        <v>5247</v>
      </c>
      <c r="AG126">
        <v>1329.78</v>
      </c>
      <c r="AH126" t="s">
        <v>5248</v>
      </c>
      <c r="AI126" t="s">
        <v>37</v>
      </c>
      <c r="AJ126" t="s">
        <v>9</v>
      </c>
      <c r="AK126" t="s">
        <v>5249</v>
      </c>
      <c r="AL126" t="s">
        <v>5250</v>
      </c>
      <c r="AM126" t="s">
        <v>9</v>
      </c>
      <c r="AN126">
        <v>0</v>
      </c>
      <c r="AO126" t="s">
        <v>5251</v>
      </c>
      <c r="AP126" t="s">
        <v>5252</v>
      </c>
      <c r="AQ126" t="s">
        <v>232</v>
      </c>
      <c r="AR126" t="s">
        <v>9</v>
      </c>
      <c r="AS126" t="s">
        <v>3638</v>
      </c>
      <c r="AT126" t="s">
        <v>9</v>
      </c>
      <c r="AU126" t="s">
        <v>5253</v>
      </c>
      <c r="AV126" t="s">
        <v>5254</v>
      </c>
      <c r="AW126" t="s">
        <v>5255</v>
      </c>
      <c r="AX126" t="s">
        <v>599</v>
      </c>
      <c r="AY126" t="s">
        <v>283</v>
      </c>
      <c r="AZ126" t="s">
        <v>273</v>
      </c>
      <c r="BA126" t="s">
        <v>404</v>
      </c>
      <c r="BB126" t="s">
        <v>378</v>
      </c>
      <c r="BC126" t="s">
        <v>5256</v>
      </c>
      <c r="BD126" t="s">
        <v>5257</v>
      </c>
      <c r="BE126" t="s">
        <v>5258</v>
      </c>
      <c r="BF126" t="s">
        <v>5259</v>
      </c>
      <c r="BG126" t="s">
        <v>5260</v>
      </c>
      <c r="BH126" t="s">
        <v>342</v>
      </c>
      <c r="BI126" t="s">
        <v>227</v>
      </c>
      <c r="BJ126" t="s">
        <v>599</v>
      </c>
      <c r="BK126" t="s">
        <v>5261</v>
      </c>
      <c r="BL126" t="s">
        <v>5262</v>
      </c>
      <c r="BM126" t="s">
        <v>5256</v>
      </c>
      <c r="BN126">
        <v>5.33</v>
      </c>
      <c r="BO126">
        <v>17.72</v>
      </c>
      <c r="BP126">
        <v>18.739999999999998</v>
      </c>
      <c r="BQ126">
        <v>4.91</v>
      </c>
      <c r="BR126">
        <v>17.89</v>
      </c>
      <c r="BS126" t="s">
        <v>9</v>
      </c>
      <c r="BT126" t="s">
        <v>5263</v>
      </c>
      <c r="BU126" t="s">
        <v>2340</v>
      </c>
      <c r="BV126">
        <v>23.77</v>
      </c>
      <c r="BW126">
        <v>25.19</v>
      </c>
      <c r="BX126">
        <v>25.33</v>
      </c>
      <c r="BY126">
        <v>7.62</v>
      </c>
      <c r="BZ126">
        <v>7.83</v>
      </c>
      <c r="CA126">
        <v>8.65</v>
      </c>
      <c r="CB126">
        <v>1.44</v>
      </c>
      <c r="CC126" s="8">
        <v>-12.7</v>
      </c>
      <c r="CD126" s="11" t="s">
        <v>5264</v>
      </c>
      <c r="CE126" s="8" t="s">
        <v>5265</v>
      </c>
      <c r="CF126" s="8">
        <v>-0.48255696202531645</v>
      </c>
      <c r="CG126" s="8">
        <v>0</v>
      </c>
      <c r="CH126" s="8">
        <v>-0.84307867288589478</v>
      </c>
      <c r="CI126" s="8">
        <v>0.26150122284889221</v>
      </c>
      <c r="CJ126" s="9">
        <v>0.14404432475566864</v>
      </c>
      <c r="CK126" s="9">
        <v>0.28469750285148621</v>
      </c>
      <c r="CL126" s="9">
        <v>0.47120419144630432</v>
      </c>
      <c r="CM126" s="9">
        <v>-0.80342680215835571</v>
      </c>
      <c r="CN126" s="9">
        <v>5.8643046766519547E-2</v>
      </c>
      <c r="CO126">
        <v>0.1973993331193924</v>
      </c>
      <c r="CP126">
        <v>1.0952666997909546</v>
      </c>
      <c r="CQ126">
        <v>4.9611539840698242</v>
      </c>
      <c r="CR126" s="8">
        <v>6.8095341817474342</v>
      </c>
      <c r="CS126" s="9" t="e">
        <v>#DIV/0!</v>
      </c>
      <c r="CT126">
        <v>1.7241379310344827</v>
      </c>
      <c r="CU126">
        <v>0</v>
      </c>
      <c r="CV126">
        <v>0</v>
      </c>
      <c r="CW126">
        <v>0.06</v>
      </c>
      <c r="CX126">
        <v>248.64729319986367</v>
      </c>
      <c r="CY126">
        <v>7473490.5660377359</v>
      </c>
      <c r="CZ126">
        <v>0</v>
      </c>
      <c r="DA126">
        <v>87.756030481017348</v>
      </c>
      <c r="DB126">
        <v>21175333.362440135</v>
      </c>
      <c r="DC126">
        <v>0</v>
      </c>
      <c r="DD126">
        <v>47.703365196502141</v>
      </c>
      <c r="DE126">
        <v>38954551.578182109</v>
      </c>
      <c r="DF126">
        <v>0</v>
      </c>
      <c r="DG126">
        <v>31.870943437821325</v>
      </c>
      <c r="DH126">
        <v>58305873.612602085</v>
      </c>
      <c r="DI126">
        <v>0</v>
      </c>
      <c r="DJ126">
        <v>20.451135944456048</v>
      </c>
      <c r="DK126">
        <v>90863568.901352063</v>
      </c>
      <c r="DL126">
        <v>0</v>
      </c>
      <c r="DM126">
        <v>7921900.0000000009</v>
      </c>
      <c r="DN126">
        <v>0</v>
      </c>
      <c r="DO126">
        <v>1858263200</v>
      </c>
      <c r="DP126">
        <v>536598070</v>
      </c>
      <c r="DQ126">
        <v>125</v>
      </c>
      <c r="DR126">
        <v>-0.48255696202531645</v>
      </c>
      <c r="DS126">
        <v>0</v>
      </c>
      <c r="DT126">
        <v>-0.44</v>
      </c>
      <c r="DU126">
        <v>-0.22</v>
      </c>
      <c r="DV126">
        <v>-0.66</v>
      </c>
      <c r="DW126">
        <v>-2.1269999999999998</v>
      </c>
      <c r="DX126">
        <v>0.44784240969114808</v>
      </c>
      <c r="DY126">
        <v>-2.036555986030776</v>
      </c>
      <c r="DZ126">
        <v>0</v>
      </c>
      <c r="EA126">
        <v>-2.036555986030776</v>
      </c>
      <c r="EB126">
        <v>2</v>
      </c>
      <c r="EC126">
        <v>8.1479765214704972E-2</v>
      </c>
      <c r="ED126">
        <v>0.28307074451652764</v>
      </c>
      <c r="EE126">
        <v>0</v>
      </c>
      <c r="EF126">
        <v>0</v>
      </c>
      <c r="EG126">
        <v>16.287842409691148</v>
      </c>
      <c r="EH126" t="s">
        <v>86</v>
      </c>
      <c r="EI126">
        <v>0</v>
      </c>
      <c r="EJ126">
        <v>0</v>
      </c>
      <c r="EK126">
        <v>0</v>
      </c>
      <c r="EL126">
        <v>0</v>
      </c>
      <c r="EM126">
        <v>0</v>
      </c>
      <c r="EN126">
        <v>0</v>
      </c>
      <c r="EO126">
        <v>0</v>
      </c>
      <c r="EP126">
        <v>0</v>
      </c>
    </row>
    <row r="127" spans="1:146" ht="96" x14ac:dyDescent="0.25">
      <c r="A127" s="10"/>
      <c r="B127" s="10"/>
      <c r="C127" s="7" t="str">
        <f>""&amp;CHAR(10)&amp;Basic_Fundamental_Information_Constructure(F127)&amp;CHAR(10)&amp;Basic_Fundamental_Information_Concatenate("")</f>
        <v xml:space="preserve">
市值25.061688亿, 利润1325.56万; PE21.34; 平均PE5.76, PB2.85; ROIC16.71%; ROE17.62%; 股利率2.2472%; 毛利39.4667%; 净利18.6%; 上一年度营收增-76.24%, 利润增-90.73%; 当季营收增-58.97%, 利润增-68.42%; 过往5年营收增0%, 利润增0%
Income profile:
</v>
      </c>
      <c r="D127">
        <v>835640</v>
      </c>
      <c r="E127" t="s">
        <v>1747</v>
      </c>
      <c r="F127">
        <v>13.35</v>
      </c>
      <c r="G127" s="5">
        <v>-1.1100000000000001</v>
      </c>
      <c r="H127" t="s">
        <v>5266</v>
      </c>
      <c r="I127">
        <v>2506168800</v>
      </c>
      <c r="J127">
        <v>21.34</v>
      </c>
      <c r="K127">
        <v>2.85</v>
      </c>
      <c r="L127" t="s">
        <v>2604</v>
      </c>
      <c r="M127" t="s">
        <v>3865</v>
      </c>
      <c r="N127" t="s">
        <v>5267</v>
      </c>
      <c r="O127" t="s">
        <v>131</v>
      </c>
      <c r="P127">
        <v>-7.92</v>
      </c>
      <c r="Q127" t="s">
        <v>131</v>
      </c>
      <c r="R127">
        <v>13255614</v>
      </c>
      <c r="S127" s="5">
        <v>-0.68420000000000003</v>
      </c>
      <c r="T127" t="s">
        <v>5268</v>
      </c>
      <c r="U127">
        <v>176905560</v>
      </c>
      <c r="V127">
        <v>187728000</v>
      </c>
      <c r="W127">
        <v>1.47</v>
      </c>
      <c r="X127">
        <v>0.14000000000000001</v>
      </c>
      <c r="Y127">
        <v>8.48</v>
      </c>
      <c r="Z127" t="s">
        <v>70</v>
      </c>
      <c r="AA127" t="s">
        <v>160</v>
      </c>
      <c r="AB127" t="s">
        <v>5269</v>
      </c>
      <c r="AC127" t="s">
        <v>3269</v>
      </c>
      <c r="AD127" t="s">
        <v>5270</v>
      </c>
      <c r="AE127">
        <v>322193</v>
      </c>
      <c r="AF127" t="s">
        <v>5271</v>
      </c>
      <c r="AG127" t="s">
        <v>5272</v>
      </c>
      <c r="AH127" t="s">
        <v>5273</v>
      </c>
      <c r="AI127" t="s">
        <v>27</v>
      </c>
      <c r="AJ127" t="s">
        <v>9</v>
      </c>
      <c r="AK127" t="s">
        <v>406</v>
      </c>
      <c r="AL127" t="s">
        <v>5274</v>
      </c>
      <c r="AM127" t="s">
        <v>9</v>
      </c>
      <c r="AN127" t="s">
        <v>5275</v>
      </c>
      <c r="AO127" t="s">
        <v>5276</v>
      </c>
      <c r="AP127" t="s">
        <v>20</v>
      </c>
      <c r="AQ127" t="s">
        <v>229</v>
      </c>
      <c r="AR127" t="s">
        <v>9</v>
      </c>
      <c r="AS127" t="s">
        <v>157</v>
      </c>
      <c r="AT127" t="s">
        <v>5277</v>
      </c>
      <c r="AU127" t="s">
        <v>5278</v>
      </c>
      <c r="AV127" t="s">
        <v>5279</v>
      </c>
      <c r="AW127" t="s">
        <v>5280</v>
      </c>
      <c r="AX127" t="s">
        <v>1749</v>
      </c>
      <c r="AY127" t="s">
        <v>443</v>
      </c>
      <c r="AZ127" t="s">
        <v>592</v>
      </c>
      <c r="BA127" t="s">
        <v>338</v>
      </c>
      <c r="BB127" t="s">
        <v>299</v>
      </c>
      <c r="BC127" t="s">
        <v>535</v>
      </c>
      <c r="BD127" t="s">
        <v>78</v>
      </c>
      <c r="BE127" t="s">
        <v>1750</v>
      </c>
      <c r="BF127" t="s">
        <v>1751</v>
      </c>
      <c r="BG127" t="s">
        <v>1752</v>
      </c>
      <c r="BH127" t="s">
        <v>5281</v>
      </c>
      <c r="BI127" t="s">
        <v>517</v>
      </c>
      <c r="BJ127" t="s">
        <v>1749</v>
      </c>
      <c r="BK127" t="s">
        <v>464</v>
      </c>
      <c r="BL127" t="s">
        <v>1754</v>
      </c>
      <c r="BM127" t="s">
        <v>535</v>
      </c>
      <c r="BN127">
        <v>13.75</v>
      </c>
      <c r="BO127">
        <v>19.82</v>
      </c>
      <c r="BP127">
        <v>16.559999999999999</v>
      </c>
      <c r="BQ127">
        <v>15.03</v>
      </c>
      <c r="BR127">
        <v>20.69</v>
      </c>
      <c r="BS127">
        <v>17.14</v>
      </c>
      <c r="BT127" t="s">
        <v>859</v>
      </c>
      <c r="BU127" t="s">
        <v>1748</v>
      </c>
      <c r="BV127">
        <v>41.51</v>
      </c>
      <c r="BW127">
        <v>39.409999999999997</v>
      </c>
      <c r="BX127">
        <v>37.479999999999997</v>
      </c>
      <c r="BY127">
        <v>19.07</v>
      </c>
      <c r="BZ127">
        <v>18.78</v>
      </c>
      <c r="CA127">
        <v>17.95</v>
      </c>
      <c r="CB127">
        <v>-1.91</v>
      </c>
      <c r="CC127">
        <v>-5.05</v>
      </c>
      <c r="CD127" t="s">
        <v>5282</v>
      </c>
      <c r="CE127" t="s">
        <v>5283</v>
      </c>
      <c r="CF127" s="8">
        <v>-0.58974358974358976</v>
      </c>
      <c r="CG127" s="9">
        <v>-0.68420000000000003</v>
      </c>
      <c r="CH127" s="8">
        <v>-0.76237624883651733</v>
      </c>
      <c r="CI127" s="8">
        <v>0.33996683359146118</v>
      </c>
      <c r="CJ127" s="8">
        <v>0.11460258811712265</v>
      </c>
      <c r="CK127" s="8">
        <v>4.4401545077562332E-2</v>
      </c>
      <c r="CL127" s="8">
        <v>0.31806614995002747</v>
      </c>
      <c r="CM127" s="9">
        <v>-0.90730351209640503</v>
      </c>
      <c r="CN127" s="9">
        <v>0.40196079015731812</v>
      </c>
      <c r="CO127" s="9">
        <v>0.48948162794113159</v>
      </c>
      <c r="CP127" s="9">
        <v>0.17457720637321472</v>
      </c>
      <c r="CQ127" s="9">
        <v>1.7503538131713867</v>
      </c>
      <c r="CR127">
        <v>5.7585373105566529</v>
      </c>
      <c r="CS127" t="e">
        <v>#DIV/0!</v>
      </c>
      <c r="CT127">
        <v>2.2471910112359552</v>
      </c>
      <c r="CU127" s="8">
        <v>0</v>
      </c>
      <c r="CV127" s="9">
        <v>0</v>
      </c>
      <c r="CW127">
        <v>0.06</v>
      </c>
      <c r="CX127">
        <v>166.34320045867409</v>
      </c>
      <c r="CY127">
        <v>12505283.018867923</v>
      </c>
      <c r="CZ127">
        <v>0</v>
      </c>
      <c r="DA127">
        <v>58.708135455260141</v>
      </c>
      <c r="DB127">
        <v>35432377.197283663</v>
      </c>
      <c r="DC127">
        <v>0</v>
      </c>
      <c r="DD127">
        <v>31.913198560568297</v>
      </c>
      <c r="DE127">
        <v>65182084.335797057</v>
      </c>
      <c r="DF127">
        <v>0</v>
      </c>
      <c r="DG127">
        <v>21.321425481286852</v>
      </c>
      <c r="DH127">
        <v>97562369.918732643</v>
      </c>
      <c r="DI127">
        <v>0</v>
      </c>
      <c r="DJ127">
        <v>13.681658715189716</v>
      </c>
      <c r="DK127">
        <v>152040687.70481354</v>
      </c>
      <c r="DL127">
        <v>0</v>
      </c>
      <c r="DM127">
        <v>13255600</v>
      </c>
      <c r="DN127">
        <v>0</v>
      </c>
      <c r="DO127">
        <v>2080168800</v>
      </c>
      <c r="DP127">
        <v>542521410</v>
      </c>
      <c r="DQ127">
        <v>126</v>
      </c>
      <c r="DR127">
        <v>-0.58974358974358976</v>
      </c>
      <c r="DS127">
        <v>-0.68420000000000003</v>
      </c>
      <c r="DT127">
        <v>-0.44</v>
      </c>
      <c r="DU127">
        <v>-0.44</v>
      </c>
      <c r="DV127">
        <v>-0.88</v>
      </c>
      <c r="DW127">
        <v>-1.0505</v>
      </c>
      <c r="DX127">
        <v>0.24763531880394737</v>
      </c>
      <c r="DY127">
        <v>-1.0044255835995994</v>
      </c>
      <c r="DZ127">
        <v>0</v>
      </c>
      <c r="EA127">
        <v>-1.0044255835995994</v>
      </c>
      <c r="EB127">
        <v>1</v>
      </c>
      <c r="EC127">
        <v>7.8310108241711404E-3</v>
      </c>
      <c r="ED127">
        <v>8.9359072700929007E-2</v>
      </c>
      <c r="EE127">
        <v>0</v>
      </c>
      <c r="EF127">
        <v>0</v>
      </c>
      <c r="EG127">
        <v>16.087635318803947</v>
      </c>
      <c r="EH127" t="s">
        <v>86</v>
      </c>
      <c r="EI127">
        <v>0</v>
      </c>
      <c r="EJ127">
        <v>0</v>
      </c>
      <c r="EK127">
        <v>0</v>
      </c>
      <c r="EL127">
        <v>0</v>
      </c>
      <c r="EM127">
        <v>0</v>
      </c>
      <c r="EN127">
        <v>0</v>
      </c>
      <c r="EO127">
        <v>0</v>
      </c>
      <c r="EP127">
        <v>0</v>
      </c>
    </row>
    <row r="128" spans="1:146" ht="108" x14ac:dyDescent="0.25">
      <c r="A128" s="10"/>
      <c r="B128" s="10"/>
      <c r="C128" s="7" t="str">
        <f>""&amp;CHAR(10)&amp;Basic_Fundamental_Information_Constructure(F128)&amp;CHAR(10)&amp;Basic_Fundamental_Information_Concatenate("")</f>
        <v xml:space="preserve">
市值10.4164934亿, 利润80.81万; PE61.94; 平均PE-39.02, PB4.12; ROIC5.29%; ROE3.3%; 股利率.6116%; 毛利65.62%; 净利8.3233%; 上一年度营收增-94.13%, 利润增119.04%; 当季营收增-76.94%, 利润增118.5%; 过往5年营收增0%, 利润增0%
Income profile:
</v>
      </c>
      <c r="D128">
        <v>835670</v>
      </c>
      <c r="E128" t="s">
        <v>1755</v>
      </c>
      <c r="F128">
        <v>9.81</v>
      </c>
      <c r="G128" s="5">
        <v>-1.9</v>
      </c>
      <c r="H128" t="s">
        <v>5284</v>
      </c>
      <c r="I128">
        <v>1041649340</v>
      </c>
      <c r="J128">
        <v>61.94</v>
      </c>
      <c r="K128">
        <v>4.12</v>
      </c>
      <c r="L128" t="s">
        <v>2604</v>
      </c>
      <c r="M128" t="s">
        <v>5285</v>
      </c>
      <c r="N128" t="s">
        <v>262</v>
      </c>
      <c r="O128" t="s">
        <v>5286</v>
      </c>
      <c r="P128">
        <v>-56.65</v>
      </c>
      <c r="Q128" t="s">
        <v>5286</v>
      </c>
      <c r="R128">
        <v>808056</v>
      </c>
      <c r="S128" s="5">
        <v>1.1850000000000001</v>
      </c>
      <c r="T128" t="s">
        <v>5287</v>
      </c>
      <c r="U128">
        <v>66408421</v>
      </c>
      <c r="V128">
        <v>106182400</v>
      </c>
      <c r="W128">
        <v>1.08</v>
      </c>
      <c r="X128">
        <v>0.02</v>
      </c>
      <c r="Y128">
        <v>19.260000000000002</v>
      </c>
      <c r="Z128" t="s">
        <v>5288</v>
      </c>
      <c r="AA128" t="s">
        <v>5289</v>
      </c>
      <c r="AB128" t="s">
        <v>5290</v>
      </c>
      <c r="AC128" t="s">
        <v>5291</v>
      </c>
      <c r="AD128" t="s">
        <v>5292</v>
      </c>
      <c r="AE128">
        <v>575288</v>
      </c>
      <c r="AF128" t="s">
        <v>17</v>
      </c>
      <c r="AG128">
        <v>0.23</v>
      </c>
      <c r="AH128" t="s">
        <v>5293</v>
      </c>
      <c r="AI128" t="s">
        <v>110</v>
      </c>
      <c r="AJ128" t="s">
        <v>9</v>
      </c>
      <c r="AK128" t="s">
        <v>9</v>
      </c>
      <c r="AL128" t="s">
        <v>5294</v>
      </c>
      <c r="AM128" t="s">
        <v>9</v>
      </c>
      <c r="AN128">
        <v>0</v>
      </c>
      <c r="AO128" t="s">
        <v>9</v>
      </c>
      <c r="AP128" t="s">
        <v>9</v>
      </c>
      <c r="AQ128" t="s">
        <v>5295</v>
      </c>
      <c r="AR128" t="s">
        <v>5296</v>
      </c>
      <c r="AS128" t="s">
        <v>5297</v>
      </c>
      <c r="AT128" t="s">
        <v>9</v>
      </c>
      <c r="AU128" t="s">
        <v>5298</v>
      </c>
      <c r="AV128" t="s">
        <v>5299</v>
      </c>
      <c r="AW128" t="s">
        <v>5300</v>
      </c>
      <c r="AX128" t="s">
        <v>1757</v>
      </c>
      <c r="AY128" t="s">
        <v>1758</v>
      </c>
      <c r="AZ128" t="s">
        <v>18</v>
      </c>
      <c r="BA128" t="s">
        <v>487</v>
      </c>
      <c r="BB128" t="s">
        <v>1759</v>
      </c>
      <c r="BC128" t="s">
        <v>5301</v>
      </c>
      <c r="BD128" t="s">
        <v>1760</v>
      </c>
      <c r="BE128" t="s">
        <v>1761</v>
      </c>
      <c r="BF128" t="s">
        <v>1762</v>
      </c>
      <c r="BG128" t="s">
        <v>1763</v>
      </c>
      <c r="BH128" t="s">
        <v>5302</v>
      </c>
      <c r="BI128" t="s">
        <v>1764</v>
      </c>
      <c r="BJ128" t="s">
        <v>1757</v>
      </c>
      <c r="BK128" t="s">
        <v>5303</v>
      </c>
      <c r="BL128" t="s">
        <v>1765</v>
      </c>
      <c r="BM128" t="s">
        <v>5301</v>
      </c>
      <c r="BN128">
        <v>4.74</v>
      </c>
      <c r="BO128" t="s">
        <v>9</v>
      </c>
      <c r="BP128">
        <v>5.84</v>
      </c>
      <c r="BQ128">
        <v>5.28</v>
      </c>
      <c r="BR128">
        <v>-1.72</v>
      </c>
      <c r="BS128">
        <v>6.34</v>
      </c>
      <c r="BT128" t="s">
        <v>2106</v>
      </c>
      <c r="BU128" t="s">
        <v>1756</v>
      </c>
      <c r="BV128">
        <v>68.56</v>
      </c>
      <c r="BW128">
        <v>67.48</v>
      </c>
      <c r="BX128">
        <v>60.82</v>
      </c>
      <c r="BY128">
        <v>12.05</v>
      </c>
      <c r="BZ128">
        <v>-5.94</v>
      </c>
      <c r="CA128">
        <v>18.86</v>
      </c>
      <c r="CB128">
        <v>4.7</v>
      </c>
      <c r="CC128">
        <v>-2.58</v>
      </c>
      <c r="CD128" t="s">
        <v>5304</v>
      </c>
      <c r="CE128" t="s">
        <v>5305</v>
      </c>
      <c r="CF128" s="8">
        <v>-0.7694366143008643</v>
      </c>
      <c r="CG128" s="9">
        <v>1.1850000000000001</v>
      </c>
      <c r="CH128" s="8">
        <v>-0.94125497341156006</v>
      </c>
      <c r="CI128" s="8">
        <v>-0.14680571854114532</v>
      </c>
      <c r="CJ128" s="8">
        <v>-0.17111381888389587</v>
      </c>
      <c r="CK128" s="8">
        <v>-9.8214283585548401E-2</v>
      </c>
      <c r="CL128" s="8">
        <v>0.51268571615219116</v>
      </c>
      <c r="CM128" s="9">
        <v>1.1904010772705078</v>
      </c>
      <c r="CN128" s="9">
        <v>-1.2662643194198608</v>
      </c>
      <c r="CO128" s="9">
        <v>-0.45167714357376099</v>
      </c>
      <c r="CP128" s="9">
        <v>-0.17410264909267426</v>
      </c>
      <c r="CQ128" s="9">
        <v>0.48098811507225037</v>
      </c>
      <c r="CR128">
        <v>-39.017735822435753</v>
      </c>
      <c r="CS128" t="e">
        <v>#DIV/0!</v>
      </c>
      <c r="CT128">
        <v>0.6116207951070336</v>
      </c>
      <c r="CU128" s="8">
        <v>0</v>
      </c>
      <c r="CV128" s="9">
        <v>0</v>
      </c>
      <c r="CW128">
        <v>0.06</v>
      </c>
      <c r="CX128">
        <v>1067.1340977601783</v>
      </c>
      <c r="CY128">
        <v>762358.49056603771</v>
      </c>
      <c r="CZ128">
        <v>0</v>
      </c>
      <c r="DA128">
        <v>376.62767692025892</v>
      </c>
      <c r="DB128">
        <v>2160060.956359948</v>
      </c>
      <c r="DC128">
        <v>0</v>
      </c>
      <c r="DD128">
        <v>204.73131609027917</v>
      </c>
      <c r="DE128">
        <v>3973689.7878449559</v>
      </c>
      <c r="DF128">
        <v>0</v>
      </c>
      <c r="DG128">
        <v>136.7823877453084</v>
      </c>
      <c r="DH128">
        <v>5947686.346248216</v>
      </c>
      <c r="DI128">
        <v>0</v>
      </c>
      <c r="DJ128">
        <v>87.771333535955918</v>
      </c>
      <c r="DK128">
        <v>9268843.3367225789</v>
      </c>
      <c r="DL128">
        <v>0</v>
      </c>
      <c r="DM128">
        <v>808100</v>
      </c>
      <c r="DN128">
        <v>0</v>
      </c>
      <c r="DO128">
        <v>813538740</v>
      </c>
      <c r="DP128">
        <v>183050890</v>
      </c>
      <c r="DQ128">
        <v>127</v>
      </c>
      <c r="DR128">
        <v>-0.7694366143008643</v>
      </c>
      <c r="DS128">
        <v>1.1850000000000001</v>
      </c>
      <c r="DT128">
        <v>-0.44</v>
      </c>
      <c r="DU128">
        <v>0.6</v>
      </c>
      <c r="DV128">
        <v>0.15999999999999998</v>
      </c>
      <c r="DW128">
        <v>4.548936170212766</v>
      </c>
      <c r="DX128">
        <v>0.44014030309359314</v>
      </c>
      <c r="DY128">
        <v>4.1318216982939289</v>
      </c>
      <c r="DZ128">
        <v>0</v>
      </c>
      <c r="EA128">
        <v>4.1318216982939289</v>
      </c>
      <c r="EB128">
        <v>4</v>
      </c>
      <c r="EC128">
        <v>7.9048881923934666E-2</v>
      </c>
      <c r="ED128">
        <v>0.32917790518956058</v>
      </c>
      <c r="EE128">
        <v>0</v>
      </c>
      <c r="EF128">
        <v>0</v>
      </c>
      <c r="EG128">
        <v>20.240140303093593</v>
      </c>
      <c r="EH128" t="s">
        <v>86</v>
      </c>
      <c r="EI128">
        <v>0</v>
      </c>
      <c r="EJ128">
        <v>0</v>
      </c>
      <c r="EK128">
        <v>0</v>
      </c>
      <c r="EL128">
        <v>0</v>
      </c>
      <c r="EM128">
        <v>0</v>
      </c>
      <c r="EN128">
        <v>0</v>
      </c>
      <c r="EO128">
        <v>0</v>
      </c>
      <c r="EP128">
        <v>0</v>
      </c>
    </row>
    <row r="129" spans="1:146" ht="96" x14ac:dyDescent="0.25">
      <c r="A129" s="10"/>
      <c r="B129" s="10"/>
      <c r="C129" s="7" t="str">
        <f>""&amp;CHAR(10)&amp;Basic_Fundamental_Information_Constructure(F129)&amp;CHAR(10)&amp;Basic_Fundamental_Information_Concatenate("")</f>
        <v xml:space="preserve">
市值5.6916675亿, 利润533.91万; PE17.89; 平均PE2.78, PB.782; ROIC6.6967%; ROE6.945%; 股利率.6369%; 毛利19.25%; 净利4.7067%; 上一年度营收增-84.35%, 利润增-89.25%; 当季营收增-68.64%, 利润增-60.89%; 过往5年营收增0%, 利润增0%
Income profile:
</v>
      </c>
      <c r="D129">
        <v>835857</v>
      </c>
      <c r="E129" t="s">
        <v>1766</v>
      </c>
      <c r="F129">
        <v>3.14</v>
      </c>
      <c r="G129" s="5">
        <v>-0.32</v>
      </c>
      <c r="H129" t="s">
        <v>5306</v>
      </c>
      <c r="I129">
        <v>569166750</v>
      </c>
      <c r="J129">
        <v>17.89</v>
      </c>
      <c r="K129">
        <v>0.78200000000000003</v>
      </c>
      <c r="L129" t="s">
        <v>2604</v>
      </c>
      <c r="M129" t="s">
        <v>5307</v>
      </c>
      <c r="N129" t="s">
        <v>365</v>
      </c>
      <c r="O129" t="s">
        <v>238</v>
      </c>
      <c r="P129">
        <v>-24.28</v>
      </c>
      <c r="Q129" t="s">
        <v>238</v>
      </c>
      <c r="R129">
        <v>5339056</v>
      </c>
      <c r="S129" s="5">
        <v>-0.6089</v>
      </c>
      <c r="T129" t="s">
        <v>5308</v>
      </c>
      <c r="U129">
        <v>104638124</v>
      </c>
      <c r="V129">
        <v>181263300</v>
      </c>
      <c r="W129">
        <v>2.17</v>
      </c>
      <c r="X129">
        <v>0.1</v>
      </c>
      <c r="Y129">
        <v>3.47</v>
      </c>
      <c r="Z129" t="s">
        <v>386</v>
      </c>
      <c r="AA129" t="s">
        <v>89</v>
      </c>
      <c r="AB129" t="s">
        <v>5309</v>
      </c>
      <c r="AC129" t="s">
        <v>5310</v>
      </c>
      <c r="AD129" t="s">
        <v>5311</v>
      </c>
      <c r="AE129">
        <v>3646772</v>
      </c>
      <c r="AF129" t="s">
        <v>5312</v>
      </c>
      <c r="AG129" t="s">
        <v>5313</v>
      </c>
      <c r="AH129" t="s">
        <v>5314</v>
      </c>
      <c r="AI129" t="s">
        <v>377</v>
      </c>
      <c r="AJ129" t="s">
        <v>9</v>
      </c>
      <c r="AK129" t="s">
        <v>5315</v>
      </c>
      <c r="AL129" t="s">
        <v>5316</v>
      </c>
      <c r="AM129" t="s">
        <v>9</v>
      </c>
      <c r="AN129" t="s">
        <v>5317</v>
      </c>
      <c r="AO129" t="s">
        <v>303</v>
      </c>
      <c r="AP129" t="s">
        <v>5318</v>
      </c>
      <c r="AQ129" t="s">
        <v>178</v>
      </c>
      <c r="AR129" t="s">
        <v>9</v>
      </c>
      <c r="AS129" t="s">
        <v>271</v>
      </c>
      <c r="AT129" t="s">
        <v>5319</v>
      </c>
      <c r="AU129" t="s">
        <v>5320</v>
      </c>
      <c r="AV129" t="s">
        <v>5321</v>
      </c>
      <c r="AW129" t="s">
        <v>5322</v>
      </c>
      <c r="AX129" t="s">
        <v>483</v>
      </c>
      <c r="AY129" t="s">
        <v>407</v>
      </c>
      <c r="AZ129" t="s">
        <v>381</v>
      </c>
      <c r="BA129" t="s">
        <v>544</v>
      </c>
      <c r="BB129" t="s">
        <v>397</v>
      </c>
      <c r="BC129" t="s">
        <v>5323</v>
      </c>
      <c r="BD129" t="s">
        <v>1768</v>
      </c>
      <c r="BE129" t="s">
        <v>1769</v>
      </c>
      <c r="BF129" t="s">
        <v>1770</v>
      </c>
      <c r="BG129" t="s">
        <v>1771</v>
      </c>
      <c r="BH129" t="s">
        <v>4807</v>
      </c>
      <c r="BI129" t="s">
        <v>581</v>
      </c>
      <c r="BJ129" t="s">
        <v>483</v>
      </c>
      <c r="BK129" t="s">
        <v>5324</v>
      </c>
      <c r="BL129" t="s">
        <v>1772</v>
      </c>
      <c r="BM129" t="s">
        <v>5323</v>
      </c>
      <c r="BN129">
        <v>3.72</v>
      </c>
      <c r="BO129">
        <v>7.29</v>
      </c>
      <c r="BP129">
        <v>9.08</v>
      </c>
      <c r="BQ129">
        <v>4.6399999999999997</v>
      </c>
      <c r="BR129">
        <v>9.25</v>
      </c>
      <c r="BS129" t="s">
        <v>9</v>
      </c>
      <c r="BT129" t="s">
        <v>4749</v>
      </c>
      <c r="BU129" t="s">
        <v>1767</v>
      </c>
      <c r="BV129">
        <v>18.91</v>
      </c>
      <c r="BW129">
        <v>20.21</v>
      </c>
      <c r="BX129">
        <v>18.63</v>
      </c>
      <c r="BY129">
        <v>3.99</v>
      </c>
      <c r="BZ129">
        <v>5.05</v>
      </c>
      <c r="CA129">
        <v>5.08</v>
      </c>
      <c r="CB129">
        <v>0.32</v>
      </c>
      <c r="CC129">
        <v>-4.5599999999999996</v>
      </c>
      <c r="CD129" t="s">
        <v>5325</v>
      </c>
      <c r="CE129" t="s">
        <v>5326</v>
      </c>
      <c r="CF129" s="8">
        <v>-0.68635437881873729</v>
      </c>
      <c r="CG129" s="9">
        <v>-0.6089</v>
      </c>
      <c r="CH129" s="8">
        <v>-0.84349590539932251</v>
      </c>
      <c r="CI129" s="8">
        <v>-1.3039117678999901E-2</v>
      </c>
      <c r="CJ129" s="8">
        <v>5.1687762141227722E-2</v>
      </c>
      <c r="CK129" s="8">
        <v>0.22957198321819305</v>
      </c>
      <c r="CL129" s="8">
        <v>0.12884333729743958</v>
      </c>
      <c r="CM129" s="9">
        <v>-0.8925366997718811</v>
      </c>
      <c r="CN129" s="9">
        <v>-2.005530521273613E-2</v>
      </c>
      <c r="CO129" s="9">
        <v>-1.0484610684216022E-2</v>
      </c>
      <c r="CP129" s="9">
        <v>0.53808975219726563</v>
      </c>
      <c r="CQ129" s="9">
        <v>1.5657509565353394</v>
      </c>
      <c r="CR129">
        <v>2.7767893457169719</v>
      </c>
      <c r="CS129" t="e">
        <v>#DIV/0!</v>
      </c>
      <c r="CT129">
        <v>0.63694267515923564</v>
      </c>
      <c r="CU129" s="8">
        <v>0</v>
      </c>
      <c r="CV129" s="9">
        <v>0</v>
      </c>
      <c r="CW129">
        <v>0.06</v>
      </c>
      <c r="CX129">
        <v>141.19172800659288</v>
      </c>
      <c r="CY129">
        <v>5036886.7924528299</v>
      </c>
      <c r="CZ129">
        <v>0</v>
      </c>
      <c r="DA129">
        <v>49.831331068038629</v>
      </c>
      <c r="DB129">
        <v>14271478.099370619</v>
      </c>
      <c r="DC129">
        <v>0</v>
      </c>
      <c r="DD129">
        <v>27.087849930503058</v>
      </c>
      <c r="DE129">
        <v>26254086.30897538</v>
      </c>
      <c r="DF129">
        <v>0</v>
      </c>
      <c r="DG129">
        <v>18.097577171569398</v>
      </c>
      <c r="DH129">
        <v>39296240.7762082</v>
      </c>
      <c r="DI129">
        <v>0</v>
      </c>
      <c r="DJ129">
        <v>11.612960617972561</v>
      </c>
      <c r="DK129">
        <v>61239056.378041729</v>
      </c>
      <c r="DL129">
        <v>0</v>
      </c>
      <c r="DM129">
        <v>5339100</v>
      </c>
      <c r="DN129">
        <v>0</v>
      </c>
      <c r="DO129">
        <v>711166750</v>
      </c>
      <c r="DP129">
        <v>449564220</v>
      </c>
      <c r="DQ129">
        <v>128</v>
      </c>
      <c r="DR129">
        <v>-0.68635437881873729</v>
      </c>
      <c r="DS129">
        <v>-0.6089</v>
      </c>
      <c r="DT129">
        <v>-0.44</v>
      </c>
      <c r="DU129">
        <v>-0.44</v>
      </c>
      <c r="DV129">
        <v>-0.88</v>
      </c>
      <c r="DW129">
        <v>-1.0456000000000001</v>
      </c>
      <c r="DX129">
        <v>0.34423200983520857</v>
      </c>
      <c r="DY129">
        <v>-1.0070329796484856</v>
      </c>
      <c r="DZ129">
        <v>0</v>
      </c>
      <c r="EA129">
        <v>-1.0070329796484856</v>
      </c>
      <c r="EB129">
        <v>1</v>
      </c>
      <c r="EC129">
        <v>1.9863370025813277E-2</v>
      </c>
      <c r="ED129">
        <v>0.12878889438733598</v>
      </c>
      <c r="EE129">
        <v>0</v>
      </c>
      <c r="EF129">
        <v>0</v>
      </c>
      <c r="EG129">
        <v>19.154232009835209</v>
      </c>
      <c r="EH129" t="s">
        <v>86</v>
      </c>
      <c r="EI129">
        <v>0</v>
      </c>
      <c r="EJ129">
        <v>0</v>
      </c>
      <c r="EK129">
        <v>0</v>
      </c>
      <c r="EL129">
        <v>0</v>
      </c>
      <c r="EM129">
        <v>0</v>
      </c>
      <c r="EN129">
        <v>0</v>
      </c>
      <c r="EO129">
        <v>0</v>
      </c>
      <c r="EP129">
        <v>0</v>
      </c>
    </row>
    <row r="130" spans="1:146" ht="108" x14ac:dyDescent="0.25">
      <c r="A130" s="10"/>
      <c r="B130" s="10"/>
      <c r="C130" s="7" t="str">
        <f>""&amp;CHAR(10)&amp;Basic_Fundamental_Information_Constructure(F130)&amp;CHAR(10)&amp;Basic_Fundamental_Information_Concatenate("")</f>
        <v xml:space="preserve">
市值8.5510146亿, 利润458.30万; PE55.46; 平均PE1.96, PB1.41; ROIC11.86%; ROE17.2533%; 股利率1.1312%; 毛利37.6133%; 净利10.9267%; 上一年度营收增-82.88%, 利润增-91.28%; 当季营收增-52.08%, 利润增-13.37%; 过往5年营收增0%, 利润增0%
Income profile:
</v>
      </c>
      <c r="D130">
        <v>835892</v>
      </c>
      <c r="E130" t="s">
        <v>1773</v>
      </c>
      <c r="F130">
        <v>8.84</v>
      </c>
      <c r="G130" s="5">
        <v>2.79</v>
      </c>
      <c r="H130" t="s">
        <v>3117</v>
      </c>
      <c r="I130">
        <v>855101460</v>
      </c>
      <c r="J130">
        <v>55.46</v>
      </c>
      <c r="K130">
        <v>1.41</v>
      </c>
      <c r="L130" t="s">
        <v>2604</v>
      </c>
      <c r="M130" t="s">
        <v>406</v>
      </c>
      <c r="N130" t="s">
        <v>353</v>
      </c>
      <c r="O130" t="s">
        <v>5327</v>
      </c>
      <c r="P130">
        <v>-9.5299999999999994</v>
      </c>
      <c r="Q130" t="s">
        <v>5327</v>
      </c>
      <c r="R130">
        <v>4583048</v>
      </c>
      <c r="S130" s="5">
        <v>-0.13370000000000001</v>
      </c>
      <c r="T130" t="s">
        <v>5328</v>
      </c>
      <c r="U130">
        <v>27898177</v>
      </c>
      <c r="V130">
        <v>96730934</v>
      </c>
      <c r="W130">
        <v>1.24</v>
      </c>
      <c r="X130">
        <v>0.09</v>
      </c>
      <c r="Y130">
        <v>6.6</v>
      </c>
      <c r="Z130" t="s">
        <v>5329</v>
      </c>
      <c r="AA130" t="s">
        <v>5330</v>
      </c>
      <c r="AB130" t="s">
        <v>5331</v>
      </c>
      <c r="AC130" t="s">
        <v>5332</v>
      </c>
      <c r="AD130" t="s">
        <v>5333</v>
      </c>
      <c r="AE130">
        <v>1625684</v>
      </c>
      <c r="AF130" t="s">
        <v>5334</v>
      </c>
      <c r="AG130">
        <v>2000</v>
      </c>
      <c r="AH130" t="s">
        <v>5335</v>
      </c>
      <c r="AI130" t="s">
        <v>449</v>
      </c>
      <c r="AJ130" t="s">
        <v>9</v>
      </c>
      <c r="AK130" t="s">
        <v>5336</v>
      </c>
      <c r="AL130" t="s">
        <v>5337</v>
      </c>
      <c r="AM130" t="s">
        <v>9</v>
      </c>
      <c r="AN130" t="s">
        <v>5338</v>
      </c>
      <c r="AO130" t="s">
        <v>5339</v>
      </c>
      <c r="AP130" t="s">
        <v>5340</v>
      </c>
      <c r="AQ130" t="s">
        <v>5341</v>
      </c>
      <c r="AR130" t="s">
        <v>9</v>
      </c>
      <c r="AS130" t="s">
        <v>26</v>
      </c>
      <c r="AT130" t="s">
        <v>9</v>
      </c>
      <c r="AU130" t="s">
        <v>5342</v>
      </c>
      <c r="AV130" t="s">
        <v>5343</v>
      </c>
      <c r="AW130" t="s">
        <v>5344</v>
      </c>
      <c r="AX130" t="s">
        <v>693</v>
      </c>
      <c r="AY130" t="s">
        <v>542</v>
      </c>
      <c r="AZ130" t="s">
        <v>293</v>
      </c>
      <c r="BA130" t="s">
        <v>181</v>
      </c>
      <c r="BB130" t="s">
        <v>275</v>
      </c>
      <c r="BC130" t="s">
        <v>1774</v>
      </c>
      <c r="BD130" t="s">
        <v>1775</v>
      </c>
      <c r="BE130" t="s">
        <v>1776</v>
      </c>
      <c r="BF130" t="s">
        <v>1777</v>
      </c>
      <c r="BG130" t="s">
        <v>1778</v>
      </c>
      <c r="BH130" t="s">
        <v>263</v>
      </c>
      <c r="BI130" t="s">
        <v>258</v>
      </c>
      <c r="BJ130" t="s">
        <v>693</v>
      </c>
      <c r="BK130" t="s">
        <v>5345</v>
      </c>
      <c r="BL130" t="s">
        <v>1779</v>
      </c>
      <c r="BM130" t="s">
        <v>1774</v>
      </c>
      <c r="BN130">
        <v>1.2</v>
      </c>
      <c r="BO130">
        <v>10.57</v>
      </c>
      <c r="BP130">
        <v>23.81</v>
      </c>
      <c r="BQ130">
        <v>2.0499999999999998</v>
      </c>
      <c r="BR130">
        <v>17.54</v>
      </c>
      <c r="BS130">
        <v>32.17</v>
      </c>
      <c r="BT130" t="s">
        <v>886</v>
      </c>
      <c r="BU130" t="s">
        <v>812</v>
      </c>
      <c r="BV130">
        <v>38.32</v>
      </c>
      <c r="BW130">
        <v>38.17</v>
      </c>
      <c r="BX130">
        <v>36.35</v>
      </c>
      <c r="BY130">
        <v>5.33</v>
      </c>
      <c r="BZ130">
        <v>12.94</v>
      </c>
      <c r="CA130">
        <v>14.51</v>
      </c>
      <c r="CB130">
        <v>3.76</v>
      </c>
      <c r="CC130">
        <v>-2.54</v>
      </c>
      <c r="CD130" t="s">
        <v>5346</v>
      </c>
      <c r="CE130" t="s">
        <v>5347</v>
      </c>
      <c r="CF130" s="8">
        <v>-0.5207744827586207</v>
      </c>
      <c r="CG130" s="9">
        <v>-0.13370000000000001</v>
      </c>
      <c r="CH130" s="8">
        <v>-0.82884806394577026</v>
      </c>
      <c r="CI130" s="8">
        <v>-0.12688171863555908</v>
      </c>
      <c r="CJ130" s="8">
        <v>0.25</v>
      </c>
      <c r="CK130" s="8">
        <v>0.66816145181655884</v>
      </c>
      <c r="CL130" s="8">
        <v>0.19892473518848419</v>
      </c>
      <c r="CM130" s="9">
        <v>-0.91284900903701782</v>
      </c>
      <c r="CN130" s="9">
        <v>-0.2208598256111145</v>
      </c>
      <c r="CO130" s="9">
        <v>0.58466333150863647</v>
      </c>
      <c r="CP130" s="9">
        <v>2.0552489757537842</v>
      </c>
      <c r="CQ130" s="9">
        <v>9.1737084090709686E-2</v>
      </c>
      <c r="CR130">
        <v>1.9615177379112301</v>
      </c>
      <c r="CS130" t="e">
        <v>#DIV/0!</v>
      </c>
      <c r="CT130">
        <v>1.1312217194570136</v>
      </c>
      <c r="CU130" s="8">
        <v>0</v>
      </c>
      <c r="CV130" s="9">
        <v>0</v>
      </c>
      <c r="CW130">
        <v>0.06</v>
      </c>
      <c r="CX130">
        <v>87.682205454942192</v>
      </c>
      <c r="CY130">
        <v>4323584.9056603769</v>
      </c>
      <c r="CZ130">
        <v>0</v>
      </c>
      <c r="DA130">
        <v>30.946012705482172</v>
      </c>
      <c r="DB130">
        <v>12250413.764382677</v>
      </c>
      <c r="DC130">
        <v>0</v>
      </c>
      <c r="DD130">
        <v>16.821965822446092</v>
      </c>
      <c r="DE130">
        <v>22536097.386082705</v>
      </c>
      <c r="DF130">
        <v>0</v>
      </c>
      <c r="DG130">
        <v>11.23887002587094</v>
      </c>
      <c r="DH130">
        <v>33731278.956633553</v>
      </c>
      <c r="DI130">
        <v>0</v>
      </c>
      <c r="DJ130">
        <v>7.2118247522098162</v>
      </c>
      <c r="DK130">
        <v>52566648.944684543</v>
      </c>
      <c r="DL130">
        <v>0</v>
      </c>
      <c r="DM130">
        <v>4583000</v>
      </c>
      <c r="DN130">
        <v>0</v>
      </c>
      <c r="DO130">
        <v>379101460</v>
      </c>
      <c r="DP130">
        <v>476759940</v>
      </c>
      <c r="DQ130">
        <v>129</v>
      </c>
      <c r="DR130">
        <v>-0.5207744827586207</v>
      </c>
      <c r="DS130">
        <v>-0.13370000000000001</v>
      </c>
      <c r="DT130">
        <v>-0.44</v>
      </c>
      <c r="DU130">
        <v>-0.22</v>
      </c>
      <c r="DV130">
        <v>-0.66</v>
      </c>
      <c r="DW130">
        <v>4.6755319148936172</v>
      </c>
      <c r="DX130">
        <v>1.0991955429726636</v>
      </c>
      <c r="DY130">
        <v>4.1953608189230263</v>
      </c>
      <c r="DZ130">
        <v>0</v>
      </c>
      <c r="EA130">
        <v>4.1953608189230263</v>
      </c>
      <c r="EB130">
        <v>4</v>
      </c>
      <c r="EC130">
        <v>7.7193506681120225E-2</v>
      </c>
      <c r="ED130">
        <v>0.26692495288011997</v>
      </c>
      <c r="EE130">
        <v>0</v>
      </c>
      <c r="EF130">
        <v>0</v>
      </c>
      <c r="EG130">
        <v>81.289195542972664</v>
      </c>
      <c r="EH130" t="s">
        <v>86</v>
      </c>
      <c r="EI130">
        <v>0</v>
      </c>
      <c r="EJ130">
        <v>0</v>
      </c>
      <c r="EK130">
        <v>0</v>
      </c>
      <c r="EL130">
        <v>0</v>
      </c>
      <c r="EM130">
        <v>0</v>
      </c>
      <c r="EN130">
        <v>0</v>
      </c>
      <c r="EO130">
        <v>0</v>
      </c>
      <c r="EP130">
        <v>0</v>
      </c>
    </row>
    <row r="131" spans="1:146" ht="96" x14ac:dyDescent="0.25">
      <c r="A131" s="10"/>
      <c r="B131" s="10"/>
      <c r="C131" s="7" t="str">
        <f>""&amp;CHAR(10)&amp;Basic_Fundamental_Information_Constructure(F131)&amp;CHAR(10)&amp;Basic_Fundamental_Information_Concatenate("")</f>
        <v xml:space="preserve">
市值16.185605亿, 利润1805.73万; PE10.06; 平均PE33.74, PB1.22; ROIC9.7233%; ROE15.17%; 股利率4.2065%; 毛利9.4067%; 净利2.82%; 上一年度营收增-92.39%, 利润增-84.83%; 当季营收增-77.14%, 利润增378.8%; 过往5年营收增0%, 利润增0%
Income profile:
</v>
      </c>
      <c r="D131">
        <v>835985</v>
      </c>
      <c r="E131" t="s">
        <v>1781</v>
      </c>
      <c r="F131">
        <v>5.23</v>
      </c>
      <c r="G131" s="5">
        <v>-2.4300000000000002</v>
      </c>
      <c r="H131" t="s">
        <v>5348</v>
      </c>
      <c r="I131">
        <v>1618560500</v>
      </c>
      <c r="J131">
        <v>10.06</v>
      </c>
      <c r="K131">
        <v>1.22</v>
      </c>
      <c r="L131" t="s">
        <v>2604</v>
      </c>
      <c r="M131" t="s">
        <v>329</v>
      </c>
      <c r="N131" t="s">
        <v>5349</v>
      </c>
      <c r="O131" t="s">
        <v>607</v>
      </c>
      <c r="P131">
        <v>-47.51</v>
      </c>
      <c r="Q131" t="s">
        <v>607</v>
      </c>
      <c r="R131">
        <v>18057322</v>
      </c>
      <c r="S131" s="5">
        <v>3.7879999999999998</v>
      </c>
      <c r="T131" t="s">
        <v>5350</v>
      </c>
      <c r="U131">
        <v>134469080</v>
      </c>
      <c r="V131">
        <v>309476200</v>
      </c>
      <c r="W131">
        <v>2.78</v>
      </c>
      <c r="X131">
        <v>0.13</v>
      </c>
      <c r="Y131">
        <v>3.15</v>
      </c>
      <c r="Z131" t="s">
        <v>596</v>
      </c>
      <c r="AA131" t="s">
        <v>38</v>
      </c>
      <c r="AB131" t="s">
        <v>5351</v>
      </c>
      <c r="AC131" t="s">
        <v>5352</v>
      </c>
      <c r="AD131" t="s">
        <v>108</v>
      </c>
      <c r="AE131">
        <v>5962244</v>
      </c>
      <c r="AF131" t="s">
        <v>5353</v>
      </c>
      <c r="AG131" t="s">
        <v>5354</v>
      </c>
      <c r="AH131" t="s">
        <v>5355</v>
      </c>
      <c r="AI131" t="s">
        <v>456</v>
      </c>
      <c r="AJ131" t="s">
        <v>9</v>
      </c>
      <c r="AK131" t="s">
        <v>72</v>
      </c>
      <c r="AL131" t="s">
        <v>5356</v>
      </c>
      <c r="AM131" t="s">
        <v>9</v>
      </c>
      <c r="AN131" t="s">
        <v>232</v>
      </c>
      <c r="AO131" t="s">
        <v>558</v>
      </c>
      <c r="AP131" t="s">
        <v>117</v>
      </c>
      <c r="AQ131" t="s">
        <v>5357</v>
      </c>
      <c r="AR131" t="s">
        <v>9</v>
      </c>
      <c r="AS131" t="s">
        <v>524</v>
      </c>
      <c r="AT131" t="s">
        <v>5358</v>
      </c>
      <c r="AU131" t="s">
        <v>5359</v>
      </c>
      <c r="AV131" t="s">
        <v>5360</v>
      </c>
      <c r="AW131" t="s">
        <v>5361</v>
      </c>
      <c r="AX131" t="s">
        <v>1782</v>
      </c>
      <c r="AY131" t="s">
        <v>1783</v>
      </c>
      <c r="AZ131" t="s">
        <v>1784</v>
      </c>
      <c r="BA131" t="s">
        <v>540</v>
      </c>
      <c r="BB131" t="s">
        <v>136</v>
      </c>
      <c r="BC131" t="s">
        <v>256</v>
      </c>
      <c r="BD131" t="s">
        <v>328</v>
      </c>
      <c r="BE131" t="s">
        <v>1785</v>
      </c>
      <c r="BF131" t="s">
        <v>1786</v>
      </c>
      <c r="BG131" t="s">
        <v>1787</v>
      </c>
      <c r="BH131" t="s">
        <v>5362</v>
      </c>
      <c r="BI131" t="s">
        <v>524</v>
      </c>
      <c r="BJ131" t="s">
        <v>1782</v>
      </c>
      <c r="BK131" t="s">
        <v>59</v>
      </c>
      <c r="BL131" t="s">
        <v>1788</v>
      </c>
      <c r="BM131" t="s">
        <v>256</v>
      </c>
      <c r="BN131">
        <v>4.5</v>
      </c>
      <c r="BO131">
        <v>9</v>
      </c>
      <c r="BP131">
        <v>15.67</v>
      </c>
      <c r="BQ131">
        <v>6.07</v>
      </c>
      <c r="BR131">
        <v>13.52</v>
      </c>
      <c r="BS131">
        <v>25.92</v>
      </c>
      <c r="BT131" t="s">
        <v>5363</v>
      </c>
      <c r="BU131" t="s">
        <v>1667</v>
      </c>
      <c r="BV131">
        <v>14.39</v>
      </c>
      <c r="BW131">
        <v>5.92</v>
      </c>
      <c r="BX131">
        <v>7.91</v>
      </c>
      <c r="BY131">
        <v>3.28</v>
      </c>
      <c r="BZ131">
        <v>1.86</v>
      </c>
      <c r="CA131">
        <v>3.32</v>
      </c>
      <c r="CB131">
        <v>1.75</v>
      </c>
      <c r="CC131">
        <v>-2.4300000000000002</v>
      </c>
      <c r="CD131" t="s">
        <v>5364</v>
      </c>
      <c r="CE131" t="s">
        <v>166</v>
      </c>
      <c r="CF131" s="8">
        <v>-0.77140169332079023</v>
      </c>
      <c r="CG131" s="9">
        <v>3.7879999999999998</v>
      </c>
      <c r="CH131" s="8">
        <v>-0.92390793561935425</v>
      </c>
      <c r="CI131" s="8">
        <v>0.41055649518966675</v>
      </c>
      <c r="CJ131" s="8">
        <v>0.70867931842803955</v>
      </c>
      <c r="CK131" s="8">
        <v>0.3816474974155426</v>
      </c>
      <c r="CL131" s="8">
        <v>0.68838030099868774</v>
      </c>
      <c r="CM131" s="9">
        <v>-0.84825801849365234</v>
      </c>
      <c r="CN131" s="9">
        <v>-0.190476194024086</v>
      </c>
      <c r="CO131" s="9">
        <v>1.3692252635955811</v>
      </c>
      <c r="CP131" s="9">
        <v>3.9474345743656158E-2</v>
      </c>
      <c r="CQ131" s="9">
        <v>63.396804809570313</v>
      </c>
      <c r="CR131">
        <v>33.744182030391912</v>
      </c>
      <c r="CS131" t="e">
        <v>#DIV/0!</v>
      </c>
      <c r="CT131">
        <v>4.2065009560229445</v>
      </c>
      <c r="CU131" s="8">
        <v>0</v>
      </c>
      <c r="CV131" s="9">
        <v>0</v>
      </c>
      <c r="CW131">
        <v>0.06</v>
      </c>
      <c r="CX131">
        <v>157.58912628133774</v>
      </c>
      <c r="CY131">
        <v>17035188.679245282</v>
      </c>
      <c r="CZ131">
        <v>0</v>
      </c>
      <c r="DA131">
        <v>55.618526915979118</v>
      </c>
      <c r="DB131">
        <v>48267378.675013594</v>
      </c>
      <c r="DC131">
        <v>0</v>
      </c>
      <c r="DD131">
        <v>30.233715980787803</v>
      </c>
      <c r="DE131">
        <v>88793600.551977143</v>
      </c>
      <c r="DF131">
        <v>0</v>
      </c>
      <c r="DG131">
        <v>20.199351722244895</v>
      </c>
      <c r="DH131">
        <v>132903299.91351059</v>
      </c>
      <c r="DI131">
        <v>0</v>
      </c>
      <c r="DJ131">
        <v>12.961639772837298</v>
      </c>
      <c r="DK131">
        <v>207115808.41999829</v>
      </c>
      <c r="DL131">
        <v>0</v>
      </c>
      <c r="DM131">
        <v>18057300</v>
      </c>
      <c r="DN131">
        <v>0</v>
      </c>
      <c r="DO131">
        <v>2684560500</v>
      </c>
      <c r="DP131">
        <v>382291999.99999976</v>
      </c>
      <c r="DQ131">
        <v>130</v>
      </c>
      <c r="DR131">
        <v>-0.77140169332079023</v>
      </c>
      <c r="DS131">
        <v>3.7879999999999998</v>
      </c>
      <c r="DT131">
        <v>-0.44</v>
      </c>
      <c r="DU131">
        <v>-0.44</v>
      </c>
      <c r="DV131">
        <v>-0.88</v>
      </c>
      <c r="DW131">
        <v>-2.4300000000000002E-2</v>
      </c>
      <c r="DX131">
        <v>0.23985283018867876</v>
      </c>
      <c r="DY131">
        <v>-2.669423773584906E-3</v>
      </c>
      <c r="DZ131">
        <v>0</v>
      </c>
      <c r="EA131">
        <v>-2.669423773584906E-3</v>
      </c>
      <c r="EB131">
        <v>0</v>
      </c>
      <c r="EC131">
        <v>3.7626156712535566E-2</v>
      </c>
      <c r="ED131">
        <v>0.34251422241839596</v>
      </c>
      <c r="EE131">
        <v>0</v>
      </c>
      <c r="EF131">
        <v>0</v>
      </c>
      <c r="EG131">
        <v>13.109852830188679</v>
      </c>
      <c r="EH131" t="s">
        <v>86</v>
      </c>
      <c r="EI131">
        <v>0</v>
      </c>
      <c r="EJ131">
        <v>0</v>
      </c>
      <c r="EK131">
        <v>0</v>
      </c>
      <c r="EL131">
        <v>0</v>
      </c>
      <c r="EM131">
        <v>0</v>
      </c>
      <c r="EN131">
        <v>0</v>
      </c>
      <c r="EO131">
        <v>0</v>
      </c>
      <c r="EP131">
        <v>0</v>
      </c>
    </row>
    <row r="132" spans="1:146" ht="108" x14ac:dyDescent="0.25">
      <c r="A132" s="10"/>
      <c r="B132" s="10"/>
      <c r="C132" s="7" t="str">
        <f>""&amp;CHAR(10)&amp;Basic_Fundamental_Information_Constructure(F132)&amp;CHAR(10)&amp;Basic_Fundamental_Information_Concatenate("")</f>
        <v xml:space="preserve">
市值55.712236亿, 利润2002.61万; PE71.23; 平均PE14.53, PB2.28; ROIC21.43%; ROE41.38%; 股利率1.0549%; 毛利34.7333%; 净利22.51%; 上一年度营收增-80.76%, 利润增-96.82%; 当季营收增-66.67%, 利润增-88.44%; 过往5年营收增0%, 利润增0%
Income profile:
</v>
      </c>
      <c r="D132">
        <v>836077</v>
      </c>
      <c r="E132" t="s">
        <v>1789</v>
      </c>
      <c r="F132">
        <v>9.48</v>
      </c>
      <c r="G132" s="5">
        <v>-2.87</v>
      </c>
      <c r="H132" t="s">
        <v>5365</v>
      </c>
      <c r="I132">
        <v>5571223600</v>
      </c>
      <c r="J132">
        <v>71.23</v>
      </c>
      <c r="K132">
        <v>2.2799999999999998</v>
      </c>
      <c r="L132" t="s">
        <v>2604</v>
      </c>
      <c r="M132" t="s">
        <v>5366</v>
      </c>
      <c r="N132" t="s">
        <v>5367</v>
      </c>
      <c r="O132" t="s">
        <v>512</v>
      </c>
      <c r="P132">
        <v>-43.26</v>
      </c>
      <c r="Q132" t="s">
        <v>512</v>
      </c>
      <c r="R132">
        <v>20026110</v>
      </c>
      <c r="S132" s="5">
        <v>-0.88439999999999996</v>
      </c>
      <c r="T132" t="s">
        <v>5368</v>
      </c>
      <c r="U132">
        <v>272100980</v>
      </c>
      <c r="V132">
        <v>587681820</v>
      </c>
      <c r="W132">
        <v>2.2599999999999998</v>
      </c>
      <c r="X132">
        <v>7.0000000000000007E-2</v>
      </c>
      <c r="Y132">
        <v>4.99</v>
      </c>
      <c r="Z132" t="s">
        <v>116</v>
      </c>
      <c r="AA132" t="s">
        <v>556</v>
      </c>
      <c r="AB132" t="s">
        <v>5369</v>
      </c>
      <c r="AC132" t="s">
        <v>5370</v>
      </c>
      <c r="AD132" t="s">
        <v>5371</v>
      </c>
      <c r="AE132">
        <v>17229985</v>
      </c>
      <c r="AF132" t="s">
        <v>17</v>
      </c>
      <c r="AG132" t="s">
        <v>5372</v>
      </c>
      <c r="AH132" t="s">
        <v>5373</v>
      </c>
      <c r="AI132" t="s">
        <v>562</v>
      </c>
      <c r="AJ132" t="s">
        <v>9</v>
      </c>
      <c r="AK132" t="s">
        <v>258</v>
      </c>
      <c r="AL132" t="s">
        <v>5374</v>
      </c>
      <c r="AM132" t="s">
        <v>9</v>
      </c>
      <c r="AN132" t="s">
        <v>520</v>
      </c>
      <c r="AO132" t="s">
        <v>660</v>
      </c>
      <c r="AP132" t="s">
        <v>5375</v>
      </c>
      <c r="AQ132" t="s">
        <v>584</v>
      </c>
      <c r="AR132" t="s">
        <v>9</v>
      </c>
      <c r="AS132" t="s">
        <v>5376</v>
      </c>
      <c r="AT132" t="s">
        <v>5377</v>
      </c>
      <c r="AU132" t="s">
        <v>5378</v>
      </c>
      <c r="AV132" t="s">
        <v>5379</v>
      </c>
      <c r="AW132" t="s">
        <v>315</v>
      </c>
      <c r="AX132" t="s">
        <v>1791</v>
      </c>
      <c r="AY132" t="s">
        <v>1793</v>
      </c>
      <c r="AZ132" t="s">
        <v>1794</v>
      </c>
      <c r="BA132" t="s">
        <v>284</v>
      </c>
      <c r="BB132" t="s">
        <v>565</v>
      </c>
      <c r="BC132" t="s">
        <v>563</v>
      </c>
      <c r="BD132" t="s">
        <v>96</v>
      </c>
      <c r="BE132" t="s">
        <v>110</v>
      </c>
      <c r="BF132" t="s">
        <v>1795</v>
      </c>
      <c r="BG132" t="s">
        <v>1796</v>
      </c>
      <c r="BH132" t="s">
        <v>5380</v>
      </c>
      <c r="BI132" t="s">
        <v>327</v>
      </c>
      <c r="BJ132" t="s">
        <v>1791</v>
      </c>
      <c r="BK132" t="s">
        <v>427</v>
      </c>
      <c r="BL132" t="s">
        <v>516</v>
      </c>
      <c r="BM132" t="s">
        <v>563</v>
      </c>
      <c r="BN132">
        <v>9.59</v>
      </c>
      <c r="BO132">
        <v>28.74</v>
      </c>
      <c r="BP132">
        <v>25.96</v>
      </c>
      <c r="BQ132">
        <v>17.37</v>
      </c>
      <c r="BR132">
        <v>53.84</v>
      </c>
      <c r="BS132">
        <v>52.93</v>
      </c>
      <c r="BT132" t="s">
        <v>886</v>
      </c>
      <c r="BU132" t="s">
        <v>1790</v>
      </c>
      <c r="BV132">
        <v>24.71</v>
      </c>
      <c r="BW132">
        <v>38.79</v>
      </c>
      <c r="BX132">
        <v>40.700000000000003</v>
      </c>
      <c r="BY132">
        <v>11.29</v>
      </c>
      <c r="BZ132">
        <v>30.21</v>
      </c>
      <c r="CA132">
        <v>26.03</v>
      </c>
      <c r="CB132">
        <v>-7.69</v>
      </c>
      <c r="CC132">
        <v>-16.84</v>
      </c>
      <c r="CD132" t="s">
        <v>5381</v>
      </c>
      <c r="CE132" t="s">
        <v>5382</v>
      </c>
      <c r="CF132" s="8">
        <v>-0.66666666666666663</v>
      </c>
      <c r="CG132" s="9">
        <v>-0.88439999999999996</v>
      </c>
      <c r="CH132" s="8">
        <v>-0.80758160352706909</v>
      </c>
      <c r="CI132" s="8">
        <v>0.72373872995376587</v>
      </c>
      <c r="CJ132" s="8">
        <v>9.709613025188446E-2</v>
      </c>
      <c r="CK132" s="8">
        <v>3.6688618361949921E-2</v>
      </c>
      <c r="CL132" s="8">
        <v>3.662280797958374</v>
      </c>
      <c r="CM132" s="9">
        <v>-0.9682125449180603</v>
      </c>
      <c r="CN132" s="9">
        <v>1</v>
      </c>
      <c r="CO132" s="9">
        <v>1.2661870718002319</v>
      </c>
      <c r="CP132" s="9">
        <v>5.6259779930114746</v>
      </c>
      <c r="CQ132" s="9">
        <v>0.63983285427093506</v>
      </c>
      <c r="CR132">
        <v>14.534515283847352</v>
      </c>
      <c r="CS132" t="e">
        <v>#DIV/0!</v>
      </c>
      <c r="CT132">
        <v>1.0548523206751055</v>
      </c>
      <c r="CU132" s="8">
        <v>0</v>
      </c>
      <c r="CV132" s="9">
        <v>0</v>
      </c>
      <c r="CW132">
        <v>0.06</v>
      </c>
      <c r="CX132">
        <v>314.36859977729068</v>
      </c>
      <c r="CY132">
        <v>18892547.16981132</v>
      </c>
      <c r="CZ132">
        <v>0</v>
      </c>
      <c r="DA132">
        <v>110.95130000934911</v>
      </c>
      <c r="DB132">
        <v>53530004.601113662</v>
      </c>
      <c r="DC132">
        <v>0</v>
      </c>
      <c r="DD132">
        <v>60.312098830832319</v>
      </c>
      <c r="DE132">
        <v>98474828.685016558</v>
      </c>
      <c r="DF132">
        <v>0</v>
      </c>
      <c r="DG132">
        <v>40.294924321076884</v>
      </c>
      <c r="DH132">
        <v>147393839.30033582</v>
      </c>
      <c r="DI132">
        <v>0</v>
      </c>
      <c r="DJ132">
        <v>25.856685942468133</v>
      </c>
      <c r="DK132">
        <v>229697789.31510955</v>
      </c>
      <c r="DL132">
        <v>0</v>
      </c>
      <c r="DM132">
        <v>20026100</v>
      </c>
      <c r="DN132">
        <v>0</v>
      </c>
      <c r="DO132">
        <v>5939223600</v>
      </c>
      <c r="DP132">
        <v>-15987300</v>
      </c>
      <c r="DQ132">
        <v>131</v>
      </c>
      <c r="DR132">
        <v>-0.66666666666666663</v>
      </c>
      <c r="DS132">
        <v>-0.88439999999999996</v>
      </c>
      <c r="DT132">
        <v>-0.44</v>
      </c>
      <c r="DU132">
        <v>-0.44</v>
      </c>
      <c r="DV132">
        <v>-0.88</v>
      </c>
      <c r="DW132">
        <v>-9.4566508313539188</v>
      </c>
      <c r="DX132">
        <v>0.35513246693147038</v>
      </c>
      <c r="DY132">
        <v>-9.0525753367400839</v>
      </c>
      <c r="DZ132">
        <v>0</v>
      </c>
      <c r="EA132">
        <v>-9.0525753367400839</v>
      </c>
      <c r="EB132">
        <v>9</v>
      </c>
      <c r="EC132">
        <v>6.0961559096723459E-3</v>
      </c>
      <c r="ED132">
        <v>5.2949060088331466E-2</v>
      </c>
      <c r="EE132">
        <v>0</v>
      </c>
      <c r="EF132">
        <v>0</v>
      </c>
      <c r="EG132">
        <v>24.11513246693147</v>
      </c>
      <c r="EH132" t="s">
        <v>86</v>
      </c>
      <c r="EI132">
        <v>0</v>
      </c>
      <c r="EJ132">
        <v>0</v>
      </c>
      <c r="EK132">
        <v>0</v>
      </c>
      <c r="EL132">
        <v>0</v>
      </c>
      <c r="EM132">
        <v>0</v>
      </c>
      <c r="EN132">
        <v>0</v>
      </c>
      <c r="EO132">
        <v>0</v>
      </c>
      <c r="EP132">
        <v>0</v>
      </c>
    </row>
    <row r="133" spans="1:146" ht="96" x14ac:dyDescent="0.25">
      <c r="A133" s="10"/>
      <c r="B133" s="10"/>
      <c r="C133" s="7" t="str">
        <f>""&amp;CHAR(10)&amp;Basic_Fundamental_Information_Constructure(F133)&amp;CHAR(10)&amp;Basic_Fundamental_Information_Concatenate("")</f>
        <v xml:space="preserve">
市值4.0788174亿, 利润1034.80万; PE20.13; 平均PE4.08, PB2.11; ROIC4.71%; ROE.1333%; 股利率.9042%; 毛利17.33%; 净利-2.2033%; 上一年度营收增-47.38%, 利润增143.89%; 当季营收增-29.84%, 利润增1214%; 过往5年营收增0%, 利润增0%
Income profile:
</v>
      </c>
      <c r="D133">
        <v>836149</v>
      </c>
      <c r="E133" t="s">
        <v>1797</v>
      </c>
      <c r="F133">
        <v>5.53</v>
      </c>
      <c r="G133" s="5">
        <v>-2.64</v>
      </c>
      <c r="H133" t="s">
        <v>5383</v>
      </c>
      <c r="I133">
        <v>407881740</v>
      </c>
      <c r="J133">
        <v>20.13</v>
      </c>
      <c r="K133">
        <v>2.11</v>
      </c>
      <c r="L133" t="s">
        <v>2604</v>
      </c>
      <c r="M133" t="s">
        <v>5384</v>
      </c>
      <c r="N133" t="s">
        <v>554</v>
      </c>
      <c r="O133" t="s">
        <v>395</v>
      </c>
      <c r="P133">
        <v>140.24</v>
      </c>
      <c r="Q133" t="s">
        <v>395</v>
      </c>
      <c r="R133">
        <v>10347985</v>
      </c>
      <c r="S133" s="5">
        <v>12.14</v>
      </c>
      <c r="T133" t="s">
        <v>5385</v>
      </c>
      <c r="U133">
        <v>47874941</v>
      </c>
      <c r="V133">
        <v>73758000</v>
      </c>
      <c r="W133">
        <v>4.03</v>
      </c>
      <c r="X133">
        <v>0.2</v>
      </c>
      <c r="Y133">
        <v>3.78</v>
      </c>
      <c r="Z133" t="s">
        <v>91</v>
      </c>
      <c r="AA133" t="s">
        <v>227</v>
      </c>
      <c r="AB133" t="s">
        <v>5386</v>
      </c>
      <c r="AC133" t="s">
        <v>5387</v>
      </c>
      <c r="AD133" t="s">
        <v>5388</v>
      </c>
      <c r="AE133">
        <v>3673186</v>
      </c>
      <c r="AF133" t="s">
        <v>17</v>
      </c>
      <c r="AG133">
        <v>1.18</v>
      </c>
      <c r="AH133" t="s">
        <v>5389</v>
      </c>
      <c r="AI133" t="s">
        <v>166</v>
      </c>
      <c r="AJ133" t="s">
        <v>9</v>
      </c>
      <c r="AK133" t="s">
        <v>5390</v>
      </c>
      <c r="AL133" t="s">
        <v>5391</v>
      </c>
      <c r="AM133" t="s">
        <v>9</v>
      </c>
      <c r="AN133">
        <v>0</v>
      </c>
      <c r="AO133" t="s">
        <v>339</v>
      </c>
      <c r="AP133" t="s">
        <v>5392</v>
      </c>
      <c r="AQ133" t="s">
        <v>426</v>
      </c>
      <c r="AR133" t="s">
        <v>9</v>
      </c>
      <c r="AS133" t="s">
        <v>634</v>
      </c>
      <c r="AT133" t="s">
        <v>2726</v>
      </c>
      <c r="AU133" t="s">
        <v>5393</v>
      </c>
      <c r="AV133" t="s">
        <v>5394</v>
      </c>
      <c r="AW133" t="s">
        <v>5395</v>
      </c>
      <c r="AX133" t="s">
        <v>45</v>
      </c>
      <c r="AY133" t="s">
        <v>35</v>
      </c>
      <c r="AZ133" t="s">
        <v>294</v>
      </c>
      <c r="BA133" t="s">
        <v>681</v>
      </c>
      <c r="BB133" t="s">
        <v>130</v>
      </c>
      <c r="BC133" t="s">
        <v>5396</v>
      </c>
      <c r="BD133" t="s">
        <v>1798</v>
      </c>
      <c r="BE133" t="s">
        <v>1799</v>
      </c>
      <c r="BF133" t="s">
        <v>1800</v>
      </c>
      <c r="BG133" t="s">
        <v>1801</v>
      </c>
      <c r="BH133" t="s">
        <v>5397</v>
      </c>
      <c r="BI133" t="s">
        <v>151</v>
      </c>
      <c r="BJ133" t="s">
        <v>45</v>
      </c>
      <c r="BK133" t="s">
        <v>5398</v>
      </c>
      <c r="BL133" t="s">
        <v>1802</v>
      </c>
      <c r="BM133" t="s">
        <v>5396</v>
      </c>
      <c r="BN133">
        <v>3.14</v>
      </c>
      <c r="BO133" t="s">
        <v>9</v>
      </c>
      <c r="BP133">
        <v>6.28</v>
      </c>
      <c r="BQ133">
        <v>3.57</v>
      </c>
      <c r="BR133">
        <v>-13.16</v>
      </c>
      <c r="BS133">
        <v>9.99</v>
      </c>
      <c r="BT133" t="s">
        <v>985</v>
      </c>
      <c r="BU133" t="s">
        <v>1439</v>
      </c>
      <c r="BV133">
        <v>15.4</v>
      </c>
      <c r="BW133">
        <v>16.05</v>
      </c>
      <c r="BX133">
        <v>20.54</v>
      </c>
      <c r="BY133">
        <v>1.59</v>
      </c>
      <c r="BZ133">
        <v>-11.34</v>
      </c>
      <c r="CA133">
        <v>3.14</v>
      </c>
      <c r="CB133">
        <v>-2.2999999999999998</v>
      </c>
      <c r="CC133">
        <v>-0.72</v>
      </c>
      <c r="CD133" t="s">
        <v>5399</v>
      </c>
      <c r="CE133" t="s">
        <v>5400</v>
      </c>
      <c r="CF133" s="8">
        <v>-0.29844961240310075</v>
      </c>
      <c r="CG133" s="9">
        <v>12.14</v>
      </c>
      <c r="CH133" s="8">
        <v>-0.47383719682693481</v>
      </c>
      <c r="CI133" s="8">
        <v>-0.27118644118309021</v>
      </c>
      <c r="CJ133" s="8">
        <v>0.35243552923202515</v>
      </c>
      <c r="CK133" s="8">
        <v>0.22887323796749115</v>
      </c>
      <c r="CL133" s="8">
        <v>0.97222220897674561</v>
      </c>
      <c r="CM133" s="9">
        <v>1.4388669729232788</v>
      </c>
      <c r="CN133" s="9">
        <v>-2.172548770904541</v>
      </c>
      <c r="CO133" s="9">
        <v>2.2770505398511887E-2</v>
      </c>
      <c r="CP133" s="9">
        <v>0.26365107297897339</v>
      </c>
      <c r="CQ133" s="9">
        <v>3.039881706237793</v>
      </c>
      <c r="CR133">
        <v>4.0825297804136556</v>
      </c>
      <c r="CS133" t="e">
        <v>#DIV/0!</v>
      </c>
      <c r="CT133">
        <v>0.90415913200723319</v>
      </c>
      <c r="CU133" s="8">
        <v>0</v>
      </c>
      <c r="CV133" s="9">
        <v>0</v>
      </c>
      <c r="CW133">
        <v>0.06</v>
      </c>
      <c r="CX133">
        <v>94.12588368766913</v>
      </c>
      <c r="CY133">
        <v>9762264.1509433948</v>
      </c>
      <c r="CZ133">
        <v>0</v>
      </c>
      <c r="DA133">
        <v>33.220204457678427</v>
      </c>
      <c r="DB133">
        <v>27660327.653029006</v>
      </c>
      <c r="DC133">
        <v>0</v>
      </c>
      <c r="DD133">
        <v>18.058195390798755</v>
      </c>
      <c r="DE133">
        <v>50884472.125503778</v>
      </c>
      <c r="DF133">
        <v>0</v>
      </c>
      <c r="DG133">
        <v>12.064803426729185</v>
      </c>
      <c r="DH133">
        <v>76162180.808039278</v>
      </c>
      <c r="DI133">
        <v>0</v>
      </c>
      <c r="DJ133">
        <v>7.7418145937397025</v>
      </c>
      <c r="DK133">
        <v>118690744.76971321</v>
      </c>
      <c r="DL133">
        <v>0</v>
      </c>
      <c r="DM133">
        <v>10348000</v>
      </c>
      <c r="DN133">
        <v>0</v>
      </c>
      <c r="DO133">
        <v>918881740</v>
      </c>
      <c r="DP133">
        <v>126222230</v>
      </c>
      <c r="DQ133">
        <v>132</v>
      </c>
      <c r="DR133">
        <v>-0.29844961240310075</v>
      </c>
      <c r="DS133">
        <v>12.14</v>
      </c>
      <c r="DT133">
        <v>-0.44</v>
      </c>
      <c r="DU133">
        <v>0.6</v>
      </c>
      <c r="DV133">
        <v>0.15999999999999998</v>
      </c>
      <c r="DW133">
        <v>-7.1999999999999998E-3</v>
      </c>
      <c r="DX133">
        <v>0.2207752296649835</v>
      </c>
      <c r="DY133">
        <v>-4.3758165358788757E-4</v>
      </c>
      <c r="DZ133">
        <v>0</v>
      </c>
      <c r="EA133">
        <v>-4.3758165358788757E-4</v>
      </c>
      <c r="EB133">
        <v>0</v>
      </c>
      <c r="EC133">
        <v>4.0604409013259582E-2</v>
      </c>
      <c r="ED133">
        <v>0.66810786626535423</v>
      </c>
      <c r="EE133">
        <v>0</v>
      </c>
      <c r="EF133">
        <v>0</v>
      </c>
      <c r="EG133">
        <v>16.060775229664983</v>
      </c>
      <c r="EH133" t="s">
        <v>86</v>
      </c>
      <c r="EI133">
        <v>0</v>
      </c>
      <c r="EJ133">
        <v>0</v>
      </c>
      <c r="EK133">
        <v>0</v>
      </c>
      <c r="EL133">
        <v>0</v>
      </c>
      <c r="EM133">
        <v>0</v>
      </c>
      <c r="EN133">
        <v>0</v>
      </c>
      <c r="EO133">
        <v>0</v>
      </c>
      <c r="EP133">
        <v>0</v>
      </c>
    </row>
    <row r="134" spans="1:146" ht="96" x14ac:dyDescent="0.25">
      <c r="A134" s="10"/>
      <c r="B134" s="10"/>
      <c r="C134" s="7" t="str">
        <f>""&amp;CHAR(10)&amp;Basic_Fundamental_Information_Constructure(F134)&amp;CHAR(10)&amp;Basic_Fundamental_Information_Concatenate("")</f>
        <v xml:space="preserve">
市值22.74841亿, 利润1845.13万; PE11.06; 平均PE2.11, PB2.47; ROIC25.1633%; ROE23.53%; 股利率4.8265%; 毛利45.3767%; 净利19.9233%; 上一年度营收增-82.85%, 利润增-88.54%; 当季营收增-57.99%, 利润增23.72%; 过往5年营收增0%, 利润增0%
Income profile:
</v>
      </c>
      <c r="D134">
        <v>836208</v>
      </c>
      <c r="E134" t="s">
        <v>1803</v>
      </c>
      <c r="F134">
        <v>33.15</v>
      </c>
      <c r="G134" s="5">
        <v>-2.5</v>
      </c>
      <c r="H134" t="s">
        <v>5401</v>
      </c>
      <c r="I134">
        <v>2274841000</v>
      </c>
      <c r="J134">
        <v>11.06</v>
      </c>
      <c r="K134">
        <v>2.4700000000000002</v>
      </c>
      <c r="L134" t="s">
        <v>2604</v>
      </c>
      <c r="M134" t="s">
        <v>370</v>
      </c>
      <c r="N134" t="s">
        <v>5402</v>
      </c>
      <c r="O134" t="s">
        <v>253</v>
      </c>
      <c r="P134">
        <v>11.28</v>
      </c>
      <c r="Q134" t="s">
        <v>253</v>
      </c>
      <c r="R134">
        <v>18451301</v>
      </c>
      <c r="S134" s="6">
        <v>0.23719999999999999</v>
      </c>
      <c r="T134" t="s">
        <v>5403</v>
      </c>
      <c r="U134">
        <v>12215227</v>
      </c>
      <c r="V134">
        <v>68622656</v>
      </c>
      <c r="W134">
        <v>1.42</v>
      </c>
      <c r="X134">
        <v>0.1</v>
      </c>
      <c r="Y134">
        <v>13.16</v>
      </c>
      <c r="Z134" t="s">
        <v>21</v>
      </c>
      <c r="AA134" t="s">
        <v>5404</v>
      </c>
      <c r="AB134" t="s">
        <v>5405</v>
      </c>
      <c r="AC134" t="s">
        <v>5406</v>
      </c>
      <c r="AD134" t="s">
        <v>5407</v>
      </c>
      <c r="AE134">
        <v>160287</v>
      </c>
      <c r="AF134" t="s">
        <v>5408</v>
      </c>
      <c r="AG134">
        <v>1.25</v>
      </c>
      <c r="AH134" t="s">
        <v>5409</v>
      </c>
      <c r="AI134" t="s">
        <v>543</v>
      </c>
      <c r="AJ134" t="s">
        <v>9</v>
      </c>
      <c r="AK134" t="s">
        <v>5410</v>
      </c>
      <c r="AL134" t="s">
        <v>5411</v>
      </c>
      <c r="AM134" t="s">
        <v>9</v>
      </c>
      <c r="AN134" t="s">
        <v>5412</v>
      </c>
      <c r="AO134" t="s">
        <v>5413</v>
      </c>
      <c r="AP134" t="s">
        <v>9</v>
      </c>
      <c r="AQ134" t="s">
        <v>5414</v>
      </c>
      <c r="AR134" t="s">
        <v>9</v>
      </c>
      <c r="AS134" t="s">
        <v>305</v>
      </c>
      <c r="AT134" t="s">
        <v>9</v>
      </c>
      <c r="AU134" t="s">
        <v>5415</v>
      </c>
      <c r="AV134" t="s">
        <v>5416</v>
      </c>
      <c r="AW134" t="s">
        <v>5417</v>
      </c>
      <c r="AX134" t="s">
        <v>671</v>
      </c>
      <c r="AY134" t="s">
        <v>588</v>
      </c>
      <c r="AZ134" t="s">
        <v>546</v>
      </c>
      <c r="BA134" t="s">
        <v>142</v>
      </c>
      <c r="BB134" t="s">
        <v>97</v>
      </c>
      <c r="BC134" t="s">
        <v>128</v>
      </c>
      <c r="BD134" t="s">
        <v>386</v>
      </c>
      <c r="BE134" t="s">
        <v>67</v>
      </c>
      <c r="BF134" t="s">
        <v>518</v>
      </c>
      <c r="BG134" t="s">
        <v>1804</v>
      </c>
      <c r="BH134" t="s">
        <v>587</v>
      </c>
      <c r="BI134" t="s">
        <v>582</v>
      </c>
      <c r="BJ134" t="s">
        <v>671</v>
      </c>
      <c r="BK134" t="s">
        <v>416</v>
      </c>
      <c r="BL134" t="s">
        <v>1805</v>
      </c>
      <c r="BM134" t="s">
        <v>128</v>
      </c>
      <c r="BN134">
        <v>15.91</v>
      </c>
      <c r="BO134">
        <v>28.81</v>
      </c>
      <c r="BP134">
        <v>30.77</v>
      </c>
      <c r="BQ134">
        <v>16.18</v>
      </c>
      <c r="BR134">
        <v>30.88</v>
      </c>
      <c r="BS134" t="s">
        <v>9</v>
      </c>
      <c r="BT134" t="s">
        <v>5418</v>
      </c>
      <c r="BU134" t="s">
        <v>1439</v>
      </c>
      <c r="BV134">
        <v>45.52</v>
      </c>
      <c r="BW134">
        <v>45.12</v>
      </c>
      <c r="BX134">
        <v>45.49</v>
      </c>
      <c r="BY134">
        <v>21.36</v>
      </c>
      <c r="BZ134">
        <v>19.36</v>
      </c>
      <c r="CA134">
        <v>19.05</v>
      </c>
      <c r="CB134">
        <v>-5.34</v>
      </c>
      <c r="CC134">
        <v>-12.21</v>
      </c>
      <c r="CD134" t="s">
        <v>5419</v>
      </c>
      <c r="CE134" t="s">
        <v>5420</v>
      </c>
      <c r="CF134" s="8">
        <v>-0.57988165680473369</v>
      </c>
      <c r="CG134" s="9">
        <v>0.23719999999999999</v>
      </c>
      <c r="CH134" s="8">
        <v>-0.82850241661071777</v>
      </c>
      <c r="CI134" s="8">
        <v>3.1133249402046204E-2</v>
      </c>
      <c r="CJ134" s="8">
        <v>0.1949404776096344</v>
      </c>
      <c r="CK134" s="8">
        <v>0.158620685338974</v>
      </c>
      <c r="CL134" s="8">
        <v>0.20082814991474152</v>
      </c>
      <c r="CM134" s="9">
        <v>-0.88539570569992065</v>
      </c>
      <c r="CN134" s="9">
        <v>3.8709677755832672E-2</v>
      </c>
      <c r="CO134" s="9">
        <v>0.22047244012355804</v>
      </c>
      <c r="CP134" s="9">
        <v>0.16513761878013611</v>
      </c>
      <c r="CQ134" s="9">
        <v>0.91518372297286987</v>
      </c>
      <c r="CR134">
        <v>2.1133620687052326</v>
      </c>
      <c r="CS134" t="e">
        <v>#DIV/0!</v>
      </c>
      <c r="CT134">
        <v>4.8265460030165919</v>
      </c>
      <c r="CU134" s="8">
        <v>0</v>
      </c>
      <c r="CV134" s="9">
        <v>0</v>
      </c>
      <c r="CW134">
        <v>0.06</v>
      </c>
      <c r="CX134">
        <v>106.27064000910507</v>
      </c>
      <c r="CY134">
        <v>17406886.792452827</v>
      </c>
      <c r="CZ134">
        <v>0</v>
      </c>
      <c r="DA134">
        <v>37.506499282017359</v>
      </c>
      <c r="DB134">
        <v>49320545.383101478</v>
      </c>
      <c r="DC134">
        <v>0</v>
      </c>
      <c r="DD134">
        <v>20.388185549019802</v>
      </c>
      <c r="DE134">
        <v>90731026.336423263</v>
      </c>
      <c r="DF134">
        <v>0</v>
      </c>
      <c r="DG134">
        <v>13.62148573284013</v>
      </c>
      <c r="DH134">
        <v>135803174.21176797</v>
      </c>
      <c r="DI134">
        <v>0</v>
      </c>
      <c r="DJ134">
        <v>8.7407157253210315</v>
      </c>
      <c r="DK134">
        <v>211634957.38011301</v>
      </c>
      <c r="DL134">
        <v>0</v>
      </c>
      <c r="DM134">
        <v>18451300</v>
      </c>
      <c r="DN134">
        <v>0</v>
      </c>
      <c r="DO134">
        <v>1849841000</v>
      </c>
      <c r="DP134">
        <v>745825490</v>
      </c>
      <c r="DQ134">
        <v>133</v>
      </c>
      <c r="DR134">
        <v>-0.57988165680473369</v>
      </c>
      <c r="DS134">
        <v>0.23719999999999999</v>
      </c>
      <c r="DT134">
        <v>-0.44</v>
      </c>
      <c r="DU134">
        <v>-0.44</v>
      </c>
      <c r="DV134">
        <v>-0.88</v>
      </c>
      <c r="DW134">
        <v>-8.437346437346438</v>
      </c>
      <c r="DX134">
        <v>0.393273092369477</v>
      </c>
      <c r="DY134">
        <v>-8.0845272983827208</v>
      </c>
      <c r="DZ134">
        <v>0</v>
      </c>
      <c r="EA134">
        <v>-8.0845272983827208</v>
      </c>
      <c r="EB134">
        <v>8</v>
      </c>
      <c r="EC134">
        <v>2.8051959982429127E-3</v>
      </c>
      <c r="ED134">
        <v>1.4514156957142551E-2</v>
      </c>
      <c r="EE134">
        <v>0</v>
      </c>
      <c r="EF134">
        <v>0</v>
      </c>
      <c r="EG134">
        <v>20.193273092369477</v>
      </c>
      <c r="EH134" t="s">
        <v>86</v>
      </c>
      <c r="EI134">
        <v>0</v>
      </c>
      <c r="EJ134">
        <v>0</v>
      </c>
      <c r="EK134">
        <v>0</v>
      </c>
      <c r="EL134">
        <v>0</v>
      </c>
      <c r="EM134">
        <v>0</v>
      </c>
      <c r="EN134">
        <v>0</v>
      </c>
      <c r="EO134">
        <v>0</v>
      </c>
      <c r="EP134">
        <v>0</v>
      </c>
    </row>
    <row r="135" spans="1:146" ht="96" x14ac:dyDescent="0.25">
      <c r="A135" s="10"/>
      <c r="B135" s="10"/>
      <c r="C135" s="7" t="str">
        <f>""&amp;CHAR(10)&amp;Basic_Fundamental_Information_Constructure(F135)&amp;CHAR(10)&amp;Basic_Fundamental_Information_Concatenate("")</f>
        <v xml:space="preserve">
市值10.7337亿, 利润1456.97万; PE18.37; 平均PE1.67, PB2.83; ROIC15.56%; ROE16.46%; 股利率.9009%; 毛利31.4233%; 净利18.0433%; 上一年度营收增-66%, 利润增-61.49%; 当季营收增-28.93%, 利润增90.24%; 过往5年营收增0%, 利润增0%
Income profile:
</v>
      </c>
      <c r="D135">
        <v>836221</v>
      </c>
      <c r="E135" t="s">
        <v>1806</v>
      </c>
      <c r="F135">
        <v>11.1</v>
      </c>
      <c r="G135" s="5">
        <v>-1.6</v>
      </c>
      <c r="H135" t="s">
        <v>5421</v>
      </c>
      <c r="I135">
        <v>1073370000</v>
      </c>
      <c r="J135">
        <v>18.37</v>
      </c>
      <c r="K135">
        <v>2.83</v>
      </c>
      <c r="L135" t="s">
        <v>2604</v>
      </c>
      <c r="M135" t="s">
        <v>25</v>
      </c>
      <c r="N135" t="s">
        <v>299</v>
      </c>
      <c r="O135" t="s">
        <v>5422</v>
      </c>
      <c r="P135">
        <v>56.75</v>
      </c>
      <c r="Q135" t="s">
        <v>5422</v>
      </c>
      <c r="R135">
        <v>14569686</v>
      </c>
      <c r="S135" s="6">
        <v>0.90239999999999998</v>
      </c>
      <c r="T135" t="s">
        <v>5423</v>
      </c>
      <c r="U135">
        <v>28781800</v>
      </c>
      <c r="V135">
        <v>96700000</v>
      </c>
      <c r="W135">
        <v>1.27</v>
      </c>
      <c r="X135">
        <v>0.16</v>
      </c>
      <c r="Y135">
        <v>19.18</v>
      </c>
      <c r="Z135" t="s">
        <v>5424</v>
      </c>
      <c r="AA135" t="s">
        <v>5425</v>
      </c>
      <c r="AB135" t="s">
        <v>5426</v>
      </c>
      <c r="AC135" t="s">
        <v>5427</v>
      </c>
      <c r="AD135" t="s">
        <v>5428</v>
      </c>
      <c r="AE135">
        <v>182614</v>
      </c>
      <c r="AF135" t="s">
        <v>5429</v>
      </c>
      <c r="AG135">
        <v>8972.4599999999991</v>
      </c>
      <c r="AH135" t="s">
        <v>5430</v>
      </c>
      <c r="AI135" t="s">
        <v>5431</v>
      </c>
      <c r="AJ135" t="s">
        <v>9</v>
      </c>
      <c r="AK135" t="s">
        <v>9</v>
      </c>
      <c r="AL135" t="s">
        <v>5432</v>
      </c>
      <c r="AM135" t="s">
        <v>9</v>
      </c>
      <c r="AN135" t="s">
        <v>5433</v>
      </c>
      <c r="AO135" t="s">
        <v>5434</v>
      </c>
      <c r="AP135" t="s">
        <v>9</v>
      </c>
      <c r="AQ135" t="s">
        <v>5435</v>
      </c>
      <c r="AR135" t="s">
        <v>9</v>
      </c>
      <c r="AS135" t="s">
        <v>5436</v>
      </c>
      <c r="AT135" t="s">
        <v>9</v>
      </c>
      <c r="AU135" t="s">
        <v>5437</v>
      </c>
      <c r="AV135" t="s">
        <v>5438</v>
      </c>
      <c r="AW135" t="s">
        <v>5439</v>
      </c>
      <c r="AX135" t="s">
        <v>232</v>
      </c>
      <c r="AY135" t="s">
        <v>552</v>
      </c>
      <c r="AZ135" t="s">
        <v>1809</v>
      </c>
      <c r="BA135" t="s">
        <v>1810</v>
      </c>
      <c r="BB135" t="s">
        <v>1811</v>
      </c>
      <c r="BC135" t="s">
        <v>1807</v>
      </c>
      <c r="BD135" t="s">
        <v>1812</v>
      </c>
      <c r="BE135" t="s">
        <v>1813</v>
      </c>
      <c r="BF135" t="s">
        <v>1814</v>
      </c>
      <c r="BG135" t="s">
        <v>1815</v>
      </c>
      <c r="BH135" t="s">
        <v>170</v>
      </c>
      <c r="BI135" t="s">
        <v>537</v>
      </c>
      <c r="BJ135" t="s">
        <v>232</v>
      </c>
      <c r="BK135" t="s">
        <v>5440</v>
      </c>
      <c r="BL135" t="s">
        <v>1816</v>
      </c>
      <c r="BM135" t="s">
        <v>1807</v>
      </c>
      <c r="BN135">
        <v>10.23</v>
      </c>
      <c r="BO135">
        <v>17.91</v>
      </c>
      <c r="BP135">
        <v>18.54</v>
      </c>
      <c r="BQ135">
        <v>11.96</v>
      </c>
      <c r="BR135">
        <v>20.96</v>
      </c>
      <c r="BS135" t="s">
        <v>9</v>
      </c>
      <c r="BT135" t="s">
        <v>886</v>
      </c>
      <c r="BU135" t="s">
        <v>822</v>
      </c>
      <c r="BV135">
        <v>31.69</v>
      </c>
      <c r="BW135">
        <v>29.66</v>
      </c>
      <c r="BX135">
        <v>32.92</v>
      </c>
      <c r="BY135">
        <v>19.12</v>
      </c>
      <c r="BZ135">
        <v>17.02</v>
      </c>
      <c r="CA135">
        <v>17.989999999999998</v>
      </c>
      <c r="CB135">
        <v>-2.29</v>
      </c>
      <c r="CC135">
        <v>-18.32</v>
      </c>
      <c r="CD135" t="s">
        <v>5441</v>
      </c>
      <c r="CE135" t="s">
        <v>5442</v>
      </c>
      <c r="CF135" s="8">
        <v>-0.28934414414414422</v>
      </c>
      <c r="CG135" s="9">
        <v>0.90239999999999998</v>
      </c>
      <c r="CH135" s="8">
        <v>-0.6599879264831543</v>
      </c>
      <c r="CI135" s="8">
        <v>0.52631580829620361</v>
      </c>
      <c r="CJ135" s="8">
        <v>0.67630362510681152</v>
      </c>
      <c r="CK135" s="8">
        <v>0.24614438414573669</v>
      </c>
      <c r="CL135" s="8">
        <v>0.22698506712913513</v>
      </c>
      <c r="CM135" s="9">
        <v>-0.6148872971534729</v>
      </c>
      <c r="CN135" s="9">
        <v>0.34158045053482056</v>
      </c>
      <c r="CO135" s="9">
        <v>0.45184674859046936</v>
      </c>
      <c r="CP135" s="9">
        <v>0.66501510143280029</v>
      </c>
      <c r="CQ135" s="9">
        <v>0.27299511432647705</v>
      </c>
      <c r="CR135">
        <v>1.6690692408640435</v>
      </c>
      <c r="CS135" t="e">
        <v>#DIV/0!</v>
      </c>
      <c r="CT135">
        <v>0.90090090090090091</v>
      </c>
      <c r="CU135" s="8">
        <v>0</v>
      </c>
      <c r="CV135" s="9">
        <v>0</v>
      </c>
      <c r="CW135">
        <v>0.06</v>
      </c>
      <c r="CX135">
        <v>57.138595853037479</v>
      </c>
      <c r="CY135">
        <v>13744999.999999998</v>
      </c>
      <c r="CZ135">
        <v>0</v>
      </c>
      <c r="DA135">
        <v>20.166140941221546</v>
      </c>
      <c r="DB135">
        <v>38944982.200071193</v>
      </c>
      <c r="DC135">
        <v>0</v>
      </c>
      <c r="DD135">
        <v>10.9621273962627</v>
      </c>
      <c r="DE135">
        <v>71643940.232600734</v>
      </c>
      <c r="DF135">
        <v>0</v>
      </c>
      <c r="DG135">
        <v>7.3238720321998985</v>
      </c>
      <c r="DH135">
        <v>107234260.31299669</v>
      </c>
      <c r="DI135">
        <v>0</v>
      </c>
      <c r="DJ135">
        <v>4.6996256280438073</v>
      </c>
      <c r="DK135">
        <v>167113311.17813012</v>
      </c>
      <c r="DL135">
        <v>0</v>
      </c>
      <c r="DM135">
        <v>14569700</v>
      </c>
      <c r="DN135">
        <v>0</v>
      </c>
      <c r="DO135">
        <v>785370000</v>
      </c>
      <c r="DP135">
        <v>199143900</v>
      </c>
      <c r="DQ135">
        <v>134</v>
      </c>
      <c r="DR135">
        <v>-0.28934414414414422</v>
      </c>
      <c r="DS135">
        <v>0.90239999999999998</v>
      </c>
      <c r="DT135">
        <v>-0.44</v>
      </c>
      <c r="DU135">
        <v>-0.22</v>
      </c>
      <c r="DV135">
        <v>-0.66</v>
      </c>
      <c r="DW135">
        <v>-3.0262380952380954</v>
      </c>
      <c r="DX135">
        <v>0.33925399236631404</v>
      </c>
      <c r="DY135">
        <v>-3.0031289976092306</v>
      </c>
      <c r="DZ135">
        <v>0</v>
      </c>
      <c r="EA135">
        <v>-3.0031289976092306</v>
      </c>
      <c r="EB135">
        <v>3</v>
      </c>
      <c r="EC135">
        <v>2.8982419855222336E-2</v>
      </c>
      <c r="ED135">
        <v>0.24303102378490177</v>
      </c>
      <c r="EE135">
        <v>0</v>
      </c>
      <c r="EF135">
        <v>0</v>
      </c>
      <c r="EG135">
        <v>22.119253992366314</v>
      </c>
      <c r="EH135" t="s">
        <v>86</v>
      </c>
      <c r="EI135">
        <v>0</v>
      </c>
      <c r="EJ135">
        <v>0</v>
      </c>
      <c r="EK135">
        <v>0</v>
      </c>
      <c r="EL135">
        <v>0</v>
      </c>
      <c r="EM135">
        <v>0</v>
      </c>
      <c r="EN135">
        <v>0</v>
      </c>
      <c r="EO135">
        <v>0</v>
      </c>
      <c r="EP135">
        <v>0</v>
      </c>
    </row>
    <row r="136" spans="1:146" ht="96" x14ac:dyDescent="0.25">
      <c r="A136" s="10"/>
      <c r="B136" s="10"/>
      <c r="C136" s="7" t="str">
        <f>""&amp;CHAR(10)&amp;Basic_Fundamental_Information_Constructure(F136)&amp;CHAR(10)&amp;Basic_Fundamental_Information_Concatenate("")</f>
        <v xml:space="preserve">
市值21.588798亿, 利润4178.52万; PE; 平均PE168.78, PB2.87; ROIC15.43%; ROE6.0233%; 股利率0%; 毛利16.2367%; 净利.2767%; 上一年度营收增-74.95%, 利润增-62.69%; 当季营收增-32.29%, 利润增229.7%; 过往5年营收增0%, 利润增0%
Income profile:
</v>
      </c>
      <c r="D136">
        <v>836239</v>
      </c>
      <c r="E136" t="s">
        <v>1817</v>
      </c>
      <c r="F136">
        <v>16.600000000000001</v>
      </c>
      <c r="G136" s="5">
        <v>1.03</v>
      </c>
      <c r="H136" t="s">
        <v>5443</v>
      </c>
      <c r="I136">
        <v>2158879800</v>
      </c>
      <c r="K136">
        <v>2.87</v>
      </c>
      <c r="L136" t="s">
        <v>2604</v>
      </c>
      <c r="M136" t="s">
        <v>5444</v>
      </c>
      <c r="N136" t="s">
        <v>5445</v>
      </c>
      <c r="O136" t="s">
        <v>588</v>
      </c>
      <c r="P136">
        <v>57.18</v>
      </c>
      <c r="Q136" t="s">
        <v>588</v>
      </c>
      <c r="R136">
        <v>41785172</v>
      </c>
      <c r="S136" s="5">
        <v>2.2970000000000002</v>
      </c>
      <c r="T136" t="s">
        <v>5446</v>
      </c>
      <c r="U136">
        <v>49714584</v>
      </c>
      <c r="V136">
        <v>130053003</v>
      </c>
      <c r="W136">
        <v>5.0199999999999996</v>
      </c>
      <c r="X136">
        <v>0.18</v>
      </c>
      <c r="Y136">
        <v>5.78</v>
      </c>
      <c r="Z136" t="s">
        <v>5447</v>
      </c>
      <c r="AA136" t="s">
        <v>5448</v>
      </c>
      <c r="AB136" t="s">
        <v>5449</v>
      </c>
      <c r="AC136" t="s">
        <v>5450</v>
      </c>
      <c r="AD136" t="s">
        <v>480</v>
      </c>
      <c r="AE136">
        <v>13023647</v>
      </c>
      <c r="AF136" t="s">
        <v>5451</v>
      </c>
      <c r="AG136" t="s">
        <v>5452</v>
      </c>
      <c r="AH136" t="s">
        <v>5453</v>
      </c>
      <c r="AI136" t="s">
        <v>331</v>
      </c>
      <c r="AJ136" t="s">
        <v>9</v>
      </c>
      <c r="AK136" t="s">
        <v>466</v>
      </c>
      <c r="AL136" t="s">
        <v>5454</v>
      </c>
      <c r="AM136" t="s">
        <v>9</v>
      </c>
      <c r="AN136" t="s">
        <v>596</v>
      </c>
      <c r="AO136" t="s">
        <v>5455</v>
      </c>
      <c r="AP136" t="s">
        <v>124</v>
      </c>
      <c r="AQ136" t="s">
        <v>4900</v>
      </c>
      <c r="AR136" t="s">
        <v>9</v>
      </c>
      <c r="AS136" t="s">
        <v>5456</v>
      </c>
      <c r="AT136" t="s">
        <v>118</v>
      </c>
      <c r="AU136" t="s">
        <v>5457</v>
      </c>
      <c r="AV136" t="s">
        <v>5458</v>
      </c>
      <c r="AW136" t="s">
        <v>5459</v>
      </c>
      <c r="AX136" t="s">
        <v>1612</v>
      </c>
      <c r="AY136" t="s">
        <v>1818</v>
      </c>
      <c r="AZ136" t="s">
        <v>672</v>
      </c>
      <c r="BA136" t="s">
        <v>1792</v>
      </c>
      <c r="BB136" t="s">
        <v>477</v>
      </c>
      <c r="BC136" t="s">
        <v>487</v>
      </c>
      <c r="BD136" t="s">
        <v>262</v>
      </c>
      <c r="BE136" t="s">
        <v>113</v>
      </c>
      <c r="BF136" t="s">
        <v>25</v>
      </c>
      <c r="BG136" t="s">
        <v>1819</v>
      </c>
      <c r="BH136" t="s">
        <v>5460</v>
      </c>
      <c r="BI136" t="s">
        <v>638</v>
      </c>
      <c r="BJ136" t="s">
        <v>1612</v>
      </c>
      <c r="BK136" t="s">
        <v>5461</v>
      </c>
      <c r="BL136" t="s">
        <v>1821</v>
      </c>
      <c r="BM136" t="s">
        <v>487</v>
      </c>
      <c r="BN136" t="s">
        <v>9</v>
      </c>
      <c r="BO136">
        <v>7.31</v>
      </c>
      <c r="BP136">
        <v>23.55</v>
      </c>
      <c r="BQ136">
        <v>-22.3</v>
      </c>
      <c r="BR136">
        <v>11.34</v>
      </c>
      <c r="BS136">
        <v>29.03</v>
      </c>
      <c r="BT136" t="s">
        <v>773</v>
      </c>
      <c r="BU136" t="s">
        <v>915</v>
      </c>
      <c r="BV136">
        <v>10.29</v>
      </c>
      <c r="BW136">
        <v>15.51</v>
      </c>
      <c r="BX136">
        <v>22.91</v>
      </c>
      <c r="BY136">
        <v>-14.68</v>
      </c>
      <c r="BZ136">
        <v>3.67</v>
      </c>
      <c r="CA136">
        <v>11.84</v>
      </c>
      <c r="CB136">
        <v>-3.43</v>
      </c>
      <c r="CC136">
        <v>4.08</v>
      </c>
      <c r="CD136" t="s">
        <v>5462</v>
      </c>
      <c r="CE136" t="s">
        <v>5463</v>
      </c>
      <c r="CF136" s="8">
        <v>-0.32293423271500854</v>
      </c>
      <c r="CG136" s="9">
        <v>2.2970000000000002</v>
      </c>
      <c r="CH136" s="8">
        <v>-0.74953210353851318</v>
      </c>
      <c r="CI136" s="8">
        <v>4.3959643691778183E-2</v>
      </c>
      <c r="CJ136" s="8">
        <v>0.57325822114944458</v>
      </c>
      <c r="CK136" s="8">
        <v>0.37755829095840454</v>
      </c>
      <c r="CL136" s="8">
        <v>0.32306250929832458</v>
      </c>
      <c r="CM136" s="9">
        <v>-0.62691783905029297</v>
      </c>
      <c r="CN136" s="9">
        <v>-0.5573122501373291</v>
      </c>
      <c r="CO136" s="9">
        <v>0.56172841787338257</v>
      </c>
      <c r="CP136" s="9">
        <v>0.54285717010498047</v>
      </c>
      <c r="CQ136" s="9">
        <v>0.69701355695724487</v>
      </c>
      <c r="CR136">
        <v>168.77829969262763</v>
      </c>
      <c r="CS136" t="e">
        <v>#DIV/0!</v>
      </c>
      <c r="CT136">
        <v>0</v>
      </c>
      <c r="CU136" s="8">
        <v>0</v>
      </c>
      <c r="CV136" s="9">
        <v>0</v>
      </c>
      <c r="CW136">
        <v>0.06</v>
      </c>
      <c r="CX136">
        <v>125.94824454591578</v>
      </c>
      <c r="CY136">
        <v>39420000</v>
      </c>
      <c r="CZ136">
        <v>0</v>
      </c>
      <c r="DA136">
        <v>44.451390743746373</v>
      </c>
      <c r="DB136">
        <v>111692338.91064437</v>
      </c>
      <c r="DC136">
        <v>0</v>
      </c>
      <c r="DD136">
        <v>24.163364210053153</v>
      </c>
      <c r="DE136">
        <v>205471380.42700049</v>
      </c>
      <c r="DF136">
        <v>0</v>
      </c>
      <c r="DG136">
        <v>16.14370832820299</v>
      </c>
      <c r="DH136">
        <v>307542709.46077341</v>
      </c>
      <c r="DI136">
        <v>0</v>
      </c>
      <c r="DJ136">
        <v>10.359190474290394</v>
      </c>
      <c r="DK136">
        <v>479272952.10199279</v>
      </c>
      <c r="DL136">
        <v>0</v>
      </c>
      <c r="DM136">
        <v>41785200.000000007</v>
      </c>
      <c r="DN136">
        <v>0</v>
      </c>
      <c r="DO136">
        <v>4964879800</v>
      </c>
      <c r="DP136">
        <v>-718189400</v>
      </c>
      <c r="DQ136">
        <v>135</v>
      </c>
      <c r="DR136">
        <v>-0.32293423271500854</v>
      </c>
      <c r="DS136">
        <v>2.2970000000000002</v>
      </c>
      <c r="DT136">
        <v>-0.44</v>
      </c>
      <c r="DU136">
        <v>0.6</v>
      </c>
      <c r="DV136">
        <v>0.15999999999999998</v>
      </c>
      <c r="DW136">
        <v>-6.4567243675099864</v>
      </c>
      <c r="DX136">
        <v>0.30884880137401766</v>
      </c>
      <c r="DY136">
        <v>-6.0542811436368682</v>
      </c>
      <c r="DZ136">
        <v>0</v>
      </c>
      <c r="EA136">
        <v>-6.0542811436368682</v>
      </c>
      <c r="EB136">
        <v>6</v>
      </c>
      <c r="EC136">
        <v>3.3893104336852567E-2</v>
      </c>
      <c r="ED136">
        <v>0.28517834378649448</v>
      </c>
      <c r="EE136">
        <v>0</v>
      </c>
      <c r="EF136">
        <v>0</v>
      </c>
      <c r="EG136">
        <v>19.118848801374018</v>
      </c>
      <c r="EH136" t="s">
        <v>86</v>
      </c>
      <c r="EI136">
        <v>0</v>
      </c>
      <c r="EJ136">
        <v>0</v>
      </c>
      <c r="EK136">
        <v>0</v>
      </c>
      <c r="EL136">
        <v>0</v>
      </c>
      <c r="EM136">
        <v>0</v>
      </c>
      <c r="EN136">
        <v>0</v>
      </c>
      <c r="EO136">
        <v>0</v>
      </c>
      <c r="EP136">
        <v>0</v>
      </c>
    </row>
    <row r="137" spans="1:146" ht="108" x14ac:dyDescent="0.25">
      <c r="A137" s="10"/>
      <c r="B137" s="10"/>
      <c r="C137" s="7" t="str">
        <f>""&amp;CHAR(10)&amp;Basic_Fundamental_Information_Constructure(F137)&amp;CHAR(10)&amp;Basic_Fundamental_Information_Concatenate("")</f>
        <v xml:space="preserve">
市值16.857226亿, 利润1062.73万; PE32.43; 平均PE6.8, PB3.81; ROIC14.9567%; ROE18.76%; 股利率1.3444%; 毛利29.6033%; 净利12.61%; 上一年度营收增-73.18%, 利润增-75.07%; 当季营收增-52.58%, 利润增.94%; 过往5年营收增0%, 利润增0%
Income profile:
</v>
      </c>
      <c r="D137">
        <v>836247</v>
      </c>
      <c r="E137" t="s">
        <v>1822</v>
      </c>
      <c r="F137">
        <v>13.91</v>
      </c>
      <c r="G137" s="5">
        <v>-2.1800000000000002</v>
      </c>
      <c r="H137" t="s">
        <v>5464</v>
      </c>
      <c r="I137">
        <v>1685722600</v>
      </c>
      <c r="J137">
        <v>32.43</v>
      </c>
      <c r="K137">
        <v>3.81</v>
      </c>
      <c r="L137" t="s">
        <v>2604</v>
      </c>
      <c r="M137" t="s">
        <v>5465</v>
      </c>
      <c r="N137" t="s">
        <v>5466</v>
      </c>
      <c r="O137" t="s">
        <v>5467</v>
      </c>
      <c r="P137">
        <v>0.49</v>
      </c>
      <c r="Q137" t="s">
        <v>5467</v>
      </c>
      <c r="R137">
        <v>10627294</v>
      </c>
      <c r="S137" s="5">
        <v>9.41E-3</v>
      </c>
      <c r="T137" t="s">
        <v>5468</v>
      </c>
      <c r="U137">
        <v>23305600</v>
      </c>
      <c r="V137">
        <v>93221400</v>
      </c>
      <c r="W137">
        <v>1.36</v>
      </c>
      <c r="X137">
        <v>0.16</v>
      </c>
      <c r="Y137">
        <v>11.76</v>
      </c>
      <c r="Z137" t="s">
        <v>5469</v>
      </c>
      <c r="AA137" t="s">
        <v>5470</v>
      </c>
      <c r="AB137" t="s">
        <v>5471</v>
      </c>
      <c r="AC137" t="s">
        <v>5472</v>
      </c>
      <c r="AD137" t="s">
        <v>5473</v>
      </c>
      <c r="AE137">
        <v>237365</v>
      </c>
      <c r="AF137" t="s">
        <v>5474</v>
      </c>
      <c r="AG137" t="s">
        <v>5475</v>
      </c>
      <c r="AH137" t="s">
        <v>5476</v>
      </c>
      <c r="AI137" t="s">
        <v>37</v>
      </c>
      <c r="AJ137" t="s">
        <v>9</v>
      </c>
      <c r="AK137" t="s">
        <v>5477</v>
      </c>
      <c r="AL137" t="s">
        <v>5478</v>
      </c>
      <c r="AM137" t="s">
        <v>9</v>
      </c>
      <c r="AN137" t="s">
        <v>5479</v>
      </c>
      <c r="AO137" t="s">
        <v>999</v>
      </c>
      <c r="AP137" t="s">
        <v>9</v>
      </c>
      <c r="AQ137" t="s">
        <v>5480</v>
      </c>
      <c r="AR137" t="s">
        <v>9</v>
      </c>
      <c r="AS137" t="s">
        <v>72</v>
      </c>
      <c r="AT137" t="s">
        <v>5481</v>
      </c>
      <c r="AU137" t="s">
        <v>5482</v>
      </c>
      <c r="AV137" t="s">
        <v>5483</v>
      </c>
      <c r="AW137" t="s">
        <v>5484</v>
      </c>
      <c r="AX137" t="s">
        <v>409</v>
      </c>
      <c r="AY137" t="s">
        <v>137</v>
      </c>
      <c r="AZ137" t="s">
        <v>371</v>
      </c>
      <c r="BA137" t="s">
        <v>543</v>
      </c>
      <c r="BB137" t="s">
        <v>32</v>
      </c>
      <c r="BC137" t="s">
        <v>1823</v>
      </c>
      <c r="BD137" t="s">
        <v>1824</v>
      </c>
      <c r="BE137" t="s">
        <v>1825</v>
      </c>
      <c r="BF137" t="s">
        <v>1826</v>
      </c>
      <c r="BG137" t="s">
        <v>1827</v>
      </c>
      <c r="BH137" t="s">
        <v>568</v>
      </c>
      <c r="BI137" t="s">
        <v>176</v>
      </c>
      <c r="BJ137" t="s">
        <v>409</v>
      </c>
      <c r="BK137" t="s">
        <v>5485</v>
      </c>
      <c r="BL137" t="s">
        <v>1828</v>
      </c>
      <c r="BM137" t="s">
        <v>1823</v>
      </c>
      <c r="BN137">
        <v>9.0500000000000007</v>
      </c>
      <c r="BO137">
        <v>13.35</v>
      </c>
      <c r="BP137">
        <v>22.47</v>
      </c>
      <c r="BQ137">
        <v>10.119999999999999</v>
      </c>
      <c r="BR137">
        <v>19.809999999999999</v>
      </c>
      <c r="BS137">
        <v>26.35</v>
      </c>
      <c r="BT137" t="s">
        <v>5486</v>
      </c>
      <c r="BU137" t="s">
        <v>822</v>
      </c>
      <c r="BV137">
        <v>31.11</v>
      </c>
      <c r="BW137">
        <v>28.02</v>
      </c>
      <c r="BX137">
        <v>29.68</v>
      </c>
      <c r="BY137">
        <v>12.94</v>
      </c>
      <c r="BZ137">
        <v>12.71</v>
      </c>
      <c r="CA137">
        <v>12.18</v>
      </c>
      <c r="CB137">
        <v>-2.66</v>
      </c>
      <c r="CC137">
        <v>0.22</v>
      </c>
      <c r="CD137" t="s">
        <v>5487</v>
      </c>
      <c r="CE137" t="s">
        <v>90</v>
      </c>
      <c r="CF137" s="8">
        <v>-0.52577526315789469</v>
      </c>
      <c r="CG137" s="9">
        <v>9.41E-3</v>
      </c>
      <c r="CH137" s="8">
        <v>-0.73183721303939819</v>
      </c>
      <c r="CI137" s="8">
        <v>-7.4380166828632355E-2</v>
      </c>
      <c r="CJ137" s="8">
        <v>0.19016394019126892</v>
      </c>
      <c r="CK137" s="8">
        <v>0.17760618031024933</v>
      </c>
      <c r="CL137" s="8">
        <v>6.1475411057472229E-2</v>
      </c>
      <c r="CM137" s="9">
        <v>-0.75073355436325073</v>
      </c>
      <c r="CN137" s="9">
        <v>-3.5523451864719391E-2</v>
      </c>
      <c r="CO137" s="9">
        <v>-7.4272476136684418E-2</v>
      </c>
      <c r="CP137" s="9">
        <v>0.90933007001876831</v>
      </c>
      <c r="CQ137" s="9">
        <v>1.3520549535751343</v>
      </c>
      <c r="CR137">
        <v>6.7985318508445962</v>
      </c>
      <c r="CS137" t="e">
        <v>#DIV/0!</v>
      </c>
      <c r="CT137">
        <v>1.3443565780014379</v>
      </c>
      <c r="CU137" s="8">
        <v>0</v>
      </c>
      <c r="CV137" s="9">
        <v>0</v>
      </c>
      <c r="CW137">
        <v>0.06</v>
      </c>
      <c r="CX137">
        <v>132.44386457519784</v>
      </c>
      <c r="CY137">
        <v>10025754.716981132</v>
      </c>
      <c r="CZ137">
        <v>0</v>
      </c>
      <c r="DA137">
        <v>46.743914510834372</v>
      </c>
      <c r="DB137">
        <v>28406899.890513644</v>
      </c>
      <c r="DC137">
        <v>0</v>
      </c>
      <c r="DD137">
        <v>25.409558891872951</v>
      </c>
      <c r="DE137">
        <v>52257880.809757084</v>
      </c>
      <c r="DF137">
        <v>0</v>
      </c>
      <c r="DG137">
        <v>16.976299489291659</v>
      </c>
      <c r="DH137">
        <v>78217853.121499389</v>
      </c>
      <c r="DI137">
        <v>0</v>
      </c>
      <c r="DJ137">
        <v>10.893452506878056</v>
      </c>
      <c r="DK137">
        <v>121894293.76605849</v>
      </c>
      <c r="DL137">
        <v>0</v>
      </c>
      <c r="DM137">
        <v>10627300</v>
      </c>
      <c r="DN137">
        <v>0</v>
      </c>
      <c r="DO137">
        <v>1327849700</v>
      </c>
      <c r="DP137">
        <v>348034440</v>
      </c>
      <c r="DQ137">
        <v>136</v>
      </c>
      <c r="DR137">
        <v>-0.52577526315789469</v>
      </c>
      <c r="DS137">
        <v>9.41E-3</v>
      </c>
      <c r="DT137">
        <v>-0.44</v>
      </c>
      <c r="DU137">
        <v>-0.22</v>
      </c>
      <c r="DV137">
        <v>-0.66</v>
      </c>
      <c r="DW137">
        <v>-4.0827067669172932</v>
      </c>
      <c r="DX137">
        <v>0.25012118644067749</v>
      </c>
      <c r="DY137">
        <v>-4.0091077672996054</v>
      </c>
      <c r="DZ137">
        <v>0</v>
      </c>
      <c r="EA137">
        <v>-4.0091077672996054</v>
      </c>
      <c r="EB137">
        <v>4</v>
      </c>
      <c r="EC137">
        <v>0.13939181346772309</v>
      </c>
      <c r="ED137">
        <v>1.2658037746697646</v>
      </c>
      <c r="EE137">
        <v>0</v>
      </c>
      <c r="EF137">
        <v>0</v>
      </c>
      <c r="EG137">
        <v>14.110121186440677</v>
      </c>
      <c r="EH137" t="s">
        <v>86</v>
      </c>
      <c r="EI137">
        <v>0</v>
      </c>
      <c r="EJ137">
        <v>0</v>
      </c>
      <c r="EK137">
        <v>0</v>
      </c>
      <c r="EL137">
        <v>0</v>
      </c>
      <c r="EM137">
        <v>0</v>
      </c>
      <c r="EN137">
        <v>0</v>
      </c>
      <c r="EO137">
        <v>0</v>
      </c>
      <c r="EP137">
        <v>0</v>
      </c>
    </row>
    <row r="138" spans="1:146" ht="108" x14ac:dyDescent="0.25">
      <c r="A138" s="10"/>
      <c r="B138" s="10"/>
      <c r="C138" s="7" t="str">
        <f>""&amp;CHAR(10)&amp;Basic_Fundamental_Information_Constructure(F138)&amp;CHAR(10)&amp;Basic_Fundamental_Information_Concatenate("")</f>
        <v xml:space="preserve">
市值6.04732亿, 利润672.02万; PE13.31; 平均PE4.35, PB1.44; ROIC10.9833%; ROE12.3433%; 股利率5.137%; 毛利35.8567%; 净利17.84%; 上一年度营收增-87.95%, 利润增-84.95%; 当季营收增-69.42%, 利润增45.47%; 过往5年营收增0%, 利润增0%
Income profile:
</v>
      </c>
      <c r="D138">
        <v>836260</v>
      </c>
      <c r="E138" t="s">
        <v>1829</v>
      </c>
      <c r="F138">
        <v>5.84</v>
      </c>
      <c r="G138" s="5">
        <v>-2.0099999999999998</v>
      </c>
      <c r="H138" t="s">
        <v>5488</v>
      </c>
      <c r="I138">
        <v>604732000</v>
      </c>
      <c r="J138">
        <v>13.31</v>
      </c>
      <c r="K138">
        <v>1.44</v>
      </c>
      <c r="L138" t="s">
        <v>2604</v>
      </c>
      <c r="M138" t="s">
        <v>535</v>
      </c>
      <c r="N138" t="s">
        <v>499</v>
      </c>
      <c r="O138" t="s">
        <v>5489</v>
      </c>
      <c r="P138">
        <v>-1.71</v>
      </c>
      <c r="Q138" t="s">
        <v>5489</v>
      </c>
      <c r="R138">
        <v>6720171</v>
      </c>
      <c r="S138" s="5">
        <v>0.45469999999999999</v>
      </c>
      <c r="T138" t="s">
        <v>5490</v>
      </c>
      <c r="U138">
        <v>41470291</v>
      </c>
      <c r="V138">
        <v>103550000</v>
      </c>
      <c r="W138">
        <v>1.31</v>
      </c>
      <c r="X138">
        <v>0.06</v>
      </c>
      <c r="Y138">
        <v>20.73</v>
      </c>
      <c r="Z138" t="s">
        <v>5491</v>
      </c>
      <c r="AA138" t="s">
        <v>5492</v>
      </c>
      <c r="AB138" t="s">
        <v>4391</v>
      </c>
      <c r="AC138" t="s">
        <v>5493</v>
      </c>
      <c r="AD138" t="s">
        <v>5494</v>
      </c>
      <c r="AE138">
        <v>29213</v>
      </c>
      <c r="AF138" t="s">
        <v>5495</v>
      </c>
      <c r="AG138" t="s">
        <v>9</v>
      </c>
      <c r="AH138" t="s">
        <v>5496</v>
      </c>
      <c r="AI138" t="s">
        <v>5497</v>
      </c>
      <c r="AJ138" t="s">
        <v>9</v>
      </c>
      <c r="AK138" t="s">
        <v>5498</v>
      </c>
      <c r="AL138" t="s">
        <v>5499</v>
      </c>
      <c r="AM138" t="s">
        <v>9</v>
      </c>
      <c r="AN138" t="s">
        <v>5500</v>
      </c>
      <c r="AO138" t="s">
        <v>1127</v>
      </c>
      <c r="AP138" t="s">
        <v>5501</v>
      </c>
      <c r="AQ138" t="s">
        <v>5502</v>
      </c>
      <c r="AR138" t="s">
        <v>9</v>
      </c>
      <c r="AS138" t="s">
        <v>230</v>
      </c>
      <c r="AT138" t="s">
        <v>9</v>
      </c>
      <c r="AU138" t="s">
        <v>5503</v>
      </c>
      <c r="AV138" t="s">
        <v>5504</v>
      </c>
      <c r="AW138" t="s">
        <v>5505</v>
      </c>
      <c r="AX138" t="s">
        <v>655</v>
      </c>
      <c r="AY138" t="s">
        <v>536</v>
      </c>
      <c r="AZ138" t="s">
        <v>15</v>
      </c>
      <c r="BA138" t="s">
        <v>240</v>
      </c>
      <c r="BB138" t="s">
        <v>26</v>
      </c>
      <c r="BC138" t="s">
        <v>1830</v>
      </c>
      <c r="BD138" t="s">
        <v>1831</v>
      </c>
      <c r="BE138" t="s">
        <v>1832</v>
      </c>
      <c r="BF138" t="s">
        <v>1833</v>
      </c>
      <c r="BG138" t="s">
        <v>1834</v>
      </c>
      <c r="BH138" t="s">
        <v>153</v>
      </c>
      <c r="BI138" t="s">
        <v>166</v>
      </c>
      <c r="BJ138" t="s">
        <v>655</v>
      </c>
      <c r="BK138" t="s">
        <v>5506</v>
      </c>
      <c r="BL138" t="s">
        <v>1835</v>
      </c>
      <c r="BM138" t="s">
        <v>1830</v>
      </c>
      <c r="BN138">
        <v>7.35</v>
      </c>
      <c r="BO138">
        <v>11.22</v>
      </c>
      <c r="BP138">
        <v>14.38</v>
      </c>
      <c r="BQ138">
        <v>7.68</v>
      </c>
      <c r="BR138">
        <v>11.39</v>
      </c>
      <c r="BS138">
        <v>17.96</v>
      </c>
      <c r="BT138" t="s">
        <v>859</v>
      </c>
      <c r="BU138" t="s">
        <v>831</v>
      </c>
      <c r="BV138">
        <v>34.24</v>
      </c>
      <c r="BW138">
        <v>32.81</v>
      </c>
      <c r="BX138">
        <v>40.520000000000003</v>
      </c>
      <c r="BY138">
        <v>15.37</v>
      </c>
      <c r="BZ138">
        <v>16.57</v>
      </c>
      <c r="CA138">
        <v>21.58</v>
      </c>
      <c r="CB138">
        <v>-2.34</v>
      </c>
      <c r="CC138">
        <v>-5.35</v>
      </c>
      <c r="CD138" t="s">
        <v>5507</v>
      </c>
      <c r="CE138" t="s">
        <v>5508</v>
      </c>
      <c r="CF138" s="8">
        <v>-0.69418773584905658</v>
      </c>
      <c r="CG138" s="9">
        <v>0.45469999999999999</v>
      </c>
      <c r="CH138" s="8">
        <v>-0.8794940710067749</v>
      </c>
      <c r="CI138" s="8">
        <v>0.25116279721260071</v>
      </c>
      <c r="CJ138" s="8">
        <v>0.14361701905727386</v>
      </c>
      <c r="CK138" s="8">
        <v>-0.14545454084873199</v>
      </c>
      <c r="CL138" s="8">
        <v>0.60583943128585815</v>
      </c>
      <c r="CM138" s="9">
        <v>-0.84946733713150024</v>
      </c>
      <c r="CN138" s="9">
        <v>-3.564269095659256E-2</v>
      </c>
      <c r="CO138" s="9">
        <v>3.7550371140241623E-2</v>
      </c>
      <c r="CP138" s="9">
        <v>3.2005123794078827E-2</v>
      </c>
      <c r="CQ138" s="9">
        <v>0.75396668910980225</v>
      </c>
      <c r="CR138">
        <v>4.3479175748814338</v>
      </c>
      <c r="CS138" t="e">
        <v>#DIV/0!</v>
      </c>
      <c r="CT138">
        <v>5.1369863013698636</v>
      </c>
      <c r="CU138" s="8">
        <v>0</v>
      </c>
      <c r="CV138" s="9">
        <v>0</v>
      </c>
      <c r="CW138">
        <v>0.06</v>
      </c>
      <c r="CX138">
        <v>51.694282908246784</v>
      </c>
      <c r="CY138">
        <v>6339811.3207547162</v>
      </c>
      <c r="CZ138">
        <v>0</v>
      </c>
      <c r="DA138">
        <v>18.244658963345298</v>
      </c>
      <c r="DB138">
        <v>17963174.902772084</v>
      </c>
      <c r="DC138">
        <v>0</v>
      </c>
      <c r="DD138">
        <v>9.9176275937225746</v>
      </c>
      <c r="DE138">
        <v>33045402.935621426</v>
      </c>
      <c r="DF138">
        <v>0</v>
      </c>
      <c r="DG138">
        <v>6.6260345947267698</v>
      </c>
      <c r="DH138">
        <v>49461257.002917036</v>
      </c>
      <c r="DI138">
        <v>0</v>
      </c>
      <c r="DJ138">
        <v>4.2518331637655864</v>
      </c>
      <c r="DK138">
        <v>77080164.573002204</v>
      </c>
      <c r="DL138">
        <v>0</v>
      </c>
      <c r="DM138">
        <v>6720200</v>
      </c>
      <c r="DN138">
        <v>0</v>
      </c>
      <c r="DO138">
        <v>327732000</v>
      </c>
      <c r="DP138">
        <v>329994470</v>
      </c>
      <c r="DQ138">
        <v>137</v>
      </c>
      <c r="DR138">
        <v>-0.69418773584905658</v>
      </c>
      <c r="DS138">
        <v>0.45469999999999999</v>
      </c>
      <c r="DT138">
        <v>-0.44</v>
      </c>
      <c r="DU138">
        <v>-0.22</v>
      </c>
      <c r="DV138">
        <v>-0.66</v>
      </c>
      <c r="DW138">
        <v>-1.0535000000000001</v>
      </c>
      <c r="DX138">
        <v>0.25270897043832796</v>
      </c>
      <c r="DY138">
        <v>-1.0070999299184507</v>
      </c>
      <c r="DZ138">
        <v>0</v>
      </c>
      <c r="EA138">
        <v>-1.0070999299184507</v>
      </c>
      <c r="EB138">
        <v>1</v>
      </c>
      <c r="EC138">
        <v>1.206953162723322E-2</v>
      </c>
      <c r="ED138">
        <v>9.0947368421052638E-2</v>
      </c>
      <c r="EE138">
        <v>0</v>
      </c>
      <c r="EF138">
        <v>0</v>
      </c>
      <c r="EG138">
        <v>12.132708970438328</v>
      </c>
      <c r="EH138" t="s">
        <v>86</v>
      </c>
      <c r="EI138">
        <v>0</v>
      </c>
      <c r="EJ138">
        <v>0</v>
      </c>
      <c r="EK138">
        <v>0</v>
      </c>
      <c r="EL138">
        <v>0</v>
      </c>
      <c r="EM138">
        <v>0</v>
      </c>
      <c r="EN138">
        <v>0</v>
      </c>
      <c r="EO138">
        <v>0</v>
      </c>
      <c r="EP138">
        <v>0</v>
      </c>
    </row>
    <row r="139" spans="1:146" ht="108" x14ac:dyDescent="0.25">
      <c r="A139" s="10"/>
      <c r="B139" s="10"/>
      <c r="C139" s="7" t="str">
        <f>""&amp;CHAR(10)&amp;Basic_Fundamental_Information_Constructure(F139)&amp;CHAR(10)&amp;Basic_Fundamental_Information_Concatenate("")</f>
        <v xml:space="preserve">
市值5.262496亿, 利润23.36万; PE7.84; 平均PE-14.51, PB.969; ROIC7.4033%; ROE8.16%; 股利率3.8005%; 毛利21.1433%; 净利10.81%; 上一年度营收增-79.58%, 利润增-99.46%; 当季营收增-61.04%, 利润增-99%; 过往5年营收增0%, 利润增0%
Income profile:
</v>
      </c>
      <c r="D139">
        <v>836263</v>
      </c>
      <c r="E139" t="s">
        <v>1836</v>
      </c>
      <c r="F139">
        <v>3.76</v>
      </c>
      <c r="G139" s="5">
        <v>-0.27</v>
      </c>
      <c r="H139" t="s">
        <v>5509</v>
      </c>
      <c r="I139">
        <v>526249600</v>
      </c>
      <c r="J139">
        <v>7.84</v>
      </c>
      <c r="K139">
        <v>0.96899999999999997</v>
      </c>
      <c r="L139" t="s">
        <v>2604</v>
      </c>
      <c r="M139" t="s">
        <v>115</v>
      </c>
      <c r="N139" t="s">
        <v>647</v>
      </c>
      <c r="O139" t="s">
        <v>5510</v>
      </c>
      <c r="P139">
        <v>-19.13</v>
      </c>
      <c r="Q139" t="s">
        <v>5510</v>
      </c>
      <c r="R139">
        <v>233594</v>
      </c>
      <c r="S139" s="5">
        <v>-0.99</v>
      </c>
      <c r="T139" t="s">
        <v>5511</v>
      </c>
      <c r="U139">
        <v>101740513</v>
      </c>
      <c r="V139">
        <v>139960000</v>
      </c>
      <c r="W139">
        <v>1.8</v>
      </c>
      <c r="X139">
        <v>0.08</v>
      </c>
      <c r="Y139">
        <v>0.28000000000000003</v>
      </c>
      <c r="Z139" t="s">
        <v>5512</v>
      </c>
      <c r="AA139" t="s">
        <v>5513</v>
      </c>
      <c r="AB139" t="s">
        <v>5514</v>
      </c>
      <c r="AC139" t="s">
        <v>5515</v>
      </c>
      <c r="AD139" t="s">
        <v>5516</v>
      </c>
      <c r="AE139">
        <v>1758361</v>
      </c>
      <c r="AF139" t="s">
        <v>5517</v>
      </c>
      <c r="AG139" t="s">
        <v>5518</v>
      </c>
      <c r="AH139" t="s">
        <v>5519</v>
      </c>
      <c r="AI139" t="s">
        <v>5520</v>
      </c>
      <c r="AJ139" t="s">
        <v>9</v>
      </c>
      <c r="AK139" t="s">
        <v>5521</v>
      </c>
      <c r="AL139" t="s">
        <v>5522</v>
      </c>
      <c r="AM139" t="s">
        <v>9</v>
      </c>
      <c r="AN139">
        <v>0</v>
      </c>
      <c r="AO139" t="s">
        <v>469</v>
      </c>
      <c r="AP139" t="s">
        <v>1838</v>
      </c>
      <c r="AQ139" t="s">
        <v>36</v>
      </c>
      <c r="AR139" t="s">
        <v>9</v>
      </c>
      <c r="AS139" t="s">
        <v>460</v>
      </c>
      <c r="AT139" t="s">
        <v>9</v>
      </c>
      <c r="AU139" t="s">
        <v>5523</v>
      </c>
      <c r="AV139" t="s">
        <v>5524</v>
      </c>
      <c r="AW139" t="s">
        <v>5525</v>
      </c>
      <c r="AX139" t="s">
        <v>439</v>
      </c>
      <c r="AY139" t="s">
        <v>551</v>
      </c>
      <c r="AZ139" t="s">
        <v>512</v>
      </c>
      <c r="BA139" t="s">
        <v>422</v>
      </c>
      <c r="BB139" t="s">
        <v>474</v>
      </c>
      <c r="BC139" t="s">
        <v>5526</v>
      </c>
      <c r="BD139" t="s">
        <v>1839</v>
      </c>
      <c r="BE139" t="s">
        <v>1840</v>
      </c>
      <c r="BF139" t="s">
        <v>1841</v>
      </c>
      <c r="BG139" t="s">
        <v>1842</v>
      </c>
      <c r="BH139" t="s">
        <v>257</v>
      </c>
      <c r="BI139" t="s">
        <v>470</v>
      </c>
      <c r="BJ139" t="s">
        <v>439</v>
      </c>
      <c r="BK139" t="s">
        <v>5527</v>
      </c>
      <c r="BL139" t="s">
        <v>1843</v>
      </c>
      <c r="BM139" t="s">
        <v>5526</v>
      </c>
      <c r="BN139">
        <v>10.32</v>
      </c>
      <c r="BO139">
        <v>8.39</v>
      </c>
      <c r="BP139">
        <v>3.5</v>
      </c>
      <c r="BQ139">
        <v>11.89</v>
      </c>
      <c r="BR139">
        <v>8.99</v>
      </c>
      <c r="BS139">
        <v>3.6</v>
      </c>
      <c r="BT139" t="s">
        <v>5528</v>
      </c>
      <c r="BU139" t="s">
        <v>1837</v>
      </c>
      <c r="BV139">
        <v>23.79</v>
      </c>
      <c r="BW139">
        <v>21.17</v>
      </c>
      <c r="BX139">
        <v>18.47</v>
      </c>
      <c r="BY139">
        <v>18.96</v>
      </c>
      <c r="BZ139">
        <v>10.47</v>
      </c>
      <c r="CA139">
        <v>3</v>
      </c>
      <c r="CB139">
        <v>-3.09</v>
      </c>
      <c r="CC139">
        <v>-18.91</v>
      </c>
      <c r="CD139" t="s">
        <v>5529</v>
      </c>
      <c r="CE139" t="s">
        <v>5530</v>
      </c>
      <c r="CF139" s="8">
        <v>-0.61044861111111115</v>
      </c>
      <c r="CG139" s="9">
        <v>-0.99</v>
      </c>
      <c r="CH139" s="8">
        <v>-0.79576915502548218</v>
      </c>
      <c r="CI139" s="8">
        <v>-0.260323166847229</v>
      </c>
      <c r="CJ139" s="8">
        <v>0.38902741670608521</v>
      </c>
      <c r="CK139" s="8">
        <v>-0.1357758641242981</v>
      </c>
      <c r="CL139" s="8">
        <v>6.6666670143604279E-2</v>
      </c>
      <c r="CM139" s="9">
        <v>-0.99457156658172607</v>
      </c>
      <c r="CN139" s="9">
        <v>1.5787694454193115</v>
      </c>
      <c r="CO139" s="9">
        <v>-0.42856213450431824</v>
      </c>
      <c r="CP139" s="9">
        <v>2.9777851887047291E-3</v>
      </c>
      <c r="CQ139" s="9">
        <v>-0.25233617424964905</v>
      </c>
      <c r="CR139">
        <v>-14.507192034936743</v>
      </c>
      <c r="CS139" t="e">
        <v>#DIV/0!</v>
      </c>
      <c r="CT139">
        <v>3.8004787234042552</v>
      </c>
      <c r="CU139" s="8">
        <v>0</v>
      </c>
      <c r="CV139" s="9">
        <v>0</v>
      </c>
      <c r="CW139">
        <v>0.06</v>
      </c>
      <c r="CX139">
        <v>2147.4510958904111</v>
      </c>
      <c r="CY139">
        <v>220377.35849056602</v>
      </c>
      <c r="CZ139">
        <v>0</v>
      </c>
      <c r="DA139">
        <v>757.90804477398729</v>
      </c>
      <c r="DB139">
        <v>624415.59139423817</v>
      </c>
      <c r="DC139">
        <v>0</v>
      </c>
      <c r="DD139">
        <v>411.99179186940449</v>
      </c>
      <c r="DE139">
        <v>1148686.9625548592</v>
      </c>
      <c r="DF139">
        <v>0</v>
      </c>
      <c r="DG139">
        <v>275.25452431769423</v>
      </c>
      <c r="DH139">
        <v>1719316.3352104728</v>
      </c>
      <c r="DI139">
        <v>0</v>
      </c>
      <c r="DJ139">
        <v>176.6269551176035</v>
      </c>
      <c r="DK139">
        <v>2679373.5966568426</v>
      </c>
      <c r="DL139">
        <v>0</v>
      </c>
      <c r="DM139">
        <v>233600</v>
      </c>
      <c r="DN139">
        <v>0</v>
      </c>
      <c r="DO139">
        <v>473249600</v>
      </c>
      <c r="DP139">
        <v>-97835950</v>
      </c>
      <c r="DQ139">
        <v>138</v>
      </c>
      <c r="DR139">
        <v>-0.61044861111111115</v>
      </c>
      <c r="DS139">
        <v>-0.99</v>
      </c>
      <c r="DT139">
        <v>-0.44</v>
      </c>
      <c r="DU139">
        <v>-0.44</v>
      </c>
      <c r="DV139">
        <v>-0.88</v>
      </c>
      <c r="DW139">
        <v>-8.1634056054997348</v>
      </c>
      <c r="DX139">
        <v>0.4154162418265841</v>
      </c>
      <c r="DY139">
        <v>-8.0270299411551633</v>
      </c>
      <c r="DZ139">
        <v>0</v>
      </c>
      <c r="EA139">
        <v>-8.0270299411551633</v>
      </c>
      <c r="EB139">
        <v>8</v>
      </c>
      <c r="EC139">
        <v>2.3298799657044865E-2</v>
      </c>
      <c r="ED139">
        <v>0.14084952843669621</v>
      </c>
      <c r="EE139">
        <v>0</v>
      </c>
      <c r="EF139">
        <v>0</v>
      </c>
      <c r="EG139">
        <v>25.165416241826584</v>
      </c>
      <c r="EH139" t="s">
        <v>86</v>
      </c>
      <c r="EI139">
        <v>0</v>
      </c>
      <c r="EJ139">
        <v>0</v>
      </c>
      <c r="EK139">
        <v>0</v>
      </c>
      <c r="EL139">
        <v>0</v>
      </c>
      <c r="EM139">
        <v>0</v>
      </c>
      <c r="EN139">
        <v>0</v>
      </c>
      <c r="EO139">
        <v>0</v>
      </c>
      <c r="EP139">
        <v>0</v>
      </c>
    </row>
    <row r="140" spans="1:146" ht="108" x14ac:dyDescent="0.25">
      <c r="A140" s="10"/>
      <c r="B140" s="10"/>
      <c r="C140" s="7" t="str">
        <f>""&amp;CHAR(10)&amp;Basic_Fundamental_Information_Constructure(F140)&amp;CHAR(10)&amp;Basic_Fundamental_Information_Concatenate("")</f>
        <v xml:space="preserve">
市值8.264664亿, 利润1299.22万; PE13.97; 平均PE1.55, PB1.97; ROIC17.5333%; ROE18.1633%; 股利率5.2743%; 毛利40.3233%; 净利23.73%; 上一年度营收增-71.16%, 利润增-70.49%; 当季营收增-55.53%, 利润增10.52%; 过往5年营收增0%, 利润增0%
Income profile:
</v>
      </c>
      <c r="D140">
        <v>836270</v>
      </c>
      <c r="E140" t="s">
        <v>1844</v>
      </c>
      <c r="F140">
        <v>9.48</v>
      </c>
      <c r="G140" s="5">
        <v>-2.17</v>
      </c>
      <c r="H140" t="s">
        <v>5531</v>
      </c>
      <c r="I140">
        <v>826466400</v>
      </c>
      <c r="J140">
        <v>13.97</v>
      </c>
      <c r="K140">
        <v>1.97</v>
      </c>
      <c r="L140" t="s">
        <v>2604</v>
      </c>
      <c r="M140" t="s">
        <v>5532</v>
      </c>
      <c r="N140" t="s">
        <v>499</v>
      </c>
      <c r="O140" t="s">
        <v>5533</v>
      </c>
      <c r="P140">
        <v>10.25</v>
      </c>
      <c r="Q140" t="s">
        <v>5533</v>
      </c>
      <c r="R140">
        <v>12992227</v>
      </c>
      <c r="S140" s="5">
        <v>0.1052</v>
      </c>
      <c r="T140" t="s">
        <v>5534</v>
      </c>
      <c r="U140">
        <v>22211200</v>
      </c>
      <c r="V140">
        <v>87180000</v>
      </c>
      <c r="W140">
        <v>1.1299999999999999</v>
      </c>
      <c r="X140">
        <v>0.1</v>
      </c>
      <c r="Y140">
        <v>27.3</v>
      </c>
      <c r="Z140" t="s">
        <v>5535</v>
      </c>
      <c r="AA140" t="s">
        <v>5536</v>
      </c>
      <c r="AB140" t="s">
        <v>5537</v>
      </c>
      <c r="AC140" t="s">
        <v>5538</v>
      </c>
      <c r="AD140" t="s">
        <v>5539</v>
      </c>
      <c r="AE140">
        <v>1467180</v>
      </c>
      <c r="AF140" t="s">
        <v>5540</v>
      </c>
      <c r="AG140" t="s">
        <v>5541</v>
      </c>
      <c r="AH140" t="s">
        <v>5542</v>
      </c>
      <c r="AI140" t="s">
        <v>386</v>
      </c>
      <c r="AJ140" t="s">
        <v>9</v>
      </c>
      <c r="AK140" t="s">
        <v>5543</v>
      </c>
      <c r="AL140" t="s">
        <v>5544</v>
      </c>
      <c r="AM140" t="s">
        <v>9</v>
      </c>
      <c r="AN140" t="s">
        <v>5545</v>
      </c>
      <c r="AO140" t="s">
        <v>9</v>
      </c>
      <c r="AP140" t="s">
        <v>9</v>
      </c>
      <c r="AQ140" t="s">
        <v>5546</v>
      </c>
      <c r="AR140" t="s">
        <v>9</v>
      </c>
      <c r="AS140" t="s">
        <v>5547</v>
      </c>
      <c r="AT140" t="s">
        <v>9</v>
      </c>
      <c r="AU140" t="s">
        <v>5548</v>
      </c>
      <c r="AV140" t="s">
        <v>5549</v>
      </c>
      <c r="AW140" t="s">
        <v>9</v>
      </c>
      <c r="AX140" t="s">
        <v>480</v>
      </c>
      <c r="AY140" t="s">
        <v>176</v>
      </c>
      <c r="AZ140" t="s">
        <v>22</v>
      </c>
      <c r="BA140" t="s">
        <v>77</v>
      </c>
      <c r="BB140" t="s">
        <v>518</v>
      </c>
      <c r="BC140" t="s">
        <v>1845</v>
      </c>
      <c r="BD140" t="s">
        <v>1846</v>
      </c>
      <c r="BE140" t="s">
        <v>1847</v>
      </c>
      <c r="BF140" t="s">
        <v>1848</v>
      </c>
      <c r="BG140" t="s">
        <v>1849</v>
      </c>
      <c r="BH140" t="s">
        <v>1000</v>
      </c>
      <c r="BI140" t="s">
        <v>314</v>
      </c>
      <c r="BJ140" t="s">
        <v>480</v>
      </c>
      <c r="BK140" t="s">
        <v>5550</v>
      </c>
      <c r="BL140" t="s">
        <v>1850</v>
      </c>
      <c r="BM140" t="s">
        <v>1845</v>
      </c>
      <c r="BN140">
        <v>11.58</v>
      </c>
      <c r="BO140">
        <v>16.28</v>
      </c>
      <c r="BP140">
        <v>24.74</v>
      </c>
      <c r="BQ140">
        <v>12.3</v>
      </c>
      <c r="BR140">
        <v>18.600000000000001</v>
      </c>
      <c r="BS140">
        <v>23.59</v>
      </c>
      <c r="BT140" t="s">
        <v>5551</v>
      </c>
      <c r="BU140" t="s">
        <v>822</v>
      </c>
      <c r="BV140">
        <v>42.54</v>
      </c>
      <c r="BW140">
        <v>41.49</v>
      </c>
      <c r="BX140">
        <v>36.94</v>
      </c>
      <c r="BY140">
        <v>25.63</v>
      </c>
      <c r="BZ140">
        <v>26.63</v>
      </c>
      <c r="CA140">
        <v>18.93</v>
      </c>
      <c r="CB140">
        <v>1.39</v>
      </c>
      <c r="CC140">
        <v>-9.89</v>
      </c>
      <c r="CD140" t="s">
        <v>5552</v>
      </c>
      <c r="CE140" t="s">
        <v>5553</v>
      </c>
      <c r="CF140" s="8">
        <v>-0.55528785046728968</v>
      </c>
      <c r="CG140" s="9">
        <v>0.1052</v>
      </c>
      <c r="CH140" s="8">
        <v>-0.71161091327667236</v>
      </c>
      <c r="CI140" s="8">
        <v>-0.1315789520740509</v>
      </c>
      <c r="CJ140" s="8">
        <v>0.1111111119389534</v>
      </c>
      <c r="CK140" s="8">
        <v>0.22142857313156128</v>
      </c>
      <c r="CL140" s="8">
        <v>0.28440368175506592</v>
      </c>
      <c r="CM140" s="9">
        <v>-0.70487362146377563</v>
      </c>
      <c r="CN140" s="9">
        <v>0.22478646039962769</v>
      </c>
      <c r="CO140" s="9">
        <v>0.25276219844818115</v>
      </c>
      <c r="CP140" s="9">
        <v>0.88098233938217163</v>
      </c>
      <c r="CQ140" s="9">
        <v>17.318819046020508</v>
      </c>
      <c r="CR140">
        <v>1.5481768578768316</v>
      </c>
      <c r="CS140" t="e">
        <v>#DIV/0!</v>
      </c>
      <c r="CT140">
        <v>5.2742616033755274</v>
      </c>
      <c r="CU140" s="8">
        <v>0</v>
      </c>
      <c r="CV140" s="9">
        <v>0</v>
      </c>
      <c r="CW140">
        <v>0.06</v>
      </c>
      <c r="CX140">
        <v>38.984285802250582</v>
      </c>
      <c r="CY140">
        <v>12256792.452830188</v>
      </c>
      <c r="CZ140">
        <v>0</v>
      </c>
      <c r="DA140">
        <v>13.758871569106912</v>
      </c>
      <c r="DB140">
        <v>34728305.849795461</v>
      </c>
      <c r="DC140">
        <v>0</v>
      </c>
      <c r="DD140">
        <v>7.4791951226058746</v>
      </c>
      <c r="DE140">
        <v>63886861.108327232</v>
      </c>
      <c r="DF140">
        <v>0</v>
      </c>
      <c r="DG140">
        <v>4.9969012402185706</v>
      </c>
      <c r="DH140">
        <v>95623722.989390016</v>
      </c>
      <c r="DI140">
        <v>0</v>
      </c>
      <c r="DJ140">
        <v>3.2064412138945082</v>
      </c>
      <c r="DK140">
        <v>149019510.45584345</v>
      </c>
      <c r="DL140">
        <v>0</v>
      </c>
      <c r="DM140">
        <v>12992200</v>
      </c>
      <c r="DN140">
        <v>0</v>
      </c>
      <c r="DO140">
        <v>477822300</v>
      </c>
      <c r="DP140">
        <v>285335450</v>
      </c>
      <c r="DQ140">
        <v>139</v>
      </c>
      <c r="DR140">
        <v>-0.55528785046728968</v>
      </c>
      <c r="DS140">
        <v>0.1052</v>
      </c>
      <c r="DT140">
        <v>-0.44</v>
      </c>
      <c r="DU140">
        <v>-0.22</v>
      </c>
      <c r="DV140">
        <v>-0.66</v>
      </c>
      <c r="DW140">
        <v>-2.0989</v>
      </c>
      <c r="DX140">
        <v>0.38137375915529459</v>
      </c>
      <c r="DY140">
        <v>-2.0149708647804587</v>
      </c>
      <c r="DZ140">
        <v>0</v>
      </c>
      <c r="EA140">
        <v>-2.0149708647804587</v>
      </c>
      <c r="EB140">
        <v>2</v>
      </c>
      <c r="EC140">
        <v>9.3404450562055534E-3</v>
      </c>
      <c r="ED140">
        <v>6.1704519385180095E-2</v>
      </c>
      <c r="EE140">
        <v>0</v>
      </c>
      <c r="EF140">
        <v>0</v>
      </c>
      <c r="EG140">
        <v>23.151373759155295</v>
      </c>
      <c r="EH140" t="s">
        <v>86</v>
      </c>
      <c r="EI140">
        <v>0</v>
      </c>
      <c r="EJ140">
        <v>0</v>
      </c>
      <c r="EK140">
        <v>0</v>
      </c>
      <c r="EL140">
        <v>0</v>
      </c>
      <c r="EM140">
        <v>0</v>
      </c>
      <c r="EN140">
        <v>0</v>
      </c>
      <c r="EO140">
        <v>0</v>
      </c>
      <c r="EP140">
        <v>0</v>
      </c>
    </row>
    <row r="141" spans="1:146" ht="108" x14ac:dyDescent="0.25">
      <c r="A141" s="10"/>
      <c r="B141" s="10"/>
      <c r="C141" s="7" t="str">
        <f>""&amp;CHAR(10)&amp;Basic_Fundamental_Information_Constructure(F141)&amp;CHAR(10)&amp;Basic_Fundamental_Information_Concatenate("")</f>
        <v xml:space="preserve">
市值7.8318156亿, 利润875.78万; PE16.68; 平均PE2.87, PB3.53; ROIC30.56%; ROE31.5233%; 股利率4.5603%; 毛利56.2267%; 净利36.72%; 上一年度营收增-75.13%, 利润增-79.21%; 当季营收增-43.87%, 利润增24.87%; 过往5年营收增0%, 利润增0%
Income profile:
</v>
      </c>
      <c r="D141">
        <v>836395</v>
      </c>
      <c r="E141" t="s">
        <v>1851</v>
      </c>
      <c r="F141">
        <v>6.14</v>
      </c>
      <c r="G141" s="5">
        <v>-1.76</v>
      </c>
      <c r="H141" t="s">
        <v>5554</v>
      </c>
      <c r="I141">
        <v>783181560</v>
      </c>
      <c r="J141">
        <v>16.68</v>
      </c>
      <c r="K141">
        <v>3.53</v>
      </c>
      <c r="L141" t="s">
        <v>2604</v>
      </c>
      <c r="M141" t="s">
        <v>5555</v>
      </c>
      <c r="N141" t="s">
        <v>181</v>
      </c>
      <c r="O141" t="s">
        <v>5556</v>
      </c>
      <c r="P141">
        <v>6.59</v>
      </c>
      <c r="Q141" t="s">
        <v>5556</v>
      </c>
      <c r="R141">
        <v>8757838</v>
      </c>
      <c r="S141" s="5">
        <v>0.2487</v>
      </c>
      <c r="T141" t="s">
        <v>5557</v>
      </c>
      <c r="U141">
        <v>38569710</v>
      </c>
      <c r="V141">
        <v>128004000</v>
      </c>
      <c r="W141">
        <v>1.1299999999999999</v>
      </c>
      <c r="X141">
        <v>0.11</v>
      </c>
      <c r="Y141">
        <v>31.16</v>
      </c>
      <c r="Z141" t="s">
        <v>5558</v>
      </c>
      <c r="AA141" t="s">
        <v>5559</v>
      </c>
      <c r="AB141" t="s">
        <v>5560</v>
      </c>
      <c r="AC141" t="s">
        <v>5561</v>
      </c>
      <c r="AD141" t="s">
        <v>5562</v>
      </c>
      <c r="AE141">
        <v>209202</v>
      </c>
      <c r="AF141" t="s">
        <v>5563</v>
      </c>
      <c r="AG141">
        <v>200</v>
      </c>
      <c r="AH141" t="s">
        <v>5564</v>
      </c>
      <c r="AI141" t="s">
        <v>5565</v>
      </c>
      <c r="AJ141" t="s">
        <v>9</v>
      </c>
      <c r="AK141" t="s">
        <v>9</v>
      </c>
      <c r="AL141" t="s">
        <v>5566</v>
      </c>
      <c r="AM141" t="s">
        <v>9</v>
      </c>
      <c r="AN141">
        <v>0</v>
      </c>
      <c r="AO141" t="s">
        <v>5567</v>
      </c>
      <c r="AP141" t="s">
        <v>5568</v>
      </c>
      <c r="AQ141" t="s">
        <v>5569</v>
      </c>
      <c r="AR141" t="s">
        <v>9</v>
      </c>
      <c r="AS141" t="s">
        <v>5570</v>
      </c>
      <c r="AT141" t="s">
        <v>9</v>
      </c>
      <c r="AU141" t="s">
        <v>5571</v>
      </c>
      <c r="AV141" t="s">
        <v>5572</v>
      </c>
      <c r="AW141" t="s">
        <v>5573</v>
      </c>
      <c r="AX141" t="s">
        <v>411</v>
      </c>
      <c r="AY141" t="s">
        <v>130</v>
      </c>
      <c r="AZ141" t="s">
        <v>435</v>
      </c>
      <c r="BA141" t="s">
        <v>258</v>
      </c>
      <c r="BB141" t="s">
        <v>63</v>
      </c>
      <c r="BC141" t="s">
        <v>1852</v>
      </c>
      <c r="BD141" t="s">
        <v>1853</v>
      </c>
      <c r="BE141" t="s">
        <v>1854</v>
      </c>
      <c r="BF141" t="s">
        <v>1855</v>
      </c>
      <c r="BG141" t="s">
        <v>1856</v>
      </c>
      <c r="BH141" t="s">
        <v>99</v>
      </c>
      <c r="BI141" t="s">
        <v>1858</v>
      </c>
      <c r="BJ141" t="s">
        <v>411</v>
      </c>
      <c r="BK141" t="s">
        <v>5574</v>
      </c>
      <c r="BL141" t="s">
        <v>1859</v>
      </c>
      <c r="BM141" t="s">
        <v>1852</v>
      </c>
      <c r="BN141">
        <v>13.1</v>
      </c>
      <c r="BO141">
        <v>25.2</v>
      </c>
      <c r="BP141">
        <v>53.38</v>
      </c>
      <c r="BQ141">
        <v>13.73</v>
      </c>
      <c r="BR141">
        <v>28.16</v>
      </c>
      <c r="BS141">
        <v>52.68</v>
      </c>
      <c r="BT141" t="s">
        <v>5575</v>
      </c>
      <c r="BU141" t="s">
        <v>790</v>
      </c>
      <c r="BV141">
        <v>56.22</v>
      </c>
      <c r="BW141">
        <v>55.24</v>
      </c>
      <c r="BX141">
        <v>57.22</v>
      </c>
      <c r="BY141">
        <v>38.79</v>
      </c>
      <c r="BZ141">
        <v>37.25</v>
      </c>
      <c r="CA141">
        <v>34.119999999999997</v>
      </c>
      <c r="CB141">
        <v>-0.97</v>
      </c>
      <c r="CC141">
        <v>-4.95</v>
      </c>
      <c r="CD141" t="s">
        <v>1601</v>
      </c>
      <c r="CE141" t="s">
        <v>5576</v>
      </c>
      <c r="CF141" s="8">
        <v>-0.43866393729092817</v>
      </c>
      <c r="CG141" s="9">
        <v>0.2487</v>
      </c>
      <c r="CH141" s="8">
        <v>-0.75126105546951294</v>
      </c>
      <c r="CI141" s="8">
        <v>-0.2152777761220932</v>
      </c>
      <c r="CJ141" s="8">
        <v>0.19008263945579529</v>
      </c>
      <c r="CK141" s="8">
        <v>-0.16551724076271057</v>
      </c>
      <c r="CL141" s="8">
        <v>0.39423078298568726</v>
      </c>
      <c r="CM141" s="9">
        <v>-0.7921406626701355</v>
      </c>
      <c r="CN141" s="9">
        <v>-0.14150682091712952</v>
      </c>
      <c r="CO141" s="9">
        <v>1.3957531452178955</v>
      </c>
      <c r="CP141" s="9">
        <v>-0.43389266729354858</v>
      </c>
      <c r="CQ141" s="9">
        <v>1.2010242938995361</v>
      </c>
      <c r="CR141">
        <v>2.8744865814373237</v>
      </c>
      <c r="CS141" t="e">
        <v>#DIV/0!</v>
      </c>
      <c r="CT141">
        <v>4.5602605863192185</v>
      </c>
      <c r="CU141" s="8">
        <v>0</v>
      </c>
      <c r="CV141" s="9">
        <v>0</v>
      </c>
      <c r="CW141">
        <v>0.06</v>
      </c>
      <c r="CX141">
        <v>71.001488912740641</v>
      </c>
      <c r="CY141">
        <v>8262075.4716981128</v>
      </c>
      <c r="CZ141">
        <v>0</v>
      </c>
      <c r="DA141">
        <v>25.058824268863987</v>
      </c>
      <c r="DB141">
        <v>23409704.050995115</v>
      </c>
      <c r="DC141">
        <v>0</v>
      </c>
      <c r="DD141">
        <v>13.62174472728876</v>
      </c>
      <c r="DE141">
        <v>43064942.982290007</v>
      </c>
      <c r="DF141">
        <v>0</v>
      </c>
      <c r="DG141">
        <v>9.1007804992276338</v>
      </c>
      <c r="DH141">
        <v>64458170.378879622</v>
      </c>
      <c r="DI141">
        <v>0</v>
      </c>
      <c r="DJ141">
        <v>5.8398427882586104</v>
      </c>
      <c r="DK141">
        <v>100451276.04795074</v>
      </c>
      <c r="DL141">
        <v>0</v>
      </c>
      <c r="DM141">
        <v>8757800</v>
      </c>
      <c r="DN141">
        <v>0</v>
      </c>
      <c r="DO141">
        <v>586619660</v>
      </c>
      <c r="DP141">
        <v>178430930</v>
      </c>
      <c r="DQ141">
        <v>140</v>
      </c>
      <c r="DR141">
        <v>-0.43866393729092817</v>
      </c>
      <c r="DS141">
        <v>0.2487</v>
      </c>
      <c r="DT141">
        <v>-0.44</v>
      </c>
      <c r="DU141">
        <v>-0.22</v>
      </c>
      <c r="DV141">
        <v>-0.66</v>
      </c>
      <c r="DW141">
        <v>-1.0495000000000001</v>
      </c>
      <c r="DX141">
        <v>0.23904862914666702</v>
      </c>
      <c r="DY141">
        <v>-1.00490290714276</v>
      </c>
      <c r="DZ141">
        <v>0</v>
      </c>
      <c r="EA141">
        <v>-1.00490290714276</v>
      </c>
      <c r="EB141">
        <v>1</v>
      </c>
      <c r="EC141">
        <v>1.7072122746164181E-2</v>
      </c>
      <c r="ED141">
        <v>0.172361019968126</v>
      </c>
      <c r="EE141">
        <v>0</v>
      </c>
      <c r="EF141">
        <v>0</v>
      </c>
      <c r="EG141">
        <v>14.099048629146667</v>
      </c>
      <c r="EH141" t="s">
        <v>86</v>
      </c>
      <c r="EI141">
        <v>0</v>
      </c>
      <c r="EJ141">
        <v>0</v>
      </c>
      <c r="EK141">
        <v>0</v>
      </c>
      <c r="EL141">
        <v>0</v>
      </c>
      <c r="EM141">
        <v>0</v>
      </c>
      <c r="EN141">
        <v>0</v>
      </c>
      <c r="EO141">
        <v>0</v>
      </c>
      <c r="EP141">
        <v>0</v>
      </c>
    </row>
    <row r="142" spans="1:146" ht="108" x14ac:dyDescent="0.25">
      <c r="A142" s="10"/>
      <c r="B142" s="10"/>
      <c r="C142" s="7" t="str">
        <f>""&amp;CHAR(10)&amp;Basic_Fundamental_Information_Constructure(F142)&amp;CHAR(10)&amp;Basic_Fundamental_Information_Concatenate("")</f>
        <v xml:space="preserve">
市值4.9603362亿, 利润242.54万; PE16.22; 平均PE6.09, PB1.59; ROIC16.9767%; ROE27.5833%; 股利率.7378%; 毛利45.5%; 净利21.8767%; 上一年度营收增-80.86%, 利润增-91.68%; 当季营收增-69.51%, 利润增-61.04%; 过往5年营收增0%, 利润增0%
Income profile:
</v>
      </c>
      <c r="D142">
        <v>836414</v>
      </c>
      <c r="E142" t="s">
        <v>1860</v>
      </c>
      <c r="F142">
        <v>6.22</v>
      </c>
      <c r="G142" s="5">
        <v>-2.96</v>
      </c>
      <c r="H142" t="s">
        <v>5577</v>
      </c>
      <c r="I142">
        <v>496033620</v>
      </c>
      <c r="J142">
        <v>16.22</v>
      </c>
      <c r="K142">
        <v>1.59</v>
      </c>
      <c r="L142" t="s">
        <v>2604</v>
      </c>
      <c r="M142" t="s">
        <v>5578</v>
      </c>
      <c r="N142" t="s">
        <v>652</v>
      </c>
      <c r="O142" t="s">
        <v>5579</v>
      </c>
      <c r="P142">
        <v>-32.08</v>
      </c>
      <c r="Q142" t="s">
        <v>5579</v>
      </c>
      <c r="R142">
        <v>2425424</v>
      </c>
      <c r="S142" s="5">
        <v>-0.61040000000000005</v>
      </c>
      <c r="T142" t="s">
        <v>5580</v>
      </c>
      <c r="U142">
        <v>39482072</v>
      </c>
      <c r="V142">
        <v>66673554</v>
      </c>
      <c r="W142">
        <v>1.21</v>
      </c>
      <c r="X142">
        <v>7.0000000000000007E-2</v>
      </c>
      <c r="Y142">
        <v>9.5299999999999994</v>
      </c>
      <c r="Z142" t="s">
        <v>5581</v>
      </c>
      <c r="AA142" t="s">
        <v>5582</v>
      </c>
      <c r="AB142" t="s">
        <v>5583</v>
      </c>
      <c r="AC142" t="s">
        <v>5584</v>
      </c>
      <c r="AD142" t="s">
        <v>5585</v>
      </c>
      <c r="AE142">
        <v>152209</v>
      </c>
      <c r="AF142" t="s">
        <v>17</v>
      </c>
      <c r="AG142">
        <v>1.95</v>
      </c>
      <c r="AH142" t="s">
        <v>5586</v>
      </c>
      <c r="AI142" t="s">
        <v>37</v>
      </c>
      <c r="AJ142" t="s">
        <v>9</v>
      </c>
      <c r="AK142" t="s">
        <v>9</v>
      </c>
      <c r="AL142" t="s">
        <v>5587</v>
      </c>
      <c r="AM142" t="s">
        <v>9</v>
      </c>
      <c r="AN142" t="s">
        <v>5588</v>
      </c>
      <c r="AO142" t="s">
        <v>5589</v>
      </c>
      <c r="AP142" t="s">
        <v>5590</v>
      </c>
      <c r="AQ142" t="s">
        <v>5591</v>
      </c>
      <c r="AR142" t="s">
        <v>9</v>
      </c>
      <c r="AS142" t="s">
        <v>5592</v>
      </c>
      <c r="AT142" t="s">
        <v>9</v>
      </c>
      <c r="AU142" t="s">
        <v>5593</v>
      </c>
      <c r="AV142" t="s">
        <v>5594</v>
      </c>
      <c r="AW142" t="s">
        <v>5595</v>
      </c>
      <c r="AX142" t="s">
        <v>20</v>
      </c>
      <c r="AY142" t="s">
        <v>89</v>
      </c>
      <c r="AZ142" t="s">
        <v>1862</v>
      </c>
      <c r="BA142" t="s">
        <v>1863</v>
      </c>
      <c r="BB142" t="s">
        <v>1864</v>
      </c>
      <c r="BC142" t="s">
        <v>1861</v>
      </c>
      <c r="BD142" t="s">
        <v>1865</v>
      </c>
      <c r="BE142" t="s">
        <v>1866</v>
      </c>
      <c r="BF142" t="s">
        <v>1867</v>
      </c>
      <c r="BG142" t="s">
        <v>1868</v>
      </c>
      <c r="BH142" t="s">
        <v>233</v>
      </c>
      <c r="BI142" t="s">
        <v>1869</v>
      </c>
      <c r="BJ142" t="s">
        <v>20</v>
      </c>
      <c r="BK142" t="s">
        <v>5596</v>
      </c>
      <c r="BL142" t="s">
        <v>1870</v>
      </c>
      <c r="BM142" t="s">
        <v>1861</v>
      </c>
      <c r="BN142">
        <v>9.11</v>
      </c>
      <c r="BO142">
        <v>12.54</v>
      </c>
      <c r="BP142">
        <v>29.28</v>
      </c>
      <c r="BQ142">
        <v>9.39</v>
      </c>
      <c r="BR142">
        <v>19.72</v>
      </c>
      <c r="BS142">
        <v>53.64</v>
      </c>
      <c r="BT142" t="s">
        <v>5597</v>
      </c>
      <c r="BU142" t="s">
        <v>1667</v>
      </c>
      <c r="BV142">
        <v>42.04</v>
      </c>
      <c r="BW142">
        <v>45.73</v>
      </c>
      <c r="BX142">
        <v>48.73</v>
      </c>
      <c r="BY142">
        <v>19.100000000000001</v>
      </c>
      <c r="BZ142">
        <v>21.93</v>
      </c>
      <c r="CA142">
        <v>24.6</v>
      </c>
      <c r="CB142">
        <v>4.3600000000000003</v>
      </c>
      <c r="CC142">
        <v>-11.61</v>
      </c>
      <c r="CD142" t="s">
        <v>5598</v>
      </c>
      <c r="CE142" t="s">
        <v>5599</v>
      </c>
      <c r="CF142" s="8">
        <v>-0.6950658194242777</v>
      </c>
      <c r="CG142" s="9">
        <v>-0.61040000000000005</v>
      </c>
      <c r="CH142" s="8">
        <v>-0.80862325429916382</v>
      </c>
      <c r="CI142" s="8">
        <v>7.2580642998218536E-2</v>
      </c>
      <c r="CJ142" s="8">
        <v>0.31602272391319275</v>
      </c>
      <c r="CK142" s="8">
        <v>2.3133816719055176</v>
      </c>
      <c r="CL142" s="8">
        <v>2.7960829436779022E-2</v>
      </c>
      <c r="CM142" s="9">
        <v>-0.91682153940200806</v>
      </c>
      <c r="CN142" s="9">
        <v>-4.6440213918685913E-2</v>
      </c>
      <c r="CO142" s="9">
        <v>0.81766360998153687</v>
      </c>
      <c r="CP142" s="9">
        <v>90.93060302734375</v>
      </c>
      <c r="CQ142" s="9">
        <v>-0.90902763605117798</v>
      </c>
      <c r="CR142">
        <v>6.0878968907805913</v>
      </c>
      <c r="CS142" t="e">
        <v>#DIV/0!</v>
      </c>
      <c r="CT142">
        <v>0.73778778135048229</v>
      </c>
      <c r="CU142" s="8">
        <v>0</v>
      </c>
      <c r="CV142" s="9">
        <v>0</v>
      </c>
      <c r="CW142">
        <v>0.06</v>
      </c>
      <c r="CX142">
        <v>109.98958406860724</v>
      </c>
      <c r="CY142">
        <v>2288113.2075471696</v>
      </c>
      <c r="CZ142">
        <v>0</v>
      </c>
      <c r="DA142">
        <v>38.819040287563489</v>
      </c>
      <c r="DB142">
        <v>6483123.1822242513</v>
      </c>
      <c r="DC142">
        <v>0</v>
      </c>
      <c r="DD142">
        <v>21.101670680238165</v>
      </c>
      <c r="DE142">
        <v>11926478.420293475</v>
      </c>
      <c r="DF142">
        <v>0</v>
      </c>
      <c r="DG142">
        <v>14.098170012180118</v>
      </c>
      <c r="DH142">
        <v>17851155.134501204</v>
      </c>
      <c r="DI142">
        <v>0</v>
      </c>
      <c r="DJ142">
        <v>9.0465973198959286</v>
      </c>
      <c r="DK142">
        <v>27819146.92350816</v>
      </c>
      <c r="DL142">
        <v>0</v>
      </c>
      <c r="DM142">
        <v>2425400</v>
      </c>
      <c r="DN142">
        <v>0</v>
      </c>
      <c r="DO142">
        <v>251668620</v>
      </c>
      <c r="DP142">
        <v>295874230</v>
      </c>
      <c r="DQ142">
        <v>141</v>
      </c>
      <c r="DR142">
        <v>-0.6950658194242777</v>
      </c>
      <c r="DS142">
        <v>-0.61040000000000005</v>
      </c>
      <c r="DT142">
        <v>-0.44</v>
      </c>
      <c r="DU142">
        <v>-0.44</v>
      </c>
      <c r="DV142">
        <v>-0.88</v>
      </c>
      <c r="DW142">
        <v>6.2730118973074518</v>
      </c>
      <c r="DX142">
        <v>0.45475689531767582</v>
      </c>
      <c r="DY142">
        <v>6.0995829720466537</v>
      </c>
      <c r="DZ142">
        <v>0</v>
      </c>
      <c r="EA142">
        <v>6.0995829720466537</v>
      </c>
      <c r="EB142">
        <v>6</v>
      </c>
      <c r="EC142">
        <v>0.13146741810103599</v>
      </c>
      <c r="ED142">
        <v>0.36042476451757771</v>
      </c>
      <c r="EE142">
        <v>0</v>
      </c>
      <c r="EF142">
        <v>0</v>
      </c>
      <c r="EG142">
        <v>9.3647568953176759</v>
      </c>
      <c r="EH142" t="s">
        <v>86</v>
      </c>
      <c r="EI142">
        <v>0</v>
      </c>
      <c r="EJ142">
        <v>0</v>
      </c>
      <c r="EK142">
        <v>0</v>
      </c>
      <c r="EL142">
        <v>0</v>
      </c>
      <c r="EM142">
        <v>0</v>
      </c>
      <c r="EN142">
        <v>0</v>
      </c>
      <c r="EO142">
        <v>0</v>
      </c>
      <c r="EP142">
        <v>0</v>
      </c>
    </row>
    <row r="143" spans="1:146" ht="108" x14ac:dyDescent="0.25">
      <c r="A143" s="10"/>
      <c r="B143" s="10"/>
      <c r="C143" s="7" t="str">
        <f>""&amp;CHAR(10)&amp;Basic_Fundamental_Information_Constructure(F143)&amp;CHAR(10)&amp;Basic_Fundamental_Information_Concatenate("")</f>
        <v xml:space="preserve">
市值6.0874027亿, 利润1030.10万; PE11.59; 平均PE1.15, PB1.17; ROIC9.5667%; ROE15.735%; 股利率4.3988%; 毛利18.1733%; 净利7.26%; 上一年度营收增-73.02%, 利润增-81.43%; 当季营收增-42.08%, 利润增-14.14%; 过往5年营收增0%, 利润增0%
Income profile:
</v>
      </c>
      <c r="D143">
        <v>836419</v>
      </c>
      <c r="E143" t="s">
        <v>1871</v>
      </c>
      <c r="F143">
        <v>6.82</v>
      </c>
      <c r="G143" s="5">
        <v>-1.87</v>
      </c>
      <c r="H143" t="s">
        <v>5600</v>
      </c>
      <c r="I143">
        <v>608740270</v>
      </c>
      <c r="J143">
        <v>11.59</v>
      </c>
      <c r="K143">
        <v>1.17</v>
      </c>
      <c r="L143" t="s">
        <v>2604</v>
      </c>
      <c r="M143" t="s">
        <v>70</v>
      </c>
      <c r="N143" t="s">
        <v>139</v>
      </c>
      <c r="O143" t="s">
        <v>114</v>
      </c>
      <c r="P143">
        <v>14.16</v>
      </c>
      <c r="Q143" t="s">
        <v>114</v>
      </c>
      <c r="R143">
        <v>10300990</v>
      </c>
      <c r="S143" s="6">
        <v>-0.1414</v>
      </c>
      <c r="T143" t="s">
        <v>5601</v>
      </c>
      <c r="U143">
        <v>39193953</v>
      </c>
      <c r="V143">
        <v>89258104</v>
      </c>
      <c r="W143">
        <v>1.25</v>
      </c>
      <c r="X143">
        <v>0.23</v>
      </c>
      <c r="Y143">
        <v>6.86</v>
      </c>
      <c r="Z143" t="s">
        <v>110</v>
      </c>
      <c r="AA143" t="s">
        <v>89</v>
      </c>
      <c r="AB143" t="s">
        <v>5602</v>
      </c>
      <c r="AC143" t="s">
        <v>5603</v>
      </c>
      <c r="AD143" t="s">
        <v>5604</v>
      </c>
      <c r="AE143">
        <v>101892</v>
      </c>
      <c r="AF143" t="s">
        <v>17</v>
      </c>
      <c r="AG143">
        <v>7.9</v>
      </c>
      <c r="AH143" t="s">
        <v>5605</v>
      </c>
      <c r="AI143" t="s">
        <v>464</v>
      </c>
      <c r="AJ143" t="s">
        <v>9</v>
      </c>
      <c r="AK143" t="s">
        <v>5606</v>
      </c>
      <c r="AL143" t="s">
        <v>5607</v>
      </c>
      <c r="AM143" t="s">
        <v>9</v>
      </c>
      <c r="AN143" t="s">
        <v>5608</v>
      </c>
      <c r="AO143" t="s">
        <v>5609</v>
      </c>
      <c r="AP143" t="s">
        <v>9</v>
      </c>
      <c r="AQ143" t="s">
        <v>5610</v>
      </c>
      <c r="AR143" t="s">
        <v>9</v>
      </c>
      <c r="AS143" t="s">
        <v>374</v>
      </c>
      <c r="AT143" t="s">
        <v>9</v>
      </c>
      <c r="AU143" t="s">
        <v>5611</v>
      </c>
      <c r="AV143" t="s">
        <v>5612</v>
      </c>
      <c r="AW143" t="s">
        <v>5613</v>
      </c>
      <c r="AX143" t="s">
        <v>567</v>
      </c>
      <c r="AY143" t="s">
        <v>370</v>
      </c>
      <c r="AZ143" t="s">
        <v>60</v>
      </c>
      <c r="BA143" t="s">
        <v>98</v>
      </c>
      <c r="BB143" t="s">
        <v>637</v>
      </c>
      <c r="BC143" t="s">
        <v>1872</v>
      </c>
      <c r="BD143" t="s">
        <v>1873</v>
      </c>
      <c r="BE143" t="s">
        <v>1874</v>
      </c>
      <c r="BF143" t="s">
        <v>1875</v>
      </c>
      <c r="BG143" t="s">
        <v>1876</v>
      </c>
      <c r="BH143" t="s">
        <v>3375</v>
      </c>
      <c r="BI143" t="s">
        <v>543</v>
      </c>
      <c r="BJ143" t="s">
        <v>567</v>
      </c>
      <c r="BK143" t="s">
        <v>5614</v>
      </c>
      <c r="BL143" t="s">
        <v>1877</v>
      </c>
      <c r="BM143" t="s">
        <v>1872</v>
      </c>
      <c r="BN143">
        <v>7.5</v>
      </c>
      <c r="BO143">
        <v>16.3</v>
      </c>
      <c r="BP143">
        <v>4.9000000000000004</v>
      </c>
      <c r="BQ143">
        <v>11.25</v>
      </c>
      <c r="BR143">
        <v>20.22</v>
      </c>
      <c r="BS143" t="s">
        <v>9</v>
      </c>
      <c r="BT143" t="s">
        <v>859</v>
      </c>
      <c r="BU143" t="s">
        <v>987</v>
      </c>
      <c r="BV143">
        <v>20.12</v>
      </c>
      <c r="BW143">
        <v>21.59</v>
      </c>
      <c r="BX143">
        <v>12.81</v>
      </c>
      <c r="BY143">
        <v>9.33</v>
      </c>
      <c r="BZ143">
        <v>9.9600000000000009</v>
      </c>
      <c r="CA143">
        <v>2.4900000000000002</v>
      </c>
      <c r="CB143">
        <v>-1.3</v>
      </c>
      <c r="CC143">
        <v>-8.2100000000000009</v>
      </c>
      <c r="CD143" t="s">
        <v>5615</v>
      </c>
      <c r="CE143" t="s">
        <v>5616</v>
      </c>
      <c r="CF143" s="8">
        <v>-0.42084942084942084</v>
      </c>
      <c r="CG143" s="9">
        <v>-0.1414</v>
      </c>
      <c r="CH143" s="8">
        <v>-0.73021584749221802</v>
      </c>
      <c r="CI143" s="8">
        <v>9.2337913811206818E-2</v>
      </c>
      <c r="CJ143" s="8">
        <v>0.42178770899772644</v>
      </c>
      <c r="CK143" s="8">
        <v>-2.7173912152647972E-2</v>
      </c>
      <c r="CL143" s="8">
        <v>0.44313725829124451</v>
      </c>
      <c r="CM143" s="9">
        <v>-0.81425684690475464</v>
      </c>
      <c r="CN143" s="9">
        <v>3.2261993885040283</v>
      </c>
      <c r="CO143" s="9">
        <v>-0.69415557384490967</v>
      </c>
      <c r="CP143" s="9">
        <v>-4.8259370028972626E-2</v>
      </c>
      <c r="CQ143" s="9">
        <v>4.5252909660339355</v>
      </c>
      <c r="CR143">
        <v>1.1531716183589751</v>
      </c>
      <c r="CS143" t="e">
        <v>#DIV/0!</v>
      </c>
      <c r="CT143">
        <v>4.3988269794721404</v>
      </c>
      <c r="CU143" s="8">
        <v>0</v>
      </c>
      <c r="CV143" s="9">
        <v>0</v>
      </c>
      <c r="CW143">
        <v>0.06</v>
      </c>
      <c r="CX143">
        <v>26.522151849335014</v>
      </c>
      <c r="CY143">
        <v>9717924.5283018854</v>
      </c>
      <c r="CZ143">
        <v>0</v>
      </c>
      <c r="DA143">
        <v>9.3605634558087765</v>
      </c>
      <c r="DB143">
        <v>27534696.091404311</v>
      </c>
      <c r="DC143">
        <v>0</v>
      </c>
      <c r="DD143">
        <v>5.0883155781991301</v>
      </c>
      <c r="DE143">
        <v>50653357.882181525</v>
      </c>
      <c r="DF143">
        <v>0</v>
      </c>
      <c r="DG143">
        <v>3.3995383201699294</v>
      </c>
      <c r="DH143">
        <v>75816256.716622785</v>
      </c>
      <c r="DI143">
        <v>0</v>
      </c>
      <c r="DJ143">
        <v>2.1814359047708072</v>
      </c>
      <c r="DK143">
        <v>118151658.47244065</v>
      </c>
      <c r="DL143">
        <v>0</v>
      </c>
      <c r="DM143">
        <v>10301000</v>
      </c>
      <c r="DN143">
        <v>0</v>
      </c>
      <c r="DO143">
        <v>257740269.99999994</v>
      </c>
      <c r="DP143">
        <v>288454850</v>
      </c>
      <c r="DQ143">
        <v>142</v>
      </c>
      <c r="DR143">
        <v>-0.42084942084942084</v>
      </c>
      <c r="DS143">
        <v>-0.1414</v>
      </c>
      <c r="DT143">
        <v>-0.44</v>
      </c>
      <c r="DU143">
        <v>-0.22</v>
      </c>
      <c r="DV143">
        <v>-0.66</v>
      </c>
      <c r="DW143">
        <v>-2.0821000000000001</v>
      </c>
      <c r="DX143">
        <v>0.30701448843229395</v>
      </c>
      <c r="DY143">
        <v>-2.0128908895002913</v>
      </c>
      <c r="DZ143">
        <v>0</v>
      </c>
      <c r="EA143">
        <v>-2.0128908895002913</v>
      </c>
      <c r="EB143">
        <v>2</v>
      </c>
      <c r="EC143">
        <v>1.297921362972263E-2</v>
      </c>
      <c r="ED143">
        <v>8.2662522161573132E-2</v>
      </c>
      <c r="EE143">
        <v>0</v>
      </c>
      <c r="EF143">
        <v>0</v>
      </c>
      <c r="EG143">
        <v>15.157014488432294</v>
      </c>
      <c r="EH143" t="s">
        <v>86</v>
      </c>
      <c r="EI143">
        <v>0</v>
      </c>
      <c r="EJ143">
        <v>0</v>
      </c>
      <c r="EK143">
        <v>0</v>
      </c>
      <c r="EL143">
        <v>0</v>
      </c>
      <c r="EM143">
        <v>0</v>
      </c>
      <c r="EN143">
        <v>0</v>
      </c>
      <c r="EO143">
        <v>0</v>
      </c>
      <c r="EP143">
        <v>0</v>
      </c>
    </row>
    <row r="144" spans="1:146" ht="96" x14ac:dyDescent="0.25">
      <c r="A144" s="10"/>
      <c r="B144" s="10"/>
      <c r="C144" s="7" t="str">
        <f>""&amp;CHAR(10)&amp;Basic_Fundamental_Information_Constructure(F144)&amp;CHAR(10)&amp;Basic_Fundamental_Information_Concatenate("")</f>
        <v xml:space="preserve">
市值4.441832亿, 利润419.41万; PE55.85; 平均PE-.4, PB1.03; ROIC14.8733%; ROE16.66%; 股利率3.9841%; 毛利15.8367%; 净利7.1233%; 上一年度营收增-79.01%, 利润增-94.3%; 当季营收增-47.69%, 利润增-31.79%; 过往5年营收增0%, 利润增0%
Income profile:
</v>
      </c>
      <c r="D144">
        <v>836422</v>
      </c>
      <c r="E144" t="s">
        <v>1878</v>
      </c>
      <c r="F144">
        <v>5.0199999999999996</v>
      </c>
      <c r="G144" s="5">
        <v>1.41</v>
      </c>
      <c r="H144" t="s">
        <v>5617</v>
      </c>
      <c r="I144">
        <v>444183200</v>
      </c>
      <c r="J144">
        <v>55.85</v>
      </c>
      <c r="K144">
        <v>1.03</v>
      </c>
      <c r="L144" t="s">
        <v>2604</v>
      </c>
      <c r="M144" t="s">
        <v>5618</v>
      </c>
      <c r="N144" t="s">
        <v>460</v>
      </c>
      <c r="O144" t="s">
        <v>59</v>
      </c>
      <c r="P144">
        <v>-0.39</v>
      </c>
      <c r="Q144" t="s">
        <v>59</v>
      </c>
      <c r="R144">
        <v>4194142</v>
      </c>
      <c r="S144" s="5">
        <v>-0.31790000000000002</v>
      </c>
      <c r="T144" t="s">
        <v>5619</v>
      </c>
      <c r="U144">
        <v>55715876</v>
      </c>
      <c r="V144">
        <v>88482710</v>
      </c>
      <c r="W144">
        <v>1.19</v>
      </c>
      <c r="X144">
        <v>0.26</v>
      </c>
      <c r="Y144">
        <v>3.09</v>
      </c>
      <c r="Z144" t="s">
        <v>242</v>
      </c>
      <c r="AA144" t="s">
        <v>68</v>
      </c>
      <c r="AB144" t="s">
        <v>5620</v>
      </c>
      <c r="AC144" t="s">
        <v>5621</v>
      </c>
      <c r="AD144" t="s">
        <v>5622</v>
      </c>
      <c r="AE144">
        <v>919389</v>
      </c>
      <c r="AF144" t="s">
        <v>17</v>
      </c>
      <c r="AG144" t="s">
        <v>9</v>
      </c>
      <c r="AH144" t="s">
        <v>5623</v>
      </c>
      <c r="AI144" t="s">
        <v>27</v>
      </c>
      <c r="AJ144" t="s">
        <v>9</v>
      </c>
      <c r="AK144" t="s">
        <v>5624</v>
      </c>
      <c r="AL144" t="s">
        <v>5625</v>
      </c>
      <c r="AM144" t="s">
        <v>9</v>
      </c>
      <c r="AN144" t="s">
        <v>5626</v>
      </c>
      <c r="AO144" t="s">
        <v>2323</v>
      </c>
      <c r="AP144" t="s">
        <v>5627</v>
      </c>
      <c r="AQ144" t="s">
        <v>5628</v>
      </c>
      <c r="AR144" t="s">
        <v>9</v>
      </c>
      <c r="AS144" t="s">
        <v>5629</v>
      </c>
      <c r="AT144" t="s">
        <v>9</v>
      </c>
      <c r="AU144" t="s">
        <v>5630</v>
      </c>
      <c r="AV144" t="s">
        <v>5631</v>
      </c>
      <c r="AW144" t="s">
        <v>5632</v>
      </c>
      <c r="AX144" t="s">
        <v>590</v>
      </c>
      <c r="AY144" t="s">
        <v>159</v>
      </c>
      <c r="AZ144" t="s">
        <v>302</v>
      </c>
      <c r="BA144" t="s">
        <v>293</v>
      </c>
      <c r="BB144" t="s">
        <v>404</v>
      </c>
      <c r="BC144" t="s">
        <v>1880</v>
      </c>
      <c r="BD144" t="s">
        <v>1881</v>
      </c>
      <c r="BE144" t="s">
        <v>1882</v>
      </c>
      <c r="BF144" t="s">
        <v>1883</v>
      </c>
      <c r="BG144" t="s">
        <v>1884</v>
      </c>
      <c r="BH144" t="s">
        <v>338</v>
      </c>
      <c r="BI144" t="s">
        <v>23</v>
      </c>
      <c r="BJ144" t="s">
        <v>590</v>
      </c>
      <c r="BK144" t="s">
        <v>5633</v>
      </c>
      <c r="BL144" t="s">
        <v>1885</v>
      </c>
      <c r="BM144" t="s">
        <v>1880</v>
      </c>
      <c r="BN144">
        <v>3.79</v>
      </c>
      <c r="BO144">
        <v>24.08</v>
      </c>
      <c r="BP144">
        <v>16.75</v>
      </c>
      <c r="BQ144">
        <v>4.1399999999999997</v>
      </c>
      <c r="BR144">
        <v>29.18</v>
      </c>
      <c r="BS144" t="s">
        <v>9</v>
      </c>
      <c r="BT144" t="s">
        <v>851</v>
      </c>
      <c r="BU144" t="s">
        <v>1879</v>
      </c>
      <c r="BV144">
        <v>10.71</v>
      </c>
      <c r="BW144">
        <v>19.91</v>
      </c>
      <c r="BX144">
        <v>16.89</v>
      </c>
      <c r="BY144">
        <v>1.91</v>
      </c>
      <c r="BZ144">
        <v>11.36</v>
      </c>
      <c r="CA144">
        <v>8.1</v>
      </c>
      <c r="CB144">
        <v>2.87</v>
      </c>
      <c r="CC144">
        <v>-6.17</v>
      </c>
      <c r="CD144" t="s">
        <v>5634</v>
      </c>
      <c r="CE144" t="s">
        <v>5635</v>
      </c>
      <c r="CF144" s="8">
        <v>-0.47692307692307695</v>
      </c>
      <c r="CG144" s="9">
        <v>-0.31790000000000002</v>
      </c>
      <c r="CH144" s="8">
        <v>-0.79012346267700195</v>
      </c>
      <c r="CI144" s="8">
        <v>0.21575984358787537</v>
      </c>
      <c r="CJ144" s="8">
        <v>0.30317848920822144</v>
      </c>
      <c r="CK144" s="8">
        <v>9.9462367594242096E-2</v>
      </c>
      <c r="CL144" s="8">
        <v>0.32384341955184937</v>
      </c>
      <c r="CM144" s="9">
        <v>-0.94299459457397461</v>
      </c>
      <c r="CN144" s="9">
        <v>0.70322734117507935</v>
      </c>
      <c r="CO144" s="9">
        <v>0.6117510199546814</v>
      </c>
      <c r="CP144" s="9">
        <v>0.8094668984413147</v>
      </c>
      <c r="CQ144" s="9">
        <v>1.4020866714417934E-2</v>
      </c>
      <c r="CR144">
        <v>-0.40283817879239775</v>
      </c>
      <c r="CS144" t="e">
        <v>#DIV/0!</v>
      </c>
      <c r="CT144">
        <v>3.9840637450199208</v>
      </c>
      <c r="CU144" s="8">
        <v>0</v>
      </c>
      <c r="CV144" s="9">
        <v>0</v>
      </c>
      <c r="CW144">
        <v>0.06</v>
      </c>
      <c r="CX144">
        <v>27.617118332896212</v>
      </c>
      <c r="CY144">
        <v>3956698.113207547</v>
      </c>
      <c r="CZ144">
        <v>0</v>
      </c>
      <c r="DA144">
        <v>9.7470141220135016</v>
      </c>
      <c r="DB144">
        <v>11210879.417237047</v>
      </c>
      <c r="DC144">
        <v>0</v>
      </c>
      <c r="DD144">
        <v>5.2983865802641477</v>
      </c>
      <c r="DE144">
        <v>20623749.955699209</v>
      </c>
      <c r="DF144">
        <v>0</v>
      </c>
      <c r="DG144">
        <v>3.5398881885106972</v>
      </c>
      <c r="DH144">
        <v>30868941.102338377</v>
      </c>
      <c r="DI144">
        <v>0</v>
      </c>
      <c r="DJ144">
        <v>2.2714964404064522</v>
      </c>
      <c r="DK144">
        <v>48105996.582784526</v>
      </c>
      <c r="DL144">
        <v>0</v>
      </c>
      <c r="DM144">
        <v>4194100.0000000005</v>
      </c>
      <c r="DN144">
        <v>0</v>
      </c>
      <c r="DO144">
        <v>109272600</v>
      </c>
      <c r="DP144">
        <v>202573840</v>
      </c>
      <c r="DQ144">
        <v>143</v>
      </c>
      <c r="DR144">
        <v>-0.47692307692307695</v>
      </c>
      <c r="DS144">
        <v>-0.31790000000000002</v>
      </c>
      <c r="DT144">
        <v>-0.44</v>
      </c>
      <c r="DU144">
        <v>-0.44</v>
      </c>
      <c r="DV144">
        <v>-0.88</v>
      </c>
      <c r="DW144">
        <v>6.3174778761061949</v>
      </c>
      <c r="DX144">
        <v>0.53465258431192986</v>
      </c>
      <c r="DY144">
        <v>6.0649726678069946</v>
      </c>
      <c r="DZ144">
        <v>0</v>
      </c>
      <c r="EA144">
        <v>6.0649726678069946</v>
      </c>
      <c r="EB144">
        <v>6</v>
      </c>
      <c r="EC144">
        <v>1.9676160461179364E-2</v>
      </c>
      <c r="ED144">
        <v>9.6144207156403774E-2</v>
      </c>
      <c r="EE144">
        <v>0</v>
      </c>
      <c r="EF144">
        <v>0</v>
      </c>
      <c r="EG144">
        <v>33.20465258431193</v>
      </c>
      <c r="EH144" t="s">
        <v>86</v>
      </c>
      <c r="EI144">
        <v>0</v>
      </c>
      <c r="EJ144">
        <v>0</v>
      </c>
      <c r="EK144">
        <v>0</v>
      </c>
      <c r="EL144">
        <v>0</v>
      </c>
      <c r="EM144">
        <v>0</v>
      </c>
      <c r="EN144">
        <v>0</v>
      </c>
      <c r="EO144">
        <v>0</v>
      </c>
      <c r="EP144">
        <v>0</v>
      </c>
    </row>
    <row r="145" spans="1:146" ht="108" x14ac:dyDescent="0.25">
      <c r="A145" s="10"/>
      <c r="B145" s="10"/>
      <c r="C145" s="7" t="str">
        <f>""&amp;CHAR(10)&amp;Basic_Fundamental_Information_Constructure(F145)&amp;CHAR(10)&amp;Basic_Fundamental_Information_Concatenate("")</f>
        <v xml:space="preserve">
市值9.8273158亿, 利润123.27万; PE594.5; 平均PE20.32, PB2.03; ROIC4.9567%; ROE5.64%; 股利率2.0833%; 毛利72.9267%; 净利13.3%; 上一年度营收增-75.88%, 利润增-91.71%; 当季营收增-69.02%, 利润增-83.58%; 过往5年营收增0%, 利润增0%
Income profile:
</v>
      </c>
      <c r="D145">
        <v>836433</v>
      </c>
      <c r="E145" t="s">
        <v>1886</v>
      </c>
      <c r="F145">
        <v>3.84</v>
      </c>
      <c r="G145" s="5">
        <v>-2.78</v>
      </c>
      <c r="H145" t="s">
        <v>5636</v>
      </c>
      <c r="I145">
        <v>982731580</v>
      </c>
      <c r="J145">
        <v>594.5</v>
      </c>
      <c r="K145">
        <v>2.0299999999999998</v>
      </c>
      <c r="L145" t="s">
        <v>2604</v>
      </c>
      <c r="M145" t="s">
        <v>40</v>
      </c>
      <c r="N145" t="s">
        <v>115</v>
      </c>
      <c r="O145" t="s">
        <v>5637</v>
      </c>
      <c r="P145">
        <v>-29.72</v>
      </c>
      <c r="Q145" t="s">
        <v>5637</v>
      </c>
      <c r="R145">
        <v>1232674</v>
      </c>
      <c r="S145" s="5">
        <v>-0.83579999999999999</v>
      </c>
      <c r="T145" t="s">
        <v>5638</v>
      </c>
      <c r="U145">
        <v>169132690</v>
      </c>
      <c r="V145">
        <v>258777180</v>
      </c>
      <c r="W145">
        <v>1.39</v>
      </c>
      <c r="X145">
        <v>0.05</v>
      </c>
      <c r="Y145">
        <v>3.23</v>
      </c>
      <c r="Z145" t="s">
        <v>5639</v>
      </c>
      <c r="AA145" t="s">
        <v>5640</v>
      </c>
      <c r="AB145" t="s">
        <v>5641</v>
      </c>
      <c r="AC145" t="s">
        <v>5642</v>
      </c>
      <c r="AD145" t="s">
        <v>5643</v>
      </c>
      <c r="AE145">
        <v>1030087</v>
      </c>
      <c r="AF145" t="s">
        <v>5644</v>
      </c>
      <c r="AG145" t="s">
        <v>5645</v>
      </c>
      <c r="AH145" t="s">
        <v>5646</v>
      </c>
      <c r="AI145" t="s">
        <v>5647</v>
      </c>
      <c r="AJ145" t="s">
        <v>9</v>
      </c>
      <c r="AK145" t="s">
        <v>5648</v>
      </c>
      <c r="AL145" t="s">
        <v>5649</v>
      </c>
      <c r="AM145" t="s">
        <v>9</v>
      </c>
      <c r="AN145" t="s">
        <v>665</v>
      </c>
      <c r="AO145" t="s">
        <v>5650</v>
      </c>
      <c r="AP145" t="s">
        <v>9</v>
      </c>
      <c r="AQ145" t="s">
        <v>5651</v>
      </c>
      <c r="AR145" t="s">
        <v>9</v>
      </c>
      <c r="AS145" t="s">
        <v>34</v>
      </c>
      <c r="AT145" t="s">
        <v>9</v>
      </c>
      <c r="AU145" t="s">
        <v>5652</v>
      </c>
      <c r="AV145" t="s">
        <v>5653</v>
      </c>
      <c r="AW145" t="s">
        <v>5654</v>
      </c>
      <c r="AX145" t="s">
        <v>227</v>
      </c>
      <c r="AY145" t="s">
        <v>265</v>
      </c>
      <c r="AZ145" t="s">
        <v>489</v>
      </c>
      <c r="BA145" t="s">
        <v>61</v>
      </c>
      <c r="BB145" t="s">
        <v>849</v>
      </c>
      <c r="BC145" t="s">
        <v>5655</v>
      </c>
      <c r="BD145" t="s">
        <v>1887</v>
      </c>
      <c r="BE145" t="s">
        <v>1888</v>
      </c>
      <c r="BF145" t="s">
        <v>1889</v>
      </c>
      <c r="BG145" t="s">
        <v>1890</v>
      </c>
      <c r="BH145" t="s">
        <v>15</v>
      </c>
      <c r="BI145" t="s">
        <v>21</v>
      </c>
      <c r="BJ145" t="s">
        <v>227</v>
      </c>
      <c r="BK145" t="s">
        <v>5656</v>
      </c>
      <c r="BL145" t="s">
        <v>1891</v>
      </c>
      <c r="BM145" t="s">
        <v>5655</v>
      </c>
      <c r="BN145">
        <v>1.72</v>
      </c>
      <c r="BO145">
        <v>2.78</v>
      </c>
      <c r="BP145">
        <v>10.37</v>
      </c>
      <c r="BQ145">
        <v>2.14</v>
      </c>
      <c r="BR145">
        <v>2.95</v>
      </c>
      <c r="BS145">
        <v>11.83</v>
      </c>
      <c r="BT145" t="s">
        <v>1698</v>
      </c>
      <c r="BU145" t="s">
        <v>1416</v>
      </c>
      <c r="BV145">
        <v>71.42</v>
      </c>
      <c r="BW145">
        <v>72.459999999999994</v>
      </c>
      <c r="BX145">
        <v>74.900000000000006</v>
      </c>
      <c r="BY145">
        <v>4.21</v>
      </c>
      <c r="BZ145">
        <v>9.43</v>
      </c>
      <c r="CA145">
        <v>26.26</v>
      </c>
      <c r="CB145">
        <v>3.23</v>
      </c>
      <c r="CC145">
        <v>-15.79</v>
      </c>
      <c r="CD145" t="s">
        <v>5657</v>
      </c>
      <c r="CE145" t="s">
        <v>5658</v>
      </c>
      <c r="CF145" s="8">
        <v>-0.69021382113821139</v>
      </c>
      <c r="CG145" s="9">
        <v>-0.83579999999999999</v>
      </c>
      <c r="CH145" s="8">
        <v>-0.75883734226226807</v>
      </c>
      <c r="CI145" s="8">
        <v>-0.33050847053527832</v>
      </c>
      <c r="CJ145" s="8">
        <v>8.2568809390068054E-2</v>
      </c>
      <c r="CK145" s="8">
        <v>-3.1111111864447594E-2</v>
      </c>
      <c r="CL145" s="8">
        <v>0.33136093616485596</v>
      </c>
      <c r="CM145" s="9">
        <v>-0.91713941097259521</v>
      </c>
      <c r="CN145" s="9">
        <v>-0.75984013080596924</v>
      </c>
      <c r="CO145" s="9">
        <v>1.8108725547790527E-2</v>
      </c>
      <c r="CP145" s="9">
        <v>0.12233544141054153</v>
      </c>
      <c r="CQ145" s="9">
        <v>0.34589231014251709</v>
      </c>
      <c r="CR145">
        <v>20.321908230725274</v>
      </c>
      <c r="CS145" t="e">
        <v>#DIV/0!</v>
      </c>
      <c r="CT145">
        <v>2.0833333333333335</v>
      </c>
      <c r="CU145" s="8">
        <v>0</v>
      </c>
      <c r="CV145" s="9">
        <v>0</v>
      </c>
      <c r="CW145">
        <v>0.06</v>
      </c>
      <c r="CX145">
        <v>640.39545290825026</v>
      </c>
      <c r="CY145">
        <v>1162924.5283018867</v>
      </c>
      <c r="CZ145">
        <v>0</v>
      </c>
      <c r="DA145">
        <v>226.01719150889247</v>
      </c>
      <c r="DB145">
        <v>3295021.8301013582</v>
      </c>
      <c r="DC145">
        <v>0</v>
      </c>
      <c r="DD145">
        <v>122.8608514781065</v>
      </c>
      <c r="DE145">
        <v>6061585.6966668451</v>
      </c>
      <c r="DF145">
        <v>0</v>
      </c>
      <c r="DG145">
        <v>82.084172302133894</v>
      </c>
      <c r="DH145">
        <v>9072779.3082788959</v>
      </c>
      <c r="DI145">
        <v>0</v>
      </c>
      <c r="DJ145">
        <v>52.672258350750901</v>
      </c>
      <c r="DK145">
        <v>14138971.886125384</v>
      </c>
      <c r="DL145">
        <v>0</v>
      </c>
      <c r="DM145">
        <v>1232700</v>
      </c>
      <c r="DN145">
        <v>0</v>
      </c>
      <c r="DO145">
        <v>744731580</v>
      </c>
      <c r="DP145">
        <v>24770710</v>
      </c>
      <c r="DQ145">
        <v>144</v>
      </c>
      <c r="DR145">
        <v>-0.69021382113821139</v>
      </c>
      <c r="DS145">
        <v>-0.83579999999999999</v>
      </c>
      <c r="DT145">
        <v>-0.44</v>
      </c>
      <c r="DU145">
        <v>-0.44</v>
      </c>
      <c r="DV145">
        <v>-0.88</v>
      </c>
      <c r="DW145">
        <v>6.1698212407991591</v>
      </c>
      <c r="DX145">
        <v>0.35586075165303332</v>
      </c>
      <c r="DY145">
        <v>6.0434505903175237</v>
      </c>
      <c r="DZ145">
        <v>0</v>
      </c>
      <c r="EA145">
        <v>6.0434505903175237</v>
      </c>
      <c r="EB145">
        <v>6</v>
      </c>
      <c r="EC145">
        <v>6.4807491912540358E-2</v>
      </c>
      <c r="ED145">
        <v>0.25329204066602784</v>
      </c>
      <c r="EE145">
        <v>0</v>
      </c>
      <c r="EF145">
        <v>0</v>
      </c>
      <c r="EG145">
        <v>10.255860751653033</v>
      </c>
      <c r="EH145" t="s">
        <v>86</v>
      </c>
      <c r="EI145">
        <v>0</v>
      </c>
      <c r="EJ145">
        <v>0</v>
      </c>
      <c r="EK145">
        <v>0</v>
      </c>
      <c r="EL145">
        <v>0</v>
      </c>
      <c r="EM145">
        <v>0</v>
      </c>
      <c r="EN145">
        <v>0</v>
      </c>
      <c r="EO145">
        <v>0</v>
      </c>
      <c r="EP145">
        <v>0</v>
      </c>
    </row>
    <row r="146" spans="1:146" ht="96" x14ac:dyDescent="0.25">
      <c r="A146" s="10"/>
      <c r="B146" s="10"/>
      <c r="C146" s="7" t="str">
        <f>""&amp;CHAR(10)&amp;Basic_Fundamental_Information_Constructure(F146)&amp;CHAR(10)&amp;Basic_Fundamental_Information_Concatenate("")</f>
        <v xml:space="preserve">
市值5.2216386亿, 利润116.27万; PE21.33; 平均PE-1.45, PB2.69; ROIC19.0833%; ROE16.76%; 股利率1.6598%; 毛利39.8%; 净利18.3067%; 上一年度营收增-83.55%, 利润增-95.6%; 当季营收增-64.97%, 利润增-65.29%; 过往5年营收增0%, 利润增0%
Income profile:
</v>
      </c>
      <c r="D146">
        <v>836504</v>
      </c>
      <c r="E146" t="s">
        <v>1892</v>
      </c>
      <c r="F146">
        <v>12.05</v>
      </c>
      <c r="G146" s="5">
        <v>1.69</v>
      </c>
      <c r="H146" t="s">
        <v>5659</v>
      </c>
      <c r="I146">
        <v>522163860</v>
      </c>
      <c r="J146">
        <v>21.33</v>
      </c>
      <c r="K146">
        <v>2.69</v>
      </c>
      <c r="L146" t="s">
        <v>2604</v>
      </c>
      <c r="M146" t="s">
        <v>5660</v>
      </c>
      <c r="N146" t="s">
        <v>264</v>
      </c>
      <c r="O146" t="s">
        <v>5661</v>
      </c>
      <c r="P146">
        <v>-21.19</v>
      </c>
      <c r="Q146" t="s">
        <v>5661</v>
      </c>
      <c r="R146">
        <v>1162698</v>
      </c>
      <c r="S146" s="6">
        <v>-0.65290000000000004</v>
      </c>
      <c r="T146" t="s">
        <v>1269</v>
      </c>
      <c r="U146">
        <v>12485100</v>
      </c>
      <c r="V146">
        <v>43333100</v>
      </c>
      <c r="W146">
        <v>1.35</v>
      </c>
      <c r="X146">
        <v>0.09</v>
      </c>
      <c r="Y146">
        <v>4.9400000000000004</v>
      </c>
      <c r="Z146" t="s">
        <v>5662</v>
      </c>
      <c r="AA146" t="s">
        <v>5663</v>
      </c>
      <c r="AB146" t="s">
        <v>5664</v>
      </c>
      <c r="AC146" t="s">
        <v>5665</v>
      </c>
      <c r="AD146" t="s">
        <v>5666</v>
      </c>
      <c r="AE146">
        <v>166298</v>
      </c>
      <c r="AF146" t="s">
        <v>5667</v>
      </c>
      <c r="AG146" t="s">
        <v>9</v>
      </c>
      <c r="AH146" t="s">
        <v>5668</v>
      </c>
      <c r="AI146" t="s">
        <v>5669</v>
      </c>
      <c r="AJ146" t="s">
        <v>9</v>
      </c>
      <c r="AK146" t="s">
        <v>5670</v>
      </c>
      <c r="AL146" t="s">
        <v>5671</v>
      </c>
      <c r="AM146" t="s">
        <v>9</v>
      </c>
      <c r="AN146" t="s">
        <v>5672</v>
      </c>
      <c r="AO146" t="s">
        <v>767</v>
      </c>
      <c r="AP146" t="s">
        <v>9</v>
      </c>
      <c r="AQ146" t="s">
        <v>5673</v>
      </c>
      <c r="AR146" t="s">
        <v>9</v>
      </c>
      <c r="AS146" t="s">
        <v>5674</v>
      </c>
      <c r="AT146" t="s">
        <v>9</v>
      </c>
      <c r="AU146" t="s">
        <v>5675</v>
      </c>
      <c r="AV146" t="s">
        <v>5676</v>
      </c>
      <c r="AW146" t="s">
        <v>5677</v>
      </c>
      <c r="AX146" t="s">
        <v>535</v>
      </c>
      <c r="AY146" t="s">
        <v>438</v>
      </c>
      <c r="AZ146" t="s">
        <v>77</v>
      </c>
      <c r="BA146" t="s">
        <v>406</v>
      </c>
      <c r="BB146" t="s">
        <v>20</v>
      </c>
      <c r="BC146" t="s">
        <v>5678</v>
      </c>
      <c r="BD146" t="s">
        <v>1894</v>
      </c>
      <c r="BE146" t="s">
        <v>1895</v>
      </c>
      <c r="BF146" t="s">
        <v>1896</v>
      </c>
      <c r="BG146" t="s">
        <v>1897</v>
      </c>
      <c r="BH146" t="s">
        <v>253</v>
      </c>
      <c r="BI146" t="s">
        <v>1898</v>
      </c>
      <c r="BJ146" t="s">
        <v>535</v>
      </c>
      <c r="BK146" t="s">
        <v>5679</v>
      </c>
      <c r="BL146" t="s">
        <v>1899</v>
      </c>
      <c r="BM146" t="s">
        <v>5678</v>
      </c>
      <c r="BN146">
        <v>8.76</v>
      </c>
      <c r="BO146">
        <v>22.01</v>
      </c>
      <c r="BP146">
        <v>26.48</v>
      </c>
      <c r="BQ146">
        <v>10.91</v>
      </c>
      <c r="BR146">
        <v>22.61</v>
      </c>
      <c r="BS146" t="s">
        <v>9</v>
      </c>
      <c r="BT146" t="s">
        <v>851</v>
      </c>
      <c r="BU146" t="s">
        <v>812</v>
      </c>
      <c r="BV146">
        <v>41</v>
      </c>
      <c r="BW146">
        <v>40.4</v>
      </c>
      <c r="BX146">
        <v>38</v>
      </c>
      <c r="BY146">
        <v>18.75</v>
      </c>
      <c r="BZ146">
        <v>18.510000000000002</v>
      </c>
      <c r="CA146">
        <v>17.66</v>
      </c>
      <c r="CB146">
        <v>6.83</v>
      </c>
      <c r="CC146">
        <v>-11.85</v>
      </c>
      <c r="CD146" t="s">
        <v>5680</v>
      </c>
      <c r="CE146" t="s">
        <v>5681</v>
      </c>
      <c r="CF146" s="8">
        <v>-0.64972719746019647</v>
      </c>
      <c r="CG146" s="9">
        <v>-0.65290000000000004</v>
      </c>
      <c r="CH146" s="8">
        <v>-0.83550703525543213</v>
      </c>
      <c r="CI146" s="8">
        <v>-0.10062892735004425</v>
      </c>
      <c r="CJ146" s="8">
        <v>0.13571429252624512</v>
      </c>
      <c r="CK146" s="8">
        <v>6.8702287971973419E-2</v>
      </c>
      <c r="CL146" s="8">
        <v>-1.5037594363093376E-2</v>
      </c>
      <c r="CM146" s="9">
        <v>-0.95597648620605469</v>
      </c>
      <c r="CN146" s="9">
        <v>-6.2156222760677338E-2</v>
      </c>
      <c r="CO146" s="9">
        <v>0.31061428785324097</v>
      </c>
      <c r="CP146" s="9">
        <v>0.55624681711196899</v>
      </c>
      <c r="CQ146" s="9">
        <v>0.4648093581199646</v>
      </c>
      <c r="CR146">
        <v>-1.4488919062095271</v>
      </c>
      <c r="CS146" t="e">
        <v>#DIV/0!</v>
      </c>
      <c r="CT146">
        <v>1.6597510373443982</v>
      </c>
      <c r="CU146" s="8">
        <v>0</v>
      </c>
      <c r="CV146" s="9">
        <v>0</v>
      </c>
      <c r="CW146">
        <v>0.06</v>
      </c>
      <c r="CX146">
        <v>366.78786066913221</v>
      </c>
      <c r="CY146">
        <v>1096886.7924528301</v>
      </c>
      <c r="CZ146">
        <v>0</v>
      </c>
      <c r="DA146">
        <v>129.45182819695847</v>
      </c>
      <c r="DB146">
        <v>3107910.993639044</v>
      </c>
      <c r="DC146">
        <v>0</v>
      </c>
      <c r="DD146">
        <v>70.368814564489099</v>
      </c>
      <c r="DE146">
        <v>5717372.9938464677</v>
      </c>
      <c r="DF146">
        <v>0</v>
      </c>
      <c r="DG146">
        <v>47.013884650129832</v>
      </c>
      <c r="DH146">
        <v>8557573.214679867</v>
      </c>
      <c r="DI146">
        <v>0</v>
      </c>
      <c r="DJ146">
        <v>30.168148242382472</v>
      </c>
      <c r="DK146">
        <v>13336077.400825817</v>
      </c>
      <c r="DL146">
        <v>0</v>
      </c>
      <c r="DM146">
        <v>1162700</v>
      </c>
      <c r="DN146">
        <v>0</v>
      </c>
      <c r="DO146">
        <v>402324760</v>
      </c>
      <c r="DP146">
        <v>138944480</v>
      </c>
      <c r="DQ146">
        <v>145</v>
      </c>
      <c r="DR146">
        <v>-0.64972719746019647</v>
      </c>
      <c r="DS146">
        <v>-0.65290000000000004</v>
      </c>
      <c r="DT146">
        <v>-0.44</v>
      </c>
      <c r="DU146">
        <v>-0.44</v>
      </c>
      <c r="DV146">
        <v>-0.88</v>
      </c>
      <c r="DW146">
        <v>7.3656316916488223</v>
      </c>
      <c r="DX146">
        <v>0.6716177881321107</v>
      </c>
      <c r="DY146">
        <v>7.1139373390226073</v>
      </c>
      <c r="DZ146">
        <v>0</v>
      </c>
      <c r="EA146">
        <v>7.1139373390226073</v>
      </c>
      <c r="EB146">
        <v>7</v>
      </c>
      <c r="EC146">
        <v>8.3958913624919515E-2</v>
      </c>
      <c r="ED146">
        <v>0.26942914308000121</v>
      </c>
      <c r="EE146">
        <v>0</v>
      </c>
      <c r="EF146">
        <v>0</v>
      </c>
      <c r="EG146">
        <v>36.311617788132111</v>
      </c>
      <c r="EH146" t="s">
        <v>86</v>
      </c>
      <c r="EI146">
        <v>1</v>
      </c>
      <c r="EJ146">
        <v>0</v>
      </c>
      <c r="EK146">
        <v>0</v>
      </c>
      <c r="EL146">
        <v>0</v>
      </c>
      <c r="EM146">
        <v>0</v>
      </c>
      <c r="EN146">
        <v>0</v>
      </c>
      <c r="EO146">
        <v>0</v>
      </c>
      <c r="EP146">
        <v>0</v>
      </c>
    </row>
    <row r="147" spans="1:146" ht="96" x14ac:dyDescent="0.25">
      <c r="C147" s="7" t="str">
        <f>""&amp;CHAR(10)&amp;Basic_Fundamental_Information_Constructure(F147)&amp;CHAR(10)&amp;Basic_Fundamental_Information_Concatenate("")</f>
        <v xml:space="preserve">
市值10.87632亿, 利润1467.37万; PE22.31; 平均PE4.48, PB1.7; ROIC23.9967%; ROE21.91%; 股利率2.1429%; 毛利32.7767%; 净利16.5533%; 上一年度营收增-76.19%, 利润增-77.2%; 当季营收增-54.6%, 利润增0%; 过往5年营收增0%, 利润增0%
Income profile:
</v>
      </c>
      <c r="D147">
        <v>836547</v>
      </c>
      <c r="E147" t="s">
        <v>5682</v>
      </c>
      <c r="F147">
        <v>14</v>
      </c>
      <c r="G147">
        <v>-2.64</v>
      </c>
      <c r="H147" t="s">
        <v>5683</v>
      </c>
      <c r="I147">
        <v>1087632000</v>
      </c>
      <c r="J147">
        <v>22.31</v>
      </c>
      <c r="K147">
        <v>1.7</v>
      </c>
      <c r="L147" t="s">
        <v>2604</v>
      </c>
      <c r="M147" t="s">
        <v>229</v>
      </c>
      <c r="N147" t="s">
        <v>5684</v>
      </c>
      <c r="O147" t="s">
        <v>5685</v>
      </c>
      <c r="P147" s="6">
        <v>-19.04</v>
      </c>
      <c r="Q147" t="s">
        <v>5685</v>
      </c>
      <c r="R147">
        <v>14673682</v>
      </c>
      <c r="S147">
        <v>0</v>
      </c>
      <c r="T147" t="s">
        <v>5686</v>
      </c>
      <c r="U147">
        <v>16820100</v>
      </c>
      <c r="V147">
        <v>64740000</v>
      </c>
      <c r="W147">
        <v>1.22</v>
      </c>
      <c r="X147">
        <v>0.12</v>
      </c>
      <c r="Y147">
        <v>15.92</v>
      </c>
      <c r="Z147" t="s">
        <v>5687</v>
      </c>
      <c r="AA147" t="s">
        <v>5688</v>
      </c>
      <c r="AB147" t="s">
        <v>2998</v>
      </c>
      <c r="AC147" t="s">
        <v>5689</v>
      </c>
      <c r="AD147" t="s">
        <v>5690</v>
      </c>
      <c r="AE147">
        <v>1816044</v>
      </c>
      <c r="AF147" t="s">
        <v>5691</v>
      </c>
      <c r="AG147" t="s">
        <v>9</v>
      </c>
      <c r="AH147" t="s">
        <v>5692</v>
      </c>
      <c r="AI147" t="s">
        <v>174</v>
      </c>
      <c r="AJ147" t="s">
        <v>9</v>
      </c>
      <c r="AK147" t="s">
        <v>5693</v>
      </c>
      <c r="AL147" t="s">
        <v>5694</v>
      </c>
      <c r="AM147" t="s">
        <v>9</v>
      </c>
      <c r="AN147" t="s">
        <v>164</v>
      </c>
      <c r="AO147" t="s">
        <v>5695</v>
      </c>
      <c r="AP147" t="s">
        <v>5696</v>
      </c>
      <c r="AQ147" t="s">
        <v>5697</v>
      </c>
      <c r="AR147" t="s">
        <v>9</v>
      </c>
      <c r="AS147" t="s">
        <v>59</v>
      </c>
      <c r="AT147" t="s">
        <v>9</v>
      </c>
      <c r="AU147" t="s">
        <v>5698</v>
      </c>
      <c r="AV147" t="s">
        <v>5699</v>
      </c>
      <c r="AW147" t="s">
        <v>5700</v>
      </c>
      <c r="AX147" t="s">
        <v>172</v>
      </c>
      <c r="AY147" t="s">
        <v>311</v>
      </c>
      <c r="AZ147" t="s">
        <v>75</v>
      </c>
      <c r="BA147" t="s">
        <v>168</v>
      </c>
      <c r="BB147" t="s">
        <v>287</v>
      </c>
      <c r="BC147" t="s">
        <v>5701</v>
      </c>
      <c r="BD147" t="s">
        <v>5702</v>
      </c>
      <c r="BE147" t="s">
        <v>5703</v>
      </c>
      <c r="BF147" t="s">
        <v>5704</v>
      </c>
      <c r="BG147" t="s">
        <v>5705</v>
      </c>
      <c r="BH147" t="s">
        <v>618</v>
      </c>
      <c r="BI147" t="s">
        <v>453</v>
      </c>
      <c r="BJ147" t="s">
        <v>172</v>
      </c>
      <c r="BK147" t="s">
        <v>5706</v>
      </c>
      <c r="BL147" t="s">
        <v>5707</v>
      </c>
      <c r="BM147" t="s">
        <v>5701</v>
      </c>
      <c r="BN147">
        <v>13.77</v>
      </c>
      <c r="BO147">
        <v>22.46</v>
      </c>
      <c r="BP147">
        <v>35.76</v>
      </c>
      <c r="BQ147" t="s">
        <v>9</v>
      </c>
      <c r="BR147">
        <v>21.91</v>
      </c>
      <c r="BS147" t="s">
        <v>9</v>
      </c>
      <c r="BT147" t="s">
        <v>3992</v>
      </c>
      <c r="BU147" t="s">
        <v>853</v>
      </c>
      <c r="BV147">
        <v>32.770000000000003</v>
      </c>
      <c r="BW147">
        <v>31.89</v>
      </c>
      <c r="BX147">
        <v>33.67</v>
      </c>
      <c r="BY147">
        <v>13.73</v>
      </c>
      <c r="BZ147">
        <v>16.649999999999999</v>
      </c>
      <c r="CA147">
        <v>19.28</v>
      </c>
      <c r="CB147">
        <v>-2.91</v>
      </c>
      <c r="CC147" s="8">
        <v>-15.15</v>
      </c>
      <c r="CD147" s="11" t="s">
        <v>5708</v>
      </c>
      <c r="CE147" s="8" t="s">
        <v>5709</v>
      </c>
      <c r="CF147" s="8">
        <v>-0.54601871921182255</v>
      </c>
      <c r="CG147" s="8">
        <v>0</v>
      </c>
      <c r="CH147" s="8">
        <v>-0.76186507940292358</v>
      </c>
      <c r="CI147" s="8">
        <v>7.8125E-3</v>
      </c>
      <c r="CJ147" s="9">
        <v>0.44360902905464172</v>
      </c>
      <c r="CK147" s="9">
        <v>0.34343433380126953</v>
      </c>
      <c r="CL147" s="9">
        <v>5.8823529630899429E-2</v>
      </c>
      <c r="CM147" s="9">
        <v>-0.77197080850601196</v>
      </c>
      <c r="CN147" s="9">
        <v>-0.12989968061447144</v>
      </c>
      <c r="CO147">
        <v>0.49788662791252136</v>
      </c>
      <c r="CP147">
        <v>1.2497779130935669</v>
      </c>
      <c r="CQ147">
        <v>0.64747172594070435</v>
      </c>
      <c r="CR147" s="8">
        <v>4.4799271106494203</v>
      </c>
      <c r="CS147" s="9" t="e">
        <v>#DIV/0!</v>
      </c>
      <c r="CT147">
        <v>2.1428571428571428</v>
      </c>
      <c r="CU147">
        <v>0</v>
      </c>
      <c r="CV147">
        <v>0</v>
      </c>
      <c r="CW147">
        <v>0.06</v>
      </c>
      <c r="CX147">
        <v>44.038648738900214</v>
      </c>
      <c r="CY147">
        <v>13843113.207547167</v>
      </c>
      <c r="CZ147">
        <v>0</v>
      </c>
      <c r="DA147">
        <v>15.542727014395116</v>
      </c>
      <c r="DB147">
        <v>39222975.442815199</v>
      </c>
      <c r="DC147">
        <v>0</v>
      </c>
      <c r="DD147">
        <v>8.4488824170050822</v>
      </c>
      <c r="DE147">
        <v>72155341.962505296</v>
      </c>
      <c r="DF147">
        <v>0</v>
      </c>
      <c r="DG147">
        <v>5.6447559310745792</v>
      </c>
      <c r="DH147">
        <v>107999709.36634381</v>
      </c>
      <c r="DI147">
        <v>0</v>
      </c>
      <c r="DJ147">
        <v>3.6221604529813161</v>
      </c>
      <c r="DK147">
        <v>168306182.9848609</v>
      </c>
      <c r="DL147">
        <v>0</v>
      </c>
      <c r="DM147">
        <v>14673699.999999998</v>
      </c>
      <c r="DN147">
        <v>0</v>
      </c>
      <c r="DO147">
        <v>609632000</v>
      </c>
      <c r="DP147">
        <v>370382270</v>
      </c>
      <c r="DQ147">
        <v>146</v>
      </c>
      <c r="DR147">
        <v>-0.54601871921182255</v>
      </c>
      <c r="DS147">
        <v>0</v>
      </c>
      <c r="DT147">
        <v>-0.44</v>
      </c>
      <c r="DU147">
        <v>-0.22</v>
      </c>
      <c r="DV147">
        <v>-0.66</v>
      </c>
      <c r="DW147">
        <v>-8.1920792079207914</v>
      </c>
      <c r="DX147">
        <v>0.25549048795948692</v>
      </c>
      <c r="DY147">
        <v>-8.0260249056080593</v>
      </c>
      <c r="DZ147">
        <v>0</v>
      </c>
      <c r="EA147">
        <v>-8.0260249056080593</v>
      </c>
      <c r="EB147">
        <v>8</v>
      </c>
      <c r="EC147">
        <v>2.9383688600556072E-2</v>
      </c>
      <c r="ED147">
        <v>0.21686901451961693</v>
      </c>
      <c r="EE147">
        <v>0</v>
      </c>
      <c r="EF147">
        <v>0</v>
      </c>
      <c r="EG147">
        <v>12.135490487959487</v>
      </c>
      <c r="EH147" t="s">
        <v>86</v>
      </c>
      <c r="EI147">
        <v>0</v>
      </c>
      <c r="EJ147">
        <v>0</v>
      </c>
      <c r="EK147">
        <v>0</v>
      </c>
      <c r="EL147">
        <v>0</v>
      </c>
      <c r="EM147">
        <v>0</v>
      </c>
      <c r="EN147">
        <v>0</v>
      </c>
      <c r="EO147">
        <v>0</v>
      </c>
      <c r="EP147">
        <v>0</v>
      </c>
    </row>
    <row r="148" spans="1:146" ht="108" x14ac:dyDescent="0.25">
      <c r="A148" s="10"/>
      <c r="B148" s="10"/>
      <c r="C148" s="7" t="str">
        <f>""&amp;CHAR(10)&amp;Basic_Fundamental_Information_Constructure(F148)&amp;CHAR(10)&amp;Basic_Fundamental_Information_Concatenate("")</f>
        <v xml:space="preserve">
市值9.6933962亿, 利润2244.57万; PE12.93; 平均PE.18, PB1.6; ROIC9.9033%; ROE11.1167%; 股利率3.5524%; 毛利25.5933%; 净利15.3267%; 上一年度营收增-68.88%, 利润增-63.4%; 当季营收增-38.3%, 利润增39.32%; 过往5年营收增0%, 利润增0%
Income profile:
</v>
      </c>
      <c r="D148">
        <v>836675</v>
      </c>
      <c r="E148" t="s">
        <v>1900</v>
      </c>
      <c r="F148">
        <v>5.63</v>
      </c>
      <c r="G148" s="5">
        <v>-1.23</v>
      </c>
      <c r="H148" t="s">
        <v>5710</v>
      </c>
      <c r="I148">
        <v>969339620</v>
      </c>
      <c r="J148">
        <v>12.93</v>
      </c>
      <c r="K148">
        <v>1.6</v>
      </c>
      <c r="L148" t="s">
        <v>2604</v>
      </c>
      <c r="M148" t="s">
        <v>303</v>
      </c>
      <c r="N148" t="s">
        <v>507</v>
      </c>
      <c r="O148" t="s">
        <v>258</v>
      </c>
      <c r="P148">
        <v>41.78</v>
      </c>
      <c r="Q148" t="s">
        <v>258</v>
      </c>
      <c r="R148">
        <v>22445672</v>
      </c>
      <c r="S148" s="5">
        <v>0.39319999999999999</v>
      </c>
      <c r="T148" t="s">
        <v>5711</v>
      </c>
      <c r="U148">
        <v>78294470</v>
      </c>
      <c r="V148">
        <v>172174000</v>
      </c>
      <c r="W148">
        <v>1.5</v>
      </c>
      <c r="X148">
        <v>0.16</v>
      </c>
      <c r="Y148">
        <v>15.52</v>
      </c>
      <c r="Z148" t="s">
        <v>21</v>
      </c>
      <c r="AA148" t="s">
        <v>487</v>
      </c>
      <c r="AB148" t="s">
        <v>5712</v>
      </c>
      <c r="AC148" t="s">
        <v>5713</v>
      </c>
      <c r="AD148" t="s">
        <v>5714</v>
      </c>
      <c r="AE148">
        <v>931066</v>
      </c>
      <c r="AF148" t="s">
        <v>5715</v>
      </c>
      <c r="AG148">
        <v>1415.48</v>
      </c>
      <c r="AH148" t="s">
        <v>5716</v>
      </c>
      <c r="AI148" t="s">
        <v>374</v>
      </c>
      <c r="AJ148" t="s">
        <v>9</v>
      </c>
      <c r="AK148" t="s">
        <v>5717</v>
      </c>
      <c r="AL148" t="s">
        <v>5718</v>
      </c>
      <c r="AM148" t="s">
        <v>9</v>
      </c>
      <c r="AN148" t="s">
        <v>5719</v>
      </c>
      <c r="AO148" t="s">
        <v>94</v>
      </c>
      <c r="AP148" t="s">
        <v>9</v>
      </c>
      <c r="AQ148" t="s">
        <v>434</v>
      </c>
      <c r="AR148" t="s">
        <v>9</v>
      </c>
      <c r="AS148" t="s">
        <v>348</v>
      </c>
      <c r="AT148" t="s">
        <v>9</v>
      </c>
      <c r="AU148" t="s">
        <v>5720</v>
      </c>
      <c r="AV148" t="s">
        <v>5721</v>
      </c>
      <c r="AW148" t="s">
        <v>5722</v>
      </c>
      <c r="AX148" t="s">
        <v>529</v>
      </c>
      <c r="AY148" t="s">
        <v>458</v>
      </c>
      <c r="AZ148" t="s">
        <v>311</v>
      </c>
      <c r="BA148" t="s">
        <v>689</v>
      </c>
      <c r="BB148" t="s">
        <v>547</v>
      </c>
      <c r="BC148" t="s">
        <v>5723</v>
      </c>
      <c r="BD148" t="s">
        <v>1901</v>
      </c>
      <c r="BE148" t="s">
        <v>1902</v>
      </c>
      <c r="BF148" t="s">
        <v>1903</v>
      </c>
      <c r="BG148" t="s">
        <v>1904</v>
      </c>
      <c r="BH148" t="s">
        <v>143</v>
      </c>
      <c r="BI148" t="s">
        <v>447</v>
      </c>
      <c r="BJ148" t="s">
        <v>529</v>
      </c>
      <c r="BK148" t="s">
        <v>5724</v>
      </c>
      <c r="BL148" t="s">
        <v>1905</v>
      </c>
      <c r="BM148" t="s">
        <v>5723</v>
      </c>
      <c r="BN148">
        <v>8.11</v>
      </c>
      <c r="BO148">
        <v>10.47</v>
      </c>
      <c r="BP148">
        <v>11.13</v>
      </c>
      <c r="BQ148">
        <v>9.23</v>
      </c>
      <c r="BR148">
        <v>11.75</v>
      </c>
      <c r="BS148">
        <v>12.37</v>
      </c>
      <c r="BT148" t="s">
        <v>851</v>
      </c>
      <c r="BU148" t="s">
        <v>943</v>
      </c>
      <c r="BV148">
        <v>21.72</v>
      </c>
      <c r="BW148">
        <v>23.53</v>
      </c>
      <c r="BX148">
        <v>31.53</v>
      </c>
      <c r="BY148">
        <v>12.74</v>
      </c>
      <c r="BZ148">
        <v>13.19</v>
      </c>
      <c r="CA148">
        <v>20.05</v>
      </c>
      <c r="CB148">
        <v>-1.92</v>
      </c>
      <c r="CC148">
        <v>-6.94</v>
      </c>
      <c r="CD148" t="s">
        <v>5725</v>
      </c>
      <c r="CE148" t="s">
        <v>5726</v>
      </c>
      <c r="CF148" s="8">
        <v>-0.38297872340425532</v>
      </c>
      <c r="CG148" s="9">
        <v>0.39319999999999999</v>
      </c>
      <c r="CH148" s="8">
        <v>-0.68884122371673584</v>
      </c>
      <c r="CI148" s="8">
        <v>0.54304635524749756</v>
      </c>
      <c r="CJ148" s="8">
        <v>-0.2135416716337204</v>
      </c>
      <c r="CK148" s="8">
        <v>0.17431192100048065</v>
      </c>
      <c r="CL148" s="8">
        <v>0.23863635957241058</v>
      </c>
      <c r="CM148" s="9">
        <v>-0.63403671979904175</v>
      </c>
      <c r="CN148" s="9">
        <v>1.1968756094574928E-2</v>
      </c>
      <c r="CO148" s="9">
        <v>2.335861511528492E-2</v>
      </c>
      <c r="CP148" s="9">
        <v>0.20401225984096527</v>
      </c>
      <c r="CQ148" s="9">
        <v>0.11278719455003738</v>
      </c>
      <c r="CR148">
        <v>0.17907928393518951</v>
      </c>
      <c r="CS148" t="e">
        <v>#DIV/0!</v>
      </c>
      <c r="CT148">
        <v>3.5523978685612789</v>
      </c>
      <c r="CU148" s="8">
        <v>0</v>
      </c>
      <c r="CV148" s="9">
        <v>0</v>
      </c>
      <c r="CW148">
        <v>0.06</v>
      </c>
      <c r="CX148">
        <v>33.545846072967208</v>
      </c>
      <c r="CY148">
        <v>21175188.679245282</v>
      </c>
      <c r="CZ148">
        <v>0</v>
      </c>
      <c r="DA148">
        <v>11.839462447413608</v>
      </c>
      <c r="DB148">
        <v>59997624.314031035</v>
      </c>
      <c r="DC148">
        <v>0</v>
      </c>
      <c r="DD148">
        <v>6.4358221054838314</v>
      </c>
      <c r="DE148">
        <v>110372786.62421919</v>
      </c>
      <c r="DF148">
        <v>0</v>
      </c>
      <c r="DG148">
        <v>4.2998166157635245</v>
      </c>
      <c r="DH148">
        <v>165202305.92993882</v>
      </c>
      <c r="DI148">
        <v>0</v>
      </c>
      <c r="DJ148">
        <v>2.7591318191370746</v>
      </c>
      <c r="DK148">
        <v>257450410.69555005</v>
      </c>
      <c r="DL148">
        <v>0</v>
      </c>
      <c r="DM148">
        <v>22445700</v>
      </c>
      <c r="DN148">
        <v>0</v>
      </c>
      <c r="DO148">
        <v>710339620</v>
      </c>
      <c r="DP148">
        <v>332756550</v>
      </c>
      <c r="DQ148">
        <v>147</v>
      </c>
      <c r="DR148">
        <v>-0.38297872340425532</v>
      </c>
      <c r="DS148">
        <v>0.39319999999999999</v>
      </c>
      <c r="DT148">
        <v>-0.44</v>
      </c>
      <c r="DU148">
        <v>-0.22</v>
      </c>
      <c r="DV148">
        <v>-0.66</v>
      </c>
      <c r="DW148">
        <v>-2.0693999999999999</v>
      </c>
      <c r="DX148">
        <v>0.36922572456103081</v>
      </c>
      <c r="DY148">
        <v>-2.0054982652845355</v>
      </c>
      <c r="DZ148">
        <v>0</v>
      </c>
      <c r="EA148">
        <v>-2.0054982652845355</v>
      </c>
      <c r="EB148">
        <v>2</v>
      </c>
      <c r="EC148">
        <v>9.1355256891284403E-3</v>
      </c>
      <c r="ED148">
        <v>0.11531009327773067</v>
      </c>
      <c r="EE148">
        <v>0</v>
      </c>
      <c r="EF148">
        <v>0</v>
      </c>
      <c r="EG148">
        <v>29.079225724561031</v>
      </c>
      <c r="EH148" t="s">
        <v>86</v>
      </c>
      <c r="EI148">
        <v>0</v>
      </c>
      <c r="EJ148">
        <v>0</v>
      </c>
      <c r="EK148">
        <v>0</v>
      </c>
      <c r="EL148">
        <v>0</v>
      </c>
      <c r="EM148">
        <v>0</v>
      </c>
      <c r="EN148">
        <v>0</v>
      </c>
      <c r="EO148">
        <v>0</v>
      </c>
      <c r="EP148">
        <v>0</v>
      </c>
    </row>
    <row r="149" spans="1:146" ht="96" x14ac:dyDescent="0.25">
      <c r="A149" s="10"/>
      <c r="B149" s="10"/>
      <c r="C149" s="7" t="str">
        <f>""&amp;CHAR(10)&amp;Basic_Fundamental_Information_Constructure(F149)&amp;CHAR(10)&amp;Basic_Fundamental_Information_Concatenate("")</f>
        <v xml:space="preserve">
市值8.3129297亿, 利润1607.50万; PE16.23; 平均PE14.86, PB3.05; ROIC21.5233%; ROE23.62%; 股利率3.6059%; 毛利22.9833%; 净利12.1767%; 上一年度营收增-65.78%, 利润增-46.66%; 当季营收增-12.3%, 利润增289.8%; 过往5年营收增0%, 利润增0%
Income profile:
</v>
      </c>
      <c r="D149">
        <v>836699</v>
      </c>
      <c r="E149" t="s">
        <v>1906</v>
      </c>
      <c r="F149">
        <v>18.22</v>
      </c>
      <c r="G149" s="5">
        <v>-0.38</v>
      </c>
      <c r="H149" t="s">
        <v>5727</v>
      </c>
      <c r="I149">
        <v>831292970</v>
      </c>
      <c r="J149">
        <v>16.23</v>
      </c>
      <c r="K149">
        <v>3.05</v>
      </c>
      <c r="L149" t="s">
        <v>2604</v>
      </c>
      <c r="M149" t="s">
        <v>34</v>
      </c>
      <c r="N149" t="s">
        <v>41</v>
      </c>
      <c r="O149" t="s">
        <v>5728</v>
      </c>
      <c r="P149">
        <v>108.28</v>
      </c>
      <c r="Q149" t="s">
        <v>5728</v>
      </c>
      <c r="R149">
        <v>16074958</v>
      </c>
      <c r="S149" s="6">
        <v>2.8980000000000001</v>
      </c>
      <c r="T149" t="s">
        <v>5729</v>
      </c>
      <c r="U149">
        <v>12625300</v>
      </c>
      <c r="V149">
        <v>45625300</v>
      </c>
      <c r="W149">
        <v>1.71</v>
      </c>
      <c r="X149">
        <v>0.2</v>
      </c>
      <c r="Y149">
        <v>17.8</v>
      </c>
      <c r="Z149" t="s">
        <v>5730</v>
      </c>
      <c r="AA149" t="s">
        <v>5731</v>
      </c>
      <c r="AB149" t="s">
        <v>5732</v>
      </c>
      <c r="AC149" t="s">
        <v>5733</v>
      </c>
      <c r="AD149" t="s">
        <v>5734</v>
      </c>
      <c r="AE149">
        <v>676888</v>
      </c>
      <c r="AF149" t="s">
        <v>17</v>
      </c>
      <c r="AG149" t="s">
        <v>5735</v>
      </c>
      <c r="AH149" t="s">
        <v>5736</v>
      </c>
      <c r="AI149" t="s">
        <v>5737</v>
      </c>
      <c r="AJ149" t="s">
        <v>9</v>
      </c>
      <c r="AK149" t="s">
        <v>5738</v>
      </c>
      <c r="AL149" t="s">
        <v>5739</v>
      </c>
      <c r="AM149" t="s">
        <v>9</v>
      </c>
      <c r="AN149" t="s">
        <v>5740</v>
      </c>
      <c r="AO149" t="s">
        <v>5741</v>
      </c>
      <c r="AP149" t="s">
        <v>9</v>
      </c>
      <c r="AQ149" t="s">
        <v>72</v>
      </c>
      <c r="AR149" t="s">
        <v>9</v>
      </c>
      <c r="AS149" t="s">
        <v>640</v>
      </c>
      <c r="AT149" t="s">
        <v>9</v>
      </c>
      <c r="AU149" t="s">
        <v>5742</v>
      </c>
      <c r="AV149" t="s">
        <v>5743</v>
      </c>
      <c r="AW149" t="s">
        <v>5744</v>
      </c>
      <c r="AX149" t="s">
        <v>547</v>
      </c>
      <c r="AY149" t="s">
        <v>550</v>
      </c>
      <c r="AZ149" t="s">
        <v>171</v>
      </c>
      <c r="BA149" t="s">
        <v>328</v>
      </c>
      <c r="BB149" t="s">
        <v>59</v>
      </c>
      <c r="BC149" t="s">
        <v>1908</v>
      </c>
      <c r="BD149" t="s">
        <v>1909</v>
      </c>
      <c r="BE149" t="s">
        <v>1910</v>
      </c>
      <c r="BF149" t="s">
        <v>1911</v>
      </c>
      <c r="BG149" t="s">
        <v>1912</v>
      </c>
      <c r="BH149" t="s">
        <v>1078</v>
      </c>
      <c r="BI149" t="s">
        <v>37</v>
      </c>
      <c r="BJ149" t="s">
        <v>547</v>
      </c>
      <c r="BK149" t="s">
        <v>5745</v>
      </c>
      <c r="BL149" t="s">
        <v>1913</v>
      </c>
      <c r="BM149" t="s">
        <v>1908</v>
      </c>
      <c r="BN149">
        <v>12.23</v>
      </c>
      <c r="BO149">
        <v>24.09</v>
      </c>
      <c r="BP149">
        <v>28.25</v>
      </c>
      <c r="BQ149">
        <v>13.57</v>
      </c>
      <c r="BR149">
        <v>33.67</v>
      </c>
      <c r="BS149" t="s">
        <v>9</v>
      </c>
      <c r="BT149" t="s">
        <v>5746</v>
      </c>
      <c r="BU149" t="s">
        <v>907</v>
      </c>
      <c r="BV149">
        <v>23.41</v>
      </c>
      <c r="BW149">
        <v>21.85</v>
      </c>
      <c r="BX149">
        <v>23.69</v>
      </c>
      <c r="BY149">
        <v>13.56</v>
      </c>
      <c r="BZ149">
        <v>11.43</v>
      </c>
      <c r="CA149">
        <v>11.54</v>
      </c>
      <c r="CB149">
        <v>8.4499999999999993</v>
      </c>
      <c r="CC149">
        <v>9.61</v>
      </c>
      <c r="CD149" t="s">
        <v>5747</v>
      </c>
      <c r="CE149" t="s">
        <v>5748</v>
      </c>
      <c r="CF149" s="8">
        <v>-0.12300194174757281</v>
      </c>
      <c r="CG149" s="9">
        <v>2.8980000000000001</v>
      </c>
      <c r="CH149" s="8">
        <v>-0.65783786773681641</v>
      </c>
      <c r="CI149" s="8">
        <v>1.149425283074379E-2</v>
      </c>
      <c r="CJ149" s="8">
        <v>0.32487308979034424</v>
      </c>
      <c r="CK149" s="8">
        <v>0.34013605117797852</v>
      </c>
      <c r="CL149" s="8">
        <v>8.0882355570793152E-2</v>
      </c>
      <c r="CM149" s="9">
        <v>-0.4666113555431366</v>
      </c>
      <c r="CN149" s="9">
        <v>2.3781014606356621E-3</v>
      </c>
      <c r="CO149" s="9">
        <v>0.3505464494228363</v>
      </c>
      <c r="CP149" s="9">
        <v>1.5814123153686523</v>
      </c>
      <c r="CQ149" s="9">
        <v>-0.19827458262443542</v>
      </c>
      <c r="CR149">
        <v>14.863618841117841</v>
      </c>
      <c r="CS149" t="e">
        <v>#DIV/0!</v>
      </c>
      <c r="CT149">
        <v>3.6059275521405052</v>
      </c>
      <c r="CU149" s="8">
        <v>0</v>
      </c>
      <c r="CV149" s="9">
        <v>0</v>
      </c>
      <c r="CW149">
        <v>0.06</v>
      </c>
      <c r="CX149">
        <v>48.353999888024894</v>
      </c>
      <c r="CY149">
        <v>15165094.339622639</v>
      </c>
      <c r="CZ149">
        <v>0</v>
      </c>
      <c r="DA149">
        <v>17.065760231871078</v>
      </c>
      <c r="DB149">
        <v>42968667.087595798</v>
      </c>
      <c r="DC149">
        <v>0</v>
      </c>
      <c r="DD149">
        <v>9.2767891646259812</v>
      </c>
      <c r="DE149">
        <v>79045988.540536657</v>
      </c>
      <c r="DF149">
        <v>0</v>
      </c>
      <c r="DG149">
        <v>6.1978860722401983</v>
      </c>
      <c r="DH149">
        <v>118313399.35149123</v>
      </c>
      <c r="DI149">
        <v>0</v>
      </c>
      <c r="DJ149">
        <v>3.977096281411487</v>
      </c>
      <c r="DK149">
        <v>184378983.58843639</v>
      </c>
      <c r="DL149">
        <v>0</v>
      </c>
      <c r="DM149">
        <v>16075000</v>
      </c>
      <c r="DN149">
        <v>0</v>
      </c>
      <c r="DO149">
        <v>733292970</v>
      </c>
      <c r="DP149">
        <v>221877040</v>
      </c>
      <c r="DQ149">
        <v>148</v>
      </c>
      <c r="DR149">
        <v>-0.12300194174757281</v>
      </c>
      <c r="DS149">
        <v>2.8980000000000001</v>
      </c>
      <c r="DT149">
        <v>-0.44</v>
      </c>
      <c r="DU149">
        <v>0.6</v>
      </c>
      <c r="DV149">
        <v>0.15999999999999998</v>
      </c>
      <c r="DW149">
        <v>9.8792924037460974</v>
      </c>
      <c r="DX149">
        <v>0.43548811082169864</v>
      </c>
      <c r="DY149">
        <v>9.2070629070180381</v>
      </c>
      <c r="DZ149">
        <v>0</v>
      </c>
      <c r="EA149">
        <v>9.2070629070180381</v>
      </c>
      <c r="EB149">
        <v>9</v>
      </c>
      <c r="EC149">
        <v>0.19359653525565859</v>
      </c>
      <c r="ED149">
        <v>0.82210747107416282</v>
      </c>
      <c r="EE149">
        <v>0</v>
      </c>
      <c r="EF149">
        <v>0</v>
      </c>
      <c r="EG149">
        <v>20.235488110821699</v>
      </c>
      <c r="EH149" t="s">
        <v>86</v>
      </c>
      <c r="EI149">
        <v>1</v>
      </c>
      <c r="EJ149">
        <v>0</v>
      </c>
      <c r="EK149">
        <v>0</v>
      </c>
      <c r="EL149">
        <v>0</v>
      </c>
      <c r="EM149">
        <v>0</v>
      </c>
      <c r="EN149">
        <v>0</v>
      </c>
      <c r="EO149">
        <v>0</v>
      </c>
      <c r="EP149">
        <v>0</v>
      </c>
    </row>
    <row r="150" spans="1:146" ht="96" x14ac:dyDescent="0.25">
      <c r="A150" s="10"/>
      <c r="B150" s="10"/>
      <c r="C150" s="7" t="str">
        <f>""&amp;CHAR(10)&amp;Basic_Fundamental_Information_Constructure(F150)&amp;CHAR(10)&amp;Basic_Fundamental_Information_Concatenate("")</f>
        <v xml:space="preserve">
市值5.56198亿, 利润125.17万; PE25.01; 平均PE-1.66, PB.992; ROIC7.21%; ROE5.94%; 股利率1.8557%; 毛利44.3867%; 净利17.6167%; 上一年度营收增-84.14%, 利润增-96.67%; 当季营收增-60.46%, 利润增-52.25%; 过往5年营收增0%, 利润增0%
Income profile:
</v>
      </c>
      <c r="D150">
        <v>836717</v>
      </c>
      <c r="E150" t="s">
        <v>1914</v>
      </c>
      <c r="F150">
        <v>4.8499999999999996</v>
      </c>
      <c r="G150" s="5">
        <v>-2.81</v>
      </c>
      <c r="H150" t="s">
        <v>2246</v>
      </c>
      <c r="I150">
        <v>556198000</v>
      </c>
      <c r="J150">
        <v>25.01</v>
      </c>
      <c r="K150">
        <v>0.99199999999999999</v>
      </c>
      <c r="L150" t="s">
        <v>2604</v>
      </c>
      <c r="M150" t="s">
        <v>5749</v>
      </c>
      <c r="N150" t="s">
        <v>430</v>
      </c>
      <c r="O150" t="s">
        <v>5750</v>
      </c>
      <c r="P150">
        <v>0.78</v>
      </c>
      <c r="Q150" t="s">
        <v>5750</v>
      </c>
      <c r="R150">
        <v>1251676</v>
      </c>
      <c r="S150" s="6">
        <v>-0.52249999999999996</v>
      </c>
      <c r="T150" t="s">
        <v>5751</v>
      </c>
      <c r="U150">
        <v>33880000</v>
      </c>
      <c r="V150">
        <v>114680000</v>
      </c>
      <c r="W150">
        <v>1.1599999999999999</v>
      </c>
      <c r="X150">
        <v>0.05</v>
      </c>
      <c r="Y150">
        <v>3.94</v>
      </c>
      <c r="Z150" t="s">
        <v>5752</v>
      </c>
      <c r="AA150" t="s">
        <v>5753</v>
      </c>
      <c r="AB150" t="s">
        <v>5754</v>
      </c>
      <c r="AC150" t="s">
        <v>5755</v>
      </c>
      <c r="AD150" t="s">
        <v>5756</v>
      </c>
      <c r="AE150">
        <v>337467</v>
      </c>
      <c r="AF150" t="s">
        <v>5757</v>
      </c>
      <c r="AG150" t="s">
        <v>5758</v>
      </c>
      <c r="AH150" t="s">
        <v>5759</v>
      </c>
      <c r="AI150" t="s">
        <v>29</v>
      </c>
      <c r="AJ150" t="s">
        <v>9</v>
      </c>
      <c r="AK150" t="s">
        <v>5760</v>
      </c>
      <c r="AL150" t="s">
        <v>5761</v>
      </c>
      <c r="AM150" t="s">
        <v>9</v>
      </c>
      <c r="AN150" t="s">
        <v>5762</v>
      </c>
      <c r="AO150" t="s">
        <v>5763</v>
      </c>
      <c r="AP150" t="s">
        <v>9</v>
      </c>
      <c r="AQ150" t="s">
        <v>5764</v>
      </c>
      <c r="AR150" t="s">
        <v>9</v>
      </c>
      <c r="AS150" t="s">
        <v>5765</v>
      </c>
      <c r="AT150" t="s">
        <v>9</v>
      </c>
      <c r="AU150" t="s">
        <v>5766</v>
      </c>
      <c r="AV150" t="s">
        <v>5767</v>
      </c>
      <c r="AW150" t="s">
        <v>5768</v>
      </c>
      <c r="AX150" t="s">
        <v>453</v>
      </c>
      <c r="AY150" t="s">
        <v>315</v>
      </c>
      <c r="AZ150" t="s">
        <v>36</v>
      </c>
      <c r="BA150" t="s">
        <v>32</v>
      </c>
      <c r="BB150" t="s">
        <v>250</v>
      </c>
      <c r="BC150" t="s">
        <v>1915</v>
      </c>
      <c r="BD150" t="s">
        <v>1916</v>
      </c>
      <c r="BE150" t="s">
        <v>1917</v>
      </c>
      <c r="BF150" t="s">
        <v>1918</v>
      </c>
      <c r="BG150" t="s">
        <v>1919</v>
      </c>
      <c r="BH150" t="s">
        <v>241</v>
      </c>
      <c r="BI150" t="s">
        <v>1920</v>
      </c>
      <c r="BJ150" t="s">
        <v>453</v>
      </c>
      <c r="BK150" t="s">
        <v>5769</v>
      </c>
      <c r="BL150" t="s">
        <v>1921</v>
      </c>
      <c r="BM150" t="s">
        <v>1915</v>
      </c>
      <c r="BN150">
        <v>2.92</v>
      </c>
      <c r="BO150">
        <v>8.5299999999999994</v>
      </c>
      <c r="BP150">
        <v>10.18</v>
      </c>
      <c r="BQ150">
        <v>3.01</v>
      </c>
      <c r="BR150">
        <v>8.8699999999999992</v>
      </c>
      <c r="BS150" t="s">
        <v>9</v>
      </c>
      <c r="BT150" t="s">
        <v>5770</v>
      </c>
      <c r="BU150" t="s">
        <v>1167</v>
      </c>
      <c r="BV150">
        <v>39.94</v>
      </c>
      <c r="BW150">
        <v>44.94</v>
      </c>
      <c r="BX150">
        <v>48.28</v>
      </c>
      <c r="BY150">
        <v>13.62</v>
      </c>
      <c r="BZ150">
        <v>18.5</v>
      </c>
      <c r="CA150">
        <v>20.73</v>
      </c>
      <c r="CB150">
        <v>1.04</v>
      </c>
      <c r="CC150">
        <v>-13.7</v>
      </c>
      <c r="CD150" t="s">
        <v>5771</v>
      </c>
      <c r="CE150" t="s">
        <v>5772</v>
      </c>
      <c r="CF150" s="8">
        <v>-0.60462345529648609</v>
      </c>
      <c r="CG150" s="9">
        <v>-0.52249999999999996</v>
      </c>
      <c r="CH150" s="8">
        <v>-0.84143006801605225</v>
      </c>
      <c r="CI150" s="8">
        <v>-3.3333335071802139E-2</v>
      </c>
      <c r="CJ150" s="8">
        <v>-3.2258063554763794E-2</v>
      </c>
      <c r="CK150" s="8">
        <v>-0.11065573990345001</v>
      </c>
      <c r="CL150" s="8">
        <v>-0.10948905348777771</v>
      </c>
      <c r="CM150" s="9">
        <v>-0.96671205759048462</v>
      </c>
      <c r="CN150" s="9">
        <v>-0.13511238992214203</v>
      </c>
      <c r="CO150" s="9">
        <v>0.1658090353012085</v>
      </c>
      <c r="CP150" s="9">
        <v>-0.1783098578453064</v>
      </c>
      <c r="CQ150" s="9">
        <v>-0.26165899634361267</v>
      </c>
      <c r="CR150">
        <v>-1.6632988050890587</v>
      </c>
      <c r="CS150" t="e">
        <v>#DIV/0!</v>
      </c>
      <c r="CT150">
        <v>1.8556701030927838</v>
      </c>
      <c r="CU150" s="8">
        <v>0</v>
      </c>
      <c r="CV150" s="9">
        <v>0</v>
      </c>
      <c r="CW150">
        <v>0.06</v>
      </c>
      <c r="CX150">
        <v>72.036726052568511</v>
      </c>
      <c r="CY150">
        <v>1180849.0566037735</v>
      </c>
      <c r="CZ150">
        <v>0</v>
      </c>
      <c r="DA150">
        <v>25.424194431670433</v>
      </c>
      <c r="DB150">
        <v>3345809.0571411294</v>
      </c>
      <c r="DC150">
        <v>0</v>
      </c>
      <c r="DD150">
        <v>13.820356562996521</v>
      </c>
      <c r="DE150">
        <v>6155014.8588609472</v>
      </c>
      <c r="DF150">
        <v>0</v>
      </c>
      <c r="DG150">
        <v>9.2334744204185046</v>
      </c>
      <c r="DH150">
        <v>9212620.9622557741</v>
      </c>
      <c r="DI150">
        <v>0</v>
      </c>
      <c r="DJ150">
        <v>5.9249906103358496</v>
      </c>
      <c r="DK150">
        <v>14356900.389278125</v>
      </c>
      <c r="DL150">
        <v>0</v>
      </c>
      <c r="DM150">
        <v>1251700</v>
      </c>
      <c r="DN150">
        <v>0</v>
      </c>
      <c r="DO150">
        <v>85064500</v>
      </c>
      <c r="DP150">
        <v>366322110</v>
      </c>
      <c r="DQ150">
        <v>149</v>
      </c>
      <c r="DR150">
        <v>-0.60462345529648609</v>
      </c>
      <c r="DS150">
        <v>-0.52249999999999996</v>
      </c>
      <c r="DT150">
        <v>-0.44</v>
      </c>
      <c r="DU150">
        <v>-0.44</v>
      </c>
      <c r="DV150">
        <v>-0.88</v>
      </c>
      <c r="DW150">
        <v>-2.137</v>
      </c>
      <c r="DX150">
        <v>0.40736040609137059</v>
      </c>
      <c r="DY150">
        <v>-2.0352583756345179</v>
      </c>
      <c r="DZ150">
        <v>0</v>
      </c>
      <c r="EA150">
        <v>-2.0352583756345179</v>
      </c>
      <c r="EB150">
        <v>2</v>
      </c>
      <c r="EC150">
        <v>2.1220788280432508E-2</v>
      </c>
      <c r="ED150">
        <v>8.2455528426927105E-2</v>
      </c>
      <c r="EE150">
        <v>0</v>
      </c>
      <c r="EF150">
        <v>0</v>
      </c>
      <c r="EG150">
        <v>15.257360406091371</v>
      </c>
      <c r="EH150" t="s">
        <v>86</v>
      </c>
      <c r="EI150">
        <v>0</v>
      </c>
      <c r="EJ150">
        <v>0</v>
      </c>
      <c r="EK150">
        <v>0</v>
      </c>
      <c r="EL150">
        <v>0</v>
      </c>
      <c r="EM150">
        <v>0</v>
      </c>
      <c r="EN150">
        <v>0</v>
      </c>
      <c r="EO150">
        <v>0</v>
      </c>
      <c r="EP150">
        <v>0</v>
      </c>
    </row>
    <row r="151" spans="1:146" ht="96" x14ac:dyDescent="0.25">
      <c r="A151" s="10"/>
      <c r="B151" s="10"/>
      <c r="C151" s="7" t="str">
        <f>""&amp;CHAR(10)&amp;Basic_Fundamental_Information_Constructure(F151)&amp;CHAR(10)&amp;Basic_Fundamental_Information_Concatenate("")</f>
        <v xml:space="preserve">
市值15.009257亿, 利润1048.63万; PE33.82; 平均PE-2.08, PB3.26; ROIC13.99%; ROE20.6133%; 股利率2.0025%; 毛利23.54%; 净利13.1633%; 上一年度营收增-73.75%, 利润增-82.75%; 当季营收增-46.15%, 利润增17.94%; 过往5年营收增0%, 利润增0%
Income profile:
</v>
      </c>
      <c r="D151">
        <v>836720</v>
      </c>
      <c r="E151" t="s">
        <v>1922</v>
      </c>
      <c r="F151">
        <v>7.89</v>
      </c>
      <c r="G151" s="5">
        <v>-2.95</v>
      </c>
      <c r="H151" t="s">
        <v>5773</v>
      </c>
      <c r="I151">
        <v>1500925700</v>
      </c>
      <c r="J151">
        <v>33.82</v>
      </c>
      <c r="K151">
        <v>3.26</v>
      </c>
      <c r="L151" t="s">
        <v>2604</v>
      </c>
      <c r="M151" t="s">
        <v>148</v>
      </c>
      <c r="N151" t="s">
        <v>173</v>
      </c>
      <c r="O151" t="s">
        <v>25</v>
      </c>
      <c r="P151">
        <v>25.47</v>
      </c>
      <c r="Q151" t="s">
        <v>25</v>
      </c>
      <c r="R151">
        <v>10486260</v>
      </c>
      <c r="S151" s="5">
        <v>0.1794</v>
      </c>
      <c r="T151" t="s">
        <v>5774</v>
      </c>
      <c r="U151">
        <v>49599709</v>
      </c>
      <c r="V151">
        <v>190231400</v>
      </c>
      <c r="W151">
        <v>1.45</v>
      </c>
      <c r="X151">
        <v>0.16</v>
      </c>
      <c r="Y151">
        <v>10.029999999999999</v>
      </c>
      <c r="Z151" t="s">
        <v>5775</v>
      </c>
      <c r="AA151" t="s">
        <v>5776</v>
      </c>
      <c r="AB151" t="s">
        <v>5777</v>
      </c>
      <c r="AC151" t="s">
        <v>5778</v>
      </c>
      <c r="AD151" t="s">
        <v>5779</v>
      </c>
      <c r="AE151">
        <v>1222235</v>
      </c>
      <c r="AF151" t="s">
        <v>5780</v>
      </c>
      <c r="AG151" t="s">
        <v>5781</v>
      </c>
      <c r="AH151" t="s">
        <v>5782</v>
      </c>
      <c r="AI151" t="s">
        <v>256</v>
      </c>
      <c r="AJ151" t="s">
        <v>9</v>
      </c>
      <c r="AK151" t="s">
        <v>5783</v>
      </c>
      <c r="AL151" t="s">
        <v>5784</v>
      </c>
      <c r="AM151" t="s">
        <v>9</v>
      </c>
      <c r="AN151" t="s">
        <v>5785</v>
      </c>
      <c r="AO151" t="s">
        <v>27</v>
      </c>
      <c r="AP151" t="s">
        <v>5786</v>
      </c>
      <c r="AQ151" t="s">
        <v>5787</v>
      </c>
      <c r="AR151" t="s">
        <v>9</v>
      </c>
      <c r="AS151" t="s">
        <v>453</v>
      </c>
      <c r="AT151" t="s">
        <v>9</v>
      </c>
      <c r="AU151" t="s">
        <v>5788</v>
      </c>
      <c r="AV151" t="s">
        <v>5789</v>
      </c>
      <c r="AW151" t="s">
        <v>5790</v>
      </c>
      <c r="AX151" t="s">
        <v>568</v>
      </c>
      <c r="AY151" t="s">
        <v>69</v>
      </c>
      <c r="AZ151" t="s">
        <v>23</v>
      </c>
      <c r="BA151" t="s">
        <v>576</v>
      </c>
      <c r="BB151" t="s">
        <v>16</v>
      </c>
      <c r="BC151" t="s">
        <v>5791</v>
      </c>
      <c r="BD151" t="s">
        <v>1923</v>
      </c>
      <c r="BE151" t="s">
        <v>1924</v>
      </c>
      <c r="BF151" t="s">
        <v>1925</v>
      </c>
      <c r="BG151" t="s">
        <v>1926</v>
      </c>
      <c r="BH151" t="s">
        <v>71</v>
      </c>
      <c r="BI151" t="s">
        <v>62</v>
      </c>
      <c r="BJ151" t="s">
        <v>568</v>
      </c>
      <c r="BK151" t="s">
        <v>5792</v>
      </c>
      <c r="BL151" t="s">
        <v>1927</v>
      </c>
      <c r="BM151" t="s">
        <v>5791</v>
      </c>
      <c r="BN151">
        <v>7.2</v>
      </c>
      <c r="BO151">
        <v>14</v>
      </c>
      <c r="BP151">
        <v>20.77</v>
      </c>
      <c r="BQ151">
        <v>7.55</v>
      </c>
      <c r="BR151">
        <v>14.85</v>
      </c>
      <c r="BS151">
        <v>39.44</v>
      </c>
      <c r="BT151" t="s">
        <v>5793</v>
      </c>
      <c r="BU151" t="s">
        <v>870</v>
      </c>
      <c r="BV151">
        <v>18.64</v>
      </c>
      <c r="BW151">
        <v>24.32</v>
      </c>
      <c r="BX151">
        <v>27.66</v>
      </c>
      <c r="BY151">
        <v>9.32</v>
      </c>
      <c r="BZ151">
        <v>15.2</v>
      </c>
      <c r="CA151">
        <v>14.97</v>
      </c>
      <c r="CB151">
        <v>0.51</v>
      </c>
      <c r="CC151">
        <v>-5.4</v>
      </c>
      <c r="CD151" t="s">
        <v>5794</v>
      </c>
      <c r="CE151" t="s">
        <v>5795</v>
      </c>
      <c r="CF151" s="8">
        <v>-0.46153846153846156</v>
      </c>
      <c r="CG151" s="9">
        <v>0.1794</v>
      </c>
      <c r="CH151" s="8">
        <v>-0.73750001192092896</v>
      </c>
      <c r="CI151" s="8">
        <v>6.100795790553093E-2</v>
      </c>
      <c r="CJ151" s="8">
        <v>0.44999998807907104</v>
      </c>
      <c r="CK151" s="8">
        <v>0.25</v>
      </c>
      <c r="CL151" s="8">
        <v>3.9999999105930328E-2</v>
      </c>
      <c r="CM151" s="9">
        <v>-0.82751774787902832</v>
      </c>
      <c r="CN151" s="9">
        <v>7.5694069266319275E-2</v>
      </c>
      <c r="CO151" s="9">
        <v>0.29995262622833252</v>
      </c>
      <c r="CP151" s="9">
        <v>0.60230851173400879</v>
      </c>
      <c r="CQ151" s="9">
        <v>0.12953796982765198</v>
      </c>
      <c r="CR151">
        <v>-2.0758172263786596</v>
      </c>
      <c r="CS151" t="e">
        <v>#DIV/0!</v>
      </c>
      <c r="CT151">
        <v>2.002534854245881</v>
      </c>
      <c r="CU151" s="8">
        <v>0</v>
      </c>
      <c r="CV151" s="9">
        <v>0</v>
      </c>
      <c r="CW151">
        <v>0.06</v>
      </c>
      <c r="CX151">
        <v>122.60771120414253</v>
      </c>
      <c r="CY151">
        <v>9892735.8490566052</v>
      </c>
      <c r="CZ151">
        <v>0</v>
      </c>
      <c r="DA151">
        <v>43.272403665339418</v>
      </c>
      <c r="DB151">
        <v>28030005.205639556</v>
      </c>
      <c r="DC151">
        <v>0</v>
      </c>
      <c r="DD151">
        <v>23.522477756382372</v>
      </c>
      <c r="DE151">
        <v>51564538.079790339</v>
      </c>
      <c r="DF151">
        <v>0</v>
      </c>
      <c r="DG151">
        <v>15.71552772017106</v>
      </c>
      <c r="DH151">
        <v>77180080.84724994</v>
      </c>
      <c r="DI151">
        <v>0</v>
      </c>
      <c r="DJ151">
        <v>10.084433003093318</v>
      </c>
      <c r="DK151">
        <v>120277034.87424082</v>
      </c>
      <c r="DL151">
        <v>0</v>
      </c>
      <c r="DM151">
        <v>10486300.000000002</v>
      </c>
      <c r="DN151">
        <v>0</v>
      </c>
      <c r="DO151">
        <v>1212925700</v>
      </c>
      <c r="DP151">
        <v>213080220.00000003</v>
      </c>
      <c r="DQ151">
        <v>150</v>
      </c>
      <c r="DR151">
        <v>-0.46153846153846156</v>
      </c>
      <c r="DS151">
        <v>0.1794</v>
      </c>
      <c r="DT151">
        <v>-0.44</v>
      </c>
      <c r="DU151">
        <v>-0.22</v>
      </c>
      <c r="DV151">
        <v>-0.66</v>
      </c>
      <c r="DW151">
        <v>-1.054</v>
      </c>
      <c r="DX151">
        <v>0.36550618098794774</v>
      </c>
      <c r="DY151">
        <v>-1.0116373337733491</v>
      </c>
      <c r="DZ151">
        <v>0</v>
      </c>
      <c r="EA151">
        <v>-1.0116373337733491</v>
      </c>
      <c r="EB151">
        <v>1</v>
      </c>
      <c r="EC151">
        <v>6.7282793482043454E-2</v>
      </c>
      <c r="ED151">
        <v>0.31220818434811498</v>
      </c>
      <c r="EE151">
        <v>0</v>
      </c>
      <c r="EF151">
        <v>0</v>
      </c>
      <c r="EG151">
        <v>15.215506180987948</v>
      </c>
      <c r="EH151" t="s">
        <v>86</v>
      </c>
      <c r="EI151">
        <v>0</v>
      </c>
      <c r="EJ151">
        <v>0</v>
      </c>
      <c r="EK151">
        <v>0</v>
      </c>
      <c r="EL151">
        <v>0</v>
      </c>
      <c r="EM151">
        <v>0</v>
      </c>
      <c r="EN151">
        <v>0</v>
      </c>
      <c r="EO151">
        <v>0</v>
      </c>
      <c r="EP151">
        <v>0</v>
      </c>
    </row>
    <row r="152" spans="1:146" ht="96" x14ac:dyDescent="0.25">
      <c r="A152" s="10"/>
      <c r="B152" s="10"/>
      <c r="C152" s="7" t="str">
        <f>""&amp;CHAR(10)&amp;Basic_Fundamental_Information_Constructure(F152)&amp;CHAR(10)&amp;Basic_Fundamental_Information_Concatenate("")</f>
        <v xml:space="preserve">
市值8.621112亿, 利润928.67万; PE24.74; 平均PE26.8, PB.906; ROIC7.8833%; ROE9.47%; 股利率3.7975%; 毛利34.92%; 净利8.52%; 上一年度营收增-83.94%, 利润增-84.68%; 当季营收增-57.46%, 利润增-27.59%; 过往5年营收增0%, 利润增0%
Income profile:
</v>
      </c>
      <c r="D152">
        <v>836807</v>
      </c>
      <c r="E152" t="s">
        <v>1928</v>
      </c>
      <c r="F152">
        <v>4.74</v>
      </c>
      <c r="G152" s="5">
        <v>-1.66</v>
      </c>
      <c r="H152" t="s">
        <v>5796</v>
      </c>
      <c r="I152">
        <v>862111200</v>
      </c>
      <c r="J152">
        <v>24.74</v>
      </c>
      <c r="K152">
        <v>0.90600000000000003</v>
      </c>
      <c r="L152" t="s">
        <v>2604</v>
      </c>
      <c r="M152" t="s">
        <v>259</v>
      </c>
      <c r="N152" t="s">
        <v>5797</v>
      </c>
      <c r="O152" t="s">
        <v>272</v>
      </c>
      <c r="P152">
        <v>-8.42</v>
      </c>
      <c r="Q152" t="s">
        <v>272</v>
      </c>
      <c r="R152">
        <v>9286696</v>
      </c>
      <c r="S152" s="5">
        <v>-0.27589999999999998</v>
      </c>
      <c r="T152" t="s">
        <v>5798</v>
      </c>
      <c r="U152">
        <v>97275812</v>
      </c>
      <c r="V152">
        <v>181880000</v>
      </c>
      <c r="W152">
        <v>1.38</v>
      </c>
      <c r="X152">
        <v>0.09</v>
      </c>
      <c r="Y152">
        <v>7.83</v>
      </c>
      <c r="Z152" t="s">
        <v>18</v>
      </c>
      <c r="AA152" t="s">
        <v>5799</v>
      </c>
      <c r="AB152" t="s">
        <v>5800</v>
      </c>
      <c r="AC152" t="s">
        <v>5801</v>
      </c>
      <c r="AD152" t="s">
        <v>5802</v>
      </c>
      <c r="AE152">
        <v>2452197</v>
      </c>
      <c r="AF152" t="s">
        <v>5803</v>
      </c>
      <c r="AG152" t="s">
        <v>5648</v>
      </c>
      <c r="AH152" t="s">
        <v>5804</v>
      </c>
      <c r="AI152" t="s">
        <v>255</v>
      </c>
      <c r="AJ152" t="s">
        <v>9</v>
      </c>
      <c r="AK152" t="s">
        <v>5805</v>
      </c>
      <c r="AL152" t="s">
        <v>5806</v>
      </c>
      <c r="AM152" t="s">
        <v>9</v>
      </c>
      <c r="AN152" t="s">
        <v>5807</v>
      </c>
      <c r="AO152" t="s">
        <v>5808</v>
      </c>
      <c r="AP152" t="s">
        <v>518</v>
      </c>
      <c r="AQ152" t="s">
        <v>5809</v>
      </c>
      <c r="AR152" t="s">
        <v>9</v>
      </c>
      <c r="AS152" t="s">
        <v>1039</v>
      </c>
      <c r="AT152" t="s">
        <v>5810</v>
      </c>
      <c r="AU152" t="s">
        <v>5811</v>
      </c>
      <c r="AV152" t="s">
        <v>5812</v>
      </c>
      <c r="AW152" t="s">
        <v>5813</v>
      </c>
      <c r="AX152" t="s">
        <v>135</v>
      </c>
      <c r="AY152" t="s">
        <v>667</v>
      </c>
      <c r="AZ152" t="s">
        <v>541</v>
      </c>
      <c r="BA152" t="s">
        <v>177</v>
      </c>
      <c r="BB152" t="s">
        <v>490</v>
      </c>
      <c r="BC152" t="s">
        <v>1930</v>
      </c>
      <c r="BD152" t="s">
        <v>1931</v>
      </c>
      <c r="BE152" t="s">
        <v>1932</v>
      </c>
      <c r="BF152" t="s">
        <v>1933</v>
      </c>
      <c r="BG152" t="s">
        <v>1934</v>
      </c>
      <c r="BH152" t="s">
        <v>410</v>
      </c>
      <c r="BI152" t="s">
        <v>516</v>
      </c>
      <c r="BJ152" t="s">
        <v>135</v>
      </c>
      <c r="BK152" t="s">
        <v>5814</v>
      </c>
      <c r="BL152" t="s">
        <v>1935</v>
      </c>
      <c r="BM152" t="s">
        <v>1930</v>
      </c>
      <c r="BN152">
        <v>2.27</v>
      </c>
      <c r="BO152">
        <v>7</v>
      </c>
      <c r="BP152">
        <v>14.38</v>
      </c>
      <c r="BQ152">
        <v>3.58</v>
      </c>
      <c r="BR152">
        <v>9.4499999999999993</v>
      </c>
      <c r="BS152">
        <v>15.38</v>
      </c>
      <c r="BT152" t="s">
        <v>934</v>
      </c>
      <c r="BU152" t="s">
        <v>1929</v>
      </c>
      <c r="BV152">
        <v>29.62</v>
      </c>
      <c r="BW152">
        <v>31.13</v>
      </c>
      <c r="BX152">
        <v>44.01</v>
      </c>
      <c r="BY152">
        <v>6.17</v>
      </c>
      <c r="BZ152">
        <v>8.1199999999999992</v>
      </c>
      <c r="CA152">
        <v>11.27</v>
      </c>
      <c r="CB152">
        <v>2.38</v>
      </c>
      <c r="CC152">
        <v>-1.04</v>
      </c>
      <c r="CD152" t="s">
        <v>5815</v>
      </c>
      <c r="CE152" t="s">
        <v>5816</v>
      </c>
      <c r="CF152" s="8">
        <v>-0.5746268656716419</v>
      </c>
      <c r="CG152" s="9">
        <v>-0.27589999999999998</v>
      </c>
      <c r="CH152" s="8">
        <v>-0.83943659067153931</v>
      </c>
      <c r="CI152" s="8">
        <v>-8.1500649452209473E-2</v>
      </c>
      <c r="CJ152" s="8">
        <v>0.28833332657814026</v>
      </c>
      <c r="CK152" s="8">
        <v>3.3444815780967474E-3</v>
      </c>
      <c r="CL152" s="8">
        <v>-7.2868220508098602E-2</v>
      </c>
      <c r="CM152" s="9">
        <v>-0.84684634208679199</v>
      </c>
      <c r="CN152" s="9">
        <v>-0.30142602324485779</v>
      </c>
      <c r="CO152" s="9">
        <v>0.32821840047836304</v>
      </c>
      <c r="CP152" s="9">
        <v>2.0355293750762939</v>
      </c>
      <c r="CQ152" s="9">
        <v>-4.3785117566585541E-2</v>
      </c>
      <c r="CR152">
        <v>26.797038614981094</v>
      </c>
      <c r="CS152" t="e">
        <v>#DIV/0!</v>
      </c>
      <c r="CT152">
        <v>3.7974683544303796</v>
      </c>
      <c r="CU152" s="8">
        <v>0</v>
      </c>
      <c r="CV152" s="9">
        <v>0</v>
      </c>
      <c r="CW152">
        <v>0.06</v>
      </c>
      <c r="CX152">
        <v>27.406707657187162</v>
      </c>
      <c r="CY152">
        <v>8761037.7358490564</v>
      </c>
      <c r="CZ152">
        <v>0</v>
      </c>
      <c r="DA152">
        <v>9.6727530856940245</v>
      </c>
      <c r="DB152">
        <v>24823460.071065374</v>
      </c>
      <c r="DC152">
        <v>0</v>
      </c>
      <c r="DD152">
        <v>5.258018968876061</v>
      </c>
      <c r="DE152">
        <v>45665715.818314262</v>
      </c>
      <c r="DF152">
        <v>0</v>
      </c>
      <c r="DG152">
        <v>3.5129183121933765</v>
      </c>
      <c r="DH152">
        <v>68350920.420372859</v>
      </c>
      <c r="DI152">
        <v>0</v>
      </c>
      <c r="DJ152">
        <v>2.2541902502697604</v>
      </c>
      <c r="DK152">
        <v>106517717.38044991</v>
      </c>
      <c r="DL152">
        <v>0</v>
      </c>
      <c r="DM152">
        <v>9286700</v>
      </c>
      <c r="DN152">
        <v>0</v>
      </c>
      <c r="DO152">
        <v>240111200</v>
      </c>
      <c r="DP152">
        <v>680116020</v>
      </c>
      <c r="DQ152">
        <v>151</v>
      </c>
      <c r="DR152">
        <v>-0.5746268656716419</v>
      </c>
      <c r="DS152">
        <v>-0.27589999999999998</v>
      </c>
      <c r="DT152">
        <v>-0.44</v>
      </c>
      <c r="DU152">
        <v>-0.22</v>
      </c>
      <c r="DV152">
        <v>-0.66</v>
      </c>
      <c r="DW152">
        <v>-1.04E-2</v>
      </c>
      <c r="DX152">
        <v>0.38789352425308404</v>
      </c>
      <c r="DY152">
        <v>-3.4100926522320761E-3</v>
      </c>
      <c r="DZ152">
        <v>0</v>
      </c>
      <c r="EA152">
        <v>-3.4100926522320761E-3</v>
      </c>
      <c r="EB152">
        <v>0</v>
      </c>
      <c r="EC152">
        <v>2.9108753023971843E-2</v>
      </c>
      <c r="ED152">
        <v>8.8775016494391915E-2</v>
      </c>
      <c r="EE152">
        <v>0</v>
      </c>
      <c r="EF152">
        <v>0</v>
      </c>
      <c r="EG152">
        <v>6.327893524253084</v>
      </c>
      <c r="EH152" t="s">
        <v>86</v>
      </c>
      <c r="EI152">
        <v>0</v>
      </c>
      <c r="EJ152">
        <v>0</v>
      </c>
      <c r="EK152">
        <v>0</v>
      </c>
      <c r="EL152">
        <v>0</v>
      </c>
      <c r="EM152">
        <v>0</v>
      </c>
      <c r="EN152">
        <v>0</v>
      </c>
      <c r="EO152">
        <v>0</v>
      </c>
      <c r="EP152">
        <v>0</v>
      </c>
    </row>
    <row r="153" spans="1:146" ht="108" x14ac:dyDescent="0.25">
      <c r="A153" s="10"/>
      <c r="B153" s="10"/>
      <c r="C153" s="7" t="str">
        <f>""&amp;CHAR(10)&amp;Basic_Fundamental_Information_Constructure(F153)&amp;CHAR(10)&amp;Basic_Fundamental_Information_Concatenate("")</f>
        <v xml:space="preserve">
市值6.7447591亿, 利润754.61万; PE14.22; 平均PE3.92, PB2.06; ROIC12.7133%; ROE14.5067%; 股利率3.125%; 毛利19.5%; 净利9.4733%; 上一年度营收增-70.88%, 利润增-76.61%; 当季营收增-53.1%, 利润增250.9%; 过往5年营收增0%, 利润增0%
Income profile:
</v>
      </c>
      <c r="D153">
        <v>836826</v>
      </c>
      <c r="E153" t="s">
        <v>1936</v>
      </c>
      <c r="F153">
        <v>4.8</v>
      </c>
      <c r="G153" s="5">
        <v>-2.83</v>
      </c>
      <c r="H153" t="s">
        <v>3177</v>
      </c>
      <c r="I153">
        <v>674475910</v>
      </c>
      <c r="J153">
        <v>14.22</v>
      </c>
      <c r="K153">
        <v>2.06</v>
      </c>
      <c r="L153" t="s">
        <v>2604</v>
      </c>
      <c r="M153" t="s">
        <v>134</v>
      </c>
      <c r="N153" t="s">
        <v>421</v>
      </c>
      <c r="O153" t="s">
        <v>166</v>
      </c>
      <c r="P153">
        <v>10.17</v>
      </c>
      <c r="Q153" t="s">
        <v>166</v>
      </c>
      <c r="R153">
        <v>7546110</v>
      </c>
      <c r="S153" s="5">
        <v>2.5089999999999999</v>
      </c>
      <c r="T153" t="s">
        <v>5817</v>
      </c>
      <c r="U153">
        <v>53154835</v>
      </c>
      <c r="V153">
        <v>117401587</v>
      </c>
      <c r="W153">
        <v>1.46</v>
      </c>
      <c r="X153">
        <v>0.23</v>
      </c>
      <c r="Y153">
        <v>7.11</v>
      </c>
      <c r="Z153" t="s">
        <v>5818</v>
      </c>
      <c r="AA153" t="s">
        <v>5819</v>
      </c>
      <c r="AB153" t="s">
        <v>5820</v>
      </c>
      <c r="AC153" t="s">
        <v>5821</v>
      </c>
      <c r="AD153" t="s">
        <v>5822</v>
      </c>
      <c r="AE153">
        <v>184191</v>
      </c>
      <c r="AF153" t="s">
        <v>5823</v>
      </c>
      <c r="AG153" t="s">
        <v>5824</v>
      </c>
      <c r="AH153" t="s">
        <v>5825</v>
      </c>
      <c r="AI153" t="s">
        <v>5826</v>
      </c>
      <c r="AJ153" t="s">
        <v>9</v>
      </c>
      <c r="AK153" t="s">
        <v>9</v>
      </c>
      <c r="AL153" t="s">
        <v>5827</v>
      </c>
      <c r="AM153" t="s">
        <v>9</v>
      </c>
      <c r="AN153" t="s">
        <v>5828</v>
      </c>
      <c r="AO153" t="s">
        <v>5829</v>
      </c>
      <c r="AP153" t="s">
        <v>9</v>
      </c>
      <c r="AQ153" t="s">
        <v>5830</v>
      </c>
      <c r="AR153" t="s">
        <v>9</v>
      </c>
      <c r="AS153" t="s">
        <v>29</v>
      </c>
      <c r="AT153" t="s">
        <v>5831</v>
      </c>
      <c r="AU153" t="s">
        <v>5832</v>
      </c>
      <c r="AV153" t="s">
        <v>5833</v>
      </c>
      <c r="AW153" t="s">
        <v>5834</v>
      </c>
      <c r="AX153" t="s">
        <v>440</v>
      </c>
      <c r="AY153" t="s">
        <v>45</v>
      </c>
      <c r="AZ153" t="s">
        <v>554</v>
      </c>
      <c r="BA153" t="s">
        <v>548</v>
      </c>
      <c r="BB153" t="s">
        <v>176</v>
      </c>
      <c r="BC153" t="s">
        <v>5835</v>
      </c>
      <c r="BD153" t="s">
        <v>1937</v>
      </c>
      <c r="BE153" t="s">
        <v>1938</v>
      </c>
      <c r="BF153" t="s">
        <v>1939</v>
      </c>
      <c r="BG153" t="s">
        <v>1940</v>
      </c>
      <c r="BH153" t="s">
        <v>115</v>
      </c>
      <c r="BI153" t="s">
        <v>1000</v>
      </c>
      <c r="BJ153" t="s">
        <v>440</v>
      </c>
      <c r="BK153" t="s">
        <v>5836</v>
      </c>
      <c r="BL153" t="s">
        <v>1941</v>
      </c>
      <c r="BM153" t="s">
        <v>5835</v>
      </c>
      <c r="BN153">
        <v>6.83</v>
      </c>
      <c r="BO153">
        <v>11.13</v>
      </c>
      <c r="BP153">
        <v>20.18</v>
      </c>
      <c r="BQ153">
        <v>8.23</v>
      </c>
      <c r="BR153">
        <v>13.27</v>
      </c>
      <c r="BS153">
        <v>22.02</v>
      </c>
      <c r="BT153" t="s">
        <v>1942</v>
      </c>
      <c r="BU153" t="s">
        <v>1448</v>
      </c>
      <c r="BV153">
        <v>19.28</v>
      </c>
      <c r="BW153">
        <v>17.57</v>
      </c>
      <c r="BX153">
        <v>21.65</v>
      </c>
      <c r="BY153">
        <v>7.12</v>
      </c>
      <c r="BZ153">
        <v>8.8699999999999992</v>
      </c>
      <c r="CA153">
        <v>12.43</v>
      </c>
      <c r="CB153">
        <v>-6.07</v>
      </c>
      <c r="CC153">
        <v>-18.989999999999998</v>
      </c>
      <c r="CD153" t="s">
        <v>5837</v>
      </c>
      <c r="CE153" t="s">
        <v>5838</v>
      </c>
      <c r="CF153" s="8">
        <v>-0.53097345132743357</v>
      </c>
      <c r="CG153" s="9">
        <v>2.5089999999999999</v>
      </c>
      <c r="CH153" s="8">
        <v>-0.70879119634628296</v>
      </c>
      <c r="CI153" s="8">
        <v>5.8139536529779434E-2</v>
      </c>
      <c r="CJ153" s="8">
        <v>0.57077628374099731</v>
      </c>
      <c r="CK153" s="8">
        <v>-4.7826085239648819E-2</v>
      </c>
      <c r="CL153" s="8">
        <v>0.21052631735801697</v>
      </c>
      <c r="CM153" s="9">
        <v>-0.76610594987869263</v>
      </c>
      <c r="CN153" s="9">
        <v>-0.24697159230709076</v>
      </c>
      <c r="CO153" s="9">
        <v>0.60852539539337158</v>
      </c>
      <c r="CP153" s="9">
        <v>-0.13891448080539703</v>
      </c>
      <c r="CQ153" s="9">
        <v>0.57156795263290405</v>
      </c>
      <c r="CR153">
        <v>3.9188926423285735</v>
      </c>
      <c r="CS153" t="e">
        <v>#DIV/0!</v>
      </c>
      <c r="CT153">
        <v>3.125</v>
      </c>
      <c r="CU153" s="8">
        <v>0</v>
      </c>
      <c r="CV153" s="9">
        <v>0</v>
      </c>
      <c r="CW153">
        <v>0.06</v>
      </c>
      <c r="CX153">
        <v>67.492408608420249</v>
      </c>
      <c r="CY153">
        <v>7118962.2641509427</v>
      </c>
      <c r="CZ153">
        <v>0</v>
      </c>
      <c r="DA153">
        <v>23.820351272905199</v>
      </c>
      <c r="DB153">
        <v>20170815.47183245</v>
      </c>
      <c r="DC153">
        <v>0</v>
      </c>
      <c r="DD153">
        <v>12.948522279915098</v>
      </c>
      <c r="DE153">
        <v>37106621.096469276</v>
      </c>
      <c r="DF153">
        <v>0</v>
      </c>
      <c r="DG153">
        <v>8.650995993398034</v>
      </c>
      <c r="DH153">
        <v>55539952.898680434</v>
      </c>
      <c r="DI153">
        <v>0</v>
      </c>
      <c r="DJ153">
        <v>5.5512223998356198</v>
      </c>
      <c r="DK153">
        <v>86553172.507415235</v>
      </c>
      <c r="DL153">
        <v>0</v>
      </c>
      <c r="DM153">
        <v>7546100</v>
      </c>
      <c r="DN153">
        <v>0</v>
      </c>
      <c r="DO153">
        <v>480475910</v>
      </c>
      <c r="DP153">
        <v>143448270</v>
      </c>
      <c r="DQ153">
        <v>152</v>
      </c>
      <c r="DR153">
        <v>-0.53097345132743357</v>
      </c>
      <c r="DS153">
        <v>2.5089999999999999</v>
      </c>
      <c r="DT153">
        <v>-0.44</v>
      </c>
      <c r="DU153">
        <v>-0.22</v>
      </c>
      <c r="DV153">
        <v>-0.66</v>
      </c>
      <c r="DW153">
        <v>-9.3196419167983144</v>
      </c>
      <c r="DX153">
        <v>0.37528102514965722</v>
      </c>
      <c r="DY153">
        <v>-9.04643790535326</v>
      </c>
      <c r="DZ153">
        <v>0</v>
      </c>
      <c r="EA153">
        <v>-9.04643790535326</v>
      </c>
      <c r="EB153">
        <v>9</v>
      </c>
      <c r="EC153">
        <v>5.5276084129935996E-2</v>
      </c>
      <c r="ED153">
        <v>0.38047696919122564</v>
      </c>
      <c r="EE153">
        <v>0</v>
      </c>
      <c r="EF153">
        <v>0</v>
      </c>
      <c r="EG153">
        <v>23.145281025149657</v>
      </c>
      <c r="EH153" t="s">
        <v>86</v>
      </c>
      <c r="EI153">
        <v>0</v>
      </c>
      <c r="EJ153">
        <v>0</v>
      </c>
      <c r="EK153">
        <v>0</v>
      </c>
      <c r="EL153">
        <v>0</v>
      </c>
      <c r="EM153">
        <v>0</v>
      </c>
      <c r="EN153">
        <v>0</v>
      </c>
      <c r="EO153">
        <v>0</v>
      </c>
      <c r="EP153">
        <v>0</v>
      </c>
    </row>
    <row r="154" spans="1:146" ht="108" x14ac:dyDescent="0.25">
      <c r="A154" s="10"/>
      <c r="B154" s="10"/>
      <c r="C154" s="7" t="str">
        <f>""&amp;CHAR(10)&amp;Basic_Fundamental_Information_Constructure(F154)&amp;CHAR(10)&amp;Basic_Fundamental_Information_Concatenate("")</f>
        <v xml:space="preserve">
市值4.2399129亿, 利润568.23万; PE18.06; 平均PE.25, PB1.7; ROIC14.2%; ROE14.5133%; 股利率3.4783%; 毛利29.1867%; 净利14.52%; 上一年度营收增-76.95%, 利润增-66.88%; 当季营收增-60.32%, 利润增9.59%; 过往5年营收增0%, 利润增0%
Income profile:
</v>
      </c>
      <c r="D154">
        <v>836871</v>
      </c>
      <c r="E154" t="s">
        <v>1943</v>
      </c>
      <c r="F154">
        <v>5.75</v>
      </c>
      <c r="G154" s="5">
        <v>-1.88</v>
      </c>
      <c r="H154" t="s">
        <v>5839</v>
      </c>
      <c r="I154">
        <v>423991290</v>
      </c>
      <c r="J154">
        <v>18.059999999999999</v>
      </c>
      <c r="K154">
        <v>1.7</v>
      </c>
      <c r="L154" t="s">
        <v>2604</v>
      </c>
      <c r="M154" t="s">
        <v>5840</v>
      </c>
      <c r="N154" t="s">
        <v>3612</v>
      </c>
      <c r="O154" t="s">
        <v>5841</v>
      </c>
      <c r="P154">
        <v>-19.100000000000001</v>
      </c>
      <c r="Q154" t="s">
        <v>5841</v>
      </c>
      <c r="R154">
        <v>5682277</v>
      </c>
      <c r="S154" s="5">
        <v>9.5899999999999999E-2</v>
      </c>
      <c r="T154" t="s">
        <v>5842</v>
      </c>
      <c r="U154">
        <v>38843932</v>
      </c>
      <c r="V154">
        <v>73737616</v>
      </c>
      <c r="W154">
        <v>1.1000000000000001</v>
      </c>
      <c r="X154">
        <v>0.12</v>
      </c>
      <c r="Y154">
        <v>17</v>
      </c>
      <c r="Z154" t="s">
        <v>5843</v>
      </c>
      <c r="AA154" t="s">
        <v>5844</v>
      </c>
      <c r="AB154" t="s">
        <v>5845</v>
      </c>
      <c r="AC154" t="s">
        <v>5846</v>
      </c>
      <c r="AD154" t="s">
        <v>5847</v>
      </c>
      <c r="AE154">
        <v>66267</v>
      </c>
      <c r="AF154" t="s">
        <v>5848</v>
      </c>
      <c r="AG154" t="s">
        <v>5849</v>
      </c>
      <c r="AH154" t="s">
        <v>5850</v>
      </c>
      <c r="AI154" t="s">
        <v>5851</v>
      </c>
      <c r="AJ154" t="s">
        <v>9</v>
      </c>
      <c r="AK154" t="s">
        <v>5852</v>
      </c>
      <c r="AL154" t="s">
        <v>5853</v>
      </c>
      <c r="AM154" t="s">
        <v>9</v>
      </c>
      <c r="AN154" t="s">
        <v>5854</v>
      </c>
      <c r="AO154" t="s">
        <v>9</v>
      </c>
      <c r="AP154" t="s">
        <v>9</v>
      </c>
      <c r="AQ154" t="s">
        <v>5855</v>
      </c>
      <c r="AR154" t="s">
        <v>9</v>
      </c>
      <c r="AS154" t="s">
        <v>5856</v>
      </c>
      <c r="AT154" t="s">
        <v>9</v>
      </c>
      <c r="AU154" t="s">
        <v>5857</v>
      </c>
      <c r="AV154" t="s">
        <v>5858</v>
      </c>
      <c r="AW154" t="s">
        <v>5859</v>
      </c>
      <c r="AX154" t="s">
        <v>258</v>
      </c>
      <c r="AY154" t="s">
        <v>148</v>
      </c>
      <c r="AZ154" t="s">
        <v>459</v>
      </c>
      <c r="BA154" t="s">
        <v>94</v>
      </c>
      <c r="BB154" t="s">
        <v>1945</v>
      </c>
      <c r="BC154" t="s">
        <v>1944</v>
      </c>
      <c r="BD154" t="s">
        <v>1946</v>
      </c>
      <c r="BE154" t="s">
        <v>1947</v>
      </c>
      <c r="BF154" t="s">
        <v>1948</v>
      </c>
      <c r="BG154" t="s">
        <v>1949</v>
      </c>
      <c r="BH154" t="s">
        <v>92</v>
      </c>
      <c r="BI154" t="s">
        <v>1950</v>
      </c>
      <c r="BJ154" t="s">
        <v>258</v>
      </c>
      <c r="BK154" t="s">
        <v>5860</v>
      </c>
      <c r="BL154" t="s">
        <v>1951</v>
      </c>
      <c r="BM154" t="s">
        <v>1944</v>
      </c>
      <c r="BN154">
        <v>6.56</v>
      </c>
      <c r="BO154">
        <v>9.6199999999999992</v>
      </c>
      <c r="BP154">
        <v>26.42</v>
      </c>
      <c r="BQ154">
        <v>6.74</v>
      </c>
      <c r="BR154">
        <v>10.32</v>
      </c>
      <c r="BS154">
        <v>26.48</v>
      </c>
      <c r="BT154" t="s">
        <v>851</v>
      </c>
      <c r="BU154" t="s">
        <v>822</v>
      </c>
      <c r="BV154">
        <v>27.79</v>
      </c>
      <c r="BW154">
        <v>26.77</v>
      </c>
      <c r="BX154">
        <v>33</v>
      </c>
      <c r="BY154">
        <v>14.64</v>
      </c>
      <c r="BZ154">
        <v>11.85</v>
      </c>
      <c r="CA154">
        <v>17.07</v>
      </c>
      <c r="CB154">
        <v>2.31</v>
      </c>
      <c r="CC154">
        <v>-5.74</v>
      </c>
      <c r="CD154" t="s">
        <v>5861</v>
      </c>
      <c r="CE154" t="s">
        <v>5862</v>
      </c>
      <c r="CF154" s="8">
        <v>-0.60316444347333531</v>
      </c>
      <c r="CG154" s="9">
        <v>9.5899999999999999E-2</v>
      </c>
      <c r="CH154" s="8">
        <v>-0.76953244209289551</v>
      </c>
      <c r="CI154" s="8">
        <v>-0.15697674453258514</v>
      </c>
      <c r="CJ154" s="8">
        <v>0.21985815465450287</v>
      </c>
      <c r="CK154" s="8">
        <v>8.461538702249527E-2</v>
      </c>
      <c r="CL154" s="8">
        <v>0.44898781180381775</v>
      </c>
      <c r="CM154" s="9">
        <v>-0.66882699728012085</v>
      </c>
      <c r="CN154" s="9">
        <v>-0.41677007079124451</v>
      </c>
      <c r="CO154" s="9">
        <v>0.10331416875123978</v>
      </c>
      <c r="CP154" s="9">
        <v>0.46104151010513306</v>
      </c>
      <c r="CQ154" s="9">
        <v>0.28432995080947876</v>
      </c>
      <c r="CR154">
        <v>0.25096453304055905</v>
      </c>
      <c r="CS154" t="e">
        <v>#DIV/0!</v>
      </c>
      <c r="CT154">
        <v>3.4782608695652173</v>
      </c>
      <c r="CU154" s="8">
        <v>0</v>
      </c>
      <c r="CV154" s="9">
        <v>0</v>
      </c>
      <c r="CW154">
        <v>0.06</v>
      </c>
      <c r="CX154">
        <v>37.302006828220975</v>
      </c>
      <c r="CY154">
        <v>5360660.3773584897</v>
      </c>
      <c r="CZ154">
        <v>0</v>
      </c>
      <c r="DA154">
        <v>13.165138482280778</v>
      </c>
      <c r="DB154">
        <v>15188855.800425854</v>
      </c>
      <c r="DC154">
        <v>0</v>
      </c>
      <c r="DD154">
        <v>7.1564473169580323</v>
      </c>
      <c r="DE154">
        <v>27941712.017660432</v>
      </c>
      <c r="DF154">
        <v>0</v>
      </c>
      <c r="DG154">
        <v>4.7812712313898107</v>
      </c>
      <c r="DH154">
        <v>41822222.652253725</v>
      </c>
      <c r="DI154">
        <v>0</v>
      </c>
      <c r="DJ154">
        <v>3.0680744713829569</v>
      </c>
      <c r="DK154">
        <v>65175533.340253323</v>
      </c>
      <c r="DL154">
        <v>0</v>
      </c>
      <c r="DM154">
        <v>5682300</v>
      </c>
      <c r="DN154">
        <v>0</v>
      </c>
      <c r="DO154">
        <v>199963390</v>
      </c>
      <c r="DP154">
        <v>155524990</v>
      </c>
      <c r="DQ154">
        <v>153</v>
      </c>
      <c r="DR154">
        <v>-0.60316444347333531</v>
      </c>
      <c r="DS154">
        <v>9.5899999999999999E-2</v>
      </c>
      <c r="DT154">
        <v>-0.44</v>
      </c>
      <c r="DU154">
        <v>-0.22</v>
      </c>
      <c r="DV154">
        <v>-0.66</v>
      </c>
      <c r="DW154">
        <v>-1.0573999999999999</v>
      </c>
      <c r="DX154">
        <v>0.36961234589765557</v>
      </c>
      <c r="DY154">
        <v>-1.0114577486545253</v>
      </c>
      <c r="DZ154">
        <v>0</v>
      </c>
      <c r="EA154">
        <v>-1.0114577486545253</v>
      </c>
      <c r="EB154">
        <v>1</v>
      </c>
      <c r="EC154">
        <v>2.7513772617764047E-2</v>
      </c>
      <c r="ED154">
        <v>0.13783602659462166</v>
      </c>
      <c r="EE154">
        <v>0</v>
      </c>
      <c r="EF154">
        <v>0</v>
      </c>
      <c r="EG154">
        <v>17.199612345897656</v>
      </c>
      <c r="EH154" t="s">
        <v>86</v>
      </c>
      <c r="EI154">
        <v>0</v>
      </c>
      <c r="EJ154">
        <v>0</v>
      </c>
      <c r="EK154">
        <v>0</v>
      </c>
      <c r="EL154">
        <v>0</v>
      </c>
      <c r="EM154">
        <v>0</v>
      </c>
      <c r="EN154">
        <v>0</v>
      </c>
      <c r="EO154">
        <v>0</v>
      </c>
      <c r="EP154">
        <v>0</v>
      </c>
    </row>
    <row r="155" spans="1:146" ht="108" x14ac:dyDescent="0.25">
      <c r="A155" s="10"/>
      <c r="B155" s="10"/>
      <c r="C155" s="7" t="str">
        <f>""&amp;CHAR(10)&amp;Basic_Fundamental_Information_Constructure(F155)&amp;CHAR(10)&amp;Basic_Fundamental_Information_Concatenate("")</f>
        <v xml:space="preserve">
市值12.6369731亿, 利润565.67万; PE14.12; 平均PE1.6, PB3.08; ROIC19.1967%; ROE21.26%; 股利率7.3529%; 毛利36.79%; 净利15.77%; 上一年度营收增-83.59%, 利润增-92.8%; 当季营收增-64.36%, 利润增25.47%; 过往5年营收增0%, 利润增0%
Income profile:
</v>
      </c>
      <c r="D155">
        <v>836892</v>
      </c>
      <c r="E155" t="s">
        <v>1952</v>
      </c>
      <c r="F155">
        <v>8.16</v>
      </c>
      <c r="G155" s="5">
        <v>-1.21</v>
      </c>
      <c r="H155" t="s">
        <v>2419</v>
      </c>
      <c r="I155">
        <v>1263697310</v>
      </c>
      <c r="J155">
        <v>14.12</v>
      </c>
      <c r="K155">
        <v>3.08</v>
      </c>
      <c r="L155" t="s">
        <v>2604</v>
      </c>
      <c r="M155" t="s">
        <v>1045</v>
      </c>
      <c r="N155" t="s">
        <v>660</v>
      </c>
      <c r="O155" t="s">
        <v>5863</v>
      </c>
      <c r="P155">
        <v>10.5</v>
      </c>
      <c r="Q155" t="s">
        <v>5863</v>
      </c>
      <c r="R155">
        <v>5656738</v>
      </c>
      <c r="S155" s="5">
        <v>0.25469999999999998</v>
      </c>
      <c r="T155" t="s">
        <v>5864</v>
      </c>
      <c r="U155">
        <v>111291119</v>
      </c>
      <c r="V155">
        <v>129054056</v>
      </c>
      <c r="W155">
        <v>1.9</v>
      </c>
      <c r="X155">
        <v>0.1</v>
      </c>
      <c r="Y155">
        <v>6.84</v>
      </c>
      <c r="Z155" t="s">
        <v>5865</v>
      </c>
      <c r="AA155" t="s">
        <v>5866</v>
      </c>
      <c r="AB155" t="s">
        <v>5867</v>
      </c>
      <c r="AC155" t="s">
        <v>5868</v>
      </c>
      <c r="AD155" t="s">
        <v>5869</v>
      </c>
      <c r="AE155">
        <v>756891</v>
      </c>
      <c r="AF155" t="s">
        <v>17</v>
      </c>
      <c r="AG155" t="s">
        <v>9</v>
      </c>
      <c r="AH155" t="s">
        <v>5870</v>
      </c>
      <c r="AI155" t="s">
        <v>4308</v>
      </c>
      <c r="AJ155" t="s">
        <v>9</v>
      </c>
      <c r="AK155" t="s">
        <v>9</v>
      </c>
      <c r="AL155" t="s">
        <v>5871</v>
      </c>
      <c r="AM155" t="s">
        <v>9</v>
      </c>
      <c r="AN155">
        <v>0</v>
      </c>
      <c r="AO155" t="s">
        <v>9</v>
      </c>
      <c r="AP155" t="s">
        <v>9</v>
      </c>
      <c r="AQ155" t="s">
        <v>5872</v>
      </c>
      <c r="AR155" t="s">
        <v>9</v>
      </c>
      <c r="AS155" t="s">
        <v>408</v>
      </c>
      <c r="AT155" t="s">
        <v>9</v>
      </c>
      <c r="AU155" t="s">
        <v>5873</v>
      </c>
      <c r="AV155" t="s">
        <v>5874</v>
      </c>
      <c r="AW155" t="s">
        <v>5875</v>
      </c>
      <c r="AX155" t="s">
        <v>363</v>
      </c>
      <c r="AY155" t="s">
        <v>658</v>
      </c>
      <c r="AZ155" t="s">
        <v>511</v>
      </c>
      <c r="BA155" t="s">
        <v>486</v>
      </c>
      <c r="BB155" t="s">
        <v>577</v>
      </c>
      <c r="BC155" t="s">
        <v>1953</v>
      </c>
      <c r="BD155" t="s">
        <v>1954</v>
      </c>
      <c r="BE155" t="s">
        <v>1955</v>
      </c>
      <c r="BF155" t="s">
        <v>1956</v>
      </c>
      <c r="BG155" t="s">
        <v>1957</v>
      </c>
      <c r="BH155" t="s">
        <v>631</v>
      </c>
      <c r="BI155" t="s">
        <v>232</v>
      </c>
      <c r="BJ155" t="s">
        <v>363</v>
      </c>
      <c r="BK155" t="s">
        <v>5876</v>
      </c>
      <c r="BL155" t="s">
        <v>1958</v>
      </c>
      <c r="BM155" t="s">
        <v>1953</v>
      </c>
      <c r="BN155">
        <v>12.11</v>
      </c>
      <c r="BO155">
        <v>20.63</v>
      </c>
      <c r="BP155">
        <v>24.85</v>
      </c>
      <c r="BQ155">
        <v>12.75</v>
      </c>
      <c r="BR155">
        <v>21.9</v>
      </c>
      <c r="BS155">
        <v>29.13</v>
      </c>
      <c r="BT155" t="s">
        <v>5877</v>
      </c>
      <c r="BU155" t="s">
        <v>1439</v>
      </c>
      <c r="BV155">
        <v>37.4</v>
      </c>
      <c r="BW155">
        <v>36.6</v>
      </c>
      <c r="BX155">
        <v>36.369999999999997</v>
      </c>
      <c r="BY155">
        <v>16.23</v>
      </c>
      <c r="BZ155">
        <v>15.6</v>
      </c>
      <c r="CA155">
        <v>15.48</v>
      </c>
      <c r="CB155">
        <v>0.25</v>
      </c>
      <c r="CC155">
        <v>-7.54</v>
      </c>
      <c r="CD155" t="s">
        <v>5878</v>
      </c>
      <c r="CE155" t="s">
        <v>5879</v>
      </c>
      <c r="CF155" s="8">
        <v>-0.64355603448275855</v>
      </c>
      <c r="CG155" s="9">
        <v>0.25469999999999998</v>
      </c>
      <c r="CH155" s="8">
        <v>-0.83592259883880615</v>
      </c>
      <c r="CI155" s="8">
        <v>0.13258427381515503</v>
      </c>
      <c r="CJ155" s="8">
        <v>0.12944161891937256</v>
      </c>
      <c r="CK155" s="8">
        <v>0.1975683867931366</v>
      </c>
      <c r="CL155" s="8">
        <v>0.17921146750450134</v>
      </c>
      <c r="CM155" s="9">
        <v>-0.92800015211105347</v>
      </c>
      <c r="CN155" s="9">
        <v>0.14141952991485596</v>
      </c>
      <c r="CO155" s="9">
        <v>0.12591765820980072</v>
      </c>
      <c r="CP155" s="9">
        <v>0.16273531317710876</v>
      </c>
      <c r="CQ155" s="9">
        <v>0.1898246556520462</v>
      </c>
      <c r="CR155">
        <v>1.5983837658403905</v>
      </c>
      <c r="CS155" t="e">
        <v>#DIV/0!</v>
      </c>
      <c r="CT155">
        <v>7.3529411764705879</v>
      </c>
      <c r="CU155" s="8">
        <v>0</v>
      </c>
      <c r="CV155" s="9">
        <v>0</v>
      </c>
      <c r="CW155">
        <v>0.06</v>
      </c>
      <c r="CX155">
        <v>237.7391674651299</v>
      </c>
      <c r="CY155">
        <v>5336509.4339622632</v>
      </c>
      <c r="CZ155">
        <v>0</v>
      </c>
      <c r="DA155">
        <v>83.906184371095591</v>
      </c>
      <c r="DB155">
        <v>15120426.694519635</v>
      </c>
      <c r="DC155">
        <v>0</v>
      </c>
      <c r="DD155">
        <v>45.610624516171846</v>
      </c>
      <c r="DE155">
        <v>27815828.514914691</v>
      </c>
      <c r="DF155">
        <v>0</v>
      </c>
      <c r="DG155">
        <v>30.472769125001037</v>
      </c>
      <c r="DH155">
        <v>41633804.423737511</v>
      </c>
      <c r="DI155">
        <v>0</v>
      </c>
      <c r="DJ155">
        <v>19.553947161785707</v>
      </c>
      <c r="DK155">
        <v>64881903.357058056</v>
      </c>
      <c r="DL155">
        <v>0</v>
      </c>
      <c r="DM155">
        <v>5656700</v>
      </c>
      <c r="DN155">
        <v>0</v>
      </c>
      <c r="DO155">
        <v>1268697310</v>
      </c>
      <c r="DP155">
        <v>358097940</v>
      </c>
      <c r="DQ155">
        <v>154</v>
      </c>
      <c r="DR155">
        <v>-0.64355603448275855</v>
      </c>
      <c r="DS155">
        <v>0.25469999999999998</v>
      </c>
      <c r="DT155">
        <v>-0.44</v>
      </c>
      <c r="DU155">
        <v>-0.44</v>
      </c>
      <c r="DV155">
        <v>-0.88</v>
      </c>
      <c r="DW155">
        <v>-2.0754000000000001</v>
      </c>
      <c r="DX155">
        <v>0.30047085975011284</v>
      </c>
      <c r="DY155">
        <v>-2.0188855028251584</v>
      </c>
      <c r="DZ155">
        <v>0</v>
      </c>
      <c r="EA155">
        <v>-2.0188855028251584</v>
      </c>
      <c r="EB155">
        <v>2</v>
      </c>
      <c r="EC155">
        <v>2.1948942077419095E-2</v>
      </c>
      <c r="ED155">
        <v>8.7630721191746197E-2</v>
      </c>
      <c r="EE155">
        <v>0</v>
      </c>
      <c r="EF155">
        <v>0</v>
      </c>
      <c r="EG155">
        <v>5.2504708597501129</v>
      </c>
      <c r="EH155" t="s">
        <v>86</v>
      </c>
      <c r="EI155">
        <v>0</v>
      </c>
      <c r="EJ155">
        <v>0</v>
      </c>
      <c r="EK155">
        <v>0</v>
      </c>
      <c r="EL155">
        <v>0</v>
      </c>
      <c r="EM155">
        <v>0</v>
      </c>
      <c r="EN155">
        <v>0</v>
      </c>
      <c r="EO155">
        <v>0</v>
      </c>
      <c r="EP155">
        <v>0</v>
      </c>
    </row>
    <row r="156" spans="1:146" ht="108" x14ac:dyDescent="0.25">
      <c r="A156" s="10"/>
      <c r="B156" s="10"/>
      <c r="C156" s="7" t="str">
        <f>""&amp;CHAR(10)&amp;Basic_Fundamental_Information_Constructure(F156)&amp;CHAR(10)&amp;Basic_Fundamental_Information_Concatenate("")</f>
        <v xml:space="preserve">
市值5.0778839亿, 利润485.15万; PE13.87; 平均PE-2.54, PB1.1; ROIC14.1033%; ROE17.0633%; 股利率1.8116%; 毛利39.6267%; 净利21.0667%; 上一年度营收增-78.77%, 利润增-84.48%; 当季营收增-43.43%, 利润增-60.16%; 过往5年营收增0%, 利润增0%
Income profile:
</v>
      </c>
      <c r="D156">
        <v>836942</v>
      </c>
      <c r="E156" t="s">
        <v>1959</v>
      </c>
      <c r="F156">
        <v>8.2799999999999994</v>
      </c>
      <c r="G156" s="5">
        <v>-2.2400000000000002</v>
      </c>
      <c r="H156" t="s">
        <v>5880</v>
      </c>
      <c r="I156">
        <v>507788390</v>
      </c>
      <c r="J156">
        <v>13.87</v>
      </c>
      <c r="K156">
        <v>1.1000000000000001</v>
      </c>
      <c r="L156" t="s">
        <v>2604</v>
      </c>
      <c r="M156" t="s">
        <v>495</v>
      </c>
      <c r="N156" t="s">
        <v>35</v>
      </c>
      <c r="O156" t="s">
        <v>5881</v>
      </c>
      <c r="P156">
        <v>8.06</v>
      </c>
      <c r="Q156" t="s">
        <v>5881</v>
      </c>
      <c r="R156">
        <v>4851509</v>
      </c>
      <c r="S156" s="6">
        <v>-0.60160000000000002</v>
      </c>
      <c r="T156" t="s">
        <v>5882</v>
      </c>
      <c r="U156">
        <v>33321970</v>
      </c>
      <c r="V156">
        <v>61327100</v>
      </c>
      <c r="W156">
        <v>1.36</v>
      </c>
      <c r="X156">
        <v>7.0000000000000007E-2</v>
      </c>
      <c r="Y156">
        <v>10.38</v>
      </c>
      <c r="Z156" t="s">
        <v>5883</v>
      </c>
      <c r="AA156" t="s">
        <v>5884</v>
      </c>
      <c r="AB156" t="s">
        <v>5885</v>
      </c>
      <c r="AC156" t="s">
        <v>5886</v>
      </c>
      <c r="AD156" t="s">
        <v>5887</v>
      </c>
      <c r="AE156">
        <v>75163</v>
      </c>
      <c r="AF156" t="s">
        <v>5888</v>
      </c>
      <c r="AG156">
        <v>3308.03</v>
      </c>
      <c r="AH156" t="s">
        <v>5889</v>
      </c>
      <c r="AI156" t="s">
        <v>5890</v>
      </c>
      <c r="AJ156" t="s">
        <v>9</v>
      </c>
      <c r="AK156" t="s">
        <v>5891</v>
      </c>
      <c r="AL156" t="s">
        <v>5892</v>
      </c>
      <c r="AM156" t="s">
        <v>9</v>
      </c>
      <c r="AN156" t="s">
        <v>5893</v>
      </c>
      <c r="AO156" t="s">
        <v>9</v>
      </c>
      <c r="AP156" t="s">
        <v>5894</v>
      </c>
      <c r="AQ156" t="s">
        <v>314</v>
      </c>
      <c r="AR156" t="s">
        <v>9</v>
      </c>
      <c r="AS156" t="s">
        <v>149</v>
      </c>
      <c r="AT156" t="s">
        <v>9</v>
      </c>
      <c r="AU156" t="s">
        <v>5895</v>
      </c>
      <c r="AV156" t="s">
        <v>5896</v>
      </c>
      <c r="AW156" t="s">
        <v>9</v>
      </c>
      <c r="AX156" t="s">
        <v>585</v>
      </c>
      <c r="AY156" t="s">
        <v>36</v>
      </c>
      <c r="AZ156" t="s">
        <v>164</v>
      </c>
      <c r="BA156" t="s">
        <v>130</v>
      </c>
      <c r="BB156" t="s">
        <v>411</v>
      </c>
      <c r="BC156" t="s">
        <v>5897</v>
      </c>
      <c r="BD156" t="s">
        <v>1960</v>
      </c>
      <c r="BE156" t="s">
        <v>1961</v>
      </c>
      <c r="BF156" t="s">
        <v>1962</v>
      </c>
      <c r="BG156" t="s">
        <v>1963</v>
      </c>
      <c r="BH156" t="s">
        <v>34</v>
      </c>
      <c r="BI156" t="s">
        <v>1964</v>
      </c>
      <c r="BJ156" t="s">
        <v>585</v>
      </c>
      <c r="BK156" t="s">
        <v>5898</v>
      </c>
      <c r="BL156" t="s">
        <v>687</v>
      </c>
      <c r="BM156" t="s">
        <v>5897</v>
      </c>
      <c r="BN156">
        <v>6.29</v>
      </c>
      <c r="BO156">
        <v>9.51</v>
      </c>
      <c r="BP156">
        <v>26.51</v>
      </c>
      <c r="BQ156">
        <v>6.34</v>
      </c>
      <c r="BR156">
        <v>13.41</v>
      </c>
      <c r="BS156">
        <v>31.44</v>
      </c>
      <c r="BT156" t="s">
        <v>1006</v>
      </c>
      <c r="BU156" t="s">
        <v>951</v>
      </c>
      <c r="BV156">
        <v>41.07</v>
      </c>
      <c r="BW156">
        <v>38.46</v>
      </c>
      <c r="BX156">
        <v>39.35</v>
      </c>
      <c r="BY156">
        <v>25.49</v>
      </c>
      <c r="BZ156">
        <v>15.32</v>
      </c>
      <c r="CA156">
        <v>22.39</v>
      </c>
      <c r="CB156">
        <v>1.35</v>
      </c>
      <c r="CC156">
        <v>-5.37</v>
      </c>
      <c r="CD156" t="s">
        <v>5899</v>
      </c>
      <c r="CE156" t="s">
        <v>5900</v>
      </c>
      <c r="CF156" s="8">
        <v>-0.43430056414542417</v>
      </c>
      <c r="CG156" s="9">
        <v>-0.60160000000000002</v>
      </c>
      <c r="CH156" s="8">
        <v>-0.78765189647674561</v>
      </c>
      <c r="CI156" s="8">
        <v>-5.9907834976911545E-2</v>
      </c>
      <c r="CJ156" s="8">
        <v>0.39102563261985779</v>
      </c>
      <c r="CK156" s="8">
        <v>8.3333335816860199E-2</v>
      </c>
      <c r="CL156" s="8">
        <v>0.27433627843856812</v>
      </c>
      <c r="CM156" s="9">
        <v>-0.84478724002838135</v>
      </c>
      <c r="CN156" s="9">
        <v>-0.35596591234207153</v>
      </c>
      <c r="CO156" s="9">
        <v>0.18227127194404602</v>
      </c>
      <c r="CP156" s="9">
        <v>1.9448490142822266</v>
      </c>
      <c r="CQ156" s="9">
        <v>-0.38720056414604187</v>
      </c>
      <c r="CR156">
        <v>-2.537865894860579</v>
      </c>
      <c r="CS156" t="e">
        <v>#DIV/0!</v>
      </c>
      <c r="CT156">
        <v>1.8115942028985508</v>
      </c>
      <c r="CU156" s="8">
        <v>0</v>
      </c>
      <c r="CV156" s="9">
        <v>0</v>
      </c>
      <c r="CW156">
        <v>0.06</v>
      </c>
      <c r="CX156">
        <v>46.054971328455117</v>
      </c>
      <c r="CY156">
        <v>4576886.7924528299</v>
      </c>
      <c r="CZ156">
        <v>0</v>
      </c>
      <c r="DA156">
        <v>16.254355379021291</v>
      </c>
      <c r="DB156">
        <v>12968117.472813126</v>
      </c>
      <c r="DC156">
        <v>0</v>
      </c>
      <c r="DD156">
        <v>8.8357170034816797</v>
      </c>
      <c r="DE156">
        <v>23856398.967615154</v>
      </c>
      <c r="DF156">
        <v>0</v>
      </c>
      <c r="DG156">
        <v>5.9032027549957693</v>
      </c>
      <c r="DH156">
        <v>35707462.329938397</v>
      </c>
      <c r="DI156">
        <v>0</v>
      </c>
      <c r="DJ156">
        <v>3.7880021432575068</v>
      </c>
      <c r="DK156">
        <v>55646322.791869313</v>
      </c>
      <c r="DL156">
        <v>0</v>
      </c>
      <c r="DM156">
        <v>4851500</v>
      </c>
      <c r="DN156">
        <v>0</v>
      </c>
      <c r="DO156">
        <v>210788390</v>
      </c>
      <c r="DP156">
        <v>402887020</v>
      </c>
      <c r="DQ156">
        <v>155</v>
      </c>
      <c r="DR156">
        <v>-0.43430056414542417</v>
      </c>
      <c r="DS156">
        <v>-0.60160000000000002</v>
      </c>
      <c r="DT156">
        <v>-0.44</v>
      </c>
      <c r="DU156">
        <v>-0.44</v>
      </c>
      <c r="DV156">
        <v>-0.88</v>
      </c>
      <c r="DW156">
        <v>-1.0537000000000001</v>
      </c>
      <c r="DX156">
        <v>0.44689520537248284</v>
      </c>
      <c r="DY156">
        <v>-1.0111102725285022</v>
      </c>
      <c r="DZ156">
        <v>0</v>
      </c>
      <c r="EA156">
        <v>-1.0111102725285022</v>
      </c>
      <c r="EB156">
        <v>1</v>
      </c>
      <c r="EC156">
        <v>1.7281104112211405E-2</v>
      </c>
      <c r="ED156">
        <v>8.3525880075855541E-2</v>
      </c>
      <c r="EE156">
        <v>0</v>
      </c>
      <c r="EF156">
        <v>0</v>
      </c>
      <c r="EG156">
        <v>24.206895205372483</v>
      </c>
      <c r="EH156" t="s">
        <v>86</v>
      </c>
      <c r="EI156">
        <v>0</v>
      </c>
      <c r="EJ156">
        <v>0</v>
      </c>
      <c r="EK156">
        <v>0</v>
      </c>
      <c r="EL156">
        <v>0</v>
      </c>
      <c r="EM156">
        <v>0</v>
      </c>
      <c r="EN156">
        <v>0</v>
      </c>
      <c r="EO156">
        <v>0</v>
      </c>
      <c r="EP156">
        <v>0</v>
      </c>
    </row>
    <row r="157" spans="1:146" ht="108" x14ac:dyDescent="0.25">
      <c r="A157" s="10"/>
      <c r="B157" s="10"/>
      <c r="C157" s="7" t="str">
        <f>""&amp;CHAR(10)&amp;Basic_Fundamental_Information_Constructure(F157)&amp;CHAR(10)&amp;Basic_Fundamental_Information_Concatenate("")</f>
        <v xml:space="preserve">
市值6.3951595亿, 利润685.75万; PE24.34; 平均PE47.34, PB1.62; ROIC8.7467%; ROE9.7433%; 股利率1.6779%; 毛利14.09%; 净利6.0833%; 上一年度营收增-75.61%, 利润增-81%; 当季营收增-43.6%, 利润增39.13%; 过往5年营收增0%, 利润增0%
Income profile:
</v>
      </c>
      <c r="D157">
        <v>836957</v>
      </c>
      <c r="E157" t="s">
        <v>1965</v>
      </c>
      <c r="F157">
        <v>5.96</v>
      </c>
      <c r="G157" s="5">
        <v>-3.4</v>
      </c>
      <c r="H157" t="s">
        <v>5901</v>
      </c>
      <c r="I157">
        <v>639515950</v>
      </c>
      <c r="J157">
        <v>24.34</v>
      </c>
      <c r="K157">
        <v>1.62</v>
      </c>
      <c r="L157" t="s">
        <v>2604</v>
      </c>
      <c r="M157" t="s">
        <v>285</v>
      </c>
      <c r="N157" t="s">
        <v>268</v>
      </c>
      <c r="O157" t="s">
        <v>256</v>
      </c>
      <c r="P157">
        <v>23.68</v>
      </c>
      <c r="Q157" t="s">
        <v>256</v>
      </c>
      <c r="R157">
        <v>6857515</v>
      </c>
      <c r="S157" s="5">
        <v>0.39129999999999998</v>
      </c>
      <c r="T157" t="s">
        <v>5902</v>
      </c>
      <c r="U157">
        <v>26825334</v>
      </c>
      <c r="V157">
        <v>107301334</v>
      </c>
      <c r="W157">
        <v>1.5</v>
      </c>
      <c r="X157">
        <v>0.19</v>
      </c>
      <c r="Y157">
        <v>5.4</v>
      </c>
      <c r="Z157" t="s">
        <v>272</v>
      </c>
      <c r="AA157" t="s">
        <v>63</v>
      </c>
      <c r="AB157" t="s">
        <v>5903</v>
      </c>
      <c r="AC157" t="s">
        <v>5904</v>
      </c>
      <c r="AD157" t="s">
        <v>5905</v>
      </c>
      <c r="AE157">
        <v>93525</v>
      </c>
      <c r="AF157" t="s">
        <v>5906</v>
      </c>
      <c r="AG157">
        <v>0.05</v>
      </c>
      <c r="AH157" t="s">
        <v>5907</v>
      </c>
      <c r="AI157" t="s">
        <v>83</v>
      </c>
      <c r="AJ157" t="s">
        <v>9</v>
      </c>
      <c r="AK157" t="s">
        <v>5908</v>
      </c>
      <c r="AL157" t="s">
        <v>5909</v>
      </c>
      <c r="AM157" t="s">
        <v>9</v>
      </c>
      <c r="AN157" t="s">
        <v>5910</v>
      </c>
      <c r="AO157" t="s">
        <v>5911</v>
      </c>
      <c r="AP157" t="s">
        <v>5912</v>
      </c>
      <c r="AQ157" t="s">
        <v>5913</v>
      </c>
      <c r="AR157" t="s">
        <v>9</v>
      </c>
      <c r="AS157" t="s">
        <v>849</v>
      </c>
      <c r="AT157" t="s">
        <v>9</v>
      </c>
      <c r="AU157" t="s">
        <v>5914</v>
      </c>
      <c r="AV157" t="s">
        <v>5915</v>
      </c>
      <c r="AW157" t="s">
        <v>5916</v>
      </c>
      <c r="AX157" t="s">
        <v>478</v>
      </c>
      <c r="AY157" t="s">
        <v>344</v>
      </c>
      <c r="AZ157" t="s">
        <v>257</v>
      </c>
      <c r="BA157" t="s">
        <v>383</v>
      </c>
      <c r="BB157" t="s">
        <v>666</v>
      </c>
      <c r="BC157" t="s">
        <v>5917</v>
      </c>
      <c r="BD157" t="s">
        <v>1966</v>
      </c>
      <c r="BE157" t="s">
        <v>1967</v>
      </c>
      <c r="BF157" t="s">
        <v>1968</v>
      </c>
      <c r="BG157" t="s">
        <v>1969</v>
      </c>
      <c r="BH157" t="s">
        <v>357</v>
      </c>
      <c r="BI157" t="s">
        <v>100</v>
      </c>
      <c r="BJ157" t="s">
        <v>478</v>
      </c>
      <c r="BK157" t="s">
        <v>5918</v>
      </c>
      <c r="BL157" t="s">
        <v>1970</v>
      </c>
      <c r="BM157" t="s">
        <v>5917</v>
      </c>
      <c r="BN157">
        <v>4.3600000000000003</v>
      </c>
      <c r="BO157">
        <v>10.14</v>
      </c>
      <c r="BP157">
        <v>11.74</v>
      </c>
      <c r="BQ157">
        <v>4.12</v>
      </c>
      <c r="BR157">
        <v>12.3</v>
      </c>
      <c r="BS157">
        <v>12.81</v>
      </c>
      <c r="BT157" t="s">
        <v>886</v>
      </c>
      <c r="BU157" t="s">
        <v>987</v>
      </c>
      <c r="BV157">
        <v>14.15</v>
      </c>
      <c r="BW157">
        <v>14.65</v>
      </c>
      <c r="BX157">
        <v>13.47</v>
      </c>
      <c r="BY157">
        <v>4.76</v>
      </c>
      <c r="BZ157">
        <v>7.25</v>
      </c>
      <c r="CA157">
        <v>6.24</v>
      </c>
      <c r="CB157">
        <v>3.47</v>
      </c>
      <c r="CC157">
        <v>-10.11</v>
      </c>
      <c r="CD157" t="s">
        <v>5919</v>
      </c>
      <c r="CE157" t="s">
        <v>5920</v>
      </c>
      <c r="CF157" s="8">
        <v>-0.43601895734597157</v>
      </c>
      <c r="CG157" s="9">
        <v>0.39129999999999998</v>
      </c>
      <c r="CH157" s="8">
        <v>-0.75614756345748901</v>
      </c>
      <c r="CI157" s="8">
        <v>-7.2243347764015198E-2</v>
      </c>
      <c r="CJ157" s="8">
        <v>0.10736842453479767</v>
      </c>
      <c r="CK157" s="8">
        <v>8.2004554569721222E-2</v>
      </c>
      <c r="CL157" s="8">
        <v>0.11989796161651611</v>
      </c>
      <c r="CM157" s="9">
        <v>-0.80999892950057983</v>
      </c>
      <c r="CN157" s="9">
        <v>9.5566362142562866E-2</v>
      </c>
      <c r="CO157" s="9">
        <v>-0.23980459570884705</v>
      </c>
      <c r="CP157" s="9">
        <v>-0.16115576028823853</v>
      </c>
      <c r="CQ157" s="9">
        <v>0.40119069814682007</v>
      </c>
      <c r="CR157">
        <v>47.339232597991746</v>
      </c>
      <c r="CS157" t="e">
        <v>#DIV/0!</v>
      </c>
      <c r="CT157">
        <v>1.6778523489932886</v>
      </c>
      <c r="CU157" s="8">
        <v>0</v>
      </c>
      <c r="CV157" s="9">
        <v>0</v>
      </c>
      <c r="CW157">
        <v>0.06</v>
      </c>
      <c r="CX157">
        <v>74.12131345242436</v>
      </c>
      <c r="CY157">
        <v>6469339.6226415085</v>
      </c>
      <c r="CZ157">
        <v>0</v>
      </c>
      <c r="DA157">
        <v>26.159915754222901</v>
      </c>
      <c r="DB157">
        <v>18330179.443433166</v>
      </c>
      <c r="DC157">
        <v>0</v>
      </c>
      <c r="DD157">
        <v>14.220287858204383</v>
      </c>
      <c r="DE157">
        <v>33720551.565581962</v>
      </c>
      <c r="DF157">
        <v>0</v>
      </c>
      <c r="DG157">
        <v>9.50067124471129</v>
      </c>
      <c r="DH157">
        <v>50471796.955076277</v>
      </c>
      <c r="DI157">
        <v>0</v>
      </c>
      <c r="DJ157">
        <v>6.0964470527282639</v>
      </c>
      <c r="DK157">
        <v>78654984.756311208</v>
      </c>
      <c r="DL157">
        <v>0</v>
      </c>
      <c r="DM157">
        <v>6857500</v>
      </c>
      <c r="DN157">
        <v>0</v>
      </c>
      <c r="DO157">
        <v>479515950</v>
      </c>
      <c r="DP157">
        <v>228698490</v>
      </c>
      <c r="DQ157">
        <v>156</v>
      </c>
      <c r="DR157">
        <v>-0.43601895734597157</v>
      </c>
      <c r="DS157">
        <v>0.39129999999999998</v>
      </c>
      <c r="DT157">
        <v>-0.44</v>
      </c>
      <c r="DU157">
        <v>-0.22</v>
      </c>
      <c r="DV157">
        <v>-0.66</v>
      </c>
      <c r="DW157">
        <v>6.2555228276877761</v>
      </c>
      <c r="DX157">
        <v>0.4528185226691025</v>
      </c>
      <c r="DY157">
        <v>6.0824875017423992</v>
      </c>
      <c r="DZ157">
        <v>0</v>
      </c>
      <c r="EA157">
        <v>6.0824875017423992</v>
      </c>
      <c r="EB157">
        <v>6</v>
      </c>
      <c r="EC157">
        <v>2.1745302812358324E-2</v>
      </c>
      <c r="ED157">
        <v>6.7360765524126662E-2</v>
      </c>
      <c r="EE157">
        <v>0</v>
      </c>
      <c r="EF157">
        <v>0</v>
      </c>
      <c r="EG157">
        <v>13.322818522669102</v>
      </c>
      <c r="EH157" t="s">
        <v>86</v>
      </c>
      <c r="EI157">
        <v>0</v>
      </c>
      <c r="EJ157">
        <v>0</v>
      </c>
      <c r="EK157">
        <v>0</v>
      </c>
      <c r="EL157">
        <v>0</v>
      </c>
      <c r="EM157">
        <v>0</v>
      </c>
      <c r="EN157">
        <v>0</v>
      </c>
      <c r="EO157">
        <v>0</v>
      </c>
      <c r="EP157">
        <v>0</v>
      </c>
    </row>
    <row r="158" spans="1:146" ht="96" x14ac:dyDescent="0.25">
      <c r="C158" s="7" t="str">
        <f>""&amp;CHAR(10)&amp;Basic_Fundamental_Information_Constructure(F158)&amp;CHAR(10)&amp;Basic_Fundamental_Information_Concatenate("")</f>
        <v xml:space="preserve">
市值9.443386亿, 利润882.74万; PE25.7; 平均PE2.61, PB3.3; ROIC24.12%; ROE29.09%; 股利率1.4243%; 毛利35.6033%; 净利19.4333%; 上一年度营收增-83.4%, 利润增-72.06%; 当季营收增-73.53%, 利润增0%; 过往5年营收增0%, 利润增0%
Income profile:
</v>
      </c>
      <c r="D158">
        <v>836961</v>
      </c>
      <c r="E158" t="s">
        <v>5921</v>
      </c>
      <c r="F158">
        <v>13.34</v>
      </c>
      <c r="G158">
        <v>-3.82</v>
      </c>
      <c r="H158" t="s">
        <v>5922</v>
      </c>
      <c r="I158">
        <v>944338600</v>
      </c>
      <c r="J158">
        <v>25.7</v>
      </c>
      <c r="K158">
        <v>3.3</v>
      </c>
      <c r="L158" t="s">
        <v>2604</v>
      </c>
      <c r="M158" t="s">
        <v>5923</v>
      </c>
      <c r="N158" t="s">
        <v>156</v>
      </c>
      <c r="O158" t="s">
        <v>5924</v>
      </c>
      <c r="P158" s="6">
        <v>-47.14</v>
      </c>
      <c r="Q158" t="s">
        <v>5924</v>
      </c>
      <c r="R158">
        <v>8827387</v>
      </c>
      <c r="S158">
        <v>0</v>
      </c>
      <c r="T158" t="s">
        <v>5925</v>
      </c>
      <c r="U158">
        <v>17547900</v>
      </c>
      <c r="V158">
        <v>70790000</v>
      </c>
      <c r="W158">
        <v>1.1499999999999999</v>
      </c>
      <c r="X158">
        <v>0.09</v>
      </c>
      <c r="Y158">
        <v>31.46</v>
      </c>
      <c r="Z158" t="s">
        <v>5926</v>
      </c>
      <c r="AA158" t="s">
        <v>5927</v>
      </c>
      <c r="AB158" t="s">
        <v>5928</v>
      </c>
      <c r="AC158" t="s">
        <v>5929</v>
      </c>
      <c r="AD158" t="s">
        <v>5930</v>
      </c>
      <c r="AE158">
        <v>527965</v>
      </c>
      <c r="AF158" t="s">
        <v>5931</v>
      </c>
      <c r="AG158" t="s">
        <v>5932</v>
      </c>
      <c r="AH158" t="s">
        <v>5933</v>
      </c>
      <c r="AI158" t="s">
        <v>5934</v>
      </c>
      <c r="AJ158" t="s">
        <v>9</v>
      </c>
      <c r="AK158" t="s">
        <v>5935</v>
      </c>
      <c r="AL158" t="s">
        <v>5936</v>
      </c>
      <c r="AM158" t="s">
        <v>9</v>
      </c>
      <c r="AN158">
        <v>0</v>
      </c>
      <c r="AO158" t="s">
        <v>1261</v>
      </c>
      <c r="AP158" t="s">
        <v>9</v>
      </c>
      <c r="AQ158" t="s">
        <v>5937</v>
      </c>
      <c r="AR158" t="s">
        <v>9</v>
      </c>
      <c r="AS158" t="s">
        <v>5938</v>
      </c>
      <c r="AT158" t="s">
        <v>9</v>
      </c>
      <c r="AU158" t="s">
        <v>5939</v>
      </c>
      <c r="AV158" t="s">
        <v>5940</v>
      </c>
      <c r="AW158" t="s">
        <v>5941</v>
      </c>
      <c r="AX158" t="s">
        <v>849</v>
      </c>
      <c r="AY158" t="s">
        <v>256</v>
      </c>
      <c r="AZ158" t="s">
        <v>5942</v>
      </c>
      <c r="BA158" t="s">
        <v>5943</v>
      </c>
      <c r="BB158" t="s">
        <v>5944</v>
      </c>
      <c r="BC158" t="s">
        <v>5945</v>
      </c>
      <c r="BD158" t="s">
        <v>5946</v>
      </c>
      <c r="BE158" t="s">
        <v>5947</v>
      </c>
      <c r="BF158" t="s">
        <v>5948</v>
      </c>
      <c r="BG158" t="s">
        <v>5949</v>
      </c>
      <c r="BH158" t="s">
        <v>640</v>
      </c>
      <c r="BI158" t="s">
        <v>166</v>
      </c>
      <c r="BJ158" t="s">
        <v>849</v>
      </c>
      <c r="BK158" t="s">
        <v>5950</v>
      </c>
      <c r="BL158" t="s">
        <v>5951</v>
      </c>
      <c r="BM158" t="s">
        <v>5945</v>
      </c>
      <c r="BN158">
        <v>27.2</v>
      </c>
      <c r="BO158">
        <v>26.75</v>
      </c>
      <c r="BP158">
        <v>18.41</v>
      </c>
      <c r="BQ158" t="s">
        <v>9</v>
      </c>
      <c r="BR158">
        <v>29.09</v>
      </c>
      <c r="BS158" t="s">
        <v>9</v>
      </c>
      <c r="BT158" t="s">
        <v>5952</v>
      </c>
      <c r="BU158" t="s">
        <v>1167</v>
      </c>
      <c r="BV158">
        <v>37.07</v>
      </c>
      <c r="BW158">
        <v>35.76</v>
      </c>
      <c r="BX158">
        <v>33.979999999999997</v>
      </c>
      <c r="BY158">
        <v>23.38</v>
      </c>
      <c r="BZ158">
        <v>18.71</v>
      </c>
      <c r="CA158">
        <v>16.21</v>
      </c>
      <c r="CB158">
        <v>3.57</v>
      </c>
      <c r="CC158" s="8">
        <v>-8.5</v>
      </c>
      <c r="CD158" s="11" t="s">
        <v>5953</v>
      </c>
      <c r="CE158" s="8" t="s">
        <v>5954</v>
      </c>
      <c r="CF158" s="8">
        <v>-0.73526226415094342</v>
      </c>
      <c r="CG158" s="8">
        <v>0</v>
      </c>
      <c r="CH158" s="8">
        <v>-0.83395141363143921</v>
      </c>
      <c r="CI158" s="8">
        <v>0.42016807198524475</v>
      </c>
      <c r="CJ158" s="9">
        <v>0.52029657363891602</v>
      </c>
      <c r="CK158" s="9">
        <v>-0.1158774346113205</v>
      </c>
      <c r="CL158" s="9">
        <v>1.7800811678171158E-2</v>
      </c>
      <c r="CM158" s="9">
        <v>-0.72058999538421631</v>
      </c>
      <c r="CN158" s="9">
        <v>0.63371789455413818</v>
      </c>
      <c r="CO158">
        <v>0.96863514184951782</v>
      </c>
      <c r="CP158">
        <v>-0.2469719797372818</v>
      </c>
      <c r="CQ158">
        <v>-0.25657522678375244</v>
      </c>
      <c r="CR158" s="8">
        <v>2.6122776827391236</v>
      </c>
      <c r="CS158" s="9" t="e">
        <v>#DIV/0!</v>
      </c>
      <c r="CT158">
        <v>1.4242878560719641</v>
      </c>
      <c r="CU158">
        <v>0</v>
      </c>
      <c r="CV158">
        <v>0</v>
      </c>
      <c r="CW158">
        <v>0.06</v>
      </c>
      <c r="CX158">
        <v>85.198115413372008</v>
      </c>
      <c r="CY158">
        <v>8327735.8490566025</v>
      </c>
      <c r="CZ158">
        <v>0</v>
      </c>
      <c r="DA158">
        <v>30.069293403211706</v>
      </c>
      <c r="DB158">
        <v>23595745.682677645</v>
      </c>
      <c r="DC158">
        <v>0</v>
      </c>
      <c r="DD158">
        <v>16.345389331670599</v>
      </c>
      <c r="DE158">
        <v>43407188.755379982</v>
      </c>
      <c r="DF158">
        <v>0</v>
      </c>
      <c r="DG158">
        <v>10.920466023999499</v>
      </c>
      <c r="DH158">
        <v>64970432.437658086</v>
      </c>
      <c r="DI158">
        <v>0</v>
      </c>
      <c r="DJ158">
        <v>7.0075093845070766</v>
      </c>
      <c r="DK158">
        <v>101249582.56476289</v>
      </c>
      <c r="DL158">
        <v>0</v>
      </c>
      <c r="DM158">
        <v>8827400</v>
      </c>
      <c r="DN158">
        <v>0</v>
      </c>
      <c r="DO158">
        <v>709507400</v>
      </c>
      <c r="DP158">
        <v>221613690</v>
      </c>
      <c r="DQ158">
        <v>157</v>
      </c>
      <c r="DR158">
        <v>-0.73526226415094342</v>
      </c>
      <c r="DS158">
        <v>0</v>
      </c>
      <c r="DT158">
        <v>-0.44</v>
      </c>
      <c r="DU158">
        <v>-0.44</v>
      </c>
      <c r="DV158">
        <v>-0.88</v>
      </c>
      <c r="DW158">
        <v>6.295774647887324</v>
      </c>
      <c r="DX158">
        <v>0.50108175251662257</v>
      </c>
      <c r="DY158">
        <v>6.1215875606035075</v>
      </c>
      <c r="DZ158">
        <v>0</v>
      </c>
      <c r="EA158">
        <v>6.1215875606035075</v>
      </c>
      <c r="EB158">
        <v>6</v>
      </c>
      <c r="EC158">
        <v>0.16175448509676507</v>
      </c>
      <c r="ED158">
        <v>0.39348495550218959</v>
      </c>
      <c r="EE158">
        <v>0</v>
      </c>
      <c r="EF158">
        <v>0</v>
      </c>
      <c r="EG158">
        <v>9.4110817525166226</v>
      </c>
      <c r="EH158" t="s">
        <v>86</v>
      </c>
      <c r="EI158">
        <v>0</v>
      </c>
      <c r="EJ158">
        <v>0</v>
      </c>
      <c r="EK158">
        <v>0</v>
      </c>
      <c r="EL158">
        <v>0</v>
      </c>
      <c r="EM158">
        <v>0</v>
      </c>
      <c r="EN158">
        <v>0</v>
      </c>
      <c r="EO158">
        <v>0</v>
      </c>
      <c r="EP158">
        <v>0</v>
      </c>
    </row>
    <row r="159" spans="1:146" ht="96" x14ac:dyDescent="0.25">
      <c r="A159" s="10"/>
      <c r="B159" s="10"/>
      <c r="C159" s="7" t="str">
        <f>""&amp;CHAR(10)&amp;Basic_Fundamental_Information_Constructure(F159)&amp;CHAR(10)&amp;Basic_Fundamental_Information_Concatenate("")</f>
        <v xml:space="preserve">
市值10.6177747亿, 利润-55.62万; PE17.16; 平均PE79.66, PB2.88; ROIC19.3233%; ROE21.265%; 股利率3.5799%; 毛利62.93%; 净利30.2933%; 上一年度营收增-86.14%, 利润增-101.18%; 当季营收增-76.42%, 利润增92.5%; 过往5年营收增0%, 利润增0%
Income profile:
</v>
      </c>
      <c r="D159">
        <v>837006</v>
      </c>
      <c r="E159" t="s">
        <v>1971</v>
      </c>
      <c r="F159">
        <v>11.76</v>
      </c>
      <c r="G159" s="5">
        <v>-2.73</v>
      </c>
      <c r="H159" t="s">
        <v>5955</v>
      </c>
      <c r="I159">
        <v>1061777470</v>
      </c>
      <c r="J159">
        <v>17.16</v>
      </c>
      <c r="K159">
        <v>2.88</v>
      </c>
      <c r="L159" t="s">
        <v>2604</v>
      </c>
      <c r="M159" t="s">
        <v>128</v>
      </c>
      <c r="N159" t="s">
        <v>293</v>
      </c>
      <c r="O159" t="s">
        <v>5956</v>
      </c>
      <c r="P159">
        <v>0.55000000000000004</v>
      </c>
      <c r="Q159" t="s">
        <v>5956</v>
      </c>
      <c r="R159">
        <v>-556159</v>
      </c>
      <c r="S159" s="6">
        <v>0.92500000000000004</v>
      </c>
      <c r="T159" t="s">
        <v>5957</v>
      </c>
      <c r="U159">
        <v>30474000</v>
      </c>
      <c r="V159">
        <v>90287200</v>
      </c>
      <c r="W159">
        <v>1.4</v>
      </c>
      <c r="X159">
        <v>0.04</v>
      </c>
      <c r="Y159">
        <v>-2.42</v>
      </c>
      <c r="Z159" t="s">
        <v>5958</v>
      </c>
      <c r="AA159" t="s">
        <v>5959</v>
      </c>
      <c r="AB159" t="s">
        <v>5960</v>
      </c>
      <c r="AC159" t="s">
        <v>5961</v>
      </c>
      <c r="AD159" t="s">
        <v>1286</v>
      </c>
      <c r="AE159">
        <v>185271</v>
      </c>
      <c r="AF159" t="s">
        <v>5962</v>
      </c>
      <c r="AG159">
        <v>28.94</v>
      </c>
      <c r="AH159" t="s">
        <v>5963</v>
      </c>
      <c r="AI159" t="s">
        <v>5964</v>
      </c>
      <c r="AJ159" t="s">
        <v>9</v>
      </c>
      <c r="AK159" t="s">
        <v>5965</v>
      </c>
      <c r="AL159" t="s">
        <v>5966</v>
      </c>
      <c r="AM159" t="s">
        <v>9</v>
      </c>
      <c r="AN159" t="s">
        <v>5967</v>
      </c>
      <c r="AO159" t="s">
        <v>5968</v>
      </c>
      <c r="AP159" t="s">
        <v>5969</v>
      </c>
      <c r="AQ159" t="s">
        <v>5970</v>
      </c>
      <c r="AR159" t="s">
        <v>9</v>
      </c>
      <c r="AS159" t="s">
        <v>328</v>
      </c>
      <c r="AT159" t="s">
        <v>9</v>
      </c>
      <c r="AU159" t="s">
        <v>5971</v>
      </c>
      <c r="AV159" t="s">
        <v>5972</v>
      </c>
      <c r="AW159" t="s">
        <v>5973</v>
      </c>
      <c r="AX159" t="s">
        <v>110</v>
      </c>
      <c r="AY159" t="s">
        <v>537</v>
      </c>
      <c r="AZ159" t="s">
        <v>1975</v>
      </c>
      <c r="BA159" t="s">
        <v>1976</v>
      </c>
      <c r="BB159" t="s">
        <v>1977</v>
      </c>
      <c r="BC159" t="s">
        <v>1973</v>
      </c>
      <c r="BD159" t="s">
        <v>1978</v>
      </c>
      <c r="BE159" t="s">
        <v>1979</v>
      </c>
      <c r="BF159" t="s">
        <v>1980</v>
      </c>
      <c r="BG159" t="s">
        <v>1981</v>
      </c>
      <c r="BH159" t="s">
        <v>849</v>
      </c>
      <c r="BI159" t="s">
        <v>1982</v>
      </c>
      <c r="BJ159" t="s">
        <v>110</v>
      </c>
      <c r="BK159" t="s">
        <v>5974</v>
      </c>
      <c r="BL159" t="s">
        <v>1983</v>
      </c>
      <c r="BM159" t="s">
        <v>1973</v>
      </c>
      <c r="BN159">
        <v>12.59</v>
      </c>
      <c r="BO159">
        <v>27.16</v>
      </c>
      <c r="BP159">
        <v>18.22</v>
      </c>
      <c r="BQ159">
        <v>13.5</v>
      </c>
      <c r="BR159">
        <v>29.03</v>
      </c>
      <c r="BS159" t="s">
        <v>9</v>
      </c>
      <c r="BT159" t="s">
        <v>5975</v>
      </c>
      <c r="BU159" t="s">
        <v>1972</v>
      </c>
      <c r="BV159">
        <v>65.77</v>
      </c>
      <c r="BW159">
        <v>66.900000000000006</v>
      </c>
      <c r="BX159">
        <v>56.12</v>
      </c>
      <c r="BY159">
        <v>32.76</v>
      </c>
      <c r="BZ159">
        <v>32.82</v>
      </c>
      <c r="CA159">
        <v>25.3</v>
      </c>
      <c r="CB159">
        <v>-2.16</v>
      </c>
      <c r="CC159">
        <v>-2.73</v>
      </c>
      <c r="CD159" t="s">
        <v>5976</v>
      </c>
      <c r="CE159" t="s">
        <v>5977</v>
      </c>
      <c r="CF159" s="8">
        <v>-0.76418078542748014</v>
      </c>
      <c r="CG159" s="9">
        <v>0.92500000000000004</v>
      </c>
      <c r="CH159" s="8">
        <v>-0.86141294240951538</v>
      </c>
      <c r="CI159" s="8">
        <v>0.2522522509098053</v>
      </c>
      <c r="CJ159" s="8">
        <v>0.23813177645206451</v>
      </c>
      <c r="CK159" s="8">
        <v>0.38675907254219055</v>
      </c>
      <c r="CL159" s="8">
        <v>0.10400699824094772</v>
      </c>
      <c r="CM159" s="9">
        <v>-1.011843204498291</v>
      </c>
      <c r="CN159" s="9">
        <v>0.88331252336502075</v>
      </c>
      <c r="CO159" s="9">
        <v>0.23783592879772186</v>
      </c>
      <c r="CP159" s="9">
        <v>0.61633878946304321</v>
      </c>
      <c r="CQ159" s="9">
        <v>1.8788949251174927</v>
      </c>
      <c r="CR159">
        <v>79.656609808368941</v>
      </c>
      <c r="CS159" t="e">
        <v>#DIV/0!</v>
      </c>
      <c r="CT159">
        <v>3.5799319727891157</v>
      </c>
      <c r="CU159" s="8">
        <v>0</v>
      </c>
      <c r="CV159" s="9">
        <v>0</v>
      </c>
      <c r="CW159">
        <v>0.06</v>
      </c>
      <c r="CX159" t="e">
        <v>#VALUE!</v>
      </c>
      <c r="CY159" t="s">
        <v>85</v>
      </c>
      <c r="CZ159">
        <v>0</v>
      </c>
      <c r="DA159" t="e">
        <v>#VALUE!</v>
      </c>
      <c r="DB159" t="s">
        <v>84</v>
      </c>
      <c r="DC159">
        <v>0</v>
      </c>
      <c r="DD159" t="e">
        <v>#VALUE!</v>
      </c>
      <c r="DE159" t="s">
        <v>84</v>
      </c>
      <c r="DF159">
        <v>0</v>
      </c>
      <c r="DG159" t="e">
        <v>#VALUE!</v>
      </c>
      <c r="DH159" t="s">
        <v>84</v>
      </c>
      <c r="DI159">
        <v>0</v>
      </c>
      <c r="DJ159" t="e">
        <v>#VALUE!</v>
      </c>
      <c r="DK159" t="s">
        <v>84</v>
      </c>
      <c r="DL159">
        <v>0</v>
      </c>
      <c r="DM159">
        <v>-556200</v>
      </c>
      <c r="DN159">
        <v>0</v>
      </c>
      <c r="DO159">
        <v>850777470</v>
      </c>
      <c r="DP159">
        <v>255468150</v>
      </c>
      <c r="DQ159">
        <v>158</v>
      </c>
      <c r="DR159">
        <v>-0.76418078542748014</v>
      </c>
      <c r="DS159">
        <v>0.92500000000000004</v>
      </c>
      <c r="DT159">
        <v>-0.44</v>
      </c>
      <c r="DU159" t="e">
        <v>#VALUE!</v>
      </c>
      <c r="DV159" t="e">
        <v>#VALUE!</v>
      </c>
      <c r="DW159">
        <v>-1.0273000000000001</v>
      </c>
      <c r="DX159">
        <v>0.31384682825974025</v>
      </c>
      <c r="DY159">
        <v>-1.0033810184114909</v>
      </c>
      <c r="DZ159">
        <v>0</v>
      </c>
      <c r="EA159">
        <v>-1.0033810184114909</v>
      </c>
      <c r="EB159">
        <v>1</v>
      </c>
      <c r="EC159">
        <v>6.2894851097387003E-2</v>
      </c>
      <c r="ED159">
        <v>0.5078438582656235</v>
      </c>
      <c r="EE159">
        <v>0</v>
      </c>
      <c r="EF159">
        <v>0</v>
      </c>
      <c r="EG159">
        <v>19.12384682825974</v>
      </c>
      <c r="EH159" t="s">
        <v>86</v>
      </c>
      <c r="EI159">
        <v>0</v>
      </c>
      <c r="EJ159">
        <v>0</v>
      </c>
      <c r="EK159">
        <v>0</v>
      </c>
      <c r="EL159">
        <v>0</v>
      </c>
      <c r="EM159">
        <v>0</v>
      </c>
      <c r="EN159">
        <v>0</v>
      </c>
      <c r="EO159">
        <v>0</v>
      </c>
      <c r="EP159">
        <v>0</v>
      </c>
    </row>
    <row r="160" spans="1:146" ht="96" x14ac:dyDescent="0.25">
      <c r="C160" s="7" t="str">
        <f>""&amp;CHAR(10)&amp;Basic_Fundamental_Information_Constructure(F160)&amp;CHAR(10)&amp;Basic_Fundamental_Information_Concatenate("")</f>
        <v xml:space="preserve">
市值8.93178亿, 利润792.49万; PE21.31; 平均PE1, PB2.16; ROIC7.9667%; ROE9.9%; 股利率1.9212%; 毛利30.9967%; 净利7.35%; 上一年度营收增-74.73%, 利润增-79.17%; 当季营收增-45.54%, 利润增489.8%; 过往5年营收增0%, 利润增0%
Income profile:
</v>
      </c>
      <c r="D160">
        <v>837023</v>
      </c>
      <c r="E160" t="s">
        <v>5978</v>
      </c>
      <c r="F160">
        <v>10.41</v>
      </c>
      <c r="G160">
        <v>-5.0199999999999996</v>
      </c>
      <c r="H160" t="s">
        <v>5979</v>
      </c>
      <c r="I160">
        <v>893178000</v>
      </c>
      <c r="J160">
        <v>21.31</v>
      </c>
      <c r="K160">
        <v>2.16</v>
      </c>
      <c r="L160" t="s">
        <v>2604</v>
      </c>
      <c r="M160" t="s">
        <v>1488</v>
      </c>
      <c r="N160" t="s">
        <v>116</v>
      </c>
      <c r="O160" t="s">
        <v>83</v>
      </c>
      <c r="P160" s="5">
        <v>19</v>
      </c>
      <c r="Q160" t="s">
        <v>83</v>
      </c>
      <c r="R160">
        <v>7924934</v>
      </c>
      <c r="S160">
        <v>4.8979999999999997</v>
      </c>
      <c r="T160" t="s">
        <v>5980</v>
      </c>
      <c r="U160">
        <v>23930553</v>
      </c>
      <c r="V160">
        <v>85800000</v>
      </c>
      <c r="W160">
        <v>1.81</v>
      </c>
      <c r="X160">
        <v>0.17</v>
      </c>
      <c r="Y160">
        <v>6.71</v>
      </c>
      <c r="Z160" t="s">
        <v>314</v>
      </c>
      <c r="AA160" t="s">
        <v>5981</v>
      </c>
      <c r="AB160" t="s">
        <v>5982</v>
      </c>
      <c r="AC160" t="s">
        <v>5983</v>
      </c>
      <c r="AD160" t="s">
        <v>5984</v>
      </c>
      <c r="AE160">
        <v>1095166</v>
      </c>
      <c r="AF160" t="s">
        <v>5985</v>
      </c>
      <c r="AG160" t="s">
        <v>5986</v>
      </c>
      <c r="AH160" t="s">
        <v>5987</v>
      </c>
      <c r="AI160" t="s">
        <v>5988</v>
      </c>
      <c r="AJ160" t="s">
        <v>9</v>
      </c>
      <c r="AK160" t="s">
        <v>9</v>
      </c>
      <c r="AL160" t="s">
        <v>5989</v>
      </c>
      <c r="AM160" t="s">
        <v>9</v>
      </c>
      <c r="AN160" t="s">
        <v>5990</v>
      </c>
      <c r="AO160" t="s">
        <v>5991</v>
      </c>
      <c r="AP160" t="s">
        <v>9</v>
      </c>
      <c r="AQ160" t="s">
        <v>5992</v>
      </c>
      <c r="AR160" t="s">
        <v>9</v>
      </c>
      <c r="AS160" t="s">
        <v>337</v>
      </c>
      <c r="AT160" t="s">
        <v>37</v>
      </c>
      <c r="AU160" t="s">
        <v>5993</v>
      </c>
      <c r="AV160" t="s">
        <v>5994</v>
      </c>
      <c r="AW160" t="s">
        <v>5995</v>
      </c>
      <c r="AX160" t="s">
        <v>645</v>
      </c>
      <c r="AY160" t="s">
        <v>291</v>
      </c>
      <c r="AZ160" t="s">
        <v>251</v>
      </c>
      <c r="BA160" t="s">
        <v>232</v>
      </c>
      <c r="BB160" t="s">
        <v>427</v>
      </c>
      <c r="BC160" t="s">
        <v>5996</v>
      </c>
      <c r="BD160" t="s">
        <v>5997</v>
      </c>
      <c r="BE160" t="s">
        <v>5998</v>
      </c>
      <c r="BF160" t="s">
        <v>5999</v>
      </c>
      <c r="BG160" t="s">
        <v>6000</v>
      </c>
      <c r="BH160" t="s">
        <v>292</v>
      </c>
      <c r="BI160" t="s">
        <v>117</v>
      </c>
      <c r="BJ160" t="s">
        <v>645</v>
      </c>
      <c r="BK160" t="s">
        <v>6001</v>
      </c>
      <c r="BL160" t="s">
        <v>6002</v>
      </c>
      <c r="BM160" t="s">
        <v>5996</v>
      </c>
      <c r="BN160">
        <v>7.35</v>
      </c>
      <c r="BO160">
        <v>9.5</v>
      </c>
      <c r="BP160">
        <v>7.05</v>
      </c>
      <c r="BQ160">
        <v>9.9</v>
      </c>
      <c r="BR160" t="s">
        <v>9</v>
      </c>
      <c r="BS160" t="s">
        <v>9</v>
      </c>
      <c r="BT160" t="s">
        <v>851</v>
      </c>
      <c r="BU160" t="s">
        <v>6003</v>
      </c>
      <c r="BV160">
        <v>33.19</v>
      </c>
      <c r="BW160">
        <v>30.47</v>
      </c>
      <c r="BX160">
        <v>29.33</v>
      </c>
      <c r="BY160">
        <v>8.85</v>
      </c>
      <c r="BZ160">
        <v>8.2100000000000009</v>
      </c>
      <c r="CA160">
        <v>4.99</v>
      </c>
      <c r="CB160">
        <v>-8.92</v>
      </c>
      <c r="CC160" s="8">
        <v>-20.05</v>
      </c>
      <c r="CD160" s="11" t="s">
        <v>6004</v>
      </c>
      <c r="CE160" s="8" t="s">
        <v>6005</v>
      </c>
      <c r="CF160" s="8">
        <v>-0.45539906103286393</v>
      </c>
      <c r="CG160" s="8">
        <v>4.8979999999999997</v>
      </c>
      <c r="CH160" s="8">
        <v>-0.7472766637802124</v>
      </c>
      <c r="CI160" s="8">
        <v>0.10336538404226303</v>
      </c>
      <c r="CJ160" s="9">
        <v>0.32484075427055359</v>
      </c>
      <c r="CK160" s="9">
        <v>0.35344827175140381</v>
      </c>
      <c r="CL160" s="9">
        <v>4.3290043249726295E-3</v>
      </c>
      <c r="CM160" s="9">
        <v>-0.79166656732559204</v>
      </c>
      <c r="CN160" s="9">
        <v>0.78998458385467529</v>
      </c>
      <c r="CO160">
        <v>-0.25057217478752136</v>
      </c>
      <c r="CP160">
        <v>0.3600400984287262</v>
      </c>
      <c r="CQ160">
        <v>-2.1641304716467857E-2</v>
      </c>
      <c r="CR160" s="8">
        <v>0.99501350269477395</v>
      </c>
      <c r="CS160" s="9" t="e">
        <v>#DIV/0!</v>
      </c>
      <c r="CT160">
        <v>1.9212295869356388</v>
      </c>
      <c r="CU160">
        <v>0</v>
      </c>
      <c r="CV160">
        <v>0</v>
      </c>
      <c r="CW160">
        <v>0.06</v>
      </c>
      <c r="CX160">
        <v>113.98360610228522</v>
      </c>
      <c r="CY160">
        <v>7476320.7547169803</v>
      </c>
      <c r="CZ160">
        <v>0</v>
      </c>
      <c r="DA160">
        <v>40.228665603884807</v>
      </c>
      <c r="DB160">
        <v>21183352.398288518</v>
      </c>
      <c r="DC160">
        <v>0</v>
      </c>
      <c r="DD160">
        <v>21.867929943403634</v>
      </c>
      <c r="DE160">
        <v>38969303.551160119</v>
      </c>
      <c r="DF160">
        <v>0</v>
      </c>
      <c r="DG160">
        <v>14.61011304878677</v>
      </c>
      <c r="DH160">
        <v>58327953.873756319</v>
      </c>
      <c r="DI160">
        <v>0</v>
      </c>
      <c r="DJ160">
        <v>9.3751039628789457</v>
      </c>
      <c r="DK160">
        <v>90897978.665007755</v>
      </c>
      <c r="DL160">
        <v>0</v>
      </c>
      <c r="DM160">
        <v>7924900</v>
      </c>
      <c r="DN160">
        <v>0</v>
      </c>
      <c r="DO160">
        <v>852178000</v>
      </c>
      <c r="DP160">
        <v>45656140</v>
      </c>
      <c r="DQ160">
        <v>159</v>
      </c>
      <c r="DR160">
        <v>-0.45539906103286393</v>
      </c>
      <c r="DS160">
        <v>4.8979999999999997</v>
      </c>
      <c r="DT160">
        <v>-0.44</v>
      </c>
      <c r="DU160">
        <v>-0.44</v>
      </c>
      <c r="DV160">
        <v>-0.88</v>
      </c>
      <c r="DW160">
        <v>-9.444887780548628</v>
      </c>
      <c r="DX160">
        <v>0.24001266525407025</v>
      </c>
      <c r="DY160">
        <v>-9.0400455348661506</v>
      </c>
      <c r="DZ160">
        <v>0</v>
      </c>
      <c r="EA160">
        <v>-9.0400455348661506</v>
      </c>
      <c r="EB160">
        <v>9</v>
      </c>
      <c r="EC160">
        <v>6.1047785547785546E-2</v>
      </c>
      <c r="ED160">
        <v>0.67821328671328673</v>
      </c>
      <c r="EE160">
        <v>0</v>
      </c>
      <c r="EF160">
        <v>0</v>
      </c>
      <c r="EG160">
        <v>15.09001266525407</v>
      </c>
      <c r="EH160" t="s">
        <v>86</v>
      </c>
      <c r="EI160">
        <v>0</v>
      </c>
      <c r="EJ160">
        <v>0</v>
      </c>
      <c r="EK160">
        <v>0</v>
      </c>
      <c r="EL160">
        <v>0</v>
      </c>
      <c r="EM160">
        <v>0</v>
      </c>
      <c r="EN160">
        <v>0</v>
      </c>
      <c r="EO160">
        <v>0</v>
      </c>
      <c r="EP160">
        <v>0</v>
      </c>
    </row>
    <row r="161" spans="1:146" ht="108" x14ac:dyDescent="0.25">
      <c r="A161" s="10"/>
      <c r="B161" s="10"/>
      <c r="C161" s="7" t="str">
        <f>""&amp;CHAR(10)&amp;Basic_Fundamental_Information_Constructure(F161)&amp;CHAR(10)&amp;Basic_Fundamental_Information_Concatenate("")</f>
        <v xml:space="preserve">
市值9.22488亿, 利润554.81万; PE53.76; 平均PE-7.04, PB3.78; ROIC9.67%; ROE12.57%; 股利率1.0965%; 毛利25.6667%; 净利9.7467%; 上一年度营收增-78.12%, 利润增-67.25%; 当季营收增-61.08%, 利润增-12.49%; 过往5年营收增0%, 利润增0%
Income profile:
</v>
      </c>
      <c r="D161">
        <v>837046</v>
      </c>
      <c r="E161" t="s">
        <v>1984</v>
      </c>
      <c r="F161">
        <v>9.1199999999999992</v>
      </c>
      <c r="G161" s="5">
        <v>-5</v>
      </c>
      <c r="H161" t="s">
        <v>6006</v>
      </c>
      <c r="I161">
        <v>922488000</v>
      </c>
      <c r="J161">
        <v>53.76</v>
      </c>
      <c r="K161">
        <v>3.78</v>
      </c>
      <c r="L161" t="s">
        <v>2604</v>
      </c>
      <c r="M161" t="s">
        <v>70</v>
      </c>
      <c r="N161" t="s">
        <v>32</v>
      </c>
      <c r="O161" t="s">
        <v>6007</v>
      </c>
      <c r="P161">
        <v>-26.76</v>
      </c>
      <c r="Q161" t="s">
        <v>6007</v>
      </c>
      <c r="R161">
        <v>5548143</v>
      </c>
      <c r="S161" s="5">
        <v>-0.1249</v>
      </c>
      <c r="T161" t="s">
        <v>6008</v>
      </c>
      <c r="U161">
        <v>31841955</v>
      </c>
      <c r="V161">
        <v>72250000</v>
      </c>
      <c r="W161">
        <v>1.53</v>
      </c>
      <c r="X161">
        <v>0.11</v>
      </c>
      <c r="Y161">
        <v>12.62</v>
      </c>
      <c r="Z161" t="s">
        <v>6009</v>
      </c>
      <c r="AA161" t="s">
        <v>6010</v>
      </c>
      <c r="AB161" t="s">
        <v>6011</v>
      </c>
      <c r="AC161" t="s">
        <v>6012</v>
      </c>
      <c r="AD161" t="s">
        <v>6013</v>
      </c>
      <c r="AE161">
        <v>210266</v>
      </c>
      <c r="AF161" t="s">
        <v>6014</v>
      </c>
      <c r="AG161" t="s">
        <v>6015</v>
      </c>
      <c r="AH161" t="s">
        <v>6016</v>
      </c>
      <c r="AI161" t="s">
        <v>6017</v>
      </c>
      <c r="AJ161" t="s">
        <v>9</v>
      </c>
      <c r="AK161" t="s">
        <v>6018</v>
      </c>
      <c r="AL161" t="s">
        <v>6019</v>
      </c>
      <c r="AM161" t="s">
        <v>9</v>
      </c>
      <c r="AN161">
        <v>0</v>
      </c>
      <c r="AO161" t="s">
        <v>6020</v>
      </c>
      <c r="AP161" t="s">
        <v>6021</v>
      </c>
      <c r="AQ161" t="s">
        <v>6022</v>
      </c>
      <c r="AR161" t="s">
        <v>9</v>
      </c>
      <c r="AS161" t="s">
        <v>94</v>
      </c>
      <c r="AT161" t="s">
        <v>9</v>
      </c>
      <c r="AU161" t="s">
        <v>6023</v>
      </c>
      <c r="AV161" t="s">
        <v>6024</v>
      </c>
      <c r="AW161" t="s">
        <v>6025</v>
      </c>
      <c r="AX161" t="s">
        <v>286</v>
      </c>
      <c r="AY161" t="s">
        <v>93</v>
      </c>
      <c r="AZ161" t="s">
        <v>70</v>
      </c>
      <c r="BA161" t="s">
        <v>480</v>
      </c>
      <c r="BB161" t="s">
        <v>1986</v>
      </c>
      <c r="BC161" t="s">
        <v>1985</v>
      </c>
      <c r="BD161" t="s">
        <v>1987</v>
      </c>
      <c r="BE161" t="s">
        <v>1988</v>
      </c>
      <c r="BF161" t="s">
        <v>1989</v>
      </c>
      <c r="BG161" t="s">
        <v>1990</v>
      </c>
      <c r="BH161" t="s">
        <v>61</v>
      </c>
      <c r="BI161" t="s">
        <v>411</v>
      </c>
      <c r="BJ161" t="s">
        <v>286</v>
      </c>
      <c r="BK161" t="s">
        <v>2595</v>
      </c>
      <c r="BL161" t="s">
        <v>1991</v>
      </c>
      <c r="BM161" t="s">
        <v>1985</v>
      </c>
      <c r="BN161">
        <v>4.66</v>
      </c>
      <c r="BO161">
        <v>8</v>
      </c>
      <c r="BP161">
        <v>16.350000000000001</v>
      </c>
      <c r="BQ161">
        <v>5.04</v>
      </c>
      <c r="BR161">
        <v>10.63</v>
      </c>
      <c r="BS161">
        <v>22.04</v>
      </c>
      <c r="BT161" t="s">
        <v>6026</v>
      </c>
      <c r="BU161" t="s">
        <v>1598</v>
      </c>
      <c r="BV161">
        <v>22.18</v>
      </c>
      <c r="BW161">
        <v>26.68</v>
      </c>
      <c r="BX161">
        <v>28.14</v>
      </c>
      <c r="BY161">
        <v>7.98</v>
      </c>
      <c r="BZ161">
        <v>8.44</v>
      </c>
      <c r="CA161">
        <v>12.82</v>
      </c>
      <c r="CB161">
        <v>-4</v>
      </c>
      <c r="CC161">
        <v>55.71</v>
      </c>
      <c r="CD161" t="s">
        <v>6027</v>
      </c>
      <c r="CE161" t="s">
        <v>41</v>
      </c>
      <c r="CF161" s="8">
        <v>-0.61083451327433624</v>
      </c>
      <c r="CG161" s="9">
        <v>-0.1249</v>
      </c>
      <c r="CH161" s="8">
        <v>-0.78121542930603027</v>
      </c>
      <c r="CI161" s="8">
        <v>-1.9512195140123367E-2</v>
      </c>
      <c r="CJ161" s="8">
        <v>0.2202380895614624</v>
      </c>
      <c r="CK161" s="8">
        <v>1.8181817606091499E-2</v>
      </c>
      <c r="CL161" s="8">
        <v>0.89544284343719482</v>
      </c>
      <c r="CM161" s="9">
        <v>-0.67250651121139526</v>
      </c>
      <c r="CN161" s="9">
        <v>-0.35656365752220154</v>
      </c>
      <c r="CO161" s="9">
        <v>0.1210121363401413</v>
      </c>
      <c r="CP161" s="9">
        <v>0.23111800849437714</v>
      </c>
      <c r="CQ161" s="9">
        <v>1.5008455514907837</v>
      </c>
      <c r="CR161">
        <v>-7.0376875294750709</v>
      </c>
      <c r="CS161" t="e">
        <v>#DIV/0!</v>
      </c>
      <c r="CT161">
        <v>1.0964912280701755</v>
      </c>
      <c r="CU161" s="8">
        <v>0</v>
      </c>
      <c r="CV161" s="9">
        <v>0</v>
      </c>
      <c r="CW161">
        <v>0.06</v>
      </c>
      <c r="CX161">
        <v>161.72694796416795</v>
      </c>
      <c r="CY161">
        <v>5234056.6037735837</v>
      </c>
      <c r="CZ161">
        <v>0</v>
      </c>
      <c r="DA161">
        <v>57.078903986851088</v>
      </c>
      <c r="DB161">
        <v>14830137.596808098</v>
      </c>
      <c r="DC161">
        <v>0</v>
      </c>
      <c r="DD161">
        <v>31.027563427562111</v>
      </c>
      <c r="DE161">
        <v>27281807.093110502</v>
      </c>
      <c r="DF161">
        <v>0</v>
      </c>
      <c r="DG161">
        <v>20.729726612363926</v>
      </c>
      <c r="DH161">
        <v>40834498.969953865</v>
      </c>
      <c r="DI161">
        <v>0</v>
      </c>
      <c r="DJ161">
        <v>13.301973876862544</v>
      </c>
      <c r="DK161">
        <v>63636269.912721857</v>
      </c>
      <c r="DL161">
        <v>0</v>
      </c>
      <c r="DM161">
        <v>5548099.9999999991</v>
      </c>
      <c r="DN161">
        <v>0</v>
      </c>
      <c r="DO161">
        <v>846488000</v>
      </c>
      <c r="DP161">
        <v>207231240</v>
      </c>
      <c r="DQ161">
        <v>160</v>
      </c>
      <c r="DR161">
        <v>-0.61083451327433624</v>
      </c>
      <c r="DS161">
        <v>-0.1249</v>
      </c>
      <c r="DT161">
        <v>-0.44</v>
      </c>
      <c r="DU161">
        <v>-0.22</v>
      </c>
      <c r="DV161">
        <v>-0.66</v>
      </c>
      <c r="DW161">
        <v>-6.066990453860325</v>
      </c>
      <c r="DX161">
        <v>0.36112757352941327</v>
      </c>
      <c r="DY161">
        <v>-6.0094542002029421</v>
      </c>
      <c r="DZ161">
        <v>0</v>
      </c>
      <c r="EA161">
        <v>-6.0094542002029421</v>
      </c>
      <c r="EB161">
        <v>6</v>
      </c>
      <c r="EC161">
        <v>0.5313038062283737</v>
      </c>
      <c r="ED161">
        <v>3.7647058823529411</v>
      </c>
      <c r="EE161">
        <v>0</v>
      </c>
      <c r="EF161">
        <v>0</v>
      </c>
      <c r="EG161">
        <v>22.141127573529413</v>
      </c>
      <c r="EH161" t="s">
        <v>86</v>
      </c>
      <c r="EI161">
        <v>0</v>
      </c>
      <c r="EJ161">
        <v>0</v>
      </c>
      <c r="EK161">
        <v>0</v>
      </c>
      <c r="EL161">
        <v>0</v>
      </c>
      <c r="EM161">
        <v>0</v>
      </c>
      <c r="EN161">
        <v>0</v>
      </c>
      <c r="EO161">
        <v>0</v>
      </c>
      <c r="EP161">
        <v>0</v>
      </c>
    </row>
    <row r="162" spans="1:146" ht="108" x14ac:dyDescent="0.25">
      <c r="A162" s="10"/>
      <c r="B162" s="10"/>
      <c r="C162" s="7" t="str">
        <f>""&amp;CHAR(10)&amp;Basic_Fundamental_Information_Constructure(F162)&amp;CHAR(10)&amp;Basic_Fundamental_Information_Concatenate("")</f>
        <v xml:space="preserve">
市值9.9240512亿, 利润-1055.58万; PE58.29; 平均PE-275.71, PB2.64; ROIC10.395%; ROE7.86%; 股利率.7239%; 毛利30.9933%; 净利6.1267%; 上一年度营收增-82.36%, 利润增9.66%; 当季营收增-88.34%, 利润增-534%; 过往5年营收增0%, 利润增0%
Income profile:
</v>
      </c>
      <c r="D162">
        <v>837092</v>
      </c>
      <c r="E162" t="s">
        <v>1992</v>
      </c>
      <c r="F162">
        <v>20.72</v>
      </c>
      <c r="G162" s="5">
        <v>-5.43</v>
      </c>
      <c r="H162" t="s">
        <v>6028</v>
      </c>
      <c r="I162">
        <v>992405120</v>
      </c>
      <c r="J162">
        <v>58.29</v>
      </c>
      <c r="K162">
        <v>2.64</v>
      </c>
      <c r="L162" t="s">
        <v>2604</v>
      </c>
      <c r="M162" t="s">
        <v>251</v>
      </c>
      <c r="N162" t="s">
        <v>69</v>
      </c>
      <c r="O162" t="s">
        <v>6029</v>
      </c>
      <c r="P162">
        <v>33.700000000000003</v>
      </c>
      <c r="Q162" t="s">
        <v>6029</v>
      </c>
      <c r="R162">
        <v>-10555834</v>
      </c>
      <c r="S162" s="5">
        <v>-5.34</v>
      </c>
      <c r="T162" t="s">
        <v>6030</v>
      </c>
      <c r="U162">
        <v>24703696</v>
      </c>
      <c r="V162">
        <v>47896000</v>
      </c>
      <c r="W162">
        <v>1.79</v>
      </c>
      <c r="X162">
        <v>0.04</v>
      </c>
      <c r="Y162">
        <v>-39.36</v>
      </c>
      <c r="Z162" t="s">
        <v>6031</v>
      </c>
      <c r="AA162" t="s">
        <v>6032</v>
      </c>
      <c r="AB162" t="s">
        <v>6033</v>
      </c>
      <c r="AC162" t="s">
        <v>4675</v>
      </c>
      <c r="AD162" t="s">
        <v>6034</v>
      </c>
      <c r="AE162">
        <v>289299</v>
      </c>
      <c r="AF162" t="s">
        <v>6035</v>
      </c>
      <c r="AG162">
        <v>1.0900000000000001</v>
      </c>
      <c r="AH162" t="s">
        <v>6036</v>
      </c>
      <c r="AI162" t="s">
        <v>6037</v>
      </c>
      <c r="AJ162" t="s">
        <v>9</v>
      </c>
      <c r="AK162" t="s">
        <v>6038</v>
      </c>
      <c r="AL162" t="s">
        <v>6039</v>
      </c>
      <c r="AM162" t="s">
        <v>9</v>
      </c>
      <c r="AN162" t="s">
        <v>6040</v>
      </c>
      <c r="AO162" t="s">
        <v>6041</v>
      </c>
      <c r="AP162" t="s">
        <v>6042</v>
      </c>
      <c r="AQ162" t="s">
        <v>92</v>
      </c>
      <c r="AR162" t="s">
        <v>6043</v>
      </c>
      <c r="AS162" t="s">
        <v>178</v>
      </c>
      <c r="AT162" t="s">
        <v>1261</v>
      </c>
      <c r="AU162" t="s">
        <v>6044</v>
      </c>
      <c r="AV162" t="s">
        <v>6045</v>
      </c>
      <c r="AW162" t="s">
        <v>6046</v>
      </c>
      <c r="AX162" t="s">
        <v>552</v>
      </c>
      <c r="AY162" t="s">
        <v>41</v>
      </c>
      <c r="AZ162" t="s">
        <v>298</v>
      </c>
      <c r="BA162" t="s">
        <v>285</v>
      </c>
      <c r="BB162" t="s">
        <v>108</v>
      </c>
      <c r="BC162" t="s">
        <v>6047</v>
      </c>
      <c r="BD162" t="s">
        <v>1993</v>
      </c>
      <c r="BE162" t="s">
        <v>1994</v>
      </c>
      <c r="BF162" t="s">
        <v>1995</v>
      </c>
      <c r="BG162" t="s">
        <v>1996</v>
      </c>
      <c r="BH162" t="s">
        <v>440</v>
      </c>
      <c r="BI162" t="s">
        <v>548</v>
      </c>
      <c r="BJ162" t="s">
        <v>552</v>
      </c>
      <c r="BK162" t="s">
        <v>6048</v>
      </c>
      <c r="BL162" t="s">
        <v>1997</v>
      </c>
      <c r="BM162" t="s">
        <v>6047</v>
      </c>
      <c r="BN162">
        <v>5.83</v>
      </c>
      <c r="BO162" t="s">
        <v>9</v>
      </c>
      <c r="BP162">
        <v>14.96</v>
      </c>
      <c r="BQ162">
        <v>6.4</v>
      </c>
      <c r="BR162">
        <v>-3.1</v>
      </c>
      <c r="BS162">
        <v>20.28</v>
      </c>
      <c r="BT162" t="s">
        <v>3927</v>
      </c>
      <c r="BU162" t="s">
        <v>888</v>
      </c>
      <c r="BV162">
        <v>25.4</v>
      </c>
      <c r="BW162">
        <v>34.97</v>
      </c>
      <c r="BX162">
        <v>32.61</v>
      </c>
      <c r="BY162">
        <v>8.24</v>
      </c>
      <c r="BZ162">
        <v>-7.68</v>
      </c>
      <c r="CA162">
        <v>17.82</v>
      </c>
      <c r="CB162">
        <v>-13.31</v>
      </c>
      <c r="CC162">
        <v>1.82</v>
      </c>
      <c r="CD162" t="s">
        <v>6049</v>
      </c>
      <c r="CE162" t="s">
        <v>6050</v>
      </c>
      <c r="CF162" s="8">
        <v>-0.88339608695652172</v>
      </c>
      <c r="CG162" s="9">
        <v>-5.34</v>
      </c>
      <c r="CH162" s="8">
        <v>-0.82355988025665283</v>
      </c>
      <c r="CI162" s="8">
        <v>-0.44117647409439087</v>
      </c>
      <c r="CJ162" s="8">
        <v>7.0866145193576813E-2</v>
      </c>
      <c r="CK162" s="8">
        <v>6.2761507928371429E-2</v>
      </c>
      <c r="CL162" s="8">
        <v>0.45731708407402039</v>
      </c>
      <c r="CM162" s="9">
        <v>9.6621252596378326E-2</v>
      </c>
      <c r="CN162" s="9">
        <v>-1.241370677947998</v>
      </c>
      <c r="CO162" s="9">
        <v>0.24133174121379852</v>
      </c>
      <c r="CP162" s="9">
        <v>-5.3059697151184082E-2</v>
      </c>
      <c r="CQ162" s="9">
        <v>0.3484007716178894</v>
      </c>
      <c r="CR162">
        <v>-275.71404122909377</v>
      </c>
      <c r="CS162" t="e">
        <v>#DIV/0!</v>
      </c>
      <c r="CT162">
        <v>0.72393822393822393</v>
      </c>
      <c r="CU162" s="8">
        <v>0</v>
      </c>
      <c r="CV162" s="9">
        <v>0</v>
      </c>
      <c r="CW162">
        <v>0.06</v>
      </c>
      <c r="CX162" t="e">
        <v>#VALUE!</v>
      </c>
      <c r="CY162" t="s">
        <v>85</v>
      </c>
      <c r="CZ162">
        <v>0</v>
      </c>
      <c r="DA162" t="e">
        <v>#VALUE!</v>
      </c>
      <c r="DB162" t="s">
        <v>84</v>
      </c>
      <c r="DC162">
        <v>0</v>
      </c>
      <c r="DD162" t="e">
        <v>#VALUE!</v>
      </c>
      <c r="DE162" t="s">
        <v>84</v>
      </c>
      <c r="DF162">
        <v>0</v>
      </c>
      <c r="DG162" t="e">
        <v>#VALUE!</v>
      </c>
      <c r="DH162" t="s">
        <v>84</v>
      </c>
      <c r="DI162">
        <v>0</v>
      </c>
      <c r="DJ162" t="e">
        <v>#VALUE!</v>
      </c>
      <c r="DK162" t="s">
        <v>84</v>
      </c>
      <c r="DL162">
        <v>0</v>
      </c>
      <c r="DM162">
        <v>-10555800</v>
      </c>
      <c r="DN162">
        <v>0</v>
      </c>
      <c r="DO162">
        <v>929405120</v>
      </c>
      <c r="DP162">
        <v>212362340</v>
      </c>
      <c r="DQ162">
        <v>161</v>
      </c>
      <c r="DR162">
        <v>-0.88339608695652172</v>
      </c>
      <c r="DS162">
        <v>-5.34</v>
      </c>
      <c r="DT162">
        <v>-0.44</v>
      </c>
      <c r="DU162" t="e">
        <v>#VALUE!</v>
      </c>
      <c r="DV162" t="e">
        <v>#VALUE!</v>
      </c>
      <c r="DW162">
        <v>-5.1367392937640872</v>
      </c>
      <c r="DX162">
        <v>0.36535231947695823</v>
      </c>
      <c r="DY162">
        <v>-5.0280797311380967</v>
      </c>
      <c r="DZ162">
        <v>0</v>
      </c>
      <c r="EA162">
        <v>-5.0280797311380967</v>
      </c>
      <c r="EB162">
        <v>5</v>
      </c>
      <c r="EC162">
        <v>0.15476240187071991</v>
      </c>
      <c r="ED162">
        <v>0.75364331050609656</v>
      </c>
      <c r="EE162">
        <v>0</v>
      </c>
      <c r="EF162">
        <v>0</v>
      </c>
      <c r="EG162">
        <v>16.205352319476958</v>
      </c>
      <c r="EH162" t="s">
        <v>86</v>
      </c>
      <c r="EI162">
        <v>0</v>
      </c>
      <c r="EJ162">
        <v>0</v>
      </c>
      <c r="EK162">
        <v>0</v>
      </c>
      <c r="EL162">
        <v>0</v>
      </c>
      <c r="EM162">
        <v>0</v>
      </c>
      <c r="EN162">
        <v>0</v>
      </c>
      <c r="EO162">
        <v>0</v>
      </c>
      <c r="EP162">
        <v>0</v>
      </c>
    </row>
    <row r="163" spans="1:146" ht="96" x14ac:dyDescent="0.25">
      <c r="A163" s="10"/>
      <c r="B163" s="10"/>
      <c r="C163" s="7" t="str">
        <f>""&amp;CHAR(10)&amp;Basic_Fundamental_Information_Constructure(F163)&amp;CHAR(10)&amp;Basic_Fundamental_Information_Concatenate("")</f>
        <v xml:space="preserve">
市值7.3932001亿, 利润513.66万; PE32.81; 平均PE-6.68, PB1.42; ROIC8.0233%; ROE10.945%; 股利率5.5006%; 毛利12.6733%; 净利6.1067%; 上一年度营收增-77.81%, 利润增-89.21%; 当季营收增-54.63%, 利润增-67.39%; 过往5年营收增0%, 利润增0%
Income profile:
</v>
      </c>
      <c r="D163">
        <v>837174</v>
      </c>
      <c r="E163" t="s">
        <v>1998</v>
      </c>
      <c r="F163">
        <v>9.09</v>
      </c>
      <c r="G163" s="5">
        <v>-0.98</v>
      </c>
      <c r="H163" t="s">
        <v>6051</v>
      </c>
      <c r="I163">
        <v>739320010</v>
      </c>
      <c r="J163">
        <v>32.81</v>
      </c>
      <c r="K163">
        <v>1.42</v>
      </c>
      <c r="L163" t="s">
        <v>2604</v>
      </c>
      <c r="M163" t="s">
        <v>157</v>
      </c>
      <c r="N163" t="s">
        <v>322</v>
      </c>
      <c r="O163" t="s">
        <v>552</v>
      </c>
      <c r="P163">
        <v>-12.66</v>
      </c>
      <c r="Q163" t="s">
        <v>552</v>
      </c>
      <c r="R163">
        <v>5136592</v>
      </c>
      <c r="S163" s="5">
        <v>-0.67390000000000005</v>
      </c>
      <c r="T163" t="s">
        <v>6052</v>
      </c>
      <c r="U163">
        <v>20333534</v>
      </c>
      <c r="V163">
        <v>81333334</v>
      </c>
      <c r="W163">
        <v>1.7</v>
      </c>
      <c r="X163">
        <v>0.17</v>
      </c>
      <c r="Y163">
        <v>3.38</v>
      </c>
      <c r="Z163" t="s">
        <v>328</v>
      </c>
      <c r="AA163" t="s">
        <v>167</v>
      </c>
      <c r="AB163" t="s">
        <v>6053</v>
      </c>
      <c r="AC163" t="s">
        <v>6054</v>
      </c>
      <c r="AD163" t="s">
        <v>6055</v>
      </c>
      <c r="AE163">
        <v>299353</v>
      </c>
      <c r="AF163" t="s">
        <v>17</v>
      </c>
      <c r="AG163" t="s">
        <v>6056</v>
      </c>
      <c r="AH163" t="s">
        <v>6057</v>
      </c>
      <c r="AI163" t="s">
        <v>487</v>
      </c>
      <c r="AJ163" t="s">
        <v>9</v>
      </c>
      <c r="AK163" t="s">
        <v>6058</v>
      </c>
      <c r="AL163" t="s">
        <v>6059</v>
      </c>
      <c r="AM163" t="s">
        <v>9</v>
      </c>
      <c r="AN163">
        <v>0</v>
      </c>
      <c r="AO163" t="s">
        <v>225</v>
      </c>
      <c r="AP163" t="s">
        <v>6060</v>
      </c>
      <c r="AQ163" t="s">
        <v>6061</v>
      </c>
      <c r="AR163" t="s">
        <v>9</v>
      </c>
      <c r="AS163" t="s">
        <v>259</v>
      </c>
      <c r="AT163" t="s">
        <v>6062</v>
      </c>
      <c r="AU163" t="s">
        <v>6063</v>
      </c>
      <c r="AV163" t="s">
        <v>6064</v>
      </c>
      <c r="AW163" t="s">
        <v>6065</v>
      </c>
      <c r="AX163" t="s">
        <v>266</v>
      </c>
      <c r="AY163" t="s">
        <v>589</v>
      </c>
      <c r="AZ163" t="s">
        <v>599</v>
      </c>
      <c r="BA163" t="s">
        <v>462</v>
      </c>
      <c r="BB163" t="s">
        <v>979</v>
      </c>
      <c r="BC163" t="s">
        <v>1999</v>
      </c>
      <c r="BD163" t="s">
        <v>2000</v>
      </c>
      <c r="BE163" t="s">
        <v>2001</v>
      </c>
      <c r="BF163" t="s">
        <v>2002</v>
      </c>
      <c r="BG163" t="s">
        <v>2003</v>
      </c>
      <c r="BH163" t="s">
        <v>583</v>
      </c>
      <c r="BI163" t="s">
        <v>425</v>
      </c>
      <c r="BJ163" t="s">
        <v>266</v>
      </c>
      <c r="BK163" t="s">
        <v>6066</v>
      </c>
      <c r="BL163" t="s">
        <v>2004</v>
      </c>
      <c r="BM163" t="s">
        <v>1999</v>
      </c>
      <c r="BN163">
        <v>5.0599999999999996</v>
      </c>
      <c r="BO163">
        <v>9.74</v>
      </c>
      <c r="BP163">
        <v>9.27</v>
      </c>
      <c r="BQ163">
        <v>7.44</v>
      </c>
      <c r="BR163">
        <v>14.45</v>
      </c>
      <c r="BS163" t="s">
        <v>9</v>
      </c>
      <c r="BT163" t="s">
        <v>1116</v>
      </c>
      <c r="BU163" t="s">
        <v>1397</v>
      </c>
      <c r="BV163">
        <v>11.47</v>
      </c>
      <c r="BW163">
        <v>13.79</v>
      </c>
      <c r="BX163">
        <v>12.76</v>
      </c>
      <c r="BY163">
        <v>5.09</v>
      </c>
      <c r="BZ163">
        <v>6.96</v>
      </c>
      <c r="CA163">
        <v>6.27</v>
      </c>
      <c r="CB163">
        <v>-1.2</v>
      </c>
      <c r="CC163">
        <v>-5.41</v>
      </c>
      <c r="CD163" t="s">
        <v>6067</v>
      </c>
      <c r="CE163" t="s">
        <v>6068</v>
      </c>
      <c r="CF163" s="8">
        <v>-0.54626865671641789</v>
      </c>
      <c r="CG163" s="9">
        <v>-0.67390000000000005</v>
      </c>
      <c r="CH163" s="8">
        <v>-0.77810221910476685</v>
      </c>
      <c r="CI163" s="8">
        <v>0.16101695597171783</v>
      </c>
      <c r="CJ163" s="8">
        <v>0.13243761658668518</v>
      </c>
      <c r="CK163" s="8">
        <v>0.14757709205150604</v>
      </c>
      <c r="CL163" s="8">
        <v>0.11547911912202835</v>
      </c>
      <c r="CM163" s="9">
        <v>-0.89211994409561157</v>
      </c>
      <c r="CN163" s="9">
        <v>0.28815650939941406</v>
      </c>
      <c r="CO163" s="9">
        <v>-0.47699365019798279</v>
      </c>
      <c r="CP163" s="9">
        <v>0.50326508283615112</v>
      </c>
      <c r="CQ163" s="9">
        <v>0.65181398391723633</v>
      </c>
      <c r="CR163">
        <v>-6.6797484177098436</v>
      </c>
      <c r="CS163" t="e">
        <v>#DIV/0!</v>
      </c>
      <c r="CT163">
        <v>5.5005500550055002</v>
      </c>
      <c r="CU163" s="8">
        <v>0</v>
      </c>
      <c r="CV163" s="9">
        <v>0</v>
      </c>
      <c r="CW163">
        <v>0.06</v>
      </c>
      <c r="CX163">
        <v>122.23245154382276</v>
      </c>
      <c r="CY163">
        <v>4845849.0566037735</v>
      </c>
      <c r="CZ163">
        <v>0</v>
      </c>
      <c r="DA163">
        <v>43.139961852820477</v>
      </c>
      <c r="DB163">
        <v>13730193.179604638</v>
      </c>
      <c r="DC163">
        <v>0</v>
      </c>
      <c r="DD163">
        <v>23.450483614039712</v>
      </c>
      <c r="DE163">
        <v>25258328.132959288</v>
      </c>
      <c r="DF163">
        <v>0</v>
      </c>
      <c r="DG163">
        <v>15.667427942953966</v>
      </c>
      <c r="DH163">
        <v>37805823.148296729</v>
      </c>
      <c r="DI163">
        <v>0</v>
      </c>
      <c r="DJ163">
        <v>10.05356805287043</v>
      </c>
      <c r="DK163">
        <v>58916397.331282265</v>
      </c>
      <c r="DL163">
        <v>0</v>
      </c>
      <c r="DM163">
        <v>5136600</v>
      </c>
      <c r="DN163">
        <v>0</v>
      </c>
      <c r="DO163">
        <v>592320010</v>
      </c>
      <c r="DP163">
        <v>98339680</v>
      </c>
      <c r="DQ163">
        <v>162</v>
      </c>
      <c r="DR163">
        <v>-0.54626865671641789</v>
      </c>
      <c r="DS163">
        <v>-0.67390000000000005</v>
      </c>
      <c r="DT163">
        <v>-0.44</v>
      </c>
      <c r="DU163">
        <v>-0.44</v>
      </c>
      <c r="DV163">
        <v>-0.88</v>
      </c>
      <c r="DW163">
        <v>-1.0541</v>
      </c>
      <c r="DX163">
        <v>0.46152834256706954</v>
      </c>
      <c r="DY163">
        <v>-1.0109026833328785</v>
      </c>
      <c r="DZ163">
        <v>0</v>
      </c>
      <c r="EA163">
        <v>-1.0109026833328785</v>
      </c>
      <c r="EB163">
        <v>1</v>
      </c>
      <c r="EC163">
        <v>4.5394671759060069E-2</v>
      </c>
      <c r="ED163">
        <v>0.22525204733399962</v>
      </c>
      <c r="EE163">
        <v>0</v>
      </c>
      <c r="EF163">
        <v>0</v>
      </c>
      <c r="EG163">
        <v>26.20152834256707</v>
      </c>
      <c r="EH163" t="s">
        <v>86</v>
      </c>
      <c r="EI163">
        <v>0</v>
      </c>
      <c r="EJ163">
        <v>0</v>
      </c>
      <c r="EK163">
        <v>0</v>
      </c>
      <c r="EL163">
        <v>0</v>
      </c>
      <c r="EM163">
        <v>0</v>
      </c>
      <c r="EN163">
        <v>0</v>
      </c>
      <c r="EO163">
        <v>0</v>
      </c>
      <c r="EP163">
        <v>0</v>
      </c>
    </row>
    <row r="164" spans="1:146" ht="96" x14ac:dyDescent="0.25">
      <c r="A164" s="10"/>
      <c r="B164" s="10"/>
      <c r="C164" s="7" t="str">
        <f>""&amp;CHAR(10)&amp;Basic_Fundamental_Information_Constructure(F164)&amp;CHAR(10)&amp;Basic_Fundamental_Information_Concatenate("")</f>
        <v xml:space="preserve">
市值6.77979亿, 利润77.02万; PE47.85; 平均PE.37, PB1.68; ROIC11.14%; ROE11.54%; 股利率.7042%; 毛利20.1967%; 净利8.9433%; 上一年度营收增-72.58%, 利润增-98.31%; 当季营收增-32.39%, 利润增-58.45%; 过往5年营收增0%, 利润增0%
Income profile:
</v>
      </c>
      <c r="D164">
        <v>837212</v>
      </c>
      <c r="E164" t="s">
        <v>2005</v>
      </c>
      <c r="F164">
        <v>6.39</v>
      </c>
      <c r="G164" s="5">
        <v>-1.84</v>
      </c>
      <c r="H164" t="s">
        <v>6069</v>
      </c>
      <c r="I164">
        <v>677979000</v>
      </c>
      <c r="J164">
        <v>47.85</v>
      </c>
      <c r="K164">
        <v>1.68</v>
      </c>
      <c r="L164" t="s">
        <v>2604</v>
      </c>
      <c r="M164" t="s">
        <v>6070</v>
      </c>
      <c r="N164" t="s">
        <v>979</v>
      </c>
      <c r="O164" t="s">
        <v>256</v>
      </c>
      <c r="P164">
        <v>58.53</v>
      </c>
      <c r="Q164" t="s">
        <v>256</v>
      </c>
      <c r="R164">
        <v>770203</v>
      </c>
      <c r="S164" s="5">
        <v>-0.58450000000000002</v>
      </c>
      <c r="T164" t="s">
        <v>6071</v>
      </c>
      <c r="U164">
        <v>52176500</v>
      </c>
      <c r="V164">
        <v>106100000</v>
      </c>
      <c r="W164">
        <v>1.27</v>
      </c>
      <c r="X164">
        <v>0.24</v>
      </c>
      <c r="Y164">
        <v>0.64</v>
      </c>
      <c r="Z164" t="s">
        <v>99</v>
      </c>
      <c r="AA164" t="s">
        <v>25</v>
      </c>
      <c r="AB164" t="s">
        <v>6072</v>
      </c>
      <c r="AC164" t="s">
        <v>6073</v>
      </c>
      <c r="AD164" t="s">
        <v>6074</v>
      </c>
      <c r="AE164">
        <v>1159589</v>
      </c>
      <c r="AF164" t="s">
        <v>17</v>
      </c>
      <c r="AG164">
        <v>6179.73</v>
      </c>
      <c r="AH164" t="s">
        <v>6075</v>
      </c>
      <c r="AI164" t="s">
        <v>6076</v>
      </c>
      <c r="AJ164" t="s">
        <v>9</v>
      </c>
      <c r="AK164" t="s">
        <v>6077</v>
      </c>
      <c r="AL164" t="s">
        <v>6078</v>
      </c>
      <c r="AM164" t="s">
        <v>9</v>
      </c>
      <c r="AN164" t="s">
        <v>6079</v>
      </c>
      <c r="AO164" t="s">
        <v>6080</v>
      </c>
      <c r="AP164" t="s">
        <v>6081</v>
      </c>
      <c r="AQ164" t="s">
        <v>6082</v>
      </c>
      <c r="AR164" t="s">
        <v>9</v>
      </c>
      <c r="AS164" t="s">
        <v>37</v>
      </c>
      <c r="AT164" t="s">
        <v>9</v>
      </c>
      <c r="AU164" t="s">
        <v>6083</v>
      </c>
      <c r="AV164" t="s">
        <v>6084</v>
      </c>
      <c r="AW164" t="s">
        <v>6085</v>
      </c>
      <c r="AX164" t="s">
        <v>628</v>
      </c>
      <c r="AY164" t="s">
        <v>389</v>
      </c>
      <c r="AZ164" t="s">
        <v>273</v>
      </c>
      <c r="BA164" t="s">
        <v>426</v>
      </c>
      <c r="BB164" t="s">
        <v>165</v>
      </c>
      <c r="BC164" t="s">
        <v>6086</v>
      </c>
      <c r="BD164" t="s">
        <v>2006</v>
      </c>
      <c r="BE164" t="s">
        <v>2007</v>
      </c>
      <c r="BF164" t="s">
        <v>2008</v>
      </c>
      <c r="BG164" t="s">
        <v>2009</v>
      </c>
      <c r="BH164" t="s">
        <v>693</v>
      </c>
      <c r="BI164" t="s">
        <v>337</v>
      </c>
      <c r="BJ164" t="s">
        <v>628</v>
      </c>
      <c r="BK164" t="s">
        <v>1848</v>
      </c>
      <c r="BL164" t="s">
        <v>2010</v>
      </c>
      <c r="BM164" t="s">
        <v>6086</v>
      </c>
      <c r="BN164">
        <v>3.13</v>
      </c>
      <c r="BO164">
        <v>11.18</v>
      </c>
      <c r="BP164">
        <v>19.11</v>
      </c>
      <c r="BQ164">
        <v>3.41</v>
      </c>
      <c r="BR164">
        <v>11.82</v>
      </c>
      <c r="BS164">
        <v>19.39</v>
      </c>
      <c r="BT164" t="s">
        <v>6087</v>
      </c>
      <c r="BU164" t="s">
        <v>1032</v>
      </c>
      <c r="BV164">
        <v>15.71</v>
      </c>
      <c r="BW164">
        <v>20.74</v>
      </c>
      <c r="BX164">
        <v>24.14</v>
      </c>
      <c r="BY164">
        <v>3.76</v>
      </c>
      <c r="BZ164">
        <v>10.47</v>
      </c>
      <c r="CA164">
        <v>12.6</v>
      </c>
      <c r="CB164">
        <v>-7.93</v>
      </c>
      <c r="CC164">
        <v>-1.1599999999999999</v>
      </c>
      <c r="CD164" t="s">
        <v>6088</v>
      </c>
      <c r="CE164" t="s">
        <v>6089</v>
      </c>
      <c r="CF164" s="8">
        <v>-0.32386363636363635</v>
      </c>
      <c r="CG164" s="9">
        <v>-0.58450000000000002</v>
      </c>
      <c r="CH164" s="8">
        <v>-0.72580647468566895</v>
      </c>
      <c r="CI164" s="8">
        <v>-3.9823010563850403E-2</v>
      </c>
      <c r="CJ164" s="8">
        <v>0.25207754969596863</v>
      </c>
      <c r="CK164" s="8">
        <v>0.43824702501296997</v>
      </c>
      <c r="CL164" s="8">
        <v>5.4621849209070206E-2</v>
      </c>
      <c r="CM164" s="9">
        <v>-0.98305511474609375</v>
      </c>
      <c r="CN164" s="9">
        <v>-0.2023165374994278</v>
      </c>
      <c r="CO164" s="9">
        <v>0.43722459673881531</v>
      </c>
      <c r="CP164" s="9">
        <v>0.36044016480445862</v>
      </c>
      <c r="CQ164" s="9">
        <v>0.26023030281066895</v>
      </c>
      <c r="CR164">
        <v>0.36681319149426561</v>
      </c>
      <c r="CS164" t="e">
        <v>#DIV/0!</v>
      </c>
      <c r="CT164">
        <v>0.70422535211267612</v>
      </c>
      <c r="CU164" s="8">
        <v>0</v>
      </c>
      <c r="CV164" s="9">
        <v>0</v>
      </c>
      <c r="CW164">
        <v>0.06</v>
      </c>
      <c r="CX164">
        <v>502.21112698000525</v>
      </c>
      <c r="CY164">
        <v>726603.77358490555</v>
      </c>
      <c r="CZ164">
        <v>0</v>
      </c>
      <c r="DA164">
        <v>177.24727424134122</v>
      </c>
      <c r="DB164">
        <v>2058753.8034753518</v>
      </c>
      <c r="DC164">
        <v>0</v>
      </c>
      <c r="DD164">
        <v>96.3499762565975</v>
      </c>
      <c r="DE164">
        <v>3787323.1958893519</v>
      </c>
      <c r="DF164">
        <v>0</v>
      </c>
      <c r="DG164">
        <v>64.372075866350215</v>
      </c>
      <c r="DH164">
        <v>5668739.0469995989</v>
      </c>
      <c r="DI164">
        <v>0</v>
      </c>
      <c r="DJ164">
        <v>41.306655296789685</v>
      </c>
      <c r="DK164">
        <v>8834133.3225389551</v>
      </c>
      <c r="DL164">
        <v>0</v>
      </c>
      <c r="DM164">
        <v>770200</v>
      </c>
      <c r="DN164">
        <v>0</v>
      </c>
      <c r="DO164">
        <v>364908500</v>
      </c>
      <c r="DP164">
        <v>230750180</v>
      </c>
      <c r="DQ164">
        <v>163</v>
      </c>
      <c r="DR164">
        <v>-0.32386363636363635</v>
      </c>
      <c r="DS164">
        <v>-0.58450000000000002</v>
      </c>
      <c r="DT164">
        <v>-0.44</v>
      </c>
      <c r="DU164">
        <v>-0.44</v>
      </c>
      <c r="DV164">
        <v>-0.88</v>
      </c>
      <c r="DW164">
        <v>-5.1462799495586378</v>
      </c>
      <c r="DX164">
        <v>0.5021278553023607</v>
      </c>
      <c r="DY164">
        <v>-5.0456580469294749</v>
      </c>
      <c r="DZ164">
        <v>0</v>
      </c>
      <c r="EA164">
        <v>-5.0456580469294749</v>
      </c>
      <c r="EB164">
        <v>5</v>
      </c>
      <c r="EC164">
        <v>0.12855607917059378</v>
      </c>
      <c r="ED164">
        <v>0.41186993402450511</v>
      </c>
      <c r="EE164">
        <v>0</v>
      </c>
      <c r="EF164">
        <v>0</v>
      </c>
      <c r="EG164">
        <v>19.312127855302361</v>
      </c>
      <c r="EH164" t="s">
        <v>86</v>
      </c>
      <c r="EI164">
        <v>0</v>
      </c>
      <c r="EJ164">
        <v>0</v>
      </c>
      <c r="EK164">
        <v>0</v>
      </c>
      <c r="EL164">
        <v>0</v>
      </c>
      <c r="EM164">
        <v>0</v>
      </c>
      <c r="EN164">
        <v>0</v>
      </c>
      <c r="EO164">
        <v>0</v>
      </c>
      <c r="EP164">
        <v>0</v>
      </c>
    </row>
    <row r="165" spans="1:146" ht="96" x14ac:dyDescent="0.25">
      <c r="A165" s="10"/>
      <c r="B165" s="10"/>
      <c r="C165" s="7" t="str">
        <f>""&amp;CHAR(10)&amp;Basic_Fundamental_Information_Constructure(F165)&amp;CHAR(10)&amp;Basic_Fundamental_Information_Concatenate("")</f>
        <v xml:space="preserve">
市值8.0584543亿, 利润1248.21万; PE11.08; 平均PE5.74, PB1.55; ROIC10.64%; ROE10.81%; 股利率4.0032%; 毛利26.1767%; 净利10.99%; 上一年度营收增-66.19%, 利润增-75.25%; 当季营收增-40.91%, 利润增32.82%; 过往5年营收增0%, 利润增0%
Income profile:
</v>
      </c>
      <c r="D165">
        <v>837242</v>
      </c>
      <c r="E165" t="s">
        <v>2011</v>
      </c>
      <c r="F165">
        <v>12.49</v>
      </c>
      <c r="G165" s="5">
        <v>-1.34</v>
      </c>
      <c r="H165" t="s">
        <v>6090</v>
      </c>
      <c r="I165">
        <v>805845430</v>
      </c>
      <c r="J165">
        <v>11.08</v>
      </c>
      <c r="K165">
        <v>1.55</v>
      </c>
      <c r="L165" t="s">
        <v>2604</v>
      </c>
      <c r="M165" t="s">
        <v>171</v>
      </c>
      <c r="N165" t="s">
        <v>139</v>
      </c>
      <c r="O165" t="s">
        <v>535</v>
      </c>
      <c r="P165">
        <v>29.47</v>
      </c>
      <c r="Q165" t="s">
        <v>535</v>
      </c>
      <c r="R165">
        <v>12482060</v>
      </c>
      <c r="S165" s="5">
        <v>0.32819999999999999</v>
      </c>
      <c r="T165" t="s">
        <v>6091</v>
      </c>
      <c r="U165">
        <v>34961975</v>
      </c>
      <c r="V165">
        <v>64519250</v>
      </c>
      <c r="W165">
        <v>1.3</v>
      </c>
      <c r="X165">
        <v>0.21</v>
      </c>
      <c r="Y165">
        <v>8.75</v>
      </c>
      <c r="Z165" t="s">
        <v>242</v>
      </c>
      <c r="AA165" t="s">
        <v>37</v>
      </c>
      <c r="AB165" t="s">
        <v>6092</v>
      </c>
      <c r="AC165" t="s">
        <v>6093</v>
      </c>
      <c r="AD165" t="s">
        <v>6094</v>
      </c>
      <c r="AE165">
        <v>988606</v>
      </c>
      <c r="AF165" t="s">
        <v>6095</v>
      </c>
      <c r="AG165" t="s">
        <v>6096</v>
      </c>
      <c r="AH165" t="s">
        <v>6097</v>
      </c>
      <c r="AI165" t="s">
        <v>110</v>
      </c>
      <c r="AJ165" t="s">
        <v>9</v>
      </c>
      <c r="AK165" t="s">
        <v>6098</v>
      </c>
      <c r="AL165" t="s">
        <v>6099</v>
      </c>
      <c r="AM165" t="s">
        <v>9</v>
      </c>
      <c r="AN165">
        <v>0</v>
      </c>
      <c r="AO165" t="s">
        <v>9</v>
      </c>
      <c r="AP165" t="s">
        <v>6100</v>
      </c>
      <c r="AQ165" t="s">
        <v>6101</v>
      </c>
      <c r="AR165" t="s">
        <v>9</v>
      </c>
      <c r="AS165" t="s">
        <v>434</v>
      </c>
      <c r="AT165" t="s">
        <v>9</v>
      </c>
      <c r="AU165" t="s">
        <v>6102</v>
      </c>
      <c r="AV165" t="s">
        <v>6103</v>
      </c>
      <c r="AW165" t="s">
        <v>9</v>
      </c>
      <c r="AX165" t="s">
        <v>675</v>
      </c>
      <c r="AY165" t="s">
        <v>454</v>
      </c>
      <c r="AZ165" t="s">
        <v>116</v>
      </c>
      <c r="BA165" t="s">
        <v>509</v>
      </c>
      <c r="BB165" t="s">
        <v>1336</v>
      </c>
      <c r="BC165" t="s">
        <v>6104</v>
      </c>
      <c r="BD165" t="s">
        <v>2012</v>
      </c>
      <c r="BE165" t="s">
        <v>2013</v>
      </c>
      <c r="BF165" t="s">
        <v>2014</v>
      </c>
      <c r="BG165" t="s">
        <v>2015</v>
      </c>
      <c r="BH165" t="s">
        <v>633</v>
      </c>
      <c r="BI165" t="s">
        <v>237</v>
      </c>
      <c r="BJ165" t="s">
        <v>675</v>
      </c>
      <c r="BK165" t="s">
        <v>6105</v>
      </c>
      <c r="BL165" t="s">
        <v>2016</v>
      </c>
      <c r="BM165" t="s">
        <v>6104</v>
      </c>
      <c r="BN165">
        <v>10.52</v>
      </c>
      <c r="BO165">
        <v>11.27</v>
      </c>
      <c r="BP165">
        <v>10.130000000000001</v>
      </c>
      <c r="BQ165">
        <v>10.73</v>
      </c>
      <c r="BR165">
        <v>11.41</v>
      </c>
      <c r="BS165">
        <v>10.29</v>
      </c>
      <c r="BT165" t="s">
        <v>1116</v>
      </c>
      <c r="BU165" t="s">
        <v>822</v>
      </c>
      <c r="BV165">
        <v>29.62</v>
      </c>
      <c r="BW165">
        <v>25.86</v>
      </c>
      <c r="BX165">
        <v>23.05</v>
      </c>
      <c r="BY165">
        <v>12.47</v>
      </c>
      <c r="BZ165">
        <v>11.88</v>
      </c>
      <c r="CA165">
        <v>8.6199999999999992</v>
      </c>
      <c r="CB165">
        <v>-5.38</v>
      </c>
      <c r="CC165">
        <v>-13.86</v>
      </c>
      <c r="CD165" t="s">
        <v>6106</v>
      </c>
      <c r="CE165" t="s">
        <v>6107</v>
      </c>
      <c r="CF165" s="8">
        <v>-0.40909090909090912</v>
      </c>
      <c r="CG165" s="9">
        <v>0.32819999999999999</v>
      </c>
      <c r="CH165" s="8">
        <v>-0.66193854808807373</v>
      </c>
      <c r="CI165" s="8">
        <v>-0.12058211863040924</v>
      </c>
      <c r="CJ165" s="8">
        <v>0.2860962450504303</v>
      </c>
      <c r="CK165" s="8">
        <v>-1.8372703343629837E-2</v>
      </c>
      <c r="CL165" s="8">
        <v>-0.13409091532230377</v>
      </c>
      <c r="CM165" s="9">
        <v>-0.75251162052154541</v>
      </c>
      <c r="CN165" s="9">
        <v>0.21129612624645233</v>
      </c>
      <c r="CO165" s="9">
        <v>0.11165605485439301</v>
      </c>
      <c r="CP165" s="9">
        <v>-0.19806449115276337</v>
      </c>
      <c r="CQ165" s="9">
        <v>-0.1967654675245285</v>
      </c>
      <c r="CR165">
        <v>5.7371471796441718</v>
      </c>
      <c r="CS165" t="e">
        <v>#DIV/0!</v>
      </c>
      <c r="CT165">
        <v>4.0032025620496396</v>
      </c>
      <c r="CU165" s="8">
        <v>0</v>
      </c>
      <c r="CV165" s="9">
        <v>0</v>
      </c>
      <c r="CW165">
        <v>0.06</v>
      </c>
      <c r="CX165">
        <v>41.088931814358162</v>
      </c>
      <c r="CY165">
        <v>11775566.037735848</v>
      </c>
      <c r="CZ165">
        <v>0</v>
      </c>
      <c r="DA165">
        <v>14.501672253616293</v>
      </c>
      <c r="DB165">
        <v>33364802.454375084</v>
      </c>
      <c r="DC165">
        <v>0</v>
      </c>
      <c r="DD165">
        <v>7.8829746933902172</v>
      </c>
      <c r="DE165">
        <v>61378533.969631888</v>
      </c>
      <c r="DF165">
        <v>0</v>
      </c>
      <c r="DG165">
        <v>5.2666691236541645</v>
      </c>
      <c r="DH165">
        <v>91869342.584463373</v>
      </c>
      <c r="DI165">
        <v>0</v>
      </c>
      <c r="DJ165">
        <v>3.3795474687612028</v>
      </c>
      <c r="DK165">
        <v>143168703.64225331</v>
      </c>
      <c r="DL165">
        <v>0</v>
      </c>
      <c r="DM165">
        <v>12482100</v>
      </c>
      <c r="DN165">
        <v>0</v>
      </c>
      <c r="DO165">
        <v>483845429.99999994</v>
      </c>
      <c r="DP165">
        <v>448349950</v>
      </c>
      <c r="DQ165">
        <v>164</v>
      </c>
      <c r="DR165">
        <v>-0.40909090909090912</v>
      </c>
      <c r="DS165">
        <v>0.32819999999999999</v>
      </c>
      <c r="DT165">
        <v>-0.44</v>
      </c>
      <c r="DU165">
        <v>-0.22</v>
      </c>
      <c r="DV165">
        <v>-0.66</v>
      </c>
      <c r="DW165">
        <v>-8.388167388167389</v>
      </c>
      <c r="DX165">
        <v>0.29789511225841558</v>
      </c>
      <c r="DY165">
        <v>-8.0651714072114196</v>
      </c>
      <c r="DZ165">
        <v>0</v>
      </c>
      <c r="EA165">
        <v>-8.0651714072114196</v>
      </c>
      <c r="EB165">
        <v>8</v>
      </c>
      <c r="EC165">
        <v>1.5322558771219442E-2</v>
      </c>
      <c r="ED165">
        <v>9.1262685167605037E-2</v>
      </c>
      <c r="EE165">
        <v>0</v>
      </c>
      <c r="EF165">
        <v>0</v>
      </c>
      <c r="EG165">
        <v>13.167895112258416</v>
      </c>
      <c r="EH165" t="s">
        <v>86</v>
      </c>
      <c r="EI165">
        <v>0</v>
      </c>
      <c r="EJ165">
        <v>0</v>
      </c>
      <c r="EK165">
        <v>0</v>
      </c>
      <c r="EL165">
        <v>0</v>
      </c>
      <c r="EM165">
        <v>0</v>
      </c>
      <c r="EN165">
        <v>0</v>
      </c>
      <c r="EO165">
        <v>0</v>
      </c>
      <c r="EP165">
        <v>0</v>
      </c>
    </row>
    <row r="166" spans="1:146" ht="108" x14ac:dyDescent="0.25">
      <c r="A166" s="10"/>
      <c r="B166" s="10"/>
      <c r="C166" s="7" t="str">
        <f>""&amp;CHAR(10)&amp;Basic_Fundamental_Information_Constructure(F166)&amp;CHAR(10)&amp;Basic_Fundamental_Information_Concatenate("")</f>
        <v xml:space="preserve">
市值17.577183亿, 利润192.84万; PE55.18; 平均PE1.63, PB2.86; ROIC4.1467%; ROE5.0033%; 股利率.5198%; 毛利80.2433%; 净利17.0533%; 上一年度营收增-71.96%, 利润增-93.79%; 当季营收增-52.05%, 利润增9.87%; 过往5年营收增0%, 利润增0%
Income profile:
</v>
      </c>
      <c r="D166">
        <v>837344</v>
      </c>
      <c r="E166" t="s">
        <v>2017</v>
      </c>
      <c r="F166">
        <v>14.43</v>
      </c>
      <c r="G166" s="5">
        <v>-1.5</v>
      </c>
      <c r="H166" t="s">
        <v>6108</v>
      </c>
      <c r="I166">
        <v>1757718300</v>
      </c>
      <c r="J166">
        <v>55.18</v>
      </c>
      <c r="K166">
        <v>2.86</v>
      </c>
      <c r="L166" t="s">
        <v>2604</v>
      </c>
      <c r="M166" t="s">
        <v>321</v>
      </c>
      <c r="N166" t="s">
        <v>6109</v>
      </c>
      <c r="O166" t="s">
        <v>6110</v>
      </c>
      <c r="P166">
        <v>39.49</v>
      </c>
      <c r="Q166" t="s">
        <v>6110</v>
      </c>
      <c r="R166">
        <v>1928398</v>
      </c>
      <c r="S166" s="5">
        <v>9.8699999999999996E-2</v>
      </c>
      <c r="T166" t="s">
        <v>6111</v>
      </c>
      <c r="U166">
        <v>113560796</v>
      </c>
      <c r="V166">
        <v>121810000</v>
      </c>
      <c r="W166">
        <v>1.99</v>
      </c>
      <c r="X166">
        <v>0.04</v>
      </c>
      <c r="Y166">
        <v>4.0199999999999996</v>
      </c>
      <c r="Z166" t="s">
        <v>6112</v>
      </c>
      <c r="AA166" t="s">
        <v>6113</v>
      </c>
      <c r="AB166" t="s">
        <v>6114</v>
      </c>
      <c r="AC166" t="s">
        <v>6115</v>
      </c>
      <c r="AD166" t="s">
        <v>6116</v>
      </c>
      <c r="AE166">
        <v>1289446</v>
      </c>
      <c r="AF166" t="s">
        <v>17</v>
      </c>
      <c r="AG166">
        <v>7.47</v>
      </c>
      <c r="AH166" t="s">
        <v>6117</v>
      </c>
      <c r="AI166" t="s">
        <v>92</v>
      </c>
      <c r="AJ166" t="s">
        <v>9</v>
      </c>
      <c r="AK166" t="s">
        <v>6118</v>
      </c>
      <c r="AL166" t="s">
        <v>6119</v>
      </c>
      <c r="AM166" t="s">
        <v>9</v>
      </c>
      <c r="AN166" t="s">
        <v>675</v>
      </c>
      <c r="AO166" t="s">
        <v>6120</v>
      </c>
      <c r="AP166" t="s">
        <v>9</v>
      </c>
      <c r="AQ166" t="s">
        <v>6121</v>
      </c>
      <c r="AR166" t="s">
        <v>9</v>
      </c>
      <c r="AS166" t="s">
        <v>89</v>
      </c>
      <c r="AT166" t="s">
        <v>255</v>
      </c>
      <c r="AU166" t="s">
        <v>6122</v>
      </c>
      <c r="AV166" t="s">
        <v>6123</v>
      </c>
      <c r="AW166" t="s">
        <v>6124</v>
      </c>
      <c r="AX166" t="s">
        <v>22</v>
      </c>
      <c r="AY166" t="s">
        <v>416</v>
      </c>
      <c r="AZ166" t="s">
        <v>296</v>
      </c>
      <c r="BA166" t="s">
        <v>304</v>
      </c>
      <c r="BB166" t="s">
        <v>403</v>
      </c>
      <c r="BC166" t="s">
        <v>6125</v>
      </c>
      <c r="BD166" t="s">
        <v>2018</v>
      </c>
      <c r="BE166" t="s">
        <v>2019</v>
      </c>
      <c r="BF166" t="s">
        <v>2020</v>
      </c>
      <c r="BG166" t="s">
        <v>2021</v>
      </c>
      <c r="BH166" t="s">
        <v>247</v>
      </c>
      <c r="BI166" t="s">
        <v>260</v>
      </c>
      <c r="BJ166" t="s">
        <v>22</v>
      </c>
      <c r="BK166" t="s">
        <v>6126</v>
      </c>
      <c r="BL166" t="s">
        <v>2022</v>
      </c>
      <c r="BM166" t="s">
        <v>6125</v>
      </c>
      <c r="BN166">
        <v>1.25</v>
      </c>
      <c r="BO166">
        <v>4.26</v>
      </c>
      <c r="BP166">
        <v>6.93</v>
      </c>
      <c r="BQ166">
        <v>1.88</v>
      </c>
      <c r="BR166">
        <v>5.56</v>
      </c>
      <c r="BS166">
        <v>7.57</v>
      </c>
      <c r="BT166" t="s">
        <v>6127</v>
      </c>
      <c r="BU166" t="s">
        <v>776</v>
      </c>
      <c r="BV166">
        <v>79.69</v>
      </c>
      <c r="BW166">
        <v>80.03</v>
      </c>
      <c r="BX166">
        <v>81.010000000000005</v>
      </c>
      <c r="BY166">
        <v>12.95</v>
      </c>
      <c r="BZ166">
        <v>18.16</v>
      </c>
      <c r="CA166">
        <v>20.05</v>
      </c>
      <c r="CB166">
        <v>-0.82</v>
      </c>
      <c r="CC166">
        <v>-17.54</v>
      </c>
      <c r="CD166" t="s">
        <v>6128</v>
      </c>
      <c r="CE166" t="s">
        <v>6129</v>
      </c>
      <c r="CF166" s="8">
        <v>-0.52047600000000005</v>
      </c>
      <c r="CG166" s="9">
        <v>9.8699999999999996E-2</v>
      </c>
      <c r="CH166" s="8">
        <v>-0.71957659721374512</v>
      </c>
      <c r="CI166" s="8">
        <v>-0.15346534550189972</v>
      </c>
      <c r="CJ166" s="8">
        <v>9.7826085984706879E-2</v>
      </c>
      <c r="CK166" s="8">
        <v>-0.33812949061393738</v>
      </c>
      <c r="CL166" s="8">
        <v>-7.6411962509155273E-2</v>
      </c>
      <c r="CM166" s="9">
        <v>-0.93791252374649048</v>
      </c>
      <c r="CN166" s="9">
        <v>-0.23148070275783539</v>
      </c>
      <c r="CO166" s="9">
        <v>0.12375777959823608</v>
      </c>
      <c r="CP166" s="9">
        <v>-0.4015200138092041</v>
      </c>
      <c r="CQ166" s="9">
        <v>3.4348081797361374E-2</v>
      </c>
      <c r="CR166">
        <v>1.627283800882602</v>
      </c>
      <c r="CS166" t="e">
        <v>#DIV/0!</v>
      </c>
      <c r="CT166">
        <v>0.51975051975051978</v>
      </c>
      <c r="CU166" s="8">
        <v>0</v>
      </c>
      <c r="CV166" s="9">
        <v>0</v>
      </c>
      <c r="CW166">
        <v>0.06</v>
      </c>
      <c r="CX166">
        <v>971.67672578303268</v>
      </c>
      <c r="CY166">
        <v>1819245.2830188677</v>
      </c>
      <c r="CZ166">
        <v>0</v>
      </c>
      <c r="DA166">
        <v>342.93754526002499</v>
      </c>
      <c r="DB166">
        <v>5154636.2433418185</v>
      </c>
      <c r="DC166">
        <v>0</v>
      </c>
      <c r="DD166">
        <v>186.41767262558278</v>
      </c>
      <c r="DE166">
        <v>9482568.230268795</v>
      </c>
      <c r="DF166">
        <v>0</v>
      </c>
      <c r="DG166">
        <v>124.54691771925324</v>
      </c>
      <c r="DH166">
        <v>14193191.869948098</v>
      </c>
      <c r="DI166">
        <v>0</v>
      </c>
      <c r="DJ166">
        <v>79.920004586897463</v>
      </c>
      <c r="DK166">
        <v>22118596.077881228</v>
      </c>
      <c r="DL166">
        <v>0</v>
      </c>
      <c r="DM166">
        <v>1928400</v>
      </c>
      <c r="DN166">
        <v>0</v>
      </c>
      <c r="DO166">
        <v>1767718300</v>
      </c>
      <c r="DP166">
        <v>152537250</v>
      </c>
      <c r="DQ166">
        <v>165</v>
      </c>
      <c r="DR166">
        <v>-0.52047600000000005</v>
      </c>
      <c r="DS166">
        <v>9.8699999999999996E-2</v>
      </c>
      <c r="DT166">
        <v>-0.44</v>
      </c>
      <c r="DU166">
        <v>-0.44</v>
      </c>
      <c r="DV166">
        <v>-0.88</v>
      </c>
      <c r="DW166">
        <v>-3.0174166666666666</v>
      </c>
      <c r="DX166">
        <v>0.1815842221279042</v>
      </c>
      <c r="DY166">
        <v>-3.0019434252020609</v>
      </c>
      <c r="DZ166">
        <v>0</v>
      </c>
      <c r="EA166">
        <v>-3.0019434252020609</v>
      </c>
      <c r="EB166">
        <v>3</v>
      </c>
      <c r="EC166">
        <v>6.6907478860520481E-3</v>
      </c>
      <c r="ED166">
        <v>5.996141531893933E-2</v>
      </c>
      <c r="EE166">
        <v>0</v>
      </c>
      <c r="EF166">
        <v>0</v>
      </c>
      <c r="EG166">
        <v>7.1115842221279042</v>
      </c>
      <c r="EH166" t="s">
        <v>86</v>
      </c>
      <c r="EI166">
        <v>0</v>
      </c>
      <c r="EJ166">
        <v>0</v>
      </c>
      <c r="EK166">
        <v>0</v>
      </c>
      <c r="EL166">
        <v>0</v>
      </c>
      <c r="EM166">
        <v>0</v>
      </c>
      <c r="EN166">
        <v>0</v>
      </c>
      <c r="EO166">
        <v>0</v>
      </c>
      <c r="EP166">
        <v>0</v>
      </c>
    </row>
    <row r="167" spans="1:146" ht="96" x14ac:dyDescent="0.25">
      <c r="C167" s="7" t="str">
        <f>""&amp;CHAR(10)&amp;Basic_Fundamental_Information_Constructure(F167)&amp;CHAR(10)&amp;Basic_Fundamental_Information_Concatenate("")</f>
        <v xml:space="preserve">
市值6.5010535亿, 利润1018.04万; PE10.98; 平均PE-3.28, PB1.53; ROIC13.3233%; ROE3.52%; 股利率2.1834%; 毛利33.07%; 净利22.8467%; 上一年度营收增-82.69%, 利润增-75.37%; 当季营收增-27.43%, 利润增0%; 过往5年营收增0%, 利润增0%
Income profile:
</v>
      </c>
      <c r="D167">
        <v>837403</v>
      </c>
      <c r="E167" t="s">
        <v>6130</v>
      </c>
      <c r="F167">
        <v>9.16</v>
      </c>
      <c r="G167">
        <v>-0.97</v>
      </c>
      <c r="H167" t="s">
        <v>6131</v>
      </c>
      <c r="I167">
        <v>650105350</v>
      </c>
      <c r="J167">
        <v>10.98</v>
      </c>
      <c r="K167">
        <v>1.53</v>
      </c>
      <c r="L167" t="s">
        <v>2604</v>
      </c>
      <c r="M167" t="s">
        <v>75</v>
      </c>
      <c r="N167" t="s">
        <v>132</v>
      </c>
      <c r="O167" t="s">
        <v>6132</v>
      </c>
      <c r="P167" s="6">
        <v>53.97</v>
      </c>
      <c r="Q167" t="s">
        <v>6132</v>
      </c>
      <c r="R167">
        <v>10180356</v>
      </c>
      <c r="S167">
        <v>0</v>
      </c>
      <c r="T167" t="s">
        <v>6133</v>
      </c>
      <c r="U167">
        <v>21312000</v>
      </c>
      <c r="V167">
        <v>54594000</v>
      </c>
      <c r="W167">
        <v>1.51</v>
      </c>
      <c r="X167">
        <v>0.06</v>
      </c>
      <c r="Y167">
        <v>33.53</v>
      </c>
      <c r="Z167" t="s">
        <v>6134</v>
      </c>
      <c r="AA167" t="s">
        <v>6135</v>
      </c>
      <c r="AB167" t="s">
        <v>6136</v>
      </c>
      <c r="AC167" t="s">
        <v>6137</v>
      </c>
      <c r="AD167" t="s">
        <v>6138</v>
      </c>
      <c r="AE167">
        <v>319854</v>
      </c>
      <c r="AF167" t="s">
        <v>17</v>
      </c>
      <c r="AG167" t="s">
        <v>6139</v>
      </c>
      <c r="AH167" t="s">
        <v>6140</v>
      </c>
      <c r="AI167" t="s">
        <v>239</v>
      </c>
      <c r="AJ167" t="s">
        <v>9</v>
      </c>
      <c r="AK167" t="s">
        <v>9</v>
      </c>
      <c r="AL167" t="s">
        <v>6141</v>
      </c>
      <c r="AM167" t="s">
        <v>9</v>
      </c>
      <c r="AN167" t="s">
        <v>6142</v>
      </c>
      <c r="AO167" t="s">
        <v>1838</v>
      </c>
      <c r="AP167" t="s">
        <v>9</v>
      </c>
      <c r="AQ167" t="s">
        <v>6143</v>
      </c>
      <c r="AR167" t="s">
        <v>9</v>
      </c>
      <c r="AS167" t="s">
        <v>34</v>
      </c>
      <c r="AT167" t="s">
        <v>9</v>
      </c>
      <c r="AU167" t="s">
        <v>6144</v>
      </c>
      <c r="AV167" t="s">
        <v>6145</v>
      </c>
      <c r="AW167" t="s">
        <v>134</v>
      </c>
      <c r="AX167" t="s">
        <v>168</v>
      </c>
      <c r="AY167" t="s">
        <v>253</v>
      </c>
      <c r="AZ167" t="s">
        <v>487</v>
      </c>
      <c r="BA167" t="s">
        <v>25</v>
      </c>
      <c r="BB167" t="s">
        <v>6146</v>
      </c>
      <c r="BC167" t="s">
        <v>6147</v>
      </c>
      <c r="BD167" t="s">
        <v>6148</v>
      </c>
      <c r="BE167" t="s">
        <v>6149</v>
      </c>
      <c r="BF167" t="s">
        <v>6150</v>
      </c>
      <c r="BG167" t="s">
        <v>6151</v>
      </c>
      <c r="BH167" t="s">
        <v>158</v>
      </c>
      <c r="BI167" t="s">
        <v>6152</v>
      </c>
      <c r="BJ167" t="s">
        <v>168</v>
      </c>
      <c r="BK167" t="s">
        <v>6153</v>
      </c>
      <c r="BL167" t="s">
        <v>6154</v>
      </c>
      <c r="BM167" t="s">
        <v>6147</v>
      </c>
      <c r="BN167">
        <v>2.95</v>
      </c>
      <c r="BO167">
        <v>17.920000000000002</v>
      </c>
      <c r="BP167">
        <v>19.100000000000001</v>
      </c>
      <c r="BQ167">
        <v>3.52</v>
      </c>
      <c r="BR167" t="s">
        <v>9</v>
      </c>
      <c r="BS167" t="s">
        <v>9</v>
      </c>
      <c r="BT167" t="s">
        <v>6155</v>
      </c>
      <c r="BU167" t="s">
        <v>1016</v>
      </c>
      <c r="BV167">
        <v>30.73</v>
      </c>
      <c r="BW167">
        <v>31.33</v>
      </c>
      <c r="BX167">
        <v>37.15</v>
      </c>
      <c r="BY167">
        <v>18.62</v>
      </c>
      <c r="BZ167">
        <v>20.87</v>
      </c>
      <c r="CA167">
        <v>29.05</v>
      </c>
      <c r="CB167">
        <v>-1.51</v>
      </c>
      <c r="CC167" s="8">
        <v>-9.1300000000000008</v>
      </c>
      <c r="CD167" s="11" t="s">
        <v>6156</v>
      </c>
      <c r="CE167" s="8" t="s">
        <v>6157</v>
      </c>
      <c r="CF167" s="8">
        <v>-0.27431556081563174</v>
      </c>
      <c r="CG167" s="8">
        <v>0</v>
      </c>
      <c r="CH167" s="8">
        <v>-0.82689088582992554</v>
      </c>
      <c r="CI167" s="8">
        <v>0.39436620473861694</v>
      </c>
      <c r="CJ167" s="9">
        <v>0.2678571343421936</v>
      </c>
      <c r="CK167" s="9">
        <v>6.6666670143604279E-2</v>
      </c>
      <c r="CL167" s="9">
        <v>6.8651124835014343E-2</v>
      </c>
      <c r="CM167" s="9">
        <v>-0.75373375415802002</v>
      </c>
      <c r="CN167" s="9">
        <v>-3.3448990434408188E-2</v>
      </c>
      <c r="CO167">
        <v>8.2802094519138336E-2</v>
      </c>
      <c r="CP167">
        <v>0.17644780874252319</v>
      </c>
      <c r="CQ167">
        <v>0.11503807455301285</v>
      </c>
      <c r="CR167" s="8">
        <v>-3.2848111451244502</v>
      </c>
      <c r="CS167" s="9" t="e">
        <v>#DIV/0!</v>
      </c>
      <c r="CT167">
        <v>2.1834061135371177</v>
      </c>
      <c r="CU167">
        <v>0</v>
      </c>
      <c r="CV167">
        <v>0</v>
      </c>
      <c r="CW167">
        <v>0.06</v>
      </c>
      <c r="CX167">
        <v>50.822332226631573</v>
      </c>
      <c r="CY167">
        <v>9604150.9433962256</v>
      </c>
      <c r="CZ167">
        <v>0</v>
      </c>
      <c r="DA167">
        <v>17.936918108381466</v>
      </c>
      <c r="DB167">
        <v>27212330.850299235</v>
      </c>
      <c r="DC167">
        <v>0</v>
      </c>
      <c r="DD167">
        <v>9.7503425158794172</v>
      </c>
      <c r="DE167">
        <v>50060328.568465278</v>
      </c>
      <c r="DF167">
        <v>0</v>
      </c>
      <c r="DG167">
        <v>6.514270293990986</v>
      </c>
      <c r="DH167">
        <v>74928630.218222171</v>
      </c>
      <c r="DI167">
        <v>0</v>
      </c>
      <c r="DJ167">
        <v>4.1801155846313547</v>
      </c>
      <c r="DK167">
        <v>116768385.97348167</v>
      </c>
      <c r="DL167">
        <v>0</v>
      </c>
      <c r="DM167">
        <v>10180400</v>
      </c>
      <c r="DN167">
        <v>0</v>
      </c>
      <c r="DO167">
        <v>488105350</v>
      </c>
      <c r="DP167">
        <v>330046140</v>
      </c>
      <c r="DQ167">
        <v>166</v>
      </c>
      <c r="DR167">
        <v>-0.27431556081563174</v>
      </c>
      <c r="DS167">
        <v>0</v>
      </c>
      <c r="DT167">
        <v>-0.44</v>
      </c>
      <c r="DU167">
        <v>0</v>
      </c>
      <c r="DV167">
        <v>-0.44</v>
      </c>
      <c r="DW167">
        <v>-2.0912999999999999</v>
      </c>
      <c r="DX167">
        <v>0.2743972910302187</v>
      </c>
      <c r="DY167">
        <v>-2.011357472671059</v>
      </c>
      <c r="DZ167">
        <v>0</v>
      </c>
      <c r="EA167">
        <v>-2.011357472671059</v>
      </c>
      <c r="EB167">
        <v>2</v>
      </c>
      <c r="EC167">
        <v>4.9525588892552298E-2</v>
      </c>
      <c r="ED167">
        <v>0.39812433600761987</v>
      </c>
      <c r="EE167">
        <v>0</v>
      </c>
      <c r="EF167">
        <v>0</v>
      </c>
      <c r="EG167">
        <v>15.124397291030219</v>
      </c>
      <c r="EH167" t="s">
        <v>86</v>
      </c>
      <c r="EI167">
        <v>0</v>
      </c>
      <c r="EJ167">
        <v>0</v>
      </c>
      <c r="EK167">
        <v>0</v>
      </c>
      <c r="EL167">
        <v>0</v>
      </c>
      <c r="EM167">
        <v>0</v>
      </c>
      <c r="EN167">
        <v>0</v>
      </c>
      <c r="EO167">
        <v>0</v>
      </c>
      <c r="EP167">
        <v>0</v>
      </c>
    </row>
    <row r="168" spans="1:146" ht="96" x14ac:dyDescent="0.25">
      <c r="A168" s="10"/>
      <c r="B168" s="10"/>
      <c r="C168" s="7" t="str">
        <f>""&amp;CHAR(10)&amp;Basic_Fundamental_Information_Constructure(F168)&amp;CHAR(10)&amp;Basic_Fundamental_Information_Concatenate("")</f>
        <v xml:space="preserve">
市值9.788625亿, 利润-902.45万; PE66.92; 平均PE-70.74, PB2.66; ROIC14.82%; ROE-.48%; 股利率0%; 毛利45.4867%; 净利11.04%; 上一年度营收增-92.91%, 利润增-125.01%; 当季营收增-68.86%, 利润增43.88%; 过往5年营收增0%, 利润增0%
Income profile:
</v>
      </c>
      <c r="D168">
        <v>837592</v>
      </c>
      <c r="E168" t="s">
        <v>2023</v>
      </c>
      <c r="F168">
        <v>15.75</v>
      </c>
      <c r="G168" s="5">
        <v>-4.49</v>
      </c>
      <c r="H168" t="s">
        <v>6158</v>
      </c>
      <c r="I168">
        <v>978862500</v>
      </c>
      <c r="J168">
        <v>66.92</v>
      </c>
      <c r="K168">
        <v>2.66</v>
      </c>
      <c r="L168" t="s">
        <v>2604</v>
      </c>
      <c r="M168" t="s">
        <v>6159</v>
      </c>
      <c r="N168" t="s">
        <v>305</v>
      </c>
      <c r="O168" t="s">
        <v>6160</v>
      </c>
      <c r="P168">
        <v>25.8</v>
      </c>
      <c r="Q168" t="s">
        <v>6160</v>
      </c>
      <c r="R168">
        <v>-9024474</v>
      </c>
      <c r="S168" s="6">
        <v>0.43880000000000002</v>
      </c>
      <c r="T168" t="s">
        <v>6161</v>
      </c>
      <c r="U168">
        <v>17133976</v>
      </c>
      <c r="V168">
        <v>62150000</v>
      </c>
      <c r="W168">
        <v>1.22</v>
      </c>
      <c r="X168">
        <v>0.04</v>
      </c>
      <c r="Y168">
        <v>-53.58</v>
      </c>
      <c r="Z168" t="s">
        <v>6162</v>
      </c>
      <c r="AA168" t="s">
        <v>6163</v>
      </c>
      <c r="AB168" t="s">
        <v>6164</v>
      </c>
      <c r="AC168" t="s">
        <v>6165</v>
      </c>
      <c r="AD168" t="s">
        <v>6166</v>
      </c>
      <c r="AE168">
        <v>68433</v>
      </c>
      <c r="AF168" t="s">
        <v>6167</v>
      </c>
      <c r="AG168">
        <v>1.22</v>
      </c>
      <c r="AH168" t="s">
        <v>6168</v>
      </c>
      <c r="AI168" t="s">
        <v>6169</v>
      </c>
      <c r="AJ168" t="s">
        <v>9</v>
      </c>
      <c r="AK168" t="s">
        <v>9</v>
      </c>
      <c r="AL168" t="s">
        <v>6170</v>
      </c>
      <c r="AM168" t="s">
        <v>9</v>
      </c>
      <c r="AN168">
        <v>0</v>
      </c>
      <c r="AO168" t="s">
        <v>767</v>
      </c>
      <c r="AP168" t="s">
        <v>9</v>
      </c>
      <c r="AQ168" t="s">
        <v>6171</v>
      </c>
      <c r="AR168" t="s">
        <v>9</v>
      </c>
      <c r="AS168" t="s">
        <v>6172</v>
      </c>
      <c r="AT168" t="s">
        <v>9</v>
      </c>
      <c r="AU168" t="s">
        <v>6173</v>
      </c>
      <c r="AV168" t="s">
        <v>6174</v>
      </c>
      <c r="AW168" t="s">
        <v>6175</v>
      </c>
      <c r="AX168" t="s">
        <v>393</v>
      </c>
      <c r="AY168" t="s">
        <v>571</v>
      </c>
      <c r="AZ168" t="s">
        <v>109</v>
      </c>
      <c r="BA168" t="s">
        <v>401</v>
      </c>
      <c r="BB168" t="s">
        <v>386</v>
      </c>
      <c r="BC168" t="s">
        <v>6176</v>
      </c>
      <c r="BD168" t="s">
        <v>2024</v>
      </c>
      <c r="BE168" t="s">
        <v>2025</v>
      </c>
      <c r="BF168" t="s">
        <v>2026</v>
      </c>
      <c r="BG168" t="s">
        <v>2027</v>
      </c>
      <c r="BH168" t="s">
        <v>232</v>
      </c>
      <c r="BI168" t="s">
        <v>2028</v>
      </c>
      <c r="BJ168" t="s">
        <v>393</v>
      </c>
      <c r="BK168" t="s">
        <v>6177</v>
      </c>
      <c r="BL168" t="s">
        <v>2029</v>
      </c>
      <c r="BM168" t="s">
        <v>6176</v>
      </c>
      <c r="BN168" t="s">
        <v>9</v>
      </c>
      <c r="BO168">
        <v>14.28</v>
      </c>
      <c r="BP168">
        <v>15.36</v>
      </c>
      <c r="BQ168">
        <v>-16.04</v>
      </c>
      <c r="BR168">
        <v>15.08</v>
      </c>
      <c r="BS168" t="s">
        <v>9</v>
      </c>
      <c r="BT168" t="s">
        <v>773</v>
      </c>
      <c r="BU168" t="s">
        <v>927</v>
      </c>
      <c r="BV168">
        <v>41.78</v>
      </c>
      <c r="BW168">
        <v>47.96</v>
      </c>
      <c r="BX168">
        <v>46.72</v>
      </c>
      <c r="BY168">
        <v>3.24</v>
      </c>
      <c r="BZ168">
        <v>14.85</v>
      </c>
      <c r="CA168">
        <v>15.03</v>
      </c>
      <c r="CB168">
        <v>-3.9</v>
      </c>
      <c r="CC168">
        <v>-9.33</v>
      </c>
      <c r="CD168" t="s">
        <v>6178</v>
      </c>
      <c r="CE168" t="s">
        <v>6179</v>
      </c>
      <c r="CF168" s="8">
        <v>-0.68859266013220877</v>
      </c>
      <c r="CG168" s="9">
        <v>0.43880000000000002</v>
      </c>
      <c r="CH168" s="8">
        <v>-0.92914187908172607</v>
      </c>
      <c r="CI168" s="8">
        <v>3.4334763884544373E-2</v>
      </c>
      <c r="CJ168" s="8">
        <v>0.30167597532272339</v>
      </c>
      <c r="CK168" s="8">
        <v>-0.24472573399543762</v>
      </c>
      <c r="CL168" s="8">
        <v>0.52903223037719727</v>
      </c>
      <c r="CM168" s="9">
        <v>-1.2500803470611572</v>
      </c>
      <c r="CN168" s="9">
        <v>2.6041710749268532E-2</v>
      </c>
      <c r="CO168" s="9">
        <v>2.1966254711151123</v>
      </c>
      <c r="CP168" s="9">
        <v>-2.0372569561004639</v>
      </c>
      <c r="CQ168" s="9">
        <v>0.50137233734130859</v>
      </c>
      <c r="CR168">
        <v>-70.740263416220515</v>
      </c>
      <c r="CS168" t="e">
        <v>#DIV/0!</v>
      </c>
      <c r="CT168">
        <v>0</v>
      </c>
      <c r="CU168" s="8">
        <v>0</v>
      </c>
      <c r="CV168" s="9">
        <v>0</v>
      </c>
      <c r="CW168">
        <v>0.06</v>
      </c>
      <c r="CX168" t="e">
        <v>#VALUE!</v>
      </c>
      <c r="CY168" t="s">
        <v>85</v>
      </c>
      <c r="CZ168">
        <v>0</v>
      </c>
      <c r="DA168" t="e">
        <v>#VALUE!</v>
      </c>
      <c r="DB168" t="s">
        <v>84</v>
      </c>
      <c r="DC168">
        <v>0</v>
      </c>
      <c r="DD168" t="e">
        <v>#VALUE!</v>
      </c>
      <c r="DE168" t="s">
        <v>84</v>
      </c>
      <c r="DF168">
        <v>0</v>
      </c>
      <c r="DG168" t="e">
        <v>#VALUE!</v>
      </c>
      <c r="DH168" t="s">
        <v>84</v>
      </c>
      <c r="DI168">
        <v>0</v>
      </c>
      <c r="DJ168" t="e">
        <v>#VALUE!</v>
      </c>
      <c r="DK168" t="s">
        <v>84</v>
      </c>
      <c r="DL168">
        <v>0</v>
      </c>
      <c r="DM168">
        <v>-9024500</v>
      </c>
      <c r="DN168">
        <v>0</v>
      </c>
      <c r="DO168">
        <v>707662700</v>
      </c>
      <c r="DP168">
        <v>312676300</v>
      </c>
      <c r="DQ168">
        <v>167</v>
      </c>
      <c r="DR168">
        <v>-0.68859266013220877</v>
      </c>
      <c r="DS168">
        <v>0.43880000000000002</v>
      </c>
      <c r="DT168">
        <v>-0.44</v>
      </c>
      <c r="DU168" t="e">
        <v>#VALUE!</v>
      </c>
      <c r="DV168" t="e">
        <v>#VALUE!</v>
      </c>
      <c r="DW168">
        <v>-8.4180064308681679</v>
      </c>
      <c r="DX168">
        <v>0.37408952088345626</v>
      </c>
      <c r="DY168">
        <v>-8.0644104106586791</v>
      </c>
      <c r="DZ168">
        <v>0</v>
      </c>
      <c r="EA168">
        <v>-8.0644104106586791</v>
      </c>
      <c r="EB168">
        <v>8</v>
      </c>
      <c r="EC168">
        <v>0.22742397425583266</v>
      </c>
      <c r="ED168">
        <v>1.4759211584875302</v>
      </c>
      <c r="EE168">
        <v>0</v>
      </c>
      <c r="EF168">
        <v>0</v>
      </c>
      <c r="EG168">
        <v>22.154089520883456</v>
      </c>
      <c r="EH168" t="s">
        <v>86</v>
      </c>
      <c r="EI168">
        <v>0</v>
      </c>
      <c r="EJ168">
        <v>0</v>
      </c>
      <c r="EK168">
        <v>0</v>
      </c>
      <c r="EL168">
        <v>0</v>
      </c>
      <c r="EM168">
        <v>0</v>
      </c>
      <c r="EN168">
        <v>0</v>
      </c>
      <c r="EO168">
        <v>0</v>
      </c>
      <c r="EP168">
        <v>0</v>
      </c>
    </row>
    <row r="169" spans="1:146" ht="108" x14ac:dyDescent="0.25">
      <c r="A169" s="10"/>
      <c r="B169" s="10"/>
      <c r="C169" s="7" t="str">
        <f>""&amp;CHAR(10)&amp;Basic_Fundamental_Information_Constructure(F169)&amp;CHAR(10)&amp;Basic_Fundamental_Information_Concatenate("")</f>
        <v xml:space="preserve">
市值9.92784亿, 利润1673.54万; PE14.04; 平均PE6.71, PB2.67; ROIC19.4167%; ROE22.445%; 股利率4.0364%; 毛利45.0567%; 净利24.6033%; 上一年度营收增-71.18%, 利润增-67.15%; 当季营收增-45.27%, 利润增33.55%; 过往5年营收增0%, 利润增0%
Income profile:
</v>
      </c>
      <c r="D169">
        <v>837663</v>
      </c>
      <c r="E169" t="s">
        <v>2030</v>
      </c>
      <c r="F169">
        <v>9.6199999999999992</v>
      </c>
      <c r="G169" s="5">
        <v>-2.2400000000000002</v>
      </c>
      <c r="H169" t="s">
        <v>6180</v>
      </c>
      <c r="I169">
        <v>992784000</v>
      </c>
      <c r="J169">
        <v>14.04</v>
      </c>
      <c r="K169">
        <v>2.67</v>
      </c>
      <c r="L169" t="s">
        <v>2604</v>
      </c>
      <c r="M169" t="s">
        <v>518</v>
      </c>
      <c r="N169" t="s">
        <v>293</v>
      </c>
      <c r="O169" t="s">
        <v>6181</v>
      </c>
      <c r="P169">
        <v>20.55</v>
      </c>
      <c r="Q169" t="s">
        <v>6181</v>
      </c>
      <c r="R169">
        <v>16735378</v>
      </c>
      <c r="S169" s="5">
        <v>0.33550000000000002</v>
      </c>
      <c r="T169" t="s">
        <v>6182</v>
      </c>
      <c r="U169">
        <v>30383780</v>
      </c>
      <c r="V169">
        <v>103200000</v>
      </c>
      <c r="W169">
        <v>1.2</v>
      </c>
      <c r="X169">
        <v>0.13</v>
      </c>
      <c r="Y169">
        <v>28.06</v>
      </c>
      <c r="Z169" t="s">
        <v>6183</v>
      </c>
      <c r="AA169" t="s">
        <v>6184</v>
      </c>
      <c r="AB169" t="s">
        <v>6185</v>
      </c>
      <c r="AC169" t="s">
        <v>6186</v>
      </c>
      <c r="AD169" t="s">
        <v>6187</v>
      </c>
      <c r="AE169">
        <v>124897</v>
      </c>
      <c r="AF169" t="s">
        <v>6188</v>
      </c>
      <c r="AG169" t="s">
        <v>9</v>
      </c>
      <c r="AH169" t="s">
        <v>6189</v>
      </c>
      <c r="AI169" t="s">
        <v>230</v>
      </c>
      <c r="AJ169" t="s">
        <v>9</v>
      </c>
      <c r="AK169" t="s">
        <v>6190</v>
      </c>
      <c r="AL169" t="s">
        <v>6191</v>
      </c>
      <c r="AM169" t="s">
        <v>9</v>
      </c>
      <c r="AN169" t="s">
        <v>6192</v>
      </c>
      <c r="AO169" t="s">
        <v>6193</v>
      </c>
      <c r="AP169" t="s">
        <v>6194</v>
      </c>
      <c r="AQ169" t="s">
        <v>6195</v>
      </c>
      <c r="AR169" t="s">
        <v>6196</v>
      </c>
      <c r="AS169" t="s">
        <v>6197</v>
      </c>
      <c r="AT169" t="s">
        <v>9</v>
      </c>
      <c r="AU169" t="s">
        <v>6198</v>
      </c>
      <c r="AV169" t="s">
        <v>6199</v>
      </c>
      <c r="AW169" t="s">
        <v>6200</v>
      </c>
      <c r="AX169" t="s">
        <v>123</v>
      </c>
      <c r="AY169" t="s">
        <v>113</v>
      </c>
      <c r="AZ169" t="s">
        <v>94</v>
      </c>
      <c r="BA169" t="s">
        <v>256</v>
      </c>
      <c r="BB169" t="s">
        <v>230</v>
      </c>
      <c r="BC169" t="s">
        <v>2031</v>
      </c>
      <c r="BD169" t="s">
        <v>2032</v>
      </c>
      <c r="BE169" t="s">
        <v>2033</v>
      </c>
      <c r="BF169" t="s">
        <v>2034</v>
      </c>
      <c r="BG169" t="s">
        <v>2035</v>
      </c>
      <c r="BH169" t="s">
        <v>151</v>
      </c>
      <c r="BI169" t="s">
        <v>518</v>
      </c>
      <c r="BJ169" t="s">
        <v>123</v>
      </c>
      <c r="BK169" t="s">
        <v>6201</v>
      </c>
      <c r="BL169" t="s">
        <v>2036</v>
      </c>
      <c r="BM169" t="s">
        <v>2031</v>
      </c>
      <c r="BN169">
        <v>15.08</v>
      </c>
      <c r="BO169">
        <v>24.08</v>
      </c>
      <c r="BP169">
        <v>19.09</v>
      </c>
      <c r="BQ169">
        <v>15.66</v>
      </c>
      <c r="BR169">
        <v>29.23</v>
      </c>
      <c r="BS169" t="s">
        <v>9</v>
      </c>
      <c r="BT169" t="s">
        <v>6202</v>
      </c>
      <c r="BU169" t="s">
        <v>822</v>
      </c>
      <c r="BV169">
        <v>46.19</v>
      </c>
      <c r="BW169">
        <v>45.06</v>
      </c>
      <c r="BX169">
        <v>43.92</v>
      </c>
      <c r="BY169">
        <v>25.81</v>
      </c>
      <c r="BZ169">
        <v>24.56</v>
      </c>
      <c r="CA169">
        <v>23.44</v>
      </c>
      <c r="CB169">
        <v>-2.34</v>
      </c>
      <c r="CC169">
        <v>-8.48</v>
      </c>
      <c r="CD169" t="s">
        <v>6203</v>
      </c>
      <c r="CE169" t="s">
        <v>6204</v>
      </c>
      <c r="CF169" s="8">
        <v>-0.45274495412844046</v>
      </c>
      <c r="CG169" s="9">
        <v>0.33550000000000002</v>
      </c>
      <c r="CH169" s="8">
        <v>-0.71183186769485474</v>
      </c>
      <c r="CI169" s="8">
        <v>0.27777779102325439</v>
      </c>
      <c r="CJ169" s="8">
        <v>0.24615384638309479</v>
      </c>
      <c r="CK169" s="8">
        <v>9.2436976730823517E-2</v>
      </c>
      <c r="CL169" s="8">
        <v>-5.55555559694767E-2</v>
      </c>
      <c r="CM169" s="9">
        <v>-0.67150062322616577</v>
      </c>
      <c r="CN169" s="9">
        <v>0.34588915109634399</v>
      </c>
      <c r="CO169" s="9">
        <v>6.4292281866073608E-2</v>
      </c>
      <c r="CP169" s="9">
        <v>0.21469628810882568</v>
      </c>
      <c r="CQ169" s="9">
        <v>-1.6846198588609695E-2</v>
      </c>
      <c r="CR169">
        <v>6.7132836869017751</v>
      </c>
      <c r="CS169" t="e">
        <v>#DIV/0!</v>
      </c>
      <c r="CT169">
        <v>4.0363825363825363</v>
      </c>
      <c r="CU169" s="8">
        <v>0</v>
      </c>
      <c r="CV169" s="9">
        <v>0</v>
      </c>
      <c r="CW169">
        <v>0.06</v>
      </c>
      <c r="CX169">
        <v>46.223636124622068</v>
      </c>
      <c r="CY169">
        <v>15788113.207547167</v>
      </c>
      <c r="CZ169">
        <v>0</v>
      </c>
      <c r="DA169">
        <v>16.313882884038623</v>
      </c>
      <c r="DB169">
        <v>44733924.179020256</v>
      </c>
      <c r="DC169">
        <v>0</v>
      </c>
      <c r="DD169">
        <v>8.8680756037455417</v>
      </c>
      <c r="DE169">
        <v>82293389.525430605</v>
      </c>
      <c r="DF169">
        <v>0</v>
      </c>
      <c r="DG169">
        <v>5.9248217563909202</v>
      </c>
      <c r="DH169">
        <v>123174000.8402455</v>
      </c>
      <c r="DI169">
        <v>0</v>
      </c>
      <c r="DJ169">
        <v>3.801874752249399</v>
      </c>
      <c r="DK169">
        <v>191953719.5611769</v>
      </c>
      <c r="DL169">
        <v>0</v>
      </c>
      <c r="DM169">
        <v>16735400</v>
      </c>
      <c r="DN169">
        <v>0</v>
      </c>
      <c r="DO169">
        <v>729784000</v>
      </c>
      <c r="DP169">
        <v>235570410</v>
      </c>
      <c r="DQ169">
        <v>168</v>
      </c>
      <c r="DR169">
        <v>-0.45274495412844046</v>
      </c>
      <c r="DS169">
        <v>0.33550000000000002</v>
      </c>
      <c r="DT169">
        <v>-0.44</v>
      </c>
      <c r="DU169">
        <v>-0.22</v>
      </c>
      <c r="DV169">
        <v>-0.66</v>
      </c>
      <c r="DW169">
        <v>-2.0848</v>
      </c>
      <c r="DX169">
        <v>0.33818752050790862</v>
      </c>
      <c r="DY169">
        <v>-2.0134143017390707</v>
      </c>
      <c r="DZ169">
        <v>0</v>
      </c>
      <c r="EA169">
        <v>-2.0134143017390707</v>
      </c>
      <c r="EB169">
        <v>2</v>
      </c>
      <c r="EC169">
        <v>2.0087209302325583E-2</v>
      </c>
      <c r="ED169">
        <v>0.12698352713178296</v>
      </c>
      <c r="EE169">
        <v>0</v>
      </c>
      <c r="EF169">
        <v>0</v>
      </c>
      <c r="EG169">
        <v>18.158187520507909</v>
      </c>
      <c r="EH169" t="s">
        <v>86</v>
      </c>
      <c r="EI169">
        <v>0</v>
      </c>
      <c r="EJ169">
        <v>0</v>
      </c>
      <c r="EK169">
        <v>0</v>
      </c>
      <c r="EL169">
        <v>0</v>
      </c>
      <c r="EM169">
        <v>0</v>
      </c>
      <c r="EN169">
        <v>0</v>
      </c>
      <c r="EO169">
        <v>0</v>
      </c>
      <c r="EP169">
        <v>0</v>
      </c>
    </row>
    <row r="170" spans="1:146" ht="96" x14ac:dyDescent="0.25">
      <c r="A170" s="10"/>
      <c r="B170" s="10"/>
      <c r="C170" s="7" t="str">
        <f>""&amp;CHAR(10)&amp;Basic_Fundamental_Information_Constructure(F170)&amp;CHAR(10)&amp;Basic_Fundamental_Information_Concatenate("")</f>
        <v xml:space="preserve">
市值11.104278亿, 利润-686.54万; PE43.99; 平均PE3.45, PB3.72; ROIC14.285%; ROE9.09%; 股利率.6911%; 毛利41.0867%; 净利11.7033%; 上一年度营收增-90.74%, 利润增-118.73%; 当季营收增-70.78%, 利润增28.12%; 过往5年营收增0%, 利润增0%
Income profile:
</v>
      </c>
      <c r="D170">
        <v>837748</v>
      </c>
      <c r="E170" t="s">
        <v>2037</v>
      </c>
      <c r="F170">
        <v>14.47</v>
      </c>
      <c r="G170" s="5">
        <v>-6.65</v>
      </c>
      <c r="H170" t="s">
        <v>6205</v>
      </c>
      <c r="I170">
        <v>1110427800</v>
      </c>
      <c r="J170">
        <v>43.99</v>
      </c>
      <c r="K170">
        <v>3.72</v>
      </c>
      <c r="L170" t="s">
        <v>2604</v>
      </c>
      <c r="M170" t="s">
        <v>100</v>
      </c>
      <c r="N170" t="s">
        <v>31</v>
      </c>
      <c r="O170" t="s">
        <v>6206</v>
      </c>
      <c r="P170">
        <v>8.2899999999999991</v>
      </c>
      <c r="Q170" t="s">
        <v>6206</v>
      </c>
      <c r="R170">
        <v>-6865366</v>
      </c>
      <c r="S170" s="5">
        <v>0.28120000000000001</v>
      </c>
      <c r="T170" t="s">
        <v>6207</v>
      </c>
      <c r="U170">
        <v>13436034</v>
      </c>
      <c r="V170">
        <v>76740000</v>
      </c>
      <c r="W170">
        <v>1.58</v>
      </c>
      <c r="X170">
        <v>0.05</v>
      </c>
      <c r="Y170">
        <v>-26.21</v>
      </c>
      <c r="Z170" t="s">
        <v>6208</v>
      </c>
      <c r="AA170" t="s">
        <v>6209</v>
      </c>
      <c r="AB170" t="s">
        <v>6210</v>
      </c>
      <c r="AC170" t="s">
        <v>6211</v>
      </c>
      <c r="AD170" t="s">
        <v>6212</v>
      </c>
      <c r="AE170">
        <v>518009</v>
      </c>
      <c r="AF170" t="s">
        <v>6213</v>
      </c>
      <c r="AG170">
        <v>0.56000000000000005</v>
      </c>
      <c r="AH170" t="s">
        <v>6214</v>
      </c>
      <c r="AI170" t="s">
        <v>6215</v>
      </c>
      <c r="AJ170" t="s">
        <v>9</v>
      </c>
      <c r="AK170" t="s">
        <v>6216</v>
      </c>
      <c r="AL170" t="s">
        <v>6217</v>
      </c>
      <c r="AM170" t="s">
        <v>9</v>
      </c>
      <c r="AN170" t="s">
        <v>6218</v>
      </c>
      <c r="AO170" t="s">
        <v>6219</v>
      </c>
      <c r="AP170" t="s">
        <v>6220</v>
      </c>
      <c r="AQ170" t="s">
        <v>6221</v>
      </c>
      <c r="AR170" t="s">
        <v>9</v>
      </c>
      <c r="AS170" t="s">
        <v>108</v>
      </c>
      <c r="AT170" t="s">
        <v>9</v>
      </c>
      <c r="AU170" t="s">
        <v>6222</v>
      </c>
      <c r="AV170" t="s">
        <v>6223</v>
      </c>
      <c r="AW170" t="s">
        <v>6224</v>
      </c>
      <c r="AX170" t="s">
        <v>156</v>
      </c>
      <c r="AY170" t="s">
        <v>131</v>
      </c>
      <c r="AZ170" t="s">
        <v>123</v>
      </c>
      <c r="BA170" t="s">
        <v>348</v>
      </c>
      <c r="BB170" t="s">
        <v>94</v>
      </c>
      <c r="BC170" t="s">
        <v>6225</v>
      </c>
      <c r="BD170" t="s">
        <v>2038</v>
      </c>
      <c r="BE170" t="s">
        <v>2039</v>
      </c>
      <c r="BF170" t="s">
        <v>2040</v>
      </c>
      <c r="BG170" t="s">
        <v>2041</v>
      </c>
      <c r="BH170" t="s">
        <v>165</v>
      </c>
      <c r="BI170" t="s">
        <v>2042</v>
      </c>
      <c r="BJ170" t="s">
        <v>156</v>
      </c>
      <c r="BK170" t="s">
        <v>6226</v>
      </c>
      <c r="BL170" t="s">
        <v>2043</v>
      </c>
      <c r="BM170" t="s">
        <v>6225</v>
      </c>
      <c r="BN170" t="s">
        <v>9</v>
      </c>
      <c r="BO170">
        <v>14.99</v>
      </c>
      <c r="BP170">
        <v>13.58</v>
      </c>
      <c r="BQ170">
        <v>-3.91</v>
      </c>
      <c r="BR170">
        <v>22.09</v>
      </c>
      <c r="BS170" t="s">
        <v>9</v>
      </c>
      <c r="BT170" t="s">
        <v>886</v>
      </c>
      <c r="BU170" t="s">
        <v>888</v>
      </c>
      <c r="BV170">
        <v>39.869999999999997</v>
      </c>
      <c r="BW170">
        <v>36.950000000000003</v>
      </c>
      <c r="BX170">
        <v>46.44</v>
      </c>
      <c r="BY170">
        <v>9.07</v>
      </c>
      <c r="BZ170">
        <v>12.78</v>
      </c>
      <c r="CA170">
        <v>13.26</v>
      </c>
      <c r="CB170">
        <v>-14.28</v>
      </c>
      <c r="CC170">
        <v>1.47</v>
      </c>
      <c r="CD170" t="s">
        <v>6227</v>
      </c>
      <c r="CE170" t="s">
        <v>6228</v>
      </c>
      <c r="CF170" s="8">
        <v>-0.70775353614239211</v>
      </c>
      <c r="CG170" s="9">
        <v>0.28120000000000001</v>
      </c>
      <c r="CH170" s="8">
        <v>-0.90736329555511475</v>
      </c>
      <c r="CI170" s="8">
        <v>0.4895833432674408</v>
      </c>
      <c r="CJ170" s="8">
        <v>-7.2463765740394592E-2</v>
      </c>
      <c r="CK170" s="8">
        <v>-0.29591837525367737</v>
      </c>
      <c r="CL170" s="8">
        <v>1.2615385055541992</v>
      </c>
      <c r="CM170" s="9">
        <v>-1.1872692108154297</v>
      </c>
      <c r="CN170" s="9">
        <v>0.41252759099006653</v>
      </c>
      <c r="CO170" s="9">
        <v>8.4181681275367737E-2</v>
      </c>
      <c r="CP170" s="9">
        <v>0.41093090176582336</v>
      </c>
      <c r="CQ170" s="9">
        <v>7.0383758544921875</v>
      </c>
      <c r="CR170">
        <v>3.4500789328718979</v>
      </c>
      <c r="CS170" t="e">
        <v>#DIV/0!</v>
      </c>
      <c r="CT170">
        <v>0.69108500345542501</v>
      </c>
      <c r="CU170" s="8">
        <v>0</v>
      </c>
      <c r="CV170" s="9">
        <v>0</v>
      </c>
      <c r="CW170">
        <v>0.06</v>
      </c>
      <c r="CX170" t="e">
        <v>#VALUE!</v>
      </c>
      <c r="CY170" t="s">
        <v>85</v>
      </c>
      <c r="CZ170">
        <v>0</v>
      </c>
      <c r="DA170" t="e">
        <v>#VALUE!</v>
      </c>
      <c r="DB170" t="s">
        <v>84</v>
      </c>
      <c r="DC170">
        <v>0</v>
      </c>
      <c r="DD170" t="e">
        <v>#VALUE!</v>
      </c>
      <c r="DE170" t="s">
        <v>84</v>
      </c>
      <c r="DF170">
        <v>0</v>
      </c>
      <c r="DG170" t="e">
        <v>#VALUE!</v>
      </c>
      <c r="DH170" t="s">
        <v>84</v>
      </c>
      <c r="DI170">
        <v>0</v>
      </c>
      <c r="DJ170" t="e">
        <v>#VALUE!</v>
      </c>
      <c r="DK170" t="s">
        <v>84</v>
      </c>
      <c r="DL170">
        <v>0</v>
      </c>
      <c r="DM170">
        <v>-6865400</v>
      </c>
      <c r="DN170">
        <v>0</v>
      </c>
      <c r="DO170">
        <v>1021427800</v>
      </c>
      <c r="DP170">
        <v>234755040</v>
      </c>
      <c r="DQ170">
        <v>169</v>
      </c>
      <c r="DR170">
        <v>-0.70775353614239211</v>
      </c>
      <c r="DS170">
        <v>0.28120000000000001</v>
      </c>
      <c r="DT170">
        <v>-0.44</v>
      </c>
      <c r="DU170" t="e">
        <v>#VALUE!</v>
      </c>
      <c r="DV170" t="e">
        <v>#VALUE!</v>
      </c>
      <c r="DW170">
        <v>-5.1029411764705879</v>
      </c>
      <c r="DX170">
        <v>0.46505341721425342</v>
      </c>
      <c r="DY170">
        <v>-5.0314025576544088</v>
      </c>
      <c r="DZ170">
        <v>0</v>
      </c>
      <c r="EA170">
        <v>-5.0314025576544088</v>
      </c>
      <c r="EB170">
        <v>5</v>
      </c>
      <c r="EC170">
        <v>0.1817266093302059</v>
      </c>
      <c r="ED170">
        <v>0.5957206150638521</v>
      </c>
      <c r="EE170">
        <v>0</v>
      </c>
      <c r="EF170">
        <v>0</v>
      </c>
      <c r="EG170">
        <v>16.305053417214253</v>
      </c>
      <c r="EH170" t="s">
        <v>86</v>
      </c>
      <c r="EI170">
        <v>0</v>
      </c>
      <c r="EJ170">
        <v>0</v>
      </c>
      <c r="EK170">
        <v>0</v>
      </c>
      <c r="EL170">
        <v>0</v>
      </c>
      <c r="EM170">
        <v>0</v>
      </c>
      <c r="EN170">
        <v>0</v>
      </c>
      <c r="EO170">
        <v>0</v>
      </c>
      <c r="EP170">
        <v>0</v>
      </c>
    </row>
    <row r="171" spans="1:146" ht="108" x14ac:dyDescent="0.25">
      <c r="A171" s="10"/>
      <c r="B171" s="10"/>
      <c r="C171" s="7" t="str">
        <f>""&amp;CHAR(10)&amp;Basic_Fundamental_Information_Constructure(F171)&amp;CHAR(10)&amp;Basic_Fundamental_Information_Concatenate("")</f>
        <v xml:space="preserve">
市值10.4957384亿, 利润357.86万; PE43.36; 平均PE39.13, PB2.06; ROIC6.3167%; ROE7.4033%; 股利率1.4124%; 毛利26.2733%; 净利9.0433%; 上一年度营收增-77.09%, 利润增-87.24%; 当季营收增-46.32%, 利润增-39.53%; 过往5年营收增0%, 利润增0%
Income profile:
</v>
      </c>
      <c r="D171">
        <v>837821</v>
      </c>
      <c r="E171" t="s">
        <v>2044</v>
      </c>
      <c r="F171">
        <v>10.62</v>
      </c>
      <c r="G171" s="5">
        <v>-4.75</v>
      </c>
      <c r="H171" t="s">
        <v>6229</v>
      </c>
      <c r="I171">
        <v>1049573840</v>
      </c>
      <c r="J171">
        <v>43.36</v>
      </c>
      <c r="K171">
        <v>2.06</v>
      </c>
      <c r="L171" t="s">
        <v>2604</v>
      </c>
      <c r="M171" t="s">
        <v>1000</v>
      </c>
      <c r="N171" t="s">
        <v>370</v>
      </c>
      <c r="O171" t="s">
        <v>6230</v>
      </c>
      <c r="P171">
        <v>13.63</v>
      </c>
      <c r="Q171" t="s">
        <v>6230</v>
      </c>
      <c r="R171">
        <v>3578623</v>
      </c>
      <c r="S171" s="5">
        <v>-0.39529999999999998</v>
      </c>
      <c r="T171" t="s">
        <v>6231</v>
      </c>
      <c r="U171">
        <v>18261093</v>
      </c>
      <c r="V171">
        <v>70592806</v>
      </c>
      <c r="W171">
        <v>1.42</v>
      </c>
      <c r="X171">
        <v>0.1</v>
      </c>
      <c r="Y171">
        <v>4.76</v>
      </c>
      <c r="Z171" t="s">
        <v>6232</v>
      </c>
      <c r="AA171" t="s">
        <v>6233</v>
      </c>
      <c r="AB171" t="s">
        <v>6234</v>
      </c>
      <c r="AC171" t="s">
        <v>6235</v>
      </c>
      <c r="AD171" t="s">
        <v>6236</v>
      </c>
      <c r="AE171">
        <v>341911</v>
      </c>
      <c r="AF171" t="s">
        <v>6237</v>
      </c>
      <c r="AG171" t="s">
        <v>3959</v>
      </c>
      <c r="AH171" t="s">
        <v>6238</v>
      </c>
      <c r="AI171" t="s">
        <v>6239</v>
      </c>
      <c r="AJ171" t="s">
        <v>9</v>
      </c>
      <c r="AK171" t="s">
        <v>6240</v>
      </c>
      <c r="AL171" t="s">
        <v>6241</v>
      </c>
      <c r="AM171" t="s">
        <v>9</v>
      </c>
      <c r="AN171" t="s">
        <v>6242</v>
      </c>
      <c r="AO171" t="s">
        <v>9</v>
      </c>
      <c r="AP171" t="s">
        <v>6243</v>
      </c>
      <c r="AQ171" t="s">
        <v>99</v>
      </c>
      <c r="AR171" t="s">
        <v>9</v>
      </c>
      <c r="AS171" t="s">
        <v>229</v>
      </c>
      <c r="AT171" t="s">
        <v>6244</v>
      </c>
      <c r="AU171" t="s">
        <v>6245</v>
      </c>
      <c r="AV171" t="s">
        <v>6246</v>
      </c>
      <c r="AW171" t="s">
        <v>6247</v>
      </c>
      <c r="AX171" t="s">
        <v>421</v>
      </c>
      <c r="AY171" t="s">
        <v>150</v>
      </c>
      <c r="AZ171" t="s">
        <v>388</v>
      </c>
      <c r="BA171" t="s">
        <v>419</v>
      </c>
      <c r="BB171" t="s">
        <v>232</v>
      </c>
      <c r="BC171" t="s">
        <v>2046</v>
      </c>
      <c r="BD171" t="s">
        <v>2047</v>
      </c>
      <c r="BE171" t="s">
        <v>2048</v>
      </c>
      <c r="BF171" t="s">
        <v>2049</v>
      </c>
      <c r="BG171" t="s">
        <v>2050</v>
      </c>
      <c r="BH171" t="s">
        <v>1039</v>
      </c>
      <c r="BI171" t="s">
        <v>77</v>
      </c>
      <c r="BJ171" t="s">
        <v>421</v>
      </c>
      <c r="BK171" t="s">
        <v>6248</v>
      </c>
      <c r="BL171" t="s">
        <v>2051</v>
      </c>
      <c r="BM171" t="s">
        <v>2046</v>
      </c>
      <c r="BN171">
        <v>3.26</v>
      </c>
      <c r="BO171">
        <v>6.04</v>
      </c>
      <c r="BP171">
        <v>9.65</v>
      </c>
      <c r="BQ171">
        <v>3.77</v>
      </c>
      <c r="BR171">
        <v>7.09</v>
      </c>
      <c r="BS171">
        <v>11.35</v>
      </c>
      <c r="BT171" t="s">
        <v>6249</v>
      </c>
      <c r="BU171" t="s">
        <v>2045</v>
      </c>
      <c r="BV171">
        <v>27.5</v>
      </c>
      <c r="BW171">
        <v>26.53</v>
      </c>
      <c r="BX171">
        <v>24.79</v>
      </c>
      <c r="BY171">
        <v>8.68</v>
      </c>
      <c r="BZ171">
        <v>8.5399999999999991</v>
      </c>
      <c r="CA171">
        <v>9.91</v>
      </c>
      <c r="CB171">
        <v>-5.48</v>
      </c>
      <c r="CC171">
        <v>23.18</v>
      </c>
      <c r="CD171" t="s">
        <v>6250</v>
      </c>
      <c r="CE171" t="s">
        <v>18</v>
      </c>
      <c r="CF171" s="8">
        <v>-0.46325</v>
      </c>
      <c r="CG171" s="9">
        <v>-0.39529999999999998</v>
      </c>
      <c r="CH171" s="8">
        <v>-0.77089941501617432</v>
      </c>
      <c r="CI171" s="8">
        <v>-1.2048192322254181E-2</v>
      </c>
      <c r="CJ171" s="8">
        <v>0.36625513434410095</v>
      </c>
      <c r="CK171" s="8">
        <v>-0.17064847052097321</v>
      </c>
      <c r="CL171" s="8">
        <v>0.26293104887008667</v>
      </c>
      <c r="CM171" s="9">
        <v>-0.87239563465118408</v>
      </c>
      <c r="CN171" s="9">
        <v>-0.14753435552120209</v>
      </c>
      <c r="CO171" s="9">
        <v>-0.17255386710166931</v>
      </c>
      <c r="CP171" s="9">
        <v>-0.13794644176959991</v>
      </c>
      <c r="CQ171" s="9">
        <v>5.4729737341403961E-2</v>
      </c>
      <c r="CR171">
        <v>39.127190396898378</v>
      </c>
      <c r="CS171" t="e">
        <v>#DIV/0!</v>
      </c>
      <c r="CT171">
        <v>1.4124293785310735</v>
      </c>
      <c r="CU171" s="8">
        <v>0</v>
      </c>
      <c r="CV171" s="9">
        <v>0</v>
      </c>
      <c r="CW171">
        <v>0.06</v>
      </c>
      <c r="CX171">
        <v>227.06317286089535</v>
      </c>
      <c r="CY171">
        <v>3376037.7358490564</v>
      </c>
      <c r="CZ171">
        <v>0</v>
      </c>
      <c r="DA171">
        <v>80.138265179828508</v>
      </c>
      <c r="DB171">
        <v>9565640.5623434093</v>
      </c>
      <c r="DC171">
        <v>0</v>
      </c>
      <c r="DD171">
        <v>43.562418549850214</v>
      </c>
      <c r="DE171">
        <v>17597136.83304289</v>
      </c>
      <c r="DF171">
        <v>0</v>
      </c>
      <c r="DG171">
        <v>29.104348758162189</v>
      </c>
      <c r="DH171">
        <v>26338807.522192631</v>
      </c>
      <c r="DI171">
        <v>0</v>
      </c>
      <c r="DJ171">
        <v>18.67585106758057</v>
      </c>
      <c r="DK171">
        <v>41046260.072757609</v>
      </c>
      <c r="DL171">
        <v>0</v>
      </c>
      <c r="DM171">
        <v>3578600</v>
      </c>
      <c r="DN171">
        <v>0</v>
      </c>
      <c r="DO171">
        <v>766573840</v>
      </c>
      <c r="DP171">
        <v>140452450</v>
      </c>
      <c r="DQ171">
        <v>170</v>
      </c>
      <c r="DR171">
        <v>-0.46325</v>
      </c>
      <c r="DS171">
        <v>-0.39529999999999998</v>
      </c>
      <c r="DT171">
        <v>-0.44</v>
      </c>
      <c r="DU171">
        <v>-0.22</v>
      </c>
      <c r="DV171">
        <v>-0.66</v>
      </c>
      <c r="DW171">
        <v>-6.1912072575017447</v>
      </c>
      <c r="DX171">
        <v>0.53960198019802141</v>
      </c>
      <c r="DY171">
        <v>-6.0419894923756159</v>
      </c>
      <c r="DZ171">
        <v>0</v>
      </c>
      <c r="EA171">
        <v>-6.0419894923756159</v>
      </c>
      <c r="EB171">
        <v>6</v>
      </c>
      <c r="EC171">
        <v>0.31419348878127895</v>
      </c>
      <c r="ED171">
        <v>1.4307406904890563</v>
      </c>
      <c r="EE171">
        <v>0</v>
      </c>
      <c r="EF171">
        <v>0</v>
      </c>
      <c r="EG171">
        <v>32.219601980198021</v>
      </c>
      <c r="EH171" t="s">
        <v>86</v>
      </c>
      <c r="EI171">
        <v>0</v>
      </c>
      <c r="EJ171">
        <v>0</v>
      </c>
      <c r="EK171">
        <v>0</v>
      </c>
      <c r="EL171">
        <v>0</v>
      </c>
      <c r="EM171">
        <v>0</v>
      </c>
      <c r="EN171">
        <v>0</v>
      </c>
      <c r="EO171">
        <v>0</v>
      </c>
      <c r="EP171">
        <v>0</v>
      </c>
    </row>
    <row r="172" spans="1:146" ht="108" x14ac:dyDescent="0.25">
      <c r="A172" s="10"/>
      <c r="B172" s="10"/>
      <c r="C172" s="7" t="str">
        <f>""&amp;CHAR(10)&amp;Basic_Fundamental_Information_Constructure(F172)&amp;CHAR(10)&amp;Basic_Fundamental_Information_Concatenate("")</f>
        <v xml:space="preserve">
市值6.0626652亿, 利润217.03万; PE; 平均PE-276.6, PB1.3; ROIC4.1233%; ROE6.1333%; 股利率0%; 毛利7.31%; 净利.7333%; 上一年度营收增-77.31%, 利润增-90.61%; 当季营收增-52.44%, 利润增-25.06%; 过往5年营收增0%, 利润增0%
Income profile:
</v>
      </c>
      <c r="D172">
        <v>838030</v>
      </c>
      <c r="E172" t="s">
        <v>2052</v>
      </c>
      <c r="F172">
        <v>3.39</v>
      </c>
      <c r="G172" s="5">
        <v>-2.02</v>
      </c>
      <c r="H172" t="s">
        <v>6251</v>
      </c>
      <c r="I172">
        <v>606266520</v>
      </c>
      <c r="K172">
        <v>1.3</v>
      </c>
      <c r="L172" t="s">
        <v>2604</v>
      </c>
      <c r="M172" t="s">
        <v>6252</v>
      </c>
      <c r="N172" t="s">
        <v>479</v>
      </c>
      <c r="O172" t="s">
        <v>443</v>
      </c>
      <c r="P172">
        <v>-1.05</v>
      </c>
      <c r="Q172" t="s">
        <v>443</v>
      </c>
      <c r="R172">
        <v>2170251</v>
      </c>
      <c r="S172" s="5">
        <v>-0.25059999999999999</v>
      </c>
      <c r="T172" t="s">
        <v>6253</v>
      </c>
      <c r="U172">
        <v>97727051</v>
      </c>
      <c r="V172">
        <v>178839680</v>
      </c>
      <c r="W172">
        <v>3.63</v>
      </c>
      <c r="X172">
        <v>0.34</v>
      </c>
      <c r="Y172">
        <v>0.34</v>
      </c>
      <c r="Z172" t="s">
        <v>541</v>
      </c>
      <c r="AA172" t="s">
        <v>180</v>
      </c>
      <c r="AB172" t="s">
        <v>6254</v>
      </c>
      <c r="AC172" t="s">
        <v>6255</v>
      </c>
      <c r="AD172" t="s">
        <v>6256</v>
      </c>
      <c r="AE172">
        <v>6294641</v>
      </c>
      <c r="AF172" t="s">
        <v>6257</v>
      </c>
      <c r="AG172" t="s">
        <v>6258</v>
      </c>
      <c r="AH172" t="s">
        <v>6259</v>
      </c>
      <c r="AI172" t="s">
        <v>411</v>
      </c>
      <c r="AJ172" t="s">
        <v>9</v>
      </c>
      <c r="AK172" t="s">
        <v>9</v>
      </c>
      <c r="AL172" t="s">
        <v>6260</v>
      </c>
      <c r="AM172" t="s">
        <v>9</v>
      </c>
      <c r="AN172" t="s">
        <v>6261</v>
      </c>
      <c r="AO172" t="s">
        <v>356</v>
      </c>
      <c r="AP172" t="s">
        <v>70</v>
      </c>
      <c r="AQ172" t="s">
        <v>6262</v>
      </c>
      <c r="AR172" t="s">
        <v>9</v>
      </c>
      <c r="AS172" t="s">
        <v>6263</v>
      </c>
      <c r="AT172" t="s">
        <v>6264</v>
      </c>
      <c r="AU172" t="s">
        <v>6265</v>
      </c>
      <c r="AV172" t="s">
        <v>6266</v>
      </c>
      <c r="AW172" t="s">
        <v>6267</v>
      </c>
      <c r="AX172" t="s">
        <v>2054</v>
      </c>
      <c r="AY172" t="s">
        <v>2055</v>
      </c>
      <c r="AZ172" t="s">
        <v>648</v>
      </c>
      <c r="BA172" t="s">
        <v>515</v>
      </c>
      <c r="BB172" t="s">
        <v>2056</v>
      </c>
      <c r="BC172" t="s">
        <v>6268</v>
      </c>
      <c r="BD172" t="s">
        <v>2057</v>
      </c>
      <c r="BE172" t="s">
        <v>2058</v>
      </c>
      <c r="BF172" t="s">
        <v>2059</v>
      </c>
      <c r="BG172" t="s">
        <v>2060</v>
      </c>
      <c r="BH172" t="s">
        <v>6269</v>
      </c>
      <c r="BI172" t="s">
        <v>506</v>
      </c>
      <c r="BJ172" t="s">
        <v>2054</v>
      </c>
      <c r="BK172" t="s">
        <v>6270</v>
      </c>
      <c r="BL172" t="s">
        <v>2061</v>
      </c>
      <c r="BM172" t="s">
        <v>6268</v>
      </c>
      <c r="BN172">
        <v>1.86</v>
      </c>
      <c r="BO172">
        <v>3.42</v>
      </c>
      <c r="BP172">
        <v>7.09</v>
      </c>
      <c r="BQ172">
        <v>1</v>
      </c>
      <c r="BR172">
        <v>4.66</v>
      </c>
      <c r="BS172">
        <v>12.74</v>
      </c>
      <c r="BT172" t="s">
        <v>773</v>
      </c>
      <c r="BU172" t="s">
        <v>2053</v>
      </c>
      <c r="BV172">
        <v>6.42</v>
      </c>
      <c r="BW172">
        <v>7.3</v>
      </c>
      <c r="BX172">
        <v>8.2100000000000009</v>
      </c>
      <c r="BY172">
        <v>-0.75</v>
      </c>
      <c r="BZ172">
        <v>0.78</v>
      </c>
      <c r="CA172">
        <v>2.17</v>
      </c>
      <c r="CB172">
        <v>-5.57</v>
      </c>
      <c r="CC172">
        <v>-17.920000000000002</v>
      </c>
      <c r="CD172" t="s">
        <v>6271</v>
      </c>
      <c r="CE172" t="s">
        <v>171</v>
      </c>
      <c r="CF172" s="8">
        <v>-0.52444794952681384</v>
      </c>
      <c r="CG172" s="9">
        <v>-0.25059999999999999</v>
      </c>
      <c r="CH172" s="8">
        <v>-0.77313768863677979</v>
      </c>
      <c r="CI172" s="8">
        <v>-3.1694013625383377E-2</v>
      </c>
      <c r="CJ172" s="8">
        <v>0.33837145566940308</v>
      </c>
      <c r="CK172" s="8">
        <v>7.4947625398635864E-2</v>
      </c>
      <c r="CL172" s="8">
        <v>8.6560361087322235E-2</v>
      </c>
      <c r="CM172" s="9">
        <v>-0.90612196922302246</v>
      </c>
      <c r="CN172" s="9">
        <v>-0.59989440441131592</v>
      </c>
      <c r="CO172" s="9">
        <v>0.21098342537879944</v>
      </c>
      <c r="CP172" s="9">
        <v>-2.9380772262811661E-2</v>
      </c>
      <c r="CQ172" s="9">
        <v>0.29994314908981323</v>
      </c>
      <c r="CR172">
        <v>-276.60247281575545</v>
      </c>
      <c r="CS172" t="e">
        <v>#DIV/0!</v>
      </c>
      <c r="CT172">
        <v>0</v>
      </c>
      <c r="CU172" s="8">
        <v>0</v>
      </c>
      <c r="CV172" s="9">
        <v>0</v>
      </c>
      <c r="CW172">
        <v>0.06</v>
      </c>
      <c r="CX172">
        <v>755.7031337603097</v>
      </c>
      <c r="CY172">
        <v>2047452.830188679</v>
      </c>
      <c r="CZ172">
        <v>0</v>
      </c>
      <c r="DA172">
        <v>266.71316782670061</v>
      </c>
      <c r="DB172">
        <v>5801237.8339165878</v>
      </c>
      <c r="DC172">
        <v>0</v>
      </c>
      <c r="DD172">
        <v>144.98280719642651</v>
      </c>
      <c r="DE172">
        <v>10672068.984729499</v>
      </c>
      <c r="DF172">
        <v>0</v>
      </c>
      <c r="DG172">
        <v>96.864001702602721</v>
      </c>
      <c r="DH172">
        <v>15973596.927685315</v>
      </c>
      <c r="DI172">
        <v>0</v>
      </c>
      <c r="DJ172">
        <v>62.156266908406543</v>
      </c>
      <c r="DK172">
        <v>24893170.020652164</v>
      </c>
      <c r="DL172">
        <v>0</v>
      </c>
      <c r="DM172">
        <v>2170300</v>
      </c>
      <c r="DN172">
        <v>0</v>
      </c>
      <c r="DO172">
        <v>1547266520</v>
      </c>
      <c r="DP172">
        <v>54984000</v>
      </c>
      <c r="DQ172">
        <v>171</v>
      </c>
      <c r="DR172">
        <v>-0.52444794952681384</v>
      </c>
      <c r="DS172">
        <v>-0.25059999999999999</v>
      </c>
      <c r="DT172">
        <v>-0.44</v>
      </c>
      <c r="DU172">
        <v>-0.22</v>
      </c>
      <c r="DV172">
        <v>-0.66</v>
      </c>
      <c r="DW172">
        <v>-8.3108258928571423</v>
      </c>
      <c r="DX172">
        <v>0.30204213197969421</v>
      </c>
      <c r="DY172">
        <v>-8.0255008189244919</v>
      </c>
      <c r="DZ172">
        <v>0</v>
      </c>
      <c r="EA172">
        <v>-8.0255008189244919</v>
      </c>
      <c r="EB172">
        <v>8</v>
      </c>
      <c r="EC172">
        <v>9.0373120774986854E-2</v>
      </c>
      <c r="ED172">
        <v>1.1015452499132183</v>
      </c>
      <c r="EE172">
        <v>0</v>
      </c>
      <c r="EF172">
        <v>0</v>
      </c>
      <c r="EG172">
        <v>22.082042131979694</v>
      </c>
      <c r="EH172" t="s">
        <v>86</v>
      </c>
      <c r="EI172">
        <v>0</v>
      </c>
      <c r="EJ172">
        <v>0</v>
      </c>
      <c r="EK172">
        <v>0</v>
      </c>
      <c r="EL172">
        <v>0</v>
      </c>
      <c r="EM172">
        <v>0</v>
      </c>
      <c r="EN172">
        <v>0</v>
      </c>
      <c r="EO172">
        <v>0</v>
      </c>
      <c r="EP172">
        <v>0</v>
      </c>
    </row>
    <row r="173" spans="1:146" ht="96" x14ac:dyDescent="0.25">
      <c r="A173" s="10"/>
      <c r="B173" s="10"/>
      <c r="C173" s="7" t="str">
        <f>""&amp;CHAR(10)&amp;Basic_Fundamental_Information_Constructure(F173)&amp;CHAR(10)&amp;Basic_Fundamental_Information_Concatenate("")</f>
        <v xml:space="preserve">
市值19.67372亿, 利润1361.87万; PE46.56; 平均PE-43.82, PB4.28; ROIC8.5233%; ROE9.02%; 股利率1.6393%; 毛利19.42%; 净利9.5033%; 上一年度营收增-62.76%, 利润增-66.62%; 当季营收增-39.92%, 利润增26.91%; 过往5年营收增0%, 利润增0%
Income profile:
</v>
      </c>
      <c r="D173">
        <v>838163</v>
      </c>
      <c r="E173" t="s">
        <v>2062</v>
      </c>
      <c r="F173">
        <v>15.25</v>
      </c>
      <c r="G173" s="5">
        <v>-3.05</v>
      </c>
      <c r="H173" t="s">
        <v>6272</v>
      </c>
      <c r="I173">
        <v>1967372000</v>
      </c>
      <c r="J173">
        <v>46.56</v>
      </c>
      <c r="K173">
        <v>4.28</v>
      </c>
      <c r="L173" t="s">
        <v>2604</v>
      </c>
      <c r="M173" t="s">
        <v>307</v>
      </c>
      <c r="N173" t="s">
        <v>361</v>
      </c>
      <c r="O173" t="s">
        <v>535</v>
      </c>
      <c r="P173">
        <v>20.86</v>
      </c>
      <c r="Q173" t="s">
        <v>535</v>
      </c>
      <c r="R173">
        <v>13618725</v>
      </c>
      <c r="S173" s="5">
        <v>0.26910000000000001</v>
      </c>
      <c r="T173" t="s">
        <v>6273</v>
      </c>
      <c r="U173">
        <v>60837375</v>
      </c>
      <c r="V173">
        <v>129008000</v>
      </c>
      <c r="W173">
        <v>1.77</v>
      </c>
      <c r="X173">
        <v>0.18</v>
      </c>
      <c r="Y173">
        <v>9.52</v>
      </c>
      <c r="Z173" t="s">
        <v>230</v>
      </c>
      <c r="AA173" t="s">
        <v>90</v>
      </c>
      <c r="AB173" t="s">
        <v>6274</v>
      </c>
      <c r="AC173" t="s">
        <v>6275</v>
      </c>
      <c r="AD173" t="s">
        <v>6276</v>
      </c>
      <c r="AE173">
        <v>1074477</v>
      </c>
      <c r="AF173" t="s">
        <v>17</v>
      </c>
      <c r="AG173" t="s">
        <v>9</v>
      </c>
      <c r="AH173" t="s">
        <v>6277</v>
      </c>
      <c r="AI173" t="s">
        <v>314</v>
      </c>
      <c r="AJ173" t="s">
        <v>9</v>
      </c>
      <c r="AK173" t="s">
        <v>9</v>
      </c>
      <c r="AL173" t="s">
        <v>6278</v>
      </c>
      <c r="AM173" t="s">
        <v>9</v>
      </c>
      <c r="AN173" t="s">
        <v>6279</v>
      </c>
      <c r="AO173" t="s">
        <v>9</v>
      </c>
      <c r="AP173" t="s">
        <v>9</v>
      </c>
      <c r="AQ173" t="s">
        <v>253</v>
      </c>
      <c r="AR173" t="s">
        <v>9</v>
      </c>
      <c r="AS173" t="s">
        <v>275</v>
      </c>
      <c r="AT173" t="s">
        <v>26</v>
      </c>
      <c r="AU173" t="s">
        <v>6280</v>
      </c>
      <c r="AV173" t="s">
        <v>6281</v>
      </c>
      <c r="AW173" t="s">
        <v>6282</v>
      </c>
      <c r="AX173" t="s">
        <v>311</v>
      </c>
      <c r="AY173" t="s">
        <v>137</v>
      </c>
      <c r="AZ173" t="s">
        <v>368</v>
      </c>
      <c r="BA173" t="s">
        <v>237</v>
      </c>
      <c r="BB173" t="s">
        <v>41</v>
      </c>
      <c r="BC173" t="s">
        <v>2063</v>
      </c>
      <c r="BD173" t="s">
        <v>2065</v>
      </c>
      <c r="BE173" t="s">
        <v>2066</v>
      </c>
      <c r="BF173" t="s">
        <v>2067</v>
      </c>
      <c r="BG173" t="s">
        <v>2068</v>
      </c>
      <c r="BH173" t="s">
        <v>510</v>
      </c>
      <c r="BI173" t="s">
        <v>165</v>
      </c>
      <c r="BJ173" t="s">
        <v>311</v>
      </c>
      <c r="BK173" t="s">
        <v>6283</v>
      </c>
      <c r="BL173" t="s">
        <v>2069</v>
      </c>
      <c r="BM173" t="s">
        <v>2063</v>
      </c>
      <c r="BN173">
        <v>5.77</v>
      </c>
      <c r="BO173">
        <v>10.16</v>
      </c>
      <c r="BP173">
        <v>9.64</v>
      </c>
      <c r="BQ173">
        <v>7.12</v>
      </c>
      <c r="BR173">
        <v>10.27</v>
      </c>
      <c r="BS173">
        <v>9.67</v>
      </c>
      <c r="BT173" t="s">
        <v>1165</v>
      </c>
      <c r="BU173" t="s">
        <v>1397</v>
      </c>
      <c r="BV173">
        <v>18.75</v>
      </c>
      <c r="BW173">
        <v>18.48</v>
      </c>
      <c r="BX173">
        <v>21.03</v>
      </c>
      <c r="BY173">
        <v>7.88</v>
      </c>
      <c r="BZ173">
        <v>10.62</v>
      </c>
      <c r="CA173">
        <v>10.01</v>
      </c>
      <c r="CB173">
        <v>-4.93</v>
      </c>
      <c r="CC173">
        <v>0.59</v>
      </c>
      <c r="CD173" t="s">
        <v>6284</v>
      </c>
      <c r="CE173" t="s">
        <v>6285</v>
      </c>
      <c r="CF173" s="8">
        <v>-0.39915966386554624</v>
      </c>
      <c r="CG173" s="9">
        <v>0.26910000000000001</v>
      </c>
      <c r="CH173" s="8">
        <v>-0.62760418653488159</v>
      </c>
      <c r="CI173" s="8">
        <v>5.7851240038871765E-2</v>
      </c>
      <c r="CJ173" s="8">
        <v>0.2222222238779068</v>
      </c>
      <c r="CK173" s="8">
        <v>0.22727273404598236</v>
      </c>
      <c r="CL173" s="8">
        <v>-0.11029411852359772</v>
      </c>
      <c r="CM173" s="9">
        <v>-0.66616576910018921</v>
      </c>
      <c r="CN173" s="9">
        <v>0.12366582453250885</v>
      </c>
      <c r="CO173" s="9">
        <v>-0.22883579134941101</v>
      </c>
      <c r="CP173" s="9">
        <v>0.6448291540145874</v>
      </c>
      <c r="CQ173" s="9">
        <v>-0.1650719940662384</v>
      </c>
      <c r="CR173">
        <v>-43.815203250070986</v>
      </c>
      <c r="CS173" t="e">
        <v>#DIV/0!</v>
      </c>
      <c r="CT173">
        <v>1.639344262295082</v>
      </c>
      <c r="CU173" s="8">
        <v>0</v>
      </c>
      <c r="CV173" s="9">
        <v>0</v>
      </c>
      <c r="CW173">
        <v>0.06</v>
      </c>
      <c r="CX173">
        <v>139.97476411111197</v>
      </c>
      <c r="CY173">
        <v>12847830.188679243</v>
      </c>
      <c r="CZ173">
        <v>0</v>
      </c>
      <c r="DA173">
        <v>49.401823393405394</v>
      </c>
      <c r="DB173">
        <v>36402947.836133175</v>
      </c>
      <c r="DC173">
        <v>0</v>
      </c>
      <c r="DD173">
        <v>26.854373537536972</v>
      </c>
      <c r="DE173">
        <v>66967564.798569605</v>
      </c>
      <c r="DF173">
        <v>0</v>
      </c>
      <c r="DG173">
        <v>17.941590002034566</v>
      </c>
      <c r="DH173">
        <v>100234817.52710131</v>
      </c>
      <c r="DI173">
        <v>0</v>
      </c>
      <c r="DJ173">
        <v>11.512865846194893</v>
      </c>
      <c r="DK173">
        <v>156205416.09927455</v>
      </c>
      <c r="DL173">
        <v>0</v>
      </c>
      <c r="DM173">
        <v>13618699.999999998</v>
      </c>
      <c r="DN173">
        <v>0</v>
      </c>
      <c r="DO173">
        <v>1798372000</v>
      </c>
      <c r="DP173">
        <v>164395430</v>
      </c>
      <c r="DQ173">
        <v>172</v>
      </c>
      <c r="DR173">
        <v>-0.39915966386554624</v>
      </c>
      <c r="DS173">
        <v>0.26910000000000001</v>
      </c>
      <c r="DT173">
        <v>-0.44</v>
      </c>
      <c r="DU173">
        <v>-0.22</v>
      </c>
      <c r="DV173">
        <v>-0.66</v>
      </c>
      <c r="DW173">
        <v>-4.1196754563894524</v>
      </c>
      <c r="DX173">
        <v>0.38891009896439377</v>
      </c>
      <c r="DY173">
        <v>-4.0333786933851909</v>
      </c>
      <c r="DZ173">
        <v>0</v>
      </c>
      <c r="EA173">
        <v>-4.0333786933851909</v>
      </c>
      <c r="EB173">
        <v>4</v>
      </c>
      <c r="EC173">
        <v>1.5051779734590104E-2</v>
      </c>
      <c r="ED173">
        <v>5.3966420687089171E-2</v>
      </c>
      <c r="EE173">
        <v>0</v>
      </c>
      <c r="EF173">
        <v>0</v>
      </c>
      <c r="EG173">
        <v>11.278910098964394</v>
      </c>
      <c r="EH173" t="s">
        <v>86</v>
      </c>
      <c r="EI173">
        <v>0</v>
      </c>
      <c r="EJ173">
        <v>0</v>
      </c>
      <c r="EK173">
        <v>0</v>
      </c>
      <c r="EL173">
        <v>0</v>
      </c>
      <c r="EM173">
        <v>0</v>
      </c>
      <c r="EN173">
        <v>0</v>
      </c>
      <c r="EO173">
        <v>0</v>
      </c>
      <c r="EP173">
        <v>0</v>
      </c>
    </row>
    <row r="174" spans="1:146" ht="108" x14ac:dyDescent="0.25">
      <c r="A174" s="10"/>
      <c r="B174" s="10"/>
      <c r="C174" s="7" t="str">
        <f>""&amp;CHAR(10)&amp;Basic_Fundamental_Information_Constructure(F174)&amp;CHAR(10)&amp;Basic_Fundamental_Information_Concatenate("")</f>
        <v xml:space="preserve">
市值11.464852亿, 利润2310.10万; PE13.15; 平均PE-7.04, PB2.17; ROIC16.8433%; ROE17.39%; 股利率3.112%; 毛利35.2767%; 净利21.6433%; 上一年度营收增-74.57%, 利润增-70.37%; 当季营收增-49.44%, 利润增5.77%; 过往5年营收增0%, 利润增0%
Income profile:
</v>
      </c>
      <c r="D174">
        <v>838171</v>
      </c>
      <c r="E174" t="s">
        <v>2071</v>
      </c>
      <c r="F174">
        <v>9.64</v>
      </c>
      <c r="G174" s="5">
        <v>-3.6</v>
      </c>
      <c r="H174" t="s">
        <v>6286</v>
      </c>
      <c r="I174">
        <v>1146485200</v>
      </c>
      <c r="J174">
        <v>13.15</v>
      </c>
      <c r="K174">
        <v>2.17</v>
      </c>
      <c r="L174" t="s">
        <v>2604</v>
      </c>
      <c r="M174" t="s">
        <v>6287</v>
      </c>
      <c r="N174" t="s">
        <v>179</v>
      </c>
      <c r="O174" t="s">
        <v>6288</v>
      </c>
      <c r="P174">
        <v>-2.88</v>
      </c>
      <c r="Q174" t="s">
        <v>6288</v>
      </c>
      <c r="R174">
        <v>23100954</v>
      </c>
      <c r="S174" s="5">
        <v>5.7700000000000001E-2</v>
      </c>
      <c r="T174" t="s">
        <v>6289</v>
      </c>
      <c r="U174">
        <v>51900498</v>
      </c>
      <c r="V174">
        <v>118930000</v>
      </c>
      <c r="W174">
        <v>1.1000000000000001</v>
      </c>
      <c r="X174">
        <v>0.15</v>
      </c>
      <c r="Y174">
        <v>26.88</v>
      </c>
      <c r="Z174" t="s">
        <v>6290</v>
      </c>
      <c r="AA174" t="s">
        <v>6291</v>
      </c>
      <c r="AB174" t="s">
        <v>6292</v>
      </c>
      <c r="AC174" t="s">
        <v>6293</v>
      </c>
      <c r="AD174" t="s">
        <v>6294</v>
      </c>
      <c r="AE174">
        <v>1875085</v>
      </c>
      <c r="AF174" t="s">
        <v>17</v>
      </c>
      <c r="AG174" t="s">
        <v>4415</v>
      </c>
      <c r="AH174" t="s">
        <v>6295</v>
      </c>
      <c r="AI174" t="s">
        <v>427</v>
      </c>
      <c r="AJ174" t="s">
        <v>9</v>
      </c>
      <c r="AK174" t="s">
        <v>9</v>
      </c>
      <c r="AL174" t="s">
        <v>6296</v>
      </c>
      <c r="AM174" t="s">
        <v>9</v>
      </c>
      <c r="AN174" t="s">
        <v>6297</v>
      </c>
      <c r="AO174" t="s">
        <v>9</v>
      </c>
      <c r="AP174" t="s">
        <v>9</v>
      </c>
      <c r="AQ174" t="s">
        <v>6298</v>
      </c>
      <c r="AR174" t="s">
        <v>9</v>
      </c>
      <c r="AS174" t="s">
        <v>6299</v>
      </c>
      <c r="AT174" t="s">
        <v>9</v>
      </c>
      <c r="AU174" t="s">
        <v>6300</v>
      </c>
      <c r="AV174" t="s">
        <v>6301</v>
      </c>
      <c r="AW174" t="s">
        <v>6302</v>
      </c>
      <c r="AX174" t="s">
        <v>582</v>
      </c>
      <c r="AY174" t="s">
        <v>427</v>
      </c>
      <c r="AZ174" t="s">
        <v>386</v>
      </c>
      <c r="BA174" t="s">
        <v>93</v>
      </c>
      <c r="BB174" t="s">
        <v>233</v>
      </c>
      <c r="BC174" t="s">
        <v>2072</v>
      </c>
      <c r="BD174" t="s">
        <v>2073</v>
      </c>
      <c r="BE174" t="s">
        <v>2074</v>
      </c>
      <c r="BF174" t="s">
        <v>2075</v>
      </c>
      <c r="BG174" t="s">
        <v>2076</v>
      </c>
      <c r="BH174" t="s">
        <v>486</v>
      </c>
      <c r="BI174" t="s">
        <v>373</v>
      </c>
      <c r="BJ174" t="s">
        <v>582</v>
      </c>
      <c r="BK174" t="s">
        <v>6303</v>
      </c>
      <c r="BL174" t="s">
        <v>2077</v>
      </c>
      <c r="BM174" t="s">
        <v>2072</v>
      </c>
      <c r="BN174">
        <v>13.59</v>
      </c>
      <c r="BO174">
        <v>22.09</v>
      </c>
      <c r="BP174">
        <v>14.85</v>
      </c>
      <c r="BQ174">
        <v>14.6</v>
      </c>
      <c r="BR174">
        <v>22.11</v>
      </c>
      <c r="BS174">
        <v>15.46</v>
      </c>
      <c r="BT174" t="s">
        <v>859</v>
      </c>
      <c r="BU174" t="s">
        <v>822</v>
      </c>
      <c r="BV174">
        <v>40.43</v>
      </c>
      <c r="BW174">
        <v>34.35</v>
      </c>
      <c r="BX174">
        <v>31.05</v>
      </c>
      <c r="BY174">
        <v>26.1</v>
      </c>
      <c r="BZ174">
        <v>23.08</v>
      </c>
      <c r="CA174">
        <v>15.75</v>
      </c>
      <c r="CB174">
        <v>1.26</v>
      </c>
      <c r="CC174">
        <v>-10.99</v>
      </c>
      <c r="CD174" t="s">
        <v>6304</v>
      </c>
      <c r="CE174" t="s">
        <v>6305</v>
      </c>
      <c r="CF174" s="8">
        <v>-0.49443176470588235</v>
      </c>
      <c r="CG174" s="9">
        <v>5.7700000000000001E-2</v>
      </c>
      <c r="CH174" s="8">
        <v>-0.74572014808654785</v>
      </c>
      <c r="CI174" s="8">
        <v>0.46320345997810364</v>
      </c>
      <c r="CJ174" s="8">
        <v>0.49032258987426758</v>
      </c>
      <c r="CK174" s="8">
        <v>-0.24390244483947754</v>
      </c>
      <c r="CL174" s="8">
        <v>0.1388888955116272</v>
      </c>
      <c r="CM174" s="9">
        <v>-0.70368862152099609</v>
      </c>
      <c r="CN174" s="9">
        <v>1.1415046453475952</v>
      </c>
      <c r="CO174" s="9">
        <v>-0.11828331649303436</v>
      </c>
      <c r="CP174" s="9">
        <v>-0.13026352226734161</v>
      </c>
      <c r="CQ174" s="9">
        <v>0.52072727680206299</v>
      </c>
      <c r="CR174">
        <v>-7.0445554683722102</v>
      </c>
      <c r="CS174" t="e">
        <v>#DIV/0!</v>
      </c>
      <c r="CT174">
        <v>3.1120331950207465</v>
      </c>
      <c r="CU174" s="8">
        <v>0</v>
      </c>
      <c r="CV174" s="9">
        <v>0</v>
      </c>
      <c r="CW174">
        <v>0.06</v>
      </c>
      <c r="CX174">
        <v>30.731699320375746</v>
      </c>
      <c r="CY174">
        <v>21793396.22641509</v>
      </c>
      <c r="CZ174">
        <v>0</v>
      </c>
      <c r="DA174">
        <v>10.846254980642728</v>
      </c>
      <c r="DB174">
        <v>61749249.044513248</v>
      </c>
      <c r="DC174">
        <v>0</v>
      </c>
      <c r="DD174">
        <v>5.8959237276337451</v>
      </c>
      <c r="DE174">
        <v>113595109.25505053</v>
      </c>
      <c r="DF174">
        <v>0</v>
      </c>
      <c r="DG174">
        <v>3.9391068295303868</v>
      </c>
      <c r="DH174">
        <v>170025370.97473088</v>
      </c>
      <c r="DI174">
        <v>0</v>
      </c>
      <c r="DJ174">
        <v>2.5276694248988369</v>
      </c>
      <c r="DK174">
        <v>264966650.07007584</v>
      </c>
      <c r="DL174">
        <v>0</v>
      </c>
      <c r="DM174">
        <v>23101000</v>
      </c>
      <c r="DN174">
        <v>0</v>
      </c>
      <c r="DO174">
        <v>669748100</v>
      </c>
      <c r="DP174">
        <v>314274940</v>
      </c>
      <c r="DQ174">
        <v>173</v>
      </c>
      <c r="DR174">
        <v>-0.49443176470588235</v>
      </c>
      <c r="DS174">
        <v>5.7700000000000001E-2</v>
      </c>
      <c r="DT174">
        <v>-0.44</v>
      </c>
      <c r="DU174">
        <v>-0.22</v>
      </c>
      <c r="DV174">
        <v>-0.66</v>
      </c>
      <c r="DW174">
        <v>-2.1099000000000001</v>
      </c>
      <c r="DX174">
        <v>0.44064684799304843</v>
      </c>
      <c r="DY174">
        <v>-2.0341400885944361</v>
      </c>
      <c r="DZ174">
        <v>0</v>
      </c>
      <c r="EA174">
        <v>-2.0341400885944361</v>
      </c>
      <c r="EB174">
        <v>2</v>
      </c>
      <c r="EC174">
        <v>3.3669385352728495E-2</v>
      </c>
      <c r="ED174">
        <v>0.10838476414697722</v>
      </c>
      <c r="EE174">
        <v>0</v>
      </c>
      <c r="EF174">
        <v>0</v>
      </c>
      <c r="EG174">
        <v>13.310646847993048</v>
      </c>
      <c r="EH174" t="s">
        <v>86</v>
      </c>
      <c r="EI174">
        <v>0</v>
      </c>
      <c r="EJ174">
        <v>0</v>
      </c>
      <c r="EK174">
        <v>0</v>
      </c>
      <c r="EL174">
        <v>0</v>
      </c>
      <c r="EM174">
        <v>0</v>
      </c>
      <c r="EN174">
        <v>0</v>
      </c>
      <c r="EO174">
        <v>0</v>
      </c>
      <c r="EP174">
        <v>0</v>
      </c>
    </row>
    <row r="175" spans="1:146" ht="108" x14ac:dyDescent="0.25">
      <c r="A175" s="10"/>
      <c r="B175" s="10"/>
      <c r="C175" s="7" t="str">
        <f>""&amp;CHAR(10)&amp;Basic_Fundamental_Information_Constructure(F175)&amp;CHAR(10)&amp;Basic_Fundamental_Information_Concatenate("")</f>
        <v xml:space="preserve">
市值7.5624393亿, 利润1030.60万; PE17.59; 平均PE-35.98, PB1.81; ROIC16.6867%; ROE19.88%; 股利率5.1493%; 毛利69.6967%; 净利38.2833%; 上一年度营收增-69.31%, 利润增-75.4%; 当季营收增-35.42%, 利润增5.13%; 过往5年营收增0%, 利润增0%
Income profile:
</v>
      </c>
      <c r="D175">
        <v>838227</v>
      </c>
      <c r="E175" t="s">
        <v>2078</v>
      </c>
      <c r="F175">
        <v>19.420000000000002</v>
      </c>
      <c r="G175" s="5">
        <v>0.05</v>
      </c>
      <c r="H175" t="s">
        <v>6306</v>
      </c>
      <c r="I175">
        <v>756243930</v>
      </c>
      <c r="J175">
        <v>17.59</v>
      </c>
      <c r="K175">
        <v>1.81</v>
      </c>
      <c r="L175" t="s">
        <v>2604</v>
      </c>
      <c r="M175" t="s">
        <v>6307</v>
      </c>
      <c r="N175" t="s">
        <v>145</v>
      </c>
      <c r="O175" t="s">
        <v>6308</v>
      </c>
      <c r="P175">
        <v>34.299999999999997</v>
      </c>
      <c r="Q175" t="s">
        <v>6308</v>
      </c>
      <c r="R175">
        <v>10305976</v>
      </c>
      <c r="S175" s="5">
        <v>5.1299999999999998E-2</v>
      </c>
      <c r="T175" t="s">
        <v>6309</v>
      </c>
      <c r="U175">
        <v>10537674</v>
      </c>
      <c r="V175">
        <v>38941500</v>
      </c>
      <c r="W175">
        <v>1.04</v>
      </c>
      <c r="X175">
        <v>0.08</v>
      </c>
      <c r="Y175">
        <v>29.27</v>
      </c>
      <c r="Z175" t="s">
        <v>6310</v>
      </c>
      <c r="AA175" t="s">
        <v>6311</v>
      </c>
      <c r="AB175" t="s">
        <v>6312</v>
      </c>
      <c r="AC175" t="s">
        <v>6313</v>
      </c>
      <c r="AD175" t="s">
        <v>6314</v>
      </c>
      <c r="AE175">
        <v>159236</v>
      </c>
      <c r="AF175" t="s">
        <v>6315</v>
      </c>
      <c r="AG175">
        <v>1.83</v>
      </c>
      <c r="AH175" t="s">
        <v>6316</v>
      </c>
      <c r="AI175" t="s">
        <v>597</v>
      </c>
      <c r="AJ175" t="s">
        <v>9</v>
      </c>
      <c r="AK175" t="s">
        <v>9</v>
      </c>
      <c r="AL175" t="s">
        <v>6317</v>
      </c>
      <c r="AM175" t="s">
        <v>9</v>
      </c>
      <c r="AN175">
        <v>0</v>
      </c>
      <c r="AO175" t="s">
        <v>9</v>
      </c>
      <c r="AP175" t="s">
        <v>9</v>
      </c>
      <c r="AQ175" t="s">
        <v>6318</v>
      </c>
      <c r="AR175" t="s">
        <v>9</v>
      </c>
      <c r="AS175" t="s">
        <v>6319</v>
      </c>
      <c r="AT175" t="s">
        <v>9</v>
      </c>
      <c r="AU175" t="s">
        <v>6320</v>
      </c>
      <c r="AV175" t="s">
        <v>6321</v>
      </c>
      <c r="AW175" t="s">
        <v>9</v>
      </c>
      <c r="AX175" t="s">
        <v>411</v>
      </c>
      <c r="AY175" t="s">
        <v>256</v>
      </c>
      <c r="AZ175" t="s">
        <v>2081</v>
      </c>
      <c r="BA175" t="s">
        <v>2082</v>
      </c>
      <c r="BB175" t="s">
        <v>2083</v>
      </c>
      <c r="BC175" t="s">
        <v>2079</v>
      </c>
      <c r="BD175" t="s">
        <v>2084</v>
      </c>
      <c r="BE175" t="s">
        <v>2085</v>
      </c>
      <c r="BF175" t="s">
        <v>2086</v>
      </c>
      <c r="BG175" t="s">
        <v>2087</v>
      </c>
      <c r="BH175" t="s">
        <v>272</v>
      </c>
      <c r="BI175" t="s">
        <v>2088</v>
      </c>
      <c r="BJ175" t="s">
        <v>411</v>
      </c>
      <c r="BK175" t="s">
        <v>6322</v>
      </c>
      <c r="BL175" t="s">
        <v>2089</v>
      </c>
      <c r="BM175" t="s">
        <v>2079</v>
      </c>
      <c r="BN175">
        <v>7.78</v>
      </c>
      <c r="BO175">
        <v>13.8</v>
      </c>
      <c r="BP175">
        <v>28.48</v>
      </c>
      <c r="BQ175">
        <v>8.33</v>
      </c>
      <c r="BR175">
        <v>20.16</v>
      </c>
      <c r="BS175">
        <v>31.15</v>
      </c>
      <c r="BT175" t="s">
        <v>6323</v>
      </c>
      <c r="BU175" t="s">
        <v>888</v>
      </c>
      <c r="BV175">
        <v>70.38</v>
      </c>
      <c r="BW175">
        <v>69.41</v>
      </c>
      <c r="BX175">
        <v>69.3</v>
      </c>
      <c r="BY175">
        <v>37.119999999999997</v>
      </c>
      <c r="BZ175">
        <v>37.04</v>
      </c>
      <c r="CA175">
        <v>40.69</v>
      </c>
      <c r="CB175">
        <v>1.78</v>
      </c>
      <c r="CC175">
        <v>-7.96</v>
      </c>
      <c r="CD175" t="s">
        <v>6324</v>
      </c>
      <c r="CE175" t="s">
        <v>6325</v>
      </c>
      <c r="CF175" s="8">
        <v>-0.35418963205720244</v>
      </c>
      <c r="CG175" s="9">
        <v>5.1299999999999998E-2</v>
      </c>
      <c r="CH175" s="8">
        <v>-0.69307434558868408</v>
      </c>
      <c r="CI175" s="8">
        <v>-5.0420168787240982E-2</v>
      </c>
      <c r="CJ175" s="8">
        <v>0.2513117790222168</v>
      </c>
      <c r="CK175" s="8">
        <v>0.3659171462059021</v>
      </c>
      <c r="CL175" s="8">
        <v>5.5470600724220276E-2</v>
      </c>
      <c r="CM175" s="9">
        <v>-0.75402814149856567</v>
      </c>
      <c r="CN175" s="9">
        <v>-0.13359113037586212</v>
      </c>
      <c r="CO175" s="9">
        <v>0.37907582521438599</v>
      </c>
      <c r="CP175" s="9">
        <v>0.12212401628494263</v>
      </c>
      <c r="CQ175" s="9">
        <v>2.3685456835664809E-4</v>
      </c>
      <c r="CR175">
        <v>-35.978150323667194</v>
      </c>
      <c r="CS175" t="e">
        <v>#DIV/0!</v>
      </c>
      <c r="CT175">
        <v>5.1493305870236865</v>
      </c>
      <c r="CU175" s="8">
        <v>0</v>
      </c>
      <c r="CV175" s="9">
        <v>0</v>
      </c>
      <c r="CW175">
        <v>0.06</v>
      </c>
      <c r="CX175">
        <v>36.698250126140117</v>
      </c>
      <c r="CY175">
        <v>9722641.5094339605</v>
      </c>
      <c r="CZ175">
        <v>0</v>
      </c>
      <c r="DA175">
        <v>12.952052343802938</v>
      </c>
      <c r="DB175">
        <v>27548061.15115162</v>
      </c>
      <c r="DC175">
        <v>0</v>
      </c>
      <c r="DD175">
        <v>7.0406156661141672</v>
      </c>
      <c r="DE175">
        <v>50677944.503811553</v>
      </c>
      <c r="DF175">
        <v>0</v>
      </c>
      <c r="DG175">
        <v>4.7038833159430204</v>
      </c>
      <c r="DH175">
        <v>75853057.151879847</v>
      </c>
      <c r="DI175">
        <v>0</v>
      </c>
      <c r="DJ175">
        <v>3.0184157349747265</v>
      </c>
      <c r="DK175">
        <v>118209008.07853347</v>
      </c>
      <c r="DL175">
        <v>0</v>
      </c>
      <c r="DM175">
        <v>10306000</v>
      </c>
      <c r="DN175">
        <v>0</v>
      </c>
      <c r="DO175">
        <v>356803930</v>
      </c>
      <c r="DP175">
        <v>293260070</v>
      </c>
      <c r="DQ175">
        <v>174</v>
      </c>
      <c r="DR175">
        <v>-0.35418963205720244</v>
      </c>
      <c r="DS175">
        <v>5.1299999999999998E-2</v>
      </c>
      <c r="DT175">
        <v>-0.44</v>
      </c>
      <c r="DU175">
        <v>-0.22</v>
      </c>
      <c r="DV175">
        <v>-0.66</v>
      </c>
      <c r="DW175">
        <v>-2.0796000000000001</v>
      </c>
      <c r="DX175">
        <v>0.41899599232653872</v>
      </c>
      <c r="DY175">
        <v>-2.0110640809891924</v>
      </c>
      <c r="DZ175">
        <v>0</v>
      </c>
      <c r="EA175">
        <v>-2.0110640809891924</v>
      </c>
      <c r="EB175">
        <v>2</v>
      </c>
      <c r="EC175">
        <v>1.8792291000603471E-2</v>
      </c>
      <c r="ED175">
        <v>0.13520023625181363</v>
      </c>
      <c r="EE175">
        <v>0</v>
      </c>
      <c r="EF175">
        <v>0</v>
      </c>
      <c r="EG175">
        <v>28.138995992326539</v>
      </c>
      <c r="EH175" t="s">
        <v>86</v>
      </c>
      <c r="EI175">
        <v>0</v>
      </c>
      <c r="EJ175">
        <v>0</v>
      </c>
      <c r="EK175">
        <v>0</v>
      </c>
      <c r="EL175">
        <v>0</v>
      </c>
      <c r="EM175">
        <v>0</v>
      </c>
      <c r="EN175">
        <v>0</v>
      </c>
      <c r="EO175">
        <v>0</v>
      </c>
      <c r="EP175">
        <v>0</v>
      </c>
    </row>
    <row r="176" spans="1:146" ht="108" x14ac:dyDescent="0.25">
      <c r="A176" s="10"/>
      <c r="B176" s="10"/>
      <c r="C176" s="7" t="str">
        <f>""&amp;CHAR(10)&amp;Basic_Fundamental_Information_Constructure(F176)&amp;CHAR(10)&amp;Basic_Fundamental_Information_Concatenate("")</f>
        <v xml:space="preserve">
市值5.6939456亿, 利润738.83万; PE16.15; 平均PE3.63, PB1.77; ROIC12.7467%; ROE16.6%; 股利率2.8011%; 毛利40.24%; 净利8.4333%; 上一年度营收增-67.94%, 利润增-76.64%; 当季营收增-52.61%, 利润增14.17%; 过往5年营收增0%, 利润增0%
Income profile:
</v>
      </c>
      <c r="D176">
        <v>838262</v>
      </c>
      <c r="E176" t="s">
        <v>2090</v>
      </c>
      <c r="F176">
        <v>10.71</v>
      </c>
      <c r="G176" s="5">
        <v>-2.0099999999999998</v>
      </c>
      <c r="H176" t="s">
        <v>1159</v>
      </c>
      <c r="I176">
        <v>569394560</v>
      </c>
      <c r="J176">
        <v>16.149999999999999</v>
      </c>
      <c r="K176">
        <v>1.77</v>
      </c>
      <c r="L176" t="s">
        <v>2604</v>
      </c>
      <c r="M176" t="s">
        <v>416</v>
      </c>
      <c r="N176" t="s">
        <v>497</v>
      </c>
      <c r="O176" t="s">
        <v>518</v>
      </c>
      <c r="P176">
        <v>24.54</v>
      </c>
      <c r="Q176" t="s">
        <v>518</v>
      </c>
      <c r="R176">
        <v>7388277</v>
      </c>
      <c r="S176" s="5">
        <v>0.14169999999999999</v>
      </c>
      <c r="T176" t="s">
        <v>6326</v>
      </c>
      <c r="U176">
        <v>15496928</v>
      </c>
      <c r="V176">
        <v>53164758</v>
      </c>
      <c r="W176">
        <v>1.57</v>
      </c>
      <c r="X176">
        <v>0.21</v>
      </c>
      <c r="Y176">
        <v>6.73</v>
      </c>
      <c r="Z176" t="s">
        <v>78</v>
      </c>
      <c r="AA176" t="s">
        <v>6327</v>
      </c>
      <c r="AB176" t="s">
        <v>6328</v>
      </c>
      <c r="AC176" t="s">
        <v>6329</v>
      </c>
      <c r="AD176" t="s">
        <v>6330</v>
      </c>
      <c r="AE176">
        <v>651136</v>
      </c>
      <c r="AF176" t="s">
        <v>17</v>
      </c>
      <c r="AG176" t="s">
        <v>9</v>
      </c>
      <c r="AH176" t="s">
        <v>6331</v>
      </c>
      <c r="AI176" t="s">
        <v>6332</v>
      </c>
      <c r="AJ176" t="s">
        <v>9</v>
      </c>
      <c r="AK176" t="s">
        <v>9</v>
      </c>
      <c r="AL176" t="s">
        <v>6333</v>
      </c>
      <c r="AM176" t="s">
        <v>9</v>
      </c>
      <c r="AN176">
        <v>0</v>
      </c>
      <c r="AO176" t="s">
        <v>6334</v>
      </c>
      <c r="AP176" t="s">
        <v>9</v>
      </c>
      <c r="AQ176" t="s">
        <v>6335</v>
      </c>
      <c r="AR176" t="s">
        <v>9</v>
      </c>
      <c r="AS176" t="s">
        <v>242</v>
      </c>
      <c r="AT176" t="s">
        <v>9</v>
      </c>
      <c r="AU176" t="s">
        <v>6336</v>
      </c>
      <c r="AV176" t="s">
        <v>6337</v>
      </c>
      <c r="AW176" t="s">
        <v>6338</v>
      </c>
      <c r="AX176" t="s">
        <v>306</v>
      </c>
      <c r="AY176" t="s">
        <v>80</v>
      </c>
      <c r="AZ176" t="s">
        <v>652</v>
      </c>
      <c r="BA176" t="s">
        <v>265</v>
      </c>
      <c r="BB176" t="s">
        <v>453</v>
      </c>
      <c r="BC176" t="s">
        <v>6339</v>
      </c>
      <c r="BD176" t="s">
        <v>2092</v>
      </c>
      <c r="BE176" t="s">
        <v>2093</v>
      </c>
      <c r="BF176" t="s">
        <v>2094</v>
      </c>
      <c r="BG176" t="s">
        <v>2095</v>
      </c>
      <c r="BH176" t="s">
        <v>502</v>
      </c>
      <c r="BI176" t="s">
        <v>548</v>
      </c>
      <c r="BJ176" t="s">
        <v>306</v>
      </c>
      <c r="BK176" t="s">
        <v>6340</v>
      </c>
      <c r="BL176" t="s">
        <v>2096</v>
      </c>
      <c r="BM176" t="s">
        <v>6339</v>
      </c>
      <c r="BN176">
        <v>6.94</v>
      </c>
      <c r="BO176">
        <v>11.45</v>
      </c>
      <c r="BP176">
        <v>19.850000000000001</v>
      </c>
      <c r="BQ176">
        <v>8.15</v>
      </c>
      <c r="BR176">
        <v>16.350000000000001</v>
      </c>
      <c r="BS176">
        <v>25.3</v>
      </c>
      <c r="BT176" t="s">
        <v>859</v>
      </c>
      <c r="BU176" t="s">
        <v>2091</v>
      </c>
      <c r="BV176">
        <v>37.93</v>
      </c>
      <c r="BW176">
        <v>41.65</v>
      </c>
      <c r="BX176">
        <v>41.14</v>
      </c>
      <c r="BY176">
        <v>6.44</v>
      </c>
      <c r="BZ176">
        <v>9.16</v>
      </c>
      <c r="CA176">
        <v>9.6999999999999993</v>
      </c>
      <c r="CB176">
        <v>2.98</v>
      </c>
      <c r="CC176">
        <v>-10.68</v>
      </c>
      <c r="CD176" t="s">
        <v>6341</v>
      </c>
      <c r="CE176" t="s">
        <v>6342</v>
      </c>
      <c r="CF176" s="8">
        <v>-0.52608695652173898</v>
      </c>
      <c r="CG176" s="9">
        <v>0.14169999999999999</v>
      </c>
      <c r="CH176" s="8">
        <v>-0.67941176891326904</v>
      </c>
      <c r="CI176" s="8">
        <v>-8.8471852242946625E-2</v>
      </c>
      <c r="CJ176" s="8">
        <v>0.19935691356658936</v>
      </c>
      <c r="CK176" s="8">
        <v>0.31779661774635315</v>
      </c>
      <c r="CL176" s="8">
        <v>0.16256158053874969</v>
      </c>
      <c r="CM176" s="9">
        <v>-0.76641553640365601</v>
      </c>
      <c r="CN176" s="9">
        <v>-0.12969750165939331</v>
      </c>
      <c r="CO176" s="9">
        <v>0.48968315124511719</v>
      </c>
      <c r="CP176" s="9">
        <v>0.9768902063369751</v>
      </c>
      <c r="CQ176" s="9">
        <v>-0.43759912252426147</v>
      </c>
      <c r="CR176">
        <v>3.63293265133137</v>
      </c>
      <c r="CS176" t="e">
        <v>#DIV/0!</v>
      </c>
      <c r="CT176">
        <v>2.8011204481792715</v>
      </c>
      <c r="CU176" s="8">
        <v>0</v>
      </c>
      <c r="CV176" s="9">
        <v>0</v>
      </c>
      <c r="CW176">
        <v>0.06</v>
      </c>
      <c r="CX176">
        <v>64.331203876399172</v>
      </c>
      <c r="CY176">
        <v>6970094.339622641</v>
      </c>
      <c r="CZ176">
        <v>0</v>
      </c>
      <c r="DA176">
        <v>22.704655319613682</v>
      </c>
      <c r="DB176">
        <v>19749014.186207402</v>
      </c>
      <c r="DC176">
        <v>0</v>
      </c>
      <c r="DD176">
        <v>12.342040295527283</v>
      </c>
      <c r="DE176">
        <v>36330667.317825623</v>
      </c>
      <c r="DF176">
        <v>0</v>
      </c>
      <c r="DG176">
        <v>8.2458012457977343</v>
      </c>
      <c r="DH176">
        <v>54378531.161967196</v>
      </c>
      <c r="DI176">
        <v>0</v>
      </c>
      <c r="DJ176">
        <v>5.2912146318409183</v>
      </c>
      <c r="DK176">
        <v>84743218.939125642</v>
      </c>
      <c r="DL176">
        <v>0</v>
      </c>
      <c r="DM176">
        <v>7388300</v>
      </c>
      <c r="DN176">
        <v>0</v>
      </c>
      <c r="DO176">
        <v>448394560</v>
      </c>
      <c r="DP176">
        <v>262953100</v>
      </c>
      <c r="DQ176">
        <v>175</v>
      </c>
      <c r="DR176">
        <v>-0.52608695652173898</v>
      </c>
      <c r="DS176">
        <v>0.14169999999999999</v>
      </c>
      <c r="DT176">
        <v>-0.44</v>
      </c>
      <c r="DU176">
        <v>-0.22</v>
      </c>
      <c r="DV176">
        <v>-0.66</v>
      </c>
      <c r="DW176">
        <v>6.2181551976573939</v>
      </c>
      <c r="DX176">
        <v>0.23284923884842634</v>
      </c>
      <c r="DY176">
        <v>6.0224370960298907</v>
      </c>
      <c r="DZ176">
        <v>0</v>
      </c>
      <c r="EA176">
        <v>6.0224370960298907</v>
      </c>
      <c r="EB176">
        <v>6</v>
      </c>
      <c r="EC176">
        <v>2.4755120675993676E-2</v>
      </c>
      <c r="ED176">
        <v>0.24069328031174339</v>
      </c>
      <c r="EE176">
        <v>0</v>
      </c>
      <c r="EF176">
        <v>0</v>
      </c>
      <c r="EG176">
        <v>13.102849238848426</v>
      </c>
      <c r="EH176" t="s">
        <v>86</v>
      </c>
      <c r="EI176">
        <v>0</v>
      </c>
      <c r="EJ176">
        <v>0</v>
      </c>
      <c r="EK176">
        <v>0</v>
      </c>
      <c r="EL176">
        <v>0</v>
      </c>
      <c r="EM176">
        <v>0</v>
      </c>
      <c r="EN176">
        <v>0</v>
      </c>
      <c r="EO176">
        <v>0</v>
      </c>
      <c r="EP176">
        <v>0</v>
      </c>
    </row>
    <row r="177" spans="1:146" ht="108" x14ac:dyDescent="0.25">
      <c r="A177" s="10"/>
      <c r="B177" s="10"/>
      <c r="C177" s="7" t="str">
        <f>""&amp;CHAR(10)&amp;Basic_Fundamental_Information_Constructure(F177)&amp;CHAR(10)&amp;Basic_Fundamental_Information_Concatenate("")</f>
        <v xml:space="preserve">
市值4.6320226亿, 利润312.50万; PE57.66; 平均PE-1.52, PB1.99; ROIC8.8767%; ROE8.4367%; 股利率1.0381%; 毛利29.9867%; 净利15.5167%; 上一年度营收增-83.11%, 利润增-82.04%; 当季营收增-80.02%, 利润增210.3%; 过往5年营收增0%, 利润增0%
Income profile:
</v>
      </c>
      <c r="D177">
        <v>838275</v>
      </c>
      <c r="E177" t="s">
        <v>2097</v>
      </c>
      <c r="F177">
        <v>2.89</v>
      </c>
      <c r="G177" s="5">
        <v>-3.34</v>
      </c>
      <c r="H177" t="s">
        <v>6343</v>
      </c>
      <c r="I177">
        <v>463202260</v>
      </c>
      <c r="J177">
        <v>57.66</v>
      </c>
      <c r="K177">
        <v>1.99</v>
      </c>
      <c r="L177" t="s">
        <v>2604</v>
      </c>
      <c r="M177" t="s">
        <v>6344</v>
      </c>
      <c r="N177" t="s">
        <v>571</v>
      </c>
      <c r="O177" t="s">
        <v>6345</v>
      </c>
      <c r="P177">
        <v>-36.92</v>
      </c>
      <c r="Q177" t="s">
        <v>6345</v>
      </c>
      <c r="R177">
        <v>3125043</v>
      </c>
      <c r="S177" s="5">
        <v>2.1030000000000002</v>
      </c>
      <c r="T177" t="s">
        <v>6346</v>
      </c>
      <c r="U177">
        <v>90037719</v>
      </c>
      <c r="V177">
        <v>160277600</v>
      </c>
      <c r="W177">
        <v>1.03</v>
      </c>
      <c r="X177">
        <v>7.0000000000000007E-2</v>
      </c>
      <c r="Y177">
        <v>19.07</v>
      </c>
      <c r="Z177" t="s">
        <v>6347</v>
      </c>
      <c r="AA177" t="s">
        <v>6348</v>
      </c>
      <c r="AB177" t="s">
        <v>4533</v>
      </c>
      <c r="AC177" t="s">
        <v>6349</v>
      </c>
      <c r="AD177" t="s">
        <v>6350</v>
      </c>
      <c r="AE177">
        <v>3605</v>
      </c>
      <c r="AF177" t="s">
        <v>6351</v>
      </c>
      <c r="AG177">
        <v>4369.03</v>
      </c>
      <c r="AH177" t="s">
        <v>6352</v>
      </c>
      <c r="AI177" t="s">
        <v>6353</v>
      </c>
      <c r="AJ177" t="s">
        <v>9</v>
      </c>
      <c r="AK177" t="s">
        <v>9</v>
      </c>
      <c r="AL177" t="s">
        <v>6354</v>
      </c>
      <c r="AM177" t="s">
        <v>9</v>
      </c>
      <c r="AN177">
        <v>0</v>
      </c>
      <c r="AO177" t="s">
        <v>9</v>
      </c>
      <c r="AP177" t="s">
        <v>9</v>
      </c>
      <c r="AQ177" t="s">
        <v>6355</v>
      </c>
      <c r="AR177" t="s">
        <v>9</v>
      </c>
      <c r="AS177" t="s">
        <v>6356</v>
      </c>
      <c r="AT177" t="s">
        <v>9</v>
      </c>
      <c r="AU177" t="s">
        <v>6357</v>
      </c>
      <c r="AV177" t="s">
        <v>6358</v>
      </c>
      <c r="AW177" t="s">
        <v>9</v>
      </c>
      <c r="AX177" t="s">
        <v>6359</v>
      </c>
      <c r="AY177" t="s">
        <v>26</v>
      </c>
      <c r="AZ177" t="s">
        <v>67</v>
      </c>
      <c r="BA177" t="s">
        <v>2099</v>
      </c>
      <c r="BB177" t="s">
        <v>93</v>
      </c>
      <c r="BC177" t="s">
        <v>6360</v>
      </c>
      <c r="BD177" t="s">
        <v>2100</v>
      </c>
      <c r="BE177" t="s">
        <v>2101</v>
      </c>
      <c r="BF177" t="s">
        <v>2102</v>
      </c>
      <c r="BG177" t="s">
        <v>2103</v>
      </c>
      <c r="BH177" t="s">
        <v>6361</v>
      </c>
      <c r="BI177" t="s">
        <v>2104</v>
      </c>
      <c r="BJ177" t="s">
        <v>6359</v>
      </c>
      <c r="BK177" t="s">
        <v>6362</v>
      </c>
      <c r="BL177" t="s">
        <v>2105</v>
      </c>
      <c r="BM177" t="s">
        <v>6360</v>
      </c>
      <c r="BN177">
        <v>2.35</v>
      </c>
      <c r="BO177">
        <v>6.98</v>
      </c>
      <c r="BP177">
        <v>17.3</v>
      </c>
      <c r="BQ177">
        <v>2.37</v>
      </c>
      <c r="BR177">
        <v>6.95</v>
      </c>
      <c r="BS177">
        <v>15.99</v>
      </c>
      <c r="BT177" t="s">
        <v>820</v>
      </c>
      <c r="BU177" t="s">
        <v>2098</v>
      </c>
      <c r="BV177">
        <v>27.11</v>
      </c>
      <c r="BW177">
        <v>19.25</v>
      </c>
      <c r="BX177">
        <v>43.6</v>
      </c>
      <c r="BY177">
        <v>6.1</v>
      </c>
      <c r="BZ177">
        <v>11.28</v>
      </c>
      <c r="CA177">
        <v>29.17</v>
      </c>
      <c r="CB177">
        <v>-3.99</v>
      </c>
      <c r="CC177">
        <v>-15.25</v>
      </c>
      <c r="CD177" t="s">
        <v>6363</v>
      </c>
      <c r="CE177" t="s">
        <v>6364</v>
      </c>
      <c r="CF177" s="8">
        <v>-0.80018429562383209</v>
      </c>
      <c r="CG177" s="9">
        <v>2.1030000000000002</v>
      </c>
      <c r="CH177" s="8">
        <v>-0.83112317323684692</v>
      </c>
      <c r="CI177" s="8">
        <v>-0.2914416491985321</v>
      </c>
      <c r="CJ177" s="8">
        <v>7.8740157186985016E-2</v>
      </c>
      <c r="CK177" s="8">
        <v>0.29020848870277405</v>
      </c>
      <c r="CL177" s="8">
        <v>-0.51983559131622314</v>
      </c>
      <c r="CM177" s="9">
        <v>-0.82040435075759888</v>
      </c>
      <c r="CN177" s="9">
        <v>-0.56517982482910156</v>
      </c>
      <c r="CO177" s="9">
        <v>-1.6565461410209537E-3</v>
      </c>
      <c r="CP177" s="9">
        <v>0.88569200038909912</v>
      </c>
      <c r="CQ177" s="9">
        <v>-0.39942419528961182</v>
      </c>
      <c r="CR177">
        <v>-1.5180445025421605</v>
      </c>
      <c r="CS177" t="e">
        <v>#DIV/0!</v>
      </c>
      <c r="CT177">
        <v>1.0380622837370241</v>
      </c>
      <c r="CU177" s="8">
        <v>0</v>
      </c>
      <c r="CV177" s="9">
        <v>0</v>
      </c>
      <c r="CW177">
        <v>0.06</v>
      </c>
      <c r="CX177">
        <v>81.089240192000005</v>
      </c>
      <c r="CY177">
        <v>2948113.2075471696</v>
      </c>
      <c r="CZ177">
        <v>0</v>
      </c>
      <c r="DA177">
        <v>28.619132516563393</v>
      </c>
      <c r="DB177">
        <v>8353162.3420676114</v>
      </c>
      <c r="DC177">
        <v>0</v>
      </c>
      <c r="DD177">
        <v>15.557095307997413</v>
      </c>
      <c r="DE177">
        <v>15366638.518766845</v>
      </c>
      <c r="DF177">
        <v>0</v>
      </c>
      <c r="DG177">
        <v>10.393801413706912</v>
      </c>
      <c r="DH177">
        <v>23000272.035670925</v>
      </c>
      <c r="DI177">
        <v>0</v>
      </c>
      <c r="DJ177">
        <v>6.6695561148386986</v>
      </c>
      <c r="DK177">
        <v>35843503.808016405</v>
      </c>
      <c r="DL177">
        <v>0</v>
      </c>
      <c r="DM177">
        <v>3125000</v>
      </c>
      <c r="DN177">
        <v>0</v>
      </c>
      <c r="DO177">
        <v>239060260</v>
      </c>
      <c r="DP177">
        <v>25343565</v>
      </c>
      <c r="DQ177">
        <v>176</v>
      </c>
      <c r="DR177">
        <v>-0.80018429562383209</v>
      </c>
      <c r="DS177">
        <v>2.1030000000000002</v>
      </c>
      <c r="DT177">
        <v>-0.44</v>
      </c>
      <c r="DU177">
        <v>0.6</v>
      </c>
      <c r="DV177">
        <v>0.15999999999999998</v>
      </c>
      <c r="DW177">
        <v>-8.2616393442622957</v>
      </c>
      <c r="DX177">
        <v>0.62848046754844744</v>
      </c>
      <c r="DY177">
        <v>-8.0362319387225121</v>
      </c>
      <c r="DZ177">
        <v>0</v>
      </c>
      <c r="EA177">
        <v>-8.0362319387225121</v>
      </c>
      <c r="EB177">
        <v>8</v>
      </c>
      <c r="EC177">
        <v>3.3706519189206724E-2</v>
      </c>
      <c r="ED177">
        <v>0.24340269632188152</v>
      </c>
      <c r="EE177">
        <v>0</v>
      </c>
      <c r="EF177">
        <v>0</v>
      </c>
      <c r="EG177">
        <v>49.138480467548447</v>
      </c>
      <c r="EH177" t="s">
        <v>86</v>
      </c>
      <c r="EI177">
        <v>0</v>
      </c>
      <c r="EJ177">
        <v>0</v>
      </c>
      <c r="EK177">
        <v>0</v>
      </c>
      <c r="EL177">
        <v>0</v>
      </c>
      <c r="EM177">
        <v>0</v>
      </c>
      <c r="EN177">
        <v>0</v>
      </c>
      <c r="EO177">
        <v>0</v>
      </c>
      <c r="EP177">
        <v>0</v>
      </c>
    </row>
    <row r="178" spans="1:146" ht="96" x14ac:dyDescent="0.25">
      <c r="A178" s="10"/>
      <c r="B178" s="10"/>
      <c r="C178" s="7" t="str">
        <f>""&amp;CHAR(10)&amp;Basic_Fundamental_Information_Constructure(F178)&amp;CHAR(10)&amp;Basic_Fundamental_Information_Concatenate("")</f>
        <v xml:space="preserve">
市值29.713029亿, 利润4679.33万; PE9.99; 平均PE.53, PB1.76; ROIC12.97%; ROE16.0967%; 股利率2.6251%; 毛利31.71%; 净利19.2867%; 上一年度营收增-77.96%, 利润增-75.24%; 当季营收增-61.96%, 利润增-18.88%; 过往5年营收增0%, 利润增0%
Income profile:
</v>
      </c>
      <c r="D178">
        <v>838402</v>
      </c>
      <c r="E178" t="s">
        <v>2107</v>
      </c>
      <c r="F178">
        <v>7.04</v>
      </c>
      <c r="G178" s="5">
        <v>-2.4900000000000002</v>
      </c>
      <c r="H178" t="s">
        <v>6365</v>
      </c>
      <c r="I178">
        <v>2971302900</v>
      </c>
      <c r="J178">
        <v>9.99</v>
      </c>
      <c r="K178">
        <v>1.76</v>
      </c>
      <c r="L178" t="s">
        <v>2604</v>
      </c>
      <c r="M178" t="s">
        <v>6366</v>
      </c>
      <c r="N178" t="s">
        <v>6367</v>
      </c>
      <c r="O178" t="s">
        <v>315</v>
      </c>
      <c r="P178">
        <v>-19.579999999999998</v>
      </c>
      <c r="Q178" t="s">
        <v>315</v>
      </c>
      <c r="R178">
        <v>46793297</v>
      </c>
      <c r="S178" s="5">
        <v>-0.1888</v>
      </c>
      <c r="T178" t="s">
        <v>6368</v>
      </c>
      <c r="U178">
        <v>422060070</v>
      </c>
      <c r="V178">
        <v>422060070</v>
      </c>
      <c r="W178">
        <v>1.41</v>
      </c>
      <c r="X178">
        <v>0.09</v>
      </c>
      <c r="Y178">
        <v>22.29</v>
      </c>
      <c r="Z178" t="s">
        <v>552</v>
      </c>
      <c r="AA178" t="s">
        <v>59</v>
      </c>
      <c r="AB178" t="s">
        <v>6369</v>
      </c>
      <c r="AC178" t="s">
        <v>6370</v>
      </c>
      <c r="AD178" t="s">
        <v>6371</v>
      </c>
      <c r="AE178">
        <v>2111616</v>
      </c>
      <c r="AF178" t="s">
        <v>17</v>
      </c>
      <c r="AG178">
        <v>1000.98</v>
      </c>
      <c r="AH178" t="s">
        <v>6372</v>
      </c>
      <c r="AI178" t="s">
        <v>227</v>
      </c>
      <c r="AJ178" t="s">
        <v>9</v>
      </c>
      <c r="AK178" t="s">
        <v>489</v>
      </c>
      <c r="AL178" t="s">
        <v>6373</v>
      </c>
      <c r="AM178" t="s">
        <v>9</v>
      </c>
      <c r="AN178" t="s">
        <v>111</v>
      </c>
      <c r="AO178" t="s">
        <v>72</v>
      </c>
      <c r="AP178" t="s">
        <v>6374</v>
      </c>
      <c r="AQ178" t="s">
        <v>315</v>
      </c>
      <c r="AR178" t="s">
        <v>9</v>
      </c>
      <c r="AS178" t="s">
        <v>402</v>
      </c>
      <c r="AT178" t="s">
        <v>537</v>
      </c>
      <c r="AU178" t="s">
        <v>6375</v>
      </c>
      <c r="AV178" t="s">
        <v>6376</v>
      </c>
      <c r="AW178" t="s">
        <v>6377</v>
      </c>
      <c r="AX178" t="s">
        <v>641</v>
      </c>
      <c r="AY178" t="s">
        <v>396</v>
      </c>
      <c r="AZ178" t="s">
        <v>492</v>
      </c>
      <c r="BA178" t="s">
        <v>305</v>
      </c>
      <c r="BB178" t="s">
        <v>110</v>
      </c>
      <c r="BC178" t="s">
        <v>640</v>
      </c>
      <c r="BD178" t="s">
        <v>2108</v>
      </c>
      <c r="BE178" t="s">
        <v>2109</v>
      </c>
      <c r="BF178" t="s">
        <v>2110</v>
      </c>
      <c r="BG178" t="s">
        <v>2111</v>
      </c>
      <c r="BH178" t="s">
        <v>391</v>
      </c>
      <c r="BI178" t="s">
        <v>684</v>
      </c>
      <c r="BJ178" t="s">
        <v>641</v>
      </c>
      <c r="BK178" t="s">
        <v>679</v>
      </c>
      <c r="BL178" t="s">
        <v>300</v>
      </c>
      <c r="BM178" t="s">
        <v>640</v>
      </c>
      <c r="BN178">
        <v>13.51</v>
      </c>
      <c r="BO178">
        <v>15.5</v>
      </c>
      <c r="BP178">
        <v>9.9</v>
      </c>
      <c r="BQ178">
        <v>15.18</v>
      </c>
      <c r="BR178">
        <v>21.32</v>
      </c>
      <c r="BS178">
        <v>11.79</v>
      </c>
      <c r="BT178" t="s">
        <v>6378</v>
      </c>
      <c r="BU178" t="s">
        <v>1091</v>
      </c>
      <c r="BV178">
        <v>39.06</v>
      </c>
      <c r="BW178">
        <v>31.92</v>
      </c>
      <c r="BX178">
        <v>24.15</v>
      </c>
      <c r="BY178">
        <v>27.5</v>
      </c>
      <c r="BZ178">
        <v>19.850000000000001</v>
      </c>
      <c r="CA178">
        <v>10.51</v>
      </c>
      <c r="CB178">
        <v>-6.13</v>
      </c>
      <c r="CC178">
        <v>-16.190000000000001</v>
      </c>
      <c r="CD178" t="s">
        <v>6379</v>
      </c>
      <c r="CE178" t="s">
        <v>6380</v>
      </c>
      <c r="CF178" s="8">
        <v>-0.61956521739130432</v>
      </c>
      <c r="CG178" s="9">
        <v>-0.1888</v>
      </c>
      <c r="CH178" s="8">
        <v>-0.77964323759078979</v>
      </c>
      <c r="CI178" s="8">
        <v>0.32177531719207764</v>
      </c>
      <c r="CJ178" s="8">
        <v>0.4109589159488678</v>
      </c>
      <c r="CK178" s="8">
        <v>0.38482385873794556</v>
      </c>
      <c r="CL178" s="8">
        <v>1.6546763181686401</v>
      </c>
      <c r="CM178" s="9">
        <v>-0.75241643190383911</v>
      </c>
      <c r="CN178" s="9">
        <v>1.4934068918228149</v>
      </c>
      <c r="CO178" s="9">
        <v>0.61865651607513428</v>
      </c>
      <c r="CP178" s="9">
        <v>1.9793546199798584</v>
      </c>
      <c r="CQ178" s="9">
        <v>1.3785656690597534</v>
      </c>
      <c r="CR178">
        <v>0.53259029355361409</v>
      </c>
      <c r="CS178" t="e">
        <v>#DIV/0!</v>
      </c>
      <c r="CT178">
        <v>2.6251420454545458</v>
      </c>
      <c r="CU178" s="8">
        <v>0</v>
      </c>
      <c r="CV178" s="9">
        <v>0</v>
      </c>
      <c r="CW178">
        <v>0.06</v>
      </c>
      <c r="CX178">
        <v>48.008177965648933</v>
      </c>
      <c r="CY178">
        <v>44144622.641509429</v>
      </c>
      <c r="CZ178">
        <v>0</v>
      </c>
      <c r="DA178">
        <v>16.943707991645667</v>
      </c>
      <c r="DB178">
        <v>125079050.05474316</v>
      </c>
      <c r="DC178">
        <v>0</v>
      </c>
      <c r="DD178">
        <v>9.2104426975329492</v>
      </c>
      <c r="DE178">
        <v>230097832.38406804</v>
      </c>
      <c r="DF178">
        <v>0</v>
      </c>
      <c r="DG178">
        <v>6.1535595453523975</v>
      </c>
      <c r="DH178">
        <v>344402761.42296326</v>
      </c>
      <c r="DI178">
        <v>0</v>
      </c>
      <c r="DJ178">
        <v>3.9486525728310808</v>
      </c>
      <c r="DK178">
        <v>536715464.55668932</v>
      </c>
      <c r="DL178">
        <v>0</v>
      </c>
      <c r="DM178">
        <v>46793300</v>
      </c>
      <c r="DN178">
        <v>0</v>
      </c>
      <c r="DO178">
        <v>2119302900</v>
      </c>
      <c r="DP178">
        <v>229460920</v>
      </c>
      <c r="DQ178">
        <v>177</v>
      </c>
      <c r="DR178">
        <v>-0.61956521739130432</v>
      </c>
      <c r="DS178">
        <v>-0.1888</v>
      </c>
      <c r="DT178">
        <v>-0.44</v>
      </c>
      <c r="DU178">
        <v>-0.44</v>
      </c>
      <c r="DV178">
        <v>-0.88</v>
      </c>
      <c r="DW178">
        <v>-9.3786287831995061</v>
      </c>
      <c r="DX178">
        <v>0.28673583990396867</v>
      </c>
      <c r="DY178">
        <v>-9.0479858368506072</v>
      </c>
      <c r="DZ178">
        <v>0</v>
      </c>
      <c r="EA178">
        <v>-9.0479858368506072</v>
      </c>
      <c r="EB178">
        <v>9</v>
      </c>
      <c r="EC178">
        <v>1.4608820967119681E-2</v>
      </c>
      <c r="ED178">
        <v>0.11526984772570407</v>
      </c>
      <c r="EE178">
        <v>0</v>
      </c>
      <c r="EF178">
        <v>0</v>
      </c>
      <c r="EG178">
        <v>16.126735839903969</v>
      </c>
      <c r="EH178" t="s">
        <v>86</v>
      </c>
      <c r="EI178">
        <v>0</v>
      </c>
      <c r="EJ178">
        <v>0</v>
      </c>
      <c r="EK178">
        <v>0</v>
      </c>
      <c r="EL178">
        <v>0</v>
      </c>
      <c r="EM178">
        <v>0</v>
      </c>
      <c r="EN178">
        <v>0</v>
      </c>
      <c r="EO178">
        <v>0</v>
      </c>
      <c r="EP178">
        <v>0</v>
      </c>
    </row>
    <row r="179" spans="1:146" ht="108" x14ac:dyDescent="0.25">
      <c r="A179" s="10"/>
      <c r="B179" s="10"/>
      <c r="C179" s="7" t="str">
        <f>""&amp;CHAR(10)&amp;Basic_Fundamental_Information_Constructure(F179)&amp;CHAR(10)&amp;Basic_Fundamental_Information_Concatenate("")</f>
        <v xml:space="preserve">
市值11.7786亿, 利润412.95万; PE44.08; 平均PE-39.84, PB2.6; ROIC24.34%; ROE23.8533%; 股利率1.7065%; 毛利53.0867%; 净利38.11%; 上一年度营收增-91.24%, 利润增-93.25%; 当季营收增-47.46%, 利润增-19.09%; 过往5年营收增0%, 利润增0%
Income profile:
</v>
      </c>
      <c r="D179">
        <v>838670</v>
      </c>
      <c r="E179" t="s">
        <v>2112</v>
      </c>
      <c r="F179">
        <v>8.7899999999999991</v>
      </c>
      <c r="G179" s="5">
        <v>-4.46</v>
      </c>
      <c r="H179" t="s">
        <v>6381</v>
      </c>
      <c r="I179">
        <v>1177860000</v>
      </c>
      <c r="J179">
        <v>44.08</v>
      </c>
      <c r="K179">
        <v>2.6</v>
      </c>
      <c r="L179" t="s">
        <v>2604</v>
      </c>
      <c r="M179" t="s">
        <v>6382</v>
      </c>
      <c r="N179" t="s">
        <v>481</v>
      </c>
      <c r="O179" t="s">
        <v>6383</v>
      </c>
      <c r="P179">
        <v>19.77</v>
      </c>
      <c r="Q179" t="s">
        <v>6383</v>
      </c>
      <c r="R179">
        <v>4129494</v>
      </c>
      <c r="S179" s="5">
        <v>-0.19089999999999999</v>
      </c>
      <c r="T179" t="s">
        <v>6384</v>
      </c>
      <c r="U179">
        <v>66002900</v>
      </c>
      <c r="V179">
        <v>134000000</v>
      </c>
      <c r="W179">
        <v>1.1000000000000001</v>
      </c>
      <c r="X179">
        <v>0.03</v>
      </c>
      <c r="Y179">
        <v>29.63</v>
      </c>
      <c r="Z179" t="s">
        <v>6385</v>
      </c>
      <c r="AA179" t="s">
        <v>6386</v>
      </c>
      <c r="AB179" t="s">
        <v>6387</v>
      </c>
      <c r="AC179" t="s">
        <v>6388</v>
      </c>
      <c r="AD179" t="s">
        <v>6389</v>
      </c>
      <c r="AE179">
        <v>184936</v>
      </c>
      <c r="AF179" t="s">
        <v>6390</v>
      </c>
      <c r="AG179">
        <v>75</v>
      </c>
      <c r="AH179" t="s">
        <v>6391</v>
      </c>
      <c r="AI179" t="s">
        <v>166</v>
      </c>
      <c r="AJ179" t="s">
        <v>9</v>
      </c>
      <c r="AK179" t="s">
        <v>6392</v>
      </c>
      <c r="AL179" t="s">
        <v>6393</v>
      </c>
      <c r="AM179" t="s">
        <v>9</v>
      </c>
      <c r="AN179">
        <v>0</v>
      </c>
      <c r="AO179" t="s">
        <v>9</v>
      </c>
      <c r="AP179" t="s">
        <v>6394</v>
      </c>
      <c r="AQ179" t="s">
        <v>6395</v>
      </c>
      <c r="AR179" t="s">
        <v>9</v>
      </c>
      <c r="AS179" t="s">
        <v>6396</v>
      </c>
      <c r="AT179" t="s">
        <v>9</v>
      </c>
      <c r="AU179" t="s">
        <v>6397</v>
      </c>
      <c r="AV179" t="s">
        <v>6398</v>
      </c>
      <c r="AW179" t="s">
        <v>6399</v>
      </c>
      <c r="AX179" t="s">
        <v>438</v>
      </c>
      <c r="AY179" t="s">
        <v>459</v>
      </c>
      <c r="AZ179" t="s">
        <v>2115</v>
      </c>
      <c r="BA179" t="s">
        <v>2116</v>
      </c>
      <c r="BB179" t="s">
        <v>2117</v>
      </c>
      <c r="BC179" t="s">
        <v>2114</v>
      </c>
      <c r="BD179" t="s">
        <v>2118</v>
      </c>
      <c r="BE179" t="s">
        <v>2119</v>
      </c>
      <c r="BF179" t="s">
        <v>2120</v>
      </c>
      <c r="BG179" t="s">
        <v>2121</v>
      </c>
      <c r="BH179" t="s">
        <v>6400</v>
      </c>
      <c r="BI179" t="s">
        <v>2122</v>
      </c>
      <c r="BJ179" t="s">
        <v>438</v>
      </c>
      <c r="BK179" t="s">
        <v>6401</v>
      </c>
      <c r="BL179" t="s">
        <v>2123</v>
      </c>
      <c r="BM179" t="s">
        <v>2114</v>
      </c>
      <c r="BN179">
        <v>3.57</v>
      </c>
      <c r="BO179">
        <v>20.190000000000001</v>
      </c>
      <c r="BP179">
        <v>49.26</v>
      </c>
      <c r="BQ179">
        <v>3.97</v>
      </c>
      <c r="BR179">
        <v>21.73</v>
      </c>
      <c r="BS179">
        <v>45.86</v>
      </c>
      <c r="BT179" t="s">
        <v>1181</v>
      </c>
      <c r="BU179" t="s">
        <v>2113</v>
      </c>
      <c r="BV179">
        <v>50.72</v>
      </c>
      <c r="BW179">
        <v>54.51</v>
      </c>
      <c r="BX179">
        <v>54.03</v>
      </c>
      <c r="BY179">
        <v>37.520000000000003</v>
      </c>
      <c r="BZ179">
        <v>38.35</v>
      </c>
      <c r="CA179">
        <v>38.46</v>
      </c>
      <c r="CB179">
        <v>20.25</v>
      </c>
      <c r="CC179">
        <v>8.1199999999999992</v>
      </c>
      <c r="CD179" t="s">
        <v>6402</v>
      </c>
      <c r="CE179" t="s">
        <v>6403</v>
      </c>
      <c r="CF179" s="8">
        <v>-0.47456016650704713</v>
      </c>
      <c r="CG179" s="9">
        <v>-0.19089999999999999</v>
      </c>
      <c r="CH179" s="8">
        <v>-0.91235601902008057</v>
      </c>
      <c r="CI179" s="8">
        <v>0.12765957415103912</v>
      </c>
      <c r="CJ179" s="8">
        <v>0.42940422892570496</v>
      </c>
      <c r="CK179" s="8">
        <v>0.94203752279281616</v>
      </c>
      <c r="CL179" s="8">
        <v>0.19782240688800812</v>
      </c>
      <c r="CM179" s="9">
        <v>-0.93248945474624634</v>
      </c>
      <c r="CN179" s="9">
        <v>0.12559276819229126</v>
      </c>
      <c r="CO179" s="9">
        <v>0.49795880913734436</v>
      </c>
      <c r="CP179" s="9">
        <v>1.3084427118301392</v>
      </c>
      <c r="CQ179" s="9">
        <v>0.43670520186424255</v>
      </c>
      <c r="CR179">
        <v>-39.835296306003904</v>
      </c>
      <c r="CS179" t="e">
        <v>#DIV/0!</v>
      </c>
      <c r="CT179">
        <v>1.7064846416382253</v>
      </c>
      <c r="CU179" s="8">
        <v>0</v>
      </c>
      <c r="CV179" s="9">
        <v>0</v>
      </c>
      <c r="CW179">
        <v>0.06</v>
      </c>
      <c r="CX179">
        <v>196.26012301731447</v>
      </c>
      <c r="CY179">
        <v>3895754.7169811316</v>
      </c>
      <c r="CZ179">
        <v>0</v>
      </c>
      <c r="DA179">
        <v>69.266828188922773</v>
      </c>
      <c r="DB179">
        <v>11038202.845301826</v>
      </c>
      <c r="DC179">
        <v>0</v>
      </c>
      <c r="DD179">
        <v>37.652806114723965</v>
      </c>
      <c r="DE179">
        <v>20306090.804239258</v>
      </c>
      <c r="DF179">
        <v>0</v>
      </c>
      <c r="DG179">
        <v>25.156096409852712</v>
      </c>
      <c r="DH179">
        <v>30393479.478816986</v>
      </c>
      <c r="DI179">
        <v>0</v>
      </c>
      <c r="DJ179">
        <v>16.142313091968806</v>
      </c>
      <c r="DK179">
        <v>47365039.672065206</v>
      </c>
      <c r="DL179">
        <v>0</v>
      </c>
      <c r="DM179">
        <v>4129500</v>
      </c>
      <c r="DN179">
        <v>0</v>
      </c>
      <c r="DO179">
        <v>764581300</v>
      </c>
      <c r="DP179">
        <v>424944990</v>
      </c>
      <c r="DQ179">
        <v>178</v>
      </c>
      <c r="DR179">
        <v>-0.47456016650704713</v>
      </c>
      <c r="DS179">
        <v>-0.19089999999999999</v>
      </c>
      <c r="DT179">
        <v>-0.44</v>
      </c>
      <c r="DU179">
        <v>-0.44</v>
      </c>
      <c r="DV179">
        <v>-0.88</v>
      </c>
      <c r="DW179">
        <v>5.4009876543209874</v>
      </c>
      <c r="DX179">
        <v>0.92752898900833147</v>
      </c>
      <c r="DY179">
        <v>5.2115326118887744</v>
      </c>
      <c r="DZ179">
        <v>0</v>
      </c>
      <c r="EA179">
        <v>5.2115326118887744</v>
      </c>
      <c r="EB179">
        <v>5</v>
      </c>
      <c r="EC179">
        <v>0.26074104477611942</v>
      </c>
      <c r="ED179">
        <v>0.4942686567164179</v>
      </c>
      <c r="EE179">
        <v>0</v>
      </c>
      <c r="EF179">
        <v>0</v>
      </c>
      <c r="EG179">
        <v>40.527528989008331</v>
      </c>
      <c r="EH179" t="s">
        <v>86</v>
      </c>
      <c r="EI179">
        <v>1</v>
      </c>
      <c r="EJ179">
        <v>0</v>
      </c>
      <c r="EK179">
        <v>0</v>
      </c>
      <c r="EL179">
        <v>0</v>
      </c>
      <c r="EM179">
        <v>0</v>
      </c>
      <c r="EN179">
        <v>0</v>
      </c>
      <c r="EO179">
        <v>0</v>
      </c>
      <c r="EP179">
        <v>0</v>
      </c>
    </row>
    <row r="180" spans="1:146" ht="96" x14ac:dyDescent="0.25">
      <c r="A180" s="10"/>
      <c r="B180" s="10"/>
      <c r="C180" s="7" t="str">
        <f>""&amp;CHAR(10)&amp;Basic_Fundamental_Information_Constructure(F180)&amp;CHAR(10)&amp;Basic_Fundamental_Information_Concatenate("")</f>
        <v xml:space="preserve">
市值11.8384亿, 利润1.28亿; PE4.13; 平均PE-1.1, PB1.46; ROIC9.98%; ROE13.27%; 股利率4.1391%; 毛利15.7833%; 净利13.64%; 上一年度营收增-75.49%, 利润增95.8%; 当季营收增-43.84%, 利润增1243%; 过往5年营收增0%, 利润增0%
Income profile:
</v>
      </c>
      <c r="D180">
        <v>838701</v>
      </c>
      <c r="E180" t="s">
        <v>2124</v>
      </c>
      <c r="F180">
        <v>12.08</v>
      </c>
      <c r="G180" s="5">
        <v>2.46</v>
      </c>
      <c r="H180" t="s">
        <v>6404</v>
      </c>
      <c r="I180">
        <v>1183840000</v>
      </c>
      <c r="J180">
        <v>4.13</v>
      </c>
      <c r="K180">
        <v>1.46</v>
      </c>
      <c r="L180" t="s">
        <v>2604</v>
      </c>
      <c r="M180" t="s">
        <v>383</v>
      </c>
      <c r="N180" t="s">
        <v>522</v>
      </c>
      <c r="O180" t="s">
        <v>108</v>
      </c>
      <c r="P180">
        <v>28.34</v>
      </c>
      <c r="Q180" t="s">
        <v>108</v>
      </c>
      <c r="R180">
        <v>128406468</v>
      </c>
      <c r="S180" s="6">
        <v>12.43</v>
      </c>
      <c r="T180" t="s">
        <v>242</v>
      </c>
      <c r="U180">
        <v>24501000</v>
      </c>
      <c r="V180">
        <v>98000000</v>
      </c>
      <c r="W180">
        <v>1.37</v>
      </c>
      <c r="X180">
        <v>0.15</v>
      </c>
      <c r="Y180">
        <v>78.34</v>
      </c>
      <c r="Z180" t="s">
        <v>34</v>
      </c>
      <c r="AA180" t="s">
        <v>438</v>
      </c>
      <c r="AB180" t="s">
        <v>6405</v>
      </c>
      <c r="AC180" t="s">
        <v>6406</v>
      </c>
      <c r="AD180" t="s">
        <v>6407</v>
      </c>
      <c r="AE180">
        <v>2170141</v>
      </c>
      <c r="AF180" t="s">
        <v>6408</v>
      </c>
      <c r="AG180" t="s">
        <v>6409</v>
      </c>
      <c r="AH180" t="s">
        <v>6410</v>
      </c>
      <c r="AI180" t="s">
        <v>337</v>
      </c>
      <c r="AJ180" t="s">
        <v>9</v>
      </c>
      <c r="AK180" t="s">
        <v>6411</v>
      </c>
      <c r="AL180" t="s">
        <v>6412</v>
      </c>
      <c r="AM180" t="s">
        <v>9</v>
      </c>
      <c r="AN180" t="s">
        <v>6413</v>
      </c>
      <c r="AO180" t="s">
        <v>9</v>
      </c>
      <c r="AP180" t="s">
        <v>6414</v>
      </c>
      <c r="AQ180" t="s">
        <v>39</v>
      </c>
      <c r="AR180" t="s">
        <v>9</v>
      </c>
      <c r="AS180" t="s">
        <v>174</v>
      </c>
      <c r="AT180" t="s">
        <v>9</v>
      </c>
      <c r="AU180" t="s">
        <v>6415</v>
      </c>
      <c r="AV180" t="s">
        <v>2882</v>
      </c>
      <c r="AW180" t="s">
        <v>9</v>
      </c>
      <c r="AX180" t="s">
        <v>2125</v>
      </c>
      <c r="AY180" t="s">
        <v>442</v>
      </c>
      <c r="AZ180" t="s">
        <v>321</v>
      </c>
      <c r="BA180" t="s">
        <v>140</v>
      </c>
      <c r="BB180" t="s">
        <v>244</v>
      </c>
      <c r="BC180" t="s">
        <v>2126</v>
      </c>
      <c r="BD180" t="s">
        <v>2127</v>
      </c>
      <c r="BE180" t="s">
        <v>2128</v>
      </c>
      <c r="BF180" t="s">
        <v>2129</v>
      </c>
      <c r="BG180" t="s">
        <v>2130</v>
      </c>
      <c r="BH180" t="s">
        <v>5684</v>
      </c>
      <c r="BI180" t="s">
        <v>307</v>
      </c>
      <c r="BJ180" t="s">
        <v>2125</v>
      </c>
      <c r="BK180" t="s">
        <v>70</v>
      </c>
      <c r="BL180" t="s">
        <v>2132</v>
      </c>
      <c r="BM180" t="s">
        <v>2126</v>
      </c>
      <c r="BN180">
        <v>2.88</v>
      </c>
      <c r="BO180">
        <v>13.79</v>
      </c>
      <c r="BP180">
        <v>13.27</v>
      </c>
      <c r="BQ180">
        <v>6.19</v>
      </c>
      <c r="BR180">
        <v>20.350000000000001</v>
      </c>
      <c r="BS180" t="s">
        <v>9</v>
      </c>
      <c r="BT180" t="s">
        <v>1116</v>
      </c>
      <c r="BU180" t="s">
        <v>1032</v>
      </c>
      <c r="BV180">
        <v>12.81</v>
      </c>
      <c r="BW180">
        <v>18.55</v>
      </c>
      <c r="BX180">
        <v>15.99</v>
      </c>
      <c r="BY180">
        <v>26.23</v>
      </c>
      <c r="BZ180">
        <v>9.77</v>
      </c>
      <c r="CA180">
        <v>4.92</v>
      </c>
      <c r="CB180">
        <v>0.83</v>
      </c>
      <c r="CC180">
        <v>-16.05</v>
      </c>
      <c r="CD180" t="s">
        <v>6416</v>
      </c>
      <c r="CE180" t="s">
        <v>6417</v>
      </c>
      <c r="CF180" s="8">
        <v>-0.43835616438356162</v>
      </c>
      <c r="CG180" s="9">
        <v>12.43</v>
      </c>
      <c r="CH180" s="8">
        <v>-0.75485801696777344</v>
      </c>
      <c r="CI180" s="8">
        <v>-0.12777052819728851</v>
      </c>
      <c r="CJ180" s="8">
        <v>0.2291666716337204</v>
      </c>
      <c r="CK180" s="8">
        <v>0.34773218631744385</v>
      </c>
      <c r="CL180" s="8">
        <v>0.30790960788726807</v>
      </c>
      <c r="CM180" s="9">
        <v>0.95803683996200562</v>
      </c>
      <c r="CN180" s="9">
        <v>0.73036414384841919</v>
      </c>
      <c r="CO180" s="9">
        <v>-1.9460717216134071E-2</v>
      </c>
      <c r="CP180" s="9">
        <v>0.61011397838592529</v>
      </c>
      <c r="CQ180" s="9">
        <v>4.0627946853637695</v>
      </c>
      <c r="CR180">
        <v>-1.0976726935558647</v>
      </c>
      <c r="CS180" t="e">
        <v>#DIV/0!</v>
      </c>
      <c r="CT180">
        <v>4.1390728476821188</v>
      </c>
      <c r="CU180" s="8">
        <v>0</v>
      </c>
      <c r="CV180" s="9">
        <v>0</v>
      </c>
      <c r="CW180">
        <v>0.06</v>
      </c>
      <c r="CX180">
        <v>6.7230500000000006</v>
      </c>
      <c r="CY180">
        <v>120754716.98113206</v>
      </c>
      <c r="CZ180">
        <v>0</v>
      </c>
      <c r="DA180">
        <v>2.3727914876240739</v>
      </c>
      <c r="DB180">
        <v>342145529.53108937</v>
      </c>
      <c r="DC180">
        <v>0</v>
      </c>
      <c r="DD180">
        <v>1.2898274711020243</v>
      </c>
      <c r="DE180">
        <v>629417513.72869003</v>
      </c>
      <c r="DF180">
        <v>0</v>
      </c>
      <c r="DG180">
        <v>0.86174252501278459</v>
      </c>
      <c r="DH180">
        <v>942091142.58108103</v>
      </c>
      <c r="DI180">
        <v>0</v>
      </c>
      <c r="DJ180">
        <v>0.55296805262568061</v>
      </c>
      <c r="DK180">
        <v>1468149915.976352</v>
      </c>
      <c r="DL180">
        <v>0</v>
      </c>
      <c r="DM180">
        <v>128000000</v>
      </c>
      <c r="DN180">
        <v>0</v>
      </c>
      <c r="DO180">
        <v>811840000</v>
      </c>
      <c r="DP180">
        <v>341915740</v>
      </c>
      <c r="DQ180">
        <v>179</v>
      </c>
      <c r="DR180">
        <v>-0.43835616438356162</v>
      </c>
      <c r="DS180">
        <v>12.43</v>
      </c>
      <c r="DT180">
        <v>-0.44</v>
      </c>
      <c r="DU180">
        <v>0.6</v>
      </c>
      <c r="DV180">
        <v>0.15999999999999998</v>
      </c>
      <c r="DW180">
        <v>-3.0005654761904763</v>
      </c>
      <c r="DX180">
        <v>0.65644274243465706</v>
      </c>
      <c r="DY180">
        <v>-3.0000658455984004</v>
      </c>
      <c r="DZ180">
        <v>0</v>
      </c>
      <c r="EA180">
        <v>-3.0000658455984004</v>
      </c>
      <c r="EB180">
        <v>3</v>
      </c>
      <c r="EC180">
        <v>5.5476530612244897E-2</v>
      </c>
      <c r="ED180">
        <v>0.47642755102040818</v>
      </c>
      <c r="EE180">
        <v>0</v>
      </c>
      <c r="EF180">
        <v>0</v>
      </c>
      <c r="EG180">
        <v>54.116442742434657</v>
      </c>
      <c r="EH180" t="s">
        <v>86</v>
      </c>
      <c r="EI180">
        <v>0</v>
      </c>
      <c r="EJ180">
        <v>0</v>
      </c>
      <c r="EK180">
        <v>0</v>
      </c>
      <c r="EL180">
        <v>0</v>
      </c>
      <c r="EM180">
        <v>0</v>
      </c>
      <c r="EN180">
        <v>0</v>
      </c>
      <c r="EO180">
        <v>0</v>
      </c>
      <c r="EP180">
        <v>0</v>
      </c>
    </row>
    <row r="181" spans="1:146" ht="96" x14ac:dyDescent="0.25">
      <c r="A181" s="10"/>
      <c r="B181" s="10"/>
      <c r="C181" s="7" t="str">
        <f>""&amp;CHAR(10)&amp;Basic_Fundamental_Information_Constructure(F181)&amp;CHAR(10)&amp;Basic_Fundamental_Information_Concatenate("")</f>
        <v xml:space="preserve">
市值4.2196亿, 利润-334.21万; PE122; 平均PE804.53, PB1.51; ROIC16.3533%; ROE26.81%; 股利率1.6234%; 毛利43.3667%; 净利15.7133%; 上一年度营收增-95.02%, 利润增-108.15%; 当季营收增-90.05%, 利润增-143.5%; 过往5年营收增0%, 利润增0%
Income profile:
</v>
      </c>
      <c r="D181">
        <v>838810</v>
      </c>
      <c r="E181" t="s">
        <v>2133</v>
      </c>
      <c r="F181">
        <v>6.16</v>
      </c>
      <c r="G181" s="5">
        <v>-2.84</v>
      </c>
      <c r="H181" t="s">
        <v>6418</v>
      </c>
      <c r="I181">
        <v>421960000</v>
      </c>
      <c r="J181">
        <v>122</v>
      </c>
      <c r="K181">
        <v>1.51</v>
      </c>
      <c r="L181" t="s">
        <v>2604</v>
      </c>
      <c r="M181" t="s">
        <v>495</v>
      </c>
      <c r="N181" t="s">
        <v>394</v>
      </c>
      <c r="O181" t="s">
        <v>6419</v>
      </c>
      <c r="P181">
        <v>-78.94</v>
      </c>
      <c r="Q181" t="s">
        <v>6419</v>
      </c>
      <c r="R181">
        <v>-3342147</v>
      </c>
      <c r="S181" s="5">
        <v>-1.4350000000000001</v>
      </c>
      <c r="T181" t="s">
        <v>6420</v>
      </c>
      <c r="U181">
        <v>25907039</v>
      </c>
      <c r="V181">
        <v>68500000</v>
      </c>
      <c r="W181">
        <v>1.7</v>
      </c>
      <c r="X181">
        <v>0.02</v>
      </c>
      <c r="Y181">
        <v>-32.58</v>
      </c>
      <c r="Z181" t="s">
        <v>6421</v>
      </c>
      <c r="AA181" t="s">
        <v>6422</v>
      </c>
      <c r="AB181" t="s">
        <v>6423</v>
      </c>
      <c r="AC181" t="s">
        <v>6424</v>
      </c>
      <c r="AD181" t="s">
        <v>6425</v>
      </c>
      <c r="AE181">
        <v>44148</v>
      </c>
      <c r="AF181" t="s">
        <v>6426</v>
      </c>
      <c r="AG181" t="s">
        <v>6427</v>
      </c>
      <c r="AH181" t="s">
        <v>6428</v>
      </c>
      <c r="AI181" t="s">
        <v>6429</v>
      </c>
      <c r="AJ181" t="s">
        <v>9</v>
      </c>
      <c r="AK181" t="s">
        <v>6430</v>
      </c>
      <c r="AL181" t="s">
        <v>6431</v>
      </c>
      <c r="AM181" t="s">
        <v>9</v>
      </c>
      <c r="AN181" t="s">
        <v>78</v>
      </c>
      <c r="AO181" t="s">
        <v>6432</v>
      </c>
      <c r="AP181" t="s">
        <v>6433</v>
      </c>
      <c r="AQ181" t="s">
        <v>6434</v>
      </c>
      <c r="AR181" t="s">
        <v>9</v>
      </c>
      <c r="AS181" t="s">
        <v>72</v>
      </c>
      <c r="AT181" t="s">
        <v>6435</v>
      </c>
      <c r="AU181" t="s">
        <v>6436</v>
      </c>
      <c r="AV181" t="s">
        <v>6437</v>
      </c>
      <c r="AW181" t="s">
        <v>6438</v>
      </c>
      <c r="AX181" t="s">
        <v>470</v>
      </c>
      <c r="AY181" t="s">
        <v>109</v>
      </c>
      <c r="AZ181" t="s">
        <v>37</v>
      </c>
      <c r="BA181" t="s">
        <v>2136</v>
      </c>
      <c r="BB181" t="s">
        <v>2137</v>
      </c>
      <c r="BC181" t="s">
        <v>2135</v>
      </c>
      <c r="BD181" t="s">
        <v>2138</v>
      </c>
      <c r="BE181" t="s">
        <v>2139</v>
      </c>
      <c r="BF181" t="s">
        <v>2140</v>
      </c>
      <c r="BG181" t="s">
        <v>2141</v>
      </c>
      <c r="BH181" t="s">
        <v>480</v>
      </c>
      <c r="BI181" t="s">
        <v>27</v>
      </c>
      <c r="BJ181" t="s">
        <v>470</v>
      </c>
      <c r="BK181" t="s">
        <v>6439</v>
      </c>
      <c r="BL181" t="s">
        <v>2142</v>
      </c>
      <c r="BM181" t="s">
        <v>2135</v>
      </c>
      <c r="BN181">
        <v>5.64</v>
      </c>
      <c r="BO181">
        <v>18.04</v>
      </c>
      <c r="BP181">
        <v>25.38</v>
      </c>
      <c r="BQ181">
        <v>6.56</v>
      </c>
      <c r="BR181">
        <v>34.869999999999997</v>
      </c>
      <c r="BS181">
        <v>39</v>
      </c>
      <c r="BT181" t="s">
        <v>886</v>
      </c>
      <c r="BU181" t="s">
        <v>2134</v>
      </c>
      <c r="BV181">
        <v>32.25</v>
      </c>
      <c r="BW181">
        <v>47.13</v>
      </c>
      <c r="BX181">
        <v>50.72</v>
      </c>
      <c r="BY181">
        <v>8.58</v>
      </c>
      <c r="BZ181">
        <v>18.98</v>
      </c>
      <c r="CA181">
        <v>19.579999999999998</v>
      </c>
      <c r="CB181">
        <v>-2.99</v>
      </c>
      <c r="CC181">
        <v>-6.53</v>
      </c>
      <c r="CD181" t="s">
        <v>6440</v>
      </c>
      <c r="CE181" t="s">
        <v>6441</v>
      </c>
      <c r="CF181" s="8">
        <v>-0.9004833333333333</v>
      </c>
      <c r="CG181" s="9">
        <v>-1.4350000000000001</v>
      </c>
      <c r="CH181" s="8">
        <v>-0.95024162530899048</v>
      </c>
      <c r="CI181" s="8">
        <v>0.20670391619205475</v>
      </c>
      <c r="CJ181" s="8">
        <v>0.73786407709121704</v>
      </c>
      <c r="CK181" s="8">
        <v>0.36606398224830627</v>
      </c>
      <c r="CL181" s="8">
        <v>-6.8111434578895569E-2</v>
      </c>
      <c r="CM181" s="9">
        <v>-1.0814883708953857</v>
      </c>
      <c r="CN181" s="9">
        <v>0.17325720191001892</v>
      </c>
      <c r="CO181" s="9">
        <v>11.709216117858887</v>
      </c>
      <c r="CP181" s="9">
        <v>0.61566025018692017</v>
      </c>
      <c r="CQ181" s="9">
        <v>0.25768321752548218</v>
      </c>
      <c r="CR181">
        <v>804.52508818202034</v>
      </c>
      <c r="CS181" t="e">
        <v>#DIV/0!</v>
      </c>
      <c r="CT181">
        <v>1.6233766233766234</v>
      </c>
      <c r="CU181" s="8">
        <v>0</v>
      </c>
      <c r="CV181" s="9">
        <v>0</v>
      </c>
      <c r="CW181">
        <v>0.06</v>
      </c>
      <c r="CX181" t="e">
        <v>#VALUE!</v>
      </c>
      <c r="CY181" t="s">
        <v>85</v>
      </c>
      <c r="CZ181">
        <v>0</v>
      </c>
      <c r="DA181" t="e">
        <v>#VALUE!</v>
      </c>
      <c r="DB181" t="s">
        <v>84</v>
      </c>
      <c r="DC181">
        <v>0</v>
      </c>
      <c r="DD181" t="e">
        <v>#VALUE!</v>
      </c>
      <c r="DE181" t="s">
        <v>84</v>
      </c>
      <c r="DF181">
        <v>0</v>
      </c>
      <c r="DG181" t="e">
        <v>#VALUE!</v>
      </c>
      <c r="DH181" t="s">
        <v>84</v>
      </c>
      <c r="DI181">
        <v>0</v>
      </c>
      <c r="DJ181" t="e">
        <v>#VALUE!</v>
      </c>
      <c r="DK181" t="s">
        <v>84</v>
      </c>
      <c r="DL181">
        <v>0</v>
      </c>
      <c r="DM181">
        <v>-3342100</v>
      </c>
      <c r="DN181">
        <v>0</v>
      </c>
      <c r="DO181">
        <v>316960000</v>
      </c>
      <c r="DP181">
        <v>180555080</v>
      </c>
      <c r="DQ181">
        <v>180</v>
      </c>
      <c r="DR181">
        <v>-0.9004833333333333</v>
      </c>
      <c r="DS181">
        <v>-1.4350000000000001</v>
      </c>
      <c r="DT181">
        <v>-0.44</v>
      </c>
      <c r="DU181" t="e">
        <v>#VALUE!</v>
      </c>
      <c r="DV181" t="e">
        <v>#VALUE!</v>
      </c>
      <c r="DW181">
        <v>-8.4578866768759564</v>
      </c>
      <c r="DX181">
        <v>0.6172185316193608</v>
      </c>
      <c r="DY181">
        <v>-8.0628305374489866</v>
      </c>
      <c r="DZ181">
        <v>0</v>
      </c>
      <c r="EA181">
        <v>-8.0628305374489866</v>
      </c>
      <c r="EB181">
        <v>8</v>
      </c>
      <c r="EC181">
        <v>2.7862773722627739E-2</v>
      </c>
      <c r="ED181">
        <v>0.20305401459854014</v>
      </c>
      <c r="EE181">
        <v>0</v>
      </c>
      <c r="EF181">
        <v>0</v>
      </c>
      <c r="EG181">
        <v>48.137218531619361</v>
      </c>
      <c r="EH181" t="s">
        <v>86</v>
      </c>
      <c r="EI181">
        <v>0</v>
      </c>
      <c r="EJ181">
        <v>0</v>
      </c>
      <c r="EK181">
        <v>0</v>
      </c>
      <c r="EL181">
        <v>0</v>
      </c>
      <c r="EM181">
        <v>0</v>
      </c>
      <c r="EN181">
        <v>0</v>
      </c>
      <c r="EO181">
        <v>0</v>
      </c>
      <c r="EP181">
        <v>0</v>
      </c>
    </row>
    <row r="182" spans="1:146" ht="96" x14ac:dyDescent="0.25">
      <c r="A182" s="10"/>
      <c r="B182" s="10"/>
      <c r="C182" s="7" t="str">
        <f>""&amp;CHAR(10)&amp;Basic_Fundamental_Information_Constructure(F182)&amp;CHAR(10)&amp;Basic_Fundamental_Information_Concatenate("")</f>
        <v xml:space="preserve">
市值8.3442033亿, 利润1362.30万; PE14.27; 平均PE.66, PB1.65; ROIC8.32%; ROE10.07%; 股利率3.6364%; 毛利24.6233%; 净利8.9467%; 上一年度营收增-73.27%, 利润增-64.56%; 当季营收增-48.08%, 利润增27.59%; 过往5年营收增0%, 利润增0%
Income profile:
</v>
      </c>
      <c r="D182">
        <v>838837</v>
      </c>
      <c r="E182" t="s">
        <v>2143</v>
      </c>
      <c r="F182">
        <v>5.5</v>
      </c>
      <c r="G182" s="5">
        <v>-2.31</v>
      </c>
      <c r="H182" t="s">
        <v>6442</v>
      </c>
      <c r="I182">
        <v>834420330</v>
      </c>
      <c r="J182">
        <v>14.27</v>
      </c>
      <c r="K182">
        <v>1.65</v>
      </c>
      <c r="L182" t="s">
        <v>2604</v>
      </c>
      <c r="M182" t="s">
        <v>394</v>
      </c>
      <c r="N182" t="s">
        <v>538</v>
      </c>
      <c r="O182" t="s">
        <v>167</v>
      </c>
      <c r="P182">
        <v>2.17</v>
      </c>
      <c r="Q182" t="s">
        <v>167</v>
      </c>
      <c r="R182">
        <v>13623034</v>
      </c>
      <c r="S182" s="5">
        <v>0.27589999999999998</v>
      </c>
      <c r="T182" t="s">
        <v>6443</v>
      </c>
      <c r="U182">
        <v>45732787</v>
      </c>
      <c r="V182">
        <v>151712790</v>
      </c>
      <c r="W182">
        <v>1.72</v>
      </c>
      <c r="X182">
        <v>0.16</v>
      </c>
      <c r="Y182">
        <v>10.15</v>
      </c>
      <c r="Z182" t="s">
        <v>90</v>
      </c>
      <c r="AA182" t="s">
        <v>18</v>
      </c>
      <c r="AB182" t="s">
        <v>6444</v>
      </c>
      <c r="AC182" t="s">
        <v>6445</v>
      </c>
      <c r="AD182" t="s">
        <v>6446</v>
      </c>
      <c r="AE182">
        <v>1796968</v>
      </c>
      <c r="AF182" t="s">
        <v>17</v>
      </c>
      <c r="AG182">
        <v>9598.7000000000007</v>
      </c>
      <c r="AH182" t="s">
        <v>6447</v>
      </c>
      <c r="AI182" t="s">
        <v>371</v>
      </c>
      <c r="AJ182" t="s">
        <v>9</v>
      </c>
      <c r="AK182" t="s">
        <v>6448</v>
      </c>
      <c r="AL182" t="s">
        <v>6449</v>
      </c>
      <c r="AM182" t="s">
        <v>9</v>
      </c>
      <c r="AN182" t="s">
        <v>6450</v>
      </c>
      <c r="AO182" t="s">
        <v>34</v>
      </c>
      <c r="AP182" t="s">
        <v>6451</v>
      </c>
      <c r="AQ182" t="s">
        <v>6452</v>
      </c>
      <c r="AR182" t="s">
        <v>9</v>
      </c>
      <c r="AS182" t="s">
        <v>98</v>
      </c>
      <c r="AT182" t="s">
        <v>9</v>
      </c>
      <c r="AU182" t="s">
        <v>6453</v>
      </c>
      <c r="AV182" t="s">
        <v>6454</v>
      </c>
      <c r="AW182" t="s">
        <v>6455</v>
      </c>
      <c r="AX182" t="s">
        <v>530</v>
      </c>
      <c r="AY182" t="s">
        <v>455</v>
      </c>
      <c r="AZ182" t="s">
        <v>103</v>
      </c>
      <c r="BA182" t="s">
        <v>305</v>
      </c>
      <c r="BB182" t="s">
        <v>303</v>
      </c>
      <c r="BC182" t="s">
        <v>2144</v>
      </c>
      <c r="BD182" t="s">
        <v>2145</v>
      </c>
      <c r="BE182" t="s">
        <v>2146</v>
      </c>
      <c r="BF182" t="s">
        <v>2147</v>
      </c>
      <c r="BG182" t="s">
        <v>2148</v>
      </c>
      <c r="BH182" t="s">
        <v>326</v>
      </c>
      <c r="BI182" t="s">
        <v>23</v>
      </c>
      <c r="BJ182" t="s">
        <v>530</v>
      </c>
      <c r="BK182" t="s">
        <v>6456</v>
      </c>
      <c r="BL182" t="s">
        <v>2149</v>
      </c>
      <c r="BM182" t="s">
        <v>2144</v>
      </c>
      <c r="BN182">
        <v>7.14</v>
      </c>
      <c r="BO182">
        <v>7.92</v>
      </c>
      <c r="BP182">
        <v>9.9</v>
      </c>
      <c r="BQ182">
        <v>8.99</v>
      </c>
      <c r="BR182">
        <v>11.15</v>
      </c>
      <c r="BS182" t="s">
        <v>9</v>
      </c>
      <c r="BT182" t="s">
        <v>851</v>
      </c>
      <c r="BU182" t="s">
        <v>822</v>
      </c>
      <c r="BV182">
        <v>27.94</v>
      </c>
      <c r="BW182">
        <v>23.77</v>
      </c>
      <c r="BX182">
        <v>22.16</v>
      </c>
      <c r="BY182">
        <v>11.01</v>
      </c>
      <c r="BZ182">
        <v>7.52</v>
      </c>
      <c r="CA182">
        <v>8.31</v>
      </c>
      <c r="CB182">
        <v>1.1000000000000001</v>
      </c>
      <c r="CC182">
        <v>-0.18</v>
      </c>
      <c r="CD182" t="s">
        <v>6457</v>
      </c>
      <c r="CE182" t="s">
        <v>6458</v>
      </c>
      <c r="CF182" s="8">
        <v>-0.48076923076923078</v>
      </c>
      <c r="CG182" s="9">
        <v>0.27589999999999998</v>
      </c>
      <c r="CH182" s="8">
        <v>-0.7326732873916626</v>
      </c>
      <c r="CI182" s="8">
        <v>-1.750972680747509E-2</v>
      </c>
      <c r="CJ182" s="8">
        <v>0.22966507077217102</v>
      </c>
      <c r="CK182" s="8">
        <v>0.13279132544994354</v>
      </c>
      <c r="CL182" s="8">
        <v>6.3400574028491974E-2</v>
      </c>
      <c r="CM182" s="9">
        <v>-0.64563030004501343</v>
      </c>
      <c r="CN182" s="9">
        <v>-0.10049627721309662</v>
      </c>
      <c r="CO182" s="9">
        <v>1.1201248168945313</v>
      </c>
      <c r="CP182" s="9">
        <v>0.44964617490768433</v>
      </c>
      <c r="CQ182" s="9">
        <v>-0.49041897058486938</v>
      </c>
      <c r="CR182">
        <v>0.65671164222050338</v>
      </c>
      <c r="CS182" t="e">
        <v>#DIV/0!</v>
      </c>
      <c r="CT182">
        <v>3.6363636363636362</v>
      </c>
      <c r="CU182" s="8">
        <v>0</v>
      </c>
      <c r="CV182" s="9">
        <v>0</v>
      </c>
      <c r="CW182">
        <v>0.06</v>
      </c>
      <c r="CX182">
        <v>46.485028980400799</v>
      </c>
      <c r="CY182">
        <v>12851886.792452829</v>
      </c>
      <c r="CZ182">
        <v>0</v>
      </c>
      <c r="DA182">
        <v>16.406137254170858</v>
      </c>
      <c r="DB182">
        <v>36414441.787515864</v>
      </c>
      <c r="DC182">
        <v>0</v>
      </c>
      <c r="DD182">
        <v>8.9182242247037689</v>
      </c>
      <c r="DE182">
        <v>66988709.293171436</v>
      </c>
      <c r="DF182">
        <v>0</v>
      </c>
      <c r="DG182">
        <v>5.9583263918702141</v>
      </c>
      <c r="DH182">
        <v>100266465.9014224</v>
      </c>
      <c r="DI182">
        <v>0</v>
      </c>
      <c r="DJ182">
        <v>3.8233742053890056</v>
      </c>
      <c r="DK182">
        <v>156254736.76051441</v>
      </c>
      <c r="DL182">
        <v>0</v>
      </c>
      <c r="DM182">
        <v>13623000</v>
      </c>
      <c r="DN182">
        <v>0</v>
      </c>
      <c r="DO182">
        <v>597420330</v>
      </c>
      <c r="DP182">
        <v>366874530</v>
      </c>
      <c r="DQ182">
        <v>181</v>
      </c>
      <c r="DR182">
        <v>-0.48076923076923078</v>
      </c>
      <c r="DS182">
        <v>0.27589999999999998</v>
      </c>
      <c r="DT182">
        <v>-0.44</v>
      </c>
      <c r="DU182">
        <v>-0.22</v>
      </c>
      <c r="DV182">
        <v>-0.66</v>
      </c>
      <c r="DW182">
        <v>-1.8E-3</v>
      </c>
      <c r="DX182">
        <v>0.35369665025192304</v>
      </c>
      <c r="DY182">
        <v>-3.1265397045345911E-4</v>
      </c>
      <c r="DZ182">
        <v>0</v>
      </c>
      <c r="EA182">
        <v>-3.1265397045345911E-4</v>
      </c>
      <c r="EB182">
        <v>0</v>
      </c>
      <c r="EC182">
        <v>2.6109202790351428E-2</v>
      </c>
      <c r="ED182">
        <v>0.15031494707862136</v>
      </c>
      <c r="EE182">
        <v>0</v>
      </c>
      <c r="EF182">
        <v>0</v>
      </c>
      <c r="EG182">
        <v>18.173696650251923</v>
      </c>
      <c r="EH182" t="s">
        <v>86</v>
      </c>
      <c r="EI182">
        <v>0</v>
      </c>
      <c r="EJ182">
        <v>0</v>
      </c>
      <c r="EK182">
        <v>0</v>
      </c>
      <c r="EL182">
        <v>0</v>
      </c>
      <c r="EM182">
        <v>0</v>
      </c>
      <c r="EN182">
        <v>0</v>
      </c>
      <c r="EO182">
        <v>0</v>
      </c>
      <c r="EP182">
        <v>0</v>
      </c>
    </row>
    <row r="183" spans="1:146" ht="96" x14ac:dyDescent="0.25">
      <c r="A183" s="10"/>
      <c r="B183" s="10"/>
      <c r="C183" s="7" t="str">
        <f>""&amp;CHAR(10)&amp;Basic_Fundamental_Information_Constructure(F183)&amp;CHAR(10)&amp;Basic_Fundamental_Information_Concatenate("")</f>
        <v xml:space="preserve">
市值7.8742338亿, 利润698.43万; PE28.49; 平均PE.37, PB2.75; ROIC9.2033%; ROE9.91%; 股利率.6831%; 毛利25.53%; 净利6.0967%; 上一年度营收增-78.62%, 利润增-53.18%; 当季营收增-48.86%, 利润增50.78%; 过往5年营收增0%, 利润增0%
Income profile:
</v>
      </c>
      <c r="D183">
        <v>838924</v>
      </c>
      <c r="E183" t="s">
        <v>2150</v>
      </c>
      <c r="F183">
        <v>7.32</v>
      </c>
      <c r="G183" s="5">
        <v>-5.79</v>
      </c>
      <c r="H183" t="s">
        <v>6459</v>
      </c>
      <c r="I183">
        <v>787423380</v>
      </c>
      <c r="J183">
        <v>28.49</v>
      </c>
      <c r="K183">
        <v>2.75</v>
      </c>
      <c r="L183" t="s">
        <v>2604</v>
      </c>
      <c r="M183" t="s">
        <v>593</v>
      </c>
      <c r="N183" t="s">
        <v>156</v>
      </c>
      <c r="O183" t="s">
        <v>6460</v>
      </c>
      <c r="P183">
        <v>32.93</v>
      </c>
      <c r="Q183" t="s">
        <v>6460</v>
      </c>
      <c r="R183">
        <v>6984283</v>
      </c>
      <c r="S183" s="5">
        <v>0.50780000000000003</v>
      </c>
      <c r="T183" t="s">
        <v>6461</v>
      </c>
      <c r="U183">
        <v>48912111</v>
      </c>
      <c r="V183">
        <v>83000000</v>
      </c>
      <c r="W183">
        <v>2.33</v>
      </c>
      <c r="X183">
        <v>0.11</v>
      </c>
      <c r="Y183">
        <v>9.5500000000000007</v>
      </c>
      <c r="Z183" t="s">
        <v>6462</v>
      </c>
      <c r="AA183" t="s">
        <v>6463</v>
      </c>
      <c r="AB183" t="s">
        <v>6464</v>
      </c>
      <c r="AC183" t="s">
        <v>6465</v>
      </c>
      <c r="AD183" t="s">
        <v>6466</v>
      </c>
      <c r="AE183">
        <v>998184</v>
      </c>
      <c r="AF183" t="s">
        <v>6467</v>
      </c>
      <c r="AG183">
        <v>0.92</v>
      </c>
      <c r="AH183" t="s">
        <v>6468</v>
      </c>
      <c r="AI183" t="s">
        <v>6469</v>
      </c>
      <c r="AJ183" t="s">
        <v>9</v>
      </c>
      <c r="AK183" t="s">
        <v>6470</v>
      </c>
      <c r="AL183" t="s">
        <v>6471</v>
      </c>
      <c r="AM183" t="s">
        <v>9</v>
      </c>
      <c r="AN183" t="s">
        <v>6472</v>
      </c>
      <c r="AO183" t="s">
        <v>6473</v>
      </c>
      <c r="AP183" t="s">
        <v>6474</v>
      </c>
      <c r="AQ183" t="s">
        <v>20</v>
      </c>
      <c r="AR183" t="s">
        <v>9</v>
      </c>
      <c r="AS183" t="s">
        <v>655</v>
      </c>
      <c r="AT183" t="s">
        <v>6475</v>
      </c>
      <c r="AU183" t="s">
        <v>6476</v>
      </c>
      <c r="AV183" t="s">
        <v>6477</v>
      </c>
      <c r="AW183" t="s">
        <v>6478</v>
      </c>
      <c r="AX183" t="s">
        <v>451</v>
      </c>
      <c r="AY183" t="s">
        <v>261</v>
      </c>
      <c r="AZ183" t="s">
        <v>1488</v>
      </c>
      <c r="BA183" t="s">
        <v>453</v>
      </c>
      <c r="BB183" t="s">
        <v>21</v>
      </c>
      <c r="BC183" t="s">
        <v>2152</v>
      </c>
      <c r="BD183" t="s">
        <v>2153</v>
      </c>
      <c r="BE183" t="s">
        <v>2154</v>
      </c>
      <c r="BF183" t="s">
        <v>2155</v>
      </c>
      <c r="BG183" t="s">
        <v>2156</v>
      </c>
      <c r="BH183" t="s">
        <v>145</v>
      </c>
      <c r="BI183" t="s">
        <v>535</v>
      </c>
      <c r="BJ183" t="s">
        <v>451</v>
      </c>
      <c r="BK183" t="s">
        <v>6479</v>
      </c>
      <c r="BL183" t="s">
        <v>1030</v>
      </c>
      <c r="BM183" t="s">
        <v>2152</v>
      </c>
      <c r="BN183">
        <v>6.48</v>
      </c>
      <c r="BO183">
        <v>6.74</v>
      </c>
      <c r="BP183">
        <v>14.39</v>
      </c>
      <c r="BQ183">
        <v>6.52</v>
      </c>
      <c r="BR183">
        <v>5.9</v>
      </c>
      <c r="BS183">
        <v>17.309999999999999</v>
      </c>
      <c r="BT183" t="s">
        <v>6480</v>
      </c>
      <c r="BU183" t="s">
        <v>2151</v>
      </c>
      <c r="BV183">
        <v>20.64</v>
      </c>
      <c r="BW183">
        <v>22.76</v>
      </c>
      <c r="BX183">
        <v>33.19</v>
      </c>
      <c r="BY183">
        <v>6.01</v>
      </c>
      <c r="BZ183">
        <v>4.22</v>
      </c>
      <c r="CA183">
        <v>8.06</v>
      </c>
      <c r="CB183">
        <v>-8.61</v>
      </c>
      <c r="CC183">
        <v>-14.65</v>
      </c>
      <c r="CD183" t="s">
        <v>6481</v>
      </c>
      <c r="CE183" t="s">
        <v>6482</v>
      </c>
      <c r="CF183" s="8">
        <v>-0.4886076923076923</v>
      </c>
      <c r="CG183" s="9">
        <v>0.50780000000000003</v>
      </c>
      <c r="CH183" s="8">
        <v>-0.78617227077484131</v>
      </c>
      <c r="CI183" s="8">
        <v>-9.5238097012042999E-2</v>
      </c>
      <c r="CJ183" s="8">
        <v>0.13513512909412384</v>
      </c>
      <c r="CK183" s="8">
        <v>0.64039409160614014</v>
      </c>
      <c r="CL183" s="8">
        <v>0.65040647983551025</v>
      </c>
      <c r="CM183" s="9">
        <v>-0.53177040815353394</v>
      </c>
      <c r="CN183" s="9">
        <v>-0.51542437076568604</v>
      </c>
      <c r="CO183" s="9">
        <v>1.592414453625679E-2</v>
      </c>
      <c r="CP183" s="9">
        <v>1.4855542182922363</v>
      </c>
      <c r="CQ183" s="9">
        <v>16.749563217163086</v>
      </c>
      <c r="CR183">
        <v>0.37154341878198133</v>
      </c>
      <c r="CS183" t="e">
        <v>#DIV/0!</v>
      </c>
      <c r="CT183">
        <v>0.68306010928961747</v>
      </c>
      <c r="CU183" s="8">
        <v>0</v>
      </c>
      <c r="CV183" s="9">
        <v>0</v>
      </c>
      <c r="CW183">
        <v>0.06</v>
      </c>
      <c r="CX183">
        <v>130.28203009607265</v>
      </c>
      <c r="CY183">
        <v>6588962.2641509417</v>
      </c>
      <c r="CZ183">
        <v>0</v>
      </c>
      <c r="DA183">
        <v>45.980930084164854</v>
      </c>
      <c r="DB183">
        <v>18669117.358624902</v>
      </c>
      <c r="DC183">
        <v>0</v>
      </c>
      <c r="DD183">
        <v>24.994807625832799</v>
      </c>
      <c r="DE183">
        <v>34344068.290119447</v>
      </c>
      <c r="DF183">
        <v>0</v>
      </c>
      <c r="DG183">
        <v>16.699201341471685</v>
      </c>
      <c r="DH183">
        <v>51405055.993195653</v>
      </c>
      <c r="DI183">
        <v>0</v>
      </c>
      <c r="DJ183">
        <v>10.715642524500874</v>
      </c>
      <c r="DK183">
        <v>80109370.766825274</v>
      </c>
      <c r="DL183">
        <v>0</v>
      </c>
      <c r="DM183">
        <v>6984299.9999999991</v>
      </c>
      <c r="DN183">
        <v>0</v>
      </c>
      <c r="DO183">
        <v>858423380</v>
      </c>
      <c r="DP183">
        <v>146610100</v>
      </c>
      <c r="DQ183">
        <v>182</v>
      </c>
      <c r="DR183">
        <v>-0.4886076923076923</v>
      </c>
      <c r="DS183">
        <v>0.50780000000000003</v>
      </c>
      <c r="DT183">
        <v>-0.44</v>
      </c>
      <c r="DU183">
        <v>-0.22</v>
      </c>
      <c r="DV183">
        <v>-0.66</v>
      </c>
      <c r="DW183">
        <v>-9.5877133105802042</v>
      </c>
      <c r="DX183">
        <v>0.42850894939169326</v>
      </c>
      <c r="DY183">
        <v>-9.1519291504616032</v>
      </c>
      <c r="DZ183">
        <v>0</v>
      </c>
      <c r="EA183">
        <v>-9.1519291504616032</v>
      </c>
      <c r="EB183">
        <v>9</v>
      </c>
      <c r="EC183">
        <v>7.8669879518072292E-2</v>
      </c>
      <c r="ED183">
        <v>0.30432168674698795</v>
      </c>
      <c r="EE183">
        <v>0</v>
      </c>
      <c r="EF183">
        <v>0</v>
      </c>
      <c r="EG183">
        <v>17.258508949391693</v>
      </c>
      <c r="EH183" t="s">
        <v>86</v>
      </c>
      <c r="EI183">
        <v>0</v>
      </c>
      <c r="EJ183">
        <v>0</v>
      </c>
      <c r="EK183">
        <v>0</v>
      </c>
      <c r="EL183">
        <v>0</v>
      </c>
      <c r="EM183">
        <v>0</v>
      </c>
      <c r="EN183">
        <v>0</v>
      </c>
      <c r="EO183">
        <v>0</v>
      </c>
      <c r="EP183">
        <v>0</v>
      </c>
    </row>
    <row r="184" spans="1:146" ht="108" x14ac:dyDescent="0.25">
      <c r="A184" s="10"/>
      <c r="B184" s="10"/>
      <c r="C184" s="7" t="str">
        <f>""&amp;CHAR(10)&amp;Basic_Fundamental_Information_Constructure(F184)&amp;CHAR(10)&amp;Basic_Fundamental_Information_Concatenate("")</f>
        <v xml:space="preserve">
市值9.883013亿, 利润746.27万; PE66.18; 平均PE13.23, PB2.21; ROIC18.2533%; ROE22.07%; 股利率2.6998%; 毛利30.97%; 净利17.25%; 上一年度营收增-73.22%, 利润增-79.06%; 当季营收增-39.03%, 利润增56.09%; 过往5年营收增0%, 利润增0%
Income profile:
</v>
      </c>
      <c r="D184">
        <v>838971</v>
      </c>
      <c r="E184" t="s">
        <v>2157</v>
      </c>
      <c r="F184">
        <v>9.26</v>
      </c>
      <c r="G184" s="5">
        <v>-2.3199999999999998</v>
      </c>
      <c r="H184" t="s">
        <v>6483</v>
      </c>
      <c r="I184">
        <v>988301300</v>
      </c>
      <c r="J184">
        <v>66.180000000000007</v>
      </c>
      <c r="K184">
        <v>2.21</v>
      </c>
      <c r="L184" t="s">
        <v>2604</v>
      </c>
      <c r="M184" t="s">
        <v>6484</v>
      </c>
      <c r="N184" t="s">
        <v>658</v>
      </c>
      <c r="O184" t="s">
        <v>6485</v>
      </c>
      <c r="P184">
        <v>40.93</v>
      </c>
      <c r="Q184" t="s">
        <v>6485</v>
      </c>
      <c r="R184">
        <v>7462725</v>
      </c>
      <c r="S184" s="5">
        <v>0.56089999999999995</v>
      </c>
      <c r="T184" t="s">
        <v>6486</v>
      </c>
      <c r="U184">
        <v>84690302</v>
      </c>
      <c r="V184">
        <v>106128002</v>
      </c>
      <c r="W184">
        <v>1.19</v>
      </c>
      <c r="X184">
        <v>0.1</v>
      </c>
      <c r="Y184">
        <v>14.98</v>
      </c>
      <c r="Z184" t="s">
        <v>6487</v>
      </c>
      <c r="AA184" t="s">
        <v>6488</v>
      </c>
      <c r="AB184" t="s">
        <v>6489</v>
      </c>
      <c r="AC184" t="s">
        <v>6490</v>
      </c>
      <c r="AD184" t="s">
        <v>6491</v>
      </c>
      <c r="AE184">
        <v>46903</v>
      </c>
      <c r="AF184" t="s">
        <v>6492</v>
      </c>
      <c r="AG184">
        <v>1631.26</v>
      </c>
      <c r="AH184" t="s">
        <v>6493</v>
      </c>
      <c r="AI184" t="s">
        <v>6494</v>
      </c>
      <c r="AJ184" t="s">
        <v>9</v>
      </c>
      <c r="AK184" t="s">
        <v>6495</v>
      </c>
      <c r="AL184" t="s">
        <v>6496</v>
      </c>
      <c r="AM184" t="s">
        <v>9</v>
      </c>
      <c r="AN184" t="s">
        <v>459</v>
      </c>
      <c r="AO184" t="s">
        <v>6497</v>
      </c>
      <c r="AP184" t="s">
        <v>9</v>
      </c>
      <c r="AQ184" t="s">
        <v>6498</v>
      </c>
      <c r="AR184" t="s">
        <v>9</v>
      </c>
      <c r="AS184" t="s">
        <v>6499</v>
      </c>
      <c r="AT184" t="s">
        <v>9</v>
      </c>
      <c r="AU184" t="s">
        <v>6500</v>
      </c>
      <c r="AV184" t="s">
        <v>6501</v>
      </c>
      <c r="AW184" t="s">
        <v>6502</v>
      </c>
      <c r="AX184" t="s">
        <v>275</v>
      </c>
      <c r="AY184" t="s">
        <v>576</v>
      </c>
      <c r="AZ184" t="s">
        <v>537</v>
      </c>
      <c r="BA184" t="s">
        <v>487</v>
      </c>
      <c r="BB184" t="s">
        <v>230</v>
      </c>
      <c r="BC184" t="s">
        <v>2158</v>
      </c>
      <c r="BD184" t="s">
        <v>2159</v>
      </c>
      <c r="BE184" t="s">
        <v>2160</v>
      </c>
      <c r="BF184" t="s">
        <v>2161</v>
      </c>
      <c r="BG184" t="s">
        <v>2162</v>
      </c>
      <c r="BH184" t="s">
        <v>640</v>
      </c>
      <c r="BI184" t="s">
        <v>2163</v>
      </c>
      <c r="BJ184" t="s">
        <v>275</v>
      </c>
      <c r="BK184" t="s">
        <v>6503</v>
      </c>
      <c r="BL184" t="s">
        <v>2164</v>
      </c>
      <c r="BM184" t="s">
        <v>2158</v>
      </c>
      <c r="BN184">
        <v>5.0999999999999996</v>
      </c>
      <c r="BO184">
        <v>12.18</v>
      </c>
      <c r="BP184">
        <v>37.479999999999997</v>
      </c>
      <c r="BQ184">
        <v>5.19</v>
      </c>
      <c r="BR184">
        <v>17.13</v>
      </c>
      <c r="BS184">
        <v>43.89</v>
      </c>
      <c r="BT184" t="s">
        <v>1165</v>
      </c>
      <c r="BU184" t="s">
        <v>943</v>
      </c>
      <c r="BV184">
        <v>26.23</v>
      </c>
      <c r="BW184">
        <v>29</v>
      </c>
      <c r="BX184">
        <v>37.68</v>
      </c>
      <c r="BY184">
        <v>6.49</v>
      </c>
      <c r="BZ184">
        <v>19.170000000000002</v>
      </c>
      <c r="CA184">
        <v>26.09</v>
      </c>
      <c r="CB184">
        <v>-2.11</v>
      </c>
      <c r="CC184">
        <v>-2.5299999999999998</v>
      </c>
      <c r="CD184" t="s">
        <v>6504</v>
      </c>
      <c r="CE184" t="s">
        <v>6505</v>
      </c>
      <c r="CF184" s="8">
        <v>-0.39025685776074664</v>
      </c>
      <c r="CG184" s="9">
        <v>0.56089999999999995</v>
      </c>
      <c r="CH184" s="8">
        <v>-0.73215001821517944</v>
      </c>
      <c r="CI184" s="8">
        <v>-0.10576923191547394</v>
      </c>
      <c r="CJ184" s="8">
        <v>0.87387388944625854</v>
      </c>
      <c r="CK184" s="8">
        <v>-8.9285718277096748E-3</v>
      </c>
      <c r="CL184" s="8">
        <v>-0.1111111119389534</v>
      </c>
      <c r="CM184" s="9">
        <v>-0.79057949781417847</v>
      </c>
      <c r="CN184" s="9">
        <v>-0.34309124946594238</v>
      </c>
      <c r="CO184" s="9">
        <v>2.344008207321167</v>
      </c>
      <c r="CP184" s="9">
        <v>-5.439198762178421E-2</v>
      </c>
      <c r="CQ184" s="9">
        <v>0.35360908508300781</v>
      </c>
      <c r="CR184">
        <v>13.232273422887264</v>
      </c>
      <c r="CS184" t="e">
        <v>#DIV/0!</v>
      </c>
      <c r="CT184">
        <v>2.6997840172786178</v>
      </c>
      <c r="CU184" s="8">
        <v>0</v>
      </c>
      <c r="CV184" s="9">
        <v>0</v>
      </c>
      <c r="CW184">
        <v>0.06</v>
      </c>
      <c r="CX184">
        <v>88.826528468248767</v>
      </c>
      <c r="CY184">
        <v>7040283.0188679239</v>
      </c>
      <c r="CZ184">
        <v>0</v>
      </c>
      <c r="DA184">
        <v>31.349882958576551</v>
      </c>
      <c r="DB184">
        <v>19947886.27524735</v>
      </c>
      <c r="DC184">
        <v>0</v>
      </c>
      <c r="DD184">
        <v>17.041505950569057</v>
      </c>
      <c r="DE184">
        <v>36696516.247680426</v>
      </c>
      <c r="DF184">
        <v>0</v>
      </c>
      <c r="DG184">
        <v>11.385546281873356</v>
      </c>
      <c r="DH184">
        <v>54926121.638592452</v>
      </c>
      <c r="DI184">
        <v>0</v>
      </c>
      <c r="DJ184">
        <v>7.3059448417886372</v>
      </c>
      <c r="DK184">
        <v>85596581.077786893</v>
      </c>
      <c r="DL184">
        <v>0</v>
      </c>
      <c r="DM184">
        <v>7462700</v>
      </c>
      <c r="DN184">
        <v>0</v>
      </c>
      <c r="DO184">
        <v>625363900</v>
      </c>
      <c r="DP184">
        <v>225497460</v>
      </c>
      <c r="DQ184">
        <v>183</v>
      </c>
      <c r="DR184">
        <v>-0.39025685776074664</v>
      </c>
      <c r="DS184">
        <v>0.56089999999999995</v>
      </c>
      <c r="DT184">
        <v>-0.44</v>
      </c>
      <c r="DU184">
        <v>-0.22</v>
      </c>
      <c r="DV184">
        <v>-0.66</v>
      </c>
      <c r="DW184">
        <v>-1.0253000000000001</v>
      </c>
      <c r="DX184">
        <v>0.27316602391239142</v>
      </c>
      <c r="DY184">
        <v>-1.0010921004049835</v>
      </c>
      <c r="DZ184">
        <v>0</v>
      </c>
      <c r="EA184">
        <v>-1.0010921004049835</v>
      </c>
      <c r="EB184">
        <v>1</v>
      </c>
      <c r="EC184">
        <v>2.1040629785907022E-2</v>
      </c>
      <c r="ED184">
        <v>0.48743497498426475</v>
      </c>
      <c r="EE184">
        <v>0</v>
      </c>
      <c r="EF184">
        <v>0</v>
      </c>
      <c r="EG184">
        <v>23.043166023912391</v>
      </c>
      <c r="EH184" t="s">
        <v>86</v>
      </c>
      <c r="EI184">
        <v>0</v>
      </c>
      <c r="EJ184">
        <v>0</v>
      </c>
      <c r="EK184">
        <v>0</v>
      </c>
      <c r="EL184">
        <v>0</v>
      </c>
      <c r="EM184">
        <v>0</v>
      </c>
      <c r="EN184">
        <v>0</v>
      </c>
      <c r="EO184">
        <v>0</v>
      </c>
      <c r="EP184">
        <v>0</v>
      </c>
    </row>
    <row r="185" spans="1:146" ht="156" x14ac:dyDescent="0.25">
      <c r="A185" s="10"/>
      <c r="B185" s="10"/>
      <c r="C185" s="7" t="str">
        <f>"公司主营业务是从事基于多种技术节点和技术平台的集成电路晶圆代工业务，并提供设计服务与IP支持、光掩模制造等配套服务。"&amp;CHAR(10)&amp;Basic_Fundamental_Information_Constructure(F185)&amp;CHAR(10)&amp;Basic_Fundamental_Information_Concatenate("中国内地、中国香港 11.04亿 75.50
美国 2.87亿 19.60
欧洲及亚洲 0.72亿 4.90")</f>
        <v>公司主营业务是从事基于多种技术节点和技术平台的集成电路晶圆代工业务，并提供设计服务与IP支持、光掩模制造等配套服务。
市值16.806978亿, 利润3276.56万; PE12.73; 平均PE2.26, PB2.79; ROIC13.02%; ROE15.5967%; 股利率.7245%; 毛利10.97%; 净利5.4267%; 上一年度营收增-60.95%, 利润增-34.73%; 当季营收增-47.97%, 利润增54.73%; 过往5年营收增0%, 利润增0%
Income profile:
中国内地、中国香港 11.04亿 75.50
美国 2.87亿 19.60
欧洲及亚洲 0.72亿 4.90</v>
      </c>
      <c r="D185">
        <v>839167</v>
      </c>
      <c r="E185" t="s">
        <v>2165</v>
      </c>
      <c r="F185">
        <v>15.32</v>
      </c>
      <c r="G185" s="5">
        <v>-2.73</v>
      </c>
      <c r="H185" t="s">
        <v>6506</v>
      </c>
      <c r="I185">
        <v>1680697800</v>
      </c>
      <c r="J185">
        <v>12.73</v>
      </c>
      <c r="K185">
        <v>2.79</v>
      </c>
      <c r="L185" t="s">
        <v>2604</v>
      </c>
      <c r="M185" t="s">
        <v>602</v>
      </c>
      <c r="N185" t="s">
        <v>600</v>
      </c>
      <c r="O185" t="s">
        <v>385</v>
      </c>
      <c r="P185">
        <v>15.06</v>
      </c>
      <c r="Q185" t="s">
        <v>385</v>
      </c>
      <c r="R185">
        <v>32765589</v>
      </c>
      <c r="S185" s="5">
        <v>0.54730000000000001</v>
      </c>
      <c r="T185" t="s">
        <v>6507</v>
      </c>
      <c r="U185">
        <v>65107500</v>
      </c>
      <c r="V185">
        <v>109320000</v>
      </c>
      <c r="W185">
        <v>2.67</v>
      </c>
      <c r="X185">
        <v>0.28999999999999998</v>
      </c>
      <c r="Y185">
        <v>6.72</v>
      </c>
      <c r="Z185" t="s">
        <v>118</v>
      </c>
      <c r="AA185" t="s">
        <v>474</v>
      </c>
      <c r="AB185" t="s">
        <v>6508</v>
      </c>
      <c r="AC185" t="s">
        <v>6509</v>
      </c>
      <c r="AD185" t="s">
        <v>6510</v>
      </c>
      <c r="AE185">
        <v>3097448</v>
      </c>
      <c r="AF185" t="s">
        <v>6511</v>
      </c>
      <c r="AG185" t="s">
        <v>6512</v>
      </c>
      <c r="AH185" t="s">
        <v>6513</v>
      </c>
      <c r="AI185" t="s">
        <v>15</v>
      </c>
      <c r="AJ185" t="s">
        <v>9</v>
      </c>
      <c r="AK185" t="s">
        <v>550</v>
      </c>
      <c r="AL185" t="s">
        <v>6514</v>
      </c>
      <c r="AM185" t="s">
        <v>9</v>
      </c>
      <c r="AN185" t="s">
        <v>6515</v>
      </c>
      <c r="AO185" t="s">
        <v>652</v>
      </c>
      <c r="AP185" t="s">
        <v>514</v>
      </c>
      <c r="AQ185" t="s">
        <v>6516</v>
      </c>
      <c r="AR185" t="s">
        <v>9</v>
      </c>
      <c r="AS185" t="s">
        <v>125</v>
      </c>
      <c r="AT185" t="s">
        <v>9</v>
      </c>
      <c r="AU185" t="s">
        <v>59</v>
      </c>
      <c r="AV185" t="s">
        <v>1320</v>
      </c>
      <c r="AW185" t="s">
        <v>6517</v>
      </c>
      <c r="AX185" t="s">
        <v>2166</v>
      </c>
      <c r="AY185" t="s">
        <v>588</v>
      </c>
      <c r="AZ185" t="s">
        <v>643</v>
      </c>
      <c r="BA185" t="s">
        <v>302</v>
      </c>
      <c r="BB185" t="s">
        <v>294</v>
      </c>
      <c r="BC185" t="s">
        <v>2167</v>
      </c>
      <c r="BD185" t="s">
        <v>2170</v>
      </c>
      <c r="BE185" t="s">
        <v>2171</v>
      </c>
      <c r="BF185" t="s">
        <v>2172</v>
      </c>
      <c r="BG185" t="s">
        <v>2173</v>
      </c>
      <c r="BH185" t="s">
        <v>6518</v>
      </c>
      <c r="BI185" t="s">
        <v>436</v>
      </c>
      <c r="BJ185" t="s">
        <v>2166</v>
      </c>
      <c r="BK185" t="s">
        <v>68</v>
      </c>
      <c r="BL185" t="s">
        <v>2174</v>
      </c>
      <c r="BM185" t="s">
        <v>2167</v>
      </c>
      <c r="BN185">
        <v>12.54</v>
      </c>
      <c r="BO185">
        <v>11.85</v>
      </c>
      <c r="BP185">
        <v>14.67</v>
      </c>
      <c r="BQ185">
        <v>16.37</v>
      </c>
      <c r="BR185">
        <v>13.25</v>
      </c>
      <c r="BS185">
        <v>17.170000000000002</v>
      </c>
      <c r="BT185" t="s">
        <v>6519</v>
      </c>
      <c r="BU185" t="s">
        <v>1667</v>
      </c>
      <c r="BV185">
        <v>11.1</v>
      </c>
      <c r="BW185">
        <v>9.68</v>
      </c>
      <c r="BX185">
        <v>12.13</v>
      </c>
      <c r="BY185">
        <v>5.53</v>
      </c>
      <c r="BZ185">
        <v>4.03</v>
      </c>
      <c r="CA185">
        <v>6.72</v>
      </c>
      <c r="CB185">
        <v>-4.55</v>
      </c>
      <c r="CC185">
        <v>-7.6</v>
      </c>
      <c r="CD185" t="s">
        <v>6520</v>
      </c>
      <c r="CE185" t="s">
        <v>6521</v>
      </c>
      <c r="CF185" s="8">
        <v>-0.47970085470085472</v>
      </c>
      <c r="CG185" s="9">
        <v>0.54730000000000001</v>
      </c>
      <c r="CH185" s="8">
        <v>-0.60946273803710938</v>
      </c>
      <c r="CI185" s="8">
        <v>0.55292659997940063</v>
      </c>
      <c r="CJ185" s="8">
        <v>0.28479999303817749</v>
      </c>
      <c r="CK185" s="8">
        <v>0.52811735868453979</v>
      </c>
      <c r="CL185" s="8">
        <v>0.17191977798938751</v>
      </c>
      <c r="CM185" s="9">
        <v>-0.3472805917263031</v>
      </c>
      <c r="CN185" s="9">
        <v>-6.9993294775485992E-2</v>
      </c>
      <c r="CO185" s="9">
        <v>-0.10251405090093613</v>
      </c>
      <c r="CP185" s="9">
        <v>0.9734540581703186</v>
      </c>
      <c r="CQ185" s="9">
        <v>0.81416904926300049</v>
      </c>
      <c r="CR185">
        <v>2.2606403707919553</v>
      </c>
      <c r="CS185" t="e">
        <v>#DIV/0!</v>
      </c>
      <c r="CT185">
        <v>0.72454308093994779</v>
      </c>
      <c r="CU185" s="8">
        <v>0</v>
      </c>
      <c r="CV185" s="9">
        <v>0</v>
      </c>
      <c r="CW185">
        <v>0.06</v>
      </c>
      <c r="CX185">
        <v>72.618223624777215</v>
      </c>
      <c r="CY185">
        <v>30910943.396226414</v>
      </c>
      <c r="CZ185">
        <v>0</v>
      </c>
      <c r="DA185">
        <v>25.629424571177182</v>
      </c>
      <c r="DB185">
        <v>87582840.331280172</v>
      </c>
      <c r="DC185">
        <v>0</v>
      </c>
      <c r="DD185">
        <v>13.931917765577776</v>
      </c>
      <c r="DE185">
        <v>161119081.93616223</v>
      </c>
      <c r="DF185">
        <v>0</v>
      </c>
      <c r="DG185">
        <v>9.3080092202733216</v>
      </c>
      <c r="DH185">
        <v>241157668.29183334</v>
      </c>
      <c r="DI185">
        <v>0</v>
      </c>
      <c r="DJ185">
        <v>5.9728185426152178</v>
      </c>
      <c r="DK185">
        <v>375818850.6790216</v>
      </c>
      <c r="DL185">
        <v>0</v>
      </c>
      <c r="DM185">
        <v>32765600</v>
      </c>
      <c r="DN185">
        <v>0</v>
      </c>
      <c r="DO185">
        <v>2244697800</v>
      </c>
      <c r="DP185">
        <v>415439800</v>
      </c>
      <c r="DQ185">
        <v>184</v>
      </c>
      <c r="DR185">
        <v>-0.47970085470085472</v>
      </c>
      <c r="DS185">
        <v>0.54730000000000001</v>
      </c>
      <c r="DT185">
        <v>-0.44</v>
      </c>
      <c r="DU185">
        <v>-0.22</v>
      </c>
      <c r="DV185">
        <v>-0.66</v>
      </c>
      <c r="DW185">
        <v>-8.598684210526315</v>
      </c>
      <c r="DX185">
        <v>0.20322855536046305</v>
      </c>
      <c r="DY185">
        <v>-8.06180130616975</v>
      </c>
      <c r="DZ185">
        <v>0</v>
      </c>
      <c r="EA185">
        <v>-8.06180130616975</v>
      </c>
      <c r="EB185">
        <v>8</v>
      </c>
      <c r="EC185">
        <v>8.7982985729967073E-2</v>
      </c>
      <c r="ED185">
        <v>0.85231247713135749</v>
      </c>
      <c r="EE185">
        <v>0</v>
      </c>
      <c r="EF185">
        <v>0</v>
      </c>
      <c r="EG185">
        <v>10.103228555360463</v>
      </c>
      <c r="EH185" t="s">
        <v>86</v>
      </c>
      <c r="EI185">
        <v>0</v>
      </c>
      <c r="EJ185">
        <v>0</v>
      </c>
      <c r="EK185">
        <v>0</v>
      </c>
      <c r="EL185">
        <v>0</v>
      </c>
      <c r="EM185">
        <v>0</v>
      </c>
      <c r="EN185">
        <v>0</v>
      </c>
      <c r="EO185">
        <v>0</v>
      </c>
      <c r="EP185">
        <v>0</v>
      </c>
    </row>
    <row r="186" spans="1:146" ht="108" x14ac:dyDescent="0.25">
      <c r="A186" s="10"/>
      <c r="B186" s="10"/>
      <c r="C186" s="7" t="str">
        <f>""&amp;CHAR(10)&amp;Basic_Fundamental_Information_Constructure(F186)&amp;CHAR(10)&amp;Basic_Fundamental_Information_Concatenate("")</f>
        <v xml:space="preserve">
市值7.1836396亿, 利润1657.74万; PE13.18; 平均PE5.53, PB1.25; ROIC14.2033%; ROE14.585%; 股利率3.0801%; 毛利22.2033%; 净利12.49%; 上一年度营收增-74.72%, 利润增-74.61%; 当季营收增-50.87%, 利润增11.94%; 过往5年营收增0%, 利润增0%
Income profile:
</v>
      </c>
      <c r="D186">
        <v>839273</v>
      </c>
      <c r="E186" t="s">
        <v>2175</v>
      </c>
      <c r="F186">
        <v>9.74</v>
      </c>
      <c r="G186" s="5">
        <v>-1.1200000000000001</v>
      </c>
      <c r="H186" t="s">
        <v>6522</v>
      </c>
      <c r="I186">
        <v>718363960</v>
      </c>
      <c r="J186">
        <v>13.18</v>
      </c>
      <c r="K186">
        <v>1.25</v>
      </c>
      <c r="L186" t="s">
        <v>2604</v>
      </c>
      <c r="M186" t="s">
        <v>6523</v>
      </c>
      <c r="N186" t="s">
        <v>161</v>
      </c>
      <c r="O186" t="s">
        <v>411</v>
      </c>
      <c r="P186">
        <v>3.14</v>
      </c>
      <c r="Q186" t="s">
        <v>411</v>
      </c>
      <c r="R186">
        <v>16577357</v>
      </c>
      <c r="S186" s="5">
        <v>0.11940000000000001</v>
      </c>
      <c r="T186" t="s">
        <v>6524</v>
      </c>
      <c r="U186">
        <v>26871000</v>
      </c>
      <c r="V186">
        <v>73754000</v>
      </c>
      <c r="W186">
        <v>1.1200000000000001</v>
      </c>
      <c r="X186">
        <v>0.17</v>
      </c>
      <c r="Y186">
        <v>14.72</v>
      </c>
      <c r="Z186" t="s">
        <v>6525</v>
      </c>
      <c r="AA186" t="s">
        <v>6526</v>
      </c>
      <c r="AB186" t="s">
        <v>6527</v>
      </c>
      <c r="AC186" t="s">
        <v>6528</v>
      </c>
      <c r="AD186" t="s">
        <v>6529</v>
      </c>
      <c r="AE186">
        <v>555867</v>
      </c>
      <c r="AF186" t="s">
        <v>6530</v>
      </c>
      <c r="AG186" t="s">
        <v>6531</v>
      </c>
      <c r="AH186" t="s">
        <v>6532</v>
      </c>
      <c r="AI186" t="s">
        <v>459</v>
      </c>
      <c r="AJ186" t="s">
        <v>9</v>
      </c>
      <c r="AK186" t="s">
        <v>9</v>
      </c>
      <c r="AL186" t="s">
        <v>6533</v>
      </c>
      <c r="AM186" t="s">
        <v>9</v>
      </c>
      <c r="AN186" t="s">
        <v>6534</v>
      </c>
      <c r="AO186" t="s">
        <v>9</v>
      </c>
      <c r="AP186" t="s">
        <v>6535</v>
      </c>
      <c r="AQ186" t="s">
        <v>6536</v>
      </c>
      <c r="AR186" t="s">
        <v>9</v>
      </c>
      <c r="AS186" t="s">
        <v>6537</v>
      </c>
      <c r="AT186" t="s">
        <v>9</v>
      </c>
      <c r="AU186" t="s">
        <v>6538</v>
      </c>
      <c r="AV186" t="s">
        <v>6539</v>
      </c>
      <c r="AW186" t="s">
        <v>6540</v>
      </c>
      <c r="AX186" t="s">
        <v>463</v>
      </c>
      <c r="AY186" t="s">
        <v>485</v>
      </c>
      <c r="AZ186" t="s">
        <v>1432</v>
      </c>
      <c r="BA186" t="s">
        <v>38</v>
      </c>
      <c r="BB186" t="s">
        <v>348</v>
      </c>
      <c r="BC186" t="s">
        <v>2176</v>
      </c>
      <c r="BD186" t="s">
        <v>2177</v>
      </c>
      <c r="BE186" t="s">
        <v>2178</v>
      </c>
      <c r="BF186" t="s">
        <v>2179</v>
      </c>
      <c r="BG186" t="s">
        <v>2180</v>
      </c>
      <c r="BH186" t="s">
        <v>688</v>
      </c>
      <c r="BI186" t="s">
        <v>548</v>
      </c>
      <c r="BJ186" t="s">
        <v>463</v>
      </c>
      <c r="BK186" t="s">
        <v>6541</v>
      </c>
      <c r="BL186" t="s">
        <v>2181</v>
      </c>
      <c r="BM186" t="s">
        <v>2176</v>
      </c>
      <c r="BN186">
        <v>10.199999999999999</v>
      </c>
      <c r="BO186">
        <v>15.52</v>
      </c>
      <c r="BP186">
        <v>16.89</v>
      </c>
      <c r="BQ186">
        <v>10.31</v>
      </c>
      <c r="BR186">
        <v>18.86</v>
      </c>
      <c r="BS186" t="s">
        <v>9</v>
      </c>
      <c r="BT186" t="s">
        <v>859</v>
      </c>
      <c r="BU186" t="s">
        <v>1448</v>
      </c>
      <c r="BV186">
        <v>20.98</v>
      </c>
      <c r="BW186">
        <v>24.58</v>
      </c>
      <c r="BX186">
        <v>21.05</v>
      </c>
      <c r="BY186">
        <v>11.02</v>
      </c>
      <c r="BZ186">
        <v>14.61</v>
      </c>
      <c r="CA186">
        <v>11.84</v>
      </c>
      <c r="CB186">
        <v>-1.72</v>
      </c>
      <c r="CC186">
        <v>-4.7</v>
      </c>
      <c r="CD186" t="s">
        <v>6542</v>
      </c>
      <c r="CE186" t="s">
        <v>6543</v>
      </c>
      <c r="CF186" s="8">
        <v>-0.50869565217391299</v>
      </c>
      <c r="CG186" s="9">
        <v>0.11940000000000001</v>
      </c>
      <c r="CH186" s="8">
        <v>-0.74720358848571777</v>
      </c>
      <c r="CI186" s="8">
        <v>-0.10778442770242691</v>
      </c>
      <c r="CJ186" s="8">
        <v>0.32189974188804626</v>
      </c>
      <c r="CK186" s="8">
        <v>3.5519126802682877E-2</v>
      </c>
      <c r="CL186" s="8">
        <v>0.24489796161651611</v>
      </c>
      <c r="CM186" s="9">
        <v>-0.74613785743713379</v>
      </c>
      <c r="CN186" s="9">
        <v>0.10021616518497467</v>
      </c>
      <c r="CO186" s="9">
        <v>0.33814382553100586</v>
      </c>
      <c r="CP186" s="9">
        <v>0.14797396957874298</v>
      </c>
      <c r="CQ186" s="9">
        <v>0.26231533288955688</v>
      </c>
      <c r="CR186">
        <v>5.5306833464622649</v>
      </c>
      <c r="CS186" t="e">
        <v>#DIV/0!</v>
      </c>
      <c r="CT186">
        <v>3.0800821355236141</v>
      </c>
      <c r="CU186" s="8">
        <v>0</v>
      </c>
      <c r="CV186" s="9">
        <v>0</v>
      </c>
      <c r="CW186">
        <v>0.06</v>
      </c>
      <c r="CX186">
        <v>13.96405585918178</v>
      </c>
      <c r="CY186">
        <v>15639056.603773583</v>
      </c>
      <c r="CZ186">
        <v>0</v>
      </c>
      <c r="DA186">
        <v>4.9283870974295283</v>
      </c>
      <c r="DB186">
        <v>44311588.291005321</v>
      </c>
      <c r="DC186">
        <v>0</v>
      </c>
      <c r="DD186">
        <v>2.6790255695221425</v>
      </c>
      <c r="DE186">
        <v>81516452.281921759</v>
      </c>
      <c r="DF186">
        <v>0</v>
      </c>
      <c r="DG186">
        <v>1.7898752434551095</v>
      </c>
      <c r="DH186">
        <v>122011107.08612198</v>
      </c>
      <c r="DI186">
        <v>0</v>
      </c>
      <c r="DJ186">
        <v>1.148537758191293</v>
      </c>
      <c r="DK186">
        <v>190141472.0086436</v>
      </c>
      <c r="DL186">
        <v>0</v>
      </c>
      <c r="DM186">
        <v>16577400</v>
      </c>
      <c r="DN186">
        <v>0</v>
      </c>
      <c r="DO186">
        <v>218384660</v>
      </c>
      <c r="DP186">
        <v>462424020</v>
      </c>
      <c r="DQ186">
        <v>185</v>
      </c>
      <c r="DR186">
        <v>-0.50869565217391299</v>
      </c>
      <c r="DS186">
        <v>0.11940000000000001</v>
      </c>
      <c r="DT186">
        <v>-0.44</v>
      </c>
      <c r="DU186">
        <v>-0.22</v>
      </c>
      <c r="DV186">
        <v>-0.66</v>
      </c>
      <c r="DW186">
        <v>-1.0469999999999999</v>
      </c>
      <c r="DX186">
        <v>0.23296181430509719</v>
      </c>
      <c r="DY186">
        <v>-1.0038992052723397</v>
      </c>
      <c r="DZ186">
        <v>0</v>
      </c>
      <c r="EA186">
        <v>-1.0038992052723397</v>
      </c>
      <c r="EB186">
        <v>1</v>
      </c>
      <c r="EC186">
        <v>5.2227675787075963E-3</v>
      </c>
      <c r="ED186">
        <v>6.2953873688206735E-2</v>
      </c>
      <c r="EE186">
        <v>0</v>
      </c>
      <c r="EF186">
        <v>0</v>
      </c>
      <c r="EG186">
        <v>15.082961814305097</v>
      </c>
      <c r="EH186" t="s">
        <v>86</v>
      </c>
      <c r="EI186">
        <v>0</v>
      </c>
      <c r="EJ186">
        <v>0</v>
      </c>
      <c r="EK186">
        <v>0</v>
      </c>
      <c r="EL186">
        <v>0</v>
      </c>
      <c r="EM186">
        <v>0</v>
      </c>
      <c r="EN186">
        <v>0</v>
      </c>
      <c r="EO186">
        <v>0</v>
      </c>
      <c r="EP186">
        <v>0</v>
      </c>
    </row>
    <row r="187" spans="1:146" ht="108" x14ac:dyDescent="0.25">
      <c r="A187" s="10"/>
      <c r="B187" s="10"/>
      <c r="C187" s="7" t="str">
        <f>""&amp;CHAR(10)&amp;Basic_Fundamental_Information_Constructure(F187)&amp;CHAR(10)&amp;Basic_Fundamental_Information_Concatenate("")</f>
        <v xml:space="preserve">
市值8.5259897亿, 利润1930.11万; PE17; 平均PE.67, PB1.56; ROIC8.17%; ROE8.2033%; 股利率2.4096%; 毛利11.6%; 净利3.7%; 上一年度营收增-73.88%, 利润增-46.1%; 当季营收增-52.16%, 利润增56.68%; 过往5年营收增0%, 利润增0%
Income profile:
</v>
      </c>
      <c r="D187">
        <v>839371</v>
      </c>
      <c r="E187" t="s">
        <v>2182</v>
      </c>
      <c r="F187">
        <v>4.1500000000000004</v>
      </c>
      <c r="G187" s="5">
        <v>-1.66</v>
      </c>
      <c r="H187" t="s">
        <v>6544</v>
      </c>
      <c r="I187">
        <v>852598970</v>
      </c>
      <c r="J187">
        <v>17</v>
      </c>
      <c r="K187">
        <v>1.56</v>
      </c>
      <c r="L187" t="s">
        <v>2604</v>
      </c>
      <c r="M187" t="s">
        <v>242</v>
      </c>
      <c r="N187" t="s">
        <v>595</v>
      </c>
      <c r="O187" t="s">
        <v>571</v>
      </c>
      <c r="P187">
        <v>-0.34</v>
      </c>
      <c r="Q187" t="s">
        <v>571</v>
      </c>
      <c r="R187">
        <v>19301064</v>
      </c>
      <c r="S187" s="5">
        <v>0.56679999999999997</v>
      </c>
      <c r="T187" t="s">
        <v>6545</v>
      </c>
      <c r="U187">
        <v>53107633</v>
      </c>
      <c r="V187">
        <v>205445540</v>
      </c>
      <c r="W187">
        <v>1.2</v>
      </c>
      <c r="X187">
        <v>0.36</v>
      </c>
      <c r="Y187">
        <v>8.2799999999999994</v>
      </c>
      <c r="Z187" t="s">
        <v>123</v>
      </c>
      <c r="AA187" t="s">
        <v>275</v>
      </c>
      <c r="AB187" t="s">
        <v>6546</v>
      </c>
      <c r="AC187" t="s">
        <v>6547</v>
      </c>
      <c r="AD187" t="s">
        <v>6548</v>
      </c>
      <c r="AE187">
        <v>435166</v>
      </c>
      <c r="AF187" t="s">
        <v>6549</v>
      </c>
      <c r="AG187" t="s">
        <v>6550</v>
      </c>
      <c r="AH187" t="s">
        <v>6551</v>
      </c>
      <c r="AI187" t="s">
        <v>39</v>
      </c>
      <c r="AJ187" t="s">
        <v>9</v>
      </c>
      <c r="AK187" t="s">
        <v>9</v>
      </c>
      <c r="AL187" t="s">
        <v>6552</v>
      </c>
      <c r="AM187" t="s">
        <v>9</v>
      </c>
      <c r="AN187" t="s">
        <v>1676</v>
      </c>
      <c r="AO187" t="s">
        <v>9</v>
      </c>
      <c r="AP187" t="s">
        <v>9</v>
      </c>
      <c r="AQ187" t="s">
        <v>6553</v>
      </c>
      <c r="AR187" t="s">
        <v>9</v>
      </c>
      <c r="AS187" t="s">
        <v>166</v>
      </c>
      <c r="AT187" t="s">
        <v>9</v>
      </c>
      <c r="AU187" t="s">
        <v>6554</v>
      </c>
      <c r="AV187" t="s">
        <v>6555</v>
      </c>
      <c r="AW187">
        <v>0</v>
      </c>
      <c r="AX187" t="s">
        <v>1335</v>
      </c>
      <c r="AY187" t="s">
        <v>503</v>
      </c>
      <c r="AZ187" t="s">
        <v>549</v>
      </c>
      <c r="BA187" t="s">
        <v>228</v>
      </c>
      <c r="BB187" t="s">
        <v>643</v>
      </c>
      <c r="BC187" t="s">
        <v>2184</v>
      </c>
      <c r="BD187" t="s">
        <v>2185</v>
      </c>
      <c r="BE187" t="s">
        <v>2186</v>
      </c>
      <c r="BF187" t="s">
        <v>2187</v>
      </c>
      <c r="BG187" t="s">
        <v>2188</v>
      </c>
      <c r="BH187" t="s">
        <v>1733</v>
      </c>
      <c r="BI187" t="s">
        <v>385</v>
      </c>
      <c r="BJ187" t="s">
        <v>1335</v>
      </c>
      <c r="BK187" t="s">
        <v>6556</v>
      </c>
      <c r="BL187" t="s">
        <v>2189</v>
      </c>
      <c r="BM187" t="s">
        <v>2184</v>
      </c>
      <c r="BN187">
        <v>8.68</v>
      </c>
      <c r="BO187">
        <v>9.35</v>
      </c>
      <c r="BP187">
        <v>6.48</v>
      </c>
      <c r="BQ187">
        <v>7.92</v>
      </c>
      <c r="BR187">
        <v>9.68</v>
      </c>
      <c r="BS187">
        <v>7.01</v>
      </c>
      <c r="BT187" t="s">
        <v>886</v>
      </c>
      <c r="BU187" t="s">
        <v>2183</v>
      </c>
      <c r="BV187">
        <v>14.19</v>
      </c>
      <c r="BW187">
        <v>10.65</v>
      </c>
      <c r="BX187">
        <v>9.9600000000000009</v>
      </c>
      <c r="BY187">
        <v>4.4400000000000004</v>
      </c>
      <c r="BZ187">
        <v>4.01</v>
      </c>
      <c r="CA187">
        <v>2.65</v>
      </c>
      <c r="CB187">
        <v>-0.95</v>
      </c>
      <c r="CC187">
        <v>-6.11</v>
      </c>
      <c r="CD187" t="s">
        <v>6557</v>
      </c>
      <c r="CE187" t="s">
        <v>6558</v>
      </c>
      <c r="CF187" s="8">
        <v>-0.52156057494866526</v>
      </c>
      <c r="CG187" s="9">
        <v>0.56679999999999997</v>
      </c>
      <c r="CH187" s="8">
        <v>-0.73878926038742065</v>
      </c>
      <c r="CI187" s="8">
        <v>5.064782127737999E-2</v>
      </c>
      <c r="CJ187" s="8">
        <v>0.36935484409332275</v>
      </c>
      <c r="CK187" s="8">
        <v>-8.9574158191680908E-2</v>
      </c>
      <c r="CL187" s="8">
        <v>8.959999680519104E-2</v>
      </c>
      <c r="CM187" s="9">
        <v>-0.46095195412635803</v>
      </c>
      <c r="CN187" s="9">
        <v>0.59222251176834106</v>
      </c>
      <c r="CO187" s="9">
        <v>-0.53858369588851929</v>
      </c>
      <c r="CP187" s="9">
        <v>5.7741022109985352</v>
      </c>
      <c r="CQ187" s="9">
        <v>-1.0281314849853516</v>
      </c>
      <c r="CR187">
        <v>0.67476462846199314</v>
      </c>
      <c r="CS187" t="e">
        <v>#DIV/0!</v>
      </c>
      <c r="CT187">
        <v>2.4096385542168672</v>
      </c>
      <c r="CU187" s="8">
        <v>0</v>
      </c>
      <c r="CV187" s="9">
        <v>0</v>
      </c>
      <c r="CW187">
        <v>0.06</v>
      </c>
      <c r="CX187">
        <v>23.922725036396891</v>
      </c>
      <c r="CY187">
        <v>18208584.905660376</v>
      </c>
      <c r="CZ187">
        <v>0</v>
      </c>
      <c r="DA187">
        <v>8.443137910194606</v>
      </c>
      <c r="DB187">
        <v>51592070.937753975</v>
      </c>
      <c r="DC187">
        <v>0</v>
      </c>
      <c r="DD187">
        <v>4.5896115506451514</v>
      </c>
      <c r="DE187">
        <v>94909768.548662648</v>
      </c>
      <c r="DF187">
        <v>0</v>
      </c>
      <c r="DG187">
        <v>3.0663507601536821</v>
      </c>
      <c r="DH187">
        <v>142057776.18806019</v>
      </c>
      <c r="DI187">
        <v>0</v>
      </c>
      <c r="DJ187">
        <v>1.9676341358276381</v>
      </c>
      <c r="DK187">
        <v>221382096.43164974</v>
      </c>
      <c r="DL187">
        <v>0</v>
      </c>
      <c r="DM187">
        <v>19301100</v>
      </c>
      <c r="DN187">
        <v>0</v>
      </c>
      <c r="DO187">
        <v>435598970</v>
      </c>
      <c r="DP187">
        <v>311644850</v>
      </c>
      <c r="DQ187">
        <v>186</v>
      </c>
      <c r="DR187">
        <v>-0.52156057494866526</v>
      </c>
      <c r="DS187">
        <v>0.56679999999999997</v>
      </c>
      <c r="DT187">
        <v>-0.44</v>
      </c>
      <c r="DU187">
        <v>-0.22</v>
      </c>
      <c r="DV187">
        <v>-0.66</v>
      </c>
      <c r="DW187">
        <v>-2.0611000000000002</v>
      </c>
      <c r="DX187">
        <v>0.26600450196961101</v>
      </c>
      <c r="DY187">
        <v>-2.0070878750703431</v>
      </c>
      <c r="DZ187">
        <v>0</v>
      </c>
      <c r="EA187">
        <v>-2.0070878750703431</v>
      </c>
      <c r="EB187">
        <v>2</v>
      </c>
      <c r="EC187">
        <v>1.505070394811199E-2</v>
      </c>
      <c r="ED187">
        <v>0.12974241251477156</v>
      </c>
      <c r="EE187">
        <v>0</v>
      </c>
      <c r="EF187">
        <v>0</v>
      </c>
      <c r="EG187">
        <v>15.116004501969611</v>
      </c>
      <c r="EH187" t="s">
        <v>86</v>
      </c>
      <c r="EI187">
        <v>0</v>
      </c>
      <c r="EJ187">
        <v>0</v>
      </c>
      <c r="EK187">
        <v>0</v>
      </c>
      <c r="EL187">
        <v>0</v>
      </c>
      <c r="EM187">
        <v>0</v>
      </c>
      <c r="EN187">
        <v>0</v>
      </c>
      <c r="EO187">
        <v>0</v>
      </c>
      <c r="EP187">
        <v>0</v>
      </c>
    </row>
    <row r="188" spans="1:146" ht="96" x14ac:dyDescent="0.25">
      <c r="A188" s="10"/>
      <c r="B188" s="10"/>
      <c r="C188" s="7" t="str">
        <f>""&amp;CHAR(10)&amp;Basic_Fundamental_Information_Constructure(F188)&amp;CHAR(10)&amp;Basic_Fundamental_Information_Concatenate("")</f>
        <v xml:space="preserve">
市值24.305202亿, 利润249.98万; PE; 平均PE1.51, PB7.12; ROIC0%; ROE-58.94%; 股利率0%; 毛利29.3033%; 净利-29.5333%; 上一年度营收增-58.15%, 利润增102.19%; 当季营收增-35.47%, 利润增127.7%; 过往5年营收增0%, 利润增0%
Income profile:
</v>
      </c>
      <c r="D188">
        <v>839493</v>
      </c>
      <c r="E188" t="s">
        <v>2190</v>
      </c>
      <c r="F188">
        <v>41.74</v>
      </c>
      <c r="G188" s="5">
        <v>-2.23</v>
      </c>
      <c r="H188" t="s">
        <v>6559</v>
      </c>
      <c r="I188">
        <v>2430520200</v>
      </c>
      <c r="K188">
        <v>7.12</v>
      </c>
      <c r="L188" t="s">
        <v>2604</v>
      </c>
      <c r="M188" t="s">
        <v>553</v>
      </c>
      <c r="N188" t="s">
        <v>594</v>
      </c>
      <c r="O188" t="s">
        <v>406</v>
      </c>
      <c r="P188">
        <v>32.9</v>
      </c>
      <c r="Q188" t="s">
        <v>406</v>
      </c>
      <c r="R188">
        <v>2499848</v>
      </c>
      <c r="S188" s="5">
        <v>1.2769999999999999</v>
      </c>
      <c r="T188" t="s">
        <v>6560</v>
      </c>
      <c r="U188">
        <v>24985568</v>
      </c>
      <c r="V188">
        <v>58230000</v>
      </c>
      <c r="W188">
        <v>3.14</v>
      </c>
      <c r="X188">
        <v>0.12</v>
      </c>
      <c r="Y188">
        <v>1.33</v>
      </c>
      <c r="Z188" t="s">
        <v>374</v>
      </c>
      <c r="AA188" t="s">
        <v>6561</v>
      </c>
      <c r="AB188" t="s">
        <v>6562</v>
      </c>
      <c r="AC188" t="s">
        <v>6563</v>
      </c>
      <c r="AD188" t="s">
        <v>6564</v>
      </c>
      <c r="AE188">
        <v>2159940</v>
      </c>
      <c r="AF188" t="s">
        <v>17</v>
      </c>
      <c r="AG188">
        <v>1.1299999999999999</v>
      </c>
      <c r="AH188" t="s">
        <v>6565</v>
      </c>
      <c r="AI188" t="s">
        <v>69</v>
      </c>
      <c r="AJ188" t="s">
        <v>9</v>
      </c>
      <c r="AK188" t="s">
        <v>6566</v>
      </c>
      <c r="AL188" t="s">
        <v>6567</v>
      </c>
      <c r="AM188" t="s">
        <v>9</v>
      </c>
      <c r="AN188" t="s">
        <v>6568</v>
      </c>
      <c r="AO188" t="s">
        <v>565</v>
      </c>
      <c r="AP188" t="s">
        <v>9</v>
      </c>
      <c r="AQ188" t="s">
        <v>6569</v>
      </c>
      <c r="AR188" t="s">
        <v>9</v>
      </c>
      <c r="AS188" t="s">
        <v>365</v>
      </c>
      <c r="AT188" t="s">
        <v>9</v>
      </c>
      <c r="AU188" t="s">
        <v>6570</v>
      </c>
      <c r="AV188" t="s">
        <v>6571</v>
      </c>
      <c r="AW188" t="s">
        <v>6572</v>
      </c>
      <c r="AX188" t="s">
        <v>324</v>
      </c>
      <c r="AY188" t="s">
        <v>240</v>
      </c>
      <c r="AZ188" t="s">
        <v>21</v>
      </c>
      <c r="BA188" t="s">
        <v>99</v>
      </c>
      <c r="BB188" t="s">
        <v>2191</v>
      </c>
      <c r="BC188" t="s">
        <v>498</v>
      </c>
      <c r="BD188" t="s">
        <v>2192</v>
      </c>
      <c r="BE188" t="s">
        <v>2193</v>
      </c>
      <c r="BF188" t="s">
        <v>2194</v>
      </c>
      <c r="BG188" t="s">
        <v>2195</v>
      </c>
      <c r="BH188" t="s">
        <v>692</v>
      </c>
      <c r="BI188" t="s">
        <v>453</v>
      </c>
      <c r="BJ188" t="s">
        <v>324</v>
      </c>
      <c r="BK188" t="s">
        <v>6573</v>
      </c>
      <c r="BL188" t="s">
        <v>2196</v>
      </c>
      <c r="BM188" t="s">
        <v>498</v>
      </c>
      <c r="BN188" t="s">
        <v>9</v>
      </c>
      <c r="BO188" t="s">
        <v>9</v>
      </c>
      <c r="BP188" t="s">
        <v>9</v>
      </c>
      <c r="BQ188">
        <v>-52.59</v>
      </c>
      <c r="BR188">
        <v>-65.290000000000006</v>
      </c>
      <c r="BS188" t="s">
        <v>9</v>
      </c>
      <c r="BT188" t="s">
        <v>773</v>
      </c>
      <c r="BU188" t="s">
        <v>888</v>
      </c>
      <c r="BV188">
        <v>25.63</v>
      </c>
      <c r="BW188">
        <v>28.26</v>
      </c>
      <c r="BX188">
        <v>34.020000000000003</v>
      </c>
      <c r="BY188">
        <v>-15.68</v>
      </c>
      <c r="BZ188">
        <v>-35.869999999999997</v>
      </c>
      <c r="CA188">
        <v>-37.049999999999997</v>
      </c>
      <c r="CB188">
        <v>-1.21</v>
      </c>
      <c r="CC188">
        <v>-3.16</v>
      </c>
      <c r="CD188" t="s">
        <v>6574</v>
      </c>
      <c r="CE188" t="s">
        <v>6575</v>
      </c>
      <c r="CF188" s="8">
        <v>-0.35467980295566492</v>
      </c>
      <c r="CG188" s="9">
        <v>1.2769999999999999</v>
      </c>
      <c r="CH188" s="8">
        <v>-0.58146965503692627</v>
      </c>
      <c r="CI188" s="8">
        <v>0.42272728681564331</v>
      </c>
      <c r="CJ188" s="8">
        <v>0.78861790895462036</v>
      </c>
      <c r="CK188" s="8">
        <v>5.128205195069313E-2</v>
      </c>
      <c r="CL188" s="8">
        <v>0.36612978577613831</v>
      </c>
      <c r="CM188" s="9">
        <v>1.021928071975708</v>
      </c>
      <c r="CN188" s="9">
        <v>-0.39565467834472656</v>
      </c>
      <c r="CO188" s="9">
        <v>-1.5559360980987549</v>
      </c>
      <c r="CP188" s="9">
        <v>0.14677268266677856</v>
      </c>
      <c r="CQ188" s="9">
        <v>0.2614702582359314</v>
      </c>
      <c r="CR188">
        <v>1.5051991021355029</v>
      </c>
      <c r="CS188" t="e">
        <v>#DIV/0!</v>
      </c>
      <c r="CT188">
        <v>0</v>
      </c>
      <c r="CU188" s="8">
        <v>0</v>
      </c>
      <c r="CV188" s="9">
        <v>0</v>
      </c>
      <c r="CW188">
        <v>0.06</v>
      </c>
      <c r="CX188">
        <v>1215.9258388671094</v>
      </c>
      <c r="CY188">
        <v>2358301.8867924525</v>
      </c>
      <c r="CZ188">
        <v>0</v>
      </c>
      <c r="DA188">
        <v>429.14130938280067</v>
      </c>
      <c r="DB188">
        <v>6681995.2712641973</v>
      </c>
      <c r="DC188">
        <v>0</v>
      </c>
      <c r="DD188">
        <v>233.27724020995998</v>
      </c>
      <c r="DE188">
        <v>12292327.350148275</v>
      </c>
      <c r="DF188">
        <v>0</v>
      </c>
      <c r="DG188">
        <v>155.85411422102038</v>
      </c>
      <c r="DH188">
        <v>18398745.611126456</v>
      </c>
      <c r="DI188">
        <v>0</v>
      </c>
      <c r="DJ188">
        <v>100.00939205503343</v>
      </c>
      <c r="DK188">
        <v>28672509.062169414</v>
      </c>
      <c r="DL188">
        <v>0</v>
      </c>
      <c r="DM188">
        <v>2499800</v>
      </c>
      <c r="DN188">
        <v>0</v>
      </c>
      <c r="DO188">
        <v>2867520200</v>
      </c>
      <c r="DP188">
        <v>-133214320</v>
      </c>
      <c r="DQ188">
        <v>187</v>
      </c>
      <c r="DR188">
        <v>-0.35467980295566492</v>
      </c>
      <c r="DS188">
        <v>1.2769999999999999</v>
      </c>
      <c r="DT188">
        <v>-0.44</v>
      </c>
      <c r="DU188">
        <v>0.6</v>
      </c>
      <c r="DV188">
        <v>0.15999999999999998</v>
      </c>
      <c r="DW188">
        <v>-1.0316000000000001</v>
      </c>
      <c r="DX188">
        <v>0.25528956364367505</v>
      </c>
      <c r="DY188">
        <v>-1.0030111502111401</v>
      </c>
      <c r="DZ188">
        <v>0</v>
      </c>
      <c r="EA188">
        <v>-1.0030111502111401</v>
      </c>
      <c r="EB188">
        <v>1</v>
      </c>
      <c r="EC188">
        <v>1.95311695002576E-2</v>
      </c>
      <c r="ED188">
        <v>0.20496651210716127</v>
      </c>
      <c r="EE188">
        <v>0</v>
      </c>
      <c r="EF188">
        <v>0</v>
      </c>
      <c r="EG188">
        <v>16.095289563643675</v>
      </c>
      <c r="EH188" t="s">
        <v>86</v>
      </c>
      <c r="EI188">
        <v>0</v>
      </c>
      <c r="EJ188">
        <v>0</v>
      </c>
      <c r="EK188">
        <v>0</v>
      </c>
      <c r="EL188">
        <v>0</v>
      </c>
      <c r="EM188">
        <v>0</v>
      </c>
      <c r="EN188">
        <v>0</v>
      </c>
      <c r="EO188">
        <v>0</v>
      </c>
      <c r="EP188">
        <v>0</v>
      </c>
    </row>
    <row r="189" spans="1:146" ht="96" x14ac:dyDescent="0.25">
      <c r="A189" s="10"/>
      <c r="B189" s="10"/>
      <c r="C189" s="7" t="str">
        <f>""&amp;CHAR(10)&amp;Basic_Fundamental_Information_Constructure(F189)&amp;CHAR(10)&amp;Basic_Fundamental_Information_Concatenate("")</f>
        <v xml:space="preserve">
市值8.1806878亿, 利润-1158.26万; PE19.48; 平均PE2.29, PB1.25; ROIC8.7%; ROE10.58%; 股利率.4095%; 毛利44.7267%; 净利18.1033%; 上一年度营收增-95.53%, 利润增-118.39%; 当季营收增-85.78%, 利润增-53.22%; 过往5年营收增0%, 利润增0%
Income profile:
</v>
      </c>
      <c r="D189">
        <v>839680</v>
      </c>
      <c r="E189" t="s">
        <v>2197</v>
      </c>
      <c r="F189">
        <v>12.21</v>
      </c>
      <c r="G189" s="5">
        <v>-2.3199999999999998</v>
      </c>
      <c r="H189" t="s">
        <v>1668</v>
      </c>
      <c r="I189">
        <v>818068780</v>
      </c>
      <c r="J189">
        <v>19.48</v>
      </c>
      <c r="K189">
        <v>1.25</v>
      </c>
      <c r="L189" t="s">
        <v>2604</v>
      </c>
      <c r="M189" t="s">
        <v>63</v>
      </c>
      <c r="N189" t="s">
        <v>3148</v>
      </c>
      <c r="O189" t="s">
        <v>6576</v>
      </c>
      <c r="P189">
        <v>7.4</v>
      </c>
      <c r="Q189" t="s">
        <v>6576</v>
      </c>
      <c r="R189">
        <v>-11582581</v>
      </c>
      <c r="S189" s="5">
        <v>-0.53220000000000001</v>
      </c>
      <c r="T189" t="s">
        <v>6577</v>
      </c>
      <c r="U189">
        <v>46893344</v>
      </c>
      <c r="V189">
        <v>66999900</v>
      </c>
      <c r="W189">
        <v>1.18</v>
      </c>
      <c r="X189">
        <v>0.02</v>
      </c>
      <c r="Y189">
        <v>-86.21</v>
      </c>
      <c r="Z189" t="s">
        <v>6578</v>
      </c>
      <c r="AA189" t="s">
        <v>6579</v>
      </c>
      <c r="AB189" t="s">
        <v>6580</v>
      </c>
      <c r="AC189" t="s">
        <v>6581</v>
      </c>
      <c r="AD189" t="s">
        <v>6582</v>
      </c>
      <c r="AE189">
        <v>663010</v>
      </c>
      <c r="AF189" t="s">
        <v>17</v>
      </c>
      <c r="AG189" t="s">
        <v>6583</v>
      </c>
      <c r="AH189" t="s">
        <v>6584</v>
      </c>
      <c r="AI189" t="s">
        <v>100</v>
      </c>
      <c r="AJ189" t="s">
        <v>9</v>
      </c>
      <c r="AK189" t="s">
        <v>6585</v>
      </c>
      <c r="AL189" t="s">
        <v>6586</v>
      </c>
      <c r="AM189" t="s">
        <v>9</v>
      </c>
      <c r="AN189">
        <v>0</v>
      </c>
      <c r="AO189" t="s">
        <v>6587</v>
      </c>
      <c r="AP189" t="s">
        <v>9</v>
      </c>
      <c r="AQ189" t="s">
        <v>6588</v>
      </c>
      <c r="AR189" t="s">
        <v>6589</v>
      </c>
      <c r="AS189" t="s">
        <v>72</v>
      </c>
      <c r="AT189" t="s">
        <v>9</v>
      </c>
      <c r="AU189" t="s">
        <v>6590</v>
      </c>
      <c r="AV189" t="s">
        <v>6591</v>
      </c>
      <c r="AW189" t="s">
        <v>6592</v>
      </c>
      <c r="AX189" t="s">
        <v>1039</v>
      </c>
      <c r="AY189" t="s">
        <v>432</v>
      </c>
      <c r="AZ189" t="s">
        <v>1000</v>
      </c>
      <c r="BA189" t="s">
        <v>286</v>
      </c>
      <c r="BB189" t="s">
        <v>108</v>
      </c>
      <c r="BC189" t="s">
        <v>6593</v>
      </c>
      <c r="BD189" t="s">
        <v>2199</v>
      </c>
      <c r="BE189" t="s">
        <v>2200</v>
      </c>
      <c r="BF189" t="s">
        <v>2201</v>
      </c>
      <c r="BG189" t="s">
        <v>2202</v>
      </c>
      <c r="BH189" t="s">
        <v>158</v>
      </c>
      <c r="BI189" t="s">
        <v>2203</v>
      </c>
      <c r="BJ189" t="s">
        <v>1039</v>
      </c>
      <c r="BK189" t="s">
        <v>6594</v>
      </c>
      <c r="BL189" t="s">
        <v>2204</v>
      </c>
      <c r="BM189" t="s">
        <v>6593</v>
      </c>
      <c r="BN189">
        <v>5.8</v>
      </c>
      <c r="BO189">
        <v>9.36</v>
      </c>
      <c r="BP189">
        <v>10.94</v>
      </c>
      <c r="BQ189">
        <v>6.42</v>
      </c>
      <c r="BR189">
        <v>10.43</v>
      </c>
      <c r="BS189">
        <v>14.89</v>
      </c>
      <c r="BT189" t="s">
        <v>985</v>
      </c>
      <c r="BU189" t="s">
        <v>927</v>
      </c>
      <c r="BV189">
        <v>42.83</v>
      </c>
      <c r="BW189">
        <v>46.39</v>
      </c>
      <c r="BX189">
        <v>44.96</v>
      </c>
      <c r="BY189">
        <v>15.28</v>
      </c>
      <c r="BZ189">
        <v>20.47</v>
      </c>
      <c r="CA189">
        <v>18.559999999999999</v>
      </c>
      <c r="CB189">
        <v>4.09</v>
      </c>
      <c r="CC189">
        <v>-7.85</v>
      </c>
      <c r="CD189" t="s">
        <v>6595</v>
      </c>
      <c r="CE189" t="s">
        <v>6596</v>
      </c>
      <c r="CF189" s="8">
        <v>-0.85778000902198748</v>
      </c>
      <c r="CG189" s="9">
        <v>-0.53220000000000001</v>
      </c>
      <c r="CH189" s="8">
        <v>-0.95528459548950195</v>
      </c>
      <c r="CI189" s="8">
        <v>5.517241358757019E-2</v>
      </c>
      <c r="CJ189" s="8">
        <v>0.28318583965301514</v>
      </c>
      <c r="CK189" s="8">
        <v>0.12437810748815536</v>
      </c>
      <c r="CL189" s="8">
        <v>0.22560974955558777</v>
      </c>
      <c r="CM189" s="9">
        <v>-1.183854341506958</v>
      </c>
      <c r="CN189" s="9">
        <v>0.16957922279834747</v>
      </c>
      <c r="CO189" s="9">
        <v>0.13649694621562958</v>
      </c>
      <c r="CP189" s="9">
        <v>0.12066055089235306</v>
      </c>
      <c r="CQ189" s="9">
        <v>0.14438094198703766</v>
      </c>
      <c r="CR189">
        <v>2.2851411968635862</v>
      </c>
      <c r="CS189" t="e">
        <v>#DIV/0!</v>
      </c>
      <c r="CT189">
        <v>0.40950040950040945</v>
      </c>
      <c r="CU189" s="8">
        <v>0</v>
      </c>
      <c r="CV189" s="9">
        <v>0</v>
      </c>
      <c r="CW189">
        <v>0.06</v>
      </c>
      <c r="CX189" t="e">
        <v>#VALUE!</v>
      </c>
      <c r="CY189" t="s">
        <v>85</v>
      </c>
      <c r="CZ189">
        <v>0</v>
      </c>
      <c r="DA189" t="e">
        <v>#VALUE!</v>
      </c>
      <c r="DB189" t="s">
        <v>84</v>
      </c>
      <c r="DC189">
        <v>0</v>
      </c>
      <c r="DD189" t="e">
        <v>#VALUE!</v>
      </c>
      <c r="DE189" t="s">
        <v>84</v>
      </c>
      <c r="DF189">
        <v>0</v>
      </c>
      <c r="DG189" t="e">
        <v>#VALUE!</v>
      </c>
      <c r="DH189" t="s">
        <v>84</v>
      </c>
      <c r="DI189">
        <v>0</v>
      </c>
      <c r="DJ189" t="e">
        <v>#VALUE!</v>
      </c>
      <c r="DK189" t="s">
        <v>84</v>
      </c>
      <c r="DL189">
        <v>0</v>
      </c>
      <c r="DM189">
        <v>-11582600</v>
      </c>
      <c r="DN189">
        <v>0</v>
      </c>
      <c r="DO189">
        <v>270068780</v>
      </c>
      <c r="DP189">
        <v>563554200</v>
      </c>
      <c r="DQ189">
        <v>188</v>
      </c>
      <c r="DR189">
        <v>-0.85778000902198748</v>
      </c>
      <c r="DS189">
        <v>-0.53220000000000001</v>
      </c>
      <c r="DT189">
        <v>-0.44</v>
      </c>
      <c r="DU189" t="e">
        <v>#VALUE!</v>
      </c>
      <c r="DV189" t="e">
        <v>#VALUE!</v>
      </c>
      <c r="DW189">
        <v>6.3425460636515911</v>
      </c>
      <c r="DX189">
        <v>0.45585097812704345</v>
      </c>
      <c r="DY189">
        <v>6.0807898241657963</v>
      </c>
      <c r="DZ189">
        <v>0</v>
      </c>
      <c r="EA189">
        <v>6.0807898241657963</v>
      </c>
      <c r="EB189">
        <v>6</v>
      </c>
      <c r="EC189">
        <v>0.11579420267791446</v>
      </c>
      <c r="ED189">
        <v>0.49096341934838711</v>
      </c>
      <c r="EE189">
        <v>0</v>
      </c>
      <c r="EF189">
        <v>0</v>
      </c>
      <c r="EG189">
        <v>22.235850978127043</v>
      </c>
      <c r="EH189" t="s">
        <v>86</v>
      </c>
      <c r="EI189">
        <v>0</v>
      </c>
      <c r="EJ189">
        <v>0</v>
      </c>
      <c r="EK189">
        <v>0</v>
      </c>
      <c r="EL189">
        <v>0</v>
      </c>
      <c r="EM189">
        <v>0</v>
      </c>
      <c r="EN189">
        <v>0</v>
      </c>
      <c r="EO189">
        <v>0</v>
      </c>
      <c r="EP189">
        <v>0</v>
      </c>
    </row>
    <row r="190" spans="1:146" ht="96" x14ac:dyDescent="0.25">
      <c r="A190" s="10"/>
      <c r="B190" s="10"/>
      <c r="C190" s="7" t="str">
        <f>""&amp;CHAR(10)&amp;Basic_Fundamental_Information_Constructure(F190)&amp;CHAR(10)&amp;Basic_Fundamental_Information_Concatenate("")</f>
        <v xml:space="preserve">
市值7.8943203亿, 利润-754.00万; PE30.32; 平均PE30.7, PB.839; ROIC10.6167%; ROE12.19%; 股利率1.1792%; 毛利30.99%; 净利16.1433%; 上一年度营收增-83.22%, 利润增-108.23%; 当季营收增-73.5%, 利润增-130.3%; 过往5年营收增0%, 利润增0%
Income profile:
</v>
      </c>
      <c r="D190">
        <v>839719</v>
      </c>
      <c r="E190" t="s">
        <v>2205</v>
      </c>
      <c r="F190">
        <v>8.48</v>
      </c>
      <c r="G190" s="5">
        <v>-1.4</v>
      </c>
      <c r="H190" t="s">
        <v>6597</v>
      </c>
      <c r="I190">
        <v>789432030</v>
      </c>
      <c r="J190">
        <v>30.32</v>
      </c>
      <c r="K190">
        <v>0.83899999999999997</v>
      </c>
      <c r="L190" t="s">
        <v>2604</v>
      </c>
      <c r="M190" t="s">
        <v>6598</v>
      </c>
      <c r="N190" t="s">
        <v>6599</v>
      </c>
      <c r="O190" t="s">
        <v>6600</v>
      </c>
      <c r="P190">
        <v>-48.75</v>
      </c>
      <c r="Q190" t="s">
        <v>6600</v>
      </c>
      <c r="R190">
        <v>-7539962</v>
      </c>
      <c r="S190" s="5">
        <v>-1.3029999999999999</v>
      </c>
      <c r="T190" t="s">
        <v>6601</v>
      </c>
      <c r="U190">
        <v>65032418</v>
      </c>
      <c r="V190">
        <v>93093400</v>
      </c>
      <c r="W190">
        <v>1.98</v>
      </c>
      <c r="X190">
        <v>0.05</v>
      </c>
      <c r="Y190">
        <v>-7.48</v>
      </c>
      <c r="Z190" t="s">
        <v>18</v>
      </c>
      <c r="AA190" t="s">
        <v>6602</v>
      </c>
      <c r="AB190" t="s">
        <v>6603</v>
      </c>
      <c r="AC190" t="s">
        <v>6604</v>
      </c>
      <c r="AD190" t="s">
        <v>6605</v>
      </c>
      <c r="AE190">
        <v>9308051</v>
      </c>
      <c r="AF190" t="s">
        <v>6606</v>
      </c>
      <c r="AG190" t="s">
        <v>6607</v>
      </c>
      <c r="AH190" t="s">
        <v>6608</v>
      </c>
      <c r="AI190" t="s">
        <v>6609</v>
      </c>
      <c r="AJ190" t="s">
        <v>9</v>
      </c>
      <c r="AK190" t="s">
        <v>6610</v>
      </c>
      <c r="AL190" t="s">
        <v>6611</v>
      </c>
      <c r="AM190" t="s">
        <v>9</v>
      </c>
      <c r="AN190" t="s">
        <v>374</v>
      </c>
      <c r="AO190" t="s">
        <v>421</v>
      </c>
      <c r="AP190" t="s">
        <v>6612</v>
      </c>
      <c r="AQ190" t="s">
        <v>6613</v>
      </c>
      <c r="AR190" t="s">
        <v>6614</v>
      </c>
      <c r="AS190" t="s">
        <v>490</v>
      </c>
      <c r="AT190" t="s">
        <v>597</v>
      </c>
      <c r="AU190" t="s">
        <v>6615</v>
      </c>
      <c r="AV190" t="s">
        <v>6616</v>
      </c>
      <c r="AW190" t="s">
        <v>6617</v>
      </c>
      <c r="AX190" t="s">
        <v>567</v>
      </c>
      <c r="AY190" t="s">
        <v>261</v>
      </c>
      <c r="AZ190" t="s">
        <v>597</v>
      </c>
      <c r="BA190" t="s">
        <v>65</v>
      </c>
      <c r="BB190" t="s">
        <v>34</v>
      </c>
      <c r="BC190" t="s">
        <v>6618</v>
      </c>
      <c r="BD190" t="s">
        <v>2207</v>
      </c>
      <c r="BE190" t="s">
        <v>2208</v>
      </c>
      <c r="BF190" t="s">
        <v>2209</v>
      </c>
      <c r="BG190" t="s">
        <v>2210</v>
      </c>
      <c r="BH190" t="s">
        <v>1043</v>
      </c>
      <c r="BI190" t="s">
        <v>616</v>
      </c>
      <c r="BJ190" t="s">
        <v>567</v>
      </c>
      <c r="BK190" t="s">
        <v>6619</v>
      </c>
      <c r="BL190" t="s">
        <v>2211</v>
      </c>
      <c r="BM190" t="s">
        <v>6618</v>
      </c>
      <c r="BN190">
        <v>6.17</v>
      </c>
      <c r="BO190">
        <v>12.27</v>
      </c>
      <c r="BP190">
        <v>13.41</v>
      </c>
      <c r="BQ190">
        <v>7.35</v>
      </c>
      <c r="BR190">
        <v>17.03</v>
      </c>
      <c r="BS190" t="s">
        <v>9</v>
      </c>
      <c r="BT190" t="s">
        <v>886</v>
      </c>
      <c r="BU190" t="s">
        <v>2206</v>
      </c>
      <c r="BV190">
        <v>24.15</v>
      </c>
      <c r="BW190">
        <v>32.33</v>
      </c>
      <c r="BX190">
        <v>36.49</v>
      </c>
      <c r="BY190">
        <v>9.8699999999999992</v>
      </c>
      <c r="BZ190">
        <v>17.63</v>
      </c>
      <c r="CA190">
        <v>20.93</v>
      </c>
      <c r="CB190">
        <v>1.92</v>
      </c>
      <c r="CC190">
        <v>2.79</v>
      </c>
      <c r="CD190" t="s">
        <v>6620</v>
      </c>
      <c r="CE190" t="s">
        <v>6621</v>
      </c>
      <c r="CF190" s="8">
        <v>-0.73496164772727268</v>
      </c>
      <c r="CG190" s="9">
        <v>-1.3029999999999999</v>
      </c>
      <c r="CH190" s="8">
        <v>-0.83220595121383667</v>
      </c>
      <c r="CI190" s="8">
        <v>0.47089946269989014</v>
      </c>
      <c r="CJ190" s="8">
        <v>0.57499998807907104</v>
      </c>
      <c r="CK190" s="8">
        <v>4.8034936189651489E-2</v>
      </c>
      <c r="CL190" s="8">
        <v>0.31609195470809937</v>
      </c>
      <c r="CM190" s="9">
        <v>-1.0822529792785645</v>
      </c>
      <c r="CN190" s="9">
        <v>0.24134388566017151</v>
      </c>
      <c r="CO190" s="9">
        <v>0.67344075441360474</v>
      </c>
      <c r="CP190" s="9">
        <v>-8.2609869539737701E-2</v>
      </c>
      <c r="CQ190" s="9">
        <v>-3.3545233309268951E-2</v>
      </c>
      <c r="CR190">
        <v>30.704794236829091</v>
      </c>
      <c r="CS190" t="e">
        <v>#DIV/0!</v>
      </c>
      <c r="CT190">
        <v>1.1792452830188678</v>
      </c>
      <c r="CU190" s="8">
        <v>0</v>
      </c>
      <c r="CV190" s="9">
        <v>0</v>
      </c>
      <c r="CW190">
        <v>0.06</v>
      </c>
      <c r="CX190" t="e">
        <v>#VALUE!</v>
      </c>
      <c r="CY190" t="s">
        <v>85</v>
      </c>
      <c r="CZ190">
        <v>0</v>
      </c>
      <c r="DA190" t="e">
        <v>#VALUE!</v>
      </c>
      <c r="DB190" t="s">
        <v>84</v>
      </c>
      <c r="DC190">
        <v>0</v>
      </c>
      <c r="DD190" t="e">
        <v>#VALUE!</v>
      </c>
      <c r="DE190" t="s">
        <v>84</v>
      </c>
      <c r="DF190">
        <v>0</v>
      </c>
      <c r="DG190" t="e">
        <v>#VALUE!</v>
      </c>
      <c r="DH190" t="s">
        <v>84</v>
      </c>
      <c r="DI190">
        <v>0</v>
      </c>
      <c r="DJ190" t="e">
        <v>#VALUE!</v>
      </c>
      <c r="DK190" t="s">
        <v>84</v>
      </c>
      <c r="DL190">
        <v>0</v>
      </c>
      <c r="DM190">
        <v>-7540000</v>
      </c>
      <c r="DN190">
        <v>0</v>
      </c>
      <c r="DO190">
        <v>761432030</v>
      </c>
      <c r="DP190">
        <v>383134380</v>
      </c>
      <c r="DQ190">
        <v>189</v>
      </c>
      <c r="DR190">
        <v>-0.73496164772727268</v>
      </c>
      <c r="DS190">
        <v>-1.3029999999999999</v>
      </c>
      <c r="DT190">
        <v>-0.44</v>
      </c>
      <c r="DU190" t="e">
        <v>#VALUE!</v>
      </c>
      <c r="DV190" t="e">
        <v>#VALUE!</v>
      </c>
      <c r="DW190">
        <v>1.0279</v>
      </c>
      <c r="DX190">
        <v>0.35924669889602329</v>
      </c>
      <c r="DY190">
        <v>1.004442982899199</v>
      </c>
      <c r="DZ190">
        <v>0</v>
      </c>
      <c r="EA190">
        <v>1.004442982899199</v>
      </c>
      <c r="EB190">
        <v>1</v>
      </c>
      <c r="EC190">
        <v>4.2673272219083201E-2</v>
      </c>
      <c r="ED190">
        <v>0.26796958753252109</v>
      </c>
      <c r="EE190">
        <v>0</v>
      </c>
      <c r="EF190">
        <v>0</v>
      </c>
      <c r="EG190">
        <v>20.159246698896023</v>
      </c>
      <c r="EH190" t="s">
        <v>86</v>
      </c>
      <c r="EI190">
        <v>0</v>
      </c>
      <c r="EJ190">
        <v>0</v>
      </c>
      <c r="EK190">
        <v>0</v>
      </c>
      <c r="EL190">
        <v>0</v>
      </c>
      <c r="EM190">
        <v>0</v>
      </c>
      <c r="EN190">
        <v>0</v>
      </c>
      <c r="EO190">
        <v>0</v>
      </c>
      <c r="EP190">
        <v>0</v>
      </c>
    </row>
    <row r="191" spans="1:146" ht="108" x14ac:dyDescent="0.25">
      <c r="A191" s="10"/>
      <c r="B191" s="10"/>
      <c r="C191" s="7" t="str">
        <f>""&amp;CHAR(10)&amp;Basic_Fundamental_Information_Constructure(F191)&amp;CHAR(10)&amp;Basic_Fundamental_Information_Concatenate("")</f>
        <v xml:space="preserve">
市值9.35415亿, 利润215.73万; PE17.17; 平均PE295.58, PB1.46; ROIC17.5333%; ROE20.1367%; 股利率1.4793%; 毛利32.6267%; 净利19.2267%; 上一年度营收增-85.64%, 利润增-97.07%; 当季营收增-76.9%, 利润增-87.72%; 过往5年营收增0%, 利润增0%
Income profile:
</v>
      </c>
      <c r="D191">
        <v>839725</v>
      </c>
      <c r="E191" t="s">
        <v>2212</v>
      </c>
      <c r="F191">
        <v>10.14</v>
      </c>
      <c r="G191" s="5">
        <v>0</v>
      </c>
      <c r="H191" t="s">
        <v>6622</v>
      </c>
      <c r="I191">
        <v>935415000</v>
      </c>
      <c r="J191">
        <v>17.170000000000002</v>
      </c>
      <c r="K191">
        <v>1.46</v>
      </c>
      <c r="L191" t="s">
        <v>2604</v>
      </c>
      <c r="M191" t="s">
        <v>489</v>
      </c>
      <c r="N191" t="s">
        <v>583</v>
      </c>
      <c r="O191" t="s">
        <v>6623</v>
      </c>
      <c r="P191">
        <v>-43.08</v>
      </c>
      <c r="Q191" t="s">
        <v>6623</v>
      </c>
      <c r="R191">
        <v>2157300</v>
      </c>
      <c r="S191" s="5">
        <v>-0.87719999999999998</v>
      </c>
      <c r="T191" t="s">
        <v>6624</v>
      </c>
      <c r="U191">
        <v>42077762</v>
      </c>
      <c r="V191">
        <v>92250000</v>
      </c>
      <c r="W191">
        <v>1.35</v>
      </c>
      <c r="X191">
        <v>7.0000000000000007E-2</v>
      </c>
      <c r="Y191">
        <v>3.85</v>
      </c>
      <c r="Z191" t="s">
        <v>6625</v>
      </c>
      <c r="AA191" t="s">
        <v>6626</v>
      </c>
      <c r="AB191" t="s">
        <v>6627</v>
      </c>
      <c r="AC191" t="s">
        <v>6628</v>
      </c>
      <c r="AD191" t="s">
        <v>6629</v>
      </c>
      <c r="AE191">
        <v>510604</v>
      </c>
      <c r="AF191" t="s">
        <v>6630</v>
      </c>
      <c r="AG191">
        <v>6584.64</v>
      </c>
      <c r="AH191" t="s">
        <v>6631</v>
      </c>
      <c r="AI191" t="s">
        <v>6632</v>
      </c>
      <c r="AJ191" t="s">
        <v>9</v>
      </c>
      <c r="AK191" t="s">
        <v>6633</v>
      </c>
      <c r="AL191" t="s">
        <v>6634</v>
      </c>
      <c r="AM191" t="s">
        <v>9</v>
      </c>
      <c r="AN191">
        <v>0</v>
      </c>
      <c r="AO191" t="s">
        <v>6635</v>
      </c>
      <c r="AP191" t="s">
        <v>6636</v>
      </c>
      <c r="AQ191" t="s">
        <v>6637</v>
      </c>
      <c r="AR191" t="s">
        <v>9</v>
      </c>
      <c r="AS191" t="s">
        <v>91</v>
      </c>
      <c r="AT191" t="s">
        <v>6638</v>
      </c>
      <c r="AU191" t="s">
        <v>6639</v>
      </c>
      <c r="AV191" t="s">
        <v>6640</v>
      </c>
      <c r="AW191" t="s">
        <v>6641</v>
      </c>
      <c r="AX191" t="s">
        <v>347</v>
      </c>
      <c r="AY191" t="s">
        <v>554</v>
      </c>
      <c r="AZ191" t="s">
        <v>253</v>
      </c>
      <c r="BA191" t="s">
        <v>518</v>
      </c>
      <c r="BB191" t="s">
        <v>464</v>
      </c>
      <c r="BC191" t="s">
        <v>6642</v>
      </c>
      <c r="BD191" t="s">
        <v>2213</v>
      </c>
      <c r="BE191" t="s">
        <v>2214</v>
      </c>
      <c r="BF191" t="s">
        <v>2215</v>
      </c>
      <c r="BG191" t="s">
        <v>2216</v>
      </c>
      <c r="BH191" t="s">
        <v>692</v>
      </c>
      <c r="BI191" t="s">
        <v>516</v>
      </c>
      <c r="BJ191" t="s">
        <v>347</v>
      </c>
      <c r="BK191" t="s">
        <v>6643</v>
      </c>
      <c r="BL191" t="s">
        <v>2217</v>
      </c>
      <c r="BM191" t="s">
        <v>6642</v>
      </c>
      <c r="BN191">
        <v>7.68</v>
      </c>
      <c r="BO191">
        <v>17.350000000000001</v>
      </c>
      <c r="BP191">
        <v>27.57</v>
      </c>
      <c r="BQ191">
        <v>8.18</v>
      </c>
      <c r="BR191">
        <v>19.739999999999998</v>
      </c>
      <c r="BS191">
        <v>32.49</v>
      </c>
      <c r="BT191" t="s">
        <v>1006</v>
      </c>
      <c r="BU191" t="s">
        <v>1929</v>
      </c>
      <c r="BV191">
        <v>27.28</v>
      </c>
      <c r="BW191">
        <v>29.5</v>
      </c>
      <c r="BX191">
        <v>41.1</v>
      </c>
      <c r="BY191">
        <v>14.34</v>
      </c>
      <c r="BZ191">
        <v>17.39</v>
      </c>
      <c r="CA191">
        <v>25.95</v>
      </c>
      <c r="CB191">
        <v>1.81</v>
      </c>
      <c r="CC191">
        <v>-11.29</v>
      </c>
      <c r="CD191" t="s">
        <v>6644</v>
      </c>
      <c r="CE191" t="s">
        <v>6645</v>
      </c>
      <c r="CF191" s="8">
        <v>-0.76898320895522387</v>
      </c>
      <c r="CG191" s="9">
        <v>-0.87719999999999998</v>
      </c>
      <c r="CH191" s="8">
        <v>-0.85635149478912354</v>
      </c>
      <c r="CI191" s="8">
        <v>0.96803653240203857</v>
      </c>
      <c r="CJ191" s="8">
        <v>0.54225349426269531</v>
      </c>
      <c r="CK191" s="8">
        <v>0.302752286195755</v>
      </c>
      <c r="CL191" s="8">
        <v>-0.25342464447021484</v>
      </c>
      <c r="CM191" s="9">
        <v>-0.97066152095794678</v>
      </c>
      <c r="CN191" s="9">
        <v>0.31277287006378174</v>
      </c>
      <c r="CO191" s="9">
        <v>0.73020273447036743</v>
      </c>
      <c r="CP191" s="9">
        <v>1.032203197479248</v>
      </c>
      <c r="CQ191" s="9">
        <v>-0.5927201509475708</v>
      </c>
      <c r="CR191">
        <v>295.58400657264139</v>
      </c>
      <c r="CS191" t="e">
        <v>#DIV/0!</v>
      </c>
      <c r="CT191">
        <v>1.4792899408284024</v>
      </c>
      <c r="CU191" s="8">
        <v>0</v>
      </c>
      <c r="CV191" s="9">
        <v>0</v>
      </c>
      <c r="CW191">
        <v>0.06</v>
      </c>
      <c r="CX191">
        <v>246.86408937097298</v>
      </c>
      <c r="CY191">
        <v>2035188.6792452829</v>
      </c>
      <c r="CZ191">
        <v>0</v>
      </c>
      <c r="DA191">
        <v>87.12667760309877</v>
      </c>
      <c r="DB191">
        <v>5766488.678573587</v>
      </c>
      <c r="DC191">
        <v>0</v>
      </c>
      <c r="DD191">
        <v>47.361254802398655</v>
      </c>
      <c r="DE191">
        <v>10608143.768491428</v>
      </c>
      <c r="DF191">
        <v>0</v>
      </c>
      <c r="DG191">
        <v>31.642377151668359</v>
      </c>
      <c r="DH191">
        <v>15877915.796016922</v>
      </c>
      <c r="DI191">
        <v>0</v>
      </c>
      <c r="DJ191">
        <v>20.304468174813351</v>
      </c>
      <c r="DK191">
        <v>24744061.044810817</v>
      </c>
      <c r="DL191">
        <v>0</v>
      </c>
      <c r="DM191">
        <v>2157300</v>
      </c>
      <c r="DN191">
        <v>0</v>
      </c>
      <c r="DO191">
        <v>502415000</v>
      </c>
      <c r="DP191">
        <v>536691630</v>
      </c>
      <c r="DQ191">
        <v>190</v>
      </c>
      <c r="DR191">
        <v>-0.76898320895522387</v>
      </c>
      <c r="DS191">
        <v>-0.87719999999999998</v>
      </c>
      <c r="DT191">
        <v>-0.44</v>
      </c>
      <c r="DU191">
        <v>-0.44</v>
      </c>
      <c r="DV191">
        <v>-0.88</v>
      </c>
      <c r="DW191">
        <v>-2.1128999999999998</v>
      </c>
      <c r="DX191">
        <v>0.44387128989733554</v>
      </c>
      <c r="DY191">
        <v>-2.0151140686294093</v>
      </c>
      <c r="DZ191">
        <v>0</v>
      </c>
      <c r="EA191">
        <v>-2.0151140686294093</v>
      </c>
      <c r="EB191">
        <v>2</v>
      </c>
      <c r="EC191">
        <v>1.8163685636856369E-2</v>
      </c>
      <c r="ED191">
        <v>0.13568021680216802</v>
      </c>
      <c r="EE191">
        <v>0</v>
      </c>
      <c r="EF191">
        <v>0</v>
      </c>
      <c r="EG191">
        <v>31.133871289897336</v>
      </c>
      <c r="EH191" t="s">
        <v>86</v>
      </c>
      <c r="EI191">
        <v>0</v>
      </c>
      <c r="EJ191">
        <v>0</v>
      </c>
      <c r="EK191">
        <v>0</v>
      </c>
      <c r="EL191">
        <v>0</v>
      </c>
      <c r="EM191">
        <v>0</v>
      </c>
      <c r="EN191">
        <v>0</v>
      </c>
      <c r="EO191">
        <v>0</v>
      </c>
      <c r="EP191">
        <v>0</v>
      </c>
    </row>
    <row r="192" spans="1:146" ht="108" x14ac:dyDescent="0.25">
      <c r="A192" s="10"/>
      <c r="B192" s="10"/>
      <c r="C192" s="7" t="str">
        <f>""&amp;CHAR(10)&amp;Basic_Fundamental_Information_Constructure(F192)&amp;CHAR(10)&amp;Basic_Fundamental_Information_Concatenate("")</f>
        <v xml:space="preserve">
市值14.624225亿, 利润837.45万; PE32.11; 平均PE-38.35, PB2.16; ROIC10.2033%; ROE11.3733%; 股利率3.3645%; 毛利62.9267%; 净利22.7567%; 上一年度营收增-80.95%, 利润增-90.28%; 当季营收增-56.54%, 利润增-59.92%; 过往5年营收增0%, 利润增0%
Income profile:
</v>
      </c>
      <c r="D192">
        <v>839729</v>
      </c>
      <c r="E192" t="s">
        <v>2218</v>
      </c>
      <c r="F192">
        <v>5.35</v>
      </c>
      <c r="G192" s="5">
        <v>-1.47</v>
      </c>
      <c r="H192" t="s">
        <v>6646</v>
      </c>
      <c r="I192">
        <v>1462422500</v>
      </c>
      <c r="J192">
        <v>32.11</v>
      </c>
      <c r="K192">
        <v>2.16</v>
      </c>
      <c r="L192" t="s">
        <v>2604</v>
      </c>
      <c r="M192" t="s">
        <v>256</v>
      </c>
      <c r="N192" t="s">
        <v>1042</v>
      </c>
      <c r="O192" t="s">
        <v>6647</v>
      </c>
      <c r="P192">
        <v>-18</v>
      </c>
      <c r="Q192" t="s">
        <v>6647</v>
      </c>
      <c r="R192">
        <v>8374512</v>
      </c>
      <c r="S192" s="5">
        <v>-0.59919999999999995</v>
      </c>
      <c r="T192" t="s">
        <v>6648</v>
      </c>
      <c r="U192">
        <v>80244567</v>
      </c>
      <c r="V192">
        <v>273350000</v>
      </c>
      <c r="W192">
        <v>1.18</v>
      </c>
      <c r="X192">
        <v>0.08</v>
      </c>
      <c r="Y192">
        <v>12.59</v>
      </c>
      <c r="Z192" t="s">
        <v>6649</v>
      </c>
      <c r="AA192" t="s">
        <v>6650</v>
      </c>
      <c r="AB192" t="s">
        <v>6651</v>
      </c>
      <c r="AC192" t="s">
        <v>1718</v>
      </c>
      <c r="AD192" t="s">
        <v>6652</v>
      </c>
      <c r="AE192">
        <v>991930</v>
      </c>
      <c r="AF192" t="s">
        <v>6653</v>
      </c>
      <c r="AG192" t="s">
        <v>6654</v>
      </c>
      <c r="AH192" t="s">
        <v>6655</v>
      </c>
      <c r="AI192" t="s">
        <v>639</v>
      </c>
      <c r="AJ192" t="s">
        <v>9</v>
      </c>
      <c r="AK192" t="s">
        <v>6656</v>
      </c>
      <c r="AL192" t="s">
        <v>6657</v>
      </c>
      <c r="AM192" t="s">
        <v>9</v>
      </c>
      <c r="AN192" t="s">
        <v>6658</v>
      </c>
      <c r="AO192" t="s">
        <v>6659</v>
      </c>
      <c r="AP192" t="s">
        <v>9</v>
      </c>
      <c r="AQ192" t="s">
        <v>6660</v>
      </c>
      <c r="AR192" t="s">
        <v>9</v>
      </c>
      <c r="AS192" t="s">
        <v>272</v>
      </c>
      <c r="AT192" t="s">
        <v>9</v>
      </c>
      <c r="AU192" t="s">
        <v>6661</v>
      </c>
      <c r="AV192" t="s">
        <v>6662</v>
      </c>
      <c r="AW192" t="s">
        <v>6663</v>
      </c>
      <c r="AX192" t="s">
        <v>294</v>
      </c>
      <c r="AY192" t="s">
        <v>440</v>
      </c>
      <c r="AZ192" t="s">
        <v>1488</v>
      </c>
      <c r="BA192" t="s">
        <v>269</v>
      </c>
      <c r="BB192" t="s">
        <v>494</v>
      </c>
      <c r="BC192" t="s">
        <v>6664</v>
      </c>
      <c r="BD192" t="s">
        <v>2219</v>
      </c>
      <c r="BE192" t="s">
        <v>2220</v>
      </c>
      <c r="BF192" t="s">
        <v>2221</v>
      </c>
      <c r="BG192" t="s">
        <v>37</v>
      </c>
      <c r="BH192" t="s">
        <v>251</v>
      </c>
      <c r="BI192" t="s">
        <v>434</v>
      </c>
      <c r="BJ192" t="s">
        <v>294</v>
      </c>
      <c r="BK192" t="s">
        <v>6665</v>
      </c>
      <c r="BL192" t="s">
        <v>2222</v>
      </c>
      <c r="BM192" t="s">
        <v>6664</v>
      </c>
      <c r="BN192">
        <v>7.35</v>
      </c>
      <c r="BO192">
        <v>11.36</v>
      </c>
      <c r="BP192">
        <v>11.9</v>
      </c>
      <c r="BQ192">
        <v>8.42</v>
      </c>
      <c r="BR192">
        <v>12.38</v>
      </c>
      <c r="BS192">
        <v>13.32</v>
      </c>
      <c r="BT192" t="s">
        <v>934</v>
      </c>
      <c r="BU192" t="s">
        <v>2098</v>
      </c>
      <c r="BV192">
        <v>58.82</v>
      </c>
      <c r="BW192">
        <v>62.53</v>
      </c>
      <c r="BX192">
        <v>67.430000000000007</v>
      </c>
      <c r="BY192">
        <v>18.47</v>
      </c>
      <c r="BZ192">
        <v>24.67</v>
      </c>
      <c r="CA192">
        <v>25.13</v>
      </c>
      <c r="CB192">
        <v>-1.1100000000000001</v>
      </c>
      <c r="CC192">
        <v>-6.3</v>
      </c>
      <c r="CD192" t="s">
        <v>6666</v>
      </c>
      <c r="CE192" t="s">
        <v>6667</v>
      </c>
      <c r="CF192" s="8">
        <v>-0.56538888888888894</v>
      </c>
      <c r="CG192" s="9">
        <v>-0.59919999999999995</v>
      </c>
      <c r="CH192" s="8">
        <v>-0.80946850776672363</v>
      </c>
      <c r="CI192" s="8">
        <v>-4.1208792477846146E-2</v>
      </c>
      <c r="CJ192" s="8">
        <v>9.3093089759349823E-2</v>
      </c>
      <c r="CK192" s="8">
        <v>6.0422960668802261E-3</v>
      </c>
      <c r="CL192" s="8">
        <v>-0.15345267951488495</v>
      </c>
      <c r="CM192" s="9">
        <v>-0.90276098251342773</v>
      </c>
      <c r="CN192" s="9">
        <v>-5.7141169905662537E-2</v>
      </c>
      <c r="CO192" s="9">
        <v>0.13863623142242432</v>
      </c>
      <c r="CP192" s="9">
        <v>0.26425790786743164</v>
      </c>
      <c r="CQ192" s="9">
        <v>-0.38395339250564575</v>
      </c>
      <c r="CR192">
        <v>-38.348446991333887</v>
      </c>
      <c r="CS192" t="e">
        <v>#DIV/0!</v>
      </c>
      <c r="CT192">
        <v>3.3644859813084116</v>
      </c>
      <c r="CU192" s="8">
        <v>0</v>
      </c>
      <c r="CV192" s="9">
        <v>0</v>
      </c>
      <c r="CW192">
        <v>0.06</v>
      </c>
      <c r="CX192">
        <v>114.47702549405936</v>
      </c>
      <c r="CY192">
        <v>7900471.6981132068</v>
      </c>
      <c r="CZ192">
        <v>0</v>
      </c>
      <c r="DA192">
        <v>40.402809977737498</v>
      </c>
      <c r="DB192">
        <v>22385138.570766468</v>
      </c>
      <c r="DC192">
        <v>0</v>
      </c>
      <c r="DD192">
        <v>21.962593211754275</v>
      </c>
      <c r="DE192">
        <v>41180132.56813214</v>
      </c>
      <c r="DF192">
        <v>0</v>
      </c>
      <c r="DG192">
        <v>14.673358223604406</v>
      </c>
      <c r="DH192">
        <v>61637049.012072369</v>
      </c>
      <c r="DI192">
        <v>0</v>
      </c>
      <c r="DJ192">
        <v>9.4156875016295274</v>
      </c>
      <c r="DK192">
        <v>96054855.244874686</v>
      </c>
      <c r="DL192">
        <v>0</v>
      </c>
      <c r="DM192">
        <v>8374500</v>
      </c>
      <c r="DN192">
        <v>0</v>
      </c>
      <c r="DO192">
        <v>904422500</v>
      </c>
      <c r="DP192">
        <v>470482910</v>
      </c>
      <c r="DQ192">
        <v>191</v>
      </c>
      <c r="DR192">
        <v>-0.56538888888888894</v>
      </c>
      <c r="DS192">
        <v>-0.59919999999999995</v>
      </c>
      <c r="DT192">
        <v>-0.44</v>
      </c>
      <c r="DU192">
        <v>-0.44</v>
      </c>
      <c r="DV192">
        <v>-0.88</v>
      </c>
      <c r="DW192">
        <v>-2.0630000000000002</v>
      </c>
      <c r="DX192">
        <v>0.17019795623562101</v>
      </c>
      <c r="DY192">
        <v>-2.0063124712428442</v>
      </c>
      <c r="DZ192">
        <v>0</v>
      </c>
      <c r="EA192">
        <v>-2.0063124712428442</v>
      </c>
      <c r="EB192">
        <v>2</v>
      </c>
      <c r="EC192">
        <v>3.4256447777574538E-3</v>
      </c>
      <c r="ED192">
        <v>3.4188768977501373E-2</v>
      </c>
      <c r="EE192">
        <v>0</v>
      </c>
      <c r="EF192">
        <v>0</v>
      </c>
      <c r="EG192">
        <v>7.100197956235621</v>
      </c>
      <c r="EH192" t="s">
        <v>86</v>
      </c>
      <c r="EI192">
        <v>0</v>
      </c>
      <c r="EJ192">
        <v>0</v>
      </c>
      <c r="EK192">
        <v>0</v>
      </c>
      <c r="EL192">
        <v>0</v>
      </c>
      <c r="EM192">
        <v>0</v>
      </c>
      <c r="EN192">
        <v>0</v>
      </c>
      <c r="EO192">
        <v>0</v>
      </c>
      <c r="EP192">
        <v>0</v>
      </c>
    </row>
    <row r="193" spans="1:146" ht="96" x14ac:dyDescent="0.25">
      <c r="A193" s="10"/>
      <c r="B193" s="10"/>
      <c r="C193" s="7" t="str">
        <f>""&amp;CHAR(10)&amp;Basic_Fundamental_Information_Constructure(F193)&amp;CHAR(10)&amp;Basic_Fundamental_Information_Concatenate("")</f>
        <v xml:space="preserve">
市值5.590865亿, 利润-13.96万; PE48.8; 平均PE1.12, PB1.67; ROIC8.8233%; ROE7.5033%; 股利率1.4124%; 毛利28.37%; 净利8.76%; 上一年度营收增-80.64%, 利润增-100.74%; 当季营收增-54.19%, 利润增78.85%; 过往5年营收增0%, 利润增0%
Income profile:
</v>
      </c>
      <c r="D193">
        <v>839790</v>
      </c>
      <c r="E193" t="s">
        <v>2224</v>
      </c>
      <c r="F193">
        <v>7.08</v>
      </c>
      <c r="G193" s="5">
        <v>-3.54</v>
      </c>
      <c r="H193" t="s">
        <v>6668</v>
      </c>
      <c r="I193">
        <v>559086500</v>
      </c>
      <c r="J193">
        <v>48.8</v>
      </c>
      <c r="K193">
        <v>1.67</v>
      </c>
      <c r="L193" t="s">
        <v>2604</v>
      </c>
      <c r="M193" t="s">
        <v>6669</v>
      </c>
      <c r="N193" t="s">
        <v>556</v>
      </c>
      <c r="O193" t="s">
        <v>6670</v>
      </c>
      <c r="P193">
        <v>13.64</v>
      </c>
      <c r="Q193" t="s">
        <v>6670</v>
      </c>
      <c r="R193">
        <v>-139618</v>
      </c>
      <c r="S193" s="5">
        <v>0.78849999999999998</v>
      </c>
      <c r="T193" t="s">
        <v>6671</v>
      </c>
      <c r="U193">
        <v>35551998</v>
      </c>
      <c r="V193">
        <v>78967020</v>
      </c>
      <c r="W193">
        <v>1.07</v>
      </c>
      <c r="X193">
        <v>0.13</v>
      </c>
      <c r="Y193">
        <v>-0.11</v>
      </c>
      <c r="Z193" t="s">
        <v>6672</v>
      </c>
      <c r="AA193" t="s">
        <v>6673</v>
      </c>
      <c r="AB193" t="s">
        <v>6674</v>
      </c>
      <c r="AC193" t="s">
        <v>6675</v>
      </c>
      <c r="AD193" t="s">
        <v>6676</v>
      </c>
      <c r="AE193">
        <v>3943492</v>
      </c>
      <c r="AF193" t="s">
        <v>6677</v>
      </c>
      <c r="AG193">
        <v>2.21</v>
      </c>
      <c r="AH193" t="s">
        <v>6678</v>
      </c>
      <c r="AI193" t="s">
        <v>99</v>
      </c>
      <c r="AJ193" t="s">
        <v>9</v>
      </c>
      <c r="AK193" t="s">
        <v>9</v>
      </c>
      <c r="AL193" t="s">
        <v>6679</v>
      </c>
      <c r="AM193" t="s">
        <v>9</v>
      </c>
      <c r="AN193">
        <v>0</v>
      </c>
      <c r="AO193" t="s">
        <v>9</v>
      </c>
      <c r="AP193" t="s">
        <v>9</v>
      </c>
      <c r="AQ193" t="s">
        <v>6680</v>
      </c>
      <c r="AR193" t="s">
        <v>9</v>
      </c>
      <c r="AS193" t="s">
        <v>6681</v>
      </c>
      <c r="AT193" t="s">
        <v>9</v>
      </c>
      <c r="AU193" t="s">
        <v>6682</v>
      </c>
      <c r="AV193" t="s">
        <v>6683</v>
      </c>
      <c r="AW193" t="s">
        <v>6684</v>
      </c>
      <c r="AX193" t="s">
        <v>285</v>
      </c>
      <c r="AY193" t="s">
        <v>427</v>
      </c>
      <c r="AZ193" t="s">
        <v>1000</v>
      </c>
      <c r="BA193" t="s">
        <v>64</v>
      </c>
      <c r="BB193" t="s">
        <v>444</v>
      </c>
      <c r="BC193" t="s">
        <v>2225</v>
      </c>
      <c r="BD193" t="s">
        <v>2226</v>
      </c>
      <c r="BE193" t="s">
        <v>2227</v>
      </c>
      <c r="BF193" t="s">
        <v>2228</v>
      </c>
      <c r="BG193" t="s">
        <v>2229</v>
      </c>
      <c r="BH193" t="s">
        <v>117</v>
      </c>
      <c r="BI193" t="s">
        <v>18</v>
      </c>
      <c r="BJ193" t="s">
        <v>285</v>
      </c>
      <c r="BK193" t="s">
        <v>6685</v>
      </c>
      <c r="BL193" t="s">
        <v>2230</v>
      </c>
      <c r="BM193" t="s">
        <v>2225</v>
      </c>
      <c r="BN193">
        <v>5.55</v>
      </c>
      <c r="BO193">
        <v>6.7</v>
      </c>
      <c r="BP193">
        <v>14.22</v>
      </c>
      <c r="BQ193">
        <v>0.7</v>
      </c>
      <c r="BR193">
        <v>7.55</v>
      </c>
      <c r="BS193">
        <v>14.26</v>
      </c>
      <c r="BT193" t="s">
        <v>886</v>
      </c>
      <c r="BU193" t="s">
        <v>888</v>
      </c>
      <c r="BV193">
        <v>25.47</v>
      </c>
      <c r="BW193">
        <v>26.82</v>
      </c>
      <c r="BX193">
        <v>32.82</v>
      </c>
      <c r="BY193">
        <v>5.17</v>
      </c>
      <c r="BZ193">
        <v>7.99</v>
      </c>
      <c r="CA193">
        <v>13.12</v>
      </c>
      <c r="CB193">
        <v>0.71</v>
      </c>
      <c r="CC193">
        <v>-6.47</v>
      </c>
      <c r="CD193" t="s">
        <v>6686</v>
      </c>
      <c r="CE193" t="s">
        <v>6687</v>
      </c>
      <c r="CF193" s="8">
        <v>-0.54191089108910895</v>
      </c>
      <c r="CG193" s="9">
        <v>0.78849999999999998</v>
      </c>
      <c r="CH193" s="8">
        <v>-0.80641418695449829</v>
      </c>
      <c r="CI193" s="8">
        <v>3.4632034599781036E-2</v>
      </c>
      <c r="CJ193" s="8">
        <v>2.2123893722891808E-2</v>
      </c>
      <c r="CK193" s="8">
        <v>-8.8709674775600433E-2</v>
      </c>
      <c r="CL193" s="8">
        <v>5.9829059988260269E-2</v>
      </c>
      <c r="CM193" s="9">
        <v>-1.0074467658996582</v>
      </c>
      <c r="CN193" s="9">
        <v>-0.37807828187942505</v>
      </c>
      <c r="CO193" s="9">
        <v>-9.2672191560268402E-2</v>
      </c>
      <c r="CP193" s="9">
        <v>-0.29972195625305176</v>
      </c>
      <c r="CQ193" s="9">
        <v>0.35892763733863831</v>
      </c>
      <c r="CR193">
        <v>1.123844518825738</v>
      </c>
      <c r="CS193" t="e">
        <v>#DIV/0!</v>
      </c>
      <c r="CT193">
        <v>1.4124293785310735</v>
      </c>
      <c r="CU193" s="8">
        <v>0</v>
      </c>
      <c r="CV193" s="9">
        <v>0</v>
      </c>
      <c r="CW193">
        <v>0.06</v>
      </c>
      <c r="CX193" t="e">
        <v>#VALUE!</v>
      </c>
      <c r="CY193" t="s">
        <v>85</v>
      </c>
      <c r="CZ193">
        <v>0</v>
      </c>
      <c r="DA193" t="e">
        <v>#VALUE!</v>
      </c>
      <c r="DB193" t="s">
        <v>84</v>
      </c>
      <c r="DC193">
        <v>0</v>
      </c>
      <c r="DD193" t="e">
        <v>#VALUE!</v>
      </c>
      <c r="DE193" t="s">
        <v>84</v>
      </c>
      <c r="DF193">
        <v>0</v>
      </c>
      <c r="DG193" t="e">
        <v>#VALUE!</v>
      </c>
      <c r="DH193" t="s">
        <v>84</v>
      </c>
      <c r="DI193">
        <v>0</v>
      </c>
      <c r="DJ193" t="e">
        <v>#VALUE!</v>
      </c>
      <c r="DK193" t="s">
        <v>84</v>
      </c>
      <c r="DL193">
        <v>0</v>
      </c>
      <c r="DM193">
        <v>-139600</v>
      </c>
      <c r="DN193">
        <v>0</v>
      </c>
      <c r="DO193">
        <v>246380500</v>
      </c>
      <c r="DP193">
        <v>269723450</v>
      </c>
      <c r="DQ193">
        <v>192</v>
      </c>
      <c r="DR193">
        <v>-0.54191089108910895</v>
      </c>
      <c r="DS193">
        <v>0.78849999999999998</v>
      </c>
      <c r="DT193">
        <v>-0.44</v>
      </c>
      <c r="DU193" t="e">
        <v>#VALUE!</v>
      </c>
      <c r="DV193" t="e">
        <v>#VALUE!</v>
      </c>
      <c r="DW193">
        <v>-2.0647000000000002</v>
      </c>
      <c r="DX193">
        <v>0.57414669275177865</v>
      </c>
      <c r="DY193">
        <v>-2.0151492910210402</v>
      </c>
      <c r="DZ193">
        <v>0</v>
      </c>
      <c r="EA193">
        <v>-2.0151492910210402</v>
      </c>
      <c r="EB193">
        <v>2</v>
      </c>
      <c r="EC193">
        <v>0.12352245279105126</v>
      </c>
      <c r="ED193">
        <v>0.52754301732546072</v>
      </c>
      <c r="EE193">
        <v>0</v>
      </c>
      <c r="EF193">
        <v>0</v>
      </c>
      <c r="EG193">
        <v>34.234146692751779</v>
      </c>
      <c r="EH193" t="s">
        <v>86</v>
      </c>
      <c r="EI193">
        <v>0</v>
      </c>
      <c r="EJ193">
        <v>0</v>
      </c>
      <c r="EK193">
        <v>0</v>
      </c>
      <c r="EL193">
        <v>0</v>
      </c>
      <c r="EM193">
        <v>0</v>
      </c>
      <c r="EN193">
        <v>0</v>
      </c>
      <c r="EO193">
        <v>0</v>
      </c>
      <c r="EP193">
        <v>0</v>
      </c>
    </row>
    <row r="194" spans="1:146" ht="96" x14ac:dyDescent="0.25">
      <c r="A194" s="10"/>
      <c r="B194" s="10"/>
      <c r="C194" s="7" t="str">
        <f>""&amp;CHAR(10)&amp;Basic_Fundamental_Information_Constructure(F194)&amp;CHAR(10)&amp;Basic_Fundamental_Information_Concatenate("")</f>
        <v xml:space="preserve">
市值9.253686亿, 利润1696.25万; PE15.19; 平均PE49.75, PB.973; ROIC11.9733%; ROE11.07%; 股利率0%; 毛利30.89%; 净利16.13%; 上一年度营收增-75.44%, 利润增-84.85%; 当季营收增-46.65%, 利润增-3.74%; 过往5年营收增0%, 利润增0%
Income profile:
</v>
      </c>
      <c r="D194">
        <v>839792</v>
      </c>
      <c r="E194" t="s">
        <v>2231</v>
      </c>
      <c r="F194">
        <v>5.59</v>
      </c>
      <c r="G194" s="5">
        <v>0.36</v>
      </c>
      <c r="H194" t="s">
        <v>6688</v>
      </c>
      <c r="I194">
        <v>925368600</v>
      </c>
      <c r="J194">
        <v>15.19</v>
      </c>
      <c r="K194">
        <v>0.97299999999999998</v>
      </c>
      <c r="L194" t="s">
        <v>2604</v>
      </c>
      <c r="M194" t="s">
        <v>644</v>
      </c>
      <c r="N194" t="s">
        <v>500</v>
      </c>
      <c r="O194" t="s">
        <v>149</v>
      </c>
      <c r="P194">
        <v>2.84</v>
      </c>
      <c r="Q194" t="s">
        <v>149</v>
      </c>
      <c r="R194">
        <v>16962514</v>
      </c>
      <c r="S194" s="5">
        <v>-3.7400000000000003E-2</v>
      </c>
      <c r="T194" t="s">
        <v>6689</v>
      </c>
      <c r="U194">
        <v>54214291</v>
      </c>
      <c r="V194">
        <v>165540000</v>
      </c>
      <c r="W194">
        <v>1.43</v>
      </c>
      <c r="X194">
        <v>0.12</v>
      </c>
      <c r="Y194">
        <v>14.9</v>
      </c>
      <c r="Z194" t="s">
        <v>300</v>
      </c>
      <c r="AA194" t="s">
        <v>90</v>
      </c>
      <c r="AB194" t="s">
        <v>6690</v>
      </c>
      <c r="AC194" t="s">
        <v>6691</v>
      </c>
      <c r="AD194" t="s">
        <v>6692</v>
      </c>
      <c r="AE194">
        <v>1143395</v>
      </c>
      <c r="AF194" t="s">
        <v>6693</v>
      </c>
      <c r="AG194" t="s">
        <v>6694</v>
      </c>
      <c r="AH194" t="s">
        <v>6695</v>
      </c>
      <c r="AI194" t="s">
        <v>238</v>
      </c>
      <c r="AJ194" t="s">
        <v>9</v>
      </c>
      <c r="AK194" t="s">
        <v>6696</v>
      </c>
      <c r="AL194" t="s">
        <v>6697</v>
      </c>
      <c r="AM194" t="s">
        <v>9</v>
      </c>
      <c r="AN194" t="s">
        <v>6698</v>
      </c>
      <c r="AO194" t="s">
        <v>264</v>
      </c>
      <c r="AP194" t="s">
        <v>6699</v>
      </c>
      <c r="AQ194" t="s">
        <v>6700</v>
      </c>
      <c r="AR194" t="s">
        <v>9</v>
      </c>
      <c r="AS194" t="s">
        <v>556</v>
      </c>
      <c r="AT194" t="s">
        <v>9</v>
      </c>
      <c r="AU194" t="s">
        <v>6701</v>
      </c>
      <c r="AV194" t="s">
        <v>6702</v>
      </c>
      <c r="AW194" t="s">
        <v>6703</v>
      </c>
      <c r="AX194" t="s">
        <v>608</v>
      </c>
      <c r="AY194" t="s">
        <v>504</v>
      </c>
      <c r="AZ194" t="s">
        <v>2131</v>
      </c>
      <c r="BA194" t="s">
        <v>410</v>
      </c>
      <c r="BB194" t="s">
        <v>413</v>
      </c>
      <c r="BC194" t="s">
        <v>487</v>
      </c>
      <c r="BD194" t="s">
        <v>2232</v>
      </c>
      <c r="BE194" t="s">
        <v>2233</v>
      </c>
      <c r="BF194" t="s">
        <v>2234</v>
      </c>
      <c r="BG194" t="s">
        <v>2235</v>
      </c>
      <c r="BH194" t="s">
        <v>1142</v>
      </c>
      <c r="BI194" t="s">
        <v>324</v>
      </c>
      <c r="BJ194" t="s">
        <v>608</v>
      </c>
      <c r="BK194" t="s">
        <v>6704</v>
      </c>
      <c r="BL194" t="s">
        <v>2236</v>
      </c>
      <c r="BM194" t="s">
        <v>487</v>
      </c>
      <c r="BN194">
        <v>7.36</v>
      </c>
      <c r="BO194">
        <v>15.01</v>
      </c>
      <c r="BP194">
        <v>13.55</v>
      </c>
      <c r="BQ194">
        <v>6.15</v>
      </c>
      <c r="BR194">
        <v>15.99</v>
      </c>
      <c r="BS194" t="s">
        <v>9</v>
      </c>
      <c r="BT194" t="s">
        <v>773</v>
      </c>
      <c r="BU194" t="s">
        <v>1513</v>
      </c>
      <c r="BV194">
        <v>30.23</v>
      </c>
      <c r="BW194">
        <v>32.58</v>
      </c>
      <c r="BX194">
        <v>29.86</v>
      </c>
      <c r="BY194">
        <v>13.55</v>
      </c>
      <c r="BZ194">
        <v>18.22</v>
      </c>
      <c r="CA194">
        <v>16.62</v>
      </c>
      <c r="CB194">
        <v>2.95</v>
      </c>
      <c r="CC194">
        <v>-6.52</v>
      </c>
      <c r="CD194" t="s">
        <v>6705</v>
      </c>
      <c r="CE194" t="s">
        <v>6706</v>
      </c>
      <c r="CF194" s="8">
        <v>-0.46645367412140576</v>
      </c>
      <c r="CG194" s="9">
        <v>-3.7400000000000003E-2</v>
      </c>
      <c r="CH194" s="8">
        <v>-0.75441175699234009</v>
      </c>
      <c r="CI194" s="8">
        <v>0.11658456176519394</v>
      </c>
      <c r="CJ194" s="8">
        <v>0.18023255467414856</v>
      </c>
      <c r="CK194" s="8">
        <v>-0.10104529559612274</v>
      </c>
      <c r="CL194" s="8">
        <v>-0.1496296226978302</v>
      </c>
      <c r="CM194" s="9">
        <v>-0.84854912757873535</v>
      </c>
      <c r="CN194" s="9">
        <v>0.19545604288578033</v>
      </c>
      <c r="CO194" s="9">
        <v>0.45313465595245361</v>
      </c>
      <c r="CP194" s="9">
        <v>-0.20866750180721283</v>
      </c>
      <c r="CQ194" s="9">
        <v>0.12314386665821075</v>
      </c>
      <c r="CR194">
        <v>49.752827836864974</v>
      </c>
      <c r="CS194" t="e">
        <v>#DIV/0!</v>
      </c>
      <c r="CT194">
        <v>0</v>
      </c>
      <c r="CU194" s="8">
        <v>0</v>
      </c>
      <c r="CV194" s="9">
        <v>0</v>
      </c>
      <c r="CW194">
        <v>0.06</v>
      </c>
      <c r="CX194">
        <v>18.082871982313936</v>
      </c>
      <c r="CY194">
        <v>16002358.490566036</v>
      </c>
      <c r="CZ194">
        <v>0</v>
      </c>
      <c r="DA194">
        <v>6.3820564641688469</v>
      </c>
      <c r="DB194">
        <v>45340965.192742996</v>
      </c>
      <c r="DC194">
        <v>0</v>
      </c>
      <c r="DD194">
        <v>3.4692267704701938</v>
      </c>
      <c r="DE194">
        <v>83410113.879866436</v>
      </c>
      <c r="DF194">
        <v>0</v>
      </c>
      <c r="DG194">
        <v>2.317814051884509</v>
      </c>
      <c r="DH194">
        <v>124845476.60962178</v>
      </c>
      <c r="DI194">
        <v>0</v>
      </c>
      <c r="DJ194">
        <v>1.4873086628746801</v>
      </c>
      <c r="DK194">
        <v>194558538.66991305</v>
      </c>
      <c r="DL194">
        <v>0</v>
      </c>
      <c r="DM194">
        <v>16962500</v>
      </c>
      <c r="DN194">
        <v>0</v>
      </c>
      <c r="DO194">
        <v>289368600.00000012</v>
      </c>
      <c r="DP194">
        <v>461488260</v>
      </c>
      <c r="DQ194">
        <v>193</v>
      </c>
      <c r="DR194">
        <v>-0.46645367412140576</v>
      </c>
      <c r="DS194">
        <v>-3.7400000000000003E-2</v>
      </c>
      <c r="DT194">
        <v>-0.44</v>
      </c>
      <c r="DU194">
        <v>-0.22</v>
      </c>
      <c r="DV194">
        <v>-0.66</v>
      </c>
      <c r="DW194">
        <v>6.3115100316789867</v>
      </c>
      <c r="DX194">
        <v>0.33135861128098842</v>
      </c>
      <c r="DY194">
        <v>6.0502648261118184</v>
      </c>
      <c r="DZ194">
        <v>0</v>
      </c>
      <c r="EA194">
        <v>6.0502648261118184</v>
      </c>
      <c r="EB194">
        <v>6</v>
      </c>
      <c r="EC194">
        <v>8.2880270629455115E-3</v>
      </c>
      <c r="ED194">
        <v>5.136402078047602E-2</v>
      </c>
      <c r="EE194">
        <v>0</v>
      </c>
      <c r="EF194">
        <v>0</v>
      </c>
      <c r="EG194">
        <v>17.161358611280988</v>
      </c>
      <c r="EH194" t="s">
        <v>86</v>
      </c>
      <c r="EI194">
        <v>0</v>
      </c>
      <c r="EJ194">
        <v>0</v>
      </c>
      <c r="EK194">
        <v>0</v>
      </c>
      <c r="EL194">
        <v>0</v>
      </c>
      <c r="EM194">
        <v>0</v>
      </c>
      <c r="EN194">
        <v>0</v>
      </c>
      <c r="EO194">
        <v>0</v>
      </c>
      <c r="EP194">
        <v>0</v>
      </c>
    </row>
    <row r="195" spans="1:146" ht="96" x14ac:dyDescent="0.25">
      <c r="A195" s="10"/>
      <c r="B195" s="10"/>
      <c r="C195" s="7" t="str">
        <f>""&amp;CHAR(10)&amp;Basic_Fundamental_Information_Constructure(F195)&amp;CHAR(10)&amp;Basic_Fundamental_Information_Concatenate("")</f>
        <v xml:space="preserve">
市值4.1577056亿, 利润-902.57万; PE; 平均PE-25.28, PB1.82; ROIC8.13%; ROE.22%; 股利率0%; 毛利4.5333%; 净利-2.5033%; 上一年度营收增-42.56%, 利润增26.17%; 当季营收增-5.08%, 利润增-152.4%; 过往5年营收增0%, 利润增0%
Income profile:
</v>
      </c>
      <c r="D195">
        <v>839946</v>
      </c>
      <c r="E195" t="s">
        <v>2237</v>
      </c>
      <c r="F195">
        <v>3.08</v>
      </c>
      <c r="G195" s="5">
        <v>-1.6</v>
      </c>
      <c r="H195" t="s">
        <v>6707</v>
      </c>
      <c r="I195">
        <v>415770560</v>
      </c>
      <c r="K195">
        <v>1.82</v>
      </c>
      <c r="L195" t="s">
        <v>2604</v>
      </c>
      <c r="M195" t="s">
        <v>432</v>
      </c>
      <c r="N195" t="s">
        <v>565</v>
      </c>
      <c r="O195" t="s">
        <v>487</v>
      </c>
      <c r="P195">
        <v>120.89</v>
      </c>
      <c r="Q195" t="s">
        <v>487</v>
      </c>
      <c r="R195">
        <v>-9025719</v>
      </c>
      <c r="S195" s="5">
        <v>-1.524</v>
      </c>
      <c r="T195" t="s">
        <v>6708</v>
      </c>
      <c r="U195">
        <v>99053253</v>
      </c>
      <c r="V195">
        <v>134990440</v>
      </c>
      <c r="W195">
        <v>2.57</v>
      </c>
      <c r="X195">
        <v>0.2</v>
      </c>
      <c r="Y195">
        <v>-8.06</v>
      </c>
      <c r="Z195" t="s">
        <v>21</v>
      </c>
      <c r="AA195" t="s">
        <v>272</v>
      </c>
      <c r="AB195" t="s">
        <v>6709</v>
      </c>
      <c r="AC195" t="s">
        <v>6710</v>
      </c>
      <c r="AD195" t="s">
        <v>6711</v>
      </c>
      <c r="AE195">
        <v>1477475</v>
      </c>
      <c r="AF195" t="s">
        <v>6712</v>
      </c>
      <c r="AG195" t="s">
        <v>9</v>
      </c>
      <c r="AH195" t="s">
        <v>6713</v>
      </c>
      <c r="AI195" t="s">
        <v>6714</v>
      </c>
      <c r="AJ195" t="s">
        <v>9</v>
      </c>
      <c r="AK195" t="s">
        <v>6715</v>
      </c>
      <c r="AL195" t="s">
        <v>6716</v>
      </c>
      <c r="AM195" t="s">
        <v>9</v>
      </c>
      <c r="AN195" t="s">
        <v>6717</v>
      </c>
      <c r="AO195" t="s">
        <v>6718</v>
      </c>
      <c r="AP195" t="s">
        <v>6719</v>
      </c>
      <c r="AQ195" t="s">
        <v>27</v>
      </c>
      <c r="AR195" t="s">
        <v>9</v>
      </c>
      <c r="AS195" t="s">
        <v>637</v>
      </c>
      <c r="AT195" t="s">
        <v>6720</v>
      </c>
      <c r="AU195" t="s">
        <v>6721</v>
      </c>
      <c r="AV195" t="s">
        <v>6722</v>
      </c>
      <c r="AW195" t="s">
        <v>6723</v>
      </c>
      <c r="AX195" t="s">
        <v>62</v>
      </c>
      <c r="AY195" t="s">
        <v>577</v>
      </c>
      <c r="AZ195" t="s">
        <v>450</v>
      </c>
      <c r="BA195" t="s">
        <v>298</v>
      </c>
      <c r="BB195" t="s">
        <v>22</v>
      </c>
      <c r="BC195" t="s">
        <v>2238</v>
      </c>
      <c r="BD195" t="s">
        <v>2240</v>
      </c>
      <c r="BE195" t="s">
        <v>2241</v>
      </c>
      <c r="BF195" t="s">
        <v>2242</v>
      </c>
      <c r="BG195" t="s">
        <v>2243</v>
      </c>
      <c r="BH195" t="s">
        <v>107</v>
      </c>
      <c r="BI195" t="s">
        <v>90</v>
      </c>
      <c r="BJ195" t="s">
        <v>62</v>
      </c>
      <c r="BK195" t="s">
        <v>6724</v>
      </c>
      <c r="BL195" t="s">
        <v>2244</v>
      </c>
      <c r="BM195" t="s">
        <v>2238</v>
      </c>
      <c r="BN195" t="s">
        <v>9</v>
      </c>
      <c r="BO195" t="s">
        <v>9</v>
      </c>
      <c r="BP195">
        <v>8.1300000000000008</v>
      </c>
      <c r="BQ195">
        <v>-3.9</v>
      </c>
      <c r="BR195">
        <v>-4.08</v>
      </c>
      <c r="BS195">
        <v>8.64</v>
      </c>
      <c r="BT195" t="s">
        <v>773</v>
      </c>
      <c r="BU195" t="s">
        <v>822</v>
      </c>
      <c r="BV195">
        <v>-2.38</v>
      </c>
      <c r="BW195">
        <v>-1.91</v>
      </c>
      <c r="BX195">
        <v>17.89</v>
      </c>
      <c r="BY195">
        <v>-9.16</v>
      </c>
      <c r="BZ195">
        <v>-6.28</v>
      </c>
      <c r="CA195">
        <v>7.93</v>
      </c>
      <c r="CB195">
        <v>-0.65</v>
      </c>
      <c r="CC195">
        <v>-16.760000000000002</v>
      </c>
      <c r="CD195" t="s">
        <v>6725</v>
      </c>
      <c r="CE195" t="s">
        <v>6726</v>
      </c>
      <c r="CF195" s="8">
        <v>-5.0847457627118516E-2</v>
      </c>
      <c r="CG195" s="9">
        <v>-1.524</v>
      </c>
      <c r="CH195" s="8">
        <v>-0.42564103007316589</v>
      </c>
      <c r="CI195" s="8">
        <v>-0.301075279712677</v>
      </c>
      <c r="CJ195" s="8">
        <v>-0.14153845608234406</v>
      </c>
      <c r="CK195" s="8">
        <v>0.27952754497528076</v>
      </c>
      <c r="CL195" s="8">
        <v>0.48538011312484741</v>
      </c>
      <c r="CM195" s="9">
        <v>0.2617497444152832</v>
      </c>
      <c r="CN195" s="9">
        <v>-1.5532636642456055</v>
      </c>
      <c r="CO195" s="9">
        <v>-0.58219307661056519</v>
      </c>
      <c r="CP195" s="9">
        <v>0.45966899394989014</v>
      </c>
      <c r="CQ195" s="9">
        <v>1.1958475112915039</v>
      </c>
      <c r="CR195">
        <v>-25.279903040227968</v>
      </c>
      <c r="CS195" t="e">
        <v>#DIV/0!</v>
      </c>
      <c r="CT195">
        <v>0</v>
      </c>
      <c r="CU195" s="8">
        <v>0</v>
      </c>
      <c r="CV195" s="9">
        <v>0</v>
      </c>
      <c r="CW195">
        <v>0.06</v>
      </c>
      <c r="CX195" t="e">
        <v>#VALUE!</v>
      </c>
      <c r="CY195" t="s">
        <v>85</v>
      </c>
      <c r="CZ195">
        <v>0</v>
      </c>
      <c r="DA195" t="e">
        <v>#VALUE!</v>
      </c>
      <c r="DB195" t="s">
        <v>84</v>
      </c>
      <c r="DC195">
        <v>0</v>
      </c>
      <c r="DD195" t="e">
        <v>#VALUE!</v>
      </c>
      <c r="DE195" t="s">
        <v>84</v>
      </c>
      <c r="DF195">
        <v>0</v>
      </c>
      <c r="DG195" t="e">
        <v>#VALUE!</v>
      </c>
      <c r="DH195" t="s">
        <v>84</v>
      </c>
      <c r="DI195">
        <v>0</v>
      </c>
      <c r="DJ195" t="e">
        <v>#VALUE!</v>
      </c>
      <c r="DK195" t="s">
        <v>84</v>
      </c>
      <c r="DL195">
        <v>0</v>
      </c>
      <c r="DM195">
        <v>-9025700</v>
      </c>
      <c r="DN195">
        <v>0</v>
      </c>
      <c r="DO195">
        <v>477770560</v>
      </c>
      <c r="DP195">
        <v>-7769629.9999999702</v>
      </c>
      <c r="DQ195">
        <v>194</v>
      </c>
      <c r="DR195">
        <v>-5.0847457627118516E-2</v>
      </c>
      <c r="DS195">
        <v>-1.524</v>
      </c>
      <c r="DT195">
        <v>-0.44</v>
      </c>
      <c r="DU195" t="e">
        <v>#VALUE!</v>
      </c>
      <c r="DV195" t="e">
        <v>#VALUE!</v>
      </c>
      <c r="DW195">
        <v>-3.0085952380952383</v>
      </c>
      <c r="DX195">
        <v>0.48715676478614145</v>
      </c>
      <c r="DY195">
        <v>-3.0017805617163762</v>
      </c>
      <c r="DZ195">
        <v>0</v>
      </c>
      <c r="EA195">
        <v>-3.0017805617163762</v>
      </c>
      <c r="EB195">
        <v>3</v>
      </c>
      <c r="EC195">
        <v>7.4796407804878631E-2</v>
      </c>
      <c r="ED195">
        <v>0.3610618648253906</v>
      </c>
      <c r="EE195">
        <v>0</v>
      </c>
      <c r="EF195">
        <v>0</v>
      </c>
      <c r="EG195">
        <v>28.207156764786141</v>
      </c>
      <c r="EH195" t="s">
        <v>86</v>
      </c>
      <c r="EI195">
        <v>0</v>
      </c>
      <c r="EJ195">
        <v>0</v>
      </c>
      <c r="EK195">
        <v>0</v>
      </c>
      <c r="EL195">
        <v>0</v>
      </c>
      <c r="EM195">
        <v>0</v>
      </c>
      <c r="EN195">
        <v>0</v>
      </c>
      <c r="EO195">
        <v>0</v>
      </c>
      <c r="EP195">
        <v>0</v>
      </c>
    </row>
    <row r="196" spans="1:146" ht="96" x14ac:dyDescent="0.25">
      <c r="A196" s="10"/>
      <c r="B196" s="10"/>
      <c r="C196" s="7" t="str">
        <f>""&amp;CHAR(10)&amp;Basic_Fundamental_Information_Constructure(F196)&amp;CHAR(10)&amp;Basic_Fundamental_Information_Concatenate("")</f>
        <v xml:space="preserve">
市值7.2605047亿, 利润420.45万; PE15.56; 平均PE-10.84, PB1.4; ROIC36.5667%; ROE45.8733%; 股利率1.4071%; 毛利39.1133%; 净利18.4333%; 上一年度营收增-87.17%, 利润增-94%; 当季营收增-69.78%, 利润增195.6%; 过往5年营收增0%, 利润增0%
Income profile:
</v>
      </c>
      <c r="D196">
        <v>870199</v>
      </c>
      <c r="E196" t="s">
        <v>2245</v>
      </c>
      <c r="F196">
        <v>10.66</v>
      </c>
      <c r="G196" s="5">
        <v>-5.58</v>
      </c>
      <c r="H196" t="s">
        <v>6727</v>
      </c>
      <c r="I196">
        <v>726050470</v>
      </c>
      <c r="J196">
        <v>15.56</v>
      </c>
      <c r="K196">
        <v>1.4</v>
      </c>
      <c r="L196" t="s">
        <v>2604</v>
      </c>
      <c r="M196" t="s">
        <v>130</v>
      </c>
      <c r="N196" t="s">
        <v>570</v>
      </c>
      <c r="O196" t="s">
        <v>6728</v>
      </c>
      <c r="P196">
        <v>-23.65</v>
      </c>
      <c r="Q196" t="s">
        <v>6728</v>
      </c>
      <c r="R196">
        <v>4204462</v>
      </c>
      <c r="S196" s="5">
        <v>1.956</v>
      </c>
      <c r="T196" t="s">
        <v>6729</v>
      </c>
      <c r="U196">
        <v>17029400</v>
      </c>
      <c r="V196">
        <v>68109800</v>
      </c>
      <c r="W196">
        <v>1.27</v>
      </c>
      <c r="X196">
        <v>0.08</v>
      </c>
      <c r="Y196">
        <v>7.63</v>
      </c>
      <c r="Z196" t="s">
        <v>6730</v>
      </c>
      <c r="AA196" t="s">
        <v>6731</v>
      </c>
      <c r="AB196" t="s">
        <v>6732</v>
      </c>
      <c r="AC196" t="s">
        <v>6733</v>
      </c>
      <c r="AD196" t="s">
        <v>6734</v>
      </c>
      <c r="AE196">
        <v>203472</v>
      </c>
      <c r="AF196" t="s">
        <v>6735</v>
      </c>
      <c r="AG196" t="s">
        <v>6736</v>
      </c>
      <c r="AH196" t="s">
        <v>6737</v>
      </c>
      <c r="AI196" t="s">
        <v>6738</v>
      </c>
      <c r="AJ196" t="s">
        <v>9</v>
      </c>
      <c r="AK196" t="s">
        <v>9</v>
      </c>
      <c r="AL196" t="s">
        <v>6739</v>
      </c>
      <c r="AM196" t="s">
        <v>9</v>
      </c>
      <c r="AN196" t="s">
        <v>128</v>
      </c>
      <c r="AO196" t="s">
        <v>1127</v>
      </c>
      <c r="AP196" t="s">
        <v>9</v>
      </c>
      <c r="AQ196" t="s">
        <v>6740</v>
      </c>
      <c r="AR196" t="s">
        <v>9</v>
      </c>
      <c r="AS196" t="s">
        <v>256</v>
      </c>
      <c r="AT196" t="s">
        <v>767</v>
      </c>
      <c r="AU196" t="s">
        <v>6741</v>
      </c>
      <c r="AV196" t="s">
        <v>6742</v>
      </c>
      <c r="AW196" t="s">
        <v>6743</v>
      </c>
      <c r="AX196" t="s">
        <v>494</v>
      </c>
      <c r="AY196" t="s">
        <v>486</v>
      </c>
      <c r="AZ196" t="s">
        <v>242</v>
      </c>
      <c r="BA196" t="s">
        <v>2247</v>
      </c>
      <c r="BB196" t="s">
        <v>2248</v>
      </c>
      <c r="BC196" t="s">
        <v>6744</v>
      </c>
      <c r="BD196" t="s">
        <v>2249</v>
      </c>
      <c r="BE196" t="s">
        <v>2250</v>
      </c>
      <c r="BF196" t="s">
        <v>2251</v>
      </c>
      <c r="BG196" t="s">
        <v>2252</v>
      </c>
      <c r="BH196" t="s">
        <v>24</v>
      </c>
      <c r="BI196" t="s">
        <v>39</v>
      </c>
      <c r="BJ196" t="s">
        <v>494</v>
      </c>
      <c r="BK196" t="s">
        <v>6745</v>
      </c>
      <c r="BL196" t="s">
        <v>2253</v>
      </c>
      <c r="BM196" t="s">
        <v>6744</v>
      </c>
      <c r="BN196">
        <v>5.94</v>
      </c>
      <c r="BO196">
        <v>20.51</v>
      </c>
      <c r="BP196">
        <v>83.25</v>
      </c>
      <c r="BQ196">
        <v>6.22</v>
      </c>
      <c r="BR196">
        <v>37.409999999999997</v>
      </c>
      <c r="BS196">
        <v>93.99</v>
      </c>
      <c r="BT196" t="s">
        <v>1006</v>
      </c>
      <c r="BU196" t="s">
        <v>1907</v>
      </c>
      <c r="BV196">
        <v>36.729999999999997</v>
      </c>
      <c r="BW196">
        <v>38.79</v>
      </c>
      <c r="BX196">
        <v>41.82</v>
      </c>
      <c r="BY196">
        <v>13.15</v>
      </c>
      <c r="BZ196">
        <v>17.899999999999999</v>
      </c>
      <c r="CA196">
        <v>24.25</v>
      </c>
      <c r="CB196">
        <v>-8.02</v>
      </c>
      <c r="CC196">
        <v>-10.19</v>
      </c>
      <c r="CD196" t="s">
        <v>6746</v>
      </c>
      <c r="CE196" t="s">
        <v>6747</v>
      </c>
      <c r="CF196" s="8">
        <v>-0.6977957831325301</v>
      </c>
      <c r="CG196" s="9">
        <v>1.956</v>
      </c>
      <c r="CH196" s="8">
        <v>-0.87169849872589111</v>
      </c>
      <c r="CI196" s="8">
        <v>0.18844984471797943</v>
      </c>
      <c r="CJ196" s="8">
        <v>1.5703125</v>
      </c>
      <c r="CK196" s="8">
        <v>2.0302526950836182</v>
      </c>
      <c r="CL196" s="8">
        <v>0.60208374261856079</v>
      </c>
      <c r="CM196" s="9">
        <v>-0.93995821475982666</v>
      </c>
      <c r="CN196" s="9">
        <v>-0.12259198725223541</v>
      </c>
      <c r="CO196" s="9">
        <v>2.3324413299560547</v>
      </c>
      <c r="CP196" s="9">
        <v>5.4695158004760742</v>
      </c>
      <c r="CQ196" s="9">
        <v>1.2976043224334717</v>
      </c>
      <c r="CR196">
        <v>-10.84208962021725</v>
      </c>
      <c r="CS196" t="e">
        <v>#DIV/0!</v>
      </c>
      <c r="CT196">
        <v>1.4071294559099436</v>
      </c>
      <c r="CU196" s="8">
        <v>0</v>
      </c>
      <c r="CV196" s="9">
        <v>0</v>
      </c>
      <c r="CW196">
        <v>0.06</v>
      </c>
      <c r="CX196">
        <v>88.251515804495199</v>
      </c>
      <c r="CY196">
        <v>3966509.4339622636</v>
      </c>
      <c r="CZ196">
        <v>0</v>
      </c>
      <c r="DA196">
        <v>31.146941562360475</v>
      </c>
      <c r="DB196">
        <v>11238678.741511447</v>
      </c>
      <c r="DC196">
        <v>0</v>
      </c>
      <c r="DD196">
        <v>16.93118888763766</v>
      </c>
      <c r="DE196">
        <v>20674890.128689665</v>
      </c>
      <c r="DF196">
        <v>0</v>
      </c>
      <c r="DG196">
        <v>11.31184270019877</v>
      </c>
      <c r="DH196">
        <v>30945486.007673088</v>
      </c>
      <c r="DI196">
        <v>0</v>
      </c>
      <c r="DJ196">
        <v>7.2586502905193591</v>
      </c>
      <c r="DK196">
        <v>48225283.763457596</v>
      </c>
      <c r="DL196">
        <v>0</v>
      </c>
      <c r="DM196">
        <v>4204500</v>
      </c>
      <c r="DN196">
        <v>0</v>
      </c>
      <c r="DO196">
        <v>350050470</v>
      </c>
      <c r="DP196">
        <v>316336390</v>
      </c>
      <c r="DQ196">
        <v>195</v>
      </c>
      <c r="DR196">
        <v>-0.6977957831325301</v>
      </c>
      <c r="DS196">
        <v>1.956</v>
      </c>
      <c r="DT196">
        <v>-0.44</v>
      </c>
      <c r="DU196">
        <v>-0.44</v>
      </c>
      <c r="DV196">
        <v>-0.88</v>
      </c>
      <c r="DW196">
        <v>-9.7870461236506383</v>
      </c>
      <c r="DX196">
        <v>0.49525796328385108</v>
      </c>
      <c r="DY196">
        <v>-9.2717339416620703</v>
      </c>
      <c r="DZ196">
        <v>0</v>
      </c>
      <c r="EA196">
        <v>-9.2717339416620703</v>
      </c>
      <c r="EB196">
        <v>9</v>
      </c>
      <c r="EC196">
        <v>0.12696263973760016</v>
      </c>
      <c r="ED196">
        <v>0.36773269044983248</v>
      </c>
      <c r="EE196">
        <v>0</v>
      </c>
      <c r="EF196">
        <v>0</v>
      </c>
      <c r="EG196">
        <v>15.345257963283851</v>
      </c>
      <c r="EH196" t="s">
        <v>86</v>
      </c>
      <c r="EI196">
        <v>0</v>
      </c>
      <c r="EJ196">
        <v>0</v>
      </c>
      <c r="EK196">
        <v>0</v>
      </c>
      <c r="EL196">
        <v>0</v>
      </c>
      <c r="EM196">
        <v>0</v>
      </c>
      <c r="EN196">
        <v>0</v>
      </c>
      <c r="EO196">
        <v>0</v>
      </c>
      <c r="EP196">
        <v>0</v>
      </c>
    </row>
    <row r="197" spans="1:146" ht="108" x14ac:dyDescent="0.25">
      <c r="A197" s="10"/>
      <c r="B197" s="10"/>
      <c r="C197" s="7" t="str">
        <f>""&amp;CHAR(10)&amp;Basic_Fundamental_Information_Constructure(F197)&amp;CHAR(10)&amp;Basic_Fundamental_Information_Concatenate("")</f>
        <v xml:space="preserve">
市值6.8641516亿, 利润1028.84万; PE21.06; 平均PE1.43, PB1.45; ROIC9.23%; ROE9.9467%; 股利率1.7857%; 毛利30.67%; 净利11.2733%; 上一年度营收增-72.16%, 利润增-64.13%; 当季营收增-38.62%, 利润增44.89%; 过往5年营收增0%, 利润增0%
Income profile:
</v>
      </c>
      <c r="D197">
        <v>870204</v>
      </c>
      <c r="E197" t="s">
        <v>2254</v>
      </c>
      <c r="F197">
        <v>7.28</v>
      </c>
      <c r="G197" s="5">
        <v>-2.93</v>
      </c>
      <c r="H197" t="s">
        <v>6748</v>
      </c>
      <c r="I197">
        <v>686415160</v>
      </c>
      <c r="J197">
        <v>21.06</v>
      </c>
      <c r="K197">
        <v>1.45</v>
      </c>
      <c r="L197" t="s">
        <v>2604</v>
      </c>
      <c r="M197" t="s">
        <v>89</v>
      </c>
      <c r="N197" t="s">
        <v>384</v>
      </c>
      <c r="O197" t="s">
        <v>6749</v>
      </c>
      <c r="P197">
        <v>20.079999999999998</v>
      </c>
      <c r="Q197" t="s">
        <v>6749</v>
      </c>
      <c r="R197">
        <v>10288429</v>
      </c>
      <c r="S197" s="5">
        <v>0.44890000000000002</v>
      </c>
      <c r="T197" t="s">
        <v>3336</v>
      </c>
      <c r="U197">
        <v>38370043</v>
      </c>
      <c r="V197">
        <v>72529075</v>
      </c>
      <c r="W197">
        <v>1.31</v>
      </c>
      <c r="X197">
        <v>0.13</v>
      </c>
      <c r="Y197">
        <v>13.14</v>
      </c>
      <c r="Z197" t="s">
        <v>6750</v>
      </c>
      <c r="AA197" t="s">
        <v>6751</v>
      </c>
      <c r="AB197" t="s">
        <v>6752</v>
      </c>
      <c r="AC197" t="s">
        <v>6753</v>
      </c>
      <c r="AD197" t="s">
        <v>6754</v>
      </c>
      <c r="AE197">
        <v>241449</v>
      </c>
      <c r="AF197" t="s">
        <v>6755</v>
      </c>
      <c r="AG197">
        <v>5.16</v>
      </c>
      <c r="AH197" t="s">
        <v>6756</v>
      </c>
      <c r="AI197" t="s">
        <v>6757</v>
      </c>
      <c r="AJ197" t="s">
        <v>9</v>
      </c>
      <c r="AK197" t="s">
        <v>6758</v>
      </c>
      <c r="AL197" t="s">
        <v>6759</v>
      </c>
      <c r="AM197" t="s">
        <v>9</v>
      </c>
      <c r="AN197" t="s">
        <v>411</v>
      </c>
      <c r="AO197" t="s">
        <v>6760</v>
      </c>
      <c r="AP197" t="s">
        <v>6761</v>
      </c>
      <c r="AQ197" t="s">
        <v>6762</v>
      </c>
      <c r="AR197" t="s">
        <v>9</v>
      </c>
      <c r="AS197" t="s">
        <v>59</v>
      </c>
      <c r="AT197" t="s">
        <v>6763</v>
      </c>
      <c r="AU197" t="s">
        <v>6764</v>
      </c>
      <c r="AV197" t="s">
        <v>6765</v>
      </c>
      <c r="AW197" t="s">
        <v>6766</v>
      </c>
      <c r="AX197" t="s">
        <v>394</v>
      </c>
      <c r="AY197" t="s">
        <v>486</v>
      </c>
      <c r="AZ197" t="s">
        <v>427</v>
      </c>
      <c r="BA197" t="s">
        <v>576</v>
      </c>
      <c r="BB197" t="s">
        <v>123</v>
      </c>
      <c r="BC197" t="s">
        <v>6767</v>
      </c>
      <c r="BD197" t="s">
        <v>2255</v>
      </c>
      <c r="BE197" t="s">
        <v>2256</v>
      </c>
      <c r="BF197" t="s">
        <v>2257</v>
      </c>
      <c r="BG197" t="s">
        <v>2258</v>
      </c>
      <c r="BH197" t="s">
        <v>170</v>
      </c>
      <c r="BI197" t="s">
        <v>67</v>
      </c>
      <c r="BJ197" t="s">
        <v>394</v>
      </c>
      <c r="BK197" t="s">
        <v>6768</v>
      </c>
      <c r="BL197" t="s">
        <v>2259</v>
      </c>
      <c r="BM197" t="s">
        <v>6767</v>
      </c>
      <c r="BN197">
        <v>4.34</v>
      </c>
      <c r="BO197">
        <v>7.92</v>
      </c>
      <c r="BP197">
        <v>15.43</v>
      </c>
      <c r="BQ197">
        <v>4.72</v>
      </c>
      <c r="BR197">
        <v>7.03</v>
      </c>
      <c r="BS197">
        <v>18.09</v>
      </c>
      <c r="BT197" t="s">
        <v>6769</v>
      </c>
      <c r="BU197" t="s">
        <v>1397</v>
      </c>
      <c r="BV197">
        <v>31.66</v>
      </c>
      <c r="BW197">
        <v>27.79</v>
      </c>
      <c r="BX197">
        <v>32.56</v>
      </c>
      <c r="BY197">
        <v>10.6</v>
      </c>
      <c r="BZ197">
        <v>10.24</v>
      </c>
      <c r="CA197">
        <v>12.98</v>
      </c>
      <c r="CB197">
        <v>3.56</v>
      </c>
      <c r="CC197">
        <v>-2.13</v>
      </c>
      <c r="CD197" t="s">
        <v>6770</v>
      </c>
      <c r="CE197" t="s">
        <v>6771</v>
      </c>
      <c r="CF197" s="8">
        <v>-0.38616692913385825</v>
      </c>
      <c r="CG197" s="9">
        <v>0.44890000000000002</v>
      </c>
      <c r="CH197" s="8">
        <v>-0.72158282995223999</v>
      </c>
      <c r="CI197" s="8">
        <v>-0.14893616735935211</v>
      </c>
      <c r="CJ197" s="8">
        <v>0.42424243688583374</v>
      </c>
      <c r="CK197" s="8">
        <v>0.11057692021131516</v>
      </c>
      <c r="CL197" s="8">
        <v>4.8309178091585636E-3</v>
      </c>
      <c r="CM197" s="9">
        <v>-0.64132547378540039</v>
      </c>
      <c r="CN197" s="9">
        <v>-0.32740014791488647</v>
      </c>
      <c r="CO197" s="9">
        <v>0.30552920699119568</v>
      </c>
      <c r="CP197" s="9">
        <v>0.13579894602298737</v>
      </c>
      <c r="CQ197" s="9">
        <v>9.241977334022522E-2</v>
      </c>
      <c r="CR197">
        <v>1.4333719371852822</v>
      </c>
      <c r="CS197" t="e">
        <v>#DIV/0!</v>
      </c>
      <c r="CT197">
        <v>1.7857142857142858</v>
      </c>
      <c r="CU197" s="8">
        <v>0</v>
      </c>
      <c r="CV197" s="9">
        <v>0</v>
      </c>
      <c r="CW197">
        <v>0.06</v>
      </c>
      <c r="CX197">
        <v>34.763429648924998</v>
      </c>
      <c r="CY197">
        <v>9706037.7358490564</v>
      </c>
      <c r="CZ197">
        <v>0</v>
      </c>
      <c r="DA197">
        <v>12.269188828223436</v>
      </c>
      <c r="DB197">
        <v>27501016.140841093</v>
      </c>
      <c r="DC197">
        <v>0</v>
      </c>
      <c r="DD197">
        <v>6.6694173851014149</v>
      </c>
      <c r="DE197">
        <v>50591399.595673859</v>
      </c>
      <c r="DF197">
        <v>0</v>
      </c>
      <c r="DG197">
        <v>4.4558832142805613</v>
      </c>
      <c r="DH197">
        <v>75723519.619774953</v>
      </c>
      <c r="DI197">
        <v>0</v>
      </c>
      <c r="DJ197">
        <v>2.8592775593749713</v>
      </c>
      <c r="DK197">
        <v>118007137.46508673</v>
      </c>
      <c r="DL197">
        <v>0</v>
      </c>
      <c r="DM197">
        <v>10288400</v>
      </c>
      <c r="DN197">
        <v>0</v>
      </c>
      <c r="DO197">
        <v>337415159.99999994</v>
      </c>
      <c r="DP197">
        <v>141736040</v>
      </c>
      <c r="DQ197">
        <v>196</v>
      </c>
      <c r="DR197">
        <v>-0.38616692913385825</v>
      </c>
      <c r="DS197">
        <v>0.44890000000000002</v>
      </c>
      <c r="DT197">
        <v>-0.44</v>
      </c>
      <c r="DU197">
        <v>-0.22</v>
      </c>
      <c r="DV197">
        <v>-0.66</v>
      </c>
      <c r="DW197">
        <v>4.5983146067415728</v>
      </c>
      <c r="DX197">
        <v>0.31952452711952228</v>
      </c>
      <c r="DY197">
        <v>4.1014290007765686</v>
      </c>
      <c r="DZ197">
        <v>0</v>
      </c>
      <c r="EA197">
        <v>4.1014290007765686</v>
      </c>
      <c r="EB197">
        <v>4</v>
      </c>
      <c r="EC197">
        <v>6.2661767022397563E-2</v>
      </c>
      <c r="ED197">
        <v>0.36963245429505343</v>
      </c>
      <c r="EE197">
        <v>0</v>
      </c>
      <c r="EF197">
        <v>0</v>
      </c>
      <c r="EG197">
        <v>15.169524527119522</v>
      </c>
      <c r="EH197" t="s">
        <v>86</v>
      </c>
      <c r="EI197">
        <v>0</v>
      </c>
      <c r="EJ197">
        <v>0</v>
      </c>
      <c r="EK197">
        <v>0</v>
      </c>
      <c r="EL197">
        <v>0</v>
      </c>
      <c r="EM197">
        <v>0</v>
      </c>
      <c r="EN197">
        <v>0</v>
      </c>
      <c r="EO197">
        <v>0</v>
      </c>
      <c r="EP197">
        <v>0</v>
      </c>
    </row>
    <row r="198" spans="1:146" ht="108" x14ac:dyDescent="0.25">
      <c r="A198" s="10"/>
      <c r="B198" s="10"/>
      <c r="C198" s="7" t="str">
        <f>""&amp;CHAR(10)&amp;Basic_Fundamental_Information_Constructure(F198)&amp;CHAR(10)&amp;Basic_Fundamental_Information_Concatenate("")</f>
        <v xml:space="preserve">
市值5.9291904亿, 利润352.68万; PE23.26; 平均PE.03, PB2.02; ROIC10.6933%; ROE11.2733%; 股利率3.3731%; 毛利58.26%; 净利25.54%; 上一年度营收增-79.39%, 利润增-85.96%; 当季营收增-49.73%, 利润增38.3%; 过往5年营收增0%, 利润增0%
Income profile:
</v>
      </c>
      <c r="D198">
        <v>870299</v>
      </c>
      <c r="E198" t="s">
        <v>2260</v>
      </c>
      <c r="F198">
        <v>6.58</v>
      </c>
      <c r="G198" s="5">
        <v>-4.6399999999999997</v>
      </c>
      <c r="H198" t="s">
        <v>6772</v>
      </c>
      <c r="I198">
        <v>592919040</v>
      </c>
      <c r="J198">
        <v>23.26</v>
      </c>
      <c r="K198">
        <v>2.02</v>
      </c>
      <c r="L198" t="s">
        <v>2604</v>
      </c>
      <c r="M198" t="s">
        <v>6773</v>
      </c>
      <c r="N198" t="s">
        <v>348</v>
      </c>
      <c r="O198" t="s">
        <v>6774</v>
      </c>
      <c r="P198">
        <v>28.09</v>
      </c>
      <c r="Q198" t="s">
        <v>6774</v>
      </c>
      <c r="R198">
        <v>3526791</v>
      </c>
      <c r="S198" s="5">
        <v>0.38300000000000001</v>
      </c>
      <c r="T198" t="s">
        <v>6775</v>
      </c>
      <c r="U198">
        <v>29462654</v>
      </c>
      <c r="V198">
        <v>90109276</v>
      </c>
      <c r="W198">
        <v>1.0900000000000001</v>
      </c>
      <c r="X198">
        <v>0.06</v>
      </c>
      <c r="Y198">
        <v>17.48</v>
      </c>
      <c r="Z198" t="s">
        <v>6776</v>
      </c>
      <c r="AA198" t="s">
        <v>6777</v>
      </c>
      <c r="AB198" t="s">
        <v>6778</v>
      </c>
      <c r="AC198" t="s">
        <v>6779</v>
      </c>
      <c r="AD198" t="s">
        <v>6780</v>
      </c>
      <c r="AE198">
        <v>953190</v>
      </c>
      <c r="AF198" t="s">
        <v>17</v>
      </c>
      <c r="AG198">
        <v>4000</v>
      </c>
      <c r="AH198" t="s">
        <v>6781</v>
      </c>
      <c r="AI198" t="s">
        <v>453</v>
      </c>
      <c r="AJ198" t="s">
        <v>9</v>
      </c>
      <c r="AK198" t="s">
        <v>6782</v>
      </c>
      <c r="AL198" t="s">
        <v>6783</v>
      </c>
      <c r="AM198" t="s">
        <v>9</v>
      </c>
      <c r="AN198">
        <v>0</v>
      </c>
      <c r="AO198" t="s">
        <v>9</v>
      </c>
      <c r="AP198" t="s">
        <v>9</v>
      </c>
      <c r="AQ198" t="s">
        <v>6784</v>
      </c>
      <c r="AR198" t="s">
        <v>9</v>
      </c>
      <c r="AS198" t="s">
        <v>6785</v>
      </c>
      <c r="AT198" t="s">
        <v>9</v>
      </c>
      <c r="AU198" t="s">
        <v>6786</v>
      </c>
      <c r="AV198" t="s">
        <v>6787</v>
      </c>
      <c r="AW198" t="s">
        <v>9</v>
      </c>
      <c r="AX198" t="s">
        <v>2261</v>
      </c>
      <c r="AY198" t="s">
        <v>2263</v>
      </c>
      <c r="AZ198" t="s">
        <v>2264</v>
      </c>
      <c r="BA198" t="s">
        <v>2265</v>
      </c>
      <c r="BB198" t="s">
        <v>2266</v>
      </c>
      <c r="BC198" t="s">
        <v>2262</v>
      </c>
      <c r="BD198" t="s">
        <v>2267</v>
      </c>
      <c r="BE198" t="s">
        <v>2268</v>
      </c>
      <c r="BF198" t="s">
        <v>2269</v>
      </c>
      <c r="BG198" t="s">
        <v>2270</v>
      </c>
      <c r="BH198" t="s">
        <v>518</v>
      </c>
      <c r="BI198" t="s">
        <v>2271</v>
      </c>
      <c r="BJ198" t="s">
        <v>2261</v>
      </c>
      <c r="BK198" t="s">
        <v>6788</v>
      </c>
      <c r="BL198" t="s">
        <v>2272</v>
      </c>
      <c r="BM198" t="s">
        <v>2262</v>
      </c>
      <c r="BN198">
        <v>4.07</v>
      </c>
      <c r="BO198">
        <v>10.96</v>
      </c>
      <c r="BP198">
        <v>17.05</v>
      </c>
      <c r="BQ198">
        <v>4.91</v>
      </c>
      <c r="BR198">
        <v>11.53</v>
      </c>
      <c r="BS198">
        <v>17.38</v>
      </c>
      <c r="BT198" t="s">
        <v>6789</v>
      </c>
      <c r="BU198" t="s">
        <v>879</v>
      </c>
      <c r="BV198">
        <v>55.47</v>
      </c>
      <c r="BW198">
        <v>58.74</v>
      </c>
      <c r="BX198">
        <v>60.57</v>
      </c>
      <c r="BY198">
        <v>22.47</v>
      </c>
      <c r="BZ198">
        <v>25.67</v>
      </c>
      <c r="CA198">
        <v>28.48</v>
      </c>
      <c r="CB198">
        <v>-6.8</v>
      </c>
      <c r="CC198">
        <v>-4.75</v>
      </c>
      <c r="CD198" t="s">
        <v>6790</v>
      </c>
      <c r="CE198" t="s">
        <v>94</v>
      </c>
      <c r="CF198" s="8">
        <v>-0.49731219642274155</v>
      </c>
      <c r="CG198" s="9">
        <v>0.38300000000000001</v>
      </c>
      <c r="CH198" s="8">
        <v>-0.79388201236724854</v>
      </c>
      <c r="CI198" s="8">
        <v>8.8349126279354095E-2</v>
      </c>
      <c r="CJ198" s="8">
        <v>9.9045626819133759E-2</v>
      </c>
      <c r="CK198" s="8">
        <v>0.1111883744597435</v>
      </c>
      <c r="CL198" s="8">
        <v>-0.10387435555458069</v>
      </c>
      <c r="CM198" s="9">
        <v>-0.85958069562911987</v>
      </c>
      <c r="CN198" s="9">
        <v>-1.9254723563790321E-2</v>
      </c>
      <c r="CO198" s="9">
        <v>-8.3604991436004639E-2</v>
      </c>
      <c r="CP198" s="9">
        <v>0.16188190877437592</v>
      </c>
      <c r="CQ198" s="9">
        <v>-0.16450951993465424</v>
      </c>
      <c r="CR198">
        <v>2.9486350542404279E-2</v>
      </c>
      <c r="CS198" t="e">
        <v>#DIV/0!</v>
      </c>
      <c r="CT198">
        <v>3.3731428571428572</v>
      </c>
      <c r="CU198" s="8">
        <v>0</v>
      </c>
      <c r="CV198" s="9">
        <v>0</v>
      </c>
      <c r="CW198">
        <v>0.06</v>
      </c>
      <c r="CX198">
        <v>100.89104525348759</v>
      </c>
      <c r="CY198">
        <v>3327169.8113207542</v>
      </c>
      <c r="CZ198">
        <v>0</v>
      </c>
      <c r="DA198">
        <v>35.607858539646521</v>
      </c>
      <c r="DB198">
        <v>9427178.5433612969</v>
      </c>
      <c r="DC198">
        <v>0</v>
      </c>
      <c r="DD198">
        <v>19.356102030498924</v>
      </c>
      <c r="DE198">
        <v>17342419.432955813</v>
      </c>
      <c r="DF198">
        <v>0</v>
      </c>
      <c r="DG198">
        <v>12.931943699350667</v>
      </c>
      <c r="DH198">
        <v>25957555.01292935</v>
      </c>
      <c r="DI198">
        <v>0</v>
      </c>
      <c r="DJ198">
        <v>8.298246305053576</v>
      </c>
      <c r="DK198">
        <v>40452118.153635927</v>
      </c>
      <c r="DL198">
        <v>0</v>
      </c>
      <c r="DM198">
        <v>3526800</v>
      </c>
      <c r="DN198">
        <v>0</v>
      </c>
      <c r="DO198">
        <v>335681640</v>
      </c>
      <c r="DP198">
        <v>246546060</v>
      </c>
      <c r="DQ198">
        <v>197</v>
      </c>
      <c r="DR198">
        <v>-0.49731219642274155</v>
      </c>
      <c r="DS198">
        <v>0.38300000000000001</v>
      </c>
      <c r="DT198">
        <v>-0.44</v>
      </c>
      <c r="DU198">
        <v>-0.22</v>
      </c>
      <c r="DV198">
        <v>-0.66</v>
      </c>
      <c r="DW198">
        <v>-5.6985294117647056</v>
      </c>
      <c r="DX198">
        <v>0.28113769230769164</v>
      </c>
      <c r="DY198">
        <v>-5.070647652714932</v>
      </c>
      <c r="DZ198">
        <v>0</v>
      </c>
      <c r="EA198">
        <v>-5.070647652714932</v>
      </c>
      <c r="EB198">
        <v>5</v>
      </c>
      <c r="EC198">
        <v>0.14591061634986391</v>
      </c>
      <c r="ED198">
        <v>1.4426927589563587</v>
      </c>
      <c r="EE198">
        <v>0</v>
      </c>
      <c r="EF198">
        <v>0</v>
      </c>
      <c r="EG198">
        <v>18.101137692307692</v>
      </c>
      <c r="EH198" t="s">
        <v>86</v>
      </c>
      <c r="EI198">
        <v>0</v>
      </c>
      <c r="EJ198">
        <v>0</v>
      </c>
      <c r="EK198">
        <v>0</v>
      </c>
      <c r="EL198">
        <v>0</v>
      </c>
      <c r="EM198">
        <v>0</v>
      </c>
      <c r="EN198">
        <v>0</v>
      </c>
      <c r="EO198">
        <v>0</v>
      </c>
      <c r="EP198">
        <v>0</v>
      </c>
    </row>
    <row r="199" spans="1:146" ht="108" x14ac:dyDescent="0.25">
      <c r="A199" s="10"/>
      <c r="B199" s="10"/>
      <c r="C199" s="7" t="str">
        <f>""&amp;CHAR(10)&amp;Basic_Fundamental_Information_Constructure(F199)&amp;CHAR(10)&amp;Basic_Fundamental_Information_Concatenate("")</f>
        <v xml:space="preserve">
市值10.4104亿, 利润561.34万; PE32.98; 平均PE4.96, PB2.84; ROIC25.5133%; ROE32.5233%; 股利率3.0769%; 毛利30.21%; 净利20.4033%; 上一年度营收增-63.85%, 利润增-90.4%; 当季营收增-48.69%, 利润增-67.18%; 过往5年营收增0%, 利润增0%
Income profile:
</v>
      </c>
      <c r="D199">
        <v>870357</v>
      </c>
      <c r="E199" t="s">
        <v>2273</v>
      </c>
      <c r="F199">
        <v>13</v>
      </c>
      <c r="G199" s="5">
        <v>2.69</v>
      </c>
      <c r="H199" t="s">
        <v>6791</v>
      </c>
      <c r="I199">
        <v>1041040000</v>
      </c>
      <c r="J199">
        <v>32.979999999999997</v>
      </c>
      <c r="K199">
        <v>2.84</v>
      </c>
      <c r="L199" t="s">
        <v>2604</v>
      </c>
      <c r="M199" t="s">
        <v>37</v>
      </c>
      <c r="N199" t="s">
        <v>533</v>
      </c>
      <c r="O199" t="s">
        <v>6792</v>
      </c>
      <c r="P199">
        <v>16.329999999999998</v>
      </c>
      <c r="Q199" t="s">
        <v>6792</v>
      </c>
      <c r="R199">
        <v>5613390</v>
      </c>
      <c r="S199" s="5">
        <v>-0.67179999999999995</v>
      </c>
      <c r="T199" t="s">
        <v>6793</v>
      </c>
      <c r="U199">
        <v>23201490</v>
      </c>
      <c r="V199">
        <v>80080000</v>
      </c>
      <c r="W199">
        <v>1.32</v>
      </c>
      <c r="X199">
        <v>0.18</v>
      </c>
      <c r="Y199">
        <v>6.55</v>
      </c>
      <c r="Z199" t="s">
        <v>6794</v>
      </c>
      <c r="AA199" t="s">
        <v>6795</v>
      </c>
      <c r="AB199" t="s">
        <v>6796</v>
      </c>
      <c r="AC199" t="s">
        <v>6797</v>
      </c>
      <c r="AD199" t="s">
        <v>6798</v>
      </c>
      <c r="AE199">
        <v>231500</v>
      </c>
      <c r="AF199" t="s">
        <v>17</v>
      </c>
      <c r="AG199">
        <v>213.15</v>
      </c>
      <c r="AH199" t="s">
        <v>6799</v>
      </c>
      <c r="AI199" t="s">
        <v>90</v>
      </c>
      <c r="AJ199" t="s">
        <v>9</v>
      </c>
      <c r="AK199" t="s">
        <v>9</v>
      </c>
      <c r="AL199" t="s">
        <v>6800</v>
      </c>
      <c r="AM199" t="s">
        <v>9</v>
      </c>
      <c r="AN199" t="s">
        <v>6801</v>
      </c>
      <c r="AO199" t="s">
        <v>6802</v>
      </c>
      <c r="AP199" t="s">
        <v>9</v>
      </c>
      <c r="AQ199" t="s">
        <v>6803</v>
      </c>
      <c r="AR199" t="s">
        <v>9</v>
      </c>
      <c r="AS199" t="s">
        <v>537</v>
      </c>
      <c r="AT199" t="s">
        <v>9</v>
      </c>
      <c r="AU199" t="s">
        <v>6804</v>
      </c>
      <c r="AV199" t="s">
        <v>6805</v>
      </c>
      <c r="AW199" t="s">
        <v>6806</v>
      </c>
      <c r="AX199" t="s">
        <v>401</v>
      </c>
      <c r="AY199" t="s">
        <v>131</v>
      </c>
      <c r="AZ199" t="s">
        <v>2275</v>
      </c>
      <c r="BA199" t="s">
        <v>2276</v>
      </c>
      <c r="BB199" t="s">
        <v>2277</v>
      </c>
      <c r="BC199" t="s">
        <v>2274</v>
      </c>
      <c r="BD199" t="s">
        <v>2278</v>
      </c>
      <c r="BE199" t="s">
        <v>2279</v>
      </c>
      <c r="BF199" t="s">
        <v>2280</v>
      </c>
      <c r="BG199" t="s">
        <v>2281</v>
      </c>
      <c r="BH199" t="s">
        <v>244</v>
      </c>
      <c r="BI199" t="s">
        <v>149</v>
      </c>
      <c r="BJ199" t="s">
        <v>401</v>
      </c>
      <c r="BK199" t="s">
        <v>6807</v>
      </c>
      <c r="BL199" t="s">
        <v>2282</v>
      </c>
      <c r="BM199" t="s">
        <v>2274</v>
      </c>
      <c r="BN199">
        <v>8.52</v>
      </c>
      <c r="BO199">
        <v>23.33</v>
      </c>
      <c r="BP199">
        <v>44.69</v>
      </c>
      <c r="BQ199">
        <v>8.76</v>
      </c>
      <c r="BR199">
        <v>35.479999999999997</v>
      </c>
      <c r="BS199">
        <v>53.33</v>
      </c>
      <c r="BT199" t="s">
        <v>842</v>
      </c>
      <c r="BU199" t="s">
        <v>1032</v>
      </c>
      <c r="BV199">
        <v>17.52</v>
      </c>
      <c r="BW199">
        <v>33.83</v>
      </c>
      <c r="BX199">
        <v>39.28</v>
      </c>
      <c r="BY199">
        <v>12.17</v>
      </c>
      <c r="BZ199">
        <v>24.7</v>
      </c>
      <c r="CA199">
        <v>24.34</v>
      </c>
      <c r="CB199">
        <v>-3.35</v>
      </c>
      <c r="CC199">
        <v>8.7899999999999991</v>
      </c>
      <c r="CD199" t="s">
        <v>6808</v>
      </c>
      <c r="CE199" t="s">
        <v>6809</v>
      </c>
      <c r="CF199" s="8">
        <v>-0.48693832335329351</v>
      </c>
      <c r="CG199" s="9">
        <v>-0.67179999999999995</v>
      </c>
      <c r="CH199" s="8">
        <v>-0.63847553730010986</v>
      </c>
      <c r="CI199" s="8">
        <v>0.234375</v>
      </c>
      <c r="CJ199" s="8">
        <v>1.2010877132415771</v>
      </c>
      <c r="CK199" s="8">
        <v>0.26582983136177063</v>
      </c>
      <c r="CL199" s="8">
        <v>1.2102163396775723E-2</v>
      </c>
      <c r="CM199" s="9">
        <v>-0.90400803089141846</v>
      </c>
      <c r="CN199" s="9">
        <v>0.2501293420791626</v>
      </c>
      <c r="CO199" s="9">
        <v>1.5496634244918823</v>
      </c>
      <c r="CP199" s="9">
        <v>0.78779196739196777</v>
      </c>
      <c r="CQ199" s="9">
        <v>-0.1810433566570282</v>
      </c>
      <c r="CR199">
        <v>4.9627947708168367</v>
      </c>
      <c r="CS199" t="e">
        <v>#DIV/0!</v>
      </c>
      <c r="CT199">
        <v>3.0769230769230771</v>
      </c>
      <c r="CU199" s="8">
        <v>0</v>
      </c>
      <c r="CV199" s="9">
        <v>0</v>
      </c>
      <c r="CW199">
        <v>0.06</v>
      </c>
      <c r="CX199">
        <v>146.73146399686468</v>
      </c>
      <c r="CY199">
        <v>5295660.3773584897</v>
      </c>
      <c r="CZ199">
        <v>0</v>
      </c>
      <c r="DA199">
        <v>51.786491062594905</v>
      </c>
      <c r="DB199">
        <v>15004685.277107947</v>
      </c>
      <c r="DC199">
        <v>0</v>
      </c>
      <c r="DD199">
        <v>28.150656790916877</v>
      </c>
      <c r="DE199">
        <v>27602908.371598657</v>
      </c>
      <c r="DF199">
        <v>0</v>
      </c>
      <c r="DG199">
        <v>18.80764567919034</v>
      </c>
      <c r="DH199">
        <v>41315112.654411256</v>
      </c>
      <c r="DI199">
        <v>0</v>
      </c>
      <c r="DJ199">
        <v>12.068601587859886</v>
      </c>
      <c r="DK199">
        <v>64385255.768294178</v>
      </c>
      <c r="DL199">
        <v>0</v>
      </c>
      <c r="DM199">
        <v>5613400</v>
      </c>
      <c r="DN199">
        <v>0</v>
      </c>
      <c r="DO199">
        <v>777040000</v>
      </c>
      <c r="DP199">
        <v>308401880</v>
      </c>
      <c r="DQ199">
        <v>198</v>
      </c>
      <c r="DR199">
        <v>-0.48693832335329351</v>
      </c>
      <c r="DS199">
        <v>-0.67179999999999995</v>
      </c>
      <c r="DT199">
        <v>-0.44</v>
      </c>
      <c r="DU199">
        <v>-0.44</v>
      </c>
      <c r="DV199">
        <v>-0.88</v>
      </c>
      <c r="DW199">
        <v>-6.2759472817133446</v>
      </c>
      <c r="DX199">
        <v>0.5899543738413473</v>
      </c>
      <c r="DY199">
        <v>-6.0303416105740135</v>
      </c>
      <c r="DZ199">
        <v>0</v>
      </c>
      <c r="EA199">
        <v>-6.0303416105740135</v>
      </c>
      <c r="EB199">
        <v>6</v>
      </c>
      <c r="EC199">
        <v>0.1263499000999001</v>
      </c>
      <c r="ED199">
        <v>1.1491121378621378</v>
      </c>
      <c r="EE199">
        <v>0</v>
      </c>
      <c r="EF199">
        <v>0</v>
      </c>
      <c r="EG199">
        <v>48.109954373841347</v>
      </c>
      <c r="EH199" t="s">
        <v>86</v>
      </c>
      <c r="EI199">
        <v>0</v>
      </c>
      <c r="EJ199">
        <v>0</v>
      </c>
      <c r="EK199">
        <v>0</v>
      </c>
      <c r="EL199">
        <v>0</v>
      </c>
      <c r="EM199">
        <v>0</v>
      </c>
      <c r="EN199">
        <v>0</v>
      </c>
      <c r="EO199">
        <v>0</v>
      </c>
      <c r="EP199">
        <v>0</v>
      </c>
    </row>
    <row r="200" spans="1:146" ht="96" x14ac:dyDescent="0.25">
      <c r="A200" s="10"/>
      <c r="B200" s="10"/>
      <c r="C200" s="7" t="str">
        <f>""&amp;CHAR(10)&amp;Basic_Fundamental_Information_Constructure(F200)&amp;CHAR(10)&amp;Basic_Fundamental_Information_Concatenate("")</f>
        <v xml:space="preserve">
市值10.1372748亿, 利润-127.49万; PE130.2; 平均PE7.24, PB2.29; ROIC10.51%; ROE3.2933%; 股利率0%; 毛利19.34%; 净利.77%; 上一年度营收增-61.1%, 利润增94.69%; 当季营收增-46.8%, 利润增66.81%; 过往5年营收增0%, 利润增0%
Income profile:
</v>
      </c>
      <c r="D200">
        <v>870436</v>
      </c>
      <c r="E200" t="s">
        <v>2283</v>
      </c>
      <c r="F200">
        <v>10.73</v>
      </c>
      <c r="G200" s="5">
        <v>-0.09</v>
      </c>
      <c r="H200" t="s">
        <v>6810</v>
      </c>
      <c r="I200">
        <v>1013727480</v>
      </c>
      <c r="J200">
        <v>130.19999999999999</v>
      </c>
      <c r="K200">
        <v>2.29</v>
      </c>
      <c r="L200" t="s">
        <v>2604</v>
      </c>
      <c r="M200" t="s">
        <v>664</v>
      </c>
      <c r="N200" t="s">
        <v>355</v>
      </c>
      <c r="O200" t="s">
        <v>378</v>
      </c>
      <c r="P200">
        <v>22.15</v>
      </c>
      <c r="Q200" t="s">
        <v>378</v>
      </c>
      <c r="R200">
        <v>-1274908</v>
      </c>
      <c r="S200" s="5">
        <v>0.66810000000000003</v>
      </c>
      <c r="T200" t="s">
        <v>6811</v>
      </c>
      <c r="U200">
        <v>44679750</v>
      </c>
      <c r="V200">
        <v>94476000</v>
      </c>
      <c r="W200">
        <v>2.46</v>
      </c>
      <c r="X200">
        <v>0.17</v>
      </c>
      <c r="Y200">
        <v>-0.67</v>
      </c>
      <c r="Z200" t="s">
        <v>239</v>
      </c>
      <c r="AA200" t="s">
        <v>227</v>
      </c>
      <c r="AB200" t="s">
        <v>6812</v>
      </c>
      <c r="AC200" t="s">
        <v>6813</v>
      </c>
      <c r="AD200" t="s">
        <v>6814</v>
      </c>
      <c r="AE200">
        <v>2036869</v>
      </c>
      <c r="AF200" t="s">
        <v>6815</v>
      </c>
      <c r="AG200" t="s">
        <v>6816</v>
      </c>
      <c r="AH200" t="s">
        <v>6817</v>
      </c>
      <c r="AI200" t="s">
        <v>6818</v>
      </c>
      <c r="AJ200" t="s">
        <v>9</v>
      </c>
      <c r="AK200" t="s">
        <v>6819</v>
      </c>
      <c r="AL200" t="s">
        <v>6820</v>
      </c>
      <c r="AM200" t="s">
        <v>9</v>
      </c>
      <c r="AN200" t="s">
        <v>230</v>
      </c>
      <c r="AO200" t="s">
        <v>240</v>
      </c>
      <c r="AP200" t="s">
        <v>6821</v>
      </c>
      <c r="AQ200" t="s">
        <v>348</v>
      </c>
      <c r="AR200" t="s">
        <v>9</v>
      </c>
      <c r="AS200" t="s">
        <v>177</v>
      </c>
      <c r="AT200" t="s">
        <v>6822</v>
      </c>
      <c r="AU200" t="s">
        <v>6823</v>
      </c>
      <c r="AV200" t="s">
        <v>6824</v>
      </c>
      <c r="AW200" t="s">
        <v>6825</v>
      </c>
      <c r="AX200" t="s">
        <v>581</v>
      </c>
      <c r="AY200" t="s">
        <v>141</v>
      </c>
      <c r="AZ200" t="s">
        <v>534</v>
      </c>
      <c r="BA200" t="s">
        <v>629</v>
      </c>
      <c r="BB200" t="s">
        <v>651</v>
      </c>
      <c r="BC200" t="s">
        <v>6826</v>
      </c>
      <c r="BD200" t="s">
        <v>2284</v>
      </c>
      <c r="BE200" t="s">
        <v>2285</v>
      </c>
      <c r="BF200" t="s">
        <v>2286</v>
      </c>
      <c r="BG200" t="s">
        <v>2287</v>
      </c>
      <c r="BH200" t="s">
        <v>5281</v>
      </c>
      <c r="BI200" t="s">
        <v>126</v>
      </c>
      <c r="BJ200" t="s">
        <v>581</v>
      </c>
      <c r="BK200" t="s">
        <v>6827</v>
      </c>
      <c r="BL200" t="s">
        <v>2288</v>
      </c>
      <c r="BM200" t="s">
        <v>6826</v>
      </c>
      <c r="BN200" t="s">
        <v>9</v>
      </c>
      <c r="BO200" t="s">
        <v>9</v>
      </c>
      <c r="BP200">
        <v>10.51</v>
      </c>
      <c r="BQ200">
        <v>-1.1399999999999999</v>
      </c>
      <c r="BR200">
        <v>-5.21</v>
      </c>
      <c r="BS200">
        <v>16.23</v>
      </c>
      <c r="BT200" t="s">
        <v>773</v>
      </c>
      <c r="BU200" t="s">
        <v>822</v>
      </c>
      <c r="BV200">
        <v>18.98</v>
      </c>
      <c r="BW200">
        <v>16.72</v>
      </c>
      <c r="BX200">
        <v>22.32</v>
      </c>
      <c r="BY200">
        <v>0.64</v>
      </c>
      <c r="BZ200">
        <v>-4.88</v>
      </c>
      <c r="CA200">
        <v>6.55</v>
      </c>
      <c r="CB200">
        <v>4.99</v>
      </c>
      <c r="CC200">
        <v>3.67</v>
      </c>
      <c r="CD200" t="s">
        <v>6828</v>
      </c>
      <c r="CE200" t="s">
        <v>6829</v>
      </c>
      <c r="CF200" s="8">
        <v>-0.46796657381615597</v>
      </c>
      <c r="CG200" s="9">
        <v>0.66810000000000003</v>
      </c>
      <c r="CH200" s="8">
        <v>-0.61099797487258911</v>
      </c>
      <c r="CI200" s="8">
        <v>-0.38238993287086487</v>
      </c>
      <c r="CJ200" s="8">
        <v>3.7859007716178894E-2</v>
      </c>
      <c r="CK200" s="8">
        <v>0.2939189076423645</v>
      </c>
      <c r="CL200" s="8">
        <v>0.12761904299259186</v>
      </c>
      <c r="CM200" s="9">
        <v>0.94693684577941895</v>
      </c>
      <c r="CN200" s="9">
        <v>-1.4617358446121216</v>
      </c>
      <c r="CO200" s="9">
        <v>-0.17814582586288452</v>
      </c>
      <c r="CP200" s="9">
        <v>1.6747766733169556</v>
      </c>
      <c r="CQ200" s="9">
        <v>4.1766609996557236E-2</v>
      </c>
      <c r="CR200">
        <v>7.2432810213723506</v>
      </c>
      <c r="CS200" t="e">
        <v>#DIV/0!</v>
      </c>
      <c r="CT200">
        <v>0</v>
      </c>
      <c r="CU200" s="8">
        <v>0</v>
      </c>
      <c r="CV200" s="9">
        <v>0</v>
      </c>
      <c r="CW200">
        <v>0.06</v>
      </c>
      <c r="CX200" t="e">
        <v>#VALUE!</v>
      </c>
      <c r="CY200" t="s">
        <v>85</v>
      </c>
      <c r="CZ200">
        <v>0</v>
      </c>
      <c r="DA200" t="e">
        <v>#VALUE!</v>
      </c>
      <c r="DB200" t="s">
        <v>84</v>
      </c>
      <c r="DC200">
        <v>0</v>
      </c>
      <c r="DD200" t="e">
        <v>#VALUE!</v>
      </c>
      <c r="DE200" t="s">
        <v>84</v>
      </c>
      <c r="DF200">
        <v>0</v>
      </c>
      <c r="DG200" t="e">
        <v>#VALUE!</v>
      </c>
      <c r="DH200" t="s">
        <v>84</v>
      </c>
      <c r="DI200">
        <v>0</v>
      </c>
      <c r="DJ200" t="e">
        <v>#VALUE!</v>
      </c>
      <c r="DK200" t="s">
        <v>84</v>
      </c>
      <c r="DL200">
        <v>0</v>
      </c>
      <c r="DM200">
        <v>-1274900</v>
      </c>
      <c r="DN200">
        <v>0</v>
      </c>
      <c r="DO200">
        <v>1305727480</v>
      </c>
      <c r="DP200">
        <v>139357050</v>
      </c>
      <c r="DQ200">
        <v>199</v>
      </c>
      <c r="DR200">
        <v>-0.46796657381615597</v>
      </c>
      <c r="DS200">
        <v>0.66810000000000003</v>
      </c>
      <c r="DT200">
        <v>-0.44</v>
      </c>
      <c r="DU200" t="e">
        <v>#VALUE!</v>
      </c>
      <c r="DV200" t="e">
        <v>#VALUE!</v>
      </c>
      <c r="DW200">
        <v>4.7354709418837677</v>
      </c>
      <c r="DX200">
        <v>0.2642831816965478</v>
      </c>
      <c r="DY200">
        <v>4.1502443440533732</v>
      </c>
      <c r="DZ200">
        <v>0</v>
      </c>
      <c r="EA200">
        <v>4.1502443440533732</v>
      </c>
      <c r="EB200">
        <v>4</v>
      </c>
      <c r="EC200">
        <v>2.5857360599517338E-2</v>
      </c>
      <c r="ED200">
        <v>0.12657606164528556</v>
      </c>
      <c r="EE200">
        <v>0</v>
      </c>
      <c r="EF200">
        <v>0</v>
      </c>
      <c r="EG200">
        <v>6.2042831816965478</v>
      </c>
      <c r="EH200" t="s">
        <v>86</v>
      </c>
      <c r="EI200">
        <v>0</v>
      </c>
      <c r="EJ200">
        <v>0</v>
      </c>
      <c r="EK200">
        <v>0</v>
      </c>
      <c r="EL200">
        <v>0</v>
      </c>
      <c r="EM200">
        <v>0</v>
      </c>
      <c r="EN200">
        <v>0</v>
      </c>
      <c r="EO200">
        <v>0</v>
      </c>
      <c r="EP200">
        <v>0</v>
      </c>
    </row>
    <row r="201" spans="1:146" ht="108" x14ac:dyDescent="0.25">
      <c r="A201" s="10"/>
      <c r="B201" s="10"/>
      <c r="C201" s="7" t="str">
        <f>""&amp;CHAR(10)&amp;Basic_Fundamental_Information_Constructure(F201)&amp;CHAR(10)&amp;Basic_Fundamental_Information_Concatenate("")</f>
        <v xml:space="preserve">
市值5.365088亿, 利润961.23万; PE19.34; 平均PE-2.71, PB1.19; ROIC11.07%; ROE12.0367%; 股利率1.7401%; 毛利31.85%; 净利26.35%; 上一年度营收增-71.96%, 利润增-72.13%; 当季营收增-31.61%, 利润增11.56%; 过往5年营收增0%, 利润增0%
Income profile:
</v>
      </c>
      <c r="D201">
        <v>870508</v>
      </c>
      <c r="E201" t="s">
        <v>2289</v>
      </c>
      <c r="F201">
        <v>8.6199999999999992</v>
      </c>
      <c r="G201" s="5">
        <v>-1.93</v>
      </c>
      <c r="H201" t="s">
        <v>6830</v>
      </c>
      <c r="I201">
        <v>536508800</v>
      </c>
      <c r="J201">
        <v>19.34</v>
      </c>
      <c r="K201">
        <v>1.19</v>
      </c>
      <c r="L201" t="s">
        <v>2604</v>
      </c>
      <c r="M201" t="s">
        <v>6831</v>
      </c>
      <c r="N201" t="s">
        <v>572</v>
      </c>
      <c r="O201" t="s">
        <v>6832</v>
      </c>
      <c r="P201">
        <v>27.55</v>
      </c>
      <c r="Q201" t="s">
        <v>6832</v>
      </c>
      <c r="R201">
        <v>9612270</v>
      </c>
      <c r="S201" s="5">
        <v>0.11559999999999999</v>
      </c>
      <c r="T201" t="s">
        <v>6833</v>
      </c>
      <c r="U201">
        <v>26116461</v>
      </c>
      <c r="V201">
        <v>62240000</v>
      </c>
      <c r="W201">
        <v>1.1599999999999999</v>
      </c>
      <c r="X201">
        <v>0.08</v>
      </c>
      <c r="Y201">
        <v>23.7</v>
      </c>
      <c r="Z201" t="s">
        <v>6834</v>
      </c>
      <c r="AA201" t="s">
        <v>6835</v>
      </c>
      <c r="AB201" t="s">
        <v>6544</v>
      </c>
      <c r="AC201" t="s">
        <v>6836</v>
      </c>
      <c r="AD201" t="s">
        <v>6837</v>
      </c>
      <c r="AE201">
        <v>423991</v>
      </c>
      <c r="AF201" t="s">
        <v>6838</v>
      </c>
      <c r="AG201" t="s">
        <v>6839</v>
      </c>
      <c r="AH201" t="s">
        <v>6840</v>
      </c>
      <c r="AI201" t="s">
        <v>27</v>
      </c>
      <c r="AJ201" t="s">
        <v>9</v>
      </c>
      <c r="AK201" t="s">
        <v>9</v>
      </c>
      <c r="AL201" t="s">
        <v>6841</v>
      </c>
      <c r="AM201" t="s">
        <v>9</v>
      </c>
      <c r="AN201" t="s">
        <v>6842</v>
      </c>
      <c r="AO201" t="s">
        <v>9</v>
      </c>
      <c r="AP201" t="s">
        <v>1440</v>
      </c>
      <c r="AQ201" t="s">
        <v>6843</v>
      </c>
      <c r="AR201" t="s">
        <v>6844</v>
      </c>
      <c r="AS201" t="s">
        <v>6845</v>
      </c>
      <c r="AT201" t="s">
        <v>9</v>
      </c>
      <c r="AU201" t="s">
        <v>6846</v>
      </c>
      <c r="AV201" t="s">
        <v>6847</v>
      </c>
      <c r="AW201" t="s">
        <v>9</v>
      </c>
      <c r="AX201" t="s">
        <v>318</v>
      </c>
      <c r="AY201" t="s">
        <v>149</v>
      </c>
      <c r="AZ201" t="s">
        <v>406</v>
      </c>
      <c r="BA201" t="s">
        <v>2292</v>
      </c>
      <c r="BB201" t="s">
        <v>2293</v>
      </c>
      <c r="BC201" t="s">
        <v>2291</v>
      </c>
      <c r="BD201" t="s">
        <v>2294</v>
      </c>
      <c r="BE201" t="s">
        <v>2295</v>
      </c>
      <c r="BF201" t="s">
        <v>2296</v>
      </c>
      <c r="BG201" t="s">
        <v>2297</v>
      </c>
      <c r="BH201" t="s">
        <v>6848</v>
      </c>
      <c r="BI201" t="s">
        <v>2298</v>
      </c>
      <c r="BJ201" t="s">
        <v>318</v>
      </c>
      <c r="BK201" t="s">
        <v>6849</v>
      </c>
      <c r="BL201" t="s">
        <v>2299</v>
      </c>
      <c r="BM201" t="s">
        <v>2291</v>
      </c>
      <c r="BN201">
        <v>5.33</v>
      </c>
      <c r="BO201">
        <v>9.8699999999999992</v>
      </c>
      <c r="BP201">
        <v>18.010000000000002</v>
      </c>
      <c r="BQ201">
        <v>5.83</v>
      </c>
      <c r="BR201">
        <v>12.26</v>
      </c>
      <c r="BS201">
        <v>18.02</v>
      </c>
      <c r="BT201" t="s">
        <v>1006</v>
      </c>
      <c r="BU201" t="s">
        <v>2290</v>
      </c>
      <c r="BV201">
        <v>30.78</v>
      </c>
      <c r="BW201">
        <v>32.159999999999997</v>
      </c>
      <c r="BX201">
        <v>32.61</v>
      </c>
      <c r="BY201">
        <v>27.3</v>
      </c>
      <c r="BZ201">
        <v>23.92</v>
      </c>
      <c r="CA201">
        <v>27.83</v>
      </c>
      <c r="CB201">
        <v>2.0099999999999998</v>
      </c>
      <c r="CC201">
        <v>2.0099999999999998</v>
      </c>
      <c r="CD201" t="s">
        <v>6850</v>
      </c>
      <c r="CE201" t="s">
        <v>6851</v>
      </c>
      <c r="CF201" s="8">
        <v>-0.31607174938151339</v>
      </c>
      <c r="CG201" s="9">
        <v>0.11559999999999999</v>
      </c>
      <c r="CH201" s="8">
        <v>-0.71962499618530273</v>
      </c>
      <c r="CI201" s="8">
        <v>-0.11377245187759399</v>
      </c>
      <c r="CJ201" s="8">
        <v>0.27480915188789368</v>
      </c>
      <c r="CK201" s="8">
        <v>0.58149909973144531</v>
      </c>
      <c r="CL201" s="8">
        <v>-6.8581730127334595E-2</v>
      </c>
      <c r="CM201" s="9">
        <v>-0.72133737802505493</v>
      </c>
      <c r="CN201" s="9">
        <v>-0.2404005229473114</v>
      </c>
      <c r="CO201" s="9">
        <v>0.12046989053487778</v>
      </c>
      <c r="CP201" s="9">
        <v>0.78024929761886597</v>
      </c>
      <c r="CQ201" s="9">
        <v>-0.12742283940315247</v>
      </c>
      <c r="CR201">
        <v>-2.70647897233173</v>
      </c>
      <c r="CS201" t="e">
        <v>#DIV/0!</v>
      </c>
      <c r="CT201">
        <v>1.7401392111368912</v>
      </c>
      <c r="CU201" s="8">
        <v>0</v>
      </c>
      <c r="CV201" s="9">
        <v>0</v>
      </c>
      <c r="CW201">
        <v>0.06</v>
      </c>
      <c r="CX201">
        <v>17.603600178937405</v>
      </c>
      <c r="CY201">
        <v>9068207.5471698102</v>
      </c>
      <c r="CZ201">
        <v>0</v>
      </c>
      <c r="DA201">
        <v>6.2129052522471628</v>
      </c>
      <c r="DB201">
        <v>25693792.761810083</v>
      </c>
      <c r="DC201">
        <v>0</v>
      </c>
      <c r="DD201">
        <v>3.3772777386885382</v>
      </c>
      <c r="DE201">
        <v>47266796.618861616</v>
      </c>
      <c r="DF201">
        <v>0</v>
      </c>
      <c r="DG201">
        <v>2.2563822770190649</v>
      </c>
      <c r="DH201">
        <v>70747364.764313474</v>
      </c>
      <c r="DI201">
        <v>0</v>
      </c>
      <c r="DJ201">
        <v>1.4478887573568691</v>
      </c>
      <c r="DK201">
        <v>110252323.72921476</v>
      </c>
      <c r="DL201">
        <v>0</v>
      </c>
      <c r="DM201">
        <v>9612300</v>
      </c>
      <c r="DN201">
        <v>0</v>
      </c>
      <c r="DO201">
        <v>159633100</v>
      </c>
      <c r="DP201">
        <v>344600620</v>
      </c>
      <c r="DQ201">
        <v>200</v>
      </c>
      <c r="DR201">
        <v>-0.31607174938151339</v>
      </c>
      <c r="DS201">
        <v>0.11559999999999999</v>
      </c>
      <c r="DT201">
        <v>-0.44</v>
      </c>
      <c r="DU201">
        <v>-0.22</v>
      </c>
      <c r="DV201">
        <v>-0.66</v>
      </c>
      <c r="DW201">
        <v>2.0099999999999996E-2</v>
      </c>
      <c r="DX201">
        <v>0.27975326412070312</v>
      </c>
      <c r="DY201">
        <v>2.6080406088261412E-3</v>
      </c>
      <c r="DZ201">
        <v>0</v>
      </c>
      <c r="EA201">
        <v>2.6080406088261412E-3</v>
      </c>
      <c r="EB201">
        <v>0</v>
      </c>
      <c r="EC201">
        <v>4.0843508997429306E-2</v>
      </c>
      <c r="ED201">
        <v>0.31477827763496141</v>
      </c>
      <c r="EE201">
        <v>0</v>
      </c>
      <c r="EF201">
        <v>0</v>
      </c>
      <c r="EG201">
        <v>15.129753264120703</v>
      </c>
      <c r="EH201" t="s">
        <v>86</v>
      </c>
      <c r="EI201">
        <v>0</v>
      </c>
      <c r="EJ201">
        <v>0</v>
      </c>
      <c r="EK201">
        <v>0</v>
      </c>
      <c r="EL201">
        <v>0</v>
      </c>
      <c r="EM201">
        <v>0</v>
      </c>
      <c r="EN201">
        <v>0</v>
      </c>
      <c r="EO201">
        <v>0</v>
      </c>
      <c r="EP201">
        <v>0</v>
      </c>
    </row>
    <row r="202" spans="1:146" ht="96" x14ac:dyDescent="0.25">
      <c r="C202" s="7" t="str">
        <f>""&amp;CHAR(10)&amp;Basic_Fundamental_Information_Constructure(F202)&amp;CHAR(10)&amp;Basic_Fundamental_Information_Concatenate("")</f>
        <v xml:space="preserve">
市值10.648亿, 利润1676.60万; PE13.25; 平均PE4.09, PB1.62; ROIC44.66%; ROE25.88%; 股利率3.7566%; 毛利54.1667%; 净利41.7867%; 上一年度营收增-84.12%, 利润增-85.16%; 当季营收增-67%, 利润增0%; 过往5年营收增0%, 利润增0%
Income profile:
</v>
      </c>
      <c r="D202">
        <v>870656</v>
      </c>
      <c r="E202" t="s">
        <v>6852</v>
      </c>
      <c r="F202">
        <v>13.31</v>
      </c>
      <c r="G202">
        <v>-0.82</v>
      </c>
      <c r="H202" t="s">
        <v>2307</v>
      </c>
      <c r="I202">
        <v>1064800000</v>
      </c>
      <c r="J202">
        <v>13.25</v>
      </c>
      <c r="K202">
        <v>1.62</v>
      </c>
      <c r="L202" t="s">
        <v>2604</v>
      </c>
      <c r="M202" t="s">
        <v>6853</v>
      </c>
      <c r="N202" t="s">
        <v>564</v>
      </c>
      <c r="O202" t="s">
        <v>6854</v>
      </c>
      <c r="P202" s="6">
        <v>-27.5</v>
      </c>
      <c r="Q202" t="s">
        <v>6854</v>
      </c>
      <c r="R202">
        <v>16766048</v>
      </c>
      <c r="S202">
        <v>0</v>
      </c>
      <c r="T202" t="s">
        <v>6855</v>
      </c>
      <c r="U202">
        <v>16000100</v>
      </c>
      <c r="V202">
        <v>80000000</v>
      </c>
      <c r="W202">
        <v>1.03</v>
      </c>
      <c r="X202">
        <v>0.09</v>
      </c>
      <c r="Y202">
        <v>40</v>
      </c>
      <c r="Z202" t="s">
        <v>6856</v>
      </c>
      <c r="AA202" t="s">
        <v>6857</v>
      </c>
      <c r="AB202" t="s">
        <v>6858</v>
      </c>
      <c r="AC202" t="s">
        <v>6859</v>
      </c>
      <c r="AD202" t="s">
        <v>6860</v>
      </c>
      <c r="AE202">
        <v>2464345</v>
      </c>
      <c r="AF202" t="s">
        <v>17</v>
      </c>
      <c r="AG202">
        <v>4605</v>
      </c>
      <c r="AH202" t="s">
        <v>6861</v>
      </c>
      <c r="AI202" t="s">
        <v>572</v>
      </c>
      <c r="AJ202" t="s">
        <v>9</v>
      </c>
      <c r="AK202" t="s">
        <v>6862</v>
      </c>
      <c r="AL202" t="s">
        <v>6863</v>
      </c>
      <c r="AM202" t="s">
        <v>9</v>
      </c>
      <c r="AN202" t="s">
        <v>6864</v>
      </c>
      <c r="AO202" t="s">
        <v>9</v>
      </c>
      <c r="AP202" t="s">
        <v>6865</v>
      </c>
      <c r="AQ202" t="s">
        <v>6866</v>
      </c>
      <c r="AR202" t="s">
        <v>9</v>
      </c>
      <c r="AS202" t="s">
        <v>6867</v>
      </c>
      <c r="AT202" t="s">
        <v>9</v>
      </c>
      <c r="AU202" t="s">
        <v>6868</v>
      </c>
      <c r="AV202" t="s">
        <v>6869</v>
      </c>
      <c r="AW202" t="s">
        <v>126</v>
      </c>
      <c r="AX202" t="s">
        <v>547</v>
      </c>
      <c r="AY202" t="s">
        <v>655</v>
      </c>
      <c r="AZ202" t="s">
        <v>123</v>
      </c>
      <c r="BA202" t="s">
        <v>258</v>
      </c>
      <c r="BB202" t="s">
        <v>94</v>
      </c>
      <c r="BC202" t="s">
        <v>411</v>
      </c>
      <c r="BD202" t="s">
        <v>99</v>
      </c>
      <c r="BE202" t="s">
        <v>6870</v>
      </c>
      <c r="BF202" t="s">
        <v>6871</v>
      </c>
      <c r="BG202" t="s">
        <v>6872</v>
      </c>
      <c r="BH202" t="s">
        <v>536</v>
      </c>
      <c r="BI202" t="s">
        <v>67</v>
      </c>
      <c r="BJ202" t="s">
        <v>547</v>
      </c>
      <c r="BK202" t="s">
        <v>6873</v>
      </c>
      <c r="BL202" t="s">
        <v>6874</v>
      </c>
      <c r="BM202" t="s">
        <v>411</v>
      </c>
      <c r="BN202">
        <v>24.3</v>
      </c>
      <c r="BO202">
        <v>44.85</v>
      </c>
      <c r="BP202">
        <v>64.83</v>
      </c>
      <c r="BQ202">
        <v>25.88</v>
      </c>
      <c r="BR202" t="s">
        <v>9</v>
      </c>
      <c r="BS202" t="s">
        <v>9</v>
      </c>
      <c r="BT202" t="s">
        <v>1116</v>
      </c>
      <c r="BU202" t="s">
        <v>853</v>
      </c>
      <c r="BV202">
        <v>52.67</v>
      </c>
      <c r="BW202">
        <v>52.47</v>
      </c>
      <c r="BX202">
        <v>57.36</v>
      </c>
      <c r="BY202">
        <v>39.4</v>
      </c>
      <c r="BZ202">
        <v>42.62</v>
      </c>
      <c r="CA202">
        <v>43.34</v>
      </c>
      <c r="CB202">
        <v>-0.97</v>
      </c>
      <c r="CC202" s="8">
        <v>-4.1100000000000003</v>
      </c>
      <c r="CD202" s="11" t="s">
        <v>2198</v>
      </c>
      <c r="CE202" s="8" t="s">
        <v>6875</v>
      </c>
      <c r="CF202" s="8">
        <v>-0.66999527559055116</v>
      </c>
      <c r="CG202" s="8">
        <v>0</v>
      </c>
      <c r="CH202" s="8">
        <v>-0.84124773740768433</v>
      </c>
      <c r="CI202" s="8">
        <v>-1.858736015856266E-2</v>
      </c>
      <c r="CJ202" s="9">
        <v>0.29951691627502441</v>
      </c>
      <c r="CK202" s="9">
        <v>0.42758619785308838</v>
      </c>
      <c r="CL202" s="9">
        <v>0.11538461595773697</v>
      </c>
      <c r="CM202" s="9">
        <v>-0.85162830352783203</v>
      </c>
      <c r="CN202" s="9">
        <v>-3.4188035875558853E-2</v>
      </c>
      <c r="CO202">
        <v>0.47197583317756653</v>
      </c>
      <c r="CP202">
        <v>1.7493757009506226</v>
      </c>
      <c r="CQ202">
        <v>0.96831381320953369</v>
      </c>
      <c r="CR202" s="8">
        <v>4.0933746634665287</v>
      </c>
      <c r="CS202" s="9" t="e">
        <v>#DIV/0!</v>
      </c>
      <c r="CT202">
        <v>3.7565740045078888</v>
      </c>
      <c r="CU202">
        <v>0</v>
      </c>
      <c r="CV202">
        <v>0</v>
      </c>
      <c r="CW202">
        <v>0.06</v>
      </c>
      <c r="CX202">
        <v>27.17221424311106</v>
      </c>
      <c r="CY202">
        <v>15816981.13207547</v>
      </c>
      <c r="CZ202">
        <v>0</v>
      </c>
      <c r="DA202">
        <v>9.5899924373538106</v>
      </c>
      <c r="DB202">
        <v>44815718.344673783</v>
      </c>
      <c r="DC202">
        <v>0</v>
      </c>
      <c r="DD202">
        <v>5.2130310471340158</v>
      </c>
      <c r="DE202">
        <v>82443859.64980638</v>
      </c>
      <c r="DF202">
        <v>0</v>
      </c>
      <c r="DG202">
        <v>3.4828615750361624</v>
      </c>
      <c r="DH202">
        <v>123399219.50401878</v>
      </c>
      <c r="DI202">
        <v>0</v>
      </c>
      <c r="DJ202">
        <v>2.2349032649676714</v>
      </c>
      <c r="DK202">
        <v>192304699.15046498</v>
      </c>
      <c r="DL202">
        <v>0</v>
      </c>
      <c r="DM202">
        <v>16766000</v>
      </c>
      <c r="DN202">
        <v>0</v>
      </c>
      <c r="DO202">
        <v>429782400</v>
      </c>
      <c r="DP202">
        <v>510955810</v>
      </c>
      <c r="DQ202">
        <v>201</v>
      </c>
      <c r="DR202">
        <v>-0.66999527559055116</v>
      </c>
      <c r="DS202">
        <v>0</v>
      </c>
      <c r="DT202">
        <v>-0.44</v>
      </c>
      <c r="DU202">
        <v>-0.44</v>
      </c>
      <c r="DV202">
        <v>-0.88</v>
      </c>
      <c r="DW202">
        <v>-1.0410999999999999</v>
      </c>
      <c r="DX202">
        <v>0.17891461649782922</v>
      </c>
      <c r="DY202">
        <v>-1.0061203907380607</v>
      </c>
      <c r="DZ202">
        <v>0</v>
      </c>
      <c r="EA202">
        <v>-1.0061203907380607</v>
      </c>
      <c r="EB202">
        <v>1</v>
      </c>
      <c r="EC202">
        <v>9.0037499999999996E-3</v>
      </c>
      <c r="ED202">
        <v>6.0462500000000002E-2</v>
      </c>
      <c r="EE202">
        <v>0</v>
      </c>
      <c r="EF202">
        <v>0</v>
      </c>
      <c r="EG202">
        <v>3.1489146164978292</v>
      </c>
      <c r="EH202" t="s">
        <v>86</v>
      </c>
      <c r="EI202">
        <v>0</v>
      </c>
      <c r="EJ202">
        <v>0</v>
      </c>
      <c r="EK202">
        <v>0</v>
      </c>
      <c r="EL202">
        <v>0</v>
      </c>
      <c r="EM202">
        <v>0</v>
      </c>
      <c r="EN202">
        <v>0</v>
      </c>
      <c r="EO202">
        <v>0</v>
      </c>
      <c r="EP202">
        <v>0</v>
      </c>
    </row>
    <row r="203" spans="1:146" ht="96" x14ac:dyDescent="0.25">
      <c r="A203" s="10"/>
      <c r="B203" s="10"/>
      <c r="C203" s="7" t="str">
        <f>""&amp;CHAR(10)&amp;Basic_Fundamental_Information_Constructure(F203)&amp;CHAR(10)&amp;Basic_Fundamental_Information_Concatenate("")</f>
        <v xml:space="preserve">
市值6.4879303亿, 利润708.81万; PE16.91; 平均PE-13.35, PB2.57; ROIC17.67%; ROE24.535%; 股利率3.2649%; 毛利17.7267%; 净利7.25%; 上一年度营收增-77.84%, 利润增-79.43%; 当季营收增-46.48%, 利润增33.95%; 过往5年营收增0%, 利润增0%
Income profile:
</v>
      </c>
      <c r="D203">
        <v>870726</v>
      </c>
      <c r="E203" t="s">
        <v>2300</v>
      </c>
      <c r="F203">
        <v>10.72</v>
      </c>
      <c r="G203" s="5">
        <v>-2.72</v>
      </c>
      <c r="H203" t="s">
        <v>6876</v>
      </c>
      <c r="I203">
        <v>648793030</v>
      </c>
      <c r="J203">
        <v>16.91</v>
      </c>
      <c r="K203">
        <v>2.57</v>
      </c>
      <c r="L203" t="s">
        <v>2604</v>
      </c>
      <c r="M203" t="s">
        <v>6877</v>
      </c>
      <c r="N203" t="s">
        <v>637</v>
      </c>
      <c r="O203" t="s">
        <v>6878</v>
      </c>
      <c r="P203">
        <v>21.22</v>
      </c>
      <c r="Q203" t="s">
        <v>6878</v>
      </c>
      <c r="R203">
        <v>7088132</v>
      </c>
      <c r="S203" s="6">
        <v>0.33950000000000002</v>
      </c>
      <c r="T203" t="s">
        <v>6879</v>
      </c>
      <c r="U203">
        <v>11739130</v>
      </c>
      <c r="V203">
        <v>41739130</v>
      </c>
      <c r="W203">
        <v>1.35</v>
      </c>
      <c r="X203">
        <v>0.28000000000000003</v>
      </c>
      <c r="Y203">
        <v>7.14</v>
      </c>
      <c r="Z203" t="s">
        <v>6880</v>
      </c>
      <c r="AA203" t="s">
        <v>6881</v>
      </c>
      <c r="AB203" t="s">
        <v>6882</v>
      </c>
      <c r="AC203" t="s">
        <v>6883</v>
      </c>
      <c r="AD203" t="s">
        <v>6884</v>
      </c>
      <c r="AE203">
        <v>1615526</v>
      </c>
      <c r="AF203" t="s">
        <v>17</v>
      </c>
      <c r="AG203" t="s">
        <v>9</v>
      </c>
      <c r="AH203" t="s">
        <v>6885</v>
      </c>
      <c r="AI203" t="s">
        <v>441</v>
      </c>
      <c r="AJ203" t="s">
        <v>9</v>
      </c>
      <c r="AK203" t="s">
        <v>6886</v>
      </c>
      <c r="AL203" t="s">
        <v>6887</v>
      </c>
      <c r="AM203" t="s">
        <v>9</v>
      </c>
      <c r="AN203">
        <v>0</v>
      </c>
      <c r="AO203" t="s">
        <v>6888</v>
      </c>
      <c r="AP203" t="s">
        <v>9</v>
      </c>
      <c r="AQ203" t="s">
        <v>6889</v>
      </c>
      <c r="AR203" t="s">
        <v>9</v>
      </c>
      <c r="AS203" t="s">
        <v>6890</v>
      </c>
      <c r="AT203" t="s">
        <v>9</v>
      </c>
      <c r="AU203" t="s">
        <v>6160</v>
      </c>
      <c r="AV203" t="s">
        <v>6891</v>
      </c>
      <c r="AW203" t="s">
        <v>6892</v>
      </c>
      <c r="AX203" t="s">
        <v>452</v>
      </c>
      <c r="AY203" t="s">
        <v>670</v>
      </c>
      <c r="AZ203" t="s">
        <v>580</v>
      </c>
      <c r="BA203" t="s">
        <v>244</v>
      </c>
      <c r="BB203" t="s">
        <v>1078</v>
      </c>
      <c r="BC203" t="s">
        <v>2301</v>
      </c>
      <c r="BD203" t="s">
        <v>2302</v>
      </c>
      <c r="BE203" t="s">
        <v>2303</v>
      </c>
      <c r="BF203" t="s">
        <v>2304</v>
      </c>
      <c r="BG203" t="s">
        <v>2305</v>
      </c>
      <c r="BH203" t="s">
        <v>103</v>
      </c>
      <c r="BI203" t="s">
        <v>377</v>
      </c>
      <c r="BJ203" t="s">
        <v>452</v>
      </c>
      <c r="BK203" t="s">
        <v>6893</v>
      </c>
      <c r="BL203" t="s">
        <v>1760</v>
      </c>
      <c r="BM203" t="s">
        <v>2301</v>
      </c>
      <c r="BN203">
        <v>11.16</v>
      </c>
      <c r="BO203">
        <v>25.38</v>
      </c>
      <c r="BP203">
        <v>16.47</v>
      </c>
      <c r="BQ203">
        <v>17.32</v>
      </c>
      <c r="BR203">
        <v>31.75</v>
      </c>
      <c r="BS203" t="s">
        <v>9</v>
      </c>
      <c r="BT203" t="s">
        <v>6894</v>
      </c>
      <c r="BU203" t="s">
        <v>1907</v>
      </c>
      <c r="BV203">
        <v>20.079999999999998</v>
      </c>
      <c r="BW203">
        <v>18.079999999999998</v>
      </c>
      <c r="BX203">
        <v>15.02</v>
      </c>
      <c r="BY203">
        <v>8.73</v>
      </c>
      <c r="BZ203">
        <v>7.79</v>
      </c>
      <c r="CA203">
        <v>5.23</v>
      </c>
      <c r="CB203">
        <v>5.41</v>
      </c>
      <c r="CC203">
        <v>-18.190000000000001</v>
      </c>
      <c r="CD203" t="s">
        <v>6895</v>
      </c>
      <c r="CE203" t="s">
        <v>6896</v>
      </c>
      <c r="CF203" s="8">
        <v>-0.46475683060109291</v>
      </c>
      <c r="CG203" s="9">
        <v>0.33950000000000002</v>
      </c>
      <c r="CH203" s="8">
        <v>-0.77839475870132446</v>
      </c>
      <c r="CI203" s="8">
        <v>3.755868598818779E-2</v>
      </c>
      <c r="CJ203" s="8">
        <v>0.12105263024568558</v>
      </c>
      <c r="CK203" s="8">
        <v>7.3446325957775116E-2</v>
      </c>
      <c r="CL203" s="8">
        <v>0.22491349279880524</v>
      </c>
      <c r="CM203" s="9">
        <v>-0.79428130388259888</v>
      </c>
      <c r="CN203" s="9">
        <v>0.5410725474357605</v>
      </c>
      <c r="CO203" s="9">
        <v>1.666606985963881E-3</v>
      </c>
      <c r="CP203" s="9">
        <v>-4.579751193523407E-2</v>
      </c>
      <c r="CQ203" s="9">
        <v>0.70850008726119995</v>
      </c>
      <c r="CR203">
        <v>-13.349856839354517</v>
      </c>
      <c r="CS203" t="e">
        <v>#DIV/0!</v>
      </c>
      <c r="CT203">
        <v>3.2649253731343282</v>
      </c>
      <c r="CU203" s="8">
        <v>0</v>
      </c>
      <c r="CV203" s="9">
        <v>0</v>
      </c>
      <c r="CW203">
        <v>0.06</v>
      </c>
      <c r="CX203">
        <v>73.466808284307518</v>
      </c>
      <c r="CY203">
        <v>6686886.792452829</v>
      </c>
      <c r="CZ203">
        <v>0</v>
      </c>
      <c r="DA203">
        <v>25.928918767510972</v>
      </c>
      <c r="DB203">
        <v>18946575.998979017</v>
      </c>
      <c r="DC203">
        <v>0</v>
      </c>
      <c r="DD203">
        <v>14.094720036186795</v>
      </c>
      <c r="DE203">
        <v>34854486.555158801</v>
      </c>
      <c r="DF203">
        <v>0</v>
      </c>
      <c r="DG203">
        <v>9.416778526940794</v>
      </c>
      <c r="DH203">
        <v>52169033.0291325</v>
      </c>
      <c r="DI203">
        <v>0</v>
      </c>
      <c r="DJ203">
        <v>6.0426142761987105</v>
      </c>
      <c r="DK203">
        <v>81299948.589312345</v>
      </c>
      <c r="DL203">
        <v>0</v>
      </c>
      <c r="DM203">
        <v>7088099.9999999991</v>
      </c>
      <c r="DN203">
        <v>0</v>
      </c>
      <c r="DO203">
        <v>491264230</v>
      </c>
      <c r="DP203">
        <v>208816800</v>
      </c>
      <c r="DQ203">
        <v>202</v>
      </c>
      <c r="DR203">
        <v>-0.46475683060109291</v>
      </c>
      <c r="DS203">
        <v>0.33950000000000002</v>
      </c>
      <c r="DT203">
        <v>-0.44</v>
      </c>
      <c r="DU203">
        <v>-0.22</v>
      </c>
      <c r="DV203">
        <v>-0.66</v>
      </c>
      <c r="DW203">
        <v>6.2292372881355931</v>
      </c>
      <c r="DX203">
        <v>0.38925826775979477</v>
      </c>
      <c r="DY203">
        <v>6.0502621707025632</v>
      </c>
      <c r="DZ203">
        <v>0</v>
      </c>
      <c r="EA203">
        <v>6.0502621707025632</v>
      </c>
      <c r="EB203">
        <v>6</v>
      </c>
      <c r="EC203">
        <v>0.21035416885785593</v>
      </c>
      <c r="ED203">
        <v>0.95938990582697814</v>
      </c>
      <c r="EE203">
        <v>0</v>
      </c>
      <c r="EF203">
        <v>0</v>
      </c>
      <c r="EG203">
        <v>17.219258267759795</v>
      </c>
      <c r="EH203" t="s">
        <v>86</v>
      </c>
      <c r="EI203">
        <v>0</v>
      </c>
      <c r="EJ203">
        <v>0</v>
      </c>
      <c r="EK203">
        <v>0</v>
      </c>
      <c r="EL203">
        <v>0</v>
      </c>
      <c r="EM203">
        <v>0</v>
      </c>
      <c r="EN203">
        <v>0</v>
      </c>
      <c r="EO203">
        <v>0</v>
      </c>
      <c r="EP203">
        <v>0</v>
      </c>
    </row>
    <row r="204" spans="1:146" ht="108" x14ac:dyDescent="0.25">
      <c r="A204" s="10"/>
      <c r="B204" s="10"/>
      <c r="C204" s="7" t="str">
        <f>""&amp;CHAR(10)&amp;Basic_Fundamental_Information_Constructure(F204)&amp;CHAR(10)&amp;Basic_Fundamental_Information_Concatenate("")</f>
        <v xml:space="preserve">
市值9.1905009亿, 利润554.17万; PE18.1; 平均PE.4, PB1.23; ROIC9.4967%; ROE11.7%; 股利率2.9412%; 毛利43.1033%; 净利13.1833%; 上一年度营收增-79.18%, 利润增-88.41%; 当季营收增-56.09%, 利润增-9.83%; 过往5年营收增0%, 利润增0%
Income profile:
</v>
      </c>
      <c r="D204">
        <v>870866</v>
      </c>
      <c r="E204" t="s">
        <v>2306</v>
      </c>
      <c r="F204">
        <v>5.0999999999999996</v>
      </c>
      <c r="G204" s="5">
        <v>-1.73</v>
      </c>
      <c r="H204" t="s">
        <v>6897</v>
      </c>
      <c r="I204">
        <v>919050090</v>
      </c>
      <c r="J204">
        <v>18.100000000000001</v>
      </c>
      <c r="K204">
        <v>1.23</v>
      </c>
      <c r="L204" t="s">
        <v>2604</v>
      </c>
      <c r="M204" t="s">
        <v>27</v>
      </c>
      <c r="N204" t="s">
        <v>625</v>
      </c>
      <c r="O204" t="s">
        <v>6898</v>
      </c>
      <c r="P204">
        <v>14.31</v>
      </c>
      <c r="Q204" t="s">
        <v>6898</v>
      </c>
      <c r="R204">
        <v>5541688</v>
      </c>
      <c r="S204" s="5">
        <v>-9.8299999999999998E-2</v>
      </c>
      <c r="T204" t="s">
        <v>6899</v>
      </c>
      <c r="U204">
        <v>62810237</v>
      </c>
      <c r="V204">
        <v>180205900</v>
      </c>
      <c r="W204">
        <v>1.1299999999999999</v>
      </c>
      <c r="X204">
        <v>0.09</v>
      </c>
      <c r="Y204">
        <v>6.68</v>
      </c>
      <c r="Z204" t="s">
        <v>6900</v>
      </c>
      <c r="AA204" t="s">
        <v>6901</v>
      </c>
      <c r="AB204" t="s">
        <v>6902</v>
      </c>
      <c r="AC204" t="s">
        <v>6903</v>
      </c>
      <c r="AD204" t="s">
        <v>6904</v>
      </c>
      <c r="AE204">
        <v>1423083</v>
      </c>
      <c r="AF204" t="s">
        <v>6905</v>
      </c>
      <c r="AG204">
        <v>209.82</v>
      </c>
      <c r="AH204" t="s">
        <v>6906</v>
      </c>
      <c r="AI204" t="s">
        <v>156</v>
      </c>
      <c r="AJ204" t="s">
        <v>9</v>
      </c>
      <c r="AK204" t="s">
        <v>6907</v>
      </c>
      <c r="AL204" t="s">
        <v>6908</v>
      </c>
      <c r="AM204" t="s">
        <v>9</v>
      </c>
      <c r="AN204" t="s">
        <v>6909</v>
      </c>
      <c r="AO204" t="s">
        <v>9</v>
      </c>
      <c r="AP204" t="s">
        <v>9</v>
      </c>
      <c r="AQ204" t="s">
        <v>6910</v>
      </c>
      <c r="AR204" t="s">
        <v>9</v>
      </c>
      <c r="AS204" t="s">
        <v>6911</v>
      </c>
      <c r="AT204" t="s">
        <v>9</v>
      </c>
      <c r="AU204" t="s">
        <v>6912</v>
      </c>
      <c r="AV204" t="s">
        <v>6913</v>
      </c>
      <c r="AW204" t="s">
        <v>6914</v>
      </c>
      <c r="AX204" t="s">
        <v>88</v>
      </c>
      <c r="AY204" t="s">
        <v>666</v>
      </c>
      <c r="AZ204" t="s">
        <v>486</v>
      </c>
      <c r="BA204" t="s">
        <v>246</v>
      </c>
      <c r="BB204" t="s">
        <v>637</v>
      </c>
      <c r="BC204" t="s">
        <v>6915</v>
      </c>
      <c r="BD204" t="s">
        <v>2308</v>
      </c>
      <c r="BE204" t="s">
        <v>2309</v>
      </c>
      <c r="BF204" t="s">
        <v>2310</v>
      </c>
      <c r="BG204" t="s">
        <v>2311</v>
      </c>
      <c r="BH204" t="s">
        <v>290</v>
      </c>
      <c r="BI204" t="s">
        <v>296</v>
      </c>
      <c r="BJ204" t="s">
        <v>88</v>
      </c>
      <c r="BK204" t="s">
        <v>6916</v>
      </c>
      <c r="BL204" t="s">
        <v>2312</v>
      </c>
      <c r="BM204" t="s">
        <v>6915</v>
      </c>
      <c r="BN204">
        <v>4.95</v>
      </c>
      <c r="BO204">
        <v>7.84</v>
      </c>
      <c r="BP204">
        <v>15.7</v>
      </c>
      <c r="BQ204">
        <v>6.07</v>
      </c>
      <c r="BR204">
        <v>11.57</v>
      </c>
      <c r="BS204">
        <v>17.46</v>
      </c>
      <c r="BT204" t="s">
        <v>1006</v>
      </c>
      <c r="BU204" t="s">
        <v>1537</v>
      </c>
      <c r="BV204">
        <v>39.630000000000003</v>
      </c>
      <c r="BW204">
        <v>42.79</v>
      </c>
      <c r="BX204">
        <v>46.89</v>
      </c>
      <c r="BY204">
        <v>11.63</v>
      </c>
      <c r="BZ204">
        <v>11.89</v>
      </c>
      <c r="CA204">
        <v>16.03</v>
      </c>
      <c r="CB204">
        <v>-2.11</v>
      </c>
      <c r="CC204">
        <v>-7.94</v>
      </c>
      <c r="CD204" t="s">
        <v>6917</v>
      </c>
      <c r="CE204" t="s">
        <v>6918</v>
      </c>
      <c r="CF204" s="8">
        <v>-0.56094999999999995</v>
      </c>
      <c r="CG204" s="9">
        <v>-9.8299999999999998E-2</v>
      </c>
      <c r="CH204" s="8">
        <v>-0.7917906641960144</v>
      </c>
      <c r="CI204" s="8">
        <v>-1.0204081423580647E-2</v>
      </c>
      <c r="CJ204" s="8">
        <v>0.19148936867713928</v>
      </c>
      <c r="CK204" s="8">
        <v>0.21402214467525482</v>
      </c>
      <c r="CL204" s="8">
        <v>6.2745101749897003E-2</v>
      </c>
      <c r="CM204" s="9">
        <v>-0.88407433032989502</v>
      </c>
      <c r="CN204" s="9">
        <v>-0.23401497304439545</v>
      </c>
      <c r="CO204" s="9">
        <v>0.14519020915031433</v>
      </c>
      <c r="CP204" s="9">
        <v>0.31545078754425049</v>
      </c>
      <c r="CQ204" s="9">
        <v>0.33687767386436462</v>
      </c>
      <c r="CR204">
        <v>0.40157912785568717</v>
      </c>
      <c r="CS204" t="e">
        <v>#DIV/0!</v>
      </c>
      <c r="CT204">
        <v>2.9411764705882355</v>
      </c>
      <c r="CU204" s="8">
        <v>0</v>
      </c>
      <c r="CV204" s="9">
        <v>0</v>
      </c>
      <c r="CW204">
        <v>0.06</v>
      </c>
      <c r="CX204">
        <v>47.063734124907519</v>
      </c>
      <c r="CY204">
        <v>5228018.8679245282</v>
      </c>
      <c r="CZ204">
        <v>0</v>
      </c>
      <c r="DA204">
        <v>16.610381851597591</v>
      </c>
      <c r="DB204">
        <v>14813030.320331547</v>
      </c>
      <c r="DC204">
        <v>0</v>
      </c>
      <c r="DD204">
        <v>9.029249695740404</v>
      </c>
      <c r="DE204">
        <v>27250336.217424072</v>
      </c>
      <c r="DF204">
        <v>0</v>
      </c>
      <c r="DG204">
        <v>6.0325032658284794</v>
      </c>
      <c r="DH204">
        <v>40787394.412824817</v>
      </c>
      <c r="DI204">
        <v>0</v>
      </c>
      <c r="DJ204">
        <v>3.8709724616569714</v>
      </c>
      <c r="DK204">
        <v>63562862.416923046</v>
      </c>
      <c r="DL204">
        <v>0</v>
      </c>
      <c r="DM204">
        <v>5541700</v>
      </c>
      <c r="DN204">
        <v>0</v>
      </c>
      <c r="DO204">
        <v>246050090</v>
      </c>
      <c r="DP204">
        <v>386982290</v>
      </c>
      <c r="DQ204">
        <v>203</v>
      </c>
      <c r="DR204">
        <v>-0.56094999999999995</v>
      </c>
      <c r="DS204">
        <v>-9.8299999999999998E-2</v>
      </c>
      <c r="DT204">
        <v>-0.44</v>
      </c>
      <c r="DU204">
        <v>-0.44</v>
      </c>
      <c r="DV204">
        <v>-0.88</v>
      </c>
      <c r="DW204">
        <v>-2.0794000000000001</v>
      </c>
      <c r="DX204">
        <v>0.28088917972208477</v>
      </c>
      <c r="DY204">
        <v>-2.0080106008699334</v>
      </c>
      <c r="DZ204">
        <v>0</v>
      </c>
      <c r="EA204">
        <v>-2.0080106008699334</v>
      </c>
      <c r="EB204">
        <v>2</v>
      </c>
      <c r="EC204">
        <v>4.3633421547241242E-3</v>
      </c>
      <c r="ED204">
        <v>4.3248861441273566E-2</v>
      </c>
      <c r="EE204">
        <v>0</v>
      </c>
      <c r="EF204">
        <v>0</v>
      </c>
      <c r="EG204">
        <v>18.100889179722085</v>
      </c>
      <c r="EH204" t="s">
        <v>86</v>
      </c>
      <c r="EI204">
        <v>0</v>
      </c>
      <c r="EJ204">
        <v>0</v>
      </c>
      <c r="EK204">
        <v>0</v>
      </c>
      <c r="EL204">
        <v>0</v>
      </c>
      <c r="EM204">
        <v>0</v>
      </c>
      <c r="EN204">
        <v>0</v>
      </c>
      <c r="EO204">
        <v>0</v>
      </c>
      <c r="EP204">
        <v>0</v>
      </c>
    </row>
    <row r="205" spans="1:146" ht="96" x14ac:dyDescent="0.25">
      <c r="A205" s="10"/>
      <c r="B205" s="10"/>
      <c r="C205" s="7" t="str">
        <f>""&amp;CHAR(10)&amp;Basic_Fundamental_Information_Constructure(F205)&amp;CHAR(10)&amp;Basic_Fundamental_Information_Concatenate("")</f>
        <v xml:space="preserve">
市值6.5064268亿, 利润994.61万; PE14.62; 平均PE-3.26, PB2.34; ROIC24.27%; ROE24.945%; 股利率6.5431%; 毛利43.42%; 净利14.2133%; 上一年度营收增-79.23%, 利润增-70.8%; 当季营收增-57.73%, 利润增501.2%; 过往5年营收增0%, 利润增0%
Income profile:
</v>
      </c>
      <c r="D205">
        <v>870976</v>
      </c>
      <c r="E205" t="s">
        <v>2313</v>
      </c>
      <c r="F205">
        <v>9.17</v>
      </c>
      <c r="G205" s="5">
        <v>-3.37</v>
      </c>
      <c r="H205" t="s">
        <v>6919</v>
      </c>
      <c r="I205">
        <v>650642680</v>
      </c>
      <c r="J205">
        <v>14.62</v>
      </c>
      <c r="K205">
        <v>2.34</v>
      </c>
      <c r="L205" t="s">
        <v>2604</v>
      </c>
      <c r="M205" t="s">
        <v>6920</v>
      </c>
      <c r="N205" t="s">
        <v>304</v>
      </c>
      <c r="O205" t="s">
        <v>6921</v>
      </c>
      <c r="P205">
        <v>5.84</v>
      </c>
      <c r="Q205" t="s">
        <v>6921</v>
      </c>
      <c r="R205">
        <v>9946128</v>
      </c>
      <c r="S205" s="5">
        <v>5.0119999999999996</v>
      </c>
      <c r="T205" t="s">
        <v>6922</v>
      </c>
      <c r="U205">
        <v>18414000</v>
      </c>
      <c r="V205">
        <v>50681000</v>
      </c>
      <c r="W205">
        <v>1.2</v>
      </c>
      <c r="X205">
        <v>0.15</v>
      </c>
      <c r="Y205">
        <v>20.64</v>
      </c>
      <c r="Z205" t="s">
        <v>6923</v>
      </c>
      <c r="AA205" t="s">
        <v>6924</v>
      </c>
      <c r="AB205" t="s">
        <v>6925</v>
      </c>
      <c r="AC205" t="s">
        <v>6926</v>
      </c>
      <c r="AD205" t="s">
        <v>6927</v>
      </c>
      <c r="AE205">
        <v>730691</v>
      </c>
      <c r="AF205" t="s">
        <v>17</v>
      </c>
      <c r="AG205">
        <v>791</v>
      </c>
      <c r="AH205" t="s">
        <v>6928</v>
      </c>
      <c r="AI205" t="s">
        <v>285</v>
      </c>
      <c r="AJ205" t="s">
        <v>9</v>
      </c>
      <c r="AK205" t="s">
        <v>6929</v>
      </c>
      <c r="AL205" t="s">
        <v>6930</v>
      </c>
      <c r="AM205" t="s">
        <v>9</v>
      </c>
      <c r="AN205" t="s">
        <v>2315</v>
      </c>
      <c r="AO205" t="s">
        <v>9</v>
      </c>
      <c r="AP205" t="s">
        <v>9</v>
      </c>
      <c r="AQ205" t="s">
        <v>6931</v>
      </c>
      <c r="AR205" t="s">
        <v>9</v>
      </c>
      <c r="AS205" t="s">
        <v>6932</v>
      </c>
      <c r="AT205" t="s">
        <v>9</v>
      </c>
      <c r="AU205" t="s">
        <v>6933</v>
      </c>
      <c r="AV205" t="s">
        <v>6934</v>
      </c>
      <c r="AW205" t="s">
        <v>6935</v>
      </c>
      <c r="AX205" t="s">
        <v>232</v>
      </c>
      <c r="AY205" t="s">
        <v>565</v>
      </c>
      <c r="AZ205" t="s">
        <v>495</v>
      </c>
      <c r="BA205" t="s">
        <v>92</v>
      </c>
      <c r="BB205" t="s">
        <v>386</v>
      </c>
      <c r="BC205" t="s">
        <v>2314</v>
      </c>
      <c r="BD205" t="s">
        <v>2316</v>
      </c>
      <c r="BE205" t="s">
        <v>2317</v>
      </c>
      <c r="BF205" t="s">
        <v>2318</v>
      </c>
      <c r="BG205" t="s">
        <v>2319</v>
      </c>
      <c r="BH205" t="s">
        <v>265</v>
      </c>
      <c r="BI205" t="s">
        <v>272</v>
      </c>
      <c r="BJ205" t="s">
        <v>232</v>
      </c>
      <c r="BK205" t="s">
        <v>6936</v>
      </c>
      <c r="BL205" t="s">
        <v>2320</v>
      </c>
      <c r="BM205" t="s">
        <v>2314</v>
      </c>
      <c r="BN205">
        <v>13.1</v>
      </c>
      <c r="BO205">
        <v>30.96</v>
      </c>
      <c r="BP205">
        <v>28.75</v>
      </c>
      <c r="BQ205">
        <v>18.059999999999999</v>
      </c>
      <c r="BR205">
        <v>31.83</v>
      </c>
      <c r="BS205" t="s">
        <v>9</v>
      </c>
      <c r="BT205" t="s">
        <v>6937</v>
      </c>
      <c r="BU205" t="s">
        <v>790</v>
      </c>
      <c r="BV205">
        <v>49.53</v>
      </c>
      <c r="BW205">
        <v>43.46</v>
      </c>
      <c r="BX205">
        <v>37.270000000000003</v>
      </c>
      <c r="BY205">
        <v>16.59</v>
      </c>
      <c r="BZ205">
        <v>14.71</v>
      </c>
      <c r="CA205">
        <v>11.34</v>
      </c>
      <c r="CB205">
        <v>-1.61</v>
      </c>
      <c r="CC205">
        <v>-6.63</v>
      </c>
      <c r="CD205" t="s">
        <v>6938</v>
      </c>
      <c r="CE205" t="s">
        <v>6939</v>
      </c>
      <c r="CF205" s="8">
        <v>-0.57730526315789465</v>
      </c>
      <c r="CG205" s="9">
        <v>5.0119999999999996</v>
      </c>
      <c r="CH205" s="8">
        <v>-0.79229652881622314</v>
      </c>
      <c r="CI205" s="8">
        <v>1.7543859779834747E-2</v>
      </c>
      <c r="CJ205" s="8">
        <v>0.30285713076591492</v>
      </c>
      <c r="CK205" s="8">
        <v>0.11464968323707581</v>
      </c>
      <c r="CL205" s="8">
        <v>1.2903225608170033E-2</v>
      </c>
      <c r="CM205" s="9">
        <v>-0.70801728963851929</v>
      </c>
      <c r="CN205" s="9">
        <v>0.32103204727172852</v>
      </c>
      <c r="CO205" s="9">
        <v>0.30916815996170044</v>
      </c>
      <c r="CP205" s="9">
        <v>40.318229675292969</v>
      </c>
      <c r="CQ205" s="9">
        <v>-0.95138144493103027</v>
      </c>
      <c r="CR205">
        <v>-3.2612444863179317</v>
      </c>
      <c r="CS205" t="e">
        <v>#DIV/0!</v>
      </c>
      <c r="CT205">
        <v>6.5430752453653218</v>
      </c>
      <c r="CU205" s="8">
        <v>0</v>
      </c>
      <c r="CV205" s="9">
        <v>0</v>
      </c>
      <c r="CW205">
        <v>0.06</v>
      </c>
      <c r="CX205">
        <v>45.959424176310314</v>
      </c>
      <c r="CY205">
        <v>9383113.2075471692</v>
      </c>
      <c r="CZ205">
        <v>0</v>
      </c>
      <c r="DA205">
        <v>16.220633560906609</v>
      </c>
      <c r="DB205">
        <v>26586044.150540374</v>
      </c>
      <c r="DC205">
        <v>0</v>
      </c>
      <c r="DD205">
        <v>8.8173861355538889</v>
      </c>
      <c r="DE205">
        <v>48908199.478882216</v>
      </c>
      <c r="DF205">
        <v>0</v>
      </c>
      <c r="DG205">
        <v>5.890955777188517</v>
      </c>
      <c r="DH205">
        <v>73204161.82207571</v>
      </c>
      <c r="DI205">
        <v>0</v>
      </c>
      <c r="DJ205">
        <v>3.7801434299271817</v>
      </c>
      <c r="DK205">
        <v>114080983.43197183</v>
      </c>
      <c r="DL205">
        <v>0</v>
      </c>
      <c r="DM205">
        <v>9946100</v>
      </c>
      <c r="DN205">
        <v>0</v>
      </c>
      <c r="DO205">
        <v>431242480</v>
      </c>
      <c r="DP205">
        <v>259376010</v>
      </c>
      <c r="DQ205">
        <v>204</v>
      </c>
      <c r="DR205">
        <v>-0.57730526315789465</v>
      </c>
      <c r="DS205">
        <v>5.0119999999999996</v>
      </c>
      <c r="DT205">
        <v>-0.44</v>
      </c>
      <c r="DU205">
        <v>-0.22</v>
      </c>
      <c r="DV205">
        <v>-0.66</v>
      </c>
      <c r="DW205">
        <v>-2.0663</v>
      </c>
      <c r="DX205">
        <v>0.29339386338647644</v>
      </c>
      <c r="DY205">
        <v>-2.0101700131425235</v>
      </c>
      <c r="DZ205">
        <v>0</v>
      </c>
      <c r="EA205">
        <v>-2.0101700131425235</v>
      </c>
      <c r="EB205">
        <v>2</v>
      </c>
      <c r="EC205">
        <v>7.047019593141414E-2</v>
      </c>
      <c r="ED205">
        <v>0.45940687831731813</v>
      </c>
      <c r="EE205">
        <v>0</v>
      </c>
      <c r="EF205">
        <v>0</v>
      </c>
      <c r="EG205">
        <v>14.153393863386476</v>
      </c>
      <c r="EH205" t="s">
        <v>86</v>
      </c>
      <c r="EI205">
        <v>0</v>
      </c>
      <c r="EJ205">
        <v>0</v>
      </c>
      <c r="EK205">
        <v>0</v>
      </c>
      <c r="EL205">
        <v>0</v>
      </c>
      <c r="EM205">
        <v>0</v>
      </c>
      <c r="EN205">
        <v>0</v>
      </c>
      <c r="EO205">
        <v>0</v>
      </c>
      <c r="EP205">
        <v>0</v>
      </c>
    </row>
    <row r="206" spans="1:146" ht="96" x14ac:dyDescent="0.25">
      <c r="A206" s="10"/>
      <c r="B206" s="10"/>
      <c r="C206" s="7" t="str">
        <f>""&amp;CHAR(10)&amp;Basic_Fundamental_Information_Constructure(F206)&amp;CHAR(10)&amp;Basic_Fundamental_Information_Concatenate("")</f>
        <v xml:space="preserve">
市值5.299125亿, 利润680.11万; PE21.36; 平均PE-2.21, PB1.6; ROIC10.7933%; ROE13.0767%; 股利率1.3799%; 毛利21.1567%; 净利9.9933%; 上一年度营收增-76.04%, 利润增-77.5%; 当季营收增-50.07%, 利润增441.7%; 过往5年营收增0%, 利润增0%
Income profile:
</v>
      </c>
      <c r="D206">
        <v>871245</v>
      </c>
      <c r="E206" t="s">
        <v>2321</v>
      </c>
      <c r="F206">
        <v>10.87</v>
      </c>
      <c r="G206" s="5">
        <v>-0.73</v>
      </c>
      <c r="H206" t="s">
        <v>6940</v>
      </c>
      <c r="I206">
        <v>529912500</v>
      </c>
      <c r="J206">
        <v>21.36</v>
      </c>
      <c r="K206">
        <v>1.6</v>
      </c>
      <c r="L206" t="s">
        <v>2604</v>
      </c>
      <c r="M206" t="s">
        <v>495</v>
      </c>
      <c r="N206" t="s">
        <v>150</v>
      </c>
      <c r="O206" t="s">
        <v>6941</v>
      </c>
      <c r="P206">
        <v>24.58</v>
      </c>
      <c r="Q206" t="s">
        <v>6941</v>
      </c>
      <c r="R206">
        <v>6801081</v>
      </c>
      <c r="S206" s="5">
        <v>4.4169999999999998</v>
      </c>
      <c r="T206" t="s">
        <v>6942</v>
      </c>
      <c r="U206">
        <v>24355026</v>
      </c>
      <c r="V206">
        <v>48750000</v>
      </c>
      <c r="W206">
        <v>1.55</v>
      </c>
      <c r="X206">
        <v>0.14000000000000001</v>
      </c>
      <c r="Y206">
        <v>9.5299999999999994</v>
      </c>
      <c r="Z206" t="s">
        <v>6943</v>
      </c>
      <c r="AA206" t="s">
        <v>6944</v>
      </c>
      <c r="AB206" t="s">
        <v>6945</v>
      </c>
      <c r="AC206" t="s">
        <v>6946</v>
      </c>
      <c r="AD206" t="s">
        <v>6947</v>
      </c>
      <c r="AE206">
        <v>34783</v>
      </c>
      <c r="AF206" t="s">
        <v>17</v>
      </c>
      <c r="AG206" t="s">
        <v>6948</v>
      </c>
      <c r="AH206" t="s">
        <v>6949</v>
      </c>
      <c r="AI206" t="s">
        <v>6950</v>
      </c>
      <c r="AJ206" t="s">
        <v>9</v>
      </c>
      <c r="AK206" t="s">
        <v>6951</v>
      </c>
      <c r="AL206" t="s">
        <v>6952</v>
      </c>
      <c r="AM206" t="s">
        <v>9</v>
      </c>
      <c r="AN206" t="s">
        <v>6953</v>
      </c>
      <c r="AO206" t="s">
        <v>6954</v>
      </c>
      <c r="AP206" t="s">
        <v>9</v>
      </c>
      <c r="AQ206" t="s">
        <v>6955</v>
      </c>
      <c r="AR206" t="s">
        <v>9</v>
      </c>
      <c r="AS206" t="s">
        <v>21</v>
      </c>
      <c r="AT206" t="s">
        <v>9</v>
      </c>
      <c r="AU206" t="s">
        <v>6956</v>
      </c>
      <c r="AV206" t="s">
        <v>6957</v>
      </c>
      <c r="AW206" t="s">
        <v>6958</v>
      </c>
      <c r="AX206" t="s">
        <v>603</v>
      </c>
      <c r="AY206" t="s">
        <v>488</v>
      </c>
      <c r="AZ206" t="s">
        <v>489</v>
      </c>
      <c r="BA206" t="s">
        <v>233</v>
      </c>
      <c r="BB206" t="s">
        <v>70</v>
      </c>
      <c r="BC206" t="s">
        <v>2322</v>
      </c>
      <c r="BD206" t="s">
        <v>2324</v>
      </c>
      <c r="BE206" t="s">
        <v>2325</v>
      </c>
      <c r="BF206" t="s">
        <v>2326</v>
      </c>
      <c r="BG206" t="s">
        <v>2327</v>
      </c>
      <c r="BH206" t="s">
        <v>446</v>
      </c>
      <c r="BI206" t="s">
        <v>535</v>
      </c>
      <c r="BJ206" t="s">
        <v>603</v>
      </c>
      <c r="BK206" t="s">
        <v>6959</v>
      </c>
      <c r="BL206" t="s">
        <v>2328</v>
      </c>
      <c r="BM206" t="s">
        <v>2322</v>
      </c>
      <c r="BN206">
        <v>5.03</v>
      </c>
      <c r="BO206">
        <v>9.73</v>
      </c>
      <c r="BP206">
        <v>17.62</v>
      </c>
      <c r="BQ206">
        <v>5.26</v>
      </c>
      <c r="BR206">
        <v>10.33</v>
      </c>
      <c r="BS206">
        <v>23.64</v>
      </c>
      <c r="BT206" t="s">
        <v>1006</v>
      </c>
      <c r="BU206" t="s">
        <v>951</v>
      </c>
      <c r="BV206">
        <v>18.45</v>
      </c>
      <c r="BW206">
        <v>20.16</v>
      </c>
      <c r="BX206">
        <v>24.86</v>
      </c>
      <c r="BY206">
        <v>6.51</v>
      </c>
      <c r="BZ206">
        <v>10.16</v>
      </c>
      <c r="CA206">
        <v>13.31</v>
      </c>
      <c r="CB206">
        <v>4.62</v>
      </c>
      <c r="CC206">
        <v>0.46</v>
      </c>
      <c r="CD206" t="s">
        <v>6960</v>
      </c>
      <c r="CE206" t="s">
        <v>6961</v>
      </c>
      <c r="CF206" s="8">
        <v>-0.50070209790209785</v>
      </c>
      <c r="CG206" s="9">
        <v>4.4169999999999998</v>
      </c>
      <c r="CH206" s="8">
        <v>-0.76040405035018921</v>
      </c>
      <c r="CI206" s="8">
        <v>-5.9936907142400742E-2</v>
      </c>
      <c r="CJ206" s="8">
        <v>0.4541284441947937</v>
      </c>
      <c r="CK206" s="8">
        <v>0.21111111342906952</v>
      </c>
      <c r="CL206" s="8">
        <v>7.1428574621677399E-2</v>
      </c>
      <c r="CM206" s="9">
        <v>-0.77496492862701416</v>
      </c>
      <c r="CN206" s="9">
        <v>-0.28432968258857727</v>
      </c>
      <c r="CO206" s="9">
        <v>0.5911402702331543</v>
      </c>
      <c r="CP206" s="9">
        <v>0.29503268003463745</v>
      </c>
      <c r="CQ206" s="9">
        <v>0.14314720034599304</v>
      </c>
      <c r="CR206">
        <v>-2.2107338560751231</v>
      </c>
      <c r="CS206" t="e">
        <v>#DIV/0!</v>
      </c>
      <c r="CT206">
        <v>1.3799448022079117</v>
      </c>
      <c r="CU206" s="8">
        <v>0</v>
      </c>
      <c r="CV206" s="9">
        <v>0</v>
      </c>
      <c r="CW206">
        <v>0.06</v>
      </c>
      <c r="CX206">
        <v>58.121076002411378</v>
      </c>
      <c r="CY206">
        <v>6416132.0754716974</v>
      </c>
      <c r="CZ206">
        <v>0</v>
      </c>
      <c r="DA206">
        <v>20.512891379667494</v>
      </c>
      <c r="DB206">
        <v>18179421.56948353</v>
      </c>
      <c r="DC206">
        <v>0</v>
      </c>
      <c r="DD206">
        <v>11.15061772230146</v>
      </c>
      <c r="DE206">
        <v>33443214.473595262</v>
      </c>
      <c r="DF206">
        <v>0</v>
      </c>
      <c r="DG206">
        <v>7.4498037037918703</v>
      </c>
      <c r="DH206">
        <v>50056688.045376487</v>
      </c>
      <c r="DI206">
        <v>0</v>
      </c>
      <c r="DJ206">
        <v>4.7804342097058026</v>
      </c>
      <c r="DK206">
        <v>78008081.199584126</v>
      </c>
      <c r="DL206">
        <v>0</v>
      </c>
      <c r="DM206">
        <v>6801100</v>
      </c>
      <c r="DN206">
        <v>0</v>
      </c>
      <c r="DO206">
        <v>372912500</v>
      </c>
      <c r="DP206">
        <v>78987670</v>
      </c>
      <c r="DQ206">
        <v>205</v>
      </c>
      <c r="DR206">
        <v>-0.50070209790209785</v>
      </c>
      <c r="DS206">
        <v>4.4169999999999998</v>
      </c>
      <c r="DT206">
        <v>-0.44</v>
      </c>
      <c r="DU206">
        <v>-0.22</v>
      </c>
      <c r="DV206">
        <v>-0.66</v>
      </c>
      <c r="DW206">
        <v>4.0995670995670999</v>
      </c>
      <c r="DX206">
        <v>0.46470249100198002</v>
      </c>
      <c r="DY206">
        <v>4.035316698238292</v>
      </c>
      <c r="DZ206">
        <v>0</v>
      </c>
      <c r="EA206">
        <v>4.035316698238292</v>
      </c>
      <c r="EB206">
        <v>4</v>
      </c>
      <c r="EC206">
        <v>6.6508717948717946E-2</v>
      </c>
      <c r="ED206">
        <v>0.18750564102564102</v>
      </c>
      <c r="EE206">
        <v>0</v>
      </c>
      <c r="EF206">
        <v>0</v>
      </c>
      <c r="EG206">
        <v>11.35470249100198</v>
      </c>
      <c r="EH206" t="s">
        <v>86</v>
      </c>
      <c r="EI206">
        <v>0</v>
      </c>
      <c r="EJ206">
        <v>0</v>
      </c>
      <c r="EK206">
        <v>0</v>
      </c>
      <c r="EL206">
        <v>0</v>
      </c>
      <c r="EM206">
        <v>0</v>
      </c>
      <c r="EN206">
        <v>0</v>
      </c>
      <c r="EO206">
        <v>0</v>
      </c>
      <c r="EP206">
        <v>0</v>
      </c>
    </row>
    <row r="207" spans="1:146" ht="96" x14ac:dyDescent="0.25">
      <c r="C207" s="7" t="str">
        <f>""&amp;CHAR(10)&amp;Basic_Fundamental_Information_Constructure(F207)&amp;CHAR(10)&amp;Basic_Fundamental_Information_Concatenate("")</f>
        <v xml:space="preserve">
市值7.6519084亿, 利润250.11万; PE29.83; 平均PE20.6, PB2.02; ROIC14.4767%; ROE12.975%; 股利率2.5988%; 毛利30.0533%; 净利12.26%; 上一年度营收增-85.45%, 利润增-92.58%; 当季营收增-71.58%, 利润增-32.26%; 过往5年营收增0%, 利润增0%
Income profile:
</v>
      </c>
      <c r="D207">
        <v>871263</v>
      </c>
      <c r="E207" t="s">
        <v>6962</v>
      </c>
      <c r="F207">
        <v>9.6199999999999992</v>
      </c>
      <c r="G207">
        <v>-4.5599999999999996</v>
      </c>
      <c r="H207" t="s">
        <v>6963</v>
      </c>
      <c r="I207">
        <v>765190840</v>
      </c>
      <c r="J207">
        <v>29.83</v>
      </c>
      <c r="K207">
        <v>2.02</v>
      </c>
      <c r="L207" t="s">
        <v>2604</v>
      </c>
      <c r="M207" t="s">
        <v>6964</v>
      </c>
      <c r="N207" t="s">
        <v>261</v>
      </c>
      <c r="O207" t="s">
        <v>6965</v>
      </c>
      <c r="P207" s="5">
        <v>-22.48</v>
      </c>
      <c r="Q207" t="s">
        <v>6965</v>
      </c>
      <c r="R207">
        <v>2501055</v>
      </c>
      <c r="S207">
        <v>-0.3226</v>
      </c>
      <c r="T207" t="s">
        <v>6966</v>
      </c>
      <c r="U207">
        <v>21758334</v>
      </c>
      <c r="V207">
        <v>79541667</v>
      </c>
      <c r="W207">
        <v>1.21</v>
      </c>
      <c r="X207">
        <v>0.08</v>
      </c>
      <c r="Y207">
        <v>6.82</v>
      </c>
      <c r="Z207" t="s">
        <v>6967</v>
      </c>
      <c r="AA207" t="s">
        <v>6968</v>
      </c>
      <c r="AB207" t="s">
        <v>6969</v>
      </c>
      <c r="AC207" t="s">
        <v>6970</v>
      </c>
      <c r="AD207" t="s">
        <v>6971</v>
      </c>
      <c r="AE207">
        <v>563127</v>
      </c>
      <c r="AF207" t="s">
        <v>6972</v>
      </c>
      <c r="AG207" t="s">
        <v>6973</v>
      </c>
      <c r="AH207" t="s">
        <v>6974</v>
      </c>
      <c r="AI207" t="s">
        <v>233</v>
      </c>
      <c r="AJ207" t="s">
        <v>9</v>
      </c>
      <c r="AK207" t="s">
        <v>6975</v>
      </c>
      <c r="AL207" t="s">
        <v>6976</v>
      </c>
      <c r="AM207" t="s">
        <v>9</v>
      </c>
      <c r="AN207" t="s">
        <v>6977</v>
      </c>
      <c r="AO207" t="s">
        <v>9</v>
      </c>
      <c r="AP207" t="s">
        <v>6978</v>
      </c>
      <c r="AQ207" t="s">
        <v>6979</v>
      </c>
      <c r="AR207" t="s">
        <v>9</v>
      </c>
      <c r="AS207" t="s">
        <v>6980</v>
      </c>
      <c r="AT207" t="s">
        <v>9</v>
      </c>
      <c r="AU207" t="s">
        <v>6981</v>
      </c>
      <c r="AV207" t="s">
        <v>6982</v>
      </c>
      <c r="AW207" t="s">
        <v>6983</v>
      </c>
      <c r="AX207" t="s">
        <v>40</v>
      </c>
      <c r="AY207" t="s">
        <v>392</v>
      </c>
      <c r="AZ207" t="s">
        <v>585</v>
      </c>
      <c r="BA207" t="s">
        <v>441</v>
      </c>
      <c r="BB207" t="s">
        <v>552</v>
      </c>
      <c r="BC207" t="s">
        <v>6984</v>
      </c>
      <c r="BD207" t="s">
        <v>6985</v>
      </c>
      <c r="BE207" t="s">
        <v>6986</v>
      </c>
      <c r="BF207" t="s">
        <v>6987</v>
      </c>
      <c r="BG207" t="s">
        <v>6988</v>
      </c>
      <c r="BH207" t="s">
        <v>393</v>
      </c>
      <c r="BI207" t="s">
        <v>374</v>
      </c>
      <c r="BJ207" t="s">
        <v>40</v>
      </c>
      <c r="BK207" t="s">
        <v>6989</v>
      </c>
      <c r="BL207" t="s">
        <v>6990</v>
      </c>
      <c r="BM207" t="s">
        <v>6984</v>
      </c>
      <c r="BN207">
        <v>9.48</v>
      </c>
      <c r="BO207">
        <v>15.54</v>
      </c>
      <c r="BP207">
        <v>18.41</v>
      </c>
      <c r="BQ207">
        <v>9.81</v>
      </c>
      <c r="BR207">
        <v>16.14</v>
      </c>
      <c r="BS207" t="s">
        <v>9</v>
      </c>
      <c r="BT207" t="s">
        <v>1165</v>
      </c>
      <c r="BU207" t="s">
        <v>844</v>
      </c>
      <c r="BV207">
        <v>29.83</v>
      </c>
      <c r="BW207">
        <v>31.1</v>
      </c>
      <c r="BX207">
        <v>29.23</v>
      </c>
      <c r="BY207">
        <v>11.12</v>
      </c>
      <c r="BZ207">
        <v>13.39</v>
      </c>
      <c r="CA207">
        <v>12.27</v>
      </c>
      <c r="CB207">
        <v>-3.41</v>
      </c>
      <c r="CC207" s="8">
        <v>-17.57</v>
      </c>
      <c r="CD207" s="11" t="s">
        <v>6991</v>
      </c>
      <c r="CE207" s="8" t="s">
        <v>6992</v>
      </c>
      <c r="CF207" s="8">
        <v>-0.71583023255813949</v>
      </c>
      <c r="CG207" s="8">
        <v>-0.3226</v>
      </c>
      <c r="CH207" s="8">
        <v>-0.85453212261199951</v>
      </c>
      <c r="CI207" s="8">
        <v>-4.9056604504585266E-2</v>
      </c>
      <c r="CJ207" s="9">
        <v>0.29901960492134094</v>
      </c>
      <c r="CK207" s="9">
        <v>0.12087912112474442</v>
      </c>
      <c r="CL207" s="9">
        <v>0.19736842811107635</v>
      </c>
      <c r="CM207" s="9">
        <v>-0.92578822374343872</v>
      </c>
      <c r="CN207" s="9">
        <v>3.5665117204189301E-2</v>
      </c>
      <c r="CO207">
        <v>0.14716799557209015</v>
      </c>
      <c r="CP207">
        <v>-0.27925047278404236</v>
      </c>
      <c r="CQ207">
        <v>2.921358585357666</v>
      </c>
      <c r="CR207" s="8">
        <v>20.600436135729748</v>
      </c>
      <c r="CS207" s="9" t="e">
        <v>#DIV/0!</v>
      </c>
      <c r="CT207">
        <v>2.5987525987525988</v>
      </c>
      <c r="CU207">
        <v>0</v>
      </c>
      <c r="CV207">
        <v>0</v>
      </c>
      <c r="CW207">
        <v>0.06</v>
      </c>
      <c r="CX207">
        <v>200.8591037543481</v>
      </c>
      <c r="CY207">
        <v>2359528.3018867923</v>
      </c>
      <c r="CZ207">
        <v>0</v>
      </c>
      <c r="DA207">
        <v>70.889963870582221</v>
      </c>
      <c r="DB207">
        <v>6685470.1867984971</v>
      </c>
      <c r="DC207">
        <v>0</v>
      </c>
      <c r="DD207">
        <v>38.5351276345245</v>
      </c>
      <c r="DE207">
        <v>12298719.871772083</v>
      </c>
      <c r="DF207">
        <v>0</v>
      </c>
      <c r="DG207">
        <v>25.745581431207086</v>
      </c>
      <c r="DH207">
        <v>18408313.724293295</v>
      </c>
      <c r="DI207">
        <v>0</v>
      </c>
      <c r="DJ207">
        <v>16.520577335462534</v>
      </c>
      <c r="DK207">
        <v>28687419.959753547</v>
      </c>
      <c r="DL207">
        <v>0</v>
      </c>
      <c r="DM207">
        <v>2501100</v>
      </c>
      <c r="DN207">
        <v>0</v>
      </c>
      <c r="DO207">
        <v>473932740</v>
      </c>
      <c r="DP207">
        <v>281209050</v>
      </c>
      <c r="DQ207">
        <v>206</v>
      </c>
      <c r="DR207">
        <v>-0.71583023255813949</v>
      </c>
      <c r="DS207">
        <v>-0.3226</v>
      </c>
      <c r="DT207">
        <v>-0.44</v>
      </c>
      <c r="DU207">
        <v>-0.44</v>
      </c>
      <c r="DV207">
        <v>-0.88</v>
      </c>
      <c r="DW207">
        <v>-8.1940808195788275</v>
      </c>
      <c r="DX207">
        <v>0.41841097237780489</v>
      </c>
      <c r="DY207">
        <v>-8.0307445313493631</v>
      </c>
      <c r="DZ207">
        <v>0</v>
      </c>
      <c r="EA207">
        <v>-8.0307445313493631</v>
      </c>
      <c r="EB207">
        <v>8</v>
      </c>
      <c r="EC207">
        <v>4.3735568177116532E-2</v>
      </c>
      <c r="ED207">
        <v>0.27608926023639913</v>
      </c>
      <c r="EE207">
        <v>0</v>
      </c>
      <c r="EF207">
        <v>0</v>
      </c>
      <c r="EG207">
        <v>26.158410972377805</v>
      </c>
      <c r="EH207" t="s">
        <v>86</v>
      </c>
      <c r="EI207">
        <v>0</v>
      </c>
      <c r="EJ207">
        <v>0</v>
      </c>
      <c r="EK207">
        <v>0</v>
      </c>
      <c r="EL207">
        <v>0</v>
      </c>
      <c r="EM207">
        <v>0</v>
      </c>
      <c r="EN207">
        <v>0</v>
      </c>
      <c r="EO207">
        <v>0</v>
      </c>
      <c r="EP207">
        <v>0</v>
      </c>
    </row>
    <row r="208" spans="1:146" ht="108" x14ac:dyDescent="0.25">
      <c r="A208" s="10"/>
      <c r="B208" s="10"/>
      <c r="C208" s="7" t="str">
        <f>""&amp;CHAR(10)&amp;Basic_Fundamental_Information_Constructure(F208)&amp;CHAR(10)&amp;Basic_Fundamental_Information_Concatenate("")</f>
        <v xml:space="preserve">
市值5.684534亿, 利润764.08万; PE14.35; 平均PE-.93, PB1.87; ROIC8.72%; ROE9.5167%; 股利率2.3134%; 毛利37.9567%; 净利13.4167%; 上一年度营收增-71.87%, 利润增-69.07%; 当季营收增-37.19%, 利润增109.2%; 过往5年营收增0%, 利润增0%
Income profile:
</v>
      </c>
      <c r="D208">
        <v>871396</v>
      </c>
      <c r="E208" t="s">
        <v>2329</v>
      </c>
      <c r="F208">
        <v>9.51</v>
      </c>
      <c r="G208" s="5">
        <v>-2.06</v>
      </c>
      <c r="H208" t="s">
        <v>6993</v>
      </c>
      <c r="I208">
        <v>568453400</v>
      </c>
      <c r="J208">
        <v>14.35</v>
      </c>
      <c r="K208">
        <v>1.87</v>
      </c>
      <c r="L208" t="s">
        <v>2604</v>
      </c>
      <c r="M208" t="s">
        <v>374</v>
      </c>
      <c r="N208" t="s">
        <v>574</v>
      </c>
      <c r="O208" t="s">
        <v>6994</v>
      </c>
      <c r="P208">
        <v>48.23</v>
      </c>
      <c r="Q208" t="s">
        <v>6994</v>
      </c>
      <c r="R208">
        <v>7640819</v>
      </c>
      <c r="S208" s="5">
        <v>1.0920000000000001</v>
      </c>
      <c r="T208" t="s">
        <v>6995</v>
      </c>
      <c r="U208">
        <v>42003819</v>
      </c>
      <c r="V208">
        <v>59774280</v>
      </c>
      <c r="W208">
        <v>1.49</v>
      </c>
      <c r="X208">
        <v>0.13</v>
      </c>
      <c r="Y208">
        <v>13.06</v>
      </c>
      <c r="Z208" t="s">
        <v>6996</v>
      </c>
      <c r="AA208" t="s">
        <v>6997</v>
      </c>
      <c r="AB208" t="s">
        <v>6998</v>
      </c>
      <c r="AC208" t="s">
        <v>6999</v>
      </c>
      <c r="AD208" t="s">
        <v>7000</v>
      </c>
      <c r="AE208">
        <v>120704</v>
      </c>
      <c r="AF208" t="s">
        <v>17</v>
      </c>
      <c r="AG208" t="s">
        <v>7001</v>
      </c>
      <c r="AH208" t="s">
        <v>7002</v>
      </c>
      <c r="AI208" t="s">
        <v>21</v>
      </c>
      <c r="AJ208" t="s">
        <v>9</v>
      </c>
      <c r="AK208" t="s">
        <v>7003</v>
      </c>
      <c r="AL208" t="s">
        <v>7004</v>
      </c>
      <c r="AM208" t="s">
        <v>9</v>
      </c>
      <c r="AN208" t="s">
        <v>7005</v>
      </c>
      <c r="AO208" t="s">
        <v>2332</v>
      </c>
      <c r="AP208" t="s">
        <v>7006</v>
      </c>
      <c r="AQ208" t="s">
        <v>7007</v>
      </c>
      <c r="AR208" t="s">
        <v>7008</v>
      </c>
      <c r="AS208" t="s">
        <v>7009</v>
      </c>
      <c r="AT208" t="s">
        <v>9</v>
      </c>
      <c r="AU208" t="s">
        <v>7010</v>
      </c>
      <c r="AV208" t="s">
        <v>7011</v>
      </c>
      <c r="AW208" t="s">
        <v>7012</v>
      </c>
      <c r="AX208" t="s">
        <v>576</v>
      </c>
      <c r="AY208" t="s">
        <v>565</v>
      </c>
      <c r="AZ208" t="s">
        <v>232</v>
      </c>
      <c r="BA208" t="s">
        <v>40</v>
      </c>
      <c r="BB208" t="s">
        <v>36</v>
      </c>
      <c r="BC208" t="s">
        <v>2331</v>
      </c>
      <c r="BD208" t="s">
        <v>2333</v>
      </c>
      <c r="BE208" t="s">
        <v>2334</v>
      </c>
      <c r="BF208" t="s">
        <v>2335</v>
      </c>
      <c r="BG208" t="s">
        <v>2336</v>
      </c>
      <c r="BH208" t="s">
        <v>165</v>
      </c>
      <c r="BI208" t="s">
        <v>2337</v>
      </c>
      <c r="BJ208" t="s">
        <v>576</v>
      </c>
      <c r="BK208" t="s">
        <v>7013</v>
      </c>
      <c r="BL208" t="s">
        <v>2338</v>
      </c>
      <c r="BM208" t="s">
        <v>2331</v>
      </c>
      <c r="BN208">
        <v>5.92</v>
      </c>
      <c r="BO208">
        <v>8.73</v>
      </c>
      <c r="BP208">
        <v>11.51</v>
      </c>
      <c r="BQ208">
        <v>6.38</v>
      </c>
      <c r="BR208">
        <v>9.5299999999999994</v>
      </c>
      <c r="BS208">
        <v>12.64</v>
      </c>
      <c r="BT208" t="s">
        <v>5363</v>
      </c>
      <c r="BU208" t="s">
        <v>2330</v>
      </c>
      <c r="BV208">
        <v>39.520000000000003</v>
      </c>
      <c r="BW208">
        <v>36.86</v>
      </c>
      <c r="BX208">
        <v>37.49</v>
      </c>
      <c r="BY208">
        <v>14.94</v>
      </c>
      <c r="BZ208">
        <v>11.9</v>
      </c>
      <c r="CA208">
        <v>13.41</v>
      </c>
      <c r="CB208">
        <v>-1.25</v>
      </c>
      <c r="CC208">
        <v>-10.54</v>
      </c>
      <c r="CD208" t="s">
        <v>7014</v>
      </c>
      <c r="CE208" t="s">
        <v>7015</v>
      </c>
      <c r="CF208" s="8">
        <v>-0.3718789950098268</v>
      </c>
      <c r="CG208" s="9">
        <v>1.0920000000000001</v>
      </c>
      <c r="CH208" s="8">
        <v>-0.71866494417190552</v>
      </c>
      <c r="CI208" s="8">
        <v>-8.7719298899173737E-2</v>
      </c>
      <c r="CJ208" s="8">
        <v>-1.7241379246115685E-2</v>
      </c>
      <c r="CK208" s="8">
        <v>-7.9365082085132599E-2</v>
      </c>
      <c r="CL208" s="8">
        <v>0.16129031777381897</v>
      </c>
      <c r="CM208" s="9">
        <v>-0.6907159686088562</v>
      </c>
      <c r="CN208" s="9">
        <v>-0.19031715393066406</v>
      </c>
      <c r="CO208" s="9">
        <v>-8.751147985458374E-2</v>
      </c>
      <c r="CP208" s="9">
        <v>0.15464355051517487</v>
      </c>
      <c r="CQ208" s="9">
        <v>4.4375922530889511E-2</v>
      </c>
      <c r="CR208">
        <v>-0.92939205011182635</v>
      </c>
      <c r="CS208" t="e">
        <v>#DIV/0!</v>
      </c>
      <c r="CT208">
        <v>2.3133543638275502</v>
      </c>
      <c r="CU208" s="8">
        <v>0</v>
      </c>
      <c r="CV208" s="9">
        <v>0</v>
      </c>
      <c r="CW208">
        <v>0.06</v>
      </c>
      <c r="CX208">
        <v>54.583368757198208</v>
      </c>
      <c r="CY208">
        <v>7208301.8867924521</v>
      </c>
      <c r="CZ208">
        <v>0</v>
      </c>
      <c r="DA208">
        <v>19.264314969087796</v>
      </c>
      <c r="DB208">
        <v>20423949.703446466</v>
      </c>
      <c r="DC208">
        <v>0</v>
      </c>
      <c r="DD208">
        <v>10.471903152338033</v>
      </c>
      <c r="DE208">
        <v>37572291.710141987</v>
      </c>
      <c r="DF208">
        <v>0</v>
      </c>
      <c r="DG208">
        <v>6.9963498734252925</v>
      </c>
      <c r="DH208">
        <v>56236953.142449409</v>
      </c>
      <c r="DI208">
        <v>0</v>
      </c>
      <c r="DJ208">
        <v>4.4894592673589075</v>
      </c>
      <c r="DK208">
        <v>87639374.046813369</v>
      </c>
      <c r="DL208">
        <v>0</v>
      </c>
      <c r="DM208">
        <v>7640800</v>
      </c>
      <c r="DN208">
        <v>0</v>
      </c>
      <c r="DO208">
        <v>393453400</v>
      </c>
      <c r="DP208">
        <v>277839530</v>
      </c>
      <c r="DQ208">
        <v>207</v>
      </c>
      <c r="DR208">
        <v>-0.3718789950098268</v>
      </c>
      <c r="DS208">
        <v>1.0920000000000001</v>
      </c>
      <c r="DT208">
        <v>-0.44</v>
      </c>
      <c r="DU208">
        <v>-0.22</v>
      </c>
      <c r="DV208">
        <v>-0.66</v>
      </c>
      <c r="DW208">
        <v>-2.1053999999999999</v>
      </c>
      <c r="DX208">
        <v>0.24890991571971641</v>
      </c>
      <c r="DY208">
        <v>-2.0083171051168582</v>
      </c>
      <c r="DZ208">
        <v>0</v>
      </c>
      <c r="EA208">
        <v>-2.0083171051168582</v>
      </c>
      <c r="EB208">
        <v>2</v>
      </c>
      <c r="EC208">
        <v>1.1872999557669284E-2</v>
      </c>
      <c r="ED208">
        <v>0.15046270737179937</v>
      </c>
      <c r="EE208">
        <v>0</v>
      </c>
      <c r="EF208">
        <v>0</v>
      </c>
      <c r="EG208">
        <v>17.078909915719716</v>
      </c>
      <c r="EH208" t="s">
        <v>86</v>
      </c>
      <c r="EI208">
        <v>0</v>
      </c>
      <c r="EJ208">
        <v>0</v>
      </c>
      <c r="EK208">
        <v>0</v>
      </c>
      <c r="EL208">
        <v>0</v>
      </c>
      <c r="EM208">
        <v>0</v>
      </c>
      <c r="EN208">
        <v>0</v>
      </c>
      <c r="EO208">
        <v>0</v>
      </c>
      <c r="EP208">
        <v>0</v>
      </c>
    </row>
    <row r="209" spans="1:146" ht="96" x14ac:dyDescent="0.25">
      <c r="A209" s="10"/>
      <c r="B209" s="10"/>
      <c r="C209" s="7" t="str">
        <f>""&amp;CHAR(10)&amp;Basic_Fundamental_Information_Constructure(F209)&amp;CHAR(10)&amp;Basic_Fundamental_Information_Concatenate("")</f>
        <v xml:space="preserve">
市值9.8581556亿, 利润-672.38万; PE81.38; 平均PE-16.69, PB3.79; ROIC16.1667%; ROE18.445%; 股利率0%; 毛利32.5967%; 净利12.8467%; 上一年度营收增-86.35%, 利润增-119.23%; 当季营收增-64.37%, 利润增-215.5%; 过往5年营收增0%, 利润增0%
Income profile:
</v>
      </c>
      <c r="D209">
        <v>871478</v>
      </c>
      <c r="E209" t="s">
        <v>2339</v>
      </c>
      <c r="F209">
        <v>12.89</v>
      </c>
      <c r="G209" s="5">
        <v>2.71</v>
      </c>
      <c r="H209" t="s">
        <v>7016</v>
      </c>
      <c r="I209">
        <v>985815560</v>
      </c>
      <c r="J209">
        <v>81.38</v>
      </c>
      <c r="K209">
        <v>3.79</v>
      </c>
      <c r="L209" t="s">
        <v>2604</v>
      </c>
      <c r="M209" t="s">
        <v>453</v>
      </c>
      <c r="N209" t="s">
        <v>23</v>
      </c>
      <c r="O209" t="s">
        <v>7017</v>
      </c>
      <c r="P209">
        <v>-22.22</v>
      </c>
      <c r="Q209" t="s">
        <v>7017</v>
      </c>
      <c r="R209">
        <v>-6723794</v>
      </c>
      <c r="S209" s="5">
        <v>-2.1549999999999998</v>
      </c>
      <c r="T209" t="s">
        <v>7018</v>
      </c>
      <c r="U209">
        <v>23000000</v>
      </c>
      <c r="V209">
        <v>76479097</v>
      </c>
      <c r="W209">
        <v>1.88</v>
      </c>
      <c r="X209">
        <v>0.08</v>
      </c>
      <c r="Y209">
        <v>-17.97</v>
      </c>
      <c r="Z209" t="s">
        <v>7019</v>
      </c>
      <c r="AA209" t="s">
        <v>7020</v>
      </c>
      <c r="AB209" t="s">
        <v>7021</v>
      </c>
      <c r="AC209" t="s">
        <v>7022</v>
      </c>
      <c r="AD209" t="s">
        <v>7023</v>
      </c>
      <c r="AE209">
        <v>468838</v>
      </c>
      <c r="AF209" t="s">
        <v>17</v>
      </c>
      <c r="AG209" t="s">
        <v>9</v>
      </c>
      <c r="AH209" t="s">
        <v>7024</v>
      </c>
      <c r="AI209" t="s">
        <v>411</v>
      </c>
      <c r="AJ209" t="s">
        <v>9</v>
      </c>
      <c r="AK209" t="s">
        <v>7025</v>
      </c>
      <c r="AL209" t="s">
        <v>7026</v>
      </c>
      <c r="AM209" t="s">
        <v>9</v>
      </c>
      <c r="AN209">
        <v>0</v>
      </c>
      <c r="AO209" t="s">
        <v>7027</v>
      </c>
      <c r="AP209" t="s">
        <v>9</v>
      </c>
      <c r="AQ209" t="s">
        <v>7028</v>
      </c>
      <c r="AR209" t="s">
        <v>9</v>
      </c>
      <c r="AS209" t="s">
        <v>91</v>
      </c>
      <c r="AT209" t="s">
        <v>7029</v>
      </c>
      <c r="AU209" t="s">
        <v>7030</v>
      </c>
      <c r="AV209" t="s">
        <v>7031</v>
      </c>
      <c r="AW209" t="s">
        <v>7032</v>
      </c>
      <c r="AX209" t="s">
        <v>250</v>
      </c>
      <c r="AY209" t="s">
        <v>333</v>
      </c>
      <c r="AZ209" t="s">
        <v>552</v>
      </c>
      <c r="BA209" t="s">
        <v>300</v>
      </c>
      <c r="BB209" t="s">
        <v>2341</v>
      </c>
      <c r="BC209" t="s">
        <v>7033</v>
      </c>
      <c r="BD209" t="s">
        <v>2342</v>
      </c>
      <c r="BE209" t="s">
        <v>2343</v>
      </c>
      <c r="BF209" t="s">
        <v>2344</v>
      </c>
      <c r="BG209" t="s">
        <v>2345</v>
      </c>
      <c r="BH209" t="s">
        <v>36</v>
      </c>
      <c r="BI209" t="s">
        <v>25</v>
      </c>
      <c r="BJ209" t="s">
        <v>250</v>
      </c>
      <c r="BK209" t="s">
        <v>7034</v>
      </c>
      <c r="BL209" t="s">
        <v>2346</v>
      </c>
      <c r="BM209" t="s">
        <v>7033</v>
      </c>
      <c r="BN209">
        <v>5.61</v>
      </c>
      <c r="BO209">
        <v>21.66</v>
      </c>
      <c r="BP209">
        <v>21.23</v>
      </c>
      <c r="BQ209">
        <v>5.95</v>
      </c>
      <c r="BR209">
        <v>30.94</v>
      </c>
      <c r="BS209" t="s">
        <v>9</v>
      </c>
      <c r="BT209" t="s">
        <v>773</v>
      </c>
      <c r="BU209" t="s">
        <v>2340</v>
      </c>
      <c r="BV209">
        <v>29.27</v>
      </c>
      <c r="BW209">
        <v>28.34</v>
      </c>
      <c r="BX209">
        <v>40.18</v>
      </c>
      <c r="BY209">
        <v>11.39</v>
      </c>
      <c r="BZ209">
        <v>12.74</v>
      </c>
      <c r="CA209">
        <v>14.41</v>
      </c>
      <c r="CB209">
        <v>6.97</v>
      </c>
      <c r="CC209">
        <v>-9.42</v>
      </c>
      <c r="CD209" t="s">
        <v>7035</v>
      </c>
      <c r="CE209" t="s">
        <v>7036</v>
      </c>
      <c r="CF209" s="8">
        <v>-0.64372476190476191</v>
      </c>
      <c r="CG209" s="9">
        <v>-2.1549999999999998</v>
      </c>
      <c r="CH209" s="8">
        <v>-0.86347121000289917</v>
      </c>
      <c r="CI209" s="8">
        <v>0.31100478768348694</v>
      </c>
      <c r="CJ209" s="8">
        <v>0.375</v>
      </c>
      <c r="CK209" s="8">
        <v>0.10144927352666855</v>
      </c>
      <c r="CL209" s="8">
        <v>0.84937769174575806</v>
      </c>
      <c r="CM209" s="9">
        <v>-1.1923251152038574</v>
      </c>
      <c r="CN209" s="9">
        <v>0.15928255021572113</v>
      </c>
      <c r="CO209" s="9">
        <v>3.3159797112602973E-6</v>
      </c>
      <c r="CP209" s="9">
        <v>2.0373563766479492</v>
      </c>
      <c r="CQ209" s="9">
        <v>5.0041537284851074</v>
      </c>
      <c r="CR209">
        <v>-16.686955699918272</v>
      </c>
      <c r="CS209" t="e">
        <v>#DIV/0!</v>
      </c>
      <c r="CT209">
        <v>0</v>
      </c>
      <c r="CU209" s="8">
        <v>0</v>
      </c>
      <c r="CV209" s="9">
        <v>0</v>
      </c>
      <c r="CW209">
        <v>0.06</v>
      </c>
      <c r="CX209" t="e">
        <v>#VALUE!</v>
      </c>
      <c r="CY209" t="s">
        <v>85</v>
      </c>
      <c r="CZ209">
        <v>0</v>
      </c>
      <c r="DA209" t="e">
        <v>#VALUE!</v>
      </c>
      <c r="DB209" t="s">
        <v>84</v>
      </c>
      <c r="DC209">
        <v>0</v>
      </c>
      <c r="DD209" t="e">
        <v>#VALUE!</v>
      </c>
      <c r="DE209" t="s">
        <v>84</v>
      </c>
      <c r="DF209">
        <v>0</v>
      </c>
      <c r="DG209" t="e">
        <v>#VALUE!</v>
      </c>
      <c r="DH209" t="s">
        <v>84</v>
      </c>
      <c r="DI209">
        <v>0</v>
      </c>
      <c r="DJ209" t="e">
        <v>#VALUE!</v>
      </c>
      <c r="DK209" t="s">
        <v>84</v>
      </c>
      <c r="DL209">
        <v>0</v>
      </c>
      <c r="DM209">
        <v>-6723800</v>
      </c>
      <c r="DN209">
        <v>0</v>
      </c>
      <c r="DO209">
        <v>928815560</v>
      </c>
      <c r="DP209">
        <v>238855570</v>
      </c>
      <c r="DQ209">
        <v>208</v>
      </c>
      <c r="DR209">
        <v>-0.64372476190476191</v>
      </c>
      <c r="DS209">
        <v>-2.1549999999999998</v>
      </c>
      <c r="DT209">
        <v>-0.44</v>
      </c>
      <c r="DU209" t="e">
        <v>#VALUE!</v>
      </c>
      <c r="DV209" t="e">
        <v>#VALUE!</v>
      </c>
      <c r="DW209">
        <v>7.4252593044539354</v>
      </c>
      <c r="DX209">
        <v>0.68882685158707602</v>
      </c>
      <c r="DY209">
        <v>7.1355840851471575</v>
      </c>
      <c r="DZ209">
        <v>0</v>
      </c>
      <c r="EA209">
        <v>7.1355840851471575</v>
      </c>
      <c r="EB209">
        <v>7</v>
      </c>
      <c r="EC209">
        <v>0.11662663851797309</v>
      </c>
      <c r="ED209">
        <v>0.36579929807487138</v>
      </c>
      <c r="EE209">
        <v>0</v>
      </c>
      <c r="EF209">
        <v>0</v>
      </c>
      <c r="EG209">
        <v>37.318826851587076</v>
      </c>
      <c r="EH209" t="s">
        <v>86</v>
      </c>
      <c r="EI209">
        <v>1</v>
      </c>
      <c r="EJ209">
        <v>0</v>
      </c>
      <c r="EK209">
        <v>0</v>
      </c>
      <c r="EL209">
        <v>0</v>
      </c>
      <c r="EM209">
        <v>0</v>
      </c>
      <c r="EN209">
        <v>0</v>
      </c>
      <c r="EO209">
        <v>0</v>
      </c>
      <c r="EP209">
        <v>0</v>
      </c>
    </row>
    <row r="210" spans="1:146" ht="108" x14ac:dyDescent="0.25">
      <c r="A210" s="10"/>
      <c r="B210" s="10"/>
      <c r="C210" s="7" t="str">
        <f>""&amp;CHAR(10)&amp;Basic_Fundamental_Information_Constructure(F210)&amp;CHAR(10)&amp;Basic_Fundamental_Information_Concatenate("")</f>
        <v xml:space="preserve">
市值5.1297494亿, 利润31.01万; PE24.93; 平均PE.34, PB1.49; ROIC8.1867%; ROE6.9567%; 股利率2.8011%; 毛利38.3133%; 净利8.98%; 上一年度营收增-75.48%, 利润增-98.35%; 当季营收增-51.97%, 利润增-89.9%; 过往5年营收增0%, 利润增0%
Income profile:
</v>
      </c>
      <c r="D210">
        <v>871553</v>
      </c>
      <c r="E210" t="s">
        <v>2347</v>
      </c>
      <c r="F210">
        <v>3.57</v>
      </c>
      <c r="G210" s="5">
        <v>-7.75</v>
      </c>
      <c r="H210" t="s">
        <v>7037</v>
      </c>
      <c r="I210">
        <v>512974940</v>
      </c>
      <c r="J210">
        <v>24.93</v>
      </c>
      <c r="K210">
        <v>1.49</v>
      </c>
      <c r="L210" t="s">
        <v>2604</v>
      </c>
      <c r="M210" t="s">
        <v>111</v>
      </c>
      <c r="N210" t="s">
        <v>147</v>
      </c>
      <c r="O210" t="s">
        <v>7038</v>
      </c>
      <c r="P210">
        <v>11.37</v>
      </c>
      <c r="Q210" t="s">
        <v>7038</v>
      </c>
      <c r="R210">
        <v>310113</v>
      </c>
      <c r="S210" s="5">
        <v>-0.89900000000000002</v>
      </c>
      <c r="T210" t="s">
        <v>7039</v>
      </c>
      <c r="U210">
        <v>91865218</v>
      </c>
      <c r="V210">
        <v>143690460</v>
      </c>
      <c r="W210">
        <v>1.46</v>
      </c>
      <c r="X210">
        <v>0.16</v>
      </c>
      <c r="Y210">
        <v>1.31</v>
      </c>
      <c r="Z210" t="s">
        <v>7040</v>
      </c>
      <c r="AA210" t="s">
        <v>7041</v>
      </c>
      <c r="AB210" t="s">
        <v>7042</v>
      </c>
      <c r="AC210" t="s">
        <v>7043</v>
      </c>
      <c r="AD210" t="s">
        <v>7044</v>
      </c>
      <c r="AE210">
        <v>403989</v>
      </c>
      <c r="AF210" t="s">
        <v>17</v>
      </c>
      <c r="AG210">
        <v>3387.49</v>
      </c>
      <c r="AH210" t="s">
        <v>7045</v>
      </c>
      <c r="AI210" t="s">
        <v>7046</v>
      </c>
      <c r="AJ210" t="s">
        <v>9</v>
      </c>
      <c r="AK210" t="s">
        <v>7047</v>
      </c>
      <c r="AL210" t="s">
        <v>7048</v>
      </c>
      <c r="AM210" t="s">
        <v>9</v>
      </c>
      <c r="AN210" t="s">
        <v>7049</v>
      </c>
      <c r="AO210" t="s">
        <v>7050</v>
      </c>
      <c r="AP210" t="s">
        <v>9</v>
      </c>
      <c r="AQ210" t="s">
        <v>7051</v>
      </c>
      <c r="AR210" t="s">
        <v>9</v>
      </c>
      <c r="AS210" t="s">
        <v>154</v>
      </c>
      <c r="AT210" t="s">
        <v>7052</v>
      </c>
      <c r="AU210" t="s">
        <v>7053</v>
      </c>
      <c r="AV210" t="s">
        <v>7054</v>
      </c>
      <c r="AW210" t="s">
        <v>7055</v>
      </c>
      <c r="AX210" t="s">
        <v>261</v>
      </c>
      <c r="AY210" t="s">
        <v>511</v>
      </c>
      <c r="AZ210" t="s">
        <v>566</v>
      </c>
      <c r="BA210" t="s">
        <v>382</v>
      </c>
      <c r="BB210" t="s">
        <v>421</v>
      </c>
      <c r="BC210" t="s">
        <v>7056</v>
      </c>
      <c r="BD210" t="s">
        <v>2348</v>
      </c>
      <c r="BE210" t="s">
        <v>2349</v>
      </c>
      <c r="BF210" t="s">
        <v>2350</v>
      </c>
      <c r="BG210" t="s">
        <v>2351</v>
      </c>
      <c r="BH210" t="s">
        <v>145</v>
      </c>
      <c r="BI210" t="s">
        <v>578</v>
      </c>
      <c r="BJ210" t="s">
        <v>261</v>
      </c>
      <c r="BK210" t="s">
        <v>7057</v>
      </c>
      <c r="BL210" t="s">
        <v>2352</v>
      </c>
      <c r="BM210" t="s">
        <v>7056</v>
      </c>
      <c r="BN210">
        <v>6.36</v>
      </c>
      <c r="BO210">
        <v>6.88</v>
      </c>
      <c r="BP210">
        <v>11.32</v>
      </c>
      <c r="BQ210">
        <v>5.73</v>
      </c>
      <c r="BR210">
        <v>5.7</v>
      </c>
      <c r="BS210">
        <v>9.44</v>
      </c>
      <c r="BT210" t="s">
        <v>886</v>
      </c>
      <c r="BU210" t="s">
        <v>2134</v>
      </c>
      <c r="BV210">
        <v>37.590000000000003</v>
      </c>
      <c r="BW210">
        <v>37.28</v>
      </c>
      <c r="BX210">
        <v>40.07</v>
      </c>
      <c r="BY210">
        <v>8.84</v>
      </c>
      <c r="BZ210">
        <v>7.55</v>
      </c>
      <c r="CA210">
        <v>10.55</v>
      </c>
      <c r="CB210">
        <v>1.1299999999999999</v>
      </c>
      <c r="CC210">
        <v>-5.56</v>
      </c>
      <c r="CD210" t="s">
        <v>7058</v>
      </c>
      <c r="CE210" t="s">
        <v>7059</v>
      </c>
      <c r="CF210" s="8">
        <v>-0.51973056994818656</v>
      </c>
      <c r="CG210" s="9">
        <v>-0.89900000000000002</v>
      </c>
      <c r="CH210" s="8">
        <v>-0.75478309392929077</v>
      </c>
      <c r="CI210" s="8">
        <v>-4.060913622379303E-2</v>
      </c>
      <c r="CJ210" s="8">
        <v>0.13218390941619873</v>
      </c>
      <c r="CK210" s="8">
        <v>2.0527860149741173E-2</v>
      </c>
      <c r="CL210" s="8">
        <v>3.9634145796298981E-2</v>
      </c>
      <c r="CM210" s="9">
        <v>-0.9835357666015625</v>
      </c>
      <c r="CN210" s="9">
        <v>-0.31420540809631348</v>
      </c>
      <c r="CO210" s="9">
        <v>-0.19932247698307037</v>
      </c>
      <c r="CP210" s="9">
        <v>-0.30877521634101868</v>
      </c>
      <c r="CQ210" s="9">
        <v>1.4140434265136719</v>
      </c>
      <c r="CR210">
        <v>0.34376667462908495</v>
      </c>
      <c r="CS210" t="e">
        <v>#DIV/0!</v>
      </c>
      <c r="CT210">
        <v>2.801120448179272</v>
      </c>
      <c r="CU210" s="8">
        <v>0</v>
      </c>
      <c r="CV210" s="9">
        <v>0</v>
      </c>
      <c r="CW210">
        <v>0.06</v>
      </c>
      <c r="CX210">
        <v>1008.298730732022</v>
      </c>
      <c r="CY210">
        <v>292547.16981132072</v>
      </c>
      <c r="CZ210">
        <v>0</v>
      </c>
      <c r="DA210">
        <v>355.86268810481846</v>
      </c>
      <c r="DB210">
        <v>828901.00552805327</v>
      </c>
      <c r="DC210">
        <v>0</v>
      </c>
      <c r="DD210">
        <v>193.44366053732531</v>
      </c>
      <c r="DE210">
        <v>1524862.2734942716</v>
      </c>
      <c r="DF210">
        <v>0</v>
      </c>
      <c r="DG210">
        <v>129.24102813279663</v>
      </c>
      <c r="DH210">
        <v>2282362.994643697</v>
      </c>
      <c r="DI210">
        <v>0</v>
      </c>
      <c r="DJ210">
        <v>82.932149187917929</v>
      </c>
      <c r="DK210">
        <v>3556822.5698770843</v>
      </c>
      <c r="DL210">
        <v>0</v>
      </c>
      <c r="DM210">
        <v>310100</v>
      </c>
      <c r="DN210">
        <v>0</v>
      </c>
      <c r="DO210">
        <v>294974940</v>
      </c>
      <c r="DP210">
        <v>130823160.00000001</v>
      </c>
      <c r="DQ210">
        <v>209</v>
      </c>
      <c r="DR210">
        <v>-0.51973056994818656</v>
      </c>
      <c r="DS210">
        <v>-0.89900000000000002</v>
      </c>
      <c r="DT210">
        <v>-0.44</v>
      </c>
      <c r="DU210">
        <v>-0.44</v>
      </c>
      <c r="DV210">
        <v>-0.88</v>
      </c>
      <c r="DW210">
        <v>-1.0556000000000001</v>
      </c>
      <c r="DX210">
        <v>0.825756543945521</v>
      </c>
      <c r="DY210">
        <v>-1.033680063843371</v>
      </c>
      <c r="DZ210">
        <v>0</v>
      </c>
      <c r="EA210">
        <v>-1.033680063843371</v>
      </c>
      <c r="EB210">
        <v>1</v>
      </c>
      <c r="EC210">
        <v>0.15847677013491362</v>
      </c>
      <c r="ED210">
        <v>0.26161792508702386</v>
      </c>
      <c r="EE210">
        <v>0</v>
      </c>
      <c r="EF210">
        <v>0</v>
      </c>
      <c r="EG210">
        <v>22.605756543945521</v>
      </c>
      <c r="EH210" t="s">
        <v>86</v>
      </c>
      <c r="EI210">
        <v>0</v>
      </c>
      <c r="EJ210">
        <v>0</v>
      </c>
      <c r="EK210">
        <v>0</v>
      </c>
      <c r="EL210">
        <v>0</v>
      </c>
      <c r="EM210">
        <v>0</v>
      </c>
      <c r="EN210">
        <v>0</v>
      </c>
      <c r="EO210">
        <v>0</v>
      </c>
      <c r="EP210">
        <v>0</v>
      </c>
    </row>
    <row r="211" spans="1:146" ht="108" x14ac:dyDescent="0.25">
      <c r="A211" s="10"/>
      <c r="B211" s="10"/>
      <c r="C211" s="7" t="str">
        <f>""&amp;CHAR(10)&amp;Basic_Fundamental_Information_Constructure(F211)&amp;CHAR(10)&amp;Basic_Fundamental_Information_Concatenate("")</f>
        <v xml:space="preserve">
市值6.0888594亿, 利润529.45万; PE25.21; 平均PE-1.99, PB2.44; ROIC14.09%; ROE17.51%; 股利率1.0235%; 毛利9.6233%; 净利4.13%; 上一年度营收增-74.36%, 利润增-73.58%; 当季营收增-39.76%, 利润增74.18%; 过往5年营收增0%, 利润增0%
Income profile:
</v>
      </c>
      <c r="D211">
        <v>871634</v>
      </c>
      <c r="E211" t="s">
        <v>2353</v>
      </c>
      <c r="F211">
        <v>9.77</v>
      </c>
      <c r="G211" s="5">
        <v>-4.68</v>
      </c>
      <c r="H211" t="s">
        <v>7060</v>
      </c>
      <c r="I211">
        <v>608885940</v>
      </c>
      <c r="J211">
        <v>25.21</v>
      </c>
      <c r="K211">
        <v>2.44</v>
      </c>
      <c r="L211" t="s">
        <v>2604</v>
      </c>
      <c r="M211" t="s">
        <v>7061</v>
      </c>
      <c r="N211" t="s">
        <v>3612</v>
      </c>
      <c r="O211" t="s">
        <v>114</v>
      </c>
      <c r="P211">
        <v>31.38</v>
      </c>
      <c r="Q211" t="s">
        <v>114</v>
      </c>
      <c r="R211">
        <v>5294532</v>
      </c>
      <c r="S211" s="5">
        <v>0.74180000000000001</v>
      </c>
      <c r="T211" t="s">
        <v>7062</v>
      </c>
      <c r="U211">
        <v>15493920</v>
      </c>
      <c r="V211">
        <v>62322000</v>
      </c>
      <c r="W211">
        <v>1.28</v>
      </c>
      <c r="X211">
        <v>0.49</v>
      </c>
      <c r="Y211">
        <v>3.52</v>
      </c>
      <c r="Z211" t="s">
        <v>328</v>
      </c>
      <c r="AA211" t="s">
        <v>59</v>
      </c>
      <c r="AB211" t="s">
        <v>7063</v>
      </c>
      <c r="AC211" t="s">
        <v>7064</v>
      </c>
      <c r="AD211" t="s">
        <v>7065</v>
      </c>
      <c r="AE211">
        <v>302048</v>
      </c>
      <c r="AF211" t="s">
        <v>7066</v>
      </c>
      <c r="AG211" t="s">
        <v>9</v>
      </c>
      <c r="AH211" t="s">
        <v>7067</v>
      </c>
      <c r="AI211" t="s">
        <v>7068</v>
      </c>
      <c r="AJ211" t="s">
        <v>9</v>
      </c>
      <c r="AK211" t="s">
        <v>7069</v>
      </c>
      <c r="AL211" t="s">
        <v>7070</v>
      </c>
      <c r="AM211" t="s">
        <v>9</v>
      </c>
      <c r="AN211" t="s">
        <v>7071</v>
      </c>
      <c r="AO211" t="s">
        <v>7072</v>
      </c>
      <c r="AP211" t="s">
        <v>9</v>
      </c>
      <c r="AQ211" t="s">
        <v>7073</v>
      </c>
      <c r="AR211" t="s">
        <v>9</v>
      </c>
      <c r="AS211" t="s">
        <v>7074</v>
      </c>
      <c r="AT211" t="s">
        <v>9</v>
      </c>
      <c r="AU211" t="s">
        <v>7075</v>
      </c>
      <c r="AV211" t="s">
        <v>7076</v>
      </c>
      <c r="AW211" t="s">
        <v>7077</v>
      </c>
      <c r="AX211" t="s">
        <v>2355</v>
      </c>
      <c r="AY211" t="s">
        <v>600</v>
      </c>
      <c r="AZ211" t="s">
        <v>618</v>
      </c>
      <c r="BA211" t="s">
        <v>405</v>
      </c>
      <c r="BB211" t="s">
        <v>499</v>
      </c>
      <c r="BC211" t="s">
        <v>7078</v>
      </c>
      <c r="BD211" t="s">
        <v>2356</v>
      </c>
      <c r="BE211" t="s">
        <v>2357</v>
      </c>
      <c r="BF211" t="s">
        <v>2358</v>
      </c>
      <c r="BG211" t="s">
        <v>2359</v>
      </c>
      <c r="BH211" t="s">
        <v>601</v>
      </c>
      <c r="BI211" t="s">
        <v>33</v>
      </c>
      <c r="BJ211" t="s">
        <v>2355</v>
      </c>
      <c r="BK211" t="s">
        <v>7079</v>
      </c>
      <c r="BL211" t="s">
        <v>2360</v>
      </c>
      <c r="BM211" t="s">
        <v>7078</v>
      </c>
      <c r="BN211">
        <v>5.58</v>
      </c>
      <c r="BO211">
        <v>10.94</v>
      </c>
      <c r="BP211">
        <v>25.75</v>
      </c>
      <c r="BQ211">
        <v>5.83</v>
      </c>
      <c r="BR211">
        <v>14.5</v>
      </c>
      <c r="BS211">
        <v>32.200000000000003</v>
      </c>
      <c r="BT211" t="s">
        <v>886</v>
      </c>
      <c r="BU211" t="s">
        <v>2354</v>
      </c>
      <c r="BV211">
        <v>9.67</v>
      </c>
      <c r="BW211">
        <v>8.68</v>
      </c>
      <c r="BX211">
        <v>10.52</v>
      </c>
      <c r="BY211">
        <v>4</v>
      </c>
      <c r="BZ211">
        <v>3.42</v>
      </c>
      <c r="CA211">
        <v>4.97</v>
      </c>
      <c r="CB211">
        <v>4.05</v>
      </c>
      <c r="CC211">
        <v>-13.62</v>
      </c>
      <c r="CD211" t="s">
        <v>7080</v>
      </c>
      <c r="CE211" t="s">
        <v>7081</v>
      </c>
      <c r="CF211" s="8">
        <v>-0.39759036144578319</v>
      </c>
      <c r="CG211" s="9">
        <v>0.74180000000000001</v>
      </c>
      <c r="CH211" s="8">
        <v>-0.74358975887298584</v>
      </c>
      <c r="CI211" s="8">
        <v>-2.6622295379638672E-2</v>
      </c>
      <c r="CJ211" s="8">
        <v>0.54498714208602905</v>
      </c>
      <c r="CK211" s="8">
        <v>-6.0386475175619125E-2</v>
      </c>
      <c r="CL211" s="8">
        <v>-1.4285714365541935E-2</v>
      </c>
      <c r="CM211" s="9">
        <v>-0.73578494787216187</v>
      </c>
      <c r="CN211" s="9">
        <v>-0.3293461799621582</v>
      </c>
      <c r="CO211" s="9">
        <v>0.61192035675048828</v>
      </c>
      <c r="CP211" s="9">
        <v>0.4548850953578949</v>
      </c>
      <c r="CQ211" s="9">
        <v>0.35328793525695801</v>
      </c>
      <c r="CR211">
        <v>-1.9923131822421867</v>
      </c>
      <c r="CS211" t="e">
        <v>#DIV/0!</v>
      </c>
      <c r="CT211">
        <v>1.0235414534288638</v>
      </c>
      <c r="CU211" s="8">
        <v>0</v>
      </c>
      <c r="CV211" s="9">
        <v>0</v>
      </c>
      <c r="CW211">
        <v>0.06</v>
      </c>
      <c r="CX211">
        <v>80.411814222306177</v>
      </c>
      <c r="CY211">
        <v>4994811.3207547162</v>
      </c>
      <c r="CZ211">
        <v>0</v>
      </c>
      <c r="DA211">
        <v>28.380046004580734</v>
      </c>
      <c r="DB211">
        <v>14152261.76642463</v>
      </c>
      <c r="DC211">
        <v>0</v>
      </c>
      <c r="DD211">
        <v>15.427130094984117</v>
      </c>
      <c r="DE211">
        <v>26034773.644035541</v>
      </c>
      <c r="DF211">
        <v>0</v>
      </c>
      <c r="DG211">
        <v>10.306970769039209</v>
      </c>
      <c r="DH211">
        <v>38967980.893715106</v>
      </c>
      <c r="DI211">
        <v>0</v>
      </c>
      <c r="DJ211">
        <v>6.6138381119591028</v>
      </c>
      <c r="DK211">
        <v>60727497.891693719</v>
      </c>
      <c r="DL211">
        <v>0</v>
      </c>
      <c r="DM211">
        <v>5294500</v>
      </c>
      <c r="DN211">
        <v>0</v>
      </c>
      <c r="DO211">
        <v>401641840</v>
      </c>
      <c r="DP211">
        <v>165979570</v>
      </c>
      <c r="DQ211">
        <v>210</v>
      </c>
      <c r="DR211">
        <v>-0.39759036144578319</v>
      </c>
      <c r="DS211">
        <v>0.74180000000000001</v>
      </c>
      <c r="DT211">
        <v>-0.44</v>
      </c>
      <c r="DU211">
        <v>-0.22</v>
      </c>
      <c r="DV211">
        <v>-0.66</v>
      </c>
      <c r="DW211">
        <v>6.2292020373514427</v>
      </c>
      <c r="DX211">
        <v>0.35663565122637053</v>
      </c>
      <c r="DY211">
        <v>6.0519453529975555</v>
      </c>
      <c r="DZ211">
        <v>0</v>
      </c>
      <c r="EA211">
        <v>6.0519453529975555</v>
      </c>
      <c r="EB211">
        <v>6</v>
      </c>
      <c r="EC211">
        <v>0.22292930265395847</v>
      </c>
      <c r="ED211">
        <v>0.98364622444722571</v>
      </c>
      <c r="EE211">
        <v>0</v>
      </c>
      <c r="EF211">
        <v>0</v>
      </c>
      <c r="EG211">
        <v>13.226635651226371</v>
      </c>
      <c r="EH211" t="s">
        <v>86</v>
      </c>
      <c r="EI211">
        <v>0</v>
      </c>
      <c r="EJ211">
        <v>0</v>
      </c>
      <c r="EK211">
        <v>0</v>
      </c>
      <c r="EL211">
        <v>0</v>
      </c>
      <c r="EM211">
        <v>0</v>
      </c>
      <c r="EN211">
        <v>0</v>
      </c>
      <c r="EO211">
        <v>0</v>
      </c>
      <c r="EP211">
        <v>0</v>
      </c>
    </row>
    <row r="212" spans="1:146" ht="108" x14ac:dyDescent="0.25">
      <c r="A212" s="10"/>
      <c r="B212" s="10"/>
      <c r="C212" s="7" t="str">
        <f>""&amp;CHAR(10)&amp;Basic_Fundamental_Information_Constructure(F212)&amp;CHAR(10)&amp;Basic_Fundamental_Information_Concatenate("")</f>
        <v xml:space="preserve">
市值7.2880205亿, 利润-727.28万; PE114.7; 平均PE32.37, PB3.02; ROIC7.7233%; ROE8.5233%; 股利率.8535%; 毛利39.5867%; 净利16.3233%; 上一年度营收增-84.92%, 利润增-125.26%; 当季营收增-71.93%, 利润增-369.3%; 过往5年营收增0%, 利润增0%
Income profile:
</v>
      </c>
      <c r="D212">
        <v>871642</v>
      </c>
      <c r="E212" t="s">
        <v>2361</v>
      </c>
      <c r="F212">
        <v>7.03</v>
      </c>
      <c r="G212" s="5">
        <v>-3.17</v>
      </c>
      <c r="H212" t="s">
        <v>7082</v>
      </c>
      <c r="I212">
        <v>728802050</v>
      </c>
      <c r="J212">
        <v>114.7</v>
      </c>
      <c r="K212">
        <v>3.02</v>
      </c>
      <c r="L212" t="s">
        <v>2604</v>
      </c>
      <c r="M212" t="s">
        <v>232</v>
      </c>
      <c r="N212" t="s">
        <v>3612</v>
      </c>
      <c r="O212" t="s">
        <v>7083</v>
      </c>
      <c r="P212">
        <v>-33.54</v>
      </c>
      <c r="Q212" t="s">
        <v>7083</v>
      </c>
      <c r="R212">
        <v>-7272768</v>
      </c>
      <c r="S212" s="5">
        <v>-3.6930000000000001</v>
      </c>
      <c r="T212" t="s">
        <v>7084</v>
      </c>
      <c r="U212">
        <v>54815158</v>
      </c>
      <c r="V212">
        <v>103670278</v>
      </c>
      <c r="W212">
        <v>1.81</v>
      </c>
      <c r="X212">
        <v>0.06</v>
      </c>
      <c r="Y212">
        <v>-26.01</v>
      </c>
      <c r="Z212" t="s">
        <v>7085</v>
      </c>
      <c r="AA212" t="s">
        <v>7086</v>
      </c>
      <c r="AB212" t="s">
        <v>7087</v>
      </c>
      <c r="AC212" t="s">
        <v>7088</v>
      </c>
      <c r="AD212" t="s">
        <v>7089</v>
      </c>
      <c r="AE212">
        <v>1401389</v>
      </c>
      <c r="AF212" t="s">
        <v>7090</v>
      </c>
      <c r="AG212" t="s">
        <v>9</v>
      </c>
      <c r="AH212" t="s">
        <v>7091</v>
      </c>
      <c r="AI212" t="s">
        <v>7092</v>
      </c>
      <c r="AJ212" t="s">
        <v>9</v>
      </c>
      <c r="AK212" t="s">
        <v>7093</v>
      </c>
      <c r="AL212" t="s">
        <v>7094</v>
      </c>
      <c r="AM212" t="s">
        <v>9</v>
      </c>
      <c r="AN212" t="s">
        <v>7095</v>
      </c>
      <c r="AO212" t="s">
        <v>59</v>
      </c>
      <c r="AP212" t="s">
        <v>7096</v>
      </c>
      <c r="AQ212" t="s">
        <v>7097</v>
      </c>
      <c r="AR212" t="s">
        <v>9</v>
      </c>
      <c r="AS212" t="s">
        <v>109</v>
      </c>
      <c r="AT212" t="s">
        <v>7098</v>
      </c>
      <c r="AU212" t="s">
        <v>7099</v>
      </c>
      <c r="AV212" t="s">
        <v>7100</v>
      </c>
      <c r="AW212" t="s">
        <v>7101</v>
      </c>
      <c r="AX212" t="s">
        <v>15</v>
      </c>
      <c r="AY212" t="s">
        <v>63</v>
      </c>
      <c r="AZ212" t="s">
        <v>2363</v>
      </c>
      <c r="BA212" t="s">
        <v>2364</v>
      </c>
      <c r="BB212" t="s">
        <v>2365</v>
      </c>
      <c r="BC212" t="s">
        <v>2362</v>
      </c>
      <c r="BD212" t="s">
        <v>2366</v>
      </c>
      <c r="BE212" t="s">
        <v>2367</v>
      </c>
      <c r="BF212" t="s">
        <v>2368</v>
      </c>
      <c r="BG212" t="s">
        <v>2369</v>
      </c>
      <c r="BH212" t="s">
        <v>15</v>
      </c>
      <c r="BI212" t="s">
        <v>18</v>
      </c>
      <c r="BJ212" t="s">
        <v>15</v>
      </c>
      <c r="BK212" t="s">
        <v>7102</v>
      </c>
      <c r="BL212" t="s">
        <v>2370</v>
      </c>
      <c r="BM212" t="s">
        <v>2362</v>
      </c>
      <c r="BN212">
        <v>2.99</v>
      </c>
      <c r="BO212">
        <v>10.18</v>
      </c>
      <c r="BP212">
        <v>10</v>
      </c>
      <c r="BQ212">
        <v>3.26</v>
      </c>
      <c r="BR212">
        <v>11.15</v>
      </c>
      <c r="BS212">
        <v>11.16</v>
      </c>
      <c r="BT212" t="s">
        <v>2106</v>
      </c>
      <c r="BU212" t="s">
        <v>1972</v>
      </c>
      <c r="BV212">
        <v>31.16</v>
      </c>
      <c r="BW212">
        <v>33.96</v>
      </c>
      <c r="BX212">
        <v>53.64</v>
      </c>
      <c r="BY212">
        <v>8.11</v>
      </c>
      <c r="BZ212">
        <v>17.579999999999998</v>
      </c>
      <c r="CA212">
        <v>23.28</v>
      </c>
      <c r="CB212">
        <v>-4.74</v>
      </c>
      <c r="CC212">
        <v>-15.4</v>
      </c>
      <c r="CD212" t="s">
        <v>7103</v>
      </c>
      <c r="CE212" t="s">
        <v>7104</v>
      </c>
      <c r="CF212" s="8">
        <v>-0.71926237623762379</v>
      </c>
      <c r="CG212" s="9">
        <v>-3.6930000000000001</v>
      </c>
      <c r="CH212" s="8">
        <v>-0.84917819499969482</v>
      </c>
      <c r="CI212" s="8">
        <v>0.80769228935241699</v>
      </c>
      <c r="CJ212" s="8">
        <v>0.10410317033529282</v>
      </c>
      <c r="CK212" s="8">
        <v>3.6609258502721786E-2</v>
      </c>
      <c r="CL212" s="8">
        <v>0.11989095062017441</v>
      </c>
      <c r="CM212" s="9">
        <v>-1.2526041269302368</v>
      </c>
      <c r="CN212" s="9">
        <v>0.30871328711509705</v>
      </c>
      <c r="CO212" s="9">
        <v>-0.40291059017181396</v>
      </c>
      <c r="CP212" s="9">
        <v>0.1296502947807312</v>
      </c>
      <c r="CQ212" s="9">
        <v>0.45000845193862915</v>
      </c>
      <c r="CR212">
        <v>32.373049334558324</v>
      </c>
      <c r="CS212" t="e">
        <v>#DIV/0!</v>
      </c>
      <c r="CT212">
        <v>0.85348506401137969</v>
      </c>
      <c r="CU212" s="8">
        <v>0</v>
      </c>
      <c r="CV212" s="9">
        <v>0</v>
      </c>
      <c r="CW212">
        <v>0.06</v>
      </c>
      <c r="CX212" t="e">
        <v>#VALUE!</v>
      </c>
      <c r="CY212" t="s">
        <v>85</v>
      </c>
      <c r="CZ212">
        <v>0</v>
      </c>
      <c r="DA212" t="e">
        <v>#VALUE!</v>
      </c>
      <c r="DB212" t="s">
        <v>84</v>
      </c>
      <c r="DC212">
        <v>0</v>
      </c>
      <c r="DD212" t="e">
        <v>#VALUE!</v>
      </c>
      <c r="DE212" t="s">
        <v>84</v>
      </c>
      <c r="DF212">
        <v>0</v>
      </c>
      <c r="DG212" t="e">
        <v>#VALUE!</v>
      </c>
      <c r="DH212" t="s">
        <v>84</v>
      </c>
      <c r="DI212">
        <v>0</v>
      </c>
      <c r="DJ212" t="e">
        <v>#VALUE!</v>
      </c>
      <c r="DK212" t="s">
        <v>84</v>
      </c>
      <c r="DL212">
        <v>0</v>
      </c>
      <c r="DM212">
        <v>-7272800</v>
      </c>
      <c r="DN212">
        <v>0</v>
      </c>
      <c r="DO212">
        <v>710802050</v>
      </c>
      <c r="DP212">
        <v>42407600</v>
      </c>
      <c r="DQ212">
        <v>211</v>
      </c>
      <c r="DR212">
        <v>-0.71926237623762379</v>
      </c>
      <c r="DS212">
        <v>-3.6930000000000001</v>
      </c>
      <c r="DT212">
        <v>-0.44</v>
      </c>
      <c r="DU212" t="e">
        <v>#VALUE!</v>
      </c>
      <c r="DV212" t="e">
        <v>#VALUE!</v>
      </c>
      <c r="DW212">
        <v>-8.3077922077922075</v>
      </c>
      <c r="DX212">
        <v>0.20904811168244841</v>
      </c>
      <c r="DY212">
        <v>-8.0243303928165464</v>
      </c>
      <c r="DZ212">
        <v>0</v>
      </c>
      <c r="EA212">
        <v>-8.0243303928165464</v>
      </c>
      <c r="EB212">
        <v>8</v>
      </c>
      <c r="EC212">
        <v>5.6946890795450553E-2</v>
      </c>
      <c r="ED212">
        <v>0.72040802282791216</v>
      </c>
      <c r="EE212">
        <v>0</v>
      </c>
      <c r="EF212">
        <v>0</v>
      </c>
      <c r="EG212">
        <v>13.079048111682448</v>
      </c>
      <c r="EH212" t="s">
        <v>86</v>
      </c>
      <c r="EI212">
        <v>0</v>
      </c>
      <c r="EJ212">
        <v>0</v>
      </c>
      <c r="EK212">
        <v>0</v>
      </c>
      <c r="EL212">
        <v>0</v>
      </c>
      <c r="EM212">
        <v>0</v>
      </c>
      <c r="EN212">
        <v>0</v>
      </c>
      <c r="EO212">
        <v>0</v>
      </c>
      <c r="EP212">
        <v>0</v>
      </c>
    </row>
    <row r="213" spans="1:146" ht="96" x14ac:dyDescent="0.25">
      <c r="A213" s="10"/>
      <c r="B213" s="10"/>
      <c r="C213" s="7" t="str">
        <f>""&amp;CHAR(10)&amp;Basic_Fundamental_Information_Constructure(F213)&amp;CHAR(10)&amp;Basic_Fundamental_Information_Concatenate("")</f>
        <v xml:space="preserve">
市值11.1402522亿, 利润1431.28万; PE9.91; 平均PE-22.35, PB1.47; ROIC18.4367%; ROE23.8%; 股利率2.7548%; 毛利43.66%; 净利16.1167%; 上一年度营收增-79.57%, 利润增-84.48%; 当季营收增-58.94%, 利润增-49.58%; 过往5年营收增0%, 利润增0%
Income profile:
</v>
      </c>
      <c r="D213">
        <v>871694</v>
      </c>
      <c r="E213" t="s">
        <v>2371</v>
      </c>
      <c r="F213">
        <v>10.89</v>
      </c>
      <c r="G213" s="5">
        <v>-1.63</v>
      </c>
      <c r="H213" t="s">
        <v>7105</v>
      </c>
      <c r="I213">
        <v>1114025220</v>
      </c>
      <c r="J213">
        <v>9.91</v>
      </c>
      <c r="K213">
        <v>1.47</v>
      </c>
      <c r="L213" t="s">
        <v>2604</v>
      </c>
      <c r="M213" t="s">
        <v>30</v>
      </c>
      <c r="N213" t="s">
        <v>3658</v>
      </c>
      <c r="O213" t="s">
        <v>89</v>
      </c>
      <c r="P213">
        <v>-23.28</v>
      </c>
      <c r="Q213" t="s">
        <v>89</v>
      </c>
      <c r="R213">
        <v>14312847</v>
      </c>
      <c r="S213" s="6">
        <v>-0.49580000000000002</v>
      </c>
      <c r="T213" t="s">
        <v>7106</v>
      </c>
      <c r="U213">
        <v>25125141</v>
      </c>
      <c r="V213">
        <v>102298000</v>
      </c>
      <c r="W213">
        <v>1.42</v>
      </c>
      <c r="X213">
        <v>0.12</v>
      </c>
      <c r="Y213">
        <v>11.46</v>
      </c>
      <c r="Z213" t="s">
        <v>518</v>
      </c>
      <c r="AA213" t="s">
        <v>7107</v>
      </c>
      <c r="AB213" t="s">
        <v>7108</v>
      </c>
      <c r="AC213" t="s">
        <v>7109</v>
      </c>
      <c r="AD213" t="s">
        <v>7110</v>
      </c>
      <c r="AE213">
        <v>60382</v>
      </c>
      <c r="AF213" t="s">
        <v>7111</v>
      </c>
      <c r="AG213" t="s">
        <v>7112</v>
      </c>
      <c r="AH213" t="s">
        <v>7113</v>
      </c>
      <c r="AI213" t="s">
        <v>153</v>
      </c>
      <c r="AJ213" t="s">
        <v>9</v>
      </c>
      <c r="AK213" t="s">
        <v>7114</v>
      </c>
      <c r="AL213" t="s">
        <v>7115</v>
      </c>
      <c r="AM213" t="s">
        <v>9</v>
      </c>
      <c r="AN213" t="s">
        <v>7116</v>
      </c>
      <c r="AO213" t="s">
        <v>552</v>
      </c>
      <c r="AP213" t="s">
        <v>7117</v>
      </c>
      <c r="AQ213" t="s">
        <v>7118</v>
      </c>
      <c r="AR213" t="s">
        <v>9</v>
      </c>
      <c r="AS213" t="s">
        <v>458</v>
      </c>
      <c r="AT213" t="s">
        <v>7119</v>
      </c>
      <c r="AU213" t="s">
        <v>7120</v>
      </c>
      <c r="AV213" t="s">
        <v>7121</v>
      </c>
      <c r="AW213" t="s">
        <v>7122</v>
      </c>
      <c r="AX213" t="s">
        <v>353</v>
      </c>
      <c r="AY213" t="s">
        <v>162</v>
      </c>
      <c r="AZ213" t="s">
        <v>75</v>
      </c>
      <c r="BA213" t="s">
        <v>150</v>
      </c>
      <c r="BB213" t="s">
        <v>474</v>
      </c>
      <c r="BC213" t="s">
        <v>2372</v>
      </c>
      <c r="BD213" t="s">
        <v>2373</v>
      </c>
      <c r="BE213" t="s">
        <v>2374</v>
      </c>
      <c r="BF213" t="s">
        <v>2375</v>
      </c>
      <c r="BG213" t="s">
        <v>2376</v>
      </c>
      <c r="BH213" t="s">
        <v>7123</v>
      </c>
      <c r="BI213" t="s">
        <v>458</v>
      </c>
      <c r="BJ213" t="s">
        <v>353</v>
      </c>
      <c r="BK213" t="s">
        <v>67</v>
      </c>
      <c r="BL213" t="s">
        <v>2377</v>
      </c>
      <c r="BM213" t="s">
        <v>2372</v>
      </c>
      <c r="BN213">
        <v>14.5</v>
      </c>
      <c r="BO213">
        <v>23.64</v>
      </c>
      <c r="BP213">
        <v>17.170000000000002</v>
      </c>
      <c r="BQ213">
        <v>16.93</v>
      </c>
      <c r="BR213">
        <v>30.67</v>
      </c>
      <c r="BS213" t="s">
        <v>9</v>
      </c>
      <c r="BT213" t="s">
        <v>859</v>
      </c>
      <c r="BU213" t="s">
        <v>1149</v>
      </c>
      <c r="BV213">
        <v>46.47</v>
      </c>
      <c r="BW213">
        <v>43.09</v>
      </c>
      <c r="BX213">
        <v>41.42</v>
      </c>
      <c r="BY213">
        <v>18.940000000000001</v>
      </c>
      <c r="BZ213">
        <v>15.12</v>
      </c>
      <c r="CA213">
        <v>14.29</v>
      </c>
      <c r="CB213">
        <v>-1.71</v>
      </c>
      <c r="CC213">
        <v>-9.6999999999999993</v>
      </c>
      <c r="CD213" t="s">
        <v>7124</v>
      </c>
      <c r="CE213" t="s">
        <v>7125</v>
      </c>
      <c r="CF213" s="8">
        <v>-0.58940397350993379</v>
      </c>
      <c r="CG213" s="9">
        <v>-0.49580000000000002</v>
      </c>
      <c r="CH213" s="8">
        <v>-0.79571664333343506</v>
      </c>
      <c r="CI213" s="8">
        <v>0.68611109256744385</v>
      </c>
      <c r="CJ213" s="8">
        <v>0.35338345170021057</v>
      </c>
      <c r="CK213" s="8">
        <v>-0.19879518449306488</v>
      </c>
      <c r="CL213" s="8">
        <v>-0.23678161203861237</v>
      </c>
      <c r="CM213" s="9">
        <v>-0.8447723388671875</v>
      </c>
      <c r="CN213" s="9">
        <v>0.79291278123855591</v>
      </c>
      <c r="CO213" s="9">
        <v>3.1053334474563599E-2</v>
      </c>
      <c r="CP213" s="9">
        <v>-0.28663089871406555</v>
      </c>
      <c r="CQ213" s="9">
        <v>-0.14286112785339355</v>
      </c>
      <c r="CR213">
        <v>-22.349444987972902</v>
      </c>
      <c r="CS213" t="e">
        <v>#DIV/0!</v>
      </c>
      <c r="CT213">
        <v>2.7548209366391183</v>
      </c>
      <c r="CU213" s="8">
        <v>0</v>
      </c>
      <c r="CV213" s="9">
        <v>0</v>
      </c>
      <c r="CW213">
        <v>0.06</v>
      </c>
      <c r="CX213">
        <v>49.029311748924044</v>
      </c>
      <c r="CY213">
        <v>13502641.509433961</v>
      </c>
      <c r="CZ213">
        <v>0</v>
      </c>
      <c r="DA213">
        <v>17.30410060343355</v>
      </c>
      <c r="DB213">
        <v>38258285.430254504</v>
      </c>
      <c r="DC213">
        <v>0</v>
      </c>
      <c r="DD213">
        <v>9.4063487826191192</v>
      </c>
      <c r="DE213">
        <v>70380679.613249958</v>
      </c>
      <c r="DF213">
        <v>0</v>
      </c>
      <c r="DG213">
        <v>6.2844457361103645</v>
      </c>
      <c r="DH213">
        <v>105343453.94948825</v>
      </c>
      <c r="DI213">
        <v>0</v>
      </c>
      <c r="DJ213">
        <v>4.0326403997263034</v>
      </c>
      <c r="DK213">
        <v>164166688.41708073</v>
      </c>
      <c r="DL213">
        <v>0</v>
      </c>
      <c r="DM213">
        <v>14312800</v>
      </c>
      <c r="DN213">
        <v>0</v>
      </c>
      <c r="DO213">
        <v>662025220</v>
      </c>
      <c r="DP213">
        <v>382839660</v>
      </c>
      <c r="DQ213">
        <v>212</v>
      </c>
      <c r="DR213">
        <v>-0.58940397350993379</v>
      </c>
      <c r="DS213">
        <v>-0.49580000000000002</v>
      </c>
      <c r="DT213">
        <v>-0.44</v>
      </c>
      <c r="DU213">
        <v>-0.44</v>
      </c>
      <c r="DV213">
        <v>-0.88</v>
      </c>
      <c r="DW213">
        <v>-2.097</v>
      </c>
      <c r="DX213">
        <v>0.15724757179791798</v>
      </c>
      <c r="DY213">
        <v>-2.008463014464398</v>
      </c>
      <c r="DZ213">
        <v>0</v>
      </c>
      <c r="EA213">
        <v>-2.008463014464398</v>
      </c>
      <c r="EB213">
        <v>2</v>
      </c>
      <c r="EC213">
        <v>6.1027586072063969E-3</v>
      </c>
      <c r="ED213">
        <v>6.9947604058730378E-2</v>
      </c>
      <c r="EE213">
        <v>0</v>
      </c>
      <c r="EF213">
        <v>0</v>
      </c>
      <c r="EG213">
        <v>7.087247571797918</v>
      </c>
      <c r="EH213" t="s">
        <v>86</v>
      </c>
      <c r="EI213">
        <v>0</v>
      </c>
      <c r="EJ213">
        <v>0</v>
      </c>
      <c r="EK213">
        <v>0</v>
      </c>
      <c r="EL213">
        <v>0</v>
      </c>
      <c r="EM213">
        <v>0</v>
      </c>
      <c r="EN213">
        <v>0</v>
      </c>
      <c r="EO213">
        <v>0</v>
      </c>
      <c r="EP213">
        <v>0</v>
      </c>
    </row>
    <row r="214" spans="1:146" ht="108" x14ac:dyDescent="0.25">
      <c r="A214" s="10"/>
      <c r="B214" s="10"/>
      <c r="C214" s="7" t="str">
        <f>""&amp;CHAR(10)&amp;Basic_Fundamental_Information_Constructure(F214)&amp;CHAR(10)&amp;Basic_Fundamental_Information_Concatenate("")</f>
        <v xml:space="preserve">
市值20.961625亿, 利润179.67万; PE54.28; 平均PE-12.84, PB5.19; ROIC9.8467%; ROE10.2633%; 股利率1.1961%; 毛利55.0467%; 净利22.8533%; 上一年度营收增-76.23%, 利润增-94.56%; 当季营收增-51.59%, 利润增301.6%; 过往5年营收增0%, 利润增0%
Income profile:
</v>
      </c>
      <c r="D214">
        <v>871753</v>
      </c>
      <c r="E214" t="s">
        <v>2378</v>
      </c>
      <c r="F214">
        <v>25.75</v>
      </c>
      <c r="G214" s="5">
        <v>5.66</v>
      </c>
      <c r="H214" t="s">
        <v>7126</v>
      </c>
      <c r="I214">
        <v>2096162500</v>
      </c>
      <c r="J214">
        <v>54.28</v>
      </c>
      <c r="K214">
        <v>5.19</v>
      </c>
      <c r="L214" t="s">
        <v>2604</v>
      </c>
      <c r="M214" t="s">
        <v>7127</v>
      </c>
      <c r="N214" t="s">
        <v>1045</v>
      </c>
      <c r="O214" t="s">
        <v>7128</v>
      </c>
      <c r="P214">
        <v>15.33</v>
      </c>
      <c r="Q214" t="s">
        <v>7128</v>
      </c>
      <c r="R214">
        <v>1796660</v>
      </c>
      <c r="S214" s="5">
        <v>3.016</v>
      </c>
      <c r="T214" t="s">
        <v>7129</v>
      </c>
      <c r="U214">
        <v>21343000</v>
      </c>
      <c r="V214">
        <v>81404368</v>
      </c>
      <c r="W214">
        <v>1.1499999999999999</v>
      </c>
      <c r="X214">
        <v>7.0000000000000007E-2</v>
      </c>
      <c r="Y214">
        <v>4.2699999999999996</v>
      </c>
      <c r="Z214" t="s">
        <v>7130</v>
      </c>
      <c r="AA214" t="s">
        <v>1033</v>
      </c>
      <c r="AB214" t="s">
        <v>7131</v>
      </c>
      <c r="AC214" t="s">
        <v>7132</v>
      </c>
      <c r="AD214" t="s">
        <v>7133</v>
      </c>
      <c r="AE214">
        <v>116613</v>
      </c>
      <c r="AF214" t="s">
        <v>7134</v>
      </c>
      <c r="AG214">
        <v>1.19</v>
      </c>
      <c r="AH214" t="s">
        <v>7135</v>
      </c>
      <c r="AI214" t="s">
        <v>91</v>
      </c>
      <c r="AJ214" t="s">
        <v>9</v>
      </c>
      <c r="AK214" t="s">
        <v>7136</v>
      </c>
      <c r="AL214" t="s">
        <v>7137</v>
      </c>
      <c r="AM214" t="s">
        <v>9</v>
      </c>
      <c r="AN214">
        <v>0</v>
      </c>
      <c r="AO214" t="s">
        <v>9</v>
      </c>
      <c r="AP214" t="s">
        <v>9</v>
      </c>
      <c r="AQ214" t="s">
        <v>7138</v>
      </c>
      <c r="AR214" t="s">
        <v>9</v>
      </c>
      <c r="AS214" t="s">
        <v>7139</v>
      </c>
      <c r="AT214" t="s">
        <v>9</v>
      </c>
      <c r="AU214" t="s">
        <v>7140</v>
      </c>
      <c r="AV214" t="s">
        <v>7141</v>
      </c>
      <c r="AW214" t="s">
        <v>7142</v>
      </c>
      <c r="AX214" t="s">
        <v>535</v>
      </c>
      <c r="AY214" t="s">
        <v>164</v>
      </c>
      <c r="AZ214" t="s">
        <v>373</v>
      </c>
      <c r="BA214" t="s">
        <v>99</v>
      </c>
      <c r="BB214" t="s">
        <v>63</v>
      </c>
      <c r="BC214" t="s">
        <v>2379</v>
      </c>
      <c r="BD214" t="s">
        <v>2380</v>
      </c>
      <c r="BE214" t="s">
        <v>2381</v>
      </c>
      <c r="BF214" t="s">
        <v>2382</v>
      </c>
      <c r="BG214" t="s">
        <v>2383</v>
      </c>
      <c r="BH214" t="s">
        <v>39</v>
      </c>
      <c r="BI214" t="s">
        <v>2384</v>
      </c>
      <c r="BJ214" t="s">
        <v>535</v>
      </c>
      <c r="BK214" t="s">
        <v>7143</v>
      </c>
      <c r="BL214" t="s">
        <v>2385</v>
      </c>
      <c r="BM214" t="s">
        <v>2379</v>
      </c>
      <c r="BN214">
        <v>5.93</v>
      </c>
      <c r="BO214">
        <v>9.52</v>
      </c>
      <c r="BP214">
        <v>14.09</v>
      </c>
      <c r="BQ214">
        <v>6.07</v>
      </c>
      <c r="BR214">
        <v>11.16</v>
      </c>
      <c r="BS214">
        <v>13.56</v>
      </c>
      <c r="BT214" t="s">
        <v>7144</v>
      </c>
      <c r="BU214" t="s">
        <v>1008</v>
      </c>
      <c r="BV214">
        <v>52.71</v>
      </c>
      <c r="BW214">
        <v>53.98</v>
      </c>
      <c r="BX214">
        <v>58.45</v>
      </c>
      <c r="BY214">
        <v>21.61</v>
      </c>
      <c r="BZ214">
        <v>23.07</v>
      </c>
      <c r="CA214">
        <v>23.88</v>
      </c>
      <c r="CB214">
        <v>0.94</v>
      </c>
      <c r="CC214">
        <v>-17.73</v>
      </c>
      <c r="CD214" t="s">
        <v>7145</v>
      </c>
      <c r="CE214" t="s">
        <v>7146</v>
      </c>
      <c r="CF214" s="8">
        <v>-0.51590346552279065</v>
      </c>
      <c r="CG214" s="9">
        <v>3.016</v>
      </c>
      <c r="CH214" s="8">
        <v>-0.76229369640350342</v>
      </c>
      <c r="CI214" s="8">
        <v>-8.3333335816860199E-2</v>
      </c>
      <c r="CJ214" s="8">
        <v>-8.235294371843338E-2</v>
      </c>
      <c r="CK214" s="8">
        <v>0.45299145579338074</v>
      </c>
      <c r="CL214" s="8">
        <v>0.125</v>
      </c>
      <c r="CM214" s="9">
        <v>-0.94560468196868896</v>
      </c>
      <c r="CN214" s="9">
        <v>-0.10613654553890228</v>
      </c>
      <c r="CO214" s="9">
        <v>-0.34878066182136536</v>
      </c>
      <c r="CP214" s="9">
        <v>1.6024068593978882</v>
      </c>
      <c r="CQ214" s="9">
        <v>-4.0827367454767227E-2</v>
      </c>
      <c r="CR214">
        <v>-12.838858177446092</v>
      </c>
      <c r="CS214" t="e">
        <v>#DIV/0!</v>
      </c>
      <c r="CT214">
        <v>1.1961165048543689</v>
      </c>
      <c r="CU214" s="8">
        <v>0</v>
      </c>
      <c r="CV214" s="9">
        <v>0</v>
      </c>
      <c r="CW214">
        <v>0.06</v>
      </c>
      <c r="CX214">
        <v>1031.1576991150446</v>
      </c>
      <c r="CY214">
        <v>1694999.9999999995</v>
      </c>
      <c r="CZ214">
        <v>0</v>
      </c>
      <c r="DA214">
        <v>363.93039035232567</v>
      </c>
      <c r="DB214">
        <v>4802600.5695977202</v>
      </c>
      <c r="DC214">
        <v>0</v>
      </c>
      <c r="DD214">
        <v>197.82918873977434</v>
      </c>
      <c r="DE214">
        <v>8834956.6165338848</v>
      </c>
      <c r="DF214">
        <v>0</v>
      </c>
      <c r="DG214">
        <v>132.17102941697166</v>
      </c>
      <c r="DH214">
        <v>13223868.405276783</v>
      </c>
      <c r="DI214">
        <v>0</v>
      </c>
      <c r="DJ214">
        <v>84.812289783598757</v>
      </c>
      <c r="DK214">
        <v>20608007.453396183</v>
      </c>
      <c r="DL214">
        <v>0</v>
      </c>
      <c r="DM214">
        <v>1796699.9999999998</v>
      </c>
      <c r="DN214">
        <v>0</v>
      </c>
      <c r="DO214">
        <v>1747812300</v>
      </c>
      <c r="DP214">
        <v>214478220</v>
      </c>
      <c r="DQ214">
        <v>213</v>
      </c>
      <c r="DR214">
        <v>-0.51590346552279065</v>
      </c>
      <c r="DS214">
        <v>3.016</v>
      </c>
      <c r="DT214">
        <v>-0.44</v>
      </c>
      <c r="DU214">
        <v>-0.44</v>
      </c>
      <c r="DV214">
        <v>-0.88</v>
      </c>
      <c r="DW214">
        <v>-3.019565476190476</v>
      </c>
      <c r="DX214">
        <v>0.80816826665423835</v>
      </c>
      <c r="DY214">
        <v>-3.0028989826934076</v>
      </c>
      <c r="DZ214">
        <v>0</v>
      </c>
      <c r="EA214">
        <v>-3.0028989826934076</v>
      </c>
      <c r="EB214">
        <v>3</v>
      </c>
      <c r="EC214">
        <v>0.12498469369604344</v>
      </c>
      <c r="ED214">
        <v>0.84353213085568091</v>
      </c>
      <c r="EE214">
        <v>0</v>
      </c>
      <c r="EF214">
        <v>0</v>
      </c>
      <c r="EG214">
        <v>66.148168266654238</v>
      </c>
      <c r="EH214" t="s">
        <v>86</v>
      </c>
      <c r="EI214">
        <v>0</v>
      </c>
      <c r="EJ214">
        <v>0</v>
      </c>
      <c r="EK214">
        <v>0</v>
      </c>
      <c r="EL214">
        <v>0</v>
      </c>
      <c r="EM214">
        <v>0</v>
      </c>
      <c r="EN214">
        <v>0</v>
      </c>
      <c r="EO214">
        <v>0</v>
      </c>
      <c r="EP214">
        <v>0</v>
      </c>
    </row>
    <row r="215" spans="1:146" ht="108" x14ac:dyDescent="0.25">
      <c r="A215" s="10"/>
      <c r="B215" s="10"/>
      <c r="C215" s="7" t="str">
        <f>""&amp;CHAR(10)&amp;Basic_Fundamental_Information_Constructure(F215)&amp;CHAR(10)&amp;Basic_Fundamental_Information_Concatenate("")</f>
        <v xml:space="preserve">
市值8.0519781亿, 利润672.77万; PE20.09; 平均PE4.65, PB2.01; ROIC12.78%; ROE15.27%; 股利率2.7574%; 毛利18.0433%; 净利7.9733%; 上一年度营收增-72.6%, 利润增-79.56%; 当季营收增-44.29%, 利润增36.35%; 过往5年营收增0%, 利润增0%
Income profile:
</v>
      </c>
      <c r="D215">
        <v>871857</v>
      </c>
      <c r="E215" t="s">
        <v>2386</v>
      </c>
      <c r="F215">
        <v>10.88</v>
      </c>
      <c r="G215" s="5">
        <v>-2.25</v>
      </c>
      <c r="H215" t="s">
        <v>7147</v>
      </c>
      <c r="I215">
        <v>805197810</v>
      </c>
      <c r="J215">
        <v>20.09</v>
      </c>
      <c r="K215">
        <v>2.0099999999999998</v>
      </c>
      <c r="L215" t="s">
        <v>2604</v>
      </c>
      <c r="M215" t="s">
        <v>229</v>
      </c>
      <c r="N215" t="s">
        <v>512</v>
      </c>
      <c r="O215" t="s">
        <v>99</v>
      </c>
      <c r="P215">
        <v>15.23</v>
      </c>
      <c r="Q215" t="s">
        <v>99</v>
      </c>
      <c r="R215">
        <v>6727697</v>
      </c>
      <c r="S215" s="5">
        <v>0.36349999999999999</v>
      </c>
      <c r="T215" t="s">
        <v>7148</v>
      </c>
      <c r="U215">
        <v>74007152</v>
      </c>
      <c r="V215">
        <v>74007152</v>
      </c>
      <c r="W215">
        <v>1.41</v>
      </c>
      <c r="X215">
        <v>0.21</v>
      </c>
      <c r="Y215">
        <v>5.76</v>
      </c>
      <c r="Z215" t="s">
        <v>518</v>
      </c>
      <c r="AA215" t="s">
        <v>7149</v>
      </c>
      <c r="AB215" t="s">
        <v>7150</v>
      </c>
      <c r="AC215" t="s">
        <v>7151</v>
      </c>
      <c r="AD215" t="s">
        <v>7152</v>
      </c>
      <c r="AE215">
        <v>3483421</v>
      </c>
      <c r="AF215" t="s">
        <v>7153</v>
      </c>
      <c r="AG215">
        <v>5953.88</v>
      </c>
      <c r="AH215" t="s">
        <v>7154</v>
      </c>
      <c r="AI215" t="s">
        <v>328</v>
      </c>
      <c r="AJ215" t="s">
        <v>9</v>
      </c>
      <c r="AK215" t="s">
        <v>9</v>
      </c>
      <c r="AL215" t="s">
        <v>7155</v>
      </c>
      <c r="AM215" t="s">
        <v>9</v>
      </c>
      <c r="AN215" t="s">
        <v>7156</v>
      </c>
      <c r="AO215" t="s">
        <v>9</v>
      </c>
      <c r="AP215" t="s">
        <v>9</v>
      </c>
      <c r="AQ215" t="s">
        <v>374</v>
      </c>
      <c r="AR215" t="s">
        <v>9</v>
      </c>
      <c r="AS215" t="s">
        <v>318</v>
      </c>
      <c r="AT215" t="s">
        <v>9</v>
      </c>
      <c r="AU215" t="s">
        <v>7157</v>
      </c>
      <c r="AV215" t="s">
        <v>7158</v>
      </c>
      <c r="AW215" t="s">
        <v>7159</v>
      </c>
      <c r="AX215" t="s">
        <v>424</v>
      </c>
      <c r="AY215" t="s">
        <v>344</v>
      </c>
      <c r="AZ215" t="s">
        <v>610</v>
      </c>
      <c r="BA215" t="s">
        <v>251</v>
      </c>
      <c r="BB215" t="s">
        <v>181</v>
      </c>
      <c r="BC215" t="s">
        <v>2387</v>
      </c>
      <c r="BD215" t="s">
        <v>2388</v>
      </c>
      <c r="BE215" t="s">
        <v>2389</v>
      </c>
      <c r="BF215" t="s">
        <v>2390</v>
      </c>
      <c r="BG215" t="s">
        <v>2391</v>
      </c>
      <c r="BH215" t="s">
        <v>133</v>
      </c>
      <c r="BI215" t="s">
        <v>315</v>
      </c>
      <c r="BJ215" t="s">
        <v>424</v>
      </c>
      <c r="BK215" t="s">
        <v>7160</v>
      </c>
      <c r="BL215" t="s">
        <v>2392</v>
      </c>
      <c r="BM215" t="s">
        <v>2387</v>
      </c>
      <c r="BN215">
        <v>6.78</v>
      </c>
      <c r="BO215">
        <v>11.02</v>
      </c>
      <c r="BP215">
        <v>20.54</v>
      </c>
      <c r="BQ215">
        <v>8.81</v>
      </c>
      <c r="BR215">
        <v>10.199999999999999</v>
      </c>
      <c r="BS215">
        <v>26.8</v>
      </c>
      <c r="BT215" t="s">
        <v>859</v>
      </c>
      <c r="BU215" t="s">
        <v>1032</v>
      </c>
      <c r="BV215">
        <v>19.93</v>
      </c>
      <c r="BW215">
        <v>14.93</v>
      </c>
      <c r="BX215">
        <v>19.27</v>
      </c>
      <c r="BY215">
        <v>8.5299999999999994</v>
      </c>
      <c r="BZ215">
        <v>7.71</v>
      </c>
      <c r="CA215">
        <v>7.68</v>
      </c>
      <c r="CB215">
        <v>-5.47</v>
      </c>
      <c r="CC215">
        <v>-1.89</v>
      </c>
      <c r="CD215" t="s">
        <v>7161</v>
      </c>
      <c r="CE215" t="s">
        <v>7162</v>
      </c>
      <c r="CF215" s="8">
        <v>-0.44285714285714284</v>
      </c>
      <c r="CG215" s="9">
        <v>0.36349999999999999</v>
      </c>
      <c r="CH215" s="8">
        <v>-0.72599530220031738</v>
      </c>
      <c r="CI215" s="8">
        <v>-0.18821293115615845</v>
      </c>
      <c r="CJ215" s="8">
        <v>0.20642201602458954</v>
      </c>
      <c r="CK215" s="8">
        <v>0.3885350227355957</v>
      </c>
      <c r="CL215" s="8">
        <v>0.40807175636291504</v>
      </c>
      <c r="CM215" s="9">
        <v>-0.79557341337203979</v>
      </c>
      <c r="CN215" s="9">
        <v>-0.18538549542427063</v>
      </c>
      <c r="CO215" s="9">
        <v>6.5553277730941772E-2</v>
      </c>
      <c r="CP215" s="9">
        <v>0.32534694671630859</v>
      </c>
      <c r="CQ215" s="9">
        <v>1.5765109062194824</v>
      </c>
      <c r="CR215">
        <v>4.6460648698666498</v>
      </c>
      <c r="CS215" t="e">
        <v>#DIV/0!</v>
      </c>
      <c r="CT215">
        <v>2.7573529411764706</v>
      </c>
      <c r="CU215" s="8">
        <v>0</v>
      </c>
      <c r="CV215" s="9">
        <v>0</v>
      </c>
      <c r="CW215">
        <v>0.06</v>
      </c>
      <c r="CX215">
        <v>89.366303283440104</v>
      </c>
      <c r="CY215">
        <v>6346886.7924528299</v>
      </c>
      <c r="CZ215">
        <v>0</v>
      </c>
      <c r="DA215">
        <v>31.540387727501358</v>
      </c>
      <c r="DB215">
        <v>17983222.492393047</v>
      </c>
      <c r="DC215">
        <v>0</v>
      </c>
      <c r="DD215">
        <v>17.145062578117983</v>
      </c>
      <c r="DE215">
        <v>33082282.868066467</v>
      </c>
      <c r="DF215">
        <v>0</v>
      </c>
      <c r="DG215">
        <v>11.454733170589238</v>
      </c>
      <c r="DH215">
        <v>49516457.655802645</v>
      </c>
      <c r="DI215">
        <v>0</v>
      </c>
      <c r="DJ215">
        <v>7.3503410947412027</v>
      </c>
      <c r="DK215">
        <v>77166188.982141435</v>
      </c>
      <c r="DL215">
        <v>0</v>
      </c>
      <c r="DM215">
        <v>6727700</v>
      </c>
      <c r="DN215">
        <v>0</v>
      </c>
      <c r="DO215">
        <v>567197810</v>
      </c>
      <c r="DP215">
        <v>306444350</v>
      </c>
      <c r="DQ215">
        <v>214</v>
      </c>
      <c r="DR215">
        <v>-0.44285714285714284</v>
      </c>
      <c r="DS215">
        <v>0.36349999999999999</v>
      </c>
      <c r="DT215">
        <v>-0.44</v>
      </c>
      <c r="DU215">
        <v>-0.44</v>
      </c>
      <c r="DV215">
        <v>-0.88</v>
      </c>
      <c r="DW215">
        <v>-4.345521023765996</v>
      </c>
      <c r="DX215">
        <v>0.34792219844809225</v>
      </c>
      <c r="DY215">
        <v>-4.0338341782572025</v>
      </c>
      <c r="DZ215">
        <v>0</v>
      </c>
      <c r="EA215">
        <v>-4.0338341782572025</v>
      </c>
      <c r="EB215">
        <v>4</v>
      </c>
      <c r="EC215">
        <v>4.106089638471698E-2</v>
      </c>
      <c r="ED215">
        <v>0.41932163529276201</v>
      </c>
      <c r="EE215">
        <v>0</v>
      </c>
      <c r="EF215">
        <v>0</v>
      </c>
      <c r="EG215">
        <v>25.097922198448092</v>
      </c>
      <c r="EH215" t="s">
        <v>86</v>
      </c>
      <c r="EI215">
        <v>0</v>
      </c>
      <c r="EJ215">
        <v>0</v>
      </c>
      <c r="EK215">
        <v>0</v>
      </c>
      <c r="EL215">
        <v>0</v>
      </c>
      <c r="EM215">
        <v>0</v>
      </c>
      <c r="EN215">
        <v>0</v>
      </c>
      <c r="EO215">
        <v>0</v>
      </c>
      <c r="EP215">
        <v>0</v>
      </c>
    </row>
    <row r="216" spans="1:146" ht="108" x14ac:dyDescent="0.25">
      <c r="A216" s="10"/>
      <c r="B216" s="10"/>
      <c r="C216" s="7" t="str">
        <f>""&amp;CHAR(10)&amp;Basic_Fundamental_Information_Constructure(F216)&amp;CHAR(10)&amp;Basic_Fundamental_Information_Concatenate("")</f>
        <v xml:space="preserve">
市值7.5613712亿, 利润-445.09万; PE; 平均PE4.88, PB2.42; ROIC10.895%; ROE7.38%; 股利率0%; 毛利39.7967%; 净利9.95%; 上一年度营收增-84.01%, 利润增-124.53%; 当季营收增-63.75%, 利润增-48.02%; 过往5年营收增0%, 利润增0%
Income profile:
</v>
      </c>
      <c r="D216">
        <v>871970</v>
      </c>
      <c r="E216" t="s">
        <v>2393</v>
      </c>
      <c r="F216">
        <v>6.79</v>
      </c>
      <c r="G216" s="5">
        <v>0.44</v>
      </c>
      <c r="H216" t="s">
        <v>7163</v>
      </c>
      <c r="I216">
        <v>756137120</v>
      </c>
      <c r="K216">
        <v>2.42</v>
      </c>
      <c r="L216" t="s">
        <v>2604</v>
      </c>
      <c r="M216" t="s">
        <v>166</v>
      </c>
      <c r="N216" t="s">
        <v>324</v>
      </c>
      <c r="O216" t="s">
        <v>7164</v>
      </c>
      <c r="P216">
        <v>-14.13</v>
      </c>
      <c r="Q216" t="s">
        <v>7164</v>
      </c>
      <c r="R216">
        <v>-4450874</v>
      </c>
      <c r="S216" s="5">
        <v>-0.48020000000000002</v>
      </c>
      <c r="T216" t="s">
        <v>7165</v>
      </c>
      <c r="U216">
        <v>52704400</v>
      </c>
      <c r="V216">
        <v>111360400</v>
      </c>
      <c r="W216">
        <v>1.36</v>
      </c>
      <c r="X216">
        <v>0.06</v>
      </c>
      <c r="Y216">
        <v>-17.73</v>
      </c>
      <c r="Z216" t="s">
        <v>7166</v>
      </c>
      <c r="AA216" t="s">
        <v>7167</v>
      </c>
      <c r="AB216" t="s">
        <v>7168</v>
      </c>
      <c r="AC216" t="s">
        <v>7169</v>
      </c>
      <c r="AD216" t="s">
        <v>7170</v>
      </c>
      <c r="AE216">
        <v>554083</v>
      </c>
      <c r="AF216" t="s">
        <v>17</v>
      </c>
      <c r="AG216">
        <v>0.45</v>
      </c>
      <c r="AH216" t="s">
        <v>7171</v>
      </c>
      <c r="AI216" t="s">
        <v>7172</v>
      </c>
      <c r="AJ216" t="s">
        <v>9</v>
      </c>
      <c r="AK216" t="s">
        <v>9</v>
      </c>
      <c r="AL216" t="s">
        <v>7173</v>
      </c>
      <c r="AM216" t="s">
        <v>9</v>
      </c>
      <c r="AN216">
        <v>0</v>
      </c>
      <c r="AO216" t="s">
        <v>7174</v>
      </c>
      <c r="AP216" t="s">
        <v>9</v>
      </c>
      <c r="AQ216" t="s">
        <v>7175</v>
      </c>
      <c r="AR216" t="s">
        <v>9</v>
      </c>
      <c r="AS216" t="s">
        <v>7176</v>
      </c>
      <c r="AT216" t="s">
        <v>9</v>
      </c>
      <c r="AU216" t="s">
        <v>7177</v>
      </c>
      <c r="AV216" t="s">
        <v>7178</v>
      </c>
      <c r="AW216" t="s">
        <v>7179</v>
      </c>
      <c r="AX216" t="s">
        <v>92</v>
      </c>
      <c r="AY216" t="s">
        <v>109</v>
      </c>
      <c r="AZ216" t="s">
        <v>258</v>
      </c>
      <c r="BA216" t="s">
        <v>272</v>
      </c>
      <c r="BB216" t="s">
        <v>2395</v>
      </c>
      <c r="BC216" t="s">
        <v>2394</v>
      </c>
      <c r="BD216" t="s">
        <v>2396</v>
      </c>
      <c r="BE216" t="s">
        <v>2397</v>
      </c>
      <c r="BF216" t="s">
        <v>2398</v>
      </c>
      <c r="BG216" t="s">
        <v>2399</v>
      </c>
      <c r="BH216" t="s">
        <v>128</v>
      </c>
      <c r="BI216" t="s">
        <v>2400</v>
      </c>
      <c r="BJ216" t="s">
        <v>92</v>
      </c>
      <c r="BK216" t="s">
        <v>7180</v>
      </c>
      <c r="BL216" t="s">
        <v>2401</v>
      </c>
      <c r="BM216" t="s">
        <v>2394</v>
      </c>
      <c r="BN216" t="s">
        <v>9</v>
      </c>
      <c r="BO216">
        <v>6.01</v>
      </c>
      <c r="BP216">
        <v>15.78</v>
      </c>
      <c r="BQ216">
        <v>-1.84</v>
      </c>
      <c r="BR216">
        <v>6.07</v>
      </c>
      <c r="BS216">
        <v>17.91</v>
      </c>
      <c r="BT216" t="s">
        <v>773</v>
      </c>
      <c r="BU216" t="s">
        <v>1879</v>
      </c>
      <c r="BV216">
        <v>27.28</v>
      </c>
      <c r="BW216">
        <v>43.8</v>
      </c>
      <c r="BX216">
        <v>48.31</v>
      </c>
      <c r="BY216">
        <v>-1.3</v>
      </c>
      <c r="BZ216">
        <v>11.56</v>
      </c>
      <c r="CA216">
        <v>19.59</v>
      </c>
      <c r="CB216">
        <v>3.98</v>
      </c>
      <c r="CC216">
        <v>-4.37</v>
      </c>
      <c r="CD216" t="s">
        <v>7181</v>
      </c>
      <c r="CE216" t="s">
        <v>7182</v>
      </c>
      <c r="CF216" s="8">
        <v>-0.63752297910255507</v>
      </c>
      <c r="CG216" s="9">
        <v>-0.48020000000000002</v>
      </c>
      <c r="CH216" s="8">
        <v>-0.84012287855148315</v>
      </c>
      <c r="CI216" s="8">
        <v>-0.12290503084659576</v>
      </c>
      <c r="CJ216" s="8">
        <v>0.23448276519775391</v>
      </c>
      <c r="CK216" s="8">
        <v>0.27192983031272888</v>
      </c>
      <c r="CL216" s="8">
        <v>0.27460181713104248</v>
      </c>
      <c r="CM216" s="9">
        <v>-1.2452664375305176</v>
      </c>
      <c r="CN216" s="9">
        <v>-0.48237964510917664</v>
      </c>
      <c r="CO216" s="9">
        <v>7.0752516388893127E-2</v>
      </c>
      <c r="CP216" s="9">
        <v>0.1826985627412796</v>
      </c>
      <c r="CQ216" s="9">
        <v>0.27374199032783508</v>
      </c>
      <c r="CR216">
        <v>4.88443580516401</v>
      </c>
      <c r="CS216" t="e">
        <v>#DIV/0!</v>
      </c>
      <c r="CT216">
        <v>0</v>
      </c>
      <c r="CU216" s="8">
        <v>0</v>
      </c>
      <c r="CV216" s="9">
        <v>0</v>
      </c>
      <c r="CW216">
        <v>0.06</v>
      </c>
      <c r="CX216" t="e">
        <v>#VALUE!</v>
      </c>
      <c r="CY216" t="s">
        <v>85</v>
      </c>
      <c r="CZ216">
        <v>0</v>
      </c>
      <c r="DA216" t="e">
        <v>#VALUE!</v>
      </c>
      <c r="DB216" t="s">
        <v>84</v>
      </c>
      <c r="DC216">
        <v>0</v>
      </c>
      <c r="DD216" t="e">
        <v>#VALUE!</v>
      </c>
      <c r="DE216" t="s">
        <v>84</v>
      </c>
      <c r="DF216">
        <v>0</v>
      </c>
      <c r="DG216" t="e">
        <v>#VALUE!</v>
      </c>
      <c r="DH216" t="s">
        <v>84</v>
      </c>
      <c r="DI216">
        <v>0</v>
      </c>
      <c r="DJ216" t="e">
        <v>#VALUE!</v>
      </c>
      <c r="DK216" t="s">
        <v>84</v>
      </c>
      <c r="DL216">
        <v>0</v>
      </c>
      <c r="DM216">
        <v>-4450900</v>
      </c>
      <c r="DN216">
        <v>0</v>
      </c>
      <c r="DO216">
        <v>549137120</v>
      </c>
      <c r="DP216">
        <v>-6740385</v>
      </c>
      <c r="DQ216">
        <v>215</v>
      </c>
      <c r="DR216">
        <v>-0.63752297910255507</v>
      </c>
      <c r="DS216">
        <v>-0.48020000000000002</v>
      </c>
      <c r="DT216">
        <v>-0.44</v>
      </c>
      <c r="DU216" t="e">
        <v>#VALUE!</v>
      </c>
      <c r="DV216" t="e">
        <v>#VALUE!</v>
      </c>
      <c r="DW216">
        <v>6.4766467065868261</v>
      </c>
      <c r="DX216">
        <v>0.27256224748661129</v>
      </c>
      <c r="DY216">
        <v>6.0536524245505046</v>
      </c>
      <c r="DZ216">
        <v>0</v>
      </c>
      <c r="EA216">
        <v>6.0536524245505046</v>
      </c>
      <c r="EB216">
        <v>6</v>
      </c>
      <c r="EC216">
        <v>1.1833650022808825E-2</v>
      </c>
      <c r="ED216">
        <v>0.10512983071181498</v>
      </c>
      <c r="EE216">
        <v>0</v>
      </c>
      <c r="EF216">
        <v>0</v>
      </c>
      <c r="EG216">
        <v>16.112562247486611</v>
      </c>
      <c r="EH216" t="s">
        <v>86</v>
      </c>
      <c r="EI216">
        <v>0</v>
      </c>
      <c r="EJ216">
        <v>0</v>
      </c>
      <c r="EK216">
        <v>0</v>
      </c>
      <c r="EL216">
        <v>0</v>
      </c>
      <c r="EM216">
        <v>0</v>
      </c>
      <c r="EN216">
        <v>0</v>
      </c>
      <c r="EO216">
        <v>0</v>
      </c>
      <c r="EP216">
        <v>0</v>
      </c>
    </row>
    <row r="217" spans="1:146" ht="96" x14ac:dyDescent="0.25">
      <c r="A217" s="10"/>
      <c r="B217" s="10"/>
      <c r="C217" s="7" t="str">
        <f>""&amp;CHAR(10)&amp;Basic_Fundamental_Information_Constructure(F217)&amp;CHAR(10)&amp;Basic_Fundamental_Information_Concatenate("")</f>
        <v xml:space="preserve">
市值7.9679656亿, 利润-55.66万; PE; 平均PE3.22, PB1.58; ROIC12.435%; ROE10.7667%; 股利率0%; 毛利18.6733%; 净利7.8267%; 上一年度营收增-67.96%, 利润增-101.28%; 当季营收增-25.75%, 利润增-211.4%; 过往5年营收增0%, 利润增0%
Income profile:
</v>
      </c>
      <c r="D217">
        <v>871981</v>
      </c>
      <c r="E217" t="s">
        <v>2402</v>
      </c>
      <c r="F217">
        <v>10.42</v>
      </c>
      <c r="G217" s="5">
        <v>-2.89</v>
      </c>
      <c r="H217" t="s">
        <v>7183</v>
      </c>
      <c r="I217">
        <v>796796560</v>
      </c>
      <c r="K217">
        <v>1.58</v>
      </c>
      <c r="L217" t="s">
        <v>2604</v>
      </c>
      <c r="M217" t="s">
        <v>331</v>
      </c>
      <c r="N217" t="s">
        <v>363</v>
      </c>
      <c r="O217" t="s">
        <v>89</v>
      </c>
      <c r="P217">
        <v>68.03</v>
      </c>
      <c r="Q217" t="s">
        <v>89</v>
      </c>
      <c r="R217">
        <v>-556635</v>
      </c>
      <c r="S217" s="5">
        <v>-2.1139999999999999</v>
      </c>
      <c r="T217" t="s">
        <v>7184</v>
      </c>
      <c r="U217">
        <v>37032291</v>
      </c>
      <c r="V217">
        <v>76468000</v>
      </c>
      <c r="W217">
        <v>1.53</v>
      </c>
      <c r="X217">
        <v>0.16</v>
      </c>
      <c r="Y217">
        <v>-0.45</v>
      </c>
      <c r="Z217" t="s">
        <v>29</v>
      </c>
      <c r="AA217" t="s">
        <v>27</v>
      </c>
      <c r="AB217" t="s">
        <v>7185</v>
      </c>
      <c r="AC217" t="s">
        <v>6008</v>
      </c>
      <c r="AD217" t="s">
        <v>7186</v>
      </c>
      <c r="AE217">
        <v>301693</v>
      </c>
      <c r="AF217" t="s">
        <v>17</v>
      </c>
      <c r="AG217" t="s">
        <v>937</v>
      </c>
      <c r="AH217" t="s">
        <v>7187</v>
      </c>
      <c r="AI217" t="s">
        <v>7188</v>
      </c>
      <c r="AJ217" t="s">
        <v>9</v>
      </c>
      <c r="AK217" t="s">
        <v>7189</v>
      </c>
      <c r="AL217" t="s">
        <v>7190</v>
      </c>
      <c r="AM217" t="s">
        <v>9</v>
      </c>
      <c r="AN217" t="s">
        <v>7191</v>
      </c>
      <c r="AO217" t="s">
        <v>7192</v>
      </c>
      <c r="AP217" t="s">
        <v>7193</v>
      </c>
      <c r="AQ217" t="s">
        <v>90</v>
      </c>
      <c r="AR217" t="s">
        <v>9</v>
      </c>
      <c r="AS217" t="s">
        <v>536</v>
      </c>
      <c r="AT217" t="s">
        <v>9</v>
      </c>
      <c r="AU217" t="s">
        <v>7194</v>
      </c>
      <c r="AV217" t="s">
        <v>7195</v>
      </c>
      <c r="AW217" t="s">
        <v>7196</v>
      </c>
      <c r="AX217" t="s">
        <v>172</v>
      </c>
      <c r="AY217" t="s">
        <v>257</v>
      </c>
      <c r="AZ217" t="s">
        <v>362</v>
      </c>
      <c r="BA217" t="s">
        <v>65</v>
      </c>
      <c r="BB217" t="s">
        <v>437</v>
      </c>
      <c r="BC217" t="s">
        <v>2403</v>
      </c>
      <c r="BD217" t="s">
        <v>2404</v>
      </c>
      <c r="BE217" t="s">
        <v>2405</v>
      </c>
      <c r="BF217" t="s">
        <v>2406</v>
      </c>
      <c r="BG217" t="s">
        <v>2407</v>
      </c>
      <c r="BH217" t="s">
        <v>273</v>
      </c>
      <c r="BI217" t="s">
        <v>149</v>
      </c>
      <c r="BJ217" t="s">
        <v>172</v>
      </c>
      <c r="BK217" t="s">
        <v>7197</v>
      </c>
      <c r="BL217" t="s">
        <v>2408</v>
      </c>
      <c r="BM217" t="s">
        <v>2403</v>
      </c>
      <c r="BN217" t="s">
        <v>9</v>
      </c>
      <c r="BO217">
        <v>7.68</v>
      </c>
      <c r="BP217">
        <v>17.190000000000001</v>
      </c>
      <c r="BQ217">
        <v>-1.3</v>
      </c>
      <c r="BR217">
        <v>8.61</v>
      </c>
      <c r="BS217">
        <v>24.99</v>
      </c>
      <c r="BT217" t="s">
        <v>773</v>
      </c>
      <c r="BU217" t="s">
        <v>1108</v>
      </c>
      <c r="BV217">
        <v>10.87</v>
      </c>
      <c r="BW217">
        <v>18.89</v>
      </c>
      <c r="BX217">
        <v>26.26</v>
      </c>
      <c r="BY217">
        <v>-1.57</v>
      </c>
      <c r="BZ217">
        <v>11.26</v>
      </c>
      <c r="CA217">
        <v>13.79</v>
      </c>
      <c r="CB217">
        <v>-11.62</v>
      </c>
      <c r="CC217">
        <v>-14.8</v>
      </c>
      <c r="CD217" t="s">
        <v>3422</v>
      </c>
      <c r="CE217" t="s">
        <v>7198</v>
      </c>
      <c r="CF217" s="8">
        <v>-0.25748502994011974</v>
      </c>
      <c r="CG217" s="9">
        <v>-2.1139999999999999</v>
      </c>
      <c r="CH217" s="8">
        <v>-0.67958658933639526</v>
      </c>
      <c r="CI217" s="8">
        <v>-0.18526315689086914</v>
      </c>
      <c r="CJ217" s="8">
        <v>0.4751552939414978</v>
      </c>
      <c r="CK217" s="8">
        <v>0.40611353516578674</v>
      </c>
      <c r="CL217" s="8">
        <v>0.15075376629829407</v>
      </c>
      <c r="CM217" s="9">
        <v>-1.0127674341201782</v>
      </c>
      <c r="CN217" s="9">
        <v>-0.33440259099006653</v>
      </c>
      <c r="CO217" s="9">
        <v>1.1012277603149414</v>
      </c>
      <c r="CP217" s="9">
        <v>0.61110305786132813</v>
      </c>
      <c r="CQ217" s="9">
        <v>-2.0389357581734657E-2</v>
      </c>
      <c r="CR217">
        <v>3.2184190659839347</v>
      </c>
      <c r="CS217" t="e">
        <v>#DIV/0!</v>
      </c>
      <c r="CT217">
        <v>0</v>
      </c>
      <c r="CU217" s="8">
        <v>0</v>
      </c>
      <c r="CV217" s="9">
        <v>0</v>
      </c>
      <c r="CW217">
        <v>0.06</v>
      </c>
      <c r="CX217" t="e">
        <v>#VALUE!</v>
      </c>
      <c r="CY217" t="s">
        <v>85</v>
      </c>
      <c r="CZ217">
        <v>0</v>
      </c>
      <c r="DA217" t="e">
        <v>#VALUE!</v>
      </c>
      <c r="DB217" t="s">
        <v>84</v>
      </c>
      <c r="DC217">
        <v>0</v>
      </c>
      <c r="DD217" t="e">
        <v>#VALUE!</v>
      </c>
      <c r="DE217" t="s">
        <v>84</v>
      </c>
      <c r="DF217">
        <v>0</v>
      </c>
      <c r="DG217" t="e">
        <v>#VALUE!</v>
      </c>
      <c r="DH217" t="s">
        <v>84</v>
      </c>
      <c r="DI217">
        <v>0</v>
      </c>
      <c r="DJ217" t="e">
        <v>#VALUE!</v>
      </c>
      <c r="DK217" t="s">
        <v>84</v>
      </c>
      <c r="DL217">
        <v>0</v>
      </c>
      <c r="DM217">
        <v>-556600</v>
      </c>
      <c r="DN217">
        <v>0</v>
      </c>
      <c r="DO217">
        <v>555796560</v>
      </c>
      <c r="DP217">
        <v>102850400</v>
      </c>
      <c r="DQ217">
        <v>216</v>
      </c>
      <c r="DR217">
        <v>-0.25748502994011974</v>
      </c>
      <c r="DS217">
        <v>-2.1139999999999999</v>
      </c>
      <c r="DT217">
        <v>-0.44</v>
      </c>
      <c r="DU217" t="e">
        <v>#VALUE!</v>
      </c>
      <c r="DV217" t="e">
        <v>#VALUE!</v>
      </c>
      <c r="DW217">
        <v>-9.7851351351351354</v>
      </c>
      <c r="DX217">
        <v>0.41889800216693329</v>
      </c>
      <c r="DY217">
        <v>-9.1483104584580932</v>
      </c>
      <c r="DZ217">
        <v>0</v>
      </c>
      <c r="EA217">
        <v>-9.1483104584580932</v>
      </c>
      <c r="EB217">
        <v>9</v>
      </c>
      <c r="EC217">
        <v>4.8791651409740025E-2</v>
      </c>
      <c r="ED217">
        <v>0.25829628079719619</v>
      </c>
      <c r="EE217">
        <v>0</v>
      </c>
      <c r="EF217">
        <v>0</v>
      </c>
      <c r="EG217">
        <v>23.188898002166933</v>
      </c>
      <c r="EH217" t="s">
        <v>86</v>
      </c>
      <c r="EI217">
        <v>0</v>
      </c>
      <c r="EJ217">
        <v>0</v>
      </c>
      <c r="EK217">
        <v>0</v>
      </c>
      <c r="EL217">
        <v>0</v>
      </c>
      <c r="EM217">
        <v>0</v>
      </c>
      <c r="EN217">
        <v>0</v>
      </c>
      <c r="EO217">
        <v>0</v>
      </c>
      <c r="EP217">
        <v>0</v>
      </c>
    </row>
    <row r="218" spans="1:146" ht="108" x14ac:dyDescent="0.25">
      <c r="A218" s="10"/>
      <c r="B218" s="10"/>
      <c r="C218" s="7" t="str">
        <f>""&amp;CHAR(10)&amp;Basic_Fundamental_Information_Constructure(F218)&amp;CHAR(10)&amp;Basic_Fundamental_Information_Concatenate("")</f>
        <v xml:space="preserve">
市值14.2亿, 利润609.05万; PE49.41; 平均PE.88, PB1.68; ROIC8.6633%; ROE12.1633%; 股利率.7042%; 毛利10.7833%; 净利2.35%; 上一年度营收增-74.08%, 利润增-91.13%; 当季营收增-48.69%, 利润增-48.56%; 过往5年营收增0%, 利润增0%
Income profile:
</v>
      </c>
      <c r="D218">
        <v>872190</v>
      </c>
      <c r="E218" t="s">
        <v>2409</v>
      </c>
      <c r="F218">
        <v>14.2</v>
      </c>
      <c r="G218" s="5">
        <v>0.85</v>
      </c>
      <c r="H218" t="s">
        <v>7199</v>
      </c>
      <c r="I218">
        <v>1420000000</v>
      </c>
      <c r="J218">
        <v>49.41</v>
      </c>
      <c r="K218">
        <v>1.68</v>
      </c>
      <c r="L218" t="s">
        <v>2604</v>
      </c>
      <c r="M218" t="s">
        <v>456</v>
      </c>
      <c r="N218" t="s">
        <v>152</v>
      </c>
      <c r="O218" t="s">
        <v>376</v>
      </c>
      <c r="P218">
        <v>8.6199999999999992</v>
      </c>
      <c r="Q218" t="s">
        <v>376</v>
      </c>
      <c r="R218">
        <v>6090469</v>
      </c>
      <c r="S218" s="5">
        <v>-0.48559999999999998</v>
      </c>
      <c r="T218" t="s">
        <v>7200</v>
      </c>
      <c r="U218">
        <v>52541864</v>
      </c>
      <c r="V218">
        <v>100000001</v>
      </c>
      <c r="W218">
        <v>1.64</v>
      </c>
      <c r="X218">
        <v>0.45</v>
      </c>
      <c r="Y218">
        <v>0.95</v>
      </c>
      <c r="Z218" t="s">
        <v>321</v>
      </c>
      <c r="AA218" t="s">
        <v>636</v>
      </c>
      <c r="AB218" t="s">
        <v>7201</v>
      </c>
      <c r="AC218" t="s">
        <v>7202</v>
      </c>
      <c r="AD218" t="s">
        <v>7203</v>
      </c>
      <c r="AE218">
        <v>4901701</v>
      </c>
      <c r="AF218" t="s">
        <v>7204</v>
      </c>
      <c r="AG218">
        <v>7381.77</v>
      </c>
      <c r="AH218" t="s">
        <v>7205</v>
      </c>
      <c r="AI218" t="s">
        <v>276</v>
      </c>
      <c r="AJ218" t="s">
        <v>9</v>
      </c>
      <c r="AK218" t="s">
        <v>7206</v>
      </c>
      <c r="AL218" t="s">
        <v>7207</v>
      </c>
      <c r="AM218" t="s">
        <v>9</v>
      </c>
      <c r="AN218">
        <v>0</v>
      </c>
      <c r="AO218" t="s">
        <v>253</v>
      </c>
      <c r="AP218" t="s">
        <v>9</v>
      </c>
      <c r="AQ218" t="s">
        <v>42</v>
      </c>
      <c r="AR218" t="s">
        <v>9</v>
      </c>
      <c r="AS218" t="s">
        <v>159</v>
      </c>
      <c r="AT218" t="s">
        <v>9</v>
      </c>
      <c r="AU218" t="s">
        <v>7208</v>
      </c>
      <c r="AV218" t="s">
        <v>1127</v>
      </c>
      <c r="AW218" t="s">
        <v>7209</v>
      </c>
      <c r="AX218" t="s">
        <v>329</v>
      </c>
      <c r="AY218" t="s">
        <v>662</v>
      </c>
      <c r="AZ218" t="s">
        <v>2411</v>
      </c>
      <c r="BA218" t="s">
        <v>653</v>
      </c>
      <c r="BB218" t="s">
        <v>2412</v>
      </c>
      <c r="BC218" t="s">
        <v>2410</v>
      </c>
      <c r="BD218" t="s">
        <v>2413</v>
      </c>
      <c r="BE218" t="s">
        <v>2414</v>
      </c>
      <c r="BF218" t="s">
        <v>1655</v>
      </c>
      <c r="BG218" t="s">
        <v>2415</v>
      </c>
      <c r="BH218" t="s">
        <v>7210</v>
      </c>
      <c r="BI218" t="s">
        <v>559</v>
      </c>
      <c r="BJ218" t="s">
        <v>329</v>
      </c>
      <c r="BK218" t="s">
        <v>7211</v>
      </c>
      <c r="BL218" t="s">
        <v>2416</v>
      </c>
      <c r="BM218" t="s">
        <v>2410</v>
      </c>
      <c r="BN218">
        <v>3.06</v>
      </c>
      <c r="BO218">
        <v>8.3000000000000007</v>
      </c>
      <c r="BP218">
        <v>14.63</v>
      </c>
      <c r="BQ218">
        <v>3.36</v>
      </c>
      <c r="BR218">
        <v>14.03</v>
      </c>
      <c r="BS218">
        <v>19.100000000000001</v>
      </c>
      <c r="BT218" t="s">
        <v>886</v>
      </c>
      <c r="BU218" t="s">
        <v>790</v>
      </c>
      <c r="BV218">
        <v>8.6300000000000008</v>
      </c>
      <c r="BW218">
        <v>11.46</v>
      </c>
      <c r="BX218">
        <v>12.26</v>
      </c>
      <c r="BY218">
        <v>1.36</v>
      </c>
      <c r="BZ218">
        <v>2.81</v>
      </c>
      <c r="CA218">
        <v>2.88</v>
      </c>
      <c r="CB218">
        <v>-3.86</v>
      </c>
      <c r="CC218">
        <v>2.5299999999999998</v>
      </c>
      <c r="CD218" t="s">
        <v>7212</v>
      </c>
      <c r="CE218" t="s">
        <v>312</v>
      </c>
      <c r="CF218" s="8">
        <v>-0.48688524590163934</v>
      </c>
      <c r="CG218" s="9">
        <v>-0.48559999999999998</v>
      </c>
      <c r="CH218" s="8">
        <v>-0.74078673124313354</v>
      </c>
      <c r="CI218" s="8">
        <v>-8.5919685661792755E-2</v>
      </c>
      <c r="CJ218" s="8">
        <v>0.17213830351829529</v>
      </c>
      <c r="CK218" s="8">
        <v>7.7953159809112549E-2</v>
      </c>
      <c r="CL218" s="8">
        <v>0.24985066056251526</v>
      </c>
      <c r="CM218" s="9">
        <v>-0.91131198406219482</v>
      </c>
      <c r="CN218" s="9">
        <v>-0.1165638267993927</v>
      </c>
      <c r="CO218" s="9">
        <v>0.27937695384025574</v>
      </c>
      <c r="CP218" s="9">
        <v>7.0071220397949219E-2</v>
      </c>
      <c r="CQ218" s="9">
        <v>4.0505490303039551</v>
      </c>
      <c r="CR218">
        <v>0.88233589937394019</v>
      </c>
      <c r="CS218" t="e">
        <v>#DIV/0!</v>
      </c>
      <c r="CT218">
        <v>0.70422535211267612</v>
      </c>
      <c r="CU218" s="8">
        <v>0</v>
      </c>
      <c r="CV218" s="9">
        <v>0</v>
      </c>
      <c r="CW218">
        <v>0.06</v>
      </c>
      <c r="CX218">
        <v>199.45160495854202</v>
      </c>
      <c r="CY218">
        <v>5745754.7169811316</v>
      </c>
      <c r="CZ218">
        <v>0</v>
      </c>
      <c r="DA218">
        <v>70.3932099922785</v>
      </c>
      <c r="DB218">
        <v>16279979.278196093</v>
      </c>
      <c r="DC218">
        <v>0</v>
      </c>
      <c r="DD218">
        <v>38.265096828212826</v>
      </c>
      <c r="DE218">
        <v>29948963.807535831</v>
      </c>
      <c r="DF218">
        <v>0</v>
      </c>
      <c r="DG218">
        <v>25.565172008958196</v>
      </c>
      <c r="DH218">
        <v>44826610.186641201</v>
      </c>
      <c r="DI218">
        <v>0</v>
      </c>
      <c r="DJ218">
        <v>16.404811147766491</v>
      </c>
      <c r="DK218">
        <v>69857555.181671664</v>
      </c>
      <c r="DL218">
        <v>0</v>
      </c>
      <c r="DM218">
        <v>6090500</v>
      </c>
      <c r="DN218">
        <v>0</v>
      </c>
      <c r="DO218">
        <v>1146000000</v>
      </c>
      <c r="DP218">
        <v>792567740</v>
      </c>
      <c r="DQ218">
        <v>217</v>
      </c>
      <c r="DR218">
        <v>-0.48688524590163934</v>
      </c>
      <c r="DS218">
        <v>-0.48559999999999998</v>
      </c>
      <c r="DT218">
        <v>-0.44</v>
      </c>
      <c r="DU218">
        <v>-0.44</v>
      </c>
      <c r="DV218">
        <v>-0.88</v>
      </c>
      <c r="DW218">
        <v>-4.6554404145077717</v>
      </c>
      <c r="DX218">
        <v>0.44434701986755043</v>
      </c>
      <c r="DY218">
        <v>-4.0552844456644817</v>
      </c>
      <c r="DZ218">
        <v>0</v>
      </c>
      <c r="EA218">
        <v>-4.0552844456644817</v>
      </c>
      <c r="EB218">
        <v>4</v>
      </c>
      <c r="EC218">
        <v>0.12736399872636003</v>
      </c>
      <c r="ED218">
        <v>1.5099999849000001</v>
      </c>
      <c r="EE218">
        <v>0</v>
      </c>
      <c r="EF218">
        <v>0</v>
      </c>
      <c r="EG218">
        <v>36.08434701986755</v>
      </c>
      <c r="EH218" t="s">
        <v>86</v>
      </c>
      <c r="EI218">
        <v>0</v>
      </c>
      <c r="EJ218">
        <v>0</v>
      </c>
      <c r="EK218">
        <v>0</v>
      </c>
      <c r="EL218">
        <v>0</v>
      </c>
      <c r="EM218">
        <v>0</v>
      </c>
      <c r="EN218">
        <v>0</v>
      </c>
      <c r="EO218">
        <v>0</v>
      </c>
      <c r="EP218">
        <v>0</v>
      </c>
    </row>
    <row r="219" spans="1:146" ht="108" x14ac:dyDescent="0.25">
      <c r="A219" s="10"/>
      <c r="B219" s="10"/>
      <c r="C219" s="7" t="str">
        <f>""&amp;CHAR(10)&amp;Basic_Fundamental_Information_Constructure(F219)&amp;CHAR(10)&amp;Basic_Fundamental_Information_Concatenate("")</f>
        <v xml:space="preserve">
市值5.2557157亿, 利润355.60万; PE20.49; 平均PE.56, PB1.18; ROIC11.13%; ROE13.9167%; 股利率1.675%; 毛利6.9333%; 净利2.4767%; 上一年度营收增-80.47%, 利润增-92.72%; 当季营收增-45.01%, 利润增-65.3%; 过往5年营收增0%, 利润增0%
Income profile:
</v>
      </c>
      <c r="D219">
        <v>872351</v>
      </c>
      <c r="E219" t="s">
        <v>2417</v>
      </c>
      <c r="F219">
        <v>5.97</v>
      </c>
      <c r="G219" s="5">
        <v>0</v>
      </c>
      <c r="H219" t="s">
        <v>7213</v>
      </c>
      <c r="I219">
        <v>525571570</v>
      </c>
      <c r="J219">
        <v>20.49</v>
      </c>
      <c r="K219">
        <v>1.18</v>
      </c>
      <c r="L219" t="s">
        <v>2604</v>
      </c>
      <c r="M219" t="s">
        <v>267</v>
      </c>
      <c r="N219" t="s">
        <v>118</v>
      </c>
      <c r="O219" t="s">
        <v>283</v>
      </c>
      <c r="P219">
        <v>29.62</v>
      </c>
      <c r="Q219" t="s">
        <v>283</v>
      </c>
      <c r="R219">
        <v>3555965</v>
      </c>
      <c r="S219" s="5">
        <v>-0.65300000000000002</v>
      </c>
      <c r="T219" t="s">
        <v>7214</v>
      </c>
      <c r="U219">
        <v>35260439</v>
      </c>
      <c r="V219">
        <v>88035439</v>
      </c>
      <c r="W219">
        <v>1.95</v>
      </c>
      <c r="X219">
        <v>0.45</v>
      </c>
      <c r="Y219">
        <v>0.96</v>
      </c>
      <c r="Z219" t="s">
        <v>423</v>
      </c>
      <c r="AA219" t="s">
        <v>270</v>
      </c>
      <c r="AB219" t="s">
        <v>7215</v>
      </c>
      <c r="AC219" t="s">
        <v>7216</v>
      </c>
      <c r="AD219" t="s">
        <v>7217</v>
      </c>
      <c r="AE219">
        <v>304455</v>
      </c>
      <c r="AF219" t="s">
        <v>7218</v>
      </c>
      <c r="AG219" t="s">
        <v>7219</v>
      </c>
      <c r="AH219" t="s">
        <v>7220</v>
      </c>
      <c r="AI219" t="s">
        <v>585</v>
      </c>
      <c r="AJ219" t="s">
        <v>9</v>
      </c>
      <c r="AK219" t="s">
        <v>7221</v>
      </c>
      <c r="AL219" t="s">
        <v>7222</v>
      </c>
      <c r="AM219" t="s">
        <v>9</v>
      </c>
      <c r="AN219">
        <v>0</v>
      </c>
      <c r="AO219" t="s">
        <v>114</v>
      </c>
      <c r="AP219" t="s">
        <v>7223</v>
      </c>
      <c r="AQ219" t="s">
        <v>578</v>
      </c>
      <c r="AR219" t="s">
        <v>9</v>
      </c>
      <c r="AS219" t="s">
        <v>347</v>
      </c>
      <c r="AT219" t="s">
        <v>9</v>
      </c>
      <c r="AU219" t="s">
        <v>7224</v>
      </c>
      <c r="AV219" t="s">
        <v>7225</v>
      </c>
      <c r="AW219" t="s">
        <v>7226</v>
      </c>
      <c r="AX219" t="s">
        <v>1643</v>
      </c>
      <c r="AY219" t="s">
        <v>560</v>
      </c>
      <c r="AZ219" t="s">
        <v>1599</v>
      </c>
      <c r="BA219" t="s">
        <v>634</v>
      </c>
      <c r="BB219" t="s">
        <v>647</v>
      </c>
      <c r="BC219" t="s">
        <v>7227</v>
      </c>
      <c r="BD219" t="s">
        <v>2420</v>
      </c>
      <c r="BE219" t="s">
        <v>2421</v>
      </c>
      <c r="BF219" t="s">
        <v>2422</v>
      </c>
      <c r="BG219" t="s">
        <v>2423</v>
      </c>
      <c r="BH219" t="s">
        <v>7228</v>
      </c>
      <c r="BI219" t="s">
        <v>367</v>
      </c>
      <c r="BJ219" t="s">
        <v>1643</v>
      </c>
      <c r="BK219" t="s">
        <v>7229</v>
      </c>
      <c r="BL219" t="s">
        <v>2424</v>
      </c>
      <c r="BM219" t="s">
        <v>7227</v>
      </c>
      <c r="BN219">
        <v>4.83</v>
      </c>
      <c r="BO219">
        <v>13.32</v>
      </c>
      <c r="BP219">
        <v>15.24</v>
      </c>
      <c r="BQ219">
        <v>5.68</v>
      </c>
      <c r="BR219">
        <v>17.87</v>
      </c>
      <c r="BS219">
        <v>18.2</v>
      </c>
      <c r="BT219" t="s">
        <v>886</v>
      </c>
      <c r="BU219" t="s">
        <v>2418</v>
      </c>
      <c r="BV219">
        <v>7.74</v>
      </c>
      <c r="BW219">
        <v>6.73</v>
      </c>
      <c r="BX219">
        <v>6.33</v>
      </c>
      <c r="BY219">
        <v>2.39</v>
      </c>
      <c r="BZ219">
        <v>2.62</v>
      </c>
      <c r="CA219">
        <v>2.42</v>
      </c>
      <c r="CB219">
        <v>-1.1599999999999999</v>
      </c>
      <c r="CC219">
        <v>-9.68</v>
      </c>
      <c r="CD219" t="s">
        <v>7230</v>
      </c>
      <c r="CE219" t="s">
        <v>7231</v>
      </c>
      <c r="CF219" s="8">
        <v>-0.45006657789613846</v>
      </c>
      <c r="CG219" s="9">
        <v>-0.65300000000000002</v>
      </c>
      <c r="CH219" s="8">
        <v>-0.80472809076309204</v>
      </c>
      <c r="CI219" s="8">
        <v>0.17369586229324341</v>
      </c>
      <c r="CJ219" s="8">
        <v>1.3867549896240234</v>
      </c>
      <c r="CK219" s="8">
        <v>0.37023591995239258</v>
      </c>
      <c r="CL219" s="8">
        <v>1.4732965268194675E-2</v>
      </c>
      <c r="CM219" s="9">
        <v>-0.92723029851913452</v>
      </c>
      <c r="CN219" s="9">
        <v>0.1850733608007431</v>
      </c>
      <c r="CO219" s="9">
        <v>1.4291461706161499</v>
      </c>
      <c r="CP219" s="9">
        <v>-0.21502427756786346</v>
      </c>
      <c r="CQ219" s="9">
        <v>-2.5352112948894501E-2</v>
      </c>
      <c r="CR219">
        <v>0.55827178131897781</v>
      </c>
      <c r="CS219" t="e">
        <v>#DIV/0!</v>
      </c>
      <c r="CT219">
        <v>1.6750418760469012</v>
      </c>
      <c r="CU219" s="8">
        <v>0</v>
      </c>
      <c r="CV219" s="9">
        <v>0</v>
      </c>
      <c r="CW219">
        <v>0.06</v>
      </c>
      <c r="CX219">
        <v>164.71480995500565</v>
      </c>
      <c r="CY219">
        <v>3354716.9811320752</v>
      </c>
      <c r="CZ219">
        <v>0</v>
      </c>
      <c r="DA219">
        <v>58.133421430281544</v>
      </c>
      <c r="DB219">
        <v>9505230.4922855776</v>
      </c>
      <c r="DC219">
        <v>0</v>
      </c>
      <c r="DD219">
        <v>31.600789340747948</v>
      </c>
      <c r="DE219">
        <v>17486005.303275168</v>
      </c>
      <c r="DF219">
        <v>0</v>
      </c>
      <c r="DG219">
        <v>21.112702752118082</v>
      </c>
      <c r="DH219">
        <v>26172469.554830659</v>
      </c>
      <c r="DI219">
        <v>0</v>
      </c>
      <c r="DJ219">
        <v>13.54772427684288</v>
      </c>
      <c r="DK219">
        <v>40787039.853218034</v>
      </c>
      <c r="DL219">
        <v>0</v>
      </c>
      <c r="DM219">
        <v>3556000</v>
      </c>
      <c r="DN219">
        <v>0</v>
      </c>
      <c r="DO219">
        <v>552571570</v>
      </c>
      <c r="DP219">
        <v>360885400.00000006</v>
      </c>
      <c r="DQ219">
        <v>218</v>
      </c>
      <c r="DR219">
        <v>-0.45006657789613846</v>
      </c>
      <c r="DS219">
        <v>-0.65300000000000002</v>
      </c>
      <c r="DT219">
        <v>-0.44</v>
      </c>
      <c r="DU219">
        <v>-0.44</v>
      </c>
      <c r="DV219">
        <v>-0.88</v>
      </c>
      <c r="DW219">
        <v>-2.0968</v>
      </c>
      <c r="DX219">
        <v>0.32723374241782976</v>
      </c>
      <c r="DY219">
        <v>-2.0084442262660458</v>
      </c>
      <c r="DZ219">
        <v>0</v>
      </c>
      <c r="EA219">
        <v>-2.0084442262660458</v>
      </c>
      <c r="EB219">
        <v>2</v>
      </c>
      <c r="EC219">
        <v>4.9171107103810771E-2</v>
      </c>
      <c r="ED219">
        <v>0.56367072810303132</v>
      </c>
      <c r="EE219">
        <v>0</v>
      </c>
      <c r="EF219">
        <v>0</v>
      </c>
      <c r="EG219">
        <v>24.08723374241783</v>
      </c>
      <c r="EH219" t="s">
        <v>86</v>
      </c>
      <c r="EI219">
        <v>0</v>
      </c>
      <c r="EJ219">
        <v>0</v>
      </c>
      <c r="EK219">
        <v>0</v>
      </c>
      <c r="EL219">
        <v>0</v>
      </c>
      <c r="EM219">
        <v>0</v>
      </c>
      <c r="EN219">
        <v>0</v>
      </c>
      <c r="EO219">
        <v>0</v>
      </c>
      <c r="EP219">
        <v>0</v>
      </c>
    </row>
    <row r="220" spans="1:146" ht="108" x14ac:dyDescent="0.25">
      <c r="A220" s="10"/>
      <c r="B220" s="10"/>
      <c r="C220" s="7" t="str">
        <f>""&amp;CHAR(10)&amp;Basic_Fundamental_Information_Constructure(F220)&amp;CHAR(10)&amp;Basic_Fundamental_Information_Concatenate("")</f>
        <v xml:space="preserve">
市值7.4915042亿, 利润846.92万; PE26.04; 平均PE1, PB2.89; ROIC20.5867%; ROE23.6433%; 股利率1.3058%; 毛利45.0733%; 净利17.7267%; 上一年度营收增-62.86%, 利润增-68.07%; 当季营收增-30.93%, 利润增24.22%; 过往5年营收增0%, 利润增0%
Income profile:
</v>
      </c>
      <c r="D220">
        <v>872374</v>
      </c>
      <c r="E220" t="s">
        <v>2425</v>
      </c>
      <c r="F220">
        <v>9.19</v>
      </c>
      <c r="G220" s="5">
        <v>-4.7699999999999996</v>
      </c>
      <c r="H220" t="s">
        <v>7232</v>
      </c>
      <c r="I220">
        <v>749150420</v>
      </c>
      <c r="J220">
        <v>26.04</v>
      </c>
      <c r="K220">
        <v>2.89</v>
      </c>
      <c r="L220" t="s">
        <v>2604</v>
      </c>
      <c r="M220" t="s">
        <v>7233</v>
      </c>
      <c r="N220" t="s">
        <v>543</v>
      </c>
      <c r="O220" t="s">
        <v>7234</v>
      </c>
      <c r="P220">
        <v>52.35</v>
      </c>
      <c r="Q220" t="s">
        <v>7234</v>
      </c>
      <c r="R220">
        <v>8469230</v>
      </c>
      <c r="S220" s="5">
        <v>0.2422</v>
      </c>
      <c r="T220" t="s">
        <v>7235</v>
      </c>
      <c r="U220">
        <v>30294202</v>
      </c>
      <c r="V220">
        <v>81518000</v>
      </c>
      <c r="W220">
        <v>1.22</v>
      </c>
      <c r="X220">
        <v>0.18</v>
      </c>
      <c r="Y220">
        <v>14.62</v>
      </c>
      <c r="Z220" t="s">
        <v>7236</v>
      </c>
      <c r="AA220" t="s">
        <v>7237</v>
      </c>
      <c r="AB220" t="s">
        <v>7238</v>
      </c>
      <c r="AC220" t="s">
        <v>1227</v>
      </c>
      <c r="AD220" t="s">
        <v>7239</v>
      </c>
      <c r="AE220">
        <v>855879</v>
      </c>
      <c r="AF220" t="s">
        <v>7240</v>
      </c>
      <c r="AG220" t="s">
        <v>7241</v>
      </c>
      <c r="AH220" t="s">
        <v>7242</v>
      </c>
      <c r="AI220" t="s">
        <v>640</v>
      </c>
      <c r="AJ220" t="s">
        <v>9</v>
      </c>
      <c r="AK220" t="s">
        <v>7243</v>
      </c>
      <c r="AL220" t="s">
        <v>7244</v>
      </c>
      <c r="AM220" t="s">
        <v>9</v>
      </c>
      <c r="AN220">
        <v>0</v>
      </c>
      <c r="AO220" t="s">
        <v>9</v>
      </c>
      <c r="AP220" t="s">
        <v>9</v>
      </c>
      <c r="AQ220" t="s">
        <v>7245</v>
      </c>
      <c r="AR220" t="s">
        <v>9</v>
      </c>
      <c r="AS220" t="s">
        <v>7246</v>
      </c>
      <c r="AT220" t="s">
        <v>9</v>
      </c>
      <c r="AU220" t="s">
        <v>7247</v>
      </c>
      <c r="AV220" t="s">
        <v>7248</v>
      </c>
      <c r="AW220" t="s">
        <v>7249</v>
      </c>
      <c r="AX220" t="s">
        <v>164</v>
      </c>
      <c r="AY220" t="s">
        <v>123</v>
      </c>
      <c r="AZ220" t="s">
        <v>300</v>
      </c>
      <c r="BA220" t="s">
        <v>83</v>
      </c>
      <c r="BB220" t="s">
        <v>2427</v>
      </c>
      <c r="BC220" t="s">
        <v>7250</v>
      </c>
      <c r="BD220" t="s">
        <v>2428</v>
      </c>
      <c r="BE220" t="s">
        <v>2429</v>
      </c>
      <c r="BF220" t="s">
        <v>2430</v>
      </c>
      <c r="BG220" t="s">
        <v>2431</v>
      </c>
      <c r="BH220" t="s">
        <v>640</v>
      </c>
      <c r="BI220" t="s">
        <v>2432</v>
      </c>
      <c r="BJ220" t="s">
        <v>164</v>
      </c>
      <c r="BK220" t="s">
        <v>7251</v>
      </c>
      <c r="BL220" t="s">
        <v>2433</v>
      </c>
      <c r="BM220" t="s">
        <v>7250</v>
      </c>
      <c r="BN220">
        <v>7.73</v>
      </c>
      <c r="BO220">
        <v>13.51</v>
      </c>
      <c r="BP220">
        <v>40.520000000000003</v>
      </c>
      <c r="BQ220">
        <v>8.85</v>
      </c>
      <c r="BR220">
        <v>19.14</v>
      </c>
      <c r="BS220">
        <v>42.94</v>
      </c>
      <c r="BT220" t="s">
        <v>1089</v>
      </c>
      <c r="BU220" t="s">
        <v>2426</v>
      </c>
      <c r="BV220">
        <v>43.91</v>
      </c>
      <c r="BW220">
        <v>43.31</v>
      </c>
      <c r="BX220">
        <v>48</v>
      </c>
      <c r="BY220">
        <v>14.38</v>
      </c>
      <c r="BZ220">
        <v>17.079999999999998</v>
      </c>
      <c r="CA220">
        <v>21.72</v>
      </c>
      <c r="CB220">
        <v>-9.3699999999999992</v>
      </c>
      <c r="CC220">
        <v>0.88</v>
      </c>
      <c r="CD220" t="s">
        <v>7252</v>
      </c>
      <c r="CE220" t="s">
        <v>7253</v>
      </c>
      <c r="CF220" s="8">
        <v>-0.30926453422169969</v>
      </c>
      <c r="CG220" s="9">
        <v>0.2422</v>
      </c>
      <c r="CH220" s="8">
        <v>-0.62864422798156738</v>
      </c>
      <c r="CI220" s="8">
        <v>-0.24637681245803833</v>
      </c>
      <c r="CJ220" s="8">
        <v>0.5</v>
      </c>
      <c r="CK220" s="8">
        <v>0.18965516984462738</v>
      </c>
      <c r="CL220" s="8">
        <v>0.47151920199394226</v>
      </c>
      <c r="CM220" s="9">
        <v>-0.68067747354507446</v>
      </c>
      <c r="CN220" s="9">
        <v>-0.40952423214912415</v>
      </c>
      <c r="CO220" s="9">
        <v>1.0960553884506226</v>
      </c>
      <c r="CP220" s="9">
        <v>1.687411405146122E-2</v>
      </c>
      <c r="CQ220" s="9">
        <v>0.72246742248535156</v>
      </c>
      <c r="CR220">
        <v>0.99787618039435155</v>
      </c>
      <c r="CS220" t="e">
        <v>#DIV/0!</v>
      </c>
      <c r="CT220">
        <v>1.3057671381936888</v>
      </c>
      <c r="CU220" s="8">
        <v>0</v>
      </c>
      <c r="CV220" s="9">
        <v>0</v>
      </c>
      <c r="CW220">
        <v>0.06</v>
      </c>
      <c r="CX220">
        <v>69.103036083691507</v>
      </c>
      <c r="CY220">
        <v>7989811.3207547162</v>
      </c>
      <c r="CZ220">
        <v>0</v>
      </c>
      <c r="DA220">
        <v>24.388796125026939</v>
      </c>
      <c r="DB220">
        <v>22638272.802380487</v>
      </c>
      <c r="DC220">
        <v>0</v>
      </c>
      <c r="DD220">
        <v>13.257523635448161</v>
      </c>
      <c r="DE220">
        <v>41645803.181804851</v>
      </c>
      <c r="DF220">
        <v>0</v>
      </c>
      <c r="DG220">
        <v>8.8574419052081836</v>
      </c>
      <c r="DH220">
        <v>62334049.255841337</v>
      </c>
      <c r="DI220">
        <v>0</v>
      </c>
      <c r="DJ220">
        <v>5.683695836520779</v>
      </c>
      <c r="DK220">
        <v>97141056.78427282</v>
      </c>
      <c r="DL220">
        <v>0</v>
      </c>
      <c r="DM220">
        <v>8469200</v>
      </c>
      <c r="DN220">
        <v>0</v>
      </c>
      <c r="DO220">
        <v>552120220</v>
      </c>
      <c r="DP220">
        <v>239771620</v>
      </c>
      <c r="DQ220">
        <v>219</v>
      </c>
      <c r="DR220">
        <v>-0.30926453422169969</v>
      </c>
      <c r="DS220">
        <v>0.2422</v>
      </c>
      <c r="DT220">
        <v>-0.44</v>
      </c>
      <c r="DU220">
        <v>-0.22</v>
      </c>
      <c r="DV220">
        <v>-0.66</v>
      </c>
      <c r="DW220">
        <v>-5.0939167556029883</v>
      </c>
      <c r="DX220">
        <v>0.6562283507374711</v>
      </c>
      <c r="DY220">
        <v>-5.0400299838472753</v>
      </c>
      <c r="DZ220">
        <v>0</v>
      </c>
      <c r="EA220">
        <v>-5.0400299838472753</v>
      </c>
      <c r="EB220">
        <v>5</v>
      </c>
      <c r="EC220">
        <v>0.14810961996123553</v>
      </c>
      <c r="ED220">
        <v>0.34748889815746214</v>
      </c>
      <c r="EE220">
        <v>0</v>
      </c>
      <c r="EF220">
        <v>0</v>
      </c>
      <c r="EG220">
        <v>23.426228350737471</v>
      </c>
      <c r="EH220" t="s">
        <v>86</v>
      </c>
      <c r="EI220">
        <v>0</v>
      </c>
      <c r="EJ220">
        <v>0</v>
      </c>
      <c r="EK220">
        <v>0</v>
      </c>
      <c r="EL220">
        <v>0</v>
      </c>
      <c r="EM220">
        <v>0</v>
      </c>
      <c r="EN220">
        <v>0</v>
      </c>
      <c r="EO220">
        <v>0</v>
      </c>
      <c r="EP220">
        <v>0</v>
      </c>
    </row>
    <row r="221" spans="1:146" ht="108" x14ac:dyDescent="0.25">
      <c r="A221" s="10"/>
      <c r="B221" s="10"/>
      <c r="C221" s="7" t="str">
        <f>""&amp;CHAR(10)&amp;Basic_Fundamental_Information_Constructure(F221)&amp;CHAR(10)&amp;Basic_Fundamental_Information_Concatenate("")</f>
        <v xml:space="preserve">
市值4.94841亿, 利润349.12万; PE22.2; 平均PE2.65, PB1.6; ROIC10.02%; ROE13.9667%; 股利率1.1862%; 毛利16.6767%; 净利8.33%; 上一年度营收增-74.84%, 利润增-86.67%; 当季营收增-44.32%, 利润增91.49%; 过往5年营收增0%, 利润增0%
Income profile:
</v>
      </c>
      <c r="D221">
        <v>872392</v>
      </c>
      <c r="E221" t="s">
        <v>2434</v>
      </c>
      <c r="F221">
        <v>8.43</v>
      </c>
      <c r="G221" s="5">
        <v>-5.49</v>
      </c>
      <c r="H221" t="s">
        <v>7254</v>
      </c>
      <c r="I221">
        <v>494841000</v>
      </c>
      <c r="J221">
        <v>22.2</v>
      </c>
      <c r="K221">
        <v>1.6</v>
      </c>
      <c r="L221" t="s">
        <v>2604</v>
      </c>
      <c r="M221" t="s">
        <v>242</v>
      </c>
      <c r="N221" t="s">
        <v>689</v>
      </c>
      <c r="O221" t="s">
        <v>7255</v>
      </c>
      <c r="P221">
        <v>38.85</v>
      </c>
      <c r="Q221" t="s">
        <v>7255</v>
      </c>
      <c r="R221">
        <v>3491170</v>
      </c>
      <c r="S221" s="5">
        <v>0.91490000000000005</v>
      </c>
      <c r="T221" t="s">
        <v>7256</v>
      </c>
      <c r="U221">
        <v>15132400</v>
      </c>
      <c r="V221">
        <v>58700000</v>
      </c>
      <c r="W221">
        <v>1.41</v>
      </c>
      <c r="X221">
        <v>0.17</v>
      </c>
      <c r="Y221">
        <v>3.94</v>
      </c>
      <c r="Z221" t="s">
        <v>7257</v>
      </c>
      <c r="AA221" t="s">
        <v>7258</v>
      </c>
      <c r="AB221" t="s">
        <v>7259</v>
      </c>
      <c r="AC221" t="s">
        <v>7260</v>
      </c>
      <c r="AD221" t="s">
        <v>7261</v>
      </c>
      <c r="AE221">
        <v>405588</v>
      </c>
      <c r="AF221" t="s">
        <v>7262</v>
      </c>
      <c r="AG221" t="s">
        <v>7263</v>
      </c>
      <c r="AH221" t="s">
        <v>7264</v>
      </c>
      <c r="AI221" t="s">
        <v>7265</v>
      </c>
      <c r="AJ221" t="s">
        <v>9</v>
      </c>
      <c r="AK221" t="s">
        <v>7266</v>
      </c>
      <c r="AL221" t="s">
        <v>7267</v>
      </c>
      <c r="AM221" t="s">
        <v>9</v>
      </c>
      <c r="AN221" t="s">
        <v>7268</v>
      </c>
      <c r="AO221" t="s">
        <v>7269</v>
      </c>
      <c r="AP221" t="s">
        <v>7270</v>
      </c>
      <c r="AQ221" t="s">
        <v>7271</v>
      </c>
      <c r="AR221" t="s">
        <v>9</v>
      </c>
      <c r="AS221" t="s">
        <v>411</v>
      </c>
      <c r="AT221" t="s">
        <v>9</v>
      </c>
      <c r="AU221" t="s">
        <v>7272</v>
      </c>
      <c r="AV221" t="s">
        <v>7273</v>
      </c>
      <c r="AW221" t="s">
        <v>7274</v>
      </c>
      <c r="AX221" t="s">
        <v>403</v>
      </c>
      <c r="AY221" t="s">
        <v>364</v>
      </c>
      <c r="AZ221" t="s">
        <v>175</v>
      </c>
      <c r="BA221" t="s">
        <v>574</v>
      </c>
      <c r="BB221" t="s">
        <v>446</v>
      </c>
      <c r="BC221" t="s">
        <v>2435</v>
      </c>
      <c r="BD221" t="s">
        <v>2437</v>
      </c>
      <c r="BE221" t="s">
        <v>2438</v>
      </c>
      <c r="BF221" t="s">
        <v>2439</v>
      </c>
      <c r="BG221" t="s">
        <v>2440</v>
      </c>
      <c r="BH221" t="s">
        <v>1078</v>
      </c>
      <c r="BI221" t="s">
        <v>59</v>
      </c>
      <c r="BJ221" t="s">
        <v>403</v>
      </c>
      <c r="BK221" t="s">
        <v>7275</v>
      </c>
      <c r="BL221" t="s">
        <v>2441</v>
      </c>
      <c r="BM221" t="s">
        <v>2435</v>
      </c>
      <c r="BN221">
        <v>5.04</v>
      </c>
      <c r="BO221">
        <v>9.2200000000000006</v>
      </c>
      <c r="BP221">
        <v>15.8</v>
      </c>
      <c r="BQ221">
        <v>5.97</v>
      </c>
      <c r="BR221">
        <v>14.21</v>
      </c>
      <c r="BS221">
        <v>21.72</v>
      </c>
      <c r="BT221" t="s">
        <v>886</v>
      </c>
      <c r="BU221" t="s">
        <v>1397</v>
      </c>
      <c r="BV221">
        <v>14.87</v>
      </c>
      <c r="BW221">
        <v>17.04</v>
      </c>
      <c r="BX221">
        <v>18.12</v>
      </c>
      <c r="BY221">
        <v>6.76</v>
      </c>
      <c r="BZ221">
        <v>8.8800000000000008</v>
      </c>
      <c r="CA221">
        <v>9.35</v>
      </c>
      <c r="CB221">
        <v>2.1800000000000002</v>
      </c>
      <c r="CC221">
        <v>-8.17</v>
      </c>
      <c r="CD221" t="s">
        <v>7276</v>
      </c>
      <c r="CE221" t="s">
        <v>7277</v>
      </c>
      <c r="CF221" s="8">
        <v>-0.44322352941176468</v>
      </c>
      <c r="CG221" s="9">
        <v>0.91490000000000005</v>
      </c>
      <c r="CH221" s="8">
        <v>-0.74843323230743408</v>
      </c>
      <c r="CI221" s="8">
        <v>-0.2282051295042038</v>
      </c>
      <c r="CJ221" s="8">
        <v>1.8276762217283249E-2</v>
      </c>
      <c r="CK221" s="8">
        <v>0.25986841320991516</v>
      </c>
      <c r="CL221" s="8">
        <v>2.7027027681469917E-2</v>
      </c>
      <c r="CM221" s="9">
        <v>-0.86672419309616089</v>
      </c>
      <c r="CN221" s="9">
        <v>-0.26074859499931335</v>
      </c>
      <c r="CO221" s="9">
        <v>-0.14937934279441833</v>
      </c>
      <c r="CP221" s="9">
        <v>0.38182824850082397</v>
      </c>
      <c r="CQ221" s="9">
        <v>0.20823046565055847</v>
      </c>
      <c r="CR221">
        <v>2.652138757321183</v>
      </c>
      <c r="CS221" t="e">
        <v>#DIV/0!</v>
      </c>
      <c r="CT221">
        <v>1.1862396204033214</v>
      </c>
      <c r="CU221" s="8">
        <v>0</v>
      </c>
      <c r="CV221" s="9">
        <v>0</v>
      </c>
      <c r="CW221">
        <v>0.06</v>
      </c>
      <c r="CX221">
        <v>89.823401695692041</v>
      </c>
      <c r="CY221">
        <v>3293584.9056603769</v>
      </c>
      <c r="CZ221">
        <v>0</v>
      </c>
      <c r="DA221">
        <v>31.701713200552696</v>
      </c>
      <c r="DB221">
        <v>9332019.3179604635</v>
      </c>
      <c r="DC221">
        <v>0</v>
      </c>
      <c r="DD221">
        <v>17.232757610747463</v>
      </c>
      <c r="DE221">
        <v>17167362.68695002</v>
      </c>
      <c r="DF221">
        <v>0</v>
      </c>
      <c r="DG221">
        <v>11.513322819625509</v>
      </c>
      <c r="DH221">
        <v>25695535.913898986</v>
      </c>
      <c r="DI221">
        <v>0</v>
      </c>
      <c r="DJ221">
        <v>7.3879372481063026</v>
      </c>
      <c r="DK221">
        <v>40043788.958255</v>
      </c>
      <c r="DL221">
        <v>0</v>
      </c>
      <c r="DM221">
        <v>3491200</v>
      </c>
      <c r="DN221">
        <v>0</v>
      </c>
      <c r="DO221">
        <v>295841000</v>
      </c>
      <c r="DP221">
        <v>101056680.00000001</v>
      </c>
      <c r="DQ221">
        <v>220</v>
      </c>
      <c r="DR221">
        <v>-0.44322352941176468</v>
      </c>
      <c r="DS221">
        <v>0.91490000000000005</v>
      </c>
      <c r="DT221">
        <v>-0.44</v>
      </c>
      <c r="DU221">
        <v>-0.44</v>
      </c>
      <c r="DV221">
        <v>-0.88</v>
      </c>
      <c r="DW221">
        <v>-2.0817000000000001</v>
      </c>
      <c r="DX221">
        <v>0.80599186599108041</v>
      </c>
      <c r="DY221">
        <v>-2.0519605354514714</v>
      </c>
      <c r="DZ221">
        <v>0</v>
      </c>
      <c r="EA221">
        <v>-2.0519605354514714</v>
      </c>
      <c r="EB221">
        <v>2</v>
      </c>
      <c r="EC221">
        <v>9.6437819420783652E-2</v>
      </c>
      <c r="ED221">
        <v>0.15163373083475298</v>
      </c>
      <c r="EE221">
        <v>0</v>
      </c>
      <c r="EF221">
        <v>0</v>
      </c>
      <c r="EG221">
        <v>17.63599186599108</v>
      </c>
      <c r="EH221" t="s">
        <v>86</v>
      </c>
      <c r="EI221">
        <v>0</v>
      </c>
      <c r="EJ221">
        <v>0</v>
      </c>
      <c r="EK221">
        <v>0</v>
      </c>
      <c r="EL221">
        <v>0</v>
      </c>
      <c r="EM221">
        <v>0</v>
      </c>
      <c r="EN221">
        <v>0</v>
      </c>
      <c r="EO221">
        <v>0</v>
      </c>
      <c r="EP221">
        <v>0</v>
      </c>
    </row>
    <row r="222" spans="1:146" ht="96" x14ac:dyDescent="0.25">
      <c r="A222" s="10"/>
      <c r="B222" s="10"/>
      <c r="C222" s="7" t="str">
        <f>""&amp;CHAR(10)&amp;Basic_Fundamental_Information_Constructure(F222)&amp;CHAR(10)&amp;Basic_Fundamental_Information_Concatenate("")</f>
        <v xml:space="preserve">
市值6.86234亿, 利润1176.29万; PE16.44; 平均PE.98, PB1.71; ROIC9.3133%; ROE8.57%; 股利率2.8344%; 毛利44.6433%; 净利14.9633%; 上一年度营收增-77.24%, 利润增-64.74%; 当季营收增-48.02%, 利润增31.82%; 过往5年营收增0%, 利润增0%
Income profile:
</v>
      </c>
      <c r="D222">
        <v>872541</v>
      </c>
      <c r="E222" t="s">
        <v>2442</v>
      </c>
      <c r="F222">
        <v>5.0199999999999996</v>
      </c>
      <c r="G222" s="5">
        <v>-0.79</v>
      </c>
      <c r="H222" t="s">
        <v>7278</v>
      </c>
      <c r="I222">
        <v>686234000</v>
      </c>
      <c r="J222">
        <v>16.440000000000001</v>
      </c>
      <c r="K222">
        <v>1.71</v>
      </c>
      <c r="L222" t="s">
        <v>2604</v>
      </c>
      <c r="M222" t="s">
        <v>149</v>
      </c>
      <c r="N222" t="s">
        <v>591</v>
      </c>
      <c r="O222" t="s">
        <v>7279</v>
      </c>
      <c r="P222">
        <v>-2.58</v>
      </c>
      <c r="Q222" t="s">
        <v>7279</v>
      </c>
      <c r="R222">
        <v>11762873</v>
      </c>
      <c r="S222" s="5">
        <v>0.31819999999999998</v>
      </c>
      <c r="T222" t="s">
        <v>7280</v>
      </c>
      <c r="U222">
        <v>59520584</v>
      </c>
      <c r="V222">
        <v>136700000</v>
      </c>
      <c r="W222">
        <v>1.41</v>
      </c>
      <c r="X222">
        <v>0.09</v>
      </c>
      <c r="Y222">
        <v>22.19</v>
      </c>
      <c r="Z222" t="s">
        <v>7281</v>
      </c>
      <c r="AA222" t="s">
        <v>7282</v>
      </c>
      <c r="AB222" t="s">
        <v>7283</v>
      </c>
      <c r="AC222" t="s">
        <v>7284</v>
      </c>
      <c r="AD222" t="s">
        <v>7285</v>
      </c>
      <c r="AE222">
        <v>206113</v>
      </c>
      <c r="AF222" t="s">
        <v>17</v>
      </c>
      <c r="AG222" t="s">
        <v>4415</v>
      </c>
      <c r="AH222" t="s">
        <v>7286</v>
      </c>
      <c r="AI222" t="s">
        <v>27</v>
      </c>
      <c r="AJ222" t="s">
        <v>9</v>
      </c>
      <c r="AK222" t="s">
        <v>7287</v>
      </c>
      <c r="AL222" t="s">
        <v>7288</v>
      </c>
      <c r="AM222" t="s">
        <v>9</v>
      </c>
      <c r="AN222">
        <v>0</v>
      </c>
      <c r="AO222" t="s">
        <v>2323</v>
      </c>
      <c r="AP222" t="s">
        <v>9</v>
      </c>
      <c r="AQ222" t="s">
        <v>7289</v>
      </c>
      <c r="AR222" t="s">
        <v>9</v>
      </c>
      <c r="AS222" t="s">
        <v>114</v>
      </c>
      <c r="AT222" t="s">
        <v>9</v>
      </c>
      <c r="AU222" t="s">
        <v>7290</v>
      </c>
      <c r="AV222" t="s">
        <v>7291</v>
      </c>
      <c r="AW222" t="s">
        <v>9</v>
      </c>
      <c r="AX222" t="s">
        <v>571</v>
      </c>
      <c r="AY222" t="s">
        <v>416</v>
      </c>
      <c r="AZ222" t="s">
        <v>149</v>
      </c>
      <c r="BA222" t="s">
        <v>111</v>
      </c>
      <c r="BB222" t="s">
        <v>109</v>
      </c>
      <c r="BC222" t="s">
        <v>2444</v>
      </c>
      <c r="BD222" t="s">
        <v>2445</v>
      </c>
      <c r="BE222" t="s">
        <v>2446</v>
      </c>
      <c r="BF222" t="s">
        <v>2447</v>
      </c>
      <c r="BG222" t="s">
        <v>2448</v>
      </c>
      <c r="BH222" t="s">
        <v>33</v>
      </c>
      <c r="BI222" t="s">
        <v>78</v>
      </c>
      <c r="BJ222" t="s">
        <v>571</v>
      </c>
      <c r="BK222" t="s">
        <v>7292</v>
      </c>
      <c r="BL222" t="s">
        <v>2449</v>
      </c>
      <c r="BM222" t="s">
        <v>2444</v>
      </c>
      <c r="BN222">
        <v>4.63</v>
      </c>
      <c r="BO222">
        <v>11.95</v>
      </c>
      <c r="BP222">
        <v>11.36</v>
      </c>
      <c r="BQ222">
        <v>4.5199999999999996</v>
      </c>
      <c r="BR222">
        <v>12.62</v>
      </c>
      <c r="BS222" t="s">
        <v>9</v>
      </c>
      <c r="BT222" t="s">
        <v>7293</v>
      </c>
      <c r="BU222" t="s">
        <v>2443</v>
      </c>
      <c r="BV222">
        <v>44.7</v>
      </c>
      <c r="BW222">
        <v>42.64</v>
      </c>
      <c r="BX222">
        <v>46.59</v>
      </c>
      <c r="BY222">
        <v>15.62</v>
      </c>
      <c r="BZ222">
        <v>14.33</v>
      </c>
      <c r="CA222">
        <v>14.94</v>
      </c>
      <c r="CB222">
        <v>1.62</v>
      </c>
      <c r="CC222">
        <v>-9.68</v>
      </c>
      <c r="CD222" t="s">
        <v>7294</v>
      </c>
      <c r="CE222" t="s">
        <v>7295</v>
      </c>
      <c r="CF222" s="8">
        <v>-0.48018725490196079</v>
      </c>
      <c r="CG222" s="9">
        <v>0.31819999999999998</v>
      </c>
      <c r="CH222" s="8">
        <v>-0.7724425196647644</v>
      </c>
      <c r="CI222" s="8">
        <v>0.15346534550189972</v>
      </c>
      <c r="CJ222" s="8">
        <v>0.20958083868026733</v>
      </c>
      <c r="CK222" s="8">
        <v>-6.1797752976417542E-2</v>
      </c>
      <c r="CL222" s="8">
        <v>-5.5865920148789883E-3</v>
      </c>
      <c r="CM222" s="9">
        <v>-0.64740461111068726</v>
      </c>
      <c r="CN222" s="9">
        <v>0.10687565058469772</v>
      </c>
      <c r="CO222" s="9">
        <v>0.13239455223083496</v>
      </c>
      <c r="CP222" s="9">
        <v>1.006424892693758E-2</v>
      </c>
      <c r="CQ222" s="9">
        <v>0.20374499261379242</v>
      </c>
      <c r="CR222">
        <v>0.98437422785785922</v>
      </c>
      <c r="CS222" t="e">
        <v>#DIV/0!</v>
      </c>
      <c r="CT222">
        <v>2.834378486055777</v>
      </c>
      <c r="CU222" s="8">
        <v>0</v>
      </c>
      <c r="CV222" s="9">
        <v>0</v>
      </c>
      <c r="CW222">
        <v>0.06</v>
      </c>
      <c r="CX222">
        <v>40.662425082250131</v>
      </c>
      <c r="CY222">
        <v>11097075.471698113</v>
      </c>
      <c r="CZ222">
        <v>0</v>
      </c>
      <c r="DA222">
        <v>14.351143618047573</v>
      </c>
      <c r="DB222">
        <v>31442372.260322277</v>
      </c>
      <c r="DC222">
        <v>0</v>
      </c>
      <c r="DD222">
        <v>7.8011487215942497</v>
      </c>
      <c r="DE222">
        <v>57841994.314368807</v>
      </c>
      <c r="DF222">
        <v>0</v>
      </c>
      <c r="DG222">
        <v>5.2120006341647631</v>
      </c>
      <c r="DH222">
        <v>86575967.977085918</v>
      </c>
      <c r="DI222">
        <v>0</v>
      </c>
      <c r="DJ222">
        <v>3.3444674683022559</v>
      </c>
      <c r="DK222">
        <v>134919536.3018612</v>
      </c>
      <c r="DL222">
        <v>0</v>
      </c>
      <c r="DM222">
        <v>11762900</v>
      </c>
      <c r="DN222">
        <v>0</v>
      </c>
      <c r="DO222">
        <v>451234000.00000006</v>
      </c>
      <c r="DP222">
        <v>318167050</v>
      </c>
      <c r="DQ222">
        <v>221</v>
      </c>
      <c r="DR222">
        <v>-0.48018725490196079</v>
      </c>
      <c r="DS222">
        <v>0.31819999999999998</v>
      </c>
      <c r="DT222">
        <v>-0.44</v>
      </c>
      <c r="DU222">
        <v>0.6</v>
      </c>
      <c r="DV222">
        <v>0.15999999999999998</v>
      </c>
      <c r="DW222">
        <v>-2.0968</v>
      </c>
      <c r="DX222">
        <v>0.35393983479818614</v>
      </c>
      <c r="DY222">
        <v>-2.0119973760084644</v>
      </c>
      <c r="DZ222">
        <v>0</v>
      </c>
      <c r="EA222">
        <v>-2.0119973760084644</v>
      </c>
      <c r="EB222">
        <v>2</v>
      </c>
      <c r="EC222">
        <v>3.7703730797366497E-2</v>
      </c>
      <c r="ED222">
        <v>0.3042099487929773</v>
      </c>
      <c r="EE222">
        <v>0</v>
      </c>
      <c r="EF222">
        <v>0</v>
      </c>
      <c r="EG222">
        <v>23.123939834798186</v>
      </c>
      <c r="EH222" t="s">
        <v>86</v>
      </c>
      <c r="EI222">
        <v>0</v>
      </c>
      <c r="EJ222">
        <v>0</v>
      </c>
      <c r="EK222">
        <v>0</v>
      </c>
      <c r="EL222">
        <v>0</v>
      </c>
      <c r="EM222">
        <v>0</v>
      </c>
      <c r="EN222">
        <v>0</v>
      </c>
      <c r="EO222">
        <v>0</v>
      </c>
      <c r="EP222">
        <v>0</v>
      </c>
    </row>
    <row r="223" spans="1:146" ht="96" x14ac:dyDescent="0.25">
      <c r="A223" s="10"/>
      <c r="B223" s="10"/>
      <c r="C223" s="7" t="str">
        <f>""&amp;CHAR(10)&amp;Basic_Fundamental_Information_Constructure(F223)&amp;CHAR(10)&amp;Basic_Fundamental_Information_Concatenate("")</f>
        <v xml:space="preserve">
市值77.22亿, 利润-730.18万; PE218.3; 平均PE1594.58, PB11.47; ROIC26.25%; ROE30.62%; 股利率.272%; 毛利37.34%; 净利20.55%; 上一年度营收增-97.72%, 利润增-106.24%; 当季营收增-94.76%, 利润增-111.8%; 过往5年营收增0%, 利润增0%
Income profile:
</v>
      </c>
      <c r="D223">
        <v>872808</v>
      </c>
      <c r="E223" t="s">
        <v>2450</v>
      </c>
      <c r="F223">
        <v>38.61</v>
      </c>
      <c r="G223" s="5">
        <v>-2.72</v>
      </c>
      <c r="H223" t="s">
        <v>7296</v>
      </c>
      <c r="I223">
        <v>7722000000</v>
      </c>
      <c r="J223">
        <v>218.3</v>
      </c>
      <c r="K223">
        <v>11.47</v>
      </c>
      <c r="L223" t="s">
        <v>2604</v>
      </c>
      <c r="M223" t="s">
        <v>414</v>
      </c>
      <c r="N223" t="s">
        <v>617</v>
      </c>
      <c r="O223" t="s">
        <v>7297</v>
      </c>
      <c r="P223">
        <v>-94.22</v>
      </c>
      <c r="Q223" t="s">
        <v>7297</v>
      </c>
      <c r="R223">
        <v>-7301765</v>
      </c>
      <c r="S223" s="5">
        <v>-1.1180000000000001</v>
      </c>
      <c r="T223" t="s">
        <v>7298</v>
      </c>
      <c r="U223">
        <v>194619460</v>
      </c>
      <c r="V223">
        <v>200000000</v>
      </c>
      <c r="W223">
        <v>1.65</v>
      </c>
      <c r="X223">
        <v>0.01</v>
      </c>
      <c r="Y223">
        <v>-61.72</v>
      </c>
      <c r="Z223" t="s">
        <v>7299</v>
      </c>
      <c r="AA223" t="s">
        <v>7300</v>
      </c>
      <c r="AB223" t="s">
        <v>7301</v>
      </c>
      <c r="AC223" t="s">
        <v>7302</v>
      </c>
      <c r="AD223" t="s">
        <v>7303</v>
      </c>
      <c r="AE223">
        <v>1758949</v>
      </c>
      <c r="AF223" t="s">
        <v>17</v>
      </c>
      <c r="AG223" t="s">
        <v>7304</v>
      </c>
      <c r="AH223" t="s">
        <v>7305</v>
      </c>
      <c r="AI223" t="s">
        <v>494</v>
      </c>
      <c r="AJ223" t="s">
        <v>9</v>
      </c>
      <c r="AK223" t="s">
        <v>9</v>
      </c>
      <c r="AL223" t="s">
        <v>7306</v>
      </c>
      <c r="AM223" t="s">
        <v>9</v>
      </c>
      <c r="AN223" t="s">
        <v>7307</v>
      </c>
      <c r="AO223" t="s">
        <v>9</v>
      </c>
      <c r="AP223" t="s">
        <v>9</v>
      </c>
      <c r="AQ223" t="s">
        <v>64</v>
      </c>
      <c r="AR223" t="s">
        <v>9</v>
      </c>
      <c r="AS223" t="s">
        <v>419</v>
      </c>
      <c r="AT223" t="s">
        <v>9</v>
      </c>
      <c r="AU223" t="s">
        <v>7308</v>
      </c>
      <c r="AV223" t="s">
        <v>7309</v>
      </c>
      <c r="AW223" t="s">
        <v>7310</v>
      </c>
      <c r="AX223" t="s">
        <v>338</v>
      </c>
      <c r="AY223" t="s">
        <v>323</v>
      </c>
      <c r="AZ223" t="s">
        <v>425</v>
      </c>
      <c r="BA223" t="s">
        <v>307</v>
      </c>
      <c r="BB223" t="s">
        <v>438</v>
      </c>
      <c r="BC223" t="s">
        <v>99</v>
      </c>
      <c r="BD223" t="s">
        <v>2451</v>
      </c>
      <c r="BE223" t="s">
        <v>2452</v>
      </c>
      <c r="BF223" t="s">
        <v>2453</v>
      </c>
      <c r="BG223" t="s">
        <v>966</v>
      </c>
      <c r="BH223" t="s">
        <v>74</v>
      </c>
      <c r="BI223" t="s">
        <v>1000</v>
      </c>
      <c r="BJ223" t="s">
        <v>338</v>
      </c>
      <c r="BK223" t="s">
        <v>63</v>
      </c>
      <c r="BL223" t="s">
        <v>2454</v>
      </c>
      <c r="BM223" t="s">
        <v>99</v>
      </c>
      <c r="BN223">
        <v>3.14</v>
      </c>
      <c r="BO223">
        <v>27.64</v>
      </c>
      <c r="BP223">
        <v>47.97</v>
      </c>
      <c r="BQ223">
        <v>3.95</v>
      </c>
      <c r="BR223">
        <v>38.61</v>
      </c>
      <c r="BS223">
        <v>49.3</v>
      </c>
      <c r="BT223" t="s">
        <v>7311</v>
      </c>
      <c r="BU223" t="s">
        <v>790</v>
      </c>
      <c r="BV223">
        <v>31.37</v>
      </c>
      <c r="BW223">
        <v>39.979999999999997</v>
      </c>
      <c r="BX223">
        <v>40.67</v>
      </c>
      <c r="BY223">
        <v>16.07</v>
      </c>
      <c r="BZ223">
        <v>22.58</v>
      </c>
      <c r="CA223">
        <v>23</v>
      </c>
      <c r="CB223">
        <v>-2.2999999999999998</v>
      </c>
      <c r="CC223">
        <v>-2.59</v>
      </c>
      <c r="CD223" t="s">
        <v>7312</v>
      </c>
      <c r="CE223" t="s">
        <v>7313</v>
      </c>
      <c r="CF223" s="8">
        <v>-0.94764955752212388</v>
      </c>
      <c r="CG223" s="9">
        <v>-1.1180000000000001</v>
      </c>
      <c r="CH223" s="8">
        <v>-0.97715985774993896</v>
      </c>
      <c r="CI223" s="8">
        <v>0.26960784196853638</v>
      </c>
      <c r="CJ223" s="8">
        <v>0.21791045367717743</v>
      </c>
      <c r="CK223" s="8">
        <v>0.14726027846336365</v>
      </c>
      <c r="CL223" s="8">
        <v>0.83647799491882324</v>
      </c>
      <c r="CM223" s="9">
        <v>-1.0624085664749146</v>
      </c>
      <c r="CN223" s="9">
        <v>0.24840353429317474</v>
      </c>
      <c r="CO223" s="9">
        <v>0.37501782178878784</v>
      </c>
      <c r="CP223" s="9">
        <v>1.4171450138092041</v>
      </c>
      <c r="CQ223" s="9">
        <v>1.8091632127761841</v>
      </c>
      <c r="CR223">
        <v>1594.5814791488131</v>
      </c>
      <c r="CS223" t="e">
        <v>#DIV/0!</v>
      </c>
      <c r="CT223">
        <v>0.27195027195027199</v>
      </c>
      <c r="CU223" s="8">
        <v>0</v>
      </c>
      <c r="CV223" s="9">
        <v>0</v>
      </c>
      <c r="CW223">
        <v>0.06</v>
      </c>
      <c r="CX223" t="e">
        <v>#VALUE!</v>
      </c>
      <c r="CY223" t="s">
        <v>85</v>
      </c>
      <c r="CZ223">
        <v>0</v>
      </c>
      <c r="DA223" t="e">
        <v>#VALUE!</v>
      </c>
      <c r="DB223" t="s">
        <v>84</v>
      </c>
      <c r="DC223">
        <v>0</v>
      </c>
      <c r="DD223" t="e">
        <v>#VALUE!</v>
      </c>
      <c r="DE223" t="s">
        <v>84</v>
      </c>
      <c r="DF223">
        <v>0</v>
      </c>
      <c r="DG223" t="e">
        <v>#VALUE!</v>
      </c>
      <c r="DH223" t="s">
        <v>84</v>
      </c>
      <c r="DI223">
        <v>0</v>
      </c>
      <c r="DJ223" t="e">
        <v>#VALUE!</v>
      </c>
      <c r="DK223" t="s">
        <v>84</v>
      </c>
      <c r="DL223">
        <v>0</v>
      </c>
      <c r="DM223">
        <v>-7301799.9999999991</v>
      </c>
      <c r="DN223">
        <v>0</v>
      </c>
      <c r="DO223">
        <v>7481000000</v>
      </c>
      <c r="DP223">
        <v>584163830</v>
      </c>
      <c r="DQ223">
        <v>222</v>
      </c>
      <c r="DR223">
        <v>-0.94764955752212388</v>
      </c>
      <c r="DS223">
        <v>-1.1180000000000001</v>
      </c>
      <c r="DT223">
        <v>-0.44</v>
      </c>
      <c r="DU223" t="e">
        <v>#VALUE!</v>
      </c>
      <c r="DV223" t="e">
        <v>#VALUE!</v>
      </c>
      <c r="DW223">
        <v>-1.0259</v>
      </c>
      <c r="DX223">
        <v>0.27856552036711679</v>
      </c>
      <c r="DY223">
        <v>-1.0030708469775083</v>
      </c>
      <c r="DZ223">
        <v>0</v>
      </c>
      <c r="EA223">
        <v>-1.0030708469775083</v>
      </c>
      <c r="EB223">
        <v>1</v>
      </c>
      <c r="EC223">
        <v>2.0927999999999999E-2</v>
      </c>
      <c r="ED223">
        <v>0.17651</v>
      </c>
      <c r="EE223">
        <v>0</v>
      </c>
      <c r="EF223">
        <v>0</v>
      </c>
      <c r="EG223">
        <v>16.118565520367117</v>
      </c>
      <c r="EH223" t="s">
        <v>86</v>
      </c>
      <c r="EI223">
        <v>0</v>
      </c>
      <c r="EJ223">
        <v>0</v>
      </c>
      <c r="EK223">
        <v>0</v>
      </c>
      <c r="EL223">
        <v>0</v>
      </c>
      <c r="EM223">
        <v>0</v>
      </c>
      <c r="EN223">
        <v>0</v>
      </c>
      <c r="EO223">
        <v>0</v>
      </c>
      <c r="EP223">
        <v>0</v>
      </c>
    </row>
    <row r="224" spans="1:146" ht="96" x14ac:dyDescent="0.25">
      <c r="A224" s="10"/>
      <c r="B224" s="10"/>
      <c r="C224" s="7" t="str">
        <f>""&amp;CHAR(10)&amp;Basic_Fundamental_Information_Constructure(F224)&amp;CHAR(10)&amp;Basic_Fundamental_Information_Concatenate("")</f>
        <v xml:space="preserve">
市值4.2788668亿, 利润201.98万; PE115; 平均PE-.79, PB1.96; ROIC17.5%; ROE12.005%; 股利率4.6235%; 毛利33.79%; 净利12.83%; 上一年度营收增-88.53%, 利润增-91.85%; 当季营收增-57.95%, 利润增21.62%; 过往5年营收增0%, 利润增0%
Income profile:
</v>
      </c>
      <c r="D224">
        <v>872895</v>
      </c>
      <c r="E224" t="s">
        <v>2455</v>
      </c>
      <c r="F224">
        <v>7.57</v>
      </c>
      <c r="G224" s="5">
        <v>-1.82</v>
      </c>
      <c r="H224" t="s">
        <v>7314</v>
      </c>
      <c r="I224">
        <v>427886680</v>
      </c>
      <c r="J224">
        <v>115</v>
      </c>
      <c r="K224">
        <v>1.96</v>
      </c>
      <c r="L224" t="s">
        <v>2604</v>
      </c>
      <c r="M224" t="s">
        <v>7315</v>
      </c>
      <c r="N224" t="s">
        <v>489</v>
      </c>
      <c r="O224" t="s">
        <v>7316</v>
      </c>
      <c r="P224">
        <v>-3.19</v>
      </c>
      <c r="Q224" t="s">
        <v>7316</v>
      </c>
      <c r="R224">
        <v>2019821</v>
      </c>
      <c r="S224" s="5">
        <v>0.2162</v>
      </c>
      <c r="T224" t="s">
        <v>7317</v>
      </c>
      <c r="U224">
        <v>18576900</v>
      </c>
      <c r="V224">
        <v>56524000</v>
      </c>
      <c r="W224">
        <v>1.1499999999999999</v>
      </c>
      <c r="X224">
        <v>0.06</v>
      </c>
      <c r="Y224">
        <v>12.76</v>
      </c>
      <c r="Z224" t="s">
        <v>7318</v>
      </c>
      <c r="AA224" t="s">
        <v>7319</v>
      </c>
      <c r="AB224" t="s">
        <v>7320</v>
      </c>
      <c r="AC224" t="s">
        <v>7321</v>
      </c>
      <c r="AD224" t="s">
        <v>7322</v>
      </c>
      <c r="AE224">
        <v>589190</v>
      </c>
      <c r="AF224" t="s">
        <v>17</v>
      </c>
      <c r="AG224" t="s">
        <v>9</v>
      </c>
      <c r="AH224" t="s">
        <v>7323</v>
      </c>
      <c r="AI224" t="s">
        <v>7324</v>
      </c>
      <c r="AJ224" t="s">
        <v>9</v>
      </c>
      <c r="AK224" t="s">
        <v>7325</v>
      </c>
      <c r="AL224" t="s">
        <v>7326</v>
      </c>
      <c r="AM224" t="s">
        <v>9</v>
      </c>
      <c r="AN224" t="s">
        <v>7327</v>
      </c>
      <c r="AO224" t="s">
        <v>9</v>
      </c>
      <c r="AP224" t="s">
        <v>9</v>
      </c>
      <c r="AQ224" t="s">
        <v>7328</v>
      </c>
      <c r="AR224" t="s">
        <v>9</v>
      </c>
      <c r="AS224" t="s">
        <v>7329</v>
      </c>
      <c r="AT224" t="s">
        <v>9</v>
      </c>
      <c r="AU224" t="s">
        <v>7330</v>
      </c>
      <c r="AV224" t="s">
        <v>7331</v>
      </c>
      <c r="AW224" t="s">
        <v>9</v>
      </c>
      <c r="AX224" t="s">
        <v>300</v>
      </c>
      <c r="AY224" t="s">
        <v>34</v>
      </c>
      <c r="AZ224" t="s">
        <v>300</v>
      </c>
      <c r="BA224" t="s">
        <v>2457</v>
      </c>
      <c r="BB224" t="s">
        <v>2458</v>
      </c>
      <c r="BC224" t="s">
        <v>7332</v>
      </c>
      <c r="BD224" t="s">
        <v>2459</v>
      </c>
      <c r="BE224" t="s">
        <v>2460</v>
      </c>
      <c r="BF224" t="s">
        <v>2461</v>
      </c>
      <c r="BG224" t="s">
        <v>2462</v>
      </c>
      <c r="BH224" t="s">
        <v>7333</v>
      </c>
      <c r="BI224" t="s">
        <v>2463</v>
      </c>
      <c r="BJ224" t="s">
        <v>300</v>
      </c>
      <c r="BK224" t="s">
        <v>7334</v>
      </c>
      <c r="BL224" t="s">
        <v>2464</v>
      </c>
      <c r="BM224" t="s">
        <v>7332</v>
      </c>
      <c r="BN224">
        <v>3.09</v>
      </c>
      <c r="BO224">
        <v>20.46</v>
      </c>
      <c r="BP224">
        <v>28.95</v>
      </c>
      <c r="BQ224">
        <v>3.18</v>
      </c>
      <c r="BR224">
        <v>20.83</v>
      </c>
      <c r="BS224" t="s">
        <v>9</v>
      </c>
      <c r="BT224" t="s">
        <v>829</v>
      </c>
      <c r="BU224" t="s">
        <v>2290</v>
      </c>
      <c r="BV224">
        <v>30.92</v>
      </c>
      <c r="BW224">
        <v>34.33</v>
      </c>
      <c r="BX224">
        <v>36.119999999999997</v>
      </c>
      <c r="BY224">
        <v>4.28</v>
      </c>
      <c r="BZ224">
        <v>17.89</v>
      </c>
      <c r="CA224">
        <v>16.32</v>
      </c>
      <c r="CB224">
        <v>4.99</v>
      </c>
      <c r="CC224">
        <v>-6.54</v>
      </c>
      <c r="CD224" t="s">
        <v>7335</v>
      </c>
      <c r="CE224" t="s">
        <v>7336</v>
      </c>
      <c r="CF224" s="8">
        <v>-0.57949930274254602</v>
      </c>
      <c r="CG224" s="9">
        <v>0.2162</v>
      </c>
      <c r="CH224" s="8">
        <v>-0.88528406620025635</v>
      </c>
      <c r="CI224" s="8">
        <v>-0.20689655840396881</v>
      </c>
      <c r="CJ224" s="8">
        <v>0.26086956262588501</v>
      </c>
      <c r="CK224" s="8">
        <v>0.39723494648933411</v>
      </c>
      <c r="CL224" s="8">
        <v>4.6075735241174698E-2</v>
      </c>
      <c r="CM224" s="9">
        <v>-0.91849106550216675</v>
      </c>
      <c r="CN224" s="9">
        <v>-0.12928241491317749</v>
      </c>
      <c r="CO224" s="9">
        <v>6.8015158176422119E-2</v>
      </c>
      <c r="CP224" s="9">
        <v>0.72941505908966064</v>
      </c>
      <c r="CQ224" s="9">
        <v>-0.13043895363807678</v>
      </c>
      <c r="CR224">
        <v>-0.79262686492237833</v>
      </c>
      <c r="CS224" t="e">
        <v>#DIV/0!</v>
      </c>
      <c r="CT224">
        <v>4.6235138705416112</v>
      </c>
      <c r="CU224" s="8">
        <v>0</v>
      </c>
      <c r="CV224" s="9">
        <v>0</v>
      </c>
      <c r="CW224">
        <v>0.06</v>
      </c>
      <c r="CX224">
        <v>125.7071308050302</v>
      </c>
      <c r="CY224">
        <v>1905471.6981132072</v>
      </c>
      <c r="CZ224">
        <v>0</v>
      </c>
      <c r="DA224">
        <v>44.366293558403044</v>
      </c>
      <c r="DB224">
        <v>5398949.5355226118</v>
      </c>
      <c r="DC224">
        <v>0</v>
      </c>
      <c r="DD224">
        <v>24.117106168441925</v>
      </c>
      <c r="DE224">
        <v>9932011.6736656874</v>
      </c>
      <c r="DF224">
        <v>0</v>
      </c>
      <c r="DG224">
        <v>16.112803015303932</v>
      </c>
      <c r="DH224">
        <v>14865903.826447403</v>
      </c>
      <c r="DI224">
        <v>0</v>
      </c>
      <c r="DJ224">
        <v>10.339358969875168</v>
      </c>
      <c r="DK224">
        <v>23166946.877258092</v>
      </c>
      <c r="DL224">
        <v>0</v>
      </c>
      <c r="DM224">
        <v>2019800</v>
      </c>
      <c r="DN224">
        <v>0</v>
      </c>
      <c r="DO224">
        <v>239531379.99999997</v>
      </c>
      <c r="DP224">
        <v>118922070</v>
      </c>
      <c r="DQ224">
        <v>223</v>
      </c>
      <c r="DR224">
        <v>-0.57949930274254602</v>
      </c>
      <c r="DS224">
        <v>0.2162</v>
      </c>
      <c r="DT224">
        <v>-0.44</v>
      </c>
      <c r="DU224">
        <v>-0.22</v>
      </c>
      <c r="DV224">
        <v>-0.66</v>
      </c>
      <c r="DW224">
        <v>6.4327840416305291</v>
      </c>
      <c r="DX224">
        <v>0.37106197275681929</v>
      </c>
      <c r="DY224">
        <v>6.1043277748531253</v>
      </c>
      <c r="DZ224">
        <v>0</v>
      </c>
      <c r="EA224">
        <v>6.1043277748531253</v>
      </c>
      <c r="EB224">
        <v>6</v>
      </c>
      <c r="EC224">
        <v>5.8391125893425801E-2</v>
      </c>
      <c r="ED224">
        <v>0.24222454178755926</v>
      </c>
      <c r="EE224">
        <v>0</v>
      </c>
      <c r="EF224">
        <v>0</v>
      </c>
      <c r="EG224">
        <v>13.241061972756819</v>
      </c>
      <c r="EH224" t="s">
        <v>86</v>
      </c>
      <c r="EI224">
        <v>0</v>
      </c>
      <c r="EJ224">
        <v>0</v>
      </c>
      <c r="EK224">
        <v>0</v>
      </c>
      <c r="EL224">
        <v>0</v>
      </c>
      <c r="EM224">
        <v>0</v>
      </c>
      <c r="EN224">
        <v>0</v>
      </c>
      <c r="EO224">
        <v>0</v>
      </c>
      <c r="EP224">
        <v>0</v>
      </c>
    </row>
    <row r="225" spans="1:146" ht="108" x14ac:dyDescent="0.25">
      <c r="A225" s="10"/>
      <c r="B225" s="10"/>
      <c r="C225" s="7" t="str">
        <f>""&amp;CHAR(10)&amp;Basic_Fundamental_Information_Constructure(F225)&amp;CHAR(10)&amp;Basic_Fundamental_Information_Concatenate("")</f>
        <v xml:space="preserve">
市值11.3804939亿, 利润86.78万; PE817.3; 平均PE-54.73, PB3.15; ROIC8.5967%; ROE10.2867%; 股利率.8584%; 毛利44.93%; 净利12.8667%; 上一年度营收增-81.47%, 利润增-97.85%; 当季营收增-64.22%, 利润增-92.26%; 过往5年营收增0%, 利润增0%
Income profile:
</v>
      </c>
      <c r="D225">
        <v>872925</v>
      </c>
      <c r="E225" t="s">
        <v>2465</v>
      </c>
      <c r="F225">
        <v>11.65</v>
      </c>
      <c r="G225" s="5">
        <v>-2.1</v>
      </c>
      <c r="H225" t="s">
        <v>7337</v>
      </c>
      <c r="I225">
        <v>1138049390</v>
      </c>
      <c r="J225">
        <v>817.3</v>
      </c>
      <c r="K225">
        <v>3.15</v>
      </c>
      <c r="L225" t="s">
        <v>2604</v>
      </c>
      <c r="M225" t="s">
        <v>7338</v>
      </c>
      <c r="N225" t="s">
        <v>440</v>
      </c>
      <c r="O225" t="s">
        <v>7339</v>
      </c>
      <c r="P225">
        <v>-39.14</v>
      </c>
      <c r="Q225" t="s">
        <v>7339</v>
      </c>
      <c r="R225">
        <v>867778</v>
      </c>
      <c r="S225" s="5">
        <v>-0.92259999999999998</v>
      </c>
      <c r="T225" t="s">
        <v>7340</v>
      </c>
      <c r="U225">
        <v>55295053</v>
      </c>
      <c r="V225">
        <v>98071643</v>
      </c>
      <c r="W225">
        <v>1.1499999999999999</v>
      </c>
      <c r="X225">
        <v>0.09</v>
      </c>
      <c r="Y225">
        <v>0.64</v>
      </c>
      <c r="Z225" t="s">
        <v>7341</v>
      </c>
      <c r="AA225" t="s">
        <v>7342</v>
      </c>
      <c r="AB225" t="s">
        <v>7343</v>
      </c>
      <c r="AC225" t="s">
        <v>7344</v>
      </c>
      <c r="AD225" t="s">
        <v>7345</v>
      </c>
      <c r="AE225">
        <v>13302</v>
      </c>
      <c r="AF225" t="s">
        <v>7346</v>
      </c>
      <c r="AG225" t="s">
        <v>7347</v>
      </c>
      <c r="AH225" t="s">
        <v>7348</v>
      </c>
      <c r="AI225" t="s">
        <v>7349</v>
      </c>
      <c r="AJ225" t="s">
        <v>9</v>
      </c>
      <c r="AK225" t="s">
        <v>9</v>
      </c>
      <c r="AL225" t="s">
        <v>7350</v>
      </c>
      <c r="AM225" t="s">
        <v>9</v>
      </c>
      <c r="AN225">
        <v>0</v>
      </c>
      <c r="AO225" t="s">
        <v>9</v>
      </c>
      <c r="AP225" t="s">
        <v>9</v>
      </c>
      <c r="AQ225" t="s">
        <v>7351</v>
      </c>
      <c r="AR225" t="s">
        <v>9</v>
      </c>
      <c r="AS225" t="s">
        <v>7352</v>
      </c>
      <c r="AT225" t="s">
        <v>9</v>
      </c>
      <c r="AU225" t="s">
        <v>7353</v>
      </c>
      <c r="AV225" t="s">
        <v>7354</v>
      </c>
      <c r="AW225" t="s">
        <v>7355</v>
      </c>
      <c r="AX225" t="s">
        <v>62</v>
      </c>
      <c r="AY225" t="s">
        <v>131</v>
      </c>
      <c r="AZ225" t="s">
        <v>100</v>
      </c>
      <c r="BA225" t="s">
        <v>182</v>
      </c>
      <c r="BB225" t="s">
        <v>25</v>
      </c>
      <c r="BC225" t="s">
        <v>7356</v>
      </c>
      <c r="BD225" t="s">
        <v>2466</v>
      </c>
      <c r="BE225" t="s">
        <v>2467</v>
      </c>
      <c r="BF225" t="s">
        <v>2468</v>
      </c>
      <c r="BG225" t="s">
        <v>2469</v>
      </c>
      <c r="BH225" t="s">
        <v>495</v>
      </c>
      <c r="BI225" t="s">
        <v>18</v>
      </c>
      <c r="BJ225" t="s">
        <v>62</v>
      </c>
      <c r="BK225" t="s">
        <v>7357</v>
      </c>
      <c r="BL225" t="s">
        <v>2470</v>
      </c>
      <c r="BM225" t="s">
        <v>7356</v>
      </c>
      <c r="BN225">
        <v>5.18</v>
      </c>
      <c r="BO225">
        <v>11.18</v>
      </c>
      <c r="BP225">
        <v>9.43</v>
      </c>
      <c r="BQ225">
        <v>5.15</v>
      </c>
      <c r="BR225">
        <v>11.57</v>
      </c>
      <c r="BS225">
        <v>14.14</v>
      </c>
      <c r="BT225" t="s">
        <v>886</v>
      </c>
      <c r="BU225" t="s">
        <v>812</v>
      </c>
      <c r="BV225">
        <v>50.82</v>
      </c>
      <c r="BW225">
        <v>46.38</v>
      </c>
      <c r="BX225">
        <v>37.590000000000003</v>
      </c>
      <c r="BY225">
        <v>6.58</v>
      </c>
      <c r="BZ225">
        <v>20.48</v>
      </c>
      <c r="CA225">
        <v>11.54</v>
      </c>
      <c r="CB225">
        <v>-4.43</v>
      </c>
      <c r="CC225">
        <v>-0.6</v>
      </c>
      <c r="CD225" t="s">
        <v>7358</v>
      </c>
      <c r="CE225" t="s">
        <v>7359</v>
      </c>
      <c r="CF225" s="8">
        <v>-0.64224752475247526</v>
      </c>
      <c r="CG225" s="9">
        <v>-0.92259999999999998</v>
      </c>
      <c r="CH225" s="8">
        <v>-0.81470263004302979</v>
      </c>
      <c r="CI225" s="8">
        <v>1.5625E-2</v>
      </c>
      <c r="CJ225" s="8">
        <v>-9.0047396719455719E-2</v>
      </c>
      <c r="CK225" s="8">
        <v>0.41610738635063171</v>
      </c>
      <c r="CL225" s="8">
        <v>0.41904762387275696</v>
      </c>
      <c r="CM225" s="9">
        <v>-0.97847044467926025</v>
      </c>
      <c r="CN225" s="9">
        <v>0.76157927513122559</v>
      </c>
      <c r="CO225" s="9">
        <v>-0.44715562462806702</v>
      </c>
      <c r="CP225" s="9">
        <v>0.68117457628250122</v>
      </c>
      <c r="CQ225" s="9">
        <v>0.23562921583652496</v>
      </c>
      <c r="CR225">
        <v>-54.731016423401542</v>
      </c>
      <c r="CS225" t="e">
        <v>#DIV/0!</v>
      </c>
      <c r="CT225">
        <v>0.85836909871244638</v>
      </c>
      <c r="CU225" s="8">
        <v>0</v>
      </c>
      <c r="CV225" s="9">
        <v>0</v>
      </c>
      <c r="CW225">
        <v>0.06</v>
      </c>
      <c r="CX225">
        <v>1012.6968465084121</v>
      </c>
      <c r="CY225">
        <v>818679.2452830188</v>
      </c>
      <c r="CZ225">
        <v>0</v>
      </c>
      <c r="DA225">
        <v>357.41493175551324</v>
      </c>
      <c r="DB225">
        <v>2319639.7697428074</v>
      </c>
      <c r="DC225">
        <v>0</v>
      </c>
      <c r="DD225">
        <v>194.28744580583813</v>
      </c>
      <c r="DE225">
        <v>4267254.0501074782</v>
      </c>
      <c r="DF225">
        <v>0</v>
      </c>
      <c r="DG225">
        <v>129.80476682199944</v>
      </c>
      <c r="DH225">
        <v>6387083.543217673</v>
      </c>
      <c r="DI225">
        <v>0</v>
      </c>
      <c r="DJ225">
        <v>83.293892372349518</v>
      </c>
      <c r="DK225">
        <v>9953597.6334709246</v>
      </c>
      <c r="DL225">
        <v>0</v>
      </c>
      <c r="DM225">
        <v>867800</v>
      </c>
      <c r="DN225">
        <v>0</v>
      </c>
      <c r="DO225">
        <v>829073890</v>
      </c>
      <c r="DP225">
        <v>108092780</v>
      </c>
      <c r="DQ225">
        <v>224</v>
      </c>
      <c r="DR225">
        <v>-0.64224752475247526</v>
      </c>
      <c r="DS225">
        <v>-0.92259999999999998</v>
      </c>
      <c r="DT225">
        <v>-0.44</v>
      </c>
      <c r="DU225">
        <v>-0.44</v>
      </c>
      <c r="DV225">
        <v>-0.88</v>
      </c>
      <c r="DW225">
        <v>-4.1354401805869072</v>
      </c>
      <c r="DX225">
        <v>0.55684846205282501</v>
      </c>
      <c r="DY225">
        <v>-4.0632300400071548</v>
      </c>
      <c r="DZ225">
        <v>0</v>
      </c>
      <c r="EA225">
        <v>-4.0632300400071548</v>
      </c>
      <c r="EB225">
        <v>4</v>
      </c>
      <c r="EC225">
        <v>4.5561590112240702E-2</v>
      </c>
      <c r="ED225">
        <v>9.7593959958435686E-2</v>
      </c>
      <c r="EE225">
        <v>0</v>
      </c>
      <c r="EF225">
        <v>0</v>
      </c>
      <c r="EG225">
        <v>9.466848462052825</v>
      </c>
      <c r="EH225" t="s">
        <v>86</v>
      </c>
      <c r="EI225">
        <v>0</v>
      </c>
      <c r="EJ225">
        <v>0</v>
      </c>
      <c r="EK225">
        <v>0</v>
      </c>
      <c r="EL225">
        <v>0</v>
      </c>
      <c r="EM225">
        <v>0</v>
      </c>
      <c r="EN225">
        <v>0</v>
      </c>
      <c r="EO225">
        <v>0</v>
      </c>
      <c r="EP225">
        <v>0</v>
      </c>
    </row>
    <row r="226" spans="1:146" ht="96" x14ac:dyDescent="0.25">
      <c r="C226" s="7" t="str">
        <f>""&amp;CHAR(10)&amp;Basic_Fundamental_Information_Constructure(F226)&amp;CHAR(10)&amp;Basic_Fundamental_Information_Concatenate("")</f>
        <v xml:space="preserve">
市值7.533186亿, 利润1037.64万; PE15.27; 平均PE-1.35, PB1.46; ROIC13.5133%; ROE18.74%; 股利率1.2469%; 毛利20.86%; 净利9.3733%; 上一年度营收增-71.39%, 利润增-74.32%; 当季营收增-48.28%, 利润增0%; 过往5年营收增0%, 利润增0%
Income profile:
</v>
      </c>
      <c r="D226">
        <v>872931</v>
      </c>
      <c r="E226" t="s">
        <v>7360</v>
      </c>
      <c r="F226">
        <v>8.02</v>
      </c>
      <c r="G226">
        <v>-0.87</v>
      </c>
      <c r="H226" t="s">
        <v>7361</v>
      </c>
      <c r="I226">
        <v>753318600</v>
      </c>
      <c r="J226">
        <v>15.27</v>
      </c>
      <c r="K226">
        <v>1.46</v>
      </c>
      <c r="L226" t="s">
        <v>2604</v>
      </c>
      <c r="M226" t="s">
        <v>261</v>
      </c>
      <c r="N226" t="s">
        <v>157</v>
      </c>
      <c r="O226" t="s">
        <v>25</v>
      </c>
      <c r="P226" s="6">
        <v>25.65</v>
      </c>
      <c r="Q226" t="s">
        <v>25</v>
      </c>
      <c r="R226">
        <v>10376423</v>
      </c>
      <c r="S226">
        <v>0</v>
      </c>
      <c r="T226" t="s">
        <v>7362</v>
      </c>
      <c r="U226">
        <v>23775800</v>
      </c>
      <c r="V226">
        <v>90180000</v>
      </c>
      <c r="W226">
        <v>1.86</v>
      </c>
      <c r="X226">
        <v>0.16</v>
      </c>
      <c r="Y226">
        <v>9.8800000000000008</v>
      </c>
      <c r="Z226" t="s">
        <v>7363</v>
      </c>
      <c r="AA226" t="s">
        <v>7364</v>
      </c>
      <c r="AB226" t="s">
        <v>7365</v>
      </c>
      <c r="AC226" t="s">
        <v>7366</v>
      </c>
      <c r="AD226" t="s">
        <v>7367</v>
      </c>
      <c r="AE226">
        <v>824167</v>
      </c>
      <c r="AF226" t="s">
        <v>17</v>
      </c>
      <c r="AG226" t="s">
        <v>9</v>
      </c>
      <c r="AH226" t="s">
        <v>7368</v>
      </c>
      <c r="AI226" t="s">
        <v>849</v>
      </c>
      <c r="AJ226" t="s">
        <v>9</v>
      </c>
      <c r="AK226" t="s">
        <v>7369</v>
      </c>
      <c r="AL226" t="s">
        <v>7370</v>
      </c>
      <c r="AM226" t="s">
        <v>9</v>
      </c>
      <c r="AN226" t="s">
        <v>435</v>
      </c>
      <c r="AO226" t="s">
        <v>25</v>
      </c>
      <c r="AP226" t="s">
        <v>7371</v>
      </c>
      <c r="AQ226" t="s">
        <v>7372</v>
      </c>
      <c r="AR226" t="s">
        <v>9</v>
      </c>
      <c r="AS226" t="s">
        <v>237</v>
      </c>
      <c r="AT226" t="s">
        <v>999</v>
      </c>
      <c r="AU226" t="s">
        <v>7373</v>
      </c>
      <c r="AV226" t="s">
        <v>7374</v>
      </c>
      <c r="AW226" t="s">
        <v>535</v>
      </c>
      <c r="AX226" t="s">
        <v>533</v>
      </c>
      <c r="AY226" t="s">
        <v>155</v>
      </c>
      <c r="AZ226" t="s">
        <v>158</v>
      </c>
      <c r="BA226" t="s">
        <v>1039</v>
      </c>
      <c r="BB226" t="s">
        <v>3612</v>
      </c>
      <c r="BC226" t="s">
        <v>7375</v>
      </c>
      <c r="BD226" t="s">
        <v>7376</v>
      </c>
      <c r="BE226" t="s">
        <v>7377</v>
      </c>
      <c r="BF226" t="s">
        <v>7378</v>
      </c>
      <c r="BG226" t="s">
        <v>7379</v>
      </c>
      <c r="BH226" t="s">
        <v>255</v>
      </c>
      <c r="BI226" t="s">
        <v>453</v>
      </c>
      <c r="BJ226" t="s">
        <v>533</v>
      </c>
      <c r="BK226" t="s">
        <v>7380</v>
      </c>
      <c r="BL226" t="s">
        <v>7381</v>
      </c>
      <c r="BM226" t="s">
        <v>7375</v>
      </c>
      <c r="BN226">
        <v>11.16</v>
      </c>
      <c r="BO226">
        <v>17.7</v>
      </c>
      <c r="BP226">
        <v>11.68</v>
      </c>
      <c r="BQ226">
        <v>18.739999999999998</v>
      </c>
      <c r="BR226" t="s">
        <v>9</v>
      </c>
      <c r="BS226" t="s">
        <v>9</v>
      </c>
      <c r="BT226" t="s">
        <v>886</v>
      </c>
      <c r="BU226" t="s">
        <v>1529</v>
      </c>
      <c r="BV226">
        <v>21.4</v>
      </c>
      <c r="BW226">
        <v>22.23</v>
      </c>
      <c r="BX226">
        <v>18.95</v>
      </c>
      <c r="BY226">
        <v>10.71</v>
      </c>
      <c r="BZ226">
        <v>11</v>
      </c>
      <c r="CA226">
        <v>6.41</v>
      </c>
      <c r="CB226">
        <v>-1.1100000000000001</v>
      </c>
      <c r="CC226" s="8">
        <v>0.5</v>
      </c>
      <c r="CD226" s="11" t="s">
        <v>7382</v>
      </c>
      <c r="CE226" s="8" t="s">
        <v>7383</v>
      </c>
      <c r="CF226" s="8">
        <v>-0.48275862068965508</v>
      </c>
      <c r="CG226" s="8">
        <v>0</v>
      </c>
      <c r="CH226" s="8">
        <v>-0.71389645338058472</v>
      </c>
      <c r="CI226" s="8">
        <v>0.18387097120285034</v>
      </c>
      <c r="CJ226" s="9">
        <v>7.63888880610466E-2</v>
      </c>
      <c r="CK226" s="9">
        <v>-5.8823529630899429E-2</v>
      </c>
      <c r="CL226" s="9">
        <v>0.22400000691413879</v>
      </c>
      <c r="CM226" s="9">
        <v>-0.7432258129119873</v>
      </c>
      <c r="CN226" s="9">
        <v>1.0322152376174927</v>
      </c>
      <c r="CO226">
        <v>0.29198881983757019</v>
      </c>
      <c r="CP226">
        <v>-1.9718991592526436E-2</v>
      </c>
      <c r="CQ226">
        <v>0.85000234842300415</v>
      </c>
      <c r="CR226" s="8">
        <v>-1.3491985066826633</v>
      </c>
      <c r="CS226" s="9" t="e">
        <v>#DIV/0!</v>
      </c>
      <c r="CT226">
        <v>1.2468827930174564</v>
      </c>
      <c r="CU226">
        <v>0</v>
      </c>
      <c r="CV226">
        <v>0</v>
      </c>
      <c r="CW226">
        <v>0.06</v>
      </c>
      <c r="CX226">
        <v>77.261643344512535</v>
      </c>
      <c r="CY226">
        <v>9789056.6037735865</v>
      </c>
      <c r="CZ226">
        <v>0</v>
      </c>
      <c r="DA226">
        <v>27.268244271232028</v>
      </c>
      <c r="DB226">
        <v>27736241.192393724</v>
      </c>
      <c r="DC226">
        <v>0</v>
      </c>
      <c r="DD226">
        <v>14.822764972481115</v>
      </c>
      <c r="DE226">
        <v>51024124.136362344</v>
      </c>
      <c r="DF226">
        <v>0</v>
      </c>
      <c r="DG226">
        <v>9.9031903112928568</v>
      </c>
      <c r="DH226">
        <v>76371207.280299455</v>
      </c>
      <c r="DI226">
        <v>0</v>
      </c>
      <c r="DJ226">
        <v>6.3547378738630496</v>
      </c>
      <c r="DK226">
        <v>119016490.53232048</v>
      </c>
      <c r="DL226">
        <v>0</v>
      </c>
      <c r="DM226">
        <v>10376400.000000002</v>
      </c>
      <c r="DN226">
        <v>0</v>
      </c>
      <c r="DO226">
        <v>756318600</v>
      </c>
      <c r="DP226">
        <v>228818820</v>
      </c>
      <c r="DQ226">
        <v>225</v>
      </c>
      <c r="DR226">
        <v>-0.48275862068965508</v>
      </c>
      <c r="DS226">
        <v>0</v>
      </c>
      <c r="DT226">
        <v>-0.44</v>
      </c>
      <c r="DU226">
        <v>-0.22</v>
      </c>
      <c r="DV226">
        <v>-0.66</v>
      </c>
      <c r="DW226">
        <v>5.0000000000000001E-3</v>
      </c>
      <c r="DX226">
        <v>0.25761529626317359</v>
      </c>
      <c r="DY226">
        <v>4.3807648131586794E-4</v>
      </c>
      <c r="DZ226">
        <v>0</v>
      </c>
      <c r="EA226">
        <v>4.3807648131586794E-4</v>
      </c>
      <c r="EB226">
        <v>0</v>
      </c>
      <c r="EC226">
        <v>8.8648259037480581E-2</v>
      </c>
      <c r="ED226">
        <v>1.0117897538256819</v>
      </c>
      <c r="EE226">
        <v>0</v>
      </c>
      <c r="EF226">
        <v>0</v>
      </c>
      <c r="EG226">
        <v>17.087615296263174</v>
      </c>
      <c r="EH226" t="s">
        <v>86</v>
      </c>
      <c r="EI226">
        <v>0</v>
      </c>
      <c r="EJ226">
        <v>0</v>
      </c>
      <c r="EK226">
        <v>0</v>
      </c>
      <c r="EL226">
        <v>0</v>
      </c>
      <c r="EM226">
        <v>0</v>
      </c>
      <c r="EN226">
        <v>0</v>
      </c>
      <c r="EO226">
        <v>0</v>
      </c>
      <c r="EP226">
        <v>0</v>
      </c>
    </row>
    <row r="227" spans="1:146" ht="96" x14ac:dyDescent="0.25">
      <c r="A227" s="10"/>
      <c r="B227" s="10"/>
      <c r="C227" s="7" t="str">
        <f>""&amp;CHAR(10)&amp;Basic_Fundamental_Information_Constructure(F227)&amp;CHAR(10)&amp;Basic_Fundamental_Information_Concatenate("")</f>
        <v xml:space="preserve">
市值12.3152566亿, 利润257.66万; PE20.84; 平均PE-3.33, PB2.36; ROIC24.2833%; ROE18.055%; 股利率1.3433%; 毛利69.07%; 净利26.44%; 上一年度营收增-87.03%, 利润增-95.03%; 当季营收增-66.88%, 利润增146.7%; 过往5年营收增0%, 利润增0%
Income profile:
</v>
      </c>
      <c r="D227">
        <v>872953</v>
      </c>
      <c r="E227" t="s">
        <v>2471</v>
      </c>
      <c r="F227">
        <v>13.4</v>
      </c>
      <c r="G227" s="5">
        <v>2.68</v>
      </c>
      <c r="H227" t="s">
        <v>7384</v>
      </c>
      <c r="I227">
        <v>1231525660</v>
      </c>
      <c r="J227">
        <v>20.84</v>
      </c>
      <c r="K227">
        <v>2.36</v>
      </c>
      <c r="L227" t="s">
        <v>2604</v>
      </c>
      <c r="M227" t="s">
        <v>7385</v>
      </c>
      <c r="N227" t="s">
        <v>322</v>
      </c>
      <c r="O227" t="s">
        <v>7386</v>
      </c>
      <c r="P227">
        <v>10.75</v>
      </c>
      <c r="Q227" t="s">
        <v>7386</v>
      </c>
      <c r="R227">
        <v>2576606</v>
      </c>
      <c r="S227" s="6">
        <v>1.4670000000000001</v>
      </c>
      <c r="T227" t="s">
        <v>7387</v>
      </c>
      <c r="U227">
        <v>25944200</v>
      </c>
      <c r="V227">
        <v>91904900</v>
      </c>
      <c r="W227">
        <v>1.08</v>
      </c>
      <c r="X227">
        <v>0.05</v>
      </c>
      <c r="Y227">
        <v>9.8800000000000008</v>
      </c>
      <c r="Z227" t="s">
        <v>7388</v>
      </c>
      <c r="AA227" t="s">
        <v>7389</v>
      </c>
      <c r="AB227" t="s">
        <v>7390</v>
      </c>
      <c r="AC227" t="s">
        <v>7391</v>
      </c>
      <c r="AD227" t="s">
        <v>7392</v>
      </c>
      <c r="AE227">
        <v>492246</v>
      </c>
      <c r="AF227" t="s">
        <v>7393</v>
      </c>
      <c r="AG227">
        <v>5.09</v>
      </c>
      <c r="AH227" t="s">
        <v>7394</v>
      </c>
      <c r="AI227" t="s">
        <v>230</v>
      </c>
      <c r="AJ227" t="s">
        <v>9</v>
      </c>
      <c r="AK227" t="s">
        <v>2080</v>
      </c>
      <c r="AL227" t="s">
        <v>7395</v>
      </c>
      <c r="AM227" t="s">
        <v>9</v>
      </c>
      <c r="AN227">
        <v>0</v>
      </c>
      <c r="AO227" t="s">
        <v>9</v>
      </c>
      <c r="AP227" t="s">
        <v>9</v>
      </c>
      <c r="AQ227" t="s">
        <v>7396</v>
      </c>
      <c r="AR227" t="s">
        <v>9</v>
      </c>
      <c r="AS227" t="s">
        <v>7397</v>
      </c>
      <c r="AT227" t="s">
        <v>9</v>
      </c>
      <c r="AU227" t="s">
        <v>7398</v>
      </c>
      <c r="AV227" t="s">
        <v>7399</v>
      </c>
      <c r="AW227" t="s">
        <v>9</v>
      </c>
      <c r="AX227" t="s">
        <v>286</v>
      </c>
      <c r="AY227" t="s">
        <v>15</v>
      </c>
      <c r="AZ227" t="s">
        <v>459</v>
      </c>
      <c r="BA227" t="s">
        <v>225</v>
      </c>
      <c r="BB227" t="s">
        <v>90</v>
      </c>
      <c r="BC227" t="s">
        <v>7400</v>
      </c>
      <c r="BD227" t="s">
        <v>2472</v>
      </c>
      <c r="BE227" t="s">
        <v>2473</v>
      </c>
      <c r="BF227" t="s">
        <v>2474</v>
      </c>
      <c r="BG227" t="s">
        <v>2475</v>
      </c>
      <c r="BH227" t="s">
        <v>285</v>
      </c>
      <c r="BI227" t="s">
        <v>2476</v>
      </c>
      <c r="BJ227" t="s">
        <v>286</v>
      </c>
      <c r="BK227" t="s">
        <v>7401</v>
      </c>
      <c r="BL227" t="s">
        <v>2477</v>
      </c>
      <c r="BM227" t="s">
        <v>7400</v>
      </c>
      <c r="BN227">
        <v>5.25</v>
      </c>
      <c r="BO227">
        <v>27.51</v>
      </c>
      <c r="BP227">
        <v>40.090000000000003</v>
      </c>
      <c r="BQ227">
        <v>8.27</v>
      </c>
      <c r="BR227">
        <v>27.84</v>
      </c>
      <c r="BS227" t="s">
        <v>9</v>
      </c>
      <c r="BT227" t="s">
        <v>934</v>
      </c>
      <c r="BU227" t="s">
        <v>927</v>
      </c>
      <c r="BV227">
        <v>63.6</v>
      </c>
      <c r="BW227">
        <v>70.900000000000006</v>
      </c>
      <c r="BX227">
        <v>72.709999999999994</v>
      </c>
      <c r="BY227">
        <v>23.36</v>
      </c>
      <c r="BZ227">
        <v>25.86</v>
      </c>
      <c r="CA227">
        <v>30.1</v>
      </c>
      <c r="CB227">
        <v>8.85</v>
      </c>
      <c r="CC227">
        <v>10.74</v>
      </c>
      <c r="CD227" t="s">
        <v>7402</v>
      </c>
      <c r="CE227" t="s">
        <v>7403</v>
      </c>
      <c r="CF227" s="8">
        <v>-0.66877745153220369</v>
      </c>
      <c r="CG227" s="9">
        <v>1.4670000000000001</v>
      </c>
      <c r="CH227" s="8">
        <v>-0.87030094861984253</v>
      </c>
      <c r="CI227" s="8">
        <v>6.9148935377597809E-2</v>
      </c>
      <c r="CJ227" s="8">
        <v>0.3333333432674408</v>
      </c>
      <c r="CK227" s="8">
        <v>6.8181820213794708E-2</v>
      </c>
      <c r="CL227" s="8">
        <v>0.11864406615495682</v>
      </c>
      <c r="CM227" s="9">
        <v>-0.95030921697616577</v>
      </c>
      <c r="CN227" s="9">
        <v>-8.3926349878311157E-2</v>
      </c>
      <c r="CO227" s="9">
        <v>2.0295498371124268</v>
      </c>
      <c r="CP227" s="9">
        <v>0.32154226303100586</v>
      </c>
      <c r="CQ227" s="9">
        <v>-0.39338627457618713</v>
      </c>
      <c r="CR227">
        <v>-3.3299405030579474</v>
      </c>
      <c r="CS227" t="e">
        <v>#DIV/0!</v>
      </c>
      <c r="CT227">
        <v>1.3432835820895523</v>
      </c>
      <c r="CU227" s="8">
        <v>0</v>
      </c>
      <c r="CV227" s="9">
        <v>0</v>
      </c>
      <c r="CW227">
        <v>0.06</v>
      </c>
      <c r="CX227">
        <v>319.96414717069007</v>
      </c>
      <c r="CY227">
        <v>2430754.716981132</v>
      </c>
      <c r="CZ227">
        <v>0</v>
      </c>
      <c r="DA227">
        <v>112.92615773369371</v>
      </c>
      <c r="DB227">
        <v>6887282.5889828522</v>
      </c>
      <c r="DC227">
        <v>0</v>
      </c>
      <c r="DD227">
        <v>61.38561319467906</v>
      </c>
      <c r="DE227">
        <v>12669977.858385492</v>
      </c>
      <c r="DF227">
        <v>0</v>
      </c>
      <c r="DG227">
        <v>41.012146584724583</v>
      </c>
      <c r="DH227">
        <v>18964000.296675108</v>
      </c>
      <c r="DI227">
        <v>0</v>
      </c>
      <c r="DJ227">
        <v>26.316917376936527</v>
      </c>
      <c r="DK227">
        <v>29553399.011755232</v>
      </c>
      <c r="DL227">
        <v>0</v>
      </c>
      <c r="DM227">
        <v>2576600.0000000005</v>
      </c>
      <c r="DN227">
        <v>0</v>
      </c>
      <c r="DO227">
        <v>777754360</v>
      </c>
      <c r="DP227">
        <v>481252610</v>
      </c>
      <c r="DQ227">
        <v>226</v>
      </c>
      <c r="DR227">
        <v>-0.66877745153220369</v>
      </c>
      <c r="DS227">
        <v>1.4670000000000001</v>
      </c>
      <c r="DT227">
        <v>-0.44</v>
      </c>
      <c r="DU227">
        <v>-0.44</v>
      </c>
      <c r="DV227">
        <v>-0.88</v>
      </c>
      <c r="DW227">
        <v>9.8240223463687144</v>
      </c>
      <c r="DX227">
        <v>0.8924212704482275</v>
      </c>
      <c r="DY227">
        <v>9.3398443429671154</v>
      </c>
      <c r="DZ227">
        <v>0</v>
      </c>
      <c r="EA227">
        <v>9.3398443429671154</v>
      </c>
      <c r="EB227">
        <v>9</v>
      </c>
      <c r="EC227">
        <v>9.4119029562079931E-2</v>
      </c>
      <c r="ED227">
        <v>0.2282109006157452</v>
      </c>
      <c r="EE227">
        <v>0</v>
      </c>
      <c r="EF227">
        <v>0</v>
      </c>
      <c r="EG227">
        <v>48.412421270448228</v>
      </c>
      <c r="EH227" t="s">
        <v>86</v>
      </c>
      <c r="EI227">
        <v>1</v>
      </c>
      <c r="EJ227">
        <v>0</v>
      </c>
      <c r="EK227">
        <v>0</v>
      </c>
      <c r="EL227">
        <v>0</v>
      </c>
      <c r="EM227">
        <v>0</v>
      </c>
      <c r="EN227">
        <v>0</v>
      </c>
      <c r="EO227">
        <v>0</v>
      </c>
      <c r="EP227">
        <v>0</v>
      </c>
    </row>
    <row r="228" spans="1:146" ht="108" x14ac:dyDescent="0.25">
      <c r="A228" s="10"/>
      <c r="B228" s="10"/>
      <c r="C228" s="7" t="str">
        <f>""&amp;CHAR(10)&amp;Basic_Fundamental_Information_Constructure(F228)&amp;CHAR(10)&amp;Basic_Fundamental_Information_Concatenate("")</f>
        <v xml:space="preserve">
市值11.5856778亿, 利润730.43万; PE38.32; 平均PE17.09, PB1.54; ROIC11.77%; ROE13.8033%; 股利率1.3263%; 毛利36.97%; 净利21.8467%; 上一年度营收增-81.46%, 利润增-88.6%; 当季营收增-52.57%, 利润增-16.31%; 过往5年营收增0%, 利润增0%
Income profile:
</v>
      </c>
      <c r="D228">
        <v>873001</v>
      </c>
      <c r="E228" t="s">
        <v>2478</v>
      </c>
      <c r="F228">
        <v>7.54</v>
      </c>
      <c r="G228" s="5">
        <v>-4.8</v>
      </c>
      <c r="H228" t="s">
        <v>7404</v>
      </c>
      <c r="I228">
        <v>1158567780</v>
      </c>
      <c r="J228">
        <v>38.32</v>
      </c>
      <c r="K228">
        <v>1.54</v>
      </c>
      <c r="L228" t="s">
        <v>2604</v>
      </c>
      <c r="M228" t="s">
        <v>7405</v>
      </c>
      <c r="N228" t="s">
        <v>1599</v>
      </c>
      <c r="O228" t="s">
        <v>7406</v>
      </c>
      <c r="P228">
        <v>6.55</v>
      </c>
      <c r="Q228" t="s">
        <v>7406</v>
      </c>
      <c r="R228">
        <v>7304324</v>
      </c>
      <c r="S228" s="5">
        <v>-0.16309999999999999</v>
      </c>
      <c r="T228" t="s">
        <v>7407</v>
      </c>
      <c r="U228">
        <v>38424151</v>
      </c>
      <c r="V228">
        <v>153656200</v>
      </c>
      <c r="W228">
        <v>1.03</v>
      </c>
      <c r="X228">
        <v>0.06</v>
      </c>
      <c r="Y228">
        <v>14.81</v>
      </c>
      <c r="Z228" t="s">
        <v>7408</v>
      </c>
      <c r="AA228" t="s">
        <v>7409</v>
      </c>
      <c r="AB228" t="s">
        <v>7410</v>
      </c>
      <c r="AC228" t="s">
        <v>7411</v>
      </c>
      <c r="AD228" t="s">
        <v>7412</v>
      </c>
      <c r="AE228">
        <v>2074722</v>
      </c>
      <c r="AF228" t="s">
        <v>7413</v>
      </c>
      <c r="AG228" t="s">
        <v>9</v>
      </c>
      <c r="AH228" t="s">
        <v>7414</v>
      </c>
      <c r="AI228" t="s">
        <v>126</v>
      </c>
      <c r="AJ228" t="s">
        <v>9</v>
      </c>
      <c r="AK228" t="s">
        <v>9</v>
      </c>
      <c r="AL228" t="s">
        <v>7415</v>
      </c>
      <c r="AM228" t="s">
        <v>9</v>
      </c>
      <c r="AN228" t="s">
        <v>7416</v>
      </c>
      <c r="AO228" t="s">
        <v>7417</v>
      </c>
      <c r="AP228" t="s">
        <v>9</v>
      </c>
      <c r="AQ228" t="s">
        <v>7418</v>
      </c>
      <c r="AR228" t="s">
        <v>9</v>
      </c>
      <c r="AS228" t="s">
        <v>7419</v>
      </c>
      <c r="AT228" t="s">
        <v>9</v>
      </c>
      <c r="AU228" t="s">
        <v>7420</v>
      </c>
      <c r="AV228" t="s">
        <v>7421</v>
      </c>
      <c r="AW228" t="s">
        <v>7422</v>
      </c>
      <c r="AX228" t="s">
        <v>75</v>
      </c>
      <c r="AY228" t="s">
        <v>105</v>
      </c>
      <c r="AZ228" t="s">
        <v>62</v>
      </c>
      <c r="BA228" t="s">
        <v>62</v>
      </c>
      <c r="BB228" t="s">
        <v>117</v>
      </c>
      <c r="BC228" t="s">
        <v>2480</v>
      </c>
      <c r="BD228" t="s">
        <v>2481</v>
      </c>
      <c r="BE228" t="s">
        <v>2482</v>
      </c>
      <c r="BF228" t="s">
        <v>2483</v>
      </c>
      <c r="BG228" t="s">
        <v>2484</v>
      </c>
      <c r="BH228" t="s">
        <v>453</v>
      </c>
      <c r="BI228" t="s">
        <v>63</v>
      </c>
      <c r="BJ228" t="s">
        <v>75</v>
      </c>
      <c r="BK228" t="s">
        <v>7423</v>
      </c>
      <c r="BL228" t="s">
        <v>2424</v>
      </c>
      <c r="BM228" t="s">
        <v>2480</v>
      </c>
      <c r="BN228">
        <v>3.16</v>
      </c>
      <c r="BO228">
        <v>11.24</v>
      </c>
      <c r="BP228">
        <v>20.91</v>
      </c>
      <c r="BQ228">
        <v>4.16</v>
      </c>
      <c r="BR228">
        <v>16.100000000000001</v>
      </c>
      <c r="BS228">
        <v>21.15</v>
      </c>
      <c r="BT228" t="s">
        <v>886</v>
      </c>
      <c r="BU228" t="s">
        <v>2479</v>
      </c>
      <c r="BV228">
        <v>30.37</v>
      </c>
      <c r="BW228">
        <v>38.229999999999997</v>
      </c>
      <c r="BX228">
        <v>42.31</v>
      </c>
      <c r="BY228">
        <v>15.63</v>
      </c>
      <c r="BZ228">
        <v>24.05</v>
      </c>
      <c r="CA228">
        <v>25.86</v>
      </c>
      <c r="CB228">
        <v>-3.83</v>
      </c>
      <c r="CC228">
        <v>-3.83</v>
      </c>
      <c r="CD228" t="s">
        <v>7424</v>
      </c>
      <c r="CE228" t="s">
        <v>7425</v>
      </c>
      <c r="CF228" s="8">
        <v>-0.52569134615384605</v>
      </c>
      <c r="CG228" s="9">
        <v>-0.16309999999999999</v>
      </c>
      <c r="CH228" s="8">
        <v>-0.81455600261688232</v>
      </c>
      <c r="CI228" s="8">
        <v>-3.7453183904290199E-3</v>
      </c>
      <c r="CJ228" s="8">
        <v>0.36923077702522278</v>
      </c>
      <c r="CK228" s="8">
        <v>0</v>
      </c>
      <c r="CL228" s="8">
        <v>-8.4507040679454803E-2</v>
      </c>
      <c r="CM228" s="9">
        <v>-0.88600105047225952</v>
      </c>
      <c r="CN228" s="9">
        <v>-7.3156975209712982E-2</v>
      </c>
      <c r="CO228" s="9">
        <v>0.4378046989440918</v>
      </c>
      <c r="CP228" s="9">
        <v>-4.1179917752742767E-2</v>
      </c>
      <c r="CQ228" s="9">
        <v>-8.4905609488487244E-2</v>
      </c>
      <c r="CR228">
        <v>17.089133584169076</v>
      </c>
      <c r="CS228" t="e">
        <v>#DIV/0!</v>
      </c>
      <c r="CT228">
        <v>1.3262599469496021</v>
      </c>
      <c r="CU228" s="8">
        <v>0</v>
      </c>
      <c r="CV228" s="9">
        <v>0</v>
      </c>
      <c r="CW228">
        <v>0.06</v>
      </c>
      <c r="CX228">
        <v>62.285166381446565</v>
      </c>
      <c r="CY228">
        <v>6890849.0566037716</v>
      </c>
      <c r="CZ228">
        <v>0</v>
      </c>
      <c r="DA228">
        <v>21.982539560935219</v>
      </c>
      <c r="DB228">
        <v>19524481.182452623</v>
      </c>
      <c r="DC228">
        <v>0</v>
      </c>
      <c r="DD228">
        <v>11.949504858799211</v>
      </c>
      <c r="DE228">
        <v>35917612.074441172</v>
      </c>
      <c r="DF228">
        <v>0</v>
      </c>
      <c r="DG228">
        <v>7.983545644966072</v>
      </c>
      <c r="DH228">
        <v>53760283.849648356</v>
      </c>
      <c r="DI228">
        <v>0</v>
      </c>
      <c r="DJ228">
        <v>5.1229289030150023</v>
      </c>
      <c r="DK228">
        <v>83779745.556766152</v>
      </c>
      <c r="DL228">
        <v>0</v>
      </c>
      <c r="DM228">
        <v>7304299.9999999991</v>
      </c>
      <c r="DN228">
        <v>0</v>
      </c>
      <c r="DO228">
        <v>429197680</v>
      </c>
      <c r="DP228">
        <v>619841440</v>
      </c>
      <c r="DQ228">
        <v>227</v>
      </c>
      <c r="DR228">
        <v>-0.52569134615384605</v>
      </c>
      <c r="DS228">
        <v>-0.16309999999999999</v>
      </c>
      <c r="DT228">
        <v>-0.44</v>
      </c>
      <c r="DU228">
        <v>-0.44</v>
      </c>
      <c r="DV228">
        <v>-0.88</v>
      </c>
      <c r="DW228">
        <v>-4.9999000000000002</v>
      </c>
      <c r="DX228">
        <v>0.3176502860532085</v>
      </c>
      <c r="DY228">
        <v>-4.1376365210246018</v>
      </c>
      <c r="DZ228">
        <v>0</v>
      </c>
      <c r="EA228">
        <v>-4.1376365210246018</v>
      </c>
      <c r="EB228">
        <v>4</v>
      </c>
      <c r="EC228">
        <v>7.2498864347810235E-2</v>
      </c>
      <c r="ED228">
        <v>0.52668880266465001</v>
      </c>
      <c r="EE228">
        <v>0</v>
      </c>
      <c r="EF228">
        <v>0</v>
      </c>
      <c r="EG228">
        <v>18.137650286053209</v>
      </c>
      <c r="EH228" t="s">
        <v>86</v>
      </c>
      <c r="EI228">
        <v>0</v>
      </c>
      <c r="EJ228">
        <v>0</v>
      </c>
      <c r="EK228">
        <v>0</v>
      </c>
      <c r="EL228">
        <v>0</v>
      </c>
      <c r="EM228">
        <v>0</v>
      </c>
      <c r="EN228">
        <v>0</v>
      </c>
      <c r="EO228">
        <v>0</v>
      </c>
      <c r="EP228">
        <v>0</v>
      </c>
    </row>
    <row r="229" spans="1:146" ht="96" x14ac:dyDescent="0.25">
      <c r="A229" s="10"/>
      <c r="B229" s="10"/>
      <c r="C229" s="7" t="str">
        <f>""&amp;CHAR(10)&amp;Basic_Fundamental_Information_Constructure(F229)&amp;CHAR(10)&amp;Basic_Fundamental_Information_Concatenate("")</f>
        <v xml:space="preserve">
市值34.812172亿, 利润-123.00万; PE111.7; 平均PE-8.84, PB10.22; ROIC10.3733%; ROE11.4267%; 股利率.4768%; 毛利51.4333%; 净利18.6067%; 上一年度营收增-79.68%, 利润增-103.43%; 当季营收增-57.22%, 利润增-261.1%; 过往5年营收增0%, 利润增0%
Income profile:
</v>
      </c>
      <c r="D229">
        <v>873122</v>
      </c>
      <c r="E229" t="s">
        <v>2485</v>
      </c>
      <c r="F229">
        <v>37.74</v>
      </c>
      <c r="G229" s="5">
        <v>6.7</v>
      </c>
      <c r="H229" t="s">
        <v>7426</v>
      </c>
      <c r="I229">
        <v>3481217200</v>
      </c>
      <c r="J229">
        <v>111.7</v>
      </c>
      <c r="K229">
        <v>10.220000000000001</v>
      </c>
      <c r="L229" t="s">
        <v>2604</v>
      </c>
      <c r="M229" t="s">
        <v>7427</v>
      </c>
      <c r="N229" t="s">
        <v>343</v>
      </c>
      <c r="O229" t="s">
        <v>7428</v>
      </c>
      <c r="P229">
        <v>5.85</v>
      </c>
      <c r="Q229" t="s">
        <v>7428</v>
      </c>
      <c r="R229">
        <v>-1229963</v>
      </c>
      <c r="S229" s="5">
        <v>-2.6110000000000002</v>
      </c>
      <c r="T229" t="s">
        <v>7429</v>
      </c>
      <c r="U229">
        <v>20794903</v>
      </c>
      <c r="V229">
        <v>92242108</v>
      </c>
      <c r="W229">
        <v>1.22</v>
      </c>
      <c r="X229">
        <v>0.09</v>
      </c>
      <c r="Y229">
        <v>-4.1100000000000003</v>
      </c>
      <c r="Z229" t="s">
        <v>7430</v>
      </c>
      <c r="AA229" t="s">
        <v>7431</v>
      </c>
      <c r="AB229" t="s">
        <v>7432</v>
      </c>
      <c r="AC229" t="s">
        <v>7433</v>
      </c>
      <c r="AD229" t="s">
        <v>7434</v>
      </c>
      <c r="AE229">
        <v>345875</v>
      </c>
      <c r="AF229" t="s">
        <v>17</v>
      </c>
      <c r="AG229" t="s">
        <v>7435</v>
      </c>
      <c r="AH229" t="s">
        <v>7436</v>
      </c>
      <c r="AI229" t="s">
        <v>117</v>
      </c>
      <c r="AJ229" t="s">
        <v>9</v>
      </c>
      <c r="AK229" t="s">
        <v>9</v>
      </c>
      <c r="AL229" t="s">
        <v>7437</v>
      </c>
      <c r="AM229" t="s">
        <v>9</v>
      </c>
      <c r="AN229" t="s">
        <v>7438</v>
      </c>
      <c r="AO229" t="s">
        <v>9</v>
      </c>
      <c r="AP229" t="s">
        <v>9</v>
      </c>
      <c r="AQ229" t="s">
        <v>7439</v>
      </c>
      <c r="AR229" t="s">
        <v>9</v>
      </c>
      <c r="AS229" t="s">
        <v>7440</v>
      </c>
      <c r="AT229" t="s">
        <v>9</v>
      </c>
      <c r="AU229" t="s">
        <v>7441</v>
      </c>
      <c r="AV229" t="s">
        <v>7442</v>
      </c>
      <c r="AW229" t="s">
        <v>7443</v>
      </c>
      <c r="AX229" t="s">
        <v>287</v>
      </c>
      <c r="AY229" t="s">
        <v>441</v>
      </c>
      <c r="AZ229" t="s">
        <v>113</v>
      </c>
      <c r="BA229" t="s">
        <v>128</v>
      </c>
      <c r="BB229" t="s">
        <v>464</v>
      </c>
      <c r="BC229" t="s">
        <v>7444</v>
      </c>
      <c r="BD229" t="s">
        <v>2486</v>
      </c>
      <c r="BE229" t="s">
        <v>2487</v>
      </c>
      <c r="BF229" t="s">
        <v>2488</v>
      </c>
      <c r="BG229" t="s">
        <v>2489</v>
      </c>
      <c r="BH229" t="s">
        <v>131</v>
      </c>
      <c r="BI229" t="s">
        <v>2490</v>
      </c>
      <c r="BJ229" t="s">
        <v>287</v>
      </c>
      <c r="BK229" t="s">
        <v>7445</v>
      </c>
      <c r="BL229" t="s">
        <v>2491</v>
      </c>
      <c r="BM229" t="s">
        <v>7444</v>
      </c>
      <c r="BN229">
        <v>6.87</v>
      </c>
      <c r="BO229">
        <v>11.06</v>
      </c>
      <c r="BP229">
        <v>13.19</v>
      </c>
      <c r="BQ229">
        <v>7.77</v>
      </c>
      <c r="BR229">
        <v>12.66</v>
      </c>
      <c r="BS229">
        <v>13.85</v>
      </c>
      <c r="BT229" t="s">
        <v>7446</v>
      </c>
      <c r="BU229" t="s">
        <v>1008</v>
      </c>
      <c r="BV229">
        <v>47.86</v>
      </c>
      <c r="BW229">
        <v>51.06</v>
      </c>
      <c r="BX229">
        <v>55.38</v>
      </c>
      <c r="BY229">
        <v>16.510000000000002</v>
      </c>
      <c r="BZ229">
        <v>19.309999999999999</v>
      </c>
      <c r="CA229">
        <v>20</v>
      </c>
      <c r="CB229">
        <v>1.64</v>
      </c>
      <c r="CC229">
        <v>-15.21</v>
      </c>
      <c r="CD229" t="s">
        <v>7447</v>
      </c>
      <c r="CE229" t="s">
        <v>7448</v>
      </c>
      <c r="CF229" s="8">
        <v>-0.57220730844935297</v>
      </c>
      <c r="CG229" s="9">
        <v>-2.6110000000000002</v>
      </c>
      <c r="CH229" s="8">
        <v>-0.7968401312828064</v>
      </c>
      <c r="CI229" s="8">
        <v>2.7472527697682381E-2</v>
      </c>
      <c r="CJ229" s="8">
        <v>0.12345679104328156</v>
      </c>
      <c r="CK229" s="8">
        <v>6.2111802399158478E-3</v>
      </c>
      <c r="CL229" s="8">
        <v>0.10273972898721695</v>
      </c>
      <c r="CM229" s="9">
        <v>-1.0342627763748169</v>
      </c>
      <c r="CN229" s="9">
        <v>4.9215111881494522E-2</v>
      </c>
      <c r="CO229" s="9">
        <v>6.0022864490747452E-2</v>
      </c>
      <c r="CP229" s="9">
        <v>0.13513979315757751</v>
      </c>
      <c r="CQ229" s="9">
        <v>0.69479906558990479</v>
      </c>
      <c r="CR229">
        <v>-8.8352115058527403</v>
      </c>
      <c r="CS229" t="e">
        <v>#DIV/0!</v>
      </c>
      <c r="CT229">
        <v>0.47684446210916798</v>
      </c>
      <c r="CU229" s="8">
        <v>0</v>
      </c>
      <c r="CV229" s="9">
        <v>0</v>
      </c>
      <c r="CW229">
        <v>0.06</v>
      </c>
      <c r="CX229" t="e">
        <v>#VALUE!</v>
      </c>
      <c r="CY229" t="s">
        <v>85</v>
      </c>
      <c r="CZ229">
        <v>0</v>
      </c>
      <c r="DA229" t="e">
        <v>#VALUE!</v>
      </c>
      <c r="DB229" t="s">
        <v>84</v>
      </c>
      <c r="DC229">
        <v>0</v>
      </c>
      <c r="DD229" t="e">
        <v>#VALUE!</v>
      </c>
      <c r="DE229" t="s">
        <v>84</v>
      </c>
      <c r="DF229">
        <v>0</v>
      </c>
      <c r="DG229" t="e">
        <v>#VALUE!</v>
      </c>
      <c r="DH229" t="s">
        <v>84</v>
      </c>
      <c r="DI229">
        <v>0</v>
      </c>
      <c r="DJ229" t="e">
        <v>#VALUE!</v>
      </c>
      <c r="DK229" t="s">
        <v>84</v>
      </c>
      <c r="DL229">
        <v>0</v>
      </c>
      <c r="DM229">
        <v>-1230000</v>
      </c>
      <c r="DN229">
        <v>0</v>
      </c>
      <c r="DO229">
        <v>3210805500</v>
      </c>
      <c r="DP229">
        <v>231767310</v>
      </c>
      <c r="DQ229">
        <v>228</v>
      </c>
      <c r="DR229">
        <v>-0.57220730844935297</v>
      </c>
      <c r="DS229">
        <v>-2.6110000000000002</v>
      </c>
      <c r="DT229">
        <v>-0.44</v>
      </c>
      <c r="DU229" t="e">
        <v>#VALUE!</v>
      </c>
      <c r="DV229" t="e">
        <v>#VALUE!</v>
      </c>
      <c r="DW229">
        <v>-2.1520999999999999</v>
      </c>
      <c r="DX229">
        <v>0.88165317906063589</v>
      </c>
      <c r="DY229">
        <v>-2.0245874485351223</v>
      </c>
      <c r="DZ229">
        <v>0</v>
      </c>
      <c r="EA229">
        <v>-2.0245874485351223</v>
      </c>
      <c r="EB229">
        <v>2</v>
      </c>
      <c r="EC229">
        <v>7.7851646668786023E-2</v>
      </c>
      <c r="ED229">
        <v>0.4815967562233075</v>
      </c>
      <c r="EE229">
        <v>0</v>
      </c>
      <c r="EF229">
        <v>0</v>
      </c>
      <c r="EG229">
        <v>72.161653179060636</v>
      </c>
      <c r="EH229" t="s">
        <v>86</v>
      </c>
      <c r="EI229">
        <v>0</v>
      </c>
      <c r="EJ229">
        <v>0</v>
      </c>
      <c r="EK229">
        <v>0</v>
      </c>
      <c r="EL229">
        <v>0</v>
      </c>
      <c r="EM229">
        <v>0</v>
      </c>
      <c r="EN229">
        <v>0</v>
      </c>
      <c r="EO229">
        <v>0</v>
      </c>
      <c r="EP229">
        <v>0</v>
      </c>
    </row>
    <row r="230" spans="1:146" ht="96" x14ac:dyDescent="0.25">
      <c r="A230" s="10"/>
      <c r="B230" s="10"/>
      <c r="C230" s="7" t="str">
        <f>""&amp;CHAR(10)&amp;Basic_Fundamental_Information_Constructure(F230)&amp;CHAR(10)&amp;Basic_Fundamental_Information_Concatenate("")</f>
        <v xml:space="preserve">
市值6.791568亿, 利润1733.57万; PE27.72; 平均PE-18.19, PB2.61; ROIC25.265%; ROE48.96%; 股利率2.1951%; 毛利24.04%; 净利9.0933%; 上一年度营收增-66.67%, 利润增-60.69%; 当季营收增-7.48%, 利润增0%; 过往5年营收增0%, 利润增0%
Income profile:
</v>
      </c>
      <c r="D230">
        <v>873132</v>
      </c>
      <c r="E230" t="s">
        <v>2492</v>
      </c>
      <c r="F230">
        <v>8.1999999999999993</v>
      </c>
      <c r="G230" s="5">
        <v>-0.73</v>
      </c>
      <c r="H230" t="s">
        <v>7449</v>
      </c>
      <c r="I230">
        <v>679156800</v>
      </c>
      <c r="J230">
        <v>27.72</v>
      </c>
      <c r="K230">
        <v>2.61</v>
      </c>
      <c r="L230" t="s">
        <v>2604</v>
      </c>
      <c r="M230" t="s">
        <v>227</v>
      </c>
      <c r="N230" t="s">
        <v>23</v>
      </c>
      <c r="O230" t="s">
        <v>59</v>
      </c>
      <c r="P230">
        <v>1.67</v>
      </c>
      <c r="Q230" t="s">
        <v>59</v>
      </c>
      <c r="R230">
        <v>17335650</v>
      </c>
      <c r="S230" s="5">
        <v>0</v>
      </c>
      <c r="T230" t="s">
        <v>7450</v>
      </c>
      <c r="U230">
        <v>14471660</v>
      </c>
      <c r="V230">
        <v>59160000</v>
      </c>
      <c r="W230">
        <v>1.53</v>
      </c>
      <c r="X230">
        <v>0.34</v>
      </c>
      <c r="Y230">
        <v>12.78</v>
      </c>
      <c r="Z230" t="s">
        <v>154</v>
      </c>
      <c r="AA230" t="s">
        <v>37</v>
      </c>
      <c r="AB230" t="s">
        <v>7451</v>
      </c>
      <c r="AC230" t="s">
        <v>7452</v>
      </c>
      <c r="AD230" t="s">
        <v>7453</v>
      </c>
      <c r="AE230">
        <v>1824307</v>
      </c>
      <c r="AF230" t="s">
        <v>7454</v>
      </c>
      <c r="AG230">
        <v>1960</v>
      </c>
      <c r="AH230" t="s">
        <v>7455</v>
      </c>
      <c r="AI230" t="s">
        <v>272</v>
      </c>
      <c r="AJ230" t="s">
        <v>9</v>
      </c>
      <c r="AK230" t="s">
        <v>9</v>
      </c>
      <c r="AL230" t="s">
        <v>7456</v>
      </c>
      <c r="AM230" t="s">
        <v>9</v>
      </c>
      <c r="AN230">
        <v>0</v>
      </c>
      <c r="AO230" t="s">
        <v>7457</v>
      </c>
      <c r="AP230" t="s">
        <v>7458</v>
      </c>
      <c r="AQ230" t="s">
        <v>7459</v>
      </c>
      <c r="AR230" t="s">
        <v>9</v>
      </c>
      <c r="AS230" t="s">
        <v>59</v>
      </c>
      <c r="AT230" t="s">
        <v>9</v>
      </c>
      <c r="AU230" t="s">
        <v>7460</v>
      </c>
      <c r="AV230" t="s">
        <v>7461</v>
      </c>
      <c r="AW230" t="s">
        <v>7462</v>
      </c>
      <c r="AX230" t="s">
        <v>323</v>
      </c>
      <c r="AY230" t="s">
        <v>35</v>
      </c>
      <c r="AZ230" t="s">
        <v>174</v>
      </c>
      <c r="BA230" t="s">
        <v>373</v>
      </c>
      <c r="BB230" t="s">
        <v>395</v>
      </c>
      <c r="BC230" t="s">
        <v>2493</v>
      </c>
      <c r="BD230" t="s">
        <v>2494</v>
      </c>
      <c r="BE230" t="s">
        <v>2495</v>
      </c>
      <c r="BF230" t="s">
        <v>2496</v>
      </c>
      <c r="BG230" t="s">
        <v>2497</v>
      </c>
      <c r="BH230" t="s">
        <v>491</v>
      </c>
      <c r="BI230" t="s">
        <v>328</v>
      </c>
      <c r="BJ230" t="s">
        <v>323</v>
      </c>
      <c r="BK230" t="s">
        <v>7463</v>
      </c>
      <c r="BL230" t="s">
        <v>2498</v>
      </c>
      <c r="BM230" t="s">
        <v>2493</v>
      </c>
      <c r="BN230" t="s">
        <v>9</v>
      </c>
      <c r="BO230">
        <v>28.6</v>
      </c>
      <c r="BP230">
        <v>21.93</v>
      </c>
      <c r="BQ230" t="s">
        <v>9</v>
      </c>
      <c r="BR230">
        <v>48.96</v>
      </c>
      <c r="BS230" t="s">
        <v>9</v>
      </c>
      <c r="BT230" t="s">
        <v>7464</v>
      </c>
      <c r="BU230" t="s">
        <v>1659</v>
      </c>
      <c r="BV230">
        <v>28.76</v>
      </c>
      <c r="BW230">
        <v>26.61</v>
      </c>
      <c r="BX230">
        <v>16.75</v>
      </c>
      <c r="BY230">
        <v>10.85</v>
      </c>
      <c r="BZ230">
        <v>10.79</v>
      </c>
      <c r="CA230">
        <v>5.64</v>
      </c>
      <c r="CB230">
        <v>3.14</v>
      </c>
      <c r="CC230">
        <v>-8.16</v>
      </c>
      <c r="CD230" t="s">
        <v>6883</v>
      </c>
      <c r="CE230" t="s">
        <v>7465</v>
      </c>
      <c r="CF230" s="8">
        <v>-7.4829931972789115E-2</v>
      </c>
      <c r="CG230" s="9">
        <v>0</v>
      </c>
      <c r="CH230" s="8">
        <v>-0.66666668653488159</v>
      </c>
      <c r="CI230" s="8">
        <v>-0.1355932205915451</v>
      </c>
      <c r="CJ230" s="8">
        <v>0.6445993185043335</v>
      </c>
      <c r="CK230" s="8">
        <v>0.68823528289794922</v>
      </c>
      <c r="CL230" s="8">
        <v>-6.077348068356514E-2</v>
      </c>
      <c r="CM230" s="9">
        <v>-0.6068529486656189</v>
      </c>
      <c r="CN230" s="9">
        <v>0.65474057197570801</v>
      </c>
      <c r="CO230" s="9">
        <v>0.43924623727798462</v>
      </c>
      <c r="CP230" s="9">
        <v>5.0031452178955078</v>
      </c>
      <c r="CQ230" s="9">
        <v>-0.3438151478767395</v>
      </c>
      <c r="CR230">
        <v>-18.192130438800561</v>
      </c>
      <c r="CS230" t="e">
        <v>#DIV/0!</v>
      </c>
      <c r="CT230">
        <v>2.1951219512195124</v>
      </c>
      <c r="CU230" s="8">
        <v>0</v>
      </c>
      <c r="CV230" s="9">
        <v>0</v>
      </c>
      <c r="CW230">
        <v>0.06</v>
      </c>
      <c r="CX230">
        <v>35.290539637857144</v>
      </c>
      <c r="CY230">
        <v>16354433.962264149</v>
      </c>
      <c r="CZ230">
        <v>0</v>
      </c>
      <c r="DA230">
        <v>12.455223752071957</v>
      </c>
      <c r="DB230">
        <v>46338533.252282083</v>
      </c>
      <c r="DC230">
        <v>0</v>
      </c>
      <c r="DD230">
        <v>6.7705442462755787</v>
      </c>
      <c r="DE230">
        <v>85245259.318331644</v>
      </c>
      <c r="DF230">
        <v>0</v>
      </c>
      <c r="DG230">
        <v>4.5234467595199757</v>
      </c>
      <c r="DH230">
        <v>127592261.09720974</v>
      </c>
      <c r="DI230">
        <v>0</v>
      </c>
      <c r="DJ230">
        <v>2.9026321356609355</v>
      </c>
      <c r="DK230">
        <v>198839113.26868162</v>
      </c>
      <c r="DL230">
        <v>0</v>
      </c>
      <c r="DM230">
        <v>17335700</v>
      </c>
      <c r="DN230">
        <v>0</v>
      </c>
      <c r="DO230">
        <v>577156800</v>
      </c>
      <c r="DP230">
        <v>157130890</v>
      </c>
      <c r="DQ230">
        <v>229</v>
      </c>
      <c r="DR230">
        <v>-7.4829931972789115E-2</v>
      </c>
      <c r="DS230">
        <v>0</v>
      </c>
      <c r="DT230">
        <v>-0.44</v>
      </c>
      <c r="DU230">
        <v>-0.22</v>
      </c>
      <c r="DV230">
        <v>-0.66</v>
      </c>
      <c r="DW230">
        <v>6.2778761061946904</v>
      </c>
      <c r="DX230">
        <v>0.31809267872157065</v>
      </c>
      <c r="DY230">
        <v>6.0522664611668784</v>
      </c>
      <c r="DZ230">
        <v>0</v>
      </c>
      <c r="EA230">
        <v>6.0522664611668784</v>
      </c>
      <c r="EB230">
        <v>6</v>
      </c>
      <c r="EC230">
        <v>5.9746450304259638E-2</v>
      </c>
      <c r="ED230">
        <v>0.31764367816091954</v>
      </c>
      <c r="EE230">
        <v>0</v>
      </c>
      <c r="EF230">
        <v>0</v>
      </c>
      <c r="EG230">
        <v>13.188092678721571</v>
      </c>
      <c r="EH230" t="s">
        <v>86</v>
      </c>
      <c r="EI230">
        <v>0</v>
      </c>
      <c r="EJ230">
        <v>0</v>
      </c>
      <c r="EK230">
        <v>0</v>
      </c>
      <c r="EL230">
        <v>0</v>
      </c>
      <c r="EM230">
        <v>0</v>
      </c>
      <c r="EN230">
        <v>0</v>
      </c>
      <c r="EO230">
        <v>0</v>
      </c>
      <c r="EP230">
        <v>0</v>
      </c>
    </row>
    <row r="231" spans="1:146" ht="108" x14ac:dyDescent="0.25">
      <c r="A231" s="10"/>
      <c r="B231" s="10"/>
      <c r="C231" s="7" t="str">
        <f>""&amp;CHAR(10)&amp;Basic_Fundamental_Information_Constructure(F231)&amp;CHAR(10)&amp;Basic_Fundamental_Information_Concatenate("")</f>
        <v xml:space="preserve">
市值7.1136911亿, 利润195.81万; PE73.61; 平均PE.41, PB2.72; ROIC17.7267%; ROE14.18%; 股利率.5772%; 毛利14.85%; 净利6.7167%; 上一年度营收增-73.65%, 利润增-93.93%; 当季营收增-20.26%, 利润增-52.06%; 过往5年营收增0%, 利润增0%
Income profile:
</v>
      </c>
      <c r="D231">
        <v>873152</v>
      </c>
      <c r="E231" t="s">
        <v>2499</v>
      </c>
      <c r="F231">
        <v>6.93</v>
      </c>
      <c r="G231" s="5">
        <v>-3.48</v>
      </c>
      <c r="H231" t="s">
        <v>7466</v>
      </c>
      <c r="I231">
        <v>711369110</v>
      </c>
      <c r="J231">
        <v>73.61</v>
      </c>
      <c r="K231">
        <v>2.72</v>
      </c>
      <c r="L231" t="s">
        <v>2604</v>
      </c>
      <c r="M231" t="s">
        <v>154</v>
      </c>
      <c r="N231" t="s">
        <v>547</v>
      </c>
      <c r="O231" t="s">
        <v>7467</v>
      </c>
      <c r="P231">
        <v>69.59</v>
      </c>
      <c r="Q231" t="s">
        <v>7467</v>
      </c>
      <c r="R231">
        <v>1958129</v>
      </c>
      <c r="S231" s="5">
        <v>-0.52059999999999995</v>
      </c>
      <c r="T231" t="s">
        <v>6205</v>
      </c>
      <c r="U231">
        <v>38891612</v>
      </c>
      <c r="V231">
        <v>102650665</v>
      </c>
      <c r="W231">
        <v>1.57</v>
      </c>
      <c r="X231">
        <v>0.24</v>
      </c>
      <c r="Y231">
        <v>1.51</v>
      </c>
      <c r="Z231" t="s">
        <v>7468</v>
      </c>
      <c r="AA231" t="s">
        <v>7469</v>
      </c>
      <c r="AB231" t="s">
        <v>7470</v>
      </c>
      <c r="AC231" t="s">
        <v>7471</v>
      </c>
      <c r="AD231" t="s">
        <v>7472</v>
      </c>
      <c r="AE231">
        <v>29570</v>
      </c>
      <c r="AF231" t="s">
        <v>7473</v>
      </c>
      <c r="AG231" t="s">
        <v>7474</v>
      </c>
      <c r="AH231" t="s">
        <v>7475</v>
      </c>
      <c r="AI231" t="s">
        <v>29</v>
      </c>
      <c r="AJ231" t="s">
        <v>9</v>
      </c>
      <c r="AK231" t="s">
        <v>9</v>
      </c>
      <c r="AL231" t="s">
        <v>7476</v>
      </c>
      <c r="AM231" t="s">
        <v>9</v>
      </c>
      <c r="AN231" t="s">
        <v>7477</v>
      </c>
      <c r="AO231" t="s">
        <v>7478</v>
      </c>
      <c r="AP231" t="s">
        <v>7479</v>
      </c>
      <c r="AQ231" t="s">
        <v>7480</v>
      </c>
      <c r="AR231" t="s">
        <v>9</v>
      </c>
      <c r="AS231" t="s">
        <v>318</v>
      </c>
      <c r="AT231" t="s">
        <v>9</v>
      </c>
      <c r="AU231" t="s">
        <v>7481</v>
      </c>
      <c r="AV231" t="s">
        <v>7482</v>
      </c>
      <c r="AW231" t="s">
        <v>7483</v>
      </c>
      <c r="AX231" t="s">
        <v>244</v>
      </c>
      <c r="AY231" t="s">
        <v>387</v>
      </c>
      <c r="AZ231" t="s">
        <v>447</v>
      </c>
      <c r="BA231" t="s">
        <v>167</v>
      </c>
      <c r="BB231" t="s">
        <v>2501</v>
      </c>
      <c r="BC231" t="s">
        <v>2500</v>
      </c>
      <c r="BD231" t="s">
        <v>2502</v>
      </c>
      <c r="BE231" t="s">
        <v>2503</v>
      </c>
      <c r="BF231" t="s">
        <v>2504</v>
      </c>
      <c r="BG231" t="s">
        <v>2505</v>
      </c>
      <c r="BH231" t="s">
        <v>174</v>
      </c>
      <c r="BI231" t="s">
        <v>99</v>
      </c>
      <c r="BJ231" t="s">
        <v>244</v>
      </c>
      <c r="BK231" t="s">
        <v>7484</v>
      </c>
      <c r="BL231" t="s">
        <v>2506</v>
      </c>
      <c r="BM231" t="s">
        <v>2500</v>
      </c>
      <c r="BN231">
        <v>3.3</v>
      </c>
      <c r="BO231">
        <v>21.2</v>
      </c>
      <c r="BP231">
        <v>28.68</v>
      </c>
      <c r="BQ231">
        <v>3.01</v>
      </c>
      <c r="BR231">
        <v>25.35</v>
      </c>
      <c r="BS231" t="s">
        <v>9</v>
      </c>
      <c r="BT231" t="s">
        <v>1140</v>
      </c>
      <c r="BU231" t="s">
        <v>915</v>
      </c>
      <c r="BV231">
        <v>10.94</v>
      </c>
      <c r="BW231">
        <v>16.010000000000002</v>
      </c>
      <c r="BX231">
        <v>17.600000000000001</v>
      </c>
      <c r="BY231">
        <v>3.79</v>
      </c>
      <c r="BZ231">
        <v>9.0399999999999991</v>
      </c>
      <c r="CA231">
        <v>7.32</v>
      </c>
      <c r="CB231">
        <v>-1.1399999999999999</v>
      </c>
      <c r="CC231">
        <v>-9.2899999999999991</v>
      </c>
      <c r="CD231" t="s">
        <v>7485</v>
      </c>
      <c r="CE231" t="s">
        <v>7486</v>
      </c>
      <c r="CF231" s="8">
        <v>-0.20260512820512822</v>
      </c>
      <c r="CG231" s="9">
        <v>-0.52059999999999995</v>
      </c>
      <c r="CH231" s="8">
        <v>-0.73645424842834473</v>
      </c>
      <c r="CI231" s="8">
        <v>-4.5822102576494217E-2</v>
      </c>
      <c r="CJ231" s="8">
        <v>0.57872343063354492</v>
      </c>
      <c r="CK231" s="8">
        <v>0.74074071645736694</v>
      </c>
      <c r="CL231" s="8">
        <v>0.57393288612365723</v>
      </c>
      <c r="CM231" s="9">
        <v>-0.93932700157165527</v>
      </c>
      <c r="CN231" s="9">
        <v>0.18646372854709625</v>
      </c>
      <c r="CO231" s="9">
        <v>0.29879865050315857</v>
      </c>
      <c r="CP231" s="9">
        <v>7.9451160430908203</v>
      </c>
      <c r="CQ231" s="9">
        <v>4.7695908546447754</v>
      </c>
      <c r="CR231">
        <v>0.40906956105181214</v>
      </c>
      <c r="CS231" t="e">
        <v>#DIV/0!</v>
      </c>
      <c r="CT231">
        <v>0.57720057720057727</v>
      </c>
      <c r="CU231" s="8">
        <v>0</v>
      </c>
      <c r="CV231" s="9">
        <v>0</v>
      </c>
      <c r="CW231">
        <v>0.06</v>
      </c>
      <c r="CX231">
        <v>304.43351034165772</v>
      </c>
      <c r="CY231">
        <v>1847264.1509433961</v>
      </c>
      <c r="CZ231">
        <v>0</v>
      </c>
      <c r="DA231">
        <v>107.44487128404532</v>
      </c>
      <c r="DB231">
        <v>5234024.6982408287</v>
      </c>
      <c r="DC231">
        <v>0</v>
      </c>
      <c r="DD231">
        <v>58.406036659357348</v>
      </c>
      <c r="DE231">
        <v>9628612.7627511546</v>
      </c>
      <c r="DF231">
        <v>0</v>
      </c>
      <c r="DG231">
        <v>39.021471192438817</v>
      </c>
      <c r="DH231">
        <v>14411786.455375116</v>
      </c>
      <c r="DI231">
        <v>0</v>
      </c>
      <c r="DJ231">
        <v>25.039528988721852</v>
      </c>
      <c r="DK231">
        <v>22459252.738072619</v>
      </c>
      <c r="DL231">
        <v>0</v>
      </c>
      <c r="DM231">
        <v>1958100</v>
      </c>
      <c r="DN231">
        <v>0</v>
      </c>
      <c r="DO231">
        <v>562369110</v>
      </c>
      <c r="DP231">
        <v>201234090</v>
      </c>
      <c r="DQ231">
        <v>230</v>
      </c>
      <c r="DR231">
        <v>-0.20260512820512822</v>
      </c>
      <c r="DS231">
        <v>-0.52059999999999995</v>
      </c>
      <c r="DT231">
        <v>-0.44</v>
      </c>
      <c r="DU231">
        <v>-0.44</v>
      </c>
      <c r="DV231">
        <v>-0.88</v>
      </c>
      <c r="DW231">
        <v>-2.0929000000000002</v>
      </c>
      <c r="DX231">
        <v>0.54845601671899857</v>
      </c>
      <c r="DY231">
        <v>-2.0156495639531951</v>
      </c>
      <c r="DZ231">
        <v>0</v>
      </c>
      <c r="EA231">
        <v>-2.0156495639531951</v>
      </c>
      <c r="EB231">
        <v>2</v>
      </c>
      <c r="EC231">
        <v>8.1272732134760162E-2</v>
      </c>
      <c r="ED231">
        <v>0.4824566893940726</v>
      </c>
      <c r="EE231">
        <v>0</v>
      </c>
      <c r="EF231">
        <v>0</v>
      </c>
      <c r="EG231">
        <v>38.168456016718999</v>
      </c>
      <c r="EH231" t="s">
        <v>86</v>
      </c>
      <c r="EI231">
        <v>0</v>
      </c>
      <c r="EJ231">
        <v>0</v>
      </c>
      <c r="EK231">
        <v>0</v>
      </c>
      <c r="EL231">
        <v>0</v>
      </c>
      <c r="EM231">
        <v>0</v>
      </c>
      <c r="EN231">
        <v>0</v>
      </c>
      <c r="EO231">
        <v>0</v>
      </c>
      <c r="EP231">
        <v>0</v>
      </c>
    </row>
    <row r="232" spans="1:146" ht="108" x14ac:dyDescent="0.25">
      <c r="A232" s="10"/>
      <c r="B232" s="10"/>
      <c r="C232" s="7" t="str">
        <f>""&amp;CHAR(10)&amp;Basic_Fundamental_Information_Constructure(F232)&amp;CHAR(10)&amp;Basic_Fundamental_Information_Concatenate("")</f>
        <v xml:space="preserve">
市值6.8239384亿, 利润1358.31万; PE16.07; 平均PE7.57, PB1.41; ROIC16.4467%; ROE13.71%; 股利率1.0384%; 毛利45.7467%; 净利22.6767%; 上一年度营收增-81.11%, 利润增-70.68%; 当季营收增-67.6%, 利润增-18.56%; 过往5年营收增0%, 利润增0%
Income profile:
</v>
      </c>
      <c r="D232">
        <v>873167</v>
      </c>
      <c r="E232" t="s">
        <v>2507</v>
      </c>
      <c r="F232">
        <v>9.6300000000000008</v>
      </c>
      <c r="G232" s="5">
        <v>-4.18</v>
      </c>
      <c r="H232" t="s">
        <v>7487</v>
      </c>
      <c r="I232">
        <v>682393840</v>
      </c>
      <c r="J232">
        <v>16.07</v>
      </c>
      <c r="K232">
        <v>1.41</v>
      </c>
      <c r="L232" t="s">
        <v>2604</v>
      </c>
      <c r="M232" t="s">
        <v>7488</v>
      </c>
      <c r="N232" t="s">
        <v>385</v>
      </c>
      <c r="O232" t="s">
        <v>7489</v>
      </c>
      <c r="P232">
        <v>-42.43</v>
      </c>
      <c r="Q232" t="s">
        <v>7489</v>
      </c>
      <c r="R232">
        <v>13583142</v>
      </c>
      <c r="S232" s="5">
        <v>-0.18559999999999999</v>
      </c>
      <c r="T232" t="s">
        <v>7490</v>
      </c>
      <c r="U232">
        <v>19647450</v>
      </c>
      <c r="V232">
        <v>70861250</v>
      </c>
      <c r="W232">
        <v>1.0900000000000001</v>
      </c>
      <c r="X232">
        <v>0.08</v>
      </c>
      <c r="Y232">
        <v>33.21</v>
      </c>
      <c r="Z232" t="s">
        <v>7491</v>
      </c>
      <c r="AA232" t="s">
        <v>7492</v>
      </c>
      <c r="AB232" t="s">
        <v>7493</v>
      </c>
      <c r="AC232" t="s">
        <v>7494</v>
      </c>
      <c r="AD232" t="s">
        <v>7495</v>
      </c>
      <c r="AE232">
        <v>555711</v>
      </c>
      <c r="AF232" t="s">
        <v>7496</v>
      </c>
      <c r="AG232">
        <v>4482.62</v>
      </c>
      <c r="AH232" t="s">
        <v>7497</v>
      </c>
      <c r="AI232" t="s">
        <v>72</v>
      </c>
      <c r="AJ232" t="s">
        <v>9</v>
      </c>
      <c r="AK232" t="s">
        <v>9</v>
      </c>
      <c r="AL232" t="s">
        <v>7498</v>
      </c>
      <c r="AM232" t="s">
        <v>9</v>
      </c>
      <c r="AN232" t="s">
        <v>7499</v>
      </c>
      <c r="AO232" t="s">
        <v>9</v>
      </c>
      <c r="AP232" t="s">
        <v>9</v>
      </c>
      <c r="AQ232" t="s">
        <v>7500</v>
      </c>
      <c r="AR232" t="s">
        <v>9</v>
      </c>
      <c r="AS232" t="s">
        <v>7501</v>
      </c>
      <c r="AT232" t="s">
        <v>9</v>
      </c>
      <c r="AU232" t="s">
        <v>7502</v>
      </c>
      <c r="AV232" t="s">
        <v>7503</v>
      </c>
      <c r="AW232" t="s">
        <v>7504</v>
      </c>
      <c r="AX232" t="s">
        <v>100</v>
      </c>
      <c r="AY232" t="s">
        <v>576</v>
      </c>
      <c r="AZ232" t="s">
        <v>377</v>
      </c>
      <c r="BA232" t="s">
        <v>229</v>
      </c>
      <c r="BB232" t="s">
        <v>114</v>
      </c>
      <c r="BC232" t="s">
        <v>2508</v>
      </c>
      <c r="BD232" t="s">
        <v>2509</v>
      </c>
      <c r="BE232" t="s">
        <v>2510</v>
      </c>
      <c r="BF232" t="s">
        <v>2511</v>
      </c>
      <c r="BG232" t="s">
        <v>2512</v>
      </c>
      <c r="BH232" t="s">
        <v>470</v>
      </c>
      <c r="BI232" t="s">
        <v>21</v>
      </c>
      <c r="BJ232" t="s">
        <v>100</v>
      </c>
      <c r="BK232" t="s">
        <v>7505</v>
      </c>
      <c r="BL232" t="s">
        <v>2513</v>
      </c>
      <c r="BM232" t="s">
        <v>2508</v>
      </c>
      <c r="BN232">
        <v>9.9700000000000006</v>
      </c>
      <c r="BO232">
        <v>17.440000000000001</v>
      </c>
      <c r="BP232">
        <v>21.93</v>
      </c>
      <c r="BQ232">
        <v>9.2799999999999994</v>
      </c>
      <c r="BR232">
        <v>18.14</v>
      </c>
      <c r="BS232" t="s">
        <v>9</v>
      </c>
      <c r="BT232" t="s">
        <v>886</v>
      </c>
      <c r="BU232" t="s">
        <v>853</v>
      </c>
      <c r="BV232">
        <v>47.15</v>
      </c>
      <c r="BW232">
        <v>46.07</v>
      </c>
      <c r="BX232">
        <v>44.02</v>
      </c>
      <c r="BY232">
        <v>20.56</v>
      </c>
      <c r="BZ232">
        <v>21.86</v>
      </c>
      <c r="CA232">
        <v>25.61</v>
      </c>
      <c r="CB232">
        <v>2.88</v>
      </c>
      <c r="CC232">
        <v>-6.6</v>
      </c>
      <c r="CD232" t="s">
        <v>7506</v>
      </c>
      <c r="CE232" t="s">
        <v>7507</v>
      </c>
      <c r="CF232" s="8">
        <v>-0.67601056910569102</v>
      </c>
      <c r="CG232" s="9">
        <v>-0.18559999999999999</v>
      </c>
      <c r="CH232" s="8">
        <v>-0.81113409996032715</v>
      </c>
      <c r="CI232" s="8">
        <v>1.4423076994717121E-2</v>
      </c>
      <c r="CJ232" s="8">
        <v>0.13661202788352966</v>
      </c>
      <c r="CK232" s="8">
        <v>0.12269938737154007</v>
      </c>
      <c r="CL232" s="8">
        <v>8.6666665971279144E-2</v>
      </c>
      <c r="CM232" s="9">
        <v>-0.70676976442337036</v>
      </c>
      <c r="CN232" s="9">
        <v>-0.15517738461494446</v>
      </c>
      <c r="CO232" s="9">
        <v>0.18863281607627869</v>
      </c>
      <c r="CP232" s="9">
        <v>0.74119478464126587</v>
      </c>
      <c r="CQ232" s="9">
        <v>-0.48219344019889832</v>
      </c>
      <c r="CR232">
        <v>7.5672365124675522</v>
      </c>
      <c r="CS232" t="e">
        <v>#DIV/0!</v>
      </c>
      <c r="CT232">
        <v>1.0384215991692627</v>
      </c>
      <c r="CU232" s="8">
        <v>0</v>
      </c>
      <c r="CV232" s="9">
        <v>0</v>
      </c>
      <c r="CW232">
        <v>0.06</v>
      </c>
      <c r="CX232">
        <v>19.010197996039199</v>
      </c>
      <c r="CY232">
        <v>12814245.283018867</v>
      </c>
      <c r="CZ232">
        <v>0</v>
      </c>
      <c r="DA232">
        <v>6.7093411447259834</v>
      </c>
      <c r="DB232">
        <v>36307788.610732347</v>
      </c>
      <c r="DC232">
        <v>0</v>
      </c>
      <c r="DD232">
        <v>3.6471356908516239</v>
      </c>
      <c r="DE232">
        <v>66792508.052563816</v>
      </c>
      <c r="DF232">
        <v>0</v>
      </c>
      <c r="DG232">
        <v>2.4366762142330929</v>
      </c>
      <c r="DH232">
        <v>99972798.428070948</v>
      </c>
      <c r="DI232">
        <v>0</v>
      </c>
      <c r="DJ232">
        <v>1.5635808399310447</v>
      </c>
      <c r="DK232">
        <v>155797086.90389365</v>
      </c>
      <c r="DL232">
        <v>0</v>
      </c>
      <c r="DM232">
        <v>13583100</v>
      </c>
      <c r="DN232">
        <v>0</v>
      </c>
      <c r="DO232">
        <v>243601340</v>
      </c>
      <c r="DP232">
        <v>299377370</v>
      </c>
      <c r="DQ232">
        <v>231</v>
      </c>
      <c r="DR232">
        <v>-0.67601056910569102</v>
      </c>
      <c r="DS232">
        <v>-0.18559999999999999</v>
      </c>
      <c r="DT232">
        <v>-0.44</v>
      </c>
      <c r="DU232">
        <v>-0.22</v>
      </c>
      <c r="DV232">
        <v>-0.66</v>
      </c>
      <c r="DW232">
        <v>6.3037974683544302</v>
      </c>
      <c r="DX232">
        <v>0.57238171174493602</v>
      </c>
      <c r="DY232">
        <v>6.1343944440744114</v>
      </c>
      <c r="DZ232">
        <v>0</v>
      </c>
      <c r="EA232">
        <v>6.1343944440744114</v>
      </c>
      <c r="EB232">
        <v>6</v>
      </c>
      <c r="EC232">
        <v>0.12018698512939018</v>
      </c>
      <c r="ED232">
        <v>0.27168163135705342</v>
      </c>
      <c r="EE232">
        <v>0</v>
      </c>
      <c r="EF232">
        <v>0</v>
      </c>
      <c r="EG232">
        <v>13.442381711744936</v>
      </c>
      <c r="EH232" t="s">
        <v>86</v>
      </c>
      <c r="EI232">
        <v>0</v>
      </c>
      <c r="EJ232">
        <v>0</v>
      </c>
      <c r="EK232">
        <v>0</v>
      </c>
      <c r="EL232">
        <v>0</v>
      </c>
      <c r="EM232">
        <v>0</v>
      </c>
      <c r="EN232">
        <v>0</v>
      </c>
      <c r="EO232">
        <v>0</v>
      </c>
      <c r="EP232">
        <v>0</v>
      </c>
    </row>
    <row r="233" spans="1:146" ht="108" x14ac:dyDescent="0.25">
      <c r="A233" s="10"/>
      <c r="B233" s="10"/>
      <c r="C233" s="7" t="str">
        <f>""&amp;CHAR(10)&amp;Basic_Fundamental_Information_Constructure(F233)&amp;CHAR(10)&amp;Basic_Fundamental_Information_Concatenate("")</f>
        <v xml:space="preserve">
市值4.7147373亿, 利润161.21万; PE29.87; 平均PE2.93, PB1.51; ROIC16.25%; ROE15.9067%; 股利率1.7544%; 毛利28.07%; 净利15.55%; 上一年度营收增-82.71%, 利润增-95.66%; 当季营收增-54.84%, 利润增-70.48%; 过往5年营收增0%, 利润增0%
Income profile:
</v>
      </c>
      <c r="D233">
        <v>873169</v>
      </c>
      <c r="E233" t="s">
        <v>2514</v>
      </c>
      <c r="F233">
        <v>5.7</v>
      </c>
      <c r="G233" s="5">
        <v>-4.3600000000000003</v>
      </c>
      <c r="H233" t="s">
        <v>5771</v>
      </c>
      <c r="I233">
        <v>471473730</v>
      </c>
      <c r="J233">
        <v>29.87</v>
      </c>
      <c r="K233">
        <v>1.51</v>
      </c>
      <c r="L233" t="s">
        <v>2604</v>
      </c>
      <c r="M233" t="s">
        <v>7508</v>
      </c>
      <c r="N233" t="s">
        <v>243</v>
      </c>
      <c r="O233" t="s">
        <v>7509</v>
      </c>
      <c r="P233">
        <v>11.35</v>
      </c>
      <c r="Q233" t="s">
        <v>7509</v>
      </c>
      <c r="R233">
        <v>1612122</v>
      </c>
      <c r="S233" s="5">
        <v>-0.70479999999999998</v>
      </c>
      <c r="T233" t="s">
        <v>7510</v>
      </c>
      <c r="U233">
        <v>50484240</v>
      </c>
      <c r="V233">
        <v>82714690</v>
      </c>
      <c r="W233">
        <v>1.1599999999999999</v>
      </c>
      <c r="X233">
        <v>0.1</v>
      </c>
      <c r="Y233">
        <v>4.5</v>
      </c>
      <c r="Z233" t="s">
        <v>7511</v>
      </c>
      <c r="AA233" t="s">
        <v>7512</v>
      </c>
      <c r="AB233" t="s">
        <v>7513</v>
      </c>
      <c r="AC233" t="s">
        <v>1347</v>
      </c>
      <c r="AD233" t="s">
        <v>7514</v>
      </c>
      <c r="AE233">
        <v>774262</v>
      </c>
      <c r="AF233" t="s">
        <v>17</v>
      </c>
      <c r="AG233" t="s">
        <v>9</v>
      </c>
      <c r="AH233" t="s">
        <v>7515</v>
      </c>
      <c r="AI233" t="s">
        <v>459</v>
      </c>
      <c r="AJ233" t="s">
        <v>9</v>
      </c>
      <c r="AK233" t="s">
        <v>7516</v>
      </c>
      <c r="AL233" t="s">
        <v>7517</v>
      </c>
      <c r="AM233" t="s">
        <v>9</v>
      </c>
      <c r="AN233" t="s">
        <v>7518</v>
      </c>
      <c r="AO233" t="s">
        <v>9</v>
      </c>
      <c r="AP233" t="s">
        <v>7519</v>
      </c>
      <c r="AQ233" t="s">
        <v>7520</v>
      </c>
      <c r="AR233" t="s">
        <v>9</v>
      </c>
      <c r="AS233" t="s">
        <v>7521</v>
      </c>
      <c r="AT233" t="s">
        <v>9</v>
      </c>
      <c r="AU233" t="s">
        <v>7522</v>
      </c>
      <c r="AV233" t="s">
        <v>7523</v>
      </c>
      <c r="AW233" t="s">
        <v>7524</v>
      </c>
      <c r="AX233" t="s">
        <v>416</v>
      </c>
      <c r="AY233" t="s">
        <v>554</v>
      </c>
      <c r="AZ233" t="s">
        <v>148</v>
      </c>
      <c r="BA233" t="s">
        <v>434</v>
      </c>
      <c r="BB233" t="s">
        <v>328</v>
      </c>
      <c r="BC233" t="s">
        <v>2516</v>
      </c>
      <c r="BD233" t="s">
        <v>2518</v>
      </c>
      <c r="BE233" t="s">
        <v>2519</v>
      </c>
      <c r="BF233" t="s">
        <v>2520</v>
      </c>
      <c r="BG233" t="s">
        <v>2521</v>
      </c>
      <c r="BH233" t="s">
        <v>149</v>
      </c>
      <c r="BI233" t="s">
        <v>2522</v>
      </c>
      <c r="BJ233" t="s">
        <v>416</v>
      </c>
      <c r="BK233" t="s">
        <v>7525</v>
      </c>
      <c r="BL233" t="s">
        <v>2523</v>
      </c>
      <c r="BM233" t="s">
        <v>2516</v>
      </c>
      <c r="BN233">
        <v>4.93</v>
      </c>
      <c r="BO233">
        <v>15.03</v>
      </c>
      <c r="BP233">
        <v>28.79</v>
      </c>
      <c r="BQ233">
        <v>5.97</v>
      </c>
      <c r="BR233">
        <v>14.68</v>
      </c>
      <c r="BS233">
        <v>27.07</v>
      </c>
      <c r="BT233" t="s">
        <v>886</v>
      </c>
      <c r="BU233" t="s">
        <v>870</v>
      </c>
      <c r="BV233">
        <v>26.4</v>
      </c>
      <c r="BW233">
        <v>28.83</v>
      </c>
      <c r="BX233">
        <v>28.98</v>
      </c>
      <c r="BY233">
        <v>11.71</v>
      </c>
      <c r="BZ233">
        <v>18.399999999999999</v>
      </c>
      <c r="CA233">
        <v>16.54</v>
      </c>
      <c r="CB233">
        <v>4.01</v>
      </c>
      <c r="CC233">
        <v>2.7</v>
      </c>
      <c r="CD233" t="s">
        <v>7526</v>
      </c>
      <c r="CE233" t="s">
        <v>7527</v>
      </c>
      <c r="CF233" s="8">
        <v>-0.54836778291590371</v>
      </c>
      <c r="CG233" s="9">
        <v>-0.70479999999999998</v>
      </c>
      <c r="CH233" s="8">
        <v>-0.82710444927215576</v>
      </c>
      <c r="CI233" s="8">
        <v>-7.7625572681427002E-2</v>
      </c>
      <c r="CJ233" s="8">
        <v>0.27325582504272461</v>
      </c>
      <c r="CK233" s="8">
        <v>0.12418300658464432</v>
      </c>
      <c r="CL233" s="8">
        <v>4.0816325694322586E-2</v>
      </c>
      <c r="CM233" s="9">
        <v>-0.95658367872238159</v>
      </c>
      <c r="CN233" s="9">
        <v>2.4947967380285263E-2</v>
      </c>
      <c r="CO233" s="9">
        <v>4.2257167398929596E-2</v>
      </c>
      <c r="CP233" s="9">
        <v>0.57008761167526245</v>
      </c>
      <c r="CQ233" s="9">
        <v>0.74587154388427734</v>
      </c>
      <c r="CR233">
        <v>2.9318275122933226</v>
      </c>
      <c r="CS233" t="e">
        <v>#DIV/0!</v>
      </c>
      <c r="CT233">
        <v>1.7543859649122806</v>
      </c>
      <c r="CU233" s="8">
        <v>0</v>
      </c>
      <c r="CV233" s="9">
        <v>0</v>
      </c>
      <c r="CW233">
        <v>0.06</v>
      </c>
      <c r="CX233">
        <v>139.12986899075742</v>
      </c>
      <c r="CY233">
        <v>1520849.0566037735</v>
      </c>
      <c r="CZ233">
        <v>0</v>
      </c>
      <c r="DA233">
        <v>49.103631360100209</v>
      </c>
      <c r="DB233">
        <v>4309162.5637271032</v>
      </c>
      <c r="DC233">
        <v>0</v>
      </c>
      <c r="DD233">
        <v>26.692279110687053</v>
      </c>
      <c r="DE233">
        <v>7927218.5459532896</v>
      </c>
      <c r="DF233">
        <v>0</v>
      </c>
      <c r="DG233">
        <v>17.833293610607267</v>
      </c>
      <c r="DH233">
        <v>11865196.335585631</v>
      </c>
      <c r="DI233">
        <v>0</v>
      </c>
      <c r="DJ233">
        <v>11.443373575666577</v>
      </c>
      <c r="DK233">
        <v>18490659.996449042</v>
      </c>
      <c r="DL233">
        <v>0</v>
      </c>
      <c r="DM233">
        <v>1612100</v>
      </c>
      <c r="DN233">
        <v>0</v>
      </c>
      <c r="DO233">
        <v>211595530</v>
      </c>
      <c r="DP233">
        <v>222285650</v>
      </c>
      <c r="DQ233">
        <v>232</v>
      </c>
      <c r="DR233">
        <v>-0.54836778291590371</v>
      </c>
      <c r="DS233">
        <v>-0.70479999999999998</v>
      </c>
      <c r="DT233">
        <v>-0.44</v>
      </c>
      <c r="DU233">
        <v>-0.44</v>
      </c>
      <c r="DV233">
        <v>-0.88</v>
      </c>
      <c r="DW233">
        <v>4.6733167082294269</v>
      </c>
      <c r="DX233">
        <v>0.43831716409193661</v>
      </c>
      <c r="DY233">
        <v>4.1671960955232485</v>
      </c>
      <c r="DZ233">
        <v>0</v>
      </c>
      <c r="EA233">
        <v>4.1671960955232485</v>
      </c>
      <c r="EB233">
        <v>4</v>
      </c>
      <c r="EC233">
        <v>0.17991121045125119</v>
      </c>
      <c r="ED233">
        <v>0.72452184732844915</v>
      </c>
      <c r="EE233">
        <v>0</v>
      </c>
      <c r="EF233">
        <v>0</v>
      </c>
      <c r="EG233">
        <v>19.248317164091937</v>
      </c>
      <c r="EH233" t="s">
        <v>86</v>
      </c>
      <c r="EI233">
        <v>0</v>
      </c>
      <c r="EJ233">
        <v>0</v>
      </c>
      <c r="EK233">
        <v>0</v>
      </c>
      <c r="EL233">
        <v>0</v>
      </c>
      <c r="EM233">
        <v>0</v>
      </c>
      <c r="EN233">
        <v>0</v>
      </c>
      <c r="EO233">
        <v>0</v>
      </c>
      <c r="EP233">
        <v>0</v>
      </c>
    </row>
    <row r="234" spans="1:146" ht="96" x14ac:dyDescent="0.25">
      <c r="A234" s="10"/>
      <c r="B234" s="10"/>
      <c r="C234" s="7" t="str">
        <f>""&amp;CHAR(10)&amp;Basic_Fundamental_Information_Constructure(F234)&amp;CHAR(10)&amp;Basic_Fundamental_Information_Concatenate("")</f>
        <v xml:space="preserve">
市值4.7028215亿, 利润-759.56万; PE; 平均PE.09, PB1.65; ROIC7.245%; ROE3.1667%; 股利率0%; 毛利18.8967%; 净利-.2433%; 上一年度营收增-74.12%, 利润增-192.69%; 当季营收增-42.13%, 利润增11.78%; 过往5年营收增0%, 利润增0%
Income profile:
</v>
      </c>
      <c r="D234">
        <v>873223</v>
      </c>
      <c r="E234" t="s">
        <v>2524</v>
      </c>
      <c r="F234">
        <v>2.99</v>
      </c>
      <c r="G234" s="5">
        <v>-3.24</v>
      </c>
      <c r="H234" t="s">
        <v>7528</v>
      </c>
      <c r="I234">
        <v>470282150</v>
      </c>
      <c r="K234">
        <v>1.65</v>
      </c>
      <c r="L234" t="s">
        <v>2604</v>
      </c>
      <c r="M234" t="s">
        <v>395</v>
      </c>
      <c r="N234" t="s">
        <v>156</v>
      </c>
      <c r="O234" t="s">
        <v>7529</v>
      </c>
      <c r="P234">
        <v>14.84</v>
      </c>
      <c r="Q234" t="s">
        <v>7529</v>
      </c>
      <c r="R234">
        <v>-7595618</v>
      </c>
      <c r="S234" s="5">
        <v>0.1178</v>
      </c>
      <c r="T234" t="s">
        <v>7530</v>
      </c>
      <c r="U234">
        <v>80163750</v>
      </c>
      <c r="V234">
        <v>157285000</v>
      </c>
      <c r="W234">
        <v>1.63</v>
      </c>
      <c r="X234">
        <v>0.14000000000000001</v>
      </c>
      <c r="Y234">
        <v>-11.93</v>
      </c>
      <c r="Z234" t="s">
        <v>7531</v>
      </c>
      <c r="AA234" t="s">
        <v>7532</v>
      </c>
      <c r="AB234" t="s">
        <v>7533</v>
      </c>
      <c r="AC234" t="s">
        <v>7534</v>
      </c>
      <c r="AD234" t="s">
        <v>7535</v>
      </c>
      <c r="AE234">
        <v>122798</v>
      </c>
      <c r="AF234" t="s">
        <v>7536</v>
      </c>
      <c r="AG234" t="s">
        <v>2725</v>
      </c>
      <c r="AH234" t="s">
        <v>7537</v>
      </c>
      <c r="AI234" t="s">
        <v>7538</v>
      </c>
      <c r="AJ234" t="s">
        <v>9</v>
      </c>
      <c r="AK234" t="s">
        <v>7539</v>
      </c>
      <c r="AL234" t="s">
        <v>7540</v>
      </c>
      <c r="AM234" t="s">
        <v>9</v>
      </c>
      <c r="AN234" t="s">
        <v>7541</v>
      </c>
      <c r="AO234" t="s">
        <v>7542</v>
      </c>
      <c r="AP234" t="s">
        <v>7543</v>
      </c>
      <c r="AQ234" t="s">
        <v>7544</v>
      </c>
      <c r="AR234" t="s">
        <v>9</v>
      </c>
      <c r="AS234" t="s">
        <v>128</v>
      </c>
      <c r="AT234" t="s">
        <v>9</v>
      </c>
      <c r="AU234" t="s">
        <v>7545</v>
      </c>
      <c r="AV234" t="s">
        <v>7546</v>
      </c>
      <c r="AW234" t="s">
        <v>1185</v>
      </c>
      <c r="AX234" t="s">
        <v>169</v>
      </c>
      <c r="AY234" t="s">
        <v>550</v>
      </c>
      <c r="AZ234" t="s">
        <v>148</v>
      </c>
      <c r="BA234" t="s">
        <v>134</v>
      </c>
      <c r="BB234" t="s">
        <v>83</v>
      </c>
      <c r="BC234" t="s">
        <v>2525</v>
      </c>
      <c r="BD234" t="s">
        <v>2526</v>
      </c>
      <c r="BE234" t="s">
        <v>2527</v>
      </c>
      <c r="BF234" t="s">
        <v>2528</v>
      </c>
      <c r="BG234" t="s">
        <v>2529</v>
      </c>
      <c r="BH234" t="s">
        <v>64</v>
      </c>
      <c r="BI234" t="s">
        <v>72</v>
      </c>
      <c r="BJ234" t="s">
        <v>169</v>
      </c>
      <c r="BK234" t="s">
        <v>7547</v>
      </c>
      <c r="BL234" t="s">
        <v>2530</v>
      </c>
      <c r="BM234" t="s">
        <v>2525</v>
      </c>
      <c r="BN234" t="s">
        <v>9</v>
      </c>
      <c r="BO234">
        <v>3.34</v>
      </c>
      <c r="BP234">
        <v>11.15</v>
      </c>
      <c r="BQ234">
        <v>-7.83</v>
      </c>
      <c r="BR234">
        <v>3.68</v>
      </c>
      <c r="BS234">
        <v>13.65</v>
      </c>
      <c r="BT234" t="s">
        <v>773</v>
      </c>
      <c r="BU234" t="s">
        <v>870</v>
      </c>
      <c r="BV234">
        <v>14.4</v>
      </c>
      <c r="BW234">
        <v>18.420000000000002</v>
      </c>
      <c r="BX234">
        <v>23.87</v>
      </c>
      <c r="BY234">
        <v>-12.88</v>
      </c>
      <c r="BZ234">
        <v>3.34</v>
      </c>
      <c r="CA234">
        <v>8.81</v>
      </c>
      <c r="CB234">
        <v>0</v>
      </c>
      <c r="CC234">
        <v>1.7</v>
      </c>
      <c r="CD234" t="s">
        <v>7548</v>
      </c>
      <c r="CE234" t="s">
        <v>7549</v>
      </c>
      <c r="CF234" s="8">
        <v>-0.42125000000000007</v>
      </c>
      <c r="CG234" s="9">
        <v>0.1178</v>
      </c>
      <c r="CH234" s="8">
        <v>-0.74120938777923584</v>
      </c>
      <c r="CI234" s="8">
        <v>-5.7471264153718948E-2</v>
      </c>
      <c r="CJ234" s="8">
        <v>0.51744186878204346</v>
      </c>
      <c r="CK234" s="8">
        <v>0.28358209133148193</v>
      </c>
      <c r="CL234" s="8">
        <v>0.15517240762710571</v>
      </c>
      <c r="CM234" s="9">
        <v>-1.9269483089447021</v>
      </c>
      <c r="CN234" s="9">
        <v>-0.64351654052734375</v>
      </c>
      <c r="CO234" s="9">
        <v>8.8923610746860504E-3</v>
      </c>
      <c r="CP234" s="9">
        <v>5.9071809053421021E-2</v>
      </c>
      <c r="CQ234" s="9">
        <v>0.76041501760482788</v>
      </c>
      <c r="CR234">
        <v>9.4455016315448809E-2</v>
      </c>
      <c r="CS234" t="e">
        <v>#DIV/0!</v>
      </c>
      <c r="CT234">
        <v>0</v>
      </c>
      <c r="CU234" s="8">
        <v>0</v>
      </c>
      <c r="CV234" s="9">
        <v>0</v>
      </c>
      <c r="CW234">
        <v>0.06</v>
      </c>
      <c r="CX234" t="e">
        <v>#VALUE!</v>
      </c>
      <c r="CY234" t="s">
        <v>85</v>
      </c>
      <c r="CZ234">
        <v>0</v>
      </c>
      <c r="DA234" t="e">
        <v>#VALUE!</v>
      </c>
      <c r="DB234" t="s">
        <v>84</v>
      </c>
      <c r="DC234">
        <v>0</v>
      </c>
      <c r="DD234" t="e">
        <v>#VALUE!</v>
      </c>
      <c r="DE234" t="s">
        <v>84</v>
      </c>
      <c r="DF234">
        <v>0</v>
      </c>
      <c r="DG234" t="e">
        <v>#VALUE!</v>
      </c>
      <c r="DH234" t="s">
        <v>84</v>
      </c>
      <c r="DI234">
        <v>0</v>
      </c>
      <c r="DJ234" t="e">
        <v>#VALUE!</v>
      </c>
      <c r="DK234" t="s">
        <v>84</v>
      </c>
      <c r="DL234">
        <v>0</v>
      </c>
      <c r="DM234">
        <v>-7595599.9999999991</v>
      </c>
      <c r="DN234">
        <v>0</v>
      </c>
      <c r="DO234">
        <v>365282150</v>
      </c>
      <c r="DP234">
        <v>56172110</v>
      </c>
      <c r="DQ234">
        <v>233</v>
      </c>
      <c r="DR234">
        <v>-0.42125000000000007</v>
      </c>
      <c r="DS234">
        <v>0.1178</v>
      </c>
      <c r="DT234">
        <v>-0.44</v>
      </c>
      <c r="DU234" t="e">
        <v>#VALUE!</v>
      </c>
      <c r="DV234" t="e">
        <v>#VALUE!</v>
      </c>
      <c r="DW234">
        <v>1.7000000000000001E-2</v>
      </c>
      <c r="DX234">
        <v>0.38436965606202406</v>
      </c>
      <c r="DY234">
        <v>3.4742841530544149E-3</v>
      </c>
      <c r="DZ234">
        <v>0</v>
      </c>
      <c r="EA234">
        <v>3.4742841530544149E-3</v>
      </c>
      <c r="EB234">
        <v>0</v>
      </c>
      <c r="EC234">
        <v>8.7031185427726726E-2</v>
      </c>
      <c r="ED234">
        <v>0.42585179769208759</v>
      </c>
      <c r="EE234">
        <v>0</v>
      </c>
      <c r="EF234">
        <v>0</v>
      </c>
      <c r="EG234">
        <v>18.204369656062024</v>
      </c>
      <c r="EH234" t="s">
        <v>86</v>
      </c>
      <c r="EI234">
        <v>0</v>
      </c>
      <c r="EJ234">
        <v>0</v>
      </c>
      <c r="EK234">
        <v>0</v>
      </c>
      <c r="EL234">
        <v>0</v>
      </c>
      <c r="EM234">
        <v>0</v>
      </c>
      <c r="EN234">
        <v>0</v>
      </c>
      <c r="EO234">
        <v>0</v>
      </c>
      <c r="EP234">
        <v>0</v>
      </c>
    </row>
    <row r="235" spans="1:146" ht="108" x14ac:dyDescent="0.25">
      <c r="A235" s="10"/>
      <c r="B235" s="10"/>
      <c r="C235" s="7" t="str">
        <f>""&amp;CHAR(10)&amp;Basic_Fundamental_Information_Constructure(F235)&amp;CHAR(10)&amp;Basic_Fundamental_Information_Concatenate("")</f>
        <v xml:space="preserve">
市值6.5386672亿, 利润524.36万; PE24.81; 平均PE.33, PB2.07; ROIC12.5967%; ROE12.9733%; 股利率1.4881%; 毛利27.0467%; 净利19.47%; 上一年度营收增-74.06%, 利润增-74.5%; 当季营收增-45.74%, 利润增-53.51%; 过往5年营收增0%, 利润增0%
Income profile:
</v>
      </c>
      <c r="D235">
        <v>873305</v>
      </c>
      <c r="E235" t="s">
        <v>2531</v>
      </c>
      <c r="F235">
        <v>10.08</v>
      </c>
      <c r="G235" s="5">
        <v>-5.97</v>
      </c>
      <c r="H235" t="s">
        <v>7550</v>
      </c>
      <c r="I235">
        <v>653866720</v>
      </c>
      <c r="J235">
        <v>24.81</v>
      </c>
      <c r="K235">
        <v>2.0699999999999998</v>
      </c>
      <c r="L235" t="s">
        <v>2604</v>
      </c>
      <c r="M235" t="s">
        <v>7551</v>
      </c>
      <c r="N235" t="s">
        <v>488</v>
      </c>
      <c r="O235" t="s">
        <v>7552</v>
      </c>
      <c r="P235">
        <v>12.65</v>
      </c>
      <c r="Q235" t="s">
        <v>7552</v>
      </c>
      <c r="R235">
        <v>5243592</v>
      </c>
      <c r="S235" s="5">
        <v>-0.53510000000000002</v>
      </c>
      <c r="T235" t="s">
        <v>7553</v>
      </c>
      <c r="U235">
        <v>11215367</v>
      </c>
      <c r="V235">
        <v>44819000</v>
      </c>
      <c r="W235">
        <v>1.1100000000000001</v>
      </c>
      <c r="X235">
        <v>0.1</v>
      </c>
      <c r="Y235">
        <v>15.08</v>
      </c>
      <c r="Z235" t="s">
        <v>7554</v>
      </c>
      <c r="AA235" t="s">
        <v>7555</v>
      </c>
      <c r="AB235" t="s">
        <v>7556</v>
      </c>
      <c r="AC235" t="s">
        <v>7557</v>
      </c>
      <c r="AD235" t="s">
        <v>7558</v>
      </c>
      <c r="AE235">
        <v>102724</v>
      </c>
      <c r="AF235" t="s">
        <v>7559</v>
      </c>
      <c r="AG235">
        <v>8752</v>
      </c>
      <c r="AH235" t="s">
        <v>7560</v>
      </c>
      <c r="AI235" t="s">
        <v>7561</v>
      </c>
      <c r="AJ235" t="s">
        <v>9</v>
      </c>
      <c r="AK235" t="s">
        <v>7562</v>
      </c>
      <c r="AL235" t="s">
        <v>7563</v>
      </c>
      <c r="AM235" t="s">
        <v>9</v>
      </c>
      <c r="AN235" t="s">
        <v>7564</v>
      </c>
      <c r="AO235" t="s">
        <v>9</v>
      </c>
      <c r="AP235" t="s">
        <v>7565</v>
      </c>
      <c r="AQ235" t="s">
        <v>7566</v>
      </c>
      <c r="AR235" t="s">
        <v>9</v>
      </c>
      <c r="AS235" t="s">
        <v>7567</v>
      </c>
      <c r="AT235" t="s">
        <v>9</v>
      </c>
      <c r="AU235" t="s">
        <v>7568</v>
      </c>
      <c r="AV235" t="s">
        <v>7569</v>
      </c>
      <c r="AW235" t="s">
        <v>9</v>
      </c>
      <c r="AX235" t="s">
        <v>134</v>
      </c>
      <c r="AY235" t="s">
        <v>164</v>
      </c>
      <c r="AZ235" t="s">
        <v>253</v>
      </c>
      <c r="BA235" t="s">
        <v>21</v>
      </c>
      <c r="BB235" t="s">
        <v>487</v>
      </c>
      <c r="BC235" t="s">
        <v>7570</v>
      </c>
      <c r="BD235" t="s">
        <v>2532</v>
      </c>
      <c r="BE235" t="s">
        <v>2533</v>
      </c>
      <c r="BF235" t="s">
        <v>2534</v>
      </c>
      <c r="BG235" t="s">
        <v>2535</v>
      </c>
      <c r="BH235" t="s">
        <v>459</v>
      </c>
      <c r="BI235" t="s">
        <v>2536</v>
      </c>
      <c r="BJ235" t="s">
        <v>134</v>
      </c>
      <c r="BK235" t="s">
        <v>7571</v>
      </c>
      <c r="BL235" t="s">
        <v>2537</v>
      </c>
      <c r="BM235" t="s">
        <v>7570</v>
      </c>
      <c r="BN235">
        <v>8.51</v>
      </c>
      <c r="BO235">
        <v>8.9600000000000009</v>
      </c>
      <c r="BP235">
        <v>20.32</v>
      </c>
      <c r="BQ235">
        <v>8.57</v>
      </c>
      <c r="BR235">
        <v>11.89</v>
      </c>
      <c r="BS235">
        <v>18.46</v>
      </c>
      <c r="BT235" t="s">
        <v>7572</v>
      </c>
      <c r="BU235" t="s">
        <v>870</v>
      </c>
      <c r="BV235">
        <v>24.57</v>
      </c>
      <c r="BW235">
        <v>25.54</v>
      </c>
      <c r="BX235">
        <v>31.03</v>
      </c>
      <c r="BY235">
        <v>23</v>
      </c>
      <c r="BZ235">
        <v>15.39</v>
      </c>
      <c r="CA235">
        <v>20.02</v>
      </c>
      <c r="CB235">
        <v>5.44</v>
      </c>
      <c r="CC235">
        <v>-7.67</v>
      </c>
      <c r="CD235" t="s">
        <v>7573</v>
      </c>
      <c r="CE235" t="s">
        <v>7574</v>
      </c>
      <c r="CF235" s="8">
        <v>-0.45737155273065572</v>
      </c>
      <c r="CG235" s="9">
        <v>-0.53510000000000002</v>
      </c>
      <c r="CH235" s="8">
        <v>-0.74057012796401978</v>
      </c>
      <c r="CI235" s="8">
        <v>-0.14102564752101898</v>
      </c>
      <c r="CJ235" s="8">
        <v>9.8591551184654236E-2</v>
      </c>
      <c r="CK235" s="8">
        <v>0.15447154641151428</v>
      </c>
      <c r="CL235" s="8">
        <v>9.8214283585548401E-2</v>
      </c>
      <c r="CM235" s="9">
        <v>-0.7450292706489563</v>
      </c>
      <c r="CN235" s="9">
        <v>-0.34025940299034119</v>
      </c>
      <c r="CO235" s="9">
        <v>1.0211621411144733E-2</v>
      </c>
      <c r="CP235" s="9">
        <v>-0.19587317109107971</v>
      </c>
      <c r="CQ235" s="9">
        <v>1.1221001148223877</v>
      </c>
      <c r="CR235">
        <v>0.32807496244682621</v>
      </c>
      <c r="CS235" t="e">
        <v>#DIV/0!</v>
      </c>
      <c r="CT235">
        <v>1.4880952380952381</v>
      </c>
      <c r="CU235" s="8">
        <v>0</v>
      </c>
      <c r="CV235" s="9">
        <v>0</v>
      </c>
      <c r="CW235">
        <v>0.06</v>
      </c>
      <c r="CX235">
        <v>79.074536425356641</v>
      </c>
      <c r="CY235">
        <v>4946792.452830188</v>
      </c>
      <c r="CZ235">
        <v>0</v>
      </c>
      <c r="DA235">
        <v>27.908075489235681</v>
      </c>
      <c r="DB235">
        <v>14016205.458197033</v>
      </c>
      <c r="DC235">
        <v>0</v>
      </c>
      <c r="DD235">
        <v>15.170571295183386</v>
      </c>
      <c r="DE235">
        <v>25784481.835841864</v>
      </c>
      <c r="DF235">
        <v>0</v>
      </c>
      <c r="DG235">
        <v>10.13556208616658</v>
      </c>
      <c r="DH235">
        <v>38593352.462798096</v>
      </c>
      <c r="DI235">
        <v>0</v>
      </c>
      <c r="DJ235">
        <v>6.5038475720703994</v>
      </c>
      <c r="DK235">
        <v>60143678.90166875</v>
      </c>
      <c r="DL235">
        <v>0</v>
      </c>
      <c r="DM235">
        <v>5243600</v>
      </c>
      <c r="DN235">
        <v>0</v>
      </c>
      <c r="DO235">
        <v>391165320</v>
      </c>
      <c r="DP235">
        <v>220955700</v>
      </c>
      <c r="DQ235">
        <v>234</v>
      </c>
      <c r="DR235">
        <v>-0.45737155273065572</v>
      </c>
      <c r="DS235">
        <v>-0.53510000000000002</v>
      </c>
      <c r="DT235">
        <v>-0.44</v>
      </c>
      <c r="DU235">
        <v>-0.44</v>
      </c>
      <c r="DV235">
        <v>-0.88</v>
      </c>
      <c r="DW235">
        <v>6.414950419527079</v>
      </c>
      <c r="DX235">
        <v>0.69865638201821312</v>
      </c>
      <c r="DY235">
        <v>6.2401137084804796</v>
      </c>
      <c r="DZ235">
        <v>0</v>
      </c>
      <c r="EA235">
        <v>6.2401137084804796</v>
      </c>
      <c r="EB235">
        <v>6</v>
      </c>
      <c r="EC235">
        <v>0.57914054307325014</v>
      </c>
      <c r="ED235">
        <v>1.0008366987215243</v>
      </c>
      <c r="EE235">
        <v>0</v>
      </c>
      <c r="EF235">
        <v>0</v>
      </c>
      <c r="EG235">
        <v>12.578656382018213</v>
      </c>
      <c r="EH235" t="s">
        <v>86</v>
      </c>
      <c r="EI235">
        <v>0</v>
      </c>
      <c r="EJ235">
        <v>0</v>
      </c>
      <c r="EK235">
        <v>0</v>
      </c>
      <c r="EL235">
        <v>0</v>
      </c>
      <c r="EM235">
        <v>0</v>
      </c>
      <c r="EN235">
        <v>0</v>
      </c>
      <c r="EO235">
        <v>0</v>
      </c>
      <c r="EP235">
        <v>0</v>
      </c>
    </row>
    <row r="236" spans="1:146" ht="108" x14ac:dyDescent="0.25">
      <c r="A236" s="10"/>
      <c r="B236" s="10"/>
      <c r="C236" s="7" t="str">
        <f>""&amp;CHAR(10)&amp;Basic_Fundamental_Information_Constructure(F236)&amp;CHAR(10)&amp;Basic_Fundamental_Information_Concatenate("")</f>
        <v xml:space="preserve">
市值8.9402743亿, 利润1245.38万; PE11.64; 平均PE10.39, PB1.55; ROIC21.41%; ROE24.5967%; 股利率4.9261%; 毛利26.3567%; 净利14.5367%; 上一年度营收增-81.85%, 利润增-90.57%; 当季营收增-50.63%, 利润增40.62%; 过往5年营收增0%, 利润增0%
Income profile:
</v>
      </c>
      <c r="D236">
        <v>873339</v>
      </c>
      <c r="E236" t="s">
        <v>2538</v>
      </c>
      <c r="F236">
        <v>4.0599999999999996</v>
      </c>
      <c r="G236" s="5">
        <v>-1.46</v>
      </c>
      <c r="H236" t="s">
        <v>1192</v>
      </c>
      <c r="I236">
        <v>894027430</v>
      </c>
      <c r="J236">
        <v>11.64</v>
      </c>
      <c r="K236">
        <v>1.55</v>
      </c>
      <c r="L236" t="s">
        <v>2604</v>
      </c>
      <c r="M236" t="s">
        <v>453</v>
      </c>
      <c r="N236" t="s">
        <v>501</v>
      </c>
      <c r="O236" t="s">
        <v>90</v>
      </c>
      <c r="P236">
        <v>23.31</v>
      </c>
      <c r="Q236" t="s">
        <v>90</v>
      </c>
      <c r="R236">
        <v>12453756</v>
      </c>
      <c r="S236" s="5">
        <v>0.40620000000000001</v>
      </c>
      <c r="T236" t="s">
        <v>7575</v>
      </c>
      <c r="U236">
        <v>59574207</v>
      </c>
      <c r="V236">
        <v>220203800</v>
      </c>
      <c r="W236">
        <v>1.28</v>
      </c>
      <c r="X236">
        <v>0.16</v>
      </c>
      <c r="Y236">
        <v>10.54</v>
      </c>
      <c r="Z236" t="s">
        <v>27</v>
      </c>
      <c r="AA236" t="s">
        <v>7576</v>
      </c>
      <c r="AB236" t="s">
        <v>7577</v>
      </c>
      <c r="AC236" t="s">
        <v>7578</v>
      </c>
      <c r="AD236" t="s">
        <v>7579</v>
      </c>
      <c r="AE236">
        <v>2607200</v>
      </c>
      <c r="AF236" t="s">
        <v>7580</v>
      </c>
      <c r="AG236" t="s">
        <v>9</v>
      </c>
      <c r="AH236" t="s">
        <v>7581</v>
      </c>
      <c r="AI236" t="s">
        <v>480</v>
      </c>
      <c r="AJ236" t="s">
        <v>9</v>
      </c>
      <c r="AK236" t="s">
        <v>9</v>
      </c>
      <c r="AL236" t="s">
        <v>7582</v>
      </c>
      <c r="AM236" t="s">
        <v>9</v>
      </c>
      <c r="AN236" t="s">
        <v>7583</v>
      </c>
      <c r="AO236" t="s">
        <v>9</v>
      </c>
      <c r="AP236" t="s">
        <v>7584</v>
      </c>
      <c r="AQ236" t="s">
        <v>90</v>
      </c>
      <c r="AR236" t="s">
        <v>9</v>
      </c>
      <c r="AS236" t="s">
        <v>469</v>
      </c>
      <c r="AT236" t="s">
        <v>9</v>
      </c>
      <c r="AU236" t="s">
        <v>7585</v>
      </c>
      <c r="AV236" t="s">
        <v>7586</v>
      </c>
      <c r="AW236" t="s">
        <v>7587</v>
      </c>
      <c r="AX236" t="s">
        <v>74</v>
      </c>
      <c r="AY236" t="s">
        <v>442</v>
      </c>
      <c r="AZ236" t="s">
        <v>692</v>
      </c>
      <c r="BA236" t="s">
        <v>492</v>
      </c>
      <c r="BB236" t="s">
        <v>365</v>
      </c>
      <c r="BC236" t="s">
        <v>225</v>
      </c>
      <c r="BD236" t="s">
        <v>2540</v>
      </c>
      <c r="BE236" t="s">
        <v>2541</v>
      </c>
      <c r="BF236" t="s">
        <v>2542</v>
      </c>
      <c r="BG236" t="s">
        <v>314</v>
      </c>
      <c r="BH236" t="s">
        <v>420</v>
      </c>
      <c r="BI236" t="s">
        <v>285</v>
      </c>
      <c r="BJ236" t="s">
        <v>74</v>
      </c>
      <c r="BK236" t="s">
        <v>7588</v>
      </c>
      <c r="BL236" t="s">
        <v>1275</v>
      </c>
      <c r="BM236" t="s">
        <v>225</v>
      </c>
      <c r="BN236">
        <v>9.2200000000000006</v>
      </c>
      <c r="BO236">
        <v>28.19</v>
      </c>
      <c r="BP236">
        <v>26.82</v>
      </c>
      <c r="BQ236">
        <v>11.37</v>
      </c>
      <c r="BR236">
        <v>34.01</v>
      </c>
      <c r="BS236">
        <v>28.41</v>
      </c>
      <c r="BT236" t="s">
        <v>851</v>
      </c>
      <c r="BU236" t="s">
        <v>2539</v>
      </c>
      <c r="BV236">
        <v>25.79</v>
      </c>
      <c r="BW236">
        <v>28.89</v>
      </c>
      <c r="BX236">
        <v>24.39</v>
      </c>
      <c r="BY236">
        <v>12.93</v>
      </c>
      <c r="BZ236">
        <v>20.27</v>
      </c>
      <c r="CA236">
        <v>10.41</v>
      </c>
      <c r="CB236">
        <v>0.25</v>
      </c>
      <c r="CC236">
        <v>-4.0199999999999996</v>
      </c>
      <c r="CD236" t="s">
        <v>7589</v>
      </c>
      <c r="CE236" t="s">
        <v>7590</v>
      </c>
      <c r="CF236" s="8">
        <v>-0.50627615062761511</v>
      </c>
      <c r="CG236" s="9">
        <v>0.40620000000000001</v>
      </c>
      <c r="CH236" s="8">
        <v>-0.81846153736114502</v>
      </c>
      <c r="CI236" s="8">
        <v>-0.1525423675775528</v>
      </c>
      <c r="CJ236" s="8">
        <v>0.5463709831237793</v>
      </c>
      <c r="CK236" s="8">
        <v>-2.9354207217693329E-2</v>
      </c>
      <c r="CL236" s="8">
        <v>-0.29807692766189575</v>
      </c>
      <c r="CM236" s="9">
        <v>-0.90565305948257446</v>
      </c>
      <c r="CN236" s="9">
        <v>0.65307885408401489</v>
      </c>
      <c r="CO236" s="9">
        <v>0.64822030067443848</v>
      </c>
      <c r="CP236" s="9">
        <v>-0.32812252640724182</v>
      </c>
      <c r="CQ236" s="9">
        <v>-0.32610654830932617</v>
      </c>
      <c r="CR236">
        <v>10.38653327751679</v>
      </c>
      <c r="CS236" t="e">
        <v>#DIV/0!</v>
      </c>
      <c r="CT236">
        <v>4.9261083743842367</v>
      </c>
      <c r="CU236" s="8">
        <v>0</v>
      </c>
      <c r="CV236" s="9">
        <v>0</v>
      </c>
      <c r="CW236">
        <v>0.06</v>
      </c>
      <c r="CX236">
        <v>44.26191811334693</v>
      </c>
      <c r="CY236">
        <v>11748867.924528303</v>
      </c>
      <c r="CZ236">
        <v>0</v>
      </c>
      <c r="DA236">
        <v>15.621526319938626</v>
      </c>
      <c r="DB236">
        <v>33289156.216205325</v>
      </c>
      <c r="DC236">
        <v>0</v>
      </c>
      <c r="DD236">
        <v>8.4917169895007696</v>
      </c>
      <c r="DE236">
        <v>61239373.691205941</v>
      </c>
      <c r="DF236">
        <v>0</v>
      </c>
      <c r="DG236">
        <v>5.6733740009228972</v>
      </c>
      <c r="DH236">
        <v>91661052.12090835</v>
      </c>
      <c r="DI236">
        <v>0</v>
      </c>
      <c r="DJ236">
        <v>3.6405242657149341</v>
      </c>
      <c r="DK236">
        <v>142844104.87176794</v>
      </c>
      <c r="DL236">
        <v>0</v>
      </c>
      <c r="DM236">
        <v>12453800.000000002</v>
      </c>
      <c r="DN236">
        <v>0</v>
      </c>
      <c r="DO236">
        <v>520027430</v>
      </c>
      <c r="DP236">
        <v>373781820</v>
      </c>
      <c r="DQ236">
        <v>235</v>
      </c>
      <c r="DR236">
        <v>-0.50627615062761511</v>
      </c>
      <c r="DS236">
        <v>0.40620000000000001</v>
      </c>
      <c r="DT236">
        <v>-0.44</v>
      </c>
      <c r="DU236">
        <v>-0.44</v>
      </c>
      <c r="DV236">
        <v>-0.88</v>
      </c>
      <c r="DW236">
        <v>-1.0402</v>
      </c>
      <c r="DX236">
        <v>0.2120328707431442</v>
      </c>
      <c r="DY236">
        <v>-1.0065137214038744</v>
      </c>
      <c r="DZ236">
        <v>0</v>
      </c>
      <c r="EA236">
        <v>-1.0065137214038744</v>
      </c>
      <c r="EB236">
        <v>1</v>
      </c>
      <c r="EC236">
        <v>7.7678041886652272E-3</v>
      </c>
      <c r="ED236">
        <v>4.7939681331566487E-2</v>
      </c>
      <c r="EE236">
        <v>0</v>
      </c>
      <c r="EF236">
        <v>0</v>
      </c>
      <c r="EG236">
        <v>5.1620328707431442</v>
      </c>
      <c r="EH236" t="s">
        <v>86</v>
      </c>
      <c r="EI236">
        <v>0</v>
      </c>
      <c r="EJ236">
        <v>0</v>
      </c>
      <c r="EK236">
        <v>0</v>
      </c>
      <c r="EL236">
        <v>0</v>
      </c>
      <c r="EM236">
        <v>0</v>
      </c>
      <c r="EN236">
        <v>0</v>
      </c>
      <c r="EO236">
        <v>0</v>
      </c>
      <c r="EP236">
        <v>0</v>
      </c>
    </row>
    <row r="237" spans="1:146" ht="108" x14ac:dyDescent="0.25">
      <c r="A237" s="10"/>
      <c r="B237" s="10"/>
      <c r="C237" s="7" t="str">
        <f>""&amp;CHAR(10)&amp;Basic_Fundamental_Information_Constructure(F237)&amp;CHAR(10)&amp;Basic_Fundamental_Information_Concatenate("")</f>
        <v xml:space="preserve">
市值4.1429463亿, 利润232.86万; PE36.78; 平均PE-.4, PB1.11; ROIC9.7333%; ROE10.39%; 股利率1.1594%; 毛利19.2367%; 净利6.73%; 上一年度营收增-78.72%, 利润增-92.73%; 当季营收增-51.53%, 利润增57.17%; 过往5年营收增0%, 利润增0%
Income profile:
</v>
      </c>
      <c r="D237">
        <v>873527</v>
      </c>
      <c r="E237" t="s">
        <v>2543</v>
      </c>
      <c r="F237">
        <v>6.9</v>
      </c>
      <c r="G237" s="5">
        <v>-1.57</v>
      </c>
      <c r="H237" t="s">
        <v>7591</v>
      </c>
      <c r="I237">
        <v>414294630</v>
      </c>
      <c r="J237">
        <v>36.78</v>
      </c>
      <c r="K237">
        <v>1.1100000000000001</v>
      </c>
      <c r="L237" t="s">
        <v>2604</v>
      </c>
      <c r="M237" t="s">
        <v>62</v>
      </c>
      <c r="N237" t="s">
        <v>80</v>
      </c>
      <c r="O237" t="s">
        <v>7592</v>
      </c>
      <c r="P237">
        <v>5.37</v>
      </c>
      <c r="Q237" t="s">
        <v>7592</v>
      </c>
      <c r="R237">
        <v>2328593</v>
      </c>
      <c r="S237" s="5">
        <v>0.57169999999999999</v>
      </c>
      <c r="T237" t="s">
        <v>7593</v>
      </c>
      <c r="U237">
        <v>25821664</v>
      </c>
      <c r="V237">
        <v>60042700</v>
      </c>
      <c r="W237">
        <v>1.43</v>
      </c>
      <c r="X237">
        <v>0.14000000000000001</v>
      </c>
      <c r="Y237">
        <v>2.97</v>
      </c>
      <c r="Z237" t="s">
        <v>1328</v>
      </c>
      <c r="AA237" t="s">
        <v>7594</v>
      </c>
      <c r="AB237" t="s">
        <v>7595</v>
      </c>
      <c r="AC237" t="s">
        <v>7596</v>
      </c>
      <c r="AD237" t="s">
        <v>7597</v>
      </c>
      <c r="AE237">
        <v>309947</v>
      </c>
      <c r="AF237" t="s">
        <v>7598</v>
      </c>
      <c r="AG237" t="s">
        <v>5588</v>
      </c>
      <c r="AH237" t="s">
        <v>7599</v>
      </c>
      <c r="AI237" t="s">
        <v>164</v>
      </c>
      <c r="AJ237" t="s">
        <v>9</v>
      </c>
      <c r="AK237" t="s">
        <v>7600</v>
      </c>
      <c r="AL237" t="s">
        <v>7601</v>
      </c>
      <c r="AM237" t="s">
        <v>9</v>
      </c>
      <c r="AN237">
        <v>0</v>
      </c>
      <c r="AO237" t="s">
        <v>9</v>
      </c>
      <c r="AP237" t="s">
        <v>7602</v>
      </c>
      <c r="AQ237" t="s">
        <v>7603</v>
      </c>
      <c r="AR237" t="s">
        <v>9</v>
      </c>
      <c r="AS237" t="s">
        <v>406</v>
      </c>
      <c r="AT237" t="s">
        <v>9</v>
      </c>
      <c r="AU237" t="s">
        <v>7604</v>
      </c>
      <c r="AV237" t="s">
        <v>7605</v>
      </c>
      <c r="AW237" t="s">
        <v>7606</v>
      </c>
      <c r="AX237" t="s">
        <v>305</v>
      </c>
      <c r="AY237" t="s">
        <v>512</v>
      </c>
      <c r="AZ237" t="s">
        <v>307</v>
      </c>
      <c r="BA237" t="s">
        <v>170</v>
      </c>
      <c r="BB237" t="s">
        <v>33</v>
      </c>
      <c r="BC237" t="s">
        <v>2545</v>
      </c>
      <c r="BD237" t="s">
        <v>2547</v>
      </c>
      <c r="BE237" t="s">
        <v>2548</v>
      </c>
      <c r="BF237" t="s">
        <v>2549</v>
      </c>
      <c r="BG237" t="s">
        <v>2550</v>
      </c>
      <c r="BH237" t="s">
        <v>96</v>
      </c>
      <c r="BI237" t="s">
        <v>113</v>
      </c>
      <c r="BJ237" t="s">
        <v>305</v>
      </c>
      <c r="BK237" t="s">
        <v>7607</v>
      </c>
      <c r="BL237" t="s">
        <v>2551</v>
      </c>
      <c r="BM237" t="s">
        <v>2545</v>
      </c>
      <c r="BN237">
        <v>2.5299999999999998</v>
      </c>
      <c r="BO237">
        <v>10.57</v>
      </c>
      <c r="BP237">
        <v>16.100000000000001</v>
      </c>
      <c r="BQ237">
        <v>2.7</v>
      </c>
      <c r="BR237">
        <v>12.53</v>
      </c>
      <c r="BS237">
        <v>15.94</v>
      </c>
      <c r="BT237" t="s">
        <v>1698</v>
      </c>
      <c r="BU237" t="s">
        <v>2544</v>
      </c>
      <c r="BV237">
        <v>16.440000000000001</v>
      </c>
      <c r="BW237">
        <v>21.59</v>
      </c>
      <c r="BX237">
        <v>19.68</v>
      </c>
      <c r="BY237">
        <v>3.31</v>
      </c>
      <c r="BZ237">
        <v>8.68</v>
      </c>
      <c r="CA237">
        <v>8.1999999999999993</v>
      </c>
      <c r="CB237">
        <v>2.2200000000000002</v>
      </c>
      <c r="CC237">
        <v>-4.83</v>
      </c>
      <c r="CD237" t="s">
        <v>4040</v>
      </c>
      <c r="CE237" t="s">
        <v>7608</v>
      </c>
      <c r="CF237" s="8">
        <v>-0.51529753086419749</v>
      </c>
      <c r="CG237" s="9">
        <v>0.57169999999999999</v>
      </c>
      <c r="CH237" s="8">
        <v>-0.78720378875732422</v>
      </c>
      <c r="CI237" s="8">
        <v>-7.9800501465797424E-2</v>
      </c>
      <c r="CJ237" s="8">
        <v>0.37328767776489258</v>
      </c>
      <c r="CK237" s="8">
        <v>5.7971015572547913E-2</v>
      </c>
      <c r="CL237" s="8">
        <v>0.10843373835086823</v>
      </c>
      <c r="CM237" s="9">
        <v>-0.92729508876800537</v>
      </c>
      <c r="CN237" s="9">
        <v>-2.5758253410458565E-2</v>
      </c>
      <c r="CO237" s="9">
        <v>0.28529539704322815</v>
      </c>
      <c r="CP237" s="9">
        <v>-7.8503571450710297E-2</v>
      </c>
      <c r="CQ237" s="9">
        <v>0.26161655783653259</v>
      </c>
      <c r="CR237">
        <v>-0.4033588063773772</v>
      </c>
      <c r="CS237" t="e">
        <v>#DIV/0!</v>
      </c>
      <c r="CT237">
        <v>1.1594202898550725</v>
      </c>
      <c r="CU237" s="8">
        <v>0</v>
      </c>
      <c r="CV237" s="9">
        <v>0</v>
      </c>
      <c r="CW237">
        <v>0.06</v>
      </c>
      <c r="CX237">
        <v>107.5634749634974</v>
      </c>
      <c r="CY237">
        <v>2196792.4528301884</v>
      </c>
      <c r="CZ237">
        <v>0</v>
      </c>
      <c r="DA237">
        <v>37.962784416693573</v>
      </c>
      <c r="DB237">
        <v>6224375.6255163653</v>
      </c>
      <c r="DC237">
        <v>0</v>
      </c>
      <c r="DD237">
        <v>20.636217921198526</v>
      </c>
      <c r="DE237">
        <v>11450481.425536152</v>
      </c>
      <c r="DF237">
        <v>0</v>
      </c>
      <c r="DG237">
        <v>13.787197851301665</v>
      </c>
      <c r="DH237">
        <v>17138698.707924262</v>
      </c>
      <c r="DI237">
        <v>0</v>
      </c>
      <c r="DJ237">
        <v>8.8470508599841278</v>
      </c>
      <c r="DK237">
        <v>26708858.549551044</v>
      </c>
      <c r="DL237">
        <v>0</v>
      </c>
      <c r="DM237">
        <v>2328600</v>
      </c>
      <c r="DN237">
        <v>0</v>
      </c>
      <c r="DO237">
        <v>236294630</v>
      </c>
      <c r="DP237">
        <v>218463250</v>
      </c>
      <c r="DQ237">
        <v>236</v>
      </c>
      <c r="DR237">
        <v>-0.51529753086419749</v>
      </c>
      <c r="DS237">
        <v>0.57169999999999999</v>
      </c>
      <c r="DT237">
        <v>-0.44</v>
      </c>
      <c r="DU237">
        <v>-0.44</v>
      </c>
      <c r="DV237">
        <v>-0.88</v>
      </c>
      <c r="DW237">
        <v>-1.0483</v>
      </c>
      <c r="DX237">
        <v>0.24546886563061554</v>
      </c>
      <c r="DY237">
        <v>-1.0065431462099588</v>
      </c>
      <c r="DZ237">
        <v>0</v>
      </c>
      <c r="EA237">
        <v>-1.0065431462099588</v>
      </c>
      <c r="EB237">
        <v>1</v>
      </c>
      <c r="EC237">
        <v>2.1341478647695721E-2</v>
      </c>
      <c r="ED237">
        <v>0.15753788553812537</v>
      </c>
      <c r="EE237">
        <v>0</v>
      </c>
      <c r="EF237">
        <v>0</v>
      </c>
      <c r="EG237">
        <v>11.135468865630616</v>
      </c>
      <c r="EH237" t="s">
        <v>86</v>
      </c>
      <c r="EI237">
        <v>0</v>
      </c>
      <c r="EJ237">
        <v>0</v>
      </c>
      <c r="EK237">
        <v>0</v>
      </c>
      <c r="EL237">
        <v>0</v>
      </c>
      <c r="EM237">
        <v>0</v>
      </c>
      <c r="EN237">
        <v>0</v>
      </c>
      <c r="EO237">
        <v>0</v>
      </c>
      <c r="EP237">
        <v>0</v>
      </c>
    </row>
    <row r="238" spans="1:146" ht="108" x14ac:dyDescent="0.25">
      <c r="A238" s="10"/>
      <c r="B238" s="10"/>
      <c r="C238" s="7" t="str">
        <f>""&amp;CHAR(10)&amp;Basic_Fundamental_Information_Constructure(F238)&amp;CHAR(10)&amp;Basic_Fundamental_Information_Concatenate("")</f>
        <v xml:space="preserve">
市值11.1155477亿, 利润774.99万; PE22.27; 平均PE-11.92, PB3.16; ROIC20.3267%; ROE25.645%; 股利率1.3482%; 毛利28.6133%; 净利14.55%; 上一年度营收增-78.96%, 利润增-76.97%; 当季营收增-72.63%, 利润增93.56%; 过往5年营收增0%, 利润增0%
Income profile:
</v>
      </c>
      <c r="D238">
        <v>873570</v>
      </c>
      <c r="E238" t="s">
        <v>2552</v>
      </c>
      <c r="F238">
        <v>34.119999999999997</v>
      </c>
      <c r="G238" s="5">
        <v>0</v>
      </c>
      <c r="H238" t="s">
        <v>7609</v>
      </c>
      <c r="I238">
        <v>1111554770</v>
      </c>
      <c r="J238">
        <v>22.27</v>
      </c>
      <c r="K238">
        <v>3.16</v>
      </c>
      <c r="L238" t="s">
        <v>2604</v>
      </c>
      <c r="M238" t="s">
        <v>70</v>
      </c>
      <c r="N238" t="s">
        <v>616</v>
      </c>
      <c r="O238" t="s">
        <v>7610</v>
      </c>
      <c r="P238">
        <v>-35.51</v>
      </c>
      <c r="Q238" t="s">
        <v>7610</v>
      </c>
      <c r="R238">
        <v>7749889</v>
      </c>
      <c r="S238" s="5">
        <v>0.93559999999999999</v>
      </c>
      <c r="T238" t="s">
        <v>7611</v>
      </c>
      <c r="U238">
        <v>8419048</v>
      </c>
      <c r="V238">
        <v>32577807</v>
      </c>
      <c r="W238">
        <v>1.33</v>
      </c>
      <c r="X238">
        <v>0.09</v>
      </c>
      <c r="Y238">
        <v>17.37</v>
      </c>
      <c r="Z238" t="s">
        <v>7612</v>
      </c>
      <c r="AA238" t="s">
        <v>7613</v>
      </c>
      <c r="AB238" t="s">
        <v>7614</v>
      </c>
      <c r="AC238" t="s">
        <v>7615</v>
      </c>
      <c r="AD238" t="s">
        <v>7616</v>
      </c>
      <c r="AE238">
        <v>125348</v>
      </c>
      <c r="AF238" t="s">
        <v>17</v>
      </c>
      <c r="AG238" t="s">
        <v>1893</v>
      </c>
      <c r="AH238" t="s">
        <v>7617</v>
      </c>
      <c r="AI238" t="s">
        <v>258</v>
      </c>
      <c r="AJ238" t="s">
        <v>9</v>
      </c>
      <c r="AK238" t="s">
        <v>9</v>
      </c>
      <c r="AL238" t="s">
        <v>7618</v>
      </c>
      <c r="AM238" t="s">
        <v>9</v>
      </c>
      <c r="AN238" t="s">
        <v>7619</v>
      </c>
      <c r="AO238" t="s">
        <v>7620</v>
      </c>
      <c r="AP238" t="s">
        <v>7621</v>
      </c>
      <c r="AQ238" t="s">
        <v>7622</v>
      </c>
      <c r="AR238" t="s">
        <v>9</v>
      </c>
      <c r="AS238" t="s">
        <v>7623</v>
      </c>
      <c r="AT238" t="s">
        <v>7624</v>
      </c>
      <c r="AU238" t="s">
        <v>7625</v>
      </c>
      <c r="AV238" t="s">
        <v>7626</v>
      </c>
      <c r="AW238" t="s">
        <v>7627</v>
      </c>
      <c r="AX238" t="s">
        <v>104</v>
      </c>
      <c r="AY238" t="s">
        <v>312</v>
      </c>
      <c r="AZ238" t="s">
        <v>2554</v>
      </c>
      <c r="BA238" t="s">
        <v>2555</v>
      </c>
      <c r="BB238" t="s">
        <v>2556</v>
      </c>
      <c r="BC238" t="s">
        <v>2553</v>
      </c>
      <c r="BD238" t="s">
        <v>2557</v>
      </c>
      <c r="BE238" t="s">
        <v>2558</v>
      </c>
      <c r="BF238" t="s">
        <v>2559</v>
      </c>
      <c r="BG238" t="s">
        <v>2560</v>
      </c>
      <c r="BH238" t="s">
        <v>124</v>
      </c>
      <c r="BI238" t="s">
        <v>229</v>
      </c>
      <c r="BJ238" t="s">
        <v>104</v>
      </c>
      <c r="BK238" t="s">
        <v>7628</v>
      </c>
      <c r="BL238" t="s">
        <v>2561</v>
      </c>
      <c r="BM238" t="s">
        <v>2553</v>
      </c>
      <c r="BN238">
        <v>20.440000000000001</v>
      </c>
      <c r="BO238">
        <v>25.14</v>
      </c>
      <c r="BP238">
        <v>15.4</v>
      </c>
      <c r="BQ238">
        <v>24.97</v>
      </c>
      <c r="BR238">
        <v>26.32</v>
      </c>
      <c r="BS238" t="s">
        <v>9</v>
      </c>
      <c r="BT238" t="s">
        <v>7629</v>
      </c>
      <c r="BU238" t="s">
        <v>1118</v>
      </c>
      <c r="BV238">
        <v>29.76</v>
      </c>
      <c r="BW238">
        <v>27.65</v>
      </c>
      <c r="BX238">
        <v>28.43</v>
      </c>
      <c r="BY238">
        <v>17.7</v>
      </c>
      <c r="BZ238">
        <v>15.9</v>
      </c>
      <c r="CA238">
        <v>10.050000000000001</v>
      </c>
      <c r="CB238">
        <v>-3.45</v>
      </c>
      <c r="CC238">
        <v>-23.5</v>
      </c>
      <c r="CD238" t="s">
        <v>7630</v>
      </c>
      <c r="CE238" t="s">
        <v>7631</v>
      </c>
      <c r="CF238" s="8">
        <v>-0.72633312883435586</v>
      </c>
      <c r="CG238" s="9">
        <v>0.93559999999999999</v>
      </c>
      <c r="CH238" s="8">
        <v>-0.78958636522293091</v>
      </c>
      <c r="CI238" s="8">
        <v>0.40397351980209351</v>
      </c>
      <c r="CJ238" s="8">
        <v>0.76916497945785522</v>
      </c>
      <c r="CK238" s="8">
        <v>0.14748698472976685</v>
      </c>
      <c r="CL238" s="8">
        <v>0.36468514800071716</v>
      </c>
      <c r="CM238" s="9">
        <v>-0.76966971158981323</v>
      </c>
      <c r="CN238" s="9">
        <v>1.3666666746139526</v>
      </c>
      <c r="CO238" s="9">
        <v>-0.20431394875049591</v>
      </c>
      <c r="CP238" s="9">
        <v>0.38313385844230652</v>
      </c>
      <c r="CQ238" s="9">
        <v>0.63637512922286987</v>
      </c>
      <c r="CR238">
        <v>-11.918087903227535</v>
      </c>
      <c r="CS238" t="e">
        <v>#DIV/0!</v>
      </c>
      <c r="CT238">
        <v>1.3481828839390386</v>
      </c>
      <c r="CU238" s="8">
        <v>0</v>
      </c>
      <c r="CV238" s="9">
        <v>0</v>
      </c>
      <c r="CW238">
        <v>0.06</v>
      </c>
      <c r="CX238">
        <v>126.86719263474367</v>
      </c>
      <c r="CY238">
        <v>7311226.4150943393</v>
      </c>
      <c r="CZ238">
        <v>0</v>
      </c>
      <c r="DA238">
        <v>44.77571857155359</v>
      </c>
      <c r="DB238">
        <v>20715575.307132732</v>
      </c>
      <c r="DC238">
        <v>0</v>
      </c>
      <c r="DD238">
        <v>24.339665812672052</v>
      </c>
      <c r="DE238">
        <v>38108771.794109173</v>
      </c>
      <c r="DF238">
        <v>0</v>
      </c>
      <c r="DG238">
        <v>16.261496630598813</v>
      </c>
      <c r="DH238">
        <v>57039938.639758751</v>
      </c>
      <c r="DI238">
        <v>0</v>
      </c>
      <c r="DJ238">
        <v>10.434773570525476</v>
      </c>
      <c r="DK238">
        <v>88890742.451758832</v>
      </c>
      <c r="DL238">
        <v>0</v>
      </c>
      <c r="DM238">
        <v>7749900</v>
      </c>
      <c r="DN238">
        <v>0</v>
      </c>
      <c r="DO238">
        <v>927554770</v>
      </c>
      <c r="DP238">
        <v>226398800</v>
      </c>
      <c r="DQ238">
        <v>237</v>
      </c>
      <c r="DR238">
        <v>-0.72633312883435586</v>
      </c>
      <c r="DS238">
        <v>0.93559999999999999</v>
      </c>
      <c r="DT238">
        <v>-0.44</v>
      </c>
      <c r="DU238">
        <v>-0.44</v>
      </c>
      <c r="DV238">
        <v>-0.88</v>
      </c>
      <c r="DW238">
        <v>-8.1468085106382979</v>
      </c>
      <c r="DX238">
        <v>0.39928955915765713</v>
      </c>
      <c r="DY238">
        <v>-8.0307254884720809</v>
      </c>
      <c r="DZ238">
        <v>0</v>
      </c>
      <c r="EA238">
        <v>-8.0307254884720809</v>
      </c>
      <c r="EB238">
        <v>8</v>
      </c>
      <c r="EC238">
        <v>8.4259815278542233E-2</v>
      </c>
      <c r="ED238">
        <v>0.40259922959209626</v>
      </c>
      <c r="EE238">
        <v>0</v>
      </c>
      <c r="EF238">
        <v>0</v>
      </c>
      <c r="EG238">
        <v>19.209289559157657</v>
      </c>
      <c r="EH238" t="s">
        <v>86</v>
      </c>
      <c r="EI238">
        <v>0</v>
      </c>
      <c r="EJ238">
        <v>0</v>
      </c>
      <c r="EK238">
        <v>0</v>
      </c>
      <c r="EL238">
        <v>0</v>
      </c>
      <c r="EM238">
        <v>0</v>
      </c>
      <c r="EN238">
        <v>0</v>
      </c>
      <c r="EO238">
        <v>0</v>
      </c>
      <c r="EP238">
        <v>0</v>
      </c>
    </row>
    <row r="239" spans="1:146" ht="96" x14ac:dyDescent="0.25">
      <c r="A239" s="10"/>
      <c r="B239" s="10"/>
      <c r="C239" s="7" t="str">
        <f>""&amp;CHAR(10)&amp;Basic_Fundamental_Information_Constructure(F239)&amp;CHAR(10)&amp;Basic_Fundamental_Information_Concatenate("")</f>
        <v xml:space="preserve">
市值19.621895亿, 利润1782.86万; PE20.74; 平均PE28, PB3.97; ROIC18.7267%; ROE20.895%; 股利率3.8867%; 毛利22.0333%; 净利10.7233%; 上一年度营收增-72.61%, 利润增-75.62%; 当季营收增-51.52%, 利润增48.04%; 过往5年营收增0%, 利润增0%
Income profile:
</v>
      </c>
      <c r="D239">
        <v>873576</v>
      </c>
      <c r="E239" t="s">
        <v>2562</v>
      </c>
      <c r="F239">
        <v>18.010000000000002</v>
      </c>
      <c r="G239" s="5">
        <v>-2.86</v>
      </c>
      <c r="H239" t="s">
        <v>7632</v>
      </c>
      <c r="I239">
        <v>1962189500</v>
      </c>
      <c r="J239">
        <v>20.74</v>
      </c>
      <c r="K239">
        <v>3.97</v>
      </c>
      <c r="L239" t="s">
        <v>2604</v>
      </c>
      <c r="M239" t="s">
        <v>675</v>
      </c>
      <c r="N239" t="s">
        <v>928</v>
      </c>
      <c r="O239" t="s">
        <v>495</v>
      </c>
      <c r="P239">
        <v>15.71</v>
      </c>
      <c r="Q239" t="s">
        <v>495</v>
      </c>
      <c r="R239">
        <v>17828636</v>
      </c>
      <c r="S239" s="6">
        <v>0.48039999999999999</v>
      </c>
      <c r="T239" t="s">
        <v>7633</v>
      </c>
      <c r="U239">
        <v>32417250</v>
      </c>
      <c r="V239">
        <v>108950000</v>
      </c>
      <c r="W239">
        <v>1.7</v>
      </c>
      <c r="X239">
        <v>0.2</v>
      </c>
      <c r="Y239">
        <v>10.199999999999999</v>
      </c>
      <c r="Z239" t="s">
        <v>434</v>
      </c>
      <c r="AA239" t="s">
        <v>26</v>
      </c>
      <c r="AB239" t="s">
        <v>7634</v>
      </c>
      <c r="AC239" t="s">
        <v>7635</v>
      </c>
      <c r="AD239" t="s">
        <v>7636</v>
      </c>
      <c r="AE239">
        <v>1379363</v>
      </c>
      <c r="AF239" t="s">
        <v>17</v>
      </c>
      <c r="AG239" t="s">
        <v>9</v>
      </c>
      <c r="AH239" t="s">
        <v>7637</v>
      </c>
      <c r="AI239" t="s">
        <v>174</v>
      </c>
      <c r="AJ239" t="s">
        <v>9</v>
      </c>
      <c r="AK239" t="s">
        <v>7638</v>
      </c>
      <c r="AL239" t="s">
        <v>7639</v>
      </c>
      <c r="AM239" t="s">
        <v>9</v>
      </c>
      <c r="AN239" t="s">
        <v>7640</v>
      </c>
      <c r="AO239" t="s">
        <v>9</v>
      </c>
      <c r="AP239" t="s">
        <v>7641</v>
      </c>
      <c r="AQ239" t="s">
        <v>63</v>
      </c>
      <c r="AR239" t="s">
        <v>9</v>
      </c>
      <c r="AS239" t="s">
        <v>124</v>
      </c>
      <c r="AT239" t="s">
        <v>9</v>
      </c>
      <c r="AU239" t="s">
        <v>7642</v>
      </c>
      <c r="AV239" t="s">
        <v>7643</v>
      </c>
      <c r="AW239" t="s">
        <v>9</v>
      </c>
      <c r="AX239" t="s">
        <v>575</v>
      </c>
      <c r="AY239" t="s">
        <v>226</v>
      </c>
      <c r="AZ239" t="s">
        <v>116</v>
      </c>
      <c r="BA239" t="s">
        <v>1498</v>
      </c>
      <c r="BB239" t="s">
        <v>270</v>
      </c>
      <c r="BC239" t="s">
        <v>7644</v>
      </c>
      <c r="BD239" t="s">
        <v>2563</v>
      </c>
      <c r="BE239" t="s">
        <v>2564</v>
      </c>
      <c r="BF239" t="s">
        <v>2565</v>
      </c>
      <c r="BG239" t="s">
        <v>2566</v>
      </c>
      <c r="BH239" t="s">
        <v>630</v>
      </c>
      <c r="BI239" t="s">
        <v>273</v>
      </c>
      <c r="BJ239" t="s">
        <v>575</v>
      </c>
      <c r="BK239" t="s">
        <v>7645</v>
      </c>
      <c r="BL239" t="s">
        <v>2567</v>
      </c>
      <c r="BM239" t="s">
        <v>7644</v>
      </c>
      <c r="BN239">
        <v>17.88</v>
      </c>
      <c r="BO239">
        <v>23.41</v>
      </c>
      <c r="BP239">
        <v>14.89</v>
      </c>
      <c r="BQ239">
        <v>18.14</v>
      </c>
      <c r="BR239">
        <v>23.65</v>
      </c>
      <c r="BS239" t="s">
        <v>9</v>
      </c>
      <c r="BT239" t="s">
        <v>7646</v>
      </c>
      <c r="BU239" t="s">
        <v>1025</v>
      </c>
      <c r="BV239">
        <v>22.23</v>
      </c>
      <c r="BW239">
        <v>22.34</v>
      </c>
      <c r="BX239">
        <v>21.53</v>
      </c>
      <c r="BY239">
        <v>12</v>
      </c>
      <c r="BZ239">
        <v>11.45</v>
      </c>
      <c r="CA239">
        <v>8.7200000000000006</v>
      </c>
      <c r="CB239">
        <v>-7.55</v>
      </c>
      <c r="CC239">
        <v>-8.86</v>
      </c>
      <c r="CD239" t="s">
        <v>7647</v>
      </c>
      <c r="CE239" t="s">
        <v>7648</v>
      </c>
      <c r="CF239" s="8">
        <v>-0.51523545706371188</v>
      </c>
      <c r="CG239" s="9">
        <v>0.48039999999999999</v>
      </c>
      <c r="CH239" s="8">
        <v>-0.72613459825515747</v>
      </c>
      <c r="CI239" s="8">
        <v>0.27037772536277771</v>
      </c>
      <c r="CJ239" s="8">
        <v>0.34491980075836182</v>
      </c>
      <c r="CK239" s="8">
        <v>-0.17982456088066101</v>
      </c>
      <c r="CL239" s="8">
        <v>0.18441557884216309</v>
      </c>
      <c r="CM239" s="9">
        <v>-0.75624477863311768</v>
      </c>
      <c r="CN239" s="9">
        <v>0.66726088523864746</v>
      </c>
      <c r="CO239" s="9">
        <v>0.357881098985672</v>
      </c>
      <c r="CP239" s="9">
        <v>-0.31571599841117859</v>
      </c>
      <c r="CQ239" s="9">
        <v>1.134393572807312</v>
      </c>
      <c r="CR239">
        <v>28.000358175900043</v>
      </c>
      <c r="CS239" t="e">
        <v>#DIV/0!</v>
      </c>
      <c r="CT239">
        <v>3.8867295946696276</v>
      </c>
      <c r="CU239" s="8">
        <v>0</v>
      </c>
      <c r="CV239" s="9">
        <v>0</v>
      </c>
      <c r="CW239">
        <v>0.06</v>
      </c>
      <c r="CX239">
        <v>112.44073398920835</v>
      </c>
      <c r="CY239">
        <v>16819433.96226415</v>
      </c>
      <c r="CZ239">
        <v>0</v>
      </c>
      <c r="DA239">
        <v>39.684133908240518</v>
      </c>
      <c r="DB239">
        <v>47656060.842171721</v>
      </c>
      <c r="DC239">
        <v>0</v>
      </c>
      <c r="DD239">
        <v>21.571927558199931</v>
      </c>
      <c r="DE239">
        <v>87669008.47861971</v>
      </c>
      <c r="DF239">
        <v>0</v>
      </c>
      <c r="DG239">
        <v>14.412351837655711</v>
      </c>
      <c r="DH239">
        <v>131220048.00485204</v>
      </c>
      <c r="DI239">
        <v>0</v>
      </c>
      <c r="DJ239">
        <v>9.2482033764161677</v>
      </c>
      <c r="DK239">
        <v>204492637.43731242</v>
      </c>
      <c r="DL239">
        <v>0</v>
      </c>
      <c r="DM239">
        <v>17828600</v>
      </c>
      <c r="DN239">
        <v>0</v>
      </c>
      <c r="DO239">
        <v>1891189500</v>
      </c>
      <c r="DP239">
        <v>396654500</v>
      </c>
      <c r="DQ239">
        <v>238</v>
      </c>
      <c r="DR239">
        <v>-0.51523545706371188</v>
      </c>
      <c r="DS239">
        <v>0.48039999999999999</v>
      </c>
      <c r="DT239">
        <v>-0.44</v>
      </c>
      <c r="DU239">
        <v>-0.22</v>
      </c>
      <c r="DV239">
        <v>-0.66</v>
      </c>
      <c r="DW239">
        <v>-9.8521444695259586</v>
      </c>
      <c r="DX239">
        <v>0.35904354904354863</v>
      </c>
      <c r="DY239">
        <v>-9.0758779678644235</v>
      </c>
      <c r="DZ239">
        <v>0</v>
      </c>
      <c r="EA239">
        <v>-9.0758779678644235</v>
      </c>
      <c r="EB239">
        <v>9</v>
      </c>
      <c r="EC239">
        <v>1.0040385497934833E-2</v>
      </c>
      <c r="ED239">
        <v>0.1127581459385039</v>
      </c>
      <c r="EE239">
        <v>0</v>
      </c>
      <c r="EF239">
        <v>0</v>
      </c>
      <c r="EG239">
        <v>27.089043549043549</v>
      </c>
      <c r="EH239" t="s">
        <v>86</v>
      </c>
      <c r="EI239">
        <v>0</v>
      </c>
      <c r="EJ239">
        <v>0</v>
      </c>
      <c r="EK239">
        <v>0</v>
      </c>
      <c r="EL239">
        <v>0</v>
      </c>
      <c r="EM239">
        <v>0</v>
      </c>
      <c r="EN239">
        <v>0</v>
      </c>
      <c r="EO239">
        <v>0</v>
      </c>
      <c r="EP239">
        <v>0</v>
      </c>
    </row>
    <row r="240" spans="1:146" ht="96" x14ac:dyDescent="0.25">
      <c r="A240" s="10"/>
      <c r="B240" s="10"/>
      <c r="C240" s="7" t="str">
        <f>""&amp;CHAR(10)&amp;Basic_Fundamental_Information_Constructure(F240)&amp;CHAR(10)&amp;Basic_Fundamental_Information_Concatenate("")</f>
        <v xml:space="preserve">
市值25.372924亿, 利润536.60万; PE52.18; 平均PE26.79, PB3.78; ROIC39.23%; ROE32.87%; 股利率2.1198%; 毛利53.57%; 净利28.5767%; 上一年度营收增-86.38%, 利润增-94.69%; 当季营收增-77.79%, 利润增-85.75%; 过往5年营收增0%, 利润增0%
Income profile:
</v>
      </c>
      <c r="D240">
        <v>873593</v>
      </c>
      <c r="E240" t="s">
        <v>2568</v>
      </c>
      <c r="F240">
        <v>18.87</v>
      </c>
      <c r="G240" s="5">
        <v>-2.02</v>
      </c>
      <c r="H240" t="s">
        <v>7649</v>
      </c>
      <c r="I240">
        <v>2537292400</v>
      </c>
      <c r="J240">
        <v>52.18</v>
      </c>
      <c r="K240">
        <v>3.78</v>
      </c>
      <c r="L240" t="s">
        <v>2604</v>
      </c>
      <c r="M240" t="s">
        <v>7650</v>
      </c>
      <c r="N240" t="s">
        <v>617</v>
      </c>
      <c r="O240" t="s">
        <v>7651</v>
      </c>
      <c r="P240">
        <v>-67.349999999999994</v>
      </c>
      <c r="Q240" t="s">
        <v>7651</v>
      </c>
      <c r="R240">
        <v>5365963</v>
      </c>
      <c r="S240" s="5">
        <v>-0.85750000000000004</v>
      </c>
      <c r="T240" t="s">
        <v>7652</v>
      </c>
      <c r="U240">
        <v>40559322</v>
      </c>
      <c r="V240">
        <v>96044078</v>
      </c>
      <c r="W240">
        <v>1.07</v>
      </c>
      <c r="X240">
        <v>0.06</v>
      </c>
      <c r="Y240">
        <v>11.91</v>
      </c>
      <c r="Z240" t="s">
        <v>7653</v>
      </c>
      <c r="AA240" t="s">
        <v>7654</v>
      </c>
      <c r="AB240" t="s">
        <v>7655</v>
      </c>
      <c r="AC240" t="s">
        <v>7656</v>
      </c>
      <c r="AD240" t="s">
        <v>7657</v>
      </c>
      <c r="AE240">
        <v>1205010</v>
      </c>
      <c r="AF240" t="s">
        <v>7658</v>
      </c>
      <c r="AG240">
        <v>4272.54</v>
      </c>
      <c r="AH240" t="s">
        <v>7659</v>
      </c>
      <c r="AI240" t="s">
        <v>124</v>
      </c>
      <c r="AJ240" t="s">
        <v>9</v>
      </c>
      <c r="AK240" t="s">
        <v>7660</v>
      </c>
      <c r="AL240" t="s">
        <v>7661</v>
      </c>
      <c r="AM240" t="s">
        <v>9</v>
      </c>
      <c r="AN240" t="s">
        <v>160</v>
      </c>
      <c r="AO240" t="s">
        <v>7662</v>
      </c>
      <c r="AP240" t="s">
        <v>9</v>
      </c>
      <c r="AQ240" t="s">
        <v>7663</v>
      </c>
      <c r="AR240" t="s">
        <v>7664</v>
      </c>
      <c r="AS240" t="s">
        <v>7665</v>
      </c>
      <c r="AT240" t="s">
        <v>9</v>
      </c>
      <c r="AU240" t="s">
        <v>7666</v>
      </c>
      <c r="AV240" t="s">
        <v>7667</v>
      </c>
      <c r="AW240" t="s">
        <v>7668</v>
      </c>
      <c r="AX240" t="s">
        <v>428</v>
      </c>
      <c r="AY240" t="s">
        <v>264</v>
      </c>
      <c r="AZ240" t="s">
        <v>406</v>
      </c>
      <c r="BA240" t="s">
        <v>2569</v>
      </c>
      <c r="BB240" t="s">
        <v>2570</v>
      </c>
      <c r="BC240" t="s">
        <v>18</v>
      </c>
      <c r="BD240" t="s">
        <v>2571</v>
      </c>
      <c r="BE240" t="s">
        <v>2572</v>
      </c>
      <c r="BF240" t="s">
        <v>2573</v>
      </c>
      <c r="BG240" t="s">
        <v>579</v>
      </c>
      <c r="BH240" t="s">
        <v>153</v>
      </c>
      <c r="BI240" t="s">
        <v>62</v>
      </c>
      <c r="BJ240" t="s">
        <v>428</v>
      </c>
      <c r="BK240" t="s">
        <v>7669</v>
      </c>
      <c r="BL240" t="s">
        <v>2574</v>
      </c>
      <c r="BM240" t="s">
        <v>18</v>
      </c>
      <c r="BN240">
        <v>13.64</v>
      </c>
      <c r="BO240">
        <v>50.89</v>
      </c>
      <c r="BP240">
        <v>53.16</v>
      </c>
      <c r="BQ240">
        <v>13.45</v>
      </c>
      <c r="BR240">
        <v>52.29</v>
      </c>
      <c r="BS240" t="s">
        <v>9</v>
      </c>
      <c r="BT240" t="s">
        <v>2773</v>
      </c>
      <c r="BU240" t="s">
        <v>2340</v>
      </c>
      <c r="BV240">
        <v>52.39</v>
      </c>
      <c r="BW240">
        <v>55.39</v>
      </c>
      <c r="BX240">
        <v>52.93</v>
      </c>
      <c r="BY240">
        <v>28.52</v>
      </c>
      <c r="BZ240">
        <v>31.67</v>
      </c>
      <c r="CA240">
        <v>25.54</v>
      </c>
      <c r="CB240">
        <v>-5.13</v>
      </c>
      <c r="CC240">
        <v>-10.48</v>
      </c>
      <c r="CD240" t="s">
        <v>7670</v>
      </c>
      <c r="CE240" t="s">
        <v>7671</v>
      </c>
      <c r="CF240" s="8">
        <v>-0.77790871794871796</v>
      </c>
      <c r="CG240" s="9">
        <v>-0.85750000000000004</v>
      </c>
      <c r="CH240" s="8">
        <v>-0.8638119101524353</v>
      </c>
      <c r="CI240" s="8">
        <v>0.63917523622512817</v>
      </c>
      <c r="CJ240" s="8">
        <v>0.48091602325439453</v>
      </c>
      <c r="CK240" s="8">
        <v>0.66476690769195557</v>
      </c>
      <c r="CL240" s="8">
        <v>8.7091915309429169E-2</v>
      </c>
      <c r="CM240" s="9">
        <v>-0.94687128067016602</v>
      </c>
      <c r="CN240" s="9">
        <v>1.0364915132522583</v>
      </c>
      <c r="CO240" s="9">
        <v>0.44576531648635864</v>
      </c>
      <c r="CP240" s="9">
        <v>14.846860885620117</v>
      </c>
      <c r="CQ240" s="9">
        <v>-0.86796343326568604</v>
      </c>
      <c r="CR240">
        <v>26.788518618883884</v>
      </c>
      <c r="CS240" t="e">
        <v>#DIV/0!</v>
      </c>
      <c r="CT240">
        <v>2.1197668256491786</v>
      </c>
      <c r="CU240" s="8">
        <v>0</v>
      </c>
      <c r="CV240" s="9">
        <v>0</v>
      </c>
      <c r="CW240">
        <v>0.06</v>
      </c>
      <c r="CX240">
        <v>377.79417331345513</v>
      </c>
      <c r="CY240">
        <v>5062264.1509433957</v>
      </c>
      <c r="CZ240">
        <v>0</v>
      </c>
      <c r="DA240">
        <v>133.33632778458292</v>
      </c>
      <c r="DB240">
        <v>14343382.120811138</v>
      </c>
      <c r="DC240">
        <v>0</v>
      </c>
      <c r="DD240">
        <v>72.480392554268334</v>
      </c>
      <c r="DE240">
        <v>26386362.333344925</v>
      </c>
      <c r="DF240">
        <v>0</v>
      </c>
      <c r="DG240">
        <v>48.424644297789591</v>
      </c>
      <c r="DH240">
        <v>39494227.117891259</v>
      </c>
      <c r="DI240">
        <v>0</v>
      </c>
      <c r="DJ240">
        <v>31.073412857329654</v>
      </c>
      <c r="DK240">
        <v>61547597.258821137</v>
      </c>
      <c r="DL240">
        <v>0</v>
      </c>
      <c r="DM240">
        <v>5366000</v>
      </c>
      <c r="DN240">
        <v>0</v>
      </c>
      <c r="DO240">
        <v>1912493900</v>
      </c>
      <c r="DP240">
        <v>404298060</v>
      </c>
      <c r="DQ240">
        <v>239</v>
      </c>
      <c r="DR240">
        <v>-0.77790871794871796</v>
      </c>
      <c r="DS240">
        <v>-0.85750000000000004</v>
      </c>
      <c r="DT240">
        <v>-0.44</v>
      </c>
      <c r="DU240">
        <v>-0.44</v>
      </c>
      <c r="DV240">
        <v>-0.88</v>
      </c>
      <c r="DW240">
        <v>-8.4895038167938939</v>
      </c>
      <c r="DX240">
        <v>0.41529849960823823</v>
      </c>
      <c r="DY240">
        <v>-8.0613340937967806</v>
      </c>
      <c r="DZ240">
        <v>0</v>
      </c>
      <c r="EA240">
        <v>-8.0613340937967806</v>
      </c>
      <c r="EB240">
        <v>8</v>
      </c>
      <c r="EC240">
        <v>5.5778556175009562E-2</v>
      </c>
      <c r="ED240">
        <v>0.44516539583002712</v>
      </c>
      <c r="EE240">
        <v>0</v>
      </c>
      <c r="EF240">
        <v>0</v>
      </c>
      <c r="EG240">
        <v>29.125298499608238</v>
      </c>
      <c r="EH240" t="s">
        <v>86</v>
      </c>
      <c r="EI240">
        <v>0</v>
      </c>
      <c r="EJ240">
        <v>0</v>
      </c>
      <c r="EK240">
        <v>0</v>
      </c>
      <c r="EL240">
        <v>0</v>
      </c>
      <c r="EM240">
        <v>0</v>
      </c>
      <c r="EN240">
        <v>0</v>
      </c>
      <c r="EO240">
        <v>0</v>
      </c>
      <c r="EP240">
        <v>0</v>
      </c>
    </row>
    <row r="241" spans="1:146" ht="96" x14ac:dyDescent="0.25">
      <c r="A241" s="10"/>
      <c r="B241" s="10"/>
      <c r="C241" s="7" t="str">
        <f>""&amp;CHAR(10)&amp;Basic_Fundamental_Information_Constructure(F241)&amp;CHAR(10)&amp;Basic_Fundamental_Information_Concatenate("")</f>
        <v xml:space="preserve">
市值9.61926亿, 利润1980.31万; PE11.8; 平均PE-45.69, PB1.37; ROIC10.6667%; ROE11.575%; 股利率3.3784%; 毛利37.9533%; 净利18.4%; 上一年度营收增-72.09%, 利润增-62.22%; 当季营收增-52.25%, 利润增0%; 过往5年营收增0%, 利润增0%
Income profile:
</v>
      </c>
      <c r="D241">
        <v>873665</v>
      </c>
      <c r="E241" t="s">
        <v>2575</v>
      </c>
      <c r="F241">
        <v>7.4</v>
      </c>
      <c r="G241" s="5">
        <v>-1.2</v>
      </c>
      <c r="H241" t="s">
        <v>1808</v>
      </c>
      <c r="I241">
        <v>961926000</v>
      </c>
      <c r="J241">
        <v>11.8</v>
      </c>
      <c r="K241">
        <v>1.37</v>
      </c>
      <c r="L241" t="s">
        <v>2604</v>
      </c>
      <c r="M241" t="s">
        <v>411</v>
      </c>
      <c r="N241" t="s">
        <v>144</v>
      </c>
      <c r="O241" t="s">
        <v>7672</v>
      </c>
      <c r="P241">
        <v>4.97</v>
      </c>
      <c r="Q241" t="s">
        <v>7672</v>
      </c>
      <c r="R241">
        <v>19803088</v>
      </c>
      <c r="S241" s="5">
        <v>0</v>
      </c>
      <c r="T241" t="s">
        <v>7673</v>
      </c>
      <c r="U241">
        <v>38969000</v>
      </c>
      <c r="V241">
        <v>129990000</v>
      </c>
      <c r="W241">
        <v>1.1299999999999999</v>
      </c>
      <c r="X241">
        <v>0.1</v>
      </c>
      <c r="Y241">
        <v>24.56</v>
      </c>
      <c r="Z241" t="s">
        <v>7674</v>
      </c>
      <c r="AA241" t="s">
        <v>7675</v>
      </c>
      <c r="AB241" t="s">
        <v>7676</v>
      </c>
      <c r="AC241" t="s">
        <v>7677</v>
      </c>
      <c r="AD241" t="s">
        <v>7678</v>
      </c>
      <c r="AE241">
        <v>732635</v>
      </c>
      <c r="AF241" t="s">
        <v>7679</v>
      </c>
      <c r="AG241" t="s">
        <v>7680</v>
      </c>
      <c r="AH241" t="s">
        <v>7681</v>
      </c>
      <c r="AI241" t="s">
        <v>36</v>
      </c>
      <c r="AJ241" t="s">
        <v>9</v>
      </c>
      <c r="AK241" t="s">
        <v>7682</v>
      </c>
      <c r="AL241" t="s">
        <v>7683</v>
      </c>
      <c r="AM241" t="s">
        <v>9</v>
      </c>
      <c r="AN241" t="s">
        <v>7684</v>
      </c>
      <c r="AO241" t="s">
        <v>9</v>
      </c>
      <c r="AP241" t="s">
        <v>7685</v>
      </c>
      <c r="AQ241" t="s">
        <v>7686</v>
      </c>
      <c r="AR241" t="s">
        <v>9</v>
      </c>
      <c r="AS241" t="s">
        <v>7687</v>
      </c>
      <c r="AT241" t="s">
        <v>9</v>
      </c>
      <c r="AU241" t="s">
        <v>7688</v>
      </c>
      <c r="AV241" t="s">
        <v>7689</v>
      </c>
      <c r="AW241" t="s">
        <v>7690</v>
      </c>
      <c r="AX241" t="s">
        <v>681</v>
      </c>
      <c r="AY241" t="s">
        <v>577</v>
      </c>
      <c r="AZ241" t="s">
        <v>247</v>
      </c>
      <c r="BA241" t="s">
        <v>101</v>
      </c>
      <c r="BB241" t="s">
        <v>9</v>
      </c>
      <c r="BC241" t="s">
        <v>2576</v>
      </c>
      <c r="BD241" t="s">
        <v>2577</v>
      </c>
      <c r="BE241" t="s">
        <v>2578</v>
      </c>
      <c r="BF241" t="s">
        <v>2579</v>
      </c>
      <c r="BG241" t="s">
        <v>9</v>
      </c>
      <c r="BH241" t="s">
        <v>457</v>
      </c>
      <c r="BI241" t="s">
        <v>39</v>
      </c>
      <c r="BJ241" t="s">
        <v>681</v>
      </c>
      <c r="BK241" t="s">
        <v>7691</v>
      </c>
      <c r="BL241" t="s">
        <v>2580</v>
      </c>
      <c r="BM241" t="s">
        <v>2576</v>
      </c>
      <c r="BN241">
        <v>9.41</v>
      </c>
      <c r="BO241">
        <v>11.4</v>
      </c>
      <c r="BP241">
        <v>11.19</v>
      </c>
      <c r="BQ241">
        <v>11.39</v>
      </c>
      <c r="BR241">
        <v>11.76</v>
      </c>
      <c r="BS241" t="s">
        <v>9</v>
      </c>
      <c r="BT241" t="s">
        <v>1165</v>
      </c>
      <c r="BU241" t="s">
        <v>1149</v>
      </c>
      <c r="BV241">
        <v>41.77</v>
      </c>
      <c r="BW241">
        <v>37.270000000000003</v>
      </c>
      <c r="BX241">
        <v>34.82</v>
      </c>
      <c r="BY241">
        <v>21.47</v>
      </c>
      <c r="BZ241">
        <v>18.46</v>
      </c>
      <c r="CA241">
        <v>15.27</v>
      </c>
      <c r="CB241">
        <v>-1.07</v>
      </c>
      <c r="CC241">
        <v>-4.6399999999999997</v>
      </c>
      <c r="CD241" t="s">
        <v>7692</v>
      </c>
      <c r="CE241" t="s">
        <v>7693</v>
      </c>
      <c r="CF241" s="8">
        <v>-0.5225186746987952</v>
      </c>
      <c r="CG241" s="9">
        <v>0</v>
      </c>
      <c r="CH241" s="8">
        <v>-0.7209087610244751</v>
      </c>
      <c r="CI241" s="8">
        <v>1.7921147868037224E-2</v>
      </c>
      <c r="CJ241" s="8">
        <v>0.13877551257610321</v>
      </c>
      <c r="CK241" s="8">
        <v>-4.296875E-2</v>
      </c>
      <c r="CL241" s="8" t="s">
        <v>9</v>
      </c>
      <c r="CM241" s="9">
        <v>-0.62218928337097168</v>
      </c>
      <c r="CN241" s="9">
        <v>0.23083606362342834</v>
      </c>
      <c r="CO241" s="9">
        <v>-0.2165299654006958</v>
      </c>
      <c r="CP241" s="9">
        <v>0.10445626080036163</v>
      </c>
      <c r="CQ241" s="9" t="s">
        <v>9</v>
      </c>
      <c r="CR241">
        <v>-45.687574905047711</v>
      </c>
      <c r="CS241" t="e">
        <v>#DIV/0!</v>
      </c>
      <c r="CT241">
        <v>3.3783783783783781</v>
      </c>
      <c r="CU241" s="8">
        <v>0</v>
      </c>
      <c r="CV241" s="9">
        <v>0</v>
      </c>
      <c r="CW241">
        <v>0.06</v>
      </c>
      <c r="CX241">
        <v>19.747492059324049</v>
      </c>
      <c r="CY241">
        <v>18682169.811320752</v>
      </c>
      <c r="CZ241">
        <v>0</v>
      </c>
      <c r="DA241">
        <v>6.9695571296194565</v>
      </c>
      <c r="DB241">
        <v>52933922.936383717</v>
      </c>
      <c r="DC241">
        <v>0</v>
      </c>
      <c r="DD241">
        <v>3.7885866895955322</v>
      </c>
      <c r="DE241">
        <v>97378265.360317349</v>
      </c>
      <c r="DF241">
        <v>0</v>
      </c>
      <c r="DG241">
        <v>2.5311805906354725</v>
      </c>
      <c r="DH241">
        <v>145752539.88787037</v>
      </c>
      <c r="DI241">
        <v>0</v>
      </c>
      <c r="DJ241">
        <v>1.6242229684868488</v>
      </c>
      <c r="DK241">
        <v>227139996.88336951</v>
      </c>
      <c r="DL241">
        <v>0</v>
      </c>
      <c r="DM241">
        <v>19803100</v>
      </c>
      <c r="DN241">
        <v>0</v>
      </c>
      <c r="DO241">
        <v>368926000</v>
      </c>
      <c r="DP241">
        <v>555235890</v>
      </c>
      <c r="DQ241">
        <v>240</v>
      </c>
      <c r="DR241">
        <v>-0.5225186746987952</v>
      </c>
      <c r="DS241">
        <v>0</v>
      </c>
      <c r="DT241">
        <v>-0.44</v>
      </c>
      <c r="DU241">
        <v>-0.22</v>
      </c>
      <c r="DV241">
        <v>-0.66</v>
      </c>
      <c r="DW241">
        <v>-1.0464</v>
      </c>
      <c r="DX241">
        <v>0.27570319813456401</v>
      </c>
      <c r="DY241">
        <v>-1.0067606283934438</v>
      </c>
      <c r="DZ241">
        <v>0</v>
      </c>
      <c r="EA241">
        <v>-1.0067606283934438</v>
      </c>
      <c r="EB241">
        <v>1</v>
      </c>
      <c r="EC241">
        <v>1.3171013154858066E-2</v>
      </c>
      <c r="ED241">
        <v>9.0396184321870909E-2</v>
      </c>
      <c r="EE241">
        <v>0</v>
      </c>
      <c r="EF241">
        <v>0</v>
      </c>
      <c r="EG241">
        <v>13.145703198134564</v>
      </c>
      <c r="EH241" t="s">
        <v>86</v>
      </c>
      <c r="EI241">
        <v>0</v>
      </c>
      <c r="EJ241">
        <v>0</v>
      </c>
      <c r="EK241">
        <v>0</v>
      </c>
      <c r="EL241">
        <v>0</v>
      </c>
      <c r="EM241">
        <v>0</v>
      </c>
      <c r="EN241">
        <v>0</v>
      </c>
      <c r="EO241">
        <v>0</v>
      </c>
      <c r="EP241">
        <v>0</v>
      </c>
    </row>
    <row r="242" spans="1:146" ht="96" x14ac:dyDescent="0.25">
      <c r="A242" s="10"/>
      <c r="B242" s="10"/>
      <c r="C242" s="7" t="str">
        <f>""&amp;CHAR(10)&amp;Basic_Fundamental_Information_Constructure(F242)&amp;CHAR(10)&amp;Basic_Fundamental_Information_Concatenate("")</f>
        <v xml:space="preserve">
市值7.042685亿, 利润1384.66万; PE17.97; 平均PE.55, PB1.24; ROIC15.88%; ROE17.22%; 股利率7.9302%; 毛利39.77%; 净利24.25%; 上一年度营收增-73.82%, 利润增-73.4%; 当季营收增-34.88%, 利润增-18.78%; 过往5年营收增0%, 利润增0%
Income profile:
</v>
      </c>
      <c r="D242">
        <v>873679</v>
      </c>
      <c r="E242" t="s">
        <v>2581</v>
      </c>
      <c r="F242">
        <v>12.61</v>
      </c>
      <c r="G242" s="5">
        <v>-3.15</v>
      </c>
      <c r="H242" t="s">
        <v>7449</v>
      </c>
      <c r="I242">
        <v>704268500</v>
      </c>
      <c r="J242">
        <v>17.97</v>
      </c>
      <c r="K242">
        <v>1.24</v>
      </c>
      <c r="L242" t="s">
        <v>2604</v>
      </c>
      <c r="M242" t="s">
        <v>7694</v>
      </c>
      <c r="N242" t="s">
        <v>420</v>
      </c>
      <c r="O242" t="s">
        <v>7695</v>
      </c>
      <c r="P242">
        <v>13.94</v>
      </c>
      <c r="Q242" t="s">
        <v>7695</v>
      </c>
      <c r="R242">
        <v>13846586</v>
      </c>
      <c r="S242" s="5">
        <v>-0.18779999999999999</v>
      </c>
      <c r="T242" t="s">
        <v>7696</v>
      </c>
      <c r="U242">
        <v>13597000</v>
      </c>
      <c r="V242">
        <v>55850000</v>
      </c>
      <c r="W242">
        <v>1.06</v>
      </c>
      <c r="X242">
        <v>0.1</v>
      </c>
      <c r="Y242">
        <v>24.15</v>
      </c>
      <c r="Z242" t="s">
        <v>7697</v>
      </c>
      <c r="AA242" t="s">
        <v>7698</v>
      </c>
      <c r="AB242" t="s">
        <v>7699</v>
      </c>
      <c r="AC242" t="s">
        <v>7700</v>
      </c>
      <c r="AD242" t="s">
        <v>7701</v>
      </c>
      <c r="AE242">
        <v>1684903</v>
      </c>
      <c r="AF242" t="s">
        <v>17</v>
      </c>
      <c r="AG242">
        <v>32</v>
      </c>
      <c r="AH242" t="s">
        <v>7702</v>
      </c>
      <c r="AI242" t="s">
        <v>306</v>
      </c>
      <c r="AJ242" t="s">
        <v>9</v>
      </c>
      <c r="AK242" t="s">
        <v>9</v>
      </c>
      <c r="AL242" t="s">
        <v>7703</v>
      </c>
      <c r="AM242" t="s">
        <v>9</v>
      </c>
      <c r="AN242" t="s">
        <v>7704</v>
      </c>
      <c r="AO242" t="s">
        <v>9</v>
      </c>
      <c r="AP242" t="s">
        <v>7705</v>
      </c>
      <c r="AQ242" t="s">
        <v>7706</v>
      </c>
      <c r="AR242" t="s">
        <v>9</v>
      </c>
      <c r="AS242" t="s">
        <v>7707</v>
      </c>
      <c r="AT242" t="s">
        <v>9</v>
      </c>
      <c r="AU242" t="s">
        <v>7708</v>
      </c>
      <c r="AV242" t="s">
        <v>7709</v>
      </c>
      <c r="AW242" t="s">
        <v>9</v>
      </c>
      <c r="AX242" t="s">
        <v>554</v>
      </c>
      <c r="AY242" t="s">
        <v>264</v>
      </c>
      <c r="AZ242" t="s">
        <v>337</v>
      </c>
      <c r="BA242" t="s">
        <v>36</v>
      </c>
      <c r="BB242" t="s">
        <v>123</v>
      </c>
      <c r="BC242" t="s">
        <v>2582</v>
      </c>
      <c r="BD242" t="s">
        <v>2583</v>
      </c>
      <c r="BE242" t="s">
        <v>2584</v>
      </c>
      <c r="BF242" t="s">
        <v>2585</v>
      </c>
      <c r="BG242" t="s">
        <v>2586</v>
      </c>
      <c r="BH242" t="s">
        <v>149</v>
      </c>
      <c r="BI242" t="s">
        <v>2587</v>
      </c>
      <c r="BJ242" t="s">
        <v>554</v>
      </c>
      <c r="BK242" t="s">
        <v>7710</v>
      </c>
      <c r="BL242" t="s">
        <v>2588</v>
      </c>
      <c r="BM242" t="s">
        <v>2582</v>
      </c>
      <c r="BN242" t="s">
        <v>9</v>
      </c>
      <c r="BO242">
        <v>16.23</v>
      </c>
      <c r="BP242">
        <v>15.53</v>
      </c>
      <c r="BQ242" t="s">
        <v>9</v>
      </c>
      <c r="BR242">
        <v>17.22</v>
      </c>
      <c r="BS242" t="s">
        <v>9</v>
      </c>
      <c r="BT242" t="s">
        <v>6323</v>
      </c>
      <c r="BU242" t="s">
        <v>870</v>
      </c>
      <c r="BV242">
        <v>42.79</v>
      </c>
      <c r="BW242">
        <v>37.76</v>
      </c>
      <c r="BX242">
        <v>38.76</v>
      </c>
      <c r="BY242">
        <v>25.35</v>
      </c>
      <c r="BZ242">
        <v>23.73</v>
      </c>
      <c r="CA242">
        <v>23.67</v>
      </c>
      <c r="CB242">
        <v>-3.37</v>
      </c>
      <c r="CC242">
        <v>-17.579999999999998</v>
      </c>
      <c r="CD242" t="s">
        <v>7711</v>
      </c>
      <c r="CE242" t="s">
        <v>7712</v>
      </c>
      <c r="CF242" s="8">
        <v>-0.3487646116620659</v>
      </c>
      <c r="CG242" s="9">
        <v>-0.18779999999999999</v>
      </c>
      <c r="CH242" s="8">
        <v>-0.73823010921478271</v>
      </c>
      <c r="CI242" s="8">
        <v>0.12886597216129303</v>
      </c>
      <c r="CJ242" s="8">
        <v>0.10227272659540176</v>
      </c>
      <c r="CK242" s="8">
        <v>-0.18894009292125702</v>
      </c>
      <c r="CL242" s="8">
        <v>4.8309177160263062E-2</v>
      </c>
      <c r="CM242" s="9">
        <v>-0.73401439189910889</v>
      </c>
      <c r="CN242" s="9">
        <v>0.13244491815567017</v>
      </c>
      <c r="CO242" s="9">
        <v>-0.22767022252082825</v>
      </c>
      <c r="CP242" s="9">
        <v>-0.10649499297142029</v>
      </c>
      <c r="CQ242" s="9">
        <v>0.10571210831403732</v>
      </c>
      <c r="CR242">
        <v>0.55281211425671473</v>
      </c>
      <c r="CS242" t="e">
        <v>#DIV/0!</v>
      </c>
      <c r="CT242">
        <v>7.9302141157811263</v>
      </c>
      <c r="CU242" s="8">
        <v>0</v>
      </c>
      <c r="CV242" s="9">
        <v>0</v>
      </c>
      <c r="CW242">
        <v>0.06</v>
      </c>
      <c r="CX242">
        <v>13.005543021391533</v>
      </c>
      <c r="CY242">
        <v>13062830.188679244</v>
      </c>
      <c r="CZ242">
        <v>0</v>
      </c>
      <c r="DA242">
        <v>4.5900955329926898</v>
      </c>
      <c r="DB242">
        <v>37012127.259415485</v>
      </c>
      <c r="DC242">
        <v>0</v>
      </c>
      <c r="DD242">
        <v>2.4951334090316188</v>
      </c>
      <c r="DE242">
        <v>68088223.012466237</v>
      </c>
      <c r="DF242">
        <v>0</v>
      </c>
      <c r="DG242">
        <v>1.6670156376073861</v>
      </c>
      <c r="DH242">
        <v>101912181.36611873</v>
      </c>
      <c r="DI242">
        <v>0</v>
      </c>
      <c r="DJ242">
        <v>1.0697004778900032</v>
      </c>
      <c r="DK242">
        <v>158819411.14498559</v>
      </c>
      <c r="DL242">
        <v>0</v>
      </c>
      <c r="DM242">
        <v>13846600</v>
      </c>
      <c r="DN242">
        <v>0</v>
      </c>
      <c r="DO242">
        <v>169889200</v>
      </c>
      <c r="DP242">
        <v>439474900</v>
      </c>
      <c r="DQ242">
        <v>241</v>
      </c>
      <c r="DR242">
        <v>-0.3487646116620659</v>
      </c>
      <c r="DS242">
        <v>-0.18779999999999999</v>
      </c>
      <c r="DT242">
        <v>-0.44</v>
      </c>
      <c r="DU242">
        <v>-0.22</v>
      </c>
      <c r="DV242">
        <v>-0.66</v>
      </c>
      <c r="DW242">
        <v>-8.1916951080773615</v>
      </c>
      <c r="DX242">
        <v>0.35981930324613309</v>
      </c>
      <c r="DY242">
        <v>-8.0440552361740316</v>
      </c>
      <c r="DZ242">
        <v>0</v>
      </c>
      <c r="EA242">
        <v>-8.0440552361740316</v>
      </c>
      <c r="EB242">
        <v>8</v>
      </c>
      <c r="EC242">
        <v>6.1645478961504026E-2</v>
      </c>
      <c r="ED242">
        <v>0.2682345568487019</v>
      </c>
      <c r="EE242">
        <v>0</v>
      </c>
      <c r="EF242">
        <v>0</v>
      </c>
      <c r="EG242">
        <v>13.229819303246133</v>
      </c>
      <c r="EH242" t="s">
        <v>86</v>
      </c>
      <c r="EI242">
        <v>0</v>
      </c>
      <c r="EJ242">
        <v>0</v>
      </c>
      <c r="EK242">
        <v>0</v>
      </c>
      <c r="EL242">
        <v>0</v>
      </c>
      <c r="EM242">
        <v>0</v>
      </c>
      <c r="EN242">
        <v>0</v>
      </c>
      <c r="EO242">
        <v>0</v>
      </c>
      <c r="EP242">
        <v>0</v>
      </c>
    </row>
    <row r="243" spans="1:146" ht="96" x14ac:dyDescent="0.25">
      <c r="C243" s="7" t="str">
        <f>""&amp;CHAR(10)&amp;Basic_Fundamental_Information_Constructure(F243)&amp;CHAR(10)&amp;Basic_Fundamental_Information_Concatenate("")</f>
        <v xml:space="preserve">
市值7.80351亿, 利润1599.78万; PE15.54; 平均PE1.09, PB1.49; ROIC8.6467%; ROE8.95%; 股利率2.124%; 毛利36.29%; 净利17.9533%; 上一年度营收增-74.08%, 利润增-57.41%; 当季营收增-45.57%, 利润增184.2%; 过往5年营收增0%, 利润增0%
Income profile:
</v>
      </c>
      <c r="D243">
        <v>873690</v>
      </c>
      <c r="E243" t="s">
        <v>7713</v>
      </c>
      <c r="F243">
        <v>11.77</v>
      </c>
      <c r="G243">
        <v>-5.23</v>
      </c>
      <c r="H243" t="s">
        <v>7714</v>
      </c>
      <c r="I243">
        <v>780351000</v>
      </c>
      <c r="J243">
        <v>15.54</v>
      </c>
      <c r="K243">
        <v>1.49</v>
      </c>
      <c r="L243" t="s">
        <v>2604</v>
      </c>
      <c r="M243" t="s">
        <v>7715</v>
      </c>
      <c r="N243" t="s">
        <v>651</v>
      </c>
      <c r="O243" t="s">
        <v>774</v>
      </c>
      <c r="P243" s="5">
        <v>25.94</v>
      </c>
      <c r="Q243" t="s">
        <v>774</v>
      </c>
      <c r="R243">
        <v>15997770</v>
      </c>
      <c r="S243">
        <v>1.8420000000000001</v>
      </c>
      <c r="T243" t="s">
        <v>7716</v>
      </c>
      <c r="U243">
        <v>18268700</v>
      </c>
      <c r="V243">
        <v>66300000</v>
      </c>
      <c r="W243">
        <v>1.1299999999999999</v>
      </c>
      <c r="X243">
        <v>0.09</v>
      </c>
      <c r="Y243">
        <v>31.65</v>
      </c>
      <c r="Z243" t="s">
        <v>7717</v>
      </c>
      <c r="AA243" t="s">
        <v>7718</v>
      </c>
      <c r="AB243" t="s">
        <v>7719</v>
      </c>
      <c r="AC243" t="s">
        <v>7720</v>
      </c>
      <c r="AD243" t="s">
        <v>7721</v>
      </c>
      <c r="AE243">
        <v>813892</v>
      </c>
      <c r="AF243" t="s">
        <v>17</v>
      </c>
      <c r="AG243" t="s">
        <v>7722</v>
      </c>
      <c r="AH243" t="s">
        <v>7723</v>
      </c>
      <c r="AI243" t="s">
        <v>164</v>
      </c>
      <c r="AJ243" t="s">
        <v>9</v>
      </c>
      <c r="AK243" t="s">
        <v>9</v>
      </c>
      <c r="AL243" t="s">
        <v>7724</v>
      </c>
      <c r="AM243" t="s">
        <v>9</v>
      </c>
      <c r="AN243" t="s">
        <v>7725</v>
      </c>
      <c r="AO243" t="s">
        <v>7726</v>
      </c>
      <c r="AP243" t="s">
        <v>7727</v>
      </c>
      <c r="AQ243" t="s">
        <v>7728</v>
      </c>
      <c r="AR243" t="s">
        <v>9</v>
      </c>
      <c r="AS243" t="s">
        <v>7729</v>
      </c>
      <c r="AT243" t="s">
        <v>9</v>
      </c>
      <c r="AU243" t="s">
        <v>7730</v>
      </c>
      <c r="AV243" t="s">
        <v>7731</v>
      </c>
      <c r="AW243" t="s">
        <v>7732</v>
      </c>
      <c r="AX243" t="s">
        <v>62</v>
      </c>
      <c r="AY243" t="s">
        <v>241</v>
      </c>
      <c r="AZ243" t="s">
        <v>182</v>
      </c>
      <c r="BA243" t="s">
        <v>480</v>
      </c>
      <c r="BB243" t="s">
        <v>9</v>
      </c>
      <c r="BC243" t="s">
        <v>7733</v>
      </c>
      <c r="BD243" t="s">
        <v>7734</v>
      </c>
      <c r="BE243" t="s">
        <v>7735</v>
      </c>
      <c r="BF243" t="s">
        <v>7736</v>
      </c>
      <c r="BG243" t="s">
        <v>9</v>
      </c>
      <c r="BH243" t="s">
        <v>427</v>
      </c>
      <c r="BI243" t="s">
        <v>7737</v>
      </c>
      <c r="BJ243" t="s">
        <v>62</v>
      </c>
      <c r="BK243" t="s">
        <v>7738</v>
      </c>
      <c r="BL243" t="s">
        <v>7739</v>
      </c>
      <c r="BM243" t="s">
        <v>7733</v>
      </c>
      <c r="BN243">
        <v>6.82</v>
      </c>
      <c r="BO243">
        <v>10.23</v>
      </c>
      <c r="BP243">
        <v>8.89</v>
      </c>
      <c r="BQ243">
        <v>7.24</v>
      </c>
      <c r="BR243">
        <v>10.66</v>
      </c>
      <c r="BS243" t="s">
        <v>9</v>
      </c>
      <c r="BT243" t="s">
        <v>1165</v>
      </c>
      <c r="BU243" t="s">
        <v>822</v>
      </c>
      <c r="BV243">
        <v>36.35</v>
      </c>
      <c r="BW243">
        <v>36.549999999999997</v>
      </c>
      <c r="BX243">
        <v>35.97</v>
      </c>
      <c r="BY243">
        <v>17.239999999999998</v>
      </c>
      <c r="BZ243">
        <v>19.22</v>
      </c>
      <c r="CA243">
        <v>17.399999999999999</v>
      </c>
      <c r="CB243">
        <v>2.5299999999999998</v>
      </c>
      <c r="CC243" s="8">
        <v>-3.21</v>
      </c>
      <c r="CD243" s="11" t="s">
        <v>7740</v>
      </c>
      <c r="CE243" s="8" t="s">
        <v>7741</v>
      </c>
      <c r="CF243" s="8">
        <v>-0.45572332583553438</v>
      </c>
      <c r="CG243" s="8">
        <v>1.8420000000000001</v>
      </c>
      <c r="CH243" s="8">
        <v>-0.74077999591827393</v>
      </c>
      <c r="CI243" s="8">
        <v>0.12716762721538544</v>
      </c>
      <c r="CJ243" s="9">
        <v>0.16107381880283356</v>
      </c>
      <c r="CK243" s="9">
        <v>-9.6969693899154663E-2</v>
      </c>
      <c r="CL243" s="9" t="s">
        <v>9</v>
      </c>
      <c r="CM243" s="9">
        <v>-0.57407575845718384</v>
      </c>
      <c r="CN243" s="9">
        <v>0.25105169415473938</v>
      </c>
      <c r="CO243">
        <v>-6.3136972486972809E-2</v>
      </c>
      <c r="CP243">
        <v>0.23250822722911835</v>
      </c>
      <c r="CQ243" t="s">
        <v>9</v>
      </c>
      <c r="CR243" s="8">
        <v>1.0881032753491067</v>
      </c>
      <c r="CS243" s="9" t="e">
        <v>#DIV/0!</v>
      </c>
      <c r="CT243">
        <v>2.1240441801189465</v>
      </c>
      <c r="CU243">
        <v>0</v>
      </c>
      <c r="CV243">
        <v>0</v>
      </c>
      <c r="CW243">
        <v>0.06</v>
      </c>
      <c r="CX243">
        <v>22.266201852754754</v>
      </c>
      <c r="CY243">
        <v>15092264.150943395</v>
      </c>
      <c r="CZ243">
        <v>0</v>
      </c>
      <c r="DA243">
        <v>7.8584949119723726</v>
      </c>
      <c r="DB243">
        <v>42762310.565097354</v>
      </c>
      <c r="DC243">
        <v>0</v>
      </c>
      <c r="DD243">
        <v>4.2718050329516926</v>
      </c>
      <c r="DE243">
        <v>78666371.102569029</v>
      </c>
      <c r="DF243">
        <v>0</v>
      </c>
      <c r="DG243">
        <v>2.8540220594874679</v>
      </c>
      <c r="DH243">
        <v>117745200.63112202</v>
      </c>
      <c r="DI243">
        <v>0</v>
      </c>
      <c r="DJ243">
        <v>1.8313857963109181</v>
      </c>
      <c r="DK243">
        <v>183493505.67036316</v>
      </c>
      <c r="DL243">
        <v>0</v>
      </c>
      <c r="DM243">
        <v>15997800</v>
      </c>
      <c r="DN243">
        <v>0</v>
      </c>
      <c r="DO243">
        <v>336047400</v>
      </c>
      <c r="DP243">
        <v>263151510</v>
      </c>
      <c r="DQ243">
        <v>242</v>
      </c>
      <c r="DR243">
        <v>-0.45572332583553438</v>
      </c>
      <c r="DS243">
        <v>1.8420000000000001</v>
      </c>
      <c r="DT243">
        <v>-0.44</v>
      </c>
      <c r="DU243">
        <v>0.6</v>
      </c>
      <c r="DV243">
        <v>0.15999999999999998</v>
      </c>
      <c r="DW243">
        <v>6.4407665505226479</v>
      </c>
      <c r="DX243">
        <v>0.62718908775801252</v>
      </c>
      <c r="DY243">
        <v>6.1177680125483933</v>
      </c>
      <c r="DZ243">
        <v>0</v>
      </c>
      <c r="EA243">
        <v>6.1177680125483933</v>
      </c>
      <c r="EB243">
        <v>6</v>
      </c>
      <c r="EC243">
        <v>6.4644042232277529E-2</v>
      </c>
      <c r="ED243">
        <v>0.24194117647058824</v>
      </c>
      <c r="EE243">
        <v>0</v>
      </c>
      <c r="EF243">
        <v>0</v>
      </c>
      <c r="EG243">
        <v>36.267189087758013</v>
      </c>
      <c r="EH243" t="s">
        <v>86</v>
      </c>
      <c r="EI243">
        <v>0</v>
      </c>
      <c r="EJ243">
        <v>0</v>
      </c>
      <c r="EK243">
        <v>0</v>
      </c>
      <c r="EL243">
        <v>0</v>
      </c>
      <c r="EM243">
        <v>0</v>
      </c>
      <c r="EN243">
        <v>0</v>
      </c>
      <c r="EO243">
        <v>0</v>
      </c>
      <c r="EP243">
        <v>0</v>
      </c>
    </row>
    <row r="244" spans="1:146" ht="108" x14ac:dyDescent="0.25">
      <c r="A244" s="10"/>
      <c r="B244" s="10"/>
      <c r="C244" s="7" t="str">
        <f>""&amp;CHAR(10)&amp;Basic_Fundamental_Information_Constructure(F244)&amp;CHAR(10)&amp;Basic_Fundamental_Information_Concatenate("")</f>
        <v xml:space="preserve">
市值16.91002亿, 利润633.79万; PE74.45; 平均PE2.25, PB5; ROIC9.1033%; ROE8.83%; 股利率.1548%; 毛利31.0467%; 净利11.8433%; 上一年度营收增-77.82%, 利润增-77.55%; 当季营收增-48.82%, 利润增-22.69%; 过往5年营收增0%, 利润增0%
Income profile:
</v>
      </c>
      <c r="D244">
        <v>873693</v>
      </c>
      <c r="E244" t="s">
        <v>2589</v>
      </c>
      <c r="F244">
        <v>23.26</v>
      </c>
      <c r="G244" s="5">
        <v>-1.69</v>
      </c>
      <c r="H244" t="s">
        <v>7742</v>
      </c>
      <c r="I244">
        <v>1691002000</v>
      </c>
      <c r="J244">
        <v>74.45</v>
      </c>
      <c r="K244">
        <v>5</v>
      </c>
      <c r="L244" t="s">
        <v>2604</v>
      </c>
      <c r="M244" t="s">
        <v>7743</v>
      </c>
      <c r="N244" t="s">
        <v>584</v>
      </c>
      <c r="O244" t="s">
        <v>7744</v>
      </c>
      <c r="P244">
        <v>-3.57</v>
      </c>
      <c r="Q244" t="s">
        <v>7744</v>
      </c>
      <c r="R244">
        <v>6337860</v>
      </c>
      <c r="S244" s="5">
        <v>-0.22689999999999999</v>
      </c>
      <c r="T244" t="s">
        <v>7745</v>
      </c>
      <c r="U244">
        <v>20300000</v>
      </c>
      <c r="V244">
        <v>72700000</v>
      </c>
      <c r="W244">
        <v>1.2</v>
      </c>
      <c r="X244">
        <v>0.13</v>
      </c>
      <c r="Y244">
        <v>12.33</v>
      </c>
      <c r="Z244" t="s">
        <v>7746</v>
      </c>
      <c r="AA244" t="s">
        <v>7747</v>
      </c>
      <c r="AB244" t="s">
        <v>7748</v>
      </c>
      <c r="AC244" t="s">
        <v>7749</v>
      </c>
      <c r="AD244" t="s">
        <v>7750</v>
      </c>
      <c r="AE244">
        <v>115265</v>
      </c>
      <c r="AF244" t="s">
        <v>7751</v>
      </c>
      <c r="AG244" t="s">
        <v>9</v>
      </c>
      <c r="AH244" t="s">
        <v>7752</v>
      </c>
      <c r="AI244" t="s">
        <v>7753</v>
      </c>
      <c r="AJ244" t="s">
        <v>9</v>
      </c>
      <c r="AK244" t="s">
        <v>7754</v>
      </c>
      <c r="AL244" t="s">
        <v>7755</v>
      </c>
      <c r="AM244" t="s">
        <v>9</v>
      </c>
      <c r="AN244" t="s">
        <v>7591</v>
      </c>
      <c r="AO244" t="s">
        <v>7756</v>
      </c>
      <c r="AP244" t="s">
        <v>9</v>
      </c>
      <c r="AQ244" t="s">
        <v>7757</v>
      </c>
      <c r="AR244" t="s">
        <v>9</v>
      </c>
      <c r="AS244" t="s">
        <v>7758</v>
      </c>
      <c r="AT244" t="s">
        <v>9</v>
      </c>
      <c r="AU244" t="s">
        <v>7759</v>
      </c>
      <c r="AV244" t="s">
        <v>7760</v>
      </c>
      <c r="AW244" t="s">
        <v>7761</v>
      </c>
      <c r="AX244" t="s">
        <v>571</v>
      </c>
      <c r="AY244" t="s">
        <v>65</v>
      </c>
      <c r="AZ244" t="s">
        <v>438</v>
      </c>
      <c r="BA244" t="s">
        <v>464</v>
      </c>
      <c r="BB244" t="s">
        <v>9</v>
      </c>
      <c r="BC244" t="s">
        <v>2590</v>
      </c>
      <c r="BD244" t="s">
        <v>2591</v>
      </c>
      <c r="BE244" t="s">
        <v>2592</v>
      </c>
      <c r="BF244" t="s">
        <v>2593</v>
      </c>
      <c r="BG244" t="s">
        <v>9</v>
      </c>
      <c r="BH244" t="s">
        <v>123</v>
      </c>
      <c r="BI244" t="s">
        <v>18</v>
      </c>
      <c r="BJ244" t="s">
        <v>571</v>
      </c>
      <c r="BK244" t="s">
        <v>7762</v>
      </c>
      <c r="BL244" t="s">
        <v>2594</v>
      </c>
      <c r="BM244" t="s">
        <v>2590</v>
      </c>
      <c r="BN244">
        <v>6.53</v>
      </c>
      <c r="BO244">
        <v>9.59</v>
      </c>
      <c r="BP244">
        <v>11.19</v>
      </c>
      <c r="BQ244">
        <v>7.02</v>
      </c>
      <c r="BR244">
        <v>10.64</v>
      </c>
      <c r="BS244" t="s">
        <v>9</v>
      </c>
      <c r="BT244" t="s">
        <v>7763</v>
      </c>
      <c r="BU244" t="s">
        <v>870</v>
      </c>
      <c r="BV244">
        <v>32.03</v>
      </c>
      <c r="BW244">
        <v>29.63</v>
      </c>
      <c r="BX244">
        <v>31.48</v>
      </c>
      <c r="BY244">
        <v>11.13</v>
      </c>
      <c r="BZ244">
        <v>12.11</v>
      </c>
      <c r="CA244">
        <v>12.29</v>
      </c>
      <c r="CB244">
        <v>-8.17</v>
      </c>
      <c r="CC244">
        <v>11.7</v>
      </c>
      <c r="CD244" t="s">
        <v>7764</v>
      </c>
      <c r="CE244" t="s">
        <v>7765</v>
      </c>
      <c r="CF244" s="8">
        <v>-0.4882128712871287</v>
      </c>
      <c r="CG244" s="9">
        <v>-0.22689999999999999</v>
      </c>
      <c r="CH244" s="8">
        <v>-0.77815240621566772</v>
      </c>
      <c r="CI244" s="8">
        <v>1.7467249184846878E-2</v>
      </c>
      <c r="CJ244" s="8">
        <v>0.44025155901908875</v>
      </c>
      <c r="CK244" s="8">
        <v>8.9041098952293396E-2</v>
      </c>
      <c r="CL244" s="8" t="s">
        <v>9</v>
      </c>
      <c r="CM244" s="9">
        <v>-0.7755470871925354</v>
      </c>
      <c r="CN244" s="9">
        <v>2.8162712696939707E-3</v>
      </c>
      <c r="CO244" s="9">
        <v>0.28048202395439148</v>
      </c>
      <c r="CP244" s="9">
        <v>-3.9918269962072372E-2</v>
      </c>
      <c r="CQ244" s="9" t="s">
        <v>9</v>
      </c>
      <c r="CR244">
        <v>2.2490028955711785</v>
      </c>
      <c r="CS244" t="e">
        <v>#DIV/0!</v>
      </c>
      <c r="CT244">
        <v>0.15477214101461736</v>
      </c>
      <c r="CU244" s="8">
        <v>0</v>
      </c>
      <c r="CV244" s="9">
        <v>0</v>
      </c>
      <c r="CW244">
        <v>0.06</v>
      </c>
      <c r="CX244">
        <v>238.39436627274023</v>
      </c>
      <c r="CY244">
        <v>5979150.9433962256</v>
      </c>
      <c r="CZ244">
        <v>0</v>
      </c>
      <c r="DA244">
        <v>84.137426166619832</v>
      </c>
      <c r="DB244">
        <v>16941282.434492901</v>
      </c>
      <c r="DC244">
        <v>0</v>
      </c>
      <c r="DD244">
        <v>45.736325413991899</v>
      </c>
      <c r="DE244">
        <v>31165509.845789563</v>
      </c>
      <c r="DF244">
        <v>0</v>
      </c>
      <c r="DG244">
        <v>30.556750751622214</v>
      </c>
      <c r="DH244">
        <v>46647495.723161198</v>
      </c>
      <c r="DI244">
        <v>0</v>
      </c>
      <c r="DJ244">
        <v>19.607836989873697</v>
      </c>
      <c r="DK244">
        <v>72695213.691144705</v>
      </c>
      <c r="DL244">
        <v>0</v>
      </c>
      <c r="DM244">
        <v>6337900</v>
      </c>
      <c r="DN244">
        <v>0</v>
      </c>
      <c r="DO244">
        <v>1425395900</v>
      </c>
      <c r="DP244">
        <v>208655510</v>
      </c>
      <c r="DQ244">
        <v>243</v>
      </c>
      <c r="DR244">
        <v>-0.4882128712871287</v>
      </c>
      <c r="DS244">
        <v>-0.22689999999999999</v>
      </c>
      <c r="DT244">
        <v>-0.44</v>
      </c>
      <c r="DU244">
        <v>-0.22</v>
      </c>
      <c r="DV244">
        <v>-0.66</v>
      </c>
      <c r="DW244">
        <v>-7.4111726220432814</v>
      </c>
      <c r="DX244">
        <v>0.31936753575867582</v>
      </c>
      <c r="DY244">
        <v>-7.0367454840034416</v>
      </c>
      <c r="DZ244">
        <v>0</v>
      </c>
      <c r="EA244">
        <v>-7.0367454840034416</v>
      </c>
      <c r="EB244">
        <v>7</v>
      </c>
      <c r="EC244">
        <v>8.6440165061898208E-2</v>
      </c>
      <c r="ED244">
        <v>0.96724346629986246</v>
      </c>
      <c r="EE244">
        <v>0</v>
      </c>
      <c r="EF244">
        <v>0</v>
      </c>
      <c r="EG244">
        <v>23.089367535758676</v>
      </c>
      <c r="EH244" t="s">
        <v>86</v>
      </c>
      <c r="EI244">
        <v>0</v>
      </c>
      <c r="EJ244">
        <v>0</v>
      </c>
      <c r="EK244">
        <v>0</v>
      </c>
      <c r="EL244">
        <v>0</v>
      </c>
      <c r="EM244">
        <v>0</v>
      </c>
      <c r="EN244">
        <v>0</v>
      </c>
      <c r="EO244">
        <v>0</v>
      </c>
      <c r="EP244">
        <v>0</v>
      </c>
    </row>
    <row r="245" spans="1:146" ht="96" x14ac:dyDescent="0.25">
      <c r="C245" s="7" t="str">
        <f>""&amp;CHAR(10)&amp;Basic_Fundamental_Information_Constructure(F245)&amp;CHAR(10)&amp;Basic_Fundamental_Information_Concatenate("")</f>
        <v xml:space="preserve">
市值16.547342亿, 利润3907.32万; PE11.72; 平均PE6.01, PB1.62; ROIC27.7467%; ROE25.115%; 股利率4.5543%; 毛利45.0567%; 净利26.4267%; 上一年度营收增-66.6%, 利润增-70.17%; 当季营收增-40%, 利润增-.77%; 过往5年营收增0%, 利润增0%
Income profile:
</v>
      </c>
      <c r="D245">
        <v>873703</v>
      </c>
      <c r="E245" t="s">
        <v>7766</v>
      </c>
      <c r="F245">
        <v>15.37</v>
      </c>
      <c r="G245">
        <v>-1.41</v>
      </c>
      <c r="H245" t="s">
        <v>7767</v>
      </c>
      <c r="I245">
        <v>1654734200</v>
      </c>
      <c r="J245">
        <v>11.72</v>
      </c>
      <c r="K245">
        <v>1.62</v>
      </c>
      <c r="L245" t="s">
        <v>2604</v>
      </c>
      <c r="M245" t="s">
        <v>689</v>
      </c>
      <c r="N245" t="s">
        <v>7768</v>
      </c>
      <c r="O245" t="s">
        <v>438</v>
      </c>
      <c r="P245" s="5">
        <v>69.45</v>
      </c>
      <c r="Q245" t="s">
        <v>438</v>
      </c>
      <c r="R245">
        <v>39073192</v>
      </c>
      <c r="S245">
        <v>-7.7200000000000003E-3</v>
      </c>
      <c r="T245" t="s">
        <v>7769</v>
      </c>
      <c r="U245">
        <v>29372000</v>
      </c>
      <c r="V245">
        <v>107660000</v>
      </c>
      <c r="W245">
        <v>1.34</v>
      </c>
      <c r="X245">
        <v>0.12</v>
      </c>
      <c r="Y245">
        <v>24.54</v>
      </c>
      <c r="Z245" t="s">
        <v>83</v>
      </c>
      <c r="AA245" t="s">
        <v>7770</v>
      </c>
      <c r="AB245" t="s">
        <v>7771</v>
      </c>
      <c r="AC245" t="s">
        <v>7772</v>
      </c>
      <c r="AD245" t="s">
        <v>7773</v>
      </c>
      <c r="AE245">
        <v>48834</v>
      </c>
      <c r="AF245" t="s">
        <v>7774</v>
      </c>
      <c r="AG245" t="s">
        <v>9</v>
      </c>
      <c r="AH245" t="s">
        <v>7775</v>
      </c>
      <c r="AI245" t="s">
        <v>502</v>
      </c>
      <c r="AJ245" t="s">
        <v>9</v>
      </c>
      <c r="AK245" t="s">
        <v>7776</v>
      </c>
      <c r="AL245" t="s">
        <v>7777</v>
      </c>
      <c r="AM245" t="s">
        <v>9</v>
      </c>
      <c r="AN245">
        <v>0</v>
      </c>
      <c r="AO245" t="s">
        <v>9</v>
      </c>
      <c r="AP245" t="s">
        <v>7778</v>
      </c>
      <c r="AQ245" t="s">
        <v>7779</v>
      </c>
      <c r="AR245" t="s">
        <v>9</v>
      </c>
      <c r="AS245" t="s">
        <v>306</v>
      </c>
      <c r="AT245" t="s">
        <v>9</v>
      </c>
      <c r="AU245" t="s">
        <v>7780</v>
      </c>
      <c r="AV245" t="s">
        <v>7781</v>
      </c>
      <c r="AW245" t="s">
        <v>7782</v>
      </c>
      <c r="AX245" t="s">
        <v>573</v>
      </c>
      <c r="AY245" t="s">
        <v>347</v>
      </c>
      <c r="AZ245" t="s">
        <v>1432</v>
      </c>
      <c r="BA245" t="s">
        <v>408</v>
      </c>
      <c r="BB245" t="s">
        <v>40</v>
      </c>
      <c r="BC245" t="s">
        <v>406</v>
      </c>
      <c r="BD245" t="s">
        <v>68</v>
      </c>
      <c r="BE245" t="s">
        <v>37</v>
      </c>
      <c r="BF245" t="s">
        <v>7783</v>
      </c>
      <c r="BG245" t="s">
        <v>7784</v>
      </c>
      <c r="BH245" t="s">
        <v>301</v>
      </c>
      <c r="BI245" t="s">
        <v>392</v>
      </c>
      <c r="BJ245" t="s">
        <v>573</v>
      </c>
      <c r="BK245" t="s">
        <v>230</v>
      </c>
      <c r="BL245" t="s">
        <v>7785</v>
      </c>
      <c r="BM245" t="s">
        <v>406</v>
      </c>
      <c r="BN245">
        <v>22.66</v>
      </c>
      <c r="BO245">
        <v>27.61</v>
      </c>
      <c r="BP245">
        <v>32.97</v>
      </c>
      <c r="BQ245">
        <v>22.9</v>
      </c>
      <c r="BR245">
        <v>27.33</v>
      </c>
      <c r="BS245" t="s">
        <v>9</v>
      </c>
      <c r="BT245" t="s">
        <v>7786</v>
      </c>
      <c r="BU245" t="s">
        <v>1529</v>
      </c>
      <c r="BV245">
        <v>42.51</v>
      </c>
      <c r="BW245">
        <v>42.17</v>
      </c>
      <c r="BX245">
        <v>50.49</v>
      </c>
      <c r="BY245">
        <v>23.96</v>
      </c>
      <c r="BZ245">
        <v>27.57</v>
      </c>
      <c r="CA245">
        <v>27.75</v>
      </c>
      <c r="CB245">
        <v>-1.03</v>
      </c>
      <c r="CC245" s="8">
        <v>-11.72</v>
      </c>
      <c r="CD245" s="11" t="s">
        <v>7787</v>
      </c>
      <c r="CE245" s="8" t="s">
        <v>7788</v>
      </c>
      <c r="CF245" s="8">
        <v>-0.4</v>
      </c>
      <c r="CG245" s="8">
        <v>-7.7200000000000003E-3</v>
      </c>
      <c r="CH245" s="8">
        <v>-0.66596639156341553</v>
      </c>
      <c r="CI245" s="8">
        <v>0.10440835356712341</v>
      </c>
      <c r="CJ245" s="9">
        <v>0.13720317184925079</v>
      </c>
      <c r="CK245" s="9">
        <v>6.4606741070747375E-2</v>
      </c>
      <c r="CL245" s="9">
        <v>0.4126984179019928</v>
      </c>
      <c r="CM245" s="9">
        <v>-0.70173132419586182</v>
      </c>
      <c r="CN245" s="9">
        <v>9.1666668653488159E-2</v>
      </c>
      <c r="CO245">
        <v>0.16504853963851929</v>
      </c>
      <c r="CP245">
        <v>0.11527625471353531</v>
      </c>
      <c r="CQ245">
        <v>0.90229976177215576</v>
      </c>
      <c r="CR245" s="8">
        <v>6.0072806867818054</v>
      </c>
      <c r="CS245" s="9" t="e">
        <v>#DIV/0!</v>
      </c>
      <c r="CT245">
        <v>4.5543266102797659</v>
      </c>
      <c r="CU245">
        <v>0</v>
      </c>
      <c r="CV245">
        <v>0</v>
      </c>
      <c r="CW245">
        <v>0.06</v>
      </c>
      <c r="CX245">
        <v>26.117601117901785</v>
      </c>
      <c r="CY245">
        <v>36861509.433962263</v>
      </c>
      <c r="CZ245">
        <v>0</v>
      </c>
      <c r="DA245">
        <v>9.2177838346759806</v>
      </c>
      <c r="DB245">
        <v>104443130.50370438</v>
      </c>
      <c r="DC245">
        <v>0</v>
      </c>
      <c r="DD245">
        <v>5.0107018988635614</v>
      </c>
      <c r="DE245">
        <v>192135596.85487384</v>
      </c>
      <c r="DF245">
        <v>0</v>
      </c>
      <c r="DG245">
        <v>3.3476840919846511</v>
      </c>
      <c r="DH245">
        <v>287582153.37733668</v>
      </c>
      <c r="DI245">
        <v>0</v>
      </c>
      <c r="DJ245">
        <v>2.1481617761909324</v>
      </c>
      <c r="DK245">
        <v>448166525.75724375</v>
      </c>
      <c r="DL245">
        <v>0</v>
      </c>
      <c r="DM245">
        <v>39073200</v>
      </c>
      <c r="DN245">
        <v>0</v>
      </c>
      <c r="DO245">
        <v>962734200</v>
      </c>
      <c r="DP245">
        <v>879797440</v>
      </c>
      <c r="DQ245">
        <v>244</v>
      </c>
      <c r="DR245">
        <v>-0.4</v>
      </c>
      <c r="DS245">
        <v>-7.7200000000000003E-3</v>
      </c>
      <c r="DT245">
        <v>-0.44</v>
      </c>
      <c r="DU245">
        <v>-0.22</v>
      </c>
      <c r="DV245">
        <v>-0.66</v>
      </c>
      <c r="DW245">
        <v>-2.1172</v>
      </c>
      <c r="DX245">
        <v>0.31073363361854917</v>
      </c>
      <c r="DY245">
        <v>-2.0141499818600939</v>
      </c>
      <c r="DZ245">
        <v>0</v>
      </c>
      <c r="EA245">
        <v>-2.0141499818600939</v>
      </c>
      <c r="EB245">
        <v>2</v>
      </c>
      <c r="EC245">
        <v>2.0091956158276053E-2</v>
      </c>
      <c r="ED245">
        <v>0.16641556752740108</v>
      </c>
      <c r="EE245">
        <v>0</v>
      </c>
      <c r="EF245">
        <v>0</v>
      </c>
      <c r="EG245">
        <v>19.120733633618549</v>
      </c>
      <c r="EH245" t="s">
        <v>86</v>
      </c>
      <c r="EI245">
        <v>0</v>
      </c>
      <c r="EJ245">
        <v>0</v>
      </c>
      <c r="EK245">
        <v>0</v>
      </c>
      <c r="EL245">
        <v>0</v>
      </c>
      <c r="EM245">
        <v>0</v>
      </c>
      <c r="EN245">
        <v>0</v>
      </c>
      <c r="EO245">
        <v>0</v>
      </c>
      <c r="EP245">
        <v>0</v>
      </c>
    </row>
    <row r="246" spans="1:146" ht="96" x14ac:dyDescent="0.25">
      <c r="C246" s="7" t="str">
        <f>""&amp;CHAR(10)&amp;Basic_Fundamental_Information_Constructure(F246)&amp;CHAR(10)&amp;Basic_Fundamental_Information_Concatenate("")</f>
        <v xml:space="preserve">
市值8.7600172亿, 利润1430.93万; PE13.93; 平均PE-13, PB1.32; ROIC10.6067%; ROE15.29%; 股利率2.6371%; 毛利30.0667%; 净利11.26%; 上一年度营收增-72.38%, 利润增-65.81%; 当季营收增-57.63%, 利润增111.9%; 过往5年营收增0%, 利润增0%
Income profile:
</v>
      </c>
      <c r="D246">
        <v>873706</v>
      </c>
      <c r="E246" t="s">
        <v>7789</v>
      </c>
      <c r="F246">
        <v>9.48</v>
      </c>
      <c r="G246">
        <v>-2.17</v>
      </c>
      <c r="H246" t="s">
        <v>7790</v>
      </c>
      <c r="I246">
        <v>876001720</v>
      </c>
      <c r="J246">
        <v>13.93</v>
      </c>
      <c r="K246">
        <v>1.32</v>
      </c>
      <c r="L246" t="s">
        <v>2604</v>
      </c>
      <c r="M246" t="s">
        <v>34</v>
      </c>
      <c r="N246" t="s">
        <v>538</v>
      </c>
      <c r="O246" t="s">
        <v>7791</v>
      </c>
      <c r="P246" s="5">
        <v>9.65</v>
      </c>
      <c r="Q246" t="s">
        <v>7791</v>
      </c>
      <c r="R246">
        <v>14309272</v>
      </c>
      <c r="S246">
        <v>1.119</v>
      </c>
      <c r="T246" t="s">
        <v>7792</v>
      </c>
      <c r="U246">
        <v>21207485</v>
      </c>
      <c r="V246">
        <v>92405245</v>
      </c>
      <c r="W246">
        <v>1.36</v>
      </c>
      <c r="X246">
        <v>0.16</v>
      </c>
      <c r="Y246">
        <v>14.43</v>
      </c>
      <c r="Z246" t="s">
        <v>7793</v>
      </c>
      <c r="AA246" t="s">
        <v>7794</v>
      </c>
      <c r="AB246" t="s">
        <v>7795</v>
      </c>
      <c r="AC246" t="s">
        <v>7796</v>
      </c>
      <c r="AD246" t="s">
        <v>7797</v>
      </c>
      <c r="AE246">
        <v>626133</v>
      </c>
      <c r="AF246" t="s">
        <v>7798</v>
      </c>
      <c r="AG246" t="s">
        <v>7799</v>
      </c>
      <c r="AH246" t="s">
        <v>7800</v>
      </c>
      <c r="AI246" t="s">
        <v>849</v>
      </c>
      <c r="AJ246" t="s">
        <v>9</v>
      </c>
      <c r="AK246" t="s">
        <v>7801</v>
      </c>
      <c r="AL246" t="s">
        <v>7802</v>
      </c>
      <c r="AM246" t="s">
        <v>9</v>
      </c>
      <c r="AN246" t="s">
        <v>7803</v>
      </c>
      <c r="AO246" t="s">
        <v>6139</v>
      </c>
      <c r="AP246" t="s">
        <v>7804</v>
      </c>
      <c r="AQ246" t="s">
        <v>7805</v>
      </c>
      <c r="AR246" t="s">
        <v>9</v>
      </c>
      <c r="AS246" t="s">
        <v>70</v>
      </c>
      <c r="AT246" t="s">
        <v>9</v>
      </c>
      <c r="AU246" t="s">
        <v>7806</v>
      </c>
      <c r="AV246" t="s">
        <v>7807</v>
      </c>
      <c r="AW246" t="s">
        <v>167</v>
      </c>
      <c r="AX246" t="s">
        <v>126</v>
      </c>
      <c r="AY246" t="s">
        <v>32</v>
      </c>
      <c r="AZ246" t="s">
        <v>45</v>
      </c>
      <c r="BA246" t="s">
        <v>458</v>
      </c>
      <c r="BB246" t="s">
        <v>449</v>
      </c>
      <c r="BC246" t="s">
        <v>7808</v>
      </c>
      <c r="BD246" t="s">
        <v>7809</v>
      </c>
      <c r="BE246" t="s">
        <v>7810</v>
      </c>
      <c r="BF246" t="s">
        <v>1047</v>
      </c>
      <c r="BG246" t="s">
        <v>7811</v>
      </c>
      <c r="BH246" t="s">
        <v>439</v>
      </c>
      <c r="BI246" t="s">
        <v>444</v>
      </c>
      <c r="BJ246" t="s">
        <v>126</v>
      </c>
      <c r="BK246" t="s">
        <v>7812</v>
      </c>
      <c r="BL246" t="s">
        <v>7813</v>
      </c>
      <c r="BM246" t="s">
        <v>7808</v>
      </c>
      <c r="BN246">
        <v>14.45</v>
      </c>
      <c r="BO246">
        <v>11.99</v>
      </c>
      <c r="BP246">
        <v>5.38</v>
      </c>
      <c r="BQ246">
        <v>15.29</v>
      </c>
      <c r="BR246" t="s">
        <v>9</v>
      </c>
      <c r="BS246" t="s">
        <v>9</v>
      </c>
      <c r="BT246" t="s">
        <v>1165</v>
      </c>
      <c r="BU246" t="s">
        <v>951</v>
      </c>
      <c r="BV246">
        <v>32.43</v>
      </c>
      <c r="BW246">
        <v>28.99</v>
      </c>
      <c r="BX246">
        <v>28.78</v>
      </c>
      <c r="BY246">
        <v>15.23</v>
      </c>
      <c r="BZ246">
        <v>11.64</v>
      </c>
      <c r="CA246">
        <v>6.91</v>
      </c>
      <c r="CB246">
        <v>-0.73</v>
      </c>
      <c r="CC246" s="8">
        <v>-6.69</v>
      </c>
      <c r="CD246" s="11" t="s">
        <v>7814</v>
      </c>
      <c r="CE246" s="8" t="s">
        <v>7815</v>
      </c>
      <c r="CF246" s="8">
        <v>-0.57627948717948718</v>
      </c>
      <c r="CG246" s="8">
        <v>1.119</v>
      </c>
      <c r="CH246" s="8">
        <v>-0.72381448745727539</v>
      </c>
      <c r="CI246" s="8">
        <v>0.47131147980690002</v>
      </c>
      <c r="CJ246" s="9">
        <v>-0.29069766402244568</v>
      </c>
      <c r="CK246" s="9">
        <v>0.13907285034656525</v>
      </c>
      <c r="CL246" s="9">
        <v>0.15267175436019897</v>
      </c>
      <c r="CM246" s="9">
        <v>-0.65808039903640747</v>
      </c>
      <c r="CN246" s="9">
        <v>1.478951096534729</v>
      </c>
      <c r="CO246">
        <v>-0.60437893867492676</v>
      </c>
      <c r="CP246">
        <v>-4.4299714267253876E-2</v>
      </c>
      <c r="CQ246">
        <v>0.88566988706588745</v>
      </c>
      <c r="CR246" s="8">
        <v>-12.998366353883785</v>
      </c>
      <c r="CS246" s="9" t="e">
        <v>#DIV/0!</v>
      </c>
      <c r="CT246">
        <v>2.6371308016877637</v>
      </c>
      <c r="CU246">
        <v>0</v>
      </c>
      <c r="CV246">
        <v>0</v>
      </c>
      <c r="CW246">
        <v>0.06</v>
      </c>
      <c r="CX246">
        <v>39.48354029896641</v>
      </c>
      <c r="CY246">
        <v>13499339.622641508</v>
      </c>
      <c r="CZ246">
        <v>0</v>
      </c>
      <c r="DA246">
        <v>13.935075348636342</v>
      </c>
      <c r="DB246">
        <v>38248929.888431385</v>
      </c>
      <c r="DC246">
        <v>0</v>
      </c>
      <c r="DD246">
        <v>7.574977864804028</v>
      </c>
      <c r="DE246">
        <v>70363468.978108928</v>
      </c>
      <c r="DF246">
        <v>0</v>
      </c>
      <c r="DG246">
        <v>5.0608943431441595</v>
      </c>
      <c r="DH246">
        <v>105317693.64480831</v>
      </c>
      <c r="DI246">
        <v>0</v>
      </c>
      <c r="DJ246">
        <v>3.2475046875877815</v>
      </c>
      <c r="DK246">
        <v>164126543.69281575</v>
      </c>
      <c r="DL246">
        <v>0</v>
      </c>
      <c r="DM246">
        <v>14309300</v>
      </c>
      <c r="DN246">
        <v>0</v>
      </c>
      <c r="DO246">
        <v>533001720</v>
      </c>
      <c r="DP246">
        <v>243746900</v>
      </c>
      <c r="DQ246">
        <v>245</v>
      </c>
      <c r="DR246">
        <v>-0.57627948717948718</v>
      </c>
      <c r="DS246">
        <v>1.119</v>
      </c>
      <c r="DT246">
        <v>-0.44</v>
      </c>
      <c r="DU246">
        <v>-0.44</v>
      </c>
      <c r="DV246">
        <v>-0.88</v>
      </c>
      <c r="DW246">
        <v>-2.0669</v>
      </c>
      <c r="DX246">
        <v>0.30290673264097451</v>
      </c>
      <c r="DY246">
        <v>-2.0068844604136813</v>
      </c>
      <c r="DZ246">
        <v>0</v>
      </c>
      <c r="EA246">
        <v>-2.0068844604136813</v>
      </c>
      <c r="EB246">
        <v>2</v>
      </c>
      <c r="EC246">
        <v>3.2094498531982679E-2</v>
      </c>
      <c r="ED246">
        <v>0.31187948259863385</v>
      </c>
      <c r="EE246">
        <v>0</v>
      </c>
      <c r="EF246">
        <v>0</v>
      </c>
      <c r="EG246">
        <v>20.102906732640974</v>
      </c>
      <c r="EH246" t="s">
        <v>86</v>
      </c>
      <c r="EI246">
        <v>0</v>
      </c>
      <c r="EJ246">
        <v>0</v>
      </c>
      <c r="EK246">
        <v>0</v>
      </c>
      <c r="EL246">
        <v>0</v>
      </c>
      <c r="EM246">
        <v>0</v>
      </c>
      <c r="EN246">
        <v>0</v>
      </c>
      <c r="EO246">
        <v>0</v>
      </c>
      <c r="EP246">
        <v>0</v>
      </c>
    </row>
    <row r="247" spans="1:146" ht="108" x14ac:dyDescent="0.25">
      <c r="A247" s="10"/>
      <c r="B247" s="10"/>
      <c r="C247" s="7" t="str">
        <f>""&amp;CHAR(10)&amp;Basic_Fundamental_Information_Constructure(F247)&amp;CHAR(10)&amp;Basic_Fundamental_Information_Concatenate("")</f>
        <v xml:space="preserve">
市值14.010586亿, 利润-1218.82万; PE38.88; 平均PE16.57, PB2.28; ROIC29.9567%; ROE35.795%; 股利率3.9836%; 毛利58.0767%; 净利24.0433%; 上一年度营收增-94.65%, 利润增-113.78%; 当季营收增-91.18%, 利润增-160.8%; 过往5年营收增0%, 利润增0%
Income profile:
</v>
      </c>
      <c r="D247">
        <v>873726</v>
      </c>
      <c r="E247" t="s">
        <v>2596</v>
      </c>
      <c r="F247">
        <v>17.07</v>
      </c>
      <c r="G247" s="5">
        <v>-2.35</v>
      </c>
      <c r="H247" t="s">
        <v>7816</v>
      </c>
      <c r="I247">
        <v>1401058600</v>
      </c>
      <c r="J247">
        <v>38.880000000000003</v>
      </c>
      <c r="K247">
        <v>2.2799999999999998</v>
      </c>
      <c r="L247" t="s">
        <v>2604</v>
      </c>
      <c r="M247" t="s">
        <v>7817</v>
      </c>
      <c r="N247" t="s">
        <v>473</v>
      </c>
      <c r="O247" t="s">
        <v>7818</v>
      </c>
      <c r="P247">
        <v>-67.239999999999995</v>
      </c>
      <c r="Q247" t="s">
        <v>7818</v>
      </c>
      <c r="R247">
        <v>-12188180</v>
      </c>
      <c r="S247" s="6">
        <v>-1.6080000000000001</v>
      </c>
      <c r="T247" t="s">
        <v>7819</v>
      </c>
      <c r="U247">
        <v>17441416</v>
      </c>
      <c r="V247">
        <v>82077246</v>
      </c>
      <c r="W247">
        <v>1.0900000000000001</v>
      </c>
      <c r="X247">
        <v>0.03</v>
      </c>
      <c r="Y247">
        <v>-66.09</v>
      </c>
      <c r="Z247" t="s">
        <v>7820</v>
      </c>
      <c r="AA247" t="s">
        <v>7821</v>
      </c>
      <c r="AB247" t="s">
        <v>7822</v>
      </c>
      <c r="AC247" t="s">
        <v>7823</v>
      </c>
      <c r="AD247" t="s">
        <v>7824</v>
      </c>
      <c r="AE247">
        <v>734566</v>
      </c>
      <c r="AF247" t="s">
        <v>7825</v>
      </c>
      <c r="AG247">
        <v>8459.4599999999991</v>
      </c>
      <c r="AH247" t="s">
        <v>7826</v>
      </c>
      <c r="AI247" t="s">
        <v>300</v>
      </c>
      <c r="AJ247" t="s">
        <v>9</v>
      </c>
      <c r="AK247" t="s">
        <v>9</v>
      </c>
      <c r="AL247" t="s">
        <v>7827</v>
      </c>
      <c r="AM247" t="s">
        <v>9</v>
      </c>
      <c r="AN247">
        <v>0</v>
      </c>
      <c r="AO247" t="s">
        <v>9</v>
      </c>
      <c r="AP247" t="s">
        <v>9</v>
      </c>
      <c r="AQ247" t="s">
        <v>7828</v>
      </c>
      <c r="AR247" t="s">
        <v>7829</v>
      </c>
      <c r="AS247" t="s">
        <v>7830</v>
      </c>
      <c r="AT247" t="s">
        <v>9</v>
      </c>
      <c r="AU247" t="s">
        <v>7831</v>
      </c>
      <c r="AV247" t="s">
        <v>7832</v>
      </c>
      <c r="AW247" t="s">
        <v>7833</v>
      </c>
      <c r="AX247" t="s">
        <v>343</v>
      </c>
      <c r="AY247" t="s">
        <v>403</v>
      </c>
      <c r="AZ247" t="s">
        <v>640</v>
      </c>
      <c r="BA247" t="s">
        <v>9</v>
      </c>
      <c r="BB247" t="s">
        <v>9</v>
      </c>
      <c r="BC247" t="s">
        <v>7834</v>
      </c>
      <c r="BD247" t="s">
        <v>2597</v>
      </c>
      <c r="BE247" t="s">
        <v>2598</v>
      </c>
      <c r="BF247" t="s">
        <v>9</v>
      </c>
      <c r="BG247" t="s">
        <v>9</v>
      </c>
      <c r="BH247" t="s">
        <v>331</v>
      </c>
      <c r="BI247" t="s">
        <v>333</v>
      </c>
      <c r="BJ247" t="s">
        <v>343</v>
      </c>
      <c r="BK247" t="s">
        <v>7835</v>
      </c>
      <c r="BL247" t="s">
        <v>2599</v>
      </c>
      <c r="BM247" t="s">
        <v>7834</v>
      </c>
      <c r="BN247">
        <v>18.260000000000002</v>
      </c>
      <c r="BO247">
        <v>30.51</v>
      </c>
      <c r="BP247">
        <v>41.1</v>
      </c>
      <c r="BQ247">
        <v>22.03</v>
      </c>
      <c r="BR247">
        <v>49.56</v>
      </c>
      <c r="BS247" t="s">
        <v>9</v>
      </c>
      <c r="BT247" t="s">
        <v>7836</v>
      </c>
      <c r="BU247" t="s">
        <v>1167</v>
      </c>
      <c r="BV247">
        <v>62.94</v>
      </c>
      <c r="BW247">
        <v>59.1</v>
      </c>
      <c r="BX247">
        <v>52.19</v>
      </c>
      <c r="BY247">
        <v>24.35</v>
      </c>
      <c r="BZ247">
        <v>25.65</v>
      </c>
      <c r="CA247">
        <v>22.13</v>
      </c>
      <c r="CB247">
        <v>-6.98</v>
      </c>
      <c r="CC247">
        <v>-3.83</v>
      </c>
      <c r="CD247" t="s">
        <v>7837</v>
      </c>
      <c r="CE247" t="s">
        <v>7838</v>
      </c>
      <c r="CF247" s="8">
        <v>-0.91176602870813395</v>
      </c>
      <c r="CG247" s="9">
        <v>-1.6080000000000001</v>
      </c>
      <c r="CH247" s="8">
        <v>-0.94654810428619385</v>
      </c>
      <c r="CI247" s="8">
        <v>0.14617940783500671</v>
      </c>
      <c r="CJ247" s="8">
        <v>0.59259259700775146</v>
      </c>
      <c r="CK247" s="8" t="s">
        <v>9</v>
      </c>
      <c r="CL247" s="8" t="s">
        <v>9</v>
      </c>
      <c r="CM247" s="9">
        <v>-1.1377836465835571</v>
      </c>
      <c r="CN247" s="9">
        <v>0.3288077712059021</v>
      </c>
      <c r="CO247" s="9">
        <v>-0.26450219750404358</v>
      </c>
      <c r="CP247" s="9" t="s">
        <v>9</v>
      </c>
      <c r="CQ247" s="9" t="s">
        <v>9</v>
      </c>
      <c r="CR247">
        <v>16.565858653377749</v>
      </c>
      <c r="CS247" t="e">
        <v>#DIV/0!</v>
      </c>
      <c r="CT247">
        <v>3.9835969537199762</v>
      </c>
      <c r="CU247" s="8">
        <v>0</v>
      </c>
      <c r="CV247" s="9">
        <v>0</v>
      </c>
      <c r="CW247">
        <v>0.06</v>
      </c>
      <c r="CX247" t="e">
        <v>#VALUE!</v>
      </c>
      <c r="CY247" t="s">
        <v>85</v>
      </c>
      <c r="CZ247">
        <v>0</v>
      </c>
      <c r="DA247" t="e">
        <v>#VALUE!</v>
      </c>
      <c r="DB247" t="s">
        <v>84</v>
      </c>
      <c r="DC247">
        <v>0</v>
      </c>
      <c r="DD247" t="e">
        <v>#VALUE!</v>
      </c>
      <c r="DE247" t="s">
        <v>84</v>
      </c>
      <c r="DF247">
        <v>0</v>
      </c>
      <c r="DG247" t="e">
        <v>#VALUE!</v>
      </c>
      <c r="DH247" t="s">
        <v>84</v>
      </c>
      <c r="DI247">
        <v>0</v>
      </c>
      <c r="DJ247" t="e">
        <v>#VALUE!</v>
      </c>
      <c r="DK247" t="s">
        <v>84</v>
      </c>
      <c r="DL247">
        <v>0</v>
      </c>
      <c r="DM247">
        <v>-12188200</v>
      </c>
      <c r="DN247">
        <v>0</v>
      </c>
      <c r="DO247">
        <v>828891500</v>
      </c>
      <c r="DP247">
        <v>470724770</v>
      </c>
      <c r="DQ247">
        <v>246</v>
      </c>
      <c r="DR247">
        <v>-0.91176602870813395</v>
      </c>
      <c r="DS247">
        <v>-1.6080000000000001</v>
      </c>
      <c r="DT247">
        <v>-0.44</v>
      </c>
      <c r="DU247" t="e">
        <v>#VALUE!</v>
      </c>
      <c r="DV247" t="e">
        <v>#VALUE!</v>
      </c>
      <c r="DW247">
        <v>-5.5487106017191978</v>
      </c>
      <c r="DX247">
        <v>0.42832630306163039</v>
      </c>
      <c r="DY247">
        <v>-5.070414002969347</v>
      </c>
      <c r="DZ247">
        <v>0</v>
      </c>
      <c r="EA247">
        <v>-5.070414002969347</v>
      </c>
      <c r="EB247">
        <v>5</v>
      </c>
      <c r="EC247">
        <v>3.3877842343784291E-2</v>
      </c>
      <c r="ED247">
        <v>0.2639976492388646</v>
      </c>
      <c r="EE247">
        <v>0</v>
      </c>
      <c r="EF247">
        <v>0</v>
      </c>
      <c r="EG247">
        <v>30.12832630306163</v>
      </c>
      <c r="EH247" t="s">
        <v>86</v>
      </c>
      <c r="EI247">
        <v>0</v>
      </c>
      <c r="EJ247">
        <v>0</v>
      </c>
      <c r="EK247">
        <v>0</v>
      </c>
      <c r="EL247">
        <v>0</v>
      </c>
      <c r="EM247">
        <v>0</v>
      </c>
      <c r="EN247">
        <v>0</v>
      </c>
      <c r="EO247">
        <v>0</v>
      </c>
      <c r="EP247">
        <v>0</v>
      </c>
    </row>
    <row r="248" spans="1:146" ht="96" x14ac:dyDescent="0.25">
      <c r="C248" s="7" t="str">
        <f>""&amp;CHAR(10)&amp;Basic_Fundamental_Information_Constructure(F248)&amp;CHAR(10)&amp;Basic_Fundamental_Information_Concatenate("")</f>
        <v xml:space="preserve">
市值27.457258亿, 利润2188.24万; PE27.1; 平均PE2, PB1.91; ROIC8.49%; ROE9.65%; 股利率1.0953%; 毛利15.9067%; 净利4.6533%; 上一年度营收增-81.56%, 利润增-77.8%; 当季营收增-65.11%, 利润增-38.27%; 过往5年营收增0%, 利润增0%
Income profile:
</v>
      </c>
      <c r="D248">
        <v>873806</v>
      </c>
      <c r="E248" t="s">
        <v>7839</v>
      </c>
      <c r="F248">
        <v>9.1300000000000008</v>
      </c>
      <c r="G248">
        <v>0.44</v>
      </c>
      <c r="H248" t="s">
        <v>7840</v>
      </c>
      <c r="I248">
        <v>2745725800</v>
      </c>
      <c r="J248">
        <v>27.1</v>
      </c>
      <c r="K248">
        <v>1.91</v>
      </c>
      <c r="L248" t="s">
        <v>2604</v>
      </c>
      <c r="M248" t="s">
        <v>7841</v>
      </c>
      <c r="N248" t="s">
        <v>7842</v>
      </c>
      <c r="O248" t="s">
        <v>452</v>
      </c>
      <c r="P248" s="5">
        <v>-35.24</v>
      </c>
      <c r="Q248" t="s">
        <v>452</v>
      </c>
      <c r="R248">
        <v>21882371</v>
      </c>
      <c r="S248">
        <v>-0.38269999999999998</v>
      </c>
      <c r="T248" t="s">
        <v>7843</v>
      </c>
      <c r="U248">
        <v>75943387</v>
      </c>
      <c r="V248">
        <v>300736670</v>
      </c>
      <c r="W248">
        <v>2.41</v>
      </c>
      <c r="X248">
        <v>0.13</v>
      </c>
      <c r="Y248">
        <v>5.03</v>
      </c>
      <c r="Z248" t="s">
        <v>531</v>
      </c>
      <c r="AA248" t="s">
        <v>116</v>
      </c>
      <c r="AB248" t="s">
        <v>7844</v>
      </c>
      <c r="AC248" t="s">
        <v>7845</v>
      </c>
      <c r="AD248" t="s">
        <v>7846</v>
      </c>
      <c r="AE248">
        <v>2330038</v>
      </c>
      <c r="AF248" t="s">
        <v>7847</v>
      </c>
      <c r="AG248" t="s">
        <v>1669</v>
      </c>
      <c r="AH248" t="s">
        <v>7848</v>
      </c>
      <c r="AI248" t="s">
        <v>7849</v>
      </c>
      <c r="AJ248" t="s">
        <v>9</v>
      </c>
      <c r="AK248" t="s">
        <v>7850</v>
      </c>
      <c r="AL248" t="s">
        <v>7851</v>
      </c>
      <c r="AM248" t="s">
        <v>9</v>
      </c>
      <c r="AN248" t="s">
        <v>2915</v>
      </c>
      <c r="AO248" t="s">
        <v>9</v>
      </c>
      <c r="AP248" t="s">
        <v>7852</v>
      </c>
      <c r="AQ248" t="s">
        <v>7853</v>
      </c>
      <c r="AR248" t="s">
        <v>7854</v>
      </c>
      <c r="AS248" t="s">
        <v>7855</v>
      </c>
      <c r="AT248" t="s">
        <v>9</v>
      </c>
      <c r="AU248" t="s">
        <v>7856</v>
      </c>
      <c r="AV248" t="s">
        <v>7857</v>
      </c>
      <c r="AW248" t="s">
        <v>566</v>
      </c>
      <c r="AX248" t="s">
        <v>7858</v>
      </c>
      <c r="AY248" t="s">
        <v>7859</v>
      </c>
      <c r="AZ248" t="s">
        <v>7860</v>
      </c>
      <c r="BA248" t="s">
        <v>9</v>
      </c>
      <c r="BB248" t="s">
        <v>9</v>
      </c>
      <c r="BC248" t="s">
        <v>7861</v>
      </c>
      <c r="BD248" t="s">
        <v>72</v>
      </c>
      <c r="BE248" t="s">
        <v>314</v>
      </c>
      <c r="BF248" t="s">
        <v>9</v>
      </c>
      <c r="BG248" t="s">
        <v>9</v>
      </c>
      <c r="BH248" t="s">
        <v>7862</v>
      </c>
      <c r="BI248" t="s">
        <v>2168</v>
      </c>
      <c r="BJ248" t="s">
        <v>7858</v>
      </c>
      <c r="BK248" t="s">
        <v>154</v>
      </c>
      <c r="BL248" t="s">
        <v>7863</v>
      </c>
      <c r="BM248" t="s">
        <v>7861</v>
      </c>
      <c r="BN248">
        <v>8.3800000000000008</v>
      </c>
      <c r="BO248">
        <v>9.11</v>
      </c>
      <c r="BP248">
        <v>7.98</v>
      </c>
      <c r="BQ248">
        <v>8.6199999999999992</v>
      </c>
      <c r="BR248">
        <v>10.68</v>
      </c>
      <c r="BS248" t="s">
        <v>9</v>
      </c>
      <c r="BT248" t="s">
        <v>886</v>
      </c>
      <c r="BU248" t="s">
        <v>888</v>
      </c>
      <c r="BV248">
        <v>14.05</v>
      </c>
      <c r="BW248">
        <v>16.2</v>
      </c>
      <c r="BX248">
        <v>17.47</v>
      </c>
      <c r="BY248">
        <v>5.26</v>
      </c>
      <c r="BZ248">
        <v>4.2699999999999996</v>
      </c>
      <c r="CA248">
        <v>4.43</v>
      </c>
      <c r="CB248">
        <v>-5.88</v>
      </c>
      <c r="CC248" s="8">
        <v>18.73</v>
      </c>
      <c r="CD248" s="11" t="s">
        <v>7864</v>
      </c>
      <c r="CE248" s="8" t="s">
        <v>488</v>
      </c>
      <c r="CF248" s="8">
        <v>-0.65114443567482239</v>
      </c>
      <c r="CG248" s="8">
        <v>-0.38269999999999998</v>
      </c>
      <c r="CH248" s="8">
        <v>-0.81560283899307251</v>
      </c>
      <c r="CI248" s="8">
        <v>-0.12994559109210968</v>
      </c>
      <c r="CJ248" s="9">
        <v>0.11448222398757935</v>
      </c>
      <c r="CK248" s="9" t="s">
        <v>9</v>
      </c>
      <c r="CL248" s="9" t="s">
        <v>9</v>
      </c>
      <c r="CM248" s="9">
        <v>-0.77804422378540039</v>
      </c>
      <c r="CN248" s="9">
        <v>-0.10373636335134506</v>
      </c>
      <c r="CO248">
        <v>2.8037382289767265E-2</v>
      </c>
      <c r="CP248" t="s">
        <v>9</v>
      </c>
      <c r="CQ248" t="s">
        <v>9</v>
      </c>
      <c r="CR248" s="8">
        <v>2.0042080894004033</v>
      </c>
      <c r="CS248" s="9" t="e">
        <v>#DIV/0!</v>
      </c>
      <c r="CT248">
        <v>1.0952902519167578</v>
      </c>
      <c r="CU248">
        <v>0</v>
      </c>
      <c r="CV248">
        <v>0</v>
      </c>
      <c r="CW248">
        <v>0.06</v>
      </c>
      <c r="CX248">
        <v>167.10732588747126</v>
      </c>
      <c r="CY248">
        <v>20643773.584905654</v>
      </c>
      <c r="CZ248">
        <v>0</v>
      </c>
      <c r="DA248">
        <v>58.977821135558081</v>
      </c>
      <c r="DB248">
        <v>58491916.682899289</v>
      </c>
      <c r="DC248">
        <v>0</v>
      </c>
      <c r="DD248">
        <v>32.059797198006692</v>
      </c>
      <c r="DE248">
        <v>107602857.83138034</v>
      </c>
      <c r="DF248">
        <v>0</v>
      </c>
      <c r="DG248">
        <v>21.419369030187745</v>
      </c>
      <c r="DH248">
        <v>161056368.89387691</v>
      </c>
      <c r="DI248">
        <v>0</v>
      </c>
      <c r="DJ248">
        <v>13.744507712344838</v>
      </c>
      <c r="DK248">
        <v>250989404.07313219</v>
      </c>
      <c r="DL248">
        <v>0</v>
      </c>
      <c r="DM248">
        <v>21882399.999999996</v>
      </c>
      <c r="DN248">
        <v>0</v>
      </c>
      <c r="DO248">
        <v>3449725800</v>
      </c>
      <c r="DP248">
        <v>996872100</v>
      </c>
      <c r="DQ248">
        <v>247</v>
      </c>
      <c r="DR248">
        <v>-0.65114443567482239</v>
      </c>
      <c r="DS248">
        <v>-0.38269999999999998</v>
      </c>
      <c r="DT248">
        <v>-0.44</v>
      </c>
      <c r="DU248">
        <v>-0.44</v>
      </c>
      <c r="DV248">
        <v>-0.88</v>
      </c>
      <c r="DW248">
        <v>-6.2389272653392931</v>
      </c>
      <c r="DX248">
        <v>0.415404416403784</v>
      </c>
      <c r="DY248">
        <v>-6.0490767154999698</v>
      </c>
      <c r="DZ248">
        <v>0</v>
      </c>
      <c r="EA248">
        <v>-6.0490767154999698</v>
      </c>
      <c r="EB248">
        <v>6</v>
      </c>
      <c r="EC248">
        <v>0.21651233951616208</v>
      </c>
      <c r="ED248">
        <v>1.0540783071116668</v>
      </c>
      <c r="EE248">
        <v>0</v>
      </c>
      <c r="EF248">
        <v>0</v>
      </c>
      <c r="EG248">
        <v>21.205404416403784</v>
      </c>
      <c r="EH248" t="s">
        <v>86</v>
      </c>
      <c r="EI248">
        <v>0</v>
      </c>
      <c r="EJ248">
        <v>0</v>
      </c>
      <c r="EK248">
        <v>0</v>
      </c>
      <c r="EL248">
        <v>0</v>
      </c>
      <c r="EM248">
        <v>0</v>
      </c>
      <c r="EN248">
        <v>0</v>
      </c>
      <c r="EO248">
        <v>0</v>
      </c>
      <c r="EP248">
        <v>0</v>
      </c>
    </row>
    <row r="249" spans="1:146" ht="96" x14ac:dyDescent="0.25">
      <c r="A249" s="10"/>
      <c r="B249" s="10"/>
      <c r="C249" s="7" t="str">
        <f>""&amp;CHAR(10)&amp;Basic_Fundamental_Information_Constructure(F249)&amp;CHAR(10)&amp;Basic_Fundamental_Information_Concatenate("")</f>
        <v xml:space="preserve">
市值6.572328亿, 利润469.93万; PE16.17; 平均PE.09, PB1.03; ROIC10.27%; ROE11.22%; 股利率3.7594%; 毛利24.5733%; 净利10.4067%; 上一年度营收增-78.88%, 利润增-90.84%; 当季营收增-55.46%, 利润增-37.77%; 过往5年营收增0%, 利润增0%
Income profile:
</v>
      </c>
      <c r="D249">
        <v>873833</v>
      </c>
      <c r="E249" t="s">
        <v>2600</v>
      </c>
      <c r="F249">
        <v>7.98</v>
      </c>
      <c r="G249" s="5">
        <v>-0.87</v>
      </c>
      <c r="H249" t="s">
        <v>7865</v>
      </c>
      <c r="I249">
        <v>657232800</v>
      </c>
      <c r="J249">
        <v>16.170000000000002</v>
      </c>
      <c r="K249">
        <v>1.03</v>
      </c>
      <c r="L249" t="s">
        <v>2604</v>
      </c>
      <c r="M249" t="s">
        <v>464</v>
      </c>
      <c r="N249" t="s">
        <v>575</v>
      </c>
      <c r="O249" t="s">
        <v>166</v>
      </c>
      <c r="P249">
        <v>1.17</v>
      </c>
      <c r="Q249" t="s">
        <v>166</v>
      </c>
      <c r="R249">
        <v>4699278</v>
      </c>
      <c r="S249" s="5">
        <v>-0.37769999999999998</v>
      </c>
      <c r="T249" t="s">
        <v>7866</v>
      </c>
      <c r="U249">
        <v>29235000</v>
      </c>
      <c r="V249">
        <v>82360000</v>
      </c>
      <c r="W249">
        <v>1.18</v>
      </c>
      <c r="X249">
        <v>0.14000000000000001</v>
      </c>
      <c r="Y249">
        <v>4.29</v>
      </c>
      <c r="Z249" t="s">
        <v>7867</v>
      </c>
      <c r="AA249" t="s">
        <v>7868</v>
      </c>
      <c r="AB249" t="s">
        <v>7869</v>
      </c>
      <c r="AC249" t="s">
        <v>7870</v>
      </c>
      <c r="AD249" t="s">
        <v>7871</v>
      </c>
      <c r="AE249">
        <v>580412</v>
      </c>
      <c r="AF249" t="s">
        <v>7872</v>
      </c>
      <c r="AG249" t="s">
        <v>7873</v>
      </c>
      <c r="AH249" t="s">
        <v>7874</v>
      </c>
      <c r="AI249" t="s">
        <v>7875</v>
      </c>
      <c r="AJ249" t="s">
        <v>9</v>
      </c>
      <c r="AK249" t="s">
        <v>7876</v>
      </c>
      <c r="AL249" t="s">
        <v>7877</v>
      </c>
      <c r="AM249" t="s">
        <v>9</v>
      </c>
      <c r="AN249" t="s">
        <v>7878</v>
      </c>
      <c r="AO249" t="s">
        <v>7879</v>
      </c>
      <c r="AP249" t="s">
        <v>9</v>
      </c>
      <c r="AQ249" t="s">
        <v>7880</v>
      </c>
      <c r="AR249" t="s">
        <v>9</v>
      </c>
      <c r="AS249" t="s">
        <v>7881</v>
      </c>
      <c r="AT249" t="s">
        <v>9</v>
      </c>
      <c r="AU249" t="s">
        <v>7882</v>
      </c>
      <c r="AV249" t="s">
        <v>7883</v>
      </c>
      <c r="AW249" t="s">
        <v>7884</v>
      </c>
      <c r="AX249" t="s">
        <v>429</v>
      </c>
      <c r="AY249" t="s">
        <v>959</v>
      </c>
      <c r="AZ249" t="s">
        <v>979</v>
      </c>
      <c r="BA249" t="s">
        <v>9</v>
      </c>
      <c r="BB249" t="s">
        <v>9</v>
      </c>
      <c r="BC249" t="s">
        <v>7885</v>
      </c>
      <c r="BD249" t="s">
        <v>2601</v>
      </c>
      <c r="BE249" t="s">
        <v>2602</v>
      </c>
      <c r="BF249" t="s">
        <v>9</v>
      </c>
      <c r="BG249" t="s">
        <v>9</v>
      </c>
      <c r="BH249" t="s">
        <v>5466</v>
      </c>
      <c r="BI249" t="s">
        <v>165</v>
      </c>
      <c r="BJ249" t="s">
        <v>429</v>
      </c>
      <c r="BK249" t="s">
        <v>7886</v>
      </c>
      <c r="BL249" t="s">
        <v>2603</v>
      </c>
      <c r="BM249" t="s">
        <v>7885</v>
      </c>
      <c r="BN249" t="s">
        <v>9</v>
      </c>
      <c r="BO249">
        <v>8.9499999999999993</v>
      </c>
      <c r="BP249">
        <v>11.59</v>
      </c>
      <c r="BQ249" t="s">
        <v>9</v>
      </c>
      <c r="BR249">
        <v>11.22</v>
      </c>
      <c r="BS249" t="s">
        <v>9</v>
      </c>
      <c r="BT249" t="s">
        <v>859</v>
      </c>
      <c r="BU249" t="s">
        <v>1118</v>
      </c>
      <c r="BV249">
        <v>23.11</v>
      </c>
      <c r="BW249">
        <v>24.81</v>
      </c>
      <c r="BX249">
        <v>25.8</v>
      </c>
      <c r="BY249">
        <v>9.56</v>
      </c>
      <c r="BZ249">
        <v>10.09</v>
      </c>
      <c r="CA249">
        <v>11.57</v>
      </c>
      <c r="CB249">
        <v>1.66</v>
      </c>
      <c r="CC249">
        <v>-8.6999999999999993</v>
      </c>
      <c r="CD249" t="s">
        <v>7887</v>
      </c>
      <c r="CE249" t="s">
        <v>7888</v>
      </c>
      <c r="CF249" s="8">
        <v>-0.55462184873949583</v>
      </c>
      <c r="CG249" s="9">
        <v>-0.37769999999999998</v>
      </c>
      <c r="CH249" s="8">
        <v>-0.78884464502334595</v>
      </c>
      <c r="CI249" s="8">
        <v>-5.1039695739746094E-2</v>
      </c>
      <c r="CJ249" s="8">
        <v>0.29975429177284241</v>
      </c>
      <c r="CK249" s="8" t="s">
        <v>9</v>
      </c>
      <c r="CL249" s="8" t="s">
        <v>9</v>
      </c>
      <c r="CM249" s="9">
        <v>-0.90841126441955566</v>
      </c>
      <c r="CN249" s="9">
        <v>-0.16447997093200684</v>
      </c>
      <c r="CO249" s="9">
        <v>7.2162732481956482E-2</v>
      </c>
      <c r="CP249" s="9" t="s">
        <v>9</v>
      </c>
      <c r="CQ249" s="9" t="s">
        <v>9</v>
      </c>
      <c r="CR249">
        <v>8.983356067502779E-2</v>
      </c>
      <c r="CS249" t="e">
        <v>#DIV/0!</v>
      </c>
      <c r="CT249">
        <v>3.7593984962406015</v>
      </c>
      <c r="CU249" s="8">
        <v>0</v>
      </c>
      <c r="CV249" s="9">
        <v>0</v>
      </c>
      <c r="CW249">
        <v>0.06</v>
      </c>
      <c r="CX249">
        <v>37.045255250782034</v>
      </c>
      <c r="CY249">
        <v>4433301.8867924521</v>
      </c>
      <c r="CZ249">
        <v>0</v>
      </c>
      <c r="DA249">
        <v>13.074522176083269</v>
      </c>
      <c r="DB249">
        <v>12561285.054105066</v>
      </c>
      <c r="DC249">
        <v>0</v>
      </c>
      <c r="DD249">
        <v>7.1071891323796761</v>
      </c>
      <c r="DE249">
        <v>23107982.205197133</v>
      </c>
      <c r="DF249">
        <v>0</v>
      </c>
      <c r="DG249">
        <v>4.7483615025251966</v>
      </c>
      <c r="DH249">
        <v>34587257.080713078</v>
      </c>
      <c r="DI249">
        <v>0</v>
      </c>
      <c r="DJ249">
        <v>3.0469567614469932</v>
      </c>
      <c r="DK249">
        <v>53900600.782403685</v>
      </c>
      <c r="DL249">
        <v>0</v>
      </c>
      <c r="DM249">
        <v>4699300</v>
      </c>
      <c r="DN249">
        <v>0</v>
      </c>
      <c r="DO249">
        <v>164232800</v>
      </c>
      <c r="DP249">
        <v>296774090</v>
      </c>
      <c r="DQ249">
        <v>248</v>
      </c>
      <c r="DR249">
        <v>-0.55462184873949583</v>
      </c>
      <c r="DS249">
        <v>-0.37769999999999998</v>
      </c>
      <c r="DT249">
        <v>-0.44</v>
      </c>
      <c r="DU249">
        <v>-0.44</v>
      </c>
      <c r="DV249">
        <v>-0.88</v>
      </c>
      <c r="DW249">
        <v>-2.0870000000000002</v>
      </c>
      <c r="DX249">
        <v>0.32674705813817984</v>
      </c>
      <c r="DY249">
        <v>-2.0205969940580215</v>
      </c>
      <c r="DZ249">
        <v>0</v>
      </c>
      <c r="EA249">
        <v>-2.0205969940580215</v>
      </c>
      <c r="EB249">
        <v>2</v>
      </c>
      <c r="EC249">
        <v>2.9606605148130159E-2</v>
      </c>
      <c r="ED249">
        <v>0.12505585235551239</v>
      </c>
      <c r="EE249">
        <v>0</v>
      </c>
      <c r="EF249">
        <v>0</v>
      </c>
      <c r="EG249">
        <v>9.2367470581381799</v>
      </c>
      <c r="EH249" t="s">
        <v>86</v>
      </c>
      <c r="EI249">
        <v>0</v>
      </c>
      <c r="EJ249">
        <v>0</v>
      </c>
      <c r="EK249">
        <v>0</v>
      </c>
      <c r="EL249">
        <v>0</v>
      </c>
      <c r="EM249">
        <v>0</v>
      </c>
      <c r="EN249">
        <v>0</v>
      </c>
      <c r="EO249">
        <v>0</v>
      </c>
      <c r="EP249">
        <v>0</v>
      </c>
    </row>
    <row r="250" spans="1:146" ht="96" x14ac:dyDescent="0.25">
      <c r="C250" s="7" t="str">
        <f>""&amp;CHAR(10)&amp;Basic_Fundamental_Information_Constructure(F250)&amp;CHAR(10)&amp;Basic_Fundamental_Information_Concatenate("")</f>
        <v xml:space="preserve">
市值15.850658亿, 利润1425.98万; PE29.95; 平均PE2.98, PB2.54; ROIC15.55%; ROE8.95%; 股利率0%; 毛利30.8533%; 净利18.0167%, 利润增13.93%; 过往5年营收增0%, 利润增0%
Income profile:
</v>
      </c>
      <c r="D250">
        <v>920002</v>
      </c>
      <c r="E250" t="s">
        <v>7889</v>
      </c>
      <c r="F250">
        <v>49.92</v>
      </c>
      <c r="G250">
        <v>1.82</v>
      </c>
      <c r="H250" t="s">
        <v>7890</v>
      </c>
      <c r="I250">
        <v>1585065800</v>
      </c>
      <c r="J250">
        <v>29.95</v>
      </c>
      <c r="K250">
        <v>2.54</v>
      </c>
      <c r="L250" t="s">
        <v>2604</v>
      </c>
      <c r="M250" t="s">
        <v>7891</v>
      </c>
      <c r="N250" t="s">
        <v>2837</v>
      </c>
      <c r="O250" t="s">
        <v>7892</v>
      </c>
      <c r="P250" s="5">
        <v>-0.55000000000000004</v>
      </c>
      <c r="Q250" t="s">
        <v>7892</v>
      </c>
      <c r="R250">
        <v>57101300</v>
      </c>
      <c r="S250">
        <v>0.13930000000000001</v>
      </c>
      <c r="T250" t="s">
        <v>7893</v>
      </c>
      <c r="U250">
        <v>4750000</v>
      </c>
      <c r="V250">
        <v>31752120</v>
      </c>
      <c r="W250">
        <v>1.1100000000000001</v>
      </c>
      <c r="X250">
        <v>0.15</v>
      </c>
      <c r="Y250">
        <v>16.670000000000002</v>
      </c>
      <c r="Z250" t="s">
        <v>7894</v>
      </c>
      <c r="AA250" t="s">
        <v>7895</v>
      </c>
      <c r="AB250" t="s">
        <v>7896</v>
      </c>
      <c r="AC250" t="s">
        <v>7897</v>
      </c>
      <c r="AD250" t="s">
        <v>7898</v>
      </c>
      <c r="AE250">
        <v>803715</v>
      </c>
      <c r="AF250" t="s">
        <v>7899</v>
      </c>
      <c r="AG250" t="s">
        <v>9</v>
      </c>
      <c r="AH250" t="s">
        <v>7900</v>
      </c>
      <c r="AI250" t="s">
        <v>9</v>
      </c>
      <c r="AJ250" t="s">
        <v>9</v>
      </c>
      <c r="AK250" t="s">
        <v>9</v>
      </c>
      <c r="AL250" t="s">
        <v>7901</v>
      </c>
      <c r="AM250" t="s">
        <v>9</v>
      </c>
      <c r="AN250" t="s">
        <v>9</v>
      </c>
      <c r="AO250" t="s">
        <v>9</v>
      </c>
      <c r="AP250" t="s">
        <v>9</v>
      </c>
      <c r="AQ250" t="s">
        <v>9</v>
      </c>
      <c r="AR250" t="s">
        <v>9</v>
      </c>
      <c r="AS250" t="s">
        <v>9</v>
      </c>
      <c r="AT250" t="s">
        <v>9</v>
      </c>
      <c r="AU250" t="s">
        <v>9</v>
      </c>
      <c r="AV250" t="s">
        <v>9</v>
      </c>
      <c r="AW250" t="s">
        <v>9</v>
      </c>
      <c r="AX250" t="s">
        <v>9</v>
      </c>
      <c r="AY250" t="s">
        <v>9</v>
      </c>
      <c r="AZ250" t="s">
        <v>9</v>
      </c>
      <c r="BA250" t="s">
        <v>9</v>
      </c>
      <c r="BB250" t="s">
        <v>9</v>
      </c>
      <c r="BC250" t="s">
        <v>9</v>
      </c>
      <c r="BD250" t="s">
        <v>9</v>
      </c>
      <c r="BE250" t="s">
        <v>9</v>
      </c>
      <c r="BF250" t="s">
        <v>9</v>
      </c>
      <c r="BG250" t="s">
        <v>9</v>
      </c>
      <c r="BH250" t="s">
        <v>9</v>
      </c>
      <c r="BI250" t="s">
        <v>9</v>
      </c>
      <c r="BJ250" t="s">
        <v>9</v>
      </c>
      <c r="BK250" t="s">
        <v>9</v>
      </c>
      <c r="BL250" t="s">
        <v>9</v>
      </c>
      <c r="BM250" t="s">
        <v>7902</v>
      </c>
      <c r="BN250">
        <v>8.8800000000000008</v>
      </c>
      <c r="BO250">
        <v>10.7</v>
      </c>
      <c r="BP250">
        <v>27.07</v>
      </c>
      <c r="BQ250">
        <v>8.9499999999999993</v>
      </c>
      <c r="BR250" t="s">
        <v>9</v>
      </c>
      <c r="BS250" t="s">
        <v>9</v>
      </c>
      <c r="BT250" t="s">
        <v>773</v>
      </c>
      <c r="BU250" t="s">
        <v>951</v>
      </c>
      <c r="BV250">
        <v>31.62</v>
      </c>
      <c r="BW250">
        <v>30.59</v>
      </c>
      <c r="BX250">
        <v>30.35</v>
      </c>
      <c r="BY250">
        <v>14.41</v>
      </c>
      <c r="BZ250">
        <v>12.84</v>
      </c>
      <c r="CA250">
        <v>26.8</v>
      </c>
      <c r="CB250">
        <v>-7.81</v>
      </c>
      <c r="CC250" s="8">
        <v>-12.42</v>
      </c>
      <c r="CD250" s="11" t="s">
        <v>7903</v>
      </c>
      <c r="CE250" s="8" t="s">
        <v>7904</v>
      </c>
      <c r="CF250" s="8" t="s">
        <v>9</v>
      </c>
      <c r="CG250" s="8">
        <v>0.13930000000000001</v>
      </c>
      <c r="CH250" s="8" t="s">
        <v>9</v>
      </c>
      <c r="CI250" s="8" t="s">
        <v>9</v>
      </c>
      <c r="CJ250" s="9" t="s">
        <v>9</v>
      </c>
      <c r="CK250" s="9" t="s">
        <v>9</v>
      </c>
      <c r="CL250" s="9" t="s">
        <v>9</v>
      </c>
      <c r="CM250" s="9" t="s">
        <v>9</v>
      </c>
      <c r="CN250" s="9" t="s">
        <v>9</v>
      </c>
      <c r="CO250" t="s">
        <v>9</v>
      </c>
      <c r="CP250" t="s">
        <v>9</v>
      </c>
      <c r="CQ250" t="s">
        <v>9</v>
      </c>
      <c r="CR250" s="8">
        <v>2.9835892462731151</v>
      </c>
      <c r="CS250" s="9" t="e">
        <v>#DIV/0!</v>
      </c>
      <c r="CT250">
        <v>0</v>
      </c>
      <c r="CU250">
        <v>0</v>
      </c>
      <c r="CV250">
        <v>0</v>
      </c>
      <c r="CW250">
        <v>0.06</v>
      </c>
      <c r="CX250">
        <v>82.49022314478465</v>
      </c>
      <c r="CY250">
        <v>13452641.509433961</v>
      </c>
      <c r="CZ250">
        <v>0</v>
      </c>
      <c r="DA250">
        <v>29.11358673372284</v>
      </c>
      <c r="DB250">
        <v>38116615.796933033</v>
      </c>
      <c r="DC250">
        <v>0</v>
      </c>
      <c r="DD250">
        <v>15.825876039815153</v>
      </c>
      <c r="DE250">
        <v>70120061.423971668</v>
      </c>
      <c r="DF250">
        <v>0</v>
      </c>
      <c r="DG250">
        <v>10.573375652665792</v>
      </c>
      <c r="DH250">
        <v>104953369.33576328</v>
      </c>
      <c r="DI250">
        <v>0</v>
      </c>
      <c r="DJ250">
        <v>6.7847863771695005</v>
      </c>
      <c r="DK250">
        <v>163558782.59249675</v>
      </c>
      <c r="DL250">
        <v>0</v>
      </c>
      <c r="DM250">
        <v>14259800</v>
      </c>
      <c r="DN250">
        <v>0</v>
      </c>
      <c r="DO250">
        <v>1109711400</v>
      </c>
      <c r="DP250">
        <v>427544360</v>
      </c>
      <c r="DQ250">
        <v>248</v>
      </c>
      <c r="DR250" t="e">
        <v>#VALUE!</v>
      </c>
      <c r="DS250">
        <v>0.13930000000000001</v>
      </c>
      <c r="DT250" t="e">
        <v>#VALUE!</v>
      </c>
      <c r="DU250" t="e">
        <v>#VALUE!</v>
      </c>
      <c r="DV250" t="e">
        <v>#VALUE!</v>
      </c>
      <c r="DW250">
        <v>-9.6288244766505642</v>
      </c>
      <c r="DX250">
        <v>0.39495181458901985</v>
      </c>
      <c r="DY250">
        <v>-9.0722845146489739</v>
      </c>
      <c r="DZ250">
        <v>0</v>
      </c>
      <c r="EA250">
        <v>-9.0722845146489739</v>
      </c>
      <c r="EB250">
        <v>9</v>
      </c>
      <c r="EC250">
        <v>0.14519345479923859</v>
      </c>
      <c r="ED250">
        <v>1.2630810163226895</v>
      </c>
      <c r="EE250">
        <v>0</v>
      </c>
      <c r="EF250">
        <v>0</v>
      </c>
      <c r="EG250">
        <v>28.11495181458902</v>
      </c>
      <c r="EH250" t="s">
        <v>86</v>
      </c>
      <c r="EI250">
        <v>0</v>
      </c>
      <c r="EJ250">
        <v>0</v>
      </c>
      <c r="EK250">
        <v>0</v>
      </c>
      <c r="EL250">
        <v>0</v>
      </c>
      <c r="EM250">
        <v>0</v>
      </c>
      <c r="EN250">
        <v>0</v>
      </c>
      <c r="EO250">
        <v>0</v>
      </c>
      <c r="EP250">
        <v>0</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北交所&quot;,&quot;&quot;'" altText="更新基本面按钮_x000a_">
                <anchor moveWithCells="1" sizeWithCells="1">
                  <from>
                    <xdr:col>147</xdr:col>
                    <xdr:colOff>368300</xdr:colOff>
                    <xdr:row>0</xdr:row>
                    <xdr:rowOff>139700</xdr:rowOff>
                  </from>
                  <to>
                    <xdr:col>147</xdr:col>
                    <xdr:colOff>1663700</xdr:colOff>
                    <xdr:row>0</xdr:row>
                    <xdr:rowOff>444500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北交所</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2024-07-09T17:14:03Z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