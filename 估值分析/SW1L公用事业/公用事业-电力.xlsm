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SW1L公用事业\"/>
    </mc:Choice>
  </mc:AlternateContent>
  <bookViews>
    <workbookView xWindow="0" yWindow="0" windowWidth="3800" windowHeight="2950"/>
  </bookViews>
  <sheets>
    <sheet name="电力" sheetId="16" r:id="rId1"/>
    <sheet name="估值-增速与年化收益" sheetId="14" r:id="rId2"/>
  </sheets>
  <functionGroups builtInGroupCount="18"/>
  <externalReferences>
    <externalReference r:id="rId3"/>
  </externalReferences>
  <definedNames>
    <definedName name="_xlnm._FilterDatabase" localSheetId="0" hidden="1">电力!$BU$1:$BU$98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14" l="1"/>
  <c r="H14" i="14" s="1"/>
  <c r="I14" i="14" s="1"/>
  <c r="J14" i="14" s="1"/>
  <c r="K14" i="14" s="1"/>
  <c r="L14" i="14" s="1"/>
  <c r="M14" i="14" s="1"/>
  <c r="N14" i="14" s="1"/>
  <c r="O14" i="14" s="1"/>
  <c r="P14" i="14" s="1"/>
  <c r="Q14" i="14" s="1"/>
  <c r="R14" i="14" s="1"/>
  <c r="S14" i="14" s="1"/>
  <c r="T14" i="14" s="1"/>
  <c r="D14" i="14"/>
  <c r="E14" i="14" s="1"/>
  <c r="F14" i="14" s="1"/>
  <c r="C14" i="14"/>
  <c r="C13" i="14"/>
  <c r="D13" i="14" s="1"/>
  <c r="E13" i="14" s="1"/>
  <c r="D12" i="14"/>
  <c r="C12" i="14"/>
  <c r="B12" i="14"/>
  <c r="A10" i="14"/>
  <c r="A7" i="14"/>
  <c r="B5" i="14"/>
  <c r="A1" i="14"/>
  <c r="B1" i="14" s="1"/>
  <c r="C50" i="16"/>
  <c r="C76" i="16"/>
  <c r="C74" i="16"/>
  <c r="C65" i="16"/>
  <c r="C28" i="16"/>
  <c r="C1" i="14" l="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A9" i="14"/>
  <c r="E12" i="14"/>
  <c r="F13" i="14"/>
  <c r="B7" i="14"/>
  <c r="B9" i="14" s="1"/>
  <c r="C5" i="14"/>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C7" i="14"/>
  <c r="C9" i="14" l="1"/>
  <c r="AC7" i="14"/>
  <c r="AC9" i="14" s="1"/>
  <c r="O7" i="14"/>
  <c r="O9" i="14" s="1"/>
  <c r="L7" i="14"/>
  <c r="L9" i="14" s="1"/>
  <c r="N7" i="14"/>
  <c r="N9" i="14" s="1"/>
  <c r="M7" i="14"/>
  <c r="M9" i="14" s="1"/>
  <c r="AD7" i="14"/>
  <c r="AD9" i="14" s="1"/>
  <c r="Q7" i="14"/>
  <c r="Q9" i="14" s="1"/>
  <c r="R7" i="14"/>
  <c r="R9" i="14" s="1"/>
  <c r="P7" i="14"/>
  <c r="P9" i="14" s="1"/>
  <c r="G7" i="14"/>
  <c r="G9" i="14" s="1"/>
  <c r="D7" i="14"/>
  <c r="D9" i="14" s="1"/>
  <c r="S7" i="14"/>
  <c r="S9" i="14" s="1"/>
  <c r="E7" i="14"/>
  <c r="E9" i="14" s="1"/>
  <c r="U7" i="14"/>
  <c r="U9" i="14" s="1"/>
  <c r="F7" i="14"/>
  <c r="F9" i="14" s="1"/>
  <c r="V7" i="14"/>
  <c r="V9" i="14" s="1"/>
  <c r="H7" i="14"/>
  <c r="H9" i="14" s="1"/>
  <c r="AB7" i="14"/>
  <c r="AB9" i="14" s="1"/>
  <c r="X7" i="14"/>
  <c r="X9" i="14" s="1"/>
  <c r="AA7" i="14"/>
  <c r="AA9" i="14" s="1"/>
  <c r="K7" i="14"/>
  <c r="K9" i="14" s="1"/>
  <c r="I7" i="14"/>
  <c r="I9" i="14" s="1"/>
  <c r="Y7" i="14"/>
  <c r="Y9" i="14" s="1"/>
  <c r="J7" i="14"/>
  <c r="J9" i="14" s="1"/>
  <c r="Z7" i="14"/>
  <c r="Z9" i="14" s="1"/>
  <c r="W7" i="14"/>
  <c r="W9" i="14" s="1"/>
  <c r="T7" i="14"/>
  <c r="T9" i="14" s="1"/>
  <c r="F12" i="14"/>
  <c r="G13" i="14"/>
  <c r="H13" i="14" l="1"/>
  <c r="G12" i="14"/>
  <c r="H12" i="14" l="1"/>
  <c r="I13" i="14"/>
  <c r="I12" i="14" l="1"/>
  <c r="J13" i="14"/>
  <c r="J12" i="14" l="1"/>
  <c r="K13" i="14"/>
  <c r="L13" i="14" l="1"/>
  <c r="K12" i="14"/>
  <c r="M13" i="14" l="1"/>
  <c r="L12" i="14"/>
  <c r="M12" i="14" l="1"/>
  <c r="N13" i="14"/>
  <c r="N12" i="14" l="1"/>
  <c r="O13" i="14"/>
  <c r="P13" i="14" l="1"/>
  <c r="O12" i="14"/>
  <c r="P12" i="14" l="1"/>
  <c r="Q13" i="14"/>
  <c r="Q12" i="14" l="1"/>
  <c r="R13" i="14"/>
  <c r="R12" i="14" l="1"/>
  <c r="S13" i="14"/>
  <c r="T13" i="14" l="1"/>
  <c r="T12" i="14" s="1"/>
  <c r="S12" i="14"/>
  <c r="C96" i="16"/>
  <c r="C92" i="16"/>
  <c r="C88" i="16"/>
  <c r="C84" i="16"/>
  <c r="C80" i="16"/>
  <c r="C75" i="16"/>
  <c r="C70" i="16"/>
  <c r="C66" i="16"/>
  <c r="C61" i="16"/>
  <c r="C57" i="16"/>
  <c r="C53" i="16"/>
  <c r="C47" i="16"/>
  <c r="C43" i="16"/>
  <c r="C39" i="16"/>
  <c r="C33" i="16"/>
  <c r="C29" i="16"/>
  <c r="C24" i="16"/>
  <c r="C20" i="16"/>
  <c r="C16" i="16"/>
  <c r="C12" i="16"/>
  <c r="C7" i="16"/>
  <c r="C3" i="16"/>
  <c r="C89" i="16"/>
  <c r="C71" i="16"/>
  <c r="C58" i="16"/>
  <c r="C44" i="16"/>
  <c r="C30" i="16"/>
  <c r="C21" i="16"/>
  <c r="C8" i="16"/>
  <c r="C10" i="16"/>
  <c r="C95" i="16"/>
  <c r="C91" i="16"/>
  <c r="C87" i="16"/>
  <c r="C83" i="16"/>
  <c r="C79" i="16"/>
  <c r="C73" i="16"/>
  <c r="C69" i="16"/>
  <c r="C64" i="16"/>
  <c r="C60" i="16"/>
  <c r="C56" i="16"/>
  <c r="C52" i="16"/>
  <c r="C46" i="16"/>
  <c r="C42" i="16"/>
  <c r="C38" i="16"/>
  <c r="C32" i="16"/>
  <c r="C27" i="16"/>
  <c r="C23" i="16"/>
  <c r="C19" i="16"/>
  <c r="C15" i="16"/>
  <c r="C11" i="16"/>
  <c r="C6" i="16"/>
  <c r="C2" i="16"/>
  <c r="C5" i="16"/>
  <c r="C93" i="16"/>
  <c r="C81" i="16"/>
  <c r="C67" i="16"/>
  <c r="C54" i="16"/>
  <c r="C40" i="16"/>
  <c r="C17" i="16"/>
  <c r="C4" i="16"/>
  <c r="C98" i="16"/>
  <c r="C94" i="16"/>
  <c r="C90" i="16"/>
  <c r="C86" i="16"/>
  <c r="C82" i="16"/>
  <c r="C78" i="16"/>
  <c r="C72" i="16"/>
  <c r="C68" i="16"/>
  <c r="C63" i="16"/>
  <c r="C59" i="16"/>
  <c r="C55" i="16"/>
  <c r="C51" i="16"/>
  <c r="C45" i="16"/>
  <c r="C41" i="16"/>
  <c r="C36" i="16"/>
  <c r="C31" i="16"/>
  <c r="C26" i="16"/>
  <c r="C22" i="16"/>
  <c r="C18" i="16"/>
  <c r="C14" i="16"/>
  <c r="C9" i="16"/>
  <c r="C97" i="16"/>
  <c r="C85" i="16"/>
  <c r="C77" i="16"/>
  <c r="C62" i="16"/>
  <c r="C48" i="16"/>
  <c r="C34" i="16"/>
  <c r="C25" i="16"/>
  <c r="C13" i="16"/>
</calcChain>
</file>

<file path=xl/sharedStrings.xml><?xml version="1.0" encoding="utf-8"?>
<sst xmlns="http://schemas.openxmlformats.org/spreadsheetml/2006/main" count="5627" uniqueCount="3747">
  <si>
    <t>现价</t>
  </si>
  <si>
    <t>市净率</t>
  </si>
  <si>
    <t>吉电股份</t>
  </si>
  <si>
    <t>深南电A</t>
  </si>
  <si>
    <t>银星能源</t>
  </si>
  <si>
    <t>穗恒运Ａ</t>
  </si>
  <si>
    <t>华能国际</t>
  </si>
  <si>
    <t>嘉泽新能</t>
  </si>
  <si>
    <t>西昌电力</t>
  </si>
  <si>
    <t>三峡水利</t>
  </si>
  <si>
    <t>郴电国际</t>
  </si>
  <si>
    <t>深圳能源</t>
  </si>
  <si>
    <t>湖南发展</t>
  </si>
  <si>
    <t>建投能源</t>
  </si>
  <si>
    <t>中闽能源</t>
  </si>
  <si>
    <t>江苏新能</t>
  </si>
  <si>
    <t>京能电力</t>
  </si>
  <si>
    <t>联美控股</t>
  </si>
  <si>
    <t>大唐发电</t>
  </si>
  <si>
    <t>上海电力</t>
  </si>
  <si>
    <t>皖能电力</t>
  </si>
  <si>
    <t>节能风电</t>
  </si>
  <si>
    <t>华能水电</t>
  </si>
  <si>
    <t>华电国际</t>
  </si>
  <si>
    <t>赣能股份</t>
  </si>
  <si>
    <t>宝新能源</t>
  </si>
  <si>
    <t>长源电力</t>
  </si>
  <si>
    <t>通宝能源</t>
  </si>
  <si>
    <t>粤电力Ａ</t>
  </si>
  <si>
    <t>中国核电</t>
  </si>
  <si>
    <t>广安爱众</t>
  </si>
  <si>
    <t>乐山电力</t>
  </si>
  <si>
    <t>长江电力</t>
  </si>
  <si>
    <t>湖北能源</t>
  </si>
  <si>
    <t>申能股份</t>
  </si>
  <si>
    <t>江苏国信</t>
  </si>
  <si>
    <t>福能股份</t>
  </si>
  <si>
    <t>涪陵电力</t>
  </si>
  <si>
    <t>桂冠电力</t>
  </si>
  <si>
    <t>韶能股份</t>
  </si>
  <si>
    <t>浙能电力</t>
  </si>
  <si>
    <t>京运通</t>
  </si>
  <si>
    <t>国投电力</t>
  </si>
  <si>
    <t>太阳能</t>
  </si>
  <si>
    <t>川投能源</t>
  </si>
  <si>
    <t>黔源电力</t>
  </si>
  <si>
    <t>东旭蓝天</t>
  </si>
  <si>
    <t>豫能控股</t>
  </si>
  <si>
    <t>闽东电力</t>
  </si>
  <si>
    <t>川能动力</t>
  </si>
  <si>
    <t>华银电力</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</si>
  <si>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</si>
  <si>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</si>
  <si>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</si>
  <si>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</si>
  <si>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</si>
  <si>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</si>
  <si>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</si>
  <si>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</si>
  <si>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</si>
  <si>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</si>
  <si>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</si>
  <si>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</si>
  <si>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</si>
  <si>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</si>
  <si>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</si>
  <si>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SZ000027</t>
  </si>
  <si>
    <t>电力</t>
  </si>
  <si>
    <t>208.17亿</t>
  </si>
  <si>
    <t>17.01亿</t>
  </si>
  <si>
    <t>--</t>
  </si>
  <si>
    <t>SZ000037</t>
  </si>
  <si>
    <t>12.23亿</t>
  </si>
  <si>
    <t>2490.10万</t>
  </si>
  <si>
    <t>SZ000040</t>
  </si>
  <si>
    <t>68.06亿</t>
  </si>
  <si>
    <t>-9.57亿</t>
  </si>
  <si>
    <t>SZ000155</t>
  </si>
  <si>
    <t>20.51亿</t>
  </si>
  <si>
    <t>2.15亿</t>
  </si>
  <si>
    <t>7.80亿</t>
  </si>
  <si>
    <t>SZ000531</t>
  </si>
  <si>
    <t>32.29亿</t>
  </si>
  <si>
    <t>4.11亿</t>
  </si>
  <si>
    <t>3.68亿</t>
  </si>
  <si>
    <t>4.27亿</t>
  </si>
  <si>
    <t>SZ000539</t>
  </si>
  <si>
    <t>293.60亿</t>
  </si>
  <si>
    <t>11.47亿</t>
  </si>
  <si>
    <t>SZ000543</t>
  </si>
  <si>
    <t>160.92亿</t>
  </si>
  <si>
    <t>7.74亿</t>
  </si>
  <si>
    <t>2.43亿</t>
  </si>
  <si>
    <t>SZ000591</t>
  </si>
  <si>
    <t>50.11亿</t>
  </si>
  <si>
    <t>9.11亿</t>
  </si>
  <si>
    <t>10.12亿</t>
  </si>
  <si>
    <t>1.04亿</t>
  </si>
  <si>
    <t>1.62亿</t>
  </si>
  <si>
    <t>SZ000600</t>
  </si>
  <si>
    <t>139.64亿</t>
  </si>
  <si>
    <t>6.40亿</t>
  </si>
  <si>
    <t>SZ000601</t>
  </si>
  <si>
    <t>43.06亿</t>
  </si>
  <si>
    <t>4.01亿</t>
  </si>
  <si>
    <t>0亿</t>
  </si>
  <si>
    <t>SZ000690</t>
  </si>
  <si>
    <t>56.27亿</t>
  </si>
  <si>
    <t>8.83亿</t>
  </si>
  <si>
    <t>2.24亿</t>
  </si>
  <si>
    <t>SZ000692</t>
  </si>
  <si>
    <t>18.51亿</t>
  </si>
  <si>
    <t>-1.15亿</t>
  </si>
  <si>
    <t>3.00亿</t>
  </si>
  <si>
    <t>SZ000722</t>
  </si>
  <si>
    <t>1.92亿</t>
  </si>
  <si>
    <t>2.44亿</t>
  </si>
  <si>
    <t>1.38亿</t>
  </si>
  <si>
    <t>SZ000767</t>
  </si>
  <si>
    <t>120.25亿</t>
  </si>
  <si>
    <t>6813.20万</t>
  </si>
  <si>
    <t>SZ000791</t>
  </si>
  <si>
    <t>22.68亿</t>
  </si>
  <si>
    <t>4.23亿</t>
  </si>
  <si>
    <t>1.93亿</t>
  </si>
  <si>
    <t>SZ000862</t>
  </si>
  <si>
    <t>13.57亿</t>
  </si>
  <si>
    <t>2892.84万</t>
  </si>
  <si>
    <t>1.56亿</t>
  </si>
  <si>
    <t>SZ000875</t>
  </si>
  <si>
    <t>1.48亿</t>
  </si>
  <si>
    <t>SZ000883</t>
  </si>
  <si>
    <t>158.11亿</t>
  </si>
  <si>
    <t>14.99亿</t>
  </si>
  <si>
    <t>1.51亿</t>
  </si>
  <si>
    <t>SZ000899</t>
  </si>
  <si>
    <t>26.70亿</t>
  </si>
  <si>
    <t>4.08亿</t>
  </si>
  <si>
    <t>SZ000966</t>
  </si>
  <si>
    <t>73.66亿</t>
  </si>
  <si>
    <t>5.73亿</t>
  </si>
  <si>
    <t>1.03亿</t>
  </si>
  <si>
    <t>SZ000993</t>
  </si>
  <si>
    <t>5.97亿</t>
  </si>
  <si>
    <t>1.05亿</t>
  </si>
  <si>
    <t>1.23亿</t>
  </si>
  <si>
    <t>1.98亿</t>
  </si>
  <si>
    <t>SZ001896</t>
  </si>
  <si>
    <t>1.00亿</t>
  </si>
  <si>
    <t>1.87亿</t>
  </si>
  <si>
    <t>SZ002015</t>
  </si>
  <si>
    <t>协鑫能科</t>
  </si>
  <si>
    <t>5.54亿</t>
  </si>
  <si>
    <t>SZ002039</t>
  </si>
  <si>
    <t>21.74亿</t>
  </si>
  <si>
    <t>2.90亿</t>
  </si>
  <si>
    <t>1.57亿</t>
  </si>
  <si>
    <t>SZ002256</t>
  </si>
  <si>
    <t>4.31亿</t>
  </si>
  <si>
    <t>1.10亿</t>
  </si>
  <si>
    <t>SZ002608</t>
  </si>
  <si>
    <t>24.04亿</t>
  </si>
  <si>
    <t>25.56亿</t>
  </si>
  <si>
    <t>1.11亿</t>
  </si>
  <si>
    <t>SZ002893</t>
  </si>
  <si>
    <t>6.74亿</t>
  </si>
  <si>
    <t>9.20亿</t>
  </si>
  <si>
    <t>4726.05万</t>
  </si>
  <si>
    <t>5.15亿</t>
  </si>
  <si>
    <t>1.18亿</t>
  </si>
  <si>
    <t>SZ003816</t>
  </si>
  <si>
    <t>中国广核</t>
  </si>
  <si>
    <t>608.75亿</t>
  </si>
  <si>
    <t>94.66亿</t>
  </si>
  <si>
    <t>3.95亿</t>
  </si>
  <si>
    <t>3.15亿</t>
  </si>
  <si>
    <t>SH600011</t>
  </si>
  <si>
    <t>1.16亿</t>
  </si>
  <si>
    <t>SH600021</t>
  </si>
  <si>
    <t>236.90亿</t>
  </si>
  <si>
    <t>9.62亿</t>
  </si>
  <si>
    <t>7.18亿</t>
  </si>
  <si>
    <t>SH600023</t>
  </si>
  <si>
    <t>543.71亿</t>
  </si>
  <si>
    <t>SH600025</t>
  </si>
  <si>
    <t>208.01亿</t>
  </si>
  <si>
    <t>55.45亿</t>
  </si>
  <si>
    <t>SH600027</t>
  </si>
  <si>
    <t>936.54亿</t>
  </si>
  <si>
    <t>2.95亿</t>
  </si>
  <si>
    <t>4.96亿</t>
  </si>
  <si>
    <t>SH600101</t>
  </si>
  <si>
    <t>9.66亿</t>
  </si>
  <si>
    <t>16.08亿</t>
  </si>
  <si>
    <t>SH600116</t>
  </si>
  <si>
    <t>13.07亿</t>
  </si>
  <si>
    <t>SH600163</t>
  </si>
  <si>
    <t>1.21亿</t>
  </si>
  <si>
    <t>SH600167</t>
  </si>
  <si>
    <t>33.96亿</t>
  </si>
  <si>
    <t>7.78亿</t>
  </si>
  <si>
    <t>SH600236</t>
  </si>
  <si>
    <t>90.43亿</t>
  </si>
  <si>
    <t>26.77亿</t>
  </si>
  <si>
    <t>SH600310</t>
  </si>
  <si>
    <t>1.52亿</t>
  </si>
  <si>
    <t>1.17亿</t>
  </si>
  <si>
    <t>1.42亿</t>
  </si>
  <si>
    <t>SH600396</t>
  </si>
  <si>
    <t>24.57亿</t>
  </si>
  <si>
    <t>74.01亿</t>
  </si>
  <si>
    <t>6742.70万</t>
  </si>
  <si>
    <t>1.82亿</t>
  </si>
  <si>
    <t>10.69亿</t>
  </si>
  <si>
    <t>1.29亿</t>
  </si>
  <si>
    <t>SH600452</t>
  </si>
  <si>
    <t>26.22亿</t>
  </si>
  <si>
    <t>3.97亿</t>
  </si>
  <si>
    <t>2.20亿</t>
  </si>
  <si>
    <t>SH600483</t>
  </si>
  <si>
    <t>99.45亿</t>
  </si>
  <si>
    <t>12.44亿</t>
  </si>
  <si>
    <t>3.69亿</t>
  </si>
  <si>
    <t>47.37亿</t>
  </si>
  <si>
    <t>SH600505</t>
  </si>
  <si>
    <t>9.48亿</t>
  </si>
  <si>
    <t>3705.34万</t>
  </si>
  <si>
    <t>SH600509</t>
  </si>
  <si>
    <t>1.31亿</t>
  </si>
  <si>
    <t>SH600578</t>
  </si>
  <si>
    <t>SH600642</t>
  </si>
  <si>
    <t>388.41亿</t>
  </si>
  <si>
    <t>22.86亿</t>
  </si>
  <si>
    <t>SH600644</t>
  </si>
  <si>
    <t>22.23亿</t>
  </si>
  <si>
    <t>8923.49万</t>
  </si>
  <si>
    <t>1.24亿</t>
  </si>
  <si>
    <t>1.63亿</t>
  </si>
  <si>
    <t>SH600674</t>
  </si>
  <si>
    <t>8.38亿</t>
  </si>
  <si>
    <t>29.47亿</t>
  </si>
  <si>
    <t>7.00亿</t>
  </si>
  <si>
    <t>SH600719</t>
  </si>
  <si>
    <t>7.67亿</t>
  </si>
  <si>
    <t>1127.12万</t>
  </si>
  <si>
    <t>SH600744</t>
  </si>
  <si>
    <t>89.93亿</t>
  </si>
  <si>
    <t>2547.76万</t>
  </si>
  <si>
    <t>SH600780</t>
  </si>
  <si>
    <t>66.15亿</t>
  </si>
  <si>
    <t>2.80亿</t>
  </si>
  <si>
    <t>2.19亿</t>
  </si>
  <si>
    <t>1.02亿</t>
  </si>
  <si>
    <t>SH600795</t>
  </si>
  <si>
    <t>1165.99亿</t>
  </si>
  <si>
    <t>1.06亿</t>
  </si>
  <si>
    <t>1.84亿</t>
  </si>
  <si>
    <t>SH600821</t>
  </si>
  <si>
    <t>5.14亿</t>
  </si>
  <si>
    <t>SH600863</t>
  </si>
  <si>
    <t>144.77亿</t>
  </si>
  <si>
    <t>2.45亿</t>
  </si>
  <si>
    <t>SH600886</t>
  </si>
  <si>
    <t>424.33亿</t>
  </si>
  <si>
    <t>47.55亿</t>
  </si>
  <si>
    <t>SH600900</t>
  </si>
  <si>
    <t>498.74亿</t>
  </si>
  <si>
    <t>215.43亿</t>
  </si>
  <si>
    <t>SH600956</t>
  </si>
  <si>
    <t>新天绿能</t>
  </si>
  <si>
    <t>1.79亿</t>
  </si>
  <si>
    <t>1.01亿</t>
  </si>
  <si>
    <t>SH600969</t>
  </si>
  <si>
    <t>30.14亿</t>
  </si>
  <si>
    <t>5522.67万</t>
  </si>
  <si>
    <t>SH600979</t>
  </si>
  <si>
    <t>22.19亿</t>
  </si>
  <si>
    <t>7.31亿</t>
  </si>
  <si>
    <t>SH600982</t>
  </si>
  <si>
    <t>34.12亿</t>
  </si>
  <si>
    <t>12.02亿</t>
  </si>
  <si>
    <t>10.66亿</t>
  </si>
  <si>
    <t>4.32亿</t>
  </si>
  <si>
    <t>SH600995</t>
  </si>
  <si>
    <t>23.19亿</t>
  </si>
  <si>
    <t>3.32亿</t>
  </si>
  <si>
    <t>2.61亿</t>
  </si>
  <si>
    <t>SH601016</t>
  </si>
  <si>
    <t>24.87亿</t>
  </si>
  <si>
    <t>5.84亿</t>
  </si>
  <si>
    <t>SH601222</t>
  </si>
  <si>
    <t>林洋能源</t>
  </si>
  <si>
    <t>33.59亿</t>
  </si>
  <si>
    <t>SH601619</t>
  </si>
  <si>
    <t>11.16亿</t>
  </si>
  <si>
    <t>2.93亿</t>
  </si>
  <si>
    <t>10.50亿</t>
  </si>
  <si>
    <t>SH601778</t>
  </si>
  <si>
    <t>晶科科技</t>
  </si>
  <si>
    <t>SH601908</t>
  </si>
  <si>
    <t>20.57亿</t>
  </si>
  <si>
    <t>2.63亿</t>
  </si>
  <si>
    <t>SH601985</t>
  </si>
  <si>
    <t>SH601991</t>
  </si>
  <si>
    <t>954.53亿</t>
  </si>
  <si>
    <t>10.31亿</t>
  </si>
  <si>
    <t>1.14亿</t>
  </si>
  <si>
    <t>SH603693</t>
  </si>
  <si>
    <t>14.84亿</t>
  </si>
  <si>
    <t>2.54亿</t>
  </si>
  <si>
    <t>2.99亿</t>
  </si>
  <si>
    <t>流动资产</t>
  </si>
  <si>
    <t>营业收入[20191231]</t>
  </si>
  <si>
    <t>营业收入[20181231]</t>
  </si>
  <si>
    <t>营业收入[20171231]</t>
  </si>
  <si>
    <t>净利润[20191231]</t>
  </si>
  <si>
    <t>净利润[20181231]</t>
  </si>
  <si>
    <t>净利润[20171231]</t>
  </si>
  <si>
    <t>204.55亿</t>
  </si>
  <si>
    <t>39.84亿</t>
  </si>
  <si>
    <t>185.27亿</t>
  </si>
  <si>
    <t>6.91亿</t>
  </si>
  <si>
    <t>7.49亿</t>
  </si>
  <si>
    <t>9.85亿</t>
  </si>
  <si>
    <t>6402.43万</t>
  </si>
  <si>
    <t>4.40亿</t>
  </si>
  <si>
    <t>18.85亿</t>
  </si>
  <si>
    <t>20.46亿</t>
  </si>
  <si>
    <t>1925.38万</t>
  </si>
  <si>
    <t>34.71亿</t>
  </si>
  <si>
    <t>-10.21亿</t>
  </si>
  <si>
    <t>6.19亿</t>
  </si>
  <si>
    <t>86.76亿</t>
  </si>
  <si>
    <t>11.18亿</t>
  </si>
  <si>
    <t>1.75亿</t>
  </si>
  <si>
    <t>1.53亿</t>
  </si>
  <si>
    <t>1.35亿</t>
  </si>
  <si>
    <t>1.40亿</t>
  </si>
  <si>
    <t>42.72亿</t>
  </si>
  <si>
    <t>3.20亿</t>
  </si>
  <si>
    <t>3.01亿</t>
  </si>
  <si>
    <t>34.62亿</t>
  </si>
  <si>
    <t>2.64亿</t>
  </si>
  <si>
    <t>31.19亿</t>
  </si>
  <si>
    <t>7734.80万</t>
  </si>
  <si>
    <t>4.14亿</t>
  </si>
  <si>
    <t>274.09亿</t>
  </si>
  <si>
    <t>4.74亿</t>
  </si>
  <si>
    <t>167.52亿</t>
  </si>
  <si>
    <t>10.14亿</t>
  </si>
  <si>
    <t>3.44亿</t>
  </si>
  <si>
    <t>134.16亿</t>
  </si>
  <si>
    <t>5.56亿</t>
  </si>
  <si>
    <t>53.05亿</t>
  </si>
  <si>
    <t>10.28亿</t>
  </si>
  <si>
    <t>1.86亿</t>
  </si>
  <si>
    <t>52.97亿</t>
  </si>
  <si>
    <t>50.37亿</t>
  </si>
  <si>
    <t>8.62亿</t>
  </si>
  <si>
    <t>8.05亿</t>
  </si>
  <si>
    <t>6.53亿</t>
  </si>
  <si>
    <t>139.76亿</t>
  </si>
  <si>
    <t>49.59亿</t>
  </si>
  <si>
    <t>2.14亿</t>
  </si>
  <si>
    <t>34.28亿</t>
  </si>
  <si>
    <t>3.03亿</t>
  </si>
  <si>
    <t>71.60亿</t>
  </si>
  <si>
    <t>18.18亿</t>
  </si>
  <si>
    <t>1.74亿</t>
  </si>
  <si>
    <t>38.34亿</t>
  </si>
  <si>
    <t>4.63亿</t>
  </si>
  <si>
    <t>18.94亿</t>
  </si>
  <si>
    <t>-9.72亿</t>
  </si>
  <si>
    <t>8.41亿</t>
  </si>
  <si>
    <t>19.08亿</t>
  </si>
  <si>
    <t>597.81万</t>
  </si>
  <si>
    <t>3.11亿</t>
  </si>
  <si>
    <t>9787.99万</t>
  </si>
  <si>
    <t>2.67亿</t>
  </si>
  <si>
    <t>2.76亿</t>
  </si>
  <si>
    <t>9461.50万</t>
  </si>
  <si>
    <t>晋控电力</t>
  </si>
  <si>
    <t>3.19亿</t>
  </si>
  <si>
    <t>112.30亿</t>
  </si>
  <si>
    <t>22.65亿</t>
  </si>
  <si>
    <t>4.42亿</t>
  </si>
  <si>
    <t>2.66亿</t>
  </si>
  <si>
    <t>23.06亿</t>
  </si>
  <si>
    <t>19.87亿</t>
  </si>
  <si>
    <t>4.85亿</t>
  </si>
  <si>
    <t>3430.08万</t>
  </si>
  <si>
    <t>11.95亿</t>
  </si>
  <si>
    <t>5315.42万</t>
  </si>
  <si>
    <t>2.56亿</t>
  </si>
  <si>
    <t>100.60亿</t>
  </si>
  <si>
    <t>4.78亿</t>
  </si>
  <si>
    <t>2.60亿</t>
  </si>
  <si>
    <t>85.52亿</t>
  </si>
  <si>
    <t>73.01亿</t>
  </si>
  <si>
    <t>1.15亿</t>
  </si>
  <si>
    <t>170.23亿</t>
  </si>
  <si>
    <t>122.88亿</t>
  </si>
  <si>
    <t>18.11亿</t>
  </si>
  <si>
    <t>19.09亿</t>
  </si>
  <si>
    <t>3.16亿</t>
  </si>
  <si>
    <t>25.68亿</t>
  </si>
  <si>
    <t>1.89亿</t>
  </si>
  <si>
    <t>65.63亿</t>
  </si>
  <si>
    <t>2.09亿</t>
  </si>
  <si>
    <t>3.99亿</t>
  </si>
  <si>
    <t>9.52亿</t>
  </si>
  <si>
    <t>-8069.69万</t>
  </si>
  <si>
    <t>5.27亿</t>
  </si>
  <si>
    <t>5.58亿</t>
  </si>
  <si>
    <t>-3.90亿</t>
  </si>
  <si>
    <t>80.95亿</t>
  </si>
  <si>
    <t>80.82亿</t>
  </si>
  <si>
    <t>9791.51万</t>
  </si>
  <si>
    <t>-6.60亿</t>
  </si>
  <si>
    <t>6.18亿</t>
  </si>
  <si>
    <t>108.99亿</t>
  </si>
  <si>
    <t>81.63亿</t>
  </si>
  <si>
    <t>1.09亿</t>
  </si>
  <si>
    <t>26.51亿</t>
  </si>
  <si>
    <t>4.44亿</t>
  </si>
  <si>
    <t>23.89亿</t>
  </si>
  <si>
    <t>24.19亿</t>
  </si>
  <si>
    <t>27.00亿</t>
  </si>
  <si>
    <t>1.30亿</t>
  </si>
  <si>
    <t>5564.47万</t>
  </si>
  <si>
    <t>6.04亿</t>
  </si>
  <si>
    <t>-3.07亿</t>
  </si>
  <si>
    <t>1.54亿</t>
  </si>
  <si>
    <t>22.74亿</t>
  </si>
  <si>
    <t>199.15亿</t>
  </si>
  <si>
    <t>210.05亿</t>
  </si>
  <si>
    <t>2854.87万</t>
  </si>
  <si>
    <t>4273.25万</t>
  </si>
  <si>
    <t>5.82亿</t>
  </si>
  <si>
    <t>SZ003035</t>
  </si>
  <si>
    <t>南网能源</t>
  </si>
  <si>
    <t>20.09亿</t>
  </si>
  <si>
    <t>15.08亿</t>
  </si>
  <si>
    <t>12.19亿</t>
  </si>
  <si>
    <t>7.10亿</t>
  </si>
  <si>
    <t>705.85亿</t>
  </si>
  <si>
    <t>95.62亿</t>
  </si>
  <si>
    <t>508.28亿</t>
  </si>
  <si>
    <t>87.03亿</t>
  </si>
  <si>
    <t>1694.39亿</t>
  </si>
  <si>
    <t>1735.83亿</t>
  </si>
  <si>
    <t>1698.61亿</t>
  </si>
  <si>
    <t>14.39亿</t>
  </si>
  <si>
    <t>227.79亿</t>
  </si>
  <si>
    <t>516.84亿</t>
  </si>
  <si>
    <t>566.34亿</t>
  </si>
  <si>
    <t>192.53亿</t>
  </si>
  <si>
    <t>6.02亿</t>
  </si>
  <si>
    <t>155.16亿</t>
  </si>
  <si>
    <t>2.04亿</t>
  </si>
  <si>
    <t>893.14亿</t>
  </si>
  <si>
    <t>SH600032</t>
  </si>
  <si>
    <t>23.47亿</t>
  </si>
  <si>
    <t>21.02亿</t>
  </si>
  <si>
    <t>12.51亿</t>
  </si>
  <si>
    <t>2.53亿</t>
  </si>
  <si>
    <t>1.20亿</t>
  </si>
  <si>
    <t>16.68亿</t>
  </si>
  <si>
    <t>16.00亿</t>
  </si>
  <si>
    <t>52.56亿</t>
  </si>
  <si>
    <t>12.98亿</t>
  </si>
  <si>
    <t>SH600149</t>
  </si>
  <si>
    <t>廊坊发展</t>
  </si>
  <si>
    <t>1.97亿</t>
  </si>
  <si>
    <t>7313.04万</t>
  </si>
  <si>
    <t>12.52亿</t>
  </si>
  <si>
    <t>3.40亿</t>
  </si>
  <si>
    <t>5.24亿</t>
  </si>
  <si>
    <t>2.21亿</t>
  </si>
  <si>
    <t>35.98亿</t>
  </si>
  <si>
    <t>30.37亿</t>
  </si>
  <si>
    <t>89.74亿</t>
  </si>
  <si>
    <t>95.14亿</t>
  </si>
  <si>
    <t>187.54亿</t>
  </si>
  <si>
    <t>119.33亿</t>
  </si>
  <si>
    <t>6849.77万</t>
  </si>
  <si>
    <t>72.87亿</t>
  </si>
  <si>
    <t>8172.22万</t>
  </si>
  <si>
    <t>71.38亿</t>
  </si>
  <si>
    <t>-7.29亿</t>
  </si>
  <si>
    <t>1.88亿</t>
  </si>
  <si>
    <t>26.54亿</t>
  </si>
  <si>
    <t>24.48亿</t>
  </si>
  <si>
    <t>95.57亿</t>
  </si>
  <si>
    <t>14.95亿</t>
  </si>
  <si>
    <t>93.54亿</t>
  </si>
  <si>
    <t>3414.59万</t>
  </si>
  <si>
    <t>9.45亿</t>
  </si>
  <si>
    <t>6302.75万</t>
  </si>
  <si>
    <t>48.96亿</t>
  </si>
  <si>
    <t>4853.03万</t>
  </si>
  <si>
    <t>49.56亿</t>
  </si>
  <si>
    <t>-3.87亿</t>
  </si>
  <si>
    <t>4954.35万</t>
  </si>
  <si>
    <t>200.97亿</t>
  </si>
  <si>
    <t>13.96亿</t>
  </si>
  <si>
    <t>2.96亿</t>
  </si>
  <si>
    <t>184.49亿</t>
  </si>
  <si>
    <t>145.03亿</t>
  </si>
  <si>
    <t>13.72亿</t>
  </si>
  <si>
    <t>8.80亿</t>
  </si>
  <si>
    <t>197.09亿</t>
  </si>
  <si>
    <t>23.93亿</t>
  </si>
  <si>
    <t>362.21亿</t>
  </si>
  <si>
    <t>18.26亿</t>
  </si>
  <si>
    <t>22.91亿</t>
  </si>
  <si>
    <t>21.70亿</t>
  </si>
  <si>
    <t>8089.46万</t>
  </si>
  <si>
    <t>31.62亿</t>
  </si>
  <si>
    <t>8.64亿</t>
  </si>
  <si>
    <t>10.01亿</t>
  </si>
  <si>
    <t>35.70亿</t>
  </si>
  <si>
    <t>1.67亿</t>
  </si>
  <si>
    <t>965.84万</t>
  </si>
  <si>
    <t>270.69万</t>
  </si>
  <si>
    <t>82.56亿</t>
  </si>
  <si>
    <t>3464.25万</t>
  </si>
  <si>
    <t>95.90亿</t>
  </si>
  <si>
    <t>5877.57万</t>
  </si>
  <si>
    <t>69.42亿</t>
  </si>
  <si>
    <t>20.07亿</t>
  </si>
  <si>
    <t>60.27亿</t>
  </si>
  <si>
    <t>1079.19亿</t>
  </si>
  <si>
    <t>17.44亿</t>
  </si>
  <si>
    <t>16.12亿</t>
  </si>
  <si>
    <t>5636.73万</t>
  </si>
  <si>
    <t>1.59亿</t>
  </si>
  <si>
    <t>2.06亿</t>
  </si>
  <si>
    <t>-1.98亿</t>
  </si>
  <si>
    <t>-2.74亿</t>
  </si>
  <si>
    <t>153.61亿</t>
  </si>
  <si>
    <t>7.59亿</t>
  </si>
  <si>
    <t>137.43亿</t>
  </si>
  <si>
    <t>3.84亿</t>
  </si>
  <si>
    <t>-2.21亿</t>
  </si>
  <si>
    <t>393.20亿</t>
  </si>
  <si>
    <t>55.16亿</t>
  </si>
  <si>
    <t>410.11亿</t>
  </si>
  <si>
    <t>43.64亿</t>
  </si>
  <si>
    <t>577.83亿</t>
  </si>
  <si>
    <t>262.98亿</t>
  </si>
  <si>
    <t>512.14亿</t>
  </si>
  <si>
    <t>226.11亿</t>
  </si>
  <si>
    <t>SH600905</t>
  </si>
  <si>
    <t>三峡能源</t>
  </si>
  <si>
    <t>113.15亿</t>
  </si>
  <si>
    <t>89.57亿</t>
  </si>
  <si>
    <t>73.83亿</t>
  </si>
  <si>
    <t>27.09亿</t>
  </si>
  <si>
    <t>125.11亿</t>
  </si>
  <si>
    <t>15.11亿</t>
  </si>
  <si>
    <t>119.86亿</t>
  </si>
  <si>
    <t>99.92亿</t>
  </si>
  <si>
    <t>14.21亿</t>
  </si>
  <si>
    <t>12.69亿</t>
  </si>
  <si>
    <t>30.47亿</t>
  </si>
  <si>
    <t>3080.62万</t>
  </si>
  <si>
    <t>27.44亿</t>
  </si>
  <si>
    <t>3844.28万</t>
  </si>
  <si>
    <t>22.69亿</t>
  </si>
  <si>
    <t>21.67亿</t>
  </si>
  <si>
    <t>宁波能源</t>
  </si>
  <si>
    <t>40.56亿</t>
  </si>
  <si>
    <t>26.12亿</t>
  </si>
  <si>
    <t>18.81亿</t>
  </si>
  <si>
    <t>20.25亿</t>
  </si>
  <si>
    <t>4.52亿</t>
  </si>
  <si>
    <t>26.67亿</t>
  </si>
  <si>
    <t>23.76亿</t>
  </si>
  <si>
    <t>13.59亿</t>
  </si>
  <si>
    <t>57.99亿</t>
  </si>
  <si>
    <t>9.97亿</t>
  </si>
  <si>
    <t>40.16亿</t>
  </si>
  <si>
    <t>35.88亿</t>
  </si>
  <si>
    <t>6.86亿</t>
  </si>
  <si>
    <t>2.69亿</t>
  </si>
  <si>
    <t>4.76亿</t>
  </si>
  <si>
    <t>53.45亿</t>
  </si>
  <si>
    <t>70.66亿</t>
  </si>
  <si>
    <t>40.53亿</t>
  </si>
  <si>
    <t>7.23亿</t>
  </si>
  <si>
    <t>9.02亿</t>
  </si>
  <si>
    <t>20.34亿</t>
  </si>
  <si>
    <t>2.58亿</t>
  </si>
  <si>
    <t>522.76亿</t>
  </si>
  <si>
    <t>59.95亿</t>
  </si>
  <si>
    <t>472.61亿</t>
  </si>
  <si>
    <t>393.05亿</t>
  </si>
  <si>
    <t>47.58亿</t>
  </si>
  <si>
    <t>956.14亿</t>
  </si>
  <si>
    <t>30.40亿</t>
  </si>
  <si>
    <t>933.90亿</t>
  </si>
  <si>
    <t>12.35亿</t>
  </si>
  <si>
    <t>SH603105</t>
  </si>
  <si>
    <t>芯能科技</t>
  </si>
  <si>
    <t>8088.60万</t>
  </si>
  <si>
    <t>3.87亿</t>
  </si>
  <si>
    <t>4211.80万</t>
  </si>
  <si>
    <t>6616.27万</t>
  </si>
  <si>
    <t>15.47亿</t>
  </si>
  <si>
    <t>14.73亿</t>
  </si>
  <si>
    <t>6.50亿</t>
  </si>
  <si>
    <t>2.34亿</t>
  </si>
  <si>
    <t>2.47亿</t>
  </si>
  <si>
    <t>SZ001210</t>
  </si>
  <si>
    <t>1.27亿</t>
  </si>
  <si>
    <t>1.25亿</t>
  </si>
  <si>
    <t>7.13亿</t>
  </si>
  <si>
    <t>7789.68万</t>
  </si>
  <si>
    <t>36.11亿</t>
  </si>
  <si>
    <t>SH605011</t>
  </si>
  <si>
    <t>杭州热电</t>
  </si>
  <si>
    <t>20.88亿</t>
  </si>
  <si>
    <t>20.02亿</t>
  </si>
  <si>
    <t>19.45亿</t>
  </si>
  <si>
    <t>9.82亿</t>
  </si>
  <si>
    <t>SH605028</t>
  </si>
  <si>
    <t>6128.37万</t>
  </si>
  <si>
    <t>SH605162</t>
  </si>
  <si>
    <t>新中港</t>
  </si>
  <si>
    <t>5.71亿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</si>
  <si>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</si>
  <si>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</si>
  <si>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</si>
  <si>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</si>
  <si>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</si>
  <si>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</si>
  <si>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</si>
  <si>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</si>
  <si>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</si>
  <si>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</si>
  <si>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</si>
  <si>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</si>
  <si>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</si>
  <si>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</si>
  <si>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</si>
  <si>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1.19亿</t>
  </si>
  <si>
    <t>1.49亿</t>
  </si>
  <si>
    <t>24.52亿</t>
  </si>
  <si>
    <t>1.08亿</t>
  </si>
  <si>
    <t>6.60亿</t>
  </si>
  <si>
    <t>1.96亿</t>
  </si>
  <si>
    <t>3.31亿</t>
  </si>
  <si>
    <t>8.00亿</t>
  </si>
  <si>
    <t>1.44亿</t>
  </si>
  <si>
    <t>1.60亿</t>
  </si>
  <si>
    <t>兆新股份</t>
  </si>
  <si>
    <t>SZ002479</t>
  </si>
  <si>
    <t>富春环保</t>
  </si>
  <si>
    <t>46.56亿</t>
  </si>
  <si>
    <t>2.98亿</t>
  </si>
  <si>
    <t>41.16亿</t>
  </si>
  <si>
    <t>30.18亿</t>
  </si>
  <si>
    <t>9480.12万</t>
  </si>
  <si>
    <t>SZ002616</t>
  </si>
  <si>
    <t>长青集团</t>
  </si>
  <si>
    <t>30.22亿</t>
  </si>
  <si>
    <t>3.50亿</t>
  </si>
  <si>
    <t>24.98亿</t>
  </si>
  <si>
    <t>SZ002617</t>
  </si>
  <si>
    <t>露笑科技</t>
  </si>
  <si>
    <t>28.48亿</t>
  </si>
  <si>
    <t>28.60亿</t>
  </si>
  <si>
    <t>3616.99万</t>
  </si>
  <si>
    <t>-9.91亿</t>
  </si>
  <si>
    <t>SZ300317</t>
  </si>
  <si>
    <t>珈伟新能</t>
  </si>
  <si>
    <t>2992.63万</t>
  </si>
  <si>
    <t>16.90亿</t>
  </si>
  <si>
    <t>-10.75亿</t>
  </si>
  <si>
    <t>-19.90亿</t>
  </si>
  <si>
    <t>SZ300335</t>
  </si>
  <si>
    <t>迪森股份</t>
  </si>
  <si>
    <t>15.63亿</t>
  </si>
  <si>
    <t>3252.55万</t>
  </si>
  <si>
    <t>14.61亿</t>
  </si>
  <si>
    <t>17.76亿</t>
  </si>
  <si>
    <t>8203.78万</t>
  </si>
  <si>
    <t>2.13亿</t>
  </si>
  <si>
    <t>7.57亿</t>
  </si>
  <si>
    <t>7.90亿</t>
  </si>
  <si>
    <t>2.73亿</t>
  </si>
  <si>
    <t>SH600157</t>
  </si>
  <si>
    <t>永泰能源</t>
  </si>
  <si>
    <t>221.44亿</t>
  </si>
  <si>
    <t>211.87亿</t>
  </si>
  <si>
    <t>223.27亿</t>
  </si>
  <si>
    <t>SH600226</t>
  </si>
  <si>
    <t>10.05亿</t>
  </si>
  <si>
    <t>1.45亿</t>
  </si>
  <si>
    <t>2.36亿</t>
  </si>
  <si>
    <t>3.04亿</t>
  </si>
  <si>
    <t>42.44亿</t>
  </si>
  <si>
    <t>-2.48亿</t>
  </si>
  <si>
    <t>金开新能</t>
  </si>
  <si>
    <t>内蒙华电</t>
  </si>
  <si>
    <t>25.02亿</t>
  </si>
  <si>
    <t>-2.08亿</t>
  </si>
  <si>
    <t>8.24亿</t>
  </si>
  <si>
    <t>2.33亿</t>
  </si>
  <si>
    <t>SH605580</t>
  </si>
  <si>
    <t>恒盛能源</t>
  </si>
  <si>
    <t>6306.81万</t>
  </si>
  <si>
    <t>主营业务为能源+金融“双轮驱动”，旗下江苏信托业务能力和人均创利居于全国信托公司前茅
2021H1:
电力 125.01亿 97.42% 毛利10.97%
金融 3.31亿 2.58%</t>
    <phoneticPr fontId="1" type="noConversion"/>
  </si>
  <si>
    <t>1.抽水蓄能具有调峰、调频、调相、储能、系统备用和黑启动等功能，在保障大电网安全、促进新能潭清纳、提升全系统性能、助力乡村兼兴和经济杜会发展中发挥着重器作用，是以新能源为主体的新型电力系统的重受组成即分。目前，公可正在开展依托所属长江流城梯级水库和电站发展枯水蓄能的规对研究</t>
    <phoneticPr fontId="1" type="noConversion"/>
  </si>
  <si>
    <t>涨幅%</t>
  </si>
  <si>
    <t>流通股本</t>
  </si>
  <si>
    <t>净利润[20201231]</t>
  </si>
  <si>
    <t>投入资本回报率roic%[20201231]</t>
  </si>
  <si>
    <t>净资产收益率%[20201231]</t>
  </si>
  <si>
    <t>3.75亿</t>
  </si>
  <si>
    <t>70.65亿</t>
  </si>
  <si>
    <t>-4.39亿</t>
  </si>
  <si>
    <t>38.77亿</t>
  </si>
  <si>
    <t>-5.90亿</t>
  </si>
  <si>
    <t>37.19亿</t>
  </si>
  <si>
    <t>39.28亿</t>
  </si>
  <si>
    <t>SZ000537</t>
  </si>
  <si>
    <t>197.51亿</t>
  </si>
  <si>
    <t>229.87亿</t>
  </si>
  <si>
    <t>270.57亿</t>
  </si>
  <si>
    <t>22.12亿</t>
  </si>
  <si>
    <t>31.42亿</t>
  </si>
  <si>
    <t>336.03亿</t>
  </si>
  <si>
    <t>20.54亿</t>
  </si>
  <si>
    <t>210.32亿</t>
  </si>
  <si>
    <t>150.41亿</t>
  </si>
  <si>
    <t>-22.10亿</t>
  </si>
  <si>
    <t>153.70亿</t>
  </si>
  <si>
    <t>9.58亿</t>
  </si>
  <si>
    <t>94.11亿</t>
  </si>
  <si>
    <t>152.75亿</t>
  </si>
  <si>
    <t>384.07万</t>
  </si>
  <si>
    <t>118.64亿</t>
  </si>
  <si>
    <t>9359.68万</t>
  </si>
  <si>
    <t>121.64亿</t>
  </si>
  <si>
    <t>-2535.03万</t>
  </si>
  <si>
    <t>100.73亿</t>
  </si>
  <si>
    <t>5.83亿</t>
  </si>
  <si>
    <t>SZ001289</t>
  </si>
  <si>
    <t>龙源电力</t>
  </si>
  <si>
    <t>288.07亿</t>
  </si>
  <si>
    <t>275.79亿</t>
  </si>
  <si>
    <t>264.55亿</t>
  </si>
  <si>
    <t>49.77亿</t>
  </si>
  <si>
    <t>45.26亿</t>
  </si>
  <si>
    <t>102.79亿</t>
  </si>
  <si>
    <t>4.89亿</t>
  </si>
  <si>
    <t>113.95亿</t>
  </si>
  <si>
    <t>-4.97亿</t>
  </si>
  <si>
    <t>9.30亿</t>
  </si>
  <si>
    <t>2738.37万</t>
  </si>
  <si>
    <t>806.79亿</t>
  </si>
  <si>
    <t>5.80亿</t>
  </si>
  <si>
    <t>-2.10亿</t>
  </si>
  <si>
    <t>12.49亿</t>
  </si>
  <si>
    <t>242.18亿</t>
  </si>
  <si>
    <t>930.10亿</t>
  </si>
  <si>
    <t>44.41亿</t>
  </si>
  <si>
    <t>65.74亿</t>
  </si>
  <si>
    <t>-19.20亿</t>
  </si>
  <si>
    <t>31.46亿</t>
  </si>
  <si>
    <t>5.05亿</t>
  </si>
  <si>
    <t>10.81亿</t>
  </si>
  <si>
    <t>4252.85万</t>
  </si>
  <si>
    <t>-4483.07万</t>
  </si>
  <si>
    <t>25.71亿</t>
  </si>
  <si>
    <t>12.63亿</t>
  </si>
  <si>
    <t>30.87亿</t>
  </si>
  <si>
    <t>-1.43亿</t>
  </si>
  <si>
    <t>78.31亿</t>
  </si>
  <si>
    <t>4.45亿</t>
  </si>
  <si>
    <t>1443.02亿</t>
  </si>
  <si>
    <t>43.54亿</t>
  </si>
  <si>
    <t>556.46亿</t>
  </si>
  <si>
    <t>262.73亿</t>
  </si>
  <si>
    <t>28.40亿</t>
  </si>
  <si>
    <t>34.11亿</t>
  </si>
  <si>
    <t>4591.69万</t>
  </si>
  <si>
    <t>23.94亿</t>
  </si>
  <si>
    <t>54.17亿</t>
  </si>
  <si>
    <t>55.26亿</t>
  </si>
  <si>
    <t>8.28亿</t>
  </si>
  <si>
    <t>7.71亿</t>
  </si>
  <si>
    <t>31.83亿</t>
  </si>
  <si>
    <t>8551.12万</t>
  </si>
  <si>
    <t>9508.19万</t>
  </si>
  <si>
    <t>SH688248</t>
  </si>
  <si>
    <t>南网科技</t>
  </si>
  <si>
    <t>13.85亿</t>
  </si>
  <si>
    <t>1.43亿</t>
  </si>
  <si>
    <t>11.15亿</t>
  </si>
  <si>
    <t>8708.53万</t>
  </si>
  <si>
    <t>4349.30万</t>
  </si>
  <si>
    <t>1354.98万</t>
  </si>
  <si>
    <t xml:space="preserve">    名称</t>
  </si>
  <si>
    <t>净利润?</t>
  </si>
  <si>
    <t>单季营收增速</t>
  </si>
  <si>
    <t>单季利润增速</t>
  </si>
  <si>
    <t>亏损</t>
  </si>
  <si>
    <t>扭亏</t>
  </si>
  <si>
    <t/>
  </si>
  <si>
    <t>-1-1</t>
  </si>
  <si>
    <t>1-0</t>
  </si>
  <si>
    <t>6.47亿</t>
  </si>
  <si>
    <r>
      <t>1.问：公司目前绿电交易的开展情况？答：“十四五”期间，风光电平价上网全面到来，</t>
    </r>
    <r>
      <rPr>
        <sz val="9"/>
        <color rgb="FFFF0000"/>
        <rFont val="宋体"/>
        <family val="3"/>
        <charset val="134"/>
        <scheme val="minor"/>
      </rPr>
      <t>补贴逐渐退出新能源发展舞台</t>
    </r>
    <r>
      <rPr>
        <sz val="9"/>
        <color theme="1"/>
        <rFont val="宋体"/>
        <family val="2"/>
        <charset val="134"/>
        <scheme val="minor"/>
      </rPr>
      <t>。为充分发挥可再生能源绿色电力环境价值属性，浙江新能紧跟市场步伐，积极组织平价新能源项目参与绿色电力交易，充分挖掘项目额外电价收益。目前公司参与绿电交易的项目已涉及浙江、江苏、甘肃等省份。</t>
    </r>
    <phoneticPr fontId="1" type="noConversion"/>
  </si>
  <si>
    <r>
      <t>1.问：面对双碳时代的到来，公司未来的发展规划？答：作为一家国有控股的新能源上市公司，浙江新能必须始终牢记自身的使命，紧紧跟随国家政策导向。目前公司在产业布局上已经初步形成了海上风电项目群和西北风光电项目群，公司投资的项目已遍布全国16个省、自治区，在区位资源、业务板块、人才团队、项目开发、运营及管理等多个方面形成了突出的竞争优势。未来，公司将重点向</t>
    </r>
    <r>
      <rPr>
        <sz val="9"/>
        <color rgb="FFFF0000"/>
        <rFont val="宋体"/>
        <family val="3"/>
        <charset val="134"/>
        <scheme val="minor"/>
      </rPr>
      <t>“基地化、规模化、集约化”目标前进，形成产业集群效应</t>
    </r>
    <r>
      <rPr>
        <sz val="9"/>
        <color theme="1"/>
        <rFont val="宋体"/>
        <family val="2"/>
        <charset val="134"/>
        <scheme val="minor"/>
      </rPr>
      <t>。公司将深耕浙江，积极争取省内海上风电项目开发权，并力争控参股数个抽水蓄能项目，落地一批光伏项目。</t>
    </r>
    <phoneticPr fontId="1" type="noConversion"/>
  </si>
  <si>
    <r>
      <t>1.问：公司在碳化硅衬底片方面的优势如何？答：首先在设备制造方面，公司拥有多年技术积累，生产的设备兼具专业性与成本优势；</t>
    </r>
    <r>
      <rPr>
        <sz val="9"/>
        <color rgb="FFFF0000"/>
        <rFont val="宋体"/>
        <family val="3"/>
        <charset val="134"/>
        <scheme val="minor"/>
      </rPr>
      <t>在原材料方面，公司使用的耗材、原料等全部实现国产化</t>
    </r>
    <r>
      <rPr>
        <sz val="9"/>
        <color theme="1"/>
        <rFont val="宋体"/>
        <family val="2"/>
        <charset val="134"/>
        <scheme val="minor"/>
      </rPr>
      <t>，原材料成本相对较低；此外，公司的设备具有较强通用性，对于将来的8寸碳化硅衬底片生产线改造具备一定优势。</t>
    </r>
    <phoneticPr fontId="1" type="noConversion"/>
  </si>
  <si>
    <r>
      <t>1.问：介绍下公司目前碳化硅的总体情况。
　　答：公司刚完成25.67亿的非公开发行,募集资金已全部到位,接下来就是全力推进产能建设。目前我们已经到位的是280台长晶炉,有部分已经完成了前期的工艺安装调试,我们预计7月份大概能出产500-1000片,8月出产1000-2000片。原本我们的实施计划可以再快一些,但</t>
    </r>
    <r>
      <rPr>
        <sz val="9"/>
        <color rgb="FFFF0000"/>
        <rFont val="宋体"/>
        <family val="3"/>
        <charset val="134"/>
        <scheme val="minor"/>
      </rPr>
      <t>受限于一些辅料耗材进口方面的影响</t>
    </r>
    <r>
      <rPr>
        <sz val="9"/>
        <color theme="1"/>
        <rFont val="宋体"/>
        <family val="2"/>
        <charset val="134"/>
        <scheme val="minor"/>
      </rPr>
      <t>。我们预计到2022年底能实现月产能5000片的生产规模。目前公司募集资金已到位,公司将加速后期碳化硅产能铺设进程,随着后端相应的切磨抛进口设备到位,到明年4月份左右能实现月产能1万片,预计能够在2023年实现年产20万片的产能规划。</t>
    </r>
    <phoneticPr fontId="1" type="noConversion"/>
  </si>
  <si>
    <t>SZ001258</t>
  </si>
  <si>
    <t>立新能源</t>
  </si>
  <si>
    <t>6.23亿</t>
  </si>
  <si>
    <t>5.72亿</t>
  </si>
  <si>
    <t>5492.46万</t>
  </si>
  <si>
    <r>
      <t>公司主要从事</t>
    </r>
    <r>
      <rPr>
        <sz val="9"/>
        <color rgb="FFFF0000"/>
        <rFont val="宋体"/>
        <family val="3"/>
        <charset val="134"/>
        <scheme val="minor"/>
      </rPr>
      <t>碳化硅</t>
    </r>
    <r>
      <rPr>
        <sz val="9"/>
        <color theme="1"/>
        <rFont val="宋体"/>
        <family val="2"/>
        <charset val="134"/>
        <scheme val="minor"/>
      </rPr>
      <t>业务、漆包线业务、光伏发电业务和新能源汽车相关业务。公司主要产品为漆包线、节能数控电机、汽车及船舶零部件、新能源汽车配套产品、太阳能发电相关产品。
市值283亿，利润8.10亿，pe亏损，pb4.61；毛利17.53%，利润0.52%；2021营收增-72%，利润增-124%；2022Q1营收增-7.6%，利润增-133%；过往5年营收增10.18%，利润增38.55%；
2021：
漆包线 27.00亿 76.00% 22.52% 4.31%
光伏发电 5.72亿 16.09% 65.97% 59.57%
机电设备 2.27亿 6.38% 9.75% 22.19%
汽车配件 3146.90万 0.89% 1.04% 17.08%
其他业务 2222.37万 0.63% 0.71% 16.53%
其他产品 59.15万 0.02% 0.0038% 3.27%</t>
    </r>
    <phoneticPr fontId="1" type="noConversion"/>
  </si>
  <si>
    <t>1.到2025年末力争光伏电站板块实现电站累计装机20GW。公司董事会在年度会议中提出力争2022年底达到8GW；</t>
    <phoneticPr fontId="1" type="noConversion"/>
  </si>
  <si>
    <t>公司主营业务为水力发电、光伏发电、风力发电等可再生能源项目的投资、开发、建设和运营管理；主要产品有水电、光伏、风电;
市值316亿，利润4.55亿，pe50，pb3.89；毛利57%，利润25%；2021营收增24%，利润增60%；2022Q1营收增107%，利润增197%；过往5年营收增23%，利润增23%；
2021：
光伏发电 16.86亿 57.96% 58.04% 56.35%
水力发电 7.90亿 27.16% 26.47% 54.85%
风力发电 3.76亿 12.93% 14.23% 61.94%
氢能业务 3221.24万 1.11% 1.08% 55.14%
其他业务 2481.87万 0.85% 0.18% 12.00%</t>
    <phoneticPr fontId="1" type="noConversion"/>
  </si>
  <si>
    <t>2.41亿</t>
  </si>
  <si>
    <t>SZ002480</t>
  </si>
  <si>
    <t>新筑股份</t>
  </si>
  <si>
    <t>23.42亿</t>
  </si>
  <si>
    <t>19.97亿</t>
  </si>
  <si>
    <t>19.60亿</t>
  </si>
  <si>
    <t>5961.01万</t>
  </si>
  <si>
    <t>-1.83亿</t>
  </si>
  <si>
    <t>1317.07万</t>
  </si>
  <si>
    <t>1.83亿</t>
  </si>
  <si>
    <t>3.27亿</t>
  </si>
  <si>
    <t>17.24亿</t>
  </si>
  <si>
    <t>净利润[20211231]</t>
  </si>
  <si>
    <t>投入资本回报率roic%[20211231]</t>
  </si>
  <si>
    <t>净资产收益率%[20211231]</t>
  </si>
  <si>
    <t>细分行业</t>
  </si>
  <si>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</si>
  <si>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</si>
  <si>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</si>
  <si>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</si>
  <si>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</si>
  <si>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</si>
  <si>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</si>
  <si>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</si>
  <si>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</si>
  <si>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</si>
  <si>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</si>
  <si>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</si>
  <si>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</si>
  <si>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</si>
  <si>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</si>
  <si>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</si>
  <si>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</si>
  <si>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</si>
  <si>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</si>
  <si>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</si>
  <si>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</si>
  <si>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</si>
  <si>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</si>
  <si>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</si>
  <si>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</si>
  <si>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</si>
  <si>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</si>
  <si>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</si>
  <si>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</si>
  <si>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</si>
  <si>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</si>
  <si>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</si>
  <si>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</si>
  <si>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</si>
  <si>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</si>
  <si>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</si>
  <si>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</si>
  <si>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</si>
  <si>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火电</t>
  </si>
  <si>
    <t>新能源发电</t>
  </si>
  <si>
    <t>水电</t>
  </si>
  <si>
    <t>热力</t>
  </si>
  <si>
    <t>电能综合服务</t>
  </si>
  <si>
    <t>1.50亿</t>
  </si>
  <si>
    <t>3.34亿</t>
  </si>
  <si>
    <t>2.29亿</t>
  </si>
  <si>
    <t>14.30亿</t>
  </si>
  <si>
    <t>1.13亿</t>
  </si>
  <si>
    <t>1.07亿</t>
  </si>
  <si>
    <t>3.56亿</t>
  </si>
  <si>
    <t>3.02亿</t>
  </si>
  <si>
    <t>3.09亿</t>
  </si>
  <si>
    <t>2.12亿</t>
  </si>
  <si>
    <t>5.74亿</t>
  </si>
  <si>
    <t>3.83亿</t>
  </si>
  <si>
    <t>4.16亿</t>
  </si>
  <si>
    <t>世茂能源</t>
  </si>
  <si>
    <t>7.44亿</t>
  </si>
  <si>
    <t>16.63亿</t>
  </si>
  <si>
    <t>-1.92亿</t>
  </si>
  <si>
    <t>37.68亿</t>
  </si>
  <si>
    <t>2.28亿</t>
  </si>
  <si>
    <t>2.35亿</t>
  </si>
  <si>
    <t>1.95亿</t>
  </si>
  <si>
    <t>3.81亿</t>
  </si>
  <si>
    <t>2.16亿</t>
  </si>
  <si>
    <t>14.47亿</t>
  </si>
  <si>
    <t>-2.33亿</t>
  </si>
  <si>
    <t>47.91亿</t>
  </si>
  <si>
    <t>1.69亿</t>
  </si>
  <si>
    <t>6.59亿</t>
  </si>
  <si>
    <t>28.88亿</t>
  </si>
  <si>
    <t>-3.09亿</t>
  </si>
  <si>
    <t>6.80亿</t>
  </si>
  <si>
    <t>6.33亿</t>
  </si>
  <si>
    <t>2.70亿</t>
  </si>
  <si>
    <t>16.49亿</t>
  </si>
  <si>
    <t>4.04亿</t>
  </si>
  <si>
    <t>2.77亿</t>
  </si>
  <si>
    <t>4.36亿</t>
  </si>
  <si>
    <t>3.05亿</t>
  </si>
  <si>
    <t>2.94亿</t>
  </si>
  <si>
    <t>1.杭州市人民政府为实控人。</t>
    <phoneticPr fontId="1" type="noConversion"/>
  </si>
  <si>
    <r>
      <t>1.储能系统技术服务业务板块及智能设备板块增长较快，智能配用电设备、机器人无人机、智能监测设备板块营收同比大幅增长，试验检测及调试服务业务发展平稳。2.公司毛利率水平高于其他储能行业的平均水平，由于</t>
    </r>
    <r>
      <rPr>
        <sz val="9"/>
        <color rgb="FFFF0000"/>
        <rFont val="宋体"/>
        <family val="3"/>
        <charset val="134"/>
        <scheme val="minor"/>
      </rPr>
      <t>储能项目金额较大且数量较少，具有高度定制化的特点</t>
    </r>
    <r>
      <rPr>
        <sz val="9"/>
        <color theme="1"/>
        <rFont val="宋体"/>
        <family val="2"/>
        <charset val="134"/>
        <scheme val="minor"/>
      </rPr>
      <t>，且应用场景有所不同，不同项目的毛利率存在一定差异，整体毛利率有一定波动。</t>
    </r>
    <phoneticPr fontId="1" type="noConversion"/>
  </si>
  <si>
    <r>
      <t>1.</t>
    </r>
    <r>
      <rPr>
        <sz val="9"/>
        <color rgb="FFFF0000"/>
        <rFont val="宋体"/>
        <family val="3"/>
        <charset val="134"/>
        <scheme val="minor"/>
      </rPr>
      <t>虚拟电厂业务</t>
    </r>
    <r>
      <rPr>
        <sz val="9"/>
        <color theme="1"/>
        <rFont val="宋体"/>
        <family val="2"/>
        <charset val="134"/>
        <scheme val="minor"/>
      </rPr>
      <t>，公司认为“双碳”目标下电网应朝着“绿色高效”、“柔性开放”和“数字赋能”的方向转型，必须充分考虑各类灵活性资源的聚合与优化调控，探索研究源网荷储协同互动的虚拟电厂技术，促进电能高效利用和可调节资源灵活性配置。公司将密切关注“虚拟电厂”后续发展情况，做好相关业务布局，及时把握市场商机。</t>
    </r>
    <phoneticPr fontId="1" type="noConversion"/>
  </si>
  <si>
    <t>10派1.75元(含税)</t>
  </si>
  <si>
    <t>不分配不转增</t>
  </si>
  <si>
    <t>10派1元(含税)</t>
  </si>
  <si>
    <t>10派0.5元(含税)</t>
  </si>
  <si>
    <t>2.87亿</t>
  </si>
  <si>
    <t>10派1.5元(含税)</t>
  </si>
  <si>
    <t>10派2元(含税)</t>
  </si>
  <si>
    <t>10派0.8元(含税)</t>
  </si>
  <si>
    <t>10派4元(含税)</t>
  </si>
  <si>
    <t>10派0.7元(含税)</t>
  </si>
  <si>
    <t>10派3元(含税)</t>
  </si>
  <si>
    <r>
      <t>1.问：</t>
    </r>
    <r>
      <rPr>
        <sz val="9"/>
        <color rgb="FFFF0000"/>
        <rFont val="宋体"/>
        <family val="3"/>
        <charset val="134"/>
        <scheme val="minor"/>
      </rPr>
      <t>抽水蓄能电厂</t>
    </r>
    <r>
      <rPr>
        <sz val="9"/>
        <color theme="1"/>
        <rFont val="宋体"/>
        <family val="2"/>
        <charset val="134"/>
        <scheme val="minor"/>
      </rPr>
      <t>的建设周期一般是多久？建设的不同时间段对于资金的投入比重大概是多少？融资成本是多少？答：抽水蓄能电站的建设周期和规模有关。以装机容量120万千瓦的电站为例，以前从开展前期工作到建成投产，建设周期长达10年左右，现在公司通过各方面努力，已将工期优化调整到6年左右。</t>
    </r>
    <phoneticPr fontId="1" type="noConversion"/>
  </si>
  <si>
    <t>1-1</t>
  </si>
  <si>
    <t>4.07亿</t>
  </si>
  <si>
    <t>2.88亿</t>
  </si>
  <si>
    <t>3.60亿</t>
  </si>
  <si>
    <t>8.56亿</t>
  </si>
  <si>
    <t>1.运营核电站包括：我国第一座自主设计、建造、被誉为“国之光荣”、安全稳定运营20年的秦山核电站，我国第一座自主设计、建造、运营、管理的大型商用核电站——秦山二期核电站，我国第一座实现了核电工程管理与国际接轨的重水堆核电站——秦山三期核电站和我国第一座采用全数字化仪控系统的核电站——江苏田湾核电站，公司荣膺 WANO 组织“卓越绩效奖”，福清核电二期工程（3、4号机组）荣获国家优质工程金奖</t>
    <phoneticPr fontId="1" type="noConversion"/>
  </si>
  <si>
    <t>1.全年上网电量同比减少的主要原因包括2022年换料大修总时间多于上年同期，按电网要求，机组减载或停机备用时间多于上年同期;</t>
    <phoneticPr fontId="1" type="noConversion"/>
  </si>
  <si>
    <t>1.核电机组实行标杆上网电价政策：①全国核电标杆上网电价确定为0.43元/千瓦时；②全国核电标杆上网电价高于核电机组所在地燃煤机组标杆上网电价（含脱硫、脱硝加价）的地区，新建核电机组投产后执行当地燃煤机组标杆上网电价；③全国核电标杆上网电价低于核电机组所在地燃煤机组标杆上网电价的地区，执行核电标杆上网电价；承接核电技术引进、自主创新、重大专项设备国产化任务的首台或首批核电机组或示范工程，其上网电价可在全国核电标杆电价基础上适当提高。</t>
    <phoneticPr fontId="1" type="noConversion"/>
  </si>
  <si>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</si>
  <si>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</si>
  <si>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</si>
  <si>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</si>
  <si>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</si>
  <si>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</si>
  <si>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</si>
  <si>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</si>
  <si>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</si>
  <si>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</si>
  <si>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</si>
  <si>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</si>
  <si>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</si>
  <si>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</si>
  <si>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</si>
  <si>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</si>
  <si>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</si>
  <si>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</si>
  <si>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</si>
  <si>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</si>
  <si>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</si>
  <si>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</si>
  <si>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</si>
  <si>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</si>
  <si>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</si>
  <si>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</si>
  <si>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</si>
  <si>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</si>
  <si>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</si>
  <si>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</si>
  <si>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</si>
  <si>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</si>
  <si>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</si>
  <si>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</si>
  <si>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</si>
  <si>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</si>
  <si>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</si>
  <si>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</si>
  <si>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</si>
  <si>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</si>
  <si>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</si>
  <si>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</si>
  <si>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</si>
  <si>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</si>
  <si>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</si>
  <si>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</si>
  <si>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</si>
  <si>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</si>
  <si>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</si>
  <si>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N</t>
    <phoneticPr fontId="1" type="noConversion"/>
  </si>
  <si>
    <t>375.25亿</t>
  </si>
  <si>
    <t>21.99亿</t>
  </si>
  <si>
    <t>3.51亿</t>
  </si>
  <si>
    <t>130.98亿</t>
  </si>
  <si>
    <t>323.03亿</t>
  </si>
  <si>
    <t>23.91亿</t>
  </si>
  <si>
    <t>5.18亿</t>
  </si>
  <si>
    <t>10.82亿</t>
  </si>
  <si>
    <t>6.94亿</t>
  </si>
  <si>
    <t>-1.60亿</t>
  </si>
  <si>
    <t>30.36亿</t>
  </si>
  <si>
    <t>38.01亿</t>
  </si>
  <si>
    <t>48.66亿</t>
  </si>
  <si>
    <t>3.48亿</t>
  </si>
  <si>
    <t>39.32亿</t>
  </si>
  <si>
    <t>-5730.98万</t>
  </si>
  <si>
    <t>34.30亿</t>
  </si>
  <si>
    <t>195.83亿</t>
  </si>
  <si>
    <t>-3.15亿</t>
  </si>
  <si>
    <t>526.61亿</t>
  </si>
  <si>
    <t>444.58亿</t>
  </si>
  <si>
    <t>-29.28亿</t>
  </si>
  <si>
    <t>2.08亿</t>
  </si>
  <si>
    <t>-13.29亿</t>
  </si>
  <si>
    <t>92.36亿</t>
  </si>
  <si>
    <t>70.27亿</t>
  </si>
  <si>
    <t>11.89亿</t>
  </si>
  <si>
    <t>183.06亿</t>
  </si>
  <si>
    <t>10派0.3元(含税)</t>
  </si>
  <si>
    <t>38.49亿</t>
  </si>
  <si>
    <t>-7425.92万</t>
  </si>
  <si>
    <t>2.38亿</t>
  </si>
  <si>
    <t>39.80亿</t>
  </si>
  <si>
    <t>2682.49万</t>
  </si>
  <si>
    <t>94.15亿</t>
  </si>
  <si>
    <t>2.25亿</t>
  </si>
  <si>
    <t>71.29亿</t>
  </si>
  <si>
    <t>19.96亿</t>
  </si>
  <si>
    <t>-19.39亿</t>
  </si>
  <si>
    <t>12.71亿</t>
  </si>
  <si>
    <t>6.13亿</t>
  </si>
  <si>
    <t>11.61亿</t>
  </si>
  <si>
    <t>6914.37万</t>
  </si>
  <si>
    <t>1.36亿</t>
  </si>
  <si>
    <t>202.20亿</t>
  </si>
  <si>
    <t>甘肃能源</t>
  </si>
  <si>
    <t>4.15亿</t>
  </si>
  <si>
    <t>30.82亿</t>
  </si>
  <si>
    <t>20.13亿</t>
  </si>
  <si>
    <t>2.59亿</t>
  </si>
  <si>
    <t>11.63亿</t>
  </si>
  <si>
    <t>149.55亿</t>
  </si>
  <si>
    <t>132.54亿</t>
  </si>
  <si>
    <t>5.00亿</t>
  </si>
  <si>
    <t>205.78亿</t>
  </si>
  <si>
    <t>226.29亿</t>
  </si>
  <si>
    <t>23.49亿</t>
  </si>
  <si>
    <t>41.43亿</t>
  </si>
  <si>
    <t>1064.84万</t>
  </si>
  <si>
    <t>8.51亿</t>
  </si>
  <si>
    <t>146.62亿</t>
  </si>
  <si>
    <t>7.32亿</t>
  </si>
  <si>
    <t>8.71亿</t>
  </si>
  <si>
    <t>8.82亿</t>
  </si>
  <si>
    <t>8.08亿</t>
  </si>
  <si>
    <t>SZ001286</t>
  </si>
  <si>
    <t>陕西能源</t>
  </si>
  <si>
    <t>202.85亿</t>
  </si>
  <si>
    <t>154.77亿</t>
  </si>
  <si>
    <t>97.09亿</t>
  </si>
  <si>
    <t>72.68亿</t>
  </si>
  <si>
    <t>55.63亿</t>
  </si>
  <si>
    <t>398.63亿</t>
  </si>
  <si>
    <t>398.93亿</t>
  </si>
  <si>
    <t>74.24亿</t>
  </si>
  <si>
    <t>119.41亿</t>
  </si>
  <si>
    <t>-20.00亿</t>
  </si>
  <si>
    <t>113.28亿</t>
  </si>
  <si>
    <t>10.13亿</t>
  </si>
  <si>
    <t>2.68亿</t>
  </si>
  <si>
    <t>26.13亿</t>
  </si>
  <si>
    <t>20.72亿</t>
  </si>
  <si>
    <t>2.51亿</t>
  </si>
  <si>
    <t>2.02亿</t>
  </si>
  <si>
    <t>1.91亿</t>
  </si>
  <si>
    <t>-2267.53万</t>
  </si>
  <si>
    <t>8.09亿</t>
  </si>
  <si>
    <t>45.77亿</t>
  </si>
  <si>
    <t>5.43亿</t>
  </si>
  <si>
    <t>34.24亿</t>
  </si>
  <si>
    <t>7639.89万</t>
  </si>
  <si>
    <t>30.89亿</t>
  </si>
  <si>
    <t>33.42亿</t>
  </si>
  <si>
    <t>-2.56亿</t>
  </si>
  <si>
    <t>35.55亿</t>
  </si>
  <si>
    <t>6815.87万</t>
  </si>
  <si>
    <t>京能热力</t>
  </si>
  <si>
    <t>10.29亿</t>
  </si>
  <si>
    <t>26.19亿</t>
  </si>
  <si>
    <t>4.79亿</t>
  </si>
  <si>
    <t>6.27亿</t>
  </si>
  <si>
    <t>828.22亿</t>
  </si>
  <si>
    <t>97.64亿</t>
  </si>
  <si>
    <t>SZ300040</t>
  </si>
  <si>
    <t>九洲集团</t>
  </si>
  <si>
    <t>13.32亿</t>
  </si>
  <si>
    <t>14.12亿</t>
  </si>
  <si>
    <t>12.80亿</t>
  </si>
  <si>
    <t>7.91亿</t>
  </si>
  <si>
    <t>10.24亿</t>
  </si>
  <si>
    <t>7011.70万</t>
  </si>
  <si>
    <t>5032.82万</t>
  </si>
  <si>
    <t>4512.23万</t>
  </si>
  <si>
    <t>11.43亿</t>
  </si>
  <si>
    <t>7087.75万</t>
  </si>
  <si>
    <t>-8562.84万</t>
  </si>
  <si>
    <t>10派1.2元(含税)</t>
  </si>
  <si>
    <t>2467.25亿</t>
  </si>
  <si>
    <t>-73.87亿</t>
  </si>
  <si>
    <t>801.95亿</t>
  </si>
  <si>
    <t>64.42亿</t>
  </si>
  <si>
    <t>8.02亿</t>
  </si>
  <si>
    <t>1070.59亿</t>
  </si>
  <si>
    <t>45.98亿</t>
  </si>
  <si>
    <t>110.93亿</t>
  </si>
  <si>
    <t>-838.20万</t>
  </si>
  <si>
    <t>1.90亿</t>
  </si>
  <si>
    <t>355.56亿</t>
  </si>
  <si>
    <t>4.99亿</t>
  </si>
  <si>
    <t>11.28亿</t>
  </si>
  <si>
    <t>17.91亿</t>
  </si>
  <si>
    <t>7.29亿</t>
  </si>
  <si>
    <t>34.50亿</t>
  </si>
  <si>
    <t>106.25亿</t>
  </si>
  <si>
    <t>32.09亿</t>
  </si>
  <si>
    <t>174.35亿</t>
  </si>
  <si>
    <t>171.38亿</t>
  </si>
  <si>
    <t>229.19亿</t>
  </si>
  <si>
    <t>7791.44万</t>
  </si>
  <si>
    <t>-20.18亿</t>
  </si>
  <si>
    <t>20.69亿</t>
  </si>
  <si>
    <t>35.62亿</t>
  </si>
  <si>
    <t>5.06亿</t>
  </si>
  <si>
    <t>143.18亿</t>
  </si>
  <si>
    <t>121.56亿</t>
  </si>
  <si>
    <t>12.83亿</t>
  </si>
  <si>
    <t>81.43亿</t>
  </si>
  <si>
    <t>-1.99亿</t>
  </si>
  <si>
    <t>304.85亿</t>
  </si>
  <si>
    <t>8.03亿</t>
  </si>
  <si>
    <t>222.40亿</t>
  </si>
  <si>
    <t>-31.16亿</t>
  </si>
  <si>
    <t>281.93亿</t>
  </si>
  <si>
    <t>258.04亿</t>
  </si>
  <si>
    <t>15.36亿</t>
  </si>
  <si>
    <t>28.72亿</t>
  </si>
  <si>
    <t>7058.13万</t>
  </si>
  <si>
    <t>14.20亿</t>
  </si>
  <si>
    <t>35.15亿</t>
  </si>
  <si>
    <t>大连热电</t>
  </si>
  <si>
    <t>8.07亿</t>
  </si>
  <si>
    <t>-1.57亿</t>
  </si>
  <si>
    <t>97.02亿</t>
  </si>
  <si>
    <t>96.07亿</t>
  </si>
  <si>
    <t>-22.66亿</t>
  </si>
  <si>
    <t>111.18亿</t>
  </si>
  <si>
    <t>8.54亿</t>
  </si>
  <si>
    <t>1684.34亿</t>
  </si>
  <si>
    <t>-17.33亿</t>
  </si>
  <si>
    <t>19.57亿</t>
  </si>
  <si>
    <t>4.81亿</t>
  </si>
  <si>
    <t>230.66亿</t>
  </si>
  <si>
    <t>7.97亿</t>
  </si>
  <si>
    <t>504.89亿</t>
  </si>
  <si>
    <t>437.66亿</t>
  </si>
  <si>
    <t>24.56亿</t>
  </si>
  <si>
    <t>238.12亿</t>
  </si>
  <si>
    <t>164.17亿</t>
  </si>
  <si>
    <t>185.61亿</t>
  </si>
  <si>
    <t>4.33亿</t>
  </si>
  <si>
    <t>161.38亿</t>
  </si>
  <si>
    <t>22.95亿</t>
  </si>
  <si>
    <t>40.14亿</t>
  </si>
  <si>
    <t>25.82亿</t>
  </si>
  <si>
    <t>69.35亿</t>
  </si>
  <si>
    <t>82.61亿</t>
  </si>
  <si>
    <t>82.08亿</t>
  </si>
  <si>
    <t>12.48亿</t>
  </si>
  <si>
    <t>52.40亿</t>
  </si>
  <si>
    <t>16.30亿</t>
  </si>
  <si>
    <t>11.71亿</t>
  </si>
  <si>
    <t>49.44亿</t>
  </si>
  <si>
    <t>18.41亿</t>
  </si>
  <si>
    <t>31.96亿</t>
  </si>
  <si>
    <t>121.99亿</t>
  </si>
  <si>
    <t>712.86亿</t>
  </si>
  <si>
    <t>90.10亿</t>
  </si>
  <si>
    <t>626.95亿</t>
  </si>
  <si>
    <t>82.17亿</t>
  </si>
  <si>
    <t>1168.28亿</t>
  </si>
  <si>
    <t>1036.10亿</t>
  </si>
  <si>
    <t>-90.98亿</t>
  </si>
  <si>
    <t>19.71亿</t>
  </si>
  <si>
    <t>18.59亿</t>
  </si>
  <si>
    <t>36.29亿</t>
  </si>
  <si>
    <t>10派1.6元(含税)</t>
  </si>
  <si>
    <t>9.65亿</t>
  </si>
  <si>
    <t>8.87亿</t>
  </si>
  <si>
    <t>17.90亿</t>
  </si>
  <si>
    <t>280.73亿</t>
  </si>
  <si>
    <t>206.16亿</t>
  </si>
  <si>
    <t>-3.33亿</t>
  </si>
  <si>
    <t>23.77亿</t>
  </si>
  <si>
    <t>7.39亿</t>
  </si>
  <si>
    <t>2-0</t>
  </si>
  <si>
    <t>2.00亿</t>
  </si>
  <si>
    <t>2.22亿</t>
  </si>
  <si>
    <t>1.94亿</t>
  </si>
  <si>
    <t>6.84亿</t>
  </si>
  <si>
    <t>3.43亿</t>
  </si>
  <si>
    <t>4.54亿</t>
  </si>
  <si>
    <t>4.21亿</t>
  </si>
  <si>
    <t>9.70亿</t>
  </si>
  <si>
    <t>3-1</t>
  </si>
  <si>
    <t>6.26亿</t>
  </si>
  <si>
    <t>71.14亿</t>
  </si>
  <si>
    <t>14.60亿</t>
  </si>
  <si>
    <t>4.57亿</t>
  </si>
  <si>
    <t>-2-1</t>
  </si>
  <si>
    <t>17.17亿</t>
  </si>
  <si>
    <t>中绿电</t>
  </si>
  <si>
    <t>4.67亿</t>
  </si>
  <si>
    <t>3.35亿</t>
  </si>
  <si>
    <t>9.56亿</t>
  </si>
  <si>
    <t>33.28亿</t>
  </si>
  <si>
    <t>-3-1</t>
  </si>
  <si>
    <t>6.85亿</t>
  </si>
  <si>
    <t>3.14亿</t>
  </si>
  <si>
    <t>11.94亿</t>
  </si>
  <si>
    <t>-1-0</t>
  </si>
  <si>
    <t>3.70亿</t>
  </si>
  <si>
    <t>56.09亿</t>
  </si>
  <si>
    <t>10.11亿</t>
  </si>
  <si>
    <t>8.26亿</t>
  </si>
  <si>
    <t>8.89亿</t>
  </si>
  <si>
    <t>2.11亿</t>
  </si>
  <si>
    <t>4.75亿</t>
  </si>
  <si>
    <t>金房能源</t>
  </si>
  <si>
    <t>5.03亿</t>
  </si>
  <si>
    <t>550.00万</t>
  </si>
  <si>
    <t>4.59亿</t>
  </si>
  <si>
    <t>SZ001376</t>
  </si>
  <si>
    <t>百通能源</t>
  </si>
  <si>
    <t>4.09亿</t>
  </si>
  <si>
    <t>6518.02万</t>
  </si>
  <si>
    <t>7087.42万</t>
  </si>
  <si>
    <t>6286.94万</t>
  </si>
  <si>
    <t>3615.45万</t>
  </si>
  <si>
    <t>n/a</t>
  </si>
  <si>
    <t>6.67亿</t>
  </si>
  <si>
    <t>10000.00万</t>
  </si>
  <si>
    <t>-2-0</t>
  </si>
  <si>
    <t>12.10亿</t>
  </si>
  <si>
    <t>3.71亿</t>
  </si>
  <si>
    <t>11.19亿</t>
  </si>
  <si>
    <t>28.70亿</t>
  </si>
  <si>
    <t>21.96亿</t>
  </si>
  <si>
    <t>13.09亿</t>
  </si>
  <si>
    <t>8.04亿</t>
  </si>
  <si>
    <t>2.30亿</t>
  </si>
  <si>
    <t>16.94亿</t>
  </si>
  <si>
    <t>9.94亿</t>
  </si>
  <si>
    <t>60.80亿</t>
  </si>
  <si>
    <t>3.18亿</t>
  </si>
  <si>
    <t>31.54亿</t>
  </si>
  <si>
    <t>SH600052</t>
  </si>
  <si>
    <t>东望时代</t>
  </si>
  <si>
    <t>2.31亿</t>
  </si>
  <si>
    <t>-2.13亿</t>
  </si>
  <si>
    <t>4.70亿</t>
  </si>
  <si>
    <t>2.81亿</t>
  </si>
  <si>
    <t>12.67亿</t>
  </si>
  <si>
    <t>9.47亿</t>
  </si>
  <si>
    <t>3.62亿</t>
  </si>
  <si>
    <t>-1.67亿</t>
  </si>
  <si>
    <t>2-1</t>
  </si>
  <si>
    <t>1.99亿</t>
  </si>
  <si>
    <t>8.59亿</t>
  </si>
  <si>
    <t>广西能源</t>
  </si>
  <si>
    <t>5.21亿</t>
  </si>
  <si>
    <t>3.41亿</t>
  </si>
  <si>
    <t>8.78亿</t>
  </si>
  <si>
    <t>71.81亿</t>
  </si>
  <si>
    <t>80.93亿</t>
  </si>
  <si>
    <t>7.12亿</t>
  </si>
  <si>
    <t>-4-0</t>
  </si>
  <si>
    <t>2.46亿</t>
  </si>
  <si>
    <t>29.88亿</t>
  </si>
  <si>
    <t>5.48亿</t>
  </si>
  <si>
    <t>5.02亿</t>
  </si>
  <si>
    <t>4.82亿</t>
  </si>
  <si>
    <t>7.64亿</t>
  </si>
  <si>
    <t>35.81亿</t>
  </si>
  <si>
    <t>6.75亿</t>
  </si>
  <si>
    <t>5.10亿</t>
  </si>
  <si>
    <t>2.50亿</t>
  </si>
  <si>
    <t>3.88亿</t>
  </si>
  <si>
    <t>3.49亿</t>
  </si>
  <si>
    <t>167.16亿</t>
  </si>
  <si>
    <t>2.23亿</t>
  </si>
  <si>
    <t>1.80亿</t>
  </si>
  <si>
    <t>9.14亿</t>
  </si>
  <si>
    <t>11.06亿</t>
  </si>
  <si>
    <t>&lt;-折合年化收益</t>
    <phoneticPr fontId="1" type="noConversion"/>
  </si>
  <si>
    <t>&lt;-增速</t>
    <phoneticPr fontId="1" type="noConversion"/>
  </si>
  <si>
    <t>&lt;-估值</t>
    <phoneticPr fontId="1" type="noConversion"/>
  </si>
  <si>
    <t>&lt;-PEG</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</si>
  <si>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</si>
  <si>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</si>
  <si>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</si>
  <si>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</si>
  <si>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</si>
  <si>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增速</t>
    <phoneticPr fontId="1" type="noConversion"/>
  </si>
  <si>
    <t>PE</t>
    <phoneticPr fontId="1" type="noConversion"/>
  </si>
  <si>
    <t>回本年限</t>
    <phoneticPr fontId="1" type="noConversion"/>
  </si>
  <si>
    <t>976.32亿</t>
  </si>
  <si>
    <t>96.10亿</t>
  </si>
  <si>
    <t>405.04亿</t>
  </si>
  <si>
    <t>16.25亿</t>
  </si>
  <si>
    <t>3.06亿</t>
  </si>
  <si>
    <t>143516710亿</t>
  </si>
  <si>
    <t>1092568680亿</t>
  </si>
  <si>
    <t>14294305000亿</t>
  </si>
  <si>
    <t>40978764000亿</t>
  </si>
  <si>
    <t>6.34亿</t>
  </si>
  <si>
    <t>10派1.40元(含税)</t>
  </si>
  <si>
    <t>8058.10万</t>
  </si>
  <si>
    <t>5.90亿</t>
  </si>
  <si>
    <t>415.88万</t>
  </si>
  <si>
    <t>1854861亿</t>
  </si>
  <si>
    <t>-32868604亿</t>
  </si>
  <si>
    <t>104041879亿</t>
  </si>
  <si>
    <t>972344430亿</t>
  </si>
  <si>
    <t>-1.00亿</t>
  </si>
  <si>
    <t>-3114.80万</t>
  </si>
  <si>
    <t>开始亏损</t>
  </si>
  <si>
    <t>012476400</t>
  </si>
  <si>
    <t>024952800</t>
  </si>
  <si>
    <t>041588000</t>
  </si>
  <si>
    <t>083176000</t>
  </si>
  <si>
    <t>1622.13万</t>
  </si>
  <si>
    <t>117.17亿</t>
  </si>
  <si>
    <t>10.03亿</t>
  </si>
  <si>
    <t>33.13亿</t>
  </si>
  <si>
    <t>14.11亿</t>
  </si>
  <si>
    <t>3886700亿</t>
  </si>
  <si>
    <t>410699410亿</t>
  </si>
  <si>
    <t>2728219100亿</t>
  </si>
  <si>
    <t>8638859000亿</t>
  </si>
  <si>
    <t>23.45亿</t>
  </si>
  <si>
    <t>11.51亿</t>
  </si>
  <si>
    <t>15.38亿</t>
  </si>
  <si>
    <t>125.15亿</t>
  </si>
  <si>
    <t>48.22亿</t>
  </si>
  <si>
    <t>63330282亿</t>
  </si>
  <si>
    <t>29881476亿</t>
  </si>
  <si>
    <t>524067690亿</t>
  </si>
  <si>
    <t>4486931600亿</t>
  </si>
  <si>
    <t>19.79亿</t>
  </si>
  <si>
    <t>5.61亿</t>
  </si>
  <si>
    <t>32.61亿</t>
  </si>
  <si>
    <t>9.64亿</t>
  </si>
  <si>
    <t>7166.54万</t>
  </si>
  <si>
    <t>498.17亿</t>
  </si>
  <si>
    <t>36.91亿</t>
  </si>
  <si>
    <t>-2000268亿</t>
  </si>
  <si>
    <t>166685460亿</t>
  </si>
  <si>
    <t>5766732700亿</t>
  </si>
  <si>
    <t>18999548000亿</t>
  </si>
  <si>
    <t>8.74亿</t>
  </si>
  <si>
    <t>10派1.8元(含税)</t>
  </si>
  <si>
    <t>0920000000</t>
  </si>
  <si>
    <t>02760000000</t>
  </si>
  <si>
    <t>05520000000</t>
  </si>
  <si>
    <t>09200000000</t>
  </si>
  <si>
    <t>018400000000</t>
  </si>
  <si>
    <t>1272.96亿</t>
  </si>
  <si>
    <t>127.89亿</t>
  </si>
  <si>
    <t>597.08亿</t>
  </si>
  <si>
    <t>9.75亿</t>
  </si>
  <si>
    <t>125655869亿</t>
  </si>
  <si>
    <t>95324871亿</t>
  </si>
  <si>
    <t>8359314500亿</t>
  </si>
  <si>
    <t>34081658000亿</t>
  </si>
  <si>
    <t>-29.80亿</t>
  </si>
  <si>
    <t>130.46亿</t>
  </si>
  <si>
    <t>8842.95万</t>
  </si>
  <si>
    <t>10派0.2元(含税)</t>
  </si>
  <si>
    <t>402.05亿</t>
  </si>
  <si>
    <t>69.85亿</t>
  </si>
  <si>
    <t>278.67亿</t>
  </si>
  <si>
    <t>1.70亿</t>
  </si>
  <si>
    <t>309889800亿</t>
  </si>
  <si>
    <t>449674270亿</t>
  </si>
  <si>
    <t>3085058100亿</t>
  </si>
  <si>
    <t>8417556400亿</t>
  </si>
  <si>
    <t>257.40亿</t>
  </si>
  <si>
    <t>62.12亿</t>
  </si>
  <si>
    <t>10派2.21元(含税)</t>
  </si>
  <si>
    <t>11.11亿</t>
  </si>
  <si>
    <t>242.06亿</t>
  </si>
  <si>
    <t>95.40亿</t>
  </si>
  <si>
    <t>15.79亿</t>
  </si>
  <si>
    <t>7354683亿</t>
  </si>
  <si>
    <t>332194890亿</t>
  </si>
  <si>
    <t>11818809000亿</t>
  </si>
  <si>
    <t>15508168000亿</t>
  </si>
  <si>
    <t>13.88亿</t>
  </si>
  <si>
    <t>17.07亿</t>
  </si>
  <si>
    <t>3.89亿</t>
  </si>
  <si>
    <t>259.72亿</t>
  </si>
  <si>
    <t>66.08亿</t>
  </si>
  <si>
    <t>189.46亿</t>
  </si>
  <si>
    <t>1.37亿</t>
  </si>
  <si>
    <t>7.25亿</t>
  </si>
  <si>
    <t>54038176亿</t>
  </si>
  <si>
    <t>244365970亿</t>
  </si>
  <si>
    <t>2835509900亿</t>
  </si>
  <si>
    <t>7745438500亿</t>
  </si>
  <si>
    <t>53.51亿</t>
  </si>
  <si>
    <t>-1.41亿</t>
  </si>
  <si>
    <t>84.62亿</t>
  </si>
  <si>
    <t>41.07亿</t>
  </si>
  <si>
    <t>-2.66亿</t>
  </si>
  <si>
    <t>559225亿</t>
  </si>
  <si>
    <t>22616982亿</t>
  </si>
  <si>
    <t>3.23亿</t>
  </si>
  <si>
    <t>1765655300亿</t>
  </si>
  <si>
    <t>3675135800亿</t>
  </si>
  <si>
    <t>4.90亿</t>
  </si>
  <si>
    <t>-1.35亿</t>
  </si>
  <si>
    <t>-3234.72万</t>
  </si>
  <si>
    <t>86.79亿</t>
  </si>
  <si>
    <t>21.27亿</t>
  </si>
  <si>
    <t>102.75亿</t>
  </si>
  <si>
    <t>2.39亿</t>
  </si>
  <si>
    <t>40306102亿</t>
  </si>
  <si>
    <t>208972330亿</t>
  </si>
  <si>
    <t>1102445710亿</t>
  </si>
  <si>
    <t>7310855400亿</t>
  </si>
  <si>
    <t>17.34亿</t>
  </si>
  <si>
    <t>51.94亿</t>
  </si>
  <si>
    <t>2570.87万</t>
  </si>
  <si>
    <t>19.65亿</t>
  </si>
  <si>
    <t>9.77亿</t>
  </si>
  <si>
    <t>-162230950亿</t>
  </si>
  <si>
    <t>531335610亿</t>
  </si>
  <si>
    <t>1350924600亿</t>
  </si>
  <si>
    <t>10.84亿</t>
  </si>
  <si>
    <t>-2.57亿</t>
  </si>
  <si>
    <t>3-0</t>
  </si>
  <si>
    <t>8495.44万</t>
  </si>
  <si>
    <t>2.92亿</t>
  </si>
  <si>
    <t>4946.66万</t>
  </si>
  <si>
    <t>1.81亿</t>
  </si>
  <si>
    <t>-1604564亿</t>
  </si>
  <si>
    <t>23828033亿</t>
  </si>
  <si>
    <t>7.04亿</t>
  </si>
  <si>
    <t>32625414亿</t>
  </si>
  <si>
    <t>1217145390亿</t>
  </si>
  <si>
    <t>5866.40万</t>
  </si>
  <si>
    <t>383.65万</t>
  </si>
  <si>
    <t>497.06亿</t>
  </si>
  <si>
    <t>46.17亿</t>
  </si>
  <si>
    <t>196.16亿</t>
  </si>
  <si>
    <t>-5.15亿</t>
  </si>
  <si>
    <t>2.05亿</t>
  </si>
  <si>
    <t>34475500亿</t>
  </si>
  <si>
    <t>-510749190亿</t>
  </si>
  <si>
    <t>8382780700亿</t>
  </si>
  <si>
    <t>19043250000亿</t>
  </si>
  <si>
    <t>-6.81亿</t>
  </si>
  <si>
    <t>54.83亿</t>
  </si>
  <si>
    <t>108.03亿</t>
  </si>
  <si>
    <t>26.41亿</t>
  </si>
  <si>
    <t>22724251亿</t>
  </si>
  <si>
    <t>49395956亿</t>
  </si>
  <si>
    <t>1973925700亿</t>
  </si>
  <si>
    <t>2815701000亿</t>
  </si>
  <si>
    <t>5.39亿</t>
  </si>
  <si>
    <t>-4255.82万</t>
  </si>
  <si>
    <t>10派1.1元(含税)</t>
  </si>
  <si>
    <t>13.05亿</t>
  </si>
  <si>
    <t>53.03亿</t>
  </si>
  <si>
    <t>2.97亿</t>
  </si>
  <si>
    <t>449497亿</t>
  </si>
  <si>
    <t>43683927亿</t>
  </si>
  <si>
    <t>2226038600亿</t>
  </si>
  <si>
    <t>2591749400亿</t>
  </si>
  <si>
    <t>13.42亿</t>
  </si>
  <si>
    <t>7530.78万</t>
  </si>
  <si>
    <t>570.16亿</t>
  </si>
  <si>
    <t>38.15亿</t>
  </si>
  <si>
    <t>144.43亿</t>
  </si>
  <si>
    <t>9.08亿</t>
  </si>
  <si>
    <t>21065842亿</t>
  </si>
  <si>
    <t>572531390亿</t>
  </si>
  <si>
    <t>9506446600亿</t>
  </si>
  <si>
    <t>11884320500亿</t>
  </si>
  <si>
    <t>40.24亿</t>
  </si>
  <si>
    <t>3.58亿</t>
  </si>
  <si>
    <t>527.96亿</t>
  </si>
  <si>
    <t>52.06亿</t>
  </si>
  <si>
    <t>186.69亿</t>
  </si>
  <si>
    <t>17.49亿</t>
  </si>
  <si>
    <t>90645724亿</t>
  </si>
  <si>
    <t>753794600亿</t>
  </si>
  <si>
    <t>4594665800亿</t>
  </si>
  <si>
    <t>14391380000亿</t>
  </si>
  <si>
    <t>40.93亿</t>
  </si>
  <si>
    <t>10派0.90元(含税)</t>
  </si>
  <si>
    <t>84.28亿</t>
  </si>
  <si>
    <t>70.89亿</t>
  </si>
  <si>
    <t>40571484亿</t>
  </si>
  <si>
    <t>202325050亿</t>
  </si>
  <si>
    <t>586599710亿</t>
  </si>
  <si>
    <t>1898719300亿</t>
  </si>
  <si>
    <t>10.93亿</t>
  </si>
  <si>
    <t>10.61亿</t>
  </si>
  <si>
    <t>555.24万</t>
  </si>
  <si>
    <t>10派1.51元(含税)</t>
  </si>
  <si>
    <t>3.28亿</t>
  </si>
  <si>
    <t>22.46亿</t>
  </si>
  <si>
    <t>273.08亿</t>
  </si>
  <si>
    <t>42.24亿</t>
  </si>
  <si>
    <t>144.57亿</t>
  </si>
  <si>
    <t>138.79亿</t>
  </si>
  <si>
    <t>5457974亿</t>
  </si>
  <si>
    <t>243678520亿</t>
  </si>
  <si>
    <t>6.07亿</t>
  </si>
  <si>
    <t>1686103600亿</t>
  </si>
  <si>
    <t>3762890800亿</t>
  </si>
  <si>
    <t>39.23亿</t>
  </si>
  <si>
    <t>10派0.39元(含税)</t>
  </si>
  <si>
    <t>8.77亿</t>
  </si>
  <si>
    <t>8605.20万</t>
  </si>
  <si>
    <t>15.04亿</t>
  </si>
  <si>
    <t>2008406亿</t>
  </si>
  <si>
    <t>-21290950亿</t>
  </si>
  <si>
    <t>237919880亿</t>
  </si>
  <si>
    <t>795560340亿</t>
  </si>
  <si>
    <t>2149.14万</t>
  </si>
  <si>
    <t>9.29亿</t>
  </si>
  <si>
    <t>5.65亿</t>
  </si>
  <si>
    <t>9.68亿</t>
  </si>
  <si>
    <t>1222.30万</t>
  </si>
  <si>
    <t>8.36亿</t>
  </si>
  <si>
    <t>239914亿</t>
  </si>
  <si>
    <t>120705290亿</t>
  </si>
  <si>
    <t>373567960亿</t>
  </si>
  <si>
    <t>1170576530亿</t>
  </si>
  <si>
    <t>9612.99万</t>
  </si>
  <si>
    <t>10转2股派0.5元(含税)</t>
  </si>
  <si>
    <t>66.84亿</t>
  </si>
  <si>
    <t>9.90亿</t>
  </si>
  <si>
    <t>13871489亿</t>
  </si>
  <si>
    <t>4.47亿</t>
  </si>
  <si>
    <t>1835562700亿</t>
  </si>
  <si>
    <t>2694815300亿</t>
  </si>
  <si>
    <t>5.95亿</t>
  </si>
  <si>
    <t>2623.28万</t>
  </si>
  <si>
    <t>334.54亿</t>
  </si>
  <si>
    <t>56.40亿</t>
  </si>
  <si>
    <t>194.53亿</t>
  </si>
  <si>
    <t>83655102亿</t>
  </si>
  <si>
    <t>988659890亿</t>
  </si>
  <si>
    <t>1849018400亿</t>
  </si>
  <si>
    <t>9784316200亿</t>
  </si>
  <si>
    <t>116.48亿</t>
  </si>
  <si>
    <t>24.74亿</t>
  </si>
  <si>
    <t>51.09亿</t>
  </si>
  <si>
    <t>10派3.6元(含税)</t>
  </si>
  <si>
    <t>1474.85亿</t>
  </si>
  <si>
    <t>98.77亿</t>
  </si>
  <si>
    <t>376.42亿</t>
  </si>
  <si>
    <t>62.49亿</t>
  </si>
  <si>
    <t>4.51亿</t>
  </si>
  <si>
    <t>2.37亿</t>
  </si>
  <si>
    <t>68910728亿</t>
  </si>
  <si>
    <t>2396806800亿</t>
  </si>
  <si>
    <t>441220320亿</t>
  </si>
  <si>
    <t>47960638000亿</t>
  </si>
  <si>
    <t>51.11亿</t>
  </si>
  <si>
    <t>98.67亿</t>
  </si>
  <si>
    <t>23.36亿</t>
  </si>
  <si>
    <t>10派2.225元(含税)</t>
  </si>
  <si>
    <t>9.95亿</t>
  </si>
  <si>
    <t>45137658亿</t>
  </si>
  <si>
    <t>37213184亿</t>
  </si>
  <si>
    <t>383897980亿</t>
  </si>
  <si>
    <t>1940.00万</t>
  </si>
  <si>
    <t>-1.90亿</t>
  </si>
  <si>
    <t>2733.20万</t>
  </si>
  <si>
    <t>4.65亿</t>
  </si>
  <si>
    <t>280.79亿</t>
  </si>
  <si>
    <t>34.33亿</t>
  </si>
  <si>
    <t>119.84亿</t>
  </si>
  <si>
    <t>-5.54亿</t>
  </si>
  <si>
    <t>116.64亿</t>
  </si>
  <si>
    <t>16299600亿</t>
  </si>
  <si>
    <t>2230873亿</t>
  </si>
  <si>
    <t>1807068200亿</t>
  </si>
  <si>
    <t>6525524600亿</t>
  </si>
  <si>
    <t>-21.41亿</t>
  </si>
  <si>
    <t>31.02亿</t>
  </si>
  <si>
    <t>-4.19亿</t>
  </si>
  <si>
    <t>202.43亿</t>
  </si>
  <si>
    <t>24.14亿</t>
  </si>
  <si>
    <t>101.44亿</t>
  </si>
  <si>
    <t>9.09亿</t>
  </si>
  <si>
    <t>62457597亿</t>
  </si>
  <si>
    <t>69824055亿</t>
  </si>
  <si>
    <t>4950861200亿</t>
  </si>
  <si>
    <t>11566571400亿</t>
  </si>
  <si>
    <t>22.79亿</t>
  </si>
  <si>
    <t>109.51亿</t>
  </si>
  <si>
    <t>27.15亿</t>
  </si>
  <si>
    <t>10派1.3元(含税)</t>
  </si>
  <si>
    <t>93.69亿</t>
  </si>
  <si>
    <t>66.31亿</t>
  </si>
  <si>
    <t>19.90亿</t>
  </si>
  <si>
    <t>2.65亿</t>
  </si>
  <si>
    <t>-1441490亿</t>
  </si>
  <si>
    <t>11311759亿</t>
  </si>
  <si>
    <t>151832290亿</t>
  </si>
  <si>
    <t>545389760亿</t>
  </si>
  <si>
    <t>3.77亿</t>
  </si>
  <si>
    <t>26.44亿</t>
  </si>
  <si>
    <t>-1551.61万</t>
  </si>
  <si>
    <t>10派1.90元(含税)</t>
  </si>
  <si>
    <t>0265000000</t>
  </si>
  <si>
    <t>0795000000</t>
  </si>
  <si>
    <t>01590000000</t>
  </si>
  <si>
    <t>02650000000</t>
  </si>
  <si>
    <t>05300000000</t>
  </si>
  <si>
    <t>6753.15万</t>
  </si>
  <si>
    <t>-8482.43万</t>
  </si>
  <si>
    <t>4.49亿</t>
  </si>
  <si>
    <t>157120亿</t>
  </si>
  <si>
    <t>-10829260亿</t>
  </si>
  <si>
    <t>208322160亿</t>
  </si>
  <si>
    <t>764918000亿</t>
  </si>
  <si>
    <t>6665.26万</t>
  </si>
  <si>
    <t>-6466.60万</t>
  </si>
  <si>
    <t>42.70亿</t>
  </si>
  <si>
    <t>5016661亿</t>
  </si>
  <si>
    <t>10464380亿</t>
  </si>
  <si>
    <t>9.49亿</t>
  </si>
  <si>
    <t>235991140亿</t>
  </si>
  <si>
    <t>2532380300亿</t>
  </si>
  <si>
    <t>7.15亿</t>
  </si>
  <si>
    <t>9.39亿</t>
  </si>
  <si>
    <t>1658.83万</t>
  </si>
  <si>
    <t>108.70亿</t>
  </si>
  <si>
    <t>25.09亿</t>
  </si>
  <si>
    <t>-3.42亿</t>
  </si>
  <si>
    <t>-9198090亿</t>
  </si>
  <si>
    <t>-73548352亿</t>
  </si>
  <si>
    <t>2004719700亿</t>
  </si>
  <si>
    <t>5416642300亿</t>
  </si>
  <si>
    <t>23.18亿</t>
  </si>
  <si>
    <t>-5.66亿</t>
  </si>
  <si>
    <t>3.55亿</t>
  </si>
  <si>
    <t>-8010.62万</t>
  </si>
  <si>
    <t>494.30亿</t>
  </si>
  <si>
    <t>88.65亿</t>
  </si>
  <si>
    <t>336.94亿</t>
  </si>
  <si>
    <t>18.70亿</t>
  </si>
  <si>
    <t>490554760亿</t>
  </si>
  <si>
    <t>794861210亿</t>
  </si>
  <si>
    <t>3741337200亿</t>
  </si>
  <si>
    <t>28396192000亿</t>
  </si>
  <si>
    <t>76.94万</t>
  </si>
  <si>
    <t>316.16亿</t>
  </si>
  <si>
    <t>6005.48万</t>
  </si>
  <si>
    <t>70.64亿</t>
  </si>
  <si>
    <t>2.57亿</t>
  </si>
  <si>
    <t>75.85亿</t>
  </si>
  <si>
    <t>39.66亿</t>
  </si>
  <si>
    <t>32089674亿</t>
  </si>
  <si>
    <t>2922996700亿</t>
  </si>
  <si>
    <t>4317099200亿</t>
  </si>
  <si>
    <t>36.15亿</t>
  </si>
  <si>
    <t>1610.05万</t>
  </si>
  <si>
    <t>5.41亿</t>
  </si>
  <si>
    <t>27.72亿</t>
  </si>
  <si>
    <t>21900212亿</t>
  </si>
  <si>
    <t>54845555亿</t>
  </si>
  <si>
    <t>1928810600亿</t>
  </si>
  <si>
    <t>4431015200亿</t>
  </si>
  <si>
    <t>5.79亿</t>
  </si>
  <si>
    <t>4503.95万</t>
  </si>
  <si>
    <t>6.54亿</t>
  </si>
  <si>
    <t>10.85亿</t>
  </si>
  <si>
    <t>5236.38万</t>
  </si>
  <si>
    <t>176038480亿</t>
  </si>
  <si>
    <t>483210990亿</t>
  </si>
  <si>
    <t>1110992420亿</t>
  </si>
  <si>
    <t>3088.04万</t>
  </si>
  <si>
    <t>109.60亿</t>
  </si>
  <si>
    <t>5.76亿</t>
  </si>
  <si>
    <t>28336022亿</t>
  </si>
  <si>
    <t>85645037亿</t>
  </si>
  <si>
    <t>9.38亿</t>
  </si>
  <si>
    <t>2803113800亿</t>
  </si>
  <si>
    <t>4621873700亿</t>
  </si>
  <si>
    <t>8200.10万</t>
  </si>
  <si>
    <t>10派0.091元(含税)</t>
  </si>
  <si>
    <t>2499.46亿</t>
  </si>
  <si>
    <t>191.82亿</t>
  </si>
  <si>
    <t>825.49亿</t>
  </si>
  <si>
    <t>107.25亿</t>
  </si>
  <si>
    <t>486799260亿</t>
  </si>
  <si>
    <t>3482573300亿</t>
  </si>
  <si>
    <t>11455818500亿</t>
  </si>
  <si>
    <t>76336034000亿</t>
  </si>
  <si>
    <t>99.64亿</t>
  </si>
  <si>
    <t>182.89亿</t>
  </si>
  <si>
    <t>34.86亿</t>
  </si>
  <si>
    <t>10派0.94元(含税)</t>
  </si>
  <si>
    <t>44.70亿</t>
  </si>
  <si>
    <t>29.57亿</t>
  </si>
  <si>
    <t>12.13亿</t>
  </si>
  <si>
    <t>9421.49万</t>
  </si>
  <si>
    <t>20449225亿</t>
  </si>
  <si>
    <t>19404987亿</t>
  </si>
  <si>
    <t>1097468110亿</t>
  </si>
  <si>
    <t>1988915000亿</t>
  </si>
  <si>
    <t>2.86亿</t>
  </si>
  <si>
    <t>3421.20万</t>
  </si>
  <si>
    <t>10.76亿</t>
  </si>
  <si>
    <t>1.22亿</t>
  </si>
  <si>
    <t>1591.46万</t>
  </si>
  <si>
    <t>8.68亿</t>
  </si>
  <si>
    <t>6082807亿</t>
  </si>
  <si>
    <t>-24059735亿</t>
  </si>
  <si>
    <t>285620650亿</t>
  </si>
  <si>
    <t>1150235430亿</t>
  </si>
  <si>
    <t>2.17亿</t>
  </si>
  <si>
    <t>9133.30万</t>
  </si>
  <si>
    <t>9995.04万</t>
  </si>
  <si>
    <t>-1198.00万</t>
  </si>
  <si>
    <t>047743800</t>
  </si>
  <si>
    <t>095487600</t>
  </si>
  <si>
    <t>0159146000</t>
  </si>
  <si>
    <t>0318292000</t>
  </si>
  <si>
    <t>13.66亿</t>
  </si>
  <si>
    <t>5989.27万</t>
  </si>
  <si>
    <t>1209132亿</t>
  </si>
  <si>
    <t>6915664亿</t>
  </si>
  <si>
    <t>323628950亿</t>
  </si>
  <si>
    <t>1171713600亿</t>
  </si>
  <si>
    <t>1304.07万</t>
  </si>
  <si>
    <t>059892700</t>
  </si>
  <si>
    <t>0179678100</t>
  </si>
  <si>
    <t>0359356200</t>
  </si>
  <si>
    <t>0598927000</t>
  </si>
  <si>
    <t>01197854000</t>
  </si>
  <si>
    <t>3697.97亿</t>
  </si>
  <si>
    <t>653.67亿</t>
  </si>
  <si>
    <t>2543.97亿</t>
  </si>
  <si>
    <t>84.46亿</t>
  </si>
  <si>
    <t>381223790亿</t>
  </si>
  <si>
    <t>4377497000亿</t>
  </si>
  <si>
    <t>46180042000亿</t>
  </si>
  <si>
    <t>93692890000亿</t>
  </si>
  <si>
    <t>1180.12亿</t>
  </si>
  <si>
    <t>106.08亿</t>
  </si>
  <si>
    <t>424.02亿</t>
  </si>
  <si>
    <t>15.93亿</t>
  </si>
  <si>
    <t>238999440亿</t>
  </si>
  <si>
    <t>635653850亿</t>
  </si>
  <si>
    <t>23400900000亿</t>
  </si>
  <si>
    <t>4.06亿</t>
  </si>
  <si>
    <t>37996894000亿</t>
  </si>
  <si>
    <t>392.49亿</t>
  </si>
  <si>
    <t>10派2.0元(含税)</t>
  </si>
  <si>
    <t>672.74亿</t>
  </si>
  <si>
    <t>200.24亿</t>
  </si>
  <si>
    <t>959.75亿</t>
  </si>
  <si>
    <t>65.20亿</t>
  </si>
  <si>
    <t>1231962840亿</t>
  </si>
  <si>
    <t>1758119200亿</t>
  </si>
  <si>
    <t>12356078000亿</t>
  </si>
  <si>
    <t>41042062000亿</t>
  </si>
  <si>
    <t>-18.27亿</t>
  </si>
  <si>
    <t>10派2.5元(含税)</t>
  </si>
  <si>
    <t>1245.16亿</t>
  </si>
  <si>
    <t>44.20亿</t>
  </si>
  <si>
    <t>234.61亿</t>
  </si>
  <si>
    <t>76.38亿</t>
  </si>
  <si>
    <t>17206167亿</t>
  </si>
  <si>
    <t>1067654620亿</t>
  </si>
  <si>
    <t>2361524200亿</t>
  </si>
  <si>
    <t>5350209000亿</t>
  </si>
  <si>
    <t>235.81亿</t>
  </si>
  <si>
    <t>72.34亿</t>
  </si>
  <si>
    <t>42.67亿</t>
  </si>
  <si>
    <t>1396.57亿</t>
  </si>
  <si>
    <t>309.52亿</t>
  </si>
  <si>
    <t>1171.76亿</t>
  </si>
  <si>
    <t>45.22亿</t>
  </si>
  <si>
    <t>1148154000亿</t>
  </si>
  <si>
    <t>1620710000亿</t>
  </si>
  <si>
    <t>11640464000亿</t>
  </si>
  <si>
    <t>27878414000亿</t>
  </si>
  <si>
    <t>346.47亿</t>
  </si>
  <si>
    <t>11.73亿</t>
  </si>
  <si>
    <t>45.23亿</t>
  </si>
  <si>
    <t>77728391亿</t>
  </si>
  <si>
    <t>162015530亿</t>
  </si>
  <si>
    <t>7990846600亿</t>
  </si>
  <si>
    <t>11369510100亿</t>
  </si>
  <si>
    <t>7.76亿</t>
  </si>
  <si>
    <t>6738.66万</t>
  </si>
  <si>
    <t>-1820048亿</t>
  </si>
  <si>
    <t>-4057990亿</t>
  </si>
  <si>
    <t>91275032亿</t>
  </si>
  <si>
    <t>1238022330亿</t>
  </si>
  <si>
    <t>-1.48亿</t>
  </si>
  <si>
    <t>6.98亿</t>
  </si>
  <si>
    <t>26.66亿</t>
  </si>
  <si>
    <t>2478723亿</t>
  </si>
  <si>
    <t>69281901亿</t>
  </si>
  <si>
    <t>53304206亿</t>
  </si>
  <si>
    <t>1192481930亿</t>
  </si>
  <si>
    <t>7.85亿</t>
  </si>
  <si>
    <t>10转3股派1元(含税)</t>
  </si>
  <si>
    <t>4.60亿</t>
  </si>
  <si>
    <t>121.14亿</t>
  </si>
  <si>
    <t>24.67亿</t>
  </si>
  <si>
    <t>111.77亿</t>
  </si>
  <si>
    <t>5.16亿</t>
  </si>
  <si>
    <t>-848418亿</t>
  </si>
  <si>
    <t>-3587923亿</t>
  </si>
  <si>
    <t>18.83亿</t>
  </si>
  <si>
    <t>1464228600亿</t>
  </si>
  <si>
    <t>5071071000亿</t>
  </si>
  <si>
    <t>8873.69万</t>
  </si>
  <si>
    <t>-1490.86万</t>
  </si>
  <si>
    <t>304252亿</t>
  </si>
  <si>
    <t>3570649亿</t>
  </si>
  <si>
    <t>14033294亿</t>
  </si>
  <si>
    <t>150449340亿</t>
  </si>
  <si>
    <t>558.69亿</t>
  </si>
  <si>
    <t>73.21亿</t>
  </si>
  <si>
    <t>301.20亿</t>
  </si>
  <si>
    <t>22.66亿</t>
  </si>
  <si>
    <t>-1116842亿</t>
  </si>
  <si>
    <t>470524210亿</t>
  </si>
  <si>
    <t>3039825500亿</t>
  </si>
  <si>
    <t>8972741100亿</t>
  </si>
  <si>
    <t>10派0.055元(含税)</t>
  </si>
  <si>
    <t>50.94亿</t>
  </si>
  <si>
    <t>17.32亿</t>
  </si>
  <si>
    <t>6.78亿</t>
  </si>
  <si>
    <t>2138742亿</t>
  </si>
  <si>
    <t>204317020亿</t>
  </si>
  <si>
    <t>2638952200亿</t>
  </si>
  <si>
    <t>4266148900亿</t>
  </si>
  <si>
    <t>57.53亿</t>
  </si>
  <si>
    <t>5428756亿</t>
  </si>
  <si>
    <t>579606320亿</t>
  </si>
  <si>
    <t>976696060亿</t>
  </si>
  <si>
    <t>9837073400亿</t>
  </si>
  <si>
    <t>-3.17亿</t>
  </si>
  <si>
    <t>亨通股份</t>
  </si>
  <si>
    <t>6.48亿</t>
  </si>
  <si>
    <t>1.66亿</t>
  </si>
  <si>
    <t>51104918亿</t>
  </si>
  <si>
    <t>57022248亿</t>
  </si>
  <si>
    <t>86367512亿</t>
  </si>
  <si>
    <t>1378430800亿</t>
  </si>
  <si>
    <t>01660000000</t>
  </si>
  <si>
    <t>261.75亿</t>
  </si>
  <si>
    <t>21.30亿</t>
  </si>
  <si>
    <t>80.91亿</t>
  </si>
  <si>
    <t>12.26亿</t>
  </si>
  <si>
    <t>903066亿</t>
  </si>
  <si>
    <t>418647910亿</t>
  </si>
  <si>
    <t>7.40亿</t>
  </si>
  <si>
    <t>1907718400亿</t>
  </si>
  <si>
    <t>4875257700亿</t>
  </si>
  <si>
    <t>165.58万</t>
  </si>
  <si>
    <t>-213837亿</t>
  </si>
  <si>
    <t>5332147亿</t>
  </si>
  <si>
    <t>636857640亿</t>
  </si>
  <si>
    <t>3320390800亿</t>
  </si>
  <si>
    <t>18.95亿</t>
  </si>
  <si>
    <t>6.08亿</t>
  </si>
  <si>
    <t>-2.22亿</t>
  </si>
  <si>
    <t>130.49亿</t>
  </si>
  <si>
    <t>13.25亿</t>
  </si>
  <si>
    <t>62.75亿</t>
  </si>
  <si>
    <t>21.40亿</t>
  </si>
  <si>
    <t>2028410亿</t>
  </si>
  <si>
    <t>123323096亿</t>
  </si>
  <si>
    <t>1802957200亿</t>
  </si>
  <si>
    <t>16.69亿</t>
  </si>
  <si>
    <t>34.42亿</t>
  </si>
  <si>
    <t>5.25亿</t>
  </si>
  <si>
    <t>27.20亿</t>
  </si>
  <si>
    <t>1025874亿</t>
  </si>
  <si>
    <t>106667627亿</t>
  </si>
  <si>
    <t>987958580亿</t>
  </si>
  <si>
    <t>3489385900亿</t>
  </si>
  <si>
    <t>16.39亿</t>
  </si>
  <si>
    <t>10送4股派1.45元(含税)</t>
  </si>
  <si>
    <t>227.37亿</t>
  </si>
  <si>
    <t>30.88亿</t>
  </si>
  <si>
    <t>146.95亿</t>
  </si>
  <si>
    <t>26.23亿</t>
  </si>
  <si>
    <t>259507140亿</t>
  </si>
  <si>
    <t>522910680亿</t>
  </si>
  <si>
    <t>5201588100亿</t>
  </si>
  <si>
    <t>12283828900亿</t>
  </si>
  <si>
    <t>25.95亿</t>
  </si>
  <si>
    <t>10派3.1元(含税)</t>
  </si>
  <si>
    <t>30.11亿</t>
  </si>
  <si>
    <t>3.61亿</t>
  </si>
  <si>
    <t>14.05亿</t>
  </si>
  <si>
    <t>-4460.57万</t>
  </si>
  <si>
    <t>-10033735亿</t>
  </si>
  <si>
    <t>216967470亿</t>
  </si>
  <si>
    <t>628400970亿</t>
  </si>
  <si>
    <t>4519.99万</t>
  </si>
  <si>
    <t>10派0.12元(含税)</t>
  </si>
  <si>
    <t>2.72亿</t>
  </si>
  <si>
    <t>159.67亿</t>
  </si>
  <si>
    <t>22.81亿</t>
  </si>
  <si>
    <t>95.08亿</t>
  </si>
  <si>
    <t>1468509亿</t>
  </si>
  <si>
    <t>146977360亿</t>
  </si>
  <si>
    <t>16.24亿</t>
  </si>
  <si>
    <t>2042270900亿</t>
  </si>
  <si>
    <t>4778.93万</t>
  </si>
  <si>
    <t>5222922100亿</t>
  </si>
  <si>
    <t>10派1.58元(含税)</t>
  </si>
  <si>
    <t>SH600575</t>
  </si>
  <si>
    <t>淮河能源</t>
  </si>
  <si>
    <t>111.57亿</t>
  </si>
  <si>
    <t>73.15亿</t>
  </si>
  <si>
    <t>273.33亿</t>
  </si>
  <si>
    <t>8.40亿</t>
  </si>
  <si>
    <t>42688885亿</t>
  </si>
  <si>
    <t>282126780亿</t>
  </si>
  <si>
    <t>1215090990亿</t>
  </si>
  <si>
    <t>7335101800亿</t>
  </si>
  <si>
    <t>64.57亿</t>
  </si>
  <si>
    <t>253.82亿</t>
  </si>
  <si>
    <t>227.77亿</t>
  </si>
  <si>
    <t>129.21亿</t>
  </si>
  <si>
    <t>114.92亿</t>
  </si>
  <si>
    <t>110.88亿</t>
  </si>
  <si>
    <t>1.85亿</t>
  </si>
  <si>
    <t>571.70亿</t>
  </si>
  <si>
    <t>91.14亿</t>
  </si>
  <si>
    <t>328.78亿</t>
  </si>
  <si>
    <t>235469250亿</t>
  </si>
  <si>
    <t>464245470亿</t>
  </si>
  <si>
    <t>4760437800亿</t>
  </si>
  <si>
    <t>12603205900亿</t>
  </si>
  <si>
    <t>14.78亿</t>
  </si>
  <si>
    <t>10派1.05元(含税)</t>
  </si>
  <si>
    <t>9.71亿</t>
  </si>
  <si>
    <t>529.07亿</t>
  </si>
  <si>
    <t>80.71亿</t>
  </si>
  <si>
    <t>291.42亿</t>
  </si>
  <si>
    <t>34.59亿</t>
  </si>
  <si>
    <t>345156820亿</t>
  </si>
  <si>
    <t>890754910亿</t>
  </si>
  <si>
    <t>8853778000亿</t>
  </si>
  <si>
    <t>24815699000亿</t>
  </si>
  <si>
    <t>73.45亿</t>
  </si>
  <si>
    <t>20.87亿</t>
  </si>
  <si>
    <t>29.86亿</t>
  </si>
  <si>
    <t>2429.87万</t>
  </si>
  <si>
    <t>4393303亿</t>
  </si>
  <si>
    <t>-7329839亿</t>
  </si>
  <si>
    <t>211472940亿</t>
  </si>
  <si>
    <t>604689940亿</t>
  </si>
  <si>
    <t>10.47亿</t>
  </si>
  <si>
    <t>7.61亿</t>
  </si>
  <si>
    <t>217.60亿</t>
  </si>
  <si>
    <t>14.82亿</t>
  </si>
  <si>
    <t>44.00亿</t>
  </si>
  <si>
    <t>7.95亿</t>
  </si>
  <si>
    <t>1328251320亿</t>
  </si>
  <si>
    <t>1268411050亿</t>
  </si>
  <si>
    <t>678370830亿</t>
  </si>
  <si>
    <t>3802058300亿</t>
  </si>
  <si>
    <t>5.96亿</t>
  </si>
  <si>
    <t>8.43亿</t>
  </si>
  <si>
    <t>24542706亿</t>
  </si>
  <si>
    <t>54217607亿</t>
  </si>
  <si>
    <t>688059710亿</t>
  </si>
  <si>
    <t>0318000000</t>
  </si>
  <si>
    <t>0636000000</t>
  </si>
  <si>
    <t>01060000000</t>
  </si>
  <si>
    <t>02120000000</t>
  </si>
  <si>
    <t>222.33亿</t>
  </si>
  <si>
    <t>99.39亿</t>
  </si>
  <si>
    <t>-1.87亿</t>
  </si>
  <si>
    <t>14254321亿</t>
  </si>
  <si>
    <t>4723504亿</t>
  </si>
  <si>
    <t>1596142500亿</t>
  </si>
  <si>
    <t>4462897800亿</t>
  </si>
  <si>
    <t>2418.81万</t>
  </si>
  <si>
    <t>108.87亿</t>
  </si>
  <si>
    <t>39281520亿</t>
  </si>
  <si>
    <t>131826190亿</t>
  </si>
  <si>
    <t>795488760亿</t>
  </si>
  <si>
    <t>3347983300亿</t>
  </si>
  <si>
    <t>8.55亿</t>
  </si>
  <si>
    <t>2.40亿</t>
  </si>
  <si>
    <t>3384.73亿</t>
  </si>
  <si>
    <t>455.55亿</t>
  </si>
  <si>
    <t>1809.99亿</t>
  </si>
  <si>
    <t>774678710亿</t>
  </si>
  <si>
    <t>1736451500亿</t>
  </si>
  <si>
    <t>23330033000亿</t>
  </si>
  <si>
    <t>61304320000亿</t>
  </si>
  <si>
    <t>1946.74亿</t>
  </si>
  <si>
    <t>28.21亿</t>
  </si>
  <si>
    <t>225.39亿</t>
  </si>
  <si>
    <t>14.31亿</t>
  </si>
  <si>
    <t>2.32亿</t>
  </si>
  <si>
    <t>19334268亿</t>
  </si>
  <si>
    <t>176246510亿</t>
  </si>
  <si>
    <t>6501846700亿</t>
  </si>
  <si>
    <t>7518012900亿</t>
  </si>
  <si>
    <t>10派0.75元(含税)</t>
  </si>
  <si>
    <t>161.74亿</t>
  </si>
  <si>
    <t>55.72亿</t>
  </si>
  <si>
    <t>225.25亿</t>
  </si>
  <si>
    <t>20.05亿</t>
  </si>
  <si>
    <t>74501434亿</t>
  </si>
  <si>
    <t>857968700亿</t>
  </si>
  <si>
    <t>4363957400亿</t>
  </si>
  <si>
    <t>7642320000亿</t>
  </si>
  <si>
    <t>189.34亿</t>
  </si>
  <si>
    <t>17.67亿</t>
  </si>
  <si>
    <t>10派1.85元(含税)</t>
  </si>
  <si>
    <t>SH600868</t>
  </si>
  <si>
    <t>梅雁吉祥</t>
  </si>
  <si>
    <t>23.59亿</t>
  </si>
  <si>
    <t>2319.35万</t>
  </si>
  <si>
    <t>-9816528亿</t>
  </si>
  <si>
    <t>349788900亿</t>
  </si>
  <si>
    <t>822788220亿</t>
  </si>
  <si>
    <t>2210.00万</t>
  </si>
  <si>
    <t>5902.72万</t>
  </si>
  <si>
    <t>899.37万</t>
  </si>
  <si>
    <t>3427.02万</t>
  </si>
  <si>
    <t>5666.57万</t>
  </si>
  <si>
    <t>2189.31万</t>
  </si>
  <si>
    <t>1752.46亿</t>
  </si>
  <si>
    <t>141.08亿</t>
  </si>
  <si>
    <t>567.12亿</t>
  </si>
  <si>
    <t>67.05亿</t>
  </si>
  <si>
    <t>2.55亿</t>
  </si>
  <si>
    <t>195142990亿</t>
  </si>
  <si>
    <t>2025248900亿</t>
  </si>
  <si>
    <t>14584104000亿</t>
  </si>
  <si>
    <t>30043102000亿</t>
  </si>
  <si>
    <t>40.81亿</t>
  </si>
  <si>
    <t>10派4.948元(含税)</t>
  </si>
  <si>
    <t>3598.67亿</t>
  </si>
  <si>
    <t>156.41亿</t>
  </si>
  <si>
    <t>781.12亿</t>
  </si>
  <si>
    <t>272.39亿</t>
  </si>
  <si>
    <t>900423350亿</t>
  </si>
  <si>
    <t>3979448000亿</t>
  </si>
  <si>
    <t>7894548400亿</t>
  </si>
  <si>
    <t>17275842000亿</t>
  </si>
  <si>
    <t>688.63亿</t>
  </si>
  <si>
    <t>237.26亿</t>
  </si>
  <si>
    <t>10派8.2元(含税)</t>
  </si>
  <si>
    <t>22.07亿</t>
  </si>
  <si>
    <t>2162.23亿</t>
  </si>
  <si>
    <t>78.99亿</t>
  </si>
  <si>
    <t>264.85亿</t>
  </si>
  <si>
    <t>164268240亿</t>
  </si>
  <si>
    <t>2420313200亿</t>
  </si>
  <si>
    <t>51.00亿</t>
  </si>
  <si>
    <t>40077014000亿</t>
  </si>
  <si>
    <t>54197540000亿</t>
  </si>
  <si>
    <t>10派0.78元(含税)</t>
  </si>
  <si>
    <t>79.07亿</t>
  </si>
  <si>
    <t>202.82亿</t>
  </si>
  <si>
    <t>62067898亿</t>
  </si>
  <si>
    <t>824711830亿</t>
  </si>
  <si>
    <t>6998813800亿</t>
  </si>
  <si>
    <t>13319116900亿</t>
  </si>
  <si>
    <t>340.42万</t>
  </si>
  <si>
    <t>22.93亿</t>
  </si>
  <si>
    <t>10派2.14元(含税)</t>
  </si>
  <si>
    <t>111.25亿</t>
  </si>
  <si>
    <t>10.00亿</t>
  </si>
  <si>
    <t>39.20亿</t>
  </si>
  <si>
    <t>-6170.18万</t>
  </si>
  <si>
    <t>14453924亿</t>
  </si>
  <si>
    <t>-20874936亿</t>
  </si>
  <si>
    <t>373769330亿</t>
  </si>
  <si>
    <t>3209987700亿</t>
  </si>
  <si>
    <t>5015.33万</t>
  </si>
  <si>
    <t>10.15亿</t>
  </si>
  <si>
    <t>62.25亿</t>
  </si>
  <si>
    <t>28.28亿</t>
  </si>
  <si>
    <t>2.27亿</t>
  </si>
  <si>
    <t>-3675621亿</t>
  </si>
  <si>
    <t>22454062亿</t>
  </si>
  <si>
    <t>430200420亿</t>
  </si>
  <si>
    <t>1663910200亿</t>
  </si>
  <si>
    <t>10派0.54元(含税)</t>
  </si>
  <si>
    <t>8.79亿</t>
  </si>
  <si>
    <t>87.94亿</t>
  </si>
  <si>
    <t>53.86亿</t>
  </si>
  <si>
    <t>86605840亿</t>
  </si>
  <si>
    <t>1.64亿</t>
  </si>
  <si>
    <t>80658589亿</t>
  </si>
  <si>
    <t>1360615200亿</t>
  </si>
  <si>
    <t>3401304100亿</t>
  </si>
  <si>
    <t>83.14亿</t>
  </si>
  <si>
    <t>202.01亿</t>
  </si>
  <si>
    <t>56.30亿</t>
  </si>
  <si>
    <t>30.44亿</t>
  </si>
  <si>
    <t>1776841亿</t>
  </si>
  <si>
    <t>290491620亿</t>
  </si>
  <si>
    <t>587572900亿</t>
  </si>
  <si>
    <t>4953223000亿</t>
  </si>
  <si>
    <t>7.68亿</t>
  </si>
  <si>
    <t>10派0.9515元(含税)</t>
  </si>
  <si>
    <t>245.05亿</t>
  </si>
  <si>
    <t>51.16亿</t>
  </si>
  <si>
    <t>429089170亿</t>
  </si>
  <si>
    <t>6940793100亿</t>
  </si>
  <si>
    <t>10031372500亿</t>
  </si>
  <si>
    <t>10派0.84元(含税)</t>
  </si>
  <si>
    <t>76.02亿</t>
  </si>
  <si>
    <t>15.54亿</t>
  </si>
  <si>
    <t>68.72亿</t>
  </si>
  <si>
    <t>-11696639亿</t>
  </si>
  <si>
    <t>198053970亿</t>
  </si>
  <si>
    <t>4854409100亿</t>
  </si>
  <si>
    <t>114.23万</t>
  </si>
  <si>
    <t>13356173400亿</t>
  </si>
  <si>
    <t>10派3.03元(含税)</t>
  </si>
  <si>
    <t>134.10亿</t>
  </si>
  <si>
    <t>24.03亿</t>
  </si>
  <si>
    <t>39072亿</t>
  </si>
  <si>
    <t>196241830亿</t>
  </si>
  <si>
    <t>3457897200亿</t>
  </si>
  <si>
    <t>4494980700亿</t>
  </si>
  <si>
    <t>9.76亿</t>
  </si>
  <si>
    <t>253.55亿</t>
  </si>
  <si>
    <t>43.70亿</t>
  </si>
  <si>
    <t>-12539157亿</t>
  </si>
  <si>
    <t>-90435944亿</t>
  </si>
  <si>
    <t>5796529700亿</t>
  </si>
  <si>
    <t>17717497000亿</t>
  </si>
  <si>
    <t>-5.98亿</t>
  </si>
  <si>
    <t>10派0.11元(含税)</t>
  </si>
  <si>
    <t>127.39亿</t>
  </si>
  <si>
    <t>14.69亿</t>
  </si>
  <si>
    <t>105.02亿</t>
  </si>
  <si>
    <t>52607517亿</t>
  </si>
  <si>
    <t>-472825880亿</t>
  </si>
  <si>
    <t>3549236600亿</t>
  </si>
  <si>
    <t>10573650100亿</t>
  </si>
  <si>
    <t>7.22亿</t>
  </si>
  <si>
    <t>10派0.13元(含税)</t>
  </si>
  <si>
    <t>3764.69亿</t>
  </si>
  <si>
    <t>179.88亿</t>
  </si>
  <si>
    <t>749.57亿</t>
  </si>
  <si>
    <t>106.24亿</t>
  </si>
  <si>
    <t>65746027亿</t>
  </si>
  <si>
    <t>3043504100亿</t>
  </si>
  <si>
    <t>22020065000亿</t>
  </si>
  <si>
    <t>78300285000亿</t>
  </si>
  <si>
    <t>10派1.95元(含税)</t>
  </si>
  <si>
    <t>2155.33亿</t>
  </si>
  <si>
    <t>307.37亿</t>
  </si>
  <si>
    <t>1224.04亿</t>
  </si>
  <si>
    <t>13.65亿</t>
  </si>
  <si>
    <t>26534000亿</t>
  </si>
  <si>
    <t>1327011000亿</t>
  </si>
  <si>
    <t>19920324000亿</t>
  </si>
  <si>
    <t>44411569000亿</t>
  </si>
  <si>
    <t>59.50万</t>
  </si>
  <si>
    <t>-4.08亿</t>
  </si>
  <si>
    <t>10派0.075元(含税)</t>
  </si>
  <si>
    <t>677308亿</t>
  </si>
  <si>
    <t>29834079亿</t>
  </si>
  <si>
    <t>228343750亿</t>
  </si>
  <si>
    <t>6.65万</t>
  </si>
  <si>
    <t>903877930亿</t>
  </si>
  <si>
    <t>8.37亿</t>
  </si>
  <si>
    <t>3.59亿</t>
  </si>
  <si>
    <t>90.70亿</t>
  </si>
  <si>
    <t>19.46亿</t>
  </si>
  <si>
    <t>4.72亿</t>
  </si>
  <si>
    <t>9.78亿</t>
  </si>
  <si>
    <t>43886100亿</t>
  </si>
  <si>
    <t>245263930亿</t>
  </si>
  <si>
    <t>2872045400亿</t>
  </si>
  <si>
    <t>5000319200亿</t>
  </si>
  <si>
    <t>-2.34亿</t>
  </si>
  <si>
    <t>32.90亿</t>
  </si>
  <si>
    <t>19563473亿</t>
  </si>
  <si>
    <t>42951394亿</t>
  </si>
  <si>
    <t>302066850亿</t>
  </si>
  <si>
    <t>1229201020亿</t>
  </si>
  <si>
    <t>3.67亿</t>
  </si>
  <si>
    <t>3.45亿</t>
  </si>
  <si>
    <t>9214.67万</t>
  </si>
  <si>
    <t>600655亿</t>
  </si>
  <si>
    <t>33967840亿</t>
  </si>
  <si>
    <t>109942110亿</t>
  </si>
  <si>
    <t>701148550亿</t>
  </si>
  <si>
    <t>10派6元(含税)</t>
  </si>
  <si>
    <t>4.91亿</t>
  </si>
  <si>
    <t>7.89亿</t>
  </si>
  <si>
    <t>405041亿</t>
  </si>
  <si>
    <t>24029697亿</t>
  </si>
  <si>
    <t>162901640亿</t>
  </si>
  <si>
    <t>810274720亿</t>
  </si>
  <si>
    <t>-1.76亿</t>
  </si>
  <si>
    <t>2.74亿</t>
  </si>
  <si>
    <t>4.17亿</t>
  </si>
  <si>
    <t>-117755亿</t>
  </si>
  <si>
    <t>24306471亿</t>
  </si>
  <si>
    <t>169330160亿</t>
  </si>
  <si>
    <t>494267820亿</t>
  </si>
  <si>
    <t>17.97亿</t>
  </si>
  <si>
    <t>25.37亿</t>
  </si>
  <si>
    <t>958433亿</t>
  </si>
  <si>
    <t>40453598亿</t>
  </si>
  <si>
    <t>502068600亿</t>
  </si>
  <si>
    <t>3824409700亿</t>
  </si>
  <si>
    <t>2274.92万</t>
  </si>
  <si>
    <t>572.60亿</t>
  </si>
  <si>
    <t>82.45亿</t>
  </si>
  <si>
    <t>73.03亿</t>
  </si>
  <si>
    <t>3123.22万</t>
  </si>
  <si>
    <t>904.00万</t>
  </si>
  <si>
    <t>113.13亿</t>
  </si>
  <si>
    <t>3110.74万</t>
  </si>
  <si>
    <t>164.82亿</t>
  </si>
  <si>
    <t>35.22亿</t>
  </si>
  <si>
    <t>3.30亿</t>
  </si>
  <si>
    <t>358.39亿</t>
  </si>
  <si>
    <t>428.46亿</t>
  </si>
  <si>
    <t>21.80亿</t>
  </si>
  <si>
    <t>-44.63亿</t>
  </si>
  <si>
    <t>58.51亿</t>
  </si>
  <si>
    <t>9988.47万</t>
  </si>
  <si>
    <t>6.66亿</t>
  </si>
  <si>
    <t>945.78万</t>
  </si>
  <si>
    <t>13.61亿</t>
  </si>
  <si>
    <t>8787.40万</t>
  </si>
  <si>
    <t>87.73万</t>
  </si>
  <si>
    <t>1887.17万</t>
  </si>
  <si>
    <t>3.77万</t>
  </si>
  <si>
    <t>431.62万</t>
  </si>
  <si>
    <t>3.86亿</t>
  </si>
  <si>
    <t>4000.00万</t>
  </si>
  <si>
    <t>112.15万</t>
  </si>
  <si>
    <t>5988.44万</t>
  </si>
  <si>
    <t>-7185.44万</t>
  </si>
  <si>
    <t>7932.14万</t>
  </si>
  <si>
    <t>8733.69万</t>
  </si>
  <si>
    <t>127.07亿</t>
  </si>
  <si>
    <t>110.84亿</t>
  </si>
  <si>
    <t>14.89亿</t>
  </si>
  <si>
    <t>136.48万</t>
  </si>
  <si>
    <t>4762.04万</t>
  </si>
  <si>
    <t>-3429亿</t>
  </si>
  <si>
    <t>299.57万</t>
  </si>
  <si>
    <t>-19648992亿</t>
  </si>
  <si>
    <t>30.90亿</t>
  </si>
  <si>
    <t>3041843500亿</t>
  </si>
  <si>
    <t>230.74万</t>
  </si>
  <si>
    <t>11165855900亿</t>
  </si>
  <si>
    <t>5.99亿</t>
  </si>
  <si>
    <t>14.14亿</t>
  </si>
  <si>
    <t>20.01亿</t>
  </si>
  <si>
    <t>87.12亿</t>
  </si>
  <si>
    <t>25.24亿</t>
  </si>
  <si>
    <t>-3030.48万</t>
  </si>
  <si>
    <t>1789.75万</t>
  </si>
  <si>
    <t>-5792.42万</t>
  </si>
  <si>
    <t>-3.08亿</t>
  </si>
  <si>
    <t>531.41万</t>
  </si>
  <si>
    <t>105.57亿</t>
  </si>
  <si>
    <t>100.72万</t>
  </si>
  <si>
    <t>7134.40万</t>
  </si>
  <si>
    <t>33.23万</t>
  </si>
  <si>
    <t>49.19亿</t>
  </si>
  <si>
    <t>100.00万</t>
  </si>
  <si>
    <t>21.20亿</t>
  </si>
  <si>
    <t>16.61亿</t>
  </si>
  <si>
    <t>3836.42万</t>
  </si>
  <si>
    <t>3.81万</t>
  </si>
  <si>
    <t>49.22亿</t>
  </si>
  <si>
    <t>77.96亿</t>
  </si>
  <si>
    <t>9055.12万</t>
  </si>
  <si>
    <t>-2394.99万</t>
  </si>
  <si>
    <t>11.82亿</t>
  </si>
  <si>
    <t>3931.31万</t>
  </si>
  <si>
    <t>273.03万</t>
  </si>
  <si>
    <t>72.33亿</t>
  </si>
  <si>
    <t>11.45亿</t>
  </si>
  <si>
    <t>9.81亿</t>
  </si>
  <si>
    <t>581.41万</t>
  </si>
  <si>
    <t>4915.81万</t>
  </si>
  <si>
    <t>34.35万</t>
  </si>
  <si>
    <t>31.01亿</t>
  </si>
  <si>
    <t>589.38万</t>
  </si>
  <si>
    <t>11.33亿</t>
  </si>
  <si>
    <t>52.13亿</t>
  </si>
  <si>
    <t>73.41亿</t>
  </si>
  <si>
    <t>-3.35亿</t>
  </si>
  <si>
    <t>6.90亿</t>
  </si>
  <si>
    <t>3447.90万</t>
  </si>
  <si>
    <t>1041.76万</t>
  </si>
  <si>
    <t>209.34亿</t>
  </si>
  <si>
    <t>3.90亿</t>
  </si>
  <si>
    <t>4872.87万</t>
  </si>
  <si>
    <t>37.65万</t>
  </si>
  <si>
    <t>75.35亿</t>
  </si>
  <si>
    <t>264.71亿</t>
  </si>
  <si>
    <t>114.56亿</t>
  </si>
  <si>
    <t>42.58亿</t>
  </si>
  <si>
    <t>112.34万</t>
  </si>
  <si>
    <t>173.88亿</t>
  </si>
  <si>
    <t>271.55亿</t>
  </si>
  <si>
    <t>-35.54亿</t>
  </si>
  <si>
    <t>18.21亿</t>
  </si>
  <si>
    <t>5133.67万</t>
  </si>
  <si>
    <t>1301.14万</t>
  </si>
  <si>
    <t>336.65亿</t>
  </si>
  <si>
    <t>124.82亿</t>
  </si>
  <si>
    <t>113.62亿</t>
  </si>
  <si>
    <t>2696.03万</t>
  </si>
  <si>
    <t>5504.51万</t>
  </si>
  <si>
    <t>167.04亿</t>
  </si>
  <si>
    <t>290.05亿</t>
  </si>
  <si>
    <t>168.39亿</t>
  </si>
  <si>
    <t>6.36亿</t>
  </si>
  <si>
    <t>51.47亿</t>
  </si>
  <si>
    <t>453.42亿</t>
  </si>
  <si>
    <t>660.12亿</t>
  </si>
  <si>
    <t>-34.27亿</t>
  </si>
  <si>
    <t>9.74亿</t>
  </si>
  <si>
    <t>9002.05万</t>
  </si>
  <si>
    <t>11.12亿</t>
  </si>
  <si>
    <t>1994.24万</t>
  </si>
  <si>
    <t>210.83亿</t>
  </si>
  <si>
    <t>65.41亿</t>
  </si>
  <si>
    <t>62.24亿</t>
  </si>
  <si>
    <t>471.90万</t>
  </si>
  <si>
    <t>3029.61万</t>
  </si>
  <si>
    <t>603.82万</t>
  </si>
  <si>
    <t>28.74亿</t>
  </si>
  <si>
    <t>3266.71万</t>
  </si>
  <si>
    <t>57.10亿</t>
  </si>
  <si>
    <t>6.71亿</t>
  </si>
  <si>
    <t>14.71亿</t>
  </si>
  <si>
    <t>27.04亿</t>
  </si>
  <si>
    <t>375.08万</t>
  </si>
  <si>
    <t>143.66亿</t>
  </si>
  <si>
    <t>253.27亿</t>
  </si>
  <si>
    <t>11.76亿</t>
  </si>
  <si>
    <t>-11.70亿</t>
  </si>
  <si>
    <t>1501.29万</t>
  </si>
  <si>
    <t>233.89亿</t>
  </si>
  <si>
    <t>982.91万</t>
  </si>
  <si>
    <t>5667.17万</t>
  </si>
  <si>
    <t>593.64万</t>
  </si>
  <si>
    <t>10.00万</t>
  </si>
  <si>
    <t>51.04亿</t>
  </si>
  <si>
    <t>7.58亿</t>
  </si>
  <si>
    <t>644.11万</t>
  </si>
  <si>
    <t>69.00亿</t>
  </si>
  <si>
    <t>130.42亿</t>
  </si>
  <si>
    <t>-6939.04万</t>
  </si>
  <si>
    <t>-6.74亿</t>
  </si>
  <si>
    <t>-1.81亿</t>
  </si>
  <si>
    <t>10派1.458390元(含税)</t>
  </si>
  <si>
    <t>9916.90万</t>
  </si>
  <si>
    <t>11.37亿</t>
  </si>
  <si>
    <t>1884.17万</t>
  </si>
  <si>
    <t>129.54亿</t>
  </si>
  <si>
    <t>62.94亿</t>
  </si>
  <si>
    <t>57.85亿</t>
  </si>
  <si>
    <t>4005.25万</t>
  </si>
  <si>
    <t>76.80万</t>
  </si>
  <si>
    <t>40.98亿</t>
  </si>
  <si>
    <t>3639.34万</t>
  </si>
  <si>
    <t>106.52亿</t>
  </si>
  <si>
    <t>128.68亿</t>
  </si>
  <si>
    <t>-4.21亿</t>
  </si>
  <si>
    <t>11.04亿</t>
  </si>
  <si>
    <t>528.96万</t>
  </si>
  <si>
    <t>46.40亿</t>
  </si>
  <si>
    <t>9.69亿</t>
  </si>
  <si>
    <t>8.12亿</t>
  </si>
  <si>
    <t>870.57万</t>
  </si>
  <si>
    <t>5877.85万</t>
  </si>
  <si>
    <t>310.76万</t>
  </si>
  <si>
    <t>14.29亿</t>
  </si>
  <si>
    <t>33.58亿</t>
  </si>
  <si>
    <t>50.49亿</t>
  </si>
  <si>
    <t>4861.70万</t>
  </si>
  <si>
    <t>2600.47万</t>
  </si>
  <si>
    <t>123.42亿</t>
  </si>
  <si>
    <t>18.99亿</t>
  </si>
  <si>
    <t>18.36亿</t>
  </si>
  <si>
    <t>145.26万</t>
  </si>
  <si>
    <t>4215.22万</t>
  </si>
  <si>
    <t>19.69亿</t>
  </si>
  <si>
    <t>6.28亿</t>
  </si>
  <si>
    <t>34.67亿</t>
  </si>
  <si>
    <t>52.33亿</t>
  </si>
  <si>
    <t>4.28亿</t>
  </si>
  <si>
    <t>-2.95亿</t>
  </si>
  <si>
    <t>8.99亿</t>
  </si>
  <si>
    <t>4-1</t>
  </si>
  <si>
    <t>惠天热电</t>
  </si>
  <si>
    <t>502.40万</t>
  </si>
  <si>
    <t>4346.09万</t>
  </si>
  <si>
    <t>13.47亿</t>
  </si>
  <si>
    <t>234.07万</t>
  </si>
  <si>
    <t>2497.85万</t>
  </si>
  <si>
    <t>1.27万</t>
  </si>
  <si>
    <t>4655.80万</t>
  </si>
  <si>
    <t>22.94亿</t>
  </si>
  <si>
    <t>41.75亿</t>
  </si>
  <si>
    <t>-7.32亿</t>
  </si>
  <si>
    <t>-6983.42万</t>
  </si>
  <si>
    <t>4504.78万</t>
  </si>
  <si>
    <t>7.83亿</t>
  </si>
  <si>
    <t>455.83万</t>
  </si>
  <si>
    <t>31.22亿</t>
  </si>
  <si>
    <t>4943.46万</t>
  </si>
  <si>
    <t>3824.09万</t>
  </si>
  <si>
    <t>1.30万</t>
  </si>
  <si>
    <t>952.67万</t>
  </si>
  <si>
    <t>1.09万</t>
  </si>
  <si>
    <t>3.53亿</t>
  </si>
  <si>
    <t>274.19万</t>
  </si>
  <si>
    <t>1882.62万</t>
  </si>
  <si>
    <t>3924.47万</t>
  </si>
  <si>
    <t>2355.78万</t>
  </si>
  <si>
    <t>3834.08万</t>
  </si>
  <si>
    <t>-8888.32万</t>
  </si>
  <si>
    <t>4102.29万</t>
  </si>
  <si>
    <t>5.34亿</t>
  </si>
  <si>
    <t>673.18万</t>
  </si>
  <si>
    <t>100.64亿</t>
  </si>
  <si>
    <t>48.05亿</t>
  </si>
  <si>
    <t>3089.31万</t>
  </si>
  <si>
    <t>179.15万</t>
  </si>
  <si>
    <t>72.50亿</t>
  </si>
  <si>
    <t>23.01亿</t>
  </si>
  <si>
    <t>45.00亿</t>
  </si>
  <si>
    <t>15.90亿</t>
  </si>
  <si>
    <t>62.00亿</t>
  </si>
  <si>
    <t>224.75亿</t>
  </si>
  <si>
    <t>228.51亿</t>
  </si>
  <si>
    <t>-4.25亿</t>
  </si>
  <si>
    <t>-3.85亿</t>
  </si>
  <si>
    <t>4743.20万</t>
  </si>
  <si>
    <t>6.97亿</t>
  </si>
  <si>
    <t>1299.77万</t>
  </si>
  <si>
    <t>98.99亿</t>
  </si>
  <si>
    <t>1010.26万</t>
  </si>
  <si>
    <t>8.66万</t>
  </si>
  <si>
    <t>4202.71万</t>
  </si>
  <si>
    <t>174.18万</t>
  </si>
  <si>
    <t>2.88万</t>
  </si>
  <si>
    <t>74.53亿</t>
  </si>
  <si>
    <t>-2.46亿</t>
  </si>
  <si>
    <t>7598.73万</t>
  </si>
  <si>
    <t>11.50亿</t>
  </si>
  <si>
    <t>507.88万</t>
  </si>
  <si>
    <t>42.83亿</t>
  </si>
  <si>
    <t>1.31万</t>
  </si>
  <si>
    <t>1410.07万</t>
  </si>
  <si>
    <t>60.02万</t>
  </si>
  <si>
    <t>1452.87万</t>
  </si>
  <si>
    <t>9516.74万</t>
  </si>
  <si>
    <t>30.96亿</t>
  </si>
  <si>
    <t>20.55亿</t>
  </si>
  <si>
    <t>-7424.52万</t>
  </si>
  <si>
    <t>-1.71亿</t>
  </si>
  <si>
    <t>3640.10万</t>
  </si>
  <si>
    <t>4085.26万</t>
  </si>
  <si>
    <t>204.77亿</t>
  </si>
  <si>
    <t>30.24亿</t>
  </si>
  <si>
    <t>25.96亿</t>
  </si>
  <si>
    <t>3237.77万</t>
  </si>
  <si>
    <t>5459.97万</t>
  </si>
  <si>
    <t>8.53亿</t>
  </si>
  <si>
    <t>4448.62万</t>
  </si>
  <si>
    <t>54.20亿</t>
  </si>
  <si>
    <t>66.03亿</t>
  </si>
  <si>
    <t>783.70万</t>
  </si>
  <si>
    <t>164.34亿</t>
  </si>
  <si>
    <t>346.28亿</t>
  </si>
  <si>
    <t>-11.51亿</t>
  </si>
  <si>
    <t>2.79亿</t>
  </si>
  <si>
    <t>42.90亿</t>
  </si>
  <si>
    <t>2456.28万</t>
  </si>
  <si>
    <t>394.98亿</t>
  </si>
  <si>
    <t>41.66亿</t>
  </si>
  <si>
    <t>37.27亿</t>
  </si>
  <si>
    <t>947.89万</t>
  </si>
  <si>
    <t>257.65万</t>
  </si>
  <si>
    <t>27.77亿</t>
  </si>
  <si>
    <t>84.33亿</t>
  </si>
  <si>
    <t>31.14亿</t>
  </si>
  <si>
    <t>30.04亿</t>
  </si>
  <si>
    <t>206.20亿</t>
  </si>
  <si>
    <t>289.04亿</t>
  </si>
  <si>
    <t>-23.23亿</t>
  </si>
  <si>
    <t>11.57亿</t>
  </si>
  <si>
    <t>1.32亿</t>
  </si>
  <si>
    <t>8.31亿</t>
  </si>
  <si>
    <t>1215.83万</t>
  </si>
  <si>
    <t>55.41亿</t>
  </si>
  <si>
    <t>15.34亿</t>
  </si>
  <si>
    <t>8.87万</t>
  </si>
  <si>
    <t>3076.11万</t>
  </si>
  <si>
    <t>74.72万</t>
  </si>
  <si>
    <t>90.56万</t>
  </si>
  <si>
    <t>3609.67万</t>
  </si>
  <si>
    <t>5.64亿</t>
  </si>
  <si>
    <t>18.71亿</t>
  </si>
  <si>
    <t>63.16亿</t>
  </si>
  <si>
    <t>-7.13亿</t>
  </si>
  <si>
    <t>8645.45万</t>
  </si>
  <si>
    <t>7872.55万</t>
  </si>
  <si>
    <t>1192.89万</t>
  </si>
  <si>
    <t>105.79亿</t>
  </si>
  <si>
    <t>38.83亿</t>
  </si>
  <si>
    <t>36.90亿</t>
  </si>
  <si>
    <t>3798.16万</t>
  </si>
  <si>
    <t>453.82万</t>
  </si>
  <si>
    <t>3760.38万</t>
  </si>
  <si>
    <t>26.75亿</t>
  </si>
  <si>
    <t>56.29亿</t>
  </si>
  <si>
    <t>17.85亿</t>
  </si>
  <si>
    <t>1611.55万</t>
  </si>
  <si>
    <t>106.14亿</t>
  </si>
  <si>
    <t>152.62亿</t>
  </si>
  <si>
    <t>-11.03亿</t>
  </si>
  <si>
    <t>-1.74亿</t>
  </si>
  <si>
    <t>8465.58万</t>
  </si>
  <si>
    <t>615.92万</t>
  </si>
  <si>
    <t>24.84亿</t>
  </si>
  <si>
    <t>7045.75万</t>
  </si>
  <si>
    <t>58.89万</t>
  </si>
  <si>
    <t>3083.08万</t>
  </si>
  <si>
    <t>16.65万</t>
  </si>
  <si>
    <t>4319.34万</t>
  </si>
  <si>
    <t>286.65万</t>
  </si>
  <si>
    <t>-3725.78万</t>
  </si>
  <si>
    <t>-8270.82万</t>
  </si>
  <si>
    <t>6221.49万</t>
  </si>
  <si>
    <t>4262.81万</t>
  </si>
  <si>
    <t>128.10万</t>
  </si>
  <si>
    <t>304.13万</t>
  </si>
  <si>
    <t>1126.00万</t>
  </si>
  <si>
    <t>7.14万</t>
  </si>
  <si>
    <t>90.30万</t>
  </si>
  <si>
    <t>3524.58万</t>
  </si>
  <si>
    <t>-1.52万</t>
  </si>
  <si>
    <t>667.56万</t>
  </si>
  <si>
    <t>5385.92万</t>
  </si>
  <si>
    <t>1501.62万</t>
  </si>
  <si>
    <t>29.64亿</t>
  </si>
  <si>
    <t>1.72亿</t>
  </si>
  <si>
    <t>604.41万</t>
  </si>
  <si>
    <t>4171.31万</t>
  </si>
  <si>
    <t>12.28亿</t>
  </si>
  <si>
    <t>56.73亿</t>
  </si>
  <si>
    <t>2599.74万</t>
  </si>
  <si>
    <t>2002.46万</t>
  </si>
  <si>
    <t>304.12亿</t>
  </si>
  <si>
    <t>39.71亿</t>
  </si>
  <si>
    <t>33.36亿</t>
  </si>
  <si>
    <t>1559.86万</t>
  </si>
  <si>
    <t>28.75万</t>
  </si>
  <si>
    <t>66.89亿</t>
  </si>
  <si>
    <t>1168.29万</t>
  </si>
  <si>
    <t>49.01亿</t>
  </si>
  <si>
    <t>19.33亿</t>
  </si>
  <si>
    <t>50.60亿</t>
  </si>
  <si>
    <t>126.26万</t>
  </si>
  <si>
    <t>132.71亿</t>
  </si>
  <si>
    <t>188.69亿</t>
  </si>
  <si>
    <t>23.37亿</t>
  </si>
  <si>
    <t>-9.63亿</t>
  </si>
  <si>
    <t>-5.55亿</t>
  </si>
  <si>
    <t>464.36万</t>
  </si>
  <si>
    <t>852.85亿</t>
  </si>
  <si>
    <t>70.03亿</t>
  </si>
  <si>
    <t>59.37亿</t>
  </si>
  <si>
    <t>9939.15万</t>
  </si>
  <si>
    <t>3598.95万</t>
  </si>
  <si>
    <t>36.83亿</t>
  </si>
  <si>
    <t>983.06万</t>
  </si>
  <si>
    <t>273.92亿</t>
  </si>
  <si>
    <t>267.47亿</t>
  </si>
  <si>
    <t>46.80亿</t>
  </si>
  <si>
    <t>114.39亿</t>
  </si>
  <si>
    <t>722.67亿</t>
  </si>
  <si>
    <t>724.72亿</t>
  </si>
  <si>
    <t>34.18亿</t>
  </si>
  <si>
    <t>-68.52亿</t>
  </si>
  <si>
    <t>21.68亿</t>
  </si>
  <si>
    <t>4051.47万</t>
  </si>
  <si>
    <t>231.44万</t>
  </si>
  <si>
    <t>10.45亿</t>
  </si>
  <si>
    <t>17.02万</t>
  </si>
  <si>
    <t>1950.40万</t>
  </si>
  <si>
    <t>14.26万</t>
  </si>
  <si>
    <t>1953.59万</t>
  </si>
  <si>
    <t>4736.46万</t>
  </si>
  <si>
    <t>6667.24万</t>
  </si>
  <si>
    <t>7523.80万</t>
  </si>
  <si>
    <t>-4911.88万</t>
  </si>
  <si>
    <t>2389.46万</t>
  </si>
  <si>
    <t>1385.01万</t>
  </si>
  <si>
    <t>52-1</t>
  </si>
  <si>
    <t>1110.32万</t>
  </si>
  <si>
    <t>35.99亿</t>
  </si>
  <si>
    <t>34.03亿</t>
  </si>
  <si>
    <t>31.37亿</t>
  </si>
  <si>
    <t>387.65万</t>
  </si>
  <si>
    <t>3754.24万</t>
  </si>
  <si>
    <t>87.90万</t>
  </si>
  <si>
    <t>24.81亿</t>
  </si>
  <si>
    <t>5114.45万</t>
  </si>
  <si>
    <t>31.92亿</t>
  </si>
  <si>
    <t>41.49亿</t>
  </si>
  <si>
    <t>12.24亿</t>
  </si>
  <si>
    <t>8.65万</t>
  </si>
  <si>
    <t>131.55亿</t>
  </si>
  <si>
    <t>133.85亿</t>
  </si>
  <si>
    <t>-6.49亿</t>
  </si>
  <si>
    <t>9359.29万</t>
  </si>
  <si>
    <t>1182.86万</t>
  </si>
  <si>
    <t>133.11亿</t>
  </si>
  <si>
    <t>22.82亿</t>
  </si>
  <si>
    <t>18.64亿</t>
  </si>
  <si>
    <t>2836.92万</t>
  </si>
  <si>
    <t>50.40万</t>
  </si>
  <si>
    <t>41.21亿</t>
  </si>
  <si>
    <t>7136.07万</t>
  </si>
  <si>
    <t>24.85亿</t>
  </si>
  <si>
    <t>34.39亿</t>
  </si>
  <si>
    <t>17.31亿</t>
  </si>
  <si>
    <t>107.94亿</t>
  </si>
  <si>
    <t>71.92亿</t>
  </si>
  <si>
    <t>-6.20亿</t>
  </si>
  <si>
    <t>11.91亿</t>
  </si>
  <si>
    <t>4383.13万</t>
  </si>
  <si>
    <t>424.48万</t>
  </si>
  <si>
    <t>66.51亿</t>
  </si>
  <si>
    <t>1923.36万</t>
  </si>
  <si>
    <t>4.38万</t>
  </si>
  <si>
    <t>3.82亿</t>
  </si>
  <si>
    <t>31.00亿</t>
  </si>
  <si>
    <t>56.81亿</t>
  </si>
  <si>
    <t>-1515.84万</t>
  </si>
  <si>
    <t>-8113.90万</t>
  </si>
  <si>
    <t>3548.99万</t>
  </si>
  <si>
    <t>1960.94万</t>
  </si>
  <si>
    <t>14.28亿</t>
  </si>
  <si>
    <t>7914.47万</t>
  </si>
  <si>
    <t>5134.40万</t>
  </si>
  <si>
    <t>410.91万</t>
  </si>
  <si>
    <t>1724.57万</t>
  </si>
  <si>
    <t>1166.10万</t>
  </si>
  <si>
    <t>2921.04万</t>
  </si>
  <si>
    <t>206.12万</t>
  </si>
  <si>
    <t>268.11万</t>
  </si>
  <si>
    <t>5755.27万</t>
  </si>
  <si>
    <t>3.36亿</t>
  </si>
  <si>
    <t>-982.75万</t>
  </si>
  <si>
    <t>-1668.63万</t>
  </si>
  <si>
    <t>869.98万</t>
  </si>
  <si>
    <t>-5-1</t>
  </si>
  <si>
    <t>443.25万</t>
  </si>
  <si>
    <t>42.82亿</t>
  </si>
  <si>
    <t>262.89万</t>
  </si>
  <si>
    <t>5718.73万</t>
  </si>
  <si>
    <t>8.22万</t>
  </si>
  <si>
    <t>7.07亿</t>
  </si>
  <si>
    <t>5.22亿</t>
  </si>
  <si>
    <t>4.95亿</t>
  </si>
  <si>
    <t>5.88亿</t>
  </si>
  <si>
    <t>31.40亿</t>
  </si>
  <si>
    <t>3331.13万</t>
  </si>
  <si>
    <t>-6779.65万</t>
  </si>
  <si>
    <t>-1.51亿</t>
  </si>
  <si>
    <t>2668.30万</t>
  </si>
  <si>
    <t>-4-1</t>
  </si>
  <si>
    <t>368.73万</t>
  </si>
  <si>
    <t>25.29亿</t>
  </si>
  <si>
    <t>5.01亿</t>
  </si>
  <si>
    <t>3.25亿</t>
  </si>
  <si>
    <t>1069.55万</t>
  </si>
  <si>
    <t>4932.69万</t>
  </si>
  <si>
    <t>1.81万</t>
  </si>
  <si>
    <t>16.88亿</t>
  </si>
  <si>
    <t>355.98万</t>
  </si>
  <si>
    <t>23.78亿</t>
  </si>
  <si>
    <t>43.77万</t>
  </si>
  <si>
    <t>45.57亿</t>
  </si>
  <si>
    <t>54.32亿</t>
  </si>
  <si>
    <t>-1.66亿</t>
  </si>
  <si>
    <t>-2.90亿</t>
  </si>
  <si>
    <t>2143.36万</t>
  </si>
  <si>
    <t>801.52万</t>
  </si>
  <si>
    <t>406.54亿</t>
  </si>
  <si>
    <t>83.19亿</t>
  </si>
  <si>
    <t>77.98亿</t>
  </si>
  <si>
    <t>820.54万</t>
  </si>
  <si>
    <t>378.39万</t>
  </si>
  <si>
    <t>101.29亿</t>
  </si>
  <si>
    <t>2158.28万</t>
  </si>
  <si>
    <t>57.39亿</t>
  </si>
  <si>
    <t>170.33亿</t>
  </si>
  <si>
    <t>299.40亿</t>
  </si>
  <si>
    <t>9866.46万</t>
  </si>
  <si>
    <t>7.56亿</t>
  </si>
  <si>
    <t>-7.87亿</t>
  </si>
  <si>
    <t>5263.27万</t>
  </si>
  <si>
    <t>3.73亿</t>
  </si>
  <si>
    <t>333.48万</t>
  </si>
  <si>
    <t>27.21亿</t>
  </si>
  <si>
    <t>9.54亿</t>
  </si>
  <si>
    <t>6812.54万</t>
  </si>
  <si>
    <t>3276.12万</t>
  </si>
  <si>
    <t>10.67亿</t>
  </si>
  <si>
    <t>1.58亿</t>
  </si>
  <si>
    <t>8.16亿</t>
  </si>
  <si>
    <t>28.46亿</t>
  </si>
  <si>
    <t>41.88亿</t>
  </si>
  <si>
    <t>-5090.79万</t>
  </si>
  <si>
    <t>4.24亿</t>
  </si>
  <si>
    <t>2657.96万</t>
  </si>
  <si>
    <t>1055.55万</t>
  </si>
  <si>
    <t>220.94万</t>
  </si>
  <si>
    <t>5267.80万</t>
  </si>
  <si>
    <t>34.81万</t>
  </si>
  <si>
    <t>13.74亿</t>
  </si>
  <si>
    <t>5.57亿</t>
  </si>
  <si>
    <t>21.56亿</t>
  </si>
  <si>
    <t>-1.65亿</t>
  </si>
  <si>
    <t>6137.86万</t>
  </si>
  <si>
    <t>5.11亿</t>
  </si>
  <si>
    <t>275.22万</t>
  </si>
  <si>
    <t>13.16亿</t>
  </si>
  <si>
    <t>101.56万</t>
  </si>
  <si>
    <t>1254.32万</t>
  </si>
  <si>
    <t>165.47万</t>
  </si>
  <si>
    <t>6843.22万</t>
  </si>
  <si>
    <t>-81.92万</t>
  </si>
  <si>
    <t>-7810.30万</t>
  </si>
  <si>
    <t>1721.34万</t>
  </si>
  <si>
    <t>810.68万</t>
  </si>
  <si>
    <t>76.49亿</t>
  </si>
  <si>
    <t>4.10亿</t>
  </si>
  <si>
    <t>541.19万</t>
  </si>
  <si>
    <t>2744.81万</t>
  </si>
  <si>
    <t>589.16万</t>
  </si>
  <si>
    <t>11.68亿</t>
  </si>
  <si>
    <t>3611.53万</t>
  </si>
  <si>
    <t>18.25亿</t>
  </si>
  <si>
    <t>1063.94万</t>
  </si>
  <si>
    <t>40.31亿</t>
  </si>
  <si>
    <t>58.28亿</t>
  </si>
  <si>
    <t>-3.84亿</t>
  </si>
  <si>
    <t>4074.79万</t>
  </si>
  <si>
    <t>5.38亿</t>
  </si>
  <si>
    <t>1684.28亿</t>
  </si>
  <si>
    <t>137.93亿</t>
  </si>
  <si>
    <t>905.35万</t>
  </si>
  <si>
    <t>1290.32万</t>
  </si>
  <si>
    <t>193.16亿</t>
  </si>
  <si>
    <t>1741.20万</t>
  </si>
  <si>
    <t>586.65亿</t>
  </si>
  <si>
    <t>177.76亿</t>
  </si>
  <si>
    <t>51.84亿</t>
  </si>
  <si>
    <t>220.72亿</t>
  </si>
  <si>
    <t>107.14万</t>
  </si>
  <si>
    <t>810.61亿</t>
  </si>
  <si>
    <t>1588.00亿</t>
  </si>
  <si>
    <t>55.84亿</t>
  </si>
  <si>
    <t>-24.92亿</t>
  </si>
  <si>
    <t>14.88亿</t>
  </si>
  <si>
    <t>40.15亿</t>
  </si>
  <si>
    <t>3649.73万</t>
  </si>
  <si>
    <t>29.75亿</t>
  </si>
  <si>
    <t>830.23万</t>
  </si>
  <si>
    <t>2779.71万</t>
  </si>
  <si>
    <t>28.11万</t>
  </si>
  <si>
    <t>2.48亿</t>
  </si>
  <si>
    <t>552.14万</t>
  </si>
  <si>
    <t>3.79亿</t>
  </si>
  <si>
    <t>4.18亿</t>
  </si>
  <si>
    <t>222.93万</t>
  </si>
  <si>
    <t>23.52亿</t>
  </si>
  <si>
    <t>-3825.93万</t>
  </si>
  <si>
    <t>-5080.49万</t>
  </si>
  <si>
    <t>-8428.19万</t>
  </si>
  <si>
    <t>25.19亿</t>
  </si>
  <si>
    <t>830.26万</t>
  </si>
  <si>
    <t>18.33亿</t>
  </si>
  <si>
    <t>8896.43万</t>
  </si>
  <si>
    <t>2778.48万</t>
  </si>
  <si>
    <t>2854.21万</t>
  </si>
  <si>
    <t>11.32万</t>
  </si>
  <si>
    <t>607.04万</t>
  </si>
  <si>
    <t>1796.60万</t>
  </si>
  <si>
    <t>3860.67万</t>
  </si>
  <si>
    <t>4716.00万</t>
  </si>
  <si>
    <t>5.08亿</t>
  </si>
  <si>
    <t>-1049.84万</t>
  </si>
  <si>
    <t>-1684.25万</t>
  </si>
  <si>
    <t>8203.01万</t>
  </si>
  <si>
    <t>8.45亿</t>
  </si>
  <si>
    <t>520.85万</t>
  </si>
  <si>
    <t>20.56亿</t>
  </si>
  <si>
    <t>1467.31万</t>
  </si>
  <si>
    <t>1980.68万</t>
  </si>
  <si>
    <t>19.13万</t>
  </si>
  <si>
    <t>5977.78万</t>
  </si>
  <si>
    <t>478.19万</t>
  </si>
  <si>
    <t>560.98万</t>
  </si>
  <si>
    <t>6.46亿</t>
  </si>
  <si>
    <t>5735.54万</t>
  </si>
  <si>
    <t>3076.12万</t>
  </si>
  <si>
    <t>-1.68亿</t>
  </si>
  <si>
    <t>1511.94万</t>
  </si>
  <si>
    <t>3152.73万</t>
  </si>
  <si>
    <t>4316.93万</t>
  </si>
  <si>
    <t>1768.40亿</t>
  </si>
  <si>
    <t>16.60亿</t>
  </si>
  <si>
    <t>3812.32万</t>
  </si>
  <si>
    <t>207.79亿</t>
  </si>
  <si>
    <t>614.27亿</t>
  </si>
  <si>
    <t>183.86亿</t>
  </si>
  <si>
    <t>121.43亿</t>
  </si>
  <si>
    <t>-92.82亿</t>
  </si>
  <si>
    <t>14.44亿</t>
  </si>
  <si>
    <t>16.67亿</t>
  </si>
  <si>
    <t>04980000000</t>
  </si>
  <si>
    <t>09960000000</t>
  </si>
  <si>
    <t>016600000000</t>
  </si>
  <si>
    <t>033200000000</t>
  </si>
  <si>
    <t>2431.74万</t>
  </si>
  <si>
    <t>521.98亿</t>
  </si>
  <si>
    <t>904.75亿</t>
  </si>
  <si>
    <t>-4.00亿</t>
  </si>
  <si>
    <t>263.64万</t>
  </si>
  <si>
    <t>86.49亿</t>
  </si>
  <si>
    <t>81.54亿</t>
  </si>
  <si>
    <t>84.95亿</t>
  </si>
  <si>
    <t>530.16万</t>
  </si>
  <si>
    <t>18.53亿</t>
  </si>
  <si>
    <t>-17.64亿</t>
  </si>
  <si>
    <t>18.01亿</t>
  </si>
  <si>
    <t>247.50亿</t>
  </si>
  <si>
    <t>1.46亿</t>
  </si>
  <si>
    <t>16.43亿</t>
  </si>
  <si>
    <t>4305.56万</t>
  </si>
  <si>
    <t>823.40亿</t>
  </si>
  <si>
    <t>631.74万</t>
  </si>
  <si>
    <t>190.03亿</t>
  </si>
  <si>
    <t>77.10亿</t>
  </si>
  <si>
    <t>9.21亿</t>
  </si>
  <si>
    <t>93.87亿</t>
  </si>
  <si>
    <t>193.37万</t>
  </si>
  <si>
    <t>17.96亿</t>
  </si>
  <si>
    <t>-19.92亿</t>
  </si>
  <si>
    <t>7632.98万</t>
  </si>
  <si>
    <t>16.66亿</t>
  </si>
  <si>
    <t>07638000000</t>
  </si>
  <si>
    <t>022914000000</t>
  </si>
  <si>
    <t>045828000000</t>
  </si>
  <si>
    <t>076380000000</t>
  </si>
  <si>
    <t>0152760000000</t>
  </si>
  <si>
    <t>3460.77万</t>
  </si>
  <si>
    <t>719.28亿</t>
  </si>
  <si>
    <t>220.91亿</t>
  </si>
  <si>
    <t>33.51亿</t>
  </si>
  <si>
    <t>79.74万</t>
  </si>
  <si>
    <t>426.30亿</t>
  </si>
  <si>
    <t>176.69万</t>
  </si>
  <si>
    <t>30.86亿</t>
  </si>
  <si>
    <t>-31.80亿</t>
  </si>
  <si>
    <t>56.31亿</t>
  </si>
  <si>
    <t>10.96亿</t>
  </si>
  <si>
    <t>6427.05万</t>
  </si>
  <si>
    <t>877.47亿</t>
  </si>
  <si>
    <t>32122.15亿</t>
  </si>
  <si>
    <t>604.63亿</t>
  </si>
  <si>
    <t>4942.40万</t>
  </si>
  <si>
    <t>50.16亿</t>
  </si>
  <si>
    <t>80.19亿</t>
  </si>
  <si>
    <t>5.35亿</t>
  </si>
  <si>
    <t>98.90亿</t>
  </si>
  <si>
    <t>1007.70万</t>
  </si>
  <si>
    <t>43.69亿</t>
  </si>
  <si>
    <t>-12.09亿</t>
  </si>
  <si>
    <t>-36.21亿</t>
  </si>
  <si>
    <t>7913.31亿</t>
  </si>
  <si>
    <t>201.02亿</t>
  </si>
  <si>
    <t>24.80亿</t>
  </si>
  <si>
    <t>XD浙江新</t>
  </si>
  <si>
    <t>496.69万</t>
  </si>
  <si>
    <t>185.44亿</t>
  </si>
  <si>
    <t>30.50亿</t>
  </si>
  <si>
    <t>221.29万</t>
  </si>
  <si>
    <t>35.73亿</t>
  </si>
  <si>
    <t>18.86亿</t>
  </si>
  <si>
    <t>4137.08万</t>
  </si>
  <si>
    <t>-2.62亿</t>
  </si>
  <si>
    <t>2777.70万</t>
  </si>
  <si>
    <t>1291.74万</t>
  </si>
  <si>
    <t>1534.51万</t>
  </si>
  <si>
    <t>9.00亿</t>
  </si>
  <si>
    <t>2604.51万</t>
  </si>
  <si>
    <t>905.60万</t>
  </si>
  <si>
    <t>6573.17万</t>
  </si>
  <si>
    <t>85.49万</t>
  </si>
  <si>
    <t>2059.76万</t>
  </si>
  <si>
    <t>-1.07亿</t>
  </si>
  <si>
    <t>-1757.33万</t>
  </si>
  <si>
    <t>1218.46万</t>
  </si>
  <si>
    <t>-2311.74万</t>
  </si>
  <si>
    <t>7247.62万</t>
  </si>
  <si>
    <t>DR明星电</t>
  </si>
  <si>
    <t>5416.14万</t>
  </si>
  <si>
    <t>28.97亿</t>
  </si>
  <si>
    <t>26.73亿</t>
  </si>
  <si>
    <t>19.55万</t>
  </si>
  <si>
    <t>35.90万</t>
  </si>
  <si>
    <t>-5974.68万</t>
  </si>
  <si>
    <t>-79.44万</t>
  </si>
  <si>
    <t>7.03亿</t>
  </si>
  <si>
    <t>5962.31万</t>
  </si>
  <si>
    <t>25.83亿</t>
  </si>
  <si>
    <t>686.13万</t>
  </si>
  <si>
    <t>114.20亿</t>
  </si>
  <si>
    <t>49.39亿</t>
  </si>
  <si>
    <t>16.86亿</t>
  </si>
  <si>
    <t>192.66万</t>
  </si>
  <si>
    <t>16.46亿</t>
  </si>
  <si>
    <t>11.13亿</t>
  </si>
  <si>
    <t>493.98万</t>
  </si>
  <si>
    <t>-3.21亿</t>
  </si>
  <si>
    <t>-5.35亿</t>
  </si>
  <si>
    <t>6.64亿</t>
  </si>
  <si>
    <t>13.18亿</t>
  </si>
  <si>
    <t>-2.47亿</t>
  </si>
  <si>
    <t>4253.14万</t>
  </si>
  <si>
    <t>350.66万</t>
  </si>
  <si>
    <t>748.39亿</t>
  </si>
  <si>
    <t>7.05万</t>
  </si>
  <si>
    <t>4872.75万</t>
  </si>
  <si>
    <t>1034.43万</t>
  </si>
  <si>
    <t>-3200.56万</t>
  </si>
  <si>
    <t>-6832.81万</t>
  </si>
  <si>
    <t>2236.81万</t>
  </si>
  <si>
    <t>90.44亿</t>
  </si>
  <si>
    <t>4353.97万</t>
  </si>
  <si>
    <t>2385.97万</t>
  </si>
  <si>
    <t>3.21亿</t>
  </si>
  <si>
    <t>517.22亿</t>
  </si>
  <si>
    <t>38.11亿</t>
  </si>
  <si>
    <t>7194.85万</t>
  </si>
  <si>
    <t>248.83万</t>
  </si>
  <si>
    <t>19.62亿</t>
  </si>
  <si>
    <t>27.75亿</t>
  </si>
  <si>
    <t>53.09亿</t>
  </si>
  <si>
    <t>1136.36万</t>
  </si>
  <si>
    <t>-5.82亿</t>
  </si>
  <si>
    <t>-5078.71万</t>
  </si>
  <si>
    <t>9.88亿</t>
  </si>
  <si>
    <t>74.10亿</t>
  </si>
  <si>
    <t>071948500</t>
  </si>
  <si>
    <t>0215845500</t>
  </si>
  <si>
    <t>0431691000</t>
  </si>
  <si>
    <t>0719485000</t>
  </si>
  <si>
    <t>01438970000</t>
  </si>
  <si>
    <t>1171.20万</t>
  </si>
  <si>
    <t>66.59亿</t>
  </si>
  <si>
    <t>-4.66亿</t>
  </si>
  <si>
    <t>10.30万</t>
  </si>
  <si>
    <t>7.38亿</t>
  </si>
  <si>
    <t>1472.64万</t>
  </si>
  <si>
    <t>8.67亿</t>
  </si>
  <si>
    <t>-1.23亿</t>
  </si>
  <si>
    <t>4610.94万</t>
  </si>
  <si>
    <t>-5843.35万</t>
  </si>
  <si>
    <t>9734.13万</t>
  </si>
  <si>
    <t>5.31亿</t>
  </si>
  <si>
    <t>787.69万</t>
  </si>
  <si>
    <t>124.58亿</t>
  </si>
  <si>
    <t>31.03亿</t>
  </si>
  <si>
    <t>404.51万</t>
  </si>
  <si>
    <t>80.00亿</t>
  </si>
  <si>
    <t>8597.47万</t>
  </si>
  <si>
    <t>-2.60亿</t>
  </si>
  <si>
    <t>-5420.68万</t>
  </si>
  <si>
    <t>2.91亿</t>
  </si>
  <si>
    <t>-2464.77万</t>
  </si>
  <si>
    <t>3841.87万</t>
  </si>
  <si>
    <t>820.50万</t>
  </si>
  <si>
    <t>35.44亿</t>
  </si>
  <si>
    <t>-1.19亿</t>
  </si>
  <si>
    <t>23.01万</t>
  </si>
  <si>
    <t>8.44亿</t>
  </si>
  <si>
    <t>-3615.06万</t>
  </si>
  <si>
    <t>2526.65万</t>
  </si>
  <si>
    <t>-3470.80万</t>
  </si>
  <si>
    <t>6168.49万</t>
  </si>
  <si>
    <t>-5-0</t>
  </si>
  <si>
    <t>1484.70万</t>
  </si>
  <si>
    <t>216.14亿</t>
  </si>
  <si>
    <t>10.83亿</t>
  </si>
  <si>
    <t>8674.58万</t>
  </si>
  <si>
    <t>1067.31万</t>
  </si>
  <si>
    <t>40.46亿</t>
  </si>
  <si>
    <t>-3.86亿</t>
  </si>
  <si>
    <t>2229.62万</t>
  </si>
  <si>
    <t>086745800</t>
  </si>
  <si>
    <t>0260237400</t>
  </si>
  <si>
    <t>0520474800</t>
  </si>
  <si>
    <t>0867458000</t>
  </si>
  <si>
    <t>01734916000</t>
  </si>
  <si>
    <t>2353.04万</t>
  </si>
  <si>
    <t>45.14亿</t>
  </si>
  <si>
    <t>110.77亿</t>
  </si>
  <si>
    <t>7.79亿</t>
  </si>
  <si>
    <t>19.71万</t>
  </si>
  <si>
    <t>4227.04万</t>
  </si>
  <si>
    <t>436.03万</t>
  </si>
  <si>
    <t>19.03亿</t>
  </si>
  <si>
    <t>10.33亿</t>
  </si>
  <si>
    <t>35.92亿</t>
  </si>
  <si>
    <t>2308.27万</t>
  </si>
  <si>
    <t>68.52亿</t>
  </si>
  <si>
    <t>65.24亿</t>
  </si>
  <si>
    <t>-5.88亿</t>
  </si>
  <si>
    <t>19.56亿</t>
  </si>
  <si>
    <t>22.21亿</t>
  </si>
  <si>
    <t>金山股份</t>
  </si>
  <si>
    <t>2762.76万</t>
  </si>
  <si>
    <t>68.71亿</t>
  </si>
  <si>
    <t>-1.14亿</t>
  </si>
  <si>
    <t>11.62亿</t>
  </si>
  <si>
    <t>10.17亿</t>
  </si>
  <si>
    <t>3329.24万</t>
  </si>
  <si>
    <t>1032101110亿</t>
  </si>
  <si>
    <t>49.74亿</t>
  </si>
  <si>
    <t>8268.90万</t>
  </si>
  <si>
    <t>6.73万</t>
  </si>
  <si>
    <t>72.28亿</t>
  </si>
  <si>
    <t>37.56亿</t>
  </si>
  <si>
    <t>-7335.90万</t>
  </si>
  <si>
    <t>-1.75亿</t>
  </si>
  <si>
    <t>5687.51万</t>
  </si>
  <si>
    <t>494.29万</t>
  </si>
  <si>
    <t>2837.34万</t>
  </si>
  <si>
    <t>6.03亿</t>
  </si>
  <si>
    <t>41.12万</t>
  </si>
  <si>
    <t>2458.56万</t>
  </si>
  <si>
    <t>57.09万</t>
  </si>
  <si>
    <t>24.68亿</t>
  </si>
  <si>
    <t>6.06亿</t>
  </si>
  <si>
    <t>17.05亿</t>
  </si>
  <si>
    <t>-6764.33万</t>
  </si>
  <si>
    <t>-597.84万</t>
  </si>
  <si>
    <t>6349.31万</t>
  </si>
  <si>
    <t>46.98万</t>
  </si>
  <si>
    <t>2964.82万</t>
  </si>
  <si>
    <t>028373400</t>
  </si>
  <si>
    <t>085120200</t>
  </si>
  <si>
    <t>0170240400</t>
  </si>
  <si>
    <t>0283734000</t>
  </si>
  <si>
    <t>0567468000</t>
  </si>
  <si>
    <t>1969.32万</t>
  </si>
  <si>
    <t>287.87亿</t>
  </si>
  <si>
    <t>114.78亿</t>
  </si>
  <si>
    <t>15.65亿</t>
  </si>
  <si>
    <t>26.24亿</t>
  </si>
  <si>
    <t>510.52万</t>
  </si>
  <si>
    <t>7384.47万</t>
  </si>
  <si>
    <t>183.94万</t>
  </si>
  <si>
    <t>61.04亿</t>
  </si>
  <si>
    <t>3262.94万</t>
  </si>
  <si>
    <t>16.21亿</t>
  </si>
  <si>
    <t>15.10亿</t>
  </si>
  <si>
    <t>21.82亿</t>
  </si>
  <si>
    <t>72.41亿</t>
  </si>
  <si>
    <t>142.49亿</t>
  </si>
  <si>
    <t>-3.56亿</t>
  </si>
  <si>
    <t>7.54亿</t>
  </si>
  <si>
    <t>7300.17万</t>
  </si>
  <si>
    <t>5.44亿</t>
  </si>
  <si>
    <t>1711.10万</t>
  </si>
  <si>
    <t>22.39亿</t>
  </si>
  <si>
    <t>-4898.45万</t>
  </si>
  <si>
    <t>907.52万</t>
  </si>
  <si>
    <t>2889.92万</t>
  </si>
  <si>
    <t>5.44万</t>
  </si>
  <si>
    <t>1.26亿</t>
  </si>
  <si>
    <t>8506.49万</t>
  </si>
  <si>
    <t>388.21万</t>
  </si>
  <si>
    <t>9.72亿</t>
  </si>
  <si>
    <t>18.93亿</t>
  </si>
  <si>
    <t>1209.83万</t>
  </si>
  <si>
    <t>-3536.68万</t>
  </si>
  <si>
    <t>6801.09万</t>
  </si>
  <si>
    <t>23.29万</t>
  </si>
  <si>
    <t>11.59亿</t>
  </si>
  <si>
    <t>XD天富能</t>
  </si>
  <si>
    <t>1338.78万</t>
  </si>
  <si>
    <t>76.73亿</t>
  </si>
  <si>
    <t>3.64亿</t>
  </si>
  <si>
    <t>20.82亿</t>
  </si>
  <si>
    <t>18.52亿</t>
  </si>
  <si>
    <t>3779.46万</t>
  </si>
  <si>
    <t>6671.13万</t>
  </si>
  <si>
    <t>27.09万</t>
  </si>
  <si>
    <t>24.65亿</t>
  </si>
  <si>
    <t>19.92亿</t>
  </si>
  <si>
    <t>34.39万</t>
  </si>
  <si>
    <t>59.96亿</t>
  </si>
  <si>
    <t>-5024.04万</t>
  </si>
  <si>
    <t>-1.21亿</t>
  </si>
  <si>
    <t>18.04亿</t>
  </si>
  <si>
    <t>6379.20万</t>
  </si>
  <si>
    <t>6.21亿</t>
  </si>
  <si>
    <t>2972.10万</t>
  </si>
  <si>
    <t>128.12亿</t>
  </si>
  <si>
    <t>69.82亿</t>
  </si>
  <si>
    <t>67.07亿</t>
  </si>
  <si>
    <t>1282.24万</t>
  </si>
  <si>
    <t>24.52万</t>
  </si>
  <si>
    <t>32.28亿</t>
  </si>
  <si>
    <t>13.04亿</t>
  </si>
  <si>
    <t>8404.67万</t>
  </si>
  <si>
    <t>28.44亿</t>
  </si>
  <si>
    <t>64.67亿</t>
  </si>
  <si>
    <t>41.38亿</t>
  </si>
  <si>
    <t>9.53亿</t>
  </si>
  <si>
    <t>-2.40亿</t>
  </si>
  <si>
    <t>396.17万</t>
  </si>
  <si>
    <t>2808.64万</t>
  </si>
  <si>
    <t>17.94亿</t>
  </si>
  <si>
    <t>2342.83万</t>
  </si>
  <si>
    <t>334.24亿</t>
  </si>
  <si>
    <t>116.05亿</t>
  </si>
  <si>
    <t>-27.68亿</t>
  </si>
  <si>
    <t>87.95亿</t>
  </si>
  <si>
    <t>81.62亿</t>
  </si>
  <si>
    <t>319.02万</t>
  </si>
  <si>
    <t>116.94万</t>
  </si>
  <si>
    <t>42.49亿</t>
  </si>
  <si>
    <t>44.12亿</t>
  </si>
  <si>
    <t>84.51亿</t>
  </si>
  <si>
    <t>58.87亿</t>
  </si>
  <si>
    <t>217.56亿</t>
  </si>
  <si>
    <t>271.44亿</t>
  </si>
  <si>
    <t>13.62亿</t>
  </si>
  <si>
    <t>-11.73亿</t>
  </si>
  <si>
    <t>25.90亿</t>
  </si>
  <si>
    <t>-3.38亿</t>
  </si>
  <si>
    <t>11.60亿</t>
  </si>
  <si>
    <t>2482.17万</t>
  </si>
  <si>
    <t>437.14亿</t>
  </si>
  <si>
    <t>9950.15万</t>
  </si>
  <si>
    <t>71.66亿</t>
  </si>
  <si>
    <t>66.12亿</t>
  </si>
  <si>
    <t>122.90万</t>
  </si>
  <si>
    <t>356.23万</t>
  </si>
  <si>
    <t>131.22亿</t>
  </si>
  <si>
    <t>1432.47万</t>
  </si>
  <si>
    <t>35.84亿</t>
  </si>
  <si>
    <t>87.18亿</t>
  </si>
  <si>
    <t>61.86亿</t>
  </si>
  <si>
    <t>233.51亿</t>
  </si>
  <si>
    <t>213.74亿</t>
  </si>
  <si>
    <t>22.70亿</t>
  </si>
  <si>
    <t>-16.68亿</t>
  </si>
  <si>
    <t>099501500</t>
  </si>
  <si>
    <t>0298504500</t>
  </si>
  <si>
    <t>0597009000</t>
  </si>
  <si>
    <t>0995015000</t>
  </si>
  <si>
    <t>01990030000</t>
  </si>
  <si>
    <t>955.07万</t>
  </si>
  <si>
    <t>20.50亿</t>
  </si>
  <si>
    <t>8.33亿</t>
  </si>
  <si>
    <t>7.41亿</t>
  </si>
  <si>
    <t>2302.70万</t>
  </si>
  <si>
    <t>5880.39万</t>
  </si>
  <si>
    <t>69.89万</t>
  </si>
  <si>
    <t>10.38亿</t>
  </si>
  <si>
    <t>-2676.03万</t>
  </si>
  <si>
    <t>8490.11万</t>
  </si>
  <si>
    <t>3.78亿</t>
  </si>
  <si>
    <t>3737.38万</t>
  </si>
  <si>
    <t>9461.84万</t>
  </si>
  <si>
    <t>1990.30万</t>
  </si>
  <si>
    <t>423.35亿</t>
  </si>
  <si>
    <t>131.87亿</t>
  </si>
  <si>
    <t>5.55亿</t>
  </si>
  <si>
    <t>308.02万</t>
  </si>
  <si>
    <t>3581.00万</t>
  </si>
  <si>
    <t>164.88万</t>
  </si>
  <si>
    <t>3275.12万</t>
  </si>
  <si>
    <t>31.04亿</t>
  </si>
  <si>
    <t>35.32亿</t>
  </si>
  <si>
    <t>457.16万</t>
  </si>
  <si>
    <t>1.77亿</t>
  </si>
  <si>
    <t>131.21万</t>
  </si>
  <si>
    <t>66.88亿</t>
  </si>
  <si>
    <t>63.71亿</t>
  </si>
  <si>
    <t>-2.85亿</t>
  </si>
  <si>
    <t>8359.49万</t>
  </si>
  <si>
    <t>3791.31万</t>
  </si>
  <si>
    <t>135.11亿</t>
  </si>
  <si>
    <t>17.66亿</t>
  </si>
  <si>
    <t>58.56万</t>
  </si>
  <si>
    <t>797.25万</t>
  </si>
  <si>
    <t>1.15万</t>
  </si>
  <si>
    <t>4109.20万</t>
  </si>
  <si>
    <t>3942.40万</t>
  </si>
  <si>
    <t>14.08亿</t>
  </si>
  <si>
    <t>-5680.42万</t>
  </si>
  <si>
    <t>-2479.56万</t>
  </si>
  <si>
    <t>27.47亿</t>
  </si>
  <si>
    <t>6460.90万</t>
  </si>
  <si>
    <t>16.44亿</t>
  </si>
  <si>
    <t>2112.02万</t>
  </si>
  <si>
    <t>18.67亿</t>
  </si>
  <si>
    <t>612.13亿</t>
  </si>
  <si>
    <t>11.81亿</t>
  </si>
  <si>
    <t>21.98亿</t>
  </si>
  <si>
    <t>10.32万</t>
  </si>
  <si>
    <t>1926.76万</t>
  </si>
  <si>
    <t>291.49万</t>
  </si>
  <si>
    <t>22.57亿</t>
  </si>
  <si>
    <t>80.57亿</t>
  </si>
  <si>
    <t>133.30亿</t>
  </si>
  <si>
    <t>-7.64亿</t>
  </si>
  <si>
    <t>2.85亿</t>
  </si>
  <si>
    <t>144.27亿</t>
  </si>
  <si>
    <t>436.73万</t>
  </si>
  <si>
    <t>74.59亿</t>
  </si>
  <si>
    <t>711.43亿</t>
  </si>
  <si>
    <t>4.98亿</t>
  </si>
  <si>
    <t>27.25亿</t>
  </si>
  <si>
    <t>9594.89万</t>
  </si>
  <si>
    <t>25.24万</t>
  </si>
  <si>
    <t>22.63亿</t>
  </si>
  <si>
    <t>17.26万</t>
  </si>
  <si>
    <t>20.44亿</t>
  </si>
  <si>
    <t>-1.29亿</t>
  </si>
  <si>
    <t>-3427.80万</t>
  </si>
  <si>
    <t>228.74亿</t>
  </si>
  <si>
    <t>9568.42万</t>
  </si>
  <si>
    <t>2439.95万</t>
  </si>
  <si>
    <t>XD国电电</t>
  </si>
  <si>
    <t>1243.26亿</t>
  </si>
  <si>
    <t>421.24亿</t>
  </si>
  <si>
    <t>394.80亿</t>
  </si>
  <si>
    <t>447.36万</t>
  </si>
  <si>
    <t>3715.52万</t>
  </si>
  <si>
    <t>214.46亿</t>
  </si>
  <si>
    <t>997.97亿</t>
  </si>
  <si>
    <t>504.01亿</t>
  </si>
  <si>
    <t>47.85亿</t>
  </si>
  <si>
    <t>248.05亿</t>
  </si>
  <si>
    <t>677.37万</t>
  </si>
  <si>
    <t>1320.99亿</t>
  </si>
  <si>
    <t>1895.48亿</t>
  </si>
  <si>
    <t>72.75亿</t>
  </si>
  <si>
    <t>-107.96亿</t>
  </si>
  <si>
    <t>60.83亿</t>
  </si>
  <si>
    <t>3033.90万</t>
  </si>
  <si>
    <t>40.88亿</t>
  </si>
  <si>
    <t>0211000000</t>
  </si>
  <si>
    <t>0633000000</t>
  </si>
  <si>
    <t>01266000000</t>
  </si>
  <si>
    <t>02110000000</t>
  </si>
  <si>
    <t>04220000000</t>
  </si>
  <si>
    <t>534.61万</t>
  </si>
  <si>
    <t>94.90亿</t>
  </si>
  <si>
    <t>78.67亿</t>
  </si>
  <si>
    <t>106.75万</t>
  </si>
  <si>
    <t>4987.59万</t>
  </si>
  <si>
    <t>4004.11万</t>
  </si>
  <si>
    <t>7165.31万</t>
  </si>
  <si>
    <t>46.70亿</t>
  </si>
  <si>
    <t>190.04亿</t>
  </si>
  <si>
    <t>4474.99万</t>
  </si>
  <si>
    <t>-2.80亿</t>
  </si>
  <si>
    <t>3171.75万</t>
  </si>
  <si>
    <t>5224.02万</t>
  </si>
  <si>
    <t>244.90亿</t>
  </si>
  <si>
    <t>2.07亿</t>
  </si>
  <si>
    <t>44.67亿</t>
  </si>
  <si>
    <t>41.77亿</t>
  </si>
  <si>
    <t>757.03万</t>
  </si>
  <si>
    <t>100.90万</t>
  </si>
  <si>
    <t>15.56亿</t>
  </si>
  <si>
    <t>6.00亿</t>
  </si>
  <si>
    <t>17.38亿</t>
  </si>
  <si>
    <t>54.97亿</t>
  </si>
  <si>
    <t>91.86亿</t>
  </si>
  <si>
    <t>-1.58亿</t>
  </si>
  <si>
    <t>-10.47亿</t>
  </si>
  <si>
    <t>7.30亿</t>
  </si>
  <si>
    <t>24.36亿</t>
  </si>
  <si>
    <t>0207000000</t>
  </si>
  <si>
    <t>0621000000</t>
  </si>
  <si>
    <t>01242000000</t>
  </si>
  <si>
    <t>02070000000</t>
  </si>
  <si>
    <t>04140000000</t>
  </si>
  <si>
    <t>1189.99万</t>
  </si>
  <si>
    <t>244.65亿</t>
  </si>
  <si>
    <t>3648.04万</t>
  </si>
  <si>
    <t>1770.42万</t>
  </si>
  <si>
    <t>256.99万</t>
  </si>
  <si>
    <t>1299.80万</t>
  </si>
  <si>
    <t>30.63万</t>
  </si>
  <si>
    <t>3135.04万</t>
  </si>
  <si>
    <t>6970.00万</t>
  </si>
  <si>
    <t>347.09万</t>
  </si>
  <si>
    <t>-6009.50万</t>
  </si>
  <si>
    <t>-932.01万</t>
  </si>
  <si>
    <t>43.10亿</t>
  </si>
  <si>
    <t>9082.11万</t>
  </si>
  <si>
    <t>3437.54万</t>
  </si>
  <si>
    <t>1060.35亿</t>
  </si>
  <si>
    <t>1257.58亿</t>
  </si>
  <si>
    <t>104.29亿</t>
  </si>
  <si>
    <t>99.73亿</t>
  </si>
  <si>
    <t>84.25亿</t>
  </si>
  <si>
    <t>814.83万</t>
  </si>
  <si>
    <t>1688.44万</t>
  </si>
  <si>
    <t>122.78亿</t>
  </si>
  <si>
    <t>388.75万</t>
  </si>
  <si>
    <t>217.07亿</t>
  </si>
  <si>
    <t>68.91亿</t>
  </si>
  <si>
    <t>11.49亿</t>
  </si>
  <si>
    <t>52.14亿</t>
  </si>
  <si>
    <t>659.54万</t>
  </si>
  <si>
    <t>429.84亿</t>
  </si>
  <si>
    <t>1169.07亿</t>
  </si>
  <si>
    <t>-51.52亿</t>
  </si>
  <si>
    <t>-3.76亿</t>
  </si>
  <si>
    <t>333.28亿</t>
  </si>
  <si>
    <t>2167.12亿</t>
  </si>
  <si>
    <t>47.87亿</t>
  </si>
  <si>
    <t>26.60亿</t>
  </si>
  <si>
    <t>81.12亿</t>
  </si>
  <si>
    <t>4127.29万</t>
  </si>
  <si>
    <t>20.82万</t>
  </si>
  <si>
    <t>80.62亿</t>
  </si>
  <si>
    <t>53.50亿</t>
  </si>
  <si>
    <t>564.63亿</t>
  </si>
  <si>
    <t>1583.41亿</t>
  </si>
  <si>
    <t>1679.94亿</t>
  </si>
  <si>
    <t>120.93亿</t>
  </si>
  <si>
    <t>-20.93亿</t>
  </si>
  <si>
    <t>-97.39亿</t>
  </si>
  <si>
    <t>12.11亿</t>
  </si>
  <si>
    <t>25.03亿</t>
  </si>
  <si>
    <t>02660000000</t>
  </si>
  <si>
    <t>07980000000</t>
  </si>
  <si>
    <t>015960000000</t>
  </si>
  <si>
    <t>026600000000</t>
  </si>
  <si>
    <t>053200000000</t>
  </si>
  <si>
    <t>7152.03万</t>
  </si>
  <si>
    <t>995.64亿</t>
  </si>
  <si>
    <t>23.17亿</t>
  </si>
  <si>
    <t>47.20亿</t>
  </si>
  <si>
    <t>32.42亿</t>
  </si>
  <si>
    <t>245.67万</t>
  </si>
  <si>
    <t>65.84亿</t>
  </si>
  <si>
    <t>2225.70万</t>
  </si>
  <si>
    <t>604.70亿</t>
  </si>
  <si>
    <t>16.16亿</t>
  </si>
  <si>
    <t>17.80亿</t>
  </si>
  <si>
    <t>244.41亿</t>
  </si>
  <si>
    <t>413.24万</t>
  </si>
  <si>
    <t>425.25亿</t>
  </si>
  <si>
    <t>1407.88亿</t>
  </si>
  <si>
    <t>44.21亿</t>
  </si>
  <si>
    <t>-70.77亿</t>
  </si>
  <si>
    <t>41.72亿</t>
  </si>
  <si>
    <t>39.90亿</t>
  </si>
  <si>
    <t>438.19万</t>
  </si>
  <si>
    <t>268.29亿</t>
  </si>
  <si>
    <t>170.90亿</t>
  </si>
  <si>
    <t>27.54亿</t>
  </si>
  <si>
    <t>68.73亿</t>
  </si>
  <si>
    <t>63.06亿</t>
  </si>
  <si>
    <t>128.42万</t>
  </si>
  <si>
    <t>57.97万</t>
  </si>
  <si>
    <t>34.85亿</t>
  </si>
  <si>
    <t>2367.40万</t>
  </si>
  <si>
    <t>75.16亿</t>
  </si>
  <si>
    <t>20.04亿</t>
  </si>
  <si>
    <t>175.76亿</t>
  </si>
  <si>
    <t>323.53亿</t>
  </si>
  <si>
    <t>-10.31亿</t>
  </si>
  <si>
    <t>44.37亿</t>
  </si>
  <si>
    <t>2473.45万</t>
  </si>
  <si>
    <t>765.62万</t>
  </si>
  <si>
    <t>38.35亿</t>
  </si>
  <si>
    <t>457.99亿</t>
  </si>
  <si>
    <t>29.16亿</t>
  </si>
  <si>
    <t>360.87万</t>
  </si>
  <si>
    <t>4465.91万</t>
  </si>
  <si>
    <t>229.03万</t>
  </si>
  <si>
    <t>13.51亿</t>
  </si>
  <si>
    <t>4.37亿</t>
  </si>
  <si>
    <t>37.60亿</t>
  </si>
  <si>
    <t>66.54亿</t>
  </si>
  <si>
    <t>4155.12万</t>
  </si>
  <si>
    <t>100.14亿</t>
  </si>
  <si>
    <t>6.17亿</t>
  </si>
  <si>
    <t>5743.47万</t>
  </si>
  <si>
    <t>8.94亿</t>
  </si>
  <si>
    <t>2668.90万</t>
  </si>
  <si>
    <t>46.41亿</t>
  </si>
  <si>
    <t>9174.99万</t>
  </si>
  <si>
    <t>1224.94万</t>
  </si>
  <si>
    <t>6709.37万</t>
  </si>
  <si>
    <t>141.86万</t>
  </si>
  <si>
    <t>1613.69万</t>
  </si>
  <si>
    <t>6.61亿</t>
  </si>
  <si>
    <t>1195.21万</t>
  </si>
  <si>
    <t>18.77亿</t>
  </si>
  <si>
    <t>-1.53亿</t>
  </si>
  <si>
    <t>8746.16万</t>
  </si>
  <si>
    <t>2284.19万</t>
  </si>
  <si>
    <t>091749900</t>
  </si>
  <si>
    <t>0275249700</t>
  </si>
  <si>
    <t>0550499400</t>
  </si>
  <si>
    <t>0917499000</t>
  </si>
  <si>
    <t>01834998000</t>
  </si>
  <si>
    <t>469.73万</t>
  </si>
  <si>
    <t>50.31亿</t>
  </si>
  <si>
    <t>40.04亿</t>
  </si>
  <si>
    <t>8113.27万</t>
  </si>
  <si>
    <t>10.90亿</t>
  </si>
  <si>
    <t>2984.96万</t>
  </si>
  <si>
    <t>6489.35万</t>
  </si>
  <si>
    <t>235.60万</t>
  </si>
  <si>
    <t>5.50亿</t>
  </si>
  <si>
    <t>5589.46万</t>
  </si>
  <si>
    <t>118.88万</t>
  </si>
  <si>
    <t>4.94亿</t>
  </si>
  <si>
    <t>258.67万</t>
  </si>
  <si>
    <t>45.94亿</t>
  </si>
  <si>
    <t>35.45亿</t>
  </si>
  <si>
    <t>-1.40亿</t>
  </si>
  <si>
    <t>-2.70亿</t>
  </si>
  <si>
    <t>10.06亿</t>
  </si>
  <si>
    <t>1139.65万</t>
  </si>
  <si>
    <t>2589.12万</t>
  </si>
  <si>
    <t>南网储能</t>
  </si>
  <si>
    <t>477.75万</t>
  </si>
  <si>
    <t>246.63亿</t>
  </si>
  <si>
    <t>-13.85亿</t>
  </si>
  <si>
    <t>8.86亿</t>
  </si>
  <si>
    <t>6.73亿</t>
  </si>
  <si>
    <t>8283.06万</t>
  </si>
  <si>
    <t>46.93万</t>
  </si>
  <si>
    <t>36.99亿</t>
  </si>
  <si>
    <t>87.99亿</t>
  </si>
  <si>
    <t>11.83亿</t>
  </si>
  <si>
    <t>10.24万</t>
  </si>
  <si>
    <t>21.87亿</t>
  </si>
  <si>
    <t>158.90亿</t>
  </si>
  <si>
    <t>7.82亿</t>
  </si>
  <si>
    <t>-4.57亿</t>
  </si>
  <si>
    <t>6.31亿</t>
  </si>
  <si>
    <t>206.80万</t>
  </si>
  <si>
    <t>2869.16万</t>
  </si>
  <si>
    <t>3470.10万</t>
  </si>
  <si>
    <t>180.21亿</t>
  </si>
  <si>
    <t>259.93亿</t>
  </si>
  <si>
    <t>46.68亿</t>
  </si>
  <si>
    <t>8.30亿</t>
  </si>
  <si>
    <t>4707.54万</t>
  </si>
  <si>
    <t>333.13万</t>
  </si>
  <si>
    <t>137.24万</t>
  </si>
  <si>
    <t>5950.00万</t>
  </si>
  <si>
    <t>148.80亿</t>
  </si>
  <si>
    <t>-7.09亿</t>
  </si>
  <si>
    <t>58.23亿</t>
  </si>
  <si>
    <t>1002.33万</t>
  </si>
  <si>
    <t>158.37亿</t>
  </si>
  <si>
    <t>1708.72亿</t>
  </si>
  <si>
    <t>212.39亿</t>
  </si>
  <si>
    <t>13.12亿</t>
  </si>
  <si>
    <t>10.88亿</t>
  </si>
  <si>
    <t>3434.30万</t>
  </si>
  <si>
    <t>831.36万</t>
  </si>
  <si>
    <t>49.49亿</t>
  </si>
  <si>
    <t>18.80亿</t>
  </si>
  <si>
    <t>-3.24亿</t>
  </si>
  <si>
    <t>-4807.59万</t>
  </si>
  <si>
    <t>448.09亿</t>
  </si>
  <si>
    <t>69.11亿</t>
  </si>
  <si>
    <t>5516.16万</t>
  </si>
  <si>
    <t>4.97亿</t>
  </si>
  <si>
    <t>1183.92万</t>
  </si>
  <si>
    <t>8378.59亿</t>
  </si>
  <si>
    <t>211.10亿</t>
  </si>
  <si>
    <t>3.94亿</t>
  </si>
  <si>
    <t>3406.16万</t>
  </si>
  <si>
    <t>70.86万</t>
  </si>
  <si>
    <t>22.79万</t>
  </si>
  <si>
    <t>15.51亿</t>
  </si>
  <si>
    <t>10.58亿</t>
  </si>
  <si>
    <t>20.18亿</t>
  </si>
  <si>
    <t>40.27亿</t>
  </si>
  <si>
    <t>-3.06亿</t>
  </si>
  <si>
    <t>1057.13亿</t>
  </si>
  <si>
    <t>227.70亿</t>
  </si>
  <si>
    <t>6538.44万</t>
  </si>
  <si>
    <t>2258.35万</t>
  </si>
  <si>
    <t>155.47亿</t>
  </si>
  <si>
    <t>100.31亿</t>
  </si>
  <si>
    <t>42.71亿</t>
  </si>
  <si>
    <t>3096.43万</t>
  </si>
  <si>
    <t>472.54万</t>
  </si>
  <si>
    <t>43.50亿</t>
  </si>
  <si>
    <t>502.55万</t>
  </si>
  <si>
    <t>13.53亿</t>
  </si>
  <si>
    <t>34.91亿</t>
  </si>
  <si>
    <t>216.52万</t>
  </si>
  <si>
    <t>90.15亿</t>
  </si>
  <si>
    <t>76.01亿</t>
  </si>
  <si>
    <t>-8.28亿</t>
  </si>
  <si>
    <t>27.50亿</t>
  </si>
  <si>
    <t>12.01亿</t>
  </si>
  <si>
    <t>1645.91万</t>
  </si>
  <si>
    <t>109.66亿</t>
  </si>
  <si>
    <t>637.04亿</t>
  </si>
  <si>
    <t>150.48亿</t>
  </si>
  <si>
    <t>15.48亿</t>
  </si>
  <si>
    <t>2256.29万</t>
  </si>
  <si>
    <t>4331.87万</t>
  </si>
  <si>
    <t>45.87万</t>
  </si>
  <si>
    <t>21.33亿</t>
  </si>
  <si>
    <t>166.80万</t>
  </si>
  <si>
    <t>13.26亿</t>
  </si>
  <si>
    <t>31.08亿</t>
  </si>
  <si>
    <t>86.10亿</t>
  </si>
  <si>
    <t>-4.94亿</t>
  </si>
  <si>
    <t>-1.42亿</t>
  </si>
  <si>
    <t>157.80亿</t>
  </si>
  <si>
    <t>56.25亿</t>
  </si>
  <si>
    <t>8551.52万</t>
  </si>
  <si>
    <t>9994.93万</t>
  </si>
  <si>
    <t>1685.89亿</t>
  </si>
  <si>
    <t>6228.89亿</t>
  </si>
  <si>
    <t>2319.04亿</t>
  </si>
  <si>
    <t>118.72亿</t>
  </si>
  <si>
    <t>91.43亿</t>
  </si>
  <si>
    <t>894.22万</t>
  </si>
  <si>
    <t>6445.40万</t>
  </si>
  <si>
    <t>178.68亿</t>
  </si>
  <si>
    <t>1723.97万</t>
  </si>
  <si>
    <t>1679.53亿</t>
  </si>
  <si>
    <t>206.51亿</t>
  </si>
  <si>
    <t>10.64亿</t>
  </si>
  <si>
    <t>225.69亿</t>
  </si>
  <si>
    <t>641.49万</t>
  </si>
  <si>
    <t>968.92亿</t>
  </si>
  <si>
    <t>2611.88亿</t>
  </si>
  <si>
    <t>94.83亿</t>
  </si>
  <si>
    <t>-173.60亿</t>
  </si>
  <si>
    <t>159.28亿</t>
  </si>
  <si>
    <t>1658.13亿</t>
  </si>
  <si>
    <t>576.63亿</t>
  </si>
  <si>
    <t>39.16亿</t>
  </si>
  <si>
    <t>935.52亿</t>
  </si>
  <si>
    <t>1079.56亿</t>
  </si>
  <si>
    <t>2526.28万</t>
  </si>
  <si>
    <t>287.98亿</t>
  </si>
  <si>
    <t>266.16亿</t>
  </si>
  <si>
    <t>2166.90万</t>
  </si>
  <si>
    <t>4.69亿</t>
  </si>
  <si>
    <t>2133.20万</t>
  </si>
  <si>
    <t>109.25亿</t>
  </si>
  <si>
    <t>4279.30万</t>
  </si>
  <si>
    <t>266.04亿</t>
  </si>
  <si>
    <t>281.09亿</t>
  </si>
  <si>
    <t>7.26亿</t>
  </si>
  <si>
    <t>220.76亿</t>
  </si>
  <si>
    <t>886.47亿</t>
  </si>
  <si>
    <t>1149.62亿</t>
  </si>
  <si>
    <t>61.64亿</t>
  </si>
  <si>
    <t>-31.60亿</t>
  </si>
  <si>
    <t>-10.50亿</t>
  </si>
  <si>
    <t>234.80亿</t>
  </si>
  <si>
    <t>-3.32亿</t>
  </si>
  <si>
    <t>5.29亿</t>
  </si>
  <si>
    <t>33.81亿</t>
  </si>
  <si>
    <t>1729.72万</t>
  </si>
  <si>
    <t>8391.10万</t>
  </si>
  <si>
    <t>69.99万</t>
  </si>
  <si>
    <t>1102.49万</t>
  </si>
  <si>
    <t>8454.14万</t>
  </si>
  <si>
    <t>6286.61万</t>
  </si>
  <si>
    <t>2659.83万</t>
  </si>
  <si>
    <t>-9513.33万</t>
  </si>
  <si>
    <t>8.67万</t>
  </si>
  <si>
    <t>-2967.66万</t>
  </si>
  <si>
    <t>6656.71万</t>
  </si>
  <si>
    <t>9.92亿</t>
  </si>
  <si>
    <t>331.54万</t>
  </si>
  <si>
    <t>77.32亿</t>
  </si>
  <si>
    <t>6.32亿</t>
  </si>
  <si>
    <t>3109.23万</t>
  </si>
  <si>
    <t>2843.18万</t>
  </si>
  <si>
    <t>12.45万</t>
  </si>
  <si>
    <t>14.92亿</t>
  </si>
  <si>
    <t>49.26万</t>
  </si>
  <si>
    <t>20.68亿</t>
  </si>
  <si>
    <t>47.66亿</t>
  </si>
  <si>
    <t>3.63亿</t>
  </si>
  <si>
    <t>-1.22亿</t>
  </si>
  <si>
    <t>-3981.84万</t>
  </si>
  <si>
    <t>1330.50万</t>
  </si>
  <si>
    <t>2249.88万</t>
  </si>
  <si>
    <t>031092300</t>
  </si>
  <si>
    <t>093276900</t>
  </si>
  <si>
    <t>0186553800</t>
  </si>
  <si>
    <t>0310923000</t>
  </si>
  <si>
    <t>0621846000</t>
  </si>
  <si>
    <t>298.24万</t>
  </si>
  <si>
    <t>27.22亿</t>
  </si>
  <si>
    <t>6.69亿</t>
  </si>
  <si>
    <t>114.67万</t>
  </si>
  <si>
    <t>2450.31万</t>
  </si>
  <si>
    <t>4.48万</t>
  </si>
  <si>
    <t>3649.46万</t>
  </si>
  <si>
    <t>233.66万</t>
  </si>
  <si>
    <t>-2312.41万</t>
  </si>
  <si>
    <t>-2770.93万</t>
  </si>
  <si>
    <t>4444.67万</t>
  </si>
  <si>
    <t>1974.74万</t>
  </si>
  <si>
    <t>0193000000</t>
  </si>
  <si>
    <t>0579000000</t>
  </si>
  <si>
    <t>01158000000</t>
  </si>
  <si>
    <t>01930000000</t>
  </si>
  <si>
    <t>03860000000</t>
  </si>
  <si>
    <t>80.07万</t>
  </si>
  <si>
    <t>13.34亿</t>
  </si>
  <si>
    <t>6.99亿</t>
  </si>
  <si>
    <t>5755.70万</t>
  </si>
  <si>
    <t>5418.26万</t>
  </si>
  <si>
    <t>3944.01万</t>
  </si>
  <si>
    <t>20.13万</t>
  </si>
  <si>
    <t>1246.41万</t>
  </si>
  <si>
    <t>17.61万</t>
  </si>
  <si>
    <t>1462.56万</t>
  </si>
  <si>
    <t>5519.66万</t>
  </si>
  <si>
    <t>8114.47万</t>
  </si>
  <si>
    <t>2784.73万</t>
  </si>
  <si>
    <t>-2460.41万</t>
  </si>
  <si>
    <t>6927.61万</t>
  </si>
  <si>
    <t>984.07万</t>
  </si>
  <si>
    <t>5463.01万</t>
  </si>
  <si>
    <t>363.55万</t>
  </si>
  <si>
    <t>12.85亿</t>
  </si>
  <si>
    <t>60.18亿</t>
  </si>
  <si>
    <t>39.62万</t>
  </si>
  <si>
    <t>1066.35万</t>
  </si>
  <si>
    <t>74.26万</t>
  </si>
  <si>
    <t>2238.15万</t>
  </si>
  <si>
    <t>2002.03万</t>
  </si>
  <si>
    <t>3626.42万</t>
  </si>
  <si>
    <t>8615.19万</t>
  </si>
  <si>
    <t>2518.34万</t>
  </si>
  <si>
    <t>-1768.37万</t>
  </si>
  <si>
    <t>73.50万</t>
  </si>
  <si>
    <t>12.75亿</t>
  </si>
  <si>
    <t>5014.05万</t>
  </si>
  <si>
    <t>2042.86万</t>
  </si>
  <si>
    <t>93.77万</t>
  </si>
  <si>
    <t>5221.60万</t>
  </si>
  <si>
    <t>9.09万</t>
  </si>
  <si>
    <t>517.96万</t>
  </si>
  <si>
    <t>31.92万</t>
  </si>
  <si>
    <t>868.98万</t>
  </si>
  <si>
    <t>3.58万</t>
  </si>
  <si>
    <t>8097.00万</t>
  </si>
  <si>
    <t>356.80万</t>
  </si>
  <si>
    <t>-5879.51万</t>
  </si>
  <si>
    <t>4917.31万</t>
  </si>
  <si>
    <t>1672.01万</t>
  </si>
  <si>
    <t>581.78万</t>
  </si>
  <si>
    <t>7775.60万</t>
  </si>
  <si>
    <t>413.66万</t>
  </si>
  <si>
    <t>28.64亿</t>
  </si>
  <si>
    <t>72.44亿</t>
  </si>
  <si>
    <t>4.61亿</t>
  </si>
  <si>
    <t>2396.76万</t>
  </si>
  <si>
    <t>5096.15万</t>
  </si>
  <si>
    <t>2.58万</t>
  </si>
  <si>
    <t>20.73亿</t>
  </si>
  <si>
    <t>2735.95万</t>
  </si>
  <si>
    <t>170.62万</t>
  </si>
  <si>
    <t>483.56万</t>
  </si>
  <si>
    <t>14.27亿</t>
  </si>
  <si>
    <t>-2.37亿</t>
  </si>
  <si>
    <t>8261.89万</t>
  </si>
  <si>
    <t>-592.00万</t>
  </si>
  <si>
    <t>-3.31亿</t>
  </si>
  <si>
    <t>1771.02万</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</si>
</sst>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color rgb="FFFF0000"/>
      <name val="宋体"/>
      <family val="2"/>
      <charset val="134"/>
      <scheme val="minor"/>
    </font>
    <font>
      <sz val="11"/>
      <name val="宋体"/>
      <family val="2"/>
      <charset val="134"/>
      <scheme val="minor"/>
    </font>
    <font>
      <sz val="9"/>
      <color rgb="FFFF0000"/>
      <name val="宋体"/>
      <family val="3"/>
      <charset val="134"/>
      <scheme val="minor"/>
    </font>
    <font>
      <sz val="11"/>
      <color rgb="FF000000"/>
      <name val="宋体"/>
      <family val="3"/>
      <charset val="134"/>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5" fillId="0" borderId="0" xfId="0" applyFont="1" applyFill="1">
      <alignment vertical="center"/>
    </xf>
    <xf numFmtId="14" fontId="0" fillId="0" borderId="0" xfId="0" applyNumberFormat="1">
      <alignment vertical="center"/>
    </xf>
    <xf numFmtId="0" fontId="0" fillId="0" borderId="0" xfId="0" applyNumberFormat="1">
      <alignment vertical="center"/>
    </xf>
    <xf numFmtId="0" fontId="4" fillId="2" borderId="0" xfId="0" applyFont="1" applyFill="1">
      <alignment vertical="center"/>
    </xf>
  </cellXfs>
  <cellStyles count="2">
    <cellStyle name="常规" xfId="0" builtinId="0"/>
    <cellStyle name="常规 2" xfId="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2"/>
          <c:order val="2"/>
          <c:tx>
            <c:strRef>
              <c:f>'[1]估值-增速与年化收益'!$C$17</c:f>
              <c:strCache>
                <c:ptCount val="1"/>
                <c:pt idx="0">
                  <c:v>回本年限</c:v>
                </c:pt>
              </c:strCache>
            </c:strRef>
          </c:tx>
          <c:spPr>
            <a:solidFill>
              <a:schemeClr val="accent3"/>
            </a:solidFill>
            <a:ln>
              <a:noFill/>
            </a:ln>
            <a:effectLst/>
          </c:spPr>
          <c:invertIfNegative val="0"/>
          <c:dPt>
            <c:idx val="5"/>
            <c:invertIfNegative val="0"/>
            <c:bubble3D val="0"/>
            <c:spPr>
              <a:solidFill>
                <a:schemeClr val="accent2">
                  <a:lumMod val="20000"/>
                  <a:lumOff val="80000"/>
                </a:schemeClr>
              </a:solidFill>
              <a:ln>
                <a:noFill/>
              </a:ln>
              <a:effectLst/>
            </c:spPr>
          </c:dPt>
          <c:dPt>
            <c:idx val="6"/>
            <c:invertIfNegative val="0"/>
            <c:bubble3D val="0"/>
            <c:spPr>
              <a:solidFill>
                <a:srgbClr val="FFFF00"/>
              </a:solidFill>
              <a:ln>
                <a:noFill/>
              </a:ln>
              <a:effectLst/>
            </c:spPr>
          </c:dPt>
          <c:dPt>
            <c:idx val="7"/>
            <c:invertIfNegative val="0"/>
            <c:bubble3D val="0"/>
            <c:spPr>
              <a:solidFill>
                <a:schemeClr val="accent2">
                  <a:lumMod val="20000"/>
                  <a:lumOff val="80000"/>
                </a:schemeClr>
              </a:solidFill>
              <a:ln>
                <a:noFill/>
              </a:ln>
              <a:effectLst/>
            </c:spPr>
          </c:dPt>
          <c:dPt>
            <c:idx val="8"/>
            <c:invertIfNegative val="0"/>
            <c:bubble3D val="0"/>
            <c:spPr>
              <a:solidFill>
                <a:schemeClr val="accent2">
                  <a:lumMod val="20000"/>
                  <a:lumOff val="80000"/>
                </a:schemeClr>
              </a:solidFill>
              <a:ln>
                <a:noFill/>
              </a:ln>
              <a:effectLst/>
            </c:spPr>
          </c:dPt>
          <c:dPt>
            <c:idx val="9"/>
            <c:invertIfNegative val="0"/>
            <c:bubble3D val="0"/>
            <c:spPr>
              <a:solidFill>
                <a:schemeClr val="accent2">
                  <a:lumMod val="20000"/>
                  <a:lumOff val="80000"/>
                </a:schemeClr>
              </a:solidFill>
              <a:ln>
                <a:noFill/>
              </a:ln>
              <a:effectLst/>
            </c:spPr>
          </c:dPt>
          <c:cat>
            <c:multiLvlStrRef>
              <c:f>'[1]估值-增速与年化收益'!$A$18:$B$34</c:f>
              <c:multiLvlStrCache>
                <c:ptCount val="17"/>
                <c:lvl>
                  <c:pt idx="0">
                    <c:v>1</c:v>
                  </c:pt>
                  <c:pt idx="1">
                    <c:v>2</c:v>
                  </c:pt>
                  <c:pt idx="2">
                    <c:v>3</c:v>
                  </c:pt>
                  <c:pt idx="3">
                    <c:v>5</c:v>
                  </c:pt>
                  <c:pt idx="4">
                    <c:v>10</c:v>
                  </c:pt>
                  <c:pt idx="5">
                    <c:v>15</c:v>
                  </c:pt>
                  <c:pt idx="6">
                    <c:v>20</c:v>
                  </c:pt>
                  <c:pt idx="7">
                    <c:v>30</c:v>
                  </c:pt>
                  <c:pt idx="8">
                    <c:v>40</c:v>
                  </c:pt>
                  <c:pt idx="9">
                    <c:v>50</c:v>
                  </c:pt>
                  <c:pt idx="10">
                    <c:v>60</c:v>
                  </c:pt>
                  <c:pt idx="11">
                    <c:v>80</c:v>
                  </c:pt>
                  <c:pt idx="12">
                    <c:v>100</c:v>
                  </c:pt>
                  <c:pt idx="13">
                    <c:v>150</c:v>
                  </c:pt>
                  <c:pt idx="14">
                    <c:v>200</c:v>
                  </c:pt>
                  <c:pt idx="15">
                    <c:v>500</c:v>
                  </c:pt>
                  <c:pt idx="16">
                    <c:v>1000</c:v>
                  </c:pt>
                </c:lvl>
                <c:lvl>
                  <c:pt idx="0">
                    <c:v>0.01</c:v>
                  </c:pt>
                  <c:pt idx="1">
                    <c:v>0.02</c:v>
                  </c:pt>
                  <c:pt idx="2">
                    <c:v>0.03</c:v>
                  </c:pt>
                  <c:pt idx="3">
                    <c:v>0.05</c:v>
                  </c:pt>
                  <c:pt idx="4">
                    <c:v>0.1</c:v>
                  </c:pt>
                  <c:pt idx="5">
                    <c:v>0.15</c:v>
                  </c:pt>
                  <c:pt idx="6">
                    <c:v>0.2</c:v>
                  </c:pt>
                  <c:pt idx="7">
                    <c:v>0.3</c:v>
                  </c:pt>
                  <c:pt idx="8">
                    <c:v>0.4</c:v>
                  </c:pt>
                  <c:pt idx="9">
                    <c:v>0.5</c:v>
                  </c:pt>
                  <c:pt idx="10">
                    <c:v>0.6</c:v>
                  </c:pt>
                  <c:pt idx="11">
                    <c:v>0.8</c:v>
                  </c:pt>
                  <c:pt idx="12">
                    <c:v>1</c:v>
                  </c:pt>
                  <c:pt idx="13">
                    <c:v>1.5</c:v>
                  </c:pt>
                  <c:pt idx="14">
                    <c:v>2</c:v>
                  </c:pt>
                  <c:pt idx="15">
                    <c:v>5</c:v>
                  </c:pt>
                  <c:pt idx="16">
                    <c:v>10</c:v>
                  </c:pt>
                </c:lvl>
              </c:multiLvlStrCache>
            </c:multiLvlStrRef>
          </c:cat>
          <c:val>
            <c:numRef>
              <c:f>'[1]估值-增速与年化收益'!$C$18:$C$34</c:f>
              <c:numCache>
                <c:formatCode>General</c:formatCode>
                <c:ptCount val="17"/>
                <c:pt idx="0">
                  <c:v>1</c:v>
                </c:pt>
                <c:pt idx="1">
                  <c:v>2</c:v>
                </c:pt>
                <c:pt idx="2">
                  <c:v>3</c:v>
                </c:pt>
                <c:pt idx="3">
                  <c:v>5</c:v>
                </c:pt>
                <c:pt idx="4">
                  <c:v>7</c:v>
                </c:pt>
                <c:pt idx="5">
                  <c:v>8</c:v>
                </c:pt>
                <c:pt idx="6">
                  <c:v>9</c:v>
                </c:pt>
                <c:pt idx="7">
                  <c:v>8</c:v>
                </c:pt>
                <c:pt idx="8">
                  <c:v>8</c:v>
                </c:pt>
                <c:pt idx="9">
                  <c:v>8</c:v>
                </c:pt>
                <c:pt idx="10">
                  <c:v>7</c:v>
                </c:pt>
                <c:pt idx="11">
                  <c:v>7</c:v>
                </c:pt>
                <c:pt idx="12">
                  <c:v>6</c:v>
                </c:pt>
                <c:pt idx="13">
                  <c:v>5</c:v>
                </c:pt>
                <c:pt idx="14">
                  <c:v>5</c:v>
                </c:pt>
                <c:pt idx="15">
                  <c:v>4</c:v>
                </c:pt>
                <c:pt idx="16">
                  <c:v>3</c:v>
                </c:pt>
              </c:numCache>
            </c:numRef>
          </c:val>
        </c:ser>
        <c:dLbls>
          <c:showLegendKey val="0"/>
          <c:showVal val="0"/>
          <c:showCatName val="0"/>
          <c:showSerName val="0"/>
          <c:showPercent val="0"/>
          <c:showBubbleSize val="0"/>
        </c:dLbls>
        <c:gapWidth val="219"/>
        <c:overlap val="-27"/>
        <c:axId val="397396112"/>
        <c:axId val="397396672"/>
        <c:extLst>
          <c:ext xmlns:c15="http://schemas.microsoft.com/office/drawing/2012/chart" uri="{02D57815-91ED-43cb-92C2-25804820EDAC}">
            <c15:filteredBarSeries>
              <c15:ser>
                <c:idx val="0"/>
                <c:order val="0"/>
                <c:tx>
                  <c:strRef>
                    <c:extLst>
                      <c:ext uri="{02D57815-91ED-43cb-92C2-25804820EDAC}">
                        <c15:formulaRef>
                          <c15:sqref>'[1]估值-增速与年化收益'!$A$17</c15:sqref>
                        </c15:formulaRef>
                      </c:ext>
                    </c:extLst>
                    <c:strCache>
                      <c:ptCount val="1"/>
                      <c:pt idx="0">
                        <c:v>增速</c:v>
                      </c:pt>
                    </c:strCache>
                  </c:strRef>
                </c:tx>
                <c:spPr>
                  <a:solidFill>
                    <a:schemeClr val="accent1"/>
                  </a:solidFill>
                  <a:ln>
                    <a:noFill/>
                  </a:ln>
                  <a:effectLst/>
                </c:spPr>
                <c:invertIfNegative val="0"/>
                <c:cat>
                  <c:multiLvlStrRef>
                    <c:extLst>
                      <c:ext uri="{02D57815-91ED-43cb-92C2-25804820EDAC}">
                        <c15:formulaRef>
                          <c15:sqref>'[1]估值-增速与年化收益'!$A$18:$B$34</c15:sqref>
                        </c15:formulaRef>
                      </c:ext>
                    </c:extLst>
                    <c:multiLvlStrCache>
                      <c:ptCount val="17"/>
                      <c:lvl>
                        <c:pt idx="0">
                          <c:v>1</c:v>
                        </c:pt>
                        <c:pt idx="1">
                          <c:v>2</c:v>
                        </c:pt>
                        <c:pt idx="2">
                          <c:v>3</c:v>
                        </c:pt>
                        <c:pt idx="3">
                          <c:v>5</c:v>
                        </c:pt>
                        <c:pt idx="4">
                          <c:v>10</c:v>
                        </c:pt>
                        <c:pt idx="5">
                          <c:v>15</c:v>
                        </c:pt>
                        <c:pt idx="6">
                          <c:v>20</c:v>
                        </c:pt>
                        <c:pt idx="7">
                          <c:v>30</c:v>
                        </c:pt>
                        <c:pt idx="8">
                          <c:v>40</c:v>
                        </c:pt>
                        <c:pt idx="9">
                          <c:v>50</c:v>
                        </c:pt>
                        <c:pt idx="10">
                          <c:v>60</c:v>
                        </c:pt>
                        <c:pt idx="11">
                          <c:v>80</c:v>
                        </c:pt>
                        <c:pt idx="12">
                          <c:v>100</c:v>
                        </c:pt>
                        <c:pt idx="13">
                          <c:v>150</c:v>
                        </c:pt>
                        <c:pt idx="14">
                          <c:v>200</c:v>
                        </c:pt>
                        <c:pt idx="15">
                          <c:v>500</c:v>
                        </c:pt>
                        <c:pt idx="16">
                          <c:v>1000</c:v>
                        </c:pt>
                      </c:lvl>
                      <c:lvl>
                        <c:pt idx="0">
                          <c:v>0.01</c:v>
                        </c:pt>
                        <c:pt idx="1">
                          <c:v>0.02</c:v>
                        </c:pt>
                        <c:pt idx="2">
                          <c:v>0.03</c:v>
                        </c:pt>
                        <c:pt idx="3">
                          <c:v>0.05</c:v>
                        </c:pt>
                        <c:pt idx="4">
                          <c:v>0.1</c:v>
                        </c:pt>
                        <c:pt idx="5">
                          <c:v>0.15</c:v>
                        </c:pt>
                        <c:pt idx="6">
                          <c:v>0.2</c:v>
                        </c:pt>
                        <c:pt idx="7">
                          <c:v>0.3</c:v>
                        </c:pt>
                        <c:pt idx="8">
                          <c:v>0.4</c:v>
                        </c:pt>
                        <c:pt idx="9">
                          <c:v>0.5</c:v>
                        </c:pt>
                        <c:pt idx="10">
                          <c:v>0.6</c:v>
                        </c:pt>
                        <c:pt idx="11">
                          <c:v>0.8</c:v>
                        </c:pt>
                        <c:pt idx="12">
                          <c:v>1</c:v>
                        </c:pt>
                        <c:pt idx="13">
                          <c:v>1.5</c:v>
                        </c:pt>
                        <c:pt idx="14">
                          <c:v>2</c:v>
                        </c:pt>
                        <c:pt idx="15">
                          <c:v>5</c:v>
                        </c:pt>
                        <c:pt idx="16">
                          <c:v>10</c:v>
                        </c:pt>
                      </c:lvl>
                    </c:multiLvlStrCache>
                  </c:multiLvlStrRef>
                </c:cat>
                <c:val>
                  <c:numRef>
                    <c:extLst>
                      <c:ext uri="{02D57815-91ED-43cb-92C2-25804820EDAC}">
                        <c15:formulaRef>
                          <c15:sqref>'[1]估值-增速与年化收益'!$A$18:$A$34</c15:sqref>
                        </c15:formulaRef>
                      </c:ext>
                    </c:extLst>
                    <c:numCache>
                      <c:formatCode>General</c:formatCode>
                      <c:ptCount val="17"/>
                      <c:pt idx="0">
                        <c:v>0.01</c:v>
                      </c:pt>
                      <c:pt idx="1">
                        <c:v>0.02</c:v>
                      </c:pt>
                      <c:pt idx="2">
                        <c:v>0.03</c:v>
                      </c:pt>
                      <c:pt idx="3">
                        <c:v>0.05</c:v>
                      </c:pt>
                      <c:pt idx="4">
                        <c:v>0.1</c:v>
                      </c:pt>
                      <c:pt idx="5">
                        <c:v>0.15</c:v>
                      </c:pt>
                      <c:pt idx="6">
                        <c:v>0.2</c:v>
                      </c:pt>
                      <c:pt idx="7">
                        <c:v>0.3</c:v>
                      </c:pt>
                      <c:pt idx="8">
                        <c:v>0.4</c:v>
                      </c:pt>
                      <c:pt idx="9">
                        <c:v>0.5</c:v>
                      </c:pt>
                      <c:pt idx="10">
                        <c:v>0.6</c:v>
                      </c:pt>
                      <c:pt idx="11">
                        <c:v>0.8</c:v>
                      </c:pt>
                      <c:pt idx="12">
                        <c:v>1</c:v>
                      </c:pt>
                      <c:pt idx="13">
                        <c:v>1.5</c:v>
                      </c:pt>
                      <c:pt idx="14">
                        <c:v>2</c:v>
                      </c:pt>
                      <c:pt idx="15">
                        <c:v>5</c:v>
                      </c:pt>
                      <c:pt idx="16">
                        <c:v>10</c:v>
                      </c:pt>
                    </c:numCache>
                  </c:numRef>
                </c:val>
              </c15:ser>
            </c15:filteredBarSeries>
            <c15:filteredBarSeries>
              <c15:ser>
                <c:idx val="1"/>
                <c:order val="1"/>
                <c:tx>
                  <c:strRef>
                    <c:extLst xmlns:c15="http://schemas.microsoft.com/office/drawing/2012/chart">
                      <c:ext xmlns:c15="http://schemas.microsoft.com/office/drawing/2012/chart" uri="{02D57815-91ED-43cb-92C2-25804820EDAC}">
                        <c15:formulaRef>
                          <c15:sqref>'[1]估值-增速与年化收益'!$B$17</c15:sqref>
                        </c15:formulaRef>
                      </c:ext>
                    </c:extLst>
                    <c:strCache>
                      <c:ptCount val="1"/>
                      <c:pt idx="0">
                        <c:v>PE</c:v>
                      </c:pt>
                    </c:strCache>
                  </c:strRef>
                </c:tx>
                <c:spPr>
                  <a:solidFill>
                    <a:schemeClr val="accent2"/>
                  </a:solidFill>
                  <a:ln>
                    <a:noFill/>
                  </a:ln>
                  <a:effectLst/>
                </c:spPr>
                <c:invertIfNegative val="0"/>
                <c:cat>
                  <c:multiLvlStrRef>
                    <c:extLst xmlns:c15="http://schemas.microsoft.com/office/drawing/2012/chart">
                      <c:ext xmlns:c15="http://schemas.microsoft.com/office/drawing/2012/chart" uri="{02D57815-91ED-43cb-92C2-25804820EDAC}">
                        <c15:formulaRef>
                          <c15:sqref>'[1]估值-增速与年化收益'!$A$18:$B$34</c15:sqref>
                        </c15:formulaRef>
                      </c:ext>
                    </c:extLst>
                    <c:multiLvlStrCache>
                      <c:ptCount val="17"/>
                      <c:lvl>
                        <c:pt idx="0">
                          <c:v>1</c:v>
                        </c:pt>
                        <c:pt idx="1">
                          <c:v>2</c:v>
                        </c:pt>
                        <c:pt idx="2">
                          <c:v>3</c:v>
                        </c:pt>
                        <c:pt idx="3">
                          <c:v>5</c:v>
                        </c:pt>
                        <c:pt idx="4">
                          <c:v>10</c:v>
                        </c:pt>
                        <c:pt idx="5">
                          <c:v>15</c:v>
                        </c:pt>
                        <c:pt idx="6">
                          <c:v>20</c:v>
                        </c:pt>
                        <c:pt idx="7">
                          <c:v>30</c:v>
                        </c:pt>
                        <c:pt idx="8">
                          <c:v>40</c:v>
                        </c:pt>
                        <c:pt idx="9">
                          <c:v>50</c:v>
                        </c:pt>
                        <c:pt idx="10">
                          <c:v>60</c:v>
                        </c:pt>
                        <c:pt idx="11">
                          <c:v>80</c:v>
                        </c:pt>
                        <c:pt idx="12">
                          <c:v>100</c:v>
                        </c:pt>
                        <c:pt idx="13">
                          <c:v>150</c:v>
                        </c:pt>
                        <c:pt idx="14">
                          <c:v>200</c:v>
                        </c:pt>
                        <c:pt idx="15">
                          <c:v>500</c:v>
                        </c:pt>
                        <c:pt idx="16">
                          <c:v>1000</c:v>
                        </c:pt>
                      </c:lvl>
                      <c:lvl>
                        <c:pt idx="0">
                          <c:v>0.01</c:v>
                        </c:pt>
                        <c:pt idx="1">
                          <c:v>0.02</c:v>
                        </c:pt>
                        <c:pt idx="2">
                          <c:v>0.03</c:v>
                        </c:pt>
                        <c:pt idx="3">
                          <c:v>0.05</c:v>
                        </c:pt>
                        <c:pt idx="4">
                          <c:v>0.1</c:v>
                        </c:pt>
                        <c:pt idx="5">
                          <c:v>0.15</c:v>
                        </c:pt>
                        <c:pt idx="6">
                          <c:v>0.2</c:v>
                        </c:pt>
                        <c:pt idx="7">
                          <c:v>0.3</c:v>
                        </c:pt>
                        <c:pt idx="8">
                          <c:v>0.4</c:v>
                        </c:pt>
                        <c:pt idx="9">
                          <c:v>0.5</c:v>
                        </c:pt>
                        <c:pt idx="10">
                          <c:v>0.6</c:v>
                        </c:pt>
                        <c:pt idx="11">
                          <c:v>0.8</c:v>
                        </c:pt>
                        <c:pt idx="12">
                          <c:v>1</c:v>
                        </c:pt>
                        <c:pt idx="13">
                          <c:v>1.5</c:v>
                        </c:pt>
                        <c:pt idx="14">
                          <c:v>2</c:v>
                        </c:pt>
                        <c:pt idx="15">
                          <c:v>5</c:v>
                        </c:pt>
                        <c:pt idx="16">
                          <c:v>10</c:v>
                        </c:pt>
                      </c:lvl>
                    </c:multiLvlStrCache>
                  </c:multiLvlStrRef>
                </c:cat>
                <c:val>
                  <c:numRef>
                    <c:extLst xmlns:c15="http://schemas.microsoft.com/office/drawing/2012/chart">
                      <c:ext xmlns:c15="http://schemas.microsoft.com/office/drawing/2012/chart" uri="{02D57815-91ED-43cb-92C2-25804820EDAC}">
                        <c15:formulaRef>
                          <c15:sqref>'[1]估值-增速与年化收益'!$B$18:$B$34</c15:sqref>
                        </c15:formulaRef>
                      </c:ext>
                    </c:extLst>
                    <c:numCache>
                      <c:formatCode>General</c:formatCode>
                      <c:ptCount val="17"/>
                      <c:pt idx="0">
                        <c:v>1</c:v>
                      </c:pt>
                      <c:pt idx="1">
                        <c:v>2</c:v>
                      </c:pt>
                      <c:pt idx="2">
                        <c:v>3</c:v>
                      </c:pt>
                      <c:pt idx="3">
                        <c:v>5</c:v>
                      </c:pt>
                      <c:pt idx="4">
                        <c:v>10</c:v>
                      </c:pt>
                      <c:pt idx="5">
                        <c:v>15</c:v>
                      </c:pt>
                      <c:pt idx="6">
                        <c:v>20</c:v>
                      </c:pt>
                      <c:pt idx="7">
                        <c:v>30</c:v>
                      </c:pt>
                      <c:pt idx="8">
                        <c:v>40</c:v>
                      </c:pt>
                      <c:pt idx="9">
                        <c:v>50</c:v>
                      </c:pt>
                      <c:pt idx="10">
                        <c:v>60</c:v>
                      </c:pt>
                      <c:pt idx="11">
                        <c:v>80</c:v>
                      </c:pt>
                      <c:pt idx="12">
                        <c:v>100</c:v>
                      </c:pt>
                      <c:pt idx="13">
                        <c:v>150</c:v>
                      </c:pt>
                      <c:pt idx="14">
                        <c:v>200</c:v>
                      </c:pt>
                      <c:pt idx="15">
                        <c:v>500</c:v>
                      </c:pt>
                      <c:pt idx="16">
                        <c:v>1000</c:v>
                      </c:pt>
                    </c:numCache>
                  </c:numRef>
                </c:val>
              </c15:ser>
            </c15:filteredBarSeries>
          </c:ext>
        </c:extLst>
      </c:barChart>
      <c:catAx>
        <c:axId val="397396112"/>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7396672"/>
        <c:crosses val="autoZero"/>
        <c:auto val="1"/>
        <c:lblAlgn val="ctr"/>
        <c:lblOffset val="100"/>
        <c:noMultiLvlLbl val="0"/>
      </c:catAx>
      <c:valAx>
        <c:axId val="397396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zh-CN" altLang="en-US"/>
                  <a:t>回本年限</a:t>
                </a:r>
                <a:endParaRPr lang="en-US" altLang="zh-C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3973961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CN"/>
          </a:p>
        </c:txPr>
      </c:dTable>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222250</xdr:colOff>
          <xdr:row>0</xdr:row>
          <xdr:rowOff>50800</xdr:rowOff>
        </xdr:from>
        <xdr:to>
          <xdr:col>147</xdr:col>
          <xdr:colOff>1454150</xdr:colOff>
          <xdr:row>0</xdr:row>
          <xdr:rowOff>361950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279400</xdr:colOff>
      <xdr:row>17</xdr:row>
      <xdr:rowOff>88900</xdr:rowOff>
    </xdr:from>
    <xdr:to>
      <xdr:col>16</xdr:col>
      <xdr:colOff>501650</xdr:colOff>
      <xdr:row>32</xdr:row>
      <xdr:rowOff>165100</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04Investment/value-investment/&#20272;&#20540;&#20998;&#26512;/A&#32929;&#34892;&#19994;&#20449;&#24687;&#27719;&#2463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股新申万一二三级"/>
      <sheetName val="申万一级"/>
      <sheetName val="申万二级"/>
      <sheetName val="申万三级"/>
      <sheetName val="ShenWan2Level"/>
      <sheetName val="估值-增速与年化收益"/>
    </sheetNames>
    <sheetDataSet>
      <sheetData sheetId="0"/>
      <sheetData sheetId="1"/>
      <sheetData sheetId="2"/>
      <sheetData sheetId="3"/>
      <sheetData sheetId="4"/>
      <sheetData sheetId="5">
        <row r="17">
          <cell r="A17" t="str">
            <v>增速</v>
          </cell>
          <cell r="B17" t="str">
            <v>PE</v>
          </cell>
          <cell r="C17" t="str">
            <v>回本年限</v>
          </cell>
        </row>
        <row r="18">
          <cell r="A18">
            <v>0.01</v>
          </cell>
          <cell r="B18">
            <v>1</v>
          </cell>
          <cell r="C18">
            <v>1</v>
          </cell>
        </row>
        <row r="19">
          <cell r="A19">
            <v>0.02</v>
          </cell>
          <cell r="B19">
            <v>2</v>
          </cell>
          <cell r="C19">
            <v>2</v>
          </cell>
        </row>
        <row r="20">
          <cell r="A20">
            <v>0.03</v>
          </cell>
          <cell r="B20">
            <v>3</v>
          </cell>
          <cell r="C20">
            <v>3</v>
          </cell>
        </row>
        <row r="21">
          <cell r="A21">
            <v>0.05</v>
          </cell>
          <cell r="B21">
            <v>5</v>
          </cell>
          <cell r="C21">
            <v>5</v>
          </cell>
        </row>
        <row r="22">
          <cell r="A22">
            <v>0.1</v>
          </cell>
          <cell r="B22">
            <v>10</v>
          </cell>
          <cell r="C22">
            <v>7</v>
          </cell>
        </row>
        <row r="23">
          <cell r="A23">
            <v>0.15</v>
          </cell>
          <cell r="B23">
            <v>15</v>
          </cell>
          <cell r="C23">
            <v>8</v>
          </cell>
        </row>
        <row r="24">
          <cell r="A24">
            <v>0.2</v>
          </cell>
          <cell r="B24">
            <v>20</v>
          </cell>
          <cell r="C24">
            <v>9</v>
          </cell>
        </row>
        <row r="25">
          <cell r="A25">
            <v>0.3</v>
          </cell>
          <cell r="B25">
            <v>30</v>
          </cell>
          <cell r="C25">
            <v>8</v>
          </cell>
        </row>
        <row r="26">
          <cell r="A26">
            <v>0.4</v>
          </cell>
          <cell r="B26">
            <v>40</v>
          </cell>
          <cell r="C26">
            <v>8</v>
          </cell>
        </row>
        <row r="27">
          <cell r="A27">
            <v>0.5</v>
          </cell>
          <cell r="B27">
            <v>50</v>
          </cell>
          <cell r="C27">
            <v>8</v>
          </cell>
        </row>
        <row r="28">
          <cell r="A28">
            <v>0.6</v>
          </cell>
          <cell r="B28">
            <v>60</v>
          </cell>
          <cell r="C28">
            <v>7</v>
          </cell>
        </row>
        <row r="29">
          <cell r="A29">
            <v>0.8</v>
          </cell>
          <cell r="B29">
            <v>80</v>
          </cell>
          <cell r="C29">
            <v>7</v>
          </cell>
        </row>
        <row r="30">
          <cell r="A30">
            <v>1</v>
          </cell>
          <cell r="B30">
            <v>100</v>
          </cell>
          <cell r="C30">
            <v>6</v>
          </cell>
        </row>
        <row r="31">
          <cell r="A31">
            <v>1.5</v>
          </cell>
          <cell r="B31">
            <v>150</v>
          </cell>
          <cell r="C31">
            <v>5</v>
          </cell>
        </row>
        <row r="32">
          <cell r="A32">
            <v>2</v>
          </cell>
          <cell r="B32">
            <v>200</v>
          </cell>
          <cell r="C32">
            <v>5</v>
          </cell>
        </row>
        <row r="33">
          <cell r="A33">
            <v>5</v>
          </cell>
          <cell r="B33">
            <v>500</v>
          </cell>
          <cell r="C33">
            <v>4</v>
          </cell>
        </row>
        <row r="34">
          <cell r="A34">
            <v>10</v>
          </cell>
          <cell r="B34">
            <v>1000</v>
          </cell>
          <cell r="C34">
            <v>3</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98"/>
  <sheetViews>
    <sheetView tabSelected="1" zoomScale="85" zoomScaleNormal="85" workbookViewId="0">
      <pane xSplit="5" ySplit="1" topLeftCell="BG44" activePane="bottomRight" state="frozen"/>
      <selection pane="topRight" activeCell="F1" sqref="F1"/>
      <selection pane="bottomLeft" activeCell="A2" sqref="A2"/>
      <selection pane="bottomRight" activeCell="C51" sqref="C50:C51"/>
    </sheetView>
  </sheetViews>
  <sheetFormatPr defaultRowHeight="14" x14ac:dyDescent="0.25"/>
  <cols>
    <col min="1" max="1" width="30.90625" customWidth="1"/>
    <col min="2" max="2" width="36.453125" customWidth="1"/>
    <col min="3" max="3" width="43.54296875" customWidth="1"/>
    <col min="9" max="9" width="10.81640625" customWidth="1"/>
    <col min="148" max="148" width="25.7265625" customWidth="1"/>
  </cols>
  <sheetData>
    <row r="1" spans="1:146" ht="33" customHeight="1" x14ac:dyDescent="0.25">
      <c r="A1" s="3" t="s">
        <v>51</v>
      </c>
      <c r="B1" s="4" t="s">
        <v>52</v>
      </c>
      <c r="C1" s="3" t="s">
        <v>53</v>
      </c>
      <c r="D1" t="s">
        <v>54</v>
      </c>
      <c r="E1" t="s">
        <v>805</v>
      </c>
      <c r="F1" t="s">
        <v>0</v>
      </c>
      <c r="G1" t="s">
        <v>715</v>
      </c>
      <c r="H1" t="s">
        <v>948</v>
      </c>
      <c r="I1" t="s">
        <v>55</v>
      </c>
      <c r="J1" t="s">
        <v>56</v>
      </c>
      <c r="K1" t="s">
        <v>1</v>
      </c>
      <c r="L1" t="s">
        <v>57</v>
      </c>
      <c r="M1" t="s">
        <v>58</v>
      </c>
      <c r="N1" t="s">
        <v>59</v>
      </c>
      <c r="O1" t="s">
        <v>60</v>
      </c>
      <c r="P1" t="s">
        <v>949</v>
      </c>
      <c r="Q1" t="s">
        <v>950</v>
      </c>
      <c r="R1" t="s">
        <v>806</v>
      </c>
      <c r="S1" t="s">
        <v>61</v>
      </c>
      <c r="T1" t="s">
        <v>951</v>
      </c>
      <c r="U1" t="s">
        <v>716</v>
      </c>
      <c r="V1" t="s">
        <v>62</v>
      </c>
      <c r="W1" t="s">
        <v>952</v>
      </c>
      <c r="X1" t="s">
        <v>953</v>
      </c>
      <c r="Y1" t="s">
        <v>954</v>
      </c>
      <c r="Z1" t="s">
        <v>955</v>
      </c>
      <c r="AA1" t="s">
        <v>956</v>
      </c>
      <c r="AB1" t="s">
        <v>957</v>
      </c>
      <c r="AC1" t="s">
        <v>958</v>
      </c>
      <c r="AD1" t="s">
        <v>959</v>
      </c>
      <c r="AE1" t="s">
        <v>63</v>
      </c>
      <c r="AF1" t="s">
        <v>64</v>
      </c>
      <c r="AG1" t="s">
        <v>960</v>
      </c>
      <c r="AH1" t="s">
        <v>961</v>
      </c>
      <c r="AI1" t="s">
        <v>962</v>
      </c>
      <c r="AJ1" t="s">
        <v>65</v>
      </c>
      <c r="AK1" t="s">
        <v>963</v>
      </c>
      <c r="AL1" t="s">
        <v>311</v>
      </c>
      <c r="AM1" t="s">
        <v>964</v>
      </c>
      <c r="AN1" t="s">
        <v>965</v>
      </c>
      <c r="AO1" t="s">
        <v>966</v>
      </c>
      <c r="AP1" t="s">
        <v>967</v>
      </c>
      <c r="AQ1" t="s">
        <v>968</v>
      </c>
      <c r="AR1" t="s">
        <v>969</v>
      </c>
      <c r="AS1" t="s">
        <v>970</v>
      </c>
      <c r="AT1" t="s">
        <v>971</v>
      </c>
      <c r="AU1" t="s">
        <v>972</v>
      </c>
      <c r="AV1" t="s">
        <v>973</v>
      </c>
      <c r="AW1" t="s">
        <v>974</v>
      </c>
      <c r="AX1" t="s">
        <v>975</v>
      </c>
      <c r="AY1" t="s">
        <v>976</v>
      </c>
      <c r="AZ1" t="s">
        <v>312</v>
      </c>
      <c r="BA1" t="s">
        <v>313</v>
      </c>
      <c r="BB1" t="s">
        <v>314</v>
      </c>
      <c r="BC1" t="s">
        <v>839</v>
      </c>
      <c r="BD1" t="s">
        <v>717</v>
      </c>
      <c r="BE1" t="s">
        <v>315</v>
      </c>
      <c r="BF1" t="s">
        <v>316</v>
      </c>
      <c r="BG1" t="s">
        <v>317</v>
      </c>
      <c r="BH1" t="s">
        <v>977</v>
      </c>
      <c r="BI1" t="s">
        <v>978</v>
      </c>
      <c r="BJ1" t="s">
        <v>979</v>
      </c>
      <c r="BK1" t="s">
        <v>980</v>
      </c>
      <c r="BL1" t="s">
        <v>981</v>
      </c>
      <c r="BM1" t="s">
        <v>982</v>
      </c>
      <c r="BN1" t="s">
        <v>983</v>
      </c>
      <c r="BO1" t="s">
        <v>840</v>
      </c>
      <c r="BP1" t="s">
        <v>718</v>
      </c>
      <c r="BQ1" t="s">
        <v>984</v>
      </c>
      <c r="BR1" t="s">
        <v>841</v>
      </c>
      <c r="BS1" t="s">
        <v>719</v>
      </c>
      <c r="BT1" t="s">
        <v>985</v>
      </c>
      <c r="BU1" t="s">
        <v>842</v>
      </c>
      <c r="BV1" t="s">
        <v>986</v>
      </c>
      <c r="BW1" t="s">
        <v>987</v>
      </c>
      <c r="BX1" t="s">
        <v>644</v>
      </c>
      <c r="BY1" t="s">
        <v>988</v>
      </c>
      <c r="BZ1" t="s">
        <v>989</v>
      </c>
      <c r="CA1" t="s">
        <v>645</v>
      </c>
      <c r="CB1" t="s">
        <v>990</v>
      </c>
      <c r="CC1" t="s">
        <v>991</v>
      </c>
      <c r="CD1" t="s">
        <v>992</v>
      </c>
      <c r="CE1" t="s">
        <v>993</v>
      </c>
      <c r="CF1" s="1" t="s">
        <v>807</v>
      </c>
      <c r="CG1" s="1" t="s">
        <v>808</v>
      </c>
      <c r="CH1" s="1" t="s">
        <v>631</v>
      </c>
      <c r="CI1" s="1" t="s">
        <v>632</v>
      </c>
      <c r="CJ1" s="1" t="s">
        <v>633</v>
      </c>
      <c r="CK1" s="1" t="s">
        <v>634</v>
      </c>
      <c r="CL1" s="1" t="s">
        <v>635</v>
      </c>
      <c r="CM1" s="1" t="s">
        <v>636</v>
      </c>
      <c r="CN1" s="1" t="s">
        <v>637</v>
      </c>
      <c r="CO1" s="1" t="s">
        <v>638</v>
      </c>
      <c r="CP1" s="1" t="s">
        <v>639</v>
      </c>
      <c r="CQ1" s="1" t="s">
        <v>640</v>
      </c>
      <c r="CR1" s="1" t="s">
        <v>994</v>
      </c>
      <c r="CS1" s="1" t="s">
        <v>995</v>
      </c>
      <c r="CT1" s="1" t="s">
        <v>996</v>
      </c>
      <c r="CU1" s="1" t="s">
        <v>843</v>
      </c>
      <c r="CV1" s="1" t="s">
        <v>844</v>
      </c>
      <c r="CW1" s="1" t="s">
        <v>845</v>
      </c>
      <c r="CX1">
        <v>1</v>
      </c>
      <c r="CY1" t="s">
        <v>846</v>
      </c>
      <c r="CZ1" t="s">
        <v>847</v>
      </c>
      <c r="DA1">
        <v>3</v>
      </c>
      <c r="DB1" t="s">
        <v>848</v>
      </c>
      <c r="DC1" t="s">
        <v>849</v>
      </c>
      <c r="DD1">
        <v>6</v>
      </c>
      <c r="DE1" t="s">
        <v>850</v>
      </c>
      <c r="DF1" t="s">
        <v>851</v>
      </c>
      <c r="DG1">
        <v>10</v>
      </c>
      <c r="DH1" t="s">
        <v>852</v>
      </c>
      <c r="DI1" t="s">
        <v>853</v>
      </c>
      <c r="DJ1">
        <v>20</v>
      </c>
      <c r="DK1" t="s">
        <v>854</v>
      </c>
      <c r="DL1" t="s">
        <v>641</v>
      </c>
      <c r="DM1" t="s">
        <v>642</v>
      </c>
      <c r="DN1" s="2" t="s">
        <v>643</v>
      </c>
      <c r="DO1" t="s">
        <v>855</v>
      </c>
      <c r="DP1" t="s">
        <v>856</v>
      </c>
      <c r="DQ1" s="12" t="s">
        <v>857</v>
      </c>
      <c r="DR1" s="1" t="s">
        <v>858</v>
      </c>
      <c r="DS1" s="1" t="s">
        <v>859</v>
      </c>
      <c r="DT1" t="s">
        <v>860</v>
      </c>
      <c r="DU1" t="s">
        <v>861</v>
      </c>
      <c r="DV1" t="s">
        <v>862</v>
      </c>
      <c r="DW1" t="s">
        <v>863</v>
      </c>
      <c r="DX1" t="s">
        <v>864</v>
      </c>
      <c r="DY1" t="s">
        <v>865</v>
      </c>
      <c r="DZ1" t="s">
        <v>866</v>
      </c>
      <c r="EA1" t="s">
        <v>867</v>
      </c>
      <c r="EB1" t="s">
        <v>868</v>
      </c>
      <c r="EC1" t="s">
        <v>869</v>
      </c>
      <c r="ED1" t="s">
        <v>870</v>
      </c>
      <c r="EE1" t="s">
        <v>871</v>
      </c>
      <c r="EF1" t="s">
        <v>872</v>
      </c>
      <c r="EG1" t="s">
        <v>873</v>
      </c>
      <c r="EH1" t="s">
        <v>874</v>
      </c>
      <c r="EI1" t="s">
        <v>875</v>
      </c>
      <c r="EK1" s="13" t="s">
        <v>876</v>
      </c>
      <c r="EL1" t="s">
        <v>877</v>
      </c>
      <c r="EM1" t="s">
        <v>878</v>
      </c>
      <c r="EN1" t="s">
        <v>879</v>
      </c>
      <c r="EO1" t="s">
        <v>880</v>
      </c>
      <c r="EP1" t="s">
        <v>997</v>
      </c>
    </row>
    <row r="2" spans="1:146" ht="96" x14ac:dyDescent="0.25">
      <c r="A2" s="7"/>
      <c r="B2" s="7"/>
      <c r="C2" s="7" t="str">
        <f>""&amp;CHAR(10)&amp;Basic_Fundamental_Information_Constructure(F2)&amp;CHAR(10)&amp;Basic_Fundamental_Information_Concatenate("")</f>
        <v xml:space="preserve">
市值337.77468亿, 利润20.46亿; PE13.42; 平均PE15.58; 平均PEG.84, PB1.12; ROIC3.7933%; ROE6.61%; 股利率1.9718%; 毛利19.7867%; 净利6.7133%; 上一年度营收增7.94%, 利润增-6.96%; 当季营收增18.74%, 利润增74.3%; 过往5年营收增18.53%, 利润增45.08%
Income profile:
</v>
      </c>
      <c r="D2" t="s">
        <v>66</v>
      </c>
      <c r="E2" t="s">
        <v>11</v>
      </c>
      <c r="F2">
        <v>7.1</v>
      </c>
      <c r="G2">
        <v>-2.0699999999999998</v>
      </c>
      <c r="H2" t="s">
        <v>2248</v>
      </c>
      <c r="I2">
        <v>33777468000</v>
      </c>
      <c r="J2">
        <v>13.42</v>
      </c>
      <c r="K2">
        <v>1.1200000000000001</v>
      </c>
      <c r="L2" t="s">
        <v>67</v>
      </c>
      <c r="M2" t="s">
        <v>1323</v>
      </c>
      <c r="N2" t="s">
        <v>2249</v>
      </c>
      <c r="O2" t="s">
        <v>1324</v>
      </c>
      <c r="P2">
        <v>18.739999999999998</v>
      </c>
      <c r="Q2" t="s">
        <v>1325</v>
      </c>
      <c r="R2">
        <v>1105080780</v>
      </c>
      <c r="S2" s="5">
        <v>0.7429</v>
      </c>
      <c r="T2" t="s">
        <v>327</v>
      </c>
      <c r="U2">
        <v>4757389900</v>
      </c>
      <c r="V2">
        <v>4757389900</v>
      </c>
      <c r="W2">
        <v>2.83</v>
      </c>
      <c r="X2">
        <v>0.06</v>
      </c>
      <c r="Y2">
        <v>12.45</v>
      </c>
      <c r="Z2" t="s">
        <v>2250</v>
      </c>
      <c r="AA2" t="s">
        <v>2251</v>
      </c>
      <c r="AB2" t="s">
        <v>2252</v>
      </c>
      <c r="AC2" t="s">
        <v>2068</v>
      </c>
      <c r="AD2" t="s">
        <v>70</v>
      </c>
      <c r="AE2">
        <v>590092960</v>
      </c>
      <c r="AF2" t="s">
        <v>1328</v>
      </c>
      <c r="AG2" t="s">
        <v>2253</v>
      </c>
      <c r="AH2" t="s">
        <v>1329</v>
      </c>
      <c r="AI2" t="s">
        <v>2254</v>
      </c>
      <c r="AJ2" t="s">
        <v>1330</v>
      </c>
      <c r="AK2" t="s">
        <v>2255</v>
      </c>
      <c r="AL2" t="s">
        <v>1331</v>
      </c>
      <c r="AM2" t="s">
        <v>70</v>
      </c>
      <c r="AN2" t="s">
        <v>2256</v>
      </c>
      <c r="AO2" t="s">
        <v>2257</v>
      </c>
      <c r="AP2" t="s">
        <v>2258</v>
      </c>
      <c r="AQ2" t="s">
        <v>1368</v>
      </c>
      <c r="AR2" t="s">
        <v>70</v>
      </c>
      <c r="AS2" t="s">
        <v>2259</v>
      </c>
      <c r="AT2" t="s">
        <v>2260</v>
      </c>
      <c r="AU2" t="s">
        <v>2261</v>
      </c>
      <c r="AV2" t="s">
        <v>2262</v>
      </c>
      <c r="AW2" t="s">
        <v>2263</v>
      </c>
      <c r="AX2" t="s">
        <v>998</v>
      </c>
      <c r="AY2" t="s">
        <v>1002</v>
      </c>
      <c r="AZ2" t="s">
        <v>318</v>
      </c>
      <c r="BA2" t="s">
        <v>68</v>
      </c>
      <c r="BB2" t="s">
        <v>320</v>
      </c>
      <c r="BC2" t="s">
        <v>999</v>
      </c>
      <c r="BD2" t="s">
        <v>1003</v>
      </c>
      <c r="BE2" t="s">
        <v>319</v>
      </c>
      <c r="BF2" t="s">
        <v>69</v>
      </c>
      <c r="BG2" t="s">
        <v>321</v>
      </c>
      <c r="BH2" t="s">
        <v>1325</v>
      </c>
      <c r="BI2" t="s">
        <v>1291</v>
      </c>
      <c r="BJ2" t="s">
        <v>998</v>
      </c>
      <c r="BK2" t="s">
        <v>327</v>
      </c>
      <c r="BL2" t="s">
        <v>1332</v>
      </c>
      <c r="BM2" t="s">
        <v>999</v>
      </c>
      <c r="BN2">
        <v>4.04</v>
      </c>
      <c r="BO2">
        <v>3.75</v>
      </c>
      <c r="BP2">
        <v>3.59</v>
      </c>
      <c r="BQ2">
        <v>9.11</v>
      </c>
      <c r="BR2">
        <v>5.12</v>
      </c>
      <c r="BS2">
        <v>5.6</v>
      </c>
      <c r="BT2" t="s">
        <v>1333</v>
      </c>
      <c r="BU2" t="s">
        <v>881</v>
      </c>
      <c r="BV2">
        <v>22.55</v>
      </c>
      <c r="BW2">
        <v>17.350000000000001</v>
      </c>
      <c r="BX2">
        <v>19.46</v>
      </c>
      <c r="BY2">
        <v>6.87</v>
      </c>
      <c r="BZ2">
        <v>6.59</v>
      </c>
      <c r="CA2">
        <v>6.68</v>
      </c>
      <c r="CB2">
        <v>-2.74</v>
      </c>
      <c r="CC2">
        <v>0</v>
      </c>
      <c r="CD2" t="s">
        <v>2264</v>
      </c>
      <c r="CE2" t="s">
        <v>2265</v>
      </c>
      <c r="CF2" s="8">
        <v>0.18744594093661174</v>
      </c>
      <c r="CG2" s="9">
        <v>0.74302962145110407</v>
      </c>
      <c r="CH2" s="8">
        <v>7.9387083649635315E-2</v>
      </c>
      <c r="CI2" s="8">
        <v>0.16165682673454285</v>
      </c>
      <c r="CJ2" s="8">
        <v>0.57922267913818359</v>
      </c>
      <c r="CK2" s="8">
        <v>-1.7389651387929916E-2</v>
      </c>
      <c r="CL2" s="8">
        <v>0.12360338121652603</v>
      </c>
      <c r="CM2" s="9">
        <v>-6.9577105343341827E-2</v>
      </c>
      <c r="CN2" s="9">
        <v>-8.0301128327846527E-2</v>
      </c>
      <c r="CO2" s="9">
        <v>-0.39984938502311707</v>
      </c>
      <c r="CP2" s="9">
        <v>1.3421515226364136</v>
      </c>
      <c r="CQ2" s="9">
        <v>1.4616498947143555</v>
      </c>
      <c r="CR2">
        <v>15.575223486012913</v>
      </c>
      <c r="CS2">
        <v>0.84055878795806882</v>
      </c>
      <c r="CT2">
        <v>1.971830985915493</v>
      </c>
      <c r="CU2" s="8">
        <v>0.18529606387019157</v>
      </c>
      <c r="CV2" s="9">
        <v>0.4508147597312927</v>
      </c>
      <c r="CW2">
        <v>0.06</v>
      </c>
      <c r="CX2">
        <v>32.410179261609791</v>
      </c>
      <c r="CY2">
        <v>2287845044.0362372</v>
      </c>
      <c r="CZ2">
        <v>0.18529606387019157</v>
      </c>
      <c r="DA2">
        <v>9.7790011126780563</v>
      </c>
      <c r="DB2">
        <v>7582519640.3616714</v>
      </c>
      <c r="DC2">
        <v>0.17603126067668198</v>
      </c>
      <c r="DD2">
        <v>4.3109733673899289</v>
      </c>
      <c r="DE2">
        <v>17200168426.207111</v>
      </c>
      <c r="DF2">
        <v>0.16306053620576857</v>
      </c>
      <c r="DG2">
        <v>2.2741494612010054</v>
      </c>
      <c r="DH2">
        <v>32605362692.758457</v>
      </c>
      <c r="DI2">
        <v>0.14823685109615325</v>
      </c>
      <c r="DJ2">
        <v>0.86864317683092263</v>
      </c>
      <c r="DK2">
        <v>85362401936.454575</v>
      </c>
      <c r="DL2">
        <v>0.12970724470913408</v>
      </c>
      <c r="DM2">
        <v>2046000000</v>
      </c>
      <c r="DN2">
        <v>0.18529606387019157</v>
      </c>
      <c r="DO2">
        <v>74149468000</v>
      </c>
      <c r="DP2">
        <v>5139764000</v>
      </c>
      <c r="DQ2">
        <v>20</v>
      </c>
      <c r="DR2">
        <v>2.1498770664201694E-3</v>
      </c>
      <c r="DS2">
        <v>0.29221486171981137</v>
      </c>
      <c r="DT2" s="10">
        <v>-0.15666666666666665</v>
      </c>
      <c r="DU2">
        <v>0.73999999999999988</v>
      </c>
      <c r="DV2">
        <v>0.58333333333333326</v>
      </c>
      <c r="DW2">
        <v>-4</v>
      </c>
      <c r="DX2">
        <v>0.43997703303303209</v>
      </c>
      <c r="DY2">
        <v>-4</v>
      </c>
      <c r="DZ2">
        <v>594</v>
      </c>
      <c r="EA2">
        <v>-4</v>
      </c>
      <c r="EB2">
        <v>4</v>
      </c>
      <c r="EC2">
        <v>2.0995693457876975E-2</v>
      </c>
      <c r="ED2">
        <v>0.13999273004720508</v>
      </c>
      <c r="EE2" s="11">
        <v>1.0400100000000001</v>
      </c>
      <c r="EF2">
        <v>1.0485100000000001</v>
      </c>
      <c r="EG2">
        <v>29.149977033033032</v>
      </c>
      <c r="EH2" t="s">
        <v>940</v>
      </c>
      <c r="EI2">
        <v>0</v>
      </c>
      <c r="EJ2">
        <v>1</v>
      </c>
      <c r="EK2" s="13">
        <v>45470</v>
      </c>
      <c r="EL2" s="14">
        <v>1.1200000000000001</v>
      </c>
      <c r="EM2" s="14">
        <v>-2.77</v>
      </c>
      <c r="EN2" s="14">
        <v>0.14000000000000001</v>
      </c>
      <c r="EO2" s="14">
        <v>0.56999999999999995</v>
      </c>
      <c r="EP2" s="14">
        <v>-0.85</v>
      </c>
    </row>
    <row r="3" spans="1:146" ht="96" x14ac:dyDescent="0.25">
      <c r="A3" s="7"/>
      <c r="B3" s="7"/>
      <c r="C3" s="7" t="str">
        <f>""&amp;CHAR(10)&amp;Basic_Fundamental_Information_Constructure(F3)&amp;CHAR(10)&amp;Basic_Fundamental_Information_Concatenate("")</f>
        <v xml:space="preserve">
市值52.500622亿, 利润415.88万; PE842; 平均PE-64.73; 平均PEG-3.2, PB3.67; ROIC0%; ROE-12.1267%; 股利率0%; 毛利-8.93%; 净利-31.4467%; 上一年度营收增-14.99%, 利润增102.6%; 当季营收增-27.4%, 利润增6.67%; 过往5年营收增-20.21%, 利润增-86.62%
Income profile:
</v>
      </c>
      <c r="D3" t="s">
        <v>71</v>
      </c>
      <c r="E3" t="s">
        <v>3</v>
      </c>
      <c r="F3">
        <v>8.7100000000000009</v>
      </c>
      <c r="G3">
        <v>0.93</v>
      </c>
      <c r="H3" t="s">
        <v>2266</v>
      </c>
      <c r="I3">
        <v>5250062200</v>
      </c>
      <c r="J3">
        <v>842</v>
      </c>
      <c r="K3">
        <v>3.67</v>
      </c>
      <c r="L3" t="s">
        <v>67</v>
      </c>
      <c r="M3" t="s">
        <v>913</v>
      </c>
      <c r="N3" t="s">
        <v>2267</v>
      </c>
      <c r="O3" t="s">
        <v>1334</v>
      </c>
      <c r="P3">
        <v>-27.45</v>
      </c>
      <c r="Q3" t="s">
        <v>1335</v>
      </c>
      <c r="R3">
        <v>-29071220</v>
      </c>
      <c r="S3" s="6">
        <v>6.6699999999999995E-2</v>
      </c>
      <c r="T3" t="s">
        <v>1336</v>
      </c>
      <c r="U3">
        <v>338895160</v>
      </c>
      <c r="V3">
        <v>602762600</v>
      </c>
      <c r="W3">
        <v>1.51</v>
      </c>
      <c r="X3">
        <v>0.04</v>
      </c>
      <c r="Y3">
        <v>-37.76</v>
      </c>
      <c r="Z3" t="s">
        <v>399</v>
      </c>
      <c r="AA3" t="s">
        <v>2268</v>
      </c>
      <c r="AB3" t="s">
        <v>2269</v>
      </c>
      <c r="AC3" t="s">
        <v>2270</v>
      </c>
      <c r="AD3" t="s">
        <v>70</v>
      </c>
      <c r="AE3">
        <v>3174568</v>
      </c>
      <c r="AF3" t="s">
        <v>1337</v>
      </c>
      <c r="AG3" t="s">
        <v>2271</v>
      </c>
      <c r="AH3" t="s">
        <v>1338</v>
      </c>
      <c r="AI3" t="s">
        <v>141</v>
      </c>
      <c r="AJ3" t="s">
        <v>1339</v>
      </c>
      <c r="AK3" t="s">
        <v>70</v>
      </c>
      <c r="AL3" t="s">
        <v>1340</v>
      </c>
      <c r="AM3" t="s">
        <v>70</v>
      </c>
      <c r="AN3" t="s">
        <v>2272</v>
      </c>
      <c r="AO3" t="s">
        <v>2273</v>
      </c>
      <c r="AP3" t="s">
        <v>2274</v>
      </c>
      <c r="AQ3" t="s">
        <v>2275</v>
      </c>
      <c r="AR3" t="s">
        <v>70</v>
      </c>
      <c r="AS3" t="s">
        <v>1645</v>
      </c>
      <c r="AT3" t="s">
        <v>2276</v>
      </c>
      <c r="AU3" t="s">
        <v>2277</v>
      </c>
      <c r="AV3" t="s">
        <v>544</v>
      </c>
      <c r="AW3" t="s">
        <v>2278</v>
      </c>
      <c r="AX3" t="s">
        <v>1006</v>
      </c>
      <c r="AY3" t="s">
        <v>689</v>
      </c>
      <c r="AZ3" t="s">
        <v>323</v>
      </c>
      <c r="BA3" t="s">
        <v>72</v>
      </c>
      <c r="BB3" t="s">
        <v>326</v>
      </c>
      <c r="BC3" t="s">
        <v>1007</v>
      </c>
      <c r="BD3" t="s">
        <v>722</v>
      </c>
      <c r="BE3" t="s">
        <v>324</v>
      </c>
      <c r="BF3" t="s">
        <v>73</v>
      </c>
      <c r="BG3" t="s">
        <v>328</v>
      </c>
      <c r="BH3" t="s">
        <v>1335</v>
      </c>
      <c r="BI3" t="s">
        <v>163</v>
      </c>
      <c r="BJ3" t="s">
        <v>1006</v>
      </c>
      <c r="BK3" t="s">
        <v>1336</v>
      </c>
      <c r="BL3" t="s">
        <v>1342</v>
      </c>
      <c r="BM3" t="s">
        <v>1007</v>
      </c>
      <c r="BN3" t="s">
        <v>70</v>
      </c>
      <c r="BO3" t="s">
        <v>70</v>
      </c>
      <c r="BP3" t="s">
        <v>70</v>
      </c>
      <c r="BQ3">
        <v>-2</v>
      </c>
      <c r="BR3">
        <v>-10.43</v>
      </c>
      <c r="BS3">
        <v>-23.95</v>
      </c>
      <c r="BT3" t="s">
        <v>929</v>
      </c>
      <c r="BU3" t="s">
        <v>881</v>
      </c>
      <c r="BV3">
        <v>1.41</v>
      </c>
      <c r="BW3">
        <v>-15.91</v>
      </c>
      <c r="BX3">
        <v>-12.29</v>
      </c>
      <c r="BY3">
        <v>-0.34</v>
      </c>
      <c r="BZ3">
        <v>-26.72</v>
      </c>
      <c r="CA3">
        <v>-67.28</v>
      </c>
      <c r="CB3">
        <v>-0.46</v>
      </c>
      <c r="CC3">
        <v>-2.35</v>
      </c>
      <c r="CD3" t="s">
        <v>2279</v>
      </c>
      <c r="CE3" t="s">
        <v>305</v>
      </c>
      <c r="CF3" s="8">
        <v>-0.27404504504504512</v>
      </c>
      <c r="CG3" s="9">
        <v>6.6674585848208553E-2</v>
      </c>
      <c r="CH3" s="8">
        <v>-0.14985591173171997</v>
      </c>
      <c r="CI3" s="8">
        <v>-8.3223246037960052E-2</v>
      </c>
      <c r="CJ3" s="8">
        <v>-0.23147207498550415</v>
      </c>
      <c r="CK3" s="8">
        <v>-0.19460347294807434</v>
      </c>
      <c r="CL3" s="8">
        <v>-0.3511936366558075</v>
      </c>
      <c r="CM3" s="9">
        <v>1.0259925127029419</v>
      </c>
      <c r="CN3" s="9">
        <v>0.63553529977798462</v>
      </c>
      <c r="CO3" s="9">
        <v>-7.8567714691162109</v>
      </c>
      <c r="CP3" s="9">
        <v>1.5711537599563599</v>
      </c>
      <c r="CQ3" s="9">
        <v>0.29330313205718994</v>
      </c>
      <c r="CR3">
        <v>-64.727401620138494</v>
      </c>
      <c r="CS3">
        <v>-3.2032220426573992</v>
      </c>
      <c r="CT3">
        <v>0</v>
      </c>
      <c r="CU3" s="8">
        <v>-0.20206966847181321</v>
      </c>
      <c r="CV3" s="9">
        <v>-0.86615735292434692</v>
      </c>
      <c r="CW3">
        <v>0.06</v>
      </c>
      <c r="CX3" t="e">
        <v>#VALUE!</v>
      </c>
      <c r="CY3" t="s">
        <v>1343</v>
      </c>
      <c r="CZ3">
        <v>-0.20206966847181321</v>
      </c>
      <c r="DA3">
        <v>364.53321470937129</v>
      </c>
      <c r="DB3" t="s">
        <v>1344</v>
      </c>
      <c r="DC3">
        <v>-0.19196618504822255</v>
      </c>
      <c r="DD3">
        <v>182.26660735468565</v>
      </c>
      <c r="DE3" t="s">
        <v>1345</v>
      </c>
      <c r="DF3">
        <v>-0.17782130825519563</v>
      </c>
      <c r="DG3">
        <v>109.35996441281139</v>
      </c>
      <c r="DH3" t="s">
        <v>1346</v>
      </c>
      <c r="DI3">
        <v>-0.16165573477745057</v>
      </c>
      <c r="DJ3">
        <v>54.679982206405697</v>
      </c>
      <c r="DK3" t="s">
        <v>1347</v>
      </c>
      <c r="DL3">
        <v>-0.14144876793026923</v>
      </c>
      <c r="DM3">
        <v>4158800</v>
      </c>
      <c r="DN3">
        <v>-0.20206966847181321</v>
      </c>
      <c r="DO3">
        <v>4548062200</v>
      </c>
      <c r="DP3">
        <v>523344430</v>
      </c>
      <c r="DQ3">
        <v>29</v>
      </c>
      <c r="DR3">
        <v>-7.1975376573231914E-2</v>
      </c>
      <c r="DS3">
        <v>0.93283193877255544</v>
      </c>
      <c r="DT3" s="10">
        <v>-0.78999999999999992</v>
      </c>
      <c r="DU3">
        <v>-1.0316666666666665</v>
      </c>
      <c r="DV3">
        <v>-1.8216666666666663</v>
      </c>
      <c r="DW3">
        <v>-2.35E-2</v>
      </c>
      <c r="DX3">
        <v>0.2047108593598449</v>
      </c>
      <c r="DY3">
        <v>-1.9907051949563529E-3</v>
      </c>
      <c r="DZ3">
        <v>4269</v>
      </c>
      <c r="EA3">
        <v>-3.2762878061806119E-4</v>
      </c>
      <c r="EB3">
        <v>0</v>
      </c>
      <c r="EC3">
        <v>0.14489435807729278</v>
      </c>
      <c r="ED3">
        <v>1.710457815398633</v>
      </c>
      <c r="EE3" s="11">
        <v>1.0277099999999999</v>
      </c>
      <c r="EF3">
        <v>1.04491</v>
      </c>
      <c r="EG3">
        <v>12.084710859359845</v>
      </c>
      <c r="EH3" t="s">
        <v>940</v>
      </c>
      <c r="EI3">
        <v>0</v>
      </c>
      <c r="EJ3">
        <v>0</v>
      </c>
      <c r="EK3" s="13">
        <v>45470</v>
      </c>
      <c r="EL3" s="14">
        <v>-2.15</v>
      </c>
      <c r="EM3" s="14">
        <v>0.77</v>
      </c>
      <c r="EN3" s="14">
        <v>-5.88</v>
      </c>
      <c r="EO3" s="14">
        <v>0.81</v>
      </c>
      <c r="EP3" s="14">
        <v>-1.72</v>
      </c>
    </row>
    <row r="4" spans="1:146" ht="96" x14ac:dyDescent="0.25">
      <c r="A4" s="7"/>
      <c r="B4" s="7"/>
      <c r="C4" s="7" t="str">
        <f>""&amp;CHAR(10)&amp;Basic_Fundamental_Information_Constructure(F4)&amp;CHAR(10)&amp;Basic_Fundamental_Information_Concatenate("")</f>
        <v xml:space="preserve">
市值35.83366亿, 利润-1.76亿; PE; 平均PE-11.12; 平均PEG-.42, PB.323; ROIC.55%; ROE-2.42%; 股利率0%; 毛利19.2667%; 净利-12.5667%; 上一年度营收增-50.96%, 利润增42.86%; 当季营收增-60.45%, 利润增-199.87%; 过往5年营收增-26.3%, 利润增-11.88%
Income profile:
</v>
      </c>
      <c r="D4" t="s">
        <v>74</v>
      </c>
      <c r="E4" t="s">
        <v>46</v>
      </c>
      <c r="F4" t="s">
        <v>70</v>
      </c>
      <c r="G4" t="s">
        <v>70</v>
      </c>
      <c r="H4" t="s">
        <v>70</v>
      </c>
      <c r="I4">
        <v>3583366000</v>
      </c>
      <c r="K4">
        <v>0.32300000000000001</v>
      </c>
      <c r="L4" t="s">
        <v>67</v>
      </c>
      <c r="M4" t="s">
        <v>2280</v>
      </c>
      <c r="N4" t="s">
        <v>2281</v>
      </c>
      <c r="O4" t="s">
        <v>1275</v>
      </c>
      <c r="P4">
        <v>-60.38</v>
      </c>
      <c r="Q4" t="s">
        <v>2282</v>
      </c>
      <c r="R4">
        <v>-16200765</v>
      </c>
      <c r="S4" s="5">
        <v>-1.9990000000000001</v>
      </c>
      <c r="T4" t="s">
        <v>2235</v>
      </c>
      <c r="U4">
        <v>1060340670</v>
      </c>
      <c r="V4">
        <v>1486873900</v>
      </c>
      <c r="W4">
        <v>2.13</v>
      </c>
      <c r="X4">
        <v>0.01</v>
      </c>
      <c r="Y4">
        <v>-7.05</v>
      </c>
      <c r="Z4" t="s">
        <v>593</v>
      </c>
      <c r="AA4" t="s">
        <v>1876</v>
      </c>
      <c r="AB4" t="s">
        <v>2283</v>
      </c>
      <c r="AC4" t="s">
        <v>2284</v>
      </c>
      <c r="AD4" t="s">
        <v>70</v>
      </c>
      <c r="AE4">
        <v>35612944</v>
      </c>
      <c r="AF4" t="s">
        <v>2285</v>
      </c>
      <c r="AG4" t="s">
        <v>2286</v>
      </c>
      <c r="AH4" t="s">
        <v>2287</v>
      </c>
      <c r="AI4" t="s">
        <v>2288</v>
      </c>
      <c r="AJ4" t="s">
        <v>2289</v>
      </c>
      <c r="AK4" t="s">
        <v>2290</v>
      </c>
      <c r="AL4" t="s">
        <v>2291</v>
      </c>
      <c r="AM4" t="s">
        <v>70</v>
      </c>
      <c r="AN4" t="s">
        <v>2292</v>
      </c>
      <c r="AO4" t="s">
        <v>2293</v>
      </c>
      <c r="AP4" t="s">
        <v>70</v>
      </c>
      <c r="AQ4" t="s">
        <v>2294</v>
      </c>
      <c r="AR4" t="s">
        <v>70</v>
      </c>
      <c r="AS4" t="s">
        <v>2295</v>
      </c>
      <c r="AT4" t="s">
        <v>2296</v>
      </c>
      <c r="AU4" t="s">
        <v>2297</v>
      </c>
      <c r="AV4" t="s">
        <v>2298</v>
      </c>
      <c r="AW4" t="s">
        <v>2299</v>
      </c>
      <c r="AX4" t="s">
        <v>1008</v>
      </c>
      <c r="AY4" t="s">
        <v>723</v>
      </c>
      <c r="AZ4" t="s">
        <v>329</v>
      </c>
      <c r="BA4" t="s">
        <v>75</v>
      </c>
      <c r="BB4" t="s">
        <v>332</v>
      </c>
      <c r="BC4" t="s">
        <v>2300</v>
      </c>
      <c r="BD4" t="s">
        <v>724</v>
      </c>
      <c r="BE4" t="s">
        <v>330</v>
      </c>
      <c r="BF4" t="s">
        <v>76</v>
      </c>
      <c r="BG4" t="s">
        <v>333</v>
      </c>
      <c r="BH4" t="s">
        <v>2282</v>
      </c>
      <c r="BI4" t="s">
        <v>289</v>
      </c>
      <c r="BJ4" t="s">
        <v>1008</v>
      </c>
      <c r="BK4" t="s">
        <v>2235</v>
      </c>
      <c r="BL4" t="s">
        <v>1348</v>
      </c>
      <c r="BM4" t="s">
        <v>2300</v>
      </c>
      <c r="BN4">
        <v>0.55000000000000004</v>
      </c>
      <c r="BO4" t="s">
        <v>70</v>
      </c>
      <c r="BP4" t="s">
        <v>70</v>
      </c>
      <c r="BQ4">
        <v>0.42</v>
      </c>
      <c r="BR4">
        <v>-2.71</v>
      </c>
      <c r="BS4">
        <v>-4.97</v>
      </c>
      <c r="BT4" t="s">
        <v>929</v>
      </c>
      <c r="BU4" t="s">
        <v>882</v>
      </c>
      <c r="BV4">
        <v>24.01</v>
      </c>
      <c r="BW4">
        <v>16.61</v>
      </c>
      <c r="BX4">
        <v>17.18</v>
      </c>
      <c r="BY4">
        <v>-11.97</v>
      </c>
      <c r="BZ4">
        <v>-10.16</v>
      </c>
      <c r="CA4">
        <v>-15.57</v>
      </c>
      <c r="CB4">
        <v>0</v>
      </c>
      <c r="CC4">
        <v>0</v>
      </c>
      <c r="CD4" t="s">
        <v>70</v>
      </c>
      <c r="CE4" t="s">
        <v>70</v>
      </c>
      <c r="CF4" s="8">
        <v>-0.60445205479452058</v>
      </c>
      <c r="CG4" s="9">
        <v>-1.998734071868469</v>
      </c>
      <c r="CH4" s="8">
        <v>-0.50955206155776978</v>
      </c>
      <c r="CI4" s="8">
        <v>-0.21692028641700745</v>
      </c>
      <c r="CJ4" s="8">
        <v>0.11696913093328476</v>
      </c>
      <c r="CK4" s="8">
        <v>-0.49000880122184753</v>
      </c>
      <c r="CL4" s="8">
        <v>-0.21553707122802734</v>
      </c>
      <c r="CM4" s="9">
        <v>0.4285714328289032</v>
      </c>
      <c r="CN4" s="9">
        <v>0.47796609997749329</v>
      </c>
      <c r="CO4" s="9">
        <v>0.42213517427444458</v>
      </c>
      <c r="CP4" s="9">
        <v>-6.6875651478767395E-2</v>
      </c>
      <c r="CQ4" s="9">
        <v>-1.8559929132461548</v>
      </c>
      <c r="CR4">
        <v>-11.116957600827302</v>
      </c>
      <c r="CS4">
        <v>-0.42268222873440792</v>
      </c>
      <c r="CT4">
        <v>0</v>
      </c>
      <c r="CU4" s="8">
        <v>-0.26300981789827349</v>
      </c>
      <c r="CV4" s="9">
        <v>-0.11883917152881622</v>
      </c>
      <c r="CW4">
        <v>0.06</v>
      </c>
      <c r="CX4" t="e">
        <v>#VALUE!</v>
      </c>
      <c r="CY4" t="s">
        <v>809</v>
      </c>
      <c r="CZ4">
        <v>-0.26300981789827349</v>
      </c>
      <c r="DA4" t="e">
        <v>#VALUE!</v>
      </c>
      <c r="DB4" t="s">
        <v>810</v>
      </c>
      <c r="DC4">
        <v>-0.2498593270033598</v>
      </c>
      <c r="DD4" t="e">
        <v>#VALUE!</v>
      </c>
      <c r="DE4" t="s">
        <v>810</v>
      </c>
      <c r="DF4">
        <v>-0.23144863975048066</v>
      </c>
      <c r="DG4" t="e">
        <v>#VALUE!</v>
      </c>
      <c r="DH4" t="s">
        <v>810</v>
      </c>
      <c r="DI4">
        <v>-0.2104078543186188</v>
      </c>
      <c r="DJ4" t="e">
        <v>#VALUE!</v>
      </c>
      <c r="DK4" t="s">
        <v>810</v>
      </c>
      <c r="DL4">
        <v>-0.18410687252879143</v>
      </c>
      <c r="DM4">
        <v>-176000000</v>
      </c>
      <c r="DN4">
        <v>-0.26300981789827349</v>
      </c>
      <c r="DO4">
        <v>5206366000</v>
      </c>
      <c r="DP4">
        <v>2453855900</v>
      </c>
      <c r="DQ4">
        <v>31</v>
      </c>
      <c r="DR4">
        <v>-0.34144223689624709</v>
      </c>
      <c r="DS4">
        <v>-1.8798949003396528</v>
      </c>
      <c r="DT4" s="10">
        <v>-0.97333333333333327</v>
      </c>
      <c r="DU4">
        <v>-2.731666666666666</v>
      </c>
      <c r="DV4">
        <v>-3.7049999999999992</v>
      </c>
      <c r="DW4">
        <v>0</v>
      </c>
      <c r="DX4" t="e">
        <v>#VALUE!</v>
      </c>
      <c r="DY4" t="e">
        <v>#VALUE!</v>
      </c>
      <c r="DZ4" t="s">
        <v>1256</v>
      </c>
      <c r="EA4" t="e">
        <v>#VALUE!</v>
      </c>
      <c r="EB4" t="e">
        <v>#VALUE!</v>
      </c>
      <c r="EC4">
        <v>0</v>
      </c>
      <c r="ED4">
        <v>0</v>
      </c>
      <c r="EE4" s="11">
        <v>-2.1412100000000001</v>
      </c>
      <c r="EF4">
        <v>-2.1412100000000001</v>
      </c>
      <c r="EG4" t="e">
        <v>#VALUE!</v>
      </c>
      <c r="EH4" t="s">
        <v>1226</v>
      </c>
      <c r="EI4" t="e">
        <v>#VALUE!</v>
      </c>
      <c r="EJ4">
        <v>0</v>
      </c>
      <c r="EK4" s="13">
        <v>45470</v>
      </c>
      <c r="EL4" s="14">
        <v>0</v>
      </c>
      <c r="EM4" s="14">
        <v>0</v>
      </c>
      <c r="EN4" s="14">
        <v>0</v>
      </c>
      <c r="EO4" s="14">
        <v>0</v>
      </c>
      <c r="EP4" s="14">
        <v>0</v>
      </c>
    </row>
    <row r="5" spans="1:146" ht="96" x14ac:dyDescent="0.25">
      <c r="A5" s="7"/>
      <c r="B5" s="7"/>
      <c r="C5" s="7" t="str">
        <f>""&amp;CHAR(10)&amp;Basic_Fundamental_Information_Constructure(F5)&amp;CHAR(10)&amp;Basic_Fundamental_Information_Concatenate("")</f>
        <v xml:space="preserve">
市值195.50923亿, 利润7.97亿; PE20.87; 平均PE44.48; 平均PEG8.74, PB1.94; ROIC7.57%; ROE10.8033%; 股利率0%; 毛利47.8833%; 净利28.94%; 上一年度营收增-12.84%, 利润增12.25%; 当季营收增7.85%, 利润增50.62%; 过往5年营收增5.09%, 利润增28.45%
Income profile:
</v>
      </c>
      <c r="D5" t="s">
        <v>77</v>
      </c>
      <c r="E5" t="s">
        <v>49</v>
      </c>
      <c r="F5">
        <v>10.59</v>
      </c>
      <c r="G5">
        <v>0.56999999999999995</v>
      </c>
      <c r="H5" t="s">
        <v>2301</v>
      </c>
      <c r="I5">
        <v>19550923000</v>
      </c>
      <c r="J5">
        <v>20.87</v>
      </c>
      <c r="K5">
        <v>1.94</v>
      </c>
      <c r="L5" t="s">
        <v>67</v>
      </c>
      <c r="M5" t="s">
        <v>1349</v>
      </c>
      <c r="N5" t="s">
        <v>2302</v>
      </c>
      <c r="O5" t="s">
        <v>1350</v>
      </c>
      <c r="P5">
        <v>7.85</v>
      </c>
      <c r="Q5" t="s">
        <v>1351</v>
      </c>
      <c r="R5">
        <v>415718640</v>
      </c>
      <c r="S5" s="5">
        <v>0.50449999999999995</v>
      </c>
      <c r="T5" t="s">
        <v>1170</v>
      </c>
      <c r="U5">
        <v>1296931300</v>
      </c>
      <c r="V5">
        <v>1846168300</v>
      </c>
      <c r="W5">
        <v>2.2200000000000002</v>
      </c>
      <c r="X5">
        <v>0.04</v>
      </c>
      <c r="Y5">
        <v>49.63</v>
      </c>
      <c r="Z5" t="s">
        <v>1177</v>
      </c>
      <c r="AA5" t="s">
        <v>660</v>
      </c>
      <c r="AB5" t="s">
        <v>2303</v>
      </c>
      <c r="AC5" t="s">
        <v>2304</v>
      </c>
      <c r="AD5" t="s">
        <v>70</v>
      </c>
      <c r="AE5">
        <v>53317760</v>
      </c>
      <c r="AF5" t="s">
        <v>1353</v>
      </c>
      <c r="AG5" t="s">
        <v>2305</v>
      </c>
      <c r="AH5" t="s">
        <v>1354</v>
      </c>
      <c r="AI5" t="s">
        <v>2306</v>
      </c>
      <c r="AJ5" t="s">
        <v>1355</v>
      </c>
      <c r="AK5" t="s">
        <v>2307</v>
      </c>
      <c r="AL5" t="s">
        <v>1356</v>
      </c>
      <c r="AM5" t="s">
        <v>70</v>
      </c>
      <c r="AN5" t="s">
        <v>2308</v>
      </c>
      <c r="AO5" t="s">
        <v>2309</v>
      </c>
      <c r="AP5" t="s">
        <v>2310</v>
      </c>
      <c r="AQ5" t="s">
        <v>1941</v>
      </c>
      <c r="AR5" t="s">
        <v>2311</v>
      </c>
      <c r="AS5" t="s">
        <v>2312</v>
      </c>
      <c r="AT5" t="s">
        <v>2313</v>
      </c>
      <c r="AU5" t="s">
        <v>2314</v>
      </c>
      <c r="AV5" t="s">
        <v>2315</v>
      </c>
      <c r="AW5" t="s">
        <v>2316</v>
      </c>
      <c r="AX5" t="s">
        <v>1009</v>
      </c>
      <c r="AY5" t="s">
        <v>1010</v>
      </c>
      <c r="AZ5" t="s">
        <v>725</v>
      </c>
      <c r="BA5" t="s">
        <v>78</v>
      </c>
      <c r="BB5" t="s">
        <v>338</v>
      </c>
      <c r="BC5" t="s">
        <v>444</v>
      </c>
      <c r="BD5" t="s">
        <v>1011</v>
      </c>
      <c r="BE5" t="s">
        <v>386</v>
      </c>
      <c r="BF5" t="s">
        <v>79</v>
      </c>
      <c r="BG5" t="s">
        <v>340</v>
      </c>
      <c r="BH5" t="s">
        <v>1351</v>
      </c>
      <c r="BI5" t="s">
        <v>760</v>
      </c>
      <c r="BJ5" t="s">
        <v>1009</v>
      </c>
      <c r="BK5" t="s">
        <v>1170</v>
      </c>
      <c r="BL5" t="s">
        <v>379</v>
      </c>
      <c r="BM5" t="s">
        <v>444</v>
      </c>
      <c r="BN5">
        <v>6.24</v>
      </c>
      <c r="BO5">
        <v>9.76</v>
      </c>
      <c r="BP5">
        <v>6.71</v>
      </c>
      <c r="BQ5">
        <v>9.99</v>
      </c>
      <c r="BR5">
        <v>14.12</v>
      </c>
      <c r="BS5">
        <v>8.3000000000000007</v>
      </c>
      <c r="BT5" t="s">
        <v>929</v>
      </c>
      <c r="BU5" t="s">
        <v>882</v>
      </c>
      <c r="BV5">
        <v>57.41</v>
      </c>
      <c r="BW5">
        <v>54.32</v>
      </c>
      <c r="BX5">
        <v>31.92</v>
      </c>
      <c r="BY5">
        <v>38.979999999999997</v>
      </c>
      <c r="BZ5">
        <v>33.78</v>
      </c>
      <c r="CA5">
        <v>14.06</v>
      </c>
      <c r="CB5">
        <v>-1.67</v>
      </c>
      <c r="CC5">
        <v>-8.5500000000000007</v>
      </c>
      <c r="CD5" t="s">
        <v>2317</v>
      </c>
      <c r="CE5" t="s">
        <v>83</v>
      </c>
      <c r="CF5" s="8">
        <v>7.8494623655913712E-2</v>
      </c>
      <c r="CG5" s="9">
        <v>0.5062269565217391</v>
      </c>
      <c r="CH5" s="8">
        <v>-0.12838727235794067</v>
      </c>
      <c r="CI5" s="8">
        <v>-0.21886558830738068</v>
      </c>
      <c r="CJ5" s="8">
        <v>0.30841618776321411</v>
      </c>
      <c r="CK5" s="8">
        <v>0.81326180696487427</v>
      </c>
      <c r="CL5" s="8">
        <v>-0.5198969841003418</v>
      </c>
      <c r="CM5" s="9">
        <v>0.12253521382808685</v>
      </c>
      <c r="CN5" s="9">
        <v>1.0402299165725708</v>
      </c>
      <c r="CO5" s="9">
        <v>0.308270663022995</v>
      </c>
      <c r="CP5" s="9">
        <v>0.23720930516719818</v>
      </c>
      <c r="CQ5" s="9">
        <v>-0.28571429848670959</v>
      </c>
      <c r="CR5">
        <v>44.484466439135382</v>
      </c>
      <c r="CS5">
        <v>8.7386142644148421</v>
      </c>
      <c r="CT5">
        <v>0</v>
      </c>
      <c r="CU5" s="8">
        <v>5.0905629992485046E-2</v>
      </c>
      <c r="CV5" s="9">
        <v>0.28450616002082824</v>
      </c>
      <c r="CW5">
        <v>0.06</v>
      </c>
      <c r="CX5">
        <v>26.2109812173912</v>
      </c>
      <c r="CY5">
        <v>790162063.30567026</v>
      </c>
      <c r="CZ5">
        <v>5.0905629992485046E-2</v>
      </c>
      <c r="DA5">
        <v>8.855086063319721</v>
      </c>
      <c r="DB5">
        <v>2338873146.11097</v>
      </c>
      <c r="DC5">
        <v>4.8360348492860791E-2</v>
      </c>
      <c r="DD5">
        <v>4.5542471896520258</v>
      </c>
      <c r="DE5">
        <v>4547606253.577652</v>
      </c>
      <c r="DF5">
        <v>4.4796954393386844E-2</v>
      </c>
      <c r="DG5">
        <v>2.8706049317309632</v>
      </c>
      <c r="DH5">
        <v>7214828753.015274</v>
      </c>
      <c r="DI5">
        <v>4.072450399398804E-2</v>
      </c>
      <c r="DJ5">
        <v>1.6438386618272396</v>
      </c>
      <c r="DK5">
        <v>12599121483.721758</v>
      </c>
      <c r="DL5">
        <v>3.563394099473953E-2</v>
      </c>
      <c r="DM5">
        <v>797000000</v>
      </c>
      <c r="DN5">
        <v>5.0905629992485046E-2</v>
      </c>
      <c r="DO5">
        <v>20710923000</v>
      </c>
      <c r="DP5">
        <v>3716859000</v>
      </c>
      <c r="DQ5">
        <v>59</v>
      </c>
      <c r="DR5">
        <v>2.7588993663428665E-2</v>
      </c>
      <c r="DS5">
        <v>0.22172079650091087</v>
      </c>
      <c r="DT5" s="10">
        <v>-0.32333333333333331</v>
      </c>
      <c r="DU5">
        <v>0.67</v>
      </c>
      <c r="DV5">
        <v>0.34666666666666673</v>
      </c>
      <c r="DW5">
        <v>-2.0855000000000001</v>
      </c>
      <c r="DX5">
        <v>0.24565231143552388</v>
      </c>
      <c r="DY5">
        <v>-2.0081782726277373</v>
      </c>
      <c r="DZ5">
        <v>956</v>
      </c>
      <c r="EA5">
        <v>-2.0066482474551117</v>
      </c>
      <c r="EB5">
        <v>2</v>
      </c>
      <c r="EC5">
        <v>2.1294429115698715E-2</v>
      </c>
      <c r="ED5">
        <v>0.22262325704541674</v>
      </c>
      <c r="EE5" s="11">
        <v>-2.0763099999999999</v>
      </c>
      <c r="EF5">
        <v>-2.1087099999999999</v>
      </c>
      <c r="EG5">
        <v>15.095652311435524</v>
      </c>
      <c r="EH5" t="s">
        <v>1226</v>
      </c>
      <c r="EI5">
        <v>0</v>
      </c>
      <c r="EJ5">
        <v>1</v>
      </c>
      <c r="EK5" s="13">
        <v>45470</v>
      </c>
      <c r="EL5" s="14">
        <v>1.36</v>
      </c>
      <c r="EM5" s="14">
        <v>-2.68</v>
      </c>
      <c r="EN5" s="14">
        <v>-1.65</v>
      </c>
      <c r="EO5" s="14">
        <v>3.54</v>
      </c>
      <c r="EP5" s="14">
        <v>-3.24</v>
      </c>
    </row>
    <row r="6" spans="1:146" ht="96" x14ac:dyDescent="0.25">
      <c r="A6" s="7"/>
      <c r="B6" s="7"/>
      <c r="C6" s="7" t="str">
        <f>""&amp;CHAR(10)&amp;Basic_Fundamental_Information_Constructure(F6)&amp;CHAR(10)&amp;Basic_Fundamental_Information_Concatenate("")</f>
        <v xml:space="preserve">
市值52.694907亿, 利润2.93亿; PE20.84; 平均PE19; 平均PEG2.02, PB.8; ROIC3.615%; ROE2.58%; 股利率1.9763%; 毛利6.21%; 净利3.7567%; 上一年度营收增22.63%, 利润增611.26%; 当季营收增14.73%, 利润增-56.18%; 过往5年营收增9.39%, 利润增183.42%
Income profile:
</v>
      </c>
      <c r="D6" t="s">
        <v>81</v>
      </c>
      <c r="E6" t="s">
        <v>5</v>
      </c>
      <c r="F6">
        <v>5.0599999999999996</v>
      </c>
      <c r="G6">
        <v>0.2</v>
      </c>
      <c r="H6" t="s">
        <v>2318</v>
      </c>
      <c r="I6">
        <v>5269490700</v>
      </c>
      <c r="J6">
        <v>20.84</v>
      </c>
      <c r="K6">
        <v>0.8</v>
      </c>
      <c r="L6" t="s">
        <v>67</v>
      </c>
      <c r="M6" t="s">
        <v>1360</v>
      </c>
      <c r="N6" t="s">
        <v>2319</v>
      </c>
      <c r="O6" t="s">
        <v>1310</v>
      </c>
      <c r="P6">
        <v>14.82</v>
      </c>
      <c r="Q6" t="s">
        <v>1361</v>
      </c>
      <c r="R6">
        <v>31401651</v>
      </c>
      <c r="S6" s="5">
        <v>-0.56179999999999997</v>
      </c>
      <c r="T6" t="s">
        <v>295</v>
      </c>
      <c r="U6">
        <v>909745260</v>
      </c>
      <c r="V6">
        <v>1041401330</v>
      </c>
      <c r="W6">
        <v>2.83</v>
      </c>
      <c r="X6">
        <v>0.06</v>
      </c>
      <c r="Y6">
        <v>3.3</v>
      </c>
      <c r="Z6" t="s">
        <v>2320</v>
      </c>
      <c r="AA6" t="s">
        <v>2321</v>
      </c>
      <c r="AB6" t="s">
        <v>2322</v>
      </c>
      <c r="AC6" t="s">
        <v>2323</v>
      </c>
      <c r="AD6" t="s">
        <v>70</v>
      </c>
      <c r="AE6">
        <v>76983286</v>
      </c>
      <c r="AF6" t="s">
        <v>1362</v>
      </c>
      <c r="AG6" t="s">
        <v>2324</v>
      </c>
      <c r="AH6" t="s">
        <v>1363</v>
      </c>
      <c r="AI6" t="s">
        <v>2325</v>
      </c>
      <c r="AJ6" t="s">
        <v>1364</v>
      </c>
      <c r="AK6" t="s">
        <v>2326</v>
      </c>
      <c r="AL6" t="s">
        <v>1365</v>
      </c>
      <c r="AM6" t="s">
        <v>70</v>
      </c>
      <c r="AN6" t="s">
        <v>1902</v>
      </c>
      <c r="AO6" t="s">
        <v>1326</v>
      </c>
      <c r="AP6" t="s">
        <v>70</v>
      </c>
      <c r="AQ6" t="s">
        <v>2327</v>
      </c>
      <c r="AR6" t="s">
        <v>70</v>
      </c>
      <c r="AS6" t="s">
        <v>2328</v>
      </c>
      <c r="AT6" t="s">
        <v>2329</v>
      </c>
      <c r="AU6" t="s">
        <v>836</v>
      </c>
      <c r="AV6" t="s">
        <v>2330</v>
      </c>
      <c r="AW6" t="s">
        <v>2331</v>
      </c>
      <c r="AX6" t="s">
        <v>1012</v>
      </c>
      <c r="AY6" t="s">
        <v>726</v>
      </c>
      <c r="AZ6" t="s">
        <v>341</v>
      </c>
      <c r="BA6" t="s">
        <v>82</v>
      </c>
      <c r="BB6" t="s">
        <v>343</v>
      </c>
      <c r="BC6" t="s">
        <v>1013</v>
      </c>
      <c r="BD6" t="s">
        <v>655</v>
      </c>
      <c r="BE6" t="s">
        <v>80</v>
      </c>
      <c r="BF6" t="s">
        <v>83</v>
      </c>
      <c r="BG6" t="s">
        <v>344</v>
      </c>
      <c r="BH6" t="s">
        <v>1361</v>
      </c>
      <c r="BI6" t="s">
        <v>1369</v>
      </c>
      <c r="BJ6" t="s">
        <v>1012</v>
      </c>
      <c r="BK6" t="s">
        <v>295</v>
      </c>
      <c r="BL6" t="s">
        <v>1370</v>
      </c>
      <c r="BM6" t="s">
        <v>1013</v>
      </c>
      <c r="BN6">
        <v>3.64</v>
      </c>
      <c r="BO6" t="s">
        <v>70</v>
      </c>
      <c r="BP6">
        <v>3.59</v>
      </c>
      <c r="BQ6">
        <v>5.7</v>
      </c>
      <c r="BR6">
        <v>-1.1299999999999999</v>
      </c>
      <c r="BS6">
        <v>3.17</v>
      </c>
      <c r="BT6" t="s">
        <v>930</v>
      </c>
      <c r="BU6" t="s">
        <v>881</v>
      </c>
      <c r="BV6">
        <v>14.86</v>
      </c>
      <c r="BW6">
        <v>-1.39</v>
      </c>
      <c r="BX6">
        <v>5.16</v>
      </c>
      <c r="BY6">
        <v>7.19</v>
      </c>
      <c r="BZ6">
        <v>-0.46</v>
      </c>
      <c r="CA6">
        <v>4.54</v>
      </c>
      <c r="CB6">
        <v>-5.42</v>
      </c>
      <c r="CC6">
        <v>-13.36</v>
      </c>
      <c r="CD6" t="s">
        <v>2332</v>
      </c>
      <c r="CE6" t="s">
        <v>270</v>
      </c>
      <c r="CF6" s="8">
        <v>0.14730290456431536</v>
      </c>
      <c r="CG6" s="9">
        <v>-0.56182968350138285</v>
      </c>
      <c r="CH6" s="8">
        <v>0.22634795308113098</v>
      </c>
      <c r="CI6" s="8">
        <v>1.0183299891650677E-3</v>
      </c>
      <c r="CJ6" s="8">
        <v>0.1346043199300766</v>
      </c>
      <c r="CK6" s="8">
        <v>7.2158545255661011E-2</v>
      </c>
      <c r="CL6" s="8">
        <v>3.5267673432826996E-2</v>
      </c>
      <c r="CM6" s="9">
        <v>6.1125636100769043</v>
      </c>
      <c r="CN6" s="9">
        <v>-1.3581862449645996</v>
      </c>
      <c r="CO6" s="9">
        <v>-0.79487180709838867</v>
      </c>
      <c r="CP6" s="9">
        <v>0.89781022071838379</v>
      </c>
      <c r="CQ6" s="9">
        <v>4.3136472702026367</v>
      </c>
      <c r="CR6">
        <v>19.000131246986999</v>
      </c>
      <c r="CS6">
        <v>2.0238879311779003</v>
      </c>
      <c r="CT6">
        <v>1.9762845849802373</v>
      </c>
      <c r="CU6" s="8">
        <v>9.3879364337772137E-2</v>
      </c>
      <c r="CV6" s="9">
        <v>1.8341926097869874</v>
      </c>
      <c r="CW6">
        <v>0.06</v>
      </c>
      <c r="CX6">
        <v>34.896561463246215</v>
      </c>
      <c r="CY6">
        <v>302364767.68959171</v>
      </c>
      <c r="CZ6">
        <v>9.3879364337772137E-2</v>
      </c>
      <c r="DA6">
        <v>11.366487168549902</v>
      </c>
      <c r="DB6">
        <v>928298298.63311446</v>
      </c>
      <c r="DC6">
        <v>8.9185396120883526E-2</v>
      </c>
      <c r="DD6">
        <v>5.5709053555127186</v>
      </c>
      <c r="DE6">
        <v>1894035175.0113142</v>
      </c>
      <c r="DF6">
        <v>8.2613840617239476E-2</v>
      </c>
      <c r="DG6">
        <v>3.3288439052254124</v>
      </c>
      <c r="DH6">
        <v>3169716274.0003896</v>
      </c>
      <c r="DI6">
        <v>7.510349147021772E-2</v>
      </c>
      <c r="DJ6">
        <v>1.7009256014097149</v>
      </c>
      <c r="DK6">
        <v>6203381671.2823887</v>
      </c>
      <c r="DL6">
        <v>6.5715555036440484E-2</v>
      </c>
      <c r="DM6">
        <v>293000000</v>
      </c>
      <c r="DN6">
        <v>9.3879364337772137E-2</v>
      </c>
      <c r="DO6">
        <v>10551490700</v>
      </c>
      <c r="DP6">
        <v>-726068400</v>
      </c>
      <c r="DQ6">
        <v>116</v>
      </c>
      <c r="DR6">
        <v>5.342354022654322E-2</v>
      </c>
      <c r="DS6">
        <v>-2.3960222932883704</v>
      </c>
      <c r="DT6" s="10">
        <v>-0.27333333333333337</v>
      </c>
      <c r="DU6">
        <v>-0.24500000000000011</v>
      </c>
      <c r="DV6">
        <v>-0.51833333333333353</v>
      </c>
      <c r="DW6">
        <v>-8.4056886227544911</v>
      </c>
      <c r="DX6">
        <v>0.27262011173184314</v>
      </c>
      <c r="DY6">
        <v>-8.0781437878433078</v>
      </c>
      <c r="DZ6">
        <v>2907</v>
      </c>
      <c r="EA6">
        <v>-8.0336889950330352</v>
      </c>
      <c r="EB6">
        <v>8</v>
      </c>
      <c r="EC6">
        <v>3.310827344535848E-2</v>
      </c>
      <c r="ED6">
        <v>0.17188378278717967</v>
      </c>
      <c r="EE6" s="11">
        <v>2.8999999999999998E-2</v>
      </c>
      <c r="EF6">
        <v>1.0200000000000004E-2</v>
      </c>
      <c r="EG6">
        <v>8.1926201117318431</v>
      </c>
      <c r="EH6" t="s">
        <v>811</v>
      </c>
      <c r="EI6">
        <v>0</v>
      </c>
      <c r="EJ6">
        <v>0</v>
      </c>
      <c r="EK6" s="13">
        <v>45470</v>
      </c>
      <c r="EL6" s="14">
        <v>0.19</v>
      </c>
      <c r="EM6" s="14">
        <v>-2.63</v>
      </c>
      <c r="EN6" s="14">
        <v>0.96</v>
      </c>
      <c r="EO6" s="14">
        <v>1.72</v>
      </c>
      <c r="EP6" s="14">
        <v>-1.88</v>
      </c>
    </row>
    <row r="7" spans="1:146" ht="96" x14ac:dyDescent="0.25">
      <c r="A7" s="7"/>
      <c r="B7" s="7"/>
      <c r="C7" s="7" t="str">
        <f>""&amp;CHAR(10)&amp;Basic_Fundamental_Information_Constructure(F7)&amp;CHAR(10)&amp;Basic_Fundamental_Information_Concatenate("")</f>
        <v xml:space="preserve">
市值190.7474亿, 利润9.20亿; PE22.39; 平均PE12.58; 平均PEG.6, PB.998; ROIC2.4%; ROE-.5%; 股利率1.9502%; 毛利45.33%; 净利13.47%; 上一年度营收增7.61%, 利润增45.11%; 当季营收增-2.06%, 利润增-28.91%; 过往5年营收增-20.97%, 利润增45.62%
Income profile:
</v>
      </c>
      <c r="D7" t="s">
        <v>727</v>
      </c>
      <c r="E7" t="s">
        <v>1228</v>
      </c>
      <c r="F7">
        <v>9.23</v>
      </c>
      <c r="G7">
        <v>1.1000000000000001</v>
      </c>
      <c r="H7" t="s">
        <v>2333</v>
      </c>
      <c r="I7">
        <v>19074740000</v>
      </c>
      <c r="J7">
        <v>22.39</v>
      </c>
      <c r="K7">
        <v>0.998</v>
      </c>
      <c r="L7" t="s">
        <v>67</v>
      </c>
      <c r="M7" t="s">
        <v>1371</v>
      </c>
      <c r="N7" t="s">
        <v>2334</v>
      </c>
      <c r="O7" t="s">
        <v>944</v>
      </c>
      <c r="P7">
        <v>-2</v>
      </c>
      <c r="Q7" t="s">
        <v>1372</v>
      </c>
      <c r="R7">
        <v>167055930</v>
      </c>
      <c r="S7" s="5">
        <v>-0.28789999999999999</v>
      </c>
      <c r="T7" t="s">
        <v>166</v>
      </c>
      <c r="U7">
        <v>1862520700</v>
      </c>
      <c r="V7">
        <v>2066602400</v>
      </c>
      <c r="W7">
        <v>3.42</v>
      </c>
      <c r="X7">
        <v>0.01</v>
      </c>
      <c r="Y7">
        <v>24.93</v>
      </c>
      <c r="Z7" t="s">
        <v>289</v>
      </c>
      <c r="AA7" t="s">
        <v>2335</v>
      </c>
      <c r="AB7" t="s">
        <v>70</v>
      </c>
      <c r="AC7" t="s">
        <v>2336</v>
      </c>
      <c r="AD7" t="s">
        <v>70</v>
      </c>
      <c r="AE7">
        <v>136867800</v>
      </c>
      <c r="AF7" t="s">
        <v>1373</v>
      </c>
      <c r="AG7" t="s">
        <v>2337</v>
      </c>
      <c r="AH7" t="s">
        <v>1374</v>
      </c>
      <c r="AI7" t="s">
        <v>2338</v>
      </c>
      <c r="AJ7" t="s">
        <v>1375</v>
      </c>
      <c r="AK7" t="s">
        <v>70</v>
      </c>
      <c r="AL7" t="s">
        <v>1376</v>
      </c>
      <c r="AM7" t="s">
        <v>70</v>
      </c>
      <c r="AN7" t="s">
        <v>2339</v>
      </c>
      <c r="AO7" t="s">
        <v>2340</v>
      </c>
      <c r="AP7" t="s">
        <v>70</v>
      </c>
      <c r="AQ7" t="s">
        <v>2341</v>
      </c>
      <c r="AR7" t="s">
        <v>2342</v>
      </c>
      <c r="AS7" t="s">
        <v>2343</v>
      </c>
      <c r="AT7" t="s">
        <v>2344</v>
      </c>
      <c r="AU7" t="s">
        <v>918</v>
      </c>
      <c r="AV7" t="s">
        <v>2345</v>
      </c>
      <c r="AW7" t="s">
        <v>2346</v>
      </c>
      <c r="AX7" t="s">
        <v>1014</v>
      </c>
      <c r="AY7" t="s">
        <v>1015</v>
      </c>
      <c r="AZ7" t="s">
        <v>728</v>
      </c>
      <c r="BA7" t="s">
        <v>729</v>
      </c>
      <c r="BB7" t="s">
        <v>730</v>
      </c>
      <c r="BC7" t="s">
        <v>1332</v>
      </c>
      <c r="BD7" t="s">
        <v>1016</v>
      </c>
      <c r="BE7" t="s">
        <v>731</v>
      </c>
      <c r="BF7" t="s">
        <v>732</v>
      </c>
      <c r="BG7" t="s">
        <v>706</v>
      </c>
      <c r="BH7" t="s">
        <v>1372</v>
      </c>
      <c r="BI7" t="s">
        <v>1377</v>
      </c>
      <c r="BJ7" t="s">
        <v>1014</v>
      </c>
      <c r="BK7" t="s">
        <v>166</v>
      </c>
      <c r="BL7" t="s">
        <v>905</v>
      </c>
      <c r="BM7" t="s">
        <v>1332</v>
      </c>
      <c r="BN7">
        <v>3.01</v>
      </c>
      <c r="BO7">
        <v>1.79</v>
      </c>
      <c r="BP7" t="s">
        <v>70</v>
      </c>
      <c r="BQ7">
        <v>4.82</v>
      </c>
      <c r="BR7">
        <v>3.05</v>
      </c>
      <c r="BS7">
        <v>-9.3699999999999992</v>
      </c>
      <c r="BT7" t="s">
        <v>1378</v>
      </c>
      <c r="BU7" t="s">
        <v>882</v>
      </c>
      <c r="BV7">
        <v>53.54</v>
      </c>
      <c r="BW7">
        <v>53.42</v>
      </c>
      <c r="BX7">
        <v>29.03</v>
      </c>
      <c r="BY7">
        <v>27.6</v>
      </c>
      <c r="BZ7">
        <v>21.27</v>
      </c>
      <c r="CA7">
        <v>-8.4600000000000009</v>
      </c>
      <c r="CB7">
        <v>-3.15</v>
      </c>
      <c r="CC7">
        <v>-5.53</v>
      </c>
      <c r="CD7" t="s">
        <v>2347</v>
      </c>
      <c r="CE7" t="s">
        <v>1567</v>
      </c>
      <c r="CF7" s="8">
        <v>-2.0594965675057208E-2</v>
      </c>
      <c r="CG7" s="9">
        <v>-0.28912370212765959</v>
      </c>
      <c r="CH7" s="8">
        <v>7.609335333108902E-2</v>
      </c>
      <c r="CI7" s="8">
        <v>-0.82484811544418335</v>
      </c>
      <c r="CJ7" s="8">
        <v>-8.5058724507689476E-3</v>
      </c>
      <c r="CK7" s="8">
        <v>-0.14077520370483398</v>
      </c>
      <c r="CL7" s="8">
        <v>-0.15042319893836975</v>
      </c>
      <c r="CM7" s="9">
        <v>0.45110410451889038</v>
      </c>
      <c r="CN7" s="9">
        <v>3.0126984119415283</v>
      </c>
      <c r="CO7" s="9">
        <v>-1.1424050331115723</v>
      </c>
      <c r="CP7" s="9">
        <v>-0.29598984122276306</v>
      </c>
      <c r="CQ7" s="9">
        <v>0.25579535961151123</v>
      </c>
      <c r="CR7">
        <v>12.583665750412315</v>
      </c>
      <c r="CS7">
        <v>0.60010287974307785</v>
      </c>
      <c r="CT7">
        <v>1.9501625135427951</v>
      </c>
      <c r="CU7" s="8">
        <v>-0.20969180744141341</v>
      </c>
      <c r="CV7" s="9">
        <v>0.4562406003475189</v>
      </c>
      <c r="CW7">
        <v>0.06</v>
      </c>
      <c r="CX7">
        <v>52.127978260869568</v>
      </c>
      <c r="CY7" t="s">
        <v>1379</v>
      </c>
      <c r="CZ7">
        <v>-0.20969180744141341</v>
      </c>
      <c r="DA7">
        <v>17.375992753623187</v>
      </c>
      <c r="DB7" t="s">
        <v>1380</v>
      </c>
      <c r="DC7">
        <v>-0.19920721706934275</v>
      </c>
      <c r="DD7">
        <v>8.6879963768115935</v>
      </c>
      <c r="DE7" t="s">
        <v>1381</v>
      </c>
      <c r="DF7">
        <v>-0.18452879054844382</v>
      </c>
      <c r="DG7">
        <v>5.2127978260869563</v>
      </c>
      <c r="DH7" t="s">
        <v>1382</v>
      </c>
      <c r="DI7">
        <v>-0.16775344595313074</v>
      </c>
      <c r="DJ7">
        <v>2.6063989130434781</v>
      </c>
      <c r="DK7" t="s">
        <v>1383</v>
      </c>
      <c r="DL7">
        <v>-0.14678426520898938</v>
      </c>
      <c r="DM7">
        <v>919999999.99999988</v>
      </c>
      <c r="DN7">
        <v>-0.20969180744141341</v>
      </c>
      <c r="DO7">
        <v>47957740000</v>
      </c>
      <c r="DP7">
        <v>1611548000</v>
      </c>
      <c r="DQ7">
        <v>121</v>
      </c>
      <c r="DR7">
        <v>0.18909684176635622</v>
      </c>
      <c r="DS7">
        <v>-0.74536430247517849</v>
      </c>
      <c r="DT7" s="10">
        <v>-0.84</v>
      </c>
      <c r="DU7">
        <v>-0.38666666666666671</v>
      </c>
      <c r="DV7">
        <v>-1.2266666666666666</v>
      </c>
      <c r="DW7">
        <v>-8.5696202531645564</v>
      </c>
      <c r="DX7">
        <v>0.33628016806722627</v>
      </c>
      <c r="DY7">
        <v>-8.0491469311775337</v>
      </c>
      <c r="DZ7">
        <v>3789</v>
      </c>
      <c r="EA7">
        <v>-8.0127051068660506</v>
      </c>
      <c r="EB7">
        <v>8</v>
      </c>
      <c r="EC7">
        <v>2.4841111188102751E-2</v>
      </c>
      <c r="ED7">
        <v>0.28791217894646787</v>
      </c>
      <c r="EE7" s="11">
        <v>1.0797099999999999</v>
      </c>
      <c r="EF7">
        <v>1.11931</v>
      </c>
      <c r="EG7">
        <v>25.086280168067226</v>
      </c>
      <c r="EH7" t="s">
        <v>940</v>
      </c>
      <c r="EI7">
        <v>0</v>
      </c>
      <c r="EJ7">
        <v>0</v>
      </c>
      <c r="EK7" s="13">
        <v>45470</v>
      </c>
      <c r="EL7" s="14">
        <v>-3.14</v>
      </c>
      <c r="EM7" s="14">
        <v>-3.73</v>
      </c>
      <c r="EN7" s="14">
        <v>-1.43</v>
      </c>
      <c r="EO7" s="14">
        <v>1.76</v>
      </c>
      <c r="EP7" s="14">
        <v>-3.96</v>
      </c>
    </row>
    <row r="8" spans="1:146" ht="96" x14ac:dyDescent="0.25">
      <c r="A8" s="7"/>
      <c r="B8" s="7"/>
      <c r="C8" s="7" t="str">
        <f>""&amp;CHAR(10)&amp;Basic_Fundamental_Information_Constructure(F8)&amp;CHAR(10)&amp;Basic_Fundamental_Information_Concatenate("")</f>
        <v xml:space="preserve">
市值265.66437亿, 利润9.75亿; PE26.24; 平均PE-126.71; 平均PEG-7.39, PB1.21; ROIC3.38%; ROE-5.44%; 股利率.3953%; 毛利2.76%; 净利-5.3267%; 上一年度营收增13.38%, 利润增132.72%; 当季营收增-1.97%, 利润增42.8%; 过往5年营收增17.14%, 利润增21.89%
Income profile:
</v>
      </c>
      <c r="D8" t="s">
        <v>86</v>
      </c>
      <c r="E8" t="s">
        <v>28</v>
      </c>
      <c r="F8">
        <v>5.0599999999999996</v>
      </c>
      <c r="G8">
        <v>0</v>
      </c>
      <c r="H8" t="s">
        <v>2348</v>
      </c>
      <c r="I8">
        <v>26566437000</v>
      </c>
      <c r="J8">
        <v>26.24</v>
      </c>
      <c r="K8">
        <v>1.21</v>
      </c>
      <c r="L8" t="s">
        <v>67</v>
      </c>
      <c r="M8" t="s">
        <v>1384</v>
      </c>
      <c r="N8" t="s">
        <v>2349</v>
      </c>
      <c r="O8" t="s">
        <v>1385</v>
      </c>
      <c r="P8">
        <v>-1.97</v>
      </c>
      <c r="Q8" t="s">
        <v>1386</v>
      </c>
      <c r="R8">
        <v>126281663</v>
      </c>
      <c r="S8" s="5">
        <v>0.42799999999999999</v>
      </c>
      <c r="T8" t="s">
        <v>1387</v>
      </c>
      <c r="U8">
        <v>2553912700</v>
      </c>
      <c r="V8">
        <v>5250284000</v>
      </c>
      <c r="W8">
        <v>4.83</v>
      </c>
      <c r="X8">
        <v>0.08</v>
      </c>
      <c r="Y8">
        <v>2.3199999999999998</v>
      </c>
      <c r="Z8" t="s">
        <v>2350</v>
      </c>
      <c r="AA8" t="s">
        <v>2351</v>
      </c>
      <c r="AB8" t="s">
        <v>2352</v>
      </c>
      <c r="AC8" t="s">
        <v>2221</v>
      </c>
      <c r="AD8" t="s">
        <v>70</v>
      </c>
      <c r="AE8">
        <v>572941110</v>
      </c>
      <c r="AF8" t="s">
        <v>1388</v>
      </c>
      <c r="AG8" t="s">
        <v>2353</v>
      </c>
      <c r="AH8" t="s">
        <v>1389</v>
      </c>
      <c r="AI8" t="s">
        <v>2354</v>
      </c>
      <c r="AJ8" t="s">
        <v>1390</v>
      </c>
      <c r="AK8" t="s">
        <v>70</v>
      </c>
      <c r="AL8" t="s">
        <v>1391</v>
      </c>
      <c r="AM8" t="s">
        <v>70</v>
      </c>
      <c r="AN8" t="s">
        <v>2355</v>
      </c>
      <c r="AO8" t="s">
        <v>2356</v>
      </c>
      <c r="AP8" t="s">
        <v>2357</v>
      </c>
      <c r="AQ8" t="s">
        <v>2358</v>
      </c>
      <c r="AR8" t="s">
        <v>70</v>
      </c>
      <c r="AS8" t="s">
        <v>2359</v>
      </c>
      <c r="AT8" t="s">
        <v>2360</v>
      </c>
      <c r="AU8" t="s">
        <v>1909</v>
      </c>
      <c r="AV8" t="s">
        <v>2361</v>
      </c>
      <c r="AW8" t="s">
        <v>2362</v>
      </c>
      <c r="AX8" t="s">
        <v>1017</v>
      </c>
      <c r="AY8" t="s">
        <v>1018</v>
      </c>
      <c r="AZ8" t="s">
        <v>733</v>
      </c>
      <c r="BA8" t="s">
        <v>87</v>
      </c>
      <c r="BB8" t="s">
        <v>346</v>
      </c>
      <c r="BC8" t="s">
        <v>1392</v>
      </c>
      <c r="BD8" t="s">
        <v>1019</v>
      </c>
      <c r="BE8" t="s">
        <v>734</v>
      </c>
      <c r="BF8" t="s">
        <v>88</v>
      </c>
      <c r="BG8" t="s">
        <v>347</v>
      </c>
      <c r="BH8" t="s">
        <v>1386</v>
      </c>
      <c r="BI8" t="s">
        <v>1393</v>
      </c>
      <c r="BJ8" t="s">
        <v>1017</v>
      </c>
      <c r="BK8" t="s">
        <v>1387</v>
      </c>
      <c r="BL8" t="s">
        <v>1394</v>
      </c>
      <c r="BM8" t="s">
        <v>1392</v>
      </c>
      <c r="BN8">
        <v>3.38</v>
      </c>
      <c r="BO8" t="s">
        <v>70</v>
      </c>
      <c r="BP8" t="s">
        <v>70</v>
      </c>
      <c r="BQ8">
        <v>8.17</v>
      </c>
      <c r="BR8">
        <v>-13.77</v>
      </c>
      <c r="BS8">
        <v>-10.72</v>
      </c>
      <c r="BT8" t="s">
        <v>1395</v>
      </c>
      <c r="BU8" t="s">
        <v>881</v>
      </c>
      <c r="BV8">
        <v>14.63</v>
      </c>
      <c r="BW8">
        <v>-0.36</v>
      </c>
      <c r="BX8">
        <v>-5.99</v>
      </c>
      <c r="BY8">
        <v>2.72</v>
      </c>
      <c r="BZ8">
        <v>-8.57</v>
      </c>
      <c r="CA8">
        <v>-10.130000000000001</v>
      </c>
      <c r="CB8">
        <v>-0.39</v>
      </c>
      <c r="CC8">
        <v>-9.64</v>
      </c>
      <c r="CD8" t="s">
        <v>2363</v>
      </c>
      <c r="CE8" t="s">
        <v>2364</v>
      </c>
      <c r="CF8" s="8">
        <v>-1.969952475854668E-2</v>
      </c>
      <c r="CG8" s="9">
        <v>0.4280490447192396</v>
      </c>
      <c r="CH8" s="8">
        <v>0.13381819427013397</v>
      </c>
      <c r="CI8" s="8">
        <v>0.18451116979122162</v>
      </c>
      <c r="CJ8" s="8">
        <v>0.32303664088249207</v>
      </c>
      <c r="CK8" s="8">
        <v>0.14451631903648376</v>
      </c>
      <c r="CL8" s="8">
        <v>7.1181021630764008E-2</v>
      </c>
      <c r="CM8" s="9">
        <v>1.3271812200546265</v>
      </c>
      <c r="CN8" s="9">
        <v>-1.7759563401341438E-2</v>
      </c>
      <c r="CO8" s="9">
        <v>-2.425511360168457</v>
      </c>
      <c r="CP8" s="9">
        <v>0.79075837135314941</v>
      </c>
      <c r="CQ8" s="9">
        <v>1.419831395149231</v>
      </c>
      <c r="CR8">
        <v>-126.7079666136725</v>
      </c>
      <c r="CS8">
        <v>-7.3919837584075161</v>
      </c>
      <c r="CT8">
        <v>0.39525691699604748</v>
      </c>
      <c r="CU8" s="8">
        <v>0.17141266912221909</v>
      </c>
      <c r="CV8" s="9">
        <v>0.21890001259744168</v>
      </c>
      <c r="CW8">
        <v>0.06</v>
      </c>
      <c r="CX8">
        <v>111.55435771056584</v>
      </c>
      <c r="CY8">
        <v>1077478634.3341165</v>
      </c>
      <c r="CZ8">
        <v>0.17141266912221909</v>
      </c>
      <c r="DA8">
        <v>34.048598017385906</v>
      </c>
      <c r="DB8">
        <v>3530172870.5136328</v>
      </c>
      <c r="DC8">
        <v>0.16284203566610814</v>
      </c>
      <c r="DD8">
        <v>15.257387072836105</v>
      </c>
      <c r="DE8">
        <v>7877983066.5761051</v>
      </c>
      <c r="DF8">
        <v>0.15084314882755279</v>
      </c>
      <c r="DG8">
        <v>8.2094710358405862</v>
      </c>
      <c r="DH8">
        <v>14641313243.599588</v>
      </c>
      <c r="DI8">
        <v>0.13713013529777526</v>
      </c>
      <c r="DJ8">
        <v>3.289766979291902</v>
      </c>
      <c r="DK8">
        <v>36536763167.910332</v>
      </c>
      <c r="DL8">
        <v>0.11998886838555335</v>
      </c>
      <c r="DM8">
        <v>975000000</v>
      </c>
      <c r="DN8">
        <v>0.17141266912221909</v>
      </c>
      <c r="DO8">
        <v>120197437000</v>
      </c>
      <c r="DP8">
        <v>-11260342000</v>
      </c>
      <c r="DQ8">
        <v>123</v>
      </c>
      <c r="DR8">
        <v>-0.19111219388076578</v>
      </c>
      <c r="DS8">
        <v>0.20914903212179792</v>
      </c>
      <c r="DT8" s="10">
        <v>-0.15666666666666665</v>
      </c>
      <c r="DU8">
        <v>-0.11333333333333333</v>
      </c>
      <c r="DV8">
        <v>-0.26999999999999996</v>
      </c>
      <c r="DW8">
        <v>-2.0964</v>
      </c>
      <c r="DX8">
        <v>0.24095368345323806</v>
      </c>
      <c r="DY8">
        <v>-2.0078039350848922</v>
      </c>
      <c r="DZ8">
        <v>2358</v>
      </c>
      <c r="EA8">
        <v>-2.0042028237482628</v>
      </c>
      <c r="EB8">
        <v>2</v>
      </c>
      <c r="EC8">
        <v>1.7145834396767871E-2</v>
      </c>
      <c r="ED8">
        <v>0.21179806654268607</v>
      </c>
      <c r="EE8" s="11">
        <v>2.0331000000000001</v>
      </c>
      <c r="EF8">
        <v>2.0078</v>
      </c>
      <c r="EG8">
        <v>16.080953683453238</v>
      </c>
      <c r="EH8" t="s">
        <v>1212</v>
      </c>
      <c r="EI8">
        <v>0</v>
      </c>
      <c r="EJ8">
        <v>0</v>
      </c>
      <c r="EK8" s="13">
        <v>45470</v>
      </c>
      <c r="EL8" s="14">
        <v>-0.56999999999999995</v>
      </c>
      <c r="EM8" s="14">
        <v>-0.95</v>
      </c>
      <c r="EN8" s="14">
        <v>-2.31</v>
      </c>
      <c r="EO8" s="14">
        <v>1.18</v>
      </c>
      <c r="EP8" s="14">
        <v>-2.5299999999999998</v>
      </c>
    </row>
    <row r="9" spans="1:146" ht="96" x14ac:dyDescent="0.25">
      <c r="A9" s="7"/>
      <c r="B9" s="7"/>
      <c r="C9" s="7" t="str">
        <f>""&amp;CHAR(10)&amp;Basic_Fundamental_Information_Constructure(F9)&amp;CHAR(10)&amp;Basic_Fundamental_Information_Concatenate("")</f>
        <v xml:space="preserve">
市值203.33764亿, 利润14.30亿; PE11.79; 平均PE41.44; 平均PEG2.58, PB1.43; ROIC3.63%; ROE.89%; 股利率2.4638%; 毛利1.06%; 净利-1.1333%; 上一年度营收增8.26%, 利润增186.57%; 当季营收增12.44%, 利润增188.26%; 过往5年营收增16.05%, 利润增32.65%
Income profile:
</v>
      </c>
      <c r="D9" t="s">
        <v>89</v>
      </c>
      <c r="E9" t="s">
        <v>20</v>
      </c>
      <c r="F9">
        <v>8.9700000000000006</v>
      </c>
      <c r="G9">
        <v>-1.32</v>
      </c>
      <c r="H9" t="s">
        <v>2365</v>
      </c>
      <c r="I9">
        <v>20333764000</v>
      </c>
      <c r="J9">
        <v>11.79</v>
      </c>
      <c r="K9">
        <v>1.43</v>
      </c>
      <c r="L9" t="s">
        <v>67</v>
      </c>
      <c r="M9" t="s">
        <v>1396</v>
      </c>
      <c r="N9" t="s">
        <v>2366</v>
      </c>
      <c r="O9" t="s">
        <v>1397</v>
      </c>
      <c r="P9">
        <v>12.45</v>
      </c>
      <c r="Q9" t="s">
        <v>1398</v>
      </c>
      <c r="R9">
        <v>452572340</v>
      </c>
      <c r="S9" s="5">
        <v>1.8819999999999999</v>
      </c>
      <c r="T9" t="s">
        <v>889</v>
      </c>
      <c r="U9">
        <v>2266863300</v>
      </c>
      <c r="V9">
        <v>2266863300</v>
      </c>
      <c r="W9">
        <v>2.93</v>
      </c>
      <c r="X9">
        <v>0.11</v>
      </c>
      <c r="Y9">
        <v>9.5</v>
      </c>
      <c r="Z9" t="s">
        <v>2367</v>
      </c>
      <c r="AA9" t="s">
        <v>2368</v>
      </c>
      <c r="AB9" t="s">
        <v>2369</v>
      </c>
      <c r="AC9" t="s">
        <v>2370</v>
      </c>
      <c r="AD9" t="s">
        <v>70</v>
      </c>
      <c r="AE9">
        <v>213321230</v>
      </c>
      <c r="AF9" t="s">
        <v>1400</v>
      </c>
      <c r="AG9" t="s">
        <v>2371</v>
      </c>
      <c r="AH9" t="s">
        <v>1401</v>
      </c>
      <c r="AI9" t="s">
        <v>2372</v>
      </c>
      <c r="AJ9" t="s">
        <v>1402</v>
      </c>
      <c r="AK9" t="s">
        <v>2373</v>
      </c>
      <c r="AL9" t="s">
        <v>1403</v>
      </c>
      <c r="AM9" t="s">
        <v>70</v>
      </c>
      <c r="AN9" t="s">
        <v>2374</v>
      </c>
      <c r="AO9" t="s">
        <v>2375</v>
      </c>
      <c r="AP9" t="s">
        <v>2376</v>
      </c>
      <c r="AQ9" t="s">
        <v>2377</v>
      </c>
      <c r="AR9" t="s">
        <v>2378</v>
      </c>
      <c r="AS9" t="s">
        <v>2379</v>
      </c>
      <c r="AT9" t="s">
        <v>2380</v>
      </c>
      <c r="AU9" t="s">
        <v>2381</v>
      </c>
      <c r="AV9" t="s">
        <v>2382</v>
      </c>
      <c r="AW9" t="s">
        <v>510</v>
      </c>
      <c r="AX9" t="s">
        <v>1404</v>
      </c>
      <c r="AY9" t="s">
        <v>735</v>
      </c>
      <c r="AZ9" t="s">
        <v>348</v>
      </c>
      <c r="BA9" t="s">
        <v>90</v>
      </c>
      <c r="BB9" t="s">
        <v>351</v>
      </c>
      <c r="BC9" t="s">
        <v>1126</v>
      </c>
      <c r="BD9" t="s">
        <v>1021</v>
      </c>
      <c r="BE9" t="s">
        <v>349</v>
      </c>
      <c r="BF9" t="s">
        <v>91</v>
      </c>
      <c r="BG9" t="s">
        <v>352</v>
      </c>
      <c r="BH9" t="s">
        <v>1398</v>
      </c>
      <c r="BI9" t="s">
        <v>1405</v>
      </c>
      <c r="BJ9" t="s">
        <v>1404</v>
      </c>
      <c r="BK9" t="s">
        <v>889</v>
      </c>
      <c r="BL9" t="s">
        <v>156</v>
      </c>
      <c r="BM9" t="s">
        <v>1126</v>
      </c>
      <c r="BN9">
        <v>4.66</v>
      </c>
      <c r="BO9">
        <v>2.6</v>
      </c>
      <c r="BP9" t="s">
        <v>70</v>
      </c>
      <c r="BQ9">
        <v>9.2200000000000006</v>
      </c>
      <c r="BR9">
        <v>3.39</v>
      </c>
      <c r="BS9">
        <v>-9.94</v>
      </c>
      <c r="BT9" t="s">
        <v>1406</v>
      </c>
      <c r="BU9" t="s">
        <v>881</v>
      </c>
      <c r="BV9">
        <v>6.87</v>
      </c>
      <c r="BW9">
        <v>0.9</v>
      </c>
      <c r="BX9">
        <v>-4.59</v>
      </c>
      <c r="BY9">
        <v>6.28</v>
      </c>
      <c r="BZ9">
        <v>0.75</v>
      </c>
      <c r="CA9">
        <v>-10.43</v>
      </c>
      <c r="CB9">
        <v>1.36</v>
      </c>
      <c r="CC9">
        <v>16.510000000000002</v>
      </c>
      <c r="CD9" t="s">
        <v>616</v>
      </c>
      <c r="CE9" t="s">
        <v>2000</v>
      </c>
      <c r="CF9" s="8">
        <v>0.12443657437218272</v>
      </c>
      <c r="CG9" s="9">
        <v>1.8826263694267515</v>
      </c>
      <c r="CH9" s="8">
        <v>8.2634098827838898E-2</v>
      </c>
      <c r="CI9" s="8">
        <v>0.22384937107563019</v>
      </c>
      <c r="CJ9" s="8">
        <v>0.25549185276031494</v>
      </c>
      <c r="CK9" s="8">
        <v>4.1014153510332108E-2</v>
      </c>
      <c r="CL9" s="8">
        <v>0.19946339726448059</v>
      </c>
      <c r="CM9" s="9">
        <v>1.8657314777374268</v>
      </c>
      <c r="CN9" s="9">
        <v>1.3754703998565674</v>
      </c>
      <c r="CO9" s="9">
        <v>-2.3106510639190674</v>
      </c>
      <c r="CP9" s="9">
        <v>0.31007751822471619</v>
      </c>
      <c r="CQ9" s="9">
        <v>0.39208632707595825</v>
      </c>
      <c r="CR9">
        <v>41.441095108695649</v>
      </c>
      <c r="CS9">
        <v>2.5821513312748268</v>
      </c>
      <c r="CT9">
        <v>2.4637681159420288</v>
      </c>
      <c r="CU9" s="8">
        <v>0.16049057468771935</v>
      </c>
      <c r="CV9" s="9">
        <v>0.32654293179512023</v>
      </c>
      <c r="CW9">
        <v>0.06</v>
      </c>
      <c r="CX9">
        <v>25.202212405656223</v>
      </c>
      <c r="CY9">
        <v>1565567473.3994703</v>
      </c>
      <c r="CZ9">
        <v>0.16049057468771935</v>
      </c>
      <c r="DA9">
        <v>7.7624104171654542</v>
      </c>
      <c r="DB9">
        <v>5082926807.470686</v>
      </c>
      <c r="DC9">
        <v>0.15246604595333338</v>
      </c>
      <c r="DD9">
        <v>3.5232051803376754</v>
      </c>
      <c r="DE9">
        <v>11198826630.987875</v>
      </c>
      <c r="DF9">
        <v>0.14123170572519303</v>
      </c>
      <c r="DG9">
        <v>1.9250636046048708</v>
      </c>
      <c r="DH9">
        <v>20495823569.475513</v>
      </c>
      <c r="DI9">
        <v>0.12839245975017549</v>
      </c>
      <c r="DJ9">
        <v>0.80039046171177797</v>
      </c>
      <c r="DK9">
        <v>49295644922.625389</v>
      </c>
      <c r="DL9">
        <v>0.11234340228140353</v>
      </c>
      <c r="DM9">
        <v>1430000000</v>
      </c>
      <c r="DN9">
        <v>0.16049057468771935</v>
      </c>
      <c r="DO9">
        <v>39455764000</v>
      </c>
      <c r="DP9">
        <v>-5948443600</v>
      </c>
      <c r="DQ9">
        <v>125</v>
      </c>
      <c r="DR9">
        <v>-3.6054000315536627E-2</v>
      </c>
      <c r="DS9">
        <v>1.5560834376316313</v>
      </c>
      <c r="DT9" s="10">
        <v>-5.6666666666666719E-2</v>
      </c>
      <c r="DU9">
        <v>0.35333333333333328</v>
      </c>
      <c r="DV9">
        <v>0.29666666666666658</v>
      </c>
      <c r="DW9">
        <v>3.0057678571428572</v>
      </c>
      <c r="DX9">
        <v>0.32827995255041414</v>
      </c>
      <c r="DY9">
        <v>3.0008552575834604</v>
      </c>
      <c r="DZ9">
        <v>1053</v>
      </c>
      <c r="EA9">
        <v>3.000679017615675</v>
      </c>
      <c r="EB9">
        <v>3</v>
      </c>
      <c r="EC9">
        <v>5.5142275231153108E-2</v>
      </c>
      <c r="ED9">
        <v>0.37187950415889659</v>
      </c>
      <c r="EE9" s="11">
        <v>1.0077</v>
      </c>
      <c r="EF9">
        <v>1.00051</v>
      </c>
      <c r="EG9">
        <v>18.148279952550414</v>
      </c>
      <c r="EH9" t="s">
        <v>940</v>
      </c>
      <c r="EI9">
        <v>0</v>
      </c>
      <c r="EJ9">
        <v>1</v>
      </c>
      <c r="EK9" s="13">
        <v>45470</v>
      </c>
      <c r="EL9" s="14">
        <v>-1.29</v>
      </c>
      <c r="EM9" s="14">
        <v>1.18</v>
      </c>
      <c r="EN9" s="14">
        <v>0.7</v>
      </c>
      <c r="EO9" s="14">
        <v>-1.1599999999999999</v>
      </c>
      <c r="EP9" s="14">
        <v>-0.82</v>
      </c>
    </row>
    <row r="10" spans="1:146" ht="144" x14ac:dyDescent="0.25">
      <c r="A10" s="7" t="s">
        <v>825</v>
      </c>
      <c r="B10" s="7"/>
      <c r="C10" s="7" t="str">
        <f>"公司主要业务以太阳能光伏电站的投资运营为主，主要产品为电力，该产品主要出售给国家电网；同时，公司还从事太阳能电池组件的生产销售，产品主要用于对外销售。"&amp;CHAR(10)&amp;Basic_Fundamental_Information_Constructure(C10)&amp;CHAR(10)&amp;Basic_Fundamental_Information_Concatenate("太阳能发电 44.49亿 63.42% 99.22% 65.20%
太阳能产品制造 25.49亿 36.33% 1.54% 1.76%
其他 1802.70万 0.26% -0.76% -123.43%")</f>
        <v>公司主要业务以太阳能光伏电站的投资运营为主，主要产品为电力，该产品主要出售给国家电网；同时，公司还从事太阳能电池组件的生产销售，产品主要用于对外销售。
市值206.92493亿, 利润15.79亿; PE13.43; 平均PE17.85; 平均PEG1.23, PB.887; ROIC4.52%; ROE6.65%; 股利率2.7599%; 毛利38.39%; 净利18.0833%; 上一年度营收增3.29%, 利润增13.76%; 当季营收增-17.34%, 利润增-9.85%; 过往5年营收增14.51%, 利润增12.94%
Income profile:
太阳能发电 44.49亿 63.42% 99.22% 65.20%
太阳能产品制造 25.49亿 36.33% 1.54% 1.76%
其他 1802.70万 0.26% -0.76% -123.43%</v>
      </c>
      <c r="D10" t="s">
        <v>93</v>
      </c>
      <c r="E10" t="s">
        <v>43</v>
      </c>
      <c r="F10">
        <v>4.53</v>
      </c>
      <c r="G10">
        <v>0.44</v>
      </c>
      <c r="H10" t="s">
        <v>2383</v>
      </c>
      <c r="I10">
        <v>17728342000</v>
      </c>
      <c r="J10">
        <v>11.51</v>
      </c>
      <c r="K10">
        <v>0.75900000000000001</v>
      </c>
      <c r="L10" t="s">
        <v>67</v>
      </c>
      <c r="M10" t="s">
        <v>1408</v>
      </c>
      <c r="N10" t="s">
        <v>2384</v>
      </c>
      <c r="O10" t="s">
        <v>1352</v>
      </c>
      <c r="P10">
        <v>-17.39</v>
      </c>
      <c r="Q10" t="s">
        <v>1409</v>
      </c>
      <c r="R10">
        <v>350698370</v>
      </c>
      <c r="S10" s="5">
        <v>-9.8299999999999998E-2</v>
      </c>
      <c r="T10" t="s">
        <v>1410</v>
      </c>
      <c r="U10">
        <v>3599478600</v>
      </c>
      <c r="V10">
        <v>3913541200</v>
      </c>
      <c r="W10">
        <v>2.0099999999999998</v>
      </c>
      <c r="X10">
        <v>0.03</v>
      </c>
      <c r="Y10">
        <v>24.87</v>
      </c>
      <c r="Z10" t="s">
        <v>1989</v>
      </c>
      <c r="AA10" t="s">
        <v>1106</v>
      </c>
      <c r="AB10" t="s">
        <v>2385</v>
      </c>
      <c r="AC10" t="s">
        <v>2386</v>
      </c>
      <c r="AD10" t="s">
        <v>70</v>
      </c>
      <c r="AE10">
        <v>143550460</v>
      </c>
      <c r="AF10" t="s">
        <v>1411</v>
      </c>
      <c r="AG10" t="s">
        <v>2387</v>
      </c>
      <c r="AH10" t="s">
        <v>1412</v>
      </c>
      <c r="AI10" t="s">
        <v>1224</v>
      </c>
      <c r="AJ10" t="s">
        <v>1413</v>
      </c>
      <c r="AK10" t="s">
        <v>2388</v>
      </c>
      <c r="AL10" t="s">
        <v>1414</v>
      </c>
      <c r="AM10" t="s">
        <v>70</v>
      </c>
      <c r="AN10" t="s">
        <v>2389</v>
      </c>
      <c r="AO10" t="s">
        <v>2390</v>
      </c>
      <c r="AP10" t="s">
        <v>1927</v>
      </c>
      <c r="AQ10" t="s">
        <v>2261</v>
      </c>
      <c r="AR10" t="s">
        <v>2391</v>
      </c>
      <c r="AS10" t="s">
        <v>2392</v>
      </c>
      <c r="AT10" t="s">
        <v>2393</v>
      </c>
      <c r="AU10" t="s">
        <v>2394</v>
      </c>
      <c r="AV10" t="s">
        <v>2395</v>
      </c>
      <c r="AW10" t="s">
        <v>2396</v>
      </c>
      <c r="AX10" t="s">
        <v>1022</v>
      </c>
      <c r="AY10" t="s">
        <v>1023</v>
      </c>
      <c r="AZ10" t="s">
        <v>353</v>
      </c>
      <c r="BA10" t="s">
        <v>94</v>
      </c>
      <c r="BB10" t="s">
        <v>357</v>
      </c>
      <c r="BC10" t="s">
        <v>1415</v>
      </c>
      <c r="BD10" t="s">
        <v>1024</v>
      </c>
      <c r="BE10" t="s">
        <v>354</v>
      </c>
      <c r="BF10" t="s">
        <v>95</v>
      </c>
      <c r="BG10" t="s">
        <v>358</v>
      </c>
      <c r="BH10" t="s">
        <v>1409</v>
      </c>
      <c r="BI10" t="s">
        <v>1416</v>
      </c>
      <c r="BJ10" t="s">
        <v>1022</v>
      </c>
      <c r="BK10" t="s">
        <v>1410</v>
      </c>
      <c r="BL10" t="s">
        <v>1417</v>
      </c>
      <c r="BM10" t="s">
        <v>1415</v>
      </c>
      <c r="BN10">
        <v>4.3899999999999997</v>
      </c>
      <c r="BO10">
        <v>5.28</v>
      </c>
      <c r="BP10">
        <v>5.48</v>
      </c>
      <c r="BQ10">
        <v>6.49</v>
      </c>
      <c r="BR10">
        <v>7.72</v>
      </c>
      <c r="BS10">
        <v>8.18</v>
      </c>
      <c r="BT10" t="s">
        <v>2397</v>
      </c>
      <c r="BU10" t="s">
        <v>882</v>
      </c>
      <c r="BV10">
        <v>34.42</v>
      </c>
      <c r="BW10">
        <v>32.770000000000003</v>
      </c>
      <c r="BX10">
        <v>41.67</v>
      </c>
      <c r="BY10">
        <v>16.559999999999999</v>
      </c>
      <c r="BZ10">
        <v>15.13</v>
      </c>
      <c r="CA10">
        <v>16.61</v>
      </c>
      <c r="CB10">
        <v>-0.75</v>
      </c>
      <c r="CC10">
        <v>-9.11</v>
      </c>
      <c r="CD10" t="s">
        <v>2398</v>
      </c>
      <c r="CE10" t="s">
        <v>2399</v>
      </c>
      <c r="CF10" s="8">
        <v>-0.17340363210310486</v>
      </c>
      <c r="CG10" s="9">
        <v>-9.8461773778920306E-2</v>
      </c>
      <c r="CH10" s="8">
        <v>3.2914683222770691E-2</v>
      </c>
      <c r="CI10" s="8">
        <v>0.31435889005661011</v>
      </c>
      <c r="CJ10" s="8">
        <v>0.32459941506385803</v>
      </c>
      <c r="CK10" s="8">
        <v>5.8670952916145325E-2</v>
      </c>
      <c r="CL10" s="8">
        <v>-5.1618786528706551E-3</v>
      </c>
      <c r="CM10" s="9">
        <v>0.1376081109046936</v>
      </c>
      <c r="CN10" s="9">
        <v>0.1673675924539566</v>
      </c>
      <c r="CO10" s="9">
        <v>0.15661472082138062</v>
      </c>
      <c r="CP10" s="9">
        <v>0.12843029201030731</v>
      </c>
      <c r="CQ10" s="9">
        <v>5.6844547390937805E-2</v>
      </c>
      <c r="CR10">
        <v>15.289643811987926</v>
      </c>
      <c r="CS10">
        <v>1.0539028051677819</v>
      </c>
      <c r="CT10">
        <v>3.2194039735099338</v>
      </c>
      <c r="CU10" s="8">
        <v>0.14507641252130271</v>
      </c>
      <c r="CV10" s="9">
        <v>0.12937305271625518</v>
      </c>
      <c r="CW10">
        <v>0.06</v>
      </c>
      <c r="CX10">
        <v>10.872367238396816</v>
      </c>
      <c r="CY10">
        <v>1705731750.3501291</v>
      </c>
      <c r="CZ10">
        <v>0.14507641252130271</v>
      </c>
      <c r="DA10">
        <v>3.3920930932145472</v>
      </c>
      <c r="DB10">
        <v>5467226721.1939459</v>
      </c>
      <c r="DC10">
        <v>0.13782259189523757</v>
      </c>
      <c r="DD10">
        <v>1.5675309855778206</v>
      </c>
      <c r="DE10">
        <v>11830925302.67518</v>
      </c>
      <c r="DF10">
        <v>0.12766724301874638</v>
      </c>
      <c r="DG10">
        <v>0.87499076612671867</v>
      </c>
      <c r="DH10">
        <v>21194900241.169186</v>
      </c>
      <c r="DI10">
        <v>0.11606113001704217</v>
      </c>
      <c r="DJ10">
        <v>0.38269446080539349</v>
      </c>
      <c r="DK10">
        <v>48459917504.347198</v>
      </c>
      <c r="DL10">
        <v>0.1015534887649119</v>
      </c>
      <c r="DM10">
        <v>1579000000</v>
      </c>
      <c r="DN10">
        <v>0.14507641252130271</v>
      </c>
      <c r="DO10">
        <v>18545342000</v>
      </c>
      <c r="DP10">
        <v>8608168000</v>
      </c>
      <c r="DQ10">
        <v>159</v>
      </c>
      <c r="DR10">
        <v>-0.3184800446244076</v>
      </c>
      <c r="DS10">
        <v>-0.2278348264951755</v>
      </c>
      <c r="DT10" s="10">
        <v>-0.15666666666666665</v>
      </c>
      <c r="DU10">
        <v>0.28333333333333338</v>
      </c>
      <c r="DV10">
        <v>0.12666666666666673</v>
      </c>
      <c r="DW10">
        <v>-2.0911</v>
      </c>
      <c r="DX10">
        <v>0.25721988177842736</v>
      </c>
      <c r="DY10">
        <v>-2.0079457312300146</v>
      </c>
      <c r="DZ10">
        <v>1412</v>
      </c>
      <c r="EA10">
        <v>-2.0057501593128366</v>
      </c>
      <c r="EB10">
        <v>2</v>
      </c>
      <c r="EC10">
        <v>2.5339965757866557E-2</v>
      </c>
      <c r="ED10">
        <v>0.29052971257846988</v>
      </c>
      <c r="EE10" s="11">
        <v>0.11221</v>
      </c>
      <c r="EF10">
        <v>0.12490999999999999</v>
      </c>
      <c r="EG10">
        <v>17.087219881778427</v>
      </c>
      <c r="EH10">
        <v>-1</v>
      </c>
      <c r="EI10">
        <v>0</v>
      </c>
      <c r="EJ10">
        <v>1</v>
      </c>
      <c r="EK10" s="13">
        <v>45470</v>
      </c>
      <c r="EL10" s="14">
        <v>0.42</v>
      </c>
      <c r="EM10" s="14">
        <v>-2.5099999999999998</v>
      </c>
      <c r="EN10" s="14">
        <v>-0.86</v>
      </c>
      <c r="EO10" s="14">
        <v>1.95</v>
      </c>
      <c r="EP10" s="14">
        <v>-1.27</v>
      </c>
    </row>
    <row r="11" spans="1:146" ht="96" x14ac:dyDescent="0.25">
      <c r="A11" s="7"/>
      <c r="B11" s="7"/>
      <c r="C11" s="7" t="str">
        <f>""&amp;CHAR(10)&amp;Basic_Fundamental_Information_Constructure(F11)&amp;CHAR(10)&amp;Basic_Fundamental_Information_Concatenate("")</f>
        <v xml:space="preserve">
市值108.015173亿, 利润1.67亿; PE19.3; 平均PE696.87; 平均PEG105.44, PB1.06; ROIC1.765%; ROE-5.7267%; 股利率1.34%; 毛利5.82%; 净利-5.5133%; 上一年度营收增3.5%, 利润增57.55%; 当季营收增23.49%, 利润增278.4%; 过往5年营收增6.61%, 利润增-14.1%
Income profile:
</v>
      </c>
      <c r="D11" t="s">
        <v>99</v>
      </c>
      <c r="E11" t="s">
        <v>13</v>
      </c>
      <c r="F11">
        <v>5.97</v>
      </c>
      <c r="G11">
        <v>-0.83</v>
      </c>
      <c r="H11" t="s">
        <v>2400</v>
      </c>
      <c r="I11">
        <v>10801517300</v>
      </c>
      <c r="J11">
        <v>19.3</v>
      </c>
      <c r="K11">
        <v>1.06</v>
      </c>
      <c r="L11" t="s">
        <v>67</v>
      </c>
      <c r="M11" t="s">
        <v>1418</v>
      </c>
      <c r="N11" t="s">
        <v>2401</v>
      </c>
      <c r="O11" t="s">
        <v>1419</v>
      </c>
      <c r="P11">
        <v>23.48</v>
      </c>
      <c r="Q11" t="s">
        <v>1420</v>
      </c>
      <c r="R11">
        <v>251548840</v>
      </c>
      <c r="S11" s="5">
        <v>2.7829999999999999</v>
      </c>
      <c r="T11" t="s">
        <v>522</v>
      </c>
      <c r="U11">
        <v>1090044880</v>
      </c>
      <c r="V11">
        <v>1809299400</v>
      </c>
      <c r="W11">
        <v>3.14</v>
      </c>
      <c r="X11">
        <v>0.17</v>
      </c>
      <c r="Y11">
        <v>4.6399999999999997</v>
      </c>
      <c r="Z11" t="s">
        <v>2402</v>
      </c>
      <c r="AA11" t="s">
        <v>2403</v>
      </c>
      <c r="AB11" t="s">
        <v>2404</v>
      </c>
      <c r="AC11" t="s">
        <v>2127</v>
      </c>
      <c r="AD11" t="s">
        <v>70</v>
      </c>
      <c r="AE11">
        <v>178381500</v>
      </c>
      <c r="AF11" t="s">
        <v>1423</v>
      </c>
      <c r="AG11" t="s">
        <v>2405</v>
      </c>
      <c r="AH11" t="s">
        <v>1424</v>
      </c>
      <c r="AI11" t="s">
        <v>648</v>
      </c>
      <c r="AJ11" t="s">
        <v>1425</v>
      </c>
      <c r="AK11" t="s">
        <v>70</v>
      </c>
      <c r="AL11" t="s">
        <v>1426</v>
      </c>
      <c r="AM11" t="s">
        <v>70</v>
      </c>
      <c r="AN11" t="s">
        <v>1158</v>
      </c>
      <c r="AO11" t="s">
        <v>2406</v>
      </c>
      <c r="AP11" t="s">
        <v>2407</v>
      </c>
      <c r="AQ11" t="s">
        <v>1635</v>
      </c>
      <c r="AR11" t="s">
        <v>70</v>
      </c>
      <c r="AS11" t="s">
        <v>2408</v>
      </c>
      <c r="AT11" t="s">
        <v>2409</v>
      </c>
      <c r="AU11" t="s">
        <v>2022</v>
      </c>
      <c r="AV11" t="s">
        <v>2410</v>
      </c>
      <c r="AW11" t="s">
        <v>2411</v>
      </c>
      <c r="AX11" t="s">
        <v>1025</v>
      </c>
      <c r="AY11" t="s">
        <v>736</v>
      </c>
      <c r="AZ11" t="s">
        <v>738</v>
      </c>
      <c r="BA11" t="s">
        <v>100</v>
      </c>
      <c r="BB11" t="s">
        <v>361</v>
      </c>
      <c r="BC11" t="s">
        <v>255</v>
      </c>
      <c r="BD11" t="s">
        <v>737</v>
      </c>
      <c r="BE11" t="s">
        <v>739</v>
      </c>
      <c r="BF11" t="s">
        <v>101</v>
      </c>
      <c r="BG11" t="s">
        <v>282</v>
      </c>
      <c r="BH11" t="s">
        <v>1420</v>
      </c>
      <c r="BI11" t="s">
        <v>1427</v>
      </c>
      <c r="BJ11" t="s">
        <v>1025</v>
      </c>
      <c r="BK11" t="s">
        <v>522</v>
      </c>
      <c r="BL11" t="s">
        <v>1428</v>
      </c>
      <c r="BM11" t="s">
        <v>255</v>
      </c>
      <c r="BN11">
        <v>1.67</v>
      </c>
      <c r="BO11">
        <v>1.86</v>
      </c>
      <c r="BP11" t="s">
        <v>70</v>
      </c>
      <c r="BQ11">
        <v>2</v>
      </c>
      <c r="BR11">
        <v>1.06</v>
      </c>
      <c r="BS11">
        <v>-20.239999999999998</v>
      </c>
      <c r="BT11" t="s">
        <v>935</v>
      </c>
      <c r="BU11" t="s">
        <v>881</v>
      </c>
      <c r="BV11">
        <v>11.8</v>
      </c>
      <c r="BW11">
        <v>10.45</v>
      </c>
      <c r="BX11">
        <v>-4.79</v>
      </c>
      <c r="BY11">
        <v>0.9</v>
      </c>
      <c r="BZ11">
        <v>0.82</v>
      </c>
      <c r="CA11">
        <v>-18.260000000000002</v>
      </c>
      <c r="CB11">
        <v>-5.24</v>
      </c>
      <c r="CC11">
        <v>-5.98</v>
      </c>
      <c r="CD11" t="s">
        <v>466</v>
      </c>
      <c r="CE11" t="s">
        <v>1332</v>
      </c>
      <c r="CF11" s="8">
        <v>0.23490936273593721</v>
      </c>
      <c r="CG11" s="9">
        <v>2.7840343262411347</v>
      </c>
      <c r="CH11" s="8">
        <v>3.4961212426424026E-2</v>
      </c>
      <c r="CI11" s="8">
        <v>0.21707335114479065</v>
      </c>
      <c r="CJ11" s="8">
        <v>-2.1405329927802086E-2</v>
      </c>
      <c r="CK11" s="8">
        <v>0.10068748891353607</v>
      </c>
      <c r="CL11" s="8">
        <v>-8.5863308049738407E-4</v>
      </c>
      <c r="CM11" s="9">
        <v>0.57547169923782349</v>
      </c>
      <c r="CN11" s="9">
        <v>1.0479637384414673</v>
      </c>
      <c r="CO11" s="9">
        <v>-3.3068892955780029</v>
      </c>
      <c r="CP11" s="9">
        <v>0.49687498807907104</v>
      </c>
      <c r="CQ11" s="9">
        <v>0.48148149251937866</v>
      </c>
      <c r="CR11">
        <v>696.87208387096769</v>
      </c>
      <c r="CS11">
        <v>105.4403124122382</v>
      </c>
      <c r="CT11">
        <v>1.340033500837521</v>
      </c>
      <c r="CU11" s="8">
        <v>6.609161789529025E-2</v>
      </c>
      <c r="CV11" s="9">
        <v>-0.1410194754600525</v>
      </c>
      <c r="CW11">
        <v>0.06</v>
      </c>
      <c r="CX11">
        <v>141.81684574673744</v>
      </c>
      <c r="CY11">
        <v>167959717.15897495</v>
      </c>
      <c r="CZ11">
        <v>6.609161789529025E-2</v>
      </c>
      <c r="DA11">
        <v>47.294807878008555</v>
      </c>
      <c r="DB11">
        <v>503639159.74539256</v>
      </c>
      <c r="DC11">
        <v>6.2787037000525736E-2</v>
      </c>
      <c r="DD11">
        <v>23.916810632977484</v>
      </c>
      <c r="DE11">
        <v>995932010.56484795</v>
      </c>
      <c r="DF11">
        <v>5.8160623747855418E-2</v>
      </c>
      <c r="DG11">
        <v>14.799553546223404</v>
      </c>
      <c r="DH11">
        <v>1609475395.7005911</v>
      </c>
      <c r="DI11">
        <v>5.2873294316232201E-2</v>
      </c>
      <c r="DJ11">
        <v>8.1552340488755473</v>
      </c>
      <c r="DK11">
        <v>2920764402.0080895</v>
      </c>
      <c r="DL11">
        <v>4.6264132526703174E-2</v>
      </c>
      <c r="DM11">
        <v>167000000</v>
      </c>
      <c r="DN11">
        <v>6.609161789529025E-2</v>
      </c>
      <c r="DO11">
        <v>23819517300</v>
      </c>
      <c r="DP11">
        <v>-2906561500</v>
      </c>
      <c r="DQ11">
        <v>167</v>
      </c>
      <c r="DR11">
        <v>0.16881774484064696</v>
      </c>
      <c r="DS11">
        <v>2.9250538017011873</v>
      </c>
      <c r="DT11" s="10">
        <v>-0.28999999999999998</v>
      </c>
      <c r="DU11">
        <v>0.6</v>
      </c>
      <c r="DV11">
        <v>0.31</v>
      </c>
      <c r="DW11">
        <v>-8.8762541806020074</v>
      </c>
      <c r="DX11">
        <v>0.36927444794952563</v>
      </c>
      <c r="DY11">
        <v>-8.1658525262969093</v>
      </c>
      <c r="DZ11">
        <v>1023</v>
      </c>
      <c r="EA11">
        <v>-8.1326495645744554</v>
      </c>
      <c r="EB11">
        <v>8</v>
      </c>
      <c r="EC11">
        <v>6.6324014698728131E-2</v>
      </c>
      <c r="ED11">
        <v>0.3504118776582803</v>
      </c>
      <c r="EE11" s="11">
        <v>-1.0464</v>
      </c>
      <c r="EF11">
        <v>-1.016</v>
      </c>
      <c r="EG11">
        <v>18.189274447949526</v>
      </c>
      <c r="EH11" t="s">
        <v>1237</v>
      </c>
      <c r="EI11">
        <v>0</v>
      </c>
      <c r="EJ11">
        <v>1</v>
      </c>
      <c r="EK11" s="13">
        <v>45470</v>
      </c>
      <c r="EL11" s="14">
        <v>0.98</v>
      </c>
      <c r="EM11" s="14">
        <v>1.46</v>
      </c>
      <c r="EN11" s="14">
        <v>-0.48</v>
      </c>
      <c r="EO11" s="14">
        <v>1.3</v>
      </c>
      <c r="EP11" s="14">
        <v>-3.04</v>
      </c>
    </row>
    <row r="12" spans="1:146" ht="96" x14ac:dyDescent="0.25">
      <c r="A12" s="7"/>
      <c r="B12" s="7"/>
      <c r="C12" s="7" t="str">
        <f>""&amp;CHAR(10)&amp;Basic_Fundamental_Information_Constructure(F12)&amp;CHAR(10)&amp;Basic_Fundamental_Information_Concatenate("")</f>
        <v xml:space="preserve">
市值40.736798亿, 利润-2.66亿; PE; 平均PE40.43; 平均PEG8.27, PB.946; ROIC1.6%; ROE.1367%; 股利率0%; 毛利14.0267%; 净利-2.6633%; 上一年度营收增6.7%, 利润增-258.2%; 当季营收增3.91%, 利润增174.46%; 过往5年营收增4.89%, 利润增-147.36%
Income profile:
</v>
      </c>
      <c r="D12" t="s">
        <v>102</v>
      </c>
      <c r="E12" t="s">
        <v>39</v>
      </c>
      <c r="F12">
        <v>3.77</v>
      </c>
      <c r="G12">
        <v>0.53</v>
      </c>
      <c r="H12" t="s">
        <v>2412</v>
      </c>
      <c r="I12">
        <v>4073679800</v>
      </c>
      <c r="K12">
        <v>0.94599999999999995</v>
      </c>
      <c r="L12" t="s">
        <v>67</v>
      </c>
      <c r="M12" t="s">
        <v>1429</v>
      </c>
      <c r="N12" t="s">
        <v>2413</v>
      </c>
      <c r="O12" t="s">
        <v>1231</v>
      </c>
      <c r="P12">
        <v>3.94</v>
      </c>
      <c r="Q12" t="s">
        <v>1430</v>
      </c>
      <c r="R12">
        <v>24086141</v>
      </c>
      <c r="S12" s="5">
        <v>1.7450000000000001</v>
      </c>
      <c r="T12" t="s">
        <v>1431</v>
      </c>
      <c r="U12">
        <v>1079864570</v>
      </c>
      <c r="V12">
        <v>1080551670</v>
      </c>
      <c r="W12">
        <v>2.88</v>
      </c>
      <c r="X12">
        <v>7.0000000000000007E-2</v>
      </c>
      <c r="Y12">
        <v>2.84</v>
      </c>
      <c r="Z12" t="s">
        <v>2414</v>
      </c>
      <c r="AA12" t="s">
        <v>2415</v>
      </c>
      <c r="AB12" t="s">
        <v>2416</v>
      </c>
      <c r="AC12" t="s">
        <v>2417</v>
      </c>
      <c r="AD12" t="s">
        <v>70</v>
      </c>
      <c r="AE12">
        <v>68495976</v>
      </c>
      <c r="AF12" t="s">
        <v>1432</v>
      </c>
      <c r="AG12" t="s">
        <v>2418</v>
      </c>
      <c r="AH12" t="s">
        <v>1433</v>
      </c>
      <c r="AI12" t="s">
        <v>1220</v>
      </c>
      <c r="AJ12" t="s">
        <v>1435</v>
      </c>
      <c r="AK12" t="s">
        <v>255</v>
      </c>
      <c r="AL12" t="s">
        <v>1436</v>
      </c>
      <c r="AM12" t="s">
        <v>70</v>
      </c>
      <c r="AN12" t="s">
        <v>651</v>
      </c>
      <c r="AO12" t="s">
        <v>2419</v>
      </c>
      <c r="AP12" t="s">
        <v>942</v>
      </c>
      <c r="AQ12" t="s">
        <v>1281</v>
      </c>
      <c r="AR12" t="s">
        <v>70</v>
      </c>
      <c r="AS12" t="s">
        <v>2420</v>
      </c>
      <c r="AT12" t="s">
        <v>2421</v>
      </c>
      <c r="AU12" t="s">
        <v>1465</v>
      </c>
      <c r="AV12" t="s">
        <v>1282</v>
      </c>
      <c r="AW12" t="s">
        <v>649</v>
      </c>
      <c r="AX12" t="s">
        <v>1027</v>
      </c>
      <c r="AY12" t="s">
        <v>1030</v>
      </c>
      <c r="AZ12" t="s">
        <v>362</v>
      </c>
      <c r="BA12" t="s">
        <v>103</v>
      </c>
      <c r="BB12" t="s">
        <v>364</v>
      </c>
      <c r="BC12" t="s">
        <v>1028</v>
      </c>
      <c r="BD12" t="s">
        <v>1031</v>
      </c>
      <c r="BE12" t="s">
        <v>363</v>
      </c>
      <c r="BF12" t="s">
        <v>104</v>
      </c>
      <c r="BG12" t="s">
        <v>365</v>
      </c>
      <c r="BH12" t="s">
        <v>1430</v>
      </c>
      <c r="BI12" t="s">
        <v>166</v>
      </c>
      <c r="BJ12" t="s">
        <v>1027</v>
      </c>
      <c r="BK12" t="s">
        <v>1431</v>
      </c>
      <c r="BL12" t="s">
        <v>1439</v>
      </c>
      <c r="BM12" t="s">
        <v>1028</v>
      </c>
      <c r="BN12">
        <v>1.75</v>
      </c>
      <c r="BO12" t="s">
        <v>70</v>
      </c>
      <c r="BP12">
        <v>1.45</v>
      </c>
      <c r="BQ12">
        <v>1.43</v>
      </c>
      <c r="BR12">
        <v>-1.61</v>
      </c>
      <c r="BS12">
        <v>0.59</v>
      </c>
      <c r="BT12" t="s">
        <v>929</v>
      </c>
      <c r="BU12" t="s">
        <v>883</v>
      </c>
      <c r="BV12">
        <v>7.89</v>
      </c>
      <c r="BW12">
        <v>15.07</v>
      </c>
      <c r="BX12">
        <v>19.12</v>
      </c>
      <c r="BY12">
        <v>-6.86</v>
      </c>
      <c r="BZ12">
        <v>-2.14</v>
      </c>
      <c r="CA12">
        <v>1.01</v>
      </c>
      <c r="CB12">
        <v>2.17</v>
      </c>
      <c r="CC12">
        <v>-6.45</v>
      </c>
      <c r="CD12" t="s">
        <v>2422</v>
      </c>
      <c r="CE12" t="s">
        <v>1746</v>
      </c>
      <c r="CF12" s="8">
        <v>3.9130434782608831E-2</v>
      </c>
      <c r="CG12" s="9">
        <v>1.744612856754217</v>
      </c>
      <c r="CH12" s="8">
        <v>6.7030429840087891E-2</v>
      </c>
      <c r="CI12" s="8">
        <v>-3.2914590090513229E-2</v>
      </c>
      <c r="CJ12" s="8">
        <v>-0.19741883873939514</v>
      </c>
      <c r="CK12" s="8">
        <v>0.15164890885353088</v>
      </c>
      <c r="CL12" s="8">
        <v>0.25612598657608032</v>
      </c>
      <c r="CM12" s="9">
        <v>-2.582047700881958</v>
      </c>
      <c r="CN12" s="9">
        <v>-3.7682933807373047</v>
      </c>
      <c r="CO12" s="9">
        <v>-0.87465000152587891</v>
      </c>
      <c r="CP12" s="9">
        <v>-0.46633416414260864</v>
      </c>
      <c r="CQ12" s="9">
        <v>0.32343235611915588</v>
      </c>
      <c r="CR12">
        <v>40.42915236507794</v>
      </c>
      <c r="CS12">
        <v>8.2686707457670803</v>
      </c>
      <c r="CT12">
        <v>0</v>
      </c>
      <c r="CU12" s="8">
        <v>4.8894379287958145E-2</v>
      </c>
      <c r="CV12" s="9">
        <v>-1.473578578233719</v>
      </c>
      <c r="CW12">
        <v>0.06</v>
      </c>
      <c r="CX12" t="e">
        <v>#VALUE!</v>
      </c>
      <c r="CY12" t="s">
        <v>810</v>
      </c>
      <c r="CZ12">
        <v>4.8894379287958145E-2</v>
      </c>
      <c r="DA12" t="e">
        <v>#VALUE!</v>
      </c>
      <c r="DB12" t="s">
        <v>810</v>
      </c>
      <c r="DC12">
        <v>4.6449660323560238E-2</v>
      </c>
      <c r="DD12" t="e">
        <v>#VALUE!</v>
      </c>
      <c r="DE12" t="s">
        <v>810</v>
      </c>
      <c r="DF12">
        <v>4.3027053773403171E-2</v>
      </c>
      <c r="DG12" t="e">
        <v>#VALUE!</v>
      </c>
      <c r="DH12" t="s">
        <v>810</v>
      </c>
      <c r="DI12">
        <v>3.9115503430366516E-2</v>
      </c>
      <c r="DJ12" t="e">
        <v>#VALUE!</v>
      </c>
      <c r="DK12" t="s">
        <v>810</v>
      </c>
      <c r="DL12">
        <v>3.4226065501570702E-2</v>
      </c>
      <c r="DM12">
        <v>-266000000</v>
      </c>
      <c r="DN12">
        <v>4.8894379287958145E-2</v>
      </c>
      <c r="DO12">
        <v>7895679800</v>
      </c>
      <c r="DP12">
        <v>317135800</v>
      </c>
      <c r="DQ12">
        <v>168</v>
      </c>
      <c r="DR12">
        <v>-9.7639445053493146E-3</v>
      </c>
      <c r="DS12">
        <v>3.2181914349879359</v>
      </c>
      <c r="DT12" s="10">
        <v>-0.35666666666666669</v>
      </c>
      <c r="DU12">
        <v>-1.1500000000000001</v>
      </c>
      <c r="DV12">
        <v>-1.5066666666666668</v>
      </c>
      <c r="DW12">
        <v>-2.0644999999999998</v>
      </c>
      <c r="DX12">
        <v>0.34404147465437773</v>
      </c>
      <c r="DY12">
        <v>-2.0144506751152074</v>
      </c>
      <c r="DZ12">
        <v>4026</v>
      </c>
      <c r="EA12">
        <v>-2.0030654661105451</v>
      </c>
      <c r="EB12">
        <v>2</v>
      </c>
      <c r="EC12">
        <v>4.4992758189897571E-2</v>
      </c>
      <c r="ED12">
        <v>0.20082334424599982</v>
      </c>
      <c r="EE12" s="11">
        <v>-3.1192099999999998</v>
      </c>
      <c r="EF12">
        <v>-3.1329099999999999</v>
      </c>
      <c r="EG12">
        <v>12.224041474654378</v>
      </c>
      <c r="EH12" t="s">
        <v>1233</v>
      </c>
      <c r="EI12">
        <v>0</v>
      </c>
      <c r="EJ12">
        <v>0</v>
      </c>
      <c r="EK12" s="13">
        <v>45470</v>
      </c>
      <c r="EL12" s="14">
        <v>-0.27</v>
      </c>
      <c r="EM12" s="14">
        <v>-2.4700000000000002</v>
      </c>
      <c r="EN12" s="14">
        <v>1.1200000000000001</v>
      </c>
      <c r="EO12" s="14">
        <v>1.39</v>
      </c>
      <c r="EP12" s="14">
        <v>-1.37</v>
      </c>
    </row>
    <row r="13" spans="1:146" ht="96" x14ac:dyDescent="0.25">
      <c r="A13" s="7"/>
      <c r="B13" s="7"/>
      <c r="C13" s="7" t="str">
        <f>""&amp;CHAR(10)&amp;Basic_Fundamental_Information_Constructure(F13)&amp;CHAR(10)&amp;Basic_Fundamental_Information_Concatenate("")</f>
        <v xml:space="preserve">
市值107.924038亿, 利润8.89亿; PE10.07; 平均PE12.8; 平均PEG.56, PB.874; ROIC3.72%; ROE4.9133%; 股利率6.0484%; 毛利11.7467%; 净利6.4533%; 上一年度营收增9.13%, 利润增385.79%; 当季营收增-1.85%, 利润增713.14%; 过往5年营收增22.92%, 利润增89.99%
Income profile:
</v>
      </c>
      <c r="D13" t="s">
        <v>106</v>
      </c>
      <c r="E13" t="s">
        <v>25</v>
      </c>
      <c r="F13">
        <v>4.96</v>
      </c>
      <c r="G13">
        <v>-2.36</v>
      </c>
      <c r="H13" t="s">
        <v>2423</v>
      </c>
      <c r="I13">
        <v>10792403800</v>
      </c>
      <c r="J13">
        <v>10.07</v>
      </c>
      <c r="K13">
        <v>0.874</v>
      </c>
      <c r="L13" t="s">
        <v>67</v>
      </c>
      <c r="M13" t="s">
        <v>1440</v>
      </c>
      <c r="N13" t="s">
        <v>2424</v>
      </c>
      <c r="O13" t="s">
        <v>1441</v>
      </c>
      <c r="P13">
        <v>-1.89</v>
      </c>
      <c r="Q13" t="s">
        <v>1442</v>
      </c>
      <c r="R13">
        <v>209047230</v>
      </c>
      <c r="S13" s="5">
        <v>7.1310000000000002</v>
      </c>
      <c r="T13" t="s">
        <v>1242</v>
      </c>
      <c r="U13">
        <v>2174471400</v>
      </c>
      <c r="V13">
        <v>2175887900</v>
      </c>
      <c r="W13">
        <v>1.71</v>
      </c>
      <c r="X13">
        <v>0.1</v>
      </c>
      <c r="Y13">
        <v>9.83</v>
      </c>
      <c r="Z13" t="s">
        <v>2425</v>
      </c>
      <c r="AA13" t="s">
        <v>2426</v>
      </c>
      <c r="AB13" t="s">
        <v>2427</v>
      </c>
      <c r="AC13" t="s">
        <v>2428</v>
      </c>
      <c r="AD13" t="s">
        <v>70</v>
      </c>
      <c r="AE13">
        <v>5974380</v>
      </c>
      <c r="AF13" t="s">
        <v>1444</v>
      </c>
      <c r="AG13">
        <v>3.34</v>
      </c>
      <c r="AH13" t="s">
        <v>1445</v>
      </c>
      <c r="AI13" t="s">
        <v>186</v>
      </c>
      <c r="AJ13" t="s">
        <v>1446</v>
      </c>
      <c r="AK13" t="s">
        <v>70</v>
      </c>
      <c r="AL13" t="s">
        <v>1447</v>
      </c>
      <c r="AM13" t="s">
        <v>70</v>
      </c>
      <c r="AN13" t="s">
        <v>2429</v>
      </c>
      <c r="AO13" t="s">
        <v>1111</v>
      </c>
      <c r="AP13" t="s">
        <v>70</v>
      </c>
      <c r="AQ13" t="s">
        <v>2430</v>
      </c>
      <c r="AR13" t="s">
        <v>70</v>
      </c>
      <c r="AS13" t="s">
        <v>2431</v>
      </c>
      <c r="AT13" t="s">
        <v>2432</v>
      </c>
      <c r="AU13" t="s">
        <v>2433</v>
      </c>
      <c r="AV13" t="s">
        <v>2434</v>
      </c>
      <c r="AW13" t="s">
        <v>1216</v>
      </c>
      <c r="AX13" t="s">
        <v>1032</v>
      </c>
      <c r="AY13" t="s">
        <v>740</v>
      </c>
      <c r="AZ13" t="s">
        <v>366</v>
      </c>
      <c r="BA13" t="s">
        <v>107</v>
      </c>
      <c r="BB13" t="s">
        <v>369</v>
      </c>
      <c r="BC13" t="s">
        <v>836</v>
      </c>
      <c r="BD13" t="s">
        <v>708</v>
      </c>
      <c r="BE13" t="s">
        <v>367</v>
      </c>
      <c r="BF13" t="s">
        <v>108</v>
      </c>
      <c r="BG13" t="s">
        <v>370</v>
      </c>
      <c r="BH13" t="s">
        <v>1442</v>
      </c>
      <c r="BI13" t="s">
        <v>570</v>
      </c>
      <c r="BJ13" t="s">
        <v>1032</v>
      </c>
      <c r="BK13" t="s">
        <v>1242</v>
      </c>
      <c r="BL13" t="s">
        <v>1450</v>
      </c>
      <c r="BM13" t="s">
        <v>836</v>
      </c>
      <c r="BN13">
        <v>3.65</v>
      </c>
      <c r="BO13">
        <v>1.87</v>
      </c>
      <c r="BP13">
        <v>5.64</v>
      </c>
      <c r="BQ13">
        <v>5.56</v>
      </c>
      <c r="BR13">
        <v>1.63</v>
      </c>
      <c r="BS13">
        <v>7.55</v>
      </c>
      <c r="BT13" t="s">
        <v>938</v>
      </c>
      <c r="BU13" t="s">
        <v>881</v>
      </c>
      <c r="BV13">
        <v>13.56</v>
      </c>
      <c r="BW13">
        <v>5.42</v>
      </c>
      <c r="BX13">
        <v>16.260000000000002</v>
      </c>
      <c r="BY13">
        <v>8.65</v>
      </c>
      <c r="BZ13">
        <v>1.95</v>
      </c>
      <c r="CA13">
        <v>8.76</v>
      </c>
      <c r="CB13">
        <v>-2.75</v>
      </c>
      <c r="CC13">
        <v>-4.0599999999999996</v>
      </c>
      <c r="CD13" t="s">
        <v>163</v>
      </c>
      <c r="CE13" t="s">
        <v>2435</v>
      </c>
      <c r="CF13" s="8">
        <v>-1.8458698661744346E-2</v>
      </c>
      <c r="CG13" s="9">
        <v>7.1313808166107195</v>
      </c>
      <c r="CH13" s="8">
        <v>9.1343626379966736E-2</v>
      </c>
      <c r="CI13" s="8">
        <v>4.2500731069594622E-4</v>
      </c>
      <c r="CJ13" s="8">
        <v>0.31438553333282471</v>
      </c>
      <c r="CK13" s="8">
        <v>0.27243649959564209</v>
      </c>
      <c r="CL13" s="8">
        <v>0.46765768527984619</v>
      </c>
      <c r="CM13" s="9">
        <v>3.8579235076904297</v>
      </c>
      <c r="CN13" s="9">
        <v>-0.77791261672973633</v>
      </c>
      <c r="CO13" s="9">
        <v>-0.54675465822219849</v>
      </c>
      <c r="CP13" s="9">
        <v>1.0588901042938232</v>
      </c>
      <c r="CQ13" s="9">
        <v>0.90712743997573853</v>
      </c>
      <c r="CR13">
        <v>12.797316758893279</v>
      </c>
      <c r="CS13">
        <v>0.55822617924344753</v>
      </c>
      <c r="CT13">
        <v>6.0483870967741939</v>
      </c>
      <c r="CU13" s="8">
        <v>0.22924967037979513</v>
      </c>
      <c r="CV13" s="9">
        <v>0.89985475540161131</v>
      </c>
      <c r="CW13">
        <v>0.06</v>
      </c>
      <c r="CX13">
        <v>6.9153985902179418</v>
      </c>
      <c r="CY13">
        <v>1030946185.8185261</v>
      </c>
      <c r="CZ13">
        <v>0.22924967037979513</v>
      </c>
      <c r="DA13">
        <v>2.012407723911795</v>
      </c>
      <c r="DB13">
        <v>3542723333.4910846</v>
      </c>
      <c r="DC13">
        <v>0.21778718686080537</v>
      </c>
      <c r="DD13">
        <v>0.84198959843503951</v>
      </c>
      <c r="DE13">
        <v>8467330016.0133057</v>
      </c>
      <c r="DF13">
        <v>0.20173970993421972</v>
      </c>
      <c r="DG13">
        <v>0.41648864803997432</v>
      </c>
      <c r="DH13">
        <v>17117882644.704699</v>
      </c>
      <c r="DI13">
        <v>0.1833997363038361</v>
      </c>
      <c r="DJ13">
        <v>0.13567121011623476</v>
      </c>
      <c r="DK13">
        <v>52549128100.884224</v>
      </c>
      <c r="DL13">
        <v>0.16047476926585658</v>
      </c>
      <c r="DM13">
        <v>889000000</v>
      </c>
      <c r="DN13">
        <v>0.22924967037979513</v>
      </c>
      <c r="DO13">
        <v>7129403800</v>
      </c>
      <c r="DP13">
        <v>3843855400</v>
      </c>
      <c r="DQ13">
        <v>221</v>
      </c>
      <c r="DR13">
        <v>-0.24770836904153948</v>
      </c>
      <c r="DS13">
        <v>6.2315260612091086</v>
      </c>
      <c r="DT13" s="10">
        <v>-9.000000000000008E-2</v>
      </c>
      <c r="DU13">
        <v>0.73999999999999988</v>
      </c>
      <c r="DV13">
        <v>0.6499999999999998</v>
      </c>
      <c r="DW13">
        <v>-8.6773399014778327</v>
      </c>
      <c r="DX13">
        <v>0.42347052280311387</v>
      </c>
      <c r="DY13">
        <v>-8.0836315117508786</v>
      </c>
      <c r="DZ13">
        <v>518</v>
      </c>
      <c r="EA13">
        <v>-8.0751537968610627</v>
      </c>
      <c r="EB13">
        <v>8</v>
      </c>
      <c r="EC13">
        <v>5.1013657459099804E-2</v>
      </c>
      <c r="ED13">
        <v>0.41316466716874523</v>
      </c>
      <c r="EE13" s="11">
        <v>4.0144000000000002</v>
      </c>
      <c r="EF13">
        <v>4.0015099999999997</v>
      </c>
      <c r="EG13">
        <v>30.123470522803114</v>
      </c>
      <c r="EH13" t="s">
        <v>2436</v>
      </c>
      <c r="EI13">
        <v>0</v>
      </c>
      <c r="EJ13">
        <v>1</v>
      </c>
      <c r="EK13" s="13">
        <v>45470</v>
      </c>
      <c r="EL13" s="14">
        <v>0.2</v>
      </c>
      <c r="EM13" s="14">
        <v>-1.63</v>
      </c>
      <c r="EN13" s="14">
        <v>0.83</v>
      </c>
      <c r="EO13" s="14">
        <v>2.87</v>
      </c>
      <c r="EP13" s="14">
        <v>-1.59</v>
      </c>
    </row>
    <row r="14" spans="1:146" ht="96" x14ac:dyDescent="0.25">
      <c r="A14" s="7"/>
      <c r="B14" s="7"/>
      <c r="C14" s="7" t="str">
        <f>""&amp;CHAR(10)&amp;Basic_Fundamental_Information_Constructure(F14)&amp;CHAR(10)&amp;Basic_Fundamental_Information_Concatenate("")</f>
        <v xml:space="preserve">
市值15.878423亿, 利润9.77亿; PE1.48; 平均PE-4.21; 平均PEG-6.69, PB102.8; ROIC0%; ROE-126.64%; 股利率0%; 毛利-29.79%; 净利-20.1%; 上一年度营收增-1.55%, 利润增150.39%; 当季营收增10.15%, 利润增37.65%; 过往5年营收增.63%, 利润增-663.73%
Income profile:
</v>
      </c>
      <c r="D14" t="s">
        <v>110</v>
      </c>
      <c r="E14" t="s">
        <v>2437</v>
      </c>
      <c r="F14">
        <v>2.98</v>
      </c>
      <c r="G14">
        <v>0.34</v>
      </c>
      <c r="H14" t="s">
        <v>2438</v>
      </c>
      <c r="I14">
        <v>1587842300</v>
      </c>
      <c r="J14">
        <v>1.48</v>
      </c>
      <c r="K14">
        <v>102.8</v>
      </c>
      <c r="L14" t="s">
        <v>67</v>
      </c>
      <c r="M14" t="s">
        <v>1449</v>
      </c>
      <c r="N14" t="s">
        <v>2439</v>
      </c>
      <c r="O14" t="s">
        <v>1236</v>
      </c>
      <c r="P14">
        <v>10.16</v>
      </c>
      <c r="Q14" t="s">
        <v>1451</v>
      </c>
      <c r="R14">
        <v>-160241400</v>
      </c>
      <c r="S14" s="6">
        <v>0.377</v>
      </c>
      <c r="T14" t="s">
        <v>1452</v>
      </c>
      <c r="U14">
        <v>532828880</v>
      </c>
      <c r="V14">
        <v>532832980</v>
      </c>
      <c r="W14">
        <v>112.8</v>
      </c>
      <c r="X14">
        <v>0.23</v>
      </c>
      <c r="Y14">
        <v>-14.02</v>
      </c>
      <c r="Z14" t="s">
        <v>2440</v>
      </c>
      <c r="AA14" t="s">
        <v>1037</v>
      </c>
      <c r="AB14" t="s">
        <v>2441</v>
      </c>
      <c r="AC14" t="s">
        <v>2442</v>
      </c>
      <c r="AD14" t="s">
        <v>70</v>
      </c>
      <c r="AE14">
        <v>40154810</v>
      </c>
      <c r="AF14" t="s">
        <v>105</v>
      </c>
      <c r="AG14" t="s">
        <v>2443</v>
      </c>
      <c r="AH14" t="s">
        <v>1453</v>
      </c>
      <c r="AI14" t="s">
        <v>1308</v>
      </c>
      <c r="AJ14" t="s">
        <v>1454</v>
      </c>
      <c r="AK14" t="s">
        <v>70</v>
      </c>
      <c r="AL14" t="s">
        <v>1455</v>
      </c>
      <c r="AM14" t="s">
        <v>70</v>
      </c>
      <c r="AN14" t="s">
        <v>2444</v>
      </c>
      <c r="AO14" t="s">
        <v>2445</v>
      </c>
      <c r="AP14" t="s">
        <v>70</v>
      </c>
      <c r="AQ14" t="s">
        <v>2033</v>
      </c>
      <c r="AR14" t="s">
        <v>70</v>
      </c>
      <c r="AS14" t="s">
        <v>2446</v>
      </c>
      <c r="AT14" t="s">
        <v>904</v>
      </c>
      <c r="AU14" t="s">
        <v>2447</v>
      </c>
      <c r="AV14" t="s">
        <v>2448</v>
      </c>
      <c r="AW14" t="s">
        <v>1297</v>
      </c>
      <c r="AX14" t="s">
        <v>1035</v>
      </c>
      <c r="AY14" t="s">
        <v>388</v>
      </c>
      <c r="AZ14" t="s">
        <v>371</v>
      </c>
      <c r="BA14" t="s">
        <v>111</v>
      </c>
      <c r="BB14" t="s">
        <v>374</v>
      </c>
      <c r="BC14" t="s">
        <v>1036</v>
      </c>
      <c r="BD14" t="s">
        <v>544</v>
      </c>
      <c r="BE14" t="s">
        <v>372</v>
      </c>
      <c r="BF14" t="s">
        <v>112</v>
      </c>
      <c r="BG14" t="s">
        <v>375</v>
      </c>
      <c r="BH14" t="s">
        <v>1451</v>
      </c>
      <c r="BI14" t="s">
        <v>1456</v>
      </c>
      <c r="BJ14" t="s">
        <v>1035</v>
      </c>
      <c r="BK14" t="s">
        <v>1452</v>
      </c>
      <c r="BL14" t="s">
        <v>1457</v>
      </c>
      <c r="BM14" t="s">
        <v>1036</v>
      </c>
      <c r="BN14" t="s">
        <v>70</v>
      </c>
      <c r="BO14" t="s">
        <v>70</v>
      </c>
      <c r="BP14" t="s">
        <v>70</v>
      </c>
      <c r="BQ14" t="s">
        <v>70</v>
      </c>
      <c r="BR14" t="s">
        <v>70</v>
      </c>
      <c r="BS14">
        <v>-126.64</v>
      </c>
      <c r="BT14" t="s">
        <v>929</v>
      </c>
      <c r="BU14" t="s">
        <v>884</v>
      </c>
      <c r="BV14">
        <v>-24.61</v>
      </c>
      <c r="BW14">
        <v>-51.77</v>
      </c>
      <c r="BX14">
        <v>-12.99</v>
      </c>
      <c r="BY14">
        <v>49.63</v>
      </c>
      <c r="BZ14">
        <v>-98.08</v>
      </c>
      <c r="CA14">
        <v>-11.85</v>
      </c>
      <c r="CB14">
        <v>-3.25</v>
      </c>
      <c r="CC14">
        <v>-4.79</v>
      </c>
      <c r="CD14" t="s">
        <v>2449</v>
      </c>
      <c r="CE14" t="s">
        <v>2450</v>
      </c>
      <c r="CF14" s="8">
        <v>0.1014760147601476</v>
      </c>
      <c r="CG14" s="9">
        <v>0.37649260700389098</v>
      </c>
      <c r="CH14" s="8">
        <v>-1.5531093813478947E-2</v>
      </c>
      <c r="CI14" s="8">
        <v>4.5294091105461121E-3</v>
      </c>
      <c r="CJ14" s="8">
        <v>4.9102462828159332E-2</v>
      </c>
      <c r="CK14" s="8">
        <v>2.3230651393532753E-2</v>
      </c>
      <c r="CL14" s="8">
        <v>-2.9874179512262344E-2</v>
      </c>
      <c r="CM14" s="9">
        <v>1.5038678646087646</v>
      </c>
      <c r="CN14" s="9">
        <v>-7.7737560272216797</v>
      </c>
      <c r="CO14" s="9">
        <v>0.77263373136520386</v>
      </c>
      <c r="CP14" s="9">
        <v>-7.4521737098693848</v>
      </c>
      <c r="CQ14" s="9">
        <v>-20.236881256103516</v>
      </c>
      <c r="CR14">
        <v>-4.2080219277030846</v>
      </c>
      <c r="CS14">
        <v>-6.6884771027887</v>
      </c>
      <c r="CT14">
        <v>0</v>
      </c>
      <c r="CU14" s="8">
        <v>6.2914500012993813E-3</v>
      </c>
      <c r="CV14" s="9">
        <v>-6.6372618794441225</v>
      </c>
      <c r="CW14">
        <v>0.06</v>
      </c>
      <c r="CX14">
        <v>7.2651252809704623</v>
      </c>
      <c r="CY14">
        <v>927496930.80308437</v>
      </c>
      <c r="CZ14">
        <v>6.2914500012993813E-3</v>
      </c>
      <c r="DA14">
        <v>2.5502307128150377</v>
      </c>
      <c r="DB14">
        <v>2642263449.3966742</v>
      </c>
      <c r="DC14">
        <v>5.9768775012344118E-3</v>
      </c>
      <c r="DD14">
        <v>1.3769787505651347</v>
      </c>
      <c r="DE14">
        <v>4893598682.7933674</v>
      </c>
      <c r="DF14">
        <v>5.5364760011434554E-3</v>
      </c>
      <c r="DG14">
        <v>0.91365808416370964</v>
      </c>
      <c r="DH14">
        <v>7375167490.7662878</v>
      </c>
      <c r="DI14">
        <v>5.0331600010395054E-3</v>
      </c>
      <c r="DJ14">
        <v>0.5788250776234819</v>
      </c>
      <c r="DK14">
        <v>11641481443.178293</v>
      </c>
      <c r="DL14">
        <v>4.4040150009095665E-3</v>
      </c>
      <c r="DM14">
        <v>977000000</v>
      </c>
      <c r="DN14">
        <v>6.2914500012993813E-3</v>
      </c>
      <c r="DO14">
        <v>6738381400</v>
      </c>
      <c r="DP14">
        <v>-2824075400</v>
      </c>
      <c r="DQ14">
        <v>223</v>
      </c>
      <c r="DR14">
        <v>9.518456475884822E-2</v>
      </c>
      <c r="DS14">
        <v>7.013754486448013</v>
      </c>
      <c r="DT14" s="10">
        <v>-0.44</v>
      </c>
      <c r="DU14">
        <v>-2.6983333333333337</v>
      </c>
      <c r="DV14">
        <v>-3.1383333333333336</v>
      </c>
      <c r="DW14">
        <v>-8.6784968684759924</v>
      </c>
      <c r="DX14">
        <v>0.17753231162196748</v>
      </c>
      <c r="DY14">
        <v>-8.0390354932716885</v>
      </c>
      <c r="DZ14">
        <v>4949</v>
      </c>
      <c r="EA14">
        <v>-8.0012298854044506</v>
      </c>
      <c r="EB14">
        <v>8</v>
      </c>
      <c r="EC14">
        <v>8.4543940955006197E-2</v>
      </c>
      <c r="ED14">
        <v>1.4695036332022842</v>
      </c>
      <c r="EE14" s="11">
        <v>3.0150999999999999</v>
      </c>
      <c r="EF14">
        <v>3.0084</v>
      </c>
      <c r="EG14">
        <v>12.057532311621967</v>
      </c>
      <c r="EH14" t="s">
        <v>1458</v>
      </c>
      <c r="EI14">
        <v>0</v>
      </c>
      <c r="EJ14">
        <v>0</v>
      </c>
      <c r="EK14" s="13">
        <v>45470</v>
      </c>
      <c r="EL14" s="14">
        <v>0</v>
      </c>
      <c r="EM14" s="14">
        <v>-3.63</v>
      </c>
      <c r="EN14" s="14">
        <v>-0.68</v>
      </c>
      <c r="EO14" s="14">
        <v>2.41</v>
      </c>
      <c r="EP14" s="14">
        <v>-0.67</v>
      </c>
    </row>
    <row r="15" spans="1:146" ht="96" x14ac:dyDescent="0.25">
      <c r="A15" s="7"/>
      <c r="B15" s="7"/>
      <c r="C15" s="7" t="str">
        <f>""&amp;CHAR(10)&amp;Basic_Fundamental_Information_Constructure(F15)&amp;CHAR(10)&amp;Basic_Fundamental_Information_Concatenate("")</f>
        <v xml:space="preserve">
市值42.470483亿, 利润4946.66万; PE59.49; 平均PE44.78; 平均PEG7.47, PB1.38; ROIC1.9967%; ROE2.5167%; 股利率.5464%; 毛利30.5867%; 净利18.5367%; 上一年度营收增-30.64%, 利润增-28.46%; 当季营收增44.82%, 利润增571.43%; 过往5年营收增6%, 利润增-6.29%
Income profile:
</v>
      </c>
      <c r="D15" t="s">
        <v>114</v>
      </c>
      <c r="E15" t="s">
        <v>12</v>
      </c>
      <c r="F15">
        <v>9.15</v>
      </c>
      <c r="G15">
        <v>0.55000000000000004</v>
      </c>
      <c r="H15" t="s">
        <v>2451</v>
      </c>
      <c r="I15">
        <v>4247048300</v>
      </c>
      <c r="J15">
        <v>59.49</v>
      </c>
      <c r="K15">
        <v>1.38</v>
      </c>
      <c r="L15" t="s">
        <v>67</v>
      </c>
      <c r="M15" t="s">
        <v>205</v>
      </c>
      <c r="N15" t="s">
        <v>2452</v>
      </c>
      <c r="O15" t="s">
        <v>1459</v>
      </c>
      <c r="P15">
        <v>44.82</v>
      </c>
      <c r="Q15" t="s">
        <v>1460</v>
      </c>
      <c r="R15">
        <v>25759297</v>
      </c>
      <c r="S15" s="5">
        <v>5.7140000000000004</v>
      </c>
      <c r="T15" t="s">
        <v>1461</v>
      </c>
      <c r="U15">
        <v>464158280</v>
      </c>
      <c r="V15">
        <v>464158280</v>
      </c>
      <c r="W15">
        <v>1.04</v>
      </c>
      <c r="X15">
        <v>0.02</v>
      </c>
      <c r="Y15">
        <v>28.08</v>
      </c>
      <c r="Z15" t="s">
        <v>2453</v>
      </c>
      <c r="AA15" t="s">
        <v>2454</v>
      </c>
      <c r="AB15" t="s">
        <v>2455</v>
      </c>
      <c r="AC15" t="s">
        <v>2456</v>
      </c>
      <c r="AD15" t="s">
        <v>70</v>
      </c>
      <c r="AE15">
        <v>-2724541</v>
      </c>
      <c r="AF15" t="s">
        <v>1463</v>
      </c>
      <c r="AG15" t="s">
        <v>2457</v>
      </c>
      <c r="AH15" t="s">
        <v>1464</v>
      </c>
      <c r="AI15" t="s">
        <v>2458</v>
      </c>
      <c r="AJ15" t="s">
        <v>1466</v>
      </c>
      <c r="AK15" t="s">
        <v>2459</v>
      </c>
      <c r="AL15" t="s">
        <v>1467</v>
      </c>
      <c r="AM15" t="s">
        <v>70</v>
      </c>
      <c r="AN15" t="s">
        <v>2460</v>
      </c>
      <c r="AO15" t="s">
        <v>70</v>
      </c>
      <c r="AP15" t="s">
        <v>70</v>
      </c>
      <c r="AQ15" t="s">
        <v>2461</v>
      </c>
      <c r="AR15" t="s">
        <v>2462</v>
      </c>
      <c r="AS15" t="s">
        <v>336</v>
      </c>
      <c r="AT15" t="s">
        <v>70</v>
      </c>
      <c r="AU15" t="s">
        <v>2463</v>
      </c>
      <c r="AV15" t="s">
        <v>2464</v>
      </c>
      <c r="AW15" t="s">
        <v>70</v>
      </c>
      <c r="AX15" t="s">
        <v>1219</v>
      </c>
      <c r="AY15" t="s">
        <v>395</v>
      </c>
      <c r="AZ15" t="s">
        <v>376</v>
      </c>
      <c r="BA15" t="s">
        <v>116</v>
      </c>
      <c r="BB15" t="s">
        <v>378</v>
      </c>
      <c r="BC15" t="s">
        <v>1040</v>
      </c>
      <c r="BD15" t="s">
        <v>466</v>
      </c>
      <c r="BE15" t="s">
        <v>377</v>
      </c>
      <c r="BF15" t="s">
        <v>117</v>
      </c>
      <c r="BG15" t="s">
        <v>380</v>
      </c>
      <c r="BH15" t="s">
        <v>1460</v>
      </c>
      <c r="BI15" t="s">
        <v>1468</v>
      </c>
      <c r="BJ15" t="s">
        <v>1219</v>
      </c>
      <c r="BK15" t="s">
        <v>1461</v>
      </c>
      <c r="BL15" t="s">
        <v>1469</v>
      </c>
      <c r="BM15" t="s">
        <v>1040</v>
      </c>
      <c r="BN15">
        <v>0.94</v>
      </c>
      <c r="BO15">
        <v>1.64</v>
      </c>
      <c r="BP15">
        <v>3.41</v>
      </c>
      <c r="BQ15">
        <v>1.43</v>
      </c>
      <c r="BR15">
        <v>2.2200000000000002</v>
      </c>
      <c r="BS15">
        <v>3.9</v>
      </c>
      <c r="BT15" t="s">
        <v>931</v>
      </c>
      <c r="BU15" t="s">
        <v>883</v>
      </c>
      <c r="BV15">
        <v>38.15</v>
      </c>
      <c r="BW15">
        <v>25.71</v>
      </c>
      <c r="BX15">
        <v>27.9</v>
      </c>
      <c r="BY15">
        <v>14.77</v>
      </c>
      <c r="BZ15">
        <v>16.2</v>
      </c>
      <c r="CA15">
        <v>24.64</v>
      </c>
      <c r="CB15">
        <v>-0.44</v>
      </c>
      <c r="CC15">
        <v>-12.02</v>
      </c>
      <c r="CD15" t="s">
        <v>2465</v>
      </c>
      <c r="CE15" t="s">
        <v>2466</v>
      </c>
      <c r="CF15" s="8">
        <v>0.44815218873585161</v>
      </c>
      <c r="CG15" s="9">
        <v>5.714270037794865</v>
      </c>
      <c r="CH15" s="8">
        <v>-0.30641329288482666</v>
      </c>
      <c r="CI15" s="8">
        <v>-0.11924686282873154</v>
      </c>
      <c r="CJ15" s="8">
        <v>0.53697746992111206</v>
      </c>
      <c r="CK15" s="8">
        <v>0.27459016442298889</v>
      </c>
      <c r="CL15" s="8">
        <v>-8.6142323911190033E-2</v>
      </c>
      <c r="CM15" s="9">
        <v>-0.28458264470100403</v>
      </c>
      <c r="CN15" s="9">
        <v>-0.42380252480506897</v>
      </c>
      <c r="CO15" s="9">
        <v>0.22599221765995026</v>
      </c>
      <c r="CP15" s="9">
        <v>-0.29072532057762146</v>
      </c>
      <c r="CQ15" s="9">
        <v>0.45854252576828003</v>
      </c>
      <c r="CR15">
        <v>44.776062141059327</v>
      </c>
      <c r="CS15">
        <v>7.4685235151796983</v>
      </c>
      <c r="CT15">
        <v>0.54644808743169393</v>
      </c>
      <c r="CU15" s="8">
        <v>5.9953030943870542E-2</v>
      </c>
      <c r="CV15" s="9">
        <v>-6.2915149331092837E-2</v>
      </c>
      <c r="CW15">
        <v>0.06</v>
      </c>
      <c r="CX15">
        <v>25.817519074834067</v>
      </c>
      <c r="CY15">
        <v>49464408.11366798</v>
      </c>
      <c r="CZ15">
        <v>5.9953030943870542E-2</v>
      </c>
      <c r="DA15">
        <v>8.6550829307640864</v>
      </c>
      <c r="DB15">
        <v>147548938.60817805</v>
      </c>
      <c r="DC15">
        <v>5.6955379396677011E-2</v>
      </c>
      <c r="DD15">
        <v>4.4069070512262556</v>
      </c>
      <c r="DE15">
        <v>289783352.62248194</v>
      </c>
      <c r="DF15">
        <v>5.2758667230606078E-2</v>
      </c>
      <c r="DG15">
        <v>2.7475300531487941</v>
      </c>
      <c r="DH15">
        <v>464798664.72668594</v>
      </c>
      <c r="DI15">
        <v>4.7962424755096433E-2</v>
      </c>
      <c r="DJ15">
        <v>1.5381052701773061</v>
      </c>
      <c r="DK15">
        <v>830273665.1131736</v>
      </c>
      <c r="DL15">
        <v>4.1967121660709379E-2</v>
      </c>
      <c r="DM15">
        <v>49466600</v>
      </c>
      <c r="DN15">
        <v>5.9953030943870542E-2</v>
      </c>
      <c r="DO15">
        <v>1277048300</v>
      </c>
      <c r="DP15">
        <v>1082145390</v>
      </c>
      <c r="DQ15">
        <v>246</v>
      </c>
      <c r="DR15">
        <v>0.38819915779198105</v>
      </c>
      <c r="DS15">
        <v>5.7771851871259576</v>
      </c>
      <c r="DT15" s="10">
        <v>-0.35666666666666669</v>
      </c>
      <c r="DU15">
        <v>-0.19999999999999998</v>
      </c>
      <c r="DV15">
        <v>-0.55666666666666664</v>
      </c>
      <c r="DW15">
        <v>-2.1202000000000001</v>
      </c>
      <c r="DX15">
        <v>0.1968219101123595</v>
      </c>
      <c r="DY15">
        <v>-2.0092339935955055</v>
      </c>
      <c r="DZ15">
        <v>2962</v>
      </c>
      <c r="EA15">
        <v>-2.0038815299888739</v>
      </c>
      <c r="EB15">
        <v>2</v>
      </c>
      <c r="EC15">
        <v>8.8381273732744792E-2</v>
      </c>
      <c r="ED15">
        <v>1.1504696199753239</v>
      </c>
      <c r="EE15" s="11">
        <v>-2.0482100000000001</v>
      </c>
      <c r="EF15">
        <v>-2.06901</v>
      </c>
      <c r="EG15">
        <v>12.07682191011236</v>
      </c>
      <c r="EH15" t="s">
        <v>1226</v>
      </c>
      <c r="EI15">
        <v>0</v>
      </c>
      <c r="EJ15">
        <v>0</v>
      </c>
      <c r="EK15" s="13">
        <v>45470</v>
      </c>
      <c r="EL15" s="14">
        <v>0.11</v>
      </c>
      <c r="EM15" s="14">
        <v>0.65</v>
      </c>
      <c r="EN15" s="14">
        <v>-3.96</v>
      </c>
      <c r="EO15" s="14">
        <v>2.0099999999999998</v>
      </c>
      <c r="EP15" s="14">
        <v>-2.08</v>
      </c>
    </row>
    <row r="16" spans="1:146" ht="96" x14ac:dyDescent="0.25">
      <c r="A16" s="7"/>
      <c r="B16" s="7"/>
      <c r="C16" s="7" t="str">
        <f>""&amp;CHAR(10)&amp;Basic_Fundamental_Information_Constructure(F16)&amp;CHAR(10)&amp;Basic_Fundamental_Information_Concatenate("")</f>
        <v xml:space="preserve">
市值72.000448亿, 利润-5.15亿; PE; 平均PE-81.2; 平均PEG-6.36, PB1.28; ROIC-38.79%; ROE-5.3967%; 股利率0%; 毛利10.1%; 净利-3.0367%; 上一年度营收增-2.99%, 利润增24.38%; 当季营收增-15.79%, 利润增-260.37%; 过往5年营收增12.78%, 利润增-3536.66%
Income profile:
</v>
      </c>
      <c r="D16" t="s">
        <v>118</v>
      </c>
      <c r="E16" t="s">
        <v>381</v>
      </c>
      <c r="F16">
        <v>2.34</v>
      </c>
      <c r="G16">
        <v>0.86</v>
      </c>
      <c r="H16" t="s">
        <v>2467</v>
      </c>
      <c r="I16">
        <v>7200044800</v>
      </c>
      <c r="K16">
        <v>1.28</v>
      </c>
      <c r="L16" t="s">
        <v>67</v>
      </c>
      <c r="M16" t="s">
        <v>1470</v>
      </c>
      <c r="N16" t="s">
        <v>2468</v>
      </c>
      <c r="O16" t="s">
        <v>1471</v>
      </c>
      <c r="P16">
        <v>-15.8</v>
      </c>
      <c r="Q16" t="s">
        <v>1472</v>
      </c>
      <c r="R16">
        <v>-508120400</v>
      </c>
      <c r="S16" s="5">
        <v>-2.6</v>
      </c>
      <c r="T16" t="s">
        <v>1473</v>
      </c>
      <c r="U16">
        <v>2912246400</v>
      </c>
      <c r="V16">
        <v>3076942200</v>
      </c>
      <c r="W16">
        <v>5.97</v>
      </c>
      <c r="X16">
        <v>0.08</v>
      </c>
      <c r="Y16">
        <v>-13.41</v>
      </c>
      <c r="Z16" t="s">
        <v>469</v>
      </c>
      <c r="AA16" t="s">
        <v>2469</v>
      </c>
      <c r="AB16" t="s">
        <v>70</v>
      </c>
      <c r="AC16" t="s">
        <v>2470</v>
      </c>
      <c r="AD16" t="s">
        <v>70</v>
      </c>
      <c r="AE16">
        <v>372585800</v>
      </c>
      <c r="AF16" t="s">
        <v>1475</v>
      </c>
      <c r="AG16" t="s">
        <v>2471</v>
      </c>
      <c r="AH16" t="s">
        <v>1476</v>
      </c>
      <c r="AI16" t="s">
        <v>2472</v>
      </c>
      <c r="AJ16" t="s">
        <v>1477</v>
      </c>
      <c r="AK16" t="s">
        <v>70</v>
      </c>
      <c r="AL16" t="s">
        <v>1478</v>
      </c>
      <c r="AM16" t="s">
        <v>70</v>
      </c>
      <c r="AN16" t="s">
        <v>2473</v>
      </c>
      <c r="AO16" t="s">
        <v>2474</v>
      </c>
      <c r="AP16" t="s">
        <v>2475</v>
      </c>
      <c r="AQ16" t="s">
        <v>2476</v>
      </c>
      <c r="AR16" t="s">
        <v>70</v>
      </c>
      <c r="AS16" t="s">
        <v>2477</v>
      </c>
      <c r="AT16" t="s">
        <v>2478</v>
      </c>
      <c r="AU16" t="s">
        <v>2479</v>
      </c>
      <c r="AV16" t="s">
        <v>2480</v>
      </c>
      <c r="AW16" t="s">
        <v>1358</v>
      </c>
      <c r="AX16" t="s">
        <v>1042</v>
      </c>
      <c r="AY16" t="s">
        <v>741</v>
      </c>
      <c r="AZ16" t="s">
        <v>743</v>
      </c>
      <c r="BA16" t="s">
        <v>119</v>
      </c>
      <c r="BB16" t="s">
        <v>383</v>
      </c>
      <c r="BC16" t="s">
        <v>1479</v>
      </c>
      <c r="BD16" t="s">
        <v>742</v>
      </c>
      <c r="BE16" t="s">
        <v>691</v>
      </c>
      <c r="BF16" t="s">
        <v>120</v>
      </c>
      <c r="BG16" t="s">
        <v>382</v>
      </c>
      <c r="BH16" t="s">
        <v>1472</v>
      </c>
      <c r="BI16" t="s">
        <v>1480</v>
      </c>
      <c r="BJ16" t="s">
        <v>1042</v>
      </c>
      <c r="BK16" t="s">
        <v>1473</v>
      </c>
      <c r="BL16" t="s">
        <v>1428</v>
      </c>
      <c r="BM16" t="s">
        <v>1479</v>
      </c>
      <c r="BN16" t="s">
        <v>70</v>
      </c>
      <c r="BO16" t="s">
        <v>70</v>
      </c>
      <c r="BP16">
        <v>-38.79</v>
      </c>
      <c r="BQ16">
        <v>-5.18</v>
      </c>
      <c r="BR16">
        <v>-10.74</v>
      </c>
      <c r="BS16">
        <v>-0.27</v>
      </c>
      <c r="BT16" t="s">
        <v>929</v>
      </c>
      <c r="BU16" t="s">
        <v>881</v>
      </c>
      <c r="BV16">
        <v>7.34</v>
      </c>
      <c r="BW16">
        <v>7.15</v>
      </c>
      <c r="BX16">
        <v>15.81</v>
      </c>
      <c r="BY16">
        <v>-3.43</v>
      </c>
      <c r="BZ16">
        <v>-3.95</v>
      </c>
      <c r="CA16">
        <v>-1.73</v>
      </c>
      <c r="CB16">
        <v>0.43</v>
      </c>
      <c r="CC16">
        <v>-8.59</v>
      </c>
      <c r="CD16" t="s">
        <v>2481</v>
      </c>
      <c r="CE16" t="s">
        <v>2482</v>
      </c>
      <c r="CF16" s="8">
        <v>-0.15794273208097756</v>
      </c>
      <c r="CG16" s="9">
        <v>-2.6036907801418439</v>
      </c>
      <c r="CH16" s="8">
        <v>-2.9871426522731781E-2</v>
      </c>
      <c r="CI16" s="8">
        <v>0.32373163104057312</v>
      </c>
      <c r="CJ16" s="8">
        <v>0.28750836849212646</v>
      </c>
      <c r="CK16" s="8">
        <v>-1.3388725928962231E-2</v>
      </c>
      <c r="CL16" s="8">
        <v>7.0792503654956818E-2</v>
      </c>
      <c r="CM16" s="9">
        <v>0.24375918507575989</v>
      </c>
      <c r="CN16" s="9">
        <v>-178.31143188476562</v>
      </c>
      <c r="CO16" s="9">
        <v>-0.98593151569366455</v>
      </c>
      <c r="CP16" s="9">
        <v>3.0069277286529541</v>
      </c>
      <c r="CQ16" s="9">
        <v>-0.78642004728317261</v>
      </c>
      <c r="CR16">
        <v>-81.199345973411511</v>
      </c>
      <c r="CS16">
        <v>-6.3558907864325658</v>
      </c>
      <c r="CT16">
        <v>0</v>
      </c>
      <c r="CU16" s="8">
        <v>0.12775447014719249</v>
      </c>
      <c r="CV16" s="9">
        <v>-35.366619306802747</v>
      </c>
      <c r="CW16">
        <v>0.06</v>
      </c>
      <c r="CX16" t="e">
        <v>#VALUE!</v>
      </c>
      <c r="CY16" t="s">
        <v>809</v>
      </c>
      <c r="CZ16">
        <v>0.12775447014719249</v>
      </c>
      <c r="DA16" t="e">
        <v>#VALUE!</v>
      </c>
      <c r="DB16" t="s">
        <v>810</v>
      </c>
      <c r="DC16">
        <v>0.12136674663983286</v>
      </c>
      <c r="DD16" t="e">
        <v>#VALUE!</v>
      </c>
      <c r="DE16" t="s">
        <v>810</v>
      </c>
      <c r="DF16">
        <v>0.11242393372952939</v>
      </c>
      <c r="DG16" t="e">
        <v>#VALUE!</v>
      </c>
      <c r="DH16" t="s">
        <v>810</v>
      </c>
      <c r="DI16">
        <v>0.10220357611775399</v>
      </c>
      <c r="DJ16" t="e">
        <v>#VALUE!</v>
      </c>
      <c r="DK16" t="s">
        <v>810</v>
      </c>
      <c r="DL16">
        <v>8.9428129103034742E-2</v>
      </c>
      <c r="DM16">
        <v>-515000000.00000006</v>
      </c>
      <c r="DN16">
        <v>0.12775447014719249</v>
      </c>
      <c r="DO16">
        <v>46842044800</v>
      </c>
      <c r="DP16">
        <v>-3431750000</v>
      </c>
      <c r="DQ16">
        <v>272</v>
      </c>
      <c r="DR16">
        <v>-0.28569720222817008</v>
      </c>
      <c r="DS16">
        <v>32.7629285266609</v>
      </c>
      <c r="DT16" s="10">
        <v>-0.15666666666666665</v>
      </c>
      <c r="DU16">
        <v>-2.0050000000000003</v>
      </c>
      <c r="DV16">
        <v>-2.1616666666666671</v>
      </c>
      <c r="DW16">
        <v>-2.0859000000000001</v>
      </c>
      <c r="DX16">
        <v>0.22805164992826463</v>
      </c>
      <c r="DY16">
        <v>-2.005845636728838</v>
      </c>
      <c r="DZ16">
        <v>4508</v>
      </c>
      <c r="EA16">
        <v>-2.0006886640529862</v>
      </c>
      <c r="EB16">
        <v>2</v>
      </c>
      <c r="EC16">
        <v>1.5415304193884436E-2</v>
      </c>
      <c r="ED16">
        <v>0.22652359215587475</v>
      </c>
      <c r="EE16" s="11">
        <v>-2.08901</v>
      </c>
      <c r="EF16">
        <v>-2.1101100000000002</v>
      </c>
      <c r="EG16">
        <v>16.068051649928265</v>
      </c>
      <c r="EH16" t="s">
        <v>1226</v>
      </c>
      <c r="EI16">
        <v>0</v>
      </c>
      <c r="EJ16">
        <v>0</v>
      </c>
      <c r="EK16" s="13">
        <v>45470</v>
      </c>
      <c r="EL16" s="14">
        <v>-0.84</v>
      </c>
      <c r="EM16" s="14">
        <v>-2.13</v>
      </c>
      <c r="EN16" s="14">
        <v>0.43</v>
      </c>
      <c r="EO16" s="14">
        <v>2.6</v>
      </c>
      <c r="EP16" s="14">
        <v>-2.11</v>
      </c>
    </row>
    <row r="17" spans="1:146" ht="96" x14ac:dyDescent="0.25">
      <c r="A17" s="7"/>
      <c r="B17" s="7"/>
      <c r="C17" s="7" t="str">
        <f>""&amp;CHAR(10)&amp;Basic_Fundamental_Information_Constructure(F17)&amp;CHAR(10)&amp;Basic_Fundamental_Information_Concatenate("")</f>
        <v xml:space="preserve">
市值97.15281亿, 利润5.21亿; PE15.79; 平均PE23.95; 平均PEG6.72, PB1.11; ROIC3.8967%; ROE4.9333%; 股利率1.8122%; 毛利37.2433%; 净利18.31%; 上一年度营收增29.08%, 利润增72.52%; 当季营收增41.85%, 利润增221.02%; 过往5年营收增3.56%, 利润增7.8%
Income profile:
</v>
      </c>
      <c r="D17" t="s">
        <v>121</v>
      </c>
      <c r="E17" t="s">
        <v>1043</v>
      </c>
      <c r="F17">
        <v>6.07</v>
      </c>
      <c r="G17">
        <v>0.17</v>
      </c>
      <c r="H17" t="s">
        <v>2483</v>
      </c>
      <c r="I17">
        <v>9715281000</v>
      </c>
      <c r="J17">
        <v>15.79</v>
      </c>
      <c r="K17">
        <v>1.1100000000000001</v>
      </c>
      <c r="L17" t="s">
        <v>67</v>
      </c>
      <c r="M17" t="s">
        <v>1481</v>
      </c>
      <c r="N17" t="s">
        <v>2484</v>
      </c>
      <c r="O17" t="s">
        <v>772</v>
      </c>
      <c r="P17">
        <v>41.73</v>
      </c>
      <c r="Q17" t="s">
        <v>1482</v>
      </c>
      <c r="R17">
        <v>51502719</v>
      </c>
      <c r="S17" s="5">
        <v>2.21</v>
      </c>
      <c r="T17" t="s">
        <v>1287</v>
      </c>
      <c r="U17">
        <v>1600524800</v>
      </c>
      <c r="V17">
        <v>1600540500</v>
      </c>
      <c r="W17">
        <v>2.06</v>
      </c>
      <c r="X17">
        <v>0.02</v>
      </c>
      <c r="Y17">
        <v>11.64</v>
      </c>
      <c r="Z17" t="s">
        <v>1836</v>
      </c>
      <c r="AA17" t="s">
        <v>943</v>
      </c>
      <c r="AB17" t="s">
        <v>70</v>
      </c>
      <c r="AC17" t="s">
        <v>2485</v>
      </c>
      <c r="AD17" t="s">
        <v>70</v>
      </c>
      <c r="AE17">
        <v>85294251</v>
      </c>
      <c r="AF17" t="s">
        <v>1483</v>
      </c>
      <c r="AG17" t="s">
        <v>2486</v>
      </c>
      <c r="AH17" t="s">
        <v>1484</v>
      </c>
      <c r="AI17" t="s">
        <v>438</v>
      </c>
      <c r="AJ17" t="s">
        <v>1485</v>
      </c>
      <c r="AK17" t="s">
        <v>70</v>
      </c>
      <c r="AL17" t="s">
        <v>1486</v>
      </c>
      <c r="AM17" t="s">
        <v>70</v>
      </c>
      <c r="AN17" t="s">
        <v>2487</v>
      </c>
      <c r="AO17" t="s">
        <v>113</v>
      </c>
      <c r="AP17" t="s">
        <v>2488</v>
      </c>
      <c r="AQ17" t="s">
        <v>155</v>
      </c>
      <c r="AR17" t="s">
        <v>2489</v>
      </c>
      <c r="AS17" t="s">
        <v>2049</v>
      </c>
      <c r="AT17" t="s">
        <v>2490</v>
      </c>
      <c r="AU17" t="s">
        <v>342</v>
      </c>
      <c r="AV17" t="s">
        <v>2491</v>
      </c>
      <c r="AW17" t="s">
        <v>1827</v>
      </c>
      <c r="AX17" t="s">
        <v>327</v>
      </c>
      <c r="AY17" t="s">
        <v>1046</v>
      </c>
      <c r="AZ17" t="s">
        <v>384</v>
      </c>
      <c r="BA17" t="s">
        <v>122</v>
      </c>
      <c r="BB17" t="s">
        <v>387</v>
      </c>
      <c r="BC17" t="s">
        <v>893</v>
      </c>
      <c r="BD17" t="s">
        <v>286</v>
      </c>
      <c r="BE17" t="s">
        <v>385</v>
      </c>
      <c r="BF17" t="s">
        <v>123</v>
      </c>
      <c r="BG17" t="s">
        <v>389</v>
      </c>
      <c r="BH17" t="s">
        <v>1482</v>
      </c>
      <c r="BI17" t="s">
        <v>892</v>
      </c>
      <c r="BJ17" t="s">
        <v>327</v>
      </c>
      <c r="BK17" t="s">
        <v>1287</v>
      </c>
      <c r="BL17" t="s">
        <v>1488</v>
      </c>
      <c r="BM17" t="s">
        <v>893</v>
      </c>
      <c r="BN17">
        <v>4.24</v>
      </c>
      <c r="BO17">
        <v>3.73</v>
      </c>
      <c r="BP17">
        <v>3.72</v>
      </c>
      <c r="BQ17">
        <v>6.58</v>
      </c>
      <c r="BR17">
        <v>4.3499999999999996</v>
      </c>
      <c r="BS17">
        <v>3.87</v>
      </c>
      <c r="BT17" t="s">
        <v>1489</v>
      </c>
      <c r="BU17" t="s">
        <v>883</v>
      </c>
      <c r="BV17">
        <v>39.97</v>
      </c>
      <c r="BW17">
        <v>35.630000000000003</v>
      </c>
      <c r="BX17">
        <v>36.130000000000003</v>
      </c>
      <c r="BY17">
        <v>22.21</v>
      </c>
      <c r="BZ17">
        <v>16.96</v>
      </c>
      <c r="CA17">
        <v>15.76</v>
      </c>
      <c r="CB17">
        <v>-1.62</v>
      </c>
      <c r="CC17">
        <v>-16.850000000000001</v>
      </c>
      <c r="CD17" t="s">
        <v>2492</v>
      </c>
      <c r="CE17" t="s">
        <v>2493</v>
      </c>
      <c r="CF17" s="8">
        <v>0.41853932584269665</v>
      </c>
      <c r="CG17" s="9">
        <v>2.2101714593192381</v>
      </c>
      <c r="CH17" s="8">
        <v>0.29081130027770996</v>
      </c>
      <c r="CI17" s="8">
        <v>1.6393475234508514E-2</v>
      </c>
      <c r="CJ17" s="8">
        <v>-0.11125828325748444</v>
      </c>
      <c r="CK17" s="8">
        <v>-1.3227795716375113E-3</v>
      </c>
      <c r="CL17" s="8">
        <v>-1.6478696838021278E-2</v>
      </c>
      <c r="CM17" s="9">
        <v>0.72516554594039917</v>
      </c>
      <c r="CN17" s="9">
        <v>0.15708811581134796</v>
      </c>
      <c r="CO17" s="9">
        <v>-0.40950226783752441</v>
      </c>
      <c r="CP17" s="9">
        <v>4.4917259365320206E-2</v>
      </c>
      <c r="CQ17" s="9">
        <v>-0.12783505022525787</v>
      </c>
      <c r="CR17">
        <v>23.948926047658176</v>
      </c>
      <c r="CS17">
        <v>6.7217502364718094</v>
      </c>
      <c r="CT17">
        <v>1.812191103789127</v>
      </c>
      <c r="CU17" s="8">
        <v>3.5629003169015051E-2</v>
      </c>
      <c r="CV17" s="9">
        <v>7.7966720610857007E-2</v>
      </c>
      <c r="CW17">
        <v>0.06</v>
      </c>
      <c r="CX17">
        <v>20.862149362430099</v>
      </c>
      <c r="CY17">
        <v>509021425.14250636</v>
      </c>
      <c r="CZ17">
        <v>3.5629003169015051E-2</v>
      </c>
      <c r="DA17">
        <v>7.1407613214369237</v>
      </c>
      <c r="DB17">
        <v>1487135687.916131</v>
      </c>
      <c r="DC17">
        <v>3.3847553010564295E-2</v>
      </c>
      <c r="DD17">
        <v>3.7348653417149493</v>
      </c>
      <c r="DE17">
        <v>2843283499.7804532</v>
      </c>
      <c r="DF17">
        <v>3.1353522788733247E-2</v>
      </c>
      <c r="DG17">
        <v>2.397064915775545</v>
      </c>
      <c r="DH17">
        <v>4430118237.5631428</v>
      </c>
      <c r="DI17">
        <v>2.8503202535212043E-2</v>
      </c>
      <c r="DJ17">
        <v>1.4238578168256701</v>
      </c>
      <c r="DK17">
        <v>7458104927.6917868</v>
      </c>
      <c r="DL17">
        <v>2.4940302218310534E-2</v>
      </c>
      <c r="DM17">
        <v>521000000</v>
      </c>
      <c r="DN17">
        <v>3.5629003169015051E-2</v>
      </c>
      <c r="DO17">
        <v>10619281000</v>
      </c>
      <c r="DP17">
        <v>1048700999.9999998</v>
      </c>
      <c r="DQ17">
        <v>285</v>
      </c>
      <c r="DR17">
        <v>0.38291032267368158</v>
      </c>
      <c r="DS17">
        <v>2.1322047387083809</v>
      </c>
      <c r="DT17" s="10">
        <v>-0.27333333333333337</v>
      </c>
      <c r="DU17">
        <v>0.35000000000000003</v>
      </c>
      <c r="DV17">
        <v>7.6666666666666661E-2</v>
      </c>
      <c r="DW17">
        <v>-3.0096130952380951</v>
      </c>
      <c r="DX17">
        <v>0.26607590956521748</v>
      </c>
      <c r="DY17">
        <v>-3.0006351940115943</v>
      </c>
      <c r="DZ17">
        <v>1524</v>
      </c>
      <c r="EA17">
        <v>-3.0004457545451229</v>
      </c>
      <c r="EB17">
        <v>3</v>
      </c>
      <c r="EC17">
        <v>4.7476024505471746E-2</v>
      </c>
      <c r="ED17">
        <v>0.71850727925972513</v>
      </c>
      <c r="EE17" s="11">
        <v>3.0726</v>
      </c>
      <c r="EF17">
        <v>3.0402999999999998</v>
      </c>
      <c r="EG17">
        <v>20.066075909565217</v>
      </c>
      <c r="EH17" t="s">
        <v>1458</v>
      </c>
      <c r="EI17">
        <v>0</v>
      </c>
      <c r="EJ17">
        <v>0</v>
      </c>
      <c r="EK17" s="13">
        <v>45470</v>
      </c>
      <c r="EL17" s="14">
        <v>0.8</v>
      </c>
      <c r="EM17" s="14">
        <v>-1.59</v>
      </c>
      <c r="EN17" s="14">
        <v>-1.45</v>
      </c>
      <c r="EO17" s="14">
        <v>1.64</v>
      </c>
      <c r="EP17" s="14">
        <v>-3.23</v>
      </c>
    </row>
    <row r="18" spans="1:146" ht="96" x14ac:dyDescent="0.25">
      <c r="A18" s="7"/>
      <c r="B18" s="7"/>
      <c r="C18" s="7" t="str">
        <f>""&amp;CHAR(10)&amp;Basic_Fundamental_Information_Constructure(F18)&amp;CHAR(10)&amp;Basic_Fundamental_Information_Concatenate("")</f>
        <v xml:space="preserve">
市值42.501302亿, 利润1.60亿; PE32.48; 平均PE44.43; 平均PEG19.34, PB1.01; ROIC4.6%; ROE4.4467%; 股利率0%; 毛利31.92%; 净利11.3%; 上一年度营收增-2.46%, 利润增-21.57%; 当季营收增-15.38%, 利润增-39.22%; 过往5年营收增2.3%, 利润增48.45%
Income profile:
</v>
      </c>
      <c r="D18" t="s">
        <v>125</v>
      </c>
      <c r="E18" t="s">
        <v>4</v>
      </c>
      <c r="F18">
        <v>4.63</v>
      </c>
      <c r="G18">
        <v>0.65</v>
      </c>
      <c r="H18" t="s">
        <v>2494</v>
      </c>
      <c r="I18">
        <v>4250130200</v>
      </c>
      <c r="J18">
        <v>32.479999999999997</v>
      </c>
      <c r="K18">
        <v>1.01</v>
      </c>
      <c r="L18" t="s">
        <v>67</v>
      </c>
      <c r="M18" t="s">
        <v>1491</v>
      </c>
      <c r="N18" t="s">
        <v>2495</v>
      </c>
      <c r="O18" t="s">
        <v>1492</v>
      </c>
      <c r="P18">
        <v>-15.47</v>
      </c>
      <c r="Q18" t="s">
        <v>1265</v>
      </c>
      <c r="R18">
        <v>45772118</v>
      </c>
      <c r="S18" s="5">
        <v>-0.39219999999999999</v>
      </c>
      <c r="T18" t="s">
        <v>655</v>
      </c>
      <c r="U18">
        <v>627967090</v>
      </c>
      <c r="V18">
        <v>917954700</v>
      </c>
      <c r="W18">
        <v>2.21</v>
      </c>
      <c r="X18">
        <v>0.03</v>
      </c>
      <c r="Y18">
        <v>16.100000000000001</v>
      </c>
      <c r="Z18" t="s">
        <v>2068</v>
      </c>
      <c r="AA18" t="s">
        <v>1081</v>
      </c>
      <c r="AB18" t="s">
        <v>2496</v>
      </c>
      <c r="AC18" t="s">
        <v>2497</v>
      </c>
      <c r="AD18" t="s">
        <v>70</v>
      </c>
      <c r="AE18">
        <v>35694544</v>
      </c>
      <c r="AF18" t="s">
        <v>1493</v>
      </c>
      <c r="AG18" t="s">
        <v>2498</v>
      </c>
      <c r="AH18" t="s">
        <v>1494</v>
      </c>
      <c r="AI18" t="s">
        <v>905</v>
      </c>
      <c r="AJ18" t="s">
        <v>1495</v>
      </c>
      <c r="AK18" t="s">
        <v>70</v>
      </c>
      <c r="AL18" t="s">
        <v>1496</v>
      </c>
      <c r="AM18" t="s">
        <v>70</v>
      </c>
      <c r="AN18" t="s">
        <v>2499</v>
      </c>
      <c r="AO18" t="s">
        <v>1422</v>
      </c>
      <c r="AP18" t="s">
        <v>2500</v>
      </c>
      <c r="AQ18" t="s">
        <v>207</v>
      </c>
      <c r="AR18" t="s">
        <v>70</v>
      </c>
      <c r="AS18" t="s">
        <v>2501</v>
      </c>
      <c r="AT18" t="s">
        <v>2502</v>
      </c>
      <c r="AU18" t="s">
        <v>912</v>
      </c>
      <c r="AV18" t="s">
        <v>2503</v>
      </c>
      <c r="AW18" t="s">
        <v>2504</v>
      </c>
      <c r="AX18" t="s">
        <v>1497</v>
      </c>
      <c r="AY18" t="s">
        <v>579</v>
      </c>
      <c r="AZ18" t="s">
        <v>280</v>
      </c>
      <c r="BA18" t="s">
        <v>126</v>
      </c>
      <c r="BB18" t="s">
        <v>391</v>
      </c>
      <c r="BC18" t="s">
        <v>459</v>
      </c>
      <c r="BD18" t="s">
        <v>744</v>
      </c>
      <c r="BE18" t="s">
        <v>390</v>
      </c>
      <c r="BF18" t="s">
        <v>127</v>
      </c>
      <c r="BG18" t="s">
        <v>392</v>
      </c>
      <c r="BH18" t="s">
        <v>1265</v>
      </c>
      <c r="BI18" t="s">
        <v>1000</v>
      </c>
      <c r="BJ18" t="s">
        <v>1497</v>
      </c>
      <c r="BK18" t="s">
        <v>655</v>
      </c>
      <c r="BL18" t="s">
        <v>1498</v>
      </c>
      <c r="BM18" t="s">
        <v>459</v>
      </c>
      <c r="BN18">
        <v>4.68</v>
      </c>
      <c r="BO18">
        <v>4.6500000000000004</v>
      </c>
      <c r="BP18">
        <v>4.47</v>
      </c>
      <c r="BQ18">
        <v>5.41</v>
      </c>
      <c r="BR18">
        <v>4.47</v>
      </c>
      <c r="BS18">
        <v>3.46</v>
      </c>
      <c r="BT18" t="s">
        <v>929</v>
      </c>
      <c r="BU18" t="s">
        <v>882</v>
      </c>
      <c r="BV18">
        <v>32.590000000000003</v>
      </c>
      <c r="BW18">
        <v>30.38</v>
      </c>
      <c r="BX18">
        <v>32.79</v>
      </c>
      <c r="BY18">
        <v>12.91</v>
      </c>
      <c r="BZ18">
        <v>13.55</v>
      </c>
      <c r="CA18">
        <v>7.44</v>
      </c>
      <c r="CB18">
        <v>-2.94</v>
      </c>
      <c r="CC18">
        <v>-11.3</v>
      </c>
      <c r="CD18" t="s">
        <v>2505</v>
      </c>
      <c r="CE18" t="s">
        <v>2292</v>
      </c>
      <c r="CF18" s="8">
        <v>-0.15384615384615385</v>
      </c>
      <c r="CG18" s="9">
        <v>-0.39219950655841757</v>
      </c>
      <c r="CH18" s="8">
        <v>-2.4590210989117622E-2</v>
      </c>
      <c r="CI18" s="8">
        <v>-1.2509244494140148E-2</v>
      </c>
      <c r="CJ18" s="8">
        <v>0.13061569631099701</v>
      </c>
      <c r="CK18" s="8">
        <v>-0.11422251164913177</v>
      </c>
      <c r="CL18" s="8">
        <v>0.13556474447250366</v>
      </c>
      <c r="CM18" s="9">
        <v>-0.21568627655506134</v>
      </c>
      <c r="CN18" s="9">
        <v>1.1795617341995239</v>
      </c>
      <c r="CO18" s="9">
        <v>1.7287060022354126</v>
      </c>
      <c r="CP18" s="9">
        <v>0.18571369349956512</v>
      </c>
      <c r="CQ18" s="9">
        <v>-0.45576456189155579</v>
      </c>
      <c r="CR18">
        <v>44.427980616752983</v>
      </c>
      <c r="CS18">
        <v>19.340314738860886</v>
      </c>
      <c r="CT18">
        <v>0</v>
      </c>
      <c r="CU18" s="8">
        <v>2.2971694730222224E-2</v>
      </c>
      <c r="CV18" s="9">
        <v>0.48450611829757689</v>
      </c>
      <c r="CW18">
        <v>0.06</v>
      </c>
      <c r="CX18">
        <v>34.130575415586321</v>
      </c>
      <c r="CY18">
        <v>154410821.8460713</v>
      </c>
      <c r="CZ18">
        <v>2.2971694730222224E-2</v>
      </c>
      <c r="DA18">
        <v>11.809884305409327</v>
      </c>
      <c r="DB18">
        <v>446247402.91368496</v>
      </c>
      <c r="DC18">
        <v>2.182310999371111E-2</v>
      </c>
      <c r="DD18">
        <v>6.262865252466522</v>
      </c>
      <c r="DE18">
        <v>841488677.71415806</v>
      </c>
      <c r="DF18">
        <v>2.0215091362595559E-2</v>
      </c>
      <c r="DG18">
        <v>4.0786340549429942</v>
      </c>
      <c r="DH18">
        <v>1292131171.6144288</v>
      </c>
      <c r="DI18">
        <v>1.837735578417778E-2</v>
      </c>
      <c r="DJ18">
        <v>2.4933688682578867</v>
      </c>
      <c r="DK18">
        <v>2113658459.0799966</v>
      </c>
      <c r="DL18">
        <v>1.6080186311155556E-2</v>
      </c>
      <c r="DM18">
        <v>160000000</v>
      </c>
      <c r="DN18">
        <v>2.2971694730222224E-2</v>
      </c>
      <c r="DO18">
        <v>5270130200</v>
      </c>
      <c r="DP18">
        <v>-504250600</v>
      </c>
      <c r="DQ18">
        <v>331</v>
      </c>
      <c r="DR18">
        <v>-0.17681784857637609</v>
      </c>
      <c r="DS18">
        <v>-0.87670562485599446</v>
      </c>
      <c r="DT18" s="10">
        <v>-0.44</v>
      </c>
      <c r="DU18">
        <v>0.19666666666666666</v>
      </c>
      <c r="DV18">
        <v>-0.24333333333333335</v>
      </c>
      <c r="DW18">
        <v>-8.260176991150443</v>
      </c>
      <c r="DX18">
        <v>0.22076961602671105</v>
      </c>
      <c r="DY18">
        <v>-8.015810855851198</v>
      </c>
      <c r="DZ18">
        <v>2311</v>
      </c>
      <c r="EA18">
        <v>-8.0086603885572405</v>
      </c>
      <c r="EB18">
        <v>8</v>
      </c>
      <c r="EC18">
        <v>3.9654462251786496E-2</v>
      </c>
      <c r="ED18">
        <v>0.65253764701025008</v>
      </c>
      <c r="EE18" s="11">
        <v>-1.0278100000000001</v>
      </c>
      <c r="EF18">
        <v>-1.0505100000000001</v>
      </c>
      <c r="EG18">
        <v>16.060769616026711</v>
      </c>
      <c r="EH18" t="s">
        <v>812</v>
      </c>
      <c r="EI18">
        <v>0</v>
      </c>
      <c r="EJ18">
        <v>0</v>
      </c>
      <c r="EK18" s="13">
        <v>45470</v>
      </c>
      <c r="EL18" s="14">
        <v>-0.2</v>
      </c>
      <c r="EM18" s="14">
        <v>-2.78</v>
      </c>
      <c r="EN18" s="14">
        <v>-3.88</v>
      </c>
      <c r="EO18" s="14">
        <v>2.97</v>
      </c>
      <c r="EP18" s="14">
        <v>-2.27</v>
      </c>
    </row>
    <row r="19" spans="1:146" ht="96" x14ac:dyDescent="0.25">
      <c r="A19" s="7"/>
      <c r="B19" s="7"/>
      <c r="C19" s="7" t="str">
        <f>""&amp;CHAR(10)&amp;Basic_Fundamental_Information_Constructure(F19)&amp;CHAR(10)&amp;Basic_Fundamental_Information_Concatenate("")</f>
        <v xml:space="preserve">
市值147.32299亿, 利润9.08亿; PE14.39; 平均PE31.02; 平均PEG2.04, PB1.18; ROIC4.0367%; ROE6.7033%; 股利率0%; 毛利23.6533%; 净利8.2233%; 上一年度营收增-3.42%, 利润增34.52%; 当季营收增-5.19%, 利润增22.98%; 过往5年营收增15.19%, 利润增60.03%
Income profile:
</v>
      </c>
      <c r="D19" t="s">
        <v>129</v>
      </c>
      <c r="E19" t="s">
        <v>2</v>
      </c>
      <c r="F19">
        <v>5.28</v>
      </c>
      <c r="G19">
        <v>-0.38</v>
      </c>
      <c r="H19" t="s">
        <v>2506</v>
      </c>
      <c r="I19">
        <v>14732299000</v>
      </c>
      <c r="J19">
        <v>14.39</v>
      </c>
      <c r="K19">
        <v>1.18</v>
      </c>
      <c r="L19" t="s">
        <v>67</v>
      </c>
      <c r="M19" t="s">
        <v>1499</v>
      </c>
      <c r="N19" t="s">
        <v>2507</v>
      </c>
      <c r="O19" t="s">
        <v>1500</v>
      </c>
      <c r="P19">
        <v>-5.21</v>
      </c>
      <c r="Q19" t="s">
        <v>1501</v>
      </c>
      <c r="R19">
        <v>618572710</v>
      </c>
      <c r="S19" s="5">
        <v>0.22939999999999999</v>
      </c>
      <c r="T19" t="s">
        <v>1502</v>
      </c>
      <c r="U19">
        <v>2789966300</v>
      </c>
      <c r="V19">
        <v>2790208200</v>
      </c>
      <c r="W19">
        <v>3.8</v>
      </c>
      <c r="X19">
        <v>0.05</v>
      </c>
      <c r="Y19">
        <v>20.68</v>
      </c>
      <c r="Z19" t="s">
        <v>2508</v>
      </c>
      <c r="AA19" t="s">
        <v>2509</v>
      </c>
      <c r="AB19" t="s">
        <v>70</v>
      </c>
      <c r="AC19" t="s">
        <v>2510</v>
      </c>
      <c r="AD19" t="s">
        <v>70</v>
      </c>
      <c r="AE19">
        <v>363465490</v>
      </c>
      <c r="AF19" t="s">
        <v>1503</v>
      </c>
      <c r="AG19" t="s">
        <v>2511</v>
      </c>
      <c r="AH19" t="s">
        <v>1504</v>
      </c>
      <c r="AI19" t="s">
        <v>2512</v>
      </c>
      <c r="AJ19" t="s">
        <v>1505</v>
      </c>
      <c r="AK19" t="s">
        <v>2513</v>
      </c>
      <c r="AL19" t="s">
        <v>1506</v>
      </c>
      <c r="AM19" t="s">
        <v>70</v>
      </c>
      <c r="AN19" t="s">
        <v>2514</v>
      </c>
      <c r="AO19" t="s">
        <v>2515</v>
      </c>
      <c r="AP19" t="s">
        <v>2516</v>
      </c>
      <c r="AQ19" t="s">
        <v>1272</v>
      </c>
      <c r="AR19" t="s">
        <v>70</v>
      </c>
      <c r="AS19" t="s">
        <v>2517</v>
      </c>
      <c r="AT19" t="s">
        <v>2518</v>
      </c>
      <c r="AU19" t="s">
        <v>2357</v>
      </c>
      <c r="AV19" t="s">
        <v>2519</v>
      </c>
      <c r="AW19" t="s">
        <v>2520</v>
      </c>
      <c r="AX19" t="s">
        <v>1049</v>
      </c>
      <c r="AY19" t="s">
        <v>1050</v>
      </c>
      <c r="AZ19" t="s">
        <v>394</v>
      </c>
      <c r="BA19" t="s">
        <v>397</v>
      </c>
      <c r="BB19" t="s">
        <v>398</v>
      </c>
      <c r="BC19" t="s">
        <v>1301</v>
      </c>
      <c r="BD19" t="s">
        <v>1051</v>
      </c>
      <c r="BE19" t="s">
        <v>395</v>
      </c>
      <c r="BF19" t="s">
        <v>368</v>
      </c>
      <c r="BG19" t="s">
        <v>399</v>
      </c>
      <c r="BH19" t="s">
        <v>1501</v>
      </c>
      <c r="BI19" t="s">
        <v>1507</v>
      </c>
      <c r="BJ19" t="s">
        <v>1049</v>
      </c>
      <c r="BK19" t="s">
        <v>1502</v>
      </c>
      <c r="BL19" t="s">
        <v>1246</v>
      </c>
      <c r="BM19" t="s">
        <v>1301</v>
      </c>
      <c r="BN19">
        <v>3.91</v>
      </c>
      <c r="BO19">
        <v>4.3600000000000003</v>
      </c>
      <c r="BP19">
        <v>3.84</v>
      </c>
      <c r="BQ19">
        <v>9.26</v>
      </c>
      <c r="BR19">
        <v>6.2</v>
      </c>
      <c r="BS19">
        <v>4.6500000000000004</v>
      </c>
      <c r="BT19" t="s">
        <v>929</v>
      </c>
      <c r="BU19" t="s">
        <v>885</v>
      </c>
      <c r="BV19">
        <v>25.75</v>
      </c>
      <c r="BW19">
        <v>23.92</v>
      </c>
      <c r="BX19">
        <v>21.29</v>
      </c>
      <c r="BY19">
        <v>10.82</v>
      </c>
      <c r="BZ19">
        <v>7.89</v>
      </c>
      <c r="CA19">
        <v>5.96</v>
      </c>
      <c r="CB19">
        <v>-0.94</v>
      </c>
      <c r="CC19">
        <v>4.76</v>
      </c>
      <c r="CD19" t="s">
        <v>379</v>
      </c>
      <c r="CE19" t="s">
        <v>2521</v>
      </c>
      <c r="CF19" s="8">
        <v>-5.1938369781312124E-2</v>
      </c>
      <c r="CG19" s="9">
        <v>0.22976681908548707</v>
      </c>
      <c r="CH19" s="8">
        <v>-3.4236043691635132E-2</v>
      </c>
      <c r="CI19" s="8">
        <v>0.12833863496780396</v>
      </c>
      <c r="CJ19" s="8">
        <v>0.3174949586391449</v>
      </c>
      <c r="CK19" s="8">
        <v>0.17633305490016937</v>
      </c>
      <c r="CL19" s="8">
        <v>0.17134636640548706</v>
      </c>
      <c r="CM19" s="9">
        <v>0.34518519043922424</v>
      </c>
      <c r="CN19" s="9">
        <v>0.34999999403953552</v>
      </c>
      <c r="CO19" s="9">
        <v>4.6025104820728302E-2</v>
      </c>
      <c r="CP19" s="9">
        <v>1.7471264600753784</v>
      </c>
      <c r="CQ19" s="9">
        <v>0.51304346323013306</v>
      </c>
      <c r="CR19">
        <v>31.015366315789475</v>
      </c>
      <c r="CS19">
        <v>2.0424276970967927</v>
      </c>
      <c r="CT19">
        <v>0</v>
      </c>
      <c r="CU19" s="8">
        <v>0.15185539424419403</v>
      </c>
      <c r="CV19" s="9">
        <v>0.60027604252099986</v>
      </c>
      <c r="CW19">
        <v>0.06</v>
      </c>
      <c r="CX19">
        <v>51.963258517207194</v>
      </c>
      <c r="CY19">
        <v>986683677.33370578</v>
      </c>
      <c r="CZ19">
        <v>0.15185539424419403</v>
      </c>
      <c r="DA19">
        <v>16.120589649833981</v>
      </c>
      <c r="DB19">
        <v>3180485336.684196</v>
      </c>
      <c r="DC19">
        <v>0.14426262453198432</v>
      </c>
      <c r="DD19">
        <v>7.3909765458911725</v>
      </c>
      <c r="DE19">
        <v>6937012813.0771828</v>
      </c>
      <c r="DF19">
        <v>0.13363274693489074</v>
      </c>
      <c r="DG19">
        <v>4.0872188291046392</v>
      </c>
      <c r="DH19">
        <v>12544299961.358242</v>
      </c>
      <c r="DI19">
        <v>0.12148431539535523</v>
      </c>
      <c r="DJ19">
        <v>1.7486111821185673</v>
      </c>
      <c r="DK19">
        <v>29321154710.838097</v>
      </c>
      <c r="DL19">
        <v>0.10629877597093582</v>
      </c>
      <c r="DM19">
        <v>908000000</v>
      </c>
      <c r="DN19">
        <v>0.15185539424419403</v>
      </c>
      <c r="DO19">
        <v>51271299000</v>
      </c>
      <c r="DP19">
        <v>-4549679500</v>
      </c>
      <c r="DQ19">
        <v>335</v>
      </c>
      <c r="DR19">
        <v>-0.20379376402550614</v>
      </c>
      <c r="DS19">
        <v>-0.37050922343551279</v>
      </c>
      <c r="DT19" s="10">
        <v>-9.000000000000008E-2</v>
      </c>
      <c r="DU19">
        <v>0.87</v>
      </c>
      <c r="DV19">
        <v>0.77999999999999992</v>
      </c>
      <c r="DW19">
        <v>1.0476000000000001</v>
      </c>
      <c r="DX19">
        <v>0.23433566625523569</v>
      </c>
      <c r="DY19">
        <v>1.0030623777137493</v>
      </c>
      <c r="DZ19">
        <v>373</v>
      </c>
      <c r="EA19">
        <v>1.0028388421193797</v>
      </c>
      <c r="EB19">
        <v>1</v>
      </c>
      <c r="EC19">
        <v>9.8917349608534585E-2</v>
      </c>
      <c r="ED19">
        <v>1.537519673263092</v>
      </c>
      <c r="EE19" s="11">
        <v>3.0343</v>
      </c>
      <c r="EF19">
        <v>3.0061</v>
      </c>
      <c r="EG19">
        <v>17.064335666255236</v>
      </c>
      <c r="EH19" t="s">
        <v>1458</v>
      </c>
      <c r="EI19">
        <v>0</v>
      </c>
      <c r="EJ19">
        <v>1</v>
      </c>
      <c r="EK19" s="13">
        <v>45470</v>
      </c>
      <c r="EL19" s="14">
        <v>-0.93</v>
      </c>
      <c r="EM19" s="14">
        <v>-0.38</v>
      </c>
      <c r="EN19" s="14">
        <v>0.38</v>
      </c>
      <c r="EO19" s="14">
        <v>0.19</v>
      </c>
      <c r="EP19" s="14">
        <v>-2.82</v>
      </c>
    </row>
    <row r="20" spans="1:146" ht="192" x14ac:dyDescent="0.25">
      <c r="A20" s="7"/>
      <c r="B20" s="7"/>
      <c r="C20" s="7" t="str">
        <f>"公司是湖北省国有资产监督管理委员会管理的省属大型企业，主要从事能源投资、开发与管理。从事或投资的主要业务包括水电、火电、核电、新能源发电、天然气输配、煤炭贸易和金融投资。"&amp;CHAR(10)&amp;Basic_Fundamental_Information_Constructure(F20)&amp;CHAR(10)&amp;Basic_Fundamental_Information_Concatenate("煤炭贸易 51.26亿 37.56% 5.99% 1.94%
火力发电 32.94亿 24.13% -11.83% -5.94%
水力发电 27.66亿 20.27% 105.83% 63.33%
天然气业务 12.21亿 8.95%
光伏发电 5.77亿 4.23%
风力发电 3.86亿 2.83%")</f>
        <v>公司是湖北省国有资产监督管理委员会管理的省属大型企业，主要从事能源投资、开发与管理。从事或投资的主要业务包括水电、火电、核电、新能源发电、天然气输配、煤炭贸易和金融投资。
市值386.67727亿, 利润17.49亿; PE17.44; 平均PE21.04; 平均PEG2.07, PB1.17; ROIC3.7133%; ROE5.7133%; 股利率1.5177%; 毛利16.8267%; 净利8.56%; 上一年度营收增-9.28%, 利润增50.39%; 当季营收增27.19%, 利润增150.7%; 过往5年营收增10.19%, 利润增8.44%
Income profile:
煤炭贸易 51.26亿 37.56% 5.99% 1.94%
火力发电 32.94亿 24.13% -11.83% -5.94%
水力发电 27.66亿 20.27% 105.83% 63.33%
天然气业务 12.21亿 8.95%
光伏发电 5.77亿 4.23%
风力发电 3.86亿 2.83%</v>
      </c>
      <c r="D20" t="s">
        <v>131</v>
      </c>
      <c r="E20" t="s">
        <v>33</v>
      </c>
      <c r="F20">
        <v>5.93</v>
      </c>
      <c r="G20">
        <v>-1.17</v>
      </c>
      <c r="H20" t="s">
        <v>2522</v>
      </c>
      <c r="I20">
        <v>38667727000</v>
      </c>
      <c r="J20">
        <v>17.440000000000001</v>
      </c>
      <c r="K20">
        <v>1.17</v>
      </c>
      <c r="L20" t="s">
        <v>67</v>
      </c>
      <c r="M20" t="s">
        <v>1509</v>
      </c>
      <c r="N20" t="s">
        <v>2523</v>
      </c>
      <c r="O20" t="s">
        <v>1510</v>
      </c>
      <c r="P20">
        <v>27.19</v>
      </c>
      <c r="Q20" t="s">
        <v>1511</v>
      </c>
      <c r="R20">
        <v>779683330</v>
      </c>
      <c r="S20" s="5">
        <v>1.51</v>
      </c>
      <c r="T20" t="s">
        <v>1512</v>
      </c>
      <c r="U20">
        <v>6479756500</v>
      </c>
      <c r="V20">
        <v>6520696000</v>
      </c>
      <c r="W20">
        <v>2.4</v>
      </c>
      <c r="X20">
        <v>0.06</v>
      </c>
      <c r="Y20">
        <v>18.39</v>
      </c>
      <c r="Z20" t="s">
        <v>2524</v>
      </c>
      <c r="AA20" t="s">
        <v>2525</v>
      </c>
      <c r="AB20" t="s">
        <v>2526</v>
      </c>
      <c r="AC20" t="s">
        <v>228</v>
      </c>
      <c r="AD20" t="s">
        <v>70</v>
      </c>
      <c r="AE20">
        <v>257102970</v>
      </c>
      <c r="AF20" t="s">
        <v>1513</v>
      </c>
      <c r="AG20" t="s">
        <v>2527</v>
      </c>
      <c r="AH20" t="s">
        <v>1514</v>
      </c>
      <c r="AI20" t="s">
        <v>2528</v>
      </c>
      <c r="AJ20" t="s">
        <v>1515</v>
      </c>
      <c r="AK20" t="s">
        <v>70</v>
      </c>
      <c r="AL20" t="s">
        <v>1516</v>
      </c>
      <c r="AM20" t="s">
        <v>70</v>
      </c>
      <c r="AN20" t="s">
        <v>2529</v>
      </c>
      <c r="AO20" t="s">
        <v>2530</v>
      </c>
      <c r="AP20" t="s">
        <v>654</v>
      </c>
      <c r="AQ20" t="s">
        <v>2531</v>
      </c>
      <c r="AR20" t="s">
        <v>70</v>
      </c>
      <c r="AS20" t="s">
        <v>2532</v>
      </c>
      <c r="AT20" t="s">
        <v>2533</v>
      </c>
      <c r="AU20" t="s">
        <v>1668</v>
      </c>
      <c r="AV20" t="s">
        <v>2534</v>
      </c>
      <c r="AW20" t="s">
        <v>2535</v>
      </c>
      <c r="AX20" t="s">
        <v>1052</v>
      </c>
      <c r="AY20" t="s">
        <v>1053</v>
      </c>
      <c r="AZ20" t="s">
        <v>400</v>
      </c>
      <c r="BA20" t="s">
        <v>132</v>
      </c>
      <c r="BB20" t="s">
        <v>401</v>
      </c>
      <c r="BC20" t="s">
        <v>1048</v>
      </c>
      <c r="BD20" t="s">
        <v>1054</v>
      </c>
      <c r="BE20" t="s">
        <v>209</v>
      </c>
      <c r="BF20" t="s">
        <v>133</v>
      </c>
      <c r="BG20" t="s">
        <v>402</v>
      </c>
      <c r="BH20" t="s">
        <v>1511</v>
      </c>
      <c r="BI20" t="s">
        <v>1517</v>
      </c>
      <c r="BJ20" t="s">
        <v>1052</v>
      </c>
      <c r="BK20" t="s">
        <v>1512</v>
      </c>
      <c r="BL20" t="s">
        <v>376</v>
      </c>
      <c r="BM20" t="s">
        <v>1048</v>
      </c>
      <c r="BN20">
        <v>3.4</v>
      </c>
      <c r="BO20">
        <v>2.4300000000000002</v>
      </c>
      <c r="BP20">
        <v>5.31</v>
      </c>
      <c r="BQ20">
        <v>5.44</v>
      </c>
      <c r="BR20">
        <v>3.81</v>
      </c>
      <c r="BS20">
        <v>7.89</v>
      </c>
      <c r="BT20" t="s">
        <v>1518</v>
      </c>
      <c r="BU20" t="s">
        <v>885</v>
      </c>
      <c r="BV20">
        <v>20.079999999999998</v>
      </c>
      <c r="BW20">
        <v>13.8</v>
      </c>
      <c r="BX20">
        <v>16.600000000000001</v>
      </c>
      <c r="BY20">
        <v>10.07</v>
      </c>
      <c r="BZ20">
        <v>4.9800000000000004</v>
      </c>
      <c r="CA20">
        <v>10.63</v>
      </c>
      <c r="CB20">
        <v>-1.33</v>
      </c>
      <c r="CC20">
        <v>2.42</v>
      </c>
      <c r="CD20" t="s">
        <v>2536</v>
      </c>
      <c r="CE20" t="s">
        <v>2537</v>
      </c>
      <c r="CF20" s="8">
        <v>0.27192768140728074</v>
      </c>
      <c r="CG20" s="9">
        <v>1.5070203536977491</v>
      </c>
      <c r="CH20" s="8">
        <v>-9.276898205280304E-2</v>
      </c>
      <c r="CI20" s="8">
        <v>-9.0635836124420166E-2</v>
      </c>
      <c r="CJ20" s="8">
        <v>0.32931914925575256</v>
      </c>
      <c r="CK20" s="8">
        <v>7.6655440032482147E-2</v>
      </c>
      <c r="CL20" s="8">
        <v>0.28670251369476318</v>
      </c>
      <c r="CM20" s="9">
        <v>0.50386917591094971</v>
      </c>
      <c r="CN20" s="9">
        <v>-0.50489568710327148</v>
      </c>
      <c r="CO20" s="9">
        <v>-4.3956045061349869E-2</v>
      </c>
      <c r="CP20" s="9">
        <v>0.63909262418746948</v>
      </c>
      <c r="CQ20" s="9">
        <v>-0.17228050529956818</v>
      </c>
      <c r="CR20">
        <v>21.037936343852014</v>
      </c>
      <c r="CS20">
        <v>2.0654900110925358</v>
      </c>
      <c r="CT20">
        <v>1.5177065767284992</v>
      </c>
      <c r="CU20" s="8">
        <v>0.10185445696115494</v>
      </c>
      <c r="CV20" s="9">
        <v>8.4365912526845929E-2</v>
      </c>
      <c r="CW20">
        <v>0.06</v>
      </c>
      <c r="CX20">
        <v>28.583067210945007</v>
      </c>
      <c r="CY20">
        <v>1818059853.9859054</v>
      </c>
      <c r="CZ20">
        <v>0.10185445696115494</v>
      </c>
      <c r="DA20">
        <v>9.2475107649081032</v>
      </c>
      <c r="DB20">
        <v>5619428657.190258</v>
      </c>
      <c r="DC20">
        <v>9.6761734113097186E-2</v>
      </c>
      <c r="DD20">
        <v>4.4914418362320436</v>
      </c>
      <c r="DE20">
        <v>11569943215.293877</v>
      </c>
      <c r="DF20">
        <v>8.9631922125816346E-2</v>
      </c>
      <c r="DG20">
        <v>2.6563107305595954</v>
      </c>
      <c r="DH20">
        <v>19563120534.86776</v>
      </c>
      <c r="DI20">
        <v>8.1483565568923957E-2</v>
      </c>
      <c r="DJ20">
        <v>1.3265966646266611</v>
      </c>
      <c r="DK20">
        <v>39172212915.69017</v>
      </c>
      <c r="DL20">
        <v>7.1298119872808458E-2</v>
      </c>
      <c r="DM20">
        <v>1748999999.9999998</v>
      </c>
      <c r="DN20">
        <v>0.10185445696115494</v>
      </c>
      <c r="DO20">
        <v>51965727000</v>
      </c>
      <c r="DP20">
        <v>-6228620000</v>
      </c>
      <c r="DQ20">
        <v>342</v>
      </c>
      <c r="DR20">
        <v>0.1700732244461258</v>
      </c>
      <c r="DS20">
        <v>1.4226544411709032</v>
      </c>
      <c r="DT20" s="10">
        <v>-0.20666666666666669</v>
      </c>
      <c r="DU20">
        <v>0.59</v>
      </c>
      <c r="DV20">
        <v>0.3833333333333333</v>
      </c>
      <c r="DW20">
        <v>2.4199999999999999E-2</v>
      </c>
      <c r="DX20">
        <v>0.37884476534295897</v>
      </c>
      <c r="DY20">
        <v>3.8440433212996389E-3</v>
      </c>
      <c r="DZ20">
        <v>894</v>
      </c>
      <c r="EA20">
        <v>3.1715238048139489E-3</v>
      </c>
      <c r="EB20">
        <v>0</v>
      </c>
      <c r="EC20">
        <v>2.0243237838414797E-2</v>
      </c>
      <c r="ED20">
        <v>0.12744038366456586</v>
      </c>
      <c r="EE20" s="11">
        <v>3.0617000000000001</v>
      </c>
      <c r="EF20">
        <v>3.0514999999999999</v>
      </c>
      <c r="EG20">
        <v>22.158844765342959</v>
      </c>
      <c r="EH20" t="s">
        <v>1458</v>
      </c>
      <c r="EI20">
        <v>0</v>
      </c>
      <c r="EJ20">
        <v>1</v>
      </c>
      <c r="EK20" s="13">
        <v>45470</v>
      </c>
      <c r="EL20" s="14">
        <v>0.17</v>
      </c>
      <c r="EM20" s="14">
        <v>-0.34</v>
      </c>
      <c r="EN20" s="14">
        <v>0.68</v>
      </c>
      <c r="EO20" s="14">
        <v>-0.68</v>
      </c>
      <c r="EP20" s="14">
        <v>-1.02</v>
      </c>
    </row>
    <row r="21" spans="1:146" ht="96" x14ac:dyDescent="0.25">
      <c r="A21" s="7"/>
      <c r="B21" s="7"/>
      <c r="C21" s="7" t="str">
        <f>""&amp;CHAR(10)&amp;Basic_Fundamental_Information_Constructure(F21)&amp;CHAR(10)&amp;Basic_Fundamental_Information_Concatenate("")</f>
        <v xml:space="preserve">
市值91.128303亿, 利润4.90亿; PE13.25; 平均PE54.64; 平均PEG2.11, PB1.7; ROIC2.925%; ROE1.15%; 股利率1.6167%; 毛利5.4833%; 净利-.6567%; 上一年度营收增71.11%, 利润增4501.63%; 当季营收增-.41%, 利润增3565.82%; 过往5年营收增25.93%, 利润增897.21%
Income profile:
</v>
      </c>
      <c r="D21" t="s">
        <v>135</v>
      </c>
      <c r="E21" t="s">
        <v>24</v>
      </c>
      <c r="F21">
        <v>9.34</v>
      </c>
      <c r="G21">
        <v>-0.74</v>
      </c>
      <c r="H21" t="s">
        <v>2538</v>
      </c>
      <c r="I21">
        <v>9112830300</v>
      </c>
      <c r="J21">
        <v>13.25</v>
      </c>
      <c r="K21">
        <v>1.7</v>
      </c>
      <c r="L21" t="s">
        <v>67</v>
      </c>
      <c r="M21" t="s">
        <v>1519</v>
      </c>
      <c r="N21" t="s">
        <v>2539</v>
      </c>
      <c r="O21" t="s">
        <v>1268</v>
      </c>
      <c r="P21">
        <v>-0.39</v>
      </c>
      <c r="Q21" t="s">
        <v>1520</v>
      </c>
      <c r="R21">
        <v>203541070</v>
      </c>
      <c r="S21" s="5">
        <v>35.659999999999997</v>
      </c>
      <c r="T21" t="s">
        <v>1437</v>
      </c>
      <c r="U21">
        <v>975677760</v>
      </c>
      <c r="V21">
        <v>975677760</v>
      </c>
      <c r="W21">
        <v>2.4900000000000002</v>
      </c>
      <c r="X21">
        <v>0.12</v>
      </c>
      <c r="Y21">
        <v>11.93</v>
      </c>
      <c r="Z21" t="s">
        <v>2540</v>
      </c>
      <c r="AA21" t="s">
        <v>452</v>
      </c>
      <c r="AB21" t="s">
        <v>2541</v>
      </c>
      <c r="AC21" t="s">
        <v>2542</v>
      </c>
      <c r="AD21" t="s">
        <v>70</v>
      </c>
      <c r="AE21">
        <v>48190005</v>
      </c>
      <c r="AF21" t="s">
        <v>1521</v>
      </c>
      <c r="AG21" t="s">
        <v>2543</v>
      </c>
      <c r="AH21" t="s">
        <v>1522</v>
      </c>
      <c r="AI21" t="s">
        <v>404</v>
      </c>
      <c r="AJ21" t="s">
        <v>1523</v>
      </c>
      <c r="AK21" t="s">
        <v>2544</v>
      </c>
      <c r="AL21" t="s">
        <v>1524</v>
      </c>
      <c r="AM21" t="s">
        <v>70</v>
      </c>
      <c r="AN21" t="s">
        <v>1266</v>
      </c>
      <c r="AO21" t="s">
        <v>2545</v>
      </c>
      <c r="AP21" t="s">
        <v>70</v>
      </c>
      <c r="AQ21" t="s">
        <v>2546</v>
      </c>
      <c r="AR21" t="s">
        <v>70</v>
      </c>
      <c r="AS21" t="s">
        <v>2547</v>
      </c>
      <c r="AT21" t="s">
        <v>2548</v>
      </c>
      <c r="AU21" t="s">
        <v>1564</v>
      </c>
      <c r="AV21" t="s">
        <v>2549</v>
      </c>
      <c r="AW21" t="s">
        <v>2550</v>
      </c>
      <c r="AX21" t="s">
        <v>1055</v>
      </c>
      <c r="AY21" t="s">
        <v>427</v>
      </c>
      <c r="AZ21" t="s">
        <v>203</v>
      </c>
      <c r="BA21" t="s">
        <v>136</v>
      </c>
      <c r="BB21" t="s">
        <v>405</v>
      </c>
      <c r="BC21" t="s">
        <v>1056</v>
      </c>
      <c r="BD21" t="s">
        <v>703</v>
      </c>
      <c r="BE21" t="s">
        <v>404</v>
      </c>
      <c r="BF21" t="s">
        <v>92</v>
      </c>
      <c r="BG21" t="s">
        <v>406</v>
      </c>
      <c r="BH21" t="s">
        <v>1520</v>
      </c>
      <c r="BI21" t="s">
        <v>69</v>
      </c>
      <c r="BJ21" t="s">
        <v>1055</v>
      </c>
      <c r="BK21" t="s">
        <v>1437</v>
      </c>
      <c r="BL21" t="s">
        <v>1527</v>
      </c>
      <c r="BM21" t="s">
        <v>1056</v>
      </c>
      <c r="BN21">
        <v>4.92</v>
      </c>
      <c r="BO21">
        <v>0.93</v>
      </c>
      <c r="BP21" t="s">
        <v>70</v>
      </c>
      <c r="BQ21">
        <v>8.3699999999999992</v>
      </c>
      <c r="BR21">
        <v>0.23</v>
      </c>
      <c r="BS21">
        <v>-5.15</v>
      </c>
      <c r="BT21" t="s">
        <v>1528</v>
      </c>
      <c r="BU21" t="s">
        <v>881</v>
      </c>
      <c r="BV21">
        <v>12.3</v>
      </c>
      <c r="BW21">
        <v>6.3</v>
      </c>
      <c r="BX21">
        <v>-2.15</v>
      </c>
      <c r="BY21">
        <v>6.92</v>
      </c>
      <c r="BZ21">
        <v>0.28000000000000003</v>
      </c>
      <c r="CA21">
        <v>-9.17</v>
      </c>
      <c r="CB21">
        <v>-3.41</v>
      </c>
      <c r="CC21">
        <v>-14.7</v>
      </c>
      <c r="CD21" t="s">
        <v>2551</v>
      </c>
      <c r="CE21" t="s">
        <v>239</v>
      </c>
      <c r="CF21" s="8">
        <v>-4.1152263374485592E-3</v>
      </c>
      <c r="CG21" s="9">
        <v>35.658214465816584</v>
      </c>
      <c r="CH21" s="8">
        <v>0.71107888221740723</v>
      </c>
      <c r="CI21" s="8">
        <v>0.53444445133209229</v>
      </c>
      <c r="CJ21" s="8">
        <v>8.5917310789227486E-3</v>
      </c>
      <c r="CK21" s="8">
        <v>2.6216506958007813E-3</v>
      </c>
      <c r="CL21" s="8">
        <v>3.9719674736261368E-2</v>
      </c>
      <c r="CM21" s="9">
        <v>45.016304016113281</v>
      </c>
      <c r="CN21" s="9">
        <v>1.0429370403289795</v>
      </c>
      <c r="CO21" s="9">
        <v>-1.7848101854324341</v>
      </c>
      <c r="CP21" s="9">
        <v>0.30041152238845825</v>
      </c>
      <c r="CQ21" s="9">
        <v>0.28571429848670959</v>
      </c>
      <c r="CR21">
        <v>54.641552217542142</v>
      </c>
      <c r="CS21">
        <v>2.1073424696912832</v>
      </c>
      <c r="CT21">
        <v>1.6167023554603854</v>
      </c>
      <c r="CU21" s="8">
        <v>0.25929127801209689</v>
      </c>
      <c r="CV21" s="9">
        <v>8.9721113383769993</v>
      </c>
      <c r="CW21">
        <v>0.06</v>
      </c>
      <c r="CX21">
        <v>20.61383019211031</v>
      </c>
      <c r="CY21">
        <v>582125213.42068624</v>
      </c>
      <c r="CZ21">
        <v>0.25929127801209689</v>
      </c>
      <c r="DA21">
        <v>5.853531383900143</v>
      </c>
      <c r="DB21">
        <v>2050015539.8508594</v>
      </c>
      <c r="DC21">
        <v>0.24632671411149204</v>
      </c>
      <c r="DD21">
        <v>2.3623366127780199</v>
      </c>
      <c r="DE21">
        <v>5079644549.846199</v>
      </c>
      <c r="DF21">
        <v>0.22817632465064527</v>
      </c>
      <c r="DG21">
        <v>1.1167473993508967</v>
      </c>
      <c r="DH21">
        <v>10745339820.782063</v>
      </c>
      <c r="DI21">
        <v>0.20743302240967754</v>
      </c>
      <c r="DJ21">
        <v>0.32447412697656053</v>
      </c>
      <c r="DK21">
        <v>36982394904.068413</v>
      </c>
      <c r="DL21">
        <v>0.1815038946084678</v>
      </c>
      <c r="DM21">
        <v>490000000.00000006</v>
      </c>
      <c r="DN21">
        <v>0.25929127801209689</v>
      </c>
      <c r="DO21">
        <v>11999830300</v>
      </c>
      <c r="DP21">
        <v>27719300</v>
      </c>
      <c r="DQ21">
        <v>354</v>
      </c>
      <c r="DR21">
        <v>-0.26340650434954543</v>
      </c>
      <c r="DS21">
        <v>26.686103127439587</v>
      </c>
      <c r="DT21" s="10">
        <v>4.33333333333333E-2</v>
      </c>
      <c r="DU21">
        <v>0.73333333333333328</v>
      </c>
      <c r="DV21">
        <v>0.77666666666666662</v>
      </c>
      <c r="DW21">
        <v>-8.2319727891156464</v>
      </c>
      <c r="DX21">
        <v>0.27394451551312599</v>
      </c>
      <c r="DY21">
        <v>-8.0217925712856974</v>
      </c>
      <c r="DZ21">
        <v>377</v>
      </c>
      <c r="EA21">
        <v>-8.0201847827583581</v>
      </c>
      <c r="EB21">
        <v>8</v>
      </c>
      <c r="EC21">
        <v>8.0688013222726326E-2</v>
      </c>
      <c r="ED21">
        <v>0.85889013192224462</v>
      </c>
      <c r="EE21" s="11">
        <v>1.0586100000000001</v>
      </c>
      <c r="EF21">
        <v>1.0886100000000001</v>
      </c>
      <c r="EG21">
        <v>18.093944515513126</v>
      </c>
      <c r="EH21" t="s">
        <v>940</v>
      </c>
      <c r="EI21">
        <v>0</v>
      </c>
      <c r="EJ21">
        <v>1</v>
      </c>
      <c r="EK21" s="13">
        <v>45470</v>
      </c>
      <c r="EL21" s="14">
        <v>1.54</v>
      </c>
      <c r="EM21" s="14">
        <v>-1.92</v>
      </c>
      <c r="EN21" s="14">
        <v>-1.23</v>
      </c>
      <c r="EO21" s="14">
        <v>0.73</v>
      </c>
      <c r="EP21" s="14">
        <v>-3</v>
      </c>
    </row>
    <row r="22" spans="1:146" ht="96" x14ac:dyDescent="0.25">
      <c r="A22" s="7"/>
      <c r="B22" s="7"/>
      <c r="C22" s="7" t="str">
        <f>""&amp;CHAR(10)&amp;Basic_Fundamental_Information_Constructure(F22)&amp;CHAR(10)&amp;Basic_Fundamental_Information_Concatenate("")</f>
        <v xml:space="preserve">
市值122.345083亿, 利润3.49亿; PE32.39; 平均PE32.92; 平均PEG1.85, PB1.2; ROIC2.07%; ROE2.4833%; 股利率.8764%; 毛利4.94%; 净利1.03%; 上一年度营收增-1.4%, 利润增183.74%; 当季营收增7.67%, 利润增13.21%; 过往5年营收增17.78%, 利润增183.05%
Income profile:
</v>
      </c>
      <c r="D22" t="s">
        <v>138</v>
      </c>
      <c r="E22" t="s">
        <v>26</v>
      </c>
      <c r="F22">
        <v>4.45</v>
      </c>
      <c r="G22">
        <v>0.23</v>
      </c>
      <c r="H22" t="s">
        <v>2552</v>
      </c>
      <c r="I22">
        <v>12234508300</v>
      </c>
      <c r="J22">
        <v>32.39</v>
      </c>
      <c r="K22">
        <v>1.2</v>
      </c>
      <c r="L22" t="s">
        <v>67</v>
      </c>
      <c r="M22" t="s">
        <v>1531</v>
      </c>
      <c r="N22" t="s">
        <v>2553</v>
      </c>
      <c r="O22" t="s">
        <v>1532</v>
      </c>
      <c r="P22">
        <v>7.66</v>
      </c>
      <c r="Q22" t="s">
        <v>1533</v>
      </c>
      <c r="R22">
        <v>250185630</v>
      </c>
      <c r="S22" s="5">
        <v>0.1295</v>
      </c>
      <c r="T22" t="s">
        <v>1305</v>
      </c>
      <c r="U22">
        <v>2749327700</v>
      </c>
      <c r="V22">
        <v>2749327700</v>
      </c>
      <c r="W22">
        <v>3.52</v>
      </c>
      <c r="X22">
        <v>0.11</v>
      </c>
      <c r="Y22">
        <v>6.08</v>
      </c>
      <c r="Z22" t="s">
        <v>2554</v>
      </c>
      <c r="AA22" t="s">
        <v>2555</v>
      </c>
      <c r="AB22" t="s">
        <v>70</v>
      </c>
      <c r="AC22" t="s">
        <v>2556</v>
      </c>
      <c r="AD22" t="s">
        <v>70</v>
      </c>
      <c r="AE22">
        <v>132783446</v>
      </c>
      <c r="AF22" t="s">
        <v>1535</v>
      </c>
      <c r="AG22" t="s">
        <v>2557</v>
      </c>
      <c r="AH22" t="s">
        <v>1536</v>
      </c>
      <c r="AI22" t="s">
        <v>113</v>
      </c>
      <c r="AJ22" t="s">
        <v>1538</v>
      </c>
      <c r="AK22" t="s">
        <v>2558</v>
      </c>
      <c r="AL22" t="s">
        <v>1539</v>
      </c>
      <c r="AM22" t="s">
        <v>70</v>
      </c>
      <c r="AN22" t="s">
        <v>2559</v>
      </c>
      <c r="AO22" t="s">
        <v>2560</v>
      </c>
      <c r="AP22" t="s">
        <v>478</v>
      </c>
      <c r="AQ22" t="s">
        <v>2561</v>
      </c>
      <c r="AR22" t="s">
        <v>2562</v>
      </c>
      <c r="AS22" t="s">
        <v>2563</v>
      </c>
      <c r="AT22" t="s">
        <v>2564</v>
      </c>
      <c r="AU22" t="s">
        <v>1220</v>
      </c>
      <c r="AV22" t="s">
        <v>2565</v>
      </c>
      <c r="AW22" t="s">
        <v>2566</v>
      </c>
      <c r="AX22" t="s">
        <v>1058</v>
      </c>
      <c r="AY22" t="s">
        <v>745</v>
      </c>
      <c r="AZ22" t="s">
        <v>747</v>
      </c>
      <c r="BA22" t="s">
        <v>139</v>
      </c>
      <c r="BB22" t="s">
        <v>407</v>
      </c>
      <c r="BC22" t="s">
        <v>145</v>
      </c>
      <c r="BD22" t="s">
        <v>746</v>
      </c>
      <c r="BE22" t="s">
        <v>520</v>
      </c>
      <c r="BF22" t="s">
        <v>140</v>
      </c>
      <c r="BG22" t="s">
        <v>408</v>
      </c>
      <c r="BH22" t="s">
        <v>1533</v>
      </c>
      <c r="BI22" t="s">
        <v>1540</v>
      </c>
      <c r="BJ22" t="s">
        <v>1058</v>
      </c>
      <c r="BK22" t="s">
        <v>1305</v>
      </c>
      <c r="BL22" t="s">
        <v>478</v>
      </c>
      <c r="BM22" t="s">
        <v>145</v>
      </c>
      <c r="BN22">
        <v>3.01</v>
      </c>
      <c r="BO22">
        <v>1.1299999999999999</v>
      </c>
      <c r="BP22" t="s">
        <v>70</v>
      </c>
      <c r="BQ22">
        <v>6.45</v>
      </c>
      <c r="BR22">
        <v>1.29</v>
      </c>
      <c r="BS22">
        <v>-0.28999999999999998</v>
      </c>
      <c r="BT22" t="s">
        <v>1541</v>
      </c>
      <c r="BU22" t="s">
        <v>881</v>
      </c>
      <c r="BV22">
        <v>8.65</v>
      </c>
      <c r="BW22">
        <v>4.84</v>
      </c>
      <c r="BX22">
        <v>1.33</v>
      </c>
      <c r="BY22">
        <v>2.5499999999999998</v>
      </c>
      <c r="BZ22">
        <v>0.81</v>
      </c>
      <c r="CA22">
        <v>-0.27</v>
      </c>
      <c r="CB22">
        <v>0.91</v>
      </c>
      <c r="CC22">
        <v>-9.57</v>
      </c>
      <c r="CD22" t="s">
        <v>2567</v>
      </c>
      <c r="CE22" t="s">
        <v>1655</v>
      </c>
      <c r="CF22" s="8">
        <v>7.6726994646953997E-2</v>
      </c>
      <c r="CG22" s="9">
        <v>0.1320616742081448</v>
      </c>
      <c r="CH22" s="8">
        <v>-1.398169994354248E-2</v>
      </c>
      <c r="CI22" s="8">
        <v>0.20536006987094879</v>
      </c>
      <c r="CJ22" s="8">
        <v>0.20758461952209473</v>
      </c>
      <c r="CK22" s="8">
        <v>0.36749929189682007</v>
      </c>
      <c r="CL22" s="8">
        <v>0.12235263735055923</v>
      </c>
      <c r="CM22" s="9">
        <v>1.8373984098434448</v>
      </c>
      <c r="CN22" s="9">
        <v>5.8520135879516602</v>
      </c>
      <c r="CO22" s="9">
        <v>-1.0253249406814575</v>
      </c>
      <c r="CP22" s="9">
        <v>0.74694591760635376</v>
      </c>
      <c r="CQ22" s="9">
        <v>1.7416267395019531</v>
      </c>
      <c r="CR22">
        <v>32.923131288291614</v>
      </c>
      <c r="CS22">
        <v>1.8520802585402851</v>
      </c>
      <c r="CT22">
        <v>0.8764044943820225</v>
      </c>
      <c r="CU22" s="8">
        <v>0.17776298373937607</v>
      </c>
      <c r="CV22" s="9">
        <v>1.8305319428443909</v>
      </c>
      <c r="CW22">
        <v>0.06</v>
      </c>
      <c r="CX22">
        <v>74.691933819634059</v>
      </c>
      <c r="CY22">
        <v>387772906.9104172</v>
      </c>
      <c r="CZ22">
        <v>0.17776298373937607</v>
      </c>
      <c r="DA22">
        <v>22.677617159338197</v>
      </c>
      <c r="DB22">
        <v>1277184816.0455163</v>
      </c>
      <c r="DC22">
        <v>0.16887483455240726</v>
      </c>
      <c r="DD22">
        <v>10.086374313439968</v>
      </c>
      <c r="DE22">
        <v>2871548031.0309806</v>
      </c>
      <c r="DF22">
        <v>0.15643142569065094</v>
      </c>
      <c r="DG22">
        <v>5.3784281825281983</v>
      </c>
      <c r="DH22">
        <v>5385125043.4258537</v>
      </c>
      <c r="DI22">
        <v>0.14221038699150088</v>
      </c>
      <c r="DJ22">
        <v>2.1088412743899654</v>
      </c>
      <c r="DK22">
        <v>13734323512.981512</v>
      </c>
      <c r="DL22">
        <v>0.12443408861756325</v>
      </c>
      <c r="DM22">
        <v>349000000</v>
      </c>
      <c r="DN22">
        <v>0.17776298373937607</v>
      </c>
      <c r="DO22">
        <v>28963508300</v>
      </c>
      <c r="DP22">
        <v>-6851109200</v>
      </c>
      <c r="DQ22">
        <v>402</v>
      </c>
      <c r="DR22">
        <v>-0.10103598909242208</v>
      </c>
      <c r="DS22">
        <v>-1.6984702686362461</v>
      </c>
      <c r="DT22" s="10">
        <v>-4.0000000000000036E-2</v>
      </c>
      <c r="DU22">
        <v>0.39999999999999991</v>
      </c>
      <c r="DV22">
        <v>0.35999999999999988</v>
      </c>
      <c r="DW22">
        <v>-2.0956999999999999</v>
      </c>
      <c r="DX22">
        <v>0.24920526870389978</v>
      </c>
      <c r="DY22">
        <v>-2.008536944214963</v>
      </c>
      <c r="DZ22">
        <v>943</v>
      </c>
      <c r="EA22">
        <v>-2.0069615355271528</v>
      </c>
      <c r="EB22">
        <v>2</v>
      </c>
      <c r="EC22">
        <v>3.0791454943694053E-2</v>
      </c>
      <c r="ED22">
        <v>0.34517529503667388</v>
      </c>
      <c r="EE22" s="11">
        <v>2.0888100000000001</v>
      </c>
      <c r="EF22">
        <v>2.1069100000000001</v>
      </c>
      <c r="EG22">
        <v>16.0892052687039</v>
      </c>
      <c r="EH22" t="s">
        <v>1283</v>
      </c>
      <c r="EI22">
        <v>0</v>
      </c>
      <c r="EJ22">
        <v>1</v>
      </c>
      <c r="EK22" s="13">
        <v>45470</v>
      </c>
      <c r="EL22" s="14">
        <v>-0.22</v>
      </c>
      <c r="EM22" s="14">
        <v>-1.34</v>
      </c>
      <c r="EN22" s="14">
        <v>-0.68</v>
      </c>
      <c r="EO22" s="14">
        <v>0.68</v>
      </c>
      <c r="EP22" s="14">
        <v>-1.81</v>
      </c>
    </row>
    <row r="23" spans="1:146" ht="96" x14ac:dyDescent="0.25">
      <c r="A23" s="7"/>
      <c r="B23" s="7"/>
      <c r="C23" s="7" t="str">
        <f>""&amp;CHAR(10)&amp;Basic_Fundamental_Information_Constructure(F23)&amp;CHAR(10)&amp;Basic_Fundamental_Information_Concatenate("")</f>
        <v xml:space="preserve">
市值42.406305亿, 利润2.35亿; PE22.08; 平均PE146.82; 平均PEG4.65, PB1.74; ROIC8.07%; ROE9.4167%; 股利率2.1598%; 毛利40.8%; 净利20.15%; 上一年度营收增105.46%, 利润增27.72%; 当季营收增-59.6%, 利润增-197.53%; 过往5年营收增31.56%, 利润增55.96%
Income profile:
</v>
      </c>
      <c r="D23" t="s">
        <v>142</v>
      </c>
      <c r="E23" t="s">
        <v>48</v>
      </c>
      <c r="F23">
        <v>9.26</v>
      </c>
      <c r="G23">
        <v>1.2</v>
      </c>
      <c r="H23" t="s">
        <v>2568</v>
      </c>
      <c r="I23">
        <v>4240630500</v>
      </c>
      <c r="J23">
        <v>22.08</v>
      </c>
      <c r="K23">
        <v>1.74</v>
      </c>
      <c r="L23" t="s">
        <v>67</v>
      </c>
      <c r="M23" t="s">
        <v>1542</v>
      </c>
      <c r="N23" t="s">
        <v>2569</v>
      </c>
      <c r="O23" t="s">
        <v>1543</v>
      </c>
      <c r="P23">
        <v>-59.68</v>
      </c>
      <c r="Q23" t="s">
        <v>1544</v>
      </c>
      <c r="R23">
        <v>-20960580</v>
      </c>
      <c r="S23" s="5">
        <v>-1.9750000000000001</v>
      </c>
      <c r="T23" t="s">
        <v>905</v>
      </c>
      <c r="U23">
        <v>439747570</v>
      </c>
      <c r="V23">
        <v>457951460</v>
      </c>
      <c r="W23">
        <v>1.37</v>
      </c>
      <c r="X23">
        <v>0.03</v>
      </c>
      <c r="Y23">
        <v>-26.34</v>
      </c>
      <c r="Z23" t="s">
        <v>422</v>
      </c>
      <c r="AA23" t="s">
        <v>2570</v>
      </c>
      <c r="AB23" t="s">
        <v>2571</v>
      </c>
      <c r="AC23" t="s">
        <v>2572</v>
      </c>
      <c r="AD23" t="s">
        <v>70</v>
      </c>
      <c r="AE23">
        <v>5010375</v>
      </c>
      <c r="AF23" t="s">
        <v>1545</v>
      </c>
      <c r="AG23" t="s">
        <v>2573</v>
      </c>
      <c r="AH23" t="s">
        <v>1546</v>
      </c>
      <c r="AI23" t="s">
        <v>465</v>
      </c>
      <c r="AJ23" t="s">
        <v>1547</v>
      </c>
      <c r="AK23" t="s">
        <v>70</v>
      </c>
      <c r="AL23" t="s">
        <v>1548</v>
      </c>
      <c r="AM23" t="s">
        <v>70</v>
      </c>
      <c r="AN23" t="s">
        <v>2574</v>
      </c>
      <c r="AO23" t="s">
        <v>70</v>
      </c>
      <c r="AP23" t="s">
        <v>70</v>
      </c>
      <c r="AQ23" t="s">
        <v>406</v>
      </c>
      <c r="AR23" t="s">
        <v>2575</v>
      </c>
      <c r="AS23" t="s">
        <v>113</v>
      </c>
      <c r="AT23" t="s">
        <v>1000</v>
      </c>
      <c r="AU23" t="s">
        <v>2576</v>
      </c>
      <c r="AV23" t="s">
        <v>2577</v>
      </c>
      <c r="AW23" t="s">
        <v>2578</v>
      </c>
      <c r="AX23" t="s">
        <v>1059</v>
      </c>
      <c r="AY23" t="s">
        <v>748</v>
      </c>
      <c r="AZ23" t="s">
        <v>222</v>
      </c>
      <c r="BA23" t="s">
        <v>143</v>
      </c>
      <c r="BB23" t="s">
        <v>413</v>
      </c>
      <c r="BC23" t="s">
        <v>256</v>
      </c>
      <c r="BD23" t="s">
        <v>466</v>
      </c>
      <c r="BE23" t="s">
        <v>411</v>
      </c>
      <c r="BF23" t="s">
        <v>144</v>
      </c>
      <c r="BG23" t="s">
        <v>414</v>
      </c>
      <c r="BH23" t="s">
        <v>1544</v>
      </c>
      <c r="BI23" t="s">
        <v>688</v>
      </c>
      <c r="BJ23" t="s">
        <v>1059</v>
      </c>
      <c r="BK23" t="s">
        <v>905</v>
      </c>
      <c r="BL23" t="s">
        <v>1549</v>
      </c>
      <c r="BM23" t="s">
        <v>256</v>
      </c>
      <c r="BN23">
        <v>11.74</v>
      </c>
      <c r="BO23">
        <v>7.32</v>
      </c>
      <c r="BP23">
        <v>5.15</v>
      </c>
      <c r="BQ23">
        <v>13.5</v>
      </c>
      <c r="BR23">
        <v>8.66</v>
      </c>
      <c r="BS23">
        <v>6.09</v>
      </c>
      <c r="BT23" t="s">
        <v>934</v>
      </c>
      <c r="BU23" t="s">
        <v>883</v>
      </c>
      <c r="BV23">
        <v>32.86</v>
      </c>
      <c r="BW23">
        <v>43.02</v>
      </c>
      <c r="BX23">
        <v>46.52</v>
      </c>
      <c r="BY23">
        <v>15.3</v>
      </c>
      <c r="BZ23">
        <v>24.99</v>
      </c>
      <c r="CA23">
        <v>20.16</v>
      </c>
      <c r="CB23">
        <v>-3.44</v>
      </c>
      <c r="CC23">
        <v>-7.12</v>
      </c>
      <c r="CD23" t="s">
        <v>2579</v>
      </c>
      <c r="CE23" t="s">
        <v>412</v>
      </c>
      <c r="CF23" s="8">
        <v>-0.59599999999999997</v>
      </c>
      <c r="CG23" s="9">
        <v>-1.9753008180016192</v>
      </c>
      <c r="CH23" s="8">
        <v>1.0546448230743408</v>
      </c>
      <c r="CI23" s="8">
        <v>0.25557461380958557</v>
      </c>
      <c r="CJ23" s="8">
        <v>0.57994580268859863</v>
      </c>
      <c r="CK23" s="8">
        <v>-0.38190954923629761</v>
      </c>
      <c r="CL23" s="8">
        <v>6.9892473518848419E-2</v>
      </c>
      <c r="CM23" s="9">
        <v>0.27717390656471252</v>
      </c>
      <c r="CN23" s="9">
        <v>0.53333336114883423</v>
      </c>
      <c r="CO23" s="9">
        <v>2.4870460033416748</v>
      </c>
      <c r="CP23" s="9">
        <v>-1.7685418128967285</v>
      </c>
      <c r="CQ23" s="9">
        <v>1.2692307233810425</v>
      </c>
      <c r="CR23">
        <v>146.81666398350634</v>
      </c>
      <c r="CS23">
        <v>4.651548800870029</v>
      </c>
      <c r="CT23">
        <v>2.159827213822894</v>
      </c>
      <c r="CU23" s="8">
        <v>0.31562963277101519</v>
      </c>
      <c r="CV23" s="9">
        <v>0.55964843630790706</v>
      </c>
      <c r="CW23">
        <v>0.06</v>
      </c>
      <c r="CX23">
        <v>9.0294063768722364</v>
      </c>
      <c r="CY23">
        <v>291672607.2652722</v>
      </c>
      <c r="CZ23">
        <v>0.31562963277101519</v>
      </c>
      <c r="DA23">
        <v>2.4501332778972169</v>
      </c>
      <c r="DB23">
        <v>1074892751.2466857</v>
      </c>
      <c r="DC23">
        <v>0.29984815113246444</v>
      </c>
      <c r="DD23">
        <v>0.92356123345542473</v>
      </c>
      <c r="DE23">
        <v>2851603558.7012444</v>
      </c>
      <c r="DF23">
        <v>0.27775407683849335</v>
      </c>
      <c r="DG23">
        <v>0.40005253295049881</v>
      </c>
      <c r="DH23">
        <v>6583211661.1692019</v>
      </c>
      <c r="DI23">
        <v>0.25250370621681217</v>
      </c>
      <c r="DJ23">
        <v>9.2935280860560215E-2</v>
      </c>
      <c r="DK23">
        <v>28338328303.451199</v>
      </c>
      <c r="DL23">
        <v>0.22094074293971061</v>
      </c>
      <c r="DM23">
        <v>235000000</v>
      </c>
      <c r="DN23">
        <v>0.31562963277101519</v>
      </c>
      <c r="DO23">
        <v>2633630500</v>
      </c>
      <c r="DP23">
        <v>495560340</v>
      </c>
      <c r="DQ23">
        <v>423</v>
      </c>
      <c r="DR23">
        <v>-0.91162963277101516</v>
      </c>
      <c r="DS23">
        <v>-2.5349492543095264</v>
      </c>
      <c r="DT23" s="10">
        <v>5.9999999999999977E-2</v>
      </c>
      <c r="DU23">
        <v>-0.6</v>
      </c>
      <c r="DV23">
        <v>-0.54</v>
      </c>
      <c r="DW23">
        <v>-8.4831460674157295</v>
      </c>
      <c r="DX23">
        <v>0.24088823529411826</v>
      </c>
      <c r="DY23">
        <v>-8.0390808327825507</v>
      </c>
      <c r="DZ23">
        <v>2936</v>
      </c>
      <c r="EA23">
        <v>-8.0166265617356682</v>
      </c>
      <c r="EB23">
        <v>8</v>
      </c>
      <c r="EC23">
        <v>9.3084319460407461E-2</v>
      </c>
      <c r="ED23">
        <v>1.150776984093467</v>
      </c>
      <c r="EE23" s="11">
        <v>3.0769000000000002</v>
      </c>
      <c r="EF23">
        <v>3.0684999999999998</v>
      </c>
      <c r="EG23">
        <v>16.080888235294118</v>
      </c>
      <c r="EH23" t="s">
        <v>1458</v>
      </c>
      <c r="EI23">
        <v>0</v>
      </c>
      <c r="EJ23">
        <v>0</v>
      </c>
      <c r="EK23" s="13">
        <v>45470</v>
      </c>
      <c r="EL23" s="14">
        <v>0.43</v>
      </c>
      <c r="EM23" s="14">
        <v>3.71</v>
      </c>
      <c r="EN23" s="14">
        <v>-3.27</v>
      </c>
      <c r="EO23" s="14">
        <v>0.53</v>
      </c>
      <c r="EP23" s="14">
        <v>-0.84</v>
      </c>
    </row>
    <row r="24" spans="1:146" ht="108" x14ac:dyDescent="0.25">
      <c r="A24" s="7"/>
      <c r="B24" s="7"/>
      <c r="C24" s="7" t="str">
        <f>""&amp;CHAR(10)&amp;Basic_Fundamental_Information_Constructure(F24)&amp;CHAR(10)&amp;Basic_Fundamental_Information_Concatenate("")</f>
        <v xml:space="preserve">
市值16.909634亿, 利润1222.30万; PE91.27; 平均PE18.68; 平均PEG2.24, PB1.26; ROIC8.79%; ROE9.4633%; 股利率.3864%; 毛利23.29%; 净利10.18%; 上一年度营收增11.14%, 利润增-87.28%; 当季营收增9.07%, 利润增5.31%; 过往5年营收增8.32%, 利润增-11.16%
Income profile:
</v>
      </c>
      <c r="D24" t="s">
        <v>614</v>
      </c>
      <c r="E24" t="s">
        <v>1245</v>
      </c>
      <c r="F24">
        <v>12.94</v>
      </c>
      <c r="G24">
        <v>0.86</v>
      </c>
      <c r="H24" t="s">
        <v>2580</v>
      </c>
      <c r="I24">
        <v>1690963400</v>
      </c>
      <c r="J24">
        <v>91.27</v>
      </c>
      <c r="K24">
        <v>1.26</v>
      </c>
      <c r="L24" t="s">
        <v>67</v>
      </c>
      <c r="M24" t="s">
        <v>1216</v>
      </c>
      <c r="N24" t="s">
        <v>1104</v>
      </c>
      <c r="O24" t="s">
        <v>1551</v>
      </c>
      <c r="P24">
        <v>9.01</v>
      </c>
      <c r="Q24" t="s">
        <v>1552</v>
      </c>
      <c r="R24">
        <v>123212051</v>
      </c>
      <c r="S24" s="5">
        <v>5.3900000000000003E-2</v>
      </c>
      <c r="T24" t="s">
        <v>1553</v>
      </c>
      <c r="U24">
        <v>62332661</v>
      </c>
      <c r="V24">
        <v>130677230</v>
      </c>
      <c r="W24">
        <v>1.27</v>
      </c>
      <c r="X24">
        <v>0.3</v>
      </c>
      <c r="Y24">
        <v>22.22</v>
      </c>
      <c r="Z24" t="s">
        <v>83</v>
      </c>
      <c r="AA24" t="s">
        <v>1304</v>
      </c>
      <c r="AB24" t="s">
        <v>2581</v>
      </c>
      <c r="AC24" t="s">
        <v>2582</v>
      </c>
      <c r="AD24" t="s">
        <v>70</v>
      </c>
      <c r="AE24">
        <v>-1724540</v>
      </c>
      <c r="AF24" t="s">
        <v>1555</v>
      </c>
      <c r="AG24" t="s">
        <v>2583</v>
      </c>
      <c r="AH24" t="s">
        <v>1556</v>
      </c>
      <c r="AI24" t="s">
        <v>1836</v>
      </c>
      <c r="AJ24" t="s">
        <v>1557</v>
      </c>
      <c r="AK24" t="s">
        <v>2584</v>
      </c>
      <c r="AL24" t="s">
        <v>1558</v>
      </c>
      <c r="AM24" t="s">
        <v>70</v>
      </c>
      <c r="AN24" t="s">
        <v>2585</v>
      </c>
      <c r="AO24" t="s">
        <v>70</v>
      </c>
      <c r="AP24" t="s">
        <v>70</v>
      </c>
      <c r="AQ24" t="s">
        <v>655</v>
      </c>
      <c r="AR24" t="s">
        <v>70</v>
      </c>
      <c r="AS24" t="s">
        <v>1935</v>
      </c>
      <c r="AT24" t="s">
        <v>70</v>
      </c>
      <c r="AU24" t="s">
        <v>1438</v>
      </c>
      <c r="AV24" t="s">
        <v>2235</v>
      </c>
      <c r="AW24" t="s">
        <v>2586</v>
      </c>
      <c r="AX24" t="s">
        <v>1060</v>
      </c>
      <c r="AY24" t="s">
        <v>690</v>
      </c>
      <c r="AZ24" t="s">
        <v>541</v>
      </c>
      <c r="BA24" t="s">
        <v>617</v>
      </c>
      <c r="BB24" t="s">
        <v>611</v>
      </c>
      <c r="BC24" t="s">
        <v>1559</v>
      </c>
      <c r="BD24" t="s">
        <v>214</v>
      </c>
      <c r="BE24" t="s">
        <v>615</v>
      </c>
      <c r="BF24" t="s">
        <v>271</v>
      </c>
      <c r="BG24" t="s">
        <v>618</v>
      </c>
      <c r="BH24" t="s">
        <v>1552</v>
      </c>
      <c r="BI24" t="s">
        <v>1004</v>
      </c>
      <c r="BJ24" t="s">
        <v>1060</v>
      </c>
      <c r="BK24" t="s">
        <v>1553</v>
      </c>
      <c r="BL24" t="s">
        <v>206</v>
      </c>
      <c r="BM24" t="s">
        <v>1559</v>
      </c>
      <c r="BN24">
        <v>4.6900000000000004</v>
      </c>
      <c r="BO24">
        <v>7.41</v>
      </c>
      <c r="BP24">
        <v>14.27</v>
      </c>
      <c r="BQ24">
        <v>4.92</v>
      </c>
      <c r="BR24">
        <v>7.77</v>
      </c>
      <c r="BS24">
        <v>15.7</v>
      </c>
      <c r="BT24" t="s">
        <v>1560</v>
      </c>
      <c r="BU24" t="s">
        <v>884</v>
      </c>
      <c r="BV24">
        <v>23</v>
      </c>
      <c r="BW24">
        <v>20.98</v>
      </c>
      <c r="BX24">
        <v>25.89</v>
      </c>
      <c r="BY24">
        <v>1.82</v>
      </c>
      <c r="BZ24">
        <v>11.68</v>
      </c>
      <c r="CA24">
        <v>17.04</v>
      </c>
      <c r="CB24">
        <v>-2.4900000000000002</v>
      </c>
      <c r="CC24">
        <v>-7.95</v>
      </c>
      <c r="CD24" t="s">
        <v>2587</v>
      </c>
      <c r="CE24" t="s">
        <v>2588</v>
      </c>
      <c r="CF24" s="8">
        <v>9.0733590733590733E-2</v>
      </c>
      <c r="CG24" s="9">
        <v>5.3094452991452989E-2</v>
      </c>
      <c r="CH24" s="8">
        <v>0.11136624217033386</v>
      </c>
      <c r="CI24" s="8">
        <v>0.10253164917230606</v>
      </c>
      <c r="CJ24" s="8">
        <v>4.0843214839696884E-2</v>
      </c>
      <c r="CK24" s="8">
        <v>6.4516127109527588E-2</v>
      </c>
      <c r="CL24" s="8">
        <v>9.6923075616359711E-2</v>
      </c>
      <c r="CM24" s="9">
        <v>-0.87284916639328003</v>
      </c>
      <c r="CN24" s="9">
        <v>-0.25480693578720093</v>
      </c>
      <c r="CO24" s="9">
        <v>1.5748031437397003E-2</v>
      </c>
      <c r="CP24" s="9">
        <v>0.25742575526237488</v>
      </c>
      <c r="CQ24" s="9">
        <v>0.29658728837966919</v>
      </c>
      <c r="CR24">
        <v>18.676090203087089</v>
      </c>
      <c r="CS24">
        <v>2.243749860737108</v>
      </c>
      <c r="CT24">
        <v>0.38639876352395675</v>
      </c>
      <c r="CU24" s="8">
        <v>8.3236061781644818E-2</v>
      </c>
      <c r="CV24" s="9">
        <v>-0.11157900542020797</v>
      </c>
      <c r="CW24">
        <v>0.06</v>
      </c>
      <c r="CX24">
        <v>77.092960712595797</v>
      </c>
      <c r="CY24">
        <v>12490938.097317966</v>
      </c>
      <c r="CZ24">
        <v>8.3236061781644818E-2</v>
      </c>
      <c r="DA24">
        <v>25.338081882654144</v>
      </c>
      <c r="DB24">
        <v>38004589.473650023</v>
      </c>
      <c r="DC24">
        <v>7.9074258692562571E-2</v>
      </c>
      <c r="DD24">
        <v>12.569083647360005</v>
      </c>
      <c r="DE24">
        <v>76613651.958809242</v>
      </c>
      <c r="DF24">
        <v>7.3247734367847442E-2</v>
      </c>
      <c r="DG24">
        <v>7.6131033550024281</v>
      </c>
      <c r="DH24">
        <v>126487629.9580584</v>
      </c>
      <c r="DI24">
        <v>6.6588849425315857E-2</v>
      </c>
      <c r="DJ24">
        <v>4.0072975899157655</v>
      </c>
      <c r="DK24">
        <v>240302442.82911909</v>
      </c>
      <c r="DL24">
        <v>5.826524324715137E-2</v>
      </c>
      <c r="DM24">
        <v>12223000</v>
      </c>
      <c r="DN24">
        <v>8.3236061781644818E-2</v>
      </c>
      <c r="DO24">
        <v>962963400</v>
      </c>
      <c r="DP24">
        <v>898576530</v>
      </c>
      <c r="DQ24">
        <v>436</v>
      </c>
      <c r="DR24">
        <v>7.4975289519459143E-3</v>
      </c>
      <c r="DS24">
        <v>0.16467345841166098</v>
      </c>
      <c r="DT24" s="10">
        <v>-0.44</v>
      </c>
      <c r="DU24">
        <v>0.33333333333333331</v>
      </c>
      <c r="DV24">
        <v>-0.10666666666666669</v>
      </c>
      <c r="DW24">
        <v>-2.0794999999999999</v>
      </c>
      <c r="DX24">
        <v>0.35394539837205086</v>
      </c>
      <c r="DY24">
        <v>-2.0098536591705782</v>
      </c>
      <c r="DZ24">
        <v>1950</v>
      </c>
      <c r="EA24">
        <v>-2.0060934565516688</v>
      </c>
      <c r="EB24">
        <v>2</v>
      </c>
      <c r="EC24">
        <v>5.1084645733614029E-2</v>
      </c>
      <c r="ED24">
        <v>0.41215443578043398</v>
      </c>
      <c r="EE24" s="11">
        <v>2.7900000000000001E-2</v>
      </c>
      <c r="EF24">
        <v>2.18E-2</v>
      </c>
      <c r="EG24">
        <v>23.123945398372051</v>
      </c>
      <c r="EH24" t="s">
        <v>811</v>
      </c>
      <c r="EI24">
        <v>0</v>
      </c>
      <c r="EJ24">
        <v>0</v>
      </c>
      <c r="EK24" s="13">
        <v>45470</v>
      </c>
      <c r="EL24" s="14">
        <v>-0.23</v>
      </c>
      <c r="EM24" s="14">
        <v>-4.03</v>
      </c>
      <c r="EN24" s="14">
        <v>0.48</v>
      </c>
      <c r="EO24" s="14">
        <v>3.39</v>
      </c>
      <c r="EP24" s="14">
        <v>-0.61</v>
      </c>
    </row>
    <row r="25" spans="1:146" ht="96" x14ac:dyDescent="0.25">
      <c r="A25" s="7"/>
      <c r="B25" s="7"/>
      <c r="C25" s="7" t="str">
        <f>""&amp;CHAR(10)&amp;Basic_Fundamental_Information_Constructure(F25)&amp;CHAR(10)&amp;Basic_Fundamental_Information_Concatenate("")</f>
        <v xml:space="preserve">
市值63.933333亿, 利润1.35亿; PE51.95; 平均PE51.36; 平均PEG4.36, PB2.16; ROIC4.5567%; ROE7.6567%; 股利率1.1679%; 毛利59.4133%; 净利17.9233%; 上一年度营收增12.24%, 利润增-31.12%; 当季营收增1.98%, 利润增-46.33%; 过往5年营收增11.77%, 利润增25.59%
Income profile:
</v>
      </c>
      <c r="D25" t="s">
        <v>819</v>
      </c>
      <c r="E25" t="s">
        <v>820</v>
      </c>
      <c r="F25">
        <v>6.85</v>
      </c>
      <c r="G25">
        <v>-2.14</v>
      </c>
      <c r="H25" t="s">
        <v>2589</v>
      </c>
      <c r="I25">
        <v>6393333300</v>
      </c>
      <c r="J25">
        <v>51.95</v>
      </c>
      <c r="K25">
        <v>2.16</v>
      </c>
      <c r="L25" t="s">
        <v>67</v>
      </c>
      <c r="M25" t="s">
        <v>1561</v>
      </c>
      <c r="N25" t="s">
        <v>2590</v>
      </c>
      <c r="O25" t="s">
        <v>537</v>
      </c>
      <c r="P25">
        <v>2</v>
      </c>
      <c r="Q25" t="s">
        <v>1562</v>
      </c>
      <c r="R25">
        <v>14079942</v>
      </c>
      <c r="S25" s="5">
        <v>-0.46329999999999999</v>
      </c>
      <c r="T25" t="s">
        <v>336</v>
      </c>
      <c r="U25">
        <v>468712330</v>
      </c>
      <c r="V25">
        <v>933333330</v>
      </c>
      <c r="W25">
        <v>3.35</v>
      </c>
      <c r="X25">
        <v>0.02</v>
      </c>
      <c r="Y25">
        <v>6.65</v>
      </c>
      <c r="Z25" t="s">
        <v>2591</v>
      </c>
      <c r="AA25" t="s">
        <v>169</v>
      </c>
      <c r="AB25" t="s">
        <v>70</v>
      </c>
      <c r="AC25" t="s">
        <v>2592</v>
      </c>
      <c r="AD25" t="s">
        <v>70</v>
      </c>
      <c r="AE25">
        <v>46813540</v>
      </c>
      <c r="AF25" t="s">
        <v>105</v>
      </c>
      <c r="AG25" t="s">
        <v>70</v>
      </c>
      <c r="AH25" t="s">
        <v>1563</v>
      </c>
      <c r="AI25" t="s">
        <v>1098</v>
      </c>
      <c r="AJ25" t="s">
        <v>1565</v>
      </c>
      <c r="AK25" t="s">
        <v>70</v>
      </c>
      <c r="AL25" t="s">
        <v>1566</v>
      </c>
      <c r="AM25" t="s">
        <v>70</v>
      </c>
      <c r="AN25" t="s">
        <v>1999</v>
      </c>
      <c r="AO25" t="s">
        <v>70</v>
      </c>
      <c r="AP25" t="s">
        <v>2593</v>
      </c>
      <c r="AQ25" t="s">
        <v>345</v>
      </c>
      <c r="AR25" t="s">
        <v>70</v>
      </c>
      <c r="AS25" t="s">
        <v>2594</v>
      </c>
      <c r="AT25" t="s">
        <v>2595</v>
      </c>
      <c r="AU25" t="s">
        <v>2596</v>
      </c>
      <c r="AV25" t="s">
        <v>1827</v>
      </c>
      <c r="AW25" t="s">
        <v>382</v>
      </c>
      <c r="AX25" t="s">
        <v>1061</v>
      </c>
      <c r="AY25" t="s">
        <v>1062</v>
      </c>
      <c r="AZ25" t="s">
        <v>360</v>
      </c>
      <c r="BA25" t="s">
        <v>821</v>
      </c>
      <c r="BB25" t="s">
        <v>822</v>
      </c>
      <c r="BC25" t="s">
        <v>651</v>
      </c>
      <c r="BD25" t="s">
        <v>207</v>
      </c>
      <c r="BE25" t="s">
        <v>169</v>
      </c>
      <c r="BF25" t="s">
        <v>271</v>
      </c>
      <c r="BG25" t="s">
        <v>823</v>
      </c>
      <c r="BH25" t="s">
        <v>1562</v>
      </c>
      <c r="BI25" t="s">
        <v>1081</v>
      </c>
      <c r="BJ25" t="s">
        <v>1061</v>
      </c>
      <c r="BK25" t="s">
        <v>336</v>
      </c>
      <c r="BL25" t="s">
        <v>1568</v>
      </c>
      <c r="BM25" t="s">
        <v>651</v>
      </c>
      <c r="BN25">
        <v>3.54</v>
      </c>
      <c r="BO25">
        <v>4.88</v>
      </c>
      <c r="BP25">
        <v>5.25</v>
      </c>
      <c r="BQ25">
        <v>6.72</v>
      </c>
      <c r="BR25">
        <v>8.36</v>
      </c>
      <c r="BS25">
        <v>7.89</v>
      </c>
      <c r="BT25" t="s">
        <v>935</v>
      </c>
      <c r="BU25" t="s">
        <v>882</v>
      </c>
      <c r="BV25">
        <v>58.04</v>
      </c>
      <c r="BW25">
        <v>59.45</v>
      </c>
      <c r="BX25">
        <v>60.75</v>
      </c>
      <c r="BY25">
        <v>13.7</v>
      </c>
      <c r="BZ25">
        <v>22.22</v>
      </c>
      <c r="CA25">
        <v>17.850000000000001</v>
      </c>
      <c r="CB25">
        <v>-1.1499999999999999</v>
      </c>
      <c r="CC25">
        <v>6.7</v>
      </c>
      <c r="CD25" t="s">
        <v>206</v>
      </c>
      <c r="CE25" t="s">
        <v>586</v>
      </c>
      <c r="CF25" s="8">
        <v>1.9801980198019802E-2</v>
      </c>
      <c r="CG25" s="9">
        <v>-0.46326957091884974</v>
      </c>
      <c r="CH25" s="8">
        <v>0.12244898080825806</v>
      </c>
      <c r="CI25" s="8">
        <v>9.1584160923957825E-2</v>
      </c>
      <c r="CJ25" s="8">
        <v>0.23736600577831268</v>
      </c>
      <c r="CK25" s="8">
        <v>4.8154093325138092E-2</v>
      </c>
      <c r="CL25" s="8">
        <v>8.9160837233066559E-2</v>
      </c>
      <c r="CM25" s="9">
        <v>-0.31122449040412903</v>
      </c>
      <c r="CN25" s="9">
        <v>0.38028168678283691</v>
      </c>
      <c r="CO25" s="9">
        <v>0.20338982343673706</v>
      </c>
      <c r="CP25" s="9">
        <v>0.16831682622432709</v>
      </c>
      <c r="CQ25" s="9">
        <v>0.83888459205627441</v>
      </c>
      <c r="CR25">
        <v>51.35725855059534</v>
      </c>
      <c r="CS25">
        <v>4.3618167514417161</v>
      </c>
      <c r="CT25">
        <v>1.1678832116788322</v>
      </c>
      <c r="CU25" s="8">
        <v>0.11774281561374664</v>
      </c>
      <c r="CV25" s="9">
        <v>0.25592968761920931</v>
      </c>
      <c r="CW25">
        <v>0.06</v>
      </c>
      <c r="CX25">
        <v>71.043529594415048</v>
      </c>
      <c r="CY25">
        <v>142354037.83759978</v>
      </c>
      <c r="CZ25">
        <v>0.11774281561374664</v>
      </c>
      <c r="DA25">
        <v>22.679006453846224</v>
      </c>
      <c r="DB25">
        <v>445933701.75106764</v>
      </c>
      <c r="DC25">
        <v>0.1118556748330593</v>
      </c>
      <c r="DD25">
        <v>10.816603234345326</v>
      </c>
      <c r="DE25">
        <v>934982367.4670552</v>
      </c>
      <c r="DF25">
        <v>0.10361367774009704</v>
      </c>
      <c r="DG25">
        <v>6.2649721707846995</v>
      </c>
      <c r="DH25">
        <v>1614266276.7380316</v>
      </c>
      <c r="DI25">
        <v>9.4194252490997318E-2</v>
      </c>
      <c r="DJ25">
        <v>2.9848870399770173</v>
      </c>
      <c r="DK25">
        <v>3388179574.1516132</v>
      </c>
      <c r="DL25">
        <v>8.2419970929622638E-2</v>
      </c>
      <c r="DM25">
        <v>135000000</v>
      </c>
      <c r="DN25">
        <v>0.11774281561374664</v>
      </c>
      <c r="DO25">
        <v>10113333300</v>
      </c>
      <c r="DP25">
        <v>1466815300</v>
      </c>
      <c r="DQ25">
        <v>460</v>
      </c>
      <c r="DR25">
        <v>-9.7940835415726832E-2</v>
      </c>
      <c r="DS25">
        <v>-0.71919925853805911</v>
      </c>
      <c r="DT25" s="10">
        <v>-0.3066666666666667</v>
      </c>
      <c r="DU25">
        <v>0.21333333333333335</v>
      </c>
      <c r="DV25">
        <v>-9.3333333333333351E-2</v>
      </c>
      <c r="DW25">
        <v>2.0670000000000002</v>
      </c>
      <c r="DX25">
        <v>0.38579831932773112</v>
      </c>
      <c r="DY25">
        <v>2.0164684873949579</v>
      </c>
      <c r="DZ25">
        <v>1929</v>
      </c>
      <c r="EA25">
        <v>2.0102517139732603</v>
      </c>
      <c r="EB25">
        <v>2</v>
      </c>
      <c r="EC25">
        <v>0.12535714330484693</v>
      </c>
      <c r="ED25">
        <v>0.51000000182142857</v>
      </c>
      <c r="EE25" s="11">
        <v>-2.1105999999999998</v>
      </c>
      <c r="EF25">
        <v>-1.0224</v>
      </c>
      <c r="EG25">
        <v>14.245798319327731</v>
      </c>
      <c r="EH25" t="s">
        <v>1237</v>
      </c>
      <c r="EI25">
        <v>1</v>
      </c>
      <c r="EJ25">
        <v>0</v>
      </c>
      <c r="EK25" s="13">
        <v>45470</v>
      </c>
      <c r="EL25" s="14">
        <v>3.73</v>
      </c>
      <c r="EM25" s="14">
        <v>-2.5499999999999998</v>
      </c>
      <c r="EN25" s="14">
        <v>-4.92</v>
      </c>
      <c r="EO25" s="14">
        <v>10.029999999999999</v>
      </c>
      <c r="EP25" s="14">
        <v>6.18</v>
      </c>
    </row>
    <row r="26" spans="1:146" ht="96" x14ac:dyDescent="0.25">
      <c r="C26" s="7" t="str">
        <f>""&amp;CHAR(10)&amp;Basic_Fundamental_Information_Constructure(F26)&amp;CHAR(10)&amp;Basic_Fundamental_Information_Concatenate("")</f>
        <v xml:space="preserve">
市值449.625亿, 利润25.56亿; PE16.74; 平均PE38.64; 平均PEG1.28, PB1.85; ROIC7.9433%; ROE14.45%; 股利率3.0025%; 毛利36.95%; 净利16.6567%; 上一年度营收增-4.1%, 利润增3.31%; 当季营收增10.39%, 利润增15.33%; 过往5年营收增30.12%, 利润增120.28%
Income profile:
</v>
      </c>
      <c r="D26" t="s">
        <v>1063</v>
      </c>
      <c r="E26" t="s">
        <v>1064</v>
      </c>
      <c r="F26">
        <v>11.99</v>
      </c>
      <c r="G26">
        <v>0</v>
      </c>
      <c r="H26" t="s">
        <v>2597</v>
      </c>
      <c r="I26">
        <v>44962500000</v>
      </c>
      <c r="J26">
        <v>16.739999999999998</v>
      </c>
      <c r="K26">
        <v>1.85</v>
      </c>
      <c r="L26" t="s">
        <v>67</v>
      </c>
      <c r="M26" t="s">
        <v>1569</v>
      </c>
      <c r="N26" t="s">
        <v>2598</v>
      </c>
      <c r="O26" t="s">
        <v>1570</v>
      </c>
      <c r="P26" s="5">
        <v>10.39</v>
      </c>
      <c r="Q26" t="s">
        <v>1571</v>
      </c>
      <c r="R26">
        <v>987204790</v>
      </c>
      <c r="S26">
        <v>0.153</v>
      </c>
      <c r="T26" t="s">
        <v>162</v>
      </c>
      <c r="U26">
        <v>1050000000</v>
      </c>
      <c r="V26">
        <v>3750000000</v>
      </c>
      <c r="W26">
        <v>2.14</v>
      </c>
      <c r="X26">
        <v>0.09</v>
      </c>
      <c r="Y26">
        <v>26.28</v>
      </c>
      <c r="Z26" t="s">
        <v>2599</v>
      </c>
      <c r="AA26" t="s">
        <v>2600</v>
      </c>
      <c r="AB26" t="s">
        <v>2601</v>
      </c>
      <c r="AC26" t="s">
        <v>904</v>
      </c>
      <c r="AD26" t="s">
        <v>70</v>
      </c>
      <c r="AE26">
        <v>192834390</v>
      </c>
      <c r="AF26" t="s">
        <v>1572</v>
      </c>
      <c r="AG26" t="s">
        <v>2602</v>
      </c>
      <c r="AH26" t="s">
        <v>1573</v>
      </c>
      <c r="AI26" t="s">
        <v>2603</v>
      </c>
      <c r="AJ26" t="s">
        <v>1574</v>
      </c>
      <c r="AK26" t="s">
        <v>2604</v>
      </c>
      <c r="AL26" t="s">
        <v>1575</v>
      </c>
      <c r="AM26" t="s">
        <v>70</v>
      </c>
      <c r="AN26" t="s">
        <v>2605</v>
      </c>
      <c r="AO26" t="s">
        <v>2606</v>
      </c>
      <c r="AP26" t="s">
        <v>1247</v>
      </c>
      <c r="AQ26" t="s">
        <v>2607</v>
      </c>
      <c r="AR26" t="s">
        <v>2608</v>
      </c>
      <c r="AS26" t="s">
        <v>2609</v>
      </c>
      <c r="AT26" t="s">
        <v>2610</v>
      </c>
      <c r="AU26" t="s">
        <v>2611</v>
      </c>
      <c r="AV26" t="s">
        <v>2612</v>
      </c>
      <c r="AW26" t="s">
        <v>2613</v>
      </c>
      <c r="AX26" t="s">
        <v>1065</v>
      </c>
      <c r="AY26" t="s">
        <v>1066</v>
      </c>
      <c r="AZ26" t="s">
        <v>1067</v>
      </c>
      <c r="BA26" t="s">
        <v>1068</v>
      </c>
      <c r="BB26" t="s">
        <v>1069</v>
      </c>
      <c r="BC26" t="s">
        <v>1577</v>
      </c>
      <c r="BD26" t="s">
        <v>920</v>
      </c>
      <c r="BE26" t="s">
        <v>900</v>
      </c>
      <c r="BF26" t="s">
        <v>412</v>
      </c>
      <c r="BG26" t="s">
        <v>921</v>
      </c>
      <c r="BH26" t="s">
        <v>1571</v>
      </c>
      <c r="BI26" t="s">
        <v>1578</v>
      </c>
      <c r="BJ26" t="s">
        <v>1065</v>
      </c>
      <c r="BK26" t="s">
        <v>162</v>
      </c>
      <c r="BL26" t="s">
        <v>944</v>
      </c>
      <c r="BM26" t="s">
        <v>1577</v>
      </c>
      <c r="BN26">
        <v>7.86</v>
      </c>
      <c r="BO26">
        <v>10.82</v>
      </c>
      <c r="BP26">
        <v>5.15</v>
      </c>
      <c r="BQ26">
        <v>11.28</v>
      </c>
      <c r="BR26">
        <v>17.62</v>
      </c>
      <c r="BS26" t="s">
        <v>70</v>
      </c>
      <c r="BT26" t="s">
        <v>1579</v>
      </c>
      <c r="BU26" t="s">
        <v>881</v>
      </c>
      <c r="BV26">
        <v>40.04</v>
      </c>
      <c r="BW26">
        <v>39</v>
      </c>
      <c r="BX26">
        <v>31.81</v>
      </c>
      <c r="BY26">
        <v>20.86</v>
      </c>
      <c r="BZ26">
        <v>20.03</v>
      </c>
      <c r="CA26">
        <v>9.08</v>
      </c>
      <c r="CB26">
        <v>3.99</v>
      </c>
      <c r="CC26" s="8">
        <v>22.72</v>
      </c>
      <c r="CD26" s="9" t="s">
        <v>134</v>
      </c>
      <c r="CE26" s="8" t="s">
        <v>1262</v>
      </c>
      <c r="CF26" s="8">
        <v>0.10393423370522607</v>
      </c>
      <c r="CG26" s="8">
        <v>0.1532766238317757</v>
      </c>
      <c r="CH26" s="8">
        <v>-4.101552814245224E-2</v>
      </c>
      <c r="CI26" s="8">
        <v>0.31065449118614197</v>
      </c>
      <c r="CJ26" s="9">
        <v>0.59408801794052124</v>
      </c>
      <c r="CK26" s="9">
        <v>0.33585572242736816</v>
      </c>
      <c r="CL26" s="9">
        <v>0.30648940801620483</v>
      </c>
      <c r="CM26" s="9">
        <v>3.3144757151603699E-2</v>
      </c>
      <c r="CN26" s="9">
        <v>5.1237621307373047</v>
      </c>
      <c r="CO26">
        <v>-0.45698925852775574</v>
      </c>
      <c r="CP26">
        <v>0.4117647111415863</v>
      </c>
      <c r="CQ26">
        <v>0.9025270938873291</v>
      </c>
      <c r="CR26" s="8">
        <v>38.638642222858778</v>
      </c>
      <c r="CS26" s="9">
        <v>1.2827620247953677</v>
      </c>
      <c r="CT26">
        <v>3.0025020850708923</v>
      </c>
      <c r="CU26">
        <v>0.30121442228555678</v>
      </c>
      <c r="CV26">
        <v>1.2028418868780135</v>
      </c>
      <c r="CW26">
        <v>0.06</v>
      </c>
      <c r="CX26">
        <v>15.299530302315686</v>
      </c>
      <c r="CY26">
        <v>3137645342.7942295</v>
      </c>
      <c r="CZ26">
        <v>0.30121442228555678</v>
      </c>
      <c r="DA26">
        <v>4.1998000156453053</v>
      </c>
      <c r="DB26">
        <v>11430187109.188828</v>
      </c>
      <c r="DC26">
        <v>0.28615370117127892</v>
      </c>
      <c r="DD26">
        <v>1.6110853234884071</v>
      </c>
      <c r="DE26">
        <v>29796373475.774776</v>
      </c>
      <c r="DF26">
        <v>0.26506869161128999</v>
      </c>
      <c r="DG26">
        <v>0.71383624812811075</v>
      </c>
      <c r="DH26">
        <v>67248616368.084366</v>
      </c>
      <c r="DI26">
        <v>0.24097153782844544</v>
      </c>
      <c r="DJ26">
        <v>0.1757696060893143</v>
      </c>
      <c r="DK26">
        <v>273110357746.42029</v>
      </c>
      <c r="DL26">
        <v>0.21085009559988974</v>
      </c>
      <c r="DM26">
        <v>2556000000</v>
      </c>
      <c r="DN26">
        <v>0.30121442228555678</v>
      </c>
      <c r="DO26">
        <v>48004500000</v>
      </c>
      <c r="DP26">
        <v>-3486683800</v>
      </c>
      <c r="DQ26" s="10">
        <v>471</v>
      </c>
      <c r="DR26">
        <v>-0.1972801885803307</v>
      </c>
      <c r="DS26">
        <v>-1.0495652630462378</v>
      </c>
      <c r="DT26">
        <v>5.9999999999999908E-2</v>
      </c>
      <c r="DU26">
        <v>0.7533333333333333</v>
      </c>
      <c r="DV26">
        <v>0.81333333333333324</v>
      </c>
      <c r="DW26">
        <v>8.1756161971830981</v>
      </c>
      <c r="DX26">
        <v>0.28494190470394865</v>
      </c>
      <c r="DY26">
        <v>8.0236979841447518</v>
      </c>
      <c r="DZ26">
        <v>339</v>
      </c>
      <c r="EA26">
        <v>8.0221258478189057</v>
      </c>
      <c r="EB26" s="11">
        <v>8</v>
      </c>
      <c r="EC26" s="11">
        <v>4.0266666666666666E-2</v>
      </c>
      <c r="ED26">
        <v>0.2984</v>
      </c>
      <c r="EE26">
        <v>1.0139</v>
      </c>
      <c r="EF26">
        <v>1.00291</v>
      </c>
      <c r="EG26">
        <v>15.134941904703949</v>
      </c>
      <c r="EH26" s="13" t="s">
        <v>940</v>
      </c>
      <c r="EI26" s="14">
        <v>0</v>
      </c>
      <c r="EJ26" s="14">
        <v>1</v>
      </c>
      <c r="EK26" s="14">
        <v>45470</v>
      </c>
      <c r="EL26" s="14">
        <v>0.93</v>
      </c>
      <c r="EM26" s="14">
        <v>-0.51</v>
      </c>
      <c r="EN26" s="14">
        <v>-1.61</v>
      </c>
      <c r="EO26" s="14">
        <v>0.53</v>
      </c>
      <c r="EP26" s="14">
        <v>-1.68</v>
      </c>
    </row>
    <row r="27" spans="1:146" ht="144" x14ac:dyDescent="0.25">
      <c r="A27" s="7"/>
      <c r="B27" s="7"/>
      <c r="C27" s="7" t="str">
        <f>"公司主要从事风电场的设计、开发、建设、管理和运营。同时，还经营火电、太阳能、潮汐、生物质、地热等其他发电项目；向风电场提供咨询、维修、保养、培训及其他专业服务。"&amp;CHAR(10)&amp;Basic_Fundamental_Information_Constructure(F27)&amp;CHAR(10)&amp;Basic_Fundamental_Information_Concatenate("电力产品 318.75亿 79.96% 98.82% 38.75%
煤炭收入 64.23亿 16.11% 1.18% 2.31%")</f>
        <v>公司主要从事风电场的设计、开发、建设、管理和运营。同时，还经营火电、太阳能、潮汐、生物质、地热等其他发电项目；向风电场提供咨询、维修、保养、培训及其他专业服务。
市值1493.8991亿, 利润62.49亿; PE23.69; 平均PE27.55; 平均PEG3.32, PB2.09; ROIC5.2%; ROE9.0867%; 股利率1.2451%; 毛利35.22%; 净利17.57%; 上一年度营收增-5.57%, 利润增22.27%; 当季营收增.1%, 利润增2.45%; 过往5年营收增8.31%, 利润增11.38%
Income profile:
电力产品 318.75亿 79.96% 98.82% 38.75%
煤炭收入 64.23亿 16.11% 1.18% 2.31%</v>
      </c>
      <c r="D27" t="s">
        <v>749</v>
      </c>
      <c r="E27" t="s">
        <v>750</v>
      </c>
      <c r="F27">
        <v>17.87</v>
      </c>
      <c r="G27">
        <v>-1.43</v>
      </c>
      <c r="H27" t="s">
        <v>2614</v>
      </c>
      <c r="I27">
        <v>149389910000</v>
      </c>
      <c r="J27">
        <v>23.69</v>
      </c>
      <c r="K27">
        <v>2.09</v>
      </c>
      <c r="L27" t="s">
        <v>67</v>
      </c>
      <c r="M27" t="s">
        <v>1580</v>
      </c>
      <c r="N27" t="s">
        <v>2615</v>
      </c>
      <c r="O27" t="s">
        <v>1581</v>
      </c>
      <c r="P27">
        <v>0.1</v>
      </c>
      <c r="Q27" t="s">
        <v>1582</v>
      </c>
      <c r="R27">
        <v>2393230800</v>
      </c>
      <c r="S27" s="5">
        <v>2.47E-2</v>
      </c>
      <c r="T27" t="s">
        <v>1583</v>
      </c>
      <c r="U27">
        <v>133336023</v>
      </c>
      <c r="V27">
        <v>8359816200</v>
      </c>
      <c r="W27">
        <v>2.78</v>
      </c>
      <c r="X27">
        <v>0.04</v>
      </c>
      <c r="Y27">
        <v>26.93</v>
      </c>
      <c r="Z27" t="s">
        <v>2616</v>
      </c>
      <c r="AA27" t="s">
        <v>2617</v>
      </c>
      <c r="AB27">
        <v>0</v>
      </c>
      <c r="AC27" t="s">
        <v>2618</v>
      </c>
      <c r="AD27" t="s">
        <v>70</v>
      </c>
      <c r="AE27">
        <v>852640240</v>
      </c>
      <c r="AF27" t="s">
        <v>1586</v>
      </c>
      <c r="AG27" t="s">
        <v>2619</v>
      </c>
      <c r="AH27" t="s">
        <v>1587</v>
      </c>
      <c r="AI27" t="s">
        <v>2620</v>
      </c>
      <c r="AJ27" t="s">
        <v>1588</v>
      </c>
      <c r="AK27" t="s">
        <v>2621</v>
      </c>
      <c r="AL27" t="s">
        <v>1589</v>
      </c>
      <c r="AM27" t="s">
        <v>70</v>
      </c>
      <c r="AN27" t="s">
        <v>2622</v>
      </c>
      <c r="AO27" t="s">
        <v>2623</v>
      </c>
      <c r="AP27" t="s">
        <v>2624</v>
      </c>
      <c r="AQ27" t="s">
        <v>2625</v>
      </c>
      <c r="AR27" t="s">
        <v>70</v>
      </c>
      <c r="AS27" t="s">
        <v>2626</v>
      </c>
      <c r="AT27" t="s">
        <v>2627</v>
      </c>
      <c r="AU27" t="s">
        <v>2628</v>
      </c>
      <c r="AV27" t="s">
        <v>2629</v>
      </c>
      <c r="AW27" t="s">
        <v>2630</v>
      </c>
      <c r="AX27" t="s">
        <v>1070</v>
      </c>
      <c r="AY27" t="s">
        <v>1071</v>
      </c>
      <c r="AZ27" t="s">
        <v>751</v>
      </c>
      <c r="BA27" t="s">
        <v>752</v>
      </c>
      <c r="BB27" t="s">
        <v>753</v>
      </c>
      <c r="BC27" t="s">
        <v>1590</v>
      </c>
      <c r="BD27" t="s">
        <v>1072</v>
      </c>
      <c r="BE27" t="s">
        <v>754</v>
      </c>
      <c r="BF27" t="s">
        <v>755</v>
      </c>
      <c r="BG27" t="s">
        <v>702</v>
      </c>
      <c r="BH27" t="s">
        <v>1582</v>
      </c>
      <c r="BI27" t="s">
        <v>1591</v>
      </c>
      <c r="BJ27" t="s">
        <v>1070</v>
      </c>
      <c r="BK27" t="s">
        <v>1583</v>
      </c>
      <c r="BL27" t="s">
        <v>1592</v>
      </c>
      <c r="BM27" t="s">
        <v>1590</v>
      </c>
      <c r="BN27">
        <v>4.72</v>
      </c>
      <c r="BO27">
        <v>4.83</v>
      </c>
      <c r="BP27">
        <v>6.05</v>
      </c>
      <c r="BQ27">
        <v>8.8699999999999992</v>
      </c>
      <c r="BR27">
        <v>7.17</v>
      </c>
      <c r="BS27">
        <v>11.22</v>
      </c>
      <c r="BT27" t="s">
        <v>1593</v>
      </c>
      <c r="BU27" t="s">
        <v>882</v>
      </c>
      <c r="BV27">
        <v>36.36</v>
      </c>
      <c r="BW27">
        <v>34.43</v>
      </c>
      <c r="BX27">
        <v>34.869999999999997</v>
      </c>
      <c r="BY27">
        <v>17.899999999999999</v>
      </c>
      <c r="BZ27">
        <v>15.29</v>
      </c>
      <c r="CA27">
        <v>19.52</v>
      </c>
      <c r="CB27">
        <v>3.59</v>
      </c>
      <c r="CC27">
        <v>-0.45</v>
      </c>
      <c r="CD27" t="s">
        <v>2631</v>
      </c>
      <c r="CE27" t="s">
        <v>827</v>
      </c>
      <c r="CF27" s="8">
        <v>1.0134792743488395E-3</v>
      </c>
      <c r="CG27" s="9">
        <v>2.4499486301369864E-2</v>
      </c>
      <c r="CH27" s="8">
        <v>-5.5715892463922501E-2</v>
      </c>
      <c r="CI27" s="8">
        <v>-7.5198919512331486E-4</v>
      </c>
      <c r="CJ27" s="8">
        <v>0.38483703136444092</v>
      </c>
      <c r="CK27" s="8">
        <v>4.4526603072881699E-2</v>
      </c>
      <c r="CL27" s="8">
        <v>4.2487312108278275E-2</v>
      </c>
      <c r="CM27" s="9">
        <v>0.2226569801568985</v>
      </c>
      <c r="CN27" s="9">
        <v>-0.3115571141242981</v>
      </c>
      <c r="CO27" s="9">
        <v>0.4916616678237915</v>
      </c>
      <c r="CP27" s="9">
        <v>9.9646441638469696E-2</v>
      </c>
      <c r="CQ27" s="9">
        <v>6.6446781158447266E-2</v>
      </c>
      <c r="CR27">
        <v>27.553393993421661</v>
      </c>
      <c r="CS27">
        <v>3.3166246198489997</v>
      </c>
      <c r="CT27">
        <v>1.2451035254616676</v>
      </c>
      <c r="CU27" s="8">
        <v>8.3076612977311018E-2</v>
      </c>
      <c r="CV27" s="9">
        <v>0.11377095133066177</v>
      </c>
      <c r="CW27">
        <v>0.06</v>
      </c>
      <c r="CX27">
        <v>33.138367986687612</v>
      </c>
      <c r="CY27">
        <v>6385043164.6181297</v>
      </c>
      <c r="CZ27">
        <v>8.3076612977311018E-2</v>
      </c>
      <c r="DA27">
        <v>10.893033897649136</v>
      </c>
      <c r="DB27">
        <v>19424332283.190998</v>
      </c>
      <c r="DC27">
        <v>7.8922782328445462E-2</v>
      </c>
      <c r="DD27">
        <v>5.4045166885215288</v>
      </c>
      <c r="DE27">
        <v>39150570197.958443</v>
      </c>
      <c r="DF27">
        <v>7.3107419420033695E-2</v>
      </c>
      <c r="DG27">
        <v>3.274179615131132</v>
      </c>
      <c r="DH27">
        <v>64623794315.427544</v>
      </c>
      <c r="DI27">
        <v>6.6461290381848823E-2</v>
      </c>
      <c r="DJ27">
        <v>1.7241794078406827</v>
      </c>
      <c r="DK27">
        <v>122719195599.83011</v>
      </c>
      <c r="DL27">
        <v>5.8153629084117711E-2</v>
      </c>
      <c r="DM27">
        <v>6249000000</v>
      </c>
      <c r="DN27">
        <v>8.3076612977311018E-2</v>
      </c>
      <c r="DO27">
        <v>211589910000</v>
      </c>
      <c r="DP27">
        <v>-24306362000</v>
      </c>
      <c r="DQ27">
        <v>474</v>
      </c>
      <c r="DR27">
        <v>-8.2063133702962185E-2</v>
      </c>
      <c r="DS27">
        <v>-8.927146502929191E-2</v>
      </c>
      <c r="DT27" s="10">
        <v>-0.3066666666666667</v>
      </c>
      <c r="DU27">
        <v>0.15</v>
      </c>
      <c r="DV27">
        <v>-0.1566666666666667</v>
      </c>
      <c r="DW27">
        <v>4.1253481894150417</v>
      </c>
      <c r="DX27">
        <v>0.28811078838174253</v>
      </c>
      <c r="DY27">
        <v>4.0210723829447863</v>
      </c>
      <c r="DZ27">
        <v>2089</v>
      </c>
      <c r="EA27">
        <v>4.0124578608368298</v>
      </c>
      <c r="EB27">
        <v>4</v>
      </c>
      <c r="EC27">
        <v>4.8463625312719196E-3</v>
      </c>
      <c r="ED27">
        <v>2.882838500683783E-2</v>
      </c>
      <c r="EE27" s="11">
        <v>2.0746099999999998</v>
      </c>
      <c r="EF27">
        <v>2.0942099999999999</v>
      </c>
      <c r="EG27">
        <v>12.168110788381743</v>
      </c>
      <c r="EH27" t="s">
        <v>1283</v>
      </c>
      <c r="EI27">
        <v>0</v>
      </c>
      <c r="EJ27">
        <v>0</v>
      </c>
      <c r="EK27" s="13">
        <v>45470</v>
      </c>
      <c r="EL27" s="14">
        <v>-2.37</v>
      </c>
      <c r="EM27" s="14">
        <v>-0.98</v>
      </c>
      <c r="EN27" s="14">
        <v>-0.06</v>
      </c>
      <c r="EO27" s="14">
        <v>0.93</v>
      </c>
      <c r="EP27" s="14">
        <v>-1.96</v>
      </c>
    </row>
    <row r="28" spans="1:146" ht="96" x14ac:dyDescent="0.25">
      <c r="C28" s="7" t="str">
        <f>""&amp;CHAR(10)&amp;Basic_Fundamental_Information_Constructure(F28)&amp;CHAR(10)&amp;Basic_Fundamental_Information_Concatenate("")</f>
        <v xml:space="preserve">
市值83.14636亿, 利润1.31亿; PE54.16; 平均PE104.79; 平均PEG3.42, PB7.97; ROIC9.14%; ROE14.58%; 股利率.5543%; 毛利22.44%; 净利10.16%; 上一年度营收增0%, 利润增19.09%; 当季营收增-2.05%, 利润增81.22%; 过往5年营收增30.62%, 利润增33.29%
Income profile:
</v>
      </c>
      <c r="D28" t="s">
        <v>1249</v>
      </c>
      <c r="E28" t="s">
        <v>1250</v>
      </c>
      <c r="F28">
        <v>18.04</v>
      </c>
      <c r="G28">
        <v>1.69</v>
      </c>
      <c r="H28" t="s">
        <v>2632</v>
      </c>
      <c r="I28">
        <v>8314636000</v>
      </c>
      <c r="J28">
        <v>54.16</v>
      </c>
      <c r="K28">
        <v>7.97</v>
      </c>
      <c r="L28" t="s">
        <v>67</v>
      </c>
      <c r="M28" t="s">
        <v>1225</v>
      </c>
      <c r="N28" t="s">
        <v>2633</v>
      </c>
      <c r="O28" t="s">
        <v>932</v>
      </c>
      <c r="P28">
        <v>-1.99</v>
      </c>
      <c r="Q28" t="s">
        <v>1005</v>
      </c>
      <c r="R28">
        <v>49531549</v>
      </c>
      <c r="S28">
        <v>0.81220000000000003</v>
      </c>
      <c r="T28" t="s">
        <v>228</v>
      </c>
      <c r="U28">
        <v>46090000</v>
      </c>
      <c r="V28">
        <v>460900000</v>
      </c>
      <c r="W28">
        <v>1.41</v>
      </c>
      <c r="X28">
        <v>0.2</v>
      </c>
      <c r="Y28">
        <v>17.27</v>
      </c>
      <c r="Z28" t="s">
        <v>2117</v>
      </c>
      <c r="AA28" t="s">
        <v>1081</v>
      </c>
      <c r="AB28" t="s">
        <v>2634</v>
      </c>
      <c r="AC28" t="s">
        <v>2635</v>
      </c>
      <c r="AD28" t="s">
        <v>70</v>
      </c>
      <c r="AE28">
        <v>2749983</v>
      </c>
      <c r="AF28" t="s">
        <v>105</v>
      </c>
      <c r="AG28" t="s">
        <v>2636</v>
      </c>
      <c r="AH28" t="s">
        <v>1595</v>
      </c>
      <c r="AI28" t="s">
        <v>904</v>
      </c>
      <c r="AJ28" t="s">
        <v>1596</v>
      </c>
      <c r="AK28" t="s">
        <v>2637</v>
      </c>
      <c r="AL28" t="s">
        <v>1597</v>
      </c>
      <c r="AM28" t="s">
        <v>70</v>
      </c>
      <c r="AN28" t="s">
        <v>2638</v>
      </c>
      <c r="AO28" t="s">
        <v>2117</v>
      </c>
      <c r="AP28" t="s">
        <v>70</v>
      </c>
      <c r="AQ28" t="s">
        <v>2639</v>
      </c>
      <c r="AR28" t="s">
        <v>70</v>
      </c>
      <c r="AS28" t="s">
        <v>897</v>
      </c>
      <c r="AT28" t="s">
        <v>1598</v>
      </c>
      <c r="AU28" t="s">
        <v>2640</v>
      </c>
      <c r="AV28" t="s">
        <v>2641</v>
      </c>
      <c r="AW28" t="s">
        <v>2642</v>
      </c>
      <c r="AX28" t="s">
        <v>1005</v>
      </c>
      <c r="AY28" t="s">
        <v>690</v>
      </c>
      <c r="AZ28" t="s">
        <v>1097</v>
      </c>
      <c r="BA28" t="s">
        <v>1251</v>
      </c>
      <c r="BB28" t="s">
        <v>923</v>
      </c>
      <c r="BC28" t="s">
        <v>159</v>
      </c>
      <c r="BD28" t="s">
        <v>1252</v>
      </c>
      <c r="BE28" t="s">
        <v>1253</v>
      </c>
      <c r="BF28" t="s">
        <v>1254</v>
      </c>
      <c r="BG28" t="s">
        <v>1255</v>
      </c>
      <c r="BH28" t="s">
        <v>1005</v>
      </c>
      <c r="BI28" t="s">
        <v>295</v>
      </c>
      <c r="BJ28" t="s">
        <v>1005</v>
      </c>
      <c r="BK28" t="s">
        <v>228</v>
      </c>
      <c r="BL28" t="s">
        <v>1600</v>
      </c>
      <c r="BM28" t="s">
        <v>159</v>
      </c>
      <c r="BN28">
        <v>9.25</v>
      </c>
      <c r="BO28">
        <v>10.56</v>
      </c>
      <c r="BP28">
        <v>7.61</v>
      </c>
      <c r="BQ28">
        <v>12.88</v>
      </c>
      <c r="BR28">
        <v>16.28</v>
      </c>
      <c r="BS28" t="s">
        <v>70</v>
      </c>
      <c r="BT28" t="s">
        <v>930</v>
      </c>
      <c r="BU28" t="s">
        <v>884</v>
      </c>
      <c r="BV28">
        <v>26.08</v>
      </c>
      <c r="BW28">
        <v>20.78</v>
      </c>
      <c r="BX28">
        <v>20.46</v>
      </c>
      <c r="BY28">
        <v>12.12</v>
      </c>
      <c r="BZ28">
        <v>10.14</v>
      </c>
      <c r="CA28">
        <v>8.2200000000000006</v>
      </c>
      <c r="CB28">
        <v>-3.11</v>
      </c>
      <c r="CC28" s="8">
        <v>-19.79</v>
      </c>
      <c r="CD28" s="9" t="s">
        <v>2643</v>
      </c>
      <c r="CE28" s="8" t="s">
        <v>146</v>
      </c>
      <c r="CF28" s="8">
        <v>-2.0477815699658702E-2</v>
      </c>
      <c r="CG28" s="8">
        <v>0.81221824235328555</v>
      </c>
      <c r="CH28" s="8">
        <v>0</v>
      </c>
      <c r="CI28" s="8">
        <v>0.36962026357650757</v>
      </c>
      <c r="CJ28" s="9">
        <v>0.64926928281784058</v>
      </c>
      <c r="CK28" s="9">
        <v>0.17114914953708649</v>
      </c>
      <c r="CL28" s="9">
        <v>0.34098359942436218</v>
      </c>
      <c r="CM28" s="9">
        <v>0.19090908765792847</v>
      </c>
      <c r="CN28" s="9">
        <v>0.68762904405593872</v>
      </c>
      <c r="CO28">
        <v>-8.0339528620243073E-2</v>
      </c>
      <c r="CP28">
        <v>0.12732426822185516</v>
      </c>
      <c r="CQ28">
        <v>0.73890942335128784</v>
      </c>
      <c r="CR28" s="8">
        <v>104.78909876799678</v>
      </c>
      <c r="CS28" s="9">
        <v>3.4221937553053294</v>
      </c>
      <c r="CT28">
        <v>0.55432372505543237</v>
      </c>
      <c r="CU28">
        <v>0.30620445907115934</v>
      </c>
      <c r="CV28">
        <v>0.33288645893335345</v>
      </c>
      <c r="CW28">
        <v>0.06</v>
      </c>
      <c r="CX28">
        <v>47.86453683892659</v>
      </c>
      <c r="CY28">
        <v>161427154.84747344</v>
      </c>
      <c r="CZ28">
        <v>0.30620445907115934</v>
      </c>
      <c r="DA28">
        <v>13.08652815026538</v>
      </c>
      <c r="DB28">
        <v>590426728.25667</v>
      </c>
      <c r="DC28">
        <v>0.29089423611760135</v>
      </c>
      <c r="DD28">
        <v>4.9897711071258257</v>
      </c>
      <c r="DE28">
        <v>1548495078.05392</v>
      </c>
      <c r="DF28">
        <v>0.2694599239826202</v>
      </c>
      <c r="DG28">
        <v>2.1936462043284148</v>
      </c>
      <c r="DH28">
        <v>3522279930.4437108</v>
      </c>
      <c r="DI28">
        <v>0.24496356725692747</v>
      </c>
      <c r="DJ28">
        <v>0.52940628747748375</v>
      </c>
      <c r="DK28">
        <v>14594907885.994125</v>
      </c>
      <c r="DL28">
        <v>0.21434312134981154</v>
      </c>
      <c r="DM28">
        <v>131000000</v>
      </c>
      <c r="DN28">
        <v>0.30620445907115934</v>
      </c>
      <c r="DO28">
        <v>7726636000</v>
      </c>
      <c r="DP28">
        <v>897980</v>
      </c>
      <c r="DQ28" s="10">
        <v>510</v>
      </c>
      <c r="DR28">
        <v>-0.32668227477081802</v>
      </c>
      <c r="DS28">
        <v>0.4793317834199321</v>
      </c>
      <c r="DT28">
        <v>0.19333333333333327</v>
      </c>
      <c r="DU28">
        <v>0.88666666666666671</v>
      </c>
      <c r="DV28">
        <v>1.08</v>
      </c>
      <c r="DW28">
        <v>-8.1571500757958564</v>
      </c>
      <c r="DX28">
        <v>0.26994999999999864</v>
      </c>
      <c r="DY28">
        <v>-8.0109926478019204</v>
      </c>
      <c r="DZ28">
        <v>166</v>
      </c>
      <c r="EA28">
        <v>-8.0106355480885902</v>
      </c>
      <c r="EB28" s="11">
        <v>8</v>
      </c>
      <c r="EC28" s="11">
        <v>3.0050119331742245E-2</v>
      </c>
      <c r="ED28">
        <v>0.4295942720763723</v>
      </c>
      <c r="EE28">
        <v>52.072110000000002</v>
      </c>
      <c r="EF28">
        <v>52.10821</v>
      </c>
      <c r="EG28">
        <v>20.069949999999999</v>
      </c>
      <c r="EH28" s="13" t="s">
        <v>2644</v>
      </c>
      <c r="EI28">
        <v>0</v>
      </c>
      <c r="EJ28">
        <v>1</v>
      </c>
      <c r="EK28">
        <v>45470</v>
      </c>
      <c r="EL28">
        <v>-1.54</v>
      </c>
      <c r="EM28">
        <v>-0.7</v>
      </c>
      <c r="EN28" s="14">
        <v>0.33</v>
      </c>
      <c r="EO28" s="14">
        <v>2</v>
      </c>
      <c r="EP28" s="14">
        <v>-3.61</v>
      </c>
    </row>
    <row r="29" spans="1:146" ht="96" x14ac:dyDescent="0.25">
      <c r="A29" s="7"/>
      <c r="B29" s="7"/>
      <c r="C29" s="7" t="str">
        <f>""&amp;CHAR(10)&amp;Basic_Fundamental_Information_Constructure(F29)&amp;CHAR(10)&amp;Basic_Fundamental_Information_Concatenate("")</f>
        <v xml:space="preserve">
市值63.77766亿, 利润-5.54亿; PE; 平均PE-8.03; 平均PEG-.9, PB1.97; ROIC0%; ROE-32.7467%; 股利率0%; 毛利-6.3933%; 净利-14.1533%; 上一年度营收增-8.51%, 利润增74.12%; 当季营收增10.67%, 利润增101.46%; 过往5年营收增8.9%, 利润增14.46%
Income profile:
</v>
      </c>
      <c r="D29" t="s">
        <v>147</v>
      </c>
      <c r="E29" t="s">
        <v>47</v>
      </c>
      <c r="F29">
        <v>4.18</v>
      </c>
      <c r="G29">
        <v>0.72</v>
      </c>
      <c r="H29" t="s">
        <v>2645</v>
      </c>
      <c r="I29">
        <v>6377766000</v>
      </c>
      <c r="K29">
        <v>1.97</v>
      </c>
      <c r="L29" t="s">
        <v>67</v>
      </c>
      <c r="M29" t="s">
        <v>1602</v>
      </c>
      <c r="N29" t="s">
        <v>2646</v>
      </c>
      <c r="O29" t="s">
        <v>1603</v>
      </c>
      <c r="P29">
        <v>10.68</v>
      </c>
      <c r="Q29" t="s">
        <v>1604</v>
      </c>
      <c r="R29">
        <v>6128928</v>
      </c>
      <c r="S29" s="6">
        <v>1.0149999999999999</v>
      </c>
      <c r="T29" t="s">
        <v>1605</v>
      </c>
      <c r="U29">
        <v>1320781330</v>
      </c>
      <c r="V29">
        <v>1525781300</v>
      </c>
      <c r="W29">
        <v>8.89</v>
      </c>
      <c r="X29">
        <v>0.11</v>
      </c>
      <c r="Y29">
        <v>0.39</v>
      </c>
      <c r="Z29" t="s">
        <v>2647</v>
      </c>
      <c r="AA29" t="s">
        <v>2648</v>
      </c>
      <c r="AB29" t="s">
        <v>2649</v>
      </c>
      <c r="AC29" t="s">
        <v>2650</v>
      </c>
      <c r="AD29" t="s">
        <v>70</v>
      </c>
      <c r="AE29">
        <v>198361550</v>
      </c>
      <c r="AF29" t="s">
        <v>1607</v>
      </c>
      <c r="AG29" t="s">
        <v>2651</v>
      </c>
      <c r="AH29" t="s">
        <v>1608</v>
      </c>
      <c r="AI29" t="s">
        <v>2652</v>
      </c>
      <c r="AJ29" t="s">
        <v>1609</v>
      </c>
      <c r="AK29" t="s">
        <v>2653</v>
      </c>
      <c r="AL29" t="s">
        <v>1610</v>
      </c>
      <c r="AM29" t="s">
        <v>70</v>
      </c>
      <c r="AN29" t="s">
        <v>2654</v>
      </c>
      <c r="AO29" t="s">
        <v>2655</v>
      </c>
      <c r="AP29" t="s">
        <v>2656</v>
      </c>
      <c r="AQ29" t="s">
        <v>2426</v>
      </c>
      <c r="AR29" t="s">
        <v>2657</v>
      </c>
      <c r="AS29" t="s">
        <v>2658</v>
      </c>
      <c r="AT29" t="s">
        <v>2659</v>
      </c>
      <c r="AU29" t="s">
        <v>1143</v>
      </c>
      <c r="AV29" t="s">
        <v>2660</v>
      </c>
      <c r="AW29" t="s">
        <v>1168</v>
      </c>
      <c r="AX29" t="s">
        <v>1001</v>
      </c>
      <c r="AY29" t="s">
        <v>1073</v>
      </c>
      <c r="AZ29" t="s">
        <v>756</v>
      </c>
      <c r="BA29" t="s">
        <v>415</v>
      </c>
      <c r="BB29" t="s">
        <v>416</v>
      </c>
      <c r="BC29" t="s">
        <v>1611</v>
      </c>
      <c r="BD29" t="s">
        <v>1074</v>
      </c>
      <c r="BE29" t="s">
        <v>757</v>
      </c>
      <c r="BF29" t="s">
        <v>417</v>
      </c>
      <c r="BG29" t="s">
        <v>418</v>
      </c>
      <c r="BH29" t="s">
        <v>1604</v>
      </c>
      <c r="BI29" t="s">
        <v>1612</v>
      </c>
      <c r="BJ29" t="s">
        <v>1001</v>
      </c>
      <c r="BK29" t="s">
        <v>1605</v>
      </c>
      <c r="BL29" t="s">
        <v>1613</v>
      </c>
      <c r="BM29" t="s">
        <v>1611</v>
      </c>
      <c r="BN29" t="s">
        <v>70</v>
      </c>
      <c r="BO29" t="s">
        <v>70</v>
      </c>
      <c r="BP29" t="s">
        <v>70</v>
      </c>
      <c r="BQ29">
        <v>-16.64</v>
      </c>
      <c r="BR29">
        <v>-48.4</v>
      </c>
      <c r="BS29">
        <v>-33.200000000000003</v>
      </c>
      <c r="BT29" t="s">
        <v>929</v>
      </c>
      <c r="BU29" t="s">
        <v>881</v>
      </c>
      <c r="BV29">
        <v>2.67</v>
      </c>
      <c r="BW29">
        <v>-10.19</v>
      </c>
      <c r="BX29">
        <v>-11.66</v>
      </c>
      <c r="BY29">
        <v>-5.01</v>
      </c>
      <c r="BZ29">
        <v>-18.13</v>
      </c>
      <c r="CA29">
        <v>-19.32</v>
      </c>
      <c r="CB29">
        <v>-3.24</v>
      </c>
      <c r="CC29">
        <v>-3.46</v>
      </c>
      <c r="CD29" t="s">
        <v>2661</v>
      </c>
      <c r="CE29" t="s">
        <v>1262</v>
      </c>
      <c r="CF29" s="8">
        <v>0.10670535138620245</v>
      </c>
      <c r="CG29" s="9">
        <v>1.0146275131264917</v>
      </c>
      <c r="CH29" s="8">
        <v>-8.5051178932189941E-2</v>
      </c>
      <c r="CI29" s="8">
        <v>9.6893072128295898E-2</v>
      </c>
      <c r="CJ29" s="8">
        <v>0.16168889403343201</v>
      </c>
      <c r="CK29" s="8">
        <v>0.26979616284370422</v>
      </c>
      <c r="CL29" s="8">
        <v>1.6085365787148476E-3</v>
      </c>
      <c r="CM29" s="9">
        <v>0.74124240875244141</v>
      </c>
      <c r="CN29" s="9">
        <v>-7.0499971508979797E-2</v>
      </c>
      <c r="CO29" s="9">
        <v>-5.0899796485900879</v>
      </c>
      <c r="CP29" s="9">
        <v>3.9941222667694092</v>
      </c>
      <c r="CQ29" s="9">
        <v>1.1483563184738159</v>
      </c>
      <c r="CR29">
        <v>-8.0255693433646709</v>
      </c>
      <c r="CS29">
        <v>-0.90188011342445829</v>
      </c>
      <c r="CT29">
        <v>0</v>
      </c>
      <c r="CU29" s="8">
        <v>8.898709733039141E-2</v>
      </c>
      <c r="CV29" s="9">
        <v>0.14464827477931977</v>
      </c>
      <c r="CW29">
        <v>0.06</v>
      </c>
      <c r="CX29" t="e">
        <v>#VALUE!</v>
      </c>
      <c r="CY29" t="s">
        <v>810</v>
      </c>
      <c r="CZ29">
        <v>8.898709733039141E-2</v>
      </c>
      <c r="DA29" t="e">
        <v>#VALUE!</v>
      </c>
      <c r="DB29" t="s">
        <v>810</v>
      </c>
      <c r="DC29">
        <v>8.4537742463871829E-2</v>
      </c>
      <c r="DD29" t="e">
        <v>#VALUE!</v>
      </c>
      <c r="DE29" t="s">
        <v>810</v>
      </c>
      <c r="DF29">
        <v>7.8308645650744441E-2</v>
      </c>
      <c r="DG29" t="e">
        <v>#VALUE!</v>
      </c>
      <c r="DH29" t="s">
        <v>810</v>
      </c>
      <c r="DI29">
        <v>7.1189677864313128E-2</v>
      </c>
      <c r="DJ29" t="e">
        <v>#VALUE!</v>
      </c>
      <c r="DK29" t="s">
        <v>810</v>
      </c>
      <c r="DL29">
        <v>6.229096813127398E-2</v>
      </c>
      <c r="DM29">
        <v>-554000000</v>
      </c>
      <c r="DN29">
        <v>8.898709733039141E-2</v>
      </c>
      <c r="DO29">
        <v>30857766000</v>
      </c>
      <c r="DP29">
        <v>-6629475400.0000019</v>
      </c>
      <c r="DQ29">
        <v>518</v>
      </c>
      <c r="DR29">
        <v>1.7718254055811039E-2</v>
      </c>
      <c r="DS29">
        <v>0.86997923834717195</v>
      </c>
      <c r="DT29" s="10">
        <v>-0.19000000000000003</v>
      </c>
      <c r="DU29">
        <v>-0.21166666666666681</v>
      </c>
      <c r="DV29">
        <v>-0.40166666666666684</v>
      </c>
      <c r="DW29">
        <v>-8.9364161849710975</v>
      </c>
      <c r="DX29">
        <v>0.21363976644062099</v>
      </c>
      <c r="DY29">
        <v>-8.0783216310022006</v>
      </c>
      <c r="DZ29">
        <v>2681</v>
      </c>
      <c r="EA29">
        <v>-8.0372295972024155</v>
      </c>
      <c r="EB29">
        <v>8</v>
      </c>
      <c r="EC29">
        <v>6.1340966755851586E-2</v>
      </c>
      <c r="ED29">
        <v>0.73339475323232761</v>
      </c>
      <c r="EE29" s="11">
        <v>-3.01301</v>
      </c>
      <c r="EF29">
        <v>-3.0083099999999998</v>
      </c>
      <c r="EG29">
        <v>13.083639766440621</v>
      </c>
      <c r="EH29" t="s">
        <v>1233</v>
      </c>
      <c r="EI29">
        <v>0</v>
      </c>
      <c r="EJ29">
        <v>0</v>
      </c>
      <c r="EK29" s="13">
        <v>45470</v>
      </c>
      <c r="EL29" s="14">
        <v>-0.23</v>
      </c>
      <c r="EM29" s="14">
        <v>-3.03</v>
      </c>
      <c r="EN29" s="14">
        <v>0</v>
      </c>
      <c r="EO29" s="14">
        <v>1.44</v>
      </c>
      <c r="EP29" s="14">
        <v>0.47</v>
      </c>
    </row>
    <row r="30" spans="1:146" ht="96" x14ac:dyDescent="0.25">
      <c r="A30" s="7"/>
      <c r="B30" s="7"/>
      <c r="C30" s="7" t="str">
        <f>""&amp;CHAR(10)&amp;Basic_Fundamental_Information_Constructure(F30)&amp;CHAR(10)&amp;Basic_Fundamental_Information_Concatenate("")</f>
        <v xml:space="preserve">
市值122.236343亿, 利润9.09亿; PE15.55; 平均PE16.99; 平均PEG3.17, PB1.05; ROIC6.7633%; ROE10.8033%; 股利率1.7264%; 毛利19.9167%; 净利8.9567%; 上一年度营收增-7.37%, 利润增32.89%; 当季营收增-11.09%, 利润增-39.65%; 过往5年营收增5.36%, 利润增27.79%
Income profile:
</v>
      </c>
      <c r="D30" t="s">
        <v>150</v>
      </c>
      <c r="E30" t="s">
        <v>151</v>
      </c>
      <c r="F30">
        <v>7.53</v>
      </c>
      <c r="G30">
        <v>-1.95</v>
      </c>
      <c r="H30" t="s">
        <v>2662</v>
      </c>
      <c r="I30">
        <v>12223634300</v>
      </c>
      <c r="J30">
        <v>15.55</v>
      </c>
      <c r="K30">
        <v>1.05</v>
      </c>
      <c r="L30" t="s">
        <v>67</v>
      </c>
      <c r="M30" t="s">
        <v>1614</v>
      </c>
      <c r="N30" t="s">
        <v>2663</v>
      </c>
      <c r="O30" t="s">
        <v>1615</v>
      </c>
      <c r="P30">
        <v>-11.09</v>
      </c>
      <c r="Q30" t="s">
        <v>1616</v>
      </c>
      <c r="R30">
        <v>187673740</v>
      </c>
      <c r="S30" s="5">
        <v>-0.39579999999999999</v>
      </c>
      <c r="T30" t="s">
        <v>1617</v>
      </c>
      <c r="U30">
        <v>1623324600</v>
      </c>
      <c r="V30">
        <v>1623324600</v>
      </c>
      <c r="W30">
        <v>2.72</v>
      </c>
      <c r="X30">
        <v>7.0000000000000007E-2</v>
      </c>
      <c r="Y30">
        <v>8.6300000000000008</v>
      </c>
      <c r="Z30" t="s">
        <v>2664</v>
      </c>
      <c r="AA30" t="s">
        <v>2665</v>
      </c>
      <c r="AB30" t="s">
        <v>2666</v>
      </c>
      <c r="AC30" t="s">
        <v>355</v>
      </c>
      <c r="AD30" t="s">
        <v>70</v>
      </c>
      <c r="AE30">
        <v>179436530</v>
      </c>
      <c r="AF30" t="s">
        <v>1618</v>
      </c>
      <c r="AG30" t="s">
        <v>2667</v>
      </c>
      <c r="AH30" t="s">
        <v>1619</v>
      </c>
      <c r="AI30" t="s">
        <v>2668</v>
      </c>
      <c r="AJ30" t="s">
        <v>1620</v>
      </c>
      <c r="AK30" t="s">
        <v>2669</v>
      </c>
      <c r="AL30" t="s">
        <v>1621</v>
      </c>
      <c r="AM30" t="s">
        <v>70</v>
      </c>
      <c r="AN30" t="s">
        <v>2670</v>
      </c>
      <c r="AO30" t="s">
        <v>2671</v>
      </c>
      <c r="AP30" t="s">
        <v>79</v>
      </c>
      <c r="AQ30" t="s">
        <v>2672</v>
      </c>
      <c r="AR30" t="s">
        <v>70</v>
      </c>
      <c r="AS30" t="s">
        <v>2673</v>
      </c>
      <c r="AT30" t="s">
        <v>2674</v>
      </c>
      <c r="AU30" t="s">
        <v>688</v>
      </c>
      <c r="AV30" t="s">
        <v>2675</v>
      </c>
      <c r="AW30" t="s">
        <v>2676</v>
      </c>
      <c r="AX30" t="s">
        <v>1623</v>
      </c>
      <c r="AY30" t="s">
        <v>1075</v>
      </c>
      <c r="AZ30" t="s">
        <v>758</v>
      </c>
      <c r="BA30" t="s">
        <v>420</v>
      </c>
      <c r="BB30" t="s">
        <v>421</v>
      </c>
      <c r="BC30" t="s">
        <v>1216</v>
      </c>
      <c r="BD30" t="s">
        <v>1076</v>
      </c>
      <c r="BE30" t="s">
        <v>708</v>
      </c>
      <c r="BF30" t="s">
        <v>152</v>
      </c>
      <c r="BG30" t="s">
        <v>285</v>
      </c>
      <c r="BH30" t="s">
        <v>1616</v>
      </c>
      <c r="BI30" t="s">
        <v>1624</v>
      </c>
      <c r="BJ30" t="s">
        <v>1623</v>
      </c>
      <c r="BK30" t="s">
        <v>1617</v>
      </c>
      <c r="BL30" t="s">
        <v>376</v>
      </c>
      <c r="BM30" t="s">
        <v>1216</v>
      </c>
      <c r="BN30">
        <v>5.32</v>
      </c>
      <c r="BO30">
        <v>6.1</v>
      </c>
      <c r="BP30">
        <v>8.8699999999999992</v>
      </c>
      <c r="BQ30">
        <v>8.75</v>
      </c>
      <c r="BR30">
        <v>7.39</v>
      </c>
      <c r="BS30">
        <v>16.27</v>
      </c>
      <c r="BT30" t="s">
        <v>1625</v>
      </c>
      <c r="BU30" t="s">
        <v>884</v>
      </c>
      <c r="BV30">
        <v>21.75</v>
      </c>
      <c r="BW30">
        <v>15.15</v>
      </c>
      <c r="BX30">
        <v>22.85</v>
      </c>
      <c r="BY30">
        <v>9.49</v>
      </c>
      <c r="BZ30">
        <v>6.14</v>
      </c>
      <c r="CA30">
        <v>11.24</v>
      </c>
      <c r="CB30">
        <v>-5.4</v>
      </c>
      <c r="CC30">
        <v>-18.510000000000002</v>
      </c>
      <c r="CD30" t="s">
        <v>2677</v>
      </c>
      <c r="CE30" t="s">
        <v>1271</v>
      </c>
      <c r="CF30" s="8">
        <v>-0.11086556169429097</v>
      </c>
      <c r="CG30" s="9">
        <v>-0.39654745980707395</v>
      </c>
      <c r="CH30" s="8">
        <v>-7.3691904544830322E-2</v>
      </c>
      <c r="CI30" s="8">
        <v>-3.3280361443758011E-2</v>
      </c>
      <c r="CJ30" s="8">
        <v>-5.8797998353838921E-3</v>
      </c>
      <c r="CK30" s="8">
        <v>4.5508760958909988E-2</v>
      </c>
      <c r="CL30" s="8">
        <v>0.33517095446586609</v>
      </c>
      <c r="CM30" s="9">
        <v>0.32894736528396606</v>
      </c>
      <c r="CN30" s="9">
        <v>-0.32477790117263794</v>
      </c>
      <c r="CO30" s="9">
        <v>0.22936892509460449</v>
      </c>
      <c r="CP30" s="9">
        <v>0.48736461997032166</v>
      </c>
      <c r="CQ30" s="9">
        <v>0.66867470741271973</v>
      </c>
      <c r="CR30">
        <v>16.993004124189063</v>
      </c>
      <c r="CS30">
        <v>3.1723767410715578</v>
      </c>
      <c r="CT30">
        <v>1.7264276228419655</v>
      </c>
      <c r="CU30" s="8">
        <v>5.3565529920160768E-2</v>
      </c>
      <c r="CV30" s="9">
        <v>0.27791554331779478</v>
      </c>
      <c r="CW30">
        <v>0.06</v>
      </c>
      <c r="CX30">
        <v>21.202006642936741</v>
      </c>
      <c r="CY30">
        <v>903482138.39379811</v>
      </c>
      <c r="CZ30">
        <v>5.3565529920160768E-2</v>
      </c>
      <c r="DA30">
        <v>7.1466101098311645</v>
      </c>
      <c r="DB30">
        <v>2680380488.8766408</v>
      </c>
      <c r="DC30">
        <v>5.0887253424152727E-2</v>
      </c>
      <c r="DD30">
        <v>3.6647495626367101</v>
      </c>
      <c r="DE30">
        <v>5226996817.2717171</v>
      </c>
      <c r="DF30">
        <v>4.7137666329741479E-2</v>
      </c>
      <c r="DG30">
        <v>2.3025697983037898</v>
      </c>
      <c r="DH30">
        <v>8319241533.5731325</v>
      </c>
      <c r="DI30">
        <v>4.285242393612862E-2</v>
      </c>
      <c r="DJ30">
        <v>1.3098984183619946</v>
      </c>
      <c r="DK30">
        <v>14623755576.370411</v>
      </c>
      <c r="DL30">
        <v>3.7495870944112532E-2</v>
      </c>
      <c r="DM30">
        <v>909000000</v>
      </c>
      <c r="DN30">
        <v>5.3565529920160768E-2</v>
      </c>
      <c r="DO30">
        <v>19155634300</v>
      </c>
      <c r="DP30">
        <v>772571400</v>
      </c>
      <c r="DQ30">
        <v>534</v>
      </c>
      <c r="DR30">
        <v>-0.16443109161445174</v>
      </c>
      <c r="DS30">
        <v>-0.67446300312486873</v>
      </c>
      <c r="DT30" s="10">
        <v>-0.34</v>
      </c>
      <c r="DU30">
        <v>0.2466666666666667</v>
      </c>
      <c r="DV30">
        <v>-9.3333333333333324E-2</v>
      </c>
      <c r="DW30">
        <v>-8.2917341977309569</v>
      </c>
      <c r="DX30">
        <v>0.49783427672955638</v>
      </c>
      <c r="DY30">
        <v>-8.0402109721415247</v>
      </c>
      <c r="DZ30">
        <v>1928</v>
      </c>
      <c r="EA30">
        <v>-8.0250393959597517</v>
      </c>
      <c r="EB30">
        <v>8</v>
      </c>
      <c r="EC30">
        <v>2.7000946083118559E-2</v>
      </c>
      <c r="ED30">
        <v>0.1958942777063811</v>
      </c>
      <c r="EE30" s="11">
        <v>-2.03681</v>
      </c>
      <c r="EF30">
        <v>-2.0640100000000001</v>
      </c>
      <c r="EG30">
        <v>36.137834276729556</v>
      </c>
      <c r="EH30" t="s">
        <v>1226</v>
      </c>
      <c r="EI30">
        <v>0</v>
      </c>
      <c r="EJ30">
        <v>0</v>
      </c>
      <c r="EK30" s="13">
        <v>45470</v>
      </c>
      <c r="EL30" s="14">
        <v>-0.72</v>
      </c>
      <c r="EM30" s="14">
        <v>-4.1100000000000003</v>
      </c>
      <c r="EN30" s="14">
        <v>-1.76</v>
      </c>
      <c r="EO30" s="14">
        <v>3.59</v>
      </c>
      <c r="EP30" s="14">
        <v>-2.72</v>
      </c>
    </row>
    <row r="31" spans="1:146" ht="96" x14ac:dyDescent="0.25">
      <c r="A31" s="7"/>
      <c r="B31" s="7"/>
      <c r="C31" s="7" t="str">
        <f>""&amp;CHAR(10)&amp;Basic_Fundamental_Information_Constructure(F31)&amp;CHAR(10)&amp;Basic_Fundamental_Information_Concatenate("")</f>
        <v xml:space="preserve">
市值76.746684亿, 利润2.65亿; PE26.3; 平均PE22.66; 平均PEG17.09, PB2; ROIC5.4467%; ROE8.8467%; 股利率1.0585%; 毛利53.7533%; 净利24.26%; 上一年度营收增-23.84%, 利润增-35.99%; 当季营收增18.64%, 利润增960.08%; 过往5年营收增-1.33%, 利润增3.48%
Income profile:
</v>
      </c>
      <c r="D31" t="s">
        <v>153</v>
      </c>
      <c r="E31" t="s">
        <v>45</v>
      </c>
      <c r="F31">
        <v>17.95</v>
      </c>
      <c r="G31">
        <v>-0.55000000000000004</v>
      </c>
      <c r="H31" t="s">
        <v>2678</v>
      </c>
      <c r="I31">
        <v>7674668400</v>
      </c>
      <c r="J31">
        <v>26.3</v>
      </c>
      <c r="K31">
        <v>2</v>
      </c>
      <c r="L31" t="s">
        <v>67</v>
      </c>
      <c r="M31" t="s">
        <v>1626</v>
      </c>
      <c r="N31" t="s">
        <v>2679</v>
      </c>
      <c r="O31" t="s">
        <v>286</v>
      </c>
      <c r="P31">
        <v>18.77</v>
      </c>
      <c r="Q31" t="s">
        <v>1628</v>
      </c>
      <c r="R31">
        <v>133450950</v>
      </c>
      <c r="S31" s="5">
        <v>1.7450000000000001</v>
      </c>
      <c r="T31" t="s">
        <v>1629</v>
      </c>
      <c r="U31">
        <v>427558130</v>
      </c>
      <c r="V31">
        <v>427558130</v>
      </c>
      <c r="W31">
        <v>2.4</v>
      </c>
      <c r="X31">
        <v>0.02</v>
      </c>
      <c r="Y31">
        <v>4.87</v>
      </c>
      <c r="Z31" t="s">
        <v>1443</v>
      </c>
      <c r="AA31" t="s">
        <v>134</v>
      </c>
      <c r="AB31" t="s">
        <v>70</v>
      </c>
      <c r="AC31" t="s">
        <v>2680</v>
      </c>
      <c r="AD31" t="s">
        <v>70</v>
      </c>
      <c r="AE31">
        <v>65997875</v>
      </c>
      <c r="AF31" t="s">
        <v>1630</v>
      </c>
      <c r="AG31" t="s">
        <v>2681</v>
      </c>
      <c r="AH31" t="s">
        <v>1631</v>
      </c>
      <c r="AI31" t="s">
        <v>1434</v>
      </c>
      <c r="AJ31" t="s">
        <v>1632</v>
      </c>
      <c r="AK31" t="s">
        <v>70</v>
      </c>
      <c r="AL31" t="s">
        <v>1633</v>
      </c>
      <c r="AM31" t="s">
        <v>70</v>
      </c>
      <c r="AN31" t="s">
        <v>1261</v>
      </c>
      <c r="AO31" t="s">
        <v>886</v>
      </c>
      <c r="AP31" t="s">
        <v>70</v>
      </c>
      <c r="AQ31" t="s">
        <v>2682</v>
      </c>
      <c r="AR31" t="s">
        <v>70</v>
      </c>
      <c r="AS31" t="s">
        <v>2683</v>
      </c>
      <c r="AT31" t="s">
        <v>2684</v>
      </c>
      <c r="AU31" t="s">
        <v>1876</v>
      </c>
      <c r="AV31" t="s">
        <v>2685</v>
      </c>
      <c r="AW31" t="s">
        <v>2686</v>
      </c>
      <c r="AX31" t="s">
        <v>1078</v>
      </c>
      <c r="AY31" t="s">
        <v>1079</v>
      </c>
      <c r="AZ31" t="s">
        <v>423</v>
      </c>
      <c r="BA31" t="s">
        <v>154</v>
      </c>
      <c r="BB31" t="s">
        <v>425</v>
      </c>
      <c r="BC31" t="s">
        <v>345</v>
      </c>
      <c r="BD31" t="s">
        <v>1080</v>
      </c>
      <c r="BE31" t="s">
        <v>424</v>
      </c>
      <c r="BF31" t="s">
        <v>155</v>
      </c>
      <c r="BG31" t="s">
        <v>84</v>
      </c>
      <c r="BH31" t="s">
        <v>1628</v>
      </c>
      <c r="BI31" t="s">
        <v>218</v>
      </c>
      <c r="BJ31" t="s">
        <v>1078</v>
      </c>
      <c r="BK31" t="s">
        <v>1629</v>
      </c>
      <c r="BL31" t="s">
        <v>1636</v>
      </c>
      <c r="BM31" t="s">
        <v>345</v>
      </c>
      <c r="BN31">
        <v>4.33</v>
      </c>
      <c r="BO31">
        <v>7.07</v>
      </c>
      <c r="BP31">
        <v>4.9400000000000004</v>
      </c>
      <c r="BQ31">
        <v>7.38</v>
      </c>
      <c r="BR31">
        <v>11.88</v>
      </c>
      <c r="BS31">
        <v>7.28</v>
      </c>
      <c r="BT31" t="s">
        <v>1637</v>
      </c>
      <c r="BU31" t="s">
        <v>883</v>
      </c>
      <c r="BV31">
        <v>51.6</v>
      </c>
      <c r="BW31">
        <v>55.93</v>
      </c>
      <c r="BX31">
        <v>53.73</v>
      </c>
      <c r="BY31">
        <v>22.6</v>
      </c>
      <c r="BZ31">
        <v>29.28</v>
      </c>
      <c r="CA31">
        <v>20.9</v>
      </c>
      <c r="CB31">
        <v>1.99</v>
      </c>
      <c r="CC31">
        <v>7.49</v>
      </c>
      <c r="CD31" t="s">
        <v>2687</v>
      </c>
      <c r="CE31" t="s">
        <v>1308</v>
      </c>
      <c r="CF31" s="8">
        <v>0.1863636363636362</v>
      </c>
      <c r="CG31" s="9">
        <v>9.6008049703211515</v>
      </c>
      <c r="CH31" s="8">
        <v>-0.23842324316501617</v>
      </c>
      <c r="CI31" s="8">
        <v>0.26110035181045532</v>
      </c>
      <c r="CJ31" s="8">
        <v>-0.21840816736221313</v>
      </c>
      <c r="CK31" s="8">
        <v>0.21941117942333221</v>
      </c>
      <c r="CL31" s="8">
        <v>-8.9995734393596649E-2</v>
      </c>
      <c r="CM31" s="9">
        <v>-0.35990339517593384</v>
      </c>
      <c r="CN31" s="9">
        <v>0.64940237998962402</v>
      </c>
      <c r="CO31" s="9">
        <v>-0.43468469381332397</v>
      </c>
      <c r="CP31" s="9">
        <v>0.53103446960449219</v>
      </c>
      <c r="CQ31" s="9">
        <v>-0.21195651590824127</v>
      </c>
      <c r="CR31">
        <v>22.661422440944879</v>
      </c>
      <c r="CS31">
        <v>17.086038401069732</v>
      </c>
      <c r="CT31">
        <v>1.0584958217270195</v>
      </c>
      <c r="CU31" s="8">
        <v>-1.3263122737407684E-2</v>
      </c>
      <c r="CV31" s="9">
        <v>3.4778448939323428E-2</v>
      </c>
      <c r="CW31">
        <v>0.06</v>
      </c>
      <c r="CX31">
        <v>39.217616603773585</v>
      </c>
      <c r="CY31" t="s">
        <v>1638</v>
      </c>
      <c r="CZ31">
        <v>-1.3263122737407684E-2</v>
      </c>
      <c r="DA31">
        <v>13.072538867924528</v>
      </c>
      <c r="DB31" t="s">
        <v>1639</v>
      </c>
      <c r="DC31">
        <v>-1.2599966600537299E-2</v>
      </c>
      <c r="DD31">
        <v>6.5362694339622642</v>
      </c>
      <c r="DE31" t="s">
        <v>1640</v>
      </c>
      <c r="DF31">
        <v>-1.1671548008918762E-2</v>
      </c>
      <c r="DG31">
        <v>3.9217616603773586</v>
      </c>
      <c r="DH31" t="s">
        <v>1641</v>
      </c>
      <c r="DI31">
        <v>-1.0610498189926147E-2</v>
      </c>
      <c r="DJ31">
        <v>1.9608808301886793</v>
      </c>
      <c r="DK31" t="s">
        <v>1642</v>
      </c>
      <c r="DL31">
        <v>-9.2841859161853779E-3</v>
      </c>
      <c r="DM31">
        <v>265000000</v>
      </c>
      <c r="DN31">
        <v>-1.3263122737407684E-2</v>
      </c>
      <c r="DO31">
        <v>10392668400</v>
      </c>
      <c r="DP31">
        <v>-2554610240</v>
      </c>
      <c r="DQ31">
        <v>557</v>
      </c>
      <c r="DR31">
        <v>0.19962675910104388</v>
      </c>
      <c r="DS31">
        <v>9.5660265213818274</v>
      </c>
      <c r="DT31" s="10">
        <v>-0.47333333333333338</v>
      </c>
      <c r="DU31">
        <v>1.666666666666668E-2</v>
      </c>
      <c r="DV31">
        <v>-0.45666666666666672</v>
      </c>
      <c r="DW31">
        <v>2.0749</v>
      </c>
      <c r="DX31">
        <v>0.32716611111111071</v>
      </c>
      <c r="DY31">
        <v>2.0147677417222223</v>
      </c>
      <c r="DZ31">
        <v>2806</v>
      </c>
      <c r="EA31">
        <v>2.0066584886356162</v>
      </c>
      <c r="EB31">
        <v>2</v>
      </c>
      <c r="EC31">
        <v>8.3006023064045115E-2</v>
      </c>
      <c r="ED31">
        <v>0.42099538605428927</v>
      </c>
      <c r="EE31" s="11">
        <v>1.02261</v>
      </c>
      <c r="EF31">
        <v>1.0117099999999999</v>
      </c>
      <c r="EG31">
        <v>13.197166111111111</v>
      </c>
      <c r="EH31" t="s">
        <v>940</v>
      </c>
      <c r="EI31">
        <v>1</v>
      </c>
      <c r="EJ31">
        <v>0</v>
      </c>
      <c r="EK31" s="13">
        <v>45470</v>
      </c>
      <c r="EL31" s="14">
        <v>2.58</v>
      </c>
      <c r="EM31" s="14">
        <v>-0.4</v>
      </c>
      <c r="EN31" s="14">
        <v>-1.1499999999999999</v>
      </c>
      <c r="EO31" s="14">
        <v>0.75</v>
      </c>
      <c r="EP31" s="14">
        <v>1.0900000000000001</v>
      </c>
    </row>
    <row r="32" spans="1:146" ht="96" x14ac:dyDescent="0.25">
      <c r="A32" s="7"/>
      <c r="B32" s="7"/>
      <c r="C32" s="7" t="str">
        <f>""&amp;CHAR(10)&amp;Basic_Fundamental_Information_Constructure(F32)&amp;CHAR(10)&amp;Basic_Fundamental_Information_Concatenate("")</f>
        <v xml:space="preserve">
市值27.758839亿, 利润-8482.43万; PE; 平均PE-15.66; 平均PEG-1.51, PB2.17; ROIC0%; ROE-16.8533%; 股利率0%; 毛利29.2933%; 净利-60.8867%; 上一年度营收增9.97%, 利润增-274.08%; 当季营收增1.32%, 利润增102.39%; 过往5年营收增-10.39%, 利润增-220.26%
Income profile:
</v>
      </c>
      <c r="D32" t="s">
        <v>157</v>
      </c>
      <c r="E32" t="s">
        <v>656</v>
      </c>
      <c r="F32">
        <v>1.42</v>
      </c>
      <c r="G32">
        <v>0.71</v>
      </c>
      <c r="H32" t="s">
        <v>2688</v>
      </c>
      <c r="I32">
        <v>2775883900</v>
      </c>
      <c r="K32">
        <v>2.17</v>
      </c>
      <c r="L32" t="s">
        <v>67</v>
      </c>
      <c r="M32" t="s">
        <v>409</v>
      </c>
      <c r="N32" t="s">
        <v>2689</v>
      </c>
      <c r="O32" t="s">
        <v>1643</v>
      </c>
      <c r="P32">
        <v>1.32</v>
      </c>
      <c r="Q32" t="s">
        <v>652</v>
      </c>
      <c r="R32">
        <v>1547343</v>
      </c>
      <c r="S32" s="5">
        <v>1.024</v>
      </c>
      <c r="T32" t="s">
        <v>1644</v>
      </c>
      <c r="U32">
        <v>1439624500</v>
      </c>
      <c r="V32">
        <v>1954847800</v>
      </c>
      <c r="W32">
        <v>1.29</v>
      </c>
      <c r="X32">
        <v>0.04</v>
      </c>
      <c r="Y32">
        <v>3.64</v>
      </c>
      <c r="Z32" t="s">
        <v>2690</v>
      </c>
      <c r="AA32" t="s">
        <v>2691</v>
      </c>
      <c r="AB32" t="s">
        <v>2692</v>
      </c>
      <c r="AC32" t="s">
        <v>2693</v>
      </c>
      <c r="AD32" t="s">
        <v>70</v>
      </c>
      <c r="AE32">
        <v>3527262</v>
      </c>
      <c r="AF32" t="s">
        <v>1646</v>
      </c>
      <c r="AG32" t="s">
        <v>2694</v>
      </c>
      <c r="AH32" t="s">
        <v>1647</v>
      </c>
      <c r="AI32" t="s">
        <v>2695</v>
      </c>
      <c r="AJ32" t="s">
        <v>1648</v>
      </c>
      <c r="AK32" t="s">
        <v>2696</v>
      </c>
      <c r="AL32" t="s">
        <v>1649</v>
      </c>
      <c r="AM32" t="s">
        <v>70</v>
      </c>
      <c r="AN32" t="s">
        <v>2697</v>
      </c>
      <c r="AO32" t="s">
        <v>70</v>
      </c>
      <c r="AP32" t="s">
        <v>70</v>
      </c>
      <c r="AQ32" t="s">
        <v>2698</v>
      </c>
      <c r="AR32" t="s">
        <v>70</v>
      </c>
      <c r="AS32" t="s">
        <v>2699</v>
      </c>
      <c r="AT32" t="s">
        <v>70</v>
      </c>
      <c r="AU32" t="s">
        <v>2700</v>
      </c>
      <c r="AV32" t="s">
        <v>2701</v>
      </c>
      <c r="AW32" t="s">
        <v>2702</v>
      </c>
      <c r="AX32" t="s">
        <v>340</v>
      </c>
      <c r="AY32" t="s">
        <v>476</v>
      </c>
      <c r="AZ32" t="s">
        <v>345</v>
      </c>
      <c r="BA32" t="s">
        <v>158</v>
      </c>
      <c r="BB32" t="s">
        <v>430</v>
      </c>
      <c r="BC32" t="s">
        <v>1083</v>
      </c>
      <c r="BD32" t="s">
        <v>759</v>
      </c>
      <c r="BE32" t="s">
        <v>429</v>
      </c>
      <c r="BF32" t="s">
        <v>431</v>
      </c>
      <c r="BG32" t="s">
        <v>707</v>
      </c>
      <c r="BH32" t="s">
        <v>652</v>
      </c>
      <c r="BI32" t="s">
        <v>1650</v>
      </c>
      <c r="BJ32" t="s">
        <v>340</v>
      </c>
      <c r="BK32" t="s">
        <v>1644</v>
      </c>
      <c r="BL32" t="s">
        <v>1651</v>
      </c>
      <c r="BM32" t="s">
        <v>1083</v>
      </c>
      <c r="BN32" t="s">
        <v>70</v>
      </c>
      <c r="BO32" t="s">
        <v>70</v>
      </c>
      <c r="BP32" t="s">
        <v>70</v>
      </c>
      <c r="BQ32">
        <v>-13.77</v>
      </c>
      <c r="BR32">
        <v>-1.88</v>
      </c>
      <c r="BS32">
        <v>-34.909999999999997</v>
      </c>
      <c r="BT32" t="s">
        <v>929</v>
      </c>
      <c r="BU32" t="s">
        <v>882</v>
      </c>
      <c r="BV32">
        <v>30.44</v>
      </c>
      <c r="BW32">
        <v>27.67</v>
      </c>
      <c r="BX32">
        <v>29.77</v>
      </c>
      <c r="BY32">
        <v>-26.37</v>
      </c>
      <c r="BZ32">
        <v>-9.1300000000000008</v>
      </c>
      <c r="CA32">
        <v>-147.16</v>
      </c>
      <c r="CB32">
        <v>6.77</v>
      </c>
      <c r="CC32">
        <v>-24.06</v>
      </c>
      <c r="CD32" t="s">
        <v>207</v>
      </c>
      <c r="CE32" t="s">
        <v>2205</v>
      </c>
      <c r="CF32" s="8">
        <v>1.3186282305566474E-2</v>
      </c>
      <c r="CG32" s="9">
        <v>1.0239282312188784</v>
      </c>
      <c r="CH32" s="8">
        <v>9.9667772650718689E-2</v>
      </c>
      <c r="CI32" s="8">
        <v>-0.1147058829665184</v>
      </c>
      <c r="CJ32" s="8">
        <v>-0.17874395847320557</v>
      </c>
      <c r="CK32" s="8">
        <v>-3.9443153887987137E-2</v>
      </c>
      <c r="CL32" s="8">
        <v>-0.28642383217811584</v>
      </c>
      <c r="CM32" s="9">
        <v>-2.7408239841461182</v>
      </c>
      <c r="CN32" s="9">
        <v>0.95437568426132202</v>
      </c>
      <c r="CO32" s="9">
        <v>-9.9316673278808594</v>
      </c>
      <c r="CP32" s="9">
        <v>1.1812530755996704</v>
      </c>
      <c r="CQ32" s="9">
        <v>-0.47596153616905212</v>
      </c>
      <c r="CR32">
        <v>-15.655615629537449</v>
      </c>
      <c r="CS32">
        <v>-1.506364293677263</v>
      </c>
      <c r="CT32">
        <v>0</v>
      </c>
      <c r="CU32" s="8">
        <v>-0.10392981097102165</v>
      </c>
      <c r="CV32" s="9">
        <v>-2.2025648176670076</v>
      </c>
      <c r="CW32">
        <v>0.06</v>
      </c>
      <c r="CX32" t="e">
        <v>#VALUE!</v>
      </c>
      <c r="CY32" t="s">
        <v>810</v>
      </c>
      <c r="CZ32">
        <v>-0.10392981097102165</v>
      </c>
      <c r="DA32" t="e">
        <v>#VALUE!</v>
      </c>
      <c r="DB32" t="s">
        <v>810</v>
      </c>
      <c r="DC32">
        <v>-9.8733320422470558E-2</v>
      </c>
      <c r="DD32" t="e">
        <v>#VALUE!</v>
      </c>
      <c r="DE32" t="s">
        <v>810</v>
      </c>
      <c r="DF32">
        <v>-9.1458233654499052E-2</v>
      </c>
      <c r="DG32" t="e">
        <v>#VALUE!</v>
      </c>
      <c r="DH32" t="s">
        <v>810</v>
      </c>
      <c r="DI32">
        <v>-8.3143848776817325E-2</v>
      </c>
      <c r="DJ32" t="e">
        <v>#VALUE!</v>
      </c>
      <c r="DK32" t="s">
        <v>810</v>
      </c>
      <c r="DL32">
        <v>-7.2750867679715156E-2</v>
      </c>
      <c r="DM32">
        <v>-84824300</v>
      </c>
      <c r="DN32">
        <v>-0.10392981097102165</v>
      </c>
      <c r="DO32">
        <v>1746883900</v>
      </c>
      <c r="DP32">
        <v>428918000</v>
      </c>
      <c r="DQ32">
        <v>765</v>
      </c>
      <c r="DR32">
        <v>0.11711609327658812</v>
      </c>
      <c r="DS32">
        <v>3.2264930488858861</v>
      </c>
      <c r="DT32" s="10">
        <v>-0.67333333333333334</v>
      </c>
      <c r="DU32">
        <v>-1.3933333333333333</v>
      </c>
      <c r="DV32">
        <v>-2.0666666666666664</v>
      </c>
      <c r="DW32">
        <v>7.2195913071683426</v>
      </c>
      <c r="DX32">
        <v>0.32965352449223306</v>
      </c>
      <c r="DY32">
        <v>7.037254439208966</v>
      </c>
      <c r="DZ32">
        <v>4431</v>
      </c>
      <c r="EA32">
        <v>7.0049502474017391</v>
      </c>
      <c r="EB32">
        <v>7</v>
      </c>
      <c r="EC32">
        <v>7.263992623875884E-2</v>
      </c>
      <c r="ED32">
        <v>0.42816632578761371</v>
      </c>
      <c r="EE32" s="11">
        <v>-5.01471</v>
      </c>
      <c r="EF32">
        <v>-5.0366099999999996</v>
      </c>
      <c r="EG32">
        <v>16.169653524492233</v>
      </c>
      <c r="EH32" t="s">
        <v>2703</v>
      </c>
      <c r="EI32">
        <v>1</v>
      </c>
      <c r="EJ32">
        <v>0</v>
      </c>
      <c r="EK32" s="13">
        <v>45470</v>
      </c>
      <c r="EL32" s="14">
        <v>-4.05</v>
      </c>
      <c r="EM32" s="14">
        <v>-4.93</v>
      </c>
      <c r="EN32" s="14">
        <v>0</v>
      </c>
      <c r="EO32" s="14">
        <v>1.48</v>
      </c>
      <c r="EP32" s="14">
        <v>-2.19</v>
      </c>
    </row>
    <row r="33" spans="1:146" ht="96" x14ac:dyDescent="0.25">
      <c r="A33" s="7"/>
      <c r="B33" s="7"/>
      <c r="C33" s="7" t="str">
        <f>""&amp;CHAR(10)&amp;Basic_Fundamental_Information_Constructure(F33)&amp;CHAR(10)&amp;Basic_Fundamental_Information_Concatenate("")</f>
        <v xml:space="preserve">
市值30.794亿, 利润1.97亿; PE15.48; 平均PE12.49; 平均PEG1.38, PB.768; ROIC5.1567%; ROE6.1567%; 股利率4.2135%; 毛利17.6167%; 净利7.63%; 上一年度营收增-7.31%, 利润增-23.94%; 当季营收增5.96%, 利润增14.71%; 过往5年营收增9.03%, 利润增36.23%
Income profile:
</v>
      </c>
      <c r="D33" t="s">
        <v>657</v>
      </c>
      <c r="E33" t="s">
        <v>658</v>
      </c>
      <c r="F33">
        <v>3.56</v>
      </c>
      <c r="G33">
        <v>0.56000000000000005</v>
      </c>
      <c r="H33" t="s">
        <v>2704</v>
      </c>
      <c r="I33">
        <v>3079400000</v>
      </c>
      <c r="J33">
        <v>15.48</v>
      </c>
      <c r="K33">
        <v>0.76800000000000002</v>
      </c>
      <c r="L33" t="s">
        <v>67</v>
      </c>
      <c r="M33" t="s">
        <v>1652</v>
      </c>
      <c r="N33" t="s">
        <v>2705</v>
      </c>
      <c r="O33" t="s">
        <v>1594</v>
      </c>
      <c r="P33">
        <v>5.99</v>
      </c>
      <c r="Q33" t="s">
        <v>768</v>
      </c>
      <c r="R33">
        <v>19028136</v>
      </c>
      <c r="S33" s="5">
        <v>0.14710000000000001</v>
      </c>
      <c r="T33" t="s">
        <v>473</v>
      </c>
      <c r="U33">
        <v>861306350</v>
      </c>
      <c r="V33">
        <v>865000000</v>
      </c>
      <c r="W33">
        <v>2.0099999999999998</v>
      </c>
      <c r="X33">
        <v>0.12</v>
      </c>
      <c r="Y33">
        <v>3.62</v>
      </c>
      <c r="Z33" t="s">
        <v>1972</v>
      </c>
      <c r="AA33" t="s">
        <v>1057</v>
      </c>
      <c r="AB33" t="s">
        <v>2706</v>
      </c>
      <c r="AC33" t="s">
        <v>2707</v>
      </c>
      <c r="AD33" t="s">
        <v>70</v>
      </c>
      <c r="AE33">
        <v>19316581</v>
      </c>
      <c r="AF33" t="s">
        <v>1653</v>
      </c>
      <c r="AG33" t="s">
        <v>2708</v>
      </c>
      <c r="AH33" t="s">
        <v>1654</v>
      </c>
      <c r="AI33" t="s">
        <v>2709</v>
      </c>
      <c r="AJ33" t="s">
        <v>1656</v>
      </c>
      <c r="AK33" t="s">
        <v>70</v>
      </c>
      <c r="AL33" t="s">
        <v>1657</v>
      </c>
      <c r="AM33" t="s">
        <v>70</v>
      </c>
      <c r="AN33" t="s">
        <v>2710</v>
      </c>
      <c r="AO33" t="s">
        <v>2267</v>
      </c>
      <c r="AP33" t="s">
        <v>2711</v>
      </c>
      <c r="AQ33" t="s">
        <v>2712</v>
      </c>
      <c r="AR33" t="s">
        <v>70</v>
      </c>
      <c r="AS33" t="s">
        <v>2713</v>
      </c>
      <c r="AT33" t="s">
        <v>1127</v>
      </c>
      <c r="AU33" t="s">
        <v>2714</v>
      </c>
      <c r="AV33" t="s">
        <v>2715</v>
      </c>
      <c r="AW33" t="s">
        <v>2716</v>
      </c>
      <c r="AX33" t="s">
        <v>911</v>
      </c>
      <c r="AY33" t="s">
        <v>1085</v>
      </c>
      <c r="AZ33" t="s">
        <v>659</v>
      </c>
      <c r="BA33" t="s">
        <v>661</v>
      </c>
      <c r="BB33" t="s">
        <v>662</v>
      </c>
      <c r="BC33" t="s">
        <v>1047</v>
      </c>
      <c r="BD33" t="s">
        <v>652</v>
      </c>
      <c r="BE33" t="s">
        <v>660</v>
      </c>
      <c r="BF33" t="s">
        <v>113</v>
      </c>
      <c r="BG33" t="s">
        <v>663</v>
      </c>
      <c r="BH33" t="s">
        <v>768</v>
      </c>
      <c r="BI33" t="s">
        <v>1659</v>
      </c>
      <c r="BJ33" t="s">
        <v>911</v>
      </c>
      <c r="BK33" t="s">
        <v>473</v>
      </c>
      <c r="BL33" t="s">
        <v>1660</v>
      </c>
      <c r="BM33" t="s">
        <v>1047</v>
      </c>
      <c r="BN33">
        <v>3.63</v>
      </c>
      <c r="BO33">
        <v>5.98</v>
      </c>
      <c r="BP33">
        <v>5.86</v>
      </c>
      <c r="BQ33">
        <v>3.37</v>
      </c>
      <c r="BR33">
        <v>6.57</v>
      </c>
      <c r="BS33">
        <v>8.5299999999999994</v>
      </c>
      <c r="BT33" t="s">
        <v>933</v>
      </c>
      <c r="BU33" t="s">
        <v>884</v>
      </c>
      <c r="BV33">
        <v>17.8</v>
      </c>
      <c r="BW33">
        <v>16.53</v>
      </c>
      <c r="BX33">
        <v>18.52</v>
      </c>
      <c r="BY33">
        <v>6.83</v>
      </c>
      <c r="BZ33">
        <v>7.6</v>
      </c>
      <c r="CA33">
        <v>8.4600000000000009</v>
      </c>
      <c r="CB33">
        <v>1.1399999999999999</v>
      </c>
      <c r="CC33">
        <v>-10.78</v>
      </c>
      <c r="CD33" t="s">
        <v>2717</v>
      </c>
      <c r="CE33" t="s">
        <v>1585</v>
      </c>
      <c r="CF33" s="8">
        <v>5.9637912673056313E-2</v>
      </c>
      <c r="CG33" s="9">
        <v>0.1470817383336448</v>
      </c>
      <c r="CH33" s="8">
        <v>-7.3053665459156036E-2</v>
      </c>
      <c r="CI33" s="8">
        <v>4.675554484128952E-2</v>
      </c>
      <c r="CJ33" s="8">
        <v>-1.6967367380857468E-2</v>
      </c>
      <c r="CK33" s="8">
        <v>0.13119533658027649</v>
      </c>
      <c r="CL33" s="8">
        <v>0.36381715536117554</v>
      </c>
      <c r="CM33" s="9">
        <v>-0.23938223719596863</v>
      </c>
      <c r="CN33" s="9">
        <v>-0.21752266585826874</v>
      </c>
      <c r="CO33" s="9">
        <v>0.11073825508356094</v>
      </c>
      <c r="CP33" s="9">
        <v>-6.6666668280959129E-3</v>
      </c>
      <c r="CQ33" s="9">
        <v>2.1645169258117676</v>
      </c>
      <c r="CR33">
        <v>12.485731191460042</v>
      </c>
      <c r="CS33">
        <v>1.3819384614051551</v>
      </c>
      <c r="CT33">
        <v>4.213483146067416</v>
      </c>
      <c r="CU33" s="8">
        <v>9.0349400788545614E-2</v>
      </c>
      <c r="CV33" s="9">
        <v>0.36233672220259905</v>
      </c>
      <c r="CW33">
        <v>0.06</v>
      </c>
      <c r="CX33">
        <v>15.137158663302099</v>
      </c>
      <c r="CY33">
        <v>202640407.50504106</v>
      </c>
      <c r="CZ33">
        <v>9.0349400788545614E-2</v>
      </c>
      <c r="DA33">
        <v>4.945218956486519</v>
      </c>
      <c r="DB33">
        <v>620275871.90584731</v>
      </c>
      <c r="DC33">
        <v>8.5831930749118324E-2</v>
      </c>
      <c r="DD33">
        <v>2.4334536643481881</v>
      </c>
      <c r="DE33">
        <v>1260513008.7083936</v>
      </c>
      <c r="DF33">
        <v>7.9507472693920139E-2</v>
      </c>
      <c r="DG33">
        <v>1.4606788847120511</v>
      </c>
      <c r="DH33">
        <v>2099982434.2669864</v>
      </c>
      <c r="DI33">
        <v>7.2279520630836494E-2</v>
      </c>
      <c r="DJ33">
        <v>0.75382401935371213</v>
      </c>
      <c r="DK33">
        <v>4069119477.8190041</v>
      </c>
      <c r="DL33">
        <v>6.3244580551981927E-2</v>
      </c>
      <c r="DM33">
        <v>197000000</v>
      </c>
      <c r="DN33">
        <v>9.0349400788545614E-2</v>
      </c>
      <c r="DO33">
        <v>3067400000</v>
      </c>
      <c r="DP33">
        <v>-607619700</v>
      </c>
      <c r="DQ33">
        <v>977</v>
      </c>
      <c r="DR33">
        <v>-3.0711488115489301E-2</v>
      </c>
      <c r="DS33">
        <v>-0.21525498386895425</v>
      </c>
      <c r="DT33" s="10">
        <v>-0.34</v>
      </c>
      <c r="DU33">
        <v>0.15166666666666662</v>
      </c>
      <c r="DV33">
        <v>-0.18833333333333341</v>
      </c>
      <c r="DW33">
        <v>-2.1078000000000001</v>
      </c>
      <c r="DX33">
        <v>0.30258649789029463</v>
      </c>
      <c r="DY33">
        <v>-2.0121368244725737</v>
      </c>
      <c r="DZ33">
        <v>2162</v>
      </c>
      <c r="EA33">
        <v>-2.0070018314178371</v>
      </c>
      <c r="EB33">
        <v>2</v>
      </c>
      <c r="EC33">
        <v>3.0847398843930635E-2</v>
      </c>
      <c r="ED33">
        <v>0.27398843930635836</v>
      </c>
      <c r="EE33" s="11">
        <v>-4.0213099999999997</v>
      </c>
      <c r="EF33">
        <v>-4.0383100000000001</v>
      </c>
      <c r="EG33">
        <v>19.112586497890295</v>
      </c>
      <c r="EH33" t="s">
        <v>2718</v>
      </c>
      <c r="EI33">
        <v>0</v>
      </c>
      <c r="EJ33">
        <v>0</v>
      </c>
      <c r="EK33" s="13">
        <v>45470</v>
      </c>
      <c r="EL33" s="14">
        <v>1.1399999999999999</v>
      </c>
      <c r="EM33" s="14">
        <v>-3.67</v>
      </c>
      <c r="EN33" s="14">
        <v>0.28999999999999998</v>
      </c>
      <c r="EO33" s="14">
        <v>2.92</v>
      </c>
      <c r="EP33" s="14">
        <v>-1.7</v>
      </c>
    </row>
    <row r="34" spans="1:146" ht="96" x14ac:dyDescent="0.25">
      <c r="A34" s="7"/>
      <c r="B34" s="7"/>
      <c r="C34" s="7" t="str">
        <f>""&amp;CHAR(10)&amp;Basic_Fundamental_Information_Constructure(F34)&amp;CHAR(10)&amp;Basic_Fundamental_Information_Concatenate("")</f>
        <v xml:space="preserve">
市值23.690395亿, 利润-3.42亿; PE; 平均PE-11.36; 平均PEG-1.4, PB1.76; ROIC0%; ROE-15.1833%; 股利率0%; 毛利28.3233%; 净利-16.8%; 上一年度营收增52.15%, 利润增39.58%; 当季营收增30.42%, 利润增9.11%; 过往5年营收增8.12%, 利润增-390.22%
Income profile:
</v>
      </c>
      <c r="D34" t="s">
        <v>828</v>
      </c>
      <c r="E34" t="s">
        <v>829</v>
      </c>
      <c r="F34">
        <v>3.08</v>
      </c>
      <c r="G34">
        <v>1.32</v>
      </c>
      <c r="H34" t="s">
        <v>2719</v>
      </c>
      <c r="I34">
        <v>2369039500</v>
      </c>
      <c r="K34">
        <v>1.76</v>
      </c>
      <c r="L34" t="s">
        <v>67</v>
      </c>
      <c r="M34" t="s">
        <v>1661</v>
      </c>
      <c r="N34" t="s">
        <v>2720</v>
      </c>
      <c r="O34" t="s">
        <v>370</v>
      </c>
      <c r="P34">
        <v>30.55</v>
      </c>
      <c r="Q34" t="s">
        <v>1662</v>
      </c>
      <c r="R34">
        <v>-72806985</v>
      </c>
      <c r="S34" s="5">
        <v>9.11E-2</v>
      </c>
      <c r="T34" t="s">
        <v>1663</v>
      </c>
      <c r="U34">
        <v>767252160</v>
      </c>
      <c r="V34">
        <v>769168670</v>
      </c>
      <c r="W34">
        <v>5.39</v>
      </c>
      <c r="X34">
        <v>0.03</v>
      </c>
      <c r="Y34">
        <v>-11.93</v>
      </c>
      <c r="Z34" t="s">
        <v>2721</v>
      </c>
      <c r="AA34" t="s">
        <v>2722</v>
      </c>
      <c r="AB34" t="s">
        <v>2723</v>
      </c>
      <c r="AC34" t="s">
        <v>2724</v>
      </c>
      <c r="AD34" t="s">
        <v>70</v>
      </c>
      <c r="AE34">
        <v>96272043</v>
      </c>
      <c r="AF34" t="s">
        <v>1664</v>
      </c>
      <c r="AG34" t="s">
        <v>2725</v>
      </c>
      <c r="AH34" t="s">
        <v>1665</v>
      </c>
      <c r="AI34" t="s">
        <v>2726</v>
      </c>
      <c r="AJ34" t="s">
        <v>1666</v>
      </c>
      <c r="AK34" t="s">
        <v>2727</v>
      </c>
      <c r="AL34" t="s">
        <v>1667</v>
      </c>
      <c r="AM34" t="s">
        <v>70</v>
      </c>
      <c r="AN34" t="s">
        <v>900</v>
      </c>
      <c r="AO34" t="s">
        <v>630</v>
      </c>
      <c r="AP34" t="s">
        <v>887</v>
      </c>
      <c r="AQ34" t="s">
        <v>2728</v>
      </c>
      <c r="AR34" t="s">
        <v>2729</v>
      </c>
      <c r="AS34" t="s">
        <v>2730</v>
      </c>
      <c r="AT34" t="s">
        <v>2731</v>
      </c>
      <c r="AU34" t="s">
        <v>2732</v>
      </c>
      <c r="AV34" t="s">
        <v>2733</v>
      </c>
      <c r="AW34" t="s">
        <v>1275</v>
      </c>
      <c r="AX34" t="s">
        <v>919</v>
      </c>
      <c r="AY34" t="s">
        <v>838</v>
      </c>
      <c r="AZ34" t="s">
        <v>830</v>
      </c>
      <c r="BA34" t="s">
        <v>831</v>
      </c>
      <c r="BB34" t="s">
        <v>832</v>
      </c>
      <c r="BC34" t="s">
        <v>1669</v>
      </c>
      <c r="BD34" t="s">
        <v>910</v>
      </c>
      <c r="BE34" t="s">
        <v>833</v>
      </c>
      <c r="BF34" t="s">
        <v>834</v>
      </c>
      <c r="BG34" t="s">
        <v>835</v>
      </c>
      <c r="BH34" t="s">
        <v>1662</v>
      </c>
      <c r="BI34" t="s">
        <v>1670</v>
      </c>
      <c r="BJ34" t="s">
        <v>919</v>
      </c>
      <c r="BK34" t="s">
        <v>1663</v>
      </c>
      <c r="BL34" t="s">
        <v>1671</v>
      </c>
      <c r="BM34" t="s">
        <v>1669</v>
      </c>
      <c r="BN34" t="s">
        <v>70</v>
      </c>
      <c r="BO34" t="s">
        <v>70</v>
      </c>
      <c r="BP34" t="s">
        <v>70</v>
      </c>
      <c r="BQ34">
        <v>-12.78</v>
      </c>
      <c r="BR34">
        <v>-21.61</v>
      </c>
      <c r="BS34">
        <v>-11.16</v>
      </c>
      <c r="BT34" t="s">
        <v>929</v>
      </c>
      <c r="BU34" t="s">
        <v>882</v>
      </c>
      <c r="BV34">
        <v>25.67</v>
      </c>
      <c r="BW34">
        <v>31</v>
      </c>
      <c r="BX34">
        <v>28.3</v>
      </c>
      <c r="BY34">
        <v>-10.17</v>
      </c>
      <c r="BZ34">
        <v>-30.37</v>
      </c>
      <c r="CA34">
        <v>-9.86</v>
      </c>
      <c r="CB34">
        <v>-1.28</v>
      </c>
      <c r="CC34">
        <v>-16.079999999999998</v>
      </c>
      <c r="CD34" t="s">
        <v>2734</v>
      </c>
      <c r="CE34" t="s">
        <v>98</v>
      </c>
      <c r="CF34" s="8">
        <v>0.30422535211267604</v>
      </c>
      <c r="CG34" s="9">
        <v>9.111922672652055E-2</v>
      </c>
      <c r="CH34" s="8">
        <v>0.52152824401855469</v>
      </c>
      <c r="CI34" s="8">
        <v>-4.3503519147634506E-2</v>
      </c>
      <c r="CJ34" s="8">
        <v>-0.26387706398963928</v>
      </c>
      <c r="CK34" s="8">
        <v>0.17275923490524292</v>
      </c>
      <c r="CL34" s="8">
        <v>1.887751929461956E-2</v>
      </c>
      <c r="CM34" s="9">
        <v>0.39575973153114319</v>
      </c>
      <c r="CN34" s="9">
        <v>-1.4291845560073853</v>
      </c>
      <c r="CO34" s="9">
        <v>-4.9087338447570801</v>
      </c>
      <c r="CP34" s="9">
        <v>1.3257381916046143</v>
      </c>
      <c r="CQ34" s="9">
        <v>-14.894477844238281</v>
      </c>
      <c r="CR34">
        <v>-11.360309208810094</v>
      </c>
      <c r="CS34">
        <v>-1.3997961462539672</v>
      </c>
      <c r="CT34">
        <v>0</v>
      </c>
      <c r="CU34" s="8">
        <v>8.115688301622867E-2</v>
      </c>
      <c r="CV34" s="9">
        <v>-3.9021796643733979</v>
      </c>
      <c r="CW34">
        <v>0.06</v>
      </c>
      <c r="CX34" t="e">
        <v>#VALUE!</v>
      </c>
      <c r="CY34" t="s">
        <v>809</v>
      </c>
      <c r="CZ34">
        <v>8.115688301622867E-2</v>
      </c>
      <c r="DA34" t="e">
        <v>#VALUE!</v>
      </c>
      <c r="DB34" t="s">
        <v>810</v>
      </c>
      <c r="DC34">
        <v>7.7099038865417233E-2</v>
      </c>
      <c r="DD34" t="e">
        <v>#VALUE!</v>
      </c>
      <c r="DE34" t="s">
        <v>810</v>
      </c>
      <c r="DF34">
        <v>7.1418057054281225E-2</v>
      </c>
      <c r="DG34" t="e">
        <v>#VALUE!</v>
      </c>
      <c r="DH34" t="s">
        <v>810</v>
      </c>
      <c r="DI34">
        <v>6.4925506412982933E-2</v>
      </c>
      <c r="DJ34" t="e">
        <v>#VALUE!</v>
      </c>
      <c r="DK34" t="s">
        <v>810</v>
      </c>
      <c r="DL34">
        <v>5.6809818111360065E-2</v>
      </c>
      <c r="DM34">
        <v>-342000000</v>
      </c>
      <c r="DN34">
        <v>8.115688301622867E-2</v>
      </c>
      <c r="DO34">
        <v>10710039500</v>
      </c>
      <c r="DP34">
        <v>859642300</v>
      </c>
      <c r="DQ34">
        <v>978</v>
      </c>
      <c r="DR34">
        <v>0.22306846909644737</v>
      </c>
      <c r="DS34">
        <v>3.9932988910999185</v>
      </c>
      <c r="DT34" s="10">
        <v>-0.29000000000000004</v>
      </c>
      <c r="DU34">
        <v>-2.4916666666666667</v>
      </c>
      <c r="DV34">
        <v>-2.7816666666666667</v>
      </c>
      <c r="DW34">
        <v>-3.0009047619047617</v>
      </c>
      <c r="DX34">
        <v>0.33230617283950609</v>
      </c>
      <c r="DY34">
        <v>-3.0001197055849502</v>
      </c>
      <c r="DZ34">
        <v>4824</v>
      </c>
      <c r="EA34">
        <v>-3.0000066997646373</v>
      </c>
      <c r="EB34">
        <v>3</v>
      </c>
      <c r="EC34">
        <v>2.7865929588629761E-2</v>
      </c>
      <c r="ED34">
        <v>0.21061700290002711</v>
      </c>
      <c r="EE34" s="11">
        <v>7.7200000000000005E-2</v>
      </c>
      <c r="EF34">
        <v>5.1900000000000002E-2</v>
      </c>
      <c r="EG34">
        <v>20.132306172839506</v>
      </c>
      <c r="EH34" t="s">
        <v>811</v>
      </c>
      <c r="EI34">
        <v>0</v>
      </c>
      <c r="EJ34">
        <v>0</v>
      </c>
      <c r="EK34" s="13">
        <v>45470</v>
      </c>
      <c r="EL34" s="14">
        <v>0.32</v>
      </c>
      <c r="EM34" s="14">
        <v>-3.8</v>
      </c>
      <c r="EN34" s="14">
        <v>0.99</v>
      </c>
      <c r="EO34" s="14">
        <v>2.93</v>
      </c>
      <c r="EP34" s="14">
        <v>-2.5299999999999998</v>
      </c>
    </row>
    <row r="35" spans="1:146" ht="60" x14ac:dyDescent="0.25">
      <c r="A35" s="7"/>
      <c r="B35" s="7"/>
      <c r="C35" s="7" t="s">
        <v>713</v>
      </c>
      <c r="D35" t="s">
        <v>160</v>
      </c>
      <c r="E35" t="s">
        <v>35</v>
      </c>
      <c r="F35">
        <v>7.64</v>
      </c>
      <c r="G35">
        <v>-0.78</v>
      </c>
      <c r="H35" t="s">
        <v>2735</v>
      </c>
      <c r="I35">
        <v>28864529000</v>
      </c>
      <c r="J35">
        <v>12.07</v>
      </c>
      <c r="K35">
        <v>0.98099999999999998</v>
      </c>
      <c r="L35" t="s">
        <v>67</v>
      </c>
      <c r="M35" t="s">
        <v>1672</v>
      </c>
      <c r="N35" t="s">
        <v>2736</v>
      </c>
      <c r="O35" t="s">
        <v>1673</v>
      </c>
      <c r="P35">
        <v>25.49</v>
      </c>
      <c r="Q35" t="s">
        <v>1674</v>
      </c>
      <c r="R35">
        <v>778631370</v>
      </c>
      <c r="S35" s="5">
        <v>2.0289999999999999</v>
      </c>
      <c r="T35" t="s">
        <v>1675</v>
      </c>
      <c r="U35">
        <v>3778079700</v>
      </c>
      <c r="V35">
        <v>3778079700</v>
      </c>
      <c r="W35">
        <v>2.17</v>
      </c>
      <c r="X35">
        <v>0.1</v>
      </c>
      <c r="Y35">
        <v>12.05</v>
      </c>
      <c r="Z35" t="s">
        <v>2737</v>
      </c>
      <c r="AA35" t="s">
        <v>2738</v>
      </c>
      <c r="AB35" t="s">
        <v>2739</v>
      </c>
      <c r="AC35" t="s">
        <v>1284</v>
      </c>
      <c r="AD35" t="s">
        <v>70</v>
      </c>
      <c r="AE35">
        <v>233660080</v>
      </c>
      <c r="AF35" t="s">
        <v>1676</v>
      </c>
      <c r="AG35" t="s">
        <v>2740</v>
      </c>
      <c r="AH35" t="s">
        <v>1677</v>
      </c>
      <c r="AI35" t="s">
        <v>2741</v>
      </c>
      <c r="AJ35" t="s">
        <v>1678</v>
      </c>
      <c r="AK35" t="s">
        <v>2742</v>
      </c>
      <c r="AL35" t="s">
        <v>1679</v>
      </c>
      <c r="AM35" t="s">
        <v>70</v>
      </c>
      <c r="AN35" t="s">
        <v>2743</v>
      </c>
      <c r="AO35" t="s">
        <v>2705</v>
      </c>
      <c r="AP35" t="s">
        <v>2123</v>
      </c>
      <c r="AQ35" t="s">
        <v>1139</v>
      </c>
      <c r="AR35" t="s">
        <v>1680</v>
      </c>
      <c r="AS35" t="s">
        <v>2744</v>
      </c>
      <c r="AT35" t="s">
        <v>2745</v>
      </c>
      <c r="AU35" t="s">
        <v>2746</v>
      </c>
      <c r="AV35" t="s">
        <v>2747</v>
      </c>
      <c r="AW35" t="s">
        <v>2748</v>
      </c>
      <c r="AX35" t="s">
        <v>1681</v>
      </c>
      <c r="AY35" t="s">
        <v>1207</v>
      </c>
      <c r="AZ35" t="s">
        <v>1208</v>
      </c>
      <c r="BA35" t="s">
        <v>434</v>
      </c>
      <c r="BB35" t="s">
        <v>435</v>
      </c>
      <c r="BC35" t="s">
        <v>1682</v>
      </c>
      <c r="BD35" t="s">
        <v>1209</v>
      </c>
      <c r="BE35" t="s">
        <v>433</v>
      </c>
      <c r="BF35" t="s">
        <v>161</v>
      </c>
      <c r="BG35" t="s">
        <v>162</v>
      </c>
      <c r="BH35" t="s">
        <v>1674</v>
      </c>
      <c r="BI35" t="s">
        <v>1683</v>
      </c>
      <c r="BJ35" t="s">
        <v>1681</v>
      </c>
      <c r="BK35" t="s">
        <v>1675</v>
      </c>
      <c r="BL35" t="s">
        <v>1684</v>
      </c>
      <c r="BM35" t="s">
        <v>1682</v>
      </c>
      <c r="BN35">
        <v>4.51</v>
      </c>
      <c r="BO35">
        <v>2.19</v>
      </c>
      <c r="BP35" t="s">
        <v>70</v>
      </c>
      <c r="BQ35">
        <v>6.77</v>
      </c>
      <c r="BR35">
        <v>0.24</v>
      </c>
      <c r="BS35">
        <v>-1.18</v>
      </c>
      <c r="BT35" t="s">
        <v>930</v>
      </c>
      <c r="BU35" t="s">
        <v>881</v>
      </c>
      <c r="BV35">
        <v>9.6199999999999992</v>
      </c>
      <c r="BW35">
        <v>0.1</v>
      </c>
      <c r="BX35">
        <v>-5.15</v>
      </c>
      <c r="BY35">
        <v>8.61</v>
      </c>
      <c r="BZ35">
        <v>0.95</v>
      </c>
      <c r="CA35">
        <v>-2.79</v>
      </c>
      <c r="CB35">
        <v>-0.13</v>
      </c>
      <c r="CC35">
        <v>-4.0199999999999996</v>
      </c>
      <c r="CD35" t="s">
        <v>2749</v>
      </c>
      <c r="CE35" t="s">
        <v>2750</v>
      </c>
      <c r="CF35" s="8">
        <v>0.25495469988674974</v>
      </c>
      <c r="CG35" s="9">
        <v>2.0296940466926072</v>
      </c>
      <c r="CH35" s="8">
        <v>6.5726183354854584E-2</v>
      </c>
      <c r="CI35" s="8">
        <v>0.12620663642883301</v>
      </c>
      <c r="CJ35" s="8">
        <v>0.36170944571495056</v>
      </c>
      <c r="CK35" s="8">
        <v>3.5199582576751709E-2</v>
      </c>
      <c r="CL35" s="8">
        <v>-5.1892448216676712E-2</v>
      </c>
      <c r="CM35" s="9">
        <v>30.138227462768555</v>
      </c>
      <c r="CN35" s="9">
        <v>1.1803447008132935</v>
      </c>
      <c r="CO35" s="9">
        <v>-1.1464380025863647</v>
      </c>
      <c r="CP35" s="9">
        <v>-5.4076593369245529E-2</v>
      </c>
      <c r="CQ35" s="9">
        <v>-5.9467919170856476E-2</v>
      </c>
      <c r="CR35">
        <v>19.611153811433713</v>
      </c>
      <c r="CS35">
        <v>1.8261640497776859</v>
      </c>
      <c r="CT35">
        <v>1.3089005235602096</v>
      </c>
      <c r="CU35" s="8">
        <v>0.10738987997174262</v>
      </c>
      <c r="CV35" s="9">
        <v>6.0117179296910761</v>
      </c>
      <c r="CW35">
        <v>0.06</v>
      </c>
      <c r="CX35">
        <v>19.267236433708128</v>
      </c>
      <c r="CY35">
        <v>1953602901.4595835</v>
      </c>
      <c r="CZ35">
        <v>0.10738987997174262</v>
      </c>
      <c r="DA35">
        <v>6.2044968080256551</v>
      </c>
      <c r="DB35">
        <v>6066652971.9720602</v>
      </c>
      <c r="DC35">
        <v>0.10202038597315549</v>
      </c>
      <c r="DD35">
        <v>2.9944998181393374</v>
      </c>
      <c r="DE35">
        <v>12569888557.678497</v>
      </c>
      <c r="DF35">
        <v>9.4503094375133503E-2</v>
      </c>
      <c r="DG35">
        <v>1.7582543109111772</v>
      </c>
      <c r="DH35">
        <v>21407898030.68568</v>
      </c>
      <c r="DI35">
        <v>8.5911903977394108E-2</v>
      </c>
      <c r="DJ35">
        <v>0.86400432261900406</v>
      </c>
      <c r="DK35">
        <v>43565209125.230461</v>
      </c>
      <c r="DL35">
        <v>7.5172915980219829E-2</v>
      </c>
      <c r="DM35">
        <v>1870000000</v>
      </c>
      <c r="DN35">
        <v>0.10738987997174262</v>
      </c>
      <c r="DO35">
        <v>37640529000</v>
      </c>
      <c r="DP35">
        <v>11363191999.999998</v>
      </c>
      <c r="DQ35">
        <v>1100</v>
      </c>
      <c r="DR35">
        <v>0.14756481991500711</v>
      </c>
      <c r="DS35">
        <v>-3.9820238829984689</v>
      </c>
      <c r="DT35" s="10">
        <v>-0.3066666666666667</v>
      </c>
      <c r="DU35">
        <v>0.51666666666666672</v>
      </c>
      <c r="DV35">
        <v>0.21000000000000002</v>
      </c>
      <c r="DW35">
        <v>-1.0402</v>
      </c>
      <c r="DX35">
        <v>0.31110643431635243</v>
      </c>
      <c r="DY35">
        <v>-1.0056724786595175</v>
      </c>
      <c r="DZ35">
        <v>1240</v>
      </c>
      <c r="EA35">
        <v>-1.0042959867734507</v>
      </c>
      <c r="EB35">
        <v>1</v>
      </c>
      <c r="EC35">
        <v>1.3931071914655481E-2</v>
      </c>
      <c r="ED35">
        <v>9.8727403765463184E-2</v>
      </c>
      <c r="EE35" s="11">
        <v>-1.0498099999999999</v>
      </c>
      <c r="EF35">
        <v>-1.06291</v>
      </c>
      <c r="EG35">
        <v>17.141106434316352</v>
      </c>
      <c r="EH35" t="s">
        <v>812</v>
      </c>
      <c r="EI35">
        <v>0</v>
      </c>
      <c r="EJ35">
        <v>1</v>
      </c>
      <c r="EK35" s="13">
        <v>45470</v>
      </c>
      <c r="EL35" s="14">
        <v>0</v>
      </c>
      <c r="EM35" s="14">
        <v>-0.79</v>
      </c>
      <c r="EN35" s="14">
        <v>0.92</v>
      </c>
      <c r="EO35" s="14">
        <v>-0.39</v>
      </c>
      <c r="EP35" s="14">
        <v>-1.31</v>
      </c>
    </row>
    <row r="36" spans="1:146" ht="96" x14ac:dyDescent="0.25">
      <c r="A36" s="7"/>
      <c r="B36" s="7"/>
      <c r="C36" s="7" t="str">
        <f>""&amp;CHAR(10)&amp;Basic_Fundamental_Information_Constructure(F36)&amp;CHAR(10)&amp;Basic_Fundamental_Information_Concatenate("")</f>
        <v xml:space="preserve">
市值32.200997亿, 利润1.59亿; PE16.19; 平均PE22.59; 平均PEG1.52, PB1.25; ROIC2.99%; ROE.4433%; 股利率2.3041%; 毛利17.7067%; 净利.14%; 上一年度营收增15.83%, 利润增108.12%; 当季营收增4.96%, 利润增247.78%; 过往5年营收增14.87%, 利润增37.67%
Income profile:
</v>
      </c>
      <c r="D36" t="s">
        <v>664</v>
      </c>
      <c r="E36" t="s">
        <v>665</v>
      </c>
      <c r="F36">
        <v>4.34</v>
      </c>
      <c r="G36">
        <v>0.7</v>
      </c>
      <c r="H36" t="s">
        <v>2751</v>
      </c>
      <c r="I36">
        <v>3220099700</v>
      </c>
      <c r="J36">
        <v>16.190000000000001</v>
      </c>
      <c r="K36">
        <v>1.25</v>
      </c>
      <c r="L36" t="s">
        <v>67</v>
      </c>
      <c r="M36" t="s">
        <v>1685</v>
      </c>
      <c r="N36" t="s">
        <v>2752</v>
      </c>
      <c r="O36" t="s">
        <v>1269</v>
      </c>
      <c r="P36">
        <v>4.96</v>
      </c>
      <c r="Q36" t="s">
        <v>1686</v>
      </c>
      <c r="R36">
        <v>55993847</v>
      </c>
      <c r="S36" s="5">
        <v>2.4780000000000002</v>
      </c>
      <c r="T36" t="s">
        <v>536</v>
      </c>
      <c r="U36">
        <v>470222360</v>
      </c>
      <c r="V36">
        <v>741958460</v>
      </c>
      <c r="W36">
        <v>3.96</v>
      </c>
      <c r="X36">
        <v>0.09</v>
      </c>
      <c r="Y36">
        <v>5.7</v>
      </c>
      <c r="Z36" t="s">
        <v>2753</v>
      </c>
      <c r="AA36" t="s">
        <v>1994</v>
      </c>
      <c r="AB36" t="s">
        <v>70</v>
      </c>
      <c r="AC36" t="s">
        <v>2754</v>
      </c>
      <c r="AD36" t="s">
        <v>70</v>
      </c>
      <c r="AE36">
        <v>78783101</v>
      </c>
      <c r="AF36" t="s">
        <v>105</v>
      </c>
      <c r="AG36" t="s">
        <v>2755</v>
      </c>
      <c r="AH36" t="s">
        <v>1687</v>
      </c>
      <c r="AI36" t="s">
        <v>2756</v>
      </c>
      <c r="AJ36" t="s">
        <v>1688</v>
      </c>
      <c r="AK36" t="s">
        <v>70</v>
      </c>
      <c r="AL36" t="s">
        <v>1689</v>
      </c>
      <c r="AM36" t="s">
        <v>70</v>
      </c>
      <c r="AN36" t="s">
        <v>2757</v>
      </c>
      <c r="AO36" t="s">
        <v>1234</v>
      </c>
      <c r="AP36" t="s">
        <v>1213</v>
      </c>
      <c r="AQ36" t="s">
        <v>2758</v>
      </c>
      <c r="AR36" t="s">
        <v>70</v>
      </c>
      <c r="AS36" t="s">
        <v>2759</v>
      </c>
      <c r="AT36" t="s">
        <v>2760</v>
      </c>
      <c r="AU36" t="s">
        <v>109</v>
      </c>
      <c r="AV36" t="s">
        <v>2761</v>
      </c>
      <c r="AW36" t="s">
        <v>2762</v>
      </c>
      <c r="AX36" t="s">
        <v>1087</v>
      </c>
      <c r="AY36" t="s">
        <v>1089</v>
      </c>
      <c r="AZ36" t="s">
        <v>666</v>
      </c>
      <c r="BA36" t="s">
        <v>668</v>
      </c>
      <c r="BB36" t="s">
        <v>530</v>
      </c>
      <c r="BC36" t="s">
        <v>1088</v>
      </c>
      <c r="BD36" t="s">
        <v>902</v>
      </c>
      <c r="BE36" t="s">
        <v>667</v>
      </c>
      <c r="BF36" t="s">
        <v>189</v>
      </c>
      <c r="BG36" t="s">
        <v>522</v>
      </c>
      <c r="BH36" t="s">
        <v>1686</v>
      </c>
      <c r="BI36" t="s">
        <v>1280</v>
      </c>
      <c r="BJ36" t="s">
        <v>1087</v>
      </c>
      <c r="BK36" t="s">
        <v>536</v>
      </c>
      <c r="BL36" t="s">
        <v>1691</v>
      </c>
      <c r="BM36" t="s">
        <v>1088</v>
      </c>
      <c r="BN36">
        <v>2.99</v>
      </c>
      <c r="BO36">
        <v>2.99</v>
      </c>
      <c r="BP36" t="s">
        <v>70</v>
      </c>
      <c r="BQ36">
        <v>4.42</v>
      </c>
      <c r="BR36">
        <v>3.1</v>
      </c>
      <c r="BS36">
        <v>-6.19</v>
      </c>
      <c r="BT36" t="s">
        <v>930</v>
      </c>
      <c r="BU36" t="s">
        <v>882</v>
      </c>
      <c r="BV36">
        <v>21.41</v>
      </c>
      <c r="BW36">
        <v>16.829999999999998</v>
      </c>
      <c r="BX36">
        <v>14.88</v>
      </c>
      <c r="BY36">
        <v>4.08</v>
      </c>
      <c r="BZ36">
        <v>2.29</v>
      </c>
      <c r="CA36">
        <v>-5.95</v>
      </c>
      <c r="CB36">
        <v>0.46</v>
      </c>
      <c r="CC36">
        <v>-9.2100000000000009</v>
      </c>
      <c r="CD36" t="s">
        <v>2763</v>
      </c>
      <c r="CE36" t="s">
        <v>593</v>
      </c>
      <c r="CF36" s="8">
        <v>4.9630411826821409E-2</v>
      </c>
      <c r="CG36" s="9">
        <v>2.4777706903512313</v>
      </c>
      <c r="CH36" s="8">
        <v>0.15829434990882874</v>
      </c>
      <c r="CI36" s="8">
        <v>0.10844936221837997</v>
      </c>
      <c r="CJ36" s="8">
        <v>2.2170683369040489E-2</v>
      </c>
      <c r="CK36" s="8">
        <v>0.20976792275905609</v>
      </c>
      <c r="CL36" s="8">
        <v>0.24464364349842072</v>
      </c>
      <c r="CM36" s="9">
        <v>1.0811818838119507</v>
      </c>
      <c r="CN36" s="9">
        <v>1.3979109525680542</v>
      </c>
      <c r="CO36" s="9">
        <v>-1.5485714673995972</v>
      </c>
      <c r="CP36" s="9">
        <v>0.18644067645072937</v>
      </c>
      <c r="CQ36" s="9">
        <v>0.76646709442138672</v>
      </c>
      <c r="CR36">
        <v>22.586653080802417</v>
      </c>
      <c r="CS36">
        <v>1.5192966641117858</v>
      </c>
      <c r="CT36">
        <v>2.3041474654377883</v>
      </c>
      <c r="CU36" s="8">
        <v>0.14866519235074521</v>
      </c>
      <c r="CV36" s="9">
        <v>0.37668582797050476</v>
      </c>
      <c r="CW36">
        <v>0.06</v>
      </c>
      <c r="CX36">
        <v>46.918804851834892</v>
      </c>
      <c r="CY36">
        <v>172299778.85261178</v>
      </c>
      <c r="CZ36">
        <v>0.14866519235074521</v>
      </c>
      <c r="DA36">
        <v>14.594467213148402</v>
      </c>
      <c r="DB36">
        <v>553915369.56668746</v>
      </c>
      <c r="DC36">
        <v>0.14123193273320794</v>
      </c>
      <c r="DD36">
        <v>6.7161952121296027</v>
      </c>
      <c r="DE36">
        <v>1203672532.5374596</v>
      </c>
      <c r="DF36">
        <v>0.13082536926865579</v>
      </c>
      <c r="DG36">
        <v>3.7304789383826655</v>
      </c>
      <c r="DH36">
        <v>2167040702.6891913</v>
      </c>
      <c r="DI36">
        <v>0.11893215388059618</v>
      </c>
      <c r="DJ36">
        <v>1.6127143316786363</v>
      </c>
      <c r="DK36">
        <v>5012728876.5304461</v>
      </c>
      <c r="DL36">
        <v>0.10406563464552164</v>
      </c>
      <c r="DM36">
        <v>159000000</v>
      </c>
      <c r="DN36">
        <v>0.14866519235074521</v>
      </c>
      <c r="DO36">
        <v>8084099700</v>
      </c>
      <c r="DP36">
        <v>1471099200</v>
      </c>
      <c r="DQ36">
        <v>1108</v>
      </c>
      <c r="DR36">
        <v>-9.903478052392381E-2</v>
      </c>
      <c r="DS36">
        <v>2.1010848623807266</v>
      </c>
      <c r="DT36" s="10">
        <v>-5.6666666666666719E-2</v>
      </c>
      <c r="DU36">
        <v>0.48666666666666664</v>
      </c>
      <c r="DV36">
        <v>0.42999999999999994</v>
      </c>
      <c r="DW36">
        <v>-2.0920999999999998</v>
      </c>
      <c r="DX36">
        <v>0.24302170542635737</v>
      </c>
      <c r="DY36">
        <v>-2.0094882990697673</v>
      </c>
      <c r="DZ36">
        <v>815</v>
      </c>
      <c r="EA36">
        <v>-2.0079749989245892</v>
      </c>
      <c r="EB36">
        <v>2</v>
      </c>
      <c r="EC36">
        <v>3.5823568882818589E-2</v>
      </c>
      <c r="ED36">
        <v>0.34772836204334134</v>
      </c>
      <c r="EE36" s="11">
        <v>-2.0318999999999998</v>
      </c>
      <c r="EF36">
        <v>-2.0133000000000001</v>
      </c>
      <c r="EG36">
        <v>14.103021705426357</v>
      </c>
      <c r="EH36" t="s">
        <v>1259</v>
      </c>
      <c r="EI36">
        <v>0</v>
      </c>
      <c r="EJ36">
        <v>1</v>
      </c>
      <c r="EK36" s="13">
        <v>45470</v>
      </c>
      <c r="EL36" s="14">
        <v>-0.23</v>
      </c>
      <c r="EM36" s="14">
        <v>-2.33</v>
      </c>
      <c r="EN36" s="14">
        <v>0.95</v>
      </c>
      <c r="EO36" s="14">
        <v>1.42</v>
      </c>
      <c r="EP36" s="14">
        <v>-1.86</v>
      </c>
    </row>
    <row r="37" spans="1:146" ht="180" x14ac:dyDescent="0.25">
      <c r="A37" s="7" t="s">
        <v>817</v>
      </c>
      <c r="B37" s="7" t="s">
        <v>818</v>
      </c>
      <c r="C37" s="7" t="s">
        <v>824</v>
      </c>
      <c r="D37" t="s">
        <v>669</v>
      </c>
      <c r="E37" t="s">
        <v>670</v>
      </c>
      <c r="F37">
        <v>4.7300000000000004</v>
      </c>
      <c r="G37">
        <v>0.42</v>
      </c>
      <c r="H37" t="s">
        <v>2764</v>
      </c>
      <c r="I37">
        <v>9095817900</v>
      </c>
      <c r="J37">
        <v>54.69</v>
      </c>
      <c r="K37">
        <v>1.53</v>
      </c>
      <c r="L37" t="s">
        <v>67</v>
      </c>
      <c r="M37" t="s">
        <v>1300</v>
      </c>
      <c r="N37" t="s">
        <v>1270</v>
      </c>
      <c r="O37" t="s">
        <v>200</v>
      </c>
      <c r="P37">
        <v>34.340000000000003</v>
      </c>
      <c r="Q37" t="s">
        <v>1693</v>
      </c>
      <c r="R37">
        <v>80411681</v>
      </c>
      <c r="S37" s="5">
        <v>0.78539999999999999</v>
      </c>
      <c r="T37" t="s">
        <v>228</v>
      </c>
      <c r="U37">
        <v>1891453800</v>
      </c>
      <c r="V37">
        <v>1923005900</v>
      </c>
      <c r="W37">
        <v>1.71</v>
      </c>
      <c r="X37">
        <v>0.08</v>
      </c>
      <c r="Y37">
        <v>9.35</v>
      </c>
      <c r="Z37" t="s">
        <v>2709</v>
      </c>
      <c r="AA37" t="s">
        <v>143</v>
      </c>
      <c r="AB37" t="s">
        <v>2765</v>
      </c>
      <c r="AC37" t="s">
        <v>2766</v>
      </c>
      <c r="AD37" t="s">
        <v>70</v>
      </c>
      <c r="AE37">
        <v>27669630</v>
      </c>
      <c r="AF37" t="s">
        <v>1694</v>
      </c>
      <c r="AG37" t="s">
        <v>2767</v>
      </c>
      <c r="AH37" t="s">
        <v>1695</v>
      </c>
      <c r="AI37" t="s">
        <v>2768</v>
      </c>
      <c r="AJ37" t="s">
        <v>1696</v>
      </c>
      <c r="AK37" t="s">
        <v>177</v>
      </c>
      <c r="AL37" t="s">
        <v>1697</v>
      </c>
      <c r="AM37" t="s">
        <v>70</v>
      </c>
      <c r="AN37" t="s">
        <v>98</v>
      </c>
      <c r="AO37" t="s">
        <v>1299</v>
      </c>
      <c r="AP37" t="s">
        <v>606</v>
      </c>
      <c r="AQ37" t="s">
        <v>2769</v>
      </c>
      <c r="AR37" t="s">
        <v>70</v>
      </c>
      <c r="AS37" t="s">
        <v>2770</v>
      </c>
      <c r="AT37" t="s">
        <v>1309</v>
      </c>
      <c r="AU37" t="s">
        <v>2330</v>
      </c>
      <c r="AV37" t="s">
        <v>2771</v>
      </c>
      <c r="AW37" t="s">
        <v>1584</v>
      </c>
      <c r="AX37" t="s">
        <v>1090</v>
      </c>
      <c r="AY37" t="s">
        <v>1092</v>
      </c>
      <c r="AZ37" t="s">
        <v>671</v>
      </c>
      <c r="BA37" t="s">
        <v>648</v>
      </c>
      <c r="BB37" t="s">
        <v>672</v>
      </c>
      <c r="BC37" t="s">
        <v>1091</v>
      </c>
      <c r="BD37" t="s">
        <v>1093</v>
      </c>
      <c r="BE37" t="s">
        <v>428</v>
      </c>
      <c r="BF37" t="s">
        <v>673</v>
      </c>
      <c r="BG37" t="s">
        <v>674</v>
      </c>
      <c r="BH37" t="s">
        <v>1693</v>
      </c>
      <c r="BI37" t="s">
        <v>1698</v>
      </c>
      <c r="BJ37" t="s">
        <v>1090</v>
      </c>
      <c r="BK37" t="s">
        <v>228</v>
      </c>
      <c r="BL37" t="s">
        <v>1699</v>
      </c>
      <c r="BM37" t="s">
        <v>1091</v>
      </c>
      <c r="BN37">
        <v>2.59</v>
      </c>
      <c r="BO37" t="s">
        <v>70</v>
      </c>
      <c r="BP37">
        <v>3.02</v>
      </c>
      <c r="BQ37">
        <v>3.14</v>
      </c>
      <c r="BR37">
        <v>-5.33</v>
      </c>
      <c r="BS37">
        <v>1.89</v>
      </c>
      <c r="BT37" t="s">
        <v>929</v>
      </c>
      <c r="BU37" t="s">
        <v>882</v>
      </c>
      <c r="BV37">
        <v>21.84</v>
      </c>
      <c r="BW37">
        <v>14.27</v>
      </c>
      <c r="BX37">
        <v>14.53</v>
      </c>
      <c r="BY37">
        <v>2.68</v>
      </c>
      <c r="BZ37">
        <v>-8.39</v>
      </c>
      <c r="CA37">
        <v>1.84</v>
      </c>
      <c r="CB37">
        <v>-1.46</v>
      </c>
      <c r="CC37">
        <v>-13.37</v>
      </c>
      <c r="CD37" t="s">
        <v>2772</v>
      </c>
      <c r="CE37" t="s">
        <v>2773</v>
      </c>
      <c r="CF37" s="8">
        <v>0.34369602763385149</v>
      </c>
      <c r="CG37" s="9">
        <v>0.78535909590470587</v>
      </c>
      <c r="CH37" s="8">
        <v>-0.17055658996105194</v>
      </c>
      <c r="CI37" s="8">
        <v>-5.9915591031312943E-2</v>
      </c>
      <c r="CJ37" s="8">
        <v>0.24824440479278564</v>
      </c>
      <c r="CK37" s="8">
        <v>0.16150081157684326</v>
      </c>
      <c r="CL37" s="8">
        <v>-0.14265733957290649</v>
      </c>
      <c r="CM37" s="9">
        <v>1.51171875</v>
      </c>
      <c r="CN37" s="9">
        <v>-4.7559399604797363</v>
      </c>
      <c r="CO37" s="9">
        <v>-0.47570228576660156</v>
      </c>
      <c r="CP37" s="9">
        <v>2.5941486358642578</v>
      </c>
      <c r="CQ37" s="9">
        <v>1.0364984273910522</v>
      </c>
      <c r="CR37">
        <v>-61.899373621510229</v>
      </c>
      <c r="CS37">
        <v>-84.525737203311266</v>
      </c>
      <c r="CT37">
        <v>0</v>
      </c>
      <c r="CU37" s="8">
        <v>7.3231391608715056E-3</v>
      </c>
      <c r="CV37" s="9">
        <v>-1.7855286598205566E-2</v>
      </c>
      <c r="CW37">
        <v>0.06</v>
      </c>
      <c r="CX37">
        <v>52.990773057254984</v>
      </c>
      <c r="CY37">
        <v>124489935.12271148</v>
      </c>
      <c r="CZ37">
        <v>7.3231391608715056E-3</v>
      </c>
      <c r="DA37">
        <v>18.584479973627275</v>
      </c>
      <c r="DB37">
        <v>354963814.39574116</v>
      </c>
      <c r="DC37">
        <v>6.9569822028279302E-3</v>
      </c>
      <c r="DD37">
        <v>10.023451619689306</v>
      </c>
      <c r="DE37">
        <v>658138348.97369218</v>
      </c>
      <c r="DF37">
        <v>6.4443624615669248E-3</v>
      </c>
      <c r="DG37">
        <v>6.6432375612714081</v>
      </c>
      <c r="DH37">
        <v>993012494.1576643</v>
      </c>
      <c r="DI37">
        <v>5.8585113286972051E-3</v>
      </c>
      <c r="DJ37">
        <v>4.1996877492004252</v>
      </c>
      <c r="DK37">
        <v>1570787709.4567237</v>
      </c>
      <c r="DL37">
        <v>5.1261974126100536E-3</v>
      </c>
      <c r="DM37">
        <v>131000000</v>
      </c>
      <c r="DN37">
        <v>7.3231391608715056E-3</v>
      </c>
      <c r="DO37">
        <v>6596817900</v>
      </c>
      <c r="DP37">
        <v>2275015200</v>
      </c>
      <c r="DQ37">
        <v>1109</v>
      </c>
      <c r="DR37">
        <v>0.33637288847297997</v>
      </c>
      <c r="DS37">
        <v>0.80321438250291144</v>
      </c>
      <c r="DT37" s="10">
        <v>-0.35666666666666669</v>
      </c>
      <c r="DU37">
        <v>0.52166666666666661</v>
      </c>
      <c r="DV37">
        <v>0.16499999999999992</v>
      </c>
      <c r="DW37">
        <v>-2.1337000000000002</v>
      </c>
      <c r="DX37">
        <v>0.32011467710371805</v>
      </c>
      <c r="DY37">
        <v>-2.016059332328767</v>
      </c>
      <c r="DZ37">
        <v>1326</v>
      </c>
      <c r="EA37">
        <v>-2.0118920770121438</v>
      </c>
      <c r="EB37">
        <v>2</v>
      </c>
      <c r="EC37">
        <v>3.1918050797452052E-2</v>
      </c>
      <c r="ED37">
        <v>0.26572981393348821</v>
      </c>
      <c r="EE37" s="11">
        <v>1.0223</v>
      </c>
      <c r="EF37">
        <v>1.00241</v>
      </c>
      <c r="EG37">
        <v>20.120114677103718</v>
      </c>
      <c r="EH37" t="s">
        <v>940</v>
      </c>
      <c r="EI37">
        <v>0</v>
      </c>
      <c r="EJ37">
        <v>1</v>
      </c>
      <c r="EK37" s="13">
        <v>45470</v>
      </c>
      <c r="EL37" s="14">
        <v>-1.59</v>
      </c>
      <c r="EM37" s="14">
        <v>-4.6399999999999997</v>
      </c>
      <c r="EN37" s="14">
        <v>0.21</v>
      </c>
      <c r="EO37" s="14">
        <v>2.3199999999999998</v>
      </c>
      <c r="EP37" s="14">
        <v>-2.4700000000000002</v>
      </c>
    </row>
    <row r="38" spans="1:146" ht="96" x14ac:dyDescent="0.25">
      <c r="A38" s="7"/>
      <c r="B38" s="7"/>
      <c r="C38" s="7" t="str">
        <f>""&amp;CHAR(10)&amp;Basic_Fundamental_Information_Constructure(F38)&amp;CHAR(10)&amp;Basic_Fundamental_Information_Concatenate("")</f>
        <v xml:space="preserve">
市值24.202152亿, 利润5236.38万; PE40.31; 平均PE63.36; 平均PEG26.15, PB1.85; ROIC4.9067%; ROE4.7%; 股利率.8715%; 毛利15.8333%; 净利3.5633%; 上一年度营收增5.44%, 利润增69.57%; 当季营收增.15%, 利润增4.37%; 过往5年营收增2.42%, 利润增9.85%
Income profile:
</v>
      </c>
      <c r="D38" t="s">
        <v>164</v>
      </c>
      <c r="E38" t="s">
        <v>1094</v>
      </c>
      <c r="F38">
        <v>9.18</v>
      </c>
      <c r="G38">
        <v>1.32</v>
      </c>
      <c r="H38" t="s">
        <v>2774</v>
      </c>
      <c r="I38">
        <v>2420215200</v>
      </c>
      <c r="J38">
        <v>40.31</v>
      </c>
      <c r="K38">
        <v>1.85</v>
      </c>
      <c r="L38" t="s">
        <v>67</v>
      </c>
      <c r="M38" t="s">
        <v>1037</v>
      </c>
      <c r="N38" t="s">
        <v>2775</v>
      </c>
      <c r="O38" t="s">
        <v>1700</v>
      </c>
      <c r="P38">
        <v>0.18</v>
      </c>
      <c r="Q38" t="s">
        <v>1701</v>
      </c>
      <c r="R38">
        <v>177420670</v>
      </c>
      <c r="S38" s="5">
        <v>4.53E-2</v>
      </c>
      <c r="T38" t="s">
        <v>1702</v>
      </c>
      <c r="U38">
        <v>201747700</v>
      </c>
      <c r="V38">
        <v>263640000</v>
      </c>
      <c r="W38">
        <v>1.61</v>
      </c>
      <c r="X38">
        <v>0.28999999999999998</v>
      </c>
      <c r="Y38">
        <v>27.6</v>
      </c>
      <c r="Z38" t="s">
        <v>922</v>
      </c>
      <c r="AA38" t="s">
        <v>1044</v>
      </c>
      <c r="AB38" t="s">
        <v>2776</v>
      </c>
      <c r="AC38" t="s">
        <v>2777</v>
      </c>
      <c r="AD38" t="s">
        <v>70</v>
      </c>
      <c r="AE38">
        <v>4779600</v>
      </c>
      <c r="AF38" t="s">
        <v>105</v>
      </c>
      <c r="AG38" t="s">
        <v>2778</v>
      </c>
      <c r="AH38" t="s">
        <v>1703</v>
      </c>
      <c r="AI38" t="s">
        <v>2762</v>
      </c>
      <c r="AJ38" t="s">
        <v>1704</v>
      </c>
      <c r="AK38" t="s">
        <v>70</v>
      </c>
      <c r="AL38" t="s">
        <v>1705</v>
      </c>
      <c r="AM38" t="s">
        <v>70</v>
      </c>
      <c r="AN38" t="s">
        <v>2779</v>
      </c>
      <c r="AO38" t="s">
        <v>893</v>
      </c>
      <c r="AP38" t="s">
        <v>70</v>
      </c>
      <c r="AQ38" t="s">
        <v>912</v>
      </c>
      <c r="AR38" t="s">
        <v>70</v>
      </c>
      <c r="AS38" t="s">
        <v>1567</v>
      </c>
      <c r="AT38" t="s">
        <v>1258</v>
      </c>
      <c r="AU38" t="s">
        <v>1873</v>
      </c>
      <c r="AV38" t="s">
        <v>2780</v>
      </c>
      <c r="AW38" t="s">
        <v>2781</v>
      </c>
      <c r="AX38" t="s">
        <v>1095</v>
      </c>
      <c r="AY38" t="s">
        <v>698</v>
      </c>
      <c r="AZ38" t="s">
        <v>410</v>
      </c>
      <c r="BA38" t="s">
        <v>166</v>
      </c>
      <c r="BB38" t="s">
        <v>192</v>
      </c>
      <c r="BC38" t="s">
        <v>1706</v>
      </c>
      <c r="BD38" t="s">
        <v>761</v>
      </c>
      <c r="BE38" t="s">
        <v>436</v>
      </c>
      <c r="BF38" t="s">
        <v>167</v>
      </c>
      <c r="BG38" t="s">
        <v>437</v>
      </c>
      <c r="BH38" t="s">
        <v>1701</v>
      </c>
      <c r="BI38" t="s">
        <v>360</v>
      </c>
      <c r="BJ38" t="s">
        <v>1095</v>
      </c>
      <c r="BK38" t="s">
        <v>1702</v>
      </c>
      <c r="BL38" t="s">
        <v>1399</v>
      </c>
      <c r="BM38" t="s">
        <v>1706</v>
      </c>
      <c r="BN38">
        <v>3.56</v>
      </c>
      <c r="BO38">
        <v>5.38</v>
      </c>
      <c r="BP38">
        <v>5.78</v>
      </c>
      <c r="BQ38">
        <v>4.92</v>
      </c>
      <c r="BR38">
        <v>4.76</v>
      </c>
      <c r="BS38">
        <v>4.42</v>
      </c>
      <c r="BT38" t="s">
        <v>935</v>
      </c>
      <c r="BU38" t="s">
        <v>884</v>
      </c>
      <c r="BV38">
        <v>16.16</v>
      </c>
      <c r="BW38">
        <v>15.1</v>
      </c>
      <c r="BX38">
        <v>16.239999999999998</v>
      </c>
      <c r="BY38">
        <v>4.92</v>
      </c>
      <c r="BZ38">
        <v>3</v>
      </c>
      <c r="CA38">
        <v>2.77</v>
      </c>
      <c r="CB38">
        <v>-2.96</v>
      </c>
      <c r="CC38">
        <v>-10.96</v>
      </c>
      <c r="CD38" t="s">
        <v>2782</v>
      </c>
      <c r="CE38" t="s">
        <v>2520</v>
      </c>
      <c r="CF38" s="8">
        <v>1.5313935681470138E-3</v>
      </c>
      <c r="CG38" s="9">
        <v>4.3651000000000002E-2</v>
      </c>
      <c r="CH38" s="8">
        <v>5.4421707987785339E-2</v>
      </c>
      <c r="CI38" s="8">
        <v>2.3880597203969955E-2</v>
      </c>
      <c r="CJ38" s="8">
        <v>5.5672269314527512E-2</v>
      </c>
      <c r="CK38" s="8">
        <v>3.4782607108354568E-2</v>
      </c>
      <c r="CL38" s="8">
        <v>-4.76190485060215E-2</v>
      </c>
      <c r="CM38" s="9">
        <v>0.69569694995880127</v>
      </c>
      <c r="CN38" s="9">
        <v>0.12769274413585663</v>
      </c>
      <c r="CO38" s="9">
        <v>-4.0807463228702545E-2</v>
      </c>
      <c r="CP38" s="9">
        <v>-0.39592894911766052</v>
      </c>
      <c r="CQ38" s="9">
        <v>0.10596150159835815</v>
      </c>
      <c r="CR38">
        <v>63.364823257535029</v>
      </c>
      <c r="CS38">
        <v>26.153954015751726</v>
      </c>
      <c r="CT38">
        <v>0.8714596949891068</v>
      </c>
      <c r="CU38" s="8">
        <v>2.4227626621723175E-2</v>
      </c>
      <c r="CV38" s="9">
        <v>9.85229566693306E-2</v>
      </c>
      <c r="CW38">
        <v>0.06</v>
      </c>
      <c r="CX38">
        <v>46.944118422208909</v>
      </c>
      <c r="CY38">
        <v>50596651.504617535</v>
      </c>
      <c r="CZ38">
        <v>2.4227626621723175E-2</v>
      </c>
      <c r="DA38">
        <v>16.226119263570585</v>
      </c>
      <c r="DB38">
        <v>146382210.15252972</v>
      </c>
      <c r="DC38">
        <v>2.3016245290637016E-2</v>
      </c>
      <c r="DD38">
        <v>8.5930908628887437</v>
      </c>
      <c r="DE38">
        <v>276409878.34283447</v>
      </c>
      <c r="DF38">
        <v>2.1320311427116396E-2</v>
      </c>
      <c r="DG38">
        <v>5.5881638226667363</v>
      </c>
      <c r="DH38">
        <v>425043945.627657</v>
      </c>
      <c r="DI38">
        <v>1.9382101297378541E-2</v>
      </c>
      <c r="DJ38">
        <v>3.4066708143928546</v>
      </c>
      <c r="DK38">
        <v>697224747.9753387</v>
      </c>
      <c r="DL38">
        <v>1.6959338635206222E-2</v>
      </c>
      <c r="DM38">
        <v>52363800</v>
      </c>
      <c r="DN38">
        <v>2.4227626621723175E-2</v>
      </c>
      <c r="DO38">
        <v>2375215200</v>
      </c>
      <c r="DP38">
        <v>515992420</v>
      </c>
      <c r="DQ38">
        <v>1360</v>
      </c>
      <c r="DR38">
        <v>-2.2696233053576161E-2</v>
      </c>
      <c r="DS38">
        <v>-5.4871956669330597E-2</v>
      </c>
      <c r="DT38" s="10">
        <v>-0.44</v>
      </c>
      <c r="DU38">
        <v>0.21666666666666667</v>
      </c>
      <c r="DV38">
        <v>-0.22333333333333333</v>
      </c>
      <c r="DW38">
        <v>-8.2700729927007295</v>
      </c>
      <c r="DX38">
        <v>0.25169677419354969</v>
      </c>
      <c r="DY38">
        <v>-8.0166626324464332</v>
      </c>
      <c r="DZ38">
        <v>2249</v>
      </c>
      <c r="EA38">
        <v>-8.0093291176965256</v>
      </c>
      <c r="EB38">
        <v>8</v>
      </c>
      <c r="EC38">
        <v>6.5291306326809281E-2</v>
      </c>
      <c r="ED38">
        <v>1.0582612653618571</v>
      </c>
      <c r="EE38" s="11">
        <v>-2.1112099999999998</v>
      </c>
      <c r="EF38">
        <v>-2.1303100000000001</v>
      </c>
      <c r="EG38">
        <v>19.06169677419355</v>
      </c>
      <c r="EH38" t="s">
        <v>1226</v>
      </c>
      <c r="EI38">
        <v>0</v>
      </c>
      <c r="EJ38">
        <v>0</v>
      </c>
      <c r="EK38" s="13">
        <v>45470</v>
      </c>
      <c r="EL38" s="14">
        <v>-1.25</v>
      </c>
      <c r="EM38" s="14">
        <v>-2.3199999999999998</v>
      </c>
      <c r="EN38" s="14">
        <v>-0.22</v>
      </c>
      <c r="EO38" s="14">
        <v>1.73</v>
      </c>
      <c r="EP38" s="14">
        <v>-1.91</v>
      </c>
    </row>
    <row r="39" spans="1:146" ht="156" x14ac:dyDescent="0.25">
      <c r="A39" s="7"/>
      <c r="B39" s="7"/>
      <c r="C39" s="7" t="str">
        <f>"公司主要从事节能服务，为客户能源使用提供诊断、设计、改造、综合能源项目投资及运营维护等一站式综合节能服务。公司的主要产品及服务为合同能源管理服务、咨询及工程服务、资源综合利用。"&amp;CHAR(10)&amp;Basic_Fundamental_Information_Constructure(F39)&amp;CHAR(10)&amp;Basic_Fundamental_Information_Concatenate("节能服务业务 9.55亿 72.99% 79.11% 40.55%
综合资源利用业务 3.26亿 24.92% 20.33% 30.52%
其他业务 2734.70万 2.09% 0.56% 10.11%")</f>
        <v>公司主要从事节能服务，为客户能源使用提供诊断、设计、改造、综合能源项目投资及运营维护等一站式综合节能服务。公司的主要产品及服务为合同能源管理服务、咨询及工程服务、资源综合利用。
市值163.63636亿, 利润3.11亿; PE51.36; 平均PE44.53; 平均PEG2.2, PB2.4; ROIC5.7133%; ROE7.52%; 股利率.2106%; 毛利37.0333%; 净利17.7167%; 上一年度营收增3.46%, 利润增-43.86%; 当季营收增5.11%, 利润增9.59%; 过往5年营收增20.21%, 利润增16.96%
Income profile:
节能服务业务 9.55亿 72.99% 79.11% 40.55%
综合资源利用业务 3.26亿 24.92% 20.33% 30.52%
其他业务 2734.70万 2.09% 0.56% 10.11%</v>
      </c>
      <c r="D39" t="s">
        <v>439</v>
      </c>
      <c r="E39" t="s">
        <v>440</v>
      </c>
      <c r="F39">
        <v>4.32</v>
      </c>
      <c r="G39">
        <v>-0.92</v>
      </c>
      <c r="H39" t="s">
        <v>2783</v>
      </c>
      <c r="I39">
        <v>16363636000</v>
      </c>
      <c r="J39">
        <v>51.36</v>
      </c>
      <c r="K39">
        <v>2.4</v>
      </c>
      <c r="L39" t="s">
        <v>67</v>
      </c>
      <c r="M39" t="s">
        <v>1707</v>
      </c>
      <c r="N39" t="s">
        <v>2784</v>
      </c>
      <c r="O39" t="s">
        <v>1708</v>
      </c>
      <c r="P39">
        <v>5.0999999999999996</v>
      </c>
      <c r="Q39" t="s">
        <v>1295</v>
      </c>
      <c r="R39">
        <v>89865532</v>
      </c>
      <c r="S39" s="5">
        <v>9.5899999999999999E-2</v>
      </c>
      <c r="T39" t="s">
        <v>376</v>
      </c>
      <c r="U39">
        <v>2257878800</v>
      </c>
      <c r="V39">
        <v>3787878800</v>
      </c>
      <c r="W39">
        <v>2.5099999999999998</v>
      </c>
      <c r="X39">
        <v>0.03</v>
      </c>
      <c r="Y39">
        <v>16.47</v>
      </c>
      <c r="Z39" t="s">
        <v>258</v>
      </c>
      <c r="AA39" t="s">
        <v>2785</v>
      </c>
      <c r="AB39" t="s">
        <v>2786</v>
      </c>
      <c r="AC39" t="s">
        <v>2787</v>
      </c>
      <c r="AD39" t="s">
        <v>70</v>
      </c>
      <c r="AE39">
        <v>68646473</v>
      </c>
      <c r="AF39" t="s">
        <v>1709</v>
      </c>
      <c r="AG39" t="s">
        <v>2788</v>
      </c>
      <c r="AH39" t="s">
        <v>1710</v>
      </c>
      <c r="AI39" t="s">
        <v>2789</v>
      </c>
      <c r="AJ39" t="s">
        <v>1712</v>
      </c>
      <c r="AK39" t="s">
        <v>2790</v>
      </c>
      <c r="AL39" t="s">
        <v>1713</v>
      </c>
      <c r="AM39" t="s">
        <v>70</v>
      </c>
      <c r="AN39" t="s">
        <v>2791</v>
      </c>
      <c r="AO39" t="s">
        <v>1327</v>
      </c>
      <c r="AP39" t="s">
        <v>2792</v>
      </c>
      <c r="AQ39" t="s">
        <v>1730</v>
      </c>
      <c r="AR39" t="s">
        <v>70</v>
      </c>
      <c r="AS39" t="s">
        <v>2793</v>
      </c>
      <c r="AT39" t="s">
        <v>2794</v>
      </c>
      <c r="AU39" t="s">
        <v>146</v>
      </c>
      <c r="AV39" t="s">
        <v>2795</v>
      </c>
      <c r="AW39" t="s">
        <v>1044</v>
      </c>
      <c r="AX39" t="s">
        <v>914</v>
      </c>
      <c r="AY39" t="s">
        <v>1096</v>
      </c>
      <c r="AZ39" t="s">
        <v>441</v>
      </c>
      <c r="BA39" t="s">
        <v>442</v>
      </c>
      <c r="BB39" t="s">
        <v>443</v>
      </c>
      <c r="BC39" t="s">
        <v>152</v>
      </c>
      <c r="BD39" t="s">
        <v>1097</v>
      </c>
      <c r="BE39" t="s">
        <v>409</v>
      </c>
      <c r="BF39" t="s">
        <v>379</v>
      </c>
      <c r="BG39" t="s">
        <v>355</v>
      </c>
      <c r="BH39" t="s">
        <v>1295</v>
      </c>
      <c r="BI39" t="s">
        <v>1296</v>
      </c>
      <c r="BJ39" t="s">
        <v>914</v>
      </c>
      <c r="BK39" t="s">
        <v>376</v>
      </c>
      <c r="BL39" t="s">
        <v>1714</v>
      </c>
      <c r="BM39" t="s">
        <v>152</v>
      </c>
      <c r="BN39">
        <v>3.94</v>
      </c>
      <c r="BO39">
        <v>6.54</v>
      </c>
      <c r="BP39">
        <v>6.66</v>
      </c>
      <c r="BQ39">
        <v>5.24</v>
      </c>
      <c r="BR39">
        <v>8.91</v>
      </c>
      <c r="BS39">
        <v>8.41</v>
      </c>
      <c r="BT39" t="s">
        <v>1715</v>
      </c>
      <c r="BU39" t="s">
        <v>885</v>
      </c>
      <c r="BV39">
        <v>33.26</v>
      </c>
      <c r="BW39">
        <v>37.409999999999997</v>
      </c>
      <c r="BX39">
        <v>40.43</v>
      </c>
      <c r="BY39">
        <v>12.1</v>
      </c>
      <c r="BZ39">
        <v>21.02</v>
      </c>
      <c r="CA39">
        <v>20.03</v>
      </c>
      <c r="CB39">
        <v>-1.82</v>
      </c>
      <c r="CC39">
        <v>-11.67</v>
      </c>
      <c r="CD39" t="s">
        <v>2796</v>
      </c>
      <c r="CE39" t="s">
        <v>2797</v>
      </c>
      <c r="CF39" s="8">
        <v>5.1094890510948905E-2</v>
      </c>
      <c r="CG39" s="9">
        <v>9.5907757222472897E-2</v>
      </c>
      <c r="CH39" s="8">
        <v>3.4626040607690811E-2</v>
      </c>
      <c r="CI39" s="8">
        <v>0.10271093249320984</v>
      </c>
      <c r="CJ39" s="8">
        <v>0.30363371968269348</v>
      </c>
      <c r="CK39" s="8">
        <v>0.33222806453704834</v>
      </c>
      <c r="CL39" s="8">
        <v>0.23707950115203857</v>
      </c>
      <c r="CM39" s="9">
        <v>-0.43862816691398621</v>
      </c>
      <c r="CN39" s="9">
        <v>0.15657620131969452</v>
      </c>
      <c r="CO39" s="9">
        <v>0.20050124824047089</v>
      </c>
      <c r="CP39" s="9">
        <v>0.44565218687057495</v>
      </c>
      <c r="CQ39" s="9">
        <v>0.48387095332145691</v>
      </c>
      <c r="CR39">
        <v>44.526900680272107</v>
      </c>
      <c r="CS39">
        <v>2.2036948883561549</v>
      </c>
      <c r="CT39">
        <v>0.21064814814814814</v>
      </c>
      <c r="CU39" s="8">
        <v>0.20205565169453621</v>
      </c>
      <c r="CV39" s="9">
        <v>0.1695944845676422</v>
      </c>
      <c r="CW39">
        <v>0.06</v>
      </c>
      <c r="CX39">
        <v>55.786306393491749</v>
      </c>
      <c r="CY39">
        <v>352678592.14811397</v>
      </c>
      <c r="CZ39">
        <v>0.20205565169453621</v>
      </c>
      <c r="DA39">
        <v>16.600769789420855</v>
      </c>
      <c r="DB39">
        <v>1185164076.7007096</v>
      </c>
      <c r="DC39">
        <v>0.19195286910980938</v>
      </c>
      <c r="DD39">
        <v>7.1745277206339519</v>
      </c>
      <c r="DE39">
        <v>2742290052.5446043</v>
      </c>
      <c r="DF39">
        <v>0.17780897349119187</v>
      </c>
      <c r="DG39">
        <v>3.6941072708965614</v>
      </c>
      <c r="DH39">
        <v>5325951456.5274</v>
      </c>
      <c r="DI39">
        <v>0.16164452135562898</v>
      </c>
      <c r="DJ39">
        <v>1.3295816477283111</v>
      </c>
      <c r="DK39">
        <v>14797613996.56469</v>
      </c>
      <c r="DL39">
        <v>0.14143895618617533</v>
      </c>
      <c r="DM39">
        <v>311000000</v>
      </c>
      <c r="DN39">
        <v>0.20205565169453621</v>
      </c>
      <c r="DO39">
        <v>19674636000</v>
      </c>
      <c r="DP39">
        <v>590873700</v>
      </c>
      <c r="DQ39">
        <v>1489</v>
      </c>
      <c r="DR39">
        <v>-0.15096076118358731</v>
      </c>
      <c r="DS39">
        <v>-7.3686727345169303E-2</v>
      </c>
      <c r="DT39" s="10">
        <v>-9.000000000000008E-2</v>
      </c>
      <c r="DU39">
        <v>0.33333333333333326</v>
      </c>
      <c r="DV39">
        <v>0.24333333333333318</v>
      </c>
      <c r="DW39">
        <v>-2.1166999999999998</v>
      </c>
      <c r="DX39">
        <v>0.31573959107806515</v>
      </c>
      <c r="DY39">
        <v>-2.0088388102788106</v>
      </c>
      <c r="DZ39">
        <v>1177</v>
      </c>
      <c r="EA39">
        <v>-2.0068029434102863</v>
      </c>
      <c r="EB39">
        <v>2</v>
      </c>
      <c r="EC39">
        <v>1.0757445565576174E-2</v>
      </c>
      <c r="ED39">
        <v>0.14203199954549761</v>
      </c>
      <c r="EE39" s="11">
        <v>-1.0033000000000001</v>
      </c>
      <c r="EF39">
        <v>-1.0215099999999999</v>
      </c>
      <c r="EG39">
        <v>24.075739591078065</v>
      </c>
      <c r="EH39" t="s">
        <v>812</v>
      </c>
      <c r="EI39">
        <v>0</v>
      </c>
      <c r="EJ39">
        <v>1</v>
      </c>
      <c r="EK39" s="13">
        <v>45470</v>
      </c>
      <c r="EL39" s="14">
        <v>-0.66</v>
      </c>
      <c r="EM39" s="14">
        <v>-2.65</v>
      </c>
      <c r="EN39" s="14">
        <v>-0.91</v>
      </c>
      <c r="EO39" s="14">
        <v>1.83</v>
      </c>
      <c r="EP39" s="14">
        <v>-2.48</v>
      </c>
    </row>
    <row r="40" spans="1:146" ht="132" x14ac:dyDescent="0.25">
      <c r="A40" s="7"/>
      <c r="B40" s="7" t="s">
        <v>946</v>
      </c>
      <c r="C40" s="7" t="str">
        <f>"公司的主营业务为建设、运营及管理核电站，销售该等核电站所发电力，组织开发核电站的设计及科研工作。公司的主要产品是电力。"&amp;CHAR(10)&amp;Basic_Fundamental_Information_Constructure(F40)&amp;CHAR(10)&amp;Basic_Fundamental_Information_Concatenate("销售电力 278.03亿 75.92% 99.48% 52.23%
建筑安装和设计服务 78.51亿 21.44% 0.39% 0.73%")</f>
        <v>公司的主营业务为建设、运营及管理核电站，销售该等核电站所发电力，组织开发核电站的设计及科研工作。公司的主要产品是电力。
市值2418.8835亿, 利润107.25亿; PE22.31; 平均PE24.94; 平均PEG2.38, PB2.07; ROIC5.6767%; ROE9.47%; 股利率1.9624%; 毛利34.14%; 净利19.4967%; 上一年度营收增-.33%, 利润增7.64%; 当季营收增4.88%, 利润增3.39%; 过往5年营收增10.47%, 利润增4.32%
Income profile:
销售电力 278.03亿 75.92% 99.48% 52.23%
建筑安装和设计服务 78.51亿 21.44% 0.39% 0.73%</v>
      </c>
      <c r="D40" t="s">
        <v>170</v>
      </c>
      <c r="E40" t="s">
        <v>171</v>
      </c>
      <c r="F40">
        <v>4.79</v>
      </c>
      <c r="G40">
        <v>0</v>
      </c>
      <c r="H40" t="s">
        <v>271</v>
      </c>
      <c r="I40">
        <v>241888350000</v>
      </c>
      <c r="J40">
        <v>22.31</v>
      </c>
      <c r="K40">
        <v>2.0699999999999998</v>
      </c>
      <c r="L40" t="s">
        <v>67</v>
      </c>
      <c r="M40" t="s">
        <v>1716</v>
      </c>
      <c r="N40" t="s">
        <v>2798</v>
      </c>
      <c r="O40" t="s">
        <v>1717</v>
      </c>
      <c r="P40">
        <v>4.88</v>
      </c>
      <c r="Q40" t="s">
        <v>1718</v>
      </c>
      <c r="R40">
        <v>3604167200</v>
      </c>
      <c r="S40" s="5">
        <v>3.3799999999999997E-2</v>
      </c>
      <c r="T40" t="s">
        <v>1719</v>
      </c>
      <c r="U40">
        <v>39334986000</v>
      </c>
      <c r="V40">
        <v>50498611000</v>
      </c>
      <c r="W40">
        <v>2.4900000000000002</v>
      </c>
      <c r="X40">
        <v>0.05</v>
      </c>
      <c r="Y40">
        <v>27.94</v>
      </c>
      <c r="Z40" t="s">
        <v>2799</v>
      </c>
      <c r="AA40" t="s">
        <v>1576</v>
      </c>
      <c r="AB40" t="s">
        <v>2800</v>
      </c>
      <c r="AC40" t="s">
        <v>413</v>
      </c>
      <c r="AD40" t="s">
        <v>70</v>
      </c>
      <c r="AE40">
        <v>1269620270</v>
      </c>
      <c r="AF40" t="s">
        <v>1720</v>
      </c>
      <c r="AG40" t="s">
        <v>2801</v>
      </c>
      <c r="AH40" t="s">
        <v>1721</v>
      </c>
      <c r="AI40" t="s">
        <v>2802</v>
      </c>
      <c r="AJ40" t="s">
        <v>1722</v>
      </c>
      <c r="AK40" t="s">
        <v>2803</v>
      </c>
      <c r="AL40" t="s">
        <v>1723</v>
      </c>
      <c r="AM40" t="s">
        <v>70</v>
      </c>
      <c r="AN40" t="s">
        <v>2804</v>
      </c>
      <c r="AO40" t="s">
        <v>2805</v>
      </c>
      <c r="AP40" t="s">
        <v>2806</v>
      </c>
      <c r="AQ40" t="s">
        <v>2807</v>
      </c>
      <c r="AR40" t="s">
        <v>2808</v>
      </c>
      <c r="AS40" t="s">
        <v>2809</v>
      </c>
      <c r="AT40" t="s">
        <v>2810</v>
      </c>
      <c r="AU40" t="s">
        <v>2811</v>
      </c>
      <c r="AV40" t="s">
        <v>2812</v>
      </c>
      <c r="AW40" t="s">
        <v>2813</v>
      </c>
      <c r="AX40" t="s">
        <v>1099</v>
      </c>
      <c r="AY40" t="s">
        <v>762</v>
      </c>
      <c r="AZ40" t="s">
        <v>445</v>
      </c>
      <c r="BA40" t="s">
        <v>172</v>
      </c>
      <c r="BB40" t="s">
        <v>447</v>
      </c>
      <c r="BC40" t="s">
        <v>1724</v>
      </c>
      <c r="BD40" t="s">
        <v>1100</v>
      </c>
      <c r="BE40" t="s">
        <v>446</v>
      </c>
      <c r="BF40" t="s">
        <v>173</v>
      </c>
      <c r="BG40" t="s">
        <v>448</v>
      </c>
      <c r="BH40" t="s">
        <v>1718</v>
      </c>
      <c r="BI40" t="s">
        <v>1725</v>
      </c>
      <c r="BJ40" t="s">
        <v>1099</v>
      </c>
      <c r="BK40" t="s">
        <v>1719</v>
      </c>
      <c r="BL40" t="s">
        <v>1726</v>
      </c>
      <c r="BM40" t="s">
        <v>1724</v>
      </c>
      <c r="BN40">
        <v>5.24</v>
      </c>
      <c r="BO40">
        <v>5.68</v>
      </c>
      <c r="BP40">
        <v>6.11</v>
      </c>
      <c r="BQ40">
        <v>8.82</v>
      </c>
      <c r="BR40">
        <v>9.6300000000000008</v>
      </c>
      <c r="BS40">
        <v>9.9600000000000009</v>
      </c>
      <c r="BT40" t="s">
        <v>1727</v>
      </c>
      <c r="BU40" t="s">
        <v>882</v>
      </c>
      <c r="BV40">
        <v>35.97</v>
      </c>
      <c r="BW40">
        <v>33.25</v>
      </c>
      <c r="BX40">
        <v>33.200000000000003</v>
      </c>
      <c r="BY40">
        <v>20.65</v>
      </c>
      <c r="BZ40">
        <v>18.399999999999999</v>
      </c>
      <c r="CA40">
        <v>19.440000000000001</v>
      </c>
      <c r="CB40">
        <v>3.46</v>
      </c>
      <c r="CC40">
        <v>20.05</v>
      </c>
      <c r="CD40" t="s">
        <v>814</v>
      </c>
      <c r="CE40" t="s">
        <v>2814</v>
      </c>
      <c r="CF40" s="8">
        <v>4.8827163868992288E-2</v>
      </c>
      <c r="CG40" s="9">
        <v>3.3897647733792315E-2</v>
      </c>
      <c r="CH40" s="8">
        <v>-3.2962064724415541E-3</v>
      </c>
      <c r="CI40" s="8">
        <v>2.6561984792351723E-2</v>
      </c>
      <c r="CJ40" s="8">
        <v>0.14300492405891418</v>
      </c>
      <c r="CK40" s="8">
        <v>0.159507155418396</v>
      </c>
      <c r="CL40" s="8">
        <v>0.19766664505004883</v>
      </c>
      <c r="CM40" s="9">
        <v>7.6374940574169159E-2</v>
      </c>
      <c r="CN40" s="9">
        <v>2.0483462139964104E-2</v>
      </c>
      <c r="CO40" s="9">
        <v>2.1125219762325287E-2</v>
      </c>
      <c r="CP40" s="9">
        <v>1.0141558945178986E-2</v>
      </c>
      <c r="CQ40" s="9">
        <v>8.767101913690567E-2</v>
      </c>
      <c r="CR40">
        <v>24.943800701223701</v>
      </c>
      <c r="CS40">
        <v>2.3826595336795249</v>
      </c>
      <c r="CT40">
        <v>1.9624217118997911</v>
      </c>
      <c r="CU40" s="8">
        <v>0.10468890056945383</v>
      </c>
      <c r="CV40" s="9">
        <v>4.3159240111708644E-2</v>
      </c>
      <c r="CW40">
        <v>0.06</v>
      </c>
      <c r="CX40">
        <v>28.934575612797065</v>
      </c>
      <c r="CY40">
        <v>11177158923.214521</v>
      </c>
      <c r="CZ40">
        <v>0.10468890056945383</v>
      </c>
      <c r="DA40">
        <v>9.3388609979348196</v>
      </c>
      <c r="DB40">
        <v>34630170646.240219</v>
      </c>
      <c r="DC40">
        <v>9.9454455540981132E-2</v>
      </c>
      <c r="DD40">
        <v>4.5211730248577382</v>
      </c>
      <c r="DE40">
        <v>71531513662.911896</v>
      </c>
      <c r="DF40">
        <v>9.2126232501119371E-2</v>
      </c>
      <c r="DG40">
        <v>2.6640453284624708</v>
      </c>
      <c r="DH40">
        <v>121396714442.03654</v>
      </c>
      <c r="DI40">
        <v>8.3751120455563072E-2</v>
      </c>
      <c r="DJ40">
        <v>1.3195244793498231</v>
      </c>
      <c r="DK40">
        <v>245093103660.61105</v>
      </c>
      <c r="DL40">
        <v>7.3282230398617684E-2</v>
      </c>
      <c r="DM40">
        <v>10725000000</v>
      </c>
      <c r="DN40">
        <v>0.10468890056945383</v>
      </c>
      <c r="DO40">
        <v>323406350000</v>
      </c>
      <c r="DP40">
        <v>-4724966000</v>
      </c>
      <c r="DQ40">
        <v>1498</v>
      </c>
      <c r="DR40">
        <v>-5.5861736700461545E-2</v>
      </c>
      <c r="DS40">
        <v>-9.2615923779163292E-3</v>
      </c>
      <c r="DT40" s="10">
        <v>-0.22333333333333338</v>
      </c>
      <c r="DU40">
        <v>0</v>
      </c>
      <c r="DV40">
        <v>-0.22333333333333338</v>
      </c>
      <c r="DW40">
        <v>8.1725685785536157</v>
      </c>
      <c r="DX40">
        <v>0.34114570104275926</v>
      </c>
      <c r="DY40">
        <v>8.0278086845689742</v>
      </c>
      <c r="DZ40">
        <v>2261</v>
      </c>
      <c r="EA40">
        <v>8.015504293999415</v>
      </c>
      <c r="EB40">
        <v>8</v>
      </c>
      <c r="EC40">
        <v>1.2812233587969381E-2</v>
      </c>
      <c r="ED40">
        <v>7.9507137334925912E-2</v>
      </c>
      <c r="EE40" s="11">
        <v>1.0401100000000001</v>
      </c>
      <c r="EF40">
        <v>1.05121</v>
      </c>
      <c r="EG40">
        <v>18.161145701042759</v>
      </c>
      <c r="EH40" t="s">
        <v>940</v>
      </c>
      <c r="EI40">
        <v>0</v>
      </c>
      <c r="EJ40">
        <v>0</v>
      </c>
      <c r="EK40" s="13">
        <v>45470</v>
      </c>
      <c r="EL40" s="14">
        <v>-0.68</v>
      </c>
      <c r="EM40" s="14">
        <v>1.38</v>
      </c>
      <c r="EN40" s="14">
        <v>2.04</v>
      </c>
      <c r="EO40" s="14">
        <v>0.22</v>
      </c>
      <c r="EP40" s="14">
        <v>-1.1100000000000001</v>
      </c>
    </row>
    <row r="41" spans="1:146" ht="108" x14ac:dyDescent="0.25">
      <c r="C41" s="7" t="str">
        <f>""&amp;CHAR(10)&amp;Basic_Fundamental_Information_Constructure(F41)&amp;CHAR(10)&amp;Basic_Fundamental_Information_Concatenate("")</f>
        <v xml:space="preserve">
市值32.267239亿, 利润9421.49万; PE38.38; 平均PE32.72; 平均PEG4.7, PB1.14; ROIC4.8533%; ROE5.2033%; 股利率1.275%; 毛利34.31%; 净利11.32%; 上一年度营收增-8.93%, 利润增-36.34%; 当季营收增11.19%, 利润增-29.64%; 过往5年营收增6.96%, 利润增31.47%
Income profile:
</v>
      </c>
      <c r="D41" t="s">
        <v>1101</v>
      </c>
      <c r="E41" t="s">
        <v>1102</v>
      </c>
      <c r="F41">
        <v>5.49</v>
      </c>
      <c r="G41">
        <v>-2.66</v>
      </c>
      <c r="H41" t="s">
        <v>2815</v>
      </c>
      <c r="I41">
        <v>3226723900</v>
      </c>
      <c r="J41">
        <v>38.380000000000003</v>
      </c>
      <c r="K41">
        <v>1.1399999999999999</v>
      </c>
      <c r="L41" t="s">
        <v>67</v>
      </c>
      <c r="M41" t="s">
        <v>1728</v>
      </c>
      <c r="N41" t="s">
        <v>2816</v>
      </c>
      <c r="O41" t="s">
        <v>1271</v>
      </c>
      <c r="P41" s="5">
        <v>11.32</v>
      </c>
      <c r="Q41" t="s">
        <v>1730</v>
      </c>
      <c r="R41">
        <v>24070390</v>
      </c>
      <c r="S41">
        <v>-0.2964</v>
      </c>
      <c r="T41" t="s">
        <v>1731</v>
      </c>
      <c r="U41">
        <v>460711310</v>
      </c>
      <c r="V41">
        <v>587745700</v>
      </c>
      <c r="W41">
        <v>2.4700000000000002</v>
      </c>
      <c r="X41">
        <v>0.04</v>
      </c>
      <c r="Y41">
        <v>8.14</v>
      </c>
      <c r="Z41" t="s">
        <v>1529</v>
      </c>
      <c r="AA41" t="s">
        <v>613</v>
      </c>
      <c r="AB41" t="s">
        <v>2817</v>
      </c>
      <c r="AC41" t="s">
        <v>2818</v>
      </c>
      <c r="AD41" t="s">
        <v>70</v>
      </c>
      <c r="AE41">
        <v>36605169</v>
      </c>
      <c r="AF41" t="s">
        <v>1732</v>
      </c>
      <c r="AG41" t="s">
        <v>2819</v>
      </c>
      <c r="AH41" t="s">
        <v>1733</v>
      </c>
      <c r="AI41" t="s">
        <v>2820</v>
      </c>
      <c r="AJ41" t="s">
        <v>1734</v>
      </c>
      <c r="AK41" t="s">
        <v>2821</v>
      </c>
      <c r="AL41" t="s">
        <v>1735</v>
      </c>
      <c r="AM41" t="s">
        <v>70</v>
      </c>
      <c r="AN41" t="s">
        <v>2822</v>
      </c>
      <c r="AO41" t="s">
        <v>124</v>
      </c>
      <c r="AP41" t="s">
        <v>252</v>
      </c>
      <c r="AQ41" t="s">
        <v>2823</v>
      </c>
      <c r="AR41" t="s">
        <v>2824</v>
      </c>
      <c r="AS41" t="s">
        <v>801</v>
      </c>
      <c r="AT41" t="s">
        <v>2825</v>
      </c>
      <c r="AU41" t="s">
        <v>2826</v>
      </c>
      <c r="AV41" t="s">
        <v>2827</v>
      </c>
      <c r="AW41" t="s">
        <v>2828</v>
      </c>
      <c r="AX41" t="s">
        <v>1103</v>
      </c>
      <c r="AY41" t="s">
        <v>1104</v>
      </c>
      <c r="AZ41" t="s">
        <v>1105</v>
      </c>
      <c r="BA41" t="s">
        <v>1106</v>
      </c>
      <c r="BB41" t="s">
        <v>1107</v>
      </c>
      <c r="BC41" t="s">
        <v>130</v>
      </c>
      <c r="BD41" t="s">
        <v>256</v>
      </c>
      <c r="BE41" t="s">
        <v>1108</v>
      </c>
      <c r="BF41" t="s">
        <v>1109</v>
      </c>
      <c r="BG41" t="s">
        <v>1110</v>
      </c>
      <c r="BH41" t="s">
        <v>1730</v>
      </c>
      <c r="BI41" t="s">
        <v>1736</v>
      </c>
      <c r="BJ41" t="s">
        <v>1103</v>
      </c>
      <c r="BK41" t="s">
        <v>1731</v>
      </c>
      <c r="BL41" t="s">
        <v>1737</v>
      </c>
      <c r="BM41" t="s">
        <v>130</v>
      </c>
      <c r="BN41">
        <v>3.53</v>
      </c>
      <c r="BO41">
        <v>5.3</v>
      </c>
      <c r="BP41">
        <v>5.73</v>
      </c>
      <c r="BQ41">
        <v>3</v>
      </c>
      <c r="BR41">
        <v>5.32</v>
      </c>
      <c r="BS41">
        <v>7.29</v>
      </c>
      <c r="BT41" t="s">
        <v>937</v>
      </c>
      <c r="BU41" t="s">
        <v>882</v>
      </c>
      <c r="BV41">
        <v>29.83</v>
      </c>
      <c r="BW41">
        <v>39.340000000000003</v>
      </c>
      <c r="BX41">
        <v>33.76</v>
      </c>
      <c r="BY41">
        <v>8.3000000000000007</v>
      </c>
      <c r="BZ41">
        <v>12.39</v>
      </c>
      <c r="CA41">
        <v>13.27</v>
      </c>
      <c r="CB41">
        <v>-10.88</v>
      </c>
      <c r="CC41" s="8">
        <v>-0.72</v>
      </c>
      <c r="CD41" s="9" t="s">
        <v>1746</v>
      </c>
      <c r="CE41" s="8" t="s">
        <v>2829</v>
      </c>
      <c r="CF41" s="8">
        <v>0.11188811188811189</v>
      </c>
      <c r="CG41" s="8">
        <v>-0.29643429206126504</v>
      </c>
      <c r="CH41" s="8">
        <v>-8.9339390397071838E-2</v>
      </c>
      <c r="CI41" s="8">
        <v>-5.6657224893569946E-2</v>
      </c>
      <c r="CJ41" s="9">
        <v>0.10312499850988388</v>
      </c>
      <c r="CK41" s="9">
        <v>0.61820483207702637</v>
      </c>
      <c r="CL41" s="9">
        <v>-0.2275390625</v>
      </c>
      <c r="CM41" s="9">
        <v>-0.36341285705566406</v>
      </c>
      <c r="CN41" s="9">
        <v>-0.19565217196941376</v>
      </c>
      <c r="CO41">
        <v>1.62418532371521</v>
      </c>
      <c r="CP41">
        <v>0.39319506287574768</v>
      </c>
      <c r="CQ41">
        <v>0.11537310481071472</v>
      </c>
      <c r="CR41" s="8">
        <v>32.715307856401274</v>
      </c>
      <c r="CS41" s="9">
        <v>4.7032573137543974</v>
      </c>
      <c r="CT41">
        <v>1.2750455373406191</v>
      </c>
      <c r="CU41">
        <v>6.9558830559253687E-2</v>
      </c>
      <c r="CV41">
        <v>0.31473769247531891</v>
      </c>
      <c r="CW41">
        <v>0.06</v>
      </c>
      <c r="CX41">
        <v>49.668630379512983</v>
      </c>
      <c r="CY41">
        <v>95064507.797412276</v>
      </c>
      <c r="CZ41">
        <v>6.9558830559253687E-2</v>
      </c>
      <c r="DA41">
        <v>16.515298193716465</v>
      </c>
      <c r="DB41">
        <v>285900008.86550522</v>
      </c>
      <c r="DC41">
        <v>6.6080889031291001E-2</v>
      </c>
      <c r="DD41">
        <v>8.3194045507162144</v>
      </c>
      <c r="DE41">
        <v>567555510.88010359</v>
      </c>
      <c r="DF41">
        <v>6.1211770892143247E-2</v>
      </c>
      <c r="DG41">
        <v>5.1260144616218746</v>
      </c>
      <c r="DH41">
        <v>921129648.64832687</v>
      </c>
      <c r="DI41">
        <v>5.5647064447402951E-2</v>
      </c>
      <c r="DJ41">
        <v>2.7991893613181187</v>
      </c>
      <c r="DK41">
        <v>1686818321.4931102</v>
      </c>
      <c r="DL41">
        <v>4.869118139147758E-2</v>
      </c>
      <c r="DM41">
        <v>94214900</v>
      </c>
      <c r="DN41">
        <v>6.9558830559253687E-2</v>
      </c>
      <c r="DO41">
        <v>4721723900</v>
      </c>
      <c r="DP41">
        <v>873915000</v>
      </c>
      <c r="DQ41" s="10">
        <v>1535</v>
      </c>
      <c r="DR41">
        <v>4.2329281328858201E-2</v>
      </c>
      <c r="DS41">
        <v>-0.61117198453658395</v>
      </c>
      <c r="DT41">
        <v>-0.3066666666666667</v>
      </c>
      <c r="DU41">
        <v>-0.15333333333333335</v>
      </c>
      <c r="DV41">
        <v>-0.46000000000000008</v>
      </c>
      <c r="DW41">
        <v>-5.0661764705882355</v>
      </c>
      <c r="DX41">
        <v>0.28614529356359669</v>
      </c>
      <c r="DY41">
        <v>-5.0057007914858263</v>
      </c>
      <c r="DZ41">
        <v>2817</v>
      </c>
      <c r="EA41">
        <v>-5.0025581046726026</v>
      </c>
      <c r="EB41" s="11">
        <v>5</v>
      </c>
      <c r="EC41" s="11">
        <v>0.36920729492363791</v>
      </c>
      <c r="ED41">
        <v>4.2858671701043498</v>
      </c>
      <c r="EE41">
        <v>8.5809999999999997E-2</v>
      </c>
      <c r="EF41">
        <v>7.3709999999999998E-2</v>
      </c>
      <c r="EG41">
        <v>20.086145293563597</v>
      </c>
      <c r="EH41" s="13">
        <v>-1</v>
      </c>
      <c r="EI41" s="14">
        <v>0</v>
      </c>
      <c r="EJ41" s="14">
        <v>0</v>
      </c>
      <c r="EK41" s="14">
        <v>45470</v>
      </c>
      <c r="EL41" s="14">
        <v>-0.17</v>
      </c>
      <c r="EM41" s="14">
        <v>1.35</v>
      </c>
      <c r="EN41" s="14">
        <v>-4.67</v>
      </c>
      <c r="EO41" s="14">
        <v>1.05</v>
      </c>
      <c r="EP41" s="14">
        <v>1.21</v>
      </c>
    </row>
    <row r="42" spans="1:146" ht="96" x14ac:dyDescent="0.25">
      <c r="A42" s="7"/>
      <c r="B42" s="7"/>
      <c r="C42" s="7" t="str">
        <f>""&amp;CHAR(10)&amp;Basic_Fundamental_Information_Constructure(F42)&amp;CHAR(10)&amp;Basic_Fundamental_Information_Concatenate("")</f>
        <v xml:space="preserve">
市值31.464141亿, 利润1591.46万; PE536.8; 平均PE-6.02; 平均PEG-1.14, PB1.7; ROIC3.07%; ROE-1.74%; 股利率0%; 毛利23.4333%; 净利-6.6733%; 上一年度营收增69.11%, 利润增-82.58%; 当季营收增22.06%, 利润增-83.91%; 过往5年营收增-5.29%, 利润增-118.41%
Income profile:
</v>
      </c>
      <c r="D42" t="s">
        <v>675</v>
      </c>
      <c r="E42" t="s">
        <v>676</v>
      </c>
      <c r="F42">
        <v>3.79</v>
      </c>
      <c r="G42">
        <v>1.34</v>
      </c>
      <c r="H42" t="s">
        <v>2830</v>
      </c>
      <c r="I42">
        <v>3146414100</v>
      </c>
      <c r="J42">
        <v>536.79999999999995</v>
      </c>
      <c r="K42">
        <v>1.7</v>
      </c>
      <c r="L42" t="s">
        <v>67</v>
      </c>
      <c r="M42" t="s">
        <v>1738</v>
      </c>
      <c r="N42" t="s">
        <v>2831</v>
      </c>
      <c r="O42" t="s">
        <v>1739</v>
      </c>
      <c r="P42">
        <v>22.52</v>
      </c>
      <c r="Q42" t="s">
        <v>1164</v>
      </c>
      <c r="R42">
        <v>-22032713</v>
      </c>
      <c r="S42" s="5">
        <v>-0.83909999999999996</v>
      </c>
      <c r="T42" t="s">
        <v>1740</v>
      </c>
      <c r="U42">
        <v>830038410</v>
      </c>
      <c r="V42">
        <v>830188410</v>
      </c>
      <c r="W42">
        <v>1.61</v>
      </c>
      <c r="X42">
        <v>0.04</v>
      </c>
      <c r="Y42">
        <v>-22.74</v>
      </c>
      <c r="Z42" t="s">
        <v>128</v>
      </c>
      <c r="AA42" t="s">
        <v>2832</v>
      </c>
      <c r="AB42" t="s">
        <v>2833</v>
      </c>
      <c r="AC42" t="s">
        <v>2834</v>
      </c>
      <c r="AD42" t="s">
        <v>70</v>
      </c>
      <c r="AE42">
        <v>5968559</v>
      </c>
      <c r="AF42" t="s">
        <v>1742</v>
      </c>
      <c r="AG42" t="s">
        <v>2835</v>
      </c>
      <c r="AH42" t="s">
        <v>1743</v>
      </c>
      <c r="AI42" t="s">
        <v>2236</v>
      </c>
      <c r="AJ42" t="s">
        <v>1744</v>
      </c>
      <c r="AK42" t="s">
        <v>2836</v>
      </c>
      <c r="AL42" t="s">
        <v>1745</v>
      </c>
      <c r="AM42" t="s">
        <v>70</v>
      </c>
      <c r="AN42" t="s">
        <v>2837</v>
      </c>
      <c r="AO42" t="s">
        <v>2838</v>
      </c>
      <c r="AP42" t="s">
        <v>2839</v>
      </c>
      <c r="AQ42" t="s">
        <v>128</v>
      </c>
      <c r="AR42" t="s">
        <v>70</v>
      </c>
      <c r="AS42" t="s">
        <v>2840</v>
      </c>
      <c r="AT42" t="s">
        <v>295</v>
      </c>
      <c r="AU42" t="s">
        <v>2841</v>
      </c>
      <c r="AV42" t="s">
        <v>2842</v>
      </c>
      <c r="AW42" t="s">
        <v>228</v>
      </c>
      <c r="AX42" t="s">
        <v>772</v>
      </c>
      <c r="AY42" t="s">
        <v>763</v>
      </c>
      <c r="AZ42" t="s">
        <v>653</v>
      </c>
      <c r="BA42" t="s">
        <v>373</v>
      </c>
      <c r="BB42" t="s">
        <v>678</v>
      </c>
      <c r="BC42" t="s">
        <v>1747</v>
      </c>
      <c r="BD42" t="s">
        <v>764</v>
      </c>
      <c r="BE42" t="s">
        <v>677</v>
      </c>
      <c r="BF42" t="s">
        <v>679</v>
      </c>
      <c r="BG42" t="s">
        <v>680</v>
      </c>
      <c r="BH42" t="s">
        <v>1164</v>
      </c>
      <c r="BI42" t="s">
        <v>1748</v>
      </c>
      <c r="BJ42" t="s">
        <v>772</v>
      </c>
      <c r="BK42" t="s">
        <v>1740</v>
      </c>
      <c r="BL42" t="s">
        <v>1749</v>
      </c>
      <c r="BM42" t="s">
        <v>1747</v>
      </c>
      <c r="BN42">
        <v>1.1599999999999999</v>
      </c>
      <c r="BO42">
        <v>4.9800000000000004</v>
      </c>
      <c r="BP42" t="s">
        <v>70</v>
      </c>
      <c r="BQ42">
        <v>1.05</v>
      </c>
      <c r="BR42">
        <v>5.12</v>
      </c>
      <c r="BS42">
        <v>-11.39</v>
      </c>
      <c r="BT42" t="s">
        <v>929</v>
      </c>
      <c r="BU42" t="s">
        <v>882</v>
      </c>
      <c r="BV42">
        <v>22.9</v>
      </c>
      <c r="BW42">
        <v>22.02</v>
      </c>
      <c r="BX42">
        <v>25.38</v>
      </c>
      <c r="BY42">
        <v>4.1100000000000003</v>
      </c>
      <c r="BZ42">
        <v>17.84</v>
      </c>
      <c r="CA42">
        <v>-41.97</v>
      </c>
      <c r="CB42">
        <v>0.53</v>
      </c>
      <c r="CC42">
        <v>-11.66</v>
      </c>
      <c r="CD42" t="s">
        <v>2843</v>
      </c>
      <c r="CE42" t="s">
        <v>2844</v>
      </c>
      <c r="CF42" s="8">
        <v>0.22060542028846289</v>
      </c>
      <c r="CG42" s="9">
        <v>-0.83912462437395663</v>
      </c>
      <c r="CH42" s="8">
        <v>0.69108909368515015</v>
      </c>
      <c r="CI42" s="8">
        <v>-0.12931033968925476</v>
      </c>
      <c r="CJ42" s="8">
        <v>-0.27500000596046448</v>
      </c>
      <c r="CK42" s="8">
        <v>-4.8751484602689743E-2</v>
      </c>
      <c r="CL42" s="8">
        <v>-0.50236684083938599</v>
      </c>
      <c r="CM42" s="9">
        <v>-0.8257519006729126</v>
      </c>
      <c r="CN42" s="9">
        <v>1.434918999671936</v>
      </c>
      <c r="CO42" s="9">
        <v>-8.0172395706176758</v>
      </c>
      <c r="CP42" s="9">
        <v>1.0278383493423462</v>
      </c>
      <c r="CQ42" s="9">
        <v>0.45979896187782288</v>
      </c>
      <c r="CR42">
        <v>-6.0164215601368092</v>
      </c>
      <c r="CS42">
        <v>-1.138009983060821</v>
      </c>
      <c r="CT42">
        <v>0</v>
      </c>
      <c r="CU42" s="8">
        <v>-5.2867915481328964E-2</v>
      </c>
      <c r="CV42" s="9">
        <v>-1.1840870320796966</v>
      </c>
      <c r="CW42">
        <v>0.06</v>
      </c>
      <c r="CX42" t="e">
        <v>#VALUE!</v>
      </c>
      <c r="CY42" t="s">
        <v>1343</v>
      </c>
      <c r="CZ42">
        <v>-5.2867915481328964E-2</v>
      </c>
      <c r="DA42">
        <v>50.046584059082015</v>
      </c>
      <c r="DB42" t="s">
        <v>1750</v>
      </c>
      <c r="DC42">
        <v>-5.0224519707262515E-2</v>
      </c>
      <c r="DD42">
        <v>25.023292029541008</v>
      </c>
      <c r="DE42" t="s">
        <v>1751</v>
      </c>
      <c r="DF42">
        <v>-4.6523765623569489E-2</v>
      </c>
      <c r="DG42">
        <v>15.013975217724605</v>
      </c>
      <c r="DH42" t="s">
        <v>1752</v>
      </c>
      <c r="DI42">
        <v>-4.2294332385063173E-2</v>
      </c>
      <c r="DJ42">
        <v>7.5069876088623024</v>
      </c>
      <c r="DK42" t="s">
        <v>1753</v>
      </c>
      <c r="DL42">
        <v>-3.7007540836930274E-2</v>
      </c>
      <c r="DM42">
        <v>15914600</v>
      </c>
      <c r="DN42">
        <v>-5.2867915481328964E-2</v>
      </c>
      <c r="DO42">
        <v>2389414100</v>
      </c>
      <c r="DP42">
        <v>642235430</v>
      </c>
      <c r="DQ42">
        <v>1798</v>
      </c>
      <c r="DR42">
        <v>0.27347333576979183</v>
      </c>
      <c r="DS42">
        <v>0.34496240770573994</v>
      </c>
      <c r="DT42" s="10">
        <v>-0.34</v>
      </c>
      <c r="DU42">
        <v>-1.6983333333333333</v>
      </c>
      <c r="DV42">
        <v>-2.0383333333333331</v>
      </c>
      <c r="DW42">
        <v>-2.1166</v>
      </c>
      <c r="DX42">
        <v>0.20707703668639132</v>
      </c>
      <c r="DY42">
        <v>-2.0113191824776333</v>
      </c>
      <c r="DZ42">
        <v>4406</v>
      </c>
      <c r="EA42">
        <v>-2.0015594333589539</v>
      </c>
      <c r="EB42">
        <v>2</v>
      </c>
      <c r="EC42">
        <v>9.8809016136469557E-2</v>
      </c>
      <c r="ED42">
        <v>1.0178412391953291</v>
      </c>
      <c r="EE42" s="11">
        <v>-1.0121100000000001</v>
      </c>
      <c r="EF42">
        <v>-1.0094099999999999</v>
      </c>
      <c r="EG42">
        <v>11.097077036686391</v>
      </c>
      <c r="EH42" t="s">
        <v>812</v>
      </c>
      <c r="EI42">
        <v>0</v>
      </c>
      <c r="EJ42">
        <v>0</v>
      </c>
      <c r="EK42" s="13">
        <v>45470</v>
      </c>
      <c r="EL42" s="14">
        <v>1.08</v>
      </c>
      <c r="EM42" s="14">
        <v>0</v>
      </c>
      <c r="EN42" s="14">
        <v>-2.14</v>
      </c>
      <c r="EO42" s="14">
        <v>1.64</v>
      </c>
      <c r="EP42" s="14">
        <v>0.27</v>
      </c>
    </row>
    <row r="43" spans="1:146" ht="96" x14ac:dyDescent="0.25">
      <c r="A43" s="7"/>
      <c r="B43" s="7"/>
      <c r="C43" s="7" t="str">
        <f>""&amp;CHAR(10)&amp;Basic_Fundamental_Information_Constructure(F43)&amp;CHAR(10)&amp;Basic_Fundamental_Information_Concatenate("")</f>
        <v xml:space="preserve">
市值18.603483亿, 利润5989.27万; PE33.45; 平均PE34.7; 平均PEG8.75, PB.966; ROIC4.42%; ROE.8633%; 股利率3.0769%; 毛利26.2667%; 净利2.5767%; 上一年度营收增19.51%, 利润增-15.5%; 当季营收增-18.83%, 利润增-32.81%; 过往5年营收增-3.96%, 利润增-61.14%
Income profile:
</v>
      </c>
      <c r="D43" t="s">
        <v>681</v>
      </c>
      <c r="E43" t="s">
        <v>682</v>
      </c>
      <c r="F43">
        <v>3.9</v>
      </c>
      <c r="G43">
        <v>2.09</v>
      </c>
      <c r="H43" t="s">
        <v>2845</v>
      </c>
      <c r="I43">
        <v>1860348300</v>
      </c>
      <c r="J43">
        <v>33.450000000000003</v>
      </c>
      <c r="K43">
        <v>0.96599999999999997</v>
      </c>
      <c r="L43" t="s">
        <v>67</v>
      </c>
      <c r="M43" t="s">
        <v>1554</v>
      </c>
      <c r="N43" t="s">
        <v>2846</v>
      </c>
      <c r="O43" t="s">
        <v>1215</v>
      </c>
      <c r="P43">
        <v>-18.670000000000002</v>
      </c>
      <c r="Q43" t="s">
        <v>1754</v>
      </c>
      <c r="R43">
        <v>8762308</v>
      </c>
      <c r="S43" s="5">
        <v>-0.3281</v>
      </c>
      <c r="T43" t="s">
        <v>1755</v>
      </c>
      <c r="U43">
        <v>386474030</v>
      </c>
      <c r="V43">
        <v>477012390</v>
      </c>
      <c r="W43">
        <v>1.36</v>
      </c>
      <c r="X43">
        <v>7.0000000000000007E-2</v>
      </c>
      <c r="Y43">
        <v>7.61</v>
      </c>
      <c r="Z43" t="s">
        <v>1962</v>
      </c>
      <c r="AA43" t="s">
        <v>337</v>
      </c>
      <c r="AB43" t="s">
        <v>2847</v>
      </c>
      <c r="AC43" t="s">
        <v>2848</v>
      </c>
      <c r="AD43" t="s">
        <v>70</v>
      </c>
      <c r="AE43">
        <v>343606</v>
      </c>
      <c r="AF43" t="s">
        <v>1756</v>
      </c>
      <c r="AG43" t="s">
        <v>2849</v>
      </c>
      <c r="AH43" t="s">
        <v>1757</v>
      </c>
      <c r="AI43" t="s">
        <v>651</v>
      </c>
      <c r="AJ43" t="s">
        <v>1758</v>
      </c>
      <c r="AK43" t="s">
        <v>2850</v>
      </c>
      <c r="AL43" t="s">
        <v>1759</v>
      </c>
      <c r="AM43" t="s">
        <v>70</v>
      </c>
      <c r="AN43" t="s">
        <v>2851</v>
      </c>
      <c r="AO43" t="s">
        <v>2274</v>
      </c>
      <c r="AP43" t="s">
        <v>2852</v>
      </c>
      <c r="AQ43" t="s">
        <v>942</v>
      </c>
      <c r="AR43" t="s">
        <v>70</v>
      </c>
      <c r="AS43" t="s">
        <v>2853</v>
      </c>
      <c r="AT43" t="s">
        <v>2854</v>
      </c>
      <c r="AU43" t="s">
        <v>2855</v>
      </c>
      <c r="AV43" t="s">
        <v>2856</v>
      </c>
      <c r="AW43" t="s">
        <v>2857</v>
      </c>
      <c r="AX43" t="s">
        <v>1111</v>
      </c>
      <c r="AY43" t="s">
        <v>765</v>
      </c>
      <c r="AZ43" t="s">
        <v>683</v>
      </c>
      <c r="BA43" t="s">
        <v>685</v>
      </c>
      <c r="BB43" t="s">
        <v>686</v>
      </c>
      <c r="BC43" t="s">
        <v>1112</v>
      </c>
      <c r="BD43" t="s">
        <v>1113</v>
      </c>
      <c r="BE43" t="s">
        <v>684</v>
      </c>
      <c r="BF43" t="s">
        <v>687</v>
      </c>
      <c r="BG43" t="s">
        <v>98</v>
      </c>
      <c r="BH43" t="s">
        <v>1754</v>
      </c>
      <c r="BI43" t="s">
        <v>1443</v>
      </c>
      <c r="BJ43" t="s">
        <v>1111</v>
      </c>
      <c r="BK43" t="s">
        <v>1755</v>
      </c>
      <c r="BL43" t="s">
        <v>1760</v>
      </c>
      <c r="BM43" t="s">
        <v>1112</v>
      </c>
      <c r="BN43">
        <v>3.95</v>
      </c>
      <c r="BO43">
        <v>4.8899999999999997</v>
      </c>
      <c r="BP43" t="s">
        <v>70</v>
      </c>
      <c r="BQ43">
        <v>3.49</v>
      </c>
      <c r="BR43">
        <v>4.66</v>
      </c>
      <c r="BS43">
        <v>-5.56</v>
      </c>
      <c r="BT43" t="s">
        <v>1114</v>
      </c>
      <c r="BU43" t="s">
        <v>884</v>
      </c>
      <c r="BV43">
        <v>27.5</v>
      </c>
      <c r="BW43">
        <v>26.02</v>
      </c>
      <c r="BX43">
        <v>25.28</v>
      </c>
      <c r="BY43">
        <v>6.39</v>
      </c>
      <c r="BZ43">
        <v>8.33</v>
      </c>
      <c r="CA43">
        <v>-6.99</v>
      </c>
      <c r="CB43">
        <v>0.78</v>
      </c>
      <c r="CC43">
        <v>-9.09</v>
      </c>
      <c r="CD43" t="s">
        <v>2858</v>
      </c>
      <c r="CE43" t="s">
        <v>907</v>
      </c>
      <c r="CF43" s="8">
        <v>-0.18828451882845187</v>
      </c>
      <c r="CG43" s="9">
        <v>-0.3280799343593519</v>
      </c>
      <c r="CH43" s="8">
        <v>0.19510054588317871</v>
      </c>
      <c r="CI43" s="8">
        <v>-8.4867797791957855E-2</v>
      </c>
      <c r="CJ43" s="8">
        <v>-0.20089578628540039</v>
      </c>
      <c r="CK43" s="8">
        <v>6.9815285503864288E-2</v>
      </c>
      <c r="CL43" s="8">
        <v>-0.17736490070819855</v>
      </c>
      <c r="CM43" s="9">
        <v>-0.15498293936252594</v>
      </c>
      <c r="CN43" s="9">
        <v>1.8277336359024048</v>
      </c>
      <c r="CO43" s="9">
        <v>-3.6326544284820557</v>
      </c>
      <c r="CP43" s="9">
        <v>-0.60353034734725952</v>
      </c>
      <c r="CQ43" s="9">
        <v>-0.49359384179115295</v>
      </c>
      <c r="CR43">
        <v>34.696651685037011</v>
      </c>
      <c r="CS43">
        <v>8.7523806099497889</v>
      </c>
      <c r="CT43">
        <v>3.0769230769230771</v>
      </c>
      <c r="CU43" s="8">
        <v>-3.9642530679702762E-2</v>
      </c>
      <c r="CV43" s="9">
        <v>-0.6114055842161179</v>
      </c>
      <c r="CW43">
        <v>0.06</v>
      </c>
      <c r="CX43">
        <v>10.691591796663037</v>
      </c>
      <c r="CY43" t="s">
        <v>1761</v>
      </c>
      <c r="CZ43">
        <v>-3.9642530679702762E-2</v>
      </c>
      <c r="DA43">
        <v>3.5638639322210119</v>
      </c>
      <c r="DB43" t="s">
        <v>1762</v>
      </c>
      <c r="DC43">
        <v>-3.766040414571762E-2</v>
      </c>
      <c r="DD43">
        <v>1.781931966110506</v>
      </c>
      <c r="DE43" t="s">
        <v>1763</v>
      </c>
      <c r="DF43">
        <v>-3.488542699813843E-2</v>
      </c>
      <c r="DG43">
        <v>1.0691591796663036</v>
      </c>
      <c r="DH43" t="s">
        <v>1764</v>
      </c>
      <c r="DI43">
        <v>-3.1714024543762209E-2</v>
      </c>
      <c r="DJ43">
        <v>0.53457958983315179</v>
      </c>
      <c r="DK43" t="s">
        <v>1765</v>
      </c>
      <c r="DL43">
        <v>-2.774977147579193E-2</v>
      </c>
      <c r="DM43">
        <v>59892700.000000007</v>
      </c>
      <c r="DN43">
        <v>-3.9642530679702762E-2</v>
      </c>
      <c r="DO43">
        <v>640348300.00000024</v>
      </c>
      <c r="DP43">
        <v>525713600</v>
      </c>
      <c r="DQ43">
        <v>1814</v>
      </c>
      <c r="DR43">
        <v>-0.14864198814874913</v>
      </c>
      <c r="DS43">
        <v>0.283325649856766</v>
      </c>
      <c r="DT43" s="10">
        <v>-0.50666666666666671</v>
      </c>
      <c r="DU43">
        <v>-1.2899999999999998</v>
      </c>
      <c r="DV43">
        <v>-1.7966666666666664</v>
      </c>
      <c r="DW43">
        <v>-2.0909</v>
      </c>
      <c r="DX43">
        <v>0.27274881889763819</v>
      </c>
      <c r="DY43">
        <v>-2.0075218676377951</v>
      </c>
      <c r="DZ43">
        <v>4249</v>
      </c>
      <c r="EA43">
        <v>-2.0012673831773271</v>
      </c>
      <c r="EB43">
        <v>2</v>
      </c>
      <c r="EC43">
        <v>6.6093251791635846E-2</v>
      </c>
      <c r="ED43">
        <v>0.79872139170221557</v>
      </c>
      <c r="EE43" s="11">
        <v>-1.1125</v>
      </c>
      <c r="EF43">
        <v>-1.0969</v>
      </c>
      <c r="EG43">
        <v>19.082748818897638</v>
      </c>
      <c r="EH43" t="s">
        <v>1237</v>
      </c>
      <c r="EI43">
        <v>0</v>
      </c>
      <c r="EJ43">
        <v>0</v>
      </c>
      <c r="EK43" s="13">
        <v>45470</v>
      </c>
      <c r="EL43" s="14">
        <v>0</v>
      </c>
      <c r="EM43" s="14">
        <v>-4.68</v>
      </c>
      <c r="EN43" s="14">
        <v>0.82</v>
      </c>
      <c r="EO43" s="14">
        <v>4.05</v>
      </c>
      <c r="EP43" s="14">
        <v>-1.56</v>
      </c>
    </row>
    <row r="44" spans="1:146" ht="96" x14ac:dyDescent="0.25">
      <c r="A44" s="7"/>
      <c r="B44" s="7"/>
      <c r="C44" s="7" t="str">
        <f>""&amp;CHAR(10)&amp;Basic_Fundamental_Information_Constructure(F44)&amp;CHAR(10)&amp;Basic_Fundamental_Information_Concatenate("")</f>
        <v xml:space="preserve">
市值1511.7264亿, 利润16.60亿; PE14.01; 平均PE-52.79; 平均PEG-1.62, PB2.66; ROIC4.38%; ROE-5.8%; 股利率2.0768%; 毛利4.9433%; 净利-2.2367%; 上一年度营收增-97.31%, 利润增122.47%; 当季营收增5608.91%, 利润增901.34%; 过往5年营收增-32.5%, 利润增122.47%
Income profile:
</v>
      </c>
      <c r="D44" t="s">
        <v>176</v>
      </c>
      <c r="E44" t="s">
        <v>6</v>
      </c>
      <c r="F44">
        <v>9.6300000000000008</v>
      </c>
      <c r="G44">
        <v>-1.03</v>
      </c>
      <c r="H44" t="s">
        <v>2859</v>
      </c>
      <c r="I44">
        <v>151172640000</v>
      </c>
      <c r="J44">
        <v>14.01</v>
      </c>
      <c r="K44">
        <v>2.66</v>
      </c>
      <c r="L44" t="s">
        <v>67</v>
      </c>
      <c r="M44" t="s">
        <v>1766</v>
      </c>
      <c r="N44" t="s">
        <v>2860</v>
      </c>
      <c r="O44" t="s">
        <v>1767</v>
      </c>
      <c r="P44">
        <v>0.15</v>
      </c>
      <c r="Q44" t="s">
        <v>1627</v>
      </c>
      <c r="R44">
        <v>4596138100</v>
      </c>
      <c r="S44" s="5">
        <v>1.042</v>
      </c>
      <c r="T44" t="s">
        <v>2861</v>
      </c>
      <c r="U44">
        <v>10997709900</v>
      </c>
      <c r="V44">
        <v>15698093000</v>
      </c>
      <c r="W44">
        <v>3.08</v>
      </c>
      <c r="X44" t="s">
        <v>70</v>
      </c>
      <c r="Y44">
        <v>8.93</v>
      </c>
      <c r="Z44" t="s">
        <v>70</v>
      </c>
      <c r="AA44" t="s">
        <v>70</v>
      </c>
      <c r="AB44" t="s">
        <v>70</v>
      </c>
      <c r="AC44" t="s">
        <v>70</v>
      </c>
      <c r="AD44" t="s">
        <v>70</v>
      </c>
      <c r="AE44">
        <v>2047557800</v>
      </c>
      <c r="AF44" t="s">
        <v>1770</v>
      </c>
      <c r="AG44" t="s">
        <v>2862</v>
      </c>
      <c r="AH44" t="s">
        <v>1771</v>
      </c>
      <c r="AI44" t="s">
        <v>2863</v>
      </c>
      <c r="AJ44" t="s">
        <v>1772</v>
      </c>
      <c r="AK44" t="s">
        <v>70</v>
      </c>
      <c r="AL44" t="s">
        <v>1773</v>
      </c>
      <c r="AM44" t="s">
        <v>70</v>
      </c>
      <c r="AN44" t="s">
        <v>2864</v>
      </c>
      <c r="AO44" t="s">
        <v>70</v>
      </c>
      <c r="AP44" t="s">
        <v>405</v>
      </c>
      <c r="AQ44" t="s">
        <v>2865</v>
      </c>
      <c r="AR44" t="s">
        <v>70</v>
      </c>
      <c r="AS44" t="s">
        <v>70</v>
      </c>
      <c r="AT44" t="s">
        <v>70</v>
      </c>
      <c r="AU44" t="s">
        <v>2866</v>
      </c>
      <c r="AV44" t="s">
        <v>2867</v>
      </c>
      <c r="AW44" t="s">
        <v>2868</v>
      </c>
      <c r="AX44" t="s">
        <v>1115</v>
      </c>
      <c r="AY44" t="s">
        <v>70</v>
      </c>
      <c r="AZ44" t="s">
        <v>449</v>
      </c>
      <c r="BA44" t="s">
        <v>450</v>
      </c>
      <c r="BB44" t="s">
        <v>451</v>
      </c>
      <c r="BC44" t="s">
        <v>1116</v>
      </c>
      <c r="BD44" t="s">
        <v>70</v>
      </c>
      <c r="BE44" t="s">
        <v>70</v>
      </c>
      <c r="BF44" t="s">
        <v>70</v>
      </c>
      <c r="BG44" t="s">
        <v>70</v>
      </c>
      <c r="BH44" t="s">
        <v>1768</v>
      </c>
      <c r="BI44" t="s">
        <v>2320</v>
      </c>
      <c r="BJ44" t="s">
        <v>1115</v>
      </c>
      <c r="BK44" t="s">
        <v>1769</v>
      </c>
      <c r="BL44" t="s">
        <v>1248</v>
      </c>
      <c r="BM44" t="s">
        <v>1116</v>
      </c>
      <c r="BN44">
        <v>4.38</v>
      </c>
      <c r="BO44" t="s">
        <v>70</v>
      </c>
      <c r="BP44" t="s">
        <v>70</v>
      </c>
      <c r="BQ44">
        <v>20.25</v>
      </c>
      <c r="BR44">
        <v>-18.5</v>
      </c>
      <c r="BS44">
        <v>-19.149999999999999</v>
      </c>
      <c r="BT44" t="s">
        <v>934</v>
      </c>
      <c r="BU44" t="s">
        <v>881</v>
      </c>
      <c r="BV44">
        <v>12.12</v>
      </c>
      <c r="BW44">
        <v>3.04</v>
      </c>
      <c r="BX44">
        <v>-0.33</v>
      </c>
      <c r="BY44">
        <v>3.57</v>
      </c>
      <c r="BZ44">
        <v>-4.09</v>
      </c>
      <c r="CA44">
        <v>-6.19</v>
      </c>
      <c r="CB44">
        <v>0.1</v>
      </c>
      <c r="CC44">
        <v>10.31</v>
      </c>
      <c r="CD44" t="s">
        <v>459</v>
      </c>
      <c r="CE44" t="s">
        <v>2869</v>
      </c>
      <c r="CF44" s="8">
        <v>56.089082969432305</v>
      </c>
      <c r="CG44" s="9">
        <v>9.0133727668845314</v>
      </c>
      <c r="CH44" s="8">
        <v>-0.97312390804290771</v>
      </c>
      <c r="CI44" s="8" t="s">
        <v>70</v>
      </c>
      <c r="CJ44" s="8" t="s">
        <v>70</v>
      </c>
      <c r="CK44" s="8">
        <v>-2.3873334750533104E-2</v>
      </c>
      <c r="CL44" s="8">
        <v>2.1912047639489174E-2</v>
      </c>
      <c r="CM44" s="9">
        <v>1.2247191667556763</v>
      </c>
      <c r="CN44" s="9" t="s">
        <v>70</v>
      </c>
      <c r="CO44" s="9" t="s">
        <v>70</v>
      </c>
      <c r="CP44" s="9" t="s">
        <v>70</v>
      </c>
      <c r="CQ44" s="9" t="s">
        <v>70</v>
      </c>
      <c r="CR44">
        <v>-52.792959664745943</v>
      </c>
      <c r="CS44">
        <v>-1.6242568319297694</v>
      </c>
      <c r="CT44">
        <v>2.0768431983385254</v>
      </c>
      <c r="CU44" s="8">
        <v>-0.32502839838465053</v>
      </c>
      <c r="CV44" s="9">
        <v>1.2247191667556763</v>
      </c>
      <c r="CW44">
        <v>0.06</v>
      </c>
      <c r="CX44">
        <v>207.30701204819277</v>
      </c>
      <c r="CY44" t="s">
        <v>1881</v>
      </c>
      <c r="CZ44">
        <v>-0.32502839838465053</v>
      </c>
      <c r="DA44">
        <v>69.102337349397587</v>
      </c>
      <c r="DB44" t="s">
        <v>2870</v>
      </c>
      <c r="DC44">
        <v>-0.30877697846541796</v>
      </c>
      <c r="DD44">
        <v>34.551168674698793</v>
      </c>
      <c r="DE44" t="s">
        <v>2871</v>
      </c>
      <c r="DF44">
        <v>-0.28602499057849246</v>
      </c>
      <c r="DG44">
        <v>20.730701204819276</v>
      </c>
      <c r="DH44" t="s">
        <v>2872</v>
      </c>
      <c r="DI44">
        <v>-0.26002271870772042</v>
      </c>
      <c r="DJ44">
        <v>10.365350602409638</v>
      </c>
      <c r="DK44" t="s">
        <v>2873</v>
      </c>
      <c r="DL44">
        <v>-0.22751987886925534</v>
      </c>
      <c r="DM44">
        <v>1660000000.0000002</v>
      </c>
      <c r="DN44">
        <v>-0.32502839838465053</v>
      </c>
      <c r="DO44">
        <v>344129640000</v>
      </c>
      <c r="DP44">
        <v>93692890000</v>
      </c>
      <c r="DQ44">
        <v>2853</v>
      </c>
      <c r="DR44">
        <v>56.414111367816957</v>
      </c>
      <c r="DS44">
        <v>7.7886536001288551</v>
      </c>
      <c r="DT44" s="10">
        <v>-1.1599999999999999</v>
      </c>
      <c r="DU44">
        <v>2.8</v>
      </c>
      <c r="DV44">
        <v>1.64</v>
      </c>
      <c r="DW44">
        <v>2.1031</v>
      </c>
      <c r="DX44">
        <v>0.3823755201967407</v>
      </c>
      <c r="DY44">
        <v>2.0126169161322838</v>
      </c>
      <c r="DZ44">
        <v>3806</v>
      </c>
      <c r="EA44">
        <v>2.0032196592243636</v>
      </c>
      <c r="EB44">
        <v>2</v>
      </c>
      <c r="EC44">
        <v>1.2995209035900093E-2</v>
      </c>
      <c r="ED44">
        <v>0.10619124246492871</v>
      </c>
      <c r="EE44" s="11">
        <v>1.06951</v>
      </c>
      <c r="EF44">
        <v>1.08371</v>
      </c>
      <c r="EG44">
        <v>26.122375520196741</v>
      </c>
      <c r="EH44" t="s">
        <v>940</v>
      </c>
      <c r="EI44">
        <v>1</v>
      </c>
      <c r="EJ44">
        <v>0</v>
      </c>
      <c r="EK44" s="13">
        <v>45470</v>
      </c>
      <c r="EL44" s="14">
        <v>0</v>
      </c>
      <c r="EM44" s="14">
        <v>-1.43</v>
      </c>
      <c r="EN44" s="14">
        <v>0</v>
      </c>
      <c r="EO44" s="14">
        <v>2.17</v>
      </c>
      <c r="EP44" s="14">
        <v>-1.42</v>
      </c>
    </row>
    <row r="45" spans="1:146" ht="96" x14ac:dyDescent="0.25">
      <c r="A45" s="7"/>
      <c r="B45" s="7"/>
      <c r="C45" s="7" t="str">
        <f>""&amp;CHAR(10)&amp;Basic_Fundamental_Information_Constructure(F45)&amp;CHAR(10)&amp;Basic_Fundamental_Information_Concatenate("")</f>
        <v xml:space="preserve">
市值277.44925亿, 利润-4.00亿; PE14.67; 平均PE-840.76; 平均PEG-18.45, PB1.47; ROIC3.315%; ROE-1.3%; 股利率2.0305%; 毛利18.7233%; 净利2.3233%; 上一年度营收增130.52%, 利润增-219.76%; 当季营收增-57.14%, 利润增305.14%; 过往5年营收增45.58%, 利润增-219.76%
Income profile:
</v>
      </c>
      <c r="D45" t="s">
        <v>178</v>
      </c>
      <c r="E45" t="s">
        <v>19</v>
      </c>
      <c r="F45">
        <v>9.85</v>
      </c>
      <c r="G45">
        <v>-1.6</v>
      </c>
      <c r="H45" t="s">
        <v>2874</v>
      </c>
      <c r="I45">
        <v>27744925000</v>
      </c>
      <c r="J45">
        <v>14.67</v>
      </c>
      <c r="K45">
        <v>1.47</v>
      </c>
      <c r="L45" t="s">
        <v>67</v>
      </c>
      <c r="M45" t="s">
        <v>1774</v>
      </c>
      <c r="N45" t="s">
        <v>2875</v>
      </c>
      <c r="O45" t="s">
        <v>1775</v>
      </c>
      <c r="P45">
        <v>2.57</v>
      </c>
      <c r="Q45" t="s">
        <v>2876</v>
      </c>
      <c r="R45">
        <v>633874950</v>
      </c>
      <c r="S45" s="5">
        <v>0.89200000000000002</v>
      </c>
      <c r="T45" t="s">
        <v>2877</v>
      </c>
      <c r="U45">
        <v>2617164200</v>
      </c>
      <c r="V45">
        <v>2816743600</v>
      </c>
      <c r="W45">
        <v>3.33</v>
      </c>
      <c r="X45" t="s">
        <v>70</v>
      </c>
      <c r="Y45">
        <v>12.54</v>
      </c>
      <c r="Z45" t="s">
        <v>70</v>
      </c>
      <c r="AA45" t="s">
        <v>70</v>
      </c>
      <c r="AB45" t="s">
        <v>70</v>
      </c>
      <c r="AC45" t="s">
        <v>70</v>
      </c>
      <c r="AD45" t="s">
        <v>70</v>
      </c>
      <c r="AE45">
        <v>897757790</v>
      </c>
      <c r="AF45" t="s">
        <v>1778</v>
      </c>
      <c r="AG45" t="s">
        <v>2878</v>
      </c>
      <c r="AH45" t="s">
        <v>1779</v>
      </c>
      <c r="AI45" t="s">
        <v>2879</v>
      </c>
      <c r="AJ45" t="s">
        <v>1780</v>
      </c>
      <c r="AK45" t="s">
        <v>70</v>
      </c>
      <c r="AL45" t="s">
        <v>1782</v>
      </c>
      <c r="AM45" t="s">
        <v>70</v>
      </c>
      <c r="AN45" t="s">
        <v>2880</v>
      </c>
      <c r="AO45" t="s">
        <v>70</v>
      </c>
      <c r="AP45" t="s">
        <v>905</v>
      </c>
      <c r="AQ45" t="s">
        <v>2881</v>
      </c>
      <c r="AR45" t="s">
        <v>2882</v>
      </c>
      <c r="AS45" t="s">
        <v>70</v>
      </c>
      <c r="AT45" t="s">
        <v>70</v>
      </c>
      <c r="AU45" t="s">
        <v>2883</v>
      </c>
      <c r="AV45" t="s">
        <v>2884</v>
      </c>
      <c r="AW45" t="s">
        <v>2885</v>
      </c>
      <c r="AX45" t="s">
        <v>1783</v>
      </c>
      <c r="AY45" t="s">
        <v>70</v>
      </c>
      <c r="AZ45" t="s">
        <v>766</v>
      </c>
      <c r="BA45" t="s">
        <v>179</v>
      </c>
      <c r="BB45" t="s">
        <v>453</v>
      </c>
      <c r="BC45" t="s">
        <v>887</v>
      </c>
      <c r="BD45" t="s">
        <v>70</v>
      </c>
      <c r="BE45" t="s">
        <v>70</v>
      </c>
      <c r="BF45" t="s">
        <v>70</v>
      </c>
      <c r="BG45" t="s">
        <v>70</v>
      </c>
      <c r="BH45" t="s">
        <v>1776</v>
      </c>
      <c r="BI45" t="s">
        <v>2886</v>
      </c>
      <c r="BJ45" t="s">
        <v>1783</v>
      </c>
      <c r="BK45" t="s">
        <v>1777</v>
      </c>
      <c r="BL45" t="s">
        <v>915</v>
      </c>
      <c r="BM45" t="s">
        <v>887</v>
      </c>
      <c r="BN45">
        <v>3.79</v>
      </c>
      <c r="BO45">
        <v>2.84</v>
      </c>
      <c r="BP45" t="s">
        <v>70</v>
      </c>
      <c r="BQ45">
        <v>8.0299999999999994</v>
      </c>
      <c r="BR45">
        <v>1.22</v>
      </c>
      <c r="BS45">
        <v>-13.15</v>
      </c>
      <c r="BT45" t="s">
        <v>1784</v>
      </c>
      <c r="BU45" t="s">
        <v>881</v>
      </c>
      <c r="BV45">
        <v>21.93</v>
      </c>
      <c r="BW45">
        <v>19.190000000000001</v>
      </c>
      <c r="BX45">
        <v>15.05</v>
      </c>
      <c r="BY45">
        <v>8.41</v>
      </c>
      <c r="BZ45">
        <v>4.05</v>
      </c>
      <c r="CA45">
        <v>-5.49</v>
      </c>
      <c r="CB45">
        <v>-0.4</v>
      </c>
      <c r="CC45">
        <v>4.9000000000000004</v>
      </c>
      <c r="CD45" t="s">
        <v>2887</v>
      </c>
      <c r="CE45" t="s">
        <v>2888</v>
      </c>
      <c r="CF45" s="8">
        <v>-0.57139393939393934</v>
      </c>
      <c r="CG45" s="9">
        <v>3.0513752427184464</v>
      </c>
      <c r="CH45" s="8">
        <v>1.3051544427871704</v>
      </c>
      <c r="CI45" s="8" t="s">
        <v>70</v>
      </c>
      <c r="CJ45" s="8" t="s">
        <v>70</v>
      </c>
      <c r="CK45" s="8">
        <v>2.2287841886281967E-2</v>
      </c>
      <c r="CL45" s="8">
        <v>3.9992954581975937E-2</v>
      </c>
      <c r="CM45" s="9">
        <v>-2.1976048946380615</v>
      </c>
      <c r="CN45" s="9" t="s">
        <v>70</v>
      </c>
      <c r="CO45" s="9" t="s">
        <v>70</v>
      </c>
      <c r="CP45" s="9" t="s">
        <v>70</v>
      </c>
      <c r="CQ45" s="9" t="s">
        <v>70</v>
      </c>
      <c r="CR45">
        <v>-840.75530303030303</v>
      </c>
      <c r="CS45">
        <v>-18.445231164762792</v>
      </c>
      <c r="CT45">
        <v>2.030456852791878</v>
      </c>
      <c r="CU45" s="8">
        <v>0.4558117464184761</v>
      </c>
      <c r="CV45" s="9">
        <v>-2.1976048946380615</v>
      </c>
      <c r="CW45">
        <v>0.06</v>
      </c>
      <c r="CX45" t="e">
        <v>#VALUE!</v>
      </c>
      <c r="CY45" t="s">
        <v>810</v>
      </c>
      <c r="CZ45">
        <v>0.4558117464184761</v>
      </c>
      <c r="DA45" t="e">
        <v>#VALUE!</v>
      </c>
      <c r="DB45" t="s">
        <v>810</v>
      </c>
      <c r="DC45">
        <v>0.43302115909755229</v>
      </c>
      <c r="DD45" t="e">
        <v>#VALUE!</v>
      </c>
      <c r="DE45" t="s">
        <v>810</v>
      </c>
      <c r="DF45">
        <v>0.40111433684825898</v>
      </c>
      <c r="DG45" t="e">
        <v>#VALUE!</v>
      </c>
      <c r="DH45" t="s">
        <v>810</v>
      </c>
      <c r="DI45">
        <v>0.36464939713478089</v>
      </c>
      <c r="DJ45" t="e">
        <v>#VALUE!</v>
      </c>
      <c r="DK45" t="s">
        <v>810</v>
      </c>
      <c r="DL45">
        <v>0.31906822249293326</v>
      </c>
      <c r="DM45">
        <v>-400000000</v>
      </c>
      <c r="DN45">
        <v>0.4558117464184761</v>
      </c>
      <c r="DO45">
        <v>93558925000</v>
      </c>
      <c r="DP45">
        <v>37996894000</v>
      </c>
      <c r="DQ45">
        <v>2861</v>
      </c>
      <c r="DR45">
        <v>-1.0272056858124154</v>
      </c>
      <c r="DS45">
        <v>5.2489801373565079</v>
      </c>
      <c r="DT45" s="10">
        <v>-0.16000000000000003</v>
      </c>
      <c r="DU45">
        <v>-0.45000000000000007</v>
      </c>
      <c r="DV45">
        <v>-0.6100000000000001</v>
      </c>
      <c r="DW45">
        <v>1.0489999999999999</v>
      </c>
      <c r="DX45">
        <v>0.2788618346395873</v>
      </c>
      <c r="DY45">
        <v>1.0043542298973398</v>
      </c>
      <c r="DZ45">
        <v>2808</v>
      </c>
      <c r="EA45">
        <v>1.0019615337032635</v>
      </c>
      <c r="EB45">
        <v>1</v>
      </c>
      <c r="EC45">
        <v>5.183290378293573E-2</v>
      </c>
      <c r="ED45">
        <v>0.58329767750248906</v>
      </c>
      <c r="EE45" s="11">
        <v>1.02471</v>
      </c>
      <c r="EF45">
        <v>1.0275099999999999</v>
      </c>
      <c r="EG45">
        <v>19.088861834639587</v>
      </c>
      <c r="EH45" t="s">
        <v>940</v>
      </c>
      <c r="EI45">
        <v>0</v>
      </c>
      <c r="EJ45">
        <v>0</v>
      </c>
      <c r="EK45" s="13">
        <v>45470</v>
      </c>
      <c r="EL45" s="14">
        <v>0.86</v>
      </c>
      <c r="EM45" s="14">
        <v>-1.43</v>
      </c>
      <c r="EN45" s="14">
        <v>1.1599999999999999</v>
      </c>
      <c r="EO45" s="14">
        <v>0.56999999999999995</v>
      </c>
      <c r="EP45" s="14">
        <v>-0.28000000000000003</v>
      </c>
    </row>
    <row r="46" spans="1:146" ht="96" x14ac:dyDescent="0.25">
      <c r="A46" s="7"/>
      <c r="B46" s="7"/>
      <c r="C46" s="7" t="str">
        <f>""&amp;CHAR(10)&amp;Basic_Fundamental_Information_Constructure(F46)&amp;CHAR(10)&amp;Basic_Fundamental_Information_Concatenate("")</f>
        <v xml:space="preserve">
市值1023.08631亿, 利润76.38亿; PE13.97; 平均PE35.21; 平均PEG1.33, PB1.47; ROIC6.74%; ROE1.6933%; 股利率3.2765%; 毛利1.1167%; 净利.3033%; 上一年度营收增-70.75%, 利润增518.06%; 当季营收增369.28%, 利润增99.68%; 过往5年营收增-26.56%, 利润增518.06%
Income profile:
</v>
      </c>
      <c r="D46" t="s">
        <v>182</v>
      </c>
      <c r="E46" t="s">
        <v>40</v>
      </c>
      <c r="F46">
        <v>7.63</v>
      </c>
      <c r="G46">
        <v>0.13</v>
      </c>
      <c r="H46" t="s">
        <v>2889</v>
      </c>
      <c r="I46">
        <v>102308631000</v>
      </c>
      <c r="J46">
        <v>13.97</v>
      </c>
      <c r="K46">
        <v>1.47</v>
      </c>
      <c r="L46" t="s">
        <v>67</v>
      </c>
      <c r="M46" t="s">
        <v>1785</v>
      </c>
      <c r="N46" t="s">
        <v>2890</v>
      </c>
      <c r="O46" t="s">
        <v>1786</v>
      </c>
      <c r="P46">
        <v>13.45</v>
      </c>
      <c r="Q46" t="s">
        <v>1797</v>
      </c>
      <c r="R46">
        <v>1815129800</v>
      </c>
      <c r="S46" s="5">
        <v>0.79620000000000002</v>
      </c>
      <c r="T46" t="s">
        <v>1798</v>
      </c>
      <c r="U46">
        <v>13408732700</v>
      </c>
      <c r="V46">
        <v>13408732700</v>
      </c>
      <c r="W46">
        <v>1.79</v>
      </c>
      <c r="X46" t="s">
        <v>70</v>
      </c>
      <c r="Y46">
        <v>9.69</v>
      </c>
      <c r="Z46" t="s">
        <v>70</v>
      </c>
      <c r="AA46" t="s">
        <v>70</v>
      </c>
      <c r="AB46" t="s">
        <v>70</v>
      </c>
      <c r="AC46" t="s">
        <v>70</v>
      </c>
      <c r="AD46" t="s">
        <v>70</v>
      </c>
      <c r="AE46">
        <v>316082110</v>
      </c>
      <c r="AF46" t="s">
        <v>1789</v>
      </c>
      <c r="AG46" t="s">
        <v>2891</v>
      </c>
      <c r="AH46" t="s">
        <v>1790</v>
      </c>
      <c r="AI46" t="s">
        <v>2892</v>
      </c>
      <c r="AJ46" t="s">
        <v>1791</v>
      </c>
      <c r="AK46" t="s">
        <v>70</v>
      </c>
      <c r="AL46" t="s">
        <v>1792</v>
      </c>
      <c r="AM46" t="s">
        <v>70</v>
      </c>
      <c r="AN46" t="s">
        <v>2893</v>
      </c>
      <c r="AO46" t="s">
        <v>70</v>
      </c>
      <c r="AP46" t="s">
        <v>2894</v>
      </c>
      <c r="AQ46" t="s">
        <v>2895</v>
      </c>
      <c r="AR46" t="s">
        <v>2896</v>
      </c>
      <c r="AS46" t="s">
        <v>70</v>
      </c>
      <c r="AT46" t="s">
        <v>70</v>
      </c>
      <c r="AU46" t="s">
        <v>2897</v>
      </c>
      <c r="AV46" t="s">
        <v>2898</v>
      </c>
      <c r="AW46" t="s">
        <v>2899</v>
      </c>
      <c r="AX46" t="s">
        <v>1117</v>
      </c>
      <c r="AY46" t="s">
        <v>70</v>
      </c>
      <c r="AZ46" t="s">
        <v>454</v>
      </c>
      <c r="BA46" t="s">
        <v>183</v>
      </c>
      <c r="BB46" t="s">
        <v>455</v>
      </c>
      <c r="BC46" t="s">
        <v>1793</v>
      </c>
      <c r="BD46" t="s">
        <v>70</v>
      </c>
      <c r="BE46" t="s">
        <v>70</v>
      </c>
      <c r="BF46" t="s">
        <v>70</v>
      </c>
      <c r="BG46" t="s">
        <v>70</v>
      </c>
      <c r="BH46" t="s">
        <v>1787</v>
      </c>
      <c r="BI46" t="s">
        <v>1805</v>
      </c>
      <c r="BJ46" t="s">
        <v>1117</v>
      </c>
      <c r="BK46" t="s">
        <v>1788</v>
      </c>
      <c r="BL46" t="s">
        <v>1617</v>
      </c>
      <c r="BM46" t="s">
        <v>1793</v>
      </c>
      <c r="BN46">
        <v>6.74</v>
      </c>
      <c r="BO46" t="s">
        <v>70</v>
      </c>
      <c r="BP46" t="s">
        <v>70</v>
      </c>
      <c r="BQ46">
        <v>9.2899999999999991</v>
      </c>
      <c r="BR46">
        <v>-2.91</v>
      </c>
      <c r="BS46">
        <v>-1.3</v>
      </c>
      <c r="BT46" t="s">
        <v>1794</v>
      </c>
      <c r="BU46" t="s">
        <v>881</v>
      </c>
      <c r="BV46">
        <v>9.41</v>
      </c>
      <c r="BW46">
        <v>-3.95</v>
      </c>
      <c r="BX46">
        <v>-2.11</v>
      </c>
      <c r="BY46">
        <v>8.23</v>
      </c>
      <c r="BZ46">
        <v>-4.5</v>
      </c>
      <c r="CA46">
        <v>-2.82</v>
      </c>
      <c r="CB46">
        <v>7.31</v>
      </c>
      <c r="CC46">
        <v>23.06</v>
      </c>
      <c r="CD46" t="s">
        <v>116</v>
      </c>
      <c r="CE46" t="s">
        <v>2900</v>
      </c>
      <c r="CF46" s="8">
        <v>3.6927583782516993</v>
      </c>
      <c r="CG46" s="9">
        <v>0.99684246424642464</v>
      </c>
      <c r="CH46" s="8">
        <v>-0.70745062828063965</v>
      </c>
      <c r="CI46" s="8" t="s">
        <v>70</v>
      </c>
      <c r="CJ46" s="8" t="s">
        <v>70</v>
      </c>
      <c r="CK46" s="8">
        <v>-4.9419738352298737E-2</v>
      </c>
      <c r="CL46" s="8">
        <v>-3.995831310749054E-2</v>
      </c>
      <c r="CM46" s="9">
        <v>5.1806235313415527</v>
      </c>
      <c r="CN46" s="9" t="s">
        <v>70</v>
      </c>
      <c r="CO46" s="9" t="s">
        <v>70</v>
      </c>
      <c r="CP46" s="9" t="s">
        <v>70</v>
      </c>
      <c r="CQ46" s="9" t="s">
        <v>70</v>
      </c>
      <c r="CR46">
        <v>35.212056788848734</v>
      </c>
      <c r="CS46">
        <v>1.3257074331330261</v>
      </c>
      <c r="CT46">
        <v>3.2765399737876804</v>
      </c>
      <c r="CU46" s="8">
        <v>-0.26560955991347629</v>
      </c>
      <c r="CV46" s="9">
        <v>5.1806235313415527</v>
      </c>
      <c r="CW46">
        <v>0.06</v>
      </c>
      <c r="CX46">
        <v>11.422182639434407</v>
      </c>
      <c r="CY46" t="s">
        <v>2901</v>
      </c>
      <c r="CZ46">
        <v>-0.26560955991347629</v>
      </c>
      <c r="DA46">
        <v>3.8073942131448022</v>
      </c>
      <c r="DB46" t="s">
        <v>2902</v>
      </c>
      <c r="DC46">
        <v>-0.25232908191780246</v>
      </c>
      <c r="DD46">
        <v>1.9036971065724011</v>
      </c>
      <c r="DE46" t="s">
        <v>2903</v>
      </c>
      <c r="DF46">
        <v>-0.23373641272385914</v>
      </c>
      <c r="DG46">
        <v>1.1422182639434406</v>
      </c>
      <c r="DH46" t="s">
        <v>2904</v>
      </c>
      <c r="DI46">
        <v>-0.21248764793078104</v>
      </c>
      <c r="DJ46">
        <v>0.57110913197172031</v>
      </c>
      <c r="DK46" t="s">
        <v>2905</v>
      </c>
      <c r="DL46">
        <v>-0.1859266919394334</v>
      </c>
      <c r="DM46">
        <v>7638000000</v>
      </c>
      <c r="DN46">
        <v>-0.26560955991347629</v>
      </c>
      <c r="DO46">
        <v>87242631000</v>
      </c>
      <c r="DP46">
        <v>41042062000</v>
      </c>
      <c r="DQ46">
        <v>2863</v>
      </c>
      <c r="DR46">
        <v>3.9583679381651757</v>
      </c>
      <c r="DS46">
        <v>-4.1837810670951283</v>
      </c>
      <c r="DT46" s="10">
        <v>-1.1599999999999999</v>
      </c>
      <c r="DU46">
        <v>2.2199999999999998</v>
      </c>
      <c r="DV46">
        <v>1.0599999999999998</v>
      </c>
      <c r="DW46">
        <v>9.3169991326973118</v>
      </c>
      <c r="DX46">
        <v>0.35645858343337178</v>
      </c>
      <c r="DY46">
        <v>9.0464272439244553</v>
      </c>
      <c r="DZ46">
        <v>4186</v>
      </c>
      <c r="EA46">
        <v>9.0083950632849703</v>
      </c>
      <c r="EB46">
        <v>9</v>
      </c>
      <c r="EC46">
        <v>1.8197096284871126E-2</v>
      </c>
      <c r="ED46">
        <v>0.12424738692866925</v>
      </c>
      <c r="EE46" s="11">
        <v>1.111</v>
      </c>
      <c r="EF46">
        <v>1.1192</v>
      </c>
      <c r="EG46">
        <v>21.146458583433372</v>
      </c>
      <c r="EH46" t="s">
        <v>813</v>
      </c>
      <c r="EI46">
        <v>1</v>
      </c>
      <c r="EJ46">
        <v>0</v>
      </c>
      <c r="EK46" s="13">
        <v>45470</v>
      </c>
      <c r="EL46" s="14">
        <v>1.68</v>
      </c>
      <c r="EM46" s="14">
        <v>-0.83</v>
      </c>
      <c r="EN46" s="14">
        <v>-0.83</v>
      </c>
      <c r="EO46" s="14">
        <v>2.52</v>
      </c>
      <c r="EP46" s="14">
        <v>0.82</v>
      </c>
    </row>
    <row r="47" spans="1:146" ht="96" x14ac:dyDescent="0.25">
      <c r="A47" s="7"/>
      <c r="B47" s="7"/>
      <c r="C47" s="7" t="str">
        <f>""&amp;CHAR(10)&amp;Basic_Fundamental_Information_Constructure(F47)&amp;CHAR(10)&amp;Basic_Fundamental_Information_Concatenate("")</f>
        <v xml:space="preserve">
市值2037.6亿, 利润33.51亿; PE26.14; 平均PE38.5; 平均PEG5.69, PB3.68; ROIC5.7267%; ROE9.4933%; 股利率1.5901%; 毛利55.8067%; 净利33.55%; 上一年度营收增-6.32%, 利润增-53.68%; 当季营收增-21.51%, 利润增-2.79%; 过往5年营收增6.77%, 利润增-53.68%
Income profile:
</v>
      </c>
      <c r="D47" t="s">
        <v>184</v>
      </c>
      <c r="E47" t="s">
        <v>22</v>
      </c>
      <c r="F47">
        <v>11.32</v>
      </c>
      <c r="G47">
        <v>-0.44</v>
      </c>
      <c r="H47" t="s">
        <v>2906</v>
      </c>
      <c r="I47">
        <v>203760000000</v>
      </c>
      <c r="J47">
        <v>26.14</v>
      </c>
      <c r="K47">
        <v>3.68</v>
      </c>
      <c r="L47" t="s">
        <v>67</v>
      </c>
      <c r="M47" t="s">
        <v>1795</v>
      </c>
      <c r="N47" t="s">
        <v>2907</v>
      </c>
      <c r="O47" t="s">
        <v>1796</v>
      </c>
      <c r="P47">
        <v>3.58</v>
      </c>
      <c r="Q47" t="s">
        <v>2908</v>
      </c>
      <c r="R47">
        <v>1065441950</v>
      </c>
      <c r="S47" s="5">
        <v>0.17249999999999999</v>
      </c>
      <c r="T47" t="s">
        <v>2909</v>
      </c>
      <c r="U47">
        <v>18000000000</v>
      </c>
      <c r="V47">
        <v>18000000000</v>
      </c>
      <c r="W47">
        <v>2.73</v>
      </c>
      <c r="X47" t="s">
        <v>70</v>
      </c>
      <c r="Y47">
        <v>28.72</v>
      </c>
      <c r="Z47" t="s">
        <v>70</v>
      </c>
      <c r="AA47" t="s">
        <v>70</v>
      </c>
      <c r="AB47" t="s">
        <v>70</v>
      </c>
      <c r="AC47" t="s">
        <v>70</v>
      </c>
      <c r="AD47" t="s">
        <v>70</v>
      </c>
      <c r="AE47">
        <v>681559300</v>
      </c>
      <c r="AF47" t="s">
        <v>1799</v>
      </c>
      <c r="AG47" t="s">
        <v>2910</v>
      </c>
      <c r="AH47" t="s">
        <v>1800</v>
      </c>
      <c r="AI47" t="s">
        <v>2664</v>
      </c>
      <c r="AJ47" t="s">
        <v>1801</v>
      </c>
      <c r="AK47" t="s">
        <v>70</v>
      </c>
      <c r="AL47" t="s">
        <v>1802</v>
      </c>
      <c r="AM47" t="s">
        <v>70</v>
      </c>
      <c r="AN47" t="s">
        <v>2911</v>
      </c>
      <c r="AO47" t="s">
        <v>70</v>
      </c>
      <c r="AP47" t="s">
        <v>70</v>
      </c>
      <c r="AQ47" t="s">
        <v>1303</v>
      </c>
      <c r="AR47" t="s">
        <v>2912</v>
      </c>
      <c r="AS47" t="s">
        <v>70</v>
      </c>
      <c r="AT47" t="s">
        <v>70</v>
      </c>
      <c r="AU47" t="s">
        <v>2913</v>
      </c>
      <c r="AV47" t="s">
        <v>2914</v>
      </c>
      <c r="AW47" t="s">
        <v>419</v>
      </c>
      <c r="AX47" t="s">
        <v>1803</v>
      </c>
      <c r="AY47" t="s">
        <v>70</v>
      </c>
      <c r="AZ47" t="s">
        <v>456</v>
      </c>
      <c r="BA47" t="s">
        <v>185</v>
      </c>
      <c r="BB47" t="s">
        <v>458</v>
      </c>
      <c r="BC47" t="s">
        <v>1804</v>
      </c>
      <c r="BD47" t="s">
        <v>70</v>
      </c>
      <c r="BE47" t="s">
        <v>70</v>
      </c>
      <c r="BF47" t="s">
        <v>70</v>
      </c>
      <c r="BG47" t="s">
        <v>70</v>
      </c>
      <c r="BH47" t="s">
        <v>1797</v>
      </c>
      <c r="BI47" t="s">
        <v>2915</v>
      </c>
      <c r="BJ47" t="s">
        <v>1803</v>
      </c>
      <c r="BK47" t="s">
        <v>1798</v>
      </c>
      <c r="BL47" t="s">
        <v>2916</v>
      </c>
      <c r="BM47" t="s">
        <v>1804</v>
      </c>
      <c r="BN47">
        <v>5.29</v>
      </c>
      <c r="BO47">
        <v>5.97</v>
      </c>
      <c r="BP47">
        <v>5.92</v>
      </c>
      <c r="BQ47">
        <v>8.6</v>
      </c>
      <c r="BR47">
        <v>10.59</v>
      </c>
      <c r="BS47">
        <v>9.2899999999999991</v>
      </c>
      <c r="BT47" t="s">
        <v>1378</v>
      </c>
      <c r="BU47" t="s">
        <v>883</v>
      </c>
      <c r="BV47">
        <v>56.36</v>
      </c>
      <c r="BW47">
        <v>56.43</v>
      </c>
      <c r="BX47">
        <v>54.63</v>
      </c>
      <c r="BY47">
        <v>35.14</v>
      </c>
      <c r="BZ47">
        <v>34.42</v>
      </c>
      <c r="CA47">
        <v>31.09</v>
      </c>
      <c r="CB47">
        <v>5.01</v>
      </c>
      <c r="CC47">
        <v>21.59</v>
      </c>
      <c r="CD47" t="s">
        <v>128</v>
      </c>
      <c r="CE47" t="s">
        <v>2414</v>
      </c>
      <c r="CF47" s="8">
        <v>-0.21505949209731842</v>
      </c>
      <c r="CG47" s="9">
        <v>-2.7881432481751824E-2</v>
      </c>
      <c r="CH47" s="8">
        <v>-6.3186459243297577E-2</v>
      </c>
      <c r="CI47" s="8" t="s">
        <v>70</v>
      </c>
      <c r="CJ47" s="8" t="s">
        <v>70</v>
      </c>
      <c r="CK47" s="8">
        <v>-7.4419461190700531E-2</v>
      </c>
      <c r="CL47" s="8">
        <v>0.34061607718467712</v>
      </c>
      <c r="CM47" s="9">
        <v>-0.53677076101303101</v>
      </c>
      <c r="CN47" s="9" t="s">
        <v>70</v>
      </c>
      <c r="CO47" s="9" t="s">
        <v>70</v>
      </c>
      <c r="CP47" s="9" t="s">
        <v>70</v>
      </c>
      <c r="CQ47" s="9" t="s">
        <v>70</v>
      </c>
      <c r="CR47">
        <v>38.499763816721774</v>
      </c>
      <c r="CS47">
        <v>5.6893356125039798</v>
      </c>
      <c r="CT47">
        <v>1.5901060070671378</v>
      </c>
      <c r="CU47" s="8">
        <v>6.7670052250226334E-2</v>
      </c>
      <c r="CV47" s="9">
        <v>-0.53677076101303101</v>
      </c>
      <c r="CW47">
        <v>0.06</v>
      </c>
      <c r="CX47">
        <v>75.949393445004247</v>
      </c>
      <c r="CY47">
        <v>3375247495.3684034</v>
      </c>
      <c r="CZ47">
        <v>6.7670052250226334E-2</v>
      </c>
      <c r="DA47">
        <v>25.294521976404926</v>
      </c>
      <c r="DB47">
        <v>10134526370.536865</v>
      </c>
      <c r="DC47">
        <v>6.4286549637715018E-2</v>
      </c>
      <c r="DD47">
        <v>12.768799918434173</v>
      </c>
      <c r="DE47">
        <v>20076123178.178497</v>
      </c>
      <c r="DF47">
        <v>5.9549645980199177E-2</v>
      </c>
      <c r="DG47">
        <v>7.885895043606709</v>
      </c>
      <c r="DH47">
        <v>32507153415.366299</v>
      </c>
      <c r="DI47">
        <v>5.413604180018107E-2</v>
      </c>
      <c r="DJ47">
        <v>4.3276574057574475</v>
      </c>
      <c r="DK47">
        <v>59234818278.119392</v>
      </c>
      <c r="DL47">
        <v>4.7369036575158431E-2</v>
      </c>
      <c r="DM47">
        <v>3351000000</v>
      </c>
      <c r="DN47">
        <v>6.7670052250226334E-2</v>
      </c>
      <c r="DO47">
        <v>256348000000</v>
      </c>
      <c r="DP47">
        <v>5350209000</v>
      </c>
      <c r="DQ47">
        <v>2864</v>
      </c>
      <c r="DR47">
        <v>-0.28272954434754477</v>
      </c>
      <c r="DS47">
        <v>0.50888932853127922</v>
      </c>
      <c r="DT47" s="10">
        <v>-0.66</v>
      </c>
      <c r="DU47">
        <v>-1.1599999999999999</v>
      </c>
      <c r="DV47">
        <v>-1.8199999999999998</v>
      </c>
      <c r="DW47">
        <v>8.2320518758684571</v>
      </c>
      <c r="DX47">
        <v>0.44099071207430174</v>
      </c>
      <c r="DY47">
        <v>8.0373581967342407</v>
      </c>
      <c r="DZ47">
        <v>3179</v>
      </c>
      <c r="EA47">
        <v>8.0141171581005519</v>
      </c>
      <c r="EB47">
        <v>8</v>
      </c>
      <c r="EC47">
        <v>8.6666666666666663E-3</v>
      </c>
      <c r="ED47">
        <v>5.383333333333333E-2</v>
      </c>
      <c r="EE47" s="11">
        <v>2.0767099999999998</v>
      </c>
      <c r="EF47">
        <v>2.0811099999999998</v>
      </c>
      <c r="EG47">
        <v>28.160990712074302</v>
      </c>
      <c r="EH47" t="s">
        <v>1283</v>
      </c>
      <c r="EI47">
        <v>0</v>
      </c>
      <c r="EJ47">
        <v>0</v>
      </c>
      <c r="EK47" s="13">
        <v>45470</v>
      </c>
      <c r="EL47" s="14">
        <v>1.1499999999999999</v>
      </c>
      <c r="EM47" s="14">
        <v>0.43</v>
      </c>
      <c r="EN47" s="14">
        <v>-1.28</v>
      </c>
      <c r="EO47" s="14">
        <v>-1.01</v>
      </c>
      <c r="EP47" s="14">
        <v>-0.44</v>
      </c>
    </row>
    <row r="48" spans="1:146" ht="96" x14ac:dyDescent="0.25">
      <c r="A48" s="7"/>
      <c r="B48" s="7"/>
      <c r="C48" s="7" t="str">
        <f>""&amp;CHAR(10)&amp;Basic_Fundamental_Information_Constructure(F48)&amp;CHAR(10)&amp;Basic_Fundamental_Information_Concatenate("")</f>
        <v xml:space="preserve">
市值702.63345亿, 利润604.63亿; PE13.38; 平均PE2.32; 平均PEG0, PB1.72; ROIC3.68%; ROE-1.9867%; 股利率2.1834%; 毛利.2333%; 净利-.99%; 上一年度营收增2900.42%, 利润增52023.28%; 当季营收增-96.09%, 利润增-90.74%; 过往5年营收增968.2%, 利润增52023.28%
Income profile:
</v>
      </c>
      <c r="D48" t="s">
        <v>187</v>
      </c>
      <c r="E48" t="s">
        <v>23</v>
      </c>
      <c r="F48">
        <v>6.87</v>
      </c>
      <c r="G48">
        <v>-0.72</v>
      </c>
      <c r="H48" t="s">
        <v>2917</v>
      </c>
      <c r="I48">
        <v>70263345000</v>
      </c>
      <c r="J48">
        <v>13.38</v>
      </c>
      <c r="K48">
        <v>1.72</v>
      </c>
      <c r="L48" t="s">
        <v>67</v>
      </c>
      <c r="M48" t="s">
        <v>1806</v>
      </c>
      <c r="N48" t="s">
        <v>2918</v>
      </c>
      <c r="O48" t="s">
        <v>1807</v>
      </c>
      <c r="P48">
        <v>-3.21</v>
      </c>
      <c r="Q48" t="s">
        <v>2919</v>
      </c>
      <c r="R48">
        <v>1862213000</v>
      </c>
      <c r="S48" s="5">
        <v>0.6421</v>
      </c>
      <c r="T48" t="s">
        <v>2920</v>
      </c>
      <c r="U48">
        <v>8510327500</v>
      </c>
      <c r="V48">
        <v>10227561100</v>
      </c>
      <c r="W48">
        <v>2.52</v>
      </c>
      <c r="X48" t="s">
        <v>70</v>
      </c>
      <c r="Y48">
        <v>7.31</v>
      </c>
      <c r="Z48" t="s">
        <v>70</v>
      </c>
      <c r="AA48" t="s">
        <v>70</v>
      </c>
      <c r="AB48" t="s">
        <v>70</v>
      </c>
      <c r="AC48" t="s">
        <v>70</v>
      </c>
      <c r="AD48" t="s">
        <v>70</v>
      </c>
      <c r="AE48">
        <v>848374000</v>
      </c>
      <c r="AF48" t="s">
        <v>1810</v>
      </c>
      <c r="AG48" t="s">
        <v>2921</v>
      </c>
      <c r="AH48" t="s">
        <v>1811</v>
      </c>
      <c r="AI48" t="s">
        <v>2922</v>
      </c>
      <c r="AJ48" t="s">
        <v>1812</v>
      </c>
      <c r="AK48" t="s">
        <v>70</v>
      </c>
      <c r="AL48" t="s">
        <v>1813</v>
      </c>
      <c r="AM48" t="s">
        <v>70</v>
      </c>
      <c r="AN48" t="s">
        <v>2923</v>
      </c>
      <c r="AO48" t="s">
        <v>70</v>
      </c>
      <c r="AP48" t="s">
        <v>2924</v>
      </c>
      <c r="AQ48" t="s">
        <v>2925</v>
      </c>
      <c r="AR48" t="s">
        <v>2926</v>
      </c>
      <c r="AS48" t="s">
        <v>70</v>
      </c>
      <c r="AT48" t="s">
        <v>70</v>
      </c>
      <c r="AU48" t="s">
        <v>2927</v>
      </c>
      <c r="AV48" t="s">
        <v>2928</v>
      </c>
      <c r="AW48" t="s">
        <v>2929</v>
      </c>
      <c r="AX48" t="s">
        <v>1120</v>
      </c>
      <c r="AY48" t="s">
        <v>70</v>
      </c>
      <c r="AZ48" t="s">
        <v>767</v>
      </c>
      <c r="BA48" t="s">
        <v>188</v>
      </c>
      <c r="BB48" t="s">
        <v>460</v>
      </c>
      <c r="BC48" t="s">
        <v>177</v>
      </c>
      <c r="BD48" t="s">
        <v>70</v>
      </c>
      <c r="BE48" t="s">
        <v>70</v>
      </c>
      <c r="BF48" t="s">
        <v>70</v>
      </c>
      <c r="BG48" t="s">
        <v>70</v>
      </c>
      <c r="BH48" t="s">
        <v>1808</v>
      </c>
      <c r="BI48" t="s">
        <v>2930</v>
      </c>
      <c r="BJ48" t="s">
        <v>1120</v>
      </c>
      <c r="BK48" t="s">
        <v>1809</v>
      </c>
      <c r="BL48" t="s">
        <v>2931</v>
      </c>
      <c r="BM48" t="s">
        <v>177</v>
      </c>
      <c r="BN48">
        <v>3.68</v>
      </c>
      <c r="BO48" t="s">
        <v>70</v>
      </c>
      <c r="BP48" t="s">
        <v>70</v>
      </c>
      <c r="BQ48">
        <v>9.83</v>
      </c>
      <c r="BR48">
        <v>-2.12</v>
      </c>
      <c r="BS48">
        <v>-13.67</v>
      </c>
      <c r="BT48" t="s">
        <v>933</v>
      </c>
      <c r="BU48" t="s">
        <v>881</v>
      </c>
      <c r="BV48">
        <v>6.43</v>
      </c>
      <c r="BW48">
        <v>0.43</v>
      </c>
      <c r="BX48">
        <v>-6.16</v>
      </c>
      <c r="BY48">
        <v>4.0999999999999996</v>
      </c>
      <c r="BZ48">
        <v>-0.6</v>
      </c>
      <c r="CA48">
        <v>-6.47</v>
      </c>
      <c r="CB48">
        <v>-1.01</v>
      </c>
      <c r="CC48">
        <v>7.68</v>
      </c>
      <c r="CD48" t="s">
        <v>2206</v>
      </c>
      <c r="CE48" t="s">
        <v>2932</v>
      </c>
      <c r="CF48" s="8">
        <v>-0.96088615257079524</v>
      </c>
      <c r="CG48" s="9">
        <v>-0.90736180479554274</v>
      </c>
      <c r="CH48" s="8">
        <v>29.004156112670898</v>
      </c>
      <c r="CI48" s="8" t="s">
        <v>70</v>
      </c>
      <c r="CJ48" s="8" t="s">
        <v>70</v>
      </c>
      <c r="CK48" s="8">
        <v>-6.8763503804802895E-3</v>
      </c>
      <c r="CL48" s="8">
        <v>4.8592589795589447E-2</v>
      </c>
      <c r="CM48" s="9">
        <v>520.2327880859375</v>
      </c>
      <c r="CN48" s="9" t="s">
        <v>70</v>
      </c>
      <c r="CO48" s="9" t="s">
        <v>70</v>
      </c>
      <c r="CP48" s="9" t="s">
        <v>70</v>
      </c>
      <c r="CQ48" s="9" t="s">
        <v>70</v>
      </c>
      <c r="CR48">
        <v>2.3197261427227258</v>
      </c>
      <c r="CS48">
        <v>2.395926809775567E-3</v>
      </c>
      <c r="CT48">
        <v>2.1834061135371177</v>
      </c>
      <c r="CU48" s="8">
        <v>9.6819574506953359</v>
      </c>
      <c r="CV48" s="9">
        <v>520.2327880859375</v>
      </c>
      <c r="CW48">
        <v>0.06</v>
      </c>
      <c r="CX48">
        <v>0.20051265815289551</v>
      </c>
      <c r="CY48">
        <v>609304899378.67175</v>
      </c>
      <c r="CZ48">
        <v>9.6819574506953359</v>
      </c>
      <c r="DA48">
        <v>2.0356388802888485E-3</v>
      </c>
      <c r="DB48">
        <v>60017199604020.195</v>
      </c>
      <c r="DC48">
        <v>9.1978595781605694</v>
      </c>
      <c r="DD48">
        <v>3.4213828286403293E-6</v>
      </c>
      <c r="DE48">
        <v>3.5708761959430352E+16</v>
      </c>
      <c r="DF48">
        <v>8.520122556611895</v>
      </c>
      <c r="DG48">
        <v>1.214938134016006E-9</v>
      </c>
      <c r="DH48">
        <v>1.0055931374559229E+20</v>
      </c>
      <c r="DI48">
        <v>7.7455659605562692</v>
      </c>
      <c r="DJ48">
        <v>8.5371937627850031E-18</v>
      </c>
      <c r="DK48">
        <v>1.4310714784590366E+28</v>
      </c>
      <c r="DL48">
        <v>6.7773702154867346</v>
      </c>
      <c r="DM48">
        <v>60463000000</v>
      </c>
      <c r="DN48">
        <v>9.6819574506953359</v>
      </c>
      <c r="DO48">
        <v>122173345000</v>
      </c>
      <c r="DP48">
        <v>27878414000</v>
      </c>
      <c r="DQ48">
        <v>2866</v>
      </c>
      <c r="DR48">
        <v>-10.642843603266131</v>
      </c>
      <c r="DS48">
        <v>-521.14014989073303</v>
      </c>
      <c r="DT48" s="10">
        <v>-0.21000000000000008</v>
      </c>
      <c r="DU48">
        <v>-0.42000000000000015</v>
      </c>
      <c r="DV48">
        <v>-0.63000000000000023</v>
      </c>
      <c r="DW48">
        <v>2.0768</v>
      </c>
      <c r="DX48">
        <v>0.35475806451612879</v>
      </c>
      <c r="DY48">
        <v>2.0111174193548389</v>
      </c>
      <c r="DZ48">
        <v>404</v>
      </c>
      <c r="EA48">
        <v>2.0102384687835366</v>
      </c>
      <c r="EB48">
        <v>2</v>
      </c>
      <c r="EC48">
        <v>3.5101232492270325E-2</v>
      </c>
      <c r="ED48">
        <v>0.24248205175718773</v>
      </c>
      <c r="EE48" s="11">
        <v>2.06141</v>
      </c>
      <c r="EF48">
        <v>2.0782099999999999</v>
      </c>
      <c r="EG48">
        <v>21.144758064516129</v>
      </c>
      <c r="EH48" t="s">
        <v>1283</v>
      </c>
      <c r="EI48">
        <v>1</v>
      </c>
      <c r="EJ48">
        <v>1</v>
      </c>
      <c r="EK48" s="13">
        <v>45470</v>
      </c>
      <c r="EL48" s="14">
        <v>-1.58</v>
      </c>
      <c r="EM48" s="14">
        <v>-1.92</v>
      </c>
      <c r="EN48" s="14">
        <v>-0.38</v>
      </c>
      <c r="EO48" s="14">
        <v>-1.96</v>
      </c>
      <c r="EP48" s="14">
        <v>-1.68</v>
      </c>
    </row>
    <row r="49" spans="1:146" ht="168" x14ac:dyDescent="0.25">
      <c r="A49" s="7" t="s">
        <v>816</v>
      </c>
      <c r="B49" s="7" t="s">
        <v>815</v>
      </c>
      <c r="C49" s="7" t="s">
        <v>826</v>
      </c>
      <c r="D49" t="s">
        <v>461</v>
      </c>
      <c r="E49" t="s">
        <v>2933</v>
      </c>
      <c r="F49">
        <v>7.14</v>
      </c>
      <c r="G49">
        <v>0</v>
      </c>
      <c r="H49" t="s">
        <v>2934</v>
      </c>
      <c r="I49">
        <v>17169382000</v>
      </c>
      <c r="J49">
        <v>25.28</v>
      </c>
      <c r="K49">
        <v>1.4</v>
      </c>
      <c r="L49" t="s">
        <v>67</v>
      </c>
      <c r="M49" t="s">
        <v>1814</v>
      </c>
      <c r="N49" t="s">
        <v>2935</v>
      </c>
      <c r="O49" t="s">
        <v>1815</v>
      </c>
      <c r="P49">
        <v>12.1</v>
      </c>
      <c r="Q49" t="s">
        <v>2936</v>
      </c>
      <c r="R49">
        <v>172922850</v>
      </c>
      <c r="S49" s="5">
        <v>0.42880000000000001</v>
      </c>
      <c r="T49" t="s">
        <v>591</v>
      </c>
      <c r="U49">
        <v>2404675300</v>
      </c>
      <c r="V49">
        <v>2404675300</v>
      </c>
      <c r="W49">
        <v>2.89</v>
      </c>
      <c r="X49" t="s">
        <v>70</v>
      </c>
      <c r="Y49">
        <v>20.53</v>
      </c>
      <c r="Z49" t="s">
        <v>70</v>
      </c>
      <c r="AA49" t="s">
        <v>70</v>
      </c>
      <c r="AB49" t="s">
        <v>70</v>
      </c>
      <c r="AC49" t="s">
        <v>70</v>
      </c>
      <c r="AD49" t="s">
        <v>70</v>
      </c>
      <c r="AE49">
        <v>246075720</v>
      </c>
      <c r="AF49" t="s">
        <v>1817</v>
      </c>
      <c r="AG49" t="s">
        <v>2937</v>
      </c>
      <c r="AH49" t="s">
        <v>1818</v>
      </c>
      <c r="AI49" t="s">
        <v>426</v>
      </c>
      <c r="AJ49" t="s">
        <v>1819</v>
      </c>
      <c r="AK49" t="s">
        <v>70</v>
      </c>
      <c r="AL49" t="s">
        <v>1820</v>
      </c>
      <c r="AM49" t="s">
        <v>70</v>
      </c>
      <c r="AN49" t="s">
        <v>2938</v>
      </c>
      <c r="AO49" t="s">
        <v>70</v>
      </c>
      <c r="AP49" t="s">
        <v>70</v>
      </c>
      <c r="AQ49" t="s">
        <v>2939</v>
      </c>
      <c r="AR49" t="s">
        <v>2940</v>
      </c>
      <c r="AS49" t="s">
        <v>70</v>
      </c>
      <c r="AT49" t="s">
        <v>70</v>
      </c>
      <c r="AU49" t="s">
        <v>2785</v>
      </c>
      <c r="AV49" t="s">
        <v>2941</v>
      </c>
      <c r="AW49" t="s">
        <v>2566</v>
      </c>
      <c r="AX49" t="s">
        <v>1121</v>
      </c>
      <c r="AY49" t="s">
        <v>70</v>
      </c>
      <c r="AZ49" t="s">
        <v>462</v>
      </c>
      <c r="BA49" t="s">
        <v>463</v>
      </c>
      <c r="BB49" t="s">
        <v>464</v>
      </c>
      <c r="BC49" t="s">
        <v>1821</v>
      </c>
      <c r="BD49" t="s">
        <v>70</v>
      </c>
      <c r="BE49" t="s">
        <v>70</v>
      </c>
      <c r="BF49" t="s">
        <v>70</v>
      </c>
      <c r="BG49" t="s">
        <v>70</v>
      </c>
      <c r="BH49" t="s">
        <v>1816</v>
      </c>
      <c r="BI49" t="s">
        <v>1292</v>
      </c>
      <c r="BJ49" t="s">
        <v>1121</v>
      </c>
      <c r="BK49" t="s">
        <v>1098</v>
      </c>
      <c r="BL49" t="s">
        <v>2034</v>
      </c>
      <c r="BM49" t="s">
        <v>1821</v>
      </c>
      <c r="BN49">
        <v>3.34</v>
      </c>
      <c r="BO49">
        <v>5.43</v>
      </c>
      <c r="BP49">
        <v>4.05</v>
      </c>
      <c r="BQ49">
        <v>5.29</v>
      </c>
      <c r="BR49">
        <v>9.3000000000000007</v>
      </c>
      <c r="BS49">
        <v>6.32</v>
      </c>
      <c r="BT49" t="s">
        <v>937</v>
      </c>
      <c r="BU49" t="s">
        <v>882</v>
      </c>
      <c r="BV49">
        <v>51.15</v>
      </c>
      <c r="BW49">
        <v>54.05</v>
      </c>
      <c r="BX49">
        <v>56.27</v>
      </c>
      <c r="BY49">
        <v>21.62</v>
      </c>
      <c r="BZ49">
        <v>25</v>
      </c>
      <c r="CA49">
        <v>23.94</v>
      </c>
      <c r="CB49">
        <v>-0.97</v>
      </c>
      <c r="CC49">
        <v>-9.9600000000000009</v>
      </c>
      <c r="CD49" t="s">
        <v>2942</v>
      </c>
      <c r="CE49" t="s">
        <v>1251</v>
      </c>
      <c r="CF49" s="8">
        <v>0.64747191011235961</v>
      </c>
      <c r="CG49" s="9">
        <v>-0.2546428879310344</v>
      </c>
      <c r="CH49" s="8">
        <v>-0.33666816353797913</v>
      </c>
      <c r="CI49" s="8" t="s">
        <v>70</v>
      </c>
      <c r="CJ49" s="8" t="s">
        <v>70</v>
      </c>
      <c r="CK49" s="8">
        <v>0.11655569076538086</v>
      </c>
      <c r="CL49" s="8">
        <v>0.6802557110786438</v>
      </c>
      <c r="CM49" s="9">
        <v>0.16237112879753113</v>
      </c>
      <c r="CN49" s="9" t="s">
        <v>70</v>
      </c>
      <c r="CO49" s="9" t="s">
        <v>70</v>
      </c>
      <c r="CP49" s="9" t="s">
        <v>70</v>
      </c>
      <c r="CQ49" s="9" t="s">
        <v>70</v>
      </c>
      <c r="CR49">
        <v>20.464102502979738</v>
      </c>
      <c r="CS49">
        <v>1.3341999272866989</v>
      </c>
      <c r="CT49">
        <v>0.98039215686274506</v>
      </c>
      <c r="CU49" s="8">
        <v>0.15338107943534851</v>
      </c>
      <c r="CV49" s="9">
        <v>0.16237112879753113</v>
      </c>
      <c r="CW49">
        <v>0.06</v>
      </c>
      <c r="CX49">
        <v>33.900835247238213</v>
      </c>
      <c r="CY49">
        <v>981462012.87800395</v>
      </c>
      <c r="CZ49">
        <v>0.15338107943534851</v>
      </c>
      <c r="DA49">
        <v>10.503693744691725</v>
      </c>
      <c r="DB49">
        <v>3167683941.3577662</v>
      </c>
      <c r="DC49">
        <v>0.14571202546358109</v>
      </c>
      <c r="DD49">
        <v>4.8071785496355872</v>
      </c>
      <c r="DE49">
        <v>6921395087.8779497</v>
      </c>
      <c r="DF49">
        <v>0.1349753499031067</v>
      </c>
      <c r="DG49">
        <v>2.6527596934578637</v>
      </c>
      <c r="DH49">
        <v>12542554111.49947</v>
      </c>
      <c r="DI49">
        <v>0.12270486354827881</v>
      </c>
      <c r="DJ49">
        <v>1.1292422530128752</v>
      </c>
      <c r="DK49">
        <v>29464343821.024769</v>
      </c>
      <c r="DL49">
        <v>0.10736675560474396</v>
      </c>
      <c r="DM49">
        <v>902000000</v>
      </c>
      <c r="DN49">
        <v>0.15338107943534851</v>
      </c>
      <c r="DO49">
        <v>33272382000</v>
      </c>
      <c r="DP49">
        <v>11369510100</v>
      </c>
      <c r="DQ49">
        <v>2871</v>
      </c>
      <c r="DR49">
        <v>0.49409083067701109</v>
      </c>
      <c r="DS49">
        <v>-0.41701401672856553</v>
      </c>
      <c r="DT49" s="10">
        <v>-0.91</v>
      </c>
      <c r="DU49">
        <v>-0.16000000000000003</v>
      </c>
      <c r="DV49">
        <v>-1.07</v>
      </c>
      <c r="DW49">
        <v>-2.0996000000000001</v>
      </c>
      <c r="DX49">
        <v>0.27791442542787248</v>
      </c>
      <c r="DY49">
        <v>-2.0067642767726159</v>
      </c>
      <c r="DZ49">
        <v>2865</v>
      </c>
      <c r="EA49">
        <v>-2.0029717810869907</v>
      </c>
      <c r="EB49">
        <v>2</v>
      </c>
      <c r="EC49">
        <v>1.1551247688201398E-2</v>
      </c>
      <c r="ED49">
        <v>0.17008533335041118</v>
      </c>
      <c r="EE49" s="11">
        <v>9.4000000000000004E-3</v>
      </c>
      <c r="EF49">
        <v>2.9999999999999992E-4</v>
      </c>
      <c r="EG49">
        <v>21.067914425427873</v>
      </c>
      <c r="EH49" t="s">
        <v>811</v>
      </c>
      <c r="EI49">
        <v>0</v>
      </c>
      <c r="EJ49">
        <v>0</v>
      </c>
      <c r="EK49" s="13">
        <v>45470</v>
      </c>
      <c r="EL49" s="14">
        <v>2.91</v>
      </c>
      <c r="EM49" s="14">
        <v>0.25</v>
      </c>
      <c r="EN49" s="14">
        <v>2.38</v>
      </c>
      <c r="EO49" s="14">
        <v>0.31</v>
      </c>
      <c r="EP49" s="14">
        <v>-0.91</v>
      </c>
    </row>
    <row r="50" spans="1:146" ht="96" x14ac:dyDescent="0.25">
      <c r="C50" s="7" t="str">
        <f>""&amp;CHAR(10)&amp;Basic_Fundamental_Information_Constructure(F50)&amp;CHAR(10)&amp;Basic_Fundamental_Information_Concatenate("")</f>
        <v xml:space="preserve">
市值35.962696亿, 利润1534.51万; PE18.16; 平均PE-36.39; 平均PEG-4.48, PB1.19; ROIC1.42%; ROE-1.9867%; 股利率1.1737%; 毛利32.35%; 净利-25.1767%; 上一年度营收增27.73%, 利润增107.2%; 当季营收增453.05%, 利润增408.71%; 过往5年营收增8.12%, 利润增107.2%
Income profile:
</v>
      </c>
      <c r="D50" t="s">
        <v>1273</v>
      </c>
      <c r="E50" t="s">
        <v>1274</v>
      </c>
      <c r="F50">
        <v>4.26</v>
      </c>
      <c r="G50">
        <v>0.95</v>
      </c>
      <c r="H50" t="s">
        <v>2943</v>
      </c>
      <c r="I50">
        <v>3596269600</v>
      </c>
      <c r="J50">
        <v>18.16</v>
      </c>
      <c r="K50">
        <v>1.19</v>
      </c>
      <c r="L50" t="s">
        <v>67</v>
      </c>
      <c r="M50" t="s">
        <v>1297</v>
      </c>
      <c r="N50" t="s">
        <v>2134</v>
      </c>
      <c r="O50" t="s">
        <v>1822</v>
      </c>
      <c r="P50" s="5">
        <v>12.34</v>
      </c>
      <c r="Q50" t="s">
        <v>1278</v>
      </c>
      <c r="R50">
        <v>71365855</v>
      </c>
      <c r="S50">
        <v>6.3330000000000002</v>
      </c>
      <c r="T50" t="s">
        <v>2944</v>
      </c>
      <c r="U50">
        <v>844194740</v>
      </c>
      <c r="V50">
        <v>844194740</v>
      </c>
      <c r="W50">
        <v>1.1499999999999999</v>
      </c>
      <c r="X50" t="s">
        <v>70</v>
      </c>
      <c r="Y50">
        <v>104.82</v>
      </c>
      <c r="Z50" t="s">
        <v>70</v>
      </c>
      <c r="AA50" t="s">
        <v>70</v>
      </c>
      <c r="AB50" t="s">
        <v>70</v>
      </c>
      <c r="AC50" t="s">
        <v>70</v>
      </c>
      <c r="AD50" t="s">
        <v>70</v>
      </c>
      <c r="AE50">
        <v>-5466784</v>
      </c>
      <c r="AF50" t="s">
        <v>1823</v>
      </c>
      <c r="AG50">
        <v>764.98</v>
      </c>
      <c r="AH50" t="s">
        <v>1824</v>
      </c>
      <c r="AI50" t="s">
        <v>2945</v>
      </c>
      <c r="AJ50" t="s">
        <v>1825</v>
      </c>
      <c r="AK50" t="s">
        <v>70</v>
      </c>
      <c r="AL50" t="s">
        <v>1826</v>
      </c>
      <c r="AM50" t="s">
        <v>70</v>
      </c>
      <c r="AN50" t="s">
        <v>2946</v>
      </c>
      <c r="AO50" t="s">
        <v>70</v>
      </c>
      <c r="AP50" t="s">
        <v>2947</v>
      </c>
      <c r="AQ50" t="s">
        <v>2948</v>
      </c>
      <c r="AR50" t="s">
        <v>2949</v>
      </c>
      <c r="AS50" t="s">
        <v>70</v>
      </c>
      <c r="AT50" t="s">
        <v>70</v>
      </c>
      <c r="AU50" t="s">
        <v>2950</v>
      </c>
      <c r="AV50" t="s">
        <v>2951</v>
      </c>
      <c r="AW50" t="s">
        <v>2952</v>
      </c>
      <c r="AX50" t="s">
        <v>218</v>
      </c>
      <c r="AY50" t="s">
        <v>70</v>
      </c>
      <c r="AZ50" t="s">
        <v>355</v>
      </c>
      <c r="BA50" t="s">
        <v>271</v>
      </c>
      <c r="BB50" t="s">
        <v>1084</v>
      </c>
      <c r="BC50" t="s">
        <v>1276</v>
      </c>
      <c r="BD50" t="s">
        <v>70</v>
      </c>
      <c r="BE50" t="s">
        <v>70</v>
      </c>
      <c r="BF50" t="s">
        <v>70</v>
      </c>
      <c r="BG50" t="s">
        <v>70</v>
      </c>
      <c r="BH50" t="s">
        <v>137</v>
      </c>
      <c r="BI50" t="s">
        <v>2953</v>
      </c>
      <c r="BJ50" t="s">
        <v>218</v>
      </c>
      <c r="BK50" t="s">
        <v>890</v>
      </c>
      <c r="BL50" t="s">
        <v>2954</v>
      </c>
      <c r="BM50" t="s">
        <v>1276</v>
      </c>
      <c r="BN50">
        <v>1.42</v>
      </c>
      <c r="BO50" t="s">
        <v>70</v>
      </c>
      <c r="BP50" t="s">
        <v>70</v>
      </c>
      <c r="BQ50">
        <v>1.93</v>
      </c>
      <c r="BR50">
        <v>-6.7</v>
      </c>
      <c r="BS50">
        <v>-1.19</v>
      </c>
      <c r="BT50" t="s">
        <v>931</v>
      </c>
      <c r="BU50" t="s">
        <v>884</v>
      </c>
      <c r="BV50">
        <v>34.369999999999997</v>
      </c>
      <c r="BW50">
        <v>39.29</v>
      </c>
      <c r="BX50">
        <v>23.39</v>
      </c>
      <c r="BY50">
        <v>28.2</v>
      </c>
      <c r="BZ50">
        <v>-91.06</v>
      </c>
      <c r="CA50">
        <v>-12.67</v>
      </c>
      <c r="CB50">
        <v>-0.7</v>
      </c>
      <c r="CC50" s="8">
        <v>3.65</v>
      </c>
      <c r="CD50" s="9" t="s">
        <v>2955</v>
      </c>
      <c r="CE50" s="8" t="s">
        <v>143</v>
      </c>
      <c r="CF50" s="8">
        <v>4.5304728920112272</v>
      </c>
      <c r="CG50" s="8">
        <v>4.08710560011074</v>
      </c>
      <c r="CH50" s="8">
        <v>0.27727273106575012</v>
      </c>
      <c r="CI50" s="8" t="s">
        <v>70</v>
      </c>
      <c r="CJ50" s="9" t="s">
        <v>70</v>
      </c>
      <c r="CK50" s="9">
        <v>0.84158414602279663</v>
      </c>
      <c r="CL50" s="9">
        <v>-0.87515449523925781</v>
      </c>
      <c r="CM50" s="9">
        <v>1.07204270362854</v>
      </c>
      <c r="CN50" s="9" t="s">
        <v>70</v>
      </c>
      <c r="CO50" t="s">
        <v>70</v>
      </c>
      <c r="CP50" t="s">
        <v>70</v>
      </c>
      <c r="CQ50" t="s">
        <v>70</v>
      </c>
      <c r="CR50" s="8">
        <v>-36.389379671336251</v>
      </c>
      <c r="CS50" s="9">
        <v>-4.4795679954215952</v>
      </c>
      <c r="CT50">
        <v>1.1737089201877935</v>
      </c>
      <c r="CU50">
        <v>8.1234127283096313E-2</v>
      </c>
      <c r="CV50">
        <v>1.07204270362854</v>
      </c>
      <c r="CW50">
        <v>0.06</v>
      </c>
      <c r="CX50">
        <v>67.354727133661171</v>
      </c>
      <c r="CY50">
        <v>15652496.043935699</v>
      </c>
      <c r="CZ50">
        <v>8.1234127283096313E-2</v>
      </c>
      <c r="DA50">
        <v>22.175049547795798</v>
      </c>
      <c r="DB50">
        <v>47543054.987437196</v>
      </c>
      <c r="DC50">
        <v>7.7172420918941498E-2</v>
      </c>
      <c r="DD50">
        <v>11.024905498178164</v>
      </c>
      <c r="DE50">
        <v>95626180.212992772</v>
      </c>
      <c r="DF50">
        <v>7.1486032009124761E-2</v>
      </c>
      <c r="DG50">
        <v>6.6946886776357113</v>
      </c>
      <c r="DH50">
        <v>157478510.31847006</v>
      </c>
      <c r="DI50">
        <v>6.4987301826477051E-2</v>
      </c>
      <c r="DJ50">
        <v>3.5432357019697194</v>
      </c>
      <c r="DK50">
        <v>297544303.75995624</v>
      </c>
      <c r="DL50">
        <v>5.6863889098167412E-2</v>
      </c>
      <c r="DM50">
        <v>15345100</v>
      </c>
      <c r="DN50">
        <v>8.1234127283096313E-2</v>
      </c>
      <c r="DO50">
        <v>1054269600</v>
      </c>
      <c r="DP50">
        <v>1238022330</v>
      </c>
      <c r="DQ50" s="10">
        <v>2881</v>
      </c>
      <c r="DR50">
        <v>4.4492387647281308</v>
      </c>
      <c r="DS50">
        <v>3.0150628964821999</v>
      </c>
      <c r="DT50">
        <v>-0.41000000000000003</v>
      </c>
      <c r="DU50">
        <v>2.8</v>
      </c>
      <c r="DV50">
        <v>2.3899999999999997</v>
      </c>
      <c r="DW50">
        <v>1.0365</v>
      </c>
      <c r="DX50">
        <v>0.33140067001675089</v>
      </c>
      <c r="DY50">
        <v>1.0044311244556114</v>
      </c>
      <c r="DZ50">
        <v>3892</v>
      </c>
      <c r="EA50">
        <v>1.0010561858291458</v>
      </c>
      <c r="EB50" s="11">
        <v>1</v>
      </c>
      <c r="EC50" s="11">
        <v>8.5852465747417478E-2</v>
      </c>
      <c r="ED50">
        <v>0.70718280002550127</v>
      </c>
      <c r="EE50">
        <v>-4.0232000000000001</v>
      </c>
      <c r="EF50">
        <v>-4.0080999999999998</v>
      </c>
      <c r="EG50">
        <v>21.121400670016751</v>
      </c>
      <c r="EH50" s="13" t="s">
        <v>1293</v>
      </c>
      <c r="EI50">
        <v>0</v>
      </c>
      <c r="EJ50">
        <v>0</v>
      </c>
      <c r="EK50">
        <v>45470</v>
      </c>
      <c r="EL50">
        <v>0.19</v>
      </c>
      <c r="EM50">
        <v>-5.77</v>
      </c>
      <c r="EN50" s="14">
        <v>2.37</v>
      </c>
      <c r="EO50" s="14">
        <v>2.3199999999999998</v>
      </c>
      <c r="EP50" s="14">
        <v>-1.51</v>
      </c>
    </row>
    <row r="51" spans="1:146" ht="96" x14ac:dyDescent="0.25">
      <c r="A51" s="7"/>
      <c r="B51" s="7"/>
      <c r="C51" s="7" t="str">
        <f>""&amp;CHAR(10)&amp;Basic_Fundamental_Information_Constructure(F51)&amp;CHAR(10)&amp;Basic_Fundamental_Information_Concatenate("")</f>
        <v xml:space="preserve">
市值52.375652亿, 利润1.22亿; PE27.39; 平均PE37.28; 平均PEG6.7, PB1.81; ROIC4.9867%; ROE5.8233%; 股利率1.046%; 毛利11.3467%; 净利6.6067%; 上一年度营收增12.45%, 利润增-23.27%; 当季营收增-.71%, 利润增17.07%; 过往5年营收增5.56%, 利润增-23.27%
Income profile:
</v>
      </c>
      <c r="D51" t="s">
        <v>191</v>
      </c>
      <c r="E51" t="s">
        <v>2956</v>
      </c>
      <c r="F51">
        <v>9.56</v>
      </c>
      <c r="G51">
        <v>-4.21</v>
      </c>
      <c r="H51" t="s">
        <v>2957</v>
      </c>
      <c r="I51">
        <v>5237565200</v>
      </c>
      <c r="J51">
        <v>27.39</v>
      </c>
      <c r="K51">
        <v>1.81</v>
      </c>
      <c r="L51" t="s">
        <v>67</v>
      </c>
      <c r="M51" t="s">
        <v>1738</v>
      </c>
      <c r="N51" t="s">
        <v>2958</v>
      </c>
      <c r="O51" t="s">
        <v>1828</v>
      </c>
      <c r="P51">
        <v>7.06</v>
      </c>
      <c r="Q51" t="s">
        <v>2959</v>
      </c>
      <c r="R51">
        <v>69801510</v>
      </c>
      <c r="S51" s="5">
        <v>0.2046</v>
      </c>
      <c r="T51" t="s">
        <v>1739</v>
      </c>
      <c r="U51">
        <v>547862470</v>
      </c>
      <c r="V51">
        <v>547862470</v>
      </c>
      <c r="W51">
        <v>1.4</v>
      </c>
      <c r="X51" t="s">
        <v>70</v>
      </c>
      <c r="Y51">
        <v>10.01</v>
      </c>
      <c r="Z51" t="s">
        <v>70</v>
      </c>
      <c r="AA51" t="s">
        <v>70</v>
      </c>
      <c r="AB51" t="s">
        <v>70</v>
      </c>
      <c r="AC51" t="s">
        <v>70</v>
      </c>
      <c r="AD51" t="s">
        <v>70</v>
      </c>
      <c r="AE51">
        <v>-3377571</v>
      </c>
      <c r="AF51" t="s">
        <v>1830</v>
      </c>
      <c r="AG51" t="s">
        <v>2960</v>
      </c>
      <c r="AH51" t="s">
        <v>1831</v>
      </c>
      <c r="AI51" t="s">
        <v>1552</v>
      </c>
      <c r="AJ51" t="s">
        <v>1832</v>
      </c>
      <c r="AK51" t="s">
        <v>70</v>
      </c>
      <c r="AL51" t="s">
        <v>1833</v>
      </c>
      <c r="AM51" t="s">
        <v>70</v>
      </c>
      <c r="AN51" t="s">
        <v>1029</v>
      </c>
      <c r="AO51" t="s">
        <v>70</v>
      </c>
      <c r="AP51" t="s">
        <v>70</v>
      </c>
      <c r="AQ51" t="s">
        <v>282</v>
      </c>
      <c r="AR51" t="s">
        <v>2961</v>
      </c>
      <c r="AS51" t="s">
        <v>70</v>
      </c>
      <c r="AT51" t="s">
        <v>70</v>
      </c>
      <c r="AU51" t="s">
        <v>522</v>
      </c>
      <c r="AV51" t="s">
        <v>2962</v>
      </c>
      <c r="AW51" t="s">
        <v>2963</v>
      </c>
      <c r="AX51" t="s">
        <v>1210</v>
      </c>
      <c r="AY51" t="s">
        <v>70</v>
      </c>
      <c r="AZ51" t="s">
        <v>467</v>
      </c>
      <c r="BA51" t="s">
        <v>193</v>
      </c>
      <c r="BB51" t="s">
        <v>468</v>
      </c>
      <c r="BC51" t="s">
        <v>536</v>
      </c>
      <c r="BD51" t="s">
        <v>70</v>
      </c>
      <c r="BE51" t="s">
        <v>70</v>
      </c>
      <c r="BF51" t="s">
        <v>70</v>
      </c>
      <c r="BG51" t="s">
        <v>70</v>
      </c>
      <c r="BH51" t="s">
        <v>1829</v>
      </c>
      <c r="BI51" t="s">
        <v>2964</v>
      </c>
      <c r="BJ51" t="s">
        <v>1210</v>
      </c>
      <c r="BK51" t="s">
        <v>270</v>
      </c>
      <c r="BL51" t="s">
        <v>2965</v>
      </c>
      <c r="BM51" t="s">
        <v>536</v>
      </c>
      <c r="BN51">
        <v>5.78</v>
      </c>
      <c r="BO51">
        <v>5.07</v>
      </c>
      <c r="BP51">
        <v>4.1100000000000003</v>
      </c>
      <c r="BQ51">
        <v>6.35</v>
      </c>
      <c r="BR51">
        <v>6.14</v>
      </c>
      <c r="BS51">
        <v>4.9800000000000004</v>
      </c>
      <c r="BT51" t="s">
        <v>1835</v>
      </c>
      <c r="BU51" t="s">
        <v>885</v>
      </c>
      <c r="BV51">
        <v>11.06</v>
      </c>
      <c r="BW51">
        <v>11.6</v>
      </c>
      <c r="BX51">
        <v>11.38</v>
      </c>
      <c r="BY51">
        <v>6.73</v>
      </c>
      <c r="BZ51">
        <v>6.65</v>
      </c>
      <c r="CA51">
        <v>6.44</v>
      </c>
      <c r="CB51">
        <v>1.87</v>
      </c>
      <c r="CC51">
        <v>1.37</v>
      </c>
      <c r="CD51" t="s">
        <v>2682</v>
      </c>
      <c r="CE51" t="s">
        <v>2966</v>
      </c>
      <c r="CF51" s="8">
        <v>-7.1123755334281651E-3</v>
      </c>
      <c r="CG51" s="9">
        <v>0.1707125258498802</v>
      </c>
      <c r="CH51" s="8">
        <v>0.12452671676874161</v>
      </c>
      <c r="CI51" s="8" t="s">
        <v>70</v>
      </c>
      <c r="CJ51" s="8" t="s">
        <v>70</v>
      </c>
      <c r="CK51" s="8">
        <v>3.731343150138855E-2</v>
      </c>
      <c r="CL51" s="8">
        <v>4.999999888241291E-3</v>
      </c>
      <c r="CM51" s="9">
        <v>-0.23270440101623535</v>
      </c>
      <c r="CN51" s="9" t="s">
        <v>70</v>
      </c>
      <c r="CO51" s="9" t="s">
        <v>70</v>
      </c>
      <c r="CP51" s="9" t="s">
        <v>70</v>
      </c>
      <c r="CQ51" s="9" t="s">
        <v>70</v>
      </c>
      <c r="CR51">
        <v>37.278044128113876</v>
      </c>
      <c r="CS51">
        <v>6.7030707907418137</v>
      </c>
      <c r="CT51">
        <v>1.0460251046025104</v>
      </c>
      <c r="CU51" s="8">
        <v>5.561338271945715E-2</v>
      </c>
      <c r="CV51" s="9">
        <v>-0.23270440101623535</v>
      </c>
      <c r="CW51">
        <v>0.06</v>
      </c>
      <c r="CX51">
        <v>28.121006459414609</v>
      </c>
      <c r="CY51">
        <v>121495125.18091865</v>
      </c>
      <c r="CZ51">
        <v>5.561338271945715E-2</v>
      </c>
      <c r="DA51">
        <v>9.4622616480147101</v>
      </c>
      <c r="DB51">
        <v>361072788.63048923</v>
      </c>
      <c r="DC51">
        <v>5.2832713583484292E-2</v>
      </c>
      <c r="DD51">
        <v>4.8411946159965549</v>
      </c>
      <c r="DE51">
        <v>705727712.0632143</v>
      </c>
      <c r="DF51">
        <v>4.8939776793122294E-2</v>
      </c>
      <c r="DG51">
        <v>3.0342252726034156</v>
      </c>
      <c r="DH51">
        <v>1126009077.456708</v>
      </c>
      <c r="DI51">
        <v>4.449070617556572E-2</v>
      </c>
      <c r="DJ51">
        <v>1.7173209265179894</v>
      </c>
      <c r="DK51">
        <v>1989473922.5750711</v>
      </c>
      <c r="DL51">
        <v>3.8929367903620005E-2</v>
      </c>
      <c r="DM51">
        <v>122000000</v>
      </c>
      <c r="DN51">
        <v>5.561338271945715E-2</v>
      </c>
      <c r="DO51">
        <v>3416565200</v>
      </c>
      <c r="DP51">
        <v>1192481930</v>
      </c>
      <c r="DQ51">
        <v>2919</v>
      </c>
      <c r="DR51">
        <v>-6.2725758252885316E-2</v>
      </c>
      <c r="DS51">
        <v>0.40341692686611552</v>
      </c>
      <c r="DT51" s="10">
        <v>-0.66</v>
      </c>
      <c r="DU51">
        <v>0.82000000000000006</v>
      </c>
      <c r="DV51">
        <v>0.16000000000000003</v>
      </c>
      <c r="DW51">
        <v>1.37E-2</v>
      </c>
      <c r="DX51">
        <v>0.30789004666474529</v>
      </c>
      <c r="DY51">
        <v>2.0260936393070102E-3</v>
      </c>
      <c r="DZ51">
        <v>4802</v>
      </c>
      <c r="EA51">
        <v>1.2212071250617597E-4</v>
      </c>
      <c r="EB51">
        <v>0</v>
      </c>
      <c r="EC51">
        <v>0.6972552801435733</v>
      </c>
      <c r="ED51">
        <v>4.7146868811802349</v>
      </c>
      <c r="EE51" s="11">
        <v>-2.0552000000000001</v>
      </c>
      <c r="EF51">
        <v>-2.0377999999999998</v>
      </c>
      <c r="EG51">
        <v>16.147890046664745</v>
      </c>
      <c r="EH51" t="s">
        <v>1259</v>
      </c>
      <c r="EI51">
        <v>0</v>
      </c>
      <c r="EJ51">
        <v>0</v>
      </c>
      <c r="EK51" s="13">
        <v>45470</v>
      </c>
      <c r="EL51" s="14">
        <v>-0.19</v>
      </c>
      <c r="EM51" s="14">
        <v>-4.3899999999999997</v>
      </c>
      <c r="EN51" s="14">
        <v>-0.8</v>
      </c>
      <c r="EO51" s="14">
        <v>4.2300000000000004</v>
      </c>
      <c r="EP51" s="14">
        <v>-1.74</v>
      </c>
    </row>
    <row r="52" spans="1:146" ht="96" x14ac:dyDescent="0.25">
      <c r="A52" s="7"/>
      <c r="B52" s="7"/>
      <c r="C52" s="7" t="str">
        <f>""&amp;CHAR(10)&amp;Basic_Fundamental_Information_Constructure(F52)&amp;CHAR(10)&amp;Basic_Fundamental_Information_Concatenate("")</f>
        <v xml:space="preserve">
市值132.702718亿, 利润16.86亿; PE23.45; 平均PE12.28; 平均PEG.15, PB1.19; ROIC4.0367%; ROE5.1867%; 股利率2.1614%; 毛利12.43%; 净利5.7533%; 上一年度营收增-55.48%, 利润增254.2%; 当季营收增87.18%, 利润增104.81%; 过往5年营收增82.45%, 利润增254.2%
Income profile:
</v>
      </c>
      <c r="D52" t="s">
        <v>194</v>
      </c>
      <c r="E52" t="s">
        <v>9</v>
      </c>
      <c r="F52">
        <v>6.94</v>
      </c>
      <c r="G52">
        <v>0.57999999999999996</v>
      </c>
      <c r="H52" t="s">
        <v>2967</v>
      </c>
      <c r="I52">
        <v>13270271800</v>
      </c>
      <c r="J52">
        <v>23.45</v>
      </c>
      <c r="K52">
        <v>1.19</v>
      </c>
      <c r="L52" t="s">
        <v>67</v>
      </c>
      <c r="M52" t="s">
        <v>1837</v>
      </c>
      <c r="N52" t="s">
        <v>2968</v>
      </c>
      <c r="O52" t="s">
        <v>1838</v>
      </c>
      <c r="P52">
        <v>-16.21</v>
      </c>
      <c r="Q52" t="s">
        <v>2969</v>
      </c>
      <c r="R52">
        <v>11875042</v>
      </c>
      <c r="S52" s="5">
        <v>1.3089999999999999</v>
      </c>
      <c r="T52" t="s">
        <v>2970</v>
      </c>
      <c r="U52">
        <v>1912142900</v>
      </c>
      <c r="V52">
        <v>1912142900</v>
      </c>
      <c r="W52">
        <v>2.1</v>
      </c>
      <c r="X52" t="s">
        <v>70</v>
      </c>
      <c r="Y52">
        <v>-0.01</v>
      </c>
      <c r="Z52" t="s">
        <v>70</v>
      </c>
      <c r="AA52" t="s">
        <v>70</v>
      </c>
      <c r="AB52" t="s">
        <v>70</v>
      </c>
      <c r="AC52" t="s">
        <v>70</v>
      </c>
      <c r="AD52" t="s">
        <v>70</v>
      </c>
      <c r="AE52">
        <v>59036728</v>
      </c>
      <c r="AF52" t="s">
        <v>1841</v>
      </c>
      <c r="AG52" t="s">
        <v>2971</v>
      </c>
      <c r="AH52" t="s">
        <v>1842</v>
      </c>
      <c r="AI52" t="s">
        <v>2972</v>
      </c>
      <c r="AJ52" t="s">
        <v>1844</v>
      </c>
      <c r="AK52" t="s">
        <v>70</v>
      </c>
      <c r="AL52" t="s">
        <v>1845</v>
      </c>
      <c r="AM52" t="s">
        <v>70</v>
      </c>
      <c r="AN52" t="s">
        <v>2973</v>
      </c>
      <c r="AO52" t="s">
        <v>70</v>
      </c>
      <c r="AP52" t="s">
        <v>906</v>
      </c>
      <c r="AQ52" t="s">
        <v>1989</v>
      </c>
      <c r="AR52" t="s">
        <v>2974</v>
      </c>
      <c r="AS52" t="s">
        <v>70</v>
      </c>
      <c r="AT52" t="s">
        <v>70</v>
      </c>
      <c r="AU52" t="s">
        <v>2975</v>
      </c>
      <c r="AV52" t="s">
        <v>2976</v>
      </c>
      <c r="AW52" t="s">
        <v>2977</v>
      </c>
      <c r="AX52" t="s">
        <v>1122</v>
      </c>
      <c r="AY52" t="s">
        <v>70</v>
      </c>
      <c r="AZ52" t="s">
        <v>469</v>
      </c>
      <c r="BA52" t="s">
        <v>195</v>
      </c>
      <c r="BB52" t="s">
        <v>470</v>
      </c>
      <c r="BC52" t="s">
        <v>586</v>
      </c>
      <c r="BD52" t="s">
        <v>70</v>
      </c>
      <c r="BE52" t="s">
        <v>70</v>
      </c>
      <c r="BF52" t="s">
        <v>70</v>
      </c>
      <c r="BG52" t="s">
        <v>70</v>
      </c>
      <c r="BH52" t="s">
        <v>1839</v>
      </c>
      <c r="BI52" t="s">
        <v>2978</v>
      </c>
      <c r="BJ52" t="s">
        <v>1122</v>
      </c>
      <c r="BK52" t="s">
        <v>1840</v>
      </c>
      <c r="BL52" t="s">
        <v>2979</v>
      </c>
      <c r="BM52" t="s">
        <v>586</v>
      </c>
      <c r="BN52">
        <v>2.38</v>
      </c>
      <c r="BO52">
        <v>3.59</v>
      </c>
      <c r="BP52">
        <v>6.14</v>
      </c>
      <c r="BQ52">
        <v>3.03</v>
      </c>
      <c r="BR52">
        <v>4.32</v>
      </c>
      <c r="BS52">
        <v>8.2100000000000009</v>
      </c>
      <c r="BT52" t="s">
        <v>933</v>
      </c>
      <c r="BU52" t="s">
        <v>885</v>
      </c>
      <c r="BV52">
        <v>10.27</v>
      </c>
      <c r="BW52">
        <v>10.5</v>
      </c>
      <c r="BX52">
        <v>16.52</v>
      </c>
      <c r="BY52">
        <v>4.4400000000000004</v>
      </c>
      <c r="BZ52">
        <v>4.24</v>
      </c>
      <c r="CA52">
        <v>8.58</v>
      </c>
      <c r="CB52">
        <v>0.57999999999999996</v>
      </c>
      <c r="CC52">
        <v>-5.19</v>
      </c>
      <c r="CD52" t="s">
        <v>2980</v>
      </c>
      <c r="CE52" t="s">
        <v>350</v>
      </c>
      <c r="CF52" s="8">
        <v>0.87177541729893782</v>
      </c>
      <c r="CG52" s="9">
        <v>1.0480770931174088</v>
      </c>
      <c r="CH52" s="8">
        <v>-0.5547642707824707</v>
      </c>
      <c r="CI52" s="8" t="s">
        <v>70</v>
      </c>
      <c r="CJ52" s="8" t="s">
        <v>70</v>
      </c>
      <c r="CK52" s="8">
        <v>3.0214228630065918</v>
      </c>
      <c r="CL52" s="8">
        <v>6.9337934255599976E-3</v>
      </c>
      <c r="CM52" s="9">
        <v>2.5420167446136475</v>
      </c>
      <c r="CN52" s="9" t="s">
        <v>70</v>
      </c>
      <c r="CO52" s="9" t="s">
        <v>70</v>
      </c>
      <c r="CP52" s="9" t="s">
        <v>70</v>
      </c>
      <c r="CQ52" s="9" t="s">
        <v>70</v>
      </c>
      <c r="CR52">
        <v>12.275922109158186</v>
      </c>
      <c r="CS52">
        <v>0.14888373097009622</v>
      </c>
      <c r="CT52">
        <v>2.1613832853025934</v>
      </c>
      <c r="CU52" s="8">
        <v>0.82453079521656036</v>
      </c>
      <c r="CV52" s="9">
        <v>2.5420167446136475</v>
      </c>
      <c r="CW52">
        <v>0.06</v>
      </c>
      <c r="CX52">
        <v>4.8118866708169561</v>
      </c>
      <c r="CY52">
        <v>2902036717.6746421</v>
      </c>
      <c r="CZ52">
        <v>0.82453079521656036</v>
      </c>
      <c r="DA52">
        <v>0.89305108530633637</v>
      </c>
      <c r="DB52">
        <v>15636587906.065804</v>
      </c>
      <c r="DC52">
        <v>0.78330425545573235</v>
      </c>
      <c r="DD52">
        <v>0.18139586088160553</v>
      </c>
      <c r="DE52">
        <v>76982306719.304245</v>
      </c>
      <c r="DF52">
        <v>0.72558709979057312</v>
      </c>
      <c r="DG52">
        <v>3.4191987924784693E-2</v>
      </c>
      <c r="DH52">
        <v>408407719104.20978</v>
      </c>
      <c r="DI52">
        <v>0.65962463617324829</v>
      </c>
      <c r="DJ52">
        <v>9.6074603780292871E-4</v>
      </c>
      <c r="DK52">
        <v>14534821118736.059</v>
      </c>
      <c r="DL52">
        <v>0.57717155665159225</v>
      </c>
      <c r="DM52">
        <v>1686000000</v>
      </c>
      <c r="DN52">
        <v>0.82453079521656036</v>
      </c>
      <c r="DO52">
        <v>13964271800</v>
      </c>
      <c r="DP52">
        <v>5071071000</v>
      </c>
      <c r="DQ52">
        <v>2933</v>
      </c>
      <c r="DR52">
        <v>4.7244622082377452E-2</v>
      </c>
      <c r="DS52">
        <v>-1.4939396514962386</v>
      </c>
      <c r="DT52" s="10">
        <v>-0.91</v>
      </c>
      <c r="DU52">
        <v>2.2199999999999998</v>
      </c>
      <c r="DV52">
        <v>1.3099999999999996</v>
      </c>
      <c r="DW52">
        <v>-1.0519000000000001</v>
      </c>
      <c r="DX52">
        <v>0.31363779069767489</v>
      </c>
      <c r="DY52">
        <v>-1.0064168013372092</v>
      </c>
      <c r="DZ52">
        <v>4506</v>
      </c>
      <c r="EA52">
        <v>-1.0007584634065898</v>
      </c>
      <c r="EB52">
        <v>1</v>
      </c>
      <c r="EC52">
        <v>2.2242793674050198E-2</v>
      </c>
      <c r="ED52">
        <v>0.17990287232193786</v>
      </c>
      <c r="EE52" s="11">
        <v>1.0271999999999999</v>
      </c>
      <c r="EF52">
        <v>1.0297000000000001</v>
      </c>
      <c r="EG52">
        <v>19.123637790697675</v>
      </c>
      <c r="EH52" t="s">
        <v>813</v>
      </c>
      <c r="EI52">
        <v>0</v>
      </c>
      <c r="EJ52">
        <v>0</v>
      </c>
      <c r="EK52" s="13">
        <v>45470</v>
      </c>
      <c r="EL52" s="14">
        <v>0</v>
      </c>
      <c r="EM52" s="14">
        <v>0</v>
      </c>
      <c r="EN52" s="14">
        <v>-1.02</v>
      </c>
      <c r="EO52" s="14">
        <v>1.79</v>
      </c>
      <c r="EP52" s="14">
        <v>0.25</v>
      </c>
    </row>
    <row r="53" spans="1:146" ht="96" x14ac:dyDescent="0.25">
      <c r="A53" s="7"/>
      <c r="B53" s="7"/>
      <c r="C53" s="7" t="str">
        <f>""&amp;CHAR(10)&amp;Basic_Fundamental_Information_Constructure(F53)&amp;CHAR(10)&amp;Basic_Fundamental_Information_Concatenate("")</f>
        <v xml:space="preserve">
市值12.393216亿, 利润29.57亿; PE; 平均PE.84; 平均PEG0, PB8.21; ROIC3.7%; ROE-3.8733%; 股利率0%; 毛利12.1167%; 净利-4.0567%; 上一年度营收增35035.68%, 利润增35377.98%; 当季营收增-99.02%, 利润增-91.26%; 过往5年营收增11732.25%, 利润增35377.98%
Income profile:
</v>
      </c>
      <c r="D53" t="s">
        <v>471</v>
      </c>
      <c r="E53" t="s">
        <v>472</v>
      </c>
      <c r="F53">
        <v>3.26</v>
      </c>
      <c r="G53">
        <v>0.93</v>
      </c>
      <c r="H53" t="s">
        <v>2981</v>
      </c>
      <c r="I53">
        <v>1239321600</v>
      </c>
      <c r="K53">
        <v>8.2100000000000009</v>
      </c>
      <c r="L53" t="s">
        <v>67</v>
      </c>
      <c r="M53" t="s">
        <v>1634</v>
      </c>
      <c r="N53" t="s">
        <v>700</v>
      </c>
      <c r="O53" t="s">
        <v>1846</v>
      </c>
      <c r="P53">
        <v>4.51</v>
      </c>
      <c r="Q53" t="s">
        <v>2982</v>
      </c>
      <c r="R53">
        <v>3804167</v>
      </c>
      <c r="S53" s="5">
        <v>2.1080000000000001</v>
      </c>
      <c r="T53" t="s">
        <v>1729</v>
      </c>
      <c r="U53">
        <v>380160000</v>
      </c>
      <c r="V53">
        <v>380160000</v>
      </c>
      <c r="W53">
        <v>2.46</v>
      </c>
      <c r="X53" t="s">
        <v>70</v>
      </c>
      <c r="Y53">
        <v>15.91</v>
      </c>
      <c r="Z53" t="s">
        <v>70</v>
      </c>
      <c r="AA53" t="s">
        <v>70</v>
      </c>
      <c r="AB53" t="s">
        <v>70</v>
      </c>
      <c r="AC53" t="s">
        <v>70</v>
      </c>
      <c r="AD53" t="s">
        <v>70</v>
      </c>
      <c r="AE53">
        <v>1072595</v>
      </c>
      <c r="AF53" t="s">
        <v>1848</v>
      </c>
      <c r="AG53" t="s">
        <v>2983</v>
      </c>
      <c r="AH53" t="s">
        <v>1849</v>
      </c>
      <c r="AI53" t="s">
        <v>2984</v>
      </c>
      <c r="AJ53" t="s">
        <v>1850</v>
      </c>
      <c r="AK53" t="s">
        <v>70</v>
      </c>
      <c r="AL53" t="s">
        <v>1851</v>
      </c>
      <c r="AM53" t="s">
        <v>70</v>
      </c>
      <c r="AN53" t="s">
        <v>2985</v>
      </c>
      <c r="AO53" t="s">
        <v>70</v>
      </c>
      <c r="AP53" t="s">
        <v>70</v>
      </c>
      <c r="AQ53" t="s">
        <v>141</v>
      </c>
      <c r="AR53" t="s">
        <v>70</v>
      </c>
      <c r="AS53" t="s">
        <v>70</v>
      </c>
      <c r="AT53" t="s">
        <v>70</v>
      </c>
      <c r="AU53" t="s">
        <v>2986</v>
      </c>
      <c r="AV53" t="s">
        <v>2987</v>
      </c>
      <c r="AW53" t="s">
        <v>2988</v>
      </c>
      <c r="AX53" t="s">
        <v>688</v>
      </c>
      <c r="AY53" t="s">
        <v>70</v>
      </c>
      <c r="AZ53" t="s">
        <v>473</v>
      </c>
      <c r="BA53" t="s">
        <v>149</v>
      </c>
      <c r="BB53" t="s">
        <v>474</v>
      </c>
      <c r="BC53" t="s">
        <v>1123</v>
      </c>
      <c r="BD53" t="s">
        <v>70</v>
      </c>
      <c r="BE53" t="s">
        <v>70</v>
      </c>
      <c r="BF53" t="s">
        <v>70</v>
      </c>
      <c r="BG53" t="s">
        <v>70</v>
      </c>
      <c r="BH53" t="s">
        <v>906</v>
      </c>
      <c r="BI53" t="s">
        <v>2989</v>
      </c>
      <c r="BJ53" t="s">
        <v>688</v>
      </c>
      <c r="BK53" t="s">
        <v>1847</v>
      </c>
      <c r="BL53" t="s">
        <v>2990</v>
      </c>
      <c r="BM53" t="s">
        <v>1123</v>
      </c>
      <c r="BN53" t="s">
        <v>70</v>
      </c>
      <c r="BO53" t="s">
        <v>70</v>
      </c>
      <c r="BP53">
        <v>3.7</v>
      </c>
      <c r="BQ53">
        <v>-7.78</v>
      </c>
      <c r="BR53">
        <v>-5.04</v>
      </c>
      <c r="BS53">
        <v>1.2</v>
      </c>
      <c r="BT53" t="s">
        <v>929</v>
      </c>
      <c r="BU53" t="s">
        <v>884</v>
      </c>
      <c r="BV53">
        <v>7.8</v>
      </c>
      <c r="BW53">
        <v>8.73</v>
      </c>
      <c r="BX53">
        <v>19.82</v>
      </c>
      <c r="BY53">
        <v>-11.09</v>
      </c>
      <c r="BZ53">
        <v>-5.98</v>
      </c>
      <c r="CA53">
        <v>4.9000000000000004</v>
      </c>
      <c r="CB53">
        <v>1.24</v>
      </c>
      <c r="CC53">
        <v>-17.260000000000002</v>
      </c>
      <c r="CD53" t="s">
        <v>2991</v>
      </c>
      <c r="CE53" t="s">
        <v>2992</v>
      </c>
      <c r="CF53" s="8">
        <v>-0.9901883126934985</v>
      </c>
      <c r="CG53" s="9">
        <v>-0.91262762490324922</v>
      </c>
      <c r="CH53" s="8">
        <v>350.3568115234375</v>
      </c>
      <c r="CI53" s="8" t="s">
        <v>70</v>
      </c>
      <c r="CJ53" s="8" t="s">
        <v>70</v>
      </c>
      <c r="CK53" s="8">
        <v>5.3475935012102127E-2</v>
      </c>
      <c r="CL53" s="8">
        <v>1.557076096534729</v>
      </c>
      <c r="CM53" s="9">
        <v>353.77975463867187</v>
      </c>
      <c r="CN53" s="9" t="s">
        <v>70</v>
      </c>
      <c r="CO53" s="9" t="s">
        <v>70</v>
      </c>
      <c r="CP53" s="9" t="s">
        <v>70</v>
      </c>
      <c r="CQ53" s="9" t="s">
        <v>70</v>
      </c>
      <c r="CR53">
        <v>0.84061183917347038</v>
      </c>
      <c r="CS53">
        <v>7.1649697632446811E-5</v>
      </c>
      <c r="CT53">
        <v>0</v>
      </c>
      <c r="CU53" s="8">
        <v>117.32245451832812</v>
      </c>
      <c r="CV53" s="9">
        <v>353.77975463867187</v>
      </c>
      <c r="CW53">
        <v>0.06</v>
      </c>
      <c r="CX53">
        <v>4.1818423323428631E-3</v>
      </c>
      <c r="CY53">
        <v>330074998123.29834</v>
      </c>
      <c r="CZ53">
        <v>117.32245451832812</v>
      </c>
      <c r="DA53">
        <v>3.8724173424789913E-7</v>
      </c>
      <c r="DB53">
        <v>3564495967049782.5</v>
      </c>
      <c r="DC53">
        <v>111.4563317924117</v>
      </c>
      <c r="DD53">
        <v>5.1076958399782595E-13</v>
      </c>
      <c r="DE53">
        <v>2.7024349985685037E+21</v>
      </c>
      <c r="DF53">
        <v>103.24375997612874</v>
      </c>
      <c r="DG53">
        <v>1.4014230423972673E-20</v>
      </c>
      <c r="DH53">
        <v>9.8494284612220211E+28</v>
      </c>
      <c r="DI53">
        <v>93.857963614662495</v>
      </c>
      <c r="DJ53">
        <v>5.9561334636738795E-39</v>
      </c>
      <c r="DK53">
        <v>2.3174792983040141E+47</v>
      </c>
      <c r="DL53">
        <v>82.125718162829671</v>
      </c>
      <c r="DM53">
        <v>2957000000</v>
      </c>
      <c r="DN53">
        <v>117.32245451832812</v>
      </c>
      <c r="DO53">
        <v>1380321600</v>
      </c>
      <c r="DP53">
        <v>150449340</v>
      </c>
      <c r="DQ53">
        <v>2956</v>
      </c>
      <c r="DR53">
        <v>-118.31264283102162</v>
      </c>
      <c r="DS53">
        <v>-354.6923822635751</v>
      </c>
      <c r="DT53" s="10">
        <v>-0.21000000000000008</v>
      </c>
      <c r="DU53">
        <v>-0.42000000000000015</v>
      </c>
      <c r="DV53">
        <v>-0.63000000000000023</v>
      </c>
      <c r="DW53">
        <v>-3.0142500000000001</v>
      </c>
      <c r="DX53">
        <v>0.24432928348909586</v>
      </c>
      <c r="DY53">
        <v>-3.0010591922897198</v>
      </c>
      <c r="DZ53">
        <v>3297</v>
      </c>
      <c r="EA53">
        <v>-3.0003757956205992</v>
      </c>
      <c r="EB53">
        <v>3</v>
      </c>
      <c r="EC53">
        <v>6.2762257996632986E-2</v>
      </c>
      <c r="ED53">
        <v>0.84438131313131315</v>
      </c>
      <c r="EE53" s="11">
        <v>2.0108000000000001</v>
      </c>
      <c r="EF53">
        <v>2.00671</v>
      </c>
      <c r="EG53">
        <v>17.074329283489096</v>
      </c>
      <c r="EH53" t="s">
        <v>1283</v>
      </c>
      <c r="EI53">
        <v>0</v>
      </c>
      <c r="EJ53">
        <v>0</v>
      </c>
      <c r="EK53" s="13">
        <v>45470</v>
      </c>
      <c r="EL53" s="14">
        <v>0.08</v>
      </c>
      <c r="EM53" s="14">
        <v>-4.7300000000000004</v>
      </c>
      <c r="EN53" s="14">
        <v>1.91</v>
      </c>
      <c r="EO53" s="14">
        <v>2.39</v>
      </c>
      <c r="EP53" s="14">
        <v>-1.75</v>
      </c>
    </row>
    <row r="54" spans="1:146" ht="96" x14ac:dyDescent="0.25">
      <c r="A54" s="7"/>
      <c r="B54" s="7"/>
      <c r="C54" s="7" t="str">
        <f>""&amp;CHAR(10)&amp;Basic_Fundamental_Information_Constructure(F54)&amp;CHAR(10)&amp;Basic_Fundamental_Information_Concatenate("")</f>
        <v xml:space="preserve">
市值262.16962亿, 利润7194.85万; PE11.33; 平均PE26.47; 平均PEG.88, PB.561; ROIC2.88%; ROE3.5267%; 股利率.4661%; 毛利23.8%; 净利5.3833%; 上一年度营收增-89.28%, 利润增-96.23%; 当季营收增2989.03%, 利润增2482.49%; 过往5年营收增-29.96%, 利润增-96.23%
Income profile:
</v>
      </c>
      <c r="D54" t="s">
        <v>692</v>
      </c>
      <c r="E54" t="s">
        <v>693</v>
      </c>
      <c r="F54">
        <v>1.18</v>
      </c>
      <c r="G54">
        <v>0.85</v>
      </c>
      <c r="H54" t="s">
        <v>156</v>
      </c>
      <c r="I54">
        <v>26216962000</v>
      </c>
      <c r="J54">
        <v>11.33</v>
      </c>
      <c r="K54">
        <v>0.56100000000000005</v>
      </c>
      <c r="L54" t="s">
        <v>67</v>
      </c>
      <c r="M54" t="s">
        <v>1852</v>
      </c>
      <c r="N54" t="s">
        <v>2993</v>
      </c>
      <c r="O54" t="s">
        <v>1853</v>
      </c>
      <c r="P54">
        <v>3.58</v>
      </c>
      <c r="Q54" t="s">
        <v>2994</v>
      </c>
      <c r="R54">
        <v>1210000000</v>
      </c>
      <c r="S54" s="5">
        <v>0.11409999999999999</v>
      </c>
      <c r="T54" t="s">
        <v>2995</v>
      </c>
      <c r="U54">
        <v>22217764000</v>
      </c>
      <c r="V54">
        <v>22217764000</v>
      </c>
      <c r="W54">
        <v>2.06</v>
      </c>
      <c r="X54" t="s">
        <v>70</v>
      </c>
      <c r="Y54">
        <v>7.99</v>
      </c>
      <c r="Z54" t="s">
        <v>70</v>
      </c>
      <c r="AA54" t="s">
        <v>70</v>
      </c>
      <c r="AB54" t="s">
        <v>70</v>
      </c>
      <c r="AC54" t="s">
        <v>70</v>
      </c>
      <c r="AD54" t="s">
        <v>70</v>
      </c>
      <c r="AE54">
        <v>494447820</v>
      </c>
      <c r="AF54" t="s">
        <v>1856</v>
      </c>
      <c r="AG54" t="s">
        <v>2996</v>
      </c>
      <c r="AH54" t="s">
        <v>1857</v>
      </c>
      <c r="AI54" t="s">
        <v>2997</v>
      </c>
      <c r="AJ54" t="s">
        <v>1858</v>
      </c>
      <c r="AK54" t="s">
        <v>70</v>
      </c>
      <c r="AL54" t="s">
        <v>1859</v>
      </c>
      <c r="AM54" t="s">
        <v>70</v>
      </c>
      <c r="AN54" t="s">
        <v>2998</v>
      </c>
      <c r="AO54" t="s">
        <v>70</v>
      </c>
      <c r="AP54" t="s">
        <v>1277</v>
      </c>
      <c r="AQ54" t="s">
        <v>2999</v>
      </c>
      <c r="AR54" t="s">
        <v>3000</v>
      </c>
      <c r="AS54" t="s">
        <v>70</v>
      </c>
      <c r="AT54" t="s">
        <v>70</v>
      </c>
      <c r="AU54" t="s">
        <v>801</v>
      </c>
      <c r="AV54" t="s">
        <v>1898</v>
      </c>
      <c r="AW54" t="s">
        <v>3001</v>
      </c>
      <c r="AX54" t="s">
        <v>1125</v>
      </c>
      <c r="AY54" t="s">
        <v>70</v>
      </c>
      <c r="AZ54" t="s">
        <v>694</v>
      </c>
      <c r="BA54" t="s">
        <v>695</v>
      </c>
      <c r="BB54" t="s">
        <v>696</v>
      </c>
      <c r="BC54" t="s">
        <v>403</v>
      </c>
      <c r="BD54" t="s">
        <v>70</v>
      </c>
      <c r="BE54" t="s">
        <v>70</v>
      </c>
      <c r="BF54" t="s">
        <v>70</v>
      </c>
      <c r="BG54" t="s">
        <v>70</v>
      </c>
      <c r="BH54" t="s">
        <v>1854</v>
      </c>
      <c r="BI54" t="s">
        <v>1585</v>
      </c>
      <c r="BJ54" t="s">
        <v>1125</v>
      </c>
      <c r="BK54" t="s">
        <v>1855</v>
      </c>
      <c r="BL54" t="s">
        <v>3002</v>
      </c>
      <c r="BM54" t="s">
        <v>403</v>
      </c>
      <c r="BN54">
        <v>3.18</v>
      </c>
      <c r="BO54">
        <v>3.2</v>
      </c>
      <c r="BP54">
        <v>2.2599999999999998</v>
      </c>
      <c r="BQ54">
        <v>3.62</v>
      </c>
      <c r="BR54">
        <v>4.42</v>
      </c>
      <c r="BS54">
        <v>2.54</v>
      </c>
      <c r="BT54" t="s">
        <v>1860</v>
      </c>
      <c r="BU54" t="s">
        <v>881</v>
      </c>
      <c r="BV54">
        <v>27.43</v>
      </c>
      <c r="BW54">
        <v>21.51</v>
      </c>
      <c r="BX54">
        <v>22.46</v>
      </c>
      <c r="BY54">
        <v>8.32</v>
      </c>
      <c r="BZ54">
        <v>4.58</v>
      </c>
      <c r="CA54">
        <v>3.25</v>
      </c>
      <c r="CB54">
        <v>0</v>
      </c>
      <c r="CC54">
        <v>-9.23</v>
      </c>
      <c r="CD54" t="s">
        <v>3003</v>
      </c>
      <c r="CE54" t="s">
        <v>3004</v>
      </c>
      <c r="CF54" s="8">
        <v>29.890295358649784</v>
      </c>
      <c r="CG54" s="9">
        <v>24.824947673720295</v>
      </c>
      <c r="CH54" s="8">
        <v>-0.89281696081161499</v>
      </c>
      <c r="CI54" s="8" t="s">
        <v>70</v>
      </c>
      <c r="CJ54" s="8" t="s">
        <v>70</v>
      </c>
      <c r="CK54" s="8">
        <v>4.5169193297624588E-2</v>
      </c>
      <c r="CL54" s="8">
        <v>-5.105920135974884E-2</v>
      </c>
      <c r="CM54" s="9">
        <v>-0.96231085062026978</v>
      </c>
      <c r="CN54" s="9" t="s">
        <v>70</v>
      </c>
      <c r="CO54" s="9" t="s">
        <v>70</v>
      </c>
      <c r="CP54" s="9" t="s">
        <v>70</v>
      </c>
      <c r="CQ54" s="9" t="s">
        <v>70</v>
      </c>
      <c r="CR54">
        <v>26.469100029607031</v>
      </c>
      <c r="CS54">
        <v>0.8835727644165754</v>
      </c>
      <c r="CT54">
        <v>0.46610169491525427</v>
      </c>
      <c r="CU54" s="8">
        <v>-0.29956898962457973</v>
      </c>
      <c r="CV54" s="9">
        <v>-0.96231085062026978</v>
      </c>
      <c r="CW54">
        <v>0.06</v>
      </c>
      <c r="CX54">
        <v>422.02355851755073</v>
      </c>
      <c r="CY54" t="s">
        <v>3005</v>
      </c>
      <c r="CZ54">
        <v>-0.29956898962457973</v>
      </c>
      <c r="DA54">
        <v>140.67451950585024</v>
      </c>
      <c r="DB54" t="s">
        <v>3006</v>
      </c>
      <c r="DC54">
        <v>-0.28459054014335072</v>
      </c>
      <c r="DD54">
        <v>70.337259752925121</v>
      </c>
      <c r="DE54" t="s">
        <v>3007</v>
      </c>
      <c r="DF54">
        <v>-0.26362071086963018</v>
      </c>
      <c r="DG54">
        <v>42.202355851755073</v>
      </c>
      <c r="DH54" t="s">
        <v>3008</v>
      </c>
      <c r="DI54">
        <v>-0.23965519169966379</v>
      </c>
      <c r="DJ54">
        <v>21.101177925877536</v>
      </c>
      <c r="DK54" t="s">
        <v>3009</v>
      </c>
      <c r="DL54">
        <v>-0.2096982927372058</v>
      </c>
      <c r="DM54">
        <v>71948500</v>
      </c>
      <c r="DN54">
        <v>-0.29956898962457973</v>
      </c>
      <c r="DO54">
        <v>30363962000</v>
      </c>
      <c r="DP54">
        <v>8972741100</v>
      </c>
      <c r="DQ54">
        <v>2963</v>
      </c>
      <c r="DR54">
        <v>30.189864348274362</v>
      </c>
      <c r="DS54">
        <v>25.787258524340565</v>
      </c>
      <c r="DT54" s="10">
        <v>-1.1599999999999999</v>
      </c>
      <c r="DU54">
        <v>-2.3199999999999998</v>
      </c>
      <c r="DV54">
        <v>-3.4799999999999995</v>
      </c>
      <c r="DW54">
        <v>-2.0922999999999998</v>
      </c>
      <c r="DX54">
        <v>0.31333333563652871</v>
      </c>
      <c r="DY54">
        <v>-2.0123066668792515</v>
      </c>
      <c r="DZ54">
        <v>4893</v>
      </c>
      <c r="EA54">
        <v>-2.0005226118811739</v>
      </c>
      <c r="EB54">
        <v>2</v>
      </c>
      <c r="EC54">
        <v>4.4468921355002244E-2</v>
      </c>
      <c r="ED54">
        <v>0.33351691016251678</v>
      </c>
      <c r="EE54" s="11">
        <v>-2.1354000000000002</v>
      </c>
      <c r="EF54">
        <v>-2.1133999999999999</v>
      </c>
      <c r="EG54">
        <v>18.133333335636529</v>
      </c>
      <c r="EH54" t="s">
        <v>1259</v>
      </c>
      <c r="EI54">
        <v>0</v>
      </c>
      <c r="EJ54">
        <v>0</v>
      </c>
      <c r="EK54" s="13">
        <v>45470</v>
      </c>
      <c r="EL54" s="14">
        <v>-0.63</v>
      </c>
      <c r="EM54" s="14">
        <v>-3.82</v>
      </c>
      <c r="EN54" s="14">
        <v>1.32</v>
      </c>
      <c r="EO54" s="14">
        <v>3.92</v>
      </c>
      <c r="EP54" s="14">
        <v>-2.2000000000000002</v>
      </c>
    </row>
    <row r="55" spans="1:146" ht="96" x14ac:dyDescent="0.25">
      <c r="A55" s="7"/>
      <c r="B55" s="7"/>
      <c r="C55" s="7" t="str">
        <f>""&amp;CHAR(10)&amp;Basic_Fundamental_Information_Constructure(F55)&amp;CHAR(10)&amp;Basic_Fundamental_Information_Concatenate("")</f>
        <v xml:space="preserve">
市值97.814002亿, 利润-4.66亿; PE15.83; 平均PE74.38; 平均PEG8.15, PB1.51; ROIC7.5567%; ROE11.9167%; 股利率.9728%; 毛利61.1067%; 净利43.9867%; 上一年度营收增-84.03%, 利润增-163.92%; 当季营收增908.47%, 利润增464.01%; 过往5年营收增9.12%, 利润增-163.92%
Income profile:
</v>
      </c>
      <c r="D55" t="s">
        <v>196</v>
      </c>
      <c r="E55" t="s">
        <v>14</v>
      </c>
      <c r="F55">
        <v>5.14</v>
      </c>
      <c r="G55">
        <v>-1.53</v>
      </c>
      <c r="H55" t="s">
        <v>3010</v>
      </c>
      <c r="I55">
        <v>9781400200</v>
      </c>
      <c r="J55">
        <v>15.83</v>
      </c>
      <c r="K55">
        <v>1.51</v>
      </c>
      <c r="L55" t="s">
        <v>67</v>
      </c>
      <c r="M55" t="s">
        <v>1861</v>
      </c>
      <c r="N55" t="s">
        <v>3011</v>
      </c>
      <c r="O55" t="s">
        <v>1601</v>
      </c>
      <c r="P55">
        <v>-16.07</v>
      </c>
      <c r="Q55" t="s">
        <v>1736</v>
      </c>
      <c r="R55">
        <v>212703630</v>
      </c>
      <c r="S55" s="5">
        <v>-0.2218</v>
      </c>
      <c r="T55" t="s">
        <v>3012</v>
      </c>
      <c r="U55">
        <v>1902996100</v>
      </c>
      <c r="V55">
        <v>1902996100</v>
      </c>
      <c r="W55">
        <v>1.75</v>
      </c>
      <c r="X55" t="s">
        <v>70</v>
      </c>
      <c r="Y55">
        <v>48.2</v>
      </c>
      <c r="Z55" t="s">
        <v>70</v>
      </c>
      <c r="AA55" t="s">
        <v>70</v>
      </c>
      <c r="AB55" t="s">
        <v>70</v>
      </c>
      <c r="AC55" t="s">
        <v>70</v>
      </c>
      <c r="AD55" t="s">
        <v>70</v>
      </c>
      <c r="AE55">
        <v>25033285</v>
      </c>
      <c r="AF55" t="s">
        <v>1864</v>
      </c>
      <c r="AG55" t="s">
        <v>3013</v>
      </c>
      <c r="AH55" t="s">
        <v>1865</v>
      </c>
      <c r="AI55" t="s">
        <v>3014</v>
      </c>
      <c r="AJ55" t="s">
        <v>1866</v>
      </c>
      <c r="AK55" t="s">
        <v>70</v>
      </c>
      <c r="AL55" t="s">
        <v>1867</v>
      </c>
      <c r="AM55" t="s">
        <v>70</v>
      </c>
      <c r="AN55" t="s">
        <v>3015</v>
      </c>
      <c r="AO55" t="s">
        <v>70</v>
      </c>
      <c r="AP55" t="s">
        <v>70</v>
      </c>
      <c r="AQ55" t="s">
        <v>3016</v>
      </c>
      <c r="AR55" t="s">
        <v>70</v>
      </c>
      <c r="AS55" t="s">
        <v>70</v>
      </c>
      <c r="AT55" t="s">
        <v>70</v>
      </c>
      <c r="AU55" t="s">
        <v>334</v>
      </c>
      <c r="AV55" t="s">
        <v>385</v>
      </c>
      <c r="AW55" t="s">
        <v>3017</v>
      </c>
      <c r="AX55" t="s">
        <v>1128</v>
      </c>
      <c r="AY55" t="s">
        <v>70</v>
      </c>
      <c r="AZ55" t="s">
        <v>475</v>
      </c>
      <c r="BA55" t="s">
        <v>181</v>
      </c>
      <c r="BB55" t="s">
        <v>477</v>
      </c>
      <c r="BC55" t="s">
        <v>1129</v>
      </c>
      <c r="BD55" t="s">
        <v>70</v>
      </c>
      <c r="BE55" t="s">
        <v>70</v>
      </c>
      <c r="BF55" t="s">
        <v>70</v>
      </c>
      <c r="BG55" t="s">
        <v>70</v>
      </c>
      <c r="BH55" t="s">
        <v>1862</v>
      </c>
      <c r="BI55" t="s">
        <v>3018</v>
      </c>
      <c r="BJ55" t="s">
        <v>1128</v>
      </c>
      <c r="BK55" t="s">
        <v>1863</v>
      </c>
      <c r="BL55" t="s">
        <v>3019</v>
      </c>
      <c r="BM55" t="s">
        <v>1129</v>
      </c>
      <c r="BN55">
        <v>4.7300000000000004</v>
      </c>
      <c r="BO55">
        <v>8.7899999999999991</v>
      </c>
      <c r="BP55">
        <v>9.15</v>
      </c>
      <c r="BQ55">
        <v>6.46</v>
      </c>
      <c r="BR55">
        <v>13.53</v>
      </c>
      <c r="BS55">
        <v>15.76</v>
      </c>
      <c r="BT55" t="s">
        <v>931</v>
      </c>
      <c r="BU55" t="s">
        <v>882</v>
      </c>
      <c r="BV55">
        <v>56.68</v>
      </c>
      <c r="BW55">
        <v>61.68</v>
      </c>
      <c r="BX55">
        <v>64.959999999999994</v>
      </c>
      <c r="BY55">
        <v>41.72</v>
      </c>
      <c r="BZ55">
        <v>43.83</v>
      </c>
      <c r="CA55">
        <v>46.41</v>
      </c>
      <c r="CB55">
        <v>6.64</v>
      </c>
      <c r="CC55">
        <v>4.9000000000000004</v>
      </c>
      <c r="CD55" t="s">
        <v>3020</v>
      </c>
      <c r="CE55" t="s">
        <v>3021</v>
      </c>
      <c r="CF55" s="8">
        <v>9.0847115772488927</v>
      </c>
      <c r="CG55" s="9">
        <v>4.6400973756492423</v>
      </c>
      <c r="CH55" s="8">
        <v>-0.840312659740448</v>
      </c>
      <c r="CI55" s="8" t="s">
        <v>70</v>
      </c>
      <c r="CJ55" s="8" t="s">
        <v>70</v>
      </c>
      <c r="CK55" s="8">
        <v>0.74373257160186768</v>
      </c>
      <c r="CL55" s="8">
        <v>0.37022900581359863</v>
      </c>
      <c r="CM55" s="9">
        <v>-1.6392319202423096</v>
      </c>
      <c r="CN55" s="9" t="s">
        <v>70</v>
      </c>
      <c r="CO55" s="9" t="s">
        <v>70</v>
      </c>
      <c r="CP55" s="9" t="s">
        <v>70</v>
      </c>
      <c r="CQ55" s="9" t="s">
        <v>70</v>
      </c>
      <c r="CR55">
        <v>74.383271482889739</v>
      </c>
      <c r="CS55">
        <v>8.1546024864486704</v>
      </c>
      <c r="CT55">
        <v>0.97276264591439698</v>
      </c>
      <c r="CU55" s="8">
        <v>9.1216305891672775E-2</v>
      </c>
      <c r="CV55" s="9">
        <v>-1.6392319202423096</v>
      </c>
      <c r="CW55">
        <v>0.06</v>
      </c>
      <c r="CX55" t="e">
        <v>#VALUE!</v>
      </c>
      <c r="CY55" t="s">
        <v>810</v>
      </c>
      <c r="CZ55">
        <v>9.1216305891672775E-2</v>
      </c>
      <c r="DA55" t="e">
        <v>#VALUE!</v>
      </c>
      <c r="DB55" t="s">
        <v>810</v>
      </c>
      <c r="DC55">
        <v>8.665549059708913E-2</v>
      </c>
      <c r="DD55" t="e">
        <v>#VALUE!</v>
      </c>
      <c r="DE55" t="s">
        <v>810</v>
      </c>
      <c r="DF55">
        <v>8.0270349184672046E-2</v>
      </c>
      <c r="DG55" t="e">
        <v>#VALUE!</v>
      </c>
      <c r="DH55" t="s">
        <v>810</v>
      </c>
      <c r="DI55">
        <v>7.2973044713338223E-2</v>
      </c>
      <c r="DJ55" t="e">
        <v>#VALUE!</v>
      </c>
      <c r="DK55" t="s">
        <v>810</v>
      </c>
      <c r="DL55">
        <v>6.3851414124170933E-2</v>
      </c>
      <c r="DM55">
        <v>-466000000</v>
      </c>
      <c r="DN55">
        <v>9.1216305891672775E-2</v>
      </c>
      <c r="DO55">
        <v>8216400200</v>
      </c>
      <c r="DP55">
        <v>4266148900</v>
      </c>
      <c r="DQ55">
        <v>2969</v>
      </c>
      <c r="DR55">
        <v>8.9934952713572205</v>
      </c>
      <c r="DS55">
        <v>6.2793292958915519</v>
      </c>
      <c r="DT55" s="10">
        <v>-1.1599999999999999</v>
      </c>
      <c r="DU55">
        <v>-3.57</v>
      </c>
      <c r="DV55">
        <v>-4.7299999999999995</v>
      </c>
      <c r="DW55">
        <v>5.7379518072289155</v>
      </c>
      <c r="DX55">
        <v>0.31331694161958545</v>
      </c>
      <c r="DY55">
        <v>5.1352790683638512</v>
      </c>
      <c r="DZ55">
        <v>3930</v>
      </c>
      <c r="EA55">
        <v>5.0312386106985016</v>
      </c>
      <c r="EB55">
        <v>5</v>
      </c>
      <c r="EC55">
        <v>5.1151602465186338E-2</v>
      </c>
      <c r="ED55">
        <v>0.27903367747311725</v>
      </c>
      <c r="EE55" s="11">
        <v>1.3409999999999998E-2</v>
      </c>
      <c r="EF55">
        <v>2.8309999999999998E-2</v>
      </c>
      <c r="EG55">
        <v>13.183316941619585</v>
      </c>
      <c r="EH55">
        <v>-1</v>
      </c>
      <c r="EI55">
        <v>1</v>
      </c>
      <c r="EJ55">
        <v>0</v>
      </c>
      <c r="EK55" s="13">
        <v>45470</v>
      </c>
      <c r="EL55" s="14">
        <v>1.52</v>
      </c>
      <c r="EM55" s="14">
        <v>-3.73</v>
      </c>
      <c r="EN55" s="14">
        <v>3.1</v>
      </c>
      <c r="EO55" s="14">
        <v>0.75</v>
      </c>
      <c r="EP55" s="14">
        <v>-1.49</v>
      </c>
    </row>
    <row r="56" spans="1:146" ht="96" x14ac:dyDescent="0.25">
      <c r="A56" s="7"/>
      <c r="B56" s="7"/>
      <c r="C56" s="7" t="str">
        <f>""&amp;CHAR(10)&amp;Basic_Fundamental_Information_Constructure(F56)&amp;CHAR(10)&amp;Basic_Fundamental_Information_Concatenate("")</f>
        <v xml:space="preserve">
市值121.04152亿, 利润1.45亿; PE16.48; 平均PE22.21; 平均PEG8.64, PB1.04; ROIC6.7333%; ROE9.23%; 股利率3.7807%; 毛利39.3267%; 净利28.86%; 上一年度营收增-10.06%, 利润增-84.66%; 当季营收增160.15%, 利润增2388.95%; 过往5年营收增2.57%, 利润增-84.66%
Income profile:
</v>
      </c>
      <c r="D56" t="s">
        <v>198</v>
      </c>
      <c r="E56" t="s">
        <v>17</v>
      </c>
      <c r="F56">
        <v>5.29</v>
      </c>
      <c r="G56">
        <v>0</v>
      </c>
      <c r="H56" t="s">
        <v>3022</v>
      </c>
      <c r="I56">
        <v>12104152000</v>
      </c>
      <c r="J56">
        <v>16.48</v>
      </c>
      <c r="K56">
        <v>1.04</v>
      </c>
      <c r="L56" t="s">
        <v>67</v>
      </c>
      <c r="M56" t="s">
        <v>1868</v>
      </c>
      <c r="N56" t="s">
        <v>3023</v>
      </c>
      <c r="O56" t="s">
        <v>1227</v>
      </c>
      <c r="P56">
        <v>3.69</v>
      </c>
      <c r="Q56" t="s">
        <v>3024</v>
      </c>
      <c r="R56">
        <v>564173570</v>
      </c>
      <c r="S56" s="5">
        <v>-0.18099999999999999</v>
      </c>
      <c r="T56" t="s">
        <v>699</v>
      </c>
      <c r="U56">
        <v>2262840500</v>
      </c>
      <c r="V56">
        <v>2288119500</v>
      </c>
      <c r="W56">
        <v>1.43</v>
      </c>
      <c r="X56" t="s">
        <v>70</v>
      </c>
      <c r="Y56">
        <v>33.76</v>
      </c>
      <c r="Z56" t="s">
        <v>70</v>
      </c>
      <c r="AA56" t="s">
        <v>70</v>
      </c>
      <c r="AB56" t="s">
        <v>70</v>
      </c>
      <c r="AC56" t="s">
        <v>70</v>
      </c>
      <c r="AD56" t="s">
        <v>70</v>
      </c>
      <c r="AE56">
        <v>-44715020</v>
      </c>
      <c r="AF56" t="s">
        <v>1869</v>
      </c>
      <c r="AG56" t="s">
        <v>3025</v>
      </c>
      <c r="AH56" t="s">
        <v>1870</v>
      </c>
      <c r="AI56" t="s">
        <v>3026</v>
      </c>
      <c r="AJ56" t="s">
        <v>1871</v>
      </c>
      <c r="AK56" t="s">
        <v>70</v>
      </c>
      <c r="AL56" t="s">
        <v>1872</v>
      </c>
      <c r="AM56" t="s">
        <v>70</v>
      </c>
      <c r="AN56" t="s">
        <v>3027</v>
      </c>
      <c r="AO56" t="s">
        <v>70</v>
      </c>
      <c r="AP56" t="s">
        <v>70</v>
      </c>
      <c r="AQ56" t="s">
        <v>1051</v>
      </c>
      <c r="AR56" t="s">
        <v>70</v>
      </c>
      <c r="AS56" t="s">
        <v>70</v>
      </c>
      <c r="AT56" t="s">
        <v>70</v>
      </c>
      <c r="AU56" t="s">
        <v>3028</v>
      </c>
      <c r="AV56" t="s">
        <v>3029</v>
      </c>
      <c r="AW56" t="s">
        <v>3030</v>
      </c>
      <c r="AX56" t="s">
        <v>1130</v>
      </c>
      <c r="AY56" t="s">
        <v>70</v>
      </c>
      <c r="AZ56" t="s">
        <v>479</v>
      </c>
      <c r="BA56" t="s">
        <v>199</v>
      </c>
      <c r="BB56" t="s">
        <v>480</v>
      </c>
      <c r="BC56" t="s">
        <v>497</v>
      </c>
      <c r="BD56" t="s">
        <v>70</v>
      </c>
      <c r="BE56" t="s">
        <v>70</v>
      </c>
      <c r="BF56" t="s">
        <v>70</v>
      </c>
      <c r="BG56" t="s">
        <v>70</v>
      </c>
      <c r="BH56" t="s">
        <v>279</v>
      </c>
      <c r="BI56" t="s">
        <v>650</v>
      </c>
      <c r="BJ56" t="s">
        <v>1130</v>
      </c>
      <c r="BK56" t="s">
        <v>1285</v>
      </c>
      <c r="BL56" t="s">
        <v>3031</v>
      </c>
      <c r="BM56" t="s">
        <v>497</v>
      </c>
      <c r="BN56">
        <v>4.2300000000000004</v>
      </c>
      <c r="BO56">
        <v>6.83</v>
      </c>
      <c r="BP56">
        <v>9.14</v>
      </c>
      <c r="BQ56">
        <v>6.08</v>
      </c>
      <c r="BR56">
        <v>9.51</v>
      </c>
      <c r="BS56">
        <v>12.1</v>
      </c>
      <c r="BT56" t="s">
        <v>934</v>
      </c>
      <c r="BU56" t="s">
        <v>884</v>
      </c>
      <c r="BV56">
        <v>34.630000000000003</v>
      </c>
      <c r="BW56">
        <v>38.950000000000003</v>
      </c>
      <c r="BX56">
        <v>44.4</v>
      </c>
      <c r="BY56">
        <v>26.65</v>
      </c>
      <c r="BZ56">
        <v>28.96</v>
      </c>
      <c r="CA56">
        <v>30.97</v>
      </c>
      <c r="CB56">
        <v>1.54</v>
      </c>
      <c r="CC56">
        <v>-12.27</v>
      </c>
      <c r="CD56" t="s">
        <v>3032</v>
      </c>
      <c r="CE56" t="s">
        <v>310</v>
      </c>
      <c r="CF56" s="8">
        <v>1.6015151515151518</v>
      </c>
      <c r="CG56" s="9">
        <v>23.889501657355453</v>
      </c>
      <c r="CH56" s="8">
        <v>-0.10057965666055679</v>
      </c>
      <c r="CI56" s="8" t="s">
        <v>70</v>
      </c>
      <c r="CJ56" s="8" t="s">
        <v>70</v>
      </c>
      <c r="CK56" s="8">
        <v>5.9481706470251083E-2</v>
      </c>
      <c r="CL56" s="8">
        <v>0.11820878088474274</v>
      </c>
      <c r="CM56" s="9">
        <v>-0.84656083583831787</v>
      </c>
      <c r="CN56" s="9" t="s">
        <v>70</v>
      </c>
      <c r="CO56" s="9" t="s">
        <v>70</v>
      </c>
      <c r="CP56" s="9" t="s">
        <v>70</v>
      </c>
      <c r="CQ56" s="9" t="s">
        <v>70</v>
      </c>
      <c r="CR56">
        <v>22.209453211009173</v>
      </c>
      <c r="CS56">
        <v>8.6405967920449687</v>
      </c>
      <c r="CT56">
        <v>3.7807183364839321</v>
      </c>
      <c r="CU56" s="8">
        <v>2.5703610231479008E-2</v>
      </c>
      <c r="CV56" s="9">
        <v>-0.84656083583831787</v>
      </c>
      <c r="CW56">
        <v>0.06</v>
      </c>
      <c r="CX56">
        <v>38.480573240494188</v>
      </c>
      <c r="CY56">
        <v>140308512.7203438</v>
      </c>
      <c r="CZ56">
        <v>2.5703610231479008E-2</v>
      </c>
      <c r="DA56">
        <v>13.283866763040949</v>
      </c>
      <c r="DB56">
        <v>406444305.4353568</v>
      </c>
      <c r="DC56">
        <v>2.4418429719905058E-2</v>
      </c>
      <c r="DD56">
        <v>7.0236368250084356</v>
      </c>
      <c r="DE56">
        <v>768711727.9150486</v>
      </c>
      <c r="DF56">
        <v>2.2619177003701526E-2</v>
      </c>
      <c r="DG56">
        <v>4.5598327933188303</v>
      </c>
      <c r="DH56">
        <v>1184067978.9642637</v>
      </c>
      <c r="DI56">
        <v>2.0562888185183207E-2</v>
      </c>
      <c r="DJ56">
        <v>2.7706339607071415</v>
      </c>
      <c r="DK56">
        <v>1948706352.6146877</v>
      </c>
      <c r="DL56">
        <v>1.7992527162035303E-2</v>
      </c>
      <c r="DM56">
        <v>145000000</v>
      </c>
      <c r="DN56">
        <v>2.5703610231479008E-2</v>
      </c>
      <c r="DO56">
        <v>5399152000</v>
      </c>
      <c r="DP56">
        <v>9837073400</v>
      </c>
      <c r="DQ56">
        <v>2972</v>
      </c>
      <c r="DR56">
        <v>1.5758115412836728</v>
      </c>
      <c r="DS56">
        <v>24.736062493193771</v>
      </c>
      <c r="DT56" s="10">
        <v>-0.66</v>
      </c>
      <c r="DU56">
        <v>-2.3199999999999998</v>
      </c>
      <c r="DV56">
        <v>-2.98</v>
      </c>
      <c r="DW56">
        <v>-2.1227</v>
      </c>
      <c r="DX56">
        <v>0.37849063545150585</v>
      </c>
      <c r="DY56">
        <v>-2.0157658009698998</v>
      </c>
      <c r="DZ56">
        <v>3271</v>
      </c>
      <c r="EA56">
        <v>-2.0056738371787954</v>
      </c>
      <c r="EB56">
        <v>2</v>
      </c>
      <c r="EC56">
        <v>1.6790512908088934E-2</v>
      </c>
      <c r="ED56">
        <v>0.13067499315485925</v>
      </c>
      <c r="EE56" s="11">
        <v>-1.0485100000000001</v>
      </c>
      <c r="EF56">
        <v>-1.0617099999999999</v>
      </c>
      <c r="EG56">
        <v>25.128490635451506</v>
      </c>
      <c r="EH56" t="s">
        <v>812</v>
      </c>
      <c r="EI56">
        <v>0</v>
      </c>
      <c r="EJ56">
        <v>0</v>
      </c>
      <c r="EK56" s="13">
        <v>45470</v>
      </c>
      <c r="EL56" s="14">
        <v>-1.29</v>
      </c>
      <c r="EM56" s="14">
        <v>-2.1800000000000002</v>
      </c>
      <c r="EN56" s="14">
        <v>0.45</v>
      </c>
      <c r="EO56" s="14">
        <v>1.33</v>
      </c>
      <c r="EP56" s="14">
        <v>-1.32</v>
      </c>
    </row>
    <row r="57" spans="1:146" ht="96" x14ac:dyDescent="0.25">
      <c r="A57" s="7"/>
      <c r="B57" s="7"/>
      <c r="C57" s="7" t="str">
        <f>""&amp;CHAR(10)&amp;Basic_Fundamental_Information_Constructure(F57)&amp;CHAR(10)&amp;Basic_Fundamental_Information_Concatenate("")</f>
        <v xml:space="preserve">
市值59.957903亿, 利润-1.19亿; PE32.25; 平均PE33.03; 平均PEG.44, PB1.84; ROIC11.3167%; ROE12.0867%; 股利率0%; 毛利17.3667%; 净利53.1367%; 上一年度营收增273.09%, 利润增-124.69%; 当季营收增-58.67%, 利润增282.02%; 过往5年营收增74.71%, 利润增-124.69%
Income profile:
</v>
      </c>
      <c r="D57" t="s">
        <v>697</v>
      </c>
      <c r="E57" t="s">
        <v>1874</v>
      </c>
      <c r="F57">
        <v>1.96</v>
      </c>
      <c r="G57">
        <v>0.51</v>
      </c>
      <c r="H57" t="s">
        <v>3033</v>
      </c>
      <c r="I57">
        <v>5995790300</v>
      </c>
      <c r="J57">
        <v>32.25</v>
      </c>
      <c r="K57">
        <v>1.84</v>
      </c>
      <c r="L57" t="s">
        <v>67</v>
      </c>
      <c r="M57" t="s">
        <v>1241</v>
      </c>
      <c r="N57" t="s">
        <v>3034</v>
      </c>
      <c r="O57" t="s">
        <v>1474</v>
      </c>
      <c r="P57">
        <v>58.73</v>
      </c>
      <c r="Q57" t="s">
        <v>1530</v>
      </c>
      <c r="R57">
        <v>63176020</v>
      </c>
      <c r="S57" s="5">
        <v>0.46939999999999998</v>
      </c>
      <c r="T57" t="s">
        <v>3035</v>
      </c>
      <c r="U57">
        <v>3059076700</v>
      </c>
      <c r="V57">
        <v>3059076700</v>
      </c>
      <c r="W57">
        <v>1.23</v>
      </c>
      <c r="X57" t="s">
        <v>70</v>
      </c>
      <c r="Y57">
        <v>27.08</v>
      </c>
      <c r="Z57" t="s">
        <v>70</v>
      </c>
      <c r="AA57" t="s">
        <v>70</v>
      </c>
      <c r="AB57" t="s">
        <v>70</v>
      </c>
      <c r="AC57" t="s">
        <v>70</v>
      </c>
      <c r="AD57" t="s">
        <v>70</v>
      </c>
      <c r="AE57">
        <v>452046</v>
      </c>
      <c r="AF57" t="s">
        <v>1877</v>
      </c>
      <c r="AG57" t="s">
        <v>3036</v>
      </c>
      <c r="AH57" t="s">
        <v>1878</v>
      </c>
      <c r="AI57" t="s">
        <v>3037</v>
      </c>
      <c r="AJ57" t="s">
        <v>1879</v>
      </c>
      <c r="AK57" t="s">
        <v>70</v>
      </c>
      <c r="AL57" t="s">
        <v>1880</v>
      </c>
      <c r="AM57" t="s">
        <v>70</v>
      </c>
      <c r="AN57" t="s">
        <v>1367</v>
      </c>
      <c r="AO57" t="s">
        <v>70</v>
      </c>
      <c r="AP57" t="s">
        <v>70</v>
      </c>
      <c r="AQ57" t="s">
        <v>800</v>
      </c>
      <c r="AR57">
        <v>1051</v>
      </c>
      <c r="AS57" t="s">
        <v>70</v>
      </c>
      <c r="AT57" t="s">
        <v>70</v>
      </c>
      <c r="AU57" t="s">
        <v>3038</v>
      </c>
      <c r="AV57" t="s">
        <v>615</v>
      </c>
      <c r="AW57" t="s">
        <v>3039</v>
      </c>
      <c r="AX57" t="s">
        <v>457</v>
      </c>
      <c r="AY57" t="s">
        <v>70</v>
      </c>
      <c r="AZ57" t="s">
        <v>352</v>
      </c>
      <c r="BA57" t="s">
        <v>359</v>
      </c>
      <c r="BB57" t="s">
        <v>625</v>
      </c>
      <c r="BC57" t="s">
        <v>1298</v>
      </c>
      <c r="BD57" t="s">
        <v>70</v>
      </c>
      <c r="BE57" t="s">
        <v>70</v>
      </c>
      <c r="BF57" t="s">
        <v>70</v>
      </c>
      <c r="BG57" t="s">
        <v>70</v>
      </c>
      <c r="BH57" t="s">
        <v>1875</v>
      </c>
      <c r="BI57" t="s">
        <v>190</v>
      </c>
      <c r="BJ57" t="s">
        <v>457</v>
      </c>
      <c r="BK57" t="s">
        <v>1876</v>
      </c>
      <c r="BL57" t="s">
        <v>3040</v>
      </c>
      <c r="BM57" t="s">
        <v>1298</v>
      </c>
      <c r="BN57">
        <v>4.41</v>
      </c>
      <c r="BO57">
        <v>15.87</v>
      </c>
      <c r="BP57">
        <v>13.67</v>
      </c>
      <c r="BQ57">
        <v>4.9800000000000004</v>
      </c>
      <c r="BR57">
        <v>17</v>
      </c>
      <c r="BS57">
        <v>14.28</v>
      </c>
      <c r="BT57" t="s">
        <v>929</v>
      </c>
      <c r="BU57" t="s">
        <v>884</v>
      </c>
      <c r="BV57">
        <v>21.36</v>
      </c>
      <c r="BW57">
        <v>13.37</v>
      </c>
      <c r="BX57">
        <v>17.37</v>
      </c>
      <c r="BY57">
        <v>23.65</v>
      </c>
      <c r="BZ57">
        <v>80.709999999999994</v>
      </c>
      <c r="CA57">
        <v>55.05</v>
      </c>
      <c r="CB57">
        <v>-0.51</v>
      </c>
      <c r="CC57">
        <v>-17.649999999999999</v>
      </c>
      <c r="CD57" t="s">
        <v>3041</v>
      </c>
      <c r="CE57" t="s">
        <v>83</v>
      </c>
      <c r="CF57" s="8">
        <v>-0.58669354838709675</v>
      </c>
      <c r="CG57" s="9">
        <v>2.820214936037801</v>
      </c>
      <c r="CH57" s="8">
        <v>2.7308971881866455</v>
      </c>
      <c r="CI57" s="8" t="s">
        <v>70</v>
      </c>
      <c r="CJ57" s="8" t="s">
        <v>70</v>
      </c>
      <c r="CK57" s="8">
        <v>-0.30931678414344788</v>
      </c>
      <c r="CL57" s="8">
        <v>-0.18024440109729767</v>
      </c>
      <c r="CM57" s="9">
        <v>-1.2468879222869873</v>
      </c>
      <c r="CN57" s="9" t="s">
        <v>70</v>
      </c>
      <c r="CO57" s="9" t="s">
        <v>70</v>
      </c>
      <c r="CP57" s="9" t="s">
        <v>70</v>
      </c>
      <c r="CQ57" s="9" t="s">
        <v>70</v>
      </c>
      <c r="CR57">
        <v>33.034657300275484</v>
      </c>
      <c r="CS57">
        <v>0.4421647257286242</v>
      </c>
      <c r="CT57">
        <v>0</v>
      </c>
      <c r="CU57" s="8">
        <v>0.74711200098196662</v>
      </c>
      <c r="CV57" s="9">
        <v>-1.2468879222869873</v>
      </c>
      <c r="CW57">
        <v>0.06</v>
      </c>
      <c r="CX57" t="e">
        <v>#VALUE!</v>
      </c>
      <c r="CY57" t="s">
        <v>810</v>
      </c>
      <c r="CZ57">
        <v>0.74711200098196662</v>
      </c>
      <c r="DA57" t="e">
        <v>#VALUE!</v>
      </c>
      <c r="DB57" t="s">
        <v>810</v>
      </c>
      <c r="DC57">
        <v>0.70975640093286829</v>
      </c>
      <c r="DD57" t="e">
        <v>#VALUE!</v>
      </c>
      <c r="DE57" t="s">
        <v>810</v>
      </c>
      <c r="DF57">
        <v>0.65745856086413068</v>
      </c>
      <c r="DG57" t="e">
        <v>#VALUE!</v>
      </c>
      <c r="DH57" t="s">
        <v>810</v>
      </c>
      <c r="DI57">
        <v>0.59768960078557332</v>
      </c>
      <c r="DJ57" t="e">
        <v>#VALUE!</v>
      </c>
      <c r="DK57" t="s">
        <v>810</v>
      </c>
      <c r="DL57">
        <v>0.52297840068737655</v>
      </c>
      <c r="DM57">
        <v>-119000000</v>
      </c>
      <c r="DN57">
        <v>0.74711200098196662</v>
      </c>
      <c r="DO57">
        <v>3277790300</v>
      </c>
      <c r="DP57">
        <v>1378430800</v>
      </c>
      <c r="DQ57">
        <v>3022</v>
      </c>
      <c r="DR57">
        <v>-1.3338055493690635</v>
      </c>
      <c r="DS57">
        <v>4.0671028583247884</v>
      </c>
      <c r="DT57" s="10">
        <v>-0.21000000000000008</v>
      </c>
      <c r="DU57">
        <v>-3.57</v>
      </c>
      <c r="DV57">
        <v>-3.78</v>
      </c>
      <c r="DW57">
        <v>-3.0186607142857143</v>
      </c>
      <c r="DX57">
        <v>0.30008491484184996</v>
      </c>
      <c r="DY57">
        <v>-3.0028006917144596</v>
      </c>
      <c r="DZ57">
        <v>5051</v>
      </c>
      <c r="EA57">
        <v>-3.0000323367536503</v>
      </c>
      <c r="EB57">
        <v>3</v>
      </c>
      <c r="EC57">
        <v>2.0164548342315184E-2</v>
      </c>
      <c r="ED57">
        <v>0.13435426447463708</v>
      </c>
      <c r="EE57" s="11">
        <v>-5.0259999999999998</v>
      </c>
      <c r="EF57">
        <v>-5.0039999999999996</v>
      </c>
      <c r="EG57">
        <v>15.15008491484185</v>
      </c>
      <c r="EH57" t="s">
        <v>3042</v>
      </c>
      <c r="EI57">
        <v>0</v>
      </c>
      <c r="EJ57">
        <v>0</v>
      </c>
      <c r="EK57" s="13">
        <v>45470</v>
      </c>
      <c r="EL57" s="14">
        <v>0</v>
      </c>
      <c r="EM57" s="14">
        <v>-4.32</v>
      </c>
      <c r="EN57" s="14">
        <v>-2.2599999999999998</v>
      </c>
      <c r="EO57" s="14">
        <v>5.2</v>
      </c>
      <c r="EP57" s="14">
        <v>-2.2000000000000002</v>
      </c>
    </row>
    <row r="58" spans="1:146" ht="96" x14ac:dyDescent="0.25">
      <c r="A58" s="7"/>
      <c r="B58" s="7"/>
      <c r="C58" s="7" t="str">
        <f>""&amp;CHAR(10)&amp;Basic_Fundamental_Information_Constructure(F58)&amp;CHAR(10)&amp;Basic_Fundamental_Information_Concatenate("")</f>
        <v xml:space="preserve">
市值644.7785亿, 利润8674.58万; PE47.36; 平均PE39.13; 平均PEG1.23, PB3.98; ROIC6.6367%; ROE11.55%; 股利率1.467%; 毛利39.4067%; 净利23.52%; 上一年度营收增-89.81%, 利润增-97.3%; 当季营收增716.09%, 利润增6345.04%; 过往5年营收增-31.84%, 利润增-97.3%
Income profile:
</v>
      </c>
      <c r="D58" t="s">
        <v>201</v>
      </c>
      <c r="E58" t="s">
        <v>38</v>
      </c>
      <c r="F58">
        <v>8.18</v>
      </c>
      <c r="G58">
        <v>0.49</v>
      </c>
      <c r="H58" t="s">
        <v>3043</v>
      </c>
      <c r="I58">
        <v>64477850000</v>
      </c>
      <c r="J58">
        <v>47.36</v>
      </c>
      <c r="K58">
        <v>3.98</v>
      </c>
      <c r="L58" t="s">
        <v>67</v>
      </c>
      <c r="M58" t="s">
        <v>1882</v>
      </c>
      <c r="N58" t="s">
        <v>3044</v>
      </c>
      <c r="O58" t="s">
        <v>1883</v>
      </c>
      <c r="P58">
        <v>6.77</v>
      </c>
      <c r="Q58" t="s">
        <v>3045</v>
      </c>
      <c r="R58">
        <v>1437000000</v>
      </c>
      <c r="S58" s="5">
        <v>0.46039999999999998</v>
      </c>
      <c r="T58" t="s">
        <v>3046</v>
      </c>
      <c r="U58">
        <v>7882377800</v>
      </c>
      <c r="V58">
        <v>7882377800</v>
      </c>
      <c r="W58">
        <v>2.2400000000000002</v>
      </c>
      <c r="X58" t="s">
        <v>70</v>
      </c>
      <c r="Y58">
        <v>23.09</v>
      </c>
      <c r="Z58" t="s">
        <v>70</v>
      </c>
      <c r="AA58" t="s">
        <v>70</v>
      </c>
      <c r="AB58" t="s">
        <v>70</v>
      </c>
      <c r="AC58" t="s">
        <v>70</v>
      </c>
      <c r="AD58" t="s">
        <v>70</v>
      </c>
      <c r="AE58">
        <v>142510720</v>
      </c>
      <c r="AF58" t="s">
        <v>1886</v>
      </c>
      <c r="AG58" t="s">
        <v>3047</v>
      </c>
      <c r="AH58" t="s">
        <v>1887</v>
      </c>
      <c r="AI58" t="s">
        <v>326</v>
      </c>
      <c r="AJ58" t="s">
        <v>1889</v>
      </c>
      <c r="AK58" t="s">
        <v>70</v>
      </c>
      <c r="AL58" t="s">
        <v>1890</v>
      </c>
      <c r="AM58" t="s">
        <v>70</v>
      </c>
      <c r="AN58" t="s">
        <v>3048</v>
      </c>
      <c r="AO58" t="s">
        <v>70</v>
      </c>
      <c r="AP58" t="s">
        <v>70</v>
      </c>
      <c r="AQ58" t="s">
        <v>1862</v>
      </c>
      <c r="AR58" t="s">
        <v>70</v>
      </c>
      <c r="AS58" t="s">
        <v>70</v>
      </c>
      <c r="AT58" t="s">
        <v>70</v>
      </c>
      <c r="AU58" t="s">
        <v>2316</v>
      </c>
      <c r="AV58" t="s">
        <v>3049</v>
      </c>
      <c r="AW58" t="s">
        <v>1305</v>
      </c>
      <c r="AX58" t="s">
        <v>1131</v>
      </c>
      <c r="AY58" t="s">
        <v>70</v>
      </c>
      <c r="AZ58" t="s">
        <v>481</v>
      </c>
      <c r="BA58" t="s">
        <v>202</v>
      </c>
      <c r="BB58" t="s">
        <v>482</v>
      </c>
      <c r="BC58" t="s">
        <v>1132</v>
      </c>
      <c r="BD58" t="s">
        <v>70</v>
      </c>
      <c r="BE58" t="s">
        <v>70</v>
      </c>
      <c r="BF58" t="s">
        <v>70</v>
      </c>
      <c r="BG58" t="s">
        <v>70</v>
      </c>
      <c r="BH58" t="s">
        <v>1884</v>
      </c>
      <c r="BI58" t="s">
        <v>286</v>
      </c>
      <c r="BJ58" t="s">
        <v>1131</v>
      </c>
      <c r="BK58" t="s">
        <v>1885</v>
      </c>
      <c r="BL58" t="s">
        <v>3050</v>
      </c>
      <c r="BM58" t="s">
        <v>1132</v>
      </c>
      <c r="BN58">
        <v>4</v>
      </c>
      <c r="BO58">
        <v>10.35</v>
      </c>
      <c r="BP58">
        <v>5.56</v>
      </c>
      <c r="BQ58">
        <v>6.43</v>
      </c>
      <c r="BR58">
        <v>19.64</v>
      </c>
      <c r="BS58">
        <v>8.58</v>
      </c>
      <c r="BT58" t="s">
        <v>1114</v>
      </c>
      <c r="BU58" t="s">
        <v>883</v>
      </c>
      <c r="BV58">
        <v>30.08</v>
      </c>
      <c r="BW58">
        <v>50.37</v>
      </c>
      <c r="BX58">
        <v>37.770000000000003</v>
      </c>
      <c r="BY58">
        <v>17.309999999999999</v>
      </c>
      <c r="BZ58">
        <v>34.29</v>
      </c>
      <c r="CA58">
        <v>18.96</v>
      </c>
      <c r="CB58">
        <v>6.65</v>
      </c>
      <c r="CC58">
        <v>21.01</v>
      </c>
      <c r="CD58" t="s">
        <v>255</v>
      </c>
      <c r="CE58" t="s">
        <v>1551</v>
      </c>
      <c r="CF58" s="8">
        <v>7.1609195402298846</v>
      </c>
      <c r="CG58" s="9">
        <v>63.450444470358178</v>
      </c>
      <c r="CH58" s="8">
        <v>-0.89807063341140747</v>
      </c>
      <c r="CI58" s="8" t="s">
        <v>70</v>
      </c>
      <c r="CJ58" s="8" t="s">
        <v>70</v>
      </c>
      <c r="CK58" s="8">
        <v>-7.6302322559058666E-3</v>
      </c>
      <c r="CL58" s="8">
        <v>-4.9505997449159622E-2</v>
      </c>
      <c r="CM58" s="9">
        <v>-0.97296792268753052</v>
      </c>
      <c r="CN58" s="9" t="s">
        <v>70</v>
      </c>
      <c r="CO58" s="9" t="s">
        <v>70</v>
      </c>
      <c r="CP58" s="9" t="s">
        <v>70</v>
      </c>
      <c r="CQ58" s="9" t="s">
        <v>70</v>
      </c>
      <c r="CR58">
        <v>39.127926674441937</v>
      </c>
      <c r="CS58">
        <v>1.2288833398908761</v>
      </c>
      <c r="CT58">
        <v>1.4669926650366749</v>
      </c>
      <c r="CU58" s="8">
        <v>-0.31840228770549101</v>
      </c>
      <c r="CV58" s="9">
        <v>-0.97296792268753052</v>
      </c>
      <c r="CW58">
        <v>0.06</v>
      </c>
      <c r="CX58">
        <v>795.87541990505588</v>
      </c>
      <c r="CY58" t="s">
        <v>3051</v>
      </c>
      <c r="CZ58">
        <v>-0.31840228770549101</v>
      </c>
      <c r="DA58">
        <v>265.29180663501865</v>
      </c>
      <c r="DB58" t="s">
        <v>3052</v>
      </c>
      <c r="DC58">
        <v>-0.30248217332021643</v>
      </c>
      <c r="DD58">
        <v>132.64590331750932</v>
      </c>
      <c r="DE58" t="s">
        <v>3053</v>
      </c>
      <c r="DF58">
        <v>-0.28019401318083209</v>
      </c>
      <c r="DG58">
        <v>79.587541990505599</v>
      </c>
      <c r="DH58" t="s">
        <v>3054</v>
      </c>
      <c r="DI58">
        <v>-0.25472183016439282</v>
      </c>
      <c r="DJ58">
        <v>39.7937709952528</v>
      </c>
      <c r="DK58" t="s">
        <v>3055</v>
      </c>
      <c r="DL58">
        <v>-0.22288160139384369</v>
      </c>
      <c r="DM58">
        <v>86745800</v>
      </c>
      <c r="DN58">
        <v>-0.31840228770549101</v>
      </c>
      <c r="DO58">
        <v>69038850000</v>
      </c>
      <c r="DP58">
        <v>4875257700</v>
      </c>
      <c r="DQ58">
        <v>3032</v>
      </c>
      <c r="DR58">
        <v>7.4793218279353759</v>
      </c>
      <c r="DS58">
        <v>64.423412393045709</v>
      </c>
      <c r="DT58" s="10">
        <v>-1.1599999999999999</v>
      </c>
      <c r="DU58">
        <v>-2.3199999999999998</v>
      </c>
      <c r="DV58">
        <v>-3.4799999999999995</v>
      </c>
      <c r="DW58">
        <v>9.3165159447881969</v>
      </c>
      <c r="DX58">
        <v>0.3476106194690266</v>
      </c>
      <c r="DY58">
        <v>9.0593817524735378</v>
      </c>
      <c r="DZ58">
        <v>492</v>
      </c>
      <c r="EA58">
        <v>9.0536643704349906</v>
      </c>
      <c r="EB58">
        <v>9</v>
      </c>
      <c r="EC58">
        <v>1.3447718783537628E-2</v>
      </c>
      <c r="ED58">
        <v>7.1678878421686409E-2</v>
      </c>
      <c r="EE58" s="11">
        <v>-5.0795000000000003</v>
      </c>
      <c r="EF58">
        <v>-5.0686</v>
      </c>
      <c r="EG58">
        <v>16.187610619469027</v>
      </c>
      <c r="EH58" t="s">
        <v>3042</v>
      </c>
      <c r="EI58">
        <v>1</v>
      </c>
      <c r="EJ58">
        <v>1</v>
      </c>
      <c r="EK58" s="13">
        <v>45470</v>
      </c>
      <c r="EL58" s="14">
        <v>-0.44</v>
      </c>
      <c r="EM58" s="14">
        <v>-3.54</v>
      </c>
      <c r="EN58" s="14">
        <v>2.29</v>
      </c>
      <c r="EO58" s="14">
        <v>3.14</v>
      </c>
      <c r="EP58" s="14">
        <v>-1.0900000000000001</v>
      </c>
    </row>
    <row r="59" spans="1:146" ht="96" x14ac:dyDescent="0.25">
      <c r="A59" s="7"/>
      <c r="B59" s="7"/>
      <c r="C59" s="7" t="str">
        <f>""&amp;CHAR(10)&amp;Basic_Fundamental_Information_Constructure(F59)&amp;CHAR(10)&amp;Basic_Fundamental_Information_Concatenate("")</f>
        <v xml:space="preserve">
市值52.912157亿, 利润8.16亿; PE; 平均PE27.64; 平均PEG4.53, PB1.81; ROIC2.405%; ROE-1.08%; 股利率.831%; 毛利6.9533%; 净利-.0367%; 上一年度营收增-36.47%, 利润增467.57%; 当季营收增-50.41%, 利润增-137.95%; 过往5年营收增6.11%, 利润增40.68%
Income profile:
</v>
      </c>
      <c r="D59" t="s">
        <v>204</v>
      </c>
      <c r="E59" t="s">
        <v>1286</v>
      </c>
      <c r="F59">
        <v>3.61</v>
      </c>
      <c r="G59">
        <v>1.69</v>
      </c>
      <c r="H59" t="s">
        <v>3056</v>
      </c>
      <c r="I59">
        <v>5291215700</v>
      </c>
      <c r="K59">
        <v>1.81</v>
      </c>
      <c r="L59" t="s">
        <v>67</v>
      </c>
      <c r="M59" t="s">
        <v>1534</v>
      </c>
      <c r="N59" t="s">
        <v>3057</v>
      </c>
      <c r="O59" t="s">
        <v>1220</v>
      </c>
      <c r="P59">
        <v>-83.64</v>
      </c>
      <c r="Q59" t="s">
        <v>3058</v>
      </c>
      <c r="R59">
        <v>-57302152</v>
      </c>
      <c r="S59" s="5">
        <v>-2.7149999999999999</v>
      </c>
      <c r="T59" t="s">
        <v>2758</v>
      </c>
      <c r="U59">
        <v>1465710700</v>
      </c>
      <c r="V59">
        <v>1465710700</v>
      </c>
      <c r="W59">
        <v>4.28</v>
      </c>
      <c r="X59">
        <v>0.05</v>
      </c>
      <c r="Y59">
        <v>-4.3</v>
      </c>
      <c r="Z59" t="s">
        <v>1711</v>
      </c>
      <c r="AA59" t="s">
        <v>3059</v>
      </c>
      <c r="AB59" t="s">
        <v>3060</v>
      </c>
      <c r="AC59" t="s">
        <v>3061</v>
      </c>
      <c r="AD59" t="s">
        <v>70</v>
      </c>
      <c r="AE59">
        <v>110428705</v>
      </c>
      <c r="AF59" t="s">
        <v>1892</v>
      </c>
      <c r="AG59" t="s">
        <v>3062</v>
      </c>
      <c r="AH59" t="s">
        <v>1893</v>
      </c>
      <c r="AI59" t="s">
        <v>3063</v>
      </c>
      <c r="AJ59" t="s">
        <v>1894</v>
      </c>
      <c r="AK59" t="s">
        <v>1215</v>
      </c>
      <c r="AL59" t="s">
        <v>1895</v>
      </c>
      <c r="AM59" t="s">
        <v>70</v>
      </c>
      <c r="AN59" t="s">
        <v>3064</v>
      </c>
      <c r="AO59" t="s">
        <v>3065</v>
      </c>
      <c r="AP59" t="s">
        <v>924</v>
      </c>
      <c r="AQ59" t="s">
        <v>1240</v>
      </c>
      <c r="AR59" t="s">
        <v>3066</v>
      </c>
      <c r="AS59" t="s">
        <v>3067</v>
      </c>
      <c r="AT59" t="s">
        <v>3068</v>
      </c>
      <c r="AU59" t="s">
        <v>2068</v>
      </c>
      <c r="AV59" t="s">
        <v>3069</v>
      </c>
      <c r="AW59" t="s">
        <v>1567</v>
      </c>
      <c r="AX59" t="s">
        <v>1133</v>
      </c>
      <c r="AY59" t="s">
        <v>1134</v>
      </c>
      <c r="AZ59" t="s">
        <v>483</v>
      </c>
      <c r="BA59" t="s">
        <v>1135</v>
      </c>
      <c r="BB59" t="s">
        <v>484</v>
      </c>
      <c r="BC59" t="s">
        <v>1898</v>
      </c>
      <c r="BD59" t="s">
        <v>1136</v>
      </c>
      <c r="BE59" t="s">
        <v>393</v>
      </c>
      <c r="BF59" t="s">
        <v>205</v>
      </c>
      <c r="BG59" t="s">
        <v>485</v>
      </c>
      <c r="BH59" t="s">
        <v>1306</v>
      </c>
      <c r="BI59" t="s">
        <v>3070</v>
      </c>
      <c r="BJ59" t="s">
        <v>1133</v>
      </c>
      <c r="BK59" t="s">
        <v>1891</v>
      </c>
      <c r="BL59" t="s">
        <v>134</v>
      </c>
      <c r="BM59" t="s">
        <v>1898</v>
      </c>
      <c r="BN59">
        <v>1.66</v>
      </c>
      <c r="BO59" t="s">
        <v>70</v>
      </c>
      <c r="BP59">
        <v>3.15</v>
      </c>
      <c r="BQ59">
        <v>0.69</v>
      </c>
      <c r="BR59">
        <v>-7.15</v>
      </c>
      <c r="BS59">
        <v>3.22</v>
      </c>
      <c r="BT59" t="s">
        <v>1026</v>
      </c>
      <c r="BU59" t="s">
        <v>885</v>
      </c>
      <c r="BV59">
        <v>5.52</v>
      </c>
      <c r="BW59">
        <v>7.39</v>
      </c>
      <c r="BX59">
        <v>7.95</v>
      </c>
      <c r="BY59">
        <v>0.17</v>
      </c>
      <c r="BZ59">
        <v>-0.86</v>
      </c>
      <c r="CA59">
        <v>0.57999999999999996</v>
      </c>
      <c r="CB59">
        <v>3.74</v>
      </c>
      <c r="CC59">
        <v>5.87</v>
      </c>
      <c r="CD59" t="s">
        <v>912</v>
      </c>
      <c r="CE59" t="s">
        <v>3071</v>
      </c>
      <c r="CF59" s="8">
        <v>-0.50408997955010226</v>
      </c>
      <c r="CG59" s="9">
        <v>-1.3794844503311259</v>
      </c>
      <c r="CH59" s="8">
        <v>-0.36466878652572632</v>
      </c>
      <c r="CI59" s="8">
        <v>1.7329966649413109E-2</v>
      </c>
      <c r="CJ59" s="8">
        <v>-8.6168333888053894E-2</v>
      </c>
      <c r="CK59" s="8">
        <v>-0.18172691762447357</v>
      </c>
      <c r="CL59" s="8">
        <v>0.92064028978347778</v>
      </c>
      <c r="CM59" s="9">
        <v>4.6756758689880371</v>
      </c>
      <c r="CN59" s="9">
        <v>-3.849280834197998</v>
      </c>
      <c r="CO59" s="9">
        <v>-0.69564688205718994</v>
      </c>
      <c r="CP59" s="9">
        <v>0.68421053886413574</v>
      </c>
      <c r="CQ59" s="9">
        <v>1.219052791595459</v>
      </c>
      <c r="CR59">
        <v>27.644513846553863</v>
      </c>
      <c r="CS59">
        <v>4.5258596881011144</v>
      </c>
      <c r="CT59">
        <v>0.83102493074792239</v>
      </c>
      <c r="CU59" s="8">
        <v>6.1081243678927422E-2</v>
      </c>
      <c r="CV59" s="9">
        <v>0.40680229663848877</v>
      </c>
      <c r="CW59">
        <v>0.06</v>
      </c>
      <c r="CX59">
        <v>17.942746311364782</v>
      </c>
      <c r="CY59">
        <v>816832353.62453282</v>
      </c>
      <c r="CZ59">
        <v>6.1081243678927422E-2</v>
      </c>
      <c r="DA59">
        <v>6.009357100319705</v>
      </c>
      <c r="DB59">
        <v>2438899112.7221031</v>
      </c>
      <c r="DC59">
        <v>5.8027181494981046E-2</v>
      </c>
      <c r="DD59">
        <v>3.0559420653565428</v>
      </c>
      <c r="DE59">
        <v>4795973021.2653856</v>
      </c>
      <c r="DF59">
        <v>5.3751494437456131E-2</v>
      </c>
      <c r="DG59">
        <v>1.9026391581737145</v>
      </c>
      <c r="DH59">
        <v>7703097898.0102854</v>
      </c>
      <c r="DI59">
        <v>4.8864994943141941E-2</v>
      </c>
      <c r="DJ59">
        <v>1.0620641659896768</v>
      </c>
      <c r="DK59">
        <v>13799745975.180994</v>
      </c>
      <c r="DL59">
        <v>4.2756870575249191E-2</v>
      </c>
      <c r="DM59">
        <v>816000000</v>
      </c>
      <c r="DN59">
        <v>6.1081243678927422E-2</v>
      </c>
      <c r="DO59">
        <v>14656215700</v>
      </c>
      <c r="DP59">
        <v>-3531609200</v>
      </c>
      <c r="DQ59">
        <v>3086</v>
      </c>
      <c r="DR59">
        <v>-0.56517122322902968</v>
      </c>
      <c r="DS59">
        <v>-1.7862867469696146</v>
      </c>
      <c r="DT59" s="10">
        <v>-0.52333333333333332</v>
      </c>
      <c r="DU59">
        <v>-1.1483333333333334</v>
      </c>
      <c r="DV59">
        <v>-1.6716666666666669</v>
      </c>
      <c r="DW59">
        <v>8.6371379897785356</v>
      </c>
      <c r="DX59">
        <v>0.23609185271043728</v>
      </c>
      <c r="DY59">
        <v>8.0484810100744522</v>
      </c>
      <c r="DZ59">
        <v>2086</v>
      </c>
      <c r="EA59">
        <v>8.028690131989265</v>
      </c>
      <c r="EB59">
        <v>8</v>
      </c>
      <c r="EC59">
        <v>0.1153024263246492</v>
      </c>
      <c r="ED59">
        <v>1.515305851284295</v>
      </c>
      <c r="EE59" s="11">
        <v>-1.0781099999999999</v>
      </c>
      <c r="EF59">
        <v>-1.1049100000000001</v>
      </c>
      <c r="EG59">
        <v>16.076091852710437</v>
      </c>
      <c r="EH59" t="s">
        <v>812</v>
      </c>
      <c r="EI59">
        <v>0</v>
      </c>
      <c r="EJ59">
        <v>0</v>
      </c>
      <c r="EK59" s="13">
        <v>45470</v>
      </c>
      <c r="EL59" s="14">
        <v>-0.88</v>
      </c>
      <c r="EM59" s="14">
        <v>1.18</v>
      </c>
      <c r="EN59" s="14">
        <v>1.78</v>
      </c>
      <c r="EO59" s="14">
        <v>-0.45</v>
      </c>
      <c r="EP59" s="14">
        <v>-2.68</v>
      </c>
    </row>
    <row r="60" spans="1:146" ht="96" x14ac:dyDescent="0.25">
      <c r="A60" s="7"/>
      <c r="B60" s="7"/>
      <c r="C60" s="7" t="str">
        <f>""&amp;CHAR(10)&amp;Basic_Fundamental_Information_Constructure(F60)&amp;CHAR(10)&amp;Basic_Fundamental_Information_Concatenate("")</f>
        <v xml:space="preserve">
市值38.584919亿, 利润-1.14亿; PE1.53; 平均PE-5; 平均PEG-8.87, PB7.92; ROIC17.92%; ROE-165.83%; 股利率0%; 毛利-9.21%; 净利-11.2167%; 上一年度营收增-3.62%, 利润增94.35%; 当季营收增-20.52%, 利润增118.28%; 过往5年营收增-.56%, 利润增-445.95%
Income profile:
</v>
      </c>
      <c r="D60" t="s">
        <v>208</v>
      </c>
      <c r="E60" t="s">
        <v>3072</v>
      </c>
      <c r="F60">
        <v>2.62</v>
      </c>
      <c r="G60">
        <v>-2.2400000000000002</v>
      </c>
      <c r="H60" t="s">
        <v>3073</v>
      </c>
      <c r="I60">
        <v>3858491900</v>
      </c>
      <c r="J60">
        <v>1.53</v>
      </c>
      <c r="K60">
        <v>7.92</v>
      </c>
      <c r="L60" t="s">
        <v>67</v>
      </c>
      <c r="M60" t="s">
        <v>1899</v>
      </c>
      <c r="N60" t="s">
        <v>1452</v>
      </c>
      <c r="O60" t="s">
        <v>1900</v>
      </c>
      <c r="P60">
        <v>-34.61</v>
      </c>
      <c r="Q60" t="s">
        <v>3074</v>
      </c>
      <c r="R60">
        <v>124146382</v>
      </c>
      <c r="S60" s="5">
        <v>1.49</v>
      </c>
      <c r="T60" t="s">
        <v>3075</v>
      </c>
      <c r="U60">
        <v>1472706800</v>
      </c>
      <c r="V60">
        <v>1472706800</v>
      </c>
      <c r="W60">
        <v>13.94</v>
      </c>
      <c r="X60">
        <v>0.1</v>
      </c>
      <c r="Y60">
        <v>10</v>
      </c>
      <c r="Z60" t="s">
        <v>3076</v>
      </c>
      <c r="AA60" t="s">
        <v>3077</v>
      </c>
      <c r="AB60" t="s">
        <v>70</v>
      </c>
      <c r="AC60" t="s">
        <v>3078</v>
      </c>
      <c r="AD60" t="s">
        <v>70</v>
      </c>
      <c r="AE60">
        <v>101633323</v>
      </c>
      <c r="AF60" t="s">
        <v>1903</v>
      </c>
      <c r="AG60">
        <v>5202.5</v>
      </c>
      <c r="AH60" t="s">
        <v>1904</v>
      </c>
      <c r="AI60" t="s">
        <v>190</v>
      </c>
      <c r="AJ60" t="s">
        <v>3079</v>
      </c>
      <c r="AK60" t="s">
        <v>70</v>
      </c>
      <c r="AL60" t="s">
        <v>1905</v>
      </c>
      <c r="AM60" t="s">
        <v>70</v>
      </c>
      <c r="AN60" t="s">
        <v>1230</v>
      </c>
      <c r="AO60" t="s">
        <v>3080</v>
      </c>
      <c r="AP60" t="s">
        <v>3081</v>
      </c>
      <c r="AQ60" t="s">
        <v>2924</v>
      </c>
      <c r="AR60" t="s">
        <v>3082</v>
      </c>
      <c r="AS60" t="s">
        <v>3083</v>
      </c>
      <c r="AT60" t="s">
        <v>3084</v>
      </c>
      <c r="AU60" t="s">
        <v>116</v>
      </c>
      <c r="AV60" t="s">
        <v>3085</v>
      </c>
      <c r="AW60" t="s">
        <v>3086</v>
      </c>
      <c r="AX60" t="s">
        <v>1034</v>
      </c>
      <c r="AY60" t="s">
        <v>769</v>
      </c>
      <c r="AZ60" t="s">
        <v>486</v>
      </c>
      <c r="BA60" t="s">
        <v>210</v>
      </c>
      <c r="BB60" t="s">
        <v>488</v>
      </c>
      <c r="BC60" t="s">
        <v>1137</v>
      </c>
      <c r="BD60" t="s">
        <v>770</v>
      </c>
      <c r="BE60" t="s">
        <v>487</v>
      </c>
      <c r="BF60" t="s">
        <v>211</v>
      </c>
      <c r="BG60" t="s">
        <v>489</v>
      </c>
      <c r="BH60" t="s">
        <v>1901</v>
      </c>
      <c r="BI60" t="s">
        <v>2869</v>
      </c>
      <c r="BJ60" t="s">
        <v>1034</v>
      </c>
      <c r="BK60" t="s">
        <v>1902</v>
      </c>
      <c r="BL60" t="s">
        <v>3087</v>
      </c>
      <c r="BM60" t="s">
        <v>1137</v>
      </c>
      <c r="BN60">
        <v>17.920000000000002</v>
      </c>
      <c r="BO60" t="s">
        <v>70</v>
      </c>
      <c r="BP60" t="s">
        <v>70</v>
      </c>
      <c r="BQ60" t="s">
        <v>70</v>
      </c>
      <c r="BR60" t="s">
        <v>70</v>
      </c>
      <c r="BS60">
        <v>-165.83</v>
      </c>
      <c r="BT60" t="s">
        <v>929</v>
      </c>
      <c r="BU60" t="s">
        <v>881</v>
      </c>
      <c r="BV60">
        <v>1.25</v>
      </c>
      <c r="BW60">
        <v>-11.67</v>
      </c>
      <c r="BX60">
        <v>-17.21</v>
      </c>
      <c r="BY60">
        <v>32.72</v>
      </c>
      <c r="BZ60">
        <v>-33.83</v>
      </c>
      <c r="CA60">
        <v>-32.54</v>
      </c>
      <c r="CB60">
        <v>-3.32</v>
      </c>
      <c r="CC60">
        <v>-21.32</v>
      </c>
      <c r="CD60" t="s">
        <v>399</v>
      </c>
      <c r="CE60" t="s">
        <v>2789</v>
      </c>
      <c r="CF60" s="8">
        <v>-0.20515896820635884</v>
      </c>
      <c r="CG60" s="9">
        <v>1.182789691798344</v>
      </c>
      <c r="CH60" s="8">
        <v>-3.6190193146467209E-2</v>
      </c>
      <c r="CI60" s="8">
        <v>8.4423452615737915E-2</v>
      </c>
      <c r="CJ60" s="8">
        <v>-9.7845464944839478E-2</v>
      </c>
      <c r="CK60" s="8">
        <v>-1.5403307043015957E-2</v>
      </c>
      <c r="CL60" s="8">
        <v>3.6845065653324127E-2</v>
      </c>
      <c r="CM60" s="9">
        <v>0.94350844621658325</v>
      </c>
      <c r="CN60" s="9">
        <v>-5.104166641831398E-2</v>
      </c>
      <c r="CO60" s="9">
        <v>-24.494228363037109</v>
      </c>
      <c r="CP60" s="9">
        <v>0.21201002597808838</v>
      </c>
      <c r="CQ60" s="9">
        <v>1.0924924612045288</v>
      </c>
      <c r="CR60">
        <v>-4.9982074983935147</v>
      </c>
      <c r="CS60">
        <v>-8.8713670789461876</v>
      </c>
      <c r="CT60">
        <v>0</v>
      </c>
      <c r="CU60" s="8">
        <v>-5.6340893730521206E-3</v>
      </c>
      <c r="CV60" s="9">
        <v>-4.4594518192112442</v>
      </c>
      <c r="CW60">
        <v>0.06</v>
      </c>
      <c r="CX60" t="e">
        <v>#VALUE!</v>
      </c>
      <c r="CY60" t="s">
        <v>810</v>
      </c>
      <c r="CZ60">
        <v>-5.6340893730521206E-3</v>
      </c>
      <c r="DA60" t="e">
        <v>#VALUE!</v>
      </c>
      <c r="DB60" t="s">
        <v>810</v>
      </c>
      <c r="DC60">
        <v>-5.3523849043995144E-3</v>
      </c>
      <c r="DD60" t="e">
        <v>#VALUE!</v>
      </c>
      <c r="DE60" t="s">
        <v>810</v>
      </c>
      <c r="DF60">
        <v>-4.9579986482858659E-3</v>
      </c>
      <c r="DG60" t="e">
        <v>#VALUE!</v>
      </c>
      <c r="DH60" t="s">
        <v>810</v>
      </c>
      <c r="DI60">
        <v>-4.507271498441697E-3</v>
      </c>
      <c r="DJ60" t="e">
        <v>#VALUE!</v>
      </c>
      <c r="DK60" t="s">
        <v>810</v>
      </c>
      <c r="DL60">
        <v>-3.9438625611364839E-3</v>
      </c>
      <c r="DM60">
        <v>-113999999.99999999</v>
      </c>
      <c r="DN60">
        <v>-5.6340893730521206E-3</v>
      </c>
      <c r="DO60">
        <v>15930491900</v>
      </c>
      <c r="DP60">
        <v>-5425042800</v>
      </c>
      <c r="DQ60">
        <v>3155</v>
      </c>
      <c r="DR60">
        <v>-0.19952487883330672</v>
      </c>
      <c r="DS60">
        <v>5.6422415110095887</v>
      </c>
      <c r="DT60" s="10">
        <v>-0.44</v>
      </c>
      <c r="DU60">
        <v>-0.26666666666666672</v>
      </c>
      <c r="DV60">
        <v>-0.70666666666666678</v>
      </c>
      <c r="DW60">
        <v>-8.1557223264540344</v>
      </c>
      <c r="DX60">
        <v>0.40845890410958802</v>
      </c>
      <c r="DY60">
        <v>-8.0153322496080595</v>
      </c>
      <c r="DZ60">
        <v>3007</v>
      </c>
      <c r="EA60">
        <v>-8.0063099258171722</v>
      </c>
      <c r="EB60">
        <v>8</v>
      </c>
      <c r="EC60">
        <v>7.8087505265813928E-2</v>
      </c>
      <c r="ED60">
        <v>0.79309744478670163</v>
      </c>
      <c r="EE60" s="11">
        <v>0.11570999999999999</v>
      </c>
      <c r="EF60">
        <v>0.12571000000000002</v>
      </c>
      <c r="EG60">
        <v>31.098458904109588</v>
      </c>
      <c r="EH60">
        <v>-1</v>
      </c>
      <c r="EI60">
        <v>0</v>
      </c>
      <c r="EJ60">
        <v>0</v>
      </c>
      <c r="EK60" s="13">
        <v>45470</v>
      </c>
      <c r="EL60" s="14">
        <v>-0.5</v>
      </c>
      <c r="EM60" s="14">
        <v>-2</v>
      </c>
      <c r="EN60" s="14">
        <v>1.53</v>
      </c>
      <c r="EO60" s="14">
        <v>0.34</v>
      </c>
      <c r="EP60" s="14">
        <v>-1</v>
      </c>
    </row>
    <row r="61" spans="1:146" ht="120" x14ac:dyDescent="0.25">
      <c r="A61" s="7"/>
      <c r="B61" s="7"/>
      <c r="C61" s="7" t="str">
        <f>"公司主营业务为电力供应业务、配电网节能业务。主要产品是电力销售、电力工程安装、节能服务。"&amp;CHAR(10)&amp;Basic_Fundamental_Information_Constructure(F61)&amp;CHAR(10)&amp;Basic_Fundamental_Information_Concatenate("电网业务 9.05亿 50.94% 33.02% 18.42%
节能业务 8.72亿 49.06% 66.98% 38.79%")</f>
        <v>公司主营业务为电力供应业务、配电网节能业务。主要产品是电力销售、电力工程安装、节能服务。
市值134.88641亿, 利润2837.34万; PE26.08; 平均PE35.29; 平均PEG3.36, PB2.64; ROIC12.2%; ROE14%; 股利率.1134%; 毛利21.9867%; 净利16.1833%; 上一年度营收增-92.62%, 利润增-95.37%; 当季营收增1063.91%, 利润增22747.86%; 过往5年营收增-10.51%, 利润增-6.59%
Income profile:
电网业务 9.05亿 50.94% 33.02% 18.42%
节能业务 8.72亿 49.06% 66.98% 38.79%</v>
      </c>
      <c r="D61" t="s">
        <v>215</v>
      </c>
      <c r="E61" t="s">
        <v>37</v>
      </c>
      <c r="F61">
        <v>12.29</v>
      </c>
      <c r="G61">
        <v>1.1499999999999999</v>
      </c>
      <c r="H61" t="s">
        <v>3088</v>
      </c>
      <c r="I61">
        <v>13488641000</v>
      </c>
      <c r="J61">
        <v>26.08</v>
      </c>
      <c r="K61">
        <v>2.64</v>
      </c>
      <c r="L61" t="s">
        <v>67</v>
      </c>
      <c r="M61" t="s">
        <v>1906</v>
      </c>
      <c r="N61" t="s">
        <v>2092</v>
      </c>
      <c r="O61" t="s">
        <v>1211</v>
      </c>
      <c r="P61">
        <v>-10.59</v>
      </c>
      <c r="Q61" t="s">
        <v>301</v>
      </c>
      <c r="R61">
        <v>107339258</v>
      </c>
      <c r="S61" s="5">
        <v>-7.0800000000000002E-2</v>
      </c>
      <c r="T61" t="s">
        <v>3089</v>
      </c>
      <c r="U61">
        <v>1097529750</v>
      </c>
      <c r="V61">
        <v>1097529750</v>
      </c>
      <c r="W61">
        <v>1.34</v>
      </c>
      <c r="X61">
        <v>0.11</v>
      </c>
      <c r="Y61">
        <v>14.53</v>
      </c>
      <c r="Z61" t="s">
        <v>331</v>
      </c>
      <c r="AA61" t="s">
        <v>3090</v>
      </c>
      <c r="AB61" t="s">
        <v>3091</v>
      </c>
      <c r="AC61" t="s">
        <v>3092</v>
      </c>
      <c r="AD61" t="s">
        <v>70</v>
      </c>
      <c r="AE61">
        <v>-9471844</v>
      </c>
      <c r="AF61" t="s">
        <v>1910</v>
      </c>
      <c r="AG61" t="s">
        <v>3093</v>
      </c>
      <c r="AH61" t="s">
        <v>1911</v>
      </c>
      <c r="AI61" t="s">
        <v>3094</v>
      </c>
      <c r="AJ61" t="s">
        <v>1912</v>
      </c>
      <c r="AK61" t="s">
        <v>70</v>
      </c>
      <c r="AL61" t="s">
        <v>1913</v>
      </c>
      <c r="AM61" t="s">
        <v>70</v>
      </c>
      <c r="AN61" t="s">
        <v>3095</v>
      </c>
      <c r="AO61" t="s">
        <v>70</v>
      </c>
      <c r="AP61" t="s">
        <v>70</v>
      </c>
      <c r="AQ61" t="s">
        <v>1359</v>
      </c>
      <c r="AR61" t="s">
        <v>70</v>
      </c>
      <c r="AS61" t="s">
        <v>3096</v>
      </c>
      <c r="AT61" t="s">
        <v>70</v>
      </c>
      <c r="AU61" t="s">
        <v>1077</v>
      </c>
      <c r="AV61" t="s">
        <v>3097</v>
      </c>
      <c r="AW61" t="s">
        <v>3098</v>
      </c>
      <c r="AX61" t="s">
        <v>1139</v>
      </c>
      <c r="AY61" t="s">
        <v>771</v>
      </c>
      <c r="AZ61" t="s">
        <v>491</v>
      </c>
      <c r="BA61" t="s">
        <v>216</v>
      </c>
      <c r="BB61" t="s">
        <v>492</v>
      </c>
      <c r="BC61" t="s">
        <v>1038</v>
      </c>
      <c r="BD61" t="s">
        <v>1140</v>
      </c>
      <c r="BE61" t="s">
        <v>104</v>
      </c>
      <c r="BF61" t="s">
        <v>217</v>
      </c>
      <c r="BG61" t="s">
        <v>1011</v>
      </c>
      <c r="BH61" t="s">
        <v>1907</v>
      </c>
      <c r="BI61" t="s">
        <v>3099</v>
      </c>
      <c r="BJ61" t="s">
        <v>1139</v>
      </c>
      <c r="BK61" t="s">
        <v>1908</v>
      </c>
      <c r="BL61" t="s">
        <v>3100</v>
      </c>
      <c r="BM61" t="s">
        <v>1038</v>
      </c>
      <c r="BN61">
        <v>8.7899999999999991</v>
      </c>
      <c r="BO61">
        <v>13.07</v>
      </c>
      <c r="BP61">
        <v>14.74</v>
      </c>
      <c r="BQ61">
        <v>9.33</v>
      </c>
      <c r="BR61">
        <v>14.07</v>
      </c>
      <c r="BS61">
        <v>18.600000000000001</v>
      </c>
      <c r="BT61" t="s">
        <v>1915</v>
      </c>
      <c r="BU61" t="s">
        <v>885</v>
      </c>
      <c r="BV61">
        <v>21</v>
      </c>
      <c r="BW61">
        <v>22.28</v>
      </c>
      <c r="BX61">
        <v>22.68</v>
      </c>
      <c r="BY61">
        <v>15.26</v>
      </c>
      <c r="BZ61">
        <v>17.21</v>
      </c>
      <c r="CA61">
        <v>16.079999999999998</v>
      </c>
      <c r="CB61">
        <v>-3</v>
      </c>
      <c r="CC61">
        <v>-15.59</v>
      </c>
      <c r="CD61" t="s">
        <v>3101</v>
      </c>
      <c r="CE61" t="s">
        <v>888</v>
      </c>
      <c r="CF61" s="8">
        <v>10.639059992345624</v>
      </c>
      <c r="CG61" s="9">
        <v>227.47862494678589</v>
      </c>
      <c r="CH61" s="8">
        <v>-0.92616504430770874</v>
      </c>
      <c r="CI61" s="8">
        <v>0.13223141431808472</v>
      </c>
      <c r="CJ61" s="8">
        <v>0.18538045883178711</v>
      </c>
      <c r="CK61" s="8">
        <v>1.2204423546791077E-2</v>
      </c>
      <c r="CL61" s="8">
        <v>7.1078486740589142E-2</v>
      </c>
      <c r="CM61" s="9">
        <v>-0.95371389389038086</v>
      </c>
      <c r="CN61" s="9">
        <v>0.21146245300769806</v>
      </c>
      <c r="CO61" s="9">
        <v>0.26184538006782532</v>
      </c>
      <c r="CP61" s="9">
        <v>1.0075566358864307E-2</v>
      </c>
      <c r="CQ61" s="9">
        <v>0.14080460369586945</v>
      </c>
      <c r="CR61">
        <v>35.289432588692272</v>
      </c>
      <c r="CS61">
        <v>3.3591690999421941</v>
      </c>
      <c r="CT61">
        <v>0.11344432621893973</v>
      </c>
      <c r="CU61" s="8">
        <v>-0.10505405217409133</v>
      </c>
      <c r="CV61" s="9">
        <v>-6.5905178152024749E-2</v>
      </c>
      <c r="CW61">
        <v>0.06</v>
      </c>
      <c r="CX61">
        <v>354.47429634798789</v>
      </c>
      <c r="CY61" t="s">
        <v>3102</v>
      </c>
      <c r="CZ61">
        <v>-0.10505405217409133</v>
      </c>
      <c r="DA61">
        <v>118.15809878266263</v>
      </c>
      <c r="DB61" t="s">
        <v>3103</v>
      </c>
      <c r="DC61">
        <v>-9.9801349565386763E-2</v>
      </c>
      <c r="DD61">
        <v>59.079049391331317</v>
      </c>
      <c r="DE61" t="s">
        <v>3104</v>
      </c>
      <c r="DF61">
        <v>-9.2447565913200372E-2</v>
      </c>
      <c r="DG61">
        <v>35.447429634798787</v>
      </c>
      <c r="DH61" t="s">
        <v>3105</v>
      </c>
      <c r="DI61">
        <v>-8.4043241739273078E-2</v>
      </c>
      <c r="DJ61">
        <v>17.723714817399394</v>
      </c>
      <c r="DK61" t="s">
        <v>3106</v>
      </c>
      <c r="DL61">
        <v>-7.3537836521863922E-2</v>
      </c>
      <c r="DM61">
        <v>28373400</v>
      </c>
      <c r="DN61">
        <v>-0.10505405217409133</v>
      </c>
      <c r="DO61">
        <v>10057641000</v>
      </c>
      <c r="DP61">
        <v>1784385900</v>
      </c>
      <c r="DQ61">
        <v>3187</v>
      </c>
      <c r="DR61">
        <v>10.744114044519716</v>
      </c>
      <c r="DS61">
        <v>227.54453012493792</v>
      </c>
      <c r="DT61" s="10">
        <v>-0.64</v>
      </c>
      <c r="DU61">
        <v>-4.9999999999999968E-2</v>
      </c>
      <c r="DV61">
        <v>-0.69</v>
      </c>
      <c r="DW61">
        <v>-8.1924310455420137</v>
      </c>
      <c r="DX61">
        <v>0.3294681222707439</v>
      </c>
      <c r="DY61">
        <v>-8.0249136861329209</v>
      </c>
      <c r="DZ61">
        <v>3715</v>
      </c>
      <c r="EA61">
        <v>-8.0068012900499852</v>
      </c>
      <c r="EB61">
        <v>8</v>
      </c>
      <c r="EC61">
        <v>2.7013572980595743E-2</v>
      </c>
      <c r="ED61">
        <v>0.20865038054777102</v>
      </c>
      <c r="EE61" s="11">
        <v>1.1128</v>
      </c>
      <c r="EF61">
        <v>1.0876999999999999</v>
      </c>
      <c r="EG61">
        <v>20.129468122270744</v>
      </c>
      <c r="EH61" t="s">
        <v>813</v>
      </c>
      <c r="EI61">
        <v>0</v>
      </c>
      <c r="EJ61">
        <v>0</v>
      </c>
      <c r="EK61" s="13">
        <v>45470</v>
      </c>
      <c r="EL61" s="14">
        <v>2.5</v>
      </c>
      <c r="EM61" s="14">
        <v>-4.8</v>
      </c>
      <c r="EN61" s="14">
        <v>0.53</v>
      </c>
      <c r="EO61" s="14">
        <v>5.28</v>
      </c>
      <c r="EP61" s="14">
        <v>-2.5099999999999998</v>
      </c>
    </row>
    <row r="62" spans="1:146" ht="96" x14ac:dyDescent="0.25">
      <c r="A62" s="7"/>
      <c r="B62" s="7"/>
      <c r="C62" s="7" t="str">
        <f>""&amp;CHAR(10)&amp;Basic_Fundamental_Information_Constructure(F62)&amp;CHAR(10)&amp;Basic_Fundamental_Information_Concatenate("")</f>
        <v xml:space="preserve">
市值313.30472亿, 利润15.65亿; PE11.97; 平均PE20.2; 平均PEG3.66, PB1.39; ROIC6.66%; ROE8.9833%; 股利率2.5535%; 毛利21.6333%; 净利19.1067%; 上一年度营收增-19.84%, 利润增-39.69%; 当季营收增-31.38%, 利润增-30.19%; 过往5年营收增5.51%, 利润增16.16%
Income profile:
</v>
      </c>
      <c r="D62" t="s">
        <v>219</v>
      </c>
      <c r="E62" t="s">
        <v>36</v>
      </c>
      <c r="F62">
        <v>12.14</v>
      </c>
      <c r="G62">
        <v>3.14</v>
      </c>
      <c r="H62" t="s">
        <v>3107</v>
      </c>
      <c r="I62">
        <v>31330472000</v>
      </c>
      <c r="J62">
        <v>11.97</v>
      </c>
      <c r="K62">
        <v>1.39</v>
      </c>
      <c r="L62" t="s">
        <v>67</v>
      </c>
      <c r="M62" t="s">
        <v>1916</v>
      </c>
      <c r="N62" t="s">
        <v>3108</v>
      </c>
      <c r="O62" t="s">
        <v>1917</v>
      </c>
      <c r="P62">
        <v>0.52</v>
      </c>
      <c r="Q62" t="s">
        <v>3109</v>
      </c>
      <c r="R62">
        <v>526374300</v>
      </c>
      <c r="S62" s="5">
        <v>-1.14E-2</v>
      </c>
      <c r="T62" t="s">
        <v>3110</v>
      </c>
      <c r="U62">
        <v>2580763800</v>
      </c>
      <c r="V62">
        <v>2580763800</v>
      </c>
      <c r="W62">
        <v>1.78</v>
      </c>
      <c r="X62">
        <v>0.06</v>
      </c>
      <c r="Y62">
        <v>21.54</v>
      </c>
      <c r="Z62" t="s">
        <v>3111</v>
      </c>
      <c r="AA62" t="s">
        <v>2053</v>
      </c>
      <c r="AB62" t="s">
        <v>3112</v>
      </c>
      <c r="AC62" t="s">
        <v>3113</v>
      </c>
      <c r="AD62" t="s">
        <v>70</v>
      </c>
      <c r="AE62">
        <v>130531760</v>
      </c>
      <c r="AF62" t="s">
        <v>1920</v>
      </c>
      <c r="AG62" t="s">
        <v>3114</v>
      </c>
      <c r="AH62" t="s">
        <v>1921</v>
      </c>
      <c r="AI62" t="s">
        <v>3115</v>
      </c>
      <c r="AJ62" t="s">
        <v>1922</v>
      </c>
      <c r="AK62" t="s">
        <v>3116</v>
      </c>
      <c r="AL62" t="s">
        <v>1923</v>
      </c>
      <c r="AM62" t="s">
        <v>70</v>
      </c>
      <c r="AN62" t="s">
        <v>3117</v>
      </c>
      <c r="AO62" t="s">
        <v>3118</v>
      </c>
      <c r="AP62" t="s">
        <v>70</v>
      </c>
      <c r="AQ62" t="s">
        <v>3119</v>
      </c>
      <c r="AR62" t="s">
        <v>70</v>
      </c>
      <c r="AS62" t="s">
        <v>3120</v>
      </c>
      <c r="AT62" t="s">
        <v>3121</v>
      </c>
      <c r="AU62" t="s">
        <v>1542</v>
      </c>
      <c r="AV62" t="s">
        <v>3122</v>
      </c>
      <c r="AW62" t="s">
        <v>2215</v>
      </c>
      <c r="AX62" t="s">
        <v>1141</v>
      </c>
      <c r="AY62" t="s">
        <v>1142</v>
      </c>
      <c r="AZ62" t="s">
        <v>493</v>
      </c>
      <c r="BA62" t="s">
        <v>220</v>
      </c>
      <c r="BB62" t="s">
        <v>495</v>
      </c>
      <c r="BC62" t="s">
        <v>1924</v>
      </c>
      <c r="BD62" t="s">
        <v>579</v>
      </c>
      <c r="BE62" t="s">
        <v>494</v>
      </c>
      <c r="BF62" t="s">
        <v>221</v>
      </c>
      <c r="BG62" t="s">
        <v>296</v>
      </c>
      <c r="BH62" t="s">
        <v>1918</v>
      </c>
      <c r="BI62" t="s">
        <v>2474</v>
      </c>
      <c r="BJ62" t="s">
        <v>1141</v>
      </c>
      <c r="BK62" t="s">
        <v>1919</v>
      </c>
      <c r="BL62" t="s">
        <v>3123</v>
      </c>
      <c r="BM62" t="s">
        <v>1924</v>
      </c>
      <c r="BN62">
        <v>5.2</v>
      </c>
      <c r="BO62">
        <v>9.15</v>
      </c>
      <c r="BP62">
        <v>5.63</v>
      </c>
      <c r="BQ62">
        <v>7.93</v>
      </c>
      <c r="BR62">
        <v>11.38</v>
      </c>
      <c r="BS62">
        <v>7.64</v>
      </c>
      <c r="BT62" t="s">
        <v>1925</v>
      </c>
      <c r="BU62" t="s">
        <v>885</v>
      </c>
      <c r="BV62">
        <v>23.84</v>
      </c>
      <c r="BW62">
        <v>23.93</v>
      </c>
      <c r="BX62">
        <v>17.13</v>
      </c>
      <c r="BY62">
        <v>21.76</v>
      </c>
      <c r="BZ62">
        <v>22.93</v>
      </c>
      <c r="CA62">
        <v>12.63</v>
      </c>
      <c r="CB62">
        <v>4.12</v>
      </c>
      <c r="CC62">
        <v>16.28</v>
      </c>
      <c r="CD62" t="s">
        <v>3124</v>
      </c>
      <c r="CE62" t="s">
        <v>3125</v>
      </c>
      <c r="CF62" s="8">
        <v>-0.31377777777777777</v>
      </c>
      <c r="CG62" s="9">
        <v>-0.30189084880636607</v>
      </c>
      <c r="CH62" s="8">
        <v>-0.19835175573825836</v>
      </c>
      <c r="CI62" s="8">
        <v>0.17785453796386719</v>
      </c>
      <c r="CJ62" s="8">
        <v>0.27194726467132568</v>
      </c>
      <c r="CK62" s="8">
        <v>-3.9014555513858795E-2</v>
      </c>
      <c r="CL62" s="8">
        <v>6.3181474804878235E-2</v>
      </c>
      <c r="CM62" s="9">
        <v>-0.3969171941280365</v>
      </c>
      <c r="CN62" s="9">
        <v>0.90949225425720215</v>
      </c>
      <c r="CO62" s="9">
        <v>-9.096989780664444E-2</v>
      </c>
      <c r="CP62" s="9">
        <v>0.20176854729652405</v>
      </c>
      <c r="CQ62" s="9">
        <v>0.18476191163063049</v>
      </c>
      <c r="CR62">
        <v>20.195834980661797</v>
      </c>
      <c r="CS62">
        <v>3.6637503234995825</v>
      </c>
      <c r="CT62">
        <v>2.5535420098846786</v>
      </c>
      <c r="CU62" s="8">
        <v>5.5123393237590787E-2</v>
      </c>
      <c r="CV62" s="9">
        <v>0.16162712424993514</v>
      </c>
      <c r="CW62">
        <v>0.06</v>
      </c>
      <c r="CX62">
        <v>16.228315771952719</v>
      </c>
      <c r="CY62">
        <v>1557800104.1668203</v>
      </c>
      <c r="CZ62">
        <v>5.5123393237590787E-2</v>
      </c>
      <c r="DA62">
        <v>5.4628481031515719</v>
      </c>
      <c r="DB62">
        <v>4627709122.1730003</v>
      </c>
      <c r="DC62">
        <v>5.2367223575711247E-2</v>
      </c>
      <c r="DD62">
        <v>2.7964876010065196</v>
      </c>
      <c r="DE62">
        <v>9040080131.555378</v>
      </c>
      <c r="DF62">
        <v>4.8508586049079892E-2</v>
      </c>
      <c r="DG62">
        <v>1.7537404181702192</v>
      </c>
      <c r="DH62">
        <v>14415173270.840509</v>
      </c>
      <c r="DI62">
        <v>4.4098714590072634E-2</v>
      </c>
      <c r="DJ62">
        <v>0.99380660025555045</v>
      </c>
      <c r="DK62">
        <v>25438019825.486469</v>
      </c>
      <c r="DL62">
        <v>3.8586375266313547E-2</v>
      </c>
      <c r="DM62">
        <v>1565000000</v>
      </c>
      <c r="DN62">
        <v>5.5123393237590787E-2</v>
      </c>
      <c r="DO62">
        <v>25280472000</v>
      </c>
      <c r="DP62">
        <v>5042828900</v>
      </c>
      <c r="DQ62">
        <v>3208</v>
      </c>
      <c r="DR62">
        <v>-0.36890117101536857</v>
      </c>
      <c r="DS62">
        <v>-0.46351797305630121</v>
      </c>
      <c r="DT62" s="10">
        <v>-0.32333333333333331</v>
      </c>
      <c r="DU62">
        <v>0.12999999999999992</v>
      </c>
      <c r="DV62">
        <v>-0.19333333333333338</v>
      </c>
      <c r="DW62">
        <v>8.2530712530712531</v>
      </c>
      <c r="DX62">
        <v>0.49419429411764837</v>
      </c>
      <c r="DY62">
        <v>8.033960718167366</v>
      </c>
      <c r="DZ62">
        <v>1802</v>
      </c>
      <c r="EA62">
        <v>8.021984746711869</v>
      </c>
      <c r="EB62">
        <v>8</v>
      </c>
      <c r="EC62">
        <v>2.8286858332405313E-2</v>
      </c>
      <c r="ED62">
        <v>0.21079030944249916</v>
      </c>
      <c r="EE62" s="11">
        <v>1.1074999999999999</v>
      </c>
      <c r="EF62">
        <v>1.1074999999999999</v>
      </c>
      <c r="EG62">
        <v>36.134194294117648</v>
      </c>
      <c r="EH62" t="s">
        <v>813</v>
      </c>
      <c r="EI62">
        <v>0</v>
      </c>
      <c r="EJ62">
        <v>0</v>
      </c>
      <c r="EK62" s="13">
        <v>45470</v>
      </c>
      <c r="EL62" s="14">
        <v>0.8</v>
      </c>
      <c r="EM62" s="14">
        <v>-1.27</v>
      </c>
      <c r="EN62" s="14">
        <v>-1.67</v>
      </c>
      <c r="EO62" s="14">
        <v>2.52</v>
      </c>
      <c r="EP62" s="14">
        <v>0</v>
      </c>
    </row>
    <row r="63" spans="1:146" ht="96" x14ac:dyDescent="0.25">
      <c r="A63" s="7"/>
      <c r="B63" s="7"/>
      <c r="C63" s="7" t="str">
        <f>""&amp;CHAR(10)&amp;Basic_Fundamental_Information_Constructure(F63)&amp;CHAR(10)&amp;Basic_Fundamental_Information_Concatenate("")</f>
        <v xml:space="preserve">
市值39.300377亿, 利润-4898.45万; PE; 平均PE136.32; 平均PEG6.35, PB3.28; ROIC1.9%; ROE1.5133%; 股利率.1113%; 毛利18.4233%; 净利.9867%; 上一年度营收增74.51%, 利润增-208.37%; 当季营收增-47.22%, 利润增-5351.23%; 过往5年营收增21.47%, 利润增-45.32%
Income profile:
</v>
      </c>
      <c r="D63" t="s">
        <v>224</v>
      </c>
      <c r="E63" t="s">
        <v>8</v>
      </c>
      <c r="F63">
        <v>10.78</v>
      </c>
      <c r="G63">
        <v>1.1299999999999999</v>
      </c>
      <c r="H63" t="s">
        <v>3126</v>
      </c>
      <c r="I63">
        <v>3930037700</v>
      </c>
      <c r="K63">
        <v>3.28</v>
      </c>
      <c r="L63" t="s">
        <v>67</v>
      </c>
      <c r="M63" t="s">
        <v>1926</v>
      </c>
      <c r="N63" t="s">
        <v>2192</v>
      </c>
      <c r="O63" t="s">
        <v>1927</v>
      </c>
      <c r="P63">
        <v>10.47</v>
      </c>
      <c r="Q63" t="s">
        <v>3127</v>
      </c>
      <c r="R63">
        <v>-12230107</v>
      </c>
      <c r="S63" s="5">
        <v>0.64990000000000003</v>
      </c>
      <c r="T63" t="s">
        <v>3128</v>
      </c>
      <c r="U63">
        <v>364567500</v>
      </c>
      <c r="V63">
        <v>364567500</v>
      </c>
      <c r="W63">
        <v>3.27</v>
      </c>
      <c r="X63">
        <v>0.08</v>
      </c>
      <c r="Y63">
        <v>-4.4400000000000004</v>
      </c>
      <c r="Z63" t="s">
        <v>720</v>
      </c>
      <c r="AA63" t="s">
        <v>894</v>
      </c>
      <c r="AB63" t="s">
        <v>3129</v>
      </c>
      <c r="AC63" t="s">
        <v>3130</v>
      </c>
      <c r="AD63" t="s">
        <v>70</v>
      </c>
      <c r="AE63">
        <v>24208658</v>
      </c>
      <c r="AF63" t="s">
        <v>105</v>
      </c>
      <c r="AG63" t="s">
        <v>3131</v>
      </c>
      <c r="AH63" t="s">
        <v>1930</v>
      </c>
      <c r="AI63" t="s">
        <v>309</v>
      </c>
      <c r="AJ63" t="s">
        <v>1931</v>
      </c>
      <c r="AK63" t="s">
        <v>70</v>
      </c>
      <c r="AL63" t="s">
        <v>1932</v>
      </c>
      <c r="AM63" t="s">
        <v>70</v>
      </c>
      <c r="AN63" t="s">
        <v>3132</v>
      </c>
      <c r="AO63" t="s">
        <v>3133</v>
      </c>
      <c r="AP63" t="s">
        <v>70</v>
      </c>
      <c r="AQ63" t="s">
        <v>612</v>
      </c>
      <c r="AR63" t="s">
        <v>3134</v>
      </c>
      <c r="AS63" t="s">
        <v>3135</v>
      </c>
      <c r="AT63" t="s">
        <v>3136</v>
      </c>
      <c r="AU63" t="s">
        <v>3137</v>
      </c>
      <c r="AV63" t="s">
        <v>3138</v>
      </c>
      <c r="AW63" t="s">
        <v>3139</v>
      </c>
      <c r="AX63" t="s">
        <v>1143</v>
      </c>
      <c r="AY63" t="s">
        <v>773</v>
      </c>
      <c r="AZ63" t="s">
        <v>180</v>
      </c>
      <c r="BA63" t="s">
        <v>225</v>
      </c>
      <c r="BB63" t="s">
        <v>497</v>
      </c>
      <c r="BC63" t="s">
        <v>1933</v>
      </c>
      <c r="BD63" t="s">
        <v>774</v>
      </c>
      <c r="BE63" t="s">
        <v>496</v>
      </c>
      <c r="BF63" t="s">
        <v>226</v>
      </c>
      <c r="BG63" t="s">
        <v>498</v>
      </c>
      <c r="BH63" t="s">
        <v>1928</v>
      </c>
      <c r="BI63" t="s">
        <v>1216</v>
      </c>
      <c r="BJ63" t="s">
        <v>1143</v>
      </c>
      <c r="BK63" t="s">
        <v>1929</v>
      </c>
      <c r="BL63" t="s">
        <v>3140</v>
      </c>
      <c r="BM63" t="s">
        <v>1933</v>
      </c>
      <c r="BN63" t="s">
        <v>70</v>
      </c>
      <c r="BO63">
        <v>2.0499999999999998</v>
      </c>
      <c r="BP63">
        <v>1.75</v>
      </c>
      <c r="BQ63">
        <v>-2.6</v>
      </c>
      <c r="BR63">
        <v>3.63</v>
      </c>
      <c r="BS63">
        <v>3.51</v>
      </c>
      <c r="BT63" t="s">
        <v>1934</v>
      </c>
      <c r="BU63" t="s">
        <v>885</v>
      </c>
      <c r="BV63">
        <v>13.83</v>
      </c>
      <c r="BW63">
        <v>20.84</v>
      </c>
      <c r="BX63">
        <v>20.6</v>
      </c>
      <c r="BY63">
        <v>-4.8499999999999996</v>
      </c>
      <c r="BZ63">
        <v>3.55</v>
      </c>
      <c r="CA63">
        <v>4.26</v>
      </c>
      <c r="CB63">
        <v>-5.36</v>
      </c>
      <c r="CC63">
        <v>-5.44</v>
      </c>
      <c r="CD63" t="s">
        <v>134</v>
      </c>
      <c r="CE63" t="s">
        <v>3141</v>
      </c>
      <c r="CF63" s="8">
        <v>-0.47222222222222221</v>
      </c>
      <c r="CG63" s="9">
        <v>-53.512267067410903</v>
      </c>
      <c r="CH63" s="8">
        <v>0.7451285719871521</v>
      </c>
      <c r="CI63" s="8">
        <v>0.18686413764953613</v>
      </c>
      <c r="CJ63" s="8">
        <v>0.12370055913925171</v>
      </c>
      <c r="CK63" s="8">
        <v>1.4767932705581188E-2</v>
      </c>
      <c r="CL63" s="8">
        <v>3.1746032182127237E-3</v>
      </c>
      <c r="CM63" s="9">
        <v>-2.0837302207946777</v>
      </c>
      <c r="CN63" s="9">
        <v>6.2814347445964813E-2</v>
      </c>
      <c r="CO63" s="9">
        <v>0.24549360573291779</v>
      </c>
      <c r="CP63" s="9">
        <v>-7.8467831015586853E-2</v>
      </c>
      <c r="CQ63" s="9">
        <v>-0.41210740804672241</v>
      </c>
      <c r="CR63">
        <v>136.32497411411296</v>
      </c>
      <c r="CS63">
        <v>6.3487531580711059</v>
      </c>
      <c r="CT63">
        <v>0.11131725417439703</v>
      </c>
      <c r="CU63" s="8">
        <v>0.21472716093994676</v>
      </c>
      <c r="CV63" s="9">
        <v>-0.45319950133562087</v>
      </c>
      <c r="CW63">
        <v>0.06</v>
      </c>
      <c r="CX63" t="e">
        <v>#VALUE!</v>
      </c>
      <c r="CY63" t="s">
        <v>809</v>
      </c>
      <c r="CZ63">
        <v>0.21472716093994676</v>
      </c>
      <c r="DA63" t="e">
        <v>#VALUE!</v>
      </c>
      <c r="DB63" t="s">
        <v>810</v>
      </c>
      <c r="DC63">
        <v>0.20399080289294941</v>
      </c>
      <c r="DD63" t="e">
        <v>#VALUE!</v>
      </c>
      <c r="DE63" t="s">
        <v>810</v>
      </c>
      <c r="DF63">
        <v>0.18895990162715315</v>
      </c>
      <c r="DG63" t="e">
        <v>#VALUE!</v>
      </c>
      <c r="DH63" t="s">
        <v>810</v>
      </c>
      <c r="DI63">
        <v>0.17178172875195741</v>
      </c>
      <c r="DJ63" t="e">
        <v>#VALUE!</v>
      </c>
      <c r="DK63" t="s">
        <v>810</v>
      </c>
      <c r="DL63">
        <v>0.15030901265796273</v>
      </c>
      <c r="DM63">
        <v>-48984500</v>
      </c>
      <c r="DN63">
        <v>0.21472716093994676</v>
      </c>
      <c r="DO63">
        <v>5576037700</v>
      </c>
      <c r="DP63">
        <v>-343599030.00000012</v>
      </c>
      <c r="DQ63">
        <v>3225</v>
      </c>
      <c r="DR63">
        <v>-0.68694938316216891</v>
      </c>
      <c r="DS63">
        <v>-53.059067566075285</v>
      </c>
      <c r="DT63" s="10">
        <v>4.33333333333333E-2</v>
      </c>
      <c r="DU63">
        <v>-1.615</v>
      </c>
      <c r="DV63">
        <v>-1.5716666666666668</v>
      </c>
      <c r="DW63">
        <v>-8.985294117647058</v>
      </c>
      <c r="DX63">
        <v>0.25028472101965249</v>
      </c>
      <c r="DY63">
        <v>-8.1283687692399518</v>
      </c>
      <c r="DZ63">
        <v>1907</v>
      </c>
      <c r="EA63">
        <v>-8.080462850856275</v>
      </c>
      <c r="EB63">
        <v>8</v>
      </c>
      <c r="EC63">
        <v>0.41418941622607608</v>
      </c>
      <c r="ED63">
        <v>3.179109492755114</v>
      </c>
      <c r="EE63" s="11">
        <v>1.66E-2</v>
      </c>
      <c r="EF63">
        <v>9.9999999999999395E-5</v>
      </c>
      <c r="EG63">
        <v>12.130284721019652</v>
      </c>
      <c r="EH63" t="s">
        <v>811</v>
      </c>
      <c r="EI63">
        <v>0</v>
      </c>
      <c r="EJ63">
        <v>0</v>
      </c>
      <c r="EK63" s="13">
        <v>45470</v>
      </c>
      <c r="EL63" s="14">
        <v>0</v>
      </c>
      <c r="EM63" s="14">
        <v>-4.92</v>
      </c>
      <c r="EN63" s="14">
        <v>2.87</v>
      </c>
      <c r="EO63" s="14">
        <v>1.68</v>
      </c>
      <c r="EP63" s="14">
        <v>-1.65</v>
      </c>
    </row>
    <row r="64" spans="1:146" ht="96" x14ac:dyDescent="0.25">
      <c r="A64" s="7"/>
      <c r="B64" s="7"/>
      <c r="C64" s="7" t="str">
        <f>""&amp;CHAR(10)&amp;Basic_Fundamental_Information_Constructure(F64)&amp;CHAR(10)&amp;Basic_Fundamental_Information_Concatenate("")</f>
        <v xml:space="preserve">
市值71.571792亿, 利润3.64亿; PE15.89; 平均PE-254.47; 平均PEG-26.18, PB.945; ROIC4.36%; ROE.9133%; 股利率3.0443%; 毛利12.9533%; 净利.1133%; 上一年度营收增-9.8%, 利润增282.91%; 当季营收增26.44%, 利润增38.77%; 过往5年营收增9.72%, 利润增-204.39%
Income profile:
</v>
      </c>
      <c r="D64" t="s">
        <v>227</v>
      </c>
      <c r="E64" t="s">
        <v>3142</v>
      </c>
      <c r="F64">
        <v>5.19</v>
      </c>
      <c r="G64">
        <v>0</v>
      </c>
      <c r="H64" t="s">
        <v>3143</v>
      </c>
      <c r="I64">
        <v>7157179200</v>
      </c>
      <c r="J64">
        <v>15.89</v>
      </c>
      <c r="K64">
        <v>0.94499999999999995</v>
      </c>
      <c r="L64" t="s">
        <v>67</v>
      </c>
      <c r="M64" t="s">
        <v>1936</v>
      </c>
      <c r="N64" t="s">
        <v>3144</v>
      </c>
      <c r="O64" t="s">
        <v>1937</v>
      </c>
      <c r="P64">
        <v>4.26</v>
      </c>
      <c r="Q64" t="s">
        <v>1981</v>
      </c>
      <c r="R64">
        <v>147094050</v>
      </c>
      <c r="S64" s="5">
        <v>0.15279999999999999</v>
      </c>
      <c r="T64" t="s">
        <v>3145</v>
      </c>
      <c r="U64">
        <v>1379032600</v>
      </c>
      <c r="V64">
        <v>1379032600</v>
      </c>
      <c r="W64">
        <v>3.02</v>
      </c>
      <c r="X64">
        <v>0.1</v>
      </c>
      <c r="Y64">
        <v>6.44</v>
      </c>
      <c r="Z64" t="s">
        <v>3146</v>
      </c>
      <c r="AA64" t="s">
        <v>3147</v>
      </c>
      <c r="AB64" t="s">
        <v>3148</v>
      </c>
      <c r="AC64" t="s">
        <v>3149</v>
      </c>
      <c r="AD64" t="s">
        <v>70</v>
      </c>
      <c r="AE64">
        <v>100822250</v>
      </c>
      <c r="AF64" t="s">
        <v>1939</v>
      </c>
      <c r="AG64" t="s">
        <v>3150</v>
      </c>
      <c r="AH64" t="s">
        <v>1940</v>
      </c>
      <c r="AI64" t="s">
        <v>1754</v>
      </c>
      <c r="AJ64" t="s">
        <v>1942</v>
      </c>
      <c r="AK64" t="s">
        <v>1943</v>
      </c>
      <c r="AL64" t="s">
        <v>1944</v>
      </c>
      <c r="AM64" t="s">
        <v>70</v>
      </c>
      <c r="AN64" t="s">
        <v>1218</v>
      </c>
      <c r="AO64" t="s">
        <v>3151</v>
      </c>
      <c r="AP64" t="s">
        <v>79</v>
      </c>
      <c r="AQ64" t="s">
        <v>3152</v>
      </c>
      <c r="AR64" t="s">
        <v>3153</v>
      </c>
      <c r="AS64" t="s">
        <v>1685</v>
      </c>
      <c r="AT64" t="s">
        <v>3154</v>
      </c>
      <c r="AU64" t="s">
        <v>3155</v>
      </c>
      <c r="AV64" t="s">
        <v>3156</v>
      </c>
      <c r="AW64" t="s">
        <v>1599</v>
      </c>
      <c r="AX64" t="s">
        <v>1144</v>
      </c>
      <c r="AY64" t="s">
        <v>721</v>
      </c>
      <c r="AZ64" t="s">
        <v>499</v>
      </c>
      <c r="BA64" t="s">
        <v>357</v>
      </c>
      <c r="BB64" t="s">
        <v>501</v>
      </c>
      <c r="BC64" t="s">
        <v>1145</v>
      </c>
      <c r="BD64" t="s">
        <v>775</v>
      </c>
      <c r="BE64" t="s">
        <v>500</v>
      </c>
      <c r="BF64" t="s">
        <v>502</v>
      </c>
      <c r="BG64" t="s">
        <v>503</v>
      </c>
      <c r="BH64" t="s">
        <v>1938</v>
      </c>
      <c r="BI64" t="s">
        <v>3157</v>
      </c>
      <c r="BJ64" t="s">
        <v>1144</v>
      </c>
      <c r="BK64" t="s">
        <v>158</v>
      </c>
      <c r="BL64" t="s">
        <v>255</v>
      </c>
      <c r="BM64" t="s">
        <v>1145</v>
      </c>
      <c r="BN64">
        <v>4.3600000000000003</v>
      </c>
      <c r="BO64" t="s">
        <v>70</v>
      </c>
      <c r="BP64" t="s">
        <v>70</v>
      </c>
      <c r="BQ64">
        <v>6.92</v>
      </c>
      <c r="BR64">
        <v>-3.42</v>
      </c>
      <c r="BS64">
        <v>-0.76</v>
      </c>
      <c r="BT64" t="s">
        <v>1945</v>
      </c>
      <c r="BU64" t="s">
        <v>881</v>
      </c>
      <c r="BV64">
        <v>16.66</v>
      </c>
      <c r="BW64">
        <v>9.2100000000000009</v>
      </c>
      <c r="BX64">
        <v>12.99</v>
      </c>
      <c r="BY64">
        <v>5.05</v>
      </c>
      <c r="BZ64">
        <v>-3.39</v>
      </c>
      <c r="CA64">
        <v>-1.32</v>
      </c>
      <c r="CB64">
        <v>-3.03</v>
      </c>
      <c r="CC64">
        <v>-6.69</v>
      </c>
      <c r="CD64" t="s">
        <v>3158</v>
      </c>
      <c r="CE64" t="s">
        <v>3159</v>
      </c>
      <c r="CF64" s="8">
        <v>0.26441241685144123</v>
      </c>
      <c r="CG64" s="9">
        <v>0.38767971698113207</v>
      </c>
      <c r="CH64" s="8">
        <v>-9.7998298704624176E-2</v>
      </c>
      <c r="CI64" s="8">
        <v>0.15258318185806274</v>
      </c>
      <c r="CJ64" s="8">
        <v>0.44301468133926392</v>
      </c>
      <c r="CK64" s="8">
        <v>-2.7992889285087585E-2</v>
      </c>
      <c r="CL64" s="8">
        <v>1.6343811526894569E-2</v>
      </c>
      <c r="CM64" s="9">
        <v>2.8291456699371338</v>
      </c>
      <c r="CN64" s="9">
        <v>-3.4389224052429199</v>
      </c>
      <c r="CO64" s="9">
        <v>-1.9237672090530396</v>
      </c>
      <c r="CP64" s="9">
        <v>1.1254012584686279</v>
      </c>
      <c r="CQ64" s="9">
        <v>-8.8113174438476563</v>
      </c>
      <c r="CR64">
        <v>-254.46707779059702</v>
      </c>
      <c r="CS64">
        <v>-26.182407954827365</v>
      </c>
      <c r="CT64">
        <v>3.0443159922928706</v>
      </c>
      <c r="CU64" s="8">
        <v>9.7190097346901899E-2</v>
      </c>
      <c r="CV64" s="9">
        <v>-2.0438920259475708</v>
      </c>
      <c r="CW64">
        <v>0.06</v>
      </c>
      <c r="CX64">
        <v>41.009477103946104</v>
      </c>
      <c r="CY64">
        <v>376770939.08893615</v>
      </c>
      <c r="CZ64">
        <v>9.7190097346901899E-2</v>
      </c>
      <c r="DA64">
        <v>13.320234205172037</v>
      </c>
      <c r="DB64">
        <v>1159978042.5783017</v>
      </c>
      <c r="DC64">
        <v>9.23305924795568E-2</v>
      </c>
      <c r="DD64">
        <v>6.5039668810009665</v>
      </c>
      <c r="DE64">
        <v>2375654655.4895816</v>
      </c>
      <c r="DF64">
        <v>8.5527285665273678E-2</v>
      </c>
      <c r="DG64">
        <v>3.8698548500650003</v>
      </c>
      <c r="DH64">
        <v>3992702516.9278564</v>
      </c>
      <c r="DI64">
        <v>7.775207787752153E-2</v>
      </c>
      <c r="DJ64">
        <v>1.9588041976482171</v>
      </c>
      <c r="DK64">
        <v>7888067229.2570238</v>
      </c>
      <c r="DL64">
        <v>6.8033068142831318E-2</v>
      </c>
      <c r="DM64">
        <v>364000000</v>
      </c>
      <c r="DN64">
        <v>9.7190097346901899E-2</v>
      </c>
      <c r="DO64">
        <v>15451179200</v>
      </c>
      <c r="DP64">
        <v>-2362077899.999999</v>
      </c>
      <c r="DQ64">
        <v>3229</v>
      </c>
      <c r="DR64">
        <v>0.16722231950453934</v>
      </c>
      <c r="DS64">
        <v>2.4315717429287029</v>
      </c>
      <c r="DT64" s="10">
        <v>-0.15666666666666665</v>
      </c>
      <c r="DU64">
        <v>-1.0433333333333334</v>
      </c>
      <c r="DV64">
        <v>-1.2000000000000002</v>
      </c>
      <c r="DW64">
        <v>-8.4529147982062778</v>
      </c>
      <c r="DX64">
        <v>0.3627246376811597</v>
      </c>
      <c r="DY64">
        <v>-8.0465255085461749</v>
      </c>
      <c r="DZ64">
        <v>2785</v>
      </c>
      <c r="EA64">
        <v>-8.0211686511487006</v>
      </c>
      <c r="EB64">
        <v>8</v>
      </c>
      <c r="EC64">
        <v>4.6258514845841932E-2</v>
      </c>
      <c r="ED64">
        <v>0.45031567781646353</v>
      </c>
      <c r="EE64" s="11">
        <v>1.01851</v>
      </c>
      <c r="EF64">
        <v>1.0120100000000001</v>
      </c>
      <c r="EG64">
        <v>26.10272463768116</v>
      </c>
      <c r="EH64" t="s">
        <v>940</v>
      </c>
      <c r="EI64">
        <v>0</v>
      </c>
      <c r="EJ64">
        <v>0</v>
      </c>
      <c r="EK64" s="13">
        <v>45470</v>
      </c>
      <c r="EL64" s="14">
        <v>0.14000000000000001</v>
      </c>
      <c r="EM64" s="14">
        <v>-3.59</v>
      </c>
      <c r="EN64" s="14">
        <v>-0.15</v>
      </c>
      <c r="EO64" s="14">
        <v>0.57999999999999996</v>
      </c>
      <c r="EP64" s="14">
        <v>0.65</v>
      </c>
    </row>
    <row r="65" spans="1:146" ht="96" x14ac:dyDescent="0.25">
      <c r="C65" s="7" t="str">
        <f>""&amp;CHAR(10)&amp;Basic_Fundamental_Information_Constructure(F65)&amp;CHAR(10)&amp;Basic_Fundamental_Information_Concatenate("")</f>
        <v xml:space="preserve">
市值147.67792亿, 利润1.51亿; PE15.31; 平均PE33.6; 平均PEG25.31, PB1.31; ROIC4.3533%; ROE4.4367%; 股利率3.1579%; 毛利6.43%; 净利2.5467%; 上一年度营收增-97.16%, 利润增-45.88%; 当季营收增4559.24%, 利润增1003.38%; 过往5年营收增1.33%, 利润增-4.92%
Income profile:
</v>
      </c>
      <c r="D65" t="s">
        <v>1946</v>
      </c>
      <c r="E65" t="s">
        <v>1947</v>
      </c>
      <c r="F65">
        <v>3.8</v>
      </c>
      <c r="G65">
        <v>1.33</v>
      </c>
      <c r="H65" t="s">
        <v>3160</v>
      </c>
      <c r="I65">
        <v>14767792000</v>
      </c>
      <c r="J65">
        <v>15.31</v>
      </c>
      <c r="K65">
        <v>1.31</v>
      </c>
      <c r="L65" t="s">
        <v>67</v>
      </c>
      <c r="M65" t="s">
        <v>1948</v>
      </c>
      <c r="N65" t="s">
        <v>3161</v>
      </c>
      <c r="O65" t="s">
        <v>1949</v>
      </c>
      <c r="P65" s="5">
        <v>20.27</v>
      </c>
      <c r="Q65" t="s">
        <v>2178</v>
      </c>
      <c r="R65">
        <v>309900540</v>
      </c>
      <c r="S65">
        <v>0.67679999999999996</v>
      </c>
      <c r="T65" t="s">
        <v>134</v>
      </c>
      <c r="U65">
        <v>3886261100</v>
      </c>
      <c r="V65">
        <v>3886261100</v>
      </c>
      <c r="W65">
        <v>1.9</v>
      </c>
      <c r="X65">
        <v>0.31</v>
      </c>
      <c r="Y65">
        <v>4.63</v>
      </c>
      <c r="Z65" t="s">
        <v>3162</v>
      </c>
      <c r="AA65" t="s">
        <v>3163</v>
      </c>
      <c r="AB65" t="s">
        <v>3164</v>
      </c>
      <c r="AC65" t="s">
        <v>169</v>
      </c>
      <c r="AD65" t="s">
        <v>70</v>
      </c>
      <c r="AE65">
        <v>53059656</v>
      </c>
      <c r="AF65" t="s">
        <v>1952</v>
      </c>
      <c r="AG65" t="s">
        <v>3165</v>
      </c>
      <c r="AH65" t="s">
        <v>1953</v>
      </c>
      <c r="AI65" t="s">
        <v>3166</v>
      </c>
      <c r="AJ65" t="s">
        <v>1954</v>
      </c>
      <c r="AK65" t="s">
        <v>70</v>
      </c>
      <c r="AL65" t="s">
        <v>1955</v>
      </c>
      <c r="AM65" t="s">
        <v>70</v>
      </c>
      <c r="AN65" t="s">
        <v>1260</v>
      </c>
      <c r="AO65" t="s">
        <v>3167</v>
      </c>
      <c r="AP65" t="s">
        <v>3168</v>
      </c>
      <c r="AQ65" t="s">
        <v>3169</v>
      </c>
      <c r="AR65" t="s">
        <v>70</v>
      </c>
      <c r="AS65" t="s">
        <v>3170</v>
      </c>
      <c r="AT65" t="s">
        <v>3171</v>
      </c>
      <c r="AU65" t="s">
        <v>3172</v>
      </c>
      <c r="AV65" t="s">
        <v>3173</v>
      </c>
      <c r="AW65" t="s">
        <v>3174</v>
      </c>
      <c r="AX65" t="s">
        <v>1957</v>
      </c>
      <c r="AY65" t="s">
        <v>1958</v>
      </c>
      <c r="AZ65" t="s">
        <v>1959</v>
      </c>
      <c r="BA65" t="s">
        <v>1960</v>
      </c>
      <c r="BB65" t="s">
        <v>1961</v>
      </c>
      <c r="BC65" t="s">
        <v>2520</v>
      </c>
      <c r="BD65" t="s">
        <v>922</v>
      </c>
      <c r="BE65" t="s">
        <v>1244</v>
      </c>
      <c r="BF65" t="s">
        <v>510</v>
      </c>
      <c r="BG65" t="s">
        <v>898</v>
      </c>
      <c r="BH65" t="s">
        <v>1950</v>
      </c>
      <c r="BI65" t="s">
        <v>156</v>
      </c>
      <c r="BJ65" t="s">
        <v>1957</v>
      </c>
      <c r="BK65" t="s">
        <v>1951</v>
      </c>
      <c r="BL65" t="s">
        <v>3175</v>
      </c>
      <c r="BM65" t="s">
        <v>2520</v>
      </c>
      <c r="BN65">
        <v>4.3</v>
      </c>
      <c r="BO65">
        <v>4.18</v>
      </c>
      <c r="BP65">
        <v>4.58</v>
      </c>
      <c r="BQ65">
        <v>5.38</v>
      </c>
      <c r="BR65">
        <v>3.46</v>
      </c>
      <c r="BS65">
        <v>4.47</v>
      </c>
      <c r="BT65" t="s">
        <v>1114</v>
      </c>
      <c r="BU65" t="s">
        <v>881</v>
      </c>
      <c r="BV65">
        <v>6.24</v>
      </c>
      <c r="BW65">
        <v>6.95</v>
      </c>
      <c r="BX65">
        <v>6.1</v>
      </c>
      <c r="BY65">
        <v>3.21</v>
      </c>
      <c r="BZ65">
        <v>2.0699999999999998</v>
      </c>
      <c r="CA65">
        <v>2.36</v>
      </c>
      <c r="CB65">
        <v>-2.31</v>
      </c>
      <c r="CC65" s="8">
        <v>16.21</v>
      </c>
      <c r="CD65" s="9" t="s">
        <v>1399</v>
      </c>
      <c r="CE65" s="8" t="s">
        <v>3176</v>
      </c>
      <c r="CF65" s="8">
        <v>45.592356687898096</v>
      </c>
      <c r="CG65" s="8">
        <v>10.033829184231514</v>
      </c>
      <c r="CH65" s="8">
        <v>-0.97155463695526123</v>
      </c>
      <c r="CI65" s="8">
        <v>0.11436978727579117</v>
      </c>
      <c r="CJ65" s="9">
        <v>0.76278924942016602</v>
      </c>
      <c r="CK65" s="9">
        <v>0.12434738874435425</v>
      </c>
      <c r="CL65" s="9">
        <v>3.6435764282941818E-2</v>
      </c>
      <c r="CM65" s="9">
        <v>-0.45878136157989502</v>
      </c>
      <c r="CN65" s="9">
        <v>-0.36009174585342407</v>
      </c>
      <c r="CO65">
        <v>-8.2105264067649841E-2</v>
      </c>
      <c r="CP65">
        <v>-0.46022728085517883</v>
      </c>
      <c r="CQ65">
        <v>1.115384578704834</v>
      </c>
      <c r="CR65" s="8">
        <v>33.601346985210469</v>
      </c>
      <c r="CS65" s="9">
        <v>25.30696311599165</v>
      </c>
      <c r="CT65">
        <v>3.1578947368421053</v>
      </c>
      <c r="CU65">
        <v>1.3277510553598404E-2</v>
      </c>
      <c r="CV65">
        <v>-4.9164214730262758E-2</v>
      </c>
      <c r="CW65">
        <v>0.06</v>
      </c>
      <c r="CX65">
        <v>90.843882438549912</v>
      </c>
      <c r="CY65">
        <v>144344249.1448994</v>
      </c>
      <c r="CZ65">
        <v>1.3277510553598404E-2</v>
      </c>
      <c r="DA65">
        <v>31.697018960215622</v>
      </c>
      <c r="DB65">
        <v>413691647.6738227</v>
      </c>
      <c r="DC65">
        <v>1.2613635025918484E-2</v>
      </c>
      <c r="DD65">
        <v>16.986448281228352</v>
      </c>
      <c r="DE65">
        <v>771956078.33397913</v>
      </c>
      <c r="DF65">
        <v>1.1684209287166595E-2</v>
      </c>
      <c r="DG65">
        <v>11.183906537190284</v>
      </c>
      <c r="DH65">
        <v>1172469740.9081092</v>
      </c>
      <c r="DI65">
        <v>1.0622008442878724E-2</v>
      </c>
      <c r="DJ65">
        <v>6.9823575412021963</v>
      </c>
      <c r="DK65">
        <v>1877989192.4214308</v>
      </c>
      <c r="DL65">
        <v>9.2942573875188818E-3</v>
      </c>
      <c r="DM65">
        <v>151000000</v>
      </c>
      <c r="DN65">
        <v>1.3277510553598404E-2</v>
      </c>
      <c r="DO65">
        <v>13112792000</v>
      </c>
      <c r="DP65">
        <v>868101800</v>
      </c>
      <c r="DQ65" s="10">
        <v>3283</v>
      </c>
      <c r="DR65">
        <v>45.579079177344497</v>
      </c>
      <c r="DS65">
        <v>10.082993398961777</v>
      </c>
      <c r="DT65">
        <v>-0.50666666666666671</v>
      </c>
      <c r="DU65">
        <v>0.3666666666666667</v>
      </c>
      <c r="DV65">
        <v>-0.14000000000000001</v>
      </c>
      <c r="DW65">
        <v>3.0023750000000002</v>
      </c>
      <c r="DX65">
        <v>0.30476031215161736</v>
      </c>
      <c r="DY65">
        <v>3.0002250557413599</v>
      </c>
      <c r="DZ65">
        <v>1230</v>
      </c>
      <c r="EA65">
        <v>3.0001708838114434</v>
      </c>
      <c r="EB65" s="11">
        <v>3</v>
      </c>
      <c r="EC65" s="11">
        <v>4.3743844179692404E-2</v>
      </c>
      <c r="ED65">
        <v>0.46162621446098934</v>
      </c>
      <c r="EE65">
        <v>-2.0919099999999999</v>
      </c>
      <c r="EF65">
        <v>-2.11111</v>
      </c>
      <c r="EG65">
        <v>21.094760312151617</v>
      </c>
      <c r="EH65" s="13" t="s">
        <v>1226</v>
      </c>
      <c r="EI65">
        <v>0</v>
      </c>
      <c r="EJ65">
        <v>1</v>
      </c>
      <c r="EK65">
        <v>45470</v>
      </c>
      <c r="EL65">
        <v>-1</v>
      </c>
      <c r="EM65">
        <v>-1.58</v>
      </c>
      <c r="EN65" s="14">
        <v>0.46</v>
      </c>
      <c r="EO65" s="14">
        <v>1.59</v>
      </c>
      <c r="EP65" s="14">
        <v>-1.92</v>
      </c>
    </row>
    <row r="66" spans="1:146" ht="96" x14ac:dyDescent="0.25">
      <c r="A66" s="7"/>
      <c r="B66" s="7"/>
      <c r="C66" s="7" t="str">
        <f>""&amp;CHAR(10)&amp;Basic_Fundamental_Information_Constructure(F66)&amp;CHAR(10)&amp;Basic_Fundamental_Information_Concatenate("")</f>
        <v xml:space="preserve">
市值224.93927亿, 利润-27.68亿; PE23.94; 平均PE-94.18; 平均PEG-21.46, PB1.05; ROIC2.9%; ROE-2.4533%; 股利率3.125%; 毛利3.7733%; 净利-3.69%; 上一年度营收增-61.93%, 利润增-444.71%; 当季营收增251.89%, 利润增238.68%; 过往5年营收增4.39%, 利润增-116.9%
Income profile:
</v>
      </c>
      <c r="D66" t="s">
        <v>229</v>
      </c>
      <c r="E66" t="s">
        <v>16</v>
      </c>
      <c r="F66">
        <v>3.36</v>
      </c>
      <c r="G66">
        <v>-0.3</v>
      </c>
      <c r="H66" t="s">
        <v>3177</v>
      </c>
      <c r="I66">
        <v>22493927000</v>
      </c>
      <c r="J66">
        <v>23.94</v>
      </c>
      <c r="K66">
        <v>1.05</v>
      </c>
      <c r="L66" t="s">
        <v>67</v>
      </c>
      <c r="M66" t="s">
        <v>1963</v>
      </c>
      <c r="N66" t="s">
        <v>3178</v>
      </c>
      <c r="O66" t="s">
        <v>1964</v>
      </c>
      <c r="P66">
        <v>6.26</v>
      </c>
      <c r="Q66" t="s">
        <v>3179</v>
      </c>
      <c r="R66">
        <v>468742440</v>
      </c>
      <c r="S66" s="5">
        <v>0.15010000000000001</v>
      </c>
      <c r="T66" t="s">
        <v>3180</v>
      </c>
      <c r="U66">
        <v>6694621000</v>
      </c>
      <c r="V66">
        <v>6694621000</v>
      </c>
      <c r="W66">
        <v>2.7</v>
      </c>
      <c r="X66">
        <v>0.1</v>
      </c>
      <c r="Y66">
        <v>6.2</v>
      </c>
      <c r="Z66" t="s">
        <v>3181</v>
      </c>
      <c r="AA66" t="s">
        <v>3182</v>
      </c>
      <c r="AB66" t="s">
        <v>3183</v>
      </c>
      <c r="AC66" t="s">
        <v>908</v>
      </c>
      <c r="AD66" t="s">
        <v>70</v>
      </c>
      <c r="AE66">
        <v>313165750</v>
      </c>
      <c r="AF66" t="s">
        <v>1966</v>
      </c>
      <c r="AG66" t="s">
        <v>3184</v>
      </c>
      <c r="AH66" t="s">
        <v>1967</v>
      </c>
      <c r="AI66" t="s">
        <v>3185</v>
      </c>
      <c r="AJ66" t="s">
        <v>1968</v>
      </c>
      <c r="AK66" t="s">
        <v>2762</v>
      </c>
      <c r="AL66" t="s">
        <v>1969</v>
      </c>
      <c r="AM66" t="s">
        <v>70</v>
      </c>
      <c r="AN66" t="s">
        <v>3186</v>
      </c>
      <c r="AO66" t="s">
        <v>3187</v>
      </c>
      <c r="AP66" t="s">
        <v>2210</v>
      </c>
      <c r="AQ66" t="s">
        <v>3188</v>
      </c>
      <c r="AR66" t="s">
        <v>70</v>
      </c>
      <c r="AS66" t="s">
        <v>3189</v>
      </c>
      <c r="AT66" t="s">
        <v>3190</v>
      </c>
      <c r="AU66" t="s">
        <v>3191</v>
      </c>
      <c r="AV66" t="s">
        <v>3192</v>
      </c>
      <c r="AW66" t="s">
        <v>2169</v>
      </c>
      <c r="AX66" t="s">
        <v>1146</v>
      </c>
      <c r="AY66" t="s">
        <v>1148</v>
      </c>
      <c r="AZ66" t="s">
        <v>504</v>
      </c>
      <c r="BA66" t="s">
        <v>507</v>
      </c>
      <c r="BB66" t="s">
        <v>508</v>
      </c>
      <c r="BC66" t="s">
        <v>1147</v>
      </c>
      <c r="BD66" t="s">
        <v>1149</v>
      </c>
      <c r="BE66" t="s">
        <v>505</v>
      </c>
      <c r="BF66" t="s">
        <v>509</v>
      </c>
      <c r="BG66" t="s">
        <v>510</v>
      </c>
      <c r="BH66" t="s">
        <v>1965</v>
      </c>
      <c r="BI66" t="s">
        <v>3193</v>
      </c>
      <c r="BJ66" t="s">
        <v>1146</v>
      </c>
      <c r="BK66" t="s">
        <v>1289</v>
      </c>
      <c r="BL66" t="s">
        <v>3194</v>
      </c>
      <c r="BM66" t="s">
        <v>1147</v>
      </c>
      <c r="BN66">
        <v>2.5</v>
      </c>
      <c r="BO66">
        <v>3.3</v>
      </c>
      <c r="BP66" t="s">
        <v>70</v>
      </c>
      <c r="BQ66">
        <v>3.34</v>
      </c>
      <c r="BR66">
        <v>3.6</v>
      </c>
      <c r="BS66">
        <v>-14.3</v>
      </c>
      <c r="BT66" t="s">
        <v>1971</v>
      </c>
      <c r="BU66" t="s">
        <v>881</v>
      </c>
      <c r="BV66">
        <v>9.7899999999999991</v>
      </c>
      <c r="BW66">
        <v>9.5</v>
      </c>
      <c r="BX66">
        <v>-7.97</v>
      </c>
      <c r="BY66">
        <v>3.3</v>
      </c>
      <c r="BZ66">
        <v>3.04</v>
      </c>
      <c r="CA66">
        <v>-17.41</v>
      </c>
      <c r="CB66">
        <v>3.7</v>
      </c>
      <c r="CC66">
        <v>1.51</v>
      </c>
      <c r="CD66" t="s">
        <v>128</v>
      </c>
      <c r="CE66" t="s">
        <v>3195</v>
      </c>
      <c r="CF66" s="8">
        <v>2.5189189189189189</v>
      </c>
      <c r="CG66" s="9">
        <v>2.3868119526627218</v>
      </c>
      <c r="CH66" s="8">
        <v>-0.61932098865509033</v>
      </c>
      <c r="CI66" s="8">
        <v>0.37072843313217163</v>
      </c>
      <c r="CJ66" s="8">
        <v>0.10663286596536636</v>
      </c>
      <c r="CK66" s="8">
        <v>8.932727575302124E-2</v>
      </c>
      <c r="CL66" s="8">
        <v>0.27208167314529419</v>
      </c>
      <c r="CM66" s="9">
        <v>-4.4470734596252441</v>
      </c>
      <c r="CN66" s="9">
        <v>1.2577022314071655</v>
      </c>
      <c r="CO66" s="9">
        <v>-3.2320916652679443</v>
      </c>
      <c r="CP66" s="9">
        <v>1.7492711544036865E-2</v>
      </c>
      <c r="CQ66" s="9">
        <v>0.55909091234207153</v>
      </c>
      <c r="CR66">
        <v>-94.182527564549886</v>
      </c>
      <c r="CS66">
        <v>-21.45883924317609</v>
      </c>
      <c r="CT66">
        <v>3.1250000000000004</v>
      </c>
      <c r="CU66" s="8">
        <v>4.388985186815262E-2</v>
      </c>
      <c r="CV66" s="9">
        <v>-1.1689758539199828</v>
      </c>
      <c r="CW66">
        <v>0.06</v>
      </c>
      <c r="CX66" t="e">
        <v>#VALUE!</v>
      </c>
      <c r="CY66" t="s">
        <v>810</v>
      </c>
      <c r="CZ66">
        <v>4.388985186815262E-2</v>
      </c>
      <c r="DA66" t="e">
        <v>#VALUE!</v>
      </c>
      <c r="DB66" t="s">
        <v>810</v>
      </c>
      <c r="DC66">
        <v>4.1695359274744985E-2</v>
      </c>
      <c r="DD66" t="e">
        <v>#VALUE!</v>
      </c>
      <c r="DE66" t="s">
        <v>810</v>
      </c>
      <c r="DF66">
        <v>3.8623069643974307E-2</v>
      </c>
      <c r="DG66" t="e">
        <v>#VALUE!</v>
      </c>
      <c r="DH66" t="s">
        <v>810</v>
      </c>
      <c r="DI66">
        <v>3.5111881494522094E-2</v>
      </c>
      <c r="DJ66" t="e">
        <v>#VALUE!</v>
      </c>
      <c r="DK66" t="s">
        <v>810</v>
      </c>
      <c r="DL66">
        <v>3.0722896307706832E-2</v>
      </c>
      <c r="DM66">
        <v>-2768000000</v>
      </c>
      <c r="DN66">
        <v>4.388985186815262E-2</v>
      </c>
      <c r="DO66">
        <v>46239927000</v>
      </c>
      <c r="DP66">
        <v>-9152794100</v>
      </c>
      <c r="DQ66">
        <v>3286</v>
      </c>
      <c r="DR66">
        <v>2.4750290670507664</v>
      </c>
      <c r="DS66">
        <v>3.5557878065827047</v>
      </c>
      <c r="DT66" s="10">
        <v>-0.52333333333333332</v>
      </c>
      <c r="DU66">
        <v>-0.59333333333333338</v>
      </c>
      <c r="DV66">
        <v>-1.1166666666666667</v>
      </c>
      <c r="DW66">
        <v>4.4081081081081077</v>
      </c>
      <c r="DX66">
        <v>0.3044827586206883</v>
      </c>
      <c r="DY66">
        <v>4.0548835041938487</v>
      </c>
      <c r="DZ66">
        <v>2513</v>
      </c>
      <c r="EA66">
        <v>4.0278928493916686</v>
      </c>
      <c r="EB66">
        <v>4</v>
      </c>
      <c r="EC66">
        <v>2.3302290002675283E-2</v>
      </c>
      <c r="ED66">
        <v>0.17327343848143159</v>
      </c>
      <c r="EE66" s="11">
        <v>2.8100000000000039E-3</v>
      </c>
      <c r="EF66">
        <v>3.031E-2</v>
      </c>
      <c r="EG66">
        <v>17.134482758620688</v>
      </c>
      <c r="EH66">
        <v>-1</v>
      </c>
      <c r="EI66">
        <v>0</v>
      </c>
      <c r="EJ66">
        <v>0</v>
      </c>
      <c r="EK66" s="13">
        <v>45470</v>
      </c>
      <c r="EL66" s="14">
        <v>2.5299999999999998</v>
      </c>
      <c r="EM66" s="14">
        <v>-3.7</v>
      </c>
      <c r="EN66" s="14">
        <v>-0.51</v>
      </c>
      <c r="EO66" s="14">
        <v>3.09</v>
      </c>
      <c r="EP66" s="14">
        <v>-2.75</v>
      </c>
    </row>
    <row r="67" spans="1:146" ht="96" x14ac:dyDescent="0.25">
      <c r="A67" s="7"/>
      <c r="B67" s="7"/>
      <c r="C67" s="7" t="str">
        <f>""&amp;CHAR(10)&amp;Basic_Fundamental_Information_Constructure(F67)&amp;CHAR(10)&amp;Basic_Fundamental_Information_Concatenate("")</f>
        <v xml:space="preserve">
市值430.70126亿, 利润9950.15万; PE11.09; 平均PE28.02; 平均PEG1.45, PB1.24; ROIC3.93%; ROE5.56%; 股利率4.5455%; 毛利13.93%; 净利8.35%; 上一年度营收增-94.76%, 利润增-90.8%; 当季营收增2654.61%, 利润增446.86%; 过往5年营收增-19.32%, 利润增-25.26%
Income profile:
</v>
      </c>
      <c r="D67" t="s">
        <v>230</v>
      </c>
      <c r="E67" t="s">
        <v>34</v>
      </c>
      <c r="F67">
        <v>8.8000000000000007</v>
      </c>
      <c r="G67">
        <v>-1.01</v>
      </c>
      <c r="H67" t="s">
        <v>3196</v>
      </c>
      <c r="I67">
        <v>43070126000</v>
      </c>
      <c r="J67">
        <v>11.09</v>
      </c>
      <c r="K67">
        <v>1.24</v>
      </c>
      <c r="L67" t="s">
        <v>67</v>
      </c>
      <c r="M67" t="s">
        <v>1973</v>
      </c>
      <c r="N67" t="s">
        <v>3197</v>
      </c>
      <c r="O67" t="s">
        <v>1974</v>
      </c>
      <c r="P67">
        <v>10.87</v>
      </c>
      <c r="Q67" t="s">
        <v>1970</v>
      </c>
      <c r="R67">
        <v>1159333340</v>
      </c>
      <c r="S67" s="5">
        <v>0.5796</v>
      </c>
      <c r="T67" t="s">
        <v>3198</v>
      </c>
      <c r="U67">
        <v>4864938300</v>
      </c>
      <c r="V67">
        <v>4894332500</v>
      </c>
      <c r="W67">
        <v>2.2000000000000002</v>
      </c>
      <c r="X67">
        <v>0.08</v>
      </c>
      <c r="Y67">
        <v>17.02</v>
      </c>
      <c r="Z67" t="s">
        <v>3199</v>
      </c>
      <c r="AA67" t="s">
        <v>3200</v>
      </c>
      <c r="AB67" t="s">
        <v>3201</v>
      </c>
      <c r="AC67" t="s">
        <v>1462</v>
      </c>
      <c r="AD67" t="s">
        <v>70</v>
      </c>
      <c r="AE67">
        <v>308414080</v>
      </c>
      <c r="AF67" t="s">
        <v>1977</v>
      </c>
      <c r="AG67" t="s">
        <v>3202</v>
      </c>
      <c r="AH67" t="s">
        <v>1978</v>
      </c>
      <c r="AI67" t="s">
        <v>3203</v>
      </c>
      <c r="AJ67" t="s">
        <v>1979</v>
      </c>
      <c r="AK67" t="s">
        <v>3204</v>
      </c>
      <c r="AL67" t="s">
        <v>1980</v>
      </c>
      <c r="AM67" t="s">
        <v>70</v>
      </c>
      <c r="AN67" t="s">
        <v>3205</v>
      </c>
      <c r="AO67" t="s">
        <v>3206</v>
      </c>
      <c r="AP67" t="s">
        <v>70</v>
      </c>
      <c r="AQ67" t="s">
        <v>3207</v>
      </c>
      <c r="AR67" t="s">
        <v>70</v>
      </c>
      <c r="AS67" t="s">
        <v>3208</v>
      </c>
      <c r="AT67" t="s">
        <v>3209</v>
      </c>
      <c r="AU67" t="s">
        <v>3210</v>
      </c>
      <c r="AV67" t="s">
        <v>3211</v>
      </c>
      <c r="AW67" t="s">
        <v>321</v>
      </c>
      <c r="AX67" t="s">
        <v>1150</v>
      </c>
      <c r="AY67" t="s">
        <v>1151</v>
      </c>
      <c r="AZ67" t="s">
        <v>511</v>
      </c>
      <c r="BA67" t="s">
        <v>231</v>
      </c>
      <c r="BB67" t="s">
        <v>513</v>
      </c>
      <c r="BC67" t="s">
        <v>1005</v>
      </c>
      <c r="BD67" t="s">
        <v>1152</v>
      </c>
      <c r="BE67" t="s">
        <v>512</v>
      </c>
      <c r="BF67" t="s">
        <v>232</v>
      </c>
      <c r="BG67" t="s">
        <v>514</v>
      </c>
      <c r="BH67" t="s">
        <v>1975</v>
      </c>
      <c r="BI67" t="s">
        <v>295</v>
      </c>
      <c r="BJ67" t="s">
        <v>1150</v>
      </c>
      <c r="BK67" t="s">
        <v>1976</v>
      </c>
      <c r="BL67" t="s">
        <v>895</v>
      </c>
      <c r="BM67" t="s">
        <v>1005</v>
      </c>
      <c r="BN67">
        <v>5.22</v>
      </c>
      <c r="BO67">
        <v>2.9</v>
      </c>
      <c r="BP67">
        <v>3.67</v>
      </c>
      <c r="BQ67">
        <v>7.87</v>
      </c>
      <c r="BR67">
        <v>3.53</v>
      </c>
      <c r="BS67">
        <v>5.28</v>
      </c>
      <c r="BT67" t="s">
        <v>936</v>
      </c>
      <c r="BU67" t="s">
        <v>881</v>
      </c>
      <c r="BV67">
        <v>18.46</v>
      </c>
      <c r="BW67">
        <v>11.96</v>
      </c>
      <c r="BX67">
        <v>11.37</v>
      </c>
      <c r="BY67">
        <v>14.31</v>
      </c>
      <c r="BZ67">
        <v>3.72</v>
      </c>
      <c r="CA67">
        <v>7.02</v>
      </c>
      <c r="CB67">
        <v>-0.34</v>
      </c>
      <c r="CC67">
        <v>8.64</v>
      </c>
      <c r="CD67" t="s">
        <v>206</v>
      </c>
      <c r="CE67" t="s">
        <v>519</v>
      </c>
      <c r="CF67" s="8">
        <v>26.54607508532423</v>
      </c>
      <c r="CG67" s="9">
        <v>4.4685534905660376</v>
      </c>
      <c r="CH67" s="8">
        <v>-0.94757562875747681</v>
      </c>
      <c r="CI67" s="8">
        <v>9.2582553625106812E-2</v>
      </c>
      <c r="CJ67" s="8">
        <v>0.30924955010414124</v>
      </c>
      <c r="CK67" s="8">
        <v>-0.49257227778434753</v>
      </c>
      <c r="CL67" s="8">
        <v>7.2333678603172302E-2</v>
      </c>
      <c r="CM67" s="9">
        <v>-0.90803927183151245</v>
      </c>
      <c r="CN67" s="9">
        <v>-0.2955729067325592</v>
      </c>
      <c r="CO67" s="9">
        <v>-0.35812786221504211</v>
      </c>
      <c r="CP67" s="9">
        <v>4.6806562691926956E-2</v>
      </c>
      <c r="CQ67" s="9">
        <v>0.25191682577133179</v>
      </c>
      <c r="CR67">
        <v>28.020679205094194</v>
      </c>
      <c r="CS67">
        <v>1.4503725536343319</v>
      </c>
      <c r="CT67">
        <v>4.545454545454545</v>
      </c>
      <c r="CU67" s="8">
        <v>-0.19319642484188079</v>
      </c>
      <c r="CV67" s="9">
        <v>-0.25260333046317102</v>
      </c>
      <c r="CW67">
        <v>0.06</v>
      </c>
      <c r="CX67">
        <v>525.24962940257183</v>
      </c>
      <c r="CY67" t="s">
        <v>3212</v>
      </c>
      <c r="CZ67">
        <v>-0.19319642484188079</v>
      </c>
      <c r="DA67">
        <v>175.08320980085728</v>
      </c>
      <c r="DB67" t="s">
        <v>3213</v>
      </c>
      <c r="DC67">
        <v>-0.18353660359978674</v>
      </c>
      <c r="DD67">
        <v>87.541604900428638</v>
      </c>
      <c r="DE67" t="s">
        <v>3214</v>
      </c>
      <c r="DF67">
        <v>-0.1700128538608551</v>
      </c>
      <c r="DG67">
        <v>52.524962940257183</v>
      </c>
      <c r="DH67" t="s">
        <v>3215</v>
      </c>
      <c r="DI67">
        <v>-0.15455713987350464</v>
      </c>
      <c r="DJ67">
        <v>26.262481470128591</v>
      </c>
      <c r="DK67" t="s">
        <v>3216</v>
      </c>
      <c r="DL67">
        <v>-0.13523749738931654</v>
      </c>
      <c r="DM67">
        <v>99501500</v>
      </c>
      <c r="DN67">
        <v>-0.19319642484188079</v>
      </c>
      <c r="DO67">
        <v>52263126000</v>
      </c>
      <c r="DP67">
        <v>1464699000</v>
      </c>
      <c r="DQ67">
        <v>3342</v>
      </c>
      <c r="DR67">
        <v>26.739271510166109</v>
      </c>
      <c r="DS67">
        <v>4.7211568210292087</v>
      </c>
      <c r="DT67" s="10">
        <v>-0.75666666666666671</v>
      </c>
      <c r="DU67">
        <v>8.3333333333333301E-2</v>
      </c>
      <c r="DV67">
        <v>-0.67333333333333345</v>
      </c>
      <c r="DW67">
        <v>2.0863999999999998</v>
      </c>
      <c r="DX67">
        <v>0.39541666666666786</v>
      </c>
      <c r="DY67">
        <v>2.0116999999999998</v>
      </c>
      <c r="DZ67">
        <v>4041</v>
      </c>
      <c r="EA67">
        <v>2.0024476125244619</v>
      </c>
      <c r="EB67">
        <v>2</v>
      </c>
      <c r="EC67">
        <v>2.3905200555949153E-2</v>
      </c>
      <c r="ED67">
        <v>0.17653071179777835</v>
      </c>
      <c r="EE67" s="11">
        <v>-5.0584100000000003</v>
      </c>
      <c r="EF67">
        <v>-5.0940099999999999</v>
      </c>
      <c r="EG67">
        <v>26.135416666666668</v>
      </c>
      <c r="EH67" t="s">
        <v>2703</v>
      </c>
      <c r="EI67">
        <v>1</v>
      </c>
      <c r="EJ67">
        <v>0</v>
      </c>
      <c r="EK67" s="13">
        <v>45470</v>
      </c>
      <c r="EL67" s="14">
        <v>-1.18</v>
      </c>
      <c r="EM67" s="14">
        <v>-4.8600000000000003</v>
      </c>
      <c r="EN67" s="14">
        <v>-6.53</v>
      </c>
      <c r="EO67" s="14">
        <v>1.51</v>
      </c>
      <c r="EP67" s="14">
        <v>-3.56</v>
      </c>
    </row>
    <row r="68" spans="1:146" ht="96" x14ac:dyDescent="0.25">
      <c r="A68" s="7"/>
      <c r="B68" s="7"/>
      <c r="C68" s="7" t="str">
        <f>""&amp;CHAR(10)&amp;Basic_Fundamental_Information_Constructure(F68)&amp;CHAR(10)&amp;Basic_Fundamental_Information_Concatenate("")</f>
        <v xml:space="preserve">
市值34.996043亿, 利润1.06亿; PE120.3; 平均PE36.99; 平均PEG12.16, PB1.93; ROIC3.81%; ROE5.0167%; 股利率0%; 毛利19.6067%; 净利2.8667%; 上一年度营收增-44.64%, 利润增50.18%; 当季营收增119.05%, 利润增-113.86%; 过往5年营收增-3.04%, 利润增10.06%
Income profile:
</v>
      </c>
      <c r="D68" t="s">
        <v>233</v>
      </c>
      <c r="E68" t="s">
        <v>31</v>
      </c>
      <c r="F68">
        <v>6.5</v>
      </c>
      <c r="G68">
        <v>-0.61</v>
      </c>
      <c r="H68" t="s">
        <v>3217</v>
      </c>
      <c r="I68">
        <v>3499604300</v>
      </c>
      <c r="J68">
        <v>120.3</v>
      </c>
      <c r="K68">
        <v>1.93</v>
      </c>
      <c r="L68" t="s">
        <v>67</v>
      </c>
      <c r="M68" t="s">
        <v>1982</v>
      </c>
      <c r="N68" t="s">
        <v>3218</v>
      </c>
      <c r="O68" t="s">
        <v>792</v>
      </c>
      <c r="P68">
        <v>8.7200000000000006</v>
      </c>
      <c r="Q68" t="s">
        <v>2475</v>
      </c>
      <c r="R68">
        <v>-5179957</v>
      </c>
      <c r="S68" s="5">
        <v>0.48060000000000003</v>
      </c>
      <c r="T68" t="s">
        <v>255</v>
      </c>
      <c r="U68">
        <v>538400660</v>
      </c>
      <c r="V68">
        <v>538400660</v>
      </c>
      <c r="W68">
        <v>2.0099999999999998</v>
      </c>
      <c r="X68">
        <v>0.2</v>
      </c>
      <c r="Y68">
        <v>-0.52</v>
      </c>
      <c r="Z68" t="s">
        <v>3219</v>
      </c>
      <c r="AA68" t="s">
        <v>3220</v>
      </c>
      <c r="AB68" t="s">
        <v>3221</v>
      </c>
      <c r="AC68" t="s">
        <v>3222</v>
      </c>
      <c r="AD68" t="s">
        <v>70</v>
      </c>
      <c r="AE68">
        <v>5160120</v>
      </c>
      <c r="AF68" t="s">
        <v>1985</v>
      </c>
      <c r="AG68" t="s">
        <v>3223</v>
      </c>
      <c r="AH68" t="s">
        <v>1986</v>
      </c>
      <c r="AI68" t="s">
        <v>836</v>
      </c>
      <c r="AJ68" t="s">
        <v>1987</v>
      </c>
      <c r="AK68" t="s">
        <v>70</v>
      </c>
      <c r="AL68" t="s">
        <v>1988</v>
      </c>
      <c r="AM68" t="s">
        <v>70</v>
      </c>
      <c r="AN68" t="s">
        <v>286</v>
      </c>
      <c r="AO68" t="s">
        <v>1214</v>
      </c>
      <c r="AP68" t="s">
        <v>70</v>
      </c>
      <c r="AQ68" t="s">
        <v>1267</v>
      </c>
      <c r="AR68" t="s">
        <v>70</v>
      </c>
      <c r="AS68" t="s">
        <v>3224</v>
      </c>
      <c r="AT68" t="s">
        <v>2375</v>
      </c>
      <c r="AU68" t="s">
        <v>544</v>
      </c>
      <c r="AV68" t="s">
        <v>3225</v>
      </c>
      <c r="AW68" t="s">
        <v>3226</v>
      </c>
      <c r="AX68" t="s">
        <v>1153</v>
      </c>
      <c r="AY68" t="s">
        <v>776</v>
      </c>
      <c r="AZ68" t="s">
        <v>515</v>
      </c>
      <c r="BA68" t="s">
        <v>234</v>
      </c>
      <c r="BB68" t="s">
        <v>516</v>
      </c>
      <c r="BC68" t="s">
        <v>1154</v>
      </c>
      <c r="BD68" t="s">
        <v>169</v>
      </c>
      <c r="BE68" t="s">
        <v>141</v>
      </c>
      <c r="BF68" t="s">
        <v>235</v>
      </c>
      <c r="BG68" t="s">
        <v>517</v>
      </c>
      <c r="BH68" t="s">
        <v>1983</v>
      </c>
      <c r="BI68" t="s">
        <v>3227</v>
      </c>
      <c r="BJ68" t="s">
        <v>1153</v>
      </c>
      <c r="BK68" t="s">
        <v>1984</v>
      </c>
      <c r="BL68" t="s">
        <v>3228</v>
      </c>
      <c r="BM68" t="s">
        <v>1154</v>
      </c>
      <c r="BN68">
        <v>2.93</v>
      </c>
      <c r="BO68">
        <v>3.49</v>
      </c>
      <c r="BP68">
        <v>5.01</v>
      </c>
      <c r="BQ68">
        <v>3.91</v>
      </c>
      <c r="BR68">
        <v>4.0199999999999996</v>
      </c>
      <c r="BS68">
        <v>7.12</v>
      </c>
      <c r="BT68" t="s">
        <v>929</v>
      </c>
      <c r="BU68" t="s">
        <v>885</v>
      </c>
      <c r="BV68">
        <v>16.34</v>
      </c>
      <c r="BW68">
        <v>19.14</v>
      </c>
      <c r="BX68">
        <v>23.34</v>
      </c>
      <c r="BY68">
        <v>0.87</v>
      </c>
      <c r="BZ68">
        <v>2.99</v>
      </c>
      <c r="CA68">
        <v>4.74</v>
      </c>
      <c r="CB68">
        <v>0.15</v>
      </c>
      <c r="CC68">
        <v>-11.68</v>
      </c>
      <c r="CD68" t="s">
        <v>3229</v>
      </c>
      <c r="CE68" t="s">
        <v>3016</v>
      </c>
      <c r="CF68" s="8">
        <v>1.1904761904761902</v>
      </c>
      <c r="CG68" s="9">
        <v>-1.1385986172131279</v>
      </c>
      <c r="CH68" s="8">
        <v>-0.44637882709503174</v>
      </c>
      <c r="CI68" s="8">
        <v>0.11707504093647003</v>
      </c>
      <c r="CJ68" s="8">
        <v>0.12221737205982208</v>
      </c>
      <c r="CK68" s="8">
        <v>3.058929368853569E-2</v>
      </c>
      <c r="CL68" s="8">
        <v>2.4424053728580475E-2</v>
      </c>
      <c r="CM68" s="9">
        <v>0.50181430578231812</v>
      </c>
      <c r="CN68" s="9">
        <v>-0.40185341238975525</v>
      </c>
      <c r="CO68" s="9">
        <v>0.14563107490539551</v>
      </c>
      <c r="CP68" s="9">
        <v>0.15425696969032288</v>
      </c>
      <c r="CQ68" s="9">
        <v>0.10310077667236328</v>
      </c>
      <c r="CR68">
        <v>36.986482906437573</v>
      </c>
      <c r="CS68">
        <v>12.160760519110063</v>
      </c>
      <c r="CT68">
        <v>0</v>
      </c>
      <c r="CU68" s="8">
        <v>-3.041461333632469E-2</v>
      </c>
      <c r="CV68" s="9">
        <v>0.1005899429321289</v>
      </c>
      <c r="CW68">
        <v>0.06</v>
      </c>
      <c r="CX68" t="e">
        <v>#VALUE!</v>
      </c>
      <c r="CY68" t="s">
        <v>1343</v>
      </c>
      <c r="CZ68">
        <v>-3.041461333632469E-2</v>
      </c>
      <c r="DA68">
        <v>11.121397169811321</v>
      </c>
      <c r="DB68" t="s">
        <v>2004</v>
      </c>
      <c r="DC68">
        <v>-2.8893882669508455E-2</v>
      </c>
      <c r="DD68">
        <v>5.5606985849056603</v>
      </c>
      <c r="DE68" t="s">
        <v>2005</v>
      </c>
      <c r="DF68">
        <v>-2.6764859735965728E-2</v>
      </c>
      <c r="DG68">
        <v>3.3364191509433963</v>
      </c>
      <c r="DH68" t="s">
        <v>2006</v>
      </c>
      <c r="DI68">
        <v>-2.4331690669059755E-2</v>
      </c>
      <c r="DJ68">
        <v>1.6682095754716981</v>
      </c>
      <c r="DK68" t="s">
        <v>2007</v>
      </c>
      <c r="DL68">
        <v>-2.129022933542728E-2</v>
      </c>
      <c r="DM68">
        <v>106000000</v>
      </c>
      <c r="DN68">
        <v>-3.041461333632469E-2</v>
      </c>
      <c r="DO68">
        <v>3536604300</v>
      </c>
      <c r="DP68">
        <v>-433310060.00000012</v>
      </c>
      <c r="DQ68">
        <v>3344</v>
      </c>
      <c r="DR68">
        <v>1.220890803812515</v>
      </c>
      <c r="DS68">
        <v>-1.2391885601452568</v>
      </c>
      <c r="DT68" s="10">
        <v>-0.60666666666666669</v>
      </c>
      <c r="DU68">
        <v>-0.76500000000000001</v>
      </c>
      <c r="DV68">
        <v>-1.3716666666666666</v>
      </c>
      <c r="DW68">
        <v>-2.1168</v>
      </c>
      <c r="DX68">
        <v>0.21913310265282659</v>
      </c>
      <c r="DY68">
        <v>-2.0127467463898499</v>
      </c>
      <c r="DZ68">
        <v>3431</v>
      </c>
      <c r="EA68">
        <v>-2.0041882166709506</v>
      </c>
      <c r="EB68">
        <v>2</v>
      </c>
      <c r="EC68">
        <v>0.17573975485096915</v>
      </c>
      <c r="ED68">
        <v>1.6103249204783665</v>
      </c>
      <c r="EE68" s="11">
        <v>-2.1132</v>
      </c>
      <c r="EF68">
        <v>-2.1002000000000001</v>
      </c>
      <c r="EG68">
        <v>11.109133102652827</v>
      </c>
      <c r="EH68" t="s">
        <v>1259</v>
      </c>
      <c r="EI68">
        <v>0</v>
      </c>
      <c r="EJ68">
        <v>0</v>
      </c>
      <c r="EK68" s="13">
        <v>45470</v>
      </c>
      <c r="EL68" s="14">
        <v>-0.52</v>
      </c>
      <c r="EM68" s="14">
        <v>-3.39</v>
      </c>
      <c r="EN68" s="14">
        <v>0</v>
      </c>
      <c r="EO68" s="14">
        <v>4.05</v>
      </c>
      <c r="EP68" s="14">
        <v>-1.3</v>
      </c>
    </row>
    <row r="69" spans="1:146" ht="96" x14ac:dyDescent="0.25">
      <c r="A69" s="7"/>
      <c r="B69" s="7"/>
      <c r="C69" s="7" t="str">
        <f>""&amp;CHAR(10)&amp;Basic_Fundamental_Information_Constructure(F69)&amp;CHAR(10)&amp;Basic_Fundamental_Information_Concatenate("")</f>
        <v xml:space="preserve">
市值945.67372亿, 利润5.55亿; PE20.84; 平均PE33.7; 平均PEG.19, PB2.32; ROIC8.3567%; ROE10.54%; 股利率2.0619%; 毛利42.2633%; 净利267.93%; 上一年度营收增828.66%, 利润增-84.21%; 当季营收增-33.51%, 利润增546.64%; 过往5年营收增176.72%, 利润增-16.57%
Income profile:
</v>
      </c>
      <c r="D69" t="s">
        <v>238</v>
      </c>
      <c r="E69" t="s">
        <v>44</v>
      </c>
      <c r="F69">
        <v>19.399999999999999</v>
      </c>
      <c r="G69">
        <v>-1.52</v>
      </c>
      <c r="H69" t="s">
        <v>3230</v>
      </c>
      <c r="I69">
        <v>94567372000</v>
      </c>
      <c r="J69">
        <v>20.84</v>
      </c>
      <c r="K69">
        <v>2.3199999999999998</v>
      </c>
      <c r="L69" t="s">
        <v>67</v>
      </c>
      <c r="M69" t="s">
        <v>1991</v>
      </c>
      <c r="N69" t="s">
        <v>3231</v>
      </c>
      <c r="O69" t="s">
        <v>593</v>
      </c>
      <c r="P69">
        <v>2.92</v>
      </c>
      <c r="Q69" t="s">
        <v>3232</v>
      </c>
      <c r="R69">
        <v>1272927840</v>
      </c>
      <c r="S69" s="5">
        <v>0.1206</v>
      </c>
      <c r="T69" t="s">
        <v>3233</v>
      </c>
      <c r="U69">
        <v>4874606800</v>
      </c>
      <c r="V69">
        <v>4874606800</v>
      </c>
      <c r="W69">
        <v>1.47</v>
      </c>
      <c r="X69">
        <v>0</v>
      </c>
      <c r="Y69">
        <v>498.3</v>
      </c>
      <c r="Z69" t="s">
        <v>113</v>
      </c>
      <c r="AA69" t="s">
        <v>654</v>
      </c>
      <c r="AB69" t="s">
        <v>3234</v>
      </c>
      <c r="AC69" t="s">
        <v>3235</v>
      </c>
      <c r="AD69" t="s">
        <v>70</v>
      </c>
      <c r="AE69">
        <v>104214931</v>
      </c>
      <c r="AF69" t="s">
        <v>1995</v>
      </c>
      <c r="AG69" t="s">
        <v>3236</v>
      </c>
      <c r="AH69" t="s">
        <v>1996</v>
      </c>
      <c r="AI69" t="s">
        <v>2753</v>
      </c>
      <c r="AJ69" t="s">
        <v>1997</v>
      </c>
      <c r="AK69" t="s">
        <v>3237</v>
      </c>
      <c r="AL69" t="s">
        <v>1998</v>
      </c>
      <c r="AM69" t="s">
        <v>70</v>
      </c>
      <c r="AN69" t="s">
        <v>3238</v>
      </c>
      <c r="AO69" t="s">
        <v>3239</v>
      </c>
      <c r="AP69" t="s">
        <v>3240</v>
      </c>
      <c r="AQ69" t="s">
        <v>3241</v>
      </c>
      <c r="AR69" t="s">
        <v>3242</v>
      </c>
      <c r="AS69" t="s">
        <v>3243</v>
      </c>
      <c r="AT69" t="s">
        <v>3244</v>
      </c>
      <c r="AU69" t="s">
        <v>3241</v>
      </c>
      <c r="AV69" t="s">
        <v>1428</v>
      </c>
      <c r="AW69" t="s">
        <v>920</v>
      </c>
      <c r="AX69" t="s">
        <v>1155</v>
      </c>
      <c r="AY69" t="s">
        <v>777</v>
      </c>
      <c r="AZ69" t="s">
        <v>305</v>
      </c>
      <c r="BA69" t="s">
        <v>239</v>
      </c>
      <c r="BB69" t="s">
        <v>519</v>
      </c>
      <c r="BC69" t="s">
        <v>1156</v>
      </c>
      <c r="BD69" t="s">
        <v>778</v>
      </c>
      <c r="BE69" t="s">
        <v>518</v>
      </c>
      <c r="BF69" t="s">
        <v>240</v>
      </c>
      <c r="BG69" t="s">
        <v>521</v>
      </c>
      <c r="BH69" t="s">
        <v>1992</v>
      </c>
      <c r="BI69" t="s">
        <v>1304</v>
      </c>
      <c r="BJ69" t="s">
        <v>1155</v>
      </c>
      <c r="BK69" t="s">
        <v>1993</v>
      </c>
      <c r="BL69" t="s">
        <v>3245</v>
      </c>
      <c r="BM69" t="s">
        <v>1156</v>
      </c>
      <c r="BN69">
        <v>8.14</v>
      </c>
      <c r="BO69">
        <v>8.58</v>
      </c>
      <c r="BP69">
        <v>8.35</v>
      </c>
      <c r="BQ69">
        <v>10.49</v>
      </c>
      <c r="BR69">
        <v>10.8</v>
      </c>
      <c r="BS69">
        <v>10.33</v>
      </c>
      <c r="BT69" t="s">
        <v>936</v>
      </c>
      <c r="BU69" t="s">
        <v>883</v>
      </c>
      <c r="BV69">
        <v>46.37</v>
      </c>
      <c r="BW69">
        <v>38.51</v>
      </c>
      <c r="BX69">
        <v>41.91</v>
      </c>
      <c r="BY69">
        <v>304.07</v>
      </c>
      <c r="BZ69">
        <v>251.5</v>
      </c>
      <c r="CA69">
        <v>248.22</v>
      </c>
      <c r="CB69">
        <v>3.47</v>
      </c>
      <c r="CC69">
        <v>13.45</v>
      </c>
      <c r="CD69" t="s">
        <v>3246</v>
      </c>
      <c r="CE69" t="s">
        <v>630</v>
      </c>
      <c r="CF69" s="8">
        <v>-0.33505154639175255</v>
      </c>
      <c r="CG69" s="9">
        <v>5.4664134736842103</v>
      </c>
      <c r="CH69" s="8">
        <v>8.2866201400756836</v>
      </c>
      <c r="CI69" s="8">
        <v>0.12430714815855026</v>
      </c>
      <c r="CJ69" s="8">
        <v>0.22502431273460388</v>
      </c>
      <c r="CK69" s="8">
        <v>0.23031026124954224</v>
      </c>
      <c r="CL69" s="8">
        <v>-3.0092593282461166E-2</v>
      </c>
      <c r="CM69" s="9">
        <v>-0.84210526943206787</v>
      </c>
      <c r="CN69" s="9">
        <v>0.13864593207836151</v>
      </c>
      <c r="CO69" s="9">
        <v>-2.3719105869531631E-2</v>
      </c>
      <c r="CP69" s="9">
        <v>7.2955481708049774E-2</v>
      </c>
      <c r="CQ69" s="9">
        <v>-0.17450980842113495</v>
      </c>
      <c r="CR69">
        <v>33.701843193157522</v>
      </c>
      <c r="CS69">
        <v>0.19070392478581394</v>
      </c>
      <c r="CT69">
        <v>2.061855670103093</v>
      </c>
      <c r="CU69" s="8">
        <v>1.7672338537871837</v>
      </c>
      <c r="CV69" s="9">
        <v>-0.16574655398726462</v>
      </c>
      <c r="CW69">
        <v>0.06</v>
      </c>
      <c r="CX69">
        <v>51.068602079702941</v>
      </c>
      <c r="CY69">
        <v>1448881876.2753649</v>
      </c>
      <c r="CZ69">
        <v>1.7672338537871837</v>
      </c>
      <c r="DA69">
        <v>5.320978635254793</v>
      </c>
      <c r="DB69">
        <v>13905782577.241434</v>
      </c>
      <c r="DC69">
        <v>1.6788721610978243</v>
      </c>
      <c r="DD69">
        <v>0.39967244709980965</v>
      </c>
      <c r="DE69">
        <v>185132531744.23102</v>
      </c>
      <c r="DF69">
        <v>1.5551657913327217</v>
      </c>
      <c r="DG69">
        <v>1.9949420816352766E-2</v>
      </c>
      <c r="DH69">
        <v>3708998505828.6812</v>
      </c>
      <c r="DI69">
        <v>1.413787083029747</v>
      </c>
      <c r="DJ69">
        <v>2.2833160174480538E-5</v>
      </c>
      <c r="DK69">
        <v>3240566414573551.5</v>
      </c>
      <c r="DL69">
        <v>1.2370636976510285</v>
      </c>
      <c r="DM69">
        <v>555000000</v>
      </c>
      <c r="DN69">
        <v>1.7672338537871837</v>
      </c>
      <c r="DO69">
        <v>73992372000</v>
      </c>
      <c r="DP69">
        <v>-2885941700</v>
      </c>
      <c r="DQ69">
        <v>3366</v>
      </c>
      <c r="DR69">
        <v>-2.1022854001789364</v>
      </c>
      <c r="DS69">
        <v>5.6321600276714747</v>
      </c>
      <c r="DT69" s="10">
        <v>0.10999999999999995</v>
      </c>
      <c r="DU69">
        <v>-0.65333333333333332</v>
      </c>
      <c r="DV69">
        <v>-0.54333333333333333</v>
      </c>
      <c r="DW69">
        <v>8.257992565055762</v>
      </c>
      <c r="DX69">
        <v>0.45640086865149015</v>
      </c>
      <c r="DY69">
        <v>8.0377703356297889</v>
      </c>
      <c r="DZ69">
        <v>3444</v>
      </c>
      <c r="EA69">
        <v>8.0123141642190276</v>
      </c>
      <c r="EB69">
        <v>8</v>
      </c>
      <c r="EC69">
        <v>1.7149054976085456E-2</v>
      </c>
      <c r="ED69">
        <v>0.11713765303080445</v>
      </c>
      <c r="EE69" s="11">
        <v>2.0136099999999999</v>
      </c>
      <c r="EF69">
        <v>2.0304099999999998</v>
      </c>
      <c r="EG69">
        <v>31.14640086865149</v>
      </c>
      <c r="EH69" t="s">
        <v>1283</v>
      </c>
      <c r="EI69">
        <v>0</v>
      </c>
      <c r="EJ69">
        <v>0</v>
      </c>
      <c r="EK69" s="13">
        <v>45470</v>
      </c>
      <c r="EL69" s="14">
        <v>-0.94</v>
      </c>
      <c r="EM69" s="14">
        <v>-2.3199999999999998</v>
      </c>
      <c r="EN69" s="14">
        <v>-0.28000000000000003</v>
      </c>
      <c r="EO69" s="14">
        <v>-0.14000000000000001</v>
      </c>
      <c r="EP69" s="14">
        <v>-1.68</v>
      </c>
    </row>
    <row r="70" spans="1:146" ht="96" x14ac:dyDescent="0.25">
      <c r="A70" s="7"/>
      <c r="B70" s="7"/>
      <c r="C70" s="7" t="str">
        <f>""&amp;CHAR(10)&amp;Basic_Fundamental_Information_Constructure(F70)&amp;CHAR(10)&amp;Basic_Fundamental_Information_Concatenate("")</f>
        <v xml:space="preserve">
市值36.939943亿, 利润17.66亿; PE20.39; 平均PE14.88; 平均PEG.05, PB6.44; ROIC9.84%; ROE-8.12%; 股利率0%; 毛利-6.0367%; 净利-8.14%; 上一年度营收增1574.23%, 利润增1224.84%; 当季营收增-85.88%, 利润增-60.9%; 过往5年营收增317.44%, 利润增-12.69%
Income profile:
</v>
      </c>
      <c r="D70" t="s">
        <v>242</v>
      </c>
      <c r="E70" t="s">
        <v>1157</v>
      </c>
      <c r="F70">
        <v>9.1300000000000008</v>
      </c>
      <c r="G70">
        <v>-1.83</v>
      </c>
      <c r="H70" t="s">
        <v>3247</v>
      </c>
      <c r="I70">
        <v>3693994300</v>
      </c>
      <c r="J70">
        <v>20.39</v>
      </c>
      <c r="K70">
        <v>6.44</v>
      </c>
      <c r="L70" t="s">
        <v>67</v>
      </c>
      <c r="M70" t="s">
        <v>384</v>
      </c>
      <c r="N70" t="s">
        <v>896</v>
      </c>
      <c r="O70" t="s">
        <v>1304</v>
      </c>
      <c r="P70">
        <v>3.4</v>
      </c>
      <c r="Q70" t="s">
        <v>3248</v>
      </c>
      <c r="R70">
        <v>25261930</v>
      </c>
      <c r="S70" s="5">
        <v>1.502</v>
      </c>
      <c r="T70" t="s">
        <v>3249</v>
      </c>
      <c r="U70">
        <v>404599600</v>
      </c>
      <c r="V70">
        <v>404599600</v>
      </c>
      <c r="W70">
        <v>4.9400000000000004</v>
      </c>
      <c r="X70">
        <v>0.14000000000000001</v>
      </c>
      <c r="Y70">
        <v>6.51</v>
      </c>
      <c r="Z70" t="s">
        <v>1927</v>
      </c>
      <c r="AA70" t="s">
        <v>285</v>
      </c>
      <c r="AB70" t="s">
        <v>3250</v>
      </c>
      <c r="AC70" t="s">
        <v>3251</v>
      </c>
      <c r="AD70" t="s">
        <v>70</v>
      </c>
      <c r="AE70">
        <v>20455734</v>
      </c>
      <c r="AF70" t="s">
        <v>105</v>
      </c>
      <c r="AG70" t="s">
        <v>3252</v>
      </c>
      <c r="AH70" t="s">
        <v>2001</v>
      </c>
      <c r="AI70" t="s">
        <v>2117</v>
      </c>
      <c r="AJ70" t="s">
        <v>2002</v>
      </c>
      <c r="AK70" t="s">
        <v>3253</v>
      </c>
      <c r="AL70" t="s">
        <v>2003</v>
      </c>
      <c r="AM70" t="s">
        <v>70</v>
      </c>
      <c r="AN70" t="s">
        <v>3254</v>
      </c>
      <c r="AO70" t="s">
        <v>241</v>
      </c>
      <c r="AP70" t="s">
        <v>585</v>
      </c>
      <c r="AQ70" t="s">
        <v>1460</v>
      </c>
      <c r="AR70" t="s">
        <v>70</v>
      </c>
      <c r="AS70" t="s">
        <v>3255</v>
      </c>
      <c r="AT70" t="s">
        <v>2415</v>
      </c>
      <c r="AU70" t="s">
        <v>3256</v>
      </c>
      <c r="AV70" t="s">
        <v>3257</v>
      </c>
      <c r="AW70" t="s">
        <v>616</v>
      </c>
      <c r="AX70" t="s">
        <v>1158</v>
      </c>
      <c r="AY70" t="s">
        <v>650</v>
      </c>
      <c r="AZ70" t="s">
        <v>165</v>
      </c>
      <c r="BA70" t="s">
        <v>243</v>
      </c>
      <c r="BB70" t="s">
        <v>277</v>
      </c>
      <c r="BC70" t="s">
        <v>1159</v>
      </c>
      <c r="BD70" t="s">
        <v>779</v>
      </c>
      <c r="BE70" t="s">
        <v>523</v>
      </c>
      <c r="BF70" t="s">
        <v>244</v>
      </c>
      <c r="BG70" t="s">
        <v>524</v>
      </c>
      <c r="BH70" t="s">
        <v>917</v>
      </c>
      <c r="BI70" t="s">
        <v>3258</v>
      </c>
      <c r="BJ70" t="s">
        <v>1158</v>
      </c>
      <c r="BK70" t="s">
        <v>255</v>
      </c>
      <c r="BL70" t="s">
        <v>3259</v>
      </c>
      <c r="BM70" t="s">
        <v>1159</v>
      </c>
      <c r="BN70">
        <v>9.84</v>
      </c>
      <c r="BO70" t="s">
        <v>70</v>
      </c>
      <c r="BP70" t="s">
        <v>70</v>
      </c>
      <c r="BQ70">
        <v>27.16</v>
      </c>
      <c r="BR70">
        <v>-30.17</v>
      </c>
      <c r="BS70">
        <v>-21.35</v>
      </c>
      <c r="BT70" t="s">
        <v>929</v>
      </c>
      <c r="BU70" t="s">
        <v>884</v>
      </c>
      <c r="BV70">
        <v>-14.89</v>
      </c>
      <c r="BW70">
        <v>-4.8499999999999996</v>
      </c>
      <c r="BX70">
        <v>1.63</v>
      </c>
      <c r="BY70">
        <v>16.690000000000001</v>
      </c>
      <c r="BZ70">
        <v>-19.399999999999999</v>
      </c>
      <c r="CA70">
        <v>-21.71</v>
      </c>
      <c r="CB70">
        <v>-8.61</v>
      </c>
      <c r="CC70">
        <v>3.16</v>
      </c>
      <c r="CD70" t="s">
        <v>3030</v>
      </c>
      <c r="CE70" t="s">
        <v>3260</v>
      </c>
      <c r="CF70" s="8">
        <v>-0.85875500546050232</v>
      </c>
      <c r="CG70" s="9">
        <v>-0.60900292528904643</v>
      </c>
      <c r="CH70" s="8">
        <v>15.742255210876465</v>
      </c>
      <c r="CI70" s="8">
        <v>0.22272726893424988</v>
      </c>
      <c r="CJ70" s="8">
        <v>-2.0771512761712074E-2</v>
      </c>
      <c r="CK70" s="8">
        <v>-0.12125162780284882</v>
      </c>
      <c r="CL70" s="8">
        <v>4.9247607588768005E-2</v>
      </c>
      <c r="CM70" s="9">
        <v>12.248408317565918</v>
      </c>
      <c r="CN70" s="9">
        <v>-9.7902096807956696E-2</v>
      </c>
      <c r="CO70" s="9">
        <v>-15.805765151977539</v>
      </c>
      <c r="CP70" s="9">
        <v>-0.14309035241603851</v>
      </c>
      <c r="CQ70" s="9">
        <v>3.1638774871826172</v>
      </c>
      <c r="CR70">
        <v>14.878774654085074</v>
      </c>
      <c r="CS70">
        <v>4.6870528792632871E-2</v>
      </c>
      <c r="CT70">
        <v>0</v>
      </c>
      <c r="CU70" s="8">
        <v>3.1744413893669843</v>
      </c>
      <c r="CV70" s="9">
        <v>-0.12689435929059983</v>
      </c>
      <c r="CW70">
        <v>0.06</v>
      </c>
      <c r="CX70">
        <v>0.77428713994912413</v>
      </c>
      <c r="CY70">
        <v>6954776880.7755613</v>
      </c>
      <c r="CZ70">
        <v>3.1744413893669843</v>
      </c>
      <c r="DA70">
        <v>4.20517253281254E-2</v>
      </c>
      <c r="DB70">
        <v>128056441394.05527</v>
      </c>
      <c r="DC70">
        <v>3.015719319898635</v>
      </c>
      <c r="DD70">
        <v>1.0463321091730973E-3</v>
      </c>
      <c r="DE70">
        <v>5146544058803.3672</v>
      </c>
      <c r="DF70">
        <v>2.7935084226429461</v>
      </c>
      <c r="DG70">
        <v>1.2393568438319772E-5</v>
      </c>
      <c r="DH70">
        <v>434499097398784.19</v>
      </c>
      <c r="DI70">
        <v>2.5395531114935874</v>
      </c>
      <c r="DJ70">
        <v>4.5107080954146976E-10</v>
      </c>
      <c r="DK70">
        <v>1.193824602721255E+19</v>
      </c>
      <c r="DL70">
        <v>2.2221089725568888</v>
      </c>
      <c r="DM70">
        <v>1766000000</v>
      </c>
      <c r="DN70">
        <v>3.1744413893669843</v>
      </c>
      <c r="DO70">
        <v>5384994300</v>
      </c>
      <c r="DP70">
        <v>-719940290</v>
      </c>
      <c r="DQ70">
        <v>3404</v>
      </c>
      <c r="DR70">
        <v>-4.0331963948274865</v>
      </c>
      <c r="DS70">
        <v>-0.48210856599844659</v>
      </c>
      <c r="DT70" s="10">
        <v>1.0000000000000011E-2</v>
      </c>
      <c r="DU70">
        <v>-0.85000000000000009</v>
      </c>
      <c r="DV70">
        <v>-0.84000000000000008</v>
      </c>
      <c r="DW70">
        <v>-5.3670150987224154</v>
      </c>
      <c r="DX70">
        <v>0.31700729927007332</v>
      </c>
      <c r="DY70">
        <v>-5.0649643514161937</v>
      </c>
      <c r="DZ70">
        <v>2078</v>
      </c>
      <c r="EA70">
        <v>-5.0385463627189626</v>
      </c>
      <c r="EB70">
        <v>5</v>
      </c>
      <c r="EC70">
        <v>0.71922957907027096</v>
      </c>
      <c r="ED70">
        <v>4.0632763848506039</v>
      </c>
      <c r="EE70" s="11">
        <v>2.0514100000000002</v>
      </c>
      <c r="EF70">
        <v>2.0657100000000002</v>
      </c>
      <c r="EG70">
        <v>14.177007299270073</v>
      </c>
      <c r="EH70" t="s">
        <v>1283</v>
      </c>
      <c r="EI70">
        <v>0</v>
      </c>
      <c r="EJ70">
        <v>0</v>
      </c>
      <c r="EK70" s="13">
        <v>45470</v>
      </c>
      <c r="EL70" s="14">
        <v>0.59</v>
      </c>
      <c r="EM70" s="14">
        <v>-2.72</v>
      </c>
      <c r="EN70" s="14">
        <v>-2.5499999999999998</v>
      </c>
      <c r="EO70" s="14">
        <v>4.8600000000000003</v>
      </c>
      <c r="EP70" s="14">
        <v>-1.43</v>
      </c>
    </row>
    <row r="71" spans="1:146" ht="96" x14ac:dyDescent="0.25">
      <c r="A71" s="7"/>
      <c r="B71" s="7"/>
      <c r="C71" s="7" t="str">
        <f>""&amp;CHAR(10)&amp;Basic_Fundamental_Information_Constructure(F71)&amp;CHAR(10)&amp;Basic_Fundamental_Information_Concatenate("")</f>
        <v xml:space="preserve">
市值66.214651亿, 利润11.81亿; PE; 平均PE-42.18; 平均PEG-.4, PB5.48; ROIC1.705%; ROE-37.8%; 股利率0%; 毛利-2.6033%; 净利-8.37%; 上一年度营收增530.93%, 利润增4782.57%; 当季营收增-84.78%, 利润增-98.35%; 过往5年营收增106.77%, 利润增-355.63%
Income profile:
</v>
      </c>
      <c r="D71" t="s">
        <v>245</v>
      </c>
      <c r="E71" t="s">
        <v>50</v>
      </c>
      <c r="F71">
        <v>3.26</v>
      </c>
      <c r="G71">
        <v>0.62</v>
      </c>
      <c r="H71" t="s">
        <v>3261</v>
      </c>
      <c r="I71">
        <v>6621465100</v>
      </c>
      <c r="K71">
        <v>5.48</v>
      </c>
      <c r="L71" t="s">
        <v>67</v>
      </c>
      <c r="M71" t="s">
        <v>2008</v>
      </c>
      <c r="N71" t="s">
        <v>3262</v>
      </c>
      <c r="O71" t="s">
        <v>1264</v>
      </c>
      <c r="P71">
        <v>-17.52</v>
      </c>
      <c r="Q71" t="s">
        <v>3263</v>
      </c>
      <c r="R71">
        <v>7608512</v>
      </c>
      <c r="S71" s="5">
        <v>1.0720000000000001</v>
      </c>
      <c r="T71" t="s">
        <v>3264</v>
      </c>
      <c r="U71">
        <v>2031124300</v>
      </c>
      <c r="V71">
        <v>2031124300</v>
      </c>
      <c r="W71">
        <v>12.99</v>
      </c>
      <c r="X71">
        <v>0.09</v>
      </c>
      <c r="Y71">
        <v>0.43</v>
      </c>
      <c r="Z71" t="s">
        <v>3265</v>
      </c>
      <c r="AA71" t="s">
        <v>592</v>
      </c>
      <c r="AB71" t="s">
        <v>3266</v>
      </c>
      <c r="AC71" t="s">
        <v>3267</v>
      </c>
      <c r="AD71" t="s">
        <v>70</v>
      </c>
      <c r="AE71">
        <v>126050011</v>
      </c>
      <c r="AF71" t="s">
        <v>2011</v>
      </c>
      <c r="AG71" t="s">
        <v>3268</v>
      </c>
      <c r="AH71" t="s">
        <v>2012</v>
      </c>
      <c r="AI71" t="s">
        <v>1231</v>
      </c>
      <c r="AJ71" t="s">
        <v>2013</v>
      </c>
      <c r="AK71" t="s">
        <v>70</v>
      </c>
      <c r="AL71" t="s">
        <v>2014</v>
      </c>
      <c r="AM71" t="s">
        <v>70</v>
      </c>
      <c r="AN71" t="s">
        <v>3269</v>
      </c>
      <c r="AO71" t="s">
        <v>3193</v>
      </c>
      <c r="AP71" t="s">
        <v>70</v>
      </c>
      <c r="AQ71" t="s">
        <v>1914</v>
      </c>
      <c r="AR71" t="s">
        <v>70</v>
      </c>
      <c r="AS71" t="s">
        <v>3270</v>
      </c>
      <c r="AT71" t="s">
        <v>3271</v>
      </c>
      <c r="AU71" t="s">
        <v>444</v>
      </c>
      <c r="AV71" t="s">
        <v>3272</v>
      </c>
      <c r="AW71" t="s">
        <v>3273</v>
      </c>
      <c r="AX71" t="s">
        <v>1160</v>
      </c>
      <c r="AY71" t="s">
        <v>1161</v>
      </c>
      <c r="AZ71" t="s">
        <v>525</v>
      </c>
      <c r="BA71" t="s">
        <v>246</v>
      </c>
      <c r="BB71" t="s">
        <v>527</v>
      </c>
      <c r="BC71" t="s">
        <v>2015</v>
      </c>
      <c r="BD71" t="s">
        <v>1162</v>
      </c>
      <c r="BE71" t="s">
        <v>526</v>
      </c>
      <c r="BF71" t="s">
        <v>247</v>
      </c>
      <c r="BG71" t="s">
        <v>528</v>
      </c>
      <c r="BH71" t="s">
        <v>2009</v>
      </c>
      <c r="BI71" t="s">
        <v>3274</v>
      </c>
      <c r="BJ71" t="s">
        <v>1160</v>
      </c>
      <c r="BK71" t="s">
        <v>2010</v>
      </c>
      <c r="BL71" t="s">
        <v>1836</v>
      </c>
      <c r="BM71" t="s">
        <v>2015</v>
      </c>
      <c r="BN71">
        <v>1.28</v>
      </c>
      <c r="BO71">
        <v>2.13</v>
      </c>
      <c r="BP71" t="s">
        <v>70</v>
      </c>
      <c r="BQ71">
        <v>1.43</v>
      </c>
      <c r="BR71">
        <v>4.37</v>
      </c>
      <c r="BS71">
        <v>-119.2</v>
      </c>
      <c r="BT71" t="s">
        <v>929</v>
      </c>
      <c r="BU71" t="s">
        <v>881</v>
      </c>
      <c r="BV71">
        <v>4.83</v>
      </c>
      <c r="BW71">
        <v>-0.32</v>
      </c>
      <c r="BX71">
        <v>-12.32</v>
      </c>
      <c r="BY71">
        <v>-1.76</v>
      </c>
      <c r="BZ71">
        <v>0.43</v>
      </c>
      <c r="CA71">
        <v>-23.78</v>
      </c>
      <c r="CB71">
        <v>1.24</v>
      </c>
      <c r="CC71">
        <v>-10.93</v>
      </c>
      <c r="CD71" t="s">
        <v>334</v>
      </c>
      <c r="CE71" t="s">
        <v>1896</v>
      </c>
      <c r="CF71" s="8">
        <v>-0.84778540237055522</v>
      </c>
      <c r="CG71" s="9">
        <v>-0.98345975652173911</v>
      </c>
      <c r="CH71" s="8">
        <v>5.3093180656433105</v>
      </c>
      <c r="CI71" s="8">
        <v>9.8885763436555862E-3</v>
      </c>
      <c r="CJ71" s="8">
        <v>0.16363857686519623</v>
      </c>
      <c r="CK71" s="8">
        <v>-8.1952676177024841E-2</v>
      </c>
      <c r="CL71" s="8">
        <v>-6.2252260744571686E-2</v>
      </c>
      <c r="CM71" s="9">
        <v>47.825656890869141</v>
      </c>
      <c r="CN71" s="9">
        <v>1.0106743574142456</v>
      </c>
      <c r="CO71" s="9">
        <v>-66.410980224609375</v>
      </c>
      <c r="CP71" s="9">
        <v>0.35972383618354797</v>
      </c>
      <c r="CQ71" s="9">
        <v>-0.5665283203125</v>
      </c>
      <c r="CR71">
        <v>-42.178693622499928</v>
      </c>
      <c r="CS71">
        <v>-0.39503217481481273</v>
      </c>
      <c r="CT71">
        <v>0</v>
      </c>
      <c r="CU71" s="8">
        <v>1.0677280563861131</v>
      </c>
      <c r="CV71" s="9">
        <v>-3.5562906920909882</v>
      </c>
      <c r="CW71">
        <v>0.06</v>
      </c>
      <c r="CX71">
        <v>11.71452384622685</v>
      </c>
      <c r="CY71">
        <v>2303761164.7094336</v>
      </c>
      <c r="CZ71">
        <v>1.0677280563861131</v>
      </c>
      <c r="DA71">
        <v>1.8467186453914</v>
      </c>
      <c r="DB71">
        <v>14613739438.516462</v>
      </c>
      <c r="DC71">
        <v>1.0143416535668075</v>
      </c>
      <c r="DD71">
        <v>0.28364418441429345</v>
      </c>
      <c r="DE71">
        <v>95145490663.689575</v>
      </c>
      <c r="DF71">
        <v>0.93960068961977961</v>
      </c>
      <c r="DG71">
        <v>3.6629948637386632E-2</v>
      </c>
      <c r="DH71">
        <v>736759567073.34937</v>
      </c>
      <c r="DI71">
        <v>0.85418244510889052</v>
      </c>
      <c r="DJ71">
        <v>4.0923768555734918E-4</v>
      </c>
      <c r="DK71">
        <v>65945698679351.141</v>
      </c>
      <c r="DL71">
        <v>0.74740963947027916</v>
      </c>
      <c r="DM71">
        <v>1181000000</v>
      </c>
      <c r="DN71">
        <v>1.0677280563861131</v>
      </c>
      <c r="DO71">
        <v>26987465100</v>
      </c>
      <c r="DP71">
        <v>-3594102199.999999</v>
      </c>
      <c r="DQ71">
        <v>3428</v>
      </c>
      <c r="DR71">
        <v>-1.9155134587566685</v>
      </c>
      <c r="DS71">
        <v>2.5728309355692494</v>
      </c>
      <c r="DT71" s="10">
        <v>-6.6666666666666714E-3</v>
      </c>
      <c r="DU71">
        <v>-0.50666666666666671</v>
      </c>
      <c r="DV71">
        <v>-0.51333333333333342</v>
      </c>
      <c r="DW71">
        <v>-2.1093000000000002</v>
      </c>
      <c r="DX71">
        <v>0.22234828184153621</v>
      </c>
      <c r="DY71">
        <v>-2.0100936672052798</v>
      </c>
      <c r="DZ71">
        <v>4842</v>
      </c>
      <c r="EA71">
        <v>-2.0005293743270087</v>
      </c>
      <c r="EB71">
        <v>2</v>
      </c>
      <c r="EC71">
        <v>8.6159177948882795E-2</v>
      </c>
      <c r="ED71">
        <v>0.9329808126464737</v>
      </c>
      <c r="EE71" s="11">
        <v>-2.0240999999999998</v>
      </c>
      <c r="EF71">
        <v>-2.0005099999999998</v>
      </c>
      <c r="EG71">
        <v>13.092348281841536</v>
      </c>
      <c r="EH71" t="s">
        <v>1226</v>
      </c>
      <c r="EI71">
        <v>0</v>
      </c>
      <c r="EJ71">
        <v>0</v>
      </c>
      <c r="EK71" s="13">
        <v>45470</v>
      </c>
      <c r="EL71" s="14">
        <v>3.51</v>
      </c>
      <c r="EM71" s="14">
        <v>-4.24</v>
      </c>
      <c r="EN71" s="14">
        <v>9.73</v>
      </c>
      <c r="EO71" s="14">
        <v>-1.61</v>
      </c>
      <c r="EP71" s="14">
        <v>-2.46</v>
      </c>
    </row>
    <row r="72" spans="1:146" ht="96" x14ac:dyDescent="0.25">
      <c r="A72" s="7"/>
      <c r="B72" s="7"/>
      <c r="C72" s="7" t="str">
        <f>""&amp;CHAR(10)&amp;Basic_Fundamental_Information_Constructure(F72)&amp;CHAR(10)&amp;Basic_Fundamental_Information_Concatenate("")</f>
        <v xml:space="preserve">
市值66.726447亿, 利润4.98亿; PE11.59; 平均PE17.09; 平均PEG.14, PB.89; ROIC7.59%; ROE8.2933%; 股利率3.0928%; 毛利9.5233%; 净利5.4133%; 上一年度营收增539.89%, 利润增-41.75%; 当季营收增-87.55%, 利润增39.43%; 过往5年营收增121.87%, 利润增62.41%
Income profile:
</v>
      </c>
      <c r="D72" t="s">
        <v>248</v>
      </c>
      <c r="E72" t="s">
        <v>27</v>
      </c>
      <c r="F72">
        <v>5.82</v>
      </c>
      <c r="G72">
        <v>0.69</v>
      </c>
      <c r="H72" t="s">
        <v>3275</v>
      </c>
      <c r="I72">
        <v>6672644700</v>
      </c>
      <c r="J72">
        <v>11.59</v>
      </c>
      <c r="K72">
        <v>0.89</v>
      </c>
      <c r="L72" t="s">
        <v>67</v>
      </c>
      <c r="M72" t="s">
        <v>1263</v>
      </c>
      <c r="N72" t="s">
        <v>3276</v>
      </c>
      <c r="O72" t="s">
        <v>671</v>
      </c>
      <c r="P72">
        <v>-5.39</v>
      </c>
      <c r="Q72" t="s">
        <v>3277</v>
      </c>
      <c r="R72">
        <v>133413002</v>
      </c>
      <c r="S72" s="5">
        <v>-0.43819999999999998</v>
      </c>
      <c r="T72" t="s">
        <v>3278</v>
      </c>
      <c r="U72">
        <v>1146502520</v>
      </c>
      <c r="V72">
        <v>1146502520</v>
      </c>
      <c r="W72">
        <v>1.36</v>
      </c>
      <c r="X72">
        <v>0.28000000000000003</v>
      </c>
      <c r="Y72">
        <v>4.67</v>
      </c>
      <c r="Z72" t="s">
        <v>3279</v>
      </c>
      <c r="AA72" t="s">
        <v>1096</v>
      </c>
      <c r="AB72" t="s">
        <v>70</v>
      </c>
      <c r="AC72" t="s">
        <v>3280</v>
      </c>
      <c r="AD72" t="s">
        <v>70</v>
      </c>
      <c r="AE72">
        <v>3375274</v>
      </c>
      <c r="AF72" t="s">
        <v>2017</v>
      </c>
      <c r="AG72" t="s">
        <v>3281</v>
      </c>
      <c r="AH72" t="s">
        <v>2018</v>
      </c>
      <c r="AI72" t="s">
        <v>3282</v>
      </c>
      <c r="AJ72" t="s">
        <v>2019</v>
      </c>
      <c r="AK72" t="s">
        <v>70</v>
      </c>
      <c r="AL72" t="s">
        <v>2020</v>
      </c>
      <c r="AM72" t="s">
        <v>70</v>
      </c>
      <c r="AN72" t="s">
        <v>1434</v>
      </c>
      <c r="AO72" t="s">
        <v>70</v>
      </c>
      <c r="AP72" t="s">
        <v>70</v>
      </c>
      <c r="AQ72" t="s">
        <v>1204</v>
      </c>
      <c r="AR72" t="s">
        <v>3283</v>
      </c>
      <c r="AS72" t="s">
        <v>3284</v>
      </c>
      <c r="AT72" t="s">
        <v>218</v>
      </c>
      <c r="AU72" t="s">
        <v>1243</v>
      </c>
      <c r="AV72" t="s">
        <v>3285</v>
      </c>
      <c r="AW72" t="s">
        <v>3286</v>
      </c>
      <c r="AX72" t="s">
        <v>1163</v>
      </c>
      <c r="AY72" t="s">
        <v>780</v>
      </c>
      <c r="AZ72" t="s">
        <v>529</v>
      </c>
      <c r="BA72" t="s">
        <v>249</v>
      </c>
      <c r="BB72" t="s">
        <v>531</v>
      </c>
      <c r="BC72" t="s">
        <v>2021</v>
      </c>
      <c r="BD72" t="s">
        <v>355</v>
      </c>
      <c r="BE72" t="s">
        <v>113</v>
      </c>
      <c r="BF72" t="s">
        <v>250</v>
      </c>
      <c r="BG72" t="s">
        <v>109</v>
      </c>
      <c r="BH72" t="s">
        <v>2016</v>
      </c>
      <c r="BI72" t="s">
        <v>3287</v>
      </c>
      <c r="BJ72" t="s">
        <v>1163</v>
      </c>
      <c r="BK72" t="s">
        <v>916</v>
      </c>
      <c r="BL72" t="s">
        <v>3288</v>
      </c>
      <c r="BM72" t="s">
        <v>2021</v>
      </c>
      <c r="BN72">
        <v>7.28</v>
      </c>
      <c r="BO72">
        <v>12.36</v>
      </c>
      <c r="BP72">
        <v>3.13</v>
      </c>
      <c r="BQ72">
        <v>7.8</v>
      </c>
      <c r="BR72">
        <v>13.81</v>
      </c>
      <c r="BS72">
        <v>3.27</v>
      </c>
      <c r="BT72" t="s">
        <v>1378</v>
      </c>
      <c r="BU72" t="s">
        <v>881</v>
      </c>
      <c r="BV72">
        <v>9.8800000000000008</v>
      </c>
      <c r="BW72">
        <v>11.6</v>
      </c>
      <c r="BX72">
        <v>7.09</v>
      </c>
      <c r="BY72">
        <v>6.23</v>
      </c>
      <c r="BZ72">
        <v>7.67</v>
      </c>
      <c r="CA72">
        <v>2.34</v>
      </c>
      <c r="CB72">
        <v>-1.36</v>
      </c>
      <c r="CC72">
        <v>-14.79</v>
      </c>
      <c r="CD72" t="s">
        <v>3289</v>
      </c>
      <c r="CE72" t="s">
        <v>408</v>
      </c>
      <c r="CF72" s="8">
        <v>-0.87549182477922527</v>
      </c>
      <c r="CG72" s="9">
        <v>0.39430545481908191</v>
      </c>
      <c r="CH72" s="8">
        <v>5.398902416229248</v>
      </c>
      <c r="CI72" s="8">
        <v>0.41974204778671265</v>
      </c>
      <c r="CJ72" s="8">
        <v>0.12806107103824615</v>
      </c>
      <c r="CK72" s="8">
        <v>4.9433115869760513E-2</v>
      </c>
      <c r="CL72" s="8">
        <v>9.7561024129390717E-2</v>
      </c>
      <c r="CM72" s="9">
        <v>-0.41754385828971863</v>
      </c>
      <c r="CN72" s="9">
        <v>3.5967741012573242</v>
      </c>
      <c r="CO72" s="9">
        <v>-0.37999999523162842</v>
      </c>
      <c r="CP72" s="9">
        <v>7.1428574621677399E-2</v>
      </c>
      <c r="CQ72" s="9">
        <v>0.25</v>
      </c>
      <c r="CR72">
        <v>17.087438412291934</v>
      </c>
      <c r="CS72">
        <v>0.14020578075290782</v>
      </c>
      <c r="CT72">
        <v>3.0927835051546393</v>
      </c>
      <c r="CU72" s="8">
        <v>1.2187399350106716</v>
      </c>
      <c r="CV72" s="9">
        <v>0.62413176447153096</v>
      </c>
      <c r="CW72">
        <v>0.06</v>
      </c>
      <c r="CX72">
        <v>1.9989125188334351</v>
      </c>
      <c r="CY72">
        <v>1042389139.2785987</v>
      </c>
      <c r="CZ72">
        <v>1.2187399350106716</v>
      </c>
      <c r="DA72">
        <v>0.28627861591325943</v>
      </c>
      <c r="DB72">
        <v>7278380515.2646494</v>
      </c>
      <c r="DC72">
        <v>1.157802938260138</v>
      </c>
      <c r="DD72">
        <v>3.7257758979854678E-2</v>
      </c>
      <c r="DE72">
        <v>55925121559.958275</v>
      </c>
      <c r="DF72">
        <v>1.0724911428093911</v>
      </c>
      <c r="DG72">
        <v>3.8522445560448264E-3</v>
      </c>
      <c r="DH72">
        <v>540891075238.30682</v>
      </c>
      <c r="DI72">
        <v>0.97499194800853728</v>
      </c>
      <c r="DJ72">
        <v>2.5182055431369412E-5</v>
      </c>
      <c r="DK72">
        <v>82743233795141.016</v>
      </c>
      <c r="DL72">
        <v>0.85311795450747008</v>
      </c>
      <c r="DM72">
        <v>498000000.00000006</v>
      </c>
      <c r="DN72">
        <v>1.2187399350106716</v>
      </c>
      <c r="DO72">
        <v>2083644700</v>
      </c>
      <c r="DP72">
        <v>1303983299.9999998</v>
      </c>
      <c r="DQ72">
        <v>3458</v>
      </c>
      <c r="DR72">
        <v>-2.094231759789897</v>
      </c>
      <c r="DS72">
        <v>-0.22982630965244905</v>
      </c>
      <c r="DT72" s="10">
        <v>1.0000000000000011E-2</v>
      </c>
      <c r="DU72">
        <v>0.35333333333333328</v>
      </c>
      <c r="DV72">
        <v>0.36333333333333329</v>
      </c>
      <c r="DW72">
        <v>-2.1478999999999999</v>
      </c>
      <c r="DX72">
        <v>0.32674401913875695</v>
      </c>
      <c r="DY72">
        <v>-2.017266440430622</v>
      </c>
      <c r="DZ72">
        <v>1116</v>
      </c>
      <c r="EA72">
        <v>-2.0134955309354021</v>
      </c>
      <c r="EB72">
        <v>2</v>
      </c>
      <c r="EC72">
        <v>2.1281680218199608E-2</v>
      </c>
      <c r="ED72">
        <v>0.18229353739231205</v>
      </c>
      <c r="EE72" s="11">
        <v>-3.0313099999999999</v>
      </c>
      <c r="EF72">
        <v>-3.0475099999999999</v>
      </c>
      <c r="EG72">
        <v>21.116744019138757</v>
      </c>
      <c r="EH72" t="s">
        <v>1233</v>
      </c>
      <c r="EI72">
        <v>0</v>
      </c>
      <c r="EJ72">
        <v>1</v>
      </c>
      <c r="EK72" s="13">
        <v>45470</v>
      </c>
      <c r="EL72" s="14">
        <v>-3.03</v>
      </c>
      <c r="EM72" s="14">
        <v>-3.02</v>
      </c>
      <c r="EN72" s="14">
        <v>-1.96</v>
      </c>
      <c r="EO72" s="14">
        <v>2.5</v>
      </c>
      <c r="EP72" s="14">
        <v>-1.62</v>
      </c>
    </row>
    <row r="73" spans="1:146" ht="96" x14ac:dyDescent="0.25">
      <c r="A73" s="7"/>
      <c r="B73" s="7"/>
      <c r="C73" s="7" t="str">
        <f>""&amp;CHAR(10)&amp;Basic_Fundamental_Information_Constructure(F73)&amp;CHAR(10)&amp;Basic_Fundamental_Information_Concatenate("")</f>
        <v xml:space="preserve">
市值1059.43577亿, 利润2.11亿; PE16.43; 平均PE70.56; 平均PEG10.12, PB2.08; ROIC3.86%; ROE4.8667%; 股利率1.1785%; 毛利11.7833%; 净利2.7133%; 上一年度营收增-98.96%, 利润增-92.52%; 当季营收增12624.86%, 利润增5782.36%; 过往5年营收增-6.97%, 利润增37.66%
Income profile:
</v>
      </c>
      <c r="D73" t="s">
        <v>253</v>
      </c>
      <c r="E73" t="s">
        <v>3290</v>
      </c>
      <c r="F73">
        <v>5.94</v>
      </c>
      <c r="G73">
        <v>0</v>
      </c>
      <c r="H73" t="s">
        <v>177</v>
      </c>
      <c r="I73">
        <v>105943577000</v>
      </c>
      <c r="J73">
        <v>16.43</v>
      </c>
      <c r="K73">
        <v>2.08</v>
      </c>
      <c r="L73" t="s">
        <v>67</v>
      </c>
      <c r="M73" t="s">
        <v>2023</v>
      </c>
      <c r="N73" t="s">
        <v>3291</v>
      </c>
      <c r="O73" t="s">
        <v>2024</v>
      </c>
      <c r="P73">
        <v>-0.13</v>
      </c>
      <c r="Q73" t="s">
        <v>592</v>
      </c>
      <c r="R73">
        <v>1784650500</v>
      </c>
      <c r="S73" s="5">
        <v>0.88619999999999999</v>
      </c>
      <c r="T73" t="s">
        <v>1243</v>
      </c>
      <c r="U73">
        <v>17835619000</v>
      </c>
      <c r="V73">
        <v>17835619000</v>
      </c>
      <c r="W73">
        <v>3.77</v>
      </c>
      <c r="X73">
        <v>0.1</v>
      </c>
      <c r="Y73">
        <v>7.59</v>
      </c>
      <c r="Z73" t="s">
        <v>3292</v>
      </c>
      <c r="AA73" t="s">
        <v>3293</v>
      </c>
      <c r="AB73" t="s">
        <v>3294</v>
      </c>
      <c r="AC73" t="s">
        <v>2924</v>
      </c>
      <c r="AD73" t="s">
        <v>70</v>
      </c>
      <c r="AE73">
        <v>1644786400</v>
      </c>
      <c r="AF73" t="s">
        <v>2026</v>
      </c>
      <c r="AG73" t="s">
        <v>3295</v>
      </c>
      <c r="AH73" t="s">
        <v>2027</v>
      </c>
      <c r="AI73" t="s">
        <v>3296</v>
      </c>
      <c r="AJ73" t="s">
        <v>2028</v>
      </c>
      <c r="AK73" t="s">
        <v>225</v>
      </c>
      <c r="AL73" t="s">
        <v>2029</v>
      </c>
      <c r="AM73" t="s">
        <v>70</v>
      </c>
      <c r="AN73" t="s">
        <v>3297</v>
      </c>
      <c r="AO73" t="s">
        <v>3298</v>
      </c>
      <c r="AP73" t="s">
        <v>3299</v>
      </c>
      <c r="AQ73" t="s">
        <v>3300</v>
      </c>
      <c r="AR73" t="s">
        <v>3301</v>
      </c>
      <c r="AS73" t="s">
        <v>3302</v>
      </c>
      <c r="AT73" t="s">
        <v>3303</v>
      </c>
      <c r="AU73" t="s">
        <v>3304</v>
      </c>
      <c r="AV73" t="s">
        <v>3305</v>
      </c>
      <c r="AW73" t="s">
        <v>3306</v>
      </c>
      <c r="AX73" t="s">
        <v>2030</v>
      </c>
      <c r="AY73" t="s">
        <v>1165</v>
      </c>
      <c r="AZ73" t="s">
        <v>782</v>
      </c>
      <c r="BA73" t="s">
        <v>254</v>
      </c>
      <c r="BB73" t="s">
        <v>532</v>
      </c>
      <c r="BC73" t="s">
        <v>2031</v>
      </c>
      <c r="BD73" t="s">
        <v>1166</v>
      </c>
      <c r="BE73" t="s">
        <v>783</v>
      </c>
      <c r="BF73" t="s">
        <v>533</v>
      </c>
      <c r="BG73" t="s">
        <v>534</v>
      </c>
      <c r="BH73" t="s">
        <v>2025</v>
      </c>
      <c r="BI73" t="s">
        <v>1508</v>
      </c>
      <c r="BJ73" t="s">
        <v>2030</v>
      </c>
      <c r="BK73" t="s">
        <v>1239</v>
      </c>
      <c r="BL73" t="s">
        <v>3307</v>
      </c>
      <c r="BM73" t="s">
        <v>2031</v>
      </c>
      <c r="BN73">
        <v>4.1399999999999997</v>
      </c>
      <c r="BO73">
        <v>3.58</v>
      </c>
      <c r="BP73" t="s">
        <v>70</v>
      </c>
      <c r="BQ73">
        <v>11.8</v>
      </c>
      <c r="BR73">
        <v>6.09</v>
      </c>
      <c r="BS73">
        <v>-3.29</v>
      </c>
      <c r="BT73" t="s">
        <v>937</v>
      </c>
      <c r="BU73" t="s">
        <v>881</v>
      </c>
      <c r="BV73">
        <v>14.62</v>
      </c>
      <c r="BW73">
        <v>13.48</v>
      </c>
      <c r="BX73">
        <v>7.25</v>
      </c>
      <c r="BY73">
        <v>6.61</v>
      </c>
      <c r="BZ73">
        <v>3.56</v>
      </c>
      <c r="CA73">
        <v>-2.0299999999999998</v>
      </c>
      <c r="CB73">
        <v>0.34</v>
      </c>
      <c r="CC73">
        <v>17.62</v>
      </c>
      <c r="CD73" t="s">
        <v>1692</v>
      </c>
      <c r="CE73" t="s">
        <v>3308</v>
      </c>
      <c r="CF73" s="8">
        <v>126.24860335195531</v>
      </c>
      <c r="CG73" s="9">
        <v>57.82364283595372</v>
      </c>
      <c r="CH73" s="8">
        <v>-0.98955172300338745</v>
      </c>
      <c r="CI73" s="8">
        <v>0.15578797459602356</v>
      </c>
      <c r="CJ73" s="8">
        <v>0.16723267734050751</v>
      </c>
      <c r="CK73" s="8">
        <v>0.23759210109710693</v>
      </c>
      <c r="CL73" s="8">
        <v>8.0430671572685242E-2</v>
      </c>
      <c r="CM73" s="9">
        <v>-0.92520380020141602</v>
      </c>
      <c r="CN73" s="9">
        <v>2.6278131008148193</v>
      </c>
      <c r="CO73" s="9">
        <v>-1.3980249166488647</v>
      </c>
      <c r="CP73" s="9">
        <v>1.4965595006942749</v>
      </c>
      <c r="CQ73" s="9">
        <v>8.1885859370231628E-2</v>
      </c>
      <c r="CR73">
        <v>70.558492840492846</v>
      </c>
      <c r="CS73">
        <v>10.122928659808236</v>
      </c>
      <c r="CT73">
        <v>1.1784511784511782</v>
      </c>
      <c r="CU73" s="8">
        <v>-6.9701659679412845E-2</v>
      </c>
      <c r="CV73" s="9">
        <v>0.376605948805809</v>
      </c>
      <c r="CW73">
        <v>0.06</v>
      </c>
      <c r="CX73">
        <v>1517.016952606635</v>
      </c>
      <c r="CY73" t="s">
        <v>3309</v>
      </c>
      <c r="CZ73">
        <v>-6.9701659679412845E-2</v>
      </c>
      <c r="DA73">
        <v>505.67231753554501</v>
      </c>
      <c r="DB73" t="s">
        <v>3310</v>
      </c>
      <c r="DC73">
        <v>-6.6216576695442203E-2</v>
      </c>
      <c r="DD73">
        <v>252.8361587677725</v>
      </c>
      <c r="DE73" t="s">
        <v>3311</v>
      </c>
      <c r="DF73">
        <v>-6.1337460517883302E-2</v>
      </c>
      <c r="DG73">
        <v>151.70169526066351</v>
      </c>
      <c r="DH73" t="s">
        <v>3312</v>
      </c>
      <c r="DI73">
        <v>-5.5761327743530278E-2</v>
      </c>
      <c r="DJ73">
        <v>75.850847630331756</v>
      </c>
      <c r="DK73" t="s">
        <v>3313</v>
      </c>
      <c r="DL73">
        <v>-4.8791161775588988E-2</v>
      </c>
      <c r="DM73">
        <v>211000000</v>
      </c>
      <c r="DN73">
        <v>-6.9701659679412845E-2</v>
      </c>
      <c r="DO73">
        <v>320090577000</v>
      </c>
      <c r="DP73">
        <v>-70794680000</v>
      </c>
      <c r="DQ73">
        <v>3470</v>
      </c>
      <c r="DR73">
        <v>126.31830501163472</v>
      </c>
      <c r="DS73">
        <v>57.44703688714791</v>
      </c>
      <c r="DT73" s="10">
        <v>-0.37333333333333335</v>
      </c>
      <c r="DU73">
        <v>-0.24666666666666678</v>
      </c>
      <c r="DV73">
        <v>-0.62000000000000011</v>
      </c>
      <c r="DW73">
        <v>3.0183214285714284</v>
      </c>
      <c r="DX73">
        <v>0.40233855185909961</v>
      </c>
      <c r="DY73">
        <v>3.0024246313251326</v>
      </c>
      <c r="DZ73">
        <v>708</v>
      </c>
      <c r="EA73">
        <v>3.0020886941474036</v>
      </c>
      <c r="EB73">
        <v>3</v>
      </c>
      <c r="EC73">
        <v>3.0332560927658299E-2</v>
      </c>
      <c r="ED73">
        <v>0.22920426815576181</v>
      </c>
      <c r="EE73" s="11">
        <v>1.006</v>
      </c>
      <c r="EF73">
        <v>1.0097100000000001</v>
      </c>
      <c r="EG73">
        <v>27.1323385518591</v>
      </c>
      <c r="EH73" t="s">
        <v>940</v>
      </c>
      <c r="EI73">
        <v>0</v>
      </c>
      <c r="EJ73">
        <v>1</v>
      </c>
      <c r="EK73" s="13">
        <v>45470</v>
      </c>
      <c r="EL73" s="14">
        <v>0</v>
      </c>
      <c r="EM73" s="14">
        <v>-3.46</v>
      </c>
      <c r="EN73" s="14">
        <v>1.3</v>
      </c>
      <c r="EO73" s="14">
        <v>2.25</v>
      </c>
      <c r="EP73" s="14">
        <v>-1.57</v>
      </c>
    </row>
    <row r="74" spans="1:146" ht="96" x14ac:dyDescent="0.25">
      <c r="A74" s="7"/>
      <c r="B74" s="7"/>
      <c r="C74" s="7" t="str">
        <f>""&amp;CHAR(10)&amp;Basic_Fundamental_Information_Constructure(F74)&amp;CHAR(10)&amp;Basic_Fundamental_Information_Concatenate("")</f>
        <v xml:space="preserve">
市值102.060162亿, 利润1.40亿; PE11.99; 平均PE65.33; 平均PEG.51, PB1.13; ROIC5.48%; ROE10.3133%; 股利率1.4677%; 毛利60.74%; 净利24.6333%; 上一年度营收增155.26%, 利润增-80.87%; 当季营收增-58.96%, 利润增55.73%; 过往5年营收增128.5%, 利润增176.17%
Income profile:
</v>
      </c>
      <c r="D74" t="s">
        <v>257</v>
      </c>
      <c r="E74" t="s">
        <v>704</v>
      </c>
      <c r="F74">
        <v>5.1100000000000003</v>
      </c>
      <c r="G74">
        <v>0</v>
      </c>
      <c r="H74" t="s">
        <v>3314</v>
      </c>
      <c r="I74">
        <v>10206016200</v>
      </c>
      <c r="J74">
        <v>11.99</v>
      </c>
      <c r="K74">
        <v>1.1299999999999999</v>
      </c>
      <c r="L74" t="s">
        <v>67</v>
      </c>
      <c r="M74" t="s">
        <v>2032</v>
      </c>
      <c r="N74" t="s">
        <v>3315</v>
      </c>
      <c r="O74" t="s">
        <v>2000</v>
      </c>
      <c r="P74">
        <v>8.48</v>
      </c>
      <c r="Q74" t="s">
        <v>3316</v>
      </c>
      <c r="R74">
        <v>218027080</v>
      </c>
      <c r="S74" s="5">
        <v>0.28749999999999998</v>
      </c>
      <c r="T74" t="s">
        <v>337</v>
      </c>
      <c r="U74">
        <v>1997263500</v>
      </c>
      <c r="V74">
        <v>1997263500</v>
      </c>
      <c r="W74">
        <v>3.54</v>
      </c>
      <c r="X74">
        <v>0.03</v>
      </c>
      <c r="Y74">
        <v>27.04</v>
      </c>
      <c r="Z74" t="s">
        <v>2853</v>
      </c>
      <c r="AA74" t="s">
        <v>1417</v>
      </c>
      <c r="AB74" t="s">
        <v>3317</v>
      </c>
      <c r="AC74" t="s">
        <v>3318</v>
      </c>
      <c r="AD74" t="s">
        <v>70</v>
      </c>
      <c r="AE74">
        <v>195362340</v>
      </c>
      <c r="AF74" t="s">
        <v>2035</v>
      </c>
      <c r="AG74" t="s">
        <v>3319</v>
      </c>
      <c r="AH74" t="s">
        <v>2036</v>
      </c>
      <c r="AI74" t="s">
        <v>781</v>
      </c>
      <c r="AJ74" t="s">
        <v>2037</v>
      </c>
      <c r="AK74" t="s">
        <v>3320</v>
      </c>
      <c r="AL74" t="s">
        <v>2038</v>
      </c>
      <c r="AM74" t="s">
        <v>70</v>
      </c>
      <c r="AN74" t="s">
        <v>368</v>
      </c>
      <c r="AO74" t="s">
        <v>159</v>
      </c>
      <c r="AP74" t="s">
        <v>1004</v>
      </c>
      <c r="AQ74" t="s">
        <v>156</v>
      </c>
      <c r="AR74">
        <v>135</v>
      </c>
      <c r="AS74" t="s">
        <v>3321</v>
      </c>
      <c r="AT74" t="s">
        <v>3322</v>
      </c>
      <c r="AU74" t="s">
        <v>3323</v>
      </c>
      <c r="AV74" t="s">
        <v>3324</v>
      </c>
      <c r="AW74" t="s">
        <v>920</v>
      </c>
      <c r="AX74" t="s">
        <v>1045</v>
      </c>
      <c r="AY74" t="s">
        <v>1167</v>
      </c>
      <c r="AZ74" t="s">
        <v>126</v>
      </c>
      <c r="BA74" t="s">
        <v>190</v>
      </c>
      <c r="BB74" t="s">
        <v>536</v>
      </c>
      <c r="BC74" t="s">
        <v>1059</v>
      </c>
      <c r="BD74" t="s">
        <v>1168</v>
      </c>
      <c r="BE74" t="s">
        <v>535</v>
      </c>
      <c r="BF74" t="s">
        <v>538</v>
      </c>
      <c r="BG74" t="s">
        <v>539</v>
      </c>
      <c r="BH74" t="s">
        <v>1232</v>
      </c>
      <c r="BI74" t="s">
        <v>734</v>
      </c>
      <c r="BJ74" t="s">
        <v>1045</v>
      </c>
      <c r="BK74" t="s">
        <v>1119</v>
      </c>
      <c r="BL74" t="s">
        <v>337</v>
      </c>
      <c r="BM74" t="s">
        <v>1059</v>
      </c>
      <c r="BN74">
        <v>4.68</v>
      </c>
      <c r="BO74">
        <v>6.33</v>
      </c>
      <c r="BP74">
        <v>5.43</v>
      </c>
      <c r="BQ74">
        <v>8.44</v>
      </c>
      <c r="BR74">
        <v>12.67</v>
      </c>
      <c r="BS74">
        <v>9.83</v>
      </c>
      <c r="BT74" t="s">
        <v>2039</v>
      </c>
      <c r="BU74" t="s">
        <v>882</v>
      </c>
      <c r="BV74">
        <v>56.99</v>
      </c>
      <c r="BW74">
        <v>62.71</v>
      </c>
      <c r="BX74">
        <v>62.52</v>
      </c>
      <c r="BY74">
        <v>25.86</v>
      </c>
      <c r="BZ74">
        <v>25.61</v>
      </c>
      <c r="CA74">
        <v>22.43</v>
      </c>
      <c r="CB74">
        <v>-0.57999999999999996</v>
      </c>
      <c r="CC74">
        <v>-8.67</v>
      </c>
      <c r="CD74" t="s">
        <v>3325</v>
      </c>
      <c r="CE74" t="s">
        <v>2750</v>
      </c>
      <c r="CF74" s="8">
        <v>-0.58958130477117821</v>
      </c>
      <c r="CG74" s="9">
        <v>0.55733628571428573</v>
      </c>
      <c r="CH74" s="8">
        <v>1.5525633096694946</v>
      </c>
      <c r="CI74" s="8">
        <v>0.57485944032669067</v>
      </c>
      <c r="CJ74" s="8">
        <v>0.44215181469917297</v>
      </c>
      <c r="CK74" s="8">
        <v>1.7358869314193726</v>
      </c>
      <c r="CL74" s="8">
        <v>2.1194968223571777</v>
      </c>
      <c r="CM74" s="9">
        <v>-0.8087431788444519</v>
      </c>
      <c r="CN74" s="9">
        <v>0.52182954549789429</v>
      </c>
      <c r="CO74" s="9">
        <v>7.5333161354064941</v>
      </c>
      <c r="CP74" s="9">
        <v>1.2846833467483521</v>
      </c>
      <c r="CQ74" s="9">
        <v>0.27737227082252502</v>
      </c>
      <c r="CR74">
        <v>65.32775060533902</v>
      </c>
      <c r="CS74">
        <v>0.5083904623748311</v>
      </c>
      <c r="CT74">
        <v>1.4677103718199607</v>
      </c>
      <c r="CU74" s="8">
        <v>1.2849916636943817</v>
      </c>
      <c r="CV74" s="9">
        <v>1.7616916239261626</v>
      </c>
      <c r="CW74">
        <v>0.06</v>
      </c>
      <c r="CX74">
        <v>77.056602386477763</v>
      </c>
      <c r="CY74">
        <v>301791351.80869192</v>
      </c>
      <c r="CZ74">
        <v>1.2849916636943817</v>
      </c>
      <c r="DA74">
        <v>10.593736545146667</v>
      </c>
      <c r="DB74">
        <v>2195166559.1168466</v>
      </c>
      <c r="DC74">
        <v>1.2207420805096625</v>
      </c>
      <c r="DD74">
        <v>1.2846163600298983</v>
      </c>
      <c r="DE74">
        <v>18102693476.096443</v>
      </c>
      <c r="DF74">
        <v>1.1307926640510559</v>
      </c>
      <c r="DG74">
        <v>0.12085074960964338</v>
      </c>
      <c r="DH74">
        <v>192427570992.44626</v>
      </c>
      <c r="DI74">
        <v>1.0279933309555054</v>
      </c>
      <c r="DJ74">
        <v>6.2969476832197752E-4</v>
      </c>
      <c r="DK74">
        <v>36930616816097.117</v>
      </c>
      <c r="DL74">
        <v>0.89949416458606712</v>
      </c>
      <c r="DM74">
        <v>140000000</v>
      </c>
      <c r="DN74">
        <v>1.2849916636943817</v>
      </c>
      <c r="DO74">
        <v>23255016200</v>
      </c>
      <c r="DP74">
        <v>2848012900</v>
      </c>
      <c r="DQ74">
        <v>3493</v>
      </c>
      <c r="DR74">
        <v>-1.8745729684655599</v>
      </c>
      <c r="DS74">
        <v>-1.2043553382118768</v>
      </c>
      <c r="DT74" s="10">
        <v>0.995</v>
      </c>
      <c r="DU74">
        <v>0.33499999999999996</v>
      </c>
      <c r="DV74">
        <v>1.33</v>
      </c>
      <c r="DW74">
        <v>-2.0867</v>
      </c>
      <c r="DX74">
        <v>0.28503351206434219</v>
      </c>
      <c r="DY74">
        <v>-2.0073724054959787</v>
      </c>
      <c r="DZ74">
        <v>1251</v>
      </c>
      <c r="EA74">
        <v>-2.0055675367532255</v>
      </c>
      <c r="EB74">
        <v>2</v>
      </c>
      <c r="EC74">
        <v>1.5880478464659269E-2</v>
      </c>
      <c r="ED74">
        <v>0.18675552825153016</v>
      </c>
      <c r="EE74" s="11">
        <v>9.0609999999999996E-2</v>
      </c>
      <c r="EF74">
        <v>9.0609999999999996E-2</v>
      </c>
      <c r="EG74">
        <v>20.085033512064342</v>
      </c>
      <c r="EH74">
        <v>-1</v>
      </c>
      <c r="EI74">
        <v>0</v>
      </c>
      <c r="EJ74">
        <v>1</v>
      </c>
      <c r="EK74" s="13">
        <v>45470</v>
      </c>
      <c r="EL74" s="14">
        <v>1.69</v>
      </c>
      <c r="EM74" s="14">
        <v>-1.06</v>
      </c>
      <c r="EN74" s="14">
        <v>-0.46</v>
      </c>
      <c r="EO74" s="14">
        <v>-0.92</v>
      </c>
      <c r="EP74" s="14">
        <v>0</v>
      </c>
    </row>
    <row r="75" spans="1:146" ht="96" x14ac:dyDescent="0.25">
      <c r="A75" s="7"/>
      <c r="B75" s="7"/>
      <c r="C75" s="7" t="str">
        <f>""&amp;CHAR(10)&amp;Basic_Fundamental_Information_Constructure(F75)&amp;CHAR(10)&amp;Basic_Fundamental_Information_Concatenate("")</f>
        <v xml:space="preserve">
市值304.15297亿, 利润2.07亿; PE14.98; 平均PE35.92; 平均PEG5, PB1.87; ROIC5.19%; ROE9.4033%; 股利率3.97%; 毛利16.19%; 净利6.1067%; 上一年度营收增-92.48%, 利润增-88.29%; 当季营收增663.29%, 利润增362.71%; 过往5年营收增-7.19%, 利润增34.06%
Income profile:
</v>
      </c>
      <c r="D75" t="s">
        <v>259</v>
      </c>
      <c r="E75" t="s">
        <v>705</v>
      </c>
      <c r="F75">
        <v>4.66</v>
      </c>
      <c r="G75">
        <v>-0.85</v>
      </c>
      <c r="H75" t="s">
        <v>3326</v>
      </c>
      <c r="I75">
        <v>30415297000</v>
      </c>
      <c r="J75">
        <v>14.98</v>
      </c>
      <c r="K75">
        <v>1.87</v>
      </c>
      <c r="L75" t="s">
        <v>67</v>
      </c>
      <c r="M75" t="s">
        <v>2040</v>
      </c>
      <c r="N75" t="s">
        <v>3327</v>
      </c>
      <c r="O75" t="s">
        <v>2041</v>
      </c>
      <c r="P75">
        <v>-7.43</v>
      </c>
      <c r="Q75" t="s">
        <v>1448</v>
      </c>
      <c r="R75">
        <v>888410330</v>
      </c>
      <c r="S75" s="5">
        <v>2.9600000000000001E-2</v>
      </c>
      <c r="T75" t="s">
        <v>3328</v>
      </c>
      <c r="U75">
        <v>6526887800</v>
      </c>
      <c r="V75">
        <v>6526887800</v>
      </c>
      <c r="W75">
        <v>1.62</v>
      </c>
      <c r="X75">
        <v>0.14000000000000001</v>
      </c>
      <c r="Y75">
        <v>19.059999999999999</v>
      </c>
      <c r="Z75" t="s">
        <v>3329</v>
      </c>
      <c r="AA75" t="s">
        <v>3330</v>
      </c>
      <c r="AB75" t="s">
        <v>70</v>
      </c>
      <c r="AC75" t="s">
        <v>3331</v>
      </c>
      <c r="AD75" t="s">
        <v>70</v>
      </c>
      <c r="AE75">
        <v>74579873</v>
      </c>
      <c r="AF75" t="s">
        <v>2044</v>
      </c>
      <c r="AG75" t="s">
        <v>3332</v>
      </c>
      <c r="AH75" t="s">
        <v>2045</v>
      </c>
      <c r="AI75" t="s">
        <v>3333</v>
      </c>
      <c r="AJ75" t="s">
        <v>2046</v>
      </c>
      <c r="AK75" t="s">
        <v>2682</v>
      </c>
      <c r="AL75" t="s">
        <v>2047</v>
      </c>
      <c r="AM75" t="s">
        <v>70</v>
      </c>
      <c r="AN75" t="s">
        <v>3334</v>
      </c>
      <c r="AO75" t="s">
        <v>1044</v>
      </c>
      <c r="AP75" t="s">
        <v>70</v>
      </c>
      <c r="AQ75" t="s">
        <v>3335</v>
      </c>
      <c r="AR75" t="s">
        <v>70</v>
      </c>
      <c r="AS75" t="s">
        <v>3336</v>
      </c>
      <c r="AT75" t="s">
        <v>3337</v>
      </c>
      <c r="AU75" t="s">
        <v>3135</v>
      </c>
      <c r="AV75" t="s">
        <v>3338</v>
      </c>
      <c r="AW75" t="s">
        <v>3339</v>
      </c>
      <c r="AX75" t="s">
        <v>1169</v>
      </c>
      <c r="AY75" t="s">
        <v>2048</v>
      </c>
      <c r="AZ75" t="s">
        <v>540</v>
      </c>
      <c r="BA75" t="s">
        <v>260</v>
      </c>
      <c r="BB75" t="s">
        <v>542</v>
      </c>
      <c r="BC75" t="s">
        <v>2049</v>
      </c>
      <c r="BD75" t="s">
        <v>1218</v>
      </c>
      <c r="BE75" t="s">
        <v>1990</v>
      </c>
      <c r="BF75" t="s">
        <v>1310</v>
      </c>
      <c r="BG75" t="s">
        <v>1834</v>
      </c>
      <c r="BH75" t="s">
        <v>2042</v>
      </c>
      <c r="BI75" t="s">
        <v>3340</v>
      </c>
      <c r="BJ75" t="s">
        <v>1169</v>
      </c>
      <c r="BK75" t="s">
        <v>2043</v>
      </c>
      <c r="BL75" t="s">
        <v>115</v>
      </c>
      <c r="BM75" t="s">
        <v>2049</v>
      </c>
      <c r="BN75">
        <v>7.77</v>
      </c>
      <c r="BO75">
        <v>6.98</v>
      </c>
      <c r="BP75">
        <v>0.82</v>
      </c>
      <c r="BQ75">
        <v>13.7</v>
      </c>
      <c r="BR75">
        <v>11.83</v>
      </c>
      <c r="BS75">
        <v>2.68</v>
      </c>
      <c r="BT75" t="s">
        <v>2050</v>
      </c>
      <c r="BU75" t="s">
        <v>881</v>
      </c>
      <c r="BV75">
        <v>20.99</v>
      </c>
      <c r="BW75">
        <v>17.59</v>
      </c>
      <c r="BX75">
        <v>9.99</v>
      </c>
      <c r="BY75">
        <v>8.93</v>
      </c>
      <c r="BZ75">
        <v>8.76</v>
      </c>
      <c r="CA75">
        <v>0.63</v>
      </c>
      <c r="CB75">
        <v>0.43</v>
      </c>
      <c r="CC75">
        <v>4.4800000000000004</v>
      </c>
      <c r="CD75" t="s">
        <v>3030</v>
      </c>
      <c r="CE75" t="s">
        <v>3341</v>
      </c>
      <c r="CF75" s="8">
        <v>6.6328767123287671</v>
      </c>
      <c r="CG75" s="9">
        <v>3.6271371354166666</v>
      </c>
      <c r="CH75" s="8">
        <v>-0.92482441663742065</v>
      </c>
      <c r="CI75" s="8">
        <v>0.21823173761367798</v>
      </c>
      <c r="CJ75" s="8">
        <v>0.23260198533535004</v>
      </c>
      <c r="CK75" s="8">
        <v>6.106242910027504E-2</v>
      </c>
      <c r="CL75" s="8">
        <v>5.3409017622470856E-2</v>
      </c>
      <c r="CM75" s="9">
        <v>-0.88285225629806519</v>
      </c>
      <c r="CN75" s="9">
        <v>2.8920705318450928</v>
      </c>
      <c r="CO75" s="9">
        <v>-0.40341654419898987</v>
      </c>
      <c r="CP75" s="9">
        <v>-0.31193488836288452</v>
      </c>
      <c r="CQ75" s="9">
        <v>0.40891718864440918</v>
      </c>
      <c r="CR75">
        <v>35.923579133858269</v>
      </c>
      <c r="CS75">
        <v>4.996057851847203</v>
      </c>
      <c r="CT75">
        <v>3.9699570815450644</v>
      </c>
      <c r="CU75" s="8">
        <v>-7.1903849393129354E-2</v>
      </c>
      <c r="CV75" s="9">
        <v>0.34055680632591245</v>
      </c>
      <c r="CW75">
        <v>0.06</v>
      </c>
      <c r="CX75">
        <v>106.7598888888889</v>
      </c>
      <c r="CY75" t="s">
        <v>3342</v>
      </c>
      <c r="CZ75">
        <v>-7.1903849393129354E-2</v>
      </c>
      <c r="DA75">
        <v>35.586629629629627</v>
      </c>
      <c r="DB75" t="s">
        <v>3343</v>
      </c>
      <c r="DC75">
        <v>-6.8308656923472877E-2</v>
      </c>
      <c r="DD75">
        <v>17.793314814814813</v>
      </c>
      <c r="DE75" t="s">
        <v>3344</v>
      </c>
      <c r="DF75">
        <v>-6.3275387465953833E-2</v>
      </c>
      <c r="DG75">
        <v>10.675988888888888</v>
      </c>
      <c r="DH75" t="s">
        <v>3345</v>
      </c>
      <c r="DI75">
        <v>-5.7523079514503486E-2</v>
      </c>
      <c r="DJ75">
        <v>5.337994444444444</v>
      </c>
      <c r="DK75" t="s">
        <v>3346</v>
      </c>
      <c r="DL75">
        <v>-5.0332694575190545E-2</v>
      </c>
      <c r="DM75">
        <v>206999999.99999997</v>
      </c>
      <c r="DN75">
        <v>-7.1903849393129354E-2</v>
      </c>
      <c r="DO75">
        <v>22099297000</v>
      </c>
      <c r="DP75">
        <v>2145320000</v>
      </c>
      <c r="DQ75">
        <v>3528</v>
      </c>
      <c r="DR75">
        <v>6.7047805617218961</v>
      </c>
      <c r="DS75">
        <v>3.286580329090754</v>
      </c>
      <c r="DT75" s="10">
        <v>-0.49</v>
      </c>
      <c r="DU75">
        <v>0.27333333333333326</v>
      </c>
      <c r="DV75">
        <v>-0.21666666666666673</v>
      </c>
      <c r="DW75">
        <v>1.0448</v>
      </c>
      <c r="DX75">
        <v>0.32945812807881847</v>
      </c>
      <c r="DY75">
        <v>1.0053517241379311</v>
      </c>
      <c r="DZ75">
        <v>724</v>
      </c>
      <c r="EA75">
        <v>1.0045934759430462</v>
      </c>
      <c r="EB75">
        <v>1</v>
      </c>
      <c r="EC75">
        <v>4.4584801963349206E-2</v>
      </c>
      <c r="ED75">
        <v>0.3732253525179336</v>
      </c>
      <c r="EE75" s="11">
        <v>7.0099999999999989E-3</v>
      </c>
      <c r="EF75">
        <v>2.921E-2</v>
      </c>
      <c r="EG75">
        <v>21.119458128078819</v>
      </c>
      <c r="EH75">
        <v>-1</v>
      </c>
      <c r="EI75">
        <v>0</v>
      </c>
      <c r="EJ75">
        <v>1</v>
      </c>
      <c r="EK75" s="13">
        <v>45470</v>
      </c>
      <c r="EL75" s="14">
        <v>-0.86</v>
      </c>
      <c r="EM75" s="14">
        <v>-3.51</v>
      </c>
      <c r="EN75" s="14">
        <v>-1.58</v>
      </c>
      <c r="EO75" s="14">
        <v>1.5</v>
      </c>
      <c r="EP75" s="14">
        <v>-2.2200000000000002</v>
      </c>
    </row>
    <row r="76" spans="1:146" ht="96" x14ac:dyDescent="0.25">
      <c r="C76" s="7" t="str">
        <f>""&amp;CHAR(10)&amp;Basic_Fundamental_Information_Constructure(F76)&amp;CHAR(10)&amp;Basic_Fundamental_Information_Concatenate("")</f>
        <v xml:space="preserve">
市值31.509268亿, 利润3.20亿; PE; 平均PE37.75; 平均PEG.04, PB1.38; ROIC1.85%; ROE1.3667%; 股利率0%; 毛利35.14%; 净利-4.2767%; 上一年度营收增4944.33%, 利润增442.12%; 当季营收增-99.46%, 利润增-108.03%; 过往5年营收增1013.45%, 利润增208.8%
Income profile:
</v>
      </c>
      <c r="D76" t="s">
        <v>2051</v>
      </c>
      <c r="E76" t="s">
        <v>2052</v>
      </c>
      <c r="F76">
        <v>1.66</v>
      </c>
      <c r="G76">
        <v>0.61</v>
      </c>
      <c r="H76" t="s">
        <v>3347</v>
      </c>
      <c r="I76">
        <v>3150926800</v>
      </c>
      <c r="K76">
        <v>1.38</v>
      </c>
      <c r="L76" t="s">
        <v>67</v>
      </c>
      <c r="M76" t="s">
        <v>1781</v>
      </c>
      <c r="N76" t="s">
        <v>1357</v>
      </c>
      <c r="O76" t="s">
        <v>2054</v>
      </c>
      <c r="P76" s="5">
        <v>-70.209999999999994</v>
      </c>
      <c r="Q76" t="s">
        <v>3348</v>
      </c>
      <c r="R76">
        <v>-9630081</v>
      </c>
      <c r="S76">
        <v>-1.9590000000000001</v>
      </c>
      <c r="T76" t="s">
        <v>339</v>
      </c>
      <c r="U76">
        <v>1898148700</v>
      </c>
      <c r="V76">
        <v>1898148700</v>
      </c>
      <c r="W76">
        <v>1.1599999999999999</v>
      </c>
      <c r="X76">
        <v>0.01</v>
      </c>
      <c r="Y76">
        <v>-64.31</v>
      </c>
      <c r="Z76" t="s">
        <v>3349</v>
      </c>
      <c r="AA76" t="s">
        <v>3350</v>
      </c>
      <c r="AB76" t="s">
        <v>3351</v>
      </c>
      <c r="AC76" t="s">
        <v>3352</v>
      </c>
      <c r="AD76" t="s">
        <v>70</v>
      </c>
      <c r="AE76">
        <v>737620</v>
      </c>
      <c r="AF76" t="s">
        <v>105</v>
      </c>
      <c r="AG76" t="s">
        <v>3353</v>
      </c>
      <c r="AH76" t="s">
        <v>2055</v>
      </c>
      <c r="AI76" t="s">
        <v>1629</v>
      </c>
      <c r="AJ76" t="s">
        <v>2056</v>
      </c>
      <c r="AK76" t="s">
        <v>70</v>
      </c>
      <c r="AL76" t="s">
        <v>2057</v>
      </c>
      <c r="AM76" t="s">
        <v>70</v>
      </c>
      <c r="AN76" t="s">
        <v>3354</v>
      </c>
      <c r="AO76" t="s">
        <v>2058</v>
      </c>
      <c r="AP76" t="s">
        <v>70</v>
      </c>
      <c r="AQ76" t="s">
        <v>3132</v>
      </c>
      <c r="AR76" t="s">
        <v>70</v>
      </c>
      <c r="AS76" t="s">
        <v>393</v>
      </c>
      <c r="AT76" t="s">
        <v>3355</v>
      </c>
      <c r="AU76" t="s">
        <v>3356</v>
      </c>
      <c r="AV76" t="s">
        <v>3357</v>
      </c>
      <c r="AW76" t="s">
        <v>3358</v>
      </c>
      <c r="AX76" t="s">
        <v>389</v>
      </c>
      <c r="AY76" t="s">
        <v>1011</v>
      </c>
      <c r="AZ76" t="s">
        <v>212</v>
      </c>
      <c r="BA76" t="s">
        <v>942</v>
      </c>
      <c r="BB76" t="s">
        <v>1307</v>
      </c>
      <c r="BC76" t="s">
        <v>2059</v>
      </c>
      <c r="BD76" t="s">
        <v>2060</v>
      </c>
      <c r="BE76" t="s">
        <v>2061</v>
      </c>
      <c r="BF76" t="s">
        <v>2062</v>
      </c>
      <c r="BG76" t="s">
        <v>2063</v>
      </c>
      <c r="BH76" t="s">
        <v>1235</v>
      </c>
      <c r="BI76" t="s">
        <v>3359</v>
      </c>
      <c r="BJ76" t="s">
        <v>389</v>
      </c>
      <c r="BK76" t="s">
        <v>1341</v>
      </c>
      <c r="BL76" t="s">
        <v>466</v>
      </c>
      <c r="BM76" t="s">
        <v>2059</v>
      </c>
      <c r="BN76">
        <v>1.36</v>
      </c>
      <c r="BO76">
        <v>3.01</v>
      </c>
      <c r="BP76">
        <v>1.18</v>
      </c>
      <c r="BQ76">
        <v>1.29</v>
      </c>
      <c r="BR76">
        <v>2.4300000000000002</v>
      </c>
      <c r="BS76">
        <v>0.38</v>
      </c>
      <c r="BT76" t="s">
        <v>929</v>
      </c>
      <c r="BU76" t="s">
        <v>883</v>
      </c>
      <c r="BV76">
        <v>39.03</v>
      </c>
      <c r="BW76">
        <v>35.11</v>
      </c>
      <c r="BX76">
        <v>31.28</v>
      </c>
      <c r="BY76">
        <v>-36.15</v>
      </c>
      <c r="BZ76">
        <v>15.51</v>
      </c>
      <c r="CA76">
        <v>7.81</v>
      </c>
      <c r="CB76">
        <v>2.4700000000000002</v>
      </c>
      <c r="CC76" s="8">
        <v>-23.15</v>
      </c>
      <c r="CD76" s="9" t="s">
        <v>3360</v>
      </c>
      <c r="CE76" s="8" t="s">
        <v>1525</v>
      </c>
      <c r="CF76" s="8">
        <v>-0.99461867749419952</v>
      </c>
      <c r="CG76" s="8">
        <v>-1.080250675</v>
      </c>
      <c r="CH76" s="8">
        <v>49.443302154541016</v>
      </c>
      <c r="CI76" s="8">
        <v>0.39367815852165222</v>
      </c>
      <c r="CJ76" s="9">
        <v>0.91208791732788086</v>
      </c>
      <c r="CK76" s="9">
        <v>-0.3680555522441864</v>
      </c>
      <c r="CL76" s="9">
        <v>0.29147982597351074</v>
      </c>
      <c r="CM76" s="9">
        <v>4.421229362487793</v>
      </c>
      <c r="CN76" s="9">
        <v>5.5631718635559082</v>
      </c>
      <c r="CO76">
        <v>-0.73756498098373413</v>
      </c>
      <c r="CP76">
        <v>-0.39522144198417664</v>
      </c>
      <c r="CQ76">
        <v>1.5882903337478638</v>
      </c>
      <c r="CR76" s="8">
        <v>37.746959318550331</v>
      </c>
      <c r="CS76" s="9">
        <v>3.7246006120067364E-2</v>
      </c>
      <c r="CT76">
        <v>0</v>
      </c>
      <c r="CU76">
        <v>10.134498500823975</v>
      </c>
      <c r="CV76">
        <v>2.087981027364731</v>
      </c>
      <c r="CW76">
        <v>0.06</v>
      </c>
      <c r="CX76">
        <v>0.36054677493583731</v>
      </c>
      <c r="CY76">
        <v>3361358037.9845963</v>
      </c>
      <c r="CZ76">
        <v>10.134498500823975</v>
      </c>
      <c r="DA76">
        <v>3.3862329824968541E-3</v>
      </c>
      <c r="DB76">
        <v>357898232715.92505</v>
      </c>
      <c r="DC76">
        <v>9.6277735757827756</v>
      </c>
      <c r="DD76">
        <v>5.0400731831353703E-6</v>
      </c>
      <c r="DE76">
        <v>240458175102543.75</v>
      </c>
      <c r="DF76">
        <v>8.9183586807250972</v>
      </c>
      <c r="DG76">
        <v>1.5261899084406546E-9</v>
      </c>
      <c r="DH76">
        <v>7.9408649821191334E+17</v>
      </c>
      <c r="DI76">
        <v>8.107598800659181</v>
      </c>
      <c r="DJ76">
        <v>7.2453645544115265E-18</v>
      </c>
      <c r="DK76">
        <v>1.6726926449299052E+26</v>
      </c>
      <c r="DL76">
        <v>7.0941489505767823</v>
      </c>
      <c r="DM76">
        <v>320000000</v>
      </c>
      <c r="DN76">
        <v>10.134498500823975</v>
      </c>
      <c r="DO76">
        <v>1211926800</v>
      </c>
      <c r="DP76">
        <v>566788220</v>
      </c>
      <c r="DQ76" s="10">
        <v>3533</v>
      </c>
      <c r="DR76">
        <v>-11.129117178318175</v>
      </c>
      <c r="DS76">
        <v>-3.1682317023647313</v>
      </c>
      <c r="DT76">
        <v>0.26</v>
      </c>
      <c r="DU76">
        <v>-0.4316666666666667</v>
      </c>
      <c r="DV76">
        <v>-0.17166666666666669</v>
      </c>
      <c r="DW76">
        <v>-3.0808630952380951</v>
      </c>
      <c r="DX76">
        <v>0.23309342115094153</v>
      </c>
      <c r="DY76">
        <v>-3.0067191912281879</v>
      </c>
      <c r="DZ76">
        <v>2503</v>
      </c>
      <c r="EA76">
        <v>-3.0034279709455745</v>
      </c>
      <c r="EB76" s="11">
        <v>3</v>
      </c>
      <c r="EC76" s="11">
        <v>4.7847199747838513E-2</v>
      </c>
      <c r="ED76">
        <v>0.57582422283354306</v>
      </c>
      <c r="EE76">
        <v>2.9209999999999996E-2</v>
      </c>
      <c r="EF76">
        <v>5.2310000000000002E-2</v>
      </c>
      <c r="EG76">
        <v>15.083093421150942</v>
      </c>
      <c r="EH76" s="13">
        <v>-1</v>
      </c>
      <c r="EI76">
        <v>0</v>
      </c>
      <c r="EJ76">
        <v>0</v>
      </c>
      <c r="EK76">
        <v>45470</v>
      </c>
      <c r="EL76">
        <v>1.37</v>
      </c>
      <c r="EM76">
        <v>-2.4900000000000002</v>
      </c>
      <c r="EN76" s="14">
        <v>-1.1599999999999999</v>
      </c>
      <c r="EO76" s="14">
        <v>1.29</v>
      </c>
      <c r="EP76" s="14">
        <v>-2.31</v>
      </c>
    </row>
    <row r="77" spans="1:146" ht="96" x14ac:dyDescent="0.25">
      <c r="A77" s="7"/>
      <c r="B77" s="7"/>
      <c r="C77" s="7" t="str">
        <f>""&amp;CHAR(10)&amp;Basic_Fundamental_Information_Constructure(F77)&amp;CHAR(10)&amp;Basic_Fundamental_Information_Concatenate("")</f>
        <v xml:space="preserve">
市值1389.4591亿, 利润104.29亿; PE19.5; 平均PE26.38; 平均PEG.77, PB2.51; ROIC4.8667%; ROE8.39%; 股利率2.6545%; 毛利32.46%; 净利16.1667%; 上一年度营收增149.08%, 利润增155.55%; 当季营收增-57.67%, 利润增-43.69%; 过往5年营收增34.38%, 利润增38.24%
Income profile:
</v>
      </c>
      <c r="D77" t="s">
        <v>262</v>
      </c>
      <c r="E77" t="s">
        <v>42</v>
      </c>
      <c r="F77">
        <v>18.64</v>
      </c>
      <c r="G77">
        <v>-1.95</v>
      </c>
      <c r="H77" t="s">
        <v>3361</v>
      </c>
      <c r="I77">
        <v>138945910000</v>
      </c>
      <c r="J77">
        <v>19.5</v>
      </c>
      <c r="K77">
        <v>2.5099999999999998</v>
      </c>
      <c r="L77" t="s">
        <v>67</v>
      </c>
      <c r="M77" t="s">
        <v>2064</v>
      </c>
      <c r="N77" t="s">
        <v>3362</v>
      </c>
      <c r="O77" t="s">
        <v>2065</v>
      </c>
      <c r="P77">
        <v>6.43</v>
      </c>
      <c r="Q77" t="s">
        <v>3363</v>
      </c>
      <c r="R77">
        <v>2035489000</v>
      </c>
      <c r="S77" s="5">
        <v>0.26140000000000002</v>
      </c>
      <c r="T77" t="s">
        <v>3364</v>
      </c>
      <c r="U77">
        <v>6965873300</v>
      </c>
      <c r="V77">
        <v>7454179800</v>
      </c>
      <c r="W77">
        <v>2.66</v>
      </c>
      <c r="X77">
        <v>0.05</v>
      </c>
      <c r="Y77">
        <v>26.33</v>
      </c>
      <c r="Z77" t="s">
        <v>3365</v>
      </c>
      <c r="AA77" t="s">
        <v>3366</v>
      </c>
      <c r="AB77" t="s">
        <v>3367</v>
      </c>
      <c r="AC77" t="s">
        <v>3227</v>
      </c>
      <c r="AD77" t="s">
        <v>70</v>
      </c>
      <c r="AE77">
        <v>946299980</v>
      </c>
      <c r="AF77" t="s">
        <v>2069</v>
      </c>
      <c r="AG77" t="s">
        <v>3368</v>
      </c>
      <c r="AH77" t="s">
        <v>2070</v>
      </c>
      <c r="AI77" t="s">
        <v>3369</v>
      </c>
      <c r="AJ77" t="s">
        <v>2071</v>
      </c>
      <c r="AK77" t="s">
        <v>3370</v>
      </c>
      <c r="AL77" t="s">
        <v>2072</v>
      </c>
      <c r="AM77" t="s">
        <v>70</v>
      </c>
      <c r="AN77" t="s">
        <v>3371</v>
      </c>
      <c r="AO77" t="s">
        <v>3372</v>
      </c>
      <c r="AP77" t="s">
        <v>3373</v>
      </c>
      <c r="AQ77" t="s">
        <v>3374</v>
      </c>
      <c r="AR77" t="s">
        <v>3375</v>
      </c>
      <c r="AS77" t="s">
        <v>3376</v>
      </c>
      <c r="AT77" t="s">
        <v>3377</v>
      </c>
      <c r="AU77" t="s">
        <v>1956</v>
      </c>
      <c r="AV77" t="s">
        <v>3378</v>
      </c>
      <c r="AW77" t="s">
        <v>3379</v>
      </c>
      <c r="AX77" t="s">
        <v>1171</v>
      </c>
      <c r="AY77" t="s">
        <v>1172</v>
      </c>
      <c r="AZ77" t="s">
        <v>545</v>
      </c>
      <c r="BA77" t="s">
        <v>263</v>
      </c>
      <c r="BB77" t="s">
        <v>547</v>
      </c>
      <c r="BC77" t="s">
        <v>2073</v>
      </c>
      <c r="BD77" t="s">
        <v>1173</v>
      </c>
      <c r="BE77" t="s">
        <v>546</v>
      </c>
      <c r="BF77" t="s">
        <v>264</v>
      </c>
      <c r="BG77" t="s">
        <v>548</v>
      </c>
      <c r="BH77" t="s">
        <v>2066</v>
      </c>
      <c r="BI77" t="s">
        <v>3380</v>
      </c>
      <c r="BJ77" t="s">
        <v>1171</v>
      </c>
      <c r="BK77" t="s">
        <v>2067</v>
      </c>
      <c r="BL77" t="s">
        <v>1690</v>
      </c>
      <c r="BM77" t="s">
        <v>2073</v>
      </c>
      <c r="BN77">
        <v>5.63</v>
      </c>
      <c r="BO77">
        <v>5.05</v>
      </c>
      <c r="BP77">
        <v>3.92</v>
      </c>
      <c r="BQ77">
        <v>11.58</v>
      </c>
      <c r="BR77">
        <v>8.25</v>
      </c>
      <c r="BS77">
        <v>5.34</v>
      </c>
      <c r="BT77" t="s">
        <v>2074</v>
      </c>
      <c r="BU77" t="s">
        <v>883</v>
      </c>
      <c r="BV77">
        <v>36.08</v>
      </c>
      <c r="BW77">
        <v>32.04</v>
      </c>
      <c r="BX77">
        <v>29.26</v>
      </c>
      <c r="BY77">
        <v>21.44</v>
      </c>
      <c r="BZ77">
        <v>15.21</v>
      </c>
      <c r="CA77">
        <v>11.85</v>
      </c>
      <c r="CB77">
        <v>2.19</v>
      </c>
      <c r="CC77">
        <v>13.87</v>
      </c>
      <c r="CD77" t="s">
        <v>159</v>
      </c>
      <c r="CE77" t="s">
        <v>1289</v>
      </c>
      <c r="CF77" s="8">
        <v>-0.57669227076332197</v>
      </c>
      <c r="CG77" s="9">
        <v>-0.43693250345781465</v>
      </c>
      <c r="CH77" s="8">
        <v>1.4907999038696289</v>
      </c>
      <c r="CI77" s="8">
        <v>0.15361234545707703</v>
      </c>
      <c r="CJ77" s="8">
        <v>0.11307231336832047</v>
      </c>
      <c r="CK77" s="8">
        <v>-7.3362737894058228E-2</v>
      </c>
      <c r="CL77" s="8">
        <v>3.4673627465963364E-2</v>
      </c>
      <c r="CM77" s="9">
        <v>1.5555011034011841</v>
      </c>
      <c r="CN77" s="9">
        <v>0.66164493560791016</v>
      </c>
      <c r="CO77" s="9">
        <v>-0.55474984645843506</v>
      </c>
      <c r="CP77" s="9">
        <v>0.1600421667098999</v>
      </c>
      <c r="CQ77" s="9">
        <v>8.9596591889858246E-2</v>
      </c>
      <c r="CR77">
        <v>26.381299958862062</v>
      </c>
      <c r="CS77">
        <v>0.76743570400036776</v>
      </c>
      <c r="CT77">
        <v>2.6545064377682404</v>
      </c>
      <c r="CU77" s="8">
        <v>0.34375909045338632</v>
      </c>
      <c r="CV77" s="9">
        <v>0.38240699023008345</v>
      </c>
      <c r="CW77">
        <v>0.06</v>
      </c>
      <c r="CX77">
        <v>15.744635647216972</v>
      </c>
      <c r="CY77">
        <v>13220814673.904118</v>
      </c>
      <c r="CZ77">
        <v>0.34375909045338632</v>
      </c>
      <c r="DA77">
        <v>4.177561350347812</v>
      </c>
      <c r="DB77">
        <v>49827373566.319839</v>
      </c>
      <c r="DC77">
        <v>0.32657113593071696</v>
      </c>
      <c r="DD77">
        <v>1.5215875900145943</v>
      </c>
      <c r="DE77">
        <v>136802449866.19762</v>
      </c>
      <c r="DF77">
        <v>0.30250799959897995</v>
      </c>
      <c r="DG77">
        <v>0.63033681719151424</v>
      </c>
      <c r="DH77">
        <v>330231241969.09479</v>
      </c>
      <c r="DI77">
        <v>0.27500727236270905</v>
      </c>
      <c r="DJ77">
        <v>0.13050872612885381</v>
      </c>
      <c r="DK77">
        <v>1594965456903.4917</v>
      </c>
      <c r="DL77">
        <v>0.24063136331737039</v>
      </c>
      <c r="DM77">
        <v>10429000000</v>
      </c>
      <c r="DN77">
        <v>0.34375909045338632</v>
      </c>
      <c r="DO77">
        <v>208156910000</v>
      </c>
      <c r="DP77">
        <v>-12940898000</v>
      </c>
      <c r="DQ77">
        <v>3549</v>
      </c>
      <c r="DR77">
        <v>-0.92045136121670823</v>
      </c>
      <c r="DS77">
        <v>-0.81933949368789816</v>
      </c>
      <c r="DT77" s="10">
        <v>4.33333333333333E-2</v>
      </c>
      <c r="DU77">
        <v>0.39666666666666672</v>
      </c>
      <c r="DV77">
        <v>0.44</v>
      </c>
      <c r="DW77">
        <v>2.1387</v>
      </c>
      <c r="DX77">
        <v>0.57528473804100311</v>
      </c>
      <c r="DY77">
        <v>2.017376993166287</v>
      </c>
      <c r="DZ77">
        <v>1167</v>
      </c>
      <c r="EA77">
        <v>2.0134085095997398</v>
      </c>
      <c r="EB77">
        <v>2</v>
      </c>
      <c r="EC77">
        <v>1.4756821401061458E-2</v>
      </c>
      <c r="ED77">
        <v>0.11778626536483597</v>
      </c>
      <c r="EE77" s="11">
        <v>3.0371000000000001</v>
      </c>
      <c r="EF77">
        <v>3.0467</v>
      </c>
      <c r="EG77">
        <v>45.125284738041003</v>
      </c>
      <c r="EH77" t="s">
        <v>1458</v>
      </c>
      <c r="EI77">
        <v>1</v>
      </c>
      <c r="EJ77">
        <v>1</v>
      </c>
      <c r="EK77" s="13">
        <v>45470</v>
      </c>
      <c r="EL77" s="14">
        <v>-0.11</v>
      </c>
      <c r="EM77" s="14">
        <v>-2.65</v>
      </c>
      <c r="EN77" s="14">
        <v>-0.26</v>
      </c>
      <c r="EO77" s="14">
        <v>1.53</v>
      </c>
      <c r="EP77" s="14">
        <v>0.96</v>
      </c>
    </row>
    <row r="78" spans="1:146" ht="156" x14ac:dyDescent="0.25">
      <c r="A78" s="7" t="s">
        <v>714</v>
      </c>
      <c r="B78" s="7"/>
      <c r="C78" s="7" t="str">
        <f>"公司是全球最大的水电上市公司,拥有总装机容量4549.5万千瓦,占全国水电装机的比例为12.77%,2019年发电量2104.63亿千瓦时,占全国水电发电量的16.17%。公司在全球水电行业中具有引领地位。"&amp;CHAR(10)&amp;Basic_Fundamental_Information_Constructure(F78)&amp;CHAR(10)&amp;Basic_Fundamental_Information_Concatenate("境内水电行业 528.82亿 91.52% 利润占比95.83% 66.39%
其他行业 43.43亿 7.52% 利润占比3.83% 32.33%
其他业务 5.58亿 0.97% 利润占比0.34% 22.16%")</f>
        <v>公司是全球最大的水电上市公司,拥有总装机容量4549.5万千瓦,占全国水电装机的比例为12.77%,2019年发电量2104.63亿千瓦时,占全国水电发电量的16.17%。公司在全球水电行业中具有引领地位。
市值7174.0814亿, 利润26.60亿; PE26; 平均PE34.96; 平均PEG2.93, PB3.49; ROIC7.2133%; ROE12.3933%; 股利率2.7967%; 毛利59.06%; 净利41.6567%; 上一年度营收增-93.05%, 利润增-88.79%; 当季营收增1191.58%, 利润增483.36%; 过往5年营收增-11.95%, 利润增-16.25%
Income profile:
境内水电行业 528.82亿 91.52% 利润占比95.83% 66.39%
其他行业 43.43亿 7.52% 利润占比3.83% 32.33%
其他业务 5.58亿 0.97% 利润占比0.34% 22.16%</v>
      </c>
      <c r="D78" t="s">
        <v>265</v>
      </c>
      <c r="E78" t="s">
        <v>32</v>
      </c>
      <c r="F78">
        <v>29.32</v>
      </c>
      <c r="G78">
        <v>-0.24</v>
      </c>
      <c r="H78" t="s">
        <v>271</v>
      </c>
      <c r="I78">
        <v>717408140000</v>
      </c>
      <c r="J78">
        <v>26</v>
      </c>
      <c r="K78">
        <v>3.49</v>
      </c>
      <c r="L78" t="s">
        <v>67</v>
      </c>
      <c r="M78" t="s">
        <v>2075</v>
      </c>
      <c r="N78" t="s">
        <v>3381</v>
      </c>
      <c r="O78" t="s">
        <v>2076</v>
      </c>
      <c r="P78">
        <v>1.58</v>
      </c>
      <c r="Q78" t="s">
        <v>3382</v>
      </c>
      <c r="R78">
        <v>3966850800</v>
      </c>
      <c r="S78" s="5">
        <v>9.8000000000000004E-2</v>
      </c>
      <c r="T78" t="s">
        <v>3383</v>
      </c>
      <c r="U78">
        <v>24007257000</v>
      </c>
      <c r="V78">
        <v>24468218000</v>
      </c>
      <c r="W78">
        <v>2.62</v>
      </c>
      <c r="X78">
        <v>0.03</v>
      </c>
      <c r="Y78">
        <v>26.06</v>
      </c>
      <c r="Z78" t="s">
        <v>1606</v>
      </c>
      <c r="AA78" t="s">
        <v>3384</v>
      </c>
      <c r="AB78" t="s">
        <v>3385</v>
      </c>
      <c r="AC78" t="s">
        <v>1278</v>
      </c>
      <c r="AD78" t="s">
        <v>70</v>
      </c>
      <c r="AE78">
        <v>2850773500</v>
      </c>
      <c r="AF78" t="s">
        <v>2079</v>
      </c>
      <c r="AG78" t="s">
        <v>3386</v>
      </c>
      <c r="AH78" t="s">
        <v>2080</v>
      </c>
      <c r="AI78" t="s">
        <v>3387</v>
      </c>
      <c r="AJ78" t="s">
        <v>2081</v>
      </c>
      <c r="AK78" t="s">
        <v>70</v>
      </c>
      <c r="AL78" t="s">
        <v>2082</v>
      </c>
      <c r="AM78" t="s">
        <v>70</v>
      </c>
      <c r="AN78" t="s">
        <v>3388</v>
      </c>
      <c r="AO78" t="s">
        <v>3389</v>
      </c>
      <c r="AP78" t="s">
        <v>70</v>
      </c>
      <c r="AQ78" t="s">
        <v>2594</v>
      </c>
      <c r="AR78" t="s">
        <v>70</v>
      </c>
      <c r="AS78" t="s">
        <v>3390</v>
      </c>
      <c r="AT78" t="s">
        <v>3391</v>
      </c>
      <c r="AU78" t="s">
        <v>3392</v>
      </c>
      <c r="AV78" t="s">
        <v>3393</v>
      </c>
      <c r="AW78" t="s">
        <v>3394</v>
      </c>
      <c r="AX78" t="s">
        <v>2083</v>
      </c>
      <c r="AY78" t="s">
        <v>784</v>
      </c>
      <c r="AZ78" t="s">
        <v>549</v>
      </c>
      <c r="BA78" t="s">
        <v>266</v>
      </c>
      <c r="BB78" t="s">
        <v>551</v>
      </c>
      <c r="BC78" t="s">
        <v>2084</v>
      </c>
      <c r="BD78" t="s">
        <v>785</v>
      </c>
      <c r="BE78" t="s">
        <v>550</v>
      </c>
      <c r="BF78" t="s">
        <v>267</v>
      </c>
      <c r="BG78" t="s">
        <v>552</v>
      </c>
      <c r="BH78" t="s">
        <v>2077</v>
      </c>
      <c r="BI78" t="s">
        <v>3395</v>
      </c>
      <c r="BJ78" t="s">
        <v>2083</v>
      </c>
      <c r="BK78" t="s">
        <v>2078</v>
      </c>
      <c r="BL78" t="s">
        <v>916</v>
      </c>
      <c r="BM78" t="s">
        <v>2084</v>
      </c>
      <c r="BN78">
        <v>5.6</v>
      </c>
      <c r="BO78">
        <v>5.96</v>
      </c>
      <c r="BP78">
        <v>10.08</v>
      </c>
      <c r="BQ78">
        <v>10.53</v>
      </c>
      <c r="BR78">
        <v>11.73</v>
      </c>
      <c r="BS78">
        <v>14.92</v>
      </c>
      <c r="BT78" t="s">
        <v>2085</v>
      </c>
      <c r="BU78" t="s">
        <v>883</v>
      </c>
      <c r="BV78">
        <v>57.83</v>
      </c>
      <c r="BW78">
        <v>57.29</v>
      </c>
      <c r="BX78">
        <v>62.06</v>
      </c>
      <c r="BY78">
        <v>35.79</v>
      </c>
      <c r="BZ78">
        <v>41.58</v>
      </c>
      <c r="CA78">
        <v>47.6</v>
      </c>
      <c r="CB78">
        <v>1.38</v>
      </c>
      <c r="CC78">
        <v>12.12</v>
      </c>
      <c r="CD78" t="s">
        <v>1261</v>
      </c>
      <c r="CE78" t="s">
        <v>3396</v>
      </c>
      <c r="CF78" s="8">
        <v>11.915772089182493</v>
      </c>
      <c r="CG78" s="9">
        <v>4.8336041176470586</v>
      </c>
      <c r="CH78" s="8">
        <v>-0.93048518896102905</v>
      </c>
      <c r="CI78" s="8">
        <v>0.23751935362815857</v>
      </c>
      <c r="CJ78" s="8">
        <v>-3.6983229219913483E-2</v>
      </c>
      <c r="CK78" s="8">
        <v>0.15857960283756256</v>
      </c>
      <c r="CL78" s="8">
        <v>-2.6164686307311058E-2</v>
      </c>
      <c r="CM78" s="9">
        <v>-0.88788670301437378</v>
      </c>
      <c r="CN78" s="9">
        <v>-9.6943601965904236E-2</v>
      </c>
      <c r="CO78" s="9">
        <v>-9.5064024208113551E-4</v>
      </c>
      <c r="CP78" s="9">
        <v>0.22072131931781769</v>
      </c>
      <c r="CQ78" s="9">
        <v>-4.7233615070581436E-2</v>
      </c>
      <c r="CR78">
        <v>34.96396617686478</v>
      </c>
      <c r="CS78">
        <v>2.9256877027508663</v>
      </c>
      <c r="CT78">
        <v>2.7967257844474758</v>
      </c>
      <c r="CU78" s="8">
        <v>-0.1195068296045065</v>
      </c>
      <c r="CV78" s="9">
        <v>-0.16245864819502459</v>
      </c>
      <c r="CW78">
        <v>0.06</v>
      </c>
      <c r="CX78">
        <v>323.51997744360904</v>
      </c>
      <c r="CY78" t="s">
        <v>3397</v>
      </c>
      <c r="CZ78">
        <v>-0.1195068296045065</v>
      </c>
      <c r="DA78">
        <v>107.83999248120301</v>
      </c>
      <c r="DB78" t="s">
        <v>3398</v>
      </c>
      <c r="DC78">
        <v>-0.11353148812428117</v>
      </c>
      <c r="DD78">
        <v>53.919996240601506</v>
      </c>
      <c r="DE78" t="s">
        <v>3399</v>
      </c>
      <c r="DF78">
        <v>-0.10516601005196571</v>
      </c>
      <c r="DG78">
        <v>32.351997744360901</v>
      </c>
      <c r="DH78" t="s">
        <v>3400</v>
      </c>
      <c r="DI78">
        <v>-9.5605463683605202E-2</v>
      </c>
      <c r="DJ78">
        <v>16.17599887218045</v>
      </c>
      <c r="DK78" t="s">
        <v>3401</v>
      </c>
      <c r="DL78">
        <v>-8.3654780723154548E-2</v>
      </c>
      <c r="DM78">
        <v>2660000000</v>
      </c>
      <c r="DN78">
        <v>-0.1195068296045065</v>
      </c>
      <c r="DO78">
        <v>860563140000</v>
      </c>
      <c r="DP78">
        <v>-141065158000</v>
      </c>
      <c r="DQ78">
        <v>3559</v>
      </c>
      <c r="DR78">
        <v>12.035278918787</v>
      </c>
      <c r="DS78">
        <v>4.9960627658420833</v>
      </c>
      <c r="DT78" s="10">
        <v>-0.50666666666666671</v>
      </c>
      <c r="DU78">
        <v>-0.4366666666666667</v>
      </c>
      <c r="DV78">
        <v>-0.94333333333333336</v>
      </c>
      <c r="DW78">
        <v>2.1212</v>
      </c>
      <c r="DX78">
        <v>0.51822212964993042</v>
      </c>
      <c r="DY78">
        <v>2.017964522113572</v>
      </c>
      <c r="DZ78">
        <v>5037</v>
      </c>
      <c r="EA78">
        <v>2.0002566360301941</v>
      </c>
      <c r="EB78">
        <v>2</v>
      </c>
      <c r="EC78">
        <v>1.5162526343356922E-2</v>
      </c>
      <c r="ED78">
        <v>0.10229596613860478</v>
      </c>
      <c r="EE78" s="11">
        <v>-4.0412100000000004</v>
      </c>
      <c r="EF78">
        <v>-4.0206099999999996</v>
      </c>
      <c r="EG78">
        <v>37.14822212964993</v>
      </c>
      <c r="EH78" t="s">
        <v>2718</v>
      </c>
      <c r="EI78">
        <v>1</v>
      </c>
      <c r="EJ78">
        <v>0</v>
      </c>
      <c r="EK78" s="13">
        <v>45470</v>
      </c>
      <c r="EL78" s="14">
        <v>-4.55</v>
      </c>
      <c r="EM78" s="14">
        <v>-4.76</v>
      </c>
      <c r="EN78" s="14">
        <v>-5</v>
      </c>
      <c r="EO78" s="14">
        <v>2.11</v>
      </c>
      <c r="EP78" s="14">
        <v>2.06</v>
      </c>
    </row>
    <row r="79" spans="1:146" ht="168" x14ac:dyDescent="0.25">
      <c r="A79" s="7"/>
      <c r="B79" s="7"/>
      <c r="C79" s="7" t="str">
        <f>"公司主营业务为风能、太阳能的开发、投资和运营。主要产品有海上风电、陆上风电、光伏发电。目前三峡新能源业务已覆盖全国30个省、自治区和直辖市，装机规模、盈利能力等跻身国内新能源企业第一梯队。"&amp;CHAR(10)&amp;Basic_Fundamental_Information_Constructure(F79)&amp;CHAR(10)&amp;Basic_Fundamental_Information_Concatenate("风力发电 100.68亿 65.02% 67.24% 60.40%
其他业务 33.25亿 21.48% 34.90% 94.91%
光伏发电 19.63亿 12.68% -2.70% -12.44%
水力发电 1.28亿 0.82% 0.56% 39.83%")</f>
        <v>公司主营业务为风能、太阳能的开发、投资和运营。主要产品有海上风电、陆上风电、光伏发电。目前三峡新能源业务已覆盖全国30个省、自治区和直辖市，装机规模、盈利能力等跻身国内新能源企业第一梯队。
市值1285.09454亿, 利润6.06亿; PE17.89; 平均PE33.06; 平均PEG3.48, PB1.51; ROIC5%; ROE8.9133%; 股利率1.7372%; 毛利57.3133%; 净利35.2433%; 上一年度营收增-90.27%, 利润增-91.48%; 当季营收增1161.82%, 利润增1098.92%; 过往5年营收增9.5%, 利润增5.87%
Income profile:
风力发电 100.68亿 65.02% 67.24% 60.40%
其他业务 33.25亿 21.48% 34.90% 94.91%
光伏发电 19.63亿 12.68% -2.70% -12.44%
水力发电 1.28亿 0.82% 0.56% 39.83%</v>
      </c>
      <c r="D79" t="s">
        <v>553</v>
      </c>
      <c r="E79" t="s">
        <v>554</v>
      </c>
      <c r="F79">
        <v>4.49</v>
      </c>
      <c r="G79">
        <v>0</v>
      </c>
      <c r="H79" t="s">
        <v>3402</v>
      </c>
      <c r="I79">
        <v>128509454000</v>
      </c>
      <c r="J79">
        <v>17.89</v>
      </c>
      <c r="K79">
        <v>1.51</v>
      </c>
      <c r="L79" t="s">
        <v>67</v>
      </c>
      <c r="M79" t="s">
        <v>2087</v>
      </c>
      <c r="N79" t="s">
        <v>3403</v>
      </c>
      <c r="O79" t="s">
        <v>2088</v>
      </c>
      <c r="P79">
        <v>15.26</v>
      </c>
      <c r="Q79" t="s">
        <v>3404</v>
      </c>
      <c r="R79">
        <v>2421823900</v>
      </c>
      <c r="S79" s="5">
        <v>1E-3</v>
      </c>
      <c r="T79" t="s">
        <v>3095</v>
      </c>
      <c r="U79">
        <v>28585857000</v>
      </c>
      <c r="V79">
        <v>28621259000</v>
      </c>
      <c r="W79">
        <v>3.26</v>
      </c>
      <c r="X79">
        <v>0.02</v>
      </c>
      <c r="Y79">
        <v>36.590000000000003</v>
      </c>
      <c r="Z79" t="s">
        <v>3405</v>
      </c>
      <c r="AA79" t="s">
        <v>3406</v>
      </c>
      <c r="AB79" t="s">
        <v>70</v>
      </c>
      <c r="AC79" t="s">
        <v>1288</v>
      </c>
      <c r="AD79" t="s">
        <v>70</v>
      </c>
      <c r="AE79">
        <v>1077967810</v>
      </c>
      <c r="AF79" t="s">
        <v>2090</v>
      </c>
      <c r="AG79" t="s">
        <v>3407</v>
      </c>
      <c r="AH79" t="s">
        <v>2091</v>
      </c>
      <c r="AI79" t="s">
        <v>3408</v>
      </c>
      <c r="AJ79" t="s">
        <v>2093</v>
      </c>
      <c r="AK79" t="s">
        <v>3409</v>
      </c>
      <c r="AL79" t="s">
        <v>2094</v>
      </c>
      <c r="AM79" t="s">
        <v>70</v>
      </c>
      <c r="AN79" t="s">
        <v>3410</v>
      </c>
      <c r="AO79" t="s">
        <v>3411</v>
      </c>
      <c r="AP79" t="s">
        <v>3412</v>
      </c>
      <c r="AQ79" t="s">
        <v>3413</v>
      </c>
      <c r="AR79" t="s">
        <v>3414</v>
      </c>
      <c r="AS79" t="s">
        <v>3415</v>
      </c>
      <c r="AT79" t="s">
        <v>3416</v>
      </c>
      <c r="AU79" t="s">
        <v>3417</v>
      </c>
      <c r="AV79" t="s">
        <v>3418</v>
      </c>
      <c r="AW79" t="s">
        <v>3419</v>
      </c>
      <c r="AX79" t="s">
        <v>1174</v>
      </c>
      <c r="AY79" t="s">
        <v>1175</v>
      </c>
      <c r="AZ79" t="s">
        <v>555</v>
      </c>
      <c r="BA79" t="s">
        <v>556</v>
      </c>
      <c r="BB79" t="s">
        <v>557</v>
      </c>
      <c r="BC79" t="s">
        <v>1223</v>
      </c>
      <c r="BD79" t="s">
        <v>1118</v>
      </c>
      <c r="BE79" t="s">
        <v>619</v>
      </c>
      <c r="BF79" t="s">
        <v>786</v>
      </c>
      <c r="BG79" t="s">
        <v>558</v>
      </c>
      <c r="BH79" t="s">
        <v>2089</v>
      </c>
      <c r="BI79" t="s">
        <v>1222</v>
      </c>
      <c r="BJ79" t="s">
        <v>1174</v>
      </c>
      <c r="BK79" t="s">
        <v>1290</v>
      </c>
      <c r="BL79" t="s">
        <v>1081</v>
      </c>
      <c r="BM79" t="s">
        <v>1223</v>
      </c>
      <c r="BN79">
        <v>3.77</v>
      </c>
      <c r="BO79">
        <v>5.78</v>
      </c>
      <c r="BP79">
        <v>5.45</v>
      </c>
      <c r="BQ79">
        <v>6.88</v>
      </c>
      <c r="BR79">
        <v>9.7200000000000006</v>
      </c>
      <c r="BS79">
        <v>10.14</v>
      </c>
      <c r="BT79" t="s">
        <v>2095</v>
      </c>
      <c r="BU79" t="s">
        <v>882</v>
      </c>
      <c r="BV79">
        <v>55.13</v>
      </c>
      <c r="BW79">
        <v>58.4</v>
      </c>
      <c r="BX79">
        <v>58.41</v>
      </c>
      <c r="BY79">
        <v>31.22</v>
      </c>
      <c r="BZ79">
        <v>35.200000000000003</v>
      </c>
      <c r="CA79">
        <v>39.31</v>
      </c>
      <c r="CB79">
        <v>2.98</v>
      </c>
      <c r="CC79">
        <v>-2.39</v>
      </c>
      <c r="CD79" t="s">
        <v>395</v>
      </c>
      <c r="CE79" t="s">
        <v>3420</v>
      </c>
      <c r="CF79" s="8">
        <v>11.618210862619806</v>
      </c>
      <c r="CG79" s="9">
        <v>10.989227227722772</v>
      </c>
      <c r="CH79" s="8">
        <v>-0.90269607305526733</v>
      </c>
      <c r="CI79" s="8">
        <v>0.45044764876365662</v>
      </c>
      <c r="CJ79" s="8">
        <v>0.45090588927268982</v>
      </c>
      <c r="CK79" s="8">
        <v>0.26325786113739014</v>
      </c>
      <c r="CL79" s="8">
        <v>0.213192418217659</v>
      </c>
      <c r="CM79" s="9">
        <v>-0.91481584310531616</v>
      </c>
      <c r="CN79" s="9">
        <v>0.10431542992591858</v>
      </c>
      <c r="CO79" s="9">
        <v>0.78399330377578735</v>
      </c>
      <c r="CP79" s="9">
        <v>0.27147889137268066</v>
      </c>
      <c r="CQ79" s="9">
        <v>4.8357352614402771E-2</v>
      </c>
      <c r="CR79">
        <v>33.061346539747881</v>
      </c>
      <c r="CS79">
        <v>3.4793525188633536</v>
      </c>
      <c r="CT79">
        <v>1.7371937639198218</v>
      </c>
      <c r="CU79" s="8">
        <v>9.502154886722565E-2</v>
      </c>
      <c r="CV79" s="9">
        <v>5.8665826916694641E-2</v>
      </c>
      <c r="CW79">
        <v>0.06</v>
      </c>
      <c r="CX79">
        <v>391.62928870272674</v>
      </c>
      <c r="CY79">
        <v>626021753.40899885</v>
      </c>
      <c r="CZ79">
        <v>9.502154886722565E-2</v>
      </c>
      <c r="DA79">
        <v>127.43806737989748</v>
      </c>
      <c r="DB79">
        <v>1923824325.3418462</v>
      </c>
      <c r="DC79">
        <v>9.0270471423864365E-2</v>
      </c>
      <c r="DD79">
        <v>62.37859915620885</v>
      </c>
      <c r="DE79">
        <v>3930329589.2562084</v>
      </c>
      <c r="DF79">
        <v>8.3618963003158575E-2</v>
      </c>
      <c r="DG79">
        <v>37.219076165240587</v>
      </c>
      <c r="DH79">
        <v>6587171936.0129156</v>
      </c>
      <c r="DI79">
        <v>7.6017239093780525E-2</v>
      </c>
      <c r="DJ79">
        <v>18.956099311568487</v>
      </c>
      <c r="DK79">
        <v>12933486471.574831</v>
      </c>
      <c r="DL79">
        <v>6.6515084207057956E-2</v>
      </c>
      <c r="DM79">
        <v>606000000</v>
      </c>
      <c r="DN79">
        <v>9.502154886722565E-2</v>
      </c>
      <c r="DO79">
        <v>245168454000</v>
      </c>
      <c r="DP79">
        <v>11672540000</v>
      </c>
      <c r="DQ79">
        <v>3562</v>
      </c>
      <c r="DR79">
        <v>11.52318931375258</v>
      </c>
      <c r="DS79">
        <v>10.930561400806077</v>
      </c>
      <c r="DT79" s="10">
        <v>-0.27333333333333343</v>
      </c>
      <c r="DU79">
        <v>4.9999999999999968E-2</v>
      </c>
      <c r="DV79">
        <v>-0.22333333333333347</v>
      </c>
      <c r="DW79">
        <v>4.8020134228187921</v>
      </c>
      <c r="DX79">
        <v>0.28979949490367407</v>
      </c>
      <c r="DY79">
        <v>4.0960808029596594</v>
      </c>
      <c r="DZ79">
        <v>1555</v>
      </c>
      <c r="EA79">
        <v>4.0668429069513872</v>
      </c>
      <c r="EB79">
        <v>4</v>
      </c>
      <c r="EC79">
        <v>1.6700872592641716E-2</v>
      </c>
      <c r="ED79">
        <v>0.13940686536535657</v>
      </c>
      <c r="EE79" s="11">
        <v>-1.00671</v>
      </c>
      <c r="EF79">
        <v>-1.02871</v>
      </c>
      <c r="EG79">
        <v>17.119799494903674</v>
      </c>
      <c r="EH79" t="s">
        <v>812</v>
      </c>
      <c r="EI79">
        <v>0</v>
      </c>
      <c r="EJ79">
        <v>0</v>
      </c>
      <c r="EK79" s="13">
        <v>45470</v>
      </c>
      <c r="EL79" s="14">
        <v>-0.61</v>
      </c>
      <c r="EM79" s="14">
        <v>-4.41</v>
      </c>
      <c r="EN79" s="14">
        <v>-0.48</v>
      </c>
      <c r="EO79" s="14">
        <v>1.92</v>
      </c>
      <c r="EP79" s="14">
        <v>-2.2000000000000002</v>
      </c>
    </row>
    <row r="80" spans="1:146" ht="156" x14ac:dyDescent="0.25">
      <c r="A80" s="7"/>
      <c r="B80" s="7"/>
      <c r="C80" s="7" t="str">
        <f>"公司从事风电场及光伏电站的规划、开发、运营及电力销售，在河北、山西、新疆、山东、云南、内蒙古等地区拥有风电/光伏项目。主要业务有天然气销售业务、风力/光伏发电业务、接驳及建设燃气管网业务。"&amp;CHAR(10)&amp;Basic_Fundamental_Information_Constructure(F80)&amp;CHAR(10)&amp;Basic_Fundamental_Information_Concatenate("天然气销售业务 118.51亿 63.85% 21.63% 9.57%
风力/光伏发电业务 62.95亿 33.92% 73.91% 61.55%
接驳及建设燃气管网业务 1.91亿 1.03% 1.59% 43.57%")</f>
        <v>公司从事风电场及光伏电站的规划、开发、运营及电力销售，在河北、山西、新疆、山东、云南、内蒙古等地区拥有风电/光伏项目。主要业务有天然气销售业务、风力/光伏发电业务、接驳及建设燃气管网业务。
市值341.50228亿, 利润27.54亿; PE15.52; 平均PE17.75; 平均PEG1.47, PB1.57; ROIC5.63%; ROE11.9767%; 股利率2.6355%; 毛利27.66%; 净利15.21%; 上一年度营收增-7.93%, 利润增20.1%; 当季营收增78.21%, 利润增-41.73%; 过往5年营收增12.08%, 利润增18.04%
Income profile:
天然气销售业务 118.51亿 63.85% 21.63% 9.57%
风力/光伏发电业务 62.95亿 33.92% 73.91% 61.55%
接驳及建设燃气管网业务 1.91亿 1.03% 1.59% 43.57%</v>
      </c>
      <c r="D80" t="s">
        <v>268</v>
      </c>
      <c r="E80" t="s">
        <v>269</v>
      </c>
      <c r="F80">
        <v>8.1199999999999992</v>
      </c>
      <c r="G80">
        <v>0.25</v>
      </c>
      <c r="H80" t="s">
        <v>3421</v>
      </c>
      <c r="I80">
        <v>34150228000</v>
      </c>
      <c r="J80">
        <v>15.52</v>
      </c>
      <c r="K80">
        <v>1.57</v>
      </c>
      <c r="L80" t="s">
        <v>67</v>
      </c>
      <c r="M80" t="s">
        <v>594</v>
      </c>
      <c r="N80" t="s">
        <v>3422</v>
      </c>
      <c r="O80" t="s">
        <v>2096</v>
      </c>
      <c r="P80">
        <v>20.55</v>
      </c>
      <c r="Q80" t="s">
        <v>3423</v>
      </c>
      <c r="R80">
        <v>832099110</v>
      </c>
      <c r="S80" s="5">
        <v>-8.9200000000000008E-3</v>
      </c>
      <c r="T80" t="s">
        <v>3424</v>
      </c>
      <c r="U80">
        <v>2165403400</v>
      </c>
      <c r="V80">
        <v>4205693100</v>
      </c>
      <c r="W80">
        <v>2.97</v>
      </c>
      <c r="X80">
        <v>0.1</v>
      </c>
      <c r="Y80">
        <v>12.74</v>
      </c>
      <c r="Z80" t="s">
        <v>3425</v>
      </c>
      <c r="AA80" t="s">
        <v>3426</v>
      </c>
      <c r="AB80" t="s">
        <v>3427</v>
      </c>
      <c r="AC80" t="s">
        <v>130</v>
      </c>
      <c r="AD80" t="s">
        <v>70</v>
      </c>
      <c r="AE80">
        <v>315367860</v>
      </c>
      <c r="AF80" t="s">
        <v>2098</v>
      </c>
      <c r="AG80" t="s">
        <v>3428</v>
      </c>
      <c r="AH80" t="s">
        <v>2099</v>
      </c>
      <c r="AI80" t="s">
        <v>3429</v>
      </c>
      <c r="AJ80" t="s">
        <v>2100</v>
      </c>
      <c r="AK80" t="s">
        <v>3430</v>
      </c>
      <c r="AL80" t="s">
        <v>2101</v>
      </c>
      <c r="AM80" t="s">
        <v>70</v>
      </c>
      <c r="AN80" t="s">
        <v>3431</v>
      </c>
      <c r="AO80" t="s">
        <v>3432</v>
      </c>
      <c r="AP80" t="s">
        <v>2102</v>
      </c>
      <c r="AQ80" t="s">
        <v>1238</v>
      </c>
      <c r="AR80" t="s">
        <v>1039</v>
      </c>
      <c r="AS80" t="s">
        <v>3433</v>
      </c>
      <c r="AT80" t="s">
        <v>3434</v>
      </c>
      <c r="AU80" t="s">
        <v>1972</v>
      </c>
      <c r="AV80" t="s">
        <v>3435</v>
      </c>
      <c r="AW80" t="s">
        <v>1041</v>
      </c>
      <c r="AX80" t="s">
        <v>1176</v>
      </c>
      <c r="AY80" t="s">
        <v>1178</v>
      </c>
      <c r="AZ80" t="s">
        <v>559</v>
      </c>
      <c r="BA80" t="s">
        <v>561</v>
      </c>
      <c r="BB80" t="s">
        <v>562</v>
      </c>
      <c r="BC80" t="s">
        <v>2103</v>
      </c>
      <c r="BD80" t="s">
        <v>1179</v>
      </c>
      <c r="BE80" t="s">
        <v>560</v>
      </c>
      <c r="BF80" t="s">
        <v>563</v>
      </c>
      <c r="BG80" t="s">
        <v>564</v>
      </c>
      <c r="BH80" t="s">
        <v>2097</v>
      </c>
      <c r="BI80" t="s">
        <v>3436</v>
      </c>
      <c r="BJ80" t="s">
        <v>1176</v>
      </c>
      <c r="BK80" t="s">
        <v>2086</v>
      </c>
      <c r="BL80" t="s">
        <v>2689</v>
      </c>
      <c r="BM80" t="s">
        <v>2103</v>
      </c>
      <c r="BN80">
        <v>3.79</v>
      </c>
      <c r="BO80">
        <v>6.14</v>
      </c>
      <c r="BP80">
        <v>6.96</v>
      </c>
      <c r="BQ80">
        <v>7.35</v>
      </c>
      <c r="BR80">
        <v>11.97</v>
      </c>
      <c r="BS80">
        <v>16.61</v>
      </c>
      <c r="BT80" t="s">
        <v>2104</v>
      </c>
      <c r="BU80" t="s">
        <v>882</v>
      </c>
      <c r="BV80">
        <v>25.02</v>
      </c>
      <c r="BW80">
        <v>28.24</v>
      </c>
      <c r="BX80">
        <v>29.72</v>
      </c>
      <c r="BY80">
        <v>13.48</v>
      </c>
      <c r="BZ80">
        <v>15.19</v>
      </c>
      <c r="CA80">
        <v>16.96</v>
      </c>
      <c r="CB80">
        <v>-0.61</v>
      </c>
      <c r="CC80">
        <v>-7.09</v>
      </c>
      <c r="CD80" t="s">
        <v>3437</v>
      </c>
      <c r="CE80" t="s">
        <v>109</v>
      </c>
      <c r="CF80" s="8">
        <v>0.7820599504169482</v>
      </c>
      <c r="CG80" s="9">
        <v>-0.41729754201680674</v>
      </c>
      <c r="CH80" s="8">
        <v>-7.9252175986766815E-2</v>
      </c>
      <c r="CI80" s="8">
        <v>0.15014246106147766</v>
      </c>
      <c r="CJ80" s="8">
        <v>0.28990495204925537</v>
      </c>
      <c r="CK80" s="8">
        <v>4.3801076710224152E-2</v>
      </c>
      <c r="CL80" s="8">
        <v>0.19955970346927643</v>
      </c>
      <c r="CM80" s="9">
        <v>0.2010466456413269</v>
      </c>
      <c r="CN80" s="9">
        <v>-8.7151542538776994E-4</v>
      </c>
      <c r="CO80" s="9">
        <v>0.51886165142059326</v>
      </c>
      <c r="CP80" s="9">
        <v>6.333576887845993E-2</v>
      </c>
      <c r="CQ80" s="9">
        <v>0.11977936327457428</v>
      </c>
      <c r="CR80">
        <v>17.75113644633111</v>
      </c>
      <c r="CS80">
        <v>1.469085462854435</v>
      </c>
      <c r="CT80">
        <v>2.6354679802955667</v>
      </c>
      <c r="CU80" s="8">
        <v>0.12083120346069336</v>
      </c>
      <c r="CV80" s="9">
        <v>0.18043038275791332</v>
      </c>
      <c r="CW80">
        <v>0.06</v>
      </c>
      <c r="CX80">
        <v>20.465755270582203</v>
      </c>
      <c r="CY80">
        <v>2912046353.1422162</v>
      </c>
      <c r="CZ80">
        <v>0.12083120346069336</v>
      </c>
      <c r="DA80">
        <v>6.5162711540745502</v>
      </c>
      <c r="DB80">
        <v>9145909768.155447</v>
      </c>
      <c r="DC80">
        <v>0.11478964328765869</v>
      </c>
      <c r="DD80">
        <v>3.0968808710264972</v>
      </c>
      <c r="DE80">
        <v>19244275282.776958</v>
      </c>
      <c r="DF80">
        <v>0.10633145904541015</v>
      </c>
      <c r="DG80">
        <v>1.7863561493638715</v>
      </c>
      <c r="DH80">
        <v>33362455757.337532</v>
      </c>
      <c r="DI80">
        <v>9.6664962768554685E-2</v>
      </c>
      <c r="DJ80">
        <v>0.84314274840417303</v>
      </c>
      <c r="DK80">
        <v>70684623822.953384</v>
      </c>
      <c r="DL80">
        <v>8.4581842422485343E-2</v>
      </c>
      <c r="DM80">
        <v>2754000000</v>
      </c>
      <c r="DN80">
        <v>0.12083120346069336</v>
      </c>
      <c r="DO80">
        <v>59597228000</v>
      </c>
      <c r="DP80">
        <v>-4256883100</v>
      </c>
      <c r="DQ80">
        <v>3582</v>
      </c>
      <c r="DR80">
        <v>0.66122874695625489</v>
      </c>
      <c r="DS80">
        <v>-0.59772792477472003</v>
      </c>
      <c r="DT80" s="10">
        <v>-5.6666666666666719E-2</v>
      </c>
      <c r="DU80">
        <v>0.08</v>
      </c>
      <c r="DV80">
        <v>2.3333333333333282E-2</v>
      </c>
      <c r="DW80">
        <v>-2.0709</v>
      </c>
      <c r="DX80">
        <v>0.32042187500000008</v>
      </c>
      <c r="DY80">
        <v>-2.0078289109375</v>
      </c>
      <c r="DZ80">
        <v>3131</v>
      </c>
      <c r="EA80">
        <v>-2.003031979402214</v>
      </c>
      <c r="EB80">
        <v>2</v>
      </c>
      <c r="EC80">
        <v>5.8811947072410012E-3</v>
      </c>
      <c r="ED80">
        <v>5.3261137860962808E-2</v>
      </c>
      <c r="EE80" s="11">
        <v>-2.0430100000000002</v>
      </c>
      <c r="EF80">
        <v>-2.06521</v>
      </c>
      <c r="EG80">
        <v>21.110421875</v>
      </c>
      <c r="EH80" t="s">
        <v>1226</v>
      </c>
      <c r="EI80">
        <v>0</v>
      </c>
      <c r="EJ80">
        <v>0</v>
      </c>
      <c r="EK80" s="13">
        <v>45470</v>
      </c>
      <c r="EL80" s="14">
        <v>-0.13</v>
      </c>
      <c r="EM80" s="14">
        <v>-3.5</v>
      </c>
      <c r="EN80" s="14">
        <v>0.48</v>
      </c>
      <c r="EO80" s="14">
        <v>1.1599999999999999</v>
      </c>
      <c r="EP80" s="14">
        <v>-2.2200000000000002</v>
      </c>
    </row>
    <row r="81" spans="1:146" ht="96" x14ac:dyDescent="0.25">
      <c r="A81" s="7"/>
      <c r="B81" s="7"/>
      <c r="C81" s="7" t="str">
        <f>""&amp;CHAR(10)&amp;Basic_Fundamental_Information_Constructure(F81)&amp;CHAR(10)&amp;Basic_Fundamental_Information_Concatenate("")</f>
        <v xml:space="preserve">
市值19.908716亿, 利润29.16亿; PE; 平均PE3.81; 平均PEG.02, PB.555; ROIC.86%; ROE.5233%; 股利率0%; 毛利10.68%; 净利1.25%; 上一年度营收增1040.98%, 利润增5714.17%; 当季营收增-90.01%, 利润增-99.88%; 过往5年营收增216.31%, 利润增1154.38%
Income profile:
</v>
      </c>
      <c r="D81" t="s">
        <v>272</v>
      </c>
      <c r="E81" t="s">
        <v>10</v>
      </c>
      <c r="F81">
        <v>5.38</v>
      </c>
      <c r="G81">
        <v>0</v>
      </c>
      <c r="H81" t="s">
        <v>3438</v>
      </c>
      <c r="I81">
        <v>1990871600</v>
      </c>
      <c r="K81">
        <v>0.55500000000000005</v>
      </c>
      <c r="L81" t="s">
        <v>67</v>
      </c>
      <c r="M81" t="s">
        <v>2105</v>
      </c>
      <c r="N81" t="s">
        <v>3439</v>
      </c>
      <c r="O81" t="s">
        <v>2106</v>
      </c>
      <c r="P81">
        <v>-1.47</v>
      </c>
      <c r="Q81" t="s">
        <v>3440</v>
      </c>
      <c r="R81">
        <v>770475</v>
      </c>
      <c r="S81" s="5">
        <v>-0.96050000000000002</v>
      </c>
      <c r="T81" t="s">
        <v>3441</v>
      </c>
      <c r="U81">
        <v>370050480</v>
      </c>
      <c r="V81">
        <v>370050480</v>
      </c>
      <c r="W81">
        <v>3.96</v>
      </c>
      <c r="X81">
        <v>7.0000000000000007E-2</v>
      </c>
      <c r="Y81">
        <v>1.04</v>
      </c>
      <c r="Z81" t="s">
        <v>1526</v>
      </c>
      <c r="AA81" t="s">
        <v>1550</v>
      </c>
      <c r="AB81" t="s">
        <v>3442</v>
      </c>
      <c r="AC81" t="s">
        <v>3443</v>
      </c>
      <c r="AD81" t="s">
        <v>70</v>
      </c>
      <c r="AE81">
        <v>78959930</v>
      </c>
      <c r="AF81" t="s">
        <v>2109</v>
      </c>
      <c r="AG81" t="s">
        <v>3444</v>
      </c>
      <c r="AH81" t="s">
        <v>2110</v>
      </c>
      <c r="AI81" t="s">
        <v>3445</v>
      </c>
      <c r="AJ81" t="s">
        <v>2111</v>
      </c>
      <c r="AK81" t="s">
        <v>649</v>
      </c>
      <c r="AL81" t="s">
        <v>2112</v>
      </c>
      <c r="AM81" t="s">
        <v>70</v>
      </c>
      <c r="AN81" t="s">
        <v>912</v>
      </c>
      <c r="AO81" t="s">
        <v>3446</v>
      </c>
      <c r="AP81" t="s">
        <v>70</v>
      </c>
      <c r="AQ81" t="s">
        <v>321</v>
      </c>
      <c r="AR81" t="s">
        <v>70</v>
      </c>
      <c r="AS81" t="s">
        <v>3447</v>
      </c>
      <c r="AT81" t="s">
        <v>3448</v>
      </c>
      <c r="AU81" t="s">
        <v>3449</v>
      </c>
      <c r="AV81" t="s">
        <v>764</v>
      </c>
      <c r="AW81" t="s">
        <v>1305</v>
      </c>
      <c r="AX81" t="s">
        <v>1180</v>
      </c>
      <c r="AY81" t="s">
        <v>787</v>
      </c>
      <c r="AZ81" t="s">
        <v>565</v>
      </c>
      <c r="BA81" t="s">
        <v>273</v>
      </c>
      <c r="BB81" t="s">
        <v>567</v>
      </c>
      <c r="BC81" t="s">
        <v>2113</v>
      </c>
      <c r="BD81" t="s">
        <v>788</v>
      </c>
      <c r="BE81" t="s">
        <v>566</v>
      </c>
      <c r="BF81" t="s">
        <v>274</v>
      </c>
      <c r="BG81" t="s">
        <v>568</v>
      </c>
      <c r="BH81" t="s">
        <v>2107</v>
      </c>
      <c r="BI81" t="s">
        <v>3450</v>
      </c>
      <c r="BJ81" t="s">
        <v>1180</v>
      </c>
      <c r="BK81" t="s">
        <v>2108</v>
      </c>
      <c r="BL81" t="s">
        <v>3451</v>
      </c>
      <c r="BM81" t="s">
        <v>2113</v>
      </c>
      <c r="BN81">
        <v>0.22</v>
      </c>
      <c r="BO81">
        <v>0.74</v>
      </c>
      <c r="BP81">
        <v>1.62</v>
      </c>
      <c r="BQ81">
        <v>-1.06</v>
      </c>
      <c r="BR81">
        <v>1.35</v>
      </c>
      <c r="BS81">
        <v>1.28</v>
      </c>
      <c r="BT81" t="s">
        <v>929</v>
      </c>
      <c r="BU81" t="s">
        <v>885</v>
      </c>
      <c r="BV81">
        <v>7.46</v>
      </c>
      <c r="BW81">
        <v>9.7899999999999991</v>
      </c>
      <c r="BX81">
        <v>14.79</v>
      </c>
      <c r="BY81">
        <v>-0.92</v>
      </c>
      <c r="BZ81">
        <v>1.18</v>
      </c>
      <c r="CA81">
        <v>3.49</v>
      </c>
      <c r="CB81">
        <v>-1.82</v>
      </c>
      <c r="CC81">
        <v>-2.1800000000000002</v>
      </c>
      <c r="CD81" t="s">
        <v>3452</v>
      </c>
      <c r="CE81" t="s">
        <v>3453</v>
      </c>
      <c r="CF81" s="8">
        <v>-0.90013980427401641</v>
      </c>
      <c r="CG81" s="9">
        <v>-0.9987512560777958</v>
      </c>
      <c r="CH81" s="8">
        <v>10.409814834594727</v>
      </c>
      <c r="CI81" s="8">
        <v>0.17678101360797882</v>
      </c>
      <c r="CJ81" s="8">
        <v>0.11946175992488861</v>
      </c>
      <c r="CK81" s="8">
        <v>1.094888336956501E-2</v>
      </c>
      <c r="CL81" s="8">
        <v>9.8396547138690948E-2</v>
      </c>
      <c r="CM81" s="9">
        <v>57.141738891601563</v>
      </c>
      <c r="CN81" s="9">
        <v>9.2262327671051025E-2</v>
      </c>
      <c r="CO81" s="9">
        <v>0.49050840735435486</v>
      </c>
      <c r="CP81" s="9">
        <v>-0.44218647480010986</v>
      </c>
      <c r="CQ81" s="9">
        <v>0.43659409880638123</v>
      </c>
      <c r="CR81">
        <v>3.8084026125681758</v>
      </c>
      <c r="CS81">
        <v>1.7606383224755585E-2</v>
      </c>
      <c r="CT81">
        <v>0</v>
      </c>
      <c r="CU81" s="8">
        <v>2.1630806077271698</v>
      </c>
      <c r="CV81" s="9">
        <v>11.543783450126648</v>
      </c>
      <c r="CW81">
        <v>0.06</v>
      </c>
      <c r="CX81">
        <v>1.0665883858725611</v>
      </c>
      <c r="CY81">
        <v>8701455709.5588932</v>
      </c>
      <c r="CZ81">
        <v>2.1630806077271698</v>
      </c>
      <c r="DA81">
        <v>9.0609785045403207E-2</v>
      </c>
      <c r="DB81">
        <v>102426814006.34042</v>
      </c>
      <c r="DC81">
        <v>2.0549265773408112</v>
      </c>
      <c r="DD81">
        <v>4.79564817447379E-3</v>
      </c>
      <c r="DE81">
        <v>1935269490660.3232</v>
      </c>
      <c r="DF81">
        <v>1.9035109347999095</v>
      </c>
      <c r="DG81">
        <v>1.5140110912939582E-4</v>
      </c>
      <c r="DH81">
        <v>61299891746949.164</v>
      </c>
      <c r="DI81">
        <v>1.730464486181736</v>
      </c>
      <c r="DJ81">
        <v>5.7981773355895444E-8</v>
      </c>
      <c r="DK81">
        <v>1.6006532851338435E+17</v>
      </c>
      <c r="DL81">
        <v>1.5141564254090187</v>
      </c>
      <c r="DM81">
        <v>2916000000</v>
      </c>
      <c r="DN81">
        <v>2.1630806077271698</v>
      </c>
      <c r="DO81">
        <v>9280871600</v>
      </c>
      <c r="DP81">
        <v>-550012300</v>
      </c>
      <c r="DQ81">
        <v>3593</v>
      </c>
      <c r="DR81">
        <v>-3.0632204120011863</v>
      </c>
      <c r="DS81">
        <v>-12.542534706204444</v>
      </c>
      <c r="DT81" s="10">
        <v>1.0000000000000011E-2</v>
      </c>
      <c r="DU81">
        <v>-2.3333333333333355E-2</v>
      </c>
      <c r="DV81">
        <v>-1.3333333333333345E-2</v>
      </c>
      <c r="DW81">
        <v>-2.18E-2</v>
      </c>
      <c r="DX81">
        <v>0.21424463087248355</v>
      </c>
      <c r="DY81">
        <v>-1.4005329530201343E-3</v>
      </c>
      <c r="DZ81">
        <v>451</v>
      </c>
      <c r="EA81">
        <v>-1.2769242716479071E-3</v>
      </c>
      <c r="EB81">
        <v>0</v>
      </c>
      <c r="EC81">
        <v>0.15520774354893419</v>
      </c>
      <c r="ED81">
        <v>2.4158866109294062</v>
      </c>
      <c r="EE81" s="11">
        <v>2.00901</v>
      </c>
      <c r="EF81">
        <v>2.0263100000000001</v>
      </c>
      <c r="EG81">
        <v>15.064244630872484</v>
      </c>
      <c r="EH81" t="s">
        <v>1283</v>
      </c>
      <c r="EI81">
        <v>0</v>
      </c>
      <c r="EJ81">
        <v>1</v>
      </c>
      <c r="EK81" s="13">
        <v>45470</v>
      </c>
      <c r="EL81" s="14">
        <v>1.53</v>
      </c>
      <c r="EM81" s="14">
        <v>0</v>
      </c>
      <c r="EN81" s="14">
        <v>1.26</v>
      </c>
      <c r="EO81" s="14">
        <v>0.75</v>
      </c>
      <c r="EP81" s="14">
        <v>-1.73</v>
      </c>
    </row>
    <row r="82" spans="1:146" ht="96" x14ac:dyDescent="0.25">
      <c r="A82" s="7"/>
      <c r="B82" s="7"/>
      <c r="C82" s="7" t="str">
        <f>""&amp;CHAR(10)&amp;Basic_Fundamental_Information_Constructure(F82)&amp;CHAR(10)&amp;Basic_Fundamental_Information_Concatenate("")</f>
        <v xml:space="preserve">
市值42.139344亿, 利润9174.99万; PE16.65; 平均PE21.8; 平均PEG2.37, PB.951; ROIC3.26%; ROE4.14%; 股利率1.6168%; 毛利28.9167%; 净利7.61%; 上一年度营收增-64.02%, 利润增-45.71%; 当季营收增236.49%, 利润增24.37%; 过往5年营收增-9.2%, 利润增-16.28%
Income profile:
</v>
      </c>
      <c r="D82" t="s">
        <v>275</v>
      </c>
      <c r="E82" t="s">
        <v>30</v>
      </c>
      <c r="F82">
        <v>3.34</v>
      </c>
      <c r="G82">
        <v>0.6</v>
      </c>
      <c r="H82" t="s">
        <v>3454</v>
      </c>
      <c r="I82">
        <v>4213934400</v>
      </c>
      <c r="J82">
        <v>16.649999999999999</v>
      </c>
      <c r="K82">
        <v>0.95099999999999996</v>
      </c>
      <c r="L82" t="s">
        <v>67</v>
      </c>
      <c r="M82" t="s">
        <v>2115</v>
      </c>
      <c r="N82" t="s">
        <v>3455</v>
      </c>
      <c r="O82" t="s">
        <v>444</v>
      </c>
      <c r="P82">
        <v>11.83</v>
      </c>
      <c r="Q82" t="s">
        <v>1550</v>
      </c>
      <c r="R82">
        <v>28407491</v>
      </c>
      <c r="S82" s="5">
        <v>13.2</v>
      </c>
      <c r="T82" t="s">
        <v>3456</v>
      </c>
      <c r="U82">
        <v>1232259790</v>
      </c>
      <c r="V82">
        <v>1261656990</v>
      </c>
      <c r="W82">
        <v>2.37</v>
      </c>
      <c r="X82">
        <v>7.0000000000000007E-2</v>
      </c>
      <c r="Y82">
        <v>3.5</v>
      </c>
      <c r="Z82" t="s">
        <v>2977</v>
      </c>
      <c r="AA82" t="s">
        <v>3125</v>
      </c>
      <c r="AB82" t="s">
        <v>3457</v>
      </c>
      <c r="AC82" t="s">
        <v>3458</v>
      </c>
      <c r="AD82" t="s">
        <v>70</v>
      </c>
      <c r="AE82">
        <v>33805729</v>
      </c>
      <c r="AF82" t="s">
        <v>2118</v>
      </c>
      <c r="AG82" t="s">
        <v>3459</v>
      </c>
      <c r="AH82" t="s">
        <v>2119</v>
      </c>
      <c r="AI82" t="s">
        <v>1098</v>
      </c>
      <c r="AJ82" t="s">
        <v>2120</v>
      </c>
      <c r="AK82" t="s">
        <v>3460</v>
      </c>
      <c r="AL82" t="s">
        <v>2121</v>
      </c>
      <c r="AM82" t="s">
        <v>70</v>
      </c>
      <c r="AN82" t="s">
        <v>3461</v>
      </c>
      <c r="AO82" t="s">
        <v>2536</v>
      </c>
      <c r="AP82" t="s">
        <v>70</v>
      </c>
      <c r="AQ82" t="s">
        <v>1698</v>
      </c>
      <c r="AR82" t="s">
        <v>3462</v>
      </c>
      <c r="AS82" t="s">
        <v>3463</v>
      </c>
      <c r="AT82" t="s">
        <v>789</v>
      </c>
      <c r="AU82" t="s">
        <v>2536</v>
      </c>
      <c r="AV82" t="s">
        <v>3464</v>
      </c>
      <c r="AW82" t="s">
        <v>3465</v>
      </c>
      <c r="AX82" t="s">
        <v>1181</v>
      </c>
      <c r="AY82" t="s">
        <v>789</v>
      </c>
      <c r="AZ82" t="s">
        <v>569</v>
      </c>
      <c r="BA82" t="s">
        <v>276</v>
      </c>
      <c r="BB82" t="s">
        <v>570</v>
      </c>
      <c r="BC82" t="s">
        <v>912</v>
      </c>
      <c r="BD82" t="s">
        <v>408</v>
      </c>
      <c r="BE82" t="s">
        <v>406</v>
      </c>
      <c r="BF82" t="s">
        <v>261</v>
      </c>
      <c r="BG82" t="s">
        <v>393</v>
      </c>
      <c r="BH82" t="s">
        <v>2116</v>
      </c>
      <c r="BI82" t="s">
        <v>1243</v>
      </c>
      <c r="BJ82" t="s">
        <v>1181</v>
      </c>
      <c r="BK82" t="s">
        <v>2117</v>
      </c>
      <c r="BL82" t="s">
        <v>3466</v>
      </c>
      <c r="BM82" t="s">
        <v>912</v>
      </c>
      <c r="BN82">
        <v>2.63</v>
      </c>
      <c r="BO82">
        <v>3.11</v>
      </c>
      <c r="BP82">
        <v>4.04</v>
      </c>
      <c r="BQ82">
        <v>3.49</v>
      </c>
      <c r="BR82">
        <v>4.07</v>
      </c>
      <c r="BS82">
        <v>4.8600000000000003</v>
      </c>
      <c r="BT82" t="s">
        <v>2122</v>
      </c>
      <c r="BU82" t="s">
        <v>885</v>
      </c>
      <c r="BV82">
        <v>28.36</v>
      </c>
      <c r="BW82">
        <v>27.42</v>
      </c>
      <c r="BX82">
        <v>30.97</v>
      </c>
      <c r="BY82">
        <v>7.86</v>
      </c>
      <c r="BZ82">
        <v>6.26</v>
      </c>
      <c r="CA82">
        <v>8.7100000000000009</v>
      </c>
      <c r="CB82">
        <v>-0.6</v>
      </c>
      <c r="CC82">
        <v>-20.399999999999999</v>
      </c>
      <c r="CD82" t="s">
        <v>2887</v>
      </c>
      <c r="CE82" t="s">
        <v>2547</v>
      </c>
      <c r="CF82" s="8">
        <v>2.3649289099526065</v>
      </c>
      <c r="CG82" s="9">
        <v>0.24365709507527833</v>
      </c>
      <c r="CH82" s="8">
        <v>-0.64020144939422607</v>
      </c>
      <c r="CI82" s="8">
        <v>7.8529767692089081E-2</v>
      </c>
      <c r="CJ82" s="8">
        <v>5.5090323090553284E-2</v>
      </c>
      <c r="CK82" s="8">
        <v>2.2532613947987556E-2</v>
      </c>
      <c r="CL82" s="8">
        <v>2.3996308445930481E-2</v>
      </c>
      <c r="CM82" s="9">
        <v>-0.45710116624832153</v>
      </c>
      <c r="CN82" s="9">
        <v>-0.19138756394386292</v>
      </c>
      <c r="CO82" s="9">
        <v>0.10582010447978973</v>
      </c>
      <c r="CP82" s="9">
        <v>-0.22857142984867096</v>
      </c>
      <c r="CQ82" s="9">
        <v>-4.296875E-2</v>
      </c>
      <c r="CR82">
        <v>21.800912765760962</v>
      </c>
      <c r="CS82">
        <v>2.3693943395885255</v>
      </c>
      <c r="CT82">
        <v>1.6167664670658684</v>
      </c>
      <c r="CU82" s="8">
        <v>-9.201048724353314E-2</v>
      </c>
      <c r="CV82" s="9">
        <v>-0.16284176111221313</v>
      </c>
      <c r="CW82">
        <v>0.06</v>
      </c>
      <c r="CX82">
        <v>63.192814379089242</v>
      </c>
      <c r="CY82" t="s">
        <v>3467</v>
      </c>
      <c r="CZ82">
        <v>-9.201048724353314E-2</v>
      </c>
      <c r="DA82">
        <v>21.064271459696414</v>
      </c>
      <c r="DB82" t="s">
        <v>3468</v>
      </c>
      <c r="DC82">
        <v>-8.7409962881356482E-2</v>
      </c>
      <c r="DD82">
        <v>10.532135729848207</v>
      </c>
      <c r="DE82" t="s">
        <v>3469</v>
      </c>
      <c r="DF82">
        <v>-8.0969228774309163E-2</v>
      </c>
      <c r="DG82">
        <v>6.3192814379089244</v>
      </c>
      <c r="DH82" t="s">
        <v>3470</v>
      </c>
      <c r="DI82">
        <v>-7.360838979482652E-2</v>
      </c>
      <c r="DJ82">
        <v>3.1596407189544622</v>
      </c>
      <c r="DK82" t="s">
        <v>3471</v>
      </c>
      <c r="DL82">
        <v>-6.440734107047319E-2</v>
      </c>
      <c r="DM82">
        <v>91749900</v>
      </c>
      <c r="DN82">
        <v>-9.201048724353314E-2</v>
      </c>
      <c r="DO82">
        <v>5797934400</v>
      </c>
      <c r="DP82">
        <v>-213089800</v>
      </c>
      <c r="DQ82">
        <v>3600</v>
      </c>
      <c r="DR82">
        <v>2.4569393971961397</v>
      </c>
      <c r="DS82">
        <v>0.40649885618749149</v>
      </c>
      <c r="DT82" s="10">
        <v>-0.77333333333333332</v>
      </c>
      <c r="DU82">
        <v>-0.65333333333333332</v>
      </c>
      <c r="DV82">
        <v>-1.4266666666666667</v>
      </c>
      <c r="DW82">
        <v>-3.0497619047619047</v>
      </c>
      <c r="DX82">
        <v>0.29803313469047521</v>
      </c>
      <c r="DY82">
        <v>-3.0038830774167402</v>
      </c>
      <c r="DZ82">
        <v>3894</v>
      </c>
      <c r="EA82">
        <v>-3.000924035643592</v>
      </c>
      <c r="EB82">
        <v>3</v>
      </c>
      <c r="EC82">
        <v>0.11572083470959885</v>
      </c>
      <c r="ED82">
        <v>1.4829704228880782</v>
      </c>
      <c r="EE82" s="11">
        <v>-3.0249100000000002</v>
      </c>
      <c r="EF82">
        <v>-3.0359099999999999</v>
      </c>
      <c r="EG82">
        <v>22.078033134690475</v>
      </c>
      <c r="EH82" t="s">
        <v>1233</v>
      </c>
      <c r="EI82">
        <v>0</v>
      </c>
      <c r="EJ82">
        <v>0</v>
      </c>
      <c r="EK82" s="13">
        <v>45470</v>
      </c>
      <c r="EL82" s="14">
        <v>0.45</v>
      </c>
      <c r="EM82" s="14">
        <v>-2.2599999999999998</v>
      </c>
      <c r="EN82" s="14">
        <v>-0.56000000000000005</v>
      </c>
      <c r="EO82" s="14">
        <v>1.86</v>
      </c>
      <c r="EP82" s="14">
        <v>-1.1000000000000001</v>
      </c>
    </row>
    <row r="83" spans="1:146" ht="96" x14ac:dyDescent="0.25">
      <c r="A83" s="7"/>
      <c r="B83" s="7"/>
      <c r="C83" s="7" t="str">
        <f>""&amp;CHAR(10)&amp;Basic_Fundamental_Information_Constructure(F83)&amp;CHAR(10)&amp;Basic_Fundamental_Information_Concatenate("")</f>
        <v xml:space="preserve">
市值39.675776亿, 利润8113.27万; PE9.27; 平均PE15.92; 平均PEG.93, PB.939; ROIC5.65%; ROE9.4%; 股利率4.2254%; 毛利9.905%; 净利7.885%; 上一年度营收增-51.84%, 利润增-76.35%; 当季营收增10.44%, 利润增150.43%; 过往5年营收增17.09%, 利润增10.75%
Income profile:
</v>
      </c>
      <c r="D83" t="s">
        <v>278</v>
      </c>
      <c r="E83" t="s">
        <v>571</v>
      </c>
      <c r="F83">
        <v>3.55</v>
      </c>
      <c r="G83">
        <v>-0.28000000000000003</v>
      </c>
      <c r="H83" t="s">
        <v>3472</v>
      </c>
      <c r="I83">
        <v>3967577600</v>
      </c>
      <c r="J83">
        <v>9.27</v>
      </c>
      <c r="K83">
        <v>0.93899999999999995</v>
      </c>
      <c r="L83" t="s">
        <v>67</v>
      </c>
      <c r="M83" t="s">
        <v>2124</v>
      </c>
      <c r="N83" t="s">
        <v>3473</v>
      </c>
      <c r="O83" t="s">
        <v>1407</v>
      </c>
      <c r="P83">
        <v>-35.46</v>
      </c>
      <c r="Q83" t="s">
        <v>3474</v>
      </c>
      <c r="R83">
        <v>28540226</v>
      </c>
      <c r="S83" s="5">
        <v>2.629</v>
      </c>
      <c r="T83" t="s">
        <v>3475</v>
      </c>
      <c r="U83">
        <v>1117627490</v>
      </c>
      <c r="V83">
        <v>1117627490</v>
      </c>
      <c r="W83">
        <v>2.69</v>
      </c>
      <c r="X83">
        <v>0.08</v>
      </c>
      <c r="Y83">
        <v>3.61</v>
      </c>
      <c r="Z83" t="s">
        <v>3476</v>
      </c>
      <c r="AA83" t="s">
        <v>1659</v>
      </c>
      <c r="AB83" t="s">
        <v>3477</v>
      </c>
      <c r="AC83" t="s">
        <v>3478</v>
      </c>
      <c r="AD83" t="s">
        <v>70</v>
      </c>
      <c r="AE83">
        <v>41034420</v>
      </c>
      <c r="AF83" t="s">
        <v>2126</v>
      </c>
      <c r="AG83" t="s">
        <v>3479</v>
      </c>
      <c r="AH83" t="s">
        <v>2128</v>
      </c>
      <c r="AI83" t="s">
        <v>3480</v>
      </c>
      <c r="AJ83" t="s">
        <v>2129</v>
      </c>
      <c r="AK83" t="s">
        <v>3481</v>
      </c>
      <c r="AL83" t="s">
        <v>2130</v>
      </c>
      <c r="AM83" t="s">
        <v>70</v>
      </c>
      <c r="AN83" t="s">
        <v>457</v>
      </c>
      <c r="AO83" t="s">
        <v>1615</v>
      </c>
      <c r="AP83" t="s">
        <v>3482</v>
      </c>
      <c r="AQ83" t="s">
        <v>3483</v>
      </c>
      <c r="AR83" t="s">
        <v>3484</v>
      </c>
      <c r="AS83" t="s">
        <v>3485</v>
      </c>
      <c r="AT83" t="s">
        <v>3486</v>
      </c>
      <c r="AU83" t="s">
        <v>250</v>
      </c>
      <c r="AV83" t="s">
        <v>3487</v>
      </c>
      <c r="AW83" t="s">
        <v>3488</v>
      </c>
      <c r="AX83" t="s">
        <v>2131</v>
      </c>
      <c r="AY83" t="s">
        <v>1182</v>
      </c>
      <c r="AZ83" t="s">
        <v>790</v>
      </c>
      <c r="BA83" t="s">
        <v>279</v>
      </c>
      <c r="BB83" t="s">
        <v>573</v>
      </c>
      <c r="BC83" t="s">
        <v>1217</v>
      </c>
      <c r="BD83" t="s">
        <v>347</v>
      </c>
      <c r="BE83" t="s">
        <v>396</v>
      </c>
      <c r="BF83" t="s">
        <v>206</v>
      </c>
      <c r="BG83" t="s">
        <v>218</v>
      </c>
      <c r="BH83" t="s">
        <v>2125</v>
      </c>
      <c r="BI83" t="s">
        <v>3489</v>
      </c>
      <c r="BJ83" t="s">
        <v>2131</v>
      </c>
      <c r="BK83" t="s">
        <v>941</v>
      </c>
      <c r="BL83" t="s">
        <v>3490</v>
      </c>
      <c r="BM83" t="s">
        <v>1217</v>
      </c>
      <c r="BN83">
        <v>3.78</v>
      </c>
      <c r="BO83" t="s">
        <v>70</v>
      </c>
      <c r="BP83">
        <v>7.52</v>
      </c>
      <c r="BQ83">
        <v>6.34</v>
      </c>
      <c r="BR83">
        <v>9.34</v>
      </c>
      <c r="BS83">
        <v>12.52</v>
      </c>
      <c r="BT83" t="s">
        <v>933</v>
      </c>
      <c r="BU83" t="s">
        <v>884</v>
      </c>
      <c r="BV83">
        <v>11.04</v>
      </c>
      <c r="BW83" t="s">
        <v>70</v>
      </c>
      <c r="BX83">
        <v>8.77</v>
      </c>
      <c r="BY83">
        <v>8.35</v>
      </c>
      <c r="BZ83" t="s">
        <v>70</v>
      </c>
      <c r="CA83">
        <v>7.42</v>
      </c>
      <c r="CB83">
        <v>-0.56000000000000005</v>
      </c>
      <c r="CC83">
        <v>-10.130000000000001</v>
      </c>
      <c r="CD83" t="s">
        <v>3491</v>
      </c>
      <c r="CE83" t="s">
        <v>701</v>
      </c>
      <c r="CF83" s="8">
        <v>0.10437375745526839</v>
      </c>
      <c r="CG83" s="9">
        <v>1.5042974597464134</v>
      </c>
      <c r="CH83" s="8">
        <v>-0.51840263605117798</v>
      </c>
      <c r="CI83" s="8">
        <v>0.19884639978408813</v>
      </c>
      <c r="CJ83" s="8">
        <v>0.28022894263267517</v>
      </c>
      <c r="CK83" s="8">
        <v>0.58763188123703003</v>
      </c>
      <c r="CL83" s="8">
        <v>0.30627870559692383</v>
      </c>
      <c r="CM83" s="9">
        <v>-0.76346153020858765</v>
      </c>
      <c r="CN83" s="9">
        <v>-0.2763713002204895</v>
      </c>
      <c r="CO83" s="9">
        <v>0.82307690382003784</v>
      </c>
      <c r="CP83" s="9">
        <v>1.2222222089767456</v>
      </c>
      <c r="CQ83" s="9">
        <v>-0.46818181872367859</v>
      </c>
      <c r="CR83">
        <v>15.921975086224787</v>
      </c>
      <c r="CS83">
        <v>0.93156367629264647</v>
      </c>
      <c r="CT83">
        <v>4.2253521126760569</v>
      </c>
      <c r="CU83" s="8">
        <v>0.17091665863990785</v>
      </c>
      <c r="CV83" s="9">
        <v>0.10745689272880554</v>
      </c>
      <c r="CW83">
        <v>0.06</v>
      </c>
      <c r="CX83">
        <v>86.257307073986865</v>
      </c>
      <c r="CY83">
        <v>89622292.443805695</v>
      </c>
      <c r="CZ83">
        <v>0.17091665863990785</v>
      </c>
      <c r="DA83">
        <v>26.33828713151858</v>
      </c>
      <c r="DB83">
        <v>293511022.99849063</v>
      </c>
      <c r="DC83">
        <v>0.16237082570791245</v>
      </c>
      <c r="DD83">
        <v>11.809226930769039</v>
      </c>
      <c r="DE83">
        <v>654621817.78029144</v>
      </c>
      <c r="DF83">
        <v>0.15040665960311891</v>
      </c>
      <c r="DG83">
        <v>6.3585950401321014</v>
      </c>
      <c r="DH83">
        <v>1215768192.6917295</v>
      </c>
      <c r="DI83">
        <v>0.13673332691192627</v>
      </c>
      <c r="DJ83">
        <v>2.5523805230417023</v>
      </c>
      <c r="DK83">
        <v>3028771584.1003904</v>
      </c>
      <c r="DL83">
        <v>0.11964166104793549</v>
      </c>
      <c r="DM83">
        <v>81132700</v>
      </c>
      <c r="DN83">
        <v>0.17091665863990785</v>
      </c>
      <c r="DO83">
        <v>7730577600</v>
      </c>
      <c r="DP83">
        <v>-1192695900</v>
      </c>
      <c r="DQ83">
        <v>3603</v>
      </c>
      <c r="DR83">
        <v>-6.6542901184639458E-2</v>
      </c>
      <c r="DS83">
        <v>1.3968405670176078</v>
      </c>
      <c r="DT83" s="10">
        <v>-0.10666666666666676</v>
      </c>
      <c r="DU83">
        <v>-8.3333333333333329E-2</v>
      </c>
      <c r="DV83">
        <v>-0.19000000000000009</v>
      </c>
      <c r="DW83">
        <v>-2.1013000000000002</v>
      </c>
      <c r="DX83">
        <v>0.3051684210526322</v>
      </c>
      <c r="DY83">
        <v>-2.0086275610526316</v>
      </c>
      <c r="DZ83">
        <v>4591</v>
      </c>
      <c r="EA83">
        <v>-2.0008762630501598</v>
      </c>
      <c r="EB83">
        <v>2</v>
      </c>
      <c r="EC83">
        <v>2.3166216142374952E-2</v>
      </c>
      <c r="ED83">
        <v>0.2720047625170709</v>
      </c>
      <c r="EE83" s="11">
        <v>2.0005000000000002</v>
      </c>
      <c r="EF83">
        <v>2.0230100000000002</v>
      </c>
      <c r="EG83">
        <v>22.085168421052632</v>
      </c>
      <c r="EH83" t="s">
        <v>1283</v>
      </c>
      <c r="EI83">
        <v>0</v>
      </c>
      <c r="EJ83">
        <v>0</v>
      </c>
      <c r="EK83" s="13">
        <v>45470</v>
      </c>
      <c r="EL83" s="14">
        <v>-1.1599999999999999</v>
      </c>
      <c r="EM83" s="14">
        <v>-3.53</v>
      </c>
      <c r="EN83" s="14">
        <v>0</v>
      </c>
      <c r="EO83" s="14">
        <v>3.66</v>
      </c>
      <c r="EP83" s="14">
        <v>-2.35</v>
      </c>
    </row>
    <row r="84" spans="1:146" ht="156" x14ac:dyDescent="0.25">
      <c r="A84" s="7" t="s">
        <v>939</v>
      </c>
      <c r="B84" s="7"/>
      <c r="C84" s="7" t="str">
        <f>"公司主营业务是水力发电、供电和配电。主要产品有电力产品、设计产品、服务产品。公司拥有电力行业(变电工程、送电工程)乙级资质证书,设计业务扩展至220千伏电压等级。"&amp;CHAR(10)&amp;Basic_Fundamental_Information_Constructure(F84)&amp;CHAR(10)&amp;Basic_Fundamental_Information_Concatenate("电力产品 21.21亿 98.05% 89.46% 10.48%
设计产品 4673.73万 2.16% 5.36% 28.49%
服务产品 1263.59万 0.58% 5.04% 99.22%")</f>
        <v>公司主营业务是水力发电、供电和配电。主要产品有电力产品、设计产品、服务产品。公司拥有电力行业(变电工程、送电工程)乙级资质证书,设计业务扩展至220千伏电压等级。
市值301.38335亿, 利润-13.85亿; PE32.8; 平均PE79.84; 平均PEG1.57, PB1.43; ROIC3.48%; ROE5.4167%; 股利率1.009%; 毛利35.25%; 净利16.0433%; 上一年度营收增-77.58%, 利润增-183.28%; 当季营收增109.98%, 利润增13694.5%; 过往5年营收增51.01%, 利润增163.98%
Income profile:
电力产品 21.21亿 98.05% 89.46% 10.48%
设计产品 4673.73万 2.16% 5.36% 28.49%
服务产品 1263.59万 0.58% 5.04% 99.22%</v>
      </c>
      <c r="D84" t="s">
        <v>283</v>
      </c>
      <c r="E84" t="s">
        <v>3492</v>
      </c>
      <c r="F84">
        <v>9.43</v>
      </c>
      <c r="G84">
        <v>0</v>
      </c>
      <c r="H84" t="s">
        <v>3493</v>
      </c>
      <c r="I84">
        <v>30138335000</v>
      </c>
      <c r="J84">
        <v>32.799999999999997</v>
      </c>
      <c r="K84">
        <v>1.43</v>
      </c>
      <c r="L84" t="s">
        <v>67</v>
      </c>
      <c r="M84" t="s">
        <v>2132</v>
      </c>
      <c r="N84" t="s">
        <v>3494</v>
      </c>
      <c r="O84" t="s">
        <v>1900</v>
      </c>
      <c r="P84">
        <v>-5.96</v>
      </c>
      <c r="Q84" t="s">
        <v>3147</v>
      </c>
      <c r="R84">
        <v>285270230</v>
      </c>
      <c r="S84" s="5">
        <v>-0.2495</v>
      </c>
      <c r="T84" t="s">
        <v>3495</v>
      </c>
      <c r="U84">
        <v>1109101640</v>
      </c>
      <c r="V84">
        <v>3196005800</v>
      </c>
      <c r="W84">
        <v>1.85</v>
      </c>
      <c r="X84">
        <v>0.03</v>
      </c>
      <c r="Y84">
        <v>26.62</v>
      </c>
      <c r="Z84" t="s">
        <v>3496</v>
      </c>
      <c r="AA84" t="s">
        <v>3497</v>
      </c>
      <c r="AB84" t="s">
        <v>70</v>
      </c>
      <c r="AC84" t="s">
        <v>3498</v>
      </c>
      <c r="AD84" t="s">
        <v>70</v>
      </c>
      <c r="AE84">
        <v>109093217</v>
      </c>
      <c r="AF84" t="s">
        <v>2135</v>
      </c>
      <c r="AG84" t="s">
        <v>3499</v>
      </c>
      <c r="AH84" t="s">
        <v>2136</v>
      </c>
      <c r="AI84" t="s">
        <v>3500</v>
      </c>
      <c r="AJ84" t="s">
        <v>2137</v>
      </c>
      <c r="AK84" t="s">
        <v>70</v>
      </c>
      <c r="AL84" t="s">
        <v>2138</v>
      </c>
      <c r="AM84" t="s">
        <v>70</v>
      </c>
      <c r="AN84" t="s">
        <v>3501</v>
      </c>
      <c r="AO84" t="s">
        <v>148</v>
      </c>
      <c r="AP84" t="s">
        <v>236</v>
      </c>
      <c r="AQ84" t="s">
        <v>3502</v>
      </c>
      <c r="AR84" t="s">
        <v>3503</v>
      </c>
      <c r="AS84" t="s">
        <v>3504</v>
      </c>
      <c r="AT84" t="s">
        <v>3505</v>
      </c>
      <c r="AU84" t="s">
        <v>3506</v>
      </c>
      <c r="AV84" t="s">
        <v>3507</v>
      </c>
      <c r="AW84" t="s">
        <v>134</v>
      </c>
      <c r="AX84" t="s">
        <v>1183</v>
      </c>
      <c r="AY84" t="s">
        <v>1184</v>
      </c>
      <c r="AZ84" t="s">
        <v>574</v>
      </c>
      <c r="BA84" t="s">
        <v>284</v>
      </c>
      <c r="BB84" t="s">
        <v>575</v>
      </c>
      <c r="BC84" t="s">
        <v>901</v>
      </c>
      <c r="BD84" t="s">
        <v>1185</v>
      </c>
      <c r="BE84" t="s">
        <v>163</v>
      </c>
      <c r="BF84" t="s">
        <v>285</v>
      </c>
      <c r="BG84" t="s">
        <v>506</v>
      </c>
      <c r="BH84" t="s">
        <v>2133</v>
      </c>
      <c r="BI84" t="s">
        <v>3508</v>
      </c>
      <c r="BJ84" t="s">
        <v>1183</v>
      </c>
      <c r="BK84" t="s">
        <v>349</v>
      </c>
      <c r="BL84" t="s">
        <v>3509</v>
      </c>
      <c r="BM84" t="s">
        <v>901</v>
      </c>
      <c r="BN84">
        <v>3.22</v>
      </c>
      <c r="BO84">
        <v>7.12</v>
      </c>
      <c r="BP84">
        <v>0.1</v>
      </c>
      <c r="BQ84">
        <v>4.04</v>
      </c>
      <c r="BR84">
        <v>11.48</v>
      </c>
      <c r="BS84">
        <v>0.73</v>
      </c>
      <c r="BT84" t="s">
        <v>2140</v>
      </c>
      <c r="BU84" t="s">
        <v>885</v>
      </c>
      <c r="BV84">
        <v>45.93</v>
      </c>
      <c r="BW84">
        <v>48.33</v>
      </c>
      <c r="BX84">
        <v>11.49</v>
      </c>
      <c r="BY84">
        <v>22.14</v>
      </c>
      <c r="BZ84">
        <v>25.26</v>
      </c>
      <c r="CA84">
        <v>0.73</v>
      </c>
      <c r="CB84">
        <v>-2.38</v>
      </c>
      <c r="CC84">
        <v>-10.83</v>
      </c>
      <c r="CD84" t="s">
        <v>3510</v>
      </c>
      <c r="CE84" t="s">
        <v>1230</v>
      </c>
      <c r="CF84" s="8">
        <v>1.0998415213946118</v>
      </c>
      <c r="CG84" s="9">
        <v>136.94498549323018</v>
      </c>
      <c r="CH84" s="8">
        <v>-0.77581405639648438</v>
      </c>
      <c r="CI84" s="8">
        <v>6.4571383409202099E-3</v>
      </c>
      <c r="CJ84" s="8">
        <v>3.3636364936828613</v>
      </c>
      <c r="CK84" s="8">
        <v>-0.18887455761432648</v>
      </c>
      <c r="CL84" s="8">
        <v>0.14518524706363678</v>
      </c>
      <c r="CM84" s="9">
        <v>-1.8328322172164917</v>
      </c>
      <c r="CN84" s="9">
        <v>0.33253210783004761</v>
      </c>
      <c r="CO84" s="9">
        <v>10.243242263793945</v>
      </c>
      <c r="CP84" s="9">
        <v>-0.66566264629364014</v>
      </c>
      <c r="CQ84" s="9">
        <v>0.12162162363529205</v>
      </c>
      <c r="CR84">
        <v>79.836649006622523</v>
      </c>
      <c r="CS84">
        <v>1.565062215201088</v>
      </c>
      <c r="CT84">
        <v>1.0090137857900319</v>
      </c>
      <c r="CU84" s="8">
        <v>0.51011805301532154</v>
      </c>
      <c r="CV84" s="9">
        <v>1.6397802263498307</v>
      </c>
      <c r="CW84">
        <v>0.06</v>
      </c>
      <c r="CX84" t="e">
        <v>#VALUE!</v>
      </c>
      <c r="CY84" t="s">
        <v>810</v>
      </c>
      <c r="CZ84">
        <v>0.51011805301532154</v>
      </c>
      <c r="DA84" t="e">
        <v>#VALUE!</v>
      </c>
      <c r="DB84" t="s">
        <v>810</v>
      </c>
      <c r="DC84">
        <v>0.48461215036455546</v>
      </c>
      <c r="DD84" t="e">
        <v>#VALUE!</v>
      </c>
      <c r="DE84" t="s">
        <v>810</v>
      </c>
      <c r="DF84">
        <v>0.44890388665348296</v>
      </c>
      <c r="DG84" t="e">
        <v>#VALUE!</v>
      </c>
      <c r="DH84" t="s">
        <v>810</v>
      </c>
      <c r="DI84">
        <v>0.40809444241225723</v>
      </c>
      <c r="DJ84" t="e">
        <v>#VALUE!</v>
      </c>
      <c r="DK84" t="s">
        <v>810</v>
      </c>
      <c r="DL84">
        <v>0.35708263711072508</v>
      </c>
      <c r="DM84">
        <v>-1385000000</v>
      </c>
      <c r="DN84">
        <v>0.51011805301532154</v>
      </c>
      <c r="DO84">
        <v>25676335000</v>
      </c>
      <c r="DP84">
        <v>2766223000</v>
      </c>
      <c r="DQ84">
        <v>3614</v>
      </c>
      <c r="DR84">
        <v>0.58972346837929024</v>
      </c>
      <c r="DS84">
        <v>135.30520526688034</v>
      </c>
      <c r="DT84" s="10">
        <v>-0.52333333333333332</v>
      </c>
      <c r="DU84">
        <v>-5.3333333333333309E-2</v>
      </c>
      <c r="DV84">
        <v>-0.57666666666666666</v>
      </c>
      <c r="DW84">
        <v>-2.1082999999999998</v>
      </c>
      <c r="DX84">
        <v>0.27564656716417929</v>
      </c>
      <c r="DY84">
        <v>-2.0092755232238808</v>
      </c>
      <c r="DZ84">
        <v>1459</v>
      </c>
      <c r="EA84">
        <v>-2.0066271889022289</v>
      </c>
      <c r="EB84">
        <v>2</v>
      </c>
      <c r="EC84">
        <v>8.9773303915781383E-3</v>
      </c>
      <c r="ED84">
        <v>0.10481833293293773</v>
      </c>
      <c r="EE84" s="11">
        <v>3.1082100000000001</v>
      </c>
      <c r="EF84">
        <v>3.1302099999999999</v>
      </c>
      <c r="EG84">
        <v>19.085646567164179</v>
      </c>
      <c r="EH84" t="s">
        <v>1221</v>
      </c>
      <c r="EI84">
        <v>0</v>
      </c>
      <c r="EJ84">
        <v>1</v>
      </c>
      <c r="EK84" s="13">
        <v>45470</v>
      </c>
      <c r="EL84" s="14">
        <v>0.51</v>
      </c>
      <c r="EM84" s="14">
        <v>-2.82</v>
      </c>
      <c r="EN84" s="14">
        <v>-0.56000000000000005</v>
      </c>
      <c r="EO84" s="14">
        <v>2.13</v>
      </c>
      <c r="EP84" s="14">
        <v>-2.2000000000000002</v>
      </c>
    </row>
    <row r="85" spans="1:146" ht="96" x14ac:dyDescent="0.25">
      <c r="A85" s="7"/>
      <c r="B85" s="7"/>
      <c r="C85" s="7" t="str">
        <f>""&amp;CHAR(10)&amp;Basic_Fundamental_Information_Constructure(F85)&amp;CHAR(10)&amp;Basic_Fundamental_Information_Concatenate("")</f>
        <v xml:space="preserve">
市值192.29916亿, 利润46.68亿; PE12.47; 平均PE12.56; 平均PEG.13, PB1.14; ROIC5.1333%; ROE9.4667%; 股利率2.8283%; 毛利55.6167%; 净利29.01%; 上一年度营收增396.05%, 利润增186.38%; 当季营收增-77.25%, 利润增-56.49%; 过往5年营收增97.84%, 利润增66.86%
Income profile:
</v>
      </c>
      <c r="D85" t="s">
        <v>287</v>
      </c>
      <c r="E85" t="s">
        <v>21</v>
      </c>
      <c r="F85">
        <v>2.97</v>
      </c>
      <c r="G85">
        <v>-0.67</v>
      </c>
      <c r="H85" t="s">
        <v>3511</v>
      </c>
      <c r="I85">
        <v>19229916000</v>
      </c>
      <c r="J85">
        <v>12.47</v>
      </c>
      <c r="K85">
        <v>1.1399999999999999</v>
      </c>
      <c r="L85" t="s">
        <v>67</v>
      </c>
      <c r="M85" t="s">
        <v>2141</v>
      </c>
      <c r="N85" t="s">
        <v>3512</v>
      </c>
      <c r="O85" t="s">
        <v>1900</v>
      </c>
      <c r="P85">
        <v>4.17</v>
      </c>
      <c r="Q85" t="s">
        <v>3513</v>
      </c>
      <c r="R85">
        <v>432440300</v>
      </c>
      <c r="S85" s="5">
        <v>7.6999999999999999E-2</v>
      </c>
      <c r="T85" t="s">
        <v>3514</v>
      </c>
      <c r="U85">
        <v>5960138300</v>
      </c>
      <c r="V85">
        <v>6474719000</v>
      </c>
      <c r="W85">
        <v>2.38</v>
      </c>
      <c r="X85">
        <v>0.03</v>
      </c>
      <c r="Y85">
        <v>33.99</v>
      </c>
      <c r="Z85" t="s">
        <v>3515</v>
      </c>
      <c r="AA85" t="s">
        <v>143</v>
      </c>
      <c r="AB85" t="s">
        <v>70</v>
      </c>
      <c r="AC85" t="s">
        <v>3516</v>
      </c>
      <c r="AD85" t="s">
        <v>70</v>
      </c>
      <c r="AE85">
        <v>173054230</v>
      </c>
      <c r="AF85" t="s">
        <v>105</v>
      </c>
      <c r="AG85" t="s">
        <v>3517</v>
      </c>
      <c r="AH85" t="s">
        <v>2143</v>
      </c>
      <c r="AI85" t="s">
        <v>2652</v>
      </c>
      <c r="AJ85" t="s">
        <v>2144</v>
      </c>
      <c r="AK85" t="s">
        <v>3518</v>
      </c>
      <c r="AL85" t="s">
        <v>2145</v>
      </c>
      <c r="AM85" t="s">
        <v>70</v>
      </c>
      <c r="AN85" t="s">
        <v>1843</v>
      </c>
      <c r="AO85" t="s">
        <v>70</v>
      </c>
      <c r="AP85" t="s">
        <v>3519</v>
      </c>
      <c r="AQ85" t="s">
        <v>1138</v>
      </c>
      <c r="AR85" t="s">
        <v>70</v>
      </c>
      <c r="AS85" t="s">
        <v>2624</v>
      </c>
      <c r="AT85" t="s">
        <v>3520</v>
      </c>
      <c r="AU85" t="s">
        <v>793</v>
      </c>
      <c r="AV85" t="s">
        <v>3521</v>
      </c>
      <c r="AW85" t="s">
        <v>3273</v>
      </c>
      <c r="AX85" t="s">
        <v>1186</v>
      </c>
      <c r="AY85" t="s">
        <v>589</v>
      </c>
      <c r="AZ85" t="s">
        <v>577</v>
      </c>
      <c r="BA85" t="s">
        <v>288</v>
      </c>
      <c r="BB85" t="s">
        <v>578</v>
      </c>
      <c r="BC85" t="s">
        <v>1187</v>
      </c>
      <c r="BD85" t="s">
        <v>1188</v>
      </c>
      <c r="BE85" t="s">
        <v>419</v>
      </c>
      <c r="BF85" t="s">
        <v>289</v>
      </c>
      <c r="BG85" t="s">
        <v>168</v>
      </c>
      <c r="BH85" t="s">
        <v>2142</v>
      </c>
      <c r="BI85" t="s">
        <v>3522</v>
      </c>
      <c r="BJ85" t="s">
        <v>1186</v>
      </c>
      <c r="BK85" t="s">
        <v>560</v>
      </c>
      <c r="BL85" t="s">
        <v>1269</v>
      </c>
      <c r="BM85" t="s">
        <v>1187</v>
      </c>
      <c r="BN85">
        <v>4.45</v>
      </c>
      <c r="BO85">
        <v>6.61</v>
      </c>
      <c r="BP85">
        <v>4.34</v>
      </c>
      <c r="BQ85">
        <v>7.36</v>
      </c>
      <c r="BR85">
        <v>13.55</v>
      </c>
      <c r="BS85">
        <v>7.49</v>
      </c>
      <c r="BT85" t="s">
        <v>2146</v>
      </c>
      <c r="BU85" t="s">
        <v>882</v>
      </c>
      <c r="BV85">
        <v>53.64</v>
      </c>
      <c r="BW85">
        <v>58</v>
      </c>
      <c r="BX85">
        <v>55.21</v>
      </c>
      <c r="BY85">
        <v>31.01</v>
      </c>
      <c r="BZ85">
        <v>33.31</v>
      </c>
      <c r="CA85">
        <v>22.71</v>
      </c>
      <c r="CB85">
        <v>-0.67</v>
      </c>
      <c r="CC85">
        <v>-4.07</v>
      </c>
      <c r="CD85" t="s">
        <v>115</v>
      </c>
      <c r="CE85" t="s">
        <v>3335</v>
      </c>
      <c r="CF85" s="8">
        <v>-0.77245406148033657</v>
      </c>
      <c r="CG85" s="9">
        <v>-0.56494939637826957</v>
      </c>
      <c r="CH85" s="8">
        <v>3.960496187210083</v>
      </c>
      <c r="CI85" s="8">
        <v>0.29286950826644897</v>
      </c>
      <c r="CJ85" s="8">
        <v>0.51968497037887573</v>
      </c>
      <c r="CK85" s="8">
        <v>7.2376355528831482E-2</v>
      </c>
      <c r="CL85" s="8">
        <v>4.6717200428247452E-2</v>
      </c>
      <c r="CM85" s="9">
        <v>1.8638037443161011</v>
      </c>
      <c r="CN85" s="9">
        <v>0.39197260141372681</v>
      </c>
      <c r="CO85" s="9">
        <v>0.89482212066650391</v>
      </c>
      <c r="CP85" s="9">
        <v>5.8219179511070251E-2</v>
      </c>
      <c r="CQ85" s="9">
        <v>0.13398058712482452</v>
      </c>
      <c r="CR85">
        <v>12.560363161332463</v>
      </c>
      <c r="CS85">
        <v>0.12837278084862944</v>
      </c>
      <c r="CT85">
        <v>2.8282828282828278</v>
      </c>
      <c r="CU85" s="8">
        <v>0.97842884436249733</v>
      </c>
      <c r="CV85" s="9">
        <v>0.66855964660644529</v>
      </c>
      <c r="CW85">
        <v>0.06</v>
      </c>
      <c r="CX85">
        <v>2.9513641904266721</v>
      </c>
      <c r="CY85">
        <v>8712552684.4189968</v>
      </c>
      <c r="CZ85">
        <v>0.97842884436249733</v>
      </c>
      <c r="DA85">
        <v>0.49336805236281039</v>
      </c>
      <c r="DB85">
        <v>52119134745.049599</v>
      </c>
      <c r="DC85">
        <v>0.92950740214437244</v>
      </c>
      <c r="DD85">
        <v>8.3820405944105003E-2</v>
      </c>
      <c r="DE85">
        <v>306773937806.35144</v>
      </c>
      <c r="DF85">
        <v>0.86101738303899766</v>
      </c>
      <c r="DG85">
        <v>1.2402489256897893E-2</v>
      </c>
      <c r="DH85">
        <v>2073286698127.853</v>
      </c>
      <c r="DI85">
        <v>0.78274307548999789</v>
      </c>
      <c r="DJ85">
        <v>1.9272965030428546E-4</v>
      </c>
      <c r="DK85">
        <v>133419616335122.03</v>
      </c>
      <c r="DL85">
        <v>0.68490019105374811</v>
      </c>
      <c r="DM85">
        <v>4668000000</v>
      </c>
      <c r="DN85">
        <v>0.97842884436249733</v>
      </c>
      <c r="DO85">
        <v>25713916000</v>
      </c>
      <c r="DP85">
        <v>5351372500</v>
      </c>
      <c r="DQ85">
        <v>3632</v>
      </c>
      <c r="DR85">
        <v>-1.7508829058428339</v>
      </c>
      <c r="DS85">
        <v>-1.2335090429847149</v>
      </c>
      <c r="DT85" s="10">
        <v>0.14333333333333331</v>
      </c>
      <c r="DU85">
        <v>0.49666666666666665</v>
      </c>
      <c r="DV85">
        <v>0.6399999999999999</v>
      </c>
      <c r="DW85">
        <v>-1.0407</v>
      </c>
      <c r="DX85">
        <v>0.33047180667433662</v>
      </c>
      <c r="DY85">
        <v>-1.0044962025316455</v>
      </c>
      <c r="DZ85">
        <v>4189</v>
      </c>
      <c r="EA85">
        <v>-1.0008103723153905</v>
      </c>
      <c r="EB85">
        <v>1</v>
      </c>
      <c r="EC85">
        <v>2.9653796558584241E-2</v>
      </c>
      <c r="ED85">
        <v>0.26842863759801777</v>
      </c>
      <c r="EE85" s="11">
        <v>-3.0066000000000002</v>
      </c>
      <c r="EF85">
        <v>-3.0209100000000002</v>
      </c>
      <c r="EG85">
        <v>22.110471806674337</v>
      </c>
      <c r="EH85" t="s">
        <v>1233</v>
      </c>
      <c r="EI85">
        <v>0</v>
      </c>
      <c r="EJ85">
        <v>0</v>
      </c>
      <c r="EK85" s="13">
        <v>45470</v>
      </c>
      <c r="EL85" s="14">
        <v>-2.41</v>
      </c>
      <c r="EM85" s="14">
        <v>-3.52</v>
      </c>
      <c r="EN85" s="14">
        <v>1.82</v>
      </c>
      <c r="EO85" s="14">
        <v>4.3</v>
      </c>
      <c r="EP85" s="14">
        <v>-2.75</v>
      </c>
    </row>
    <row r="86" spans="1:146" ht="96" x14ac:dyDescent="0.25">
      <c r="A86" s="7"/>
      <c r="B86" s="7"/>
      <c r="C86" s="7" t="str">
        <f>""&amp;CHAR(10)&amp;Basic_Fundamental_Information_Constructure(F86)&amp;CHAR(10)&amp;Basic_Fundamental_Information_Concatenate("")</f>
        <v xml:space="preserve">
市值126.082352亿, 利润212.39亿; PE11.98; 平均PE2.97; 平均PEG0, PB.801; ROIC5.5433%; ROE6.3767%; 股利率4.951%; 毛利33.3567%; 净利16.7833%; 上一年度营收增3356.15%, 利润增2381.19%; 当季营收增-96.53%, 利润增-96.85%; 过往5年营收增679.42%, 利润增479.78%
Income profile:
</v>
      </c>
      <c r="D86" t="s">
        <v>290</v>
      </c>
      <c r="E86" t="s">
        <v>291</v>
      </c>
      <c r="F86">
        <v>6.12</v>
      </c>
      <c r="G86">
        <v>-0.97</v>
      </c>
      <c r="H86" t="s">
        <v>3523</v>
      </c>
      <c r="I86">
        <v>12608235200</v>
      </c>
      <c r="J86">
        <v>11.98</v>
      </c>
      <c r="K86">
        <v>0.80100000000000005</v>
      </c>
      <c r="L86" t="s">
        <v>67</v>
      </c>
      <c r="M86" t="s">
        <v>2147</v>
      </c>
      <c r="N86" t="s">
        <v>3524</v>
      </c>
      <c r="O86" t="s">
        <v>2148</v>
      </c>
      <c r="P86">
        <v>45.95</v>
      </c>
      <c r="Q86" t="s">
        <v>3525</v>
      </c>
      <c r="R86">
        <v>217877660</v>
      </c>
      <c r="S86" s="5">
        <v>0.10780000000000001</v>
      </c>
      <c r="T86" t="s">
        <v>3526</v>
      </c>
      <c r="U86">
        <v>2060169200</v>
      </c>
      <c r="V86">
        <v>2060169200</v>
      </c>
      <c r="W86">
        <v>1.45</v>
      </c>
      <c r="X86">
        <v>7.0000000000000007E-2</v>
      </c>
      <c r="Y86">
        <v>13.88</v>
      </c>
      <c r="Z86" t="s">
        <v>3527</v>
      </c>
      <c r="AA86" t="s">
        <v>3528</v>
      </c>
      <c r="AB86" t="s">
        <v>3529</v>
      </c>
      <c r="AC86" t="s">
        <v>97</v>
      </c>
      <c r="AD86" t="s">
        <v>70</v>
      </c>
      <c r="AE86">
        <v>11182166</v>
      </c>
      <c r="AF86" t="s">
        <v>2150</v>
      </c>
      <c r="AG86" t="s">
        <v>3530</v>
      </c>
      <c r="AH86" t="s">
        <v>2151</v>
      </c>
      <c r="AI86" t="s">
        <v>598</v>
      </c>
      <c r="AJ86" t="s">
        <v>2152</v>
      </c>
      <c r="AK86" t="s">
        <v>2153</v>
      </c>
      <c r="AL86" t="s">
        <v>2154</v>
      </c>
      <c r="AM86" t="s">
        <v>70</v>
      </c>
      <c r="AN86" t="s">
        <v>1551</v>
      </c>
      <c r="AO86" t="s">
        <v>1303</v>
      </c>
      <c r="AP86" t="s">
        <v>96</v>
      </c>
      <c r="AQ86" t="s">
        <v>405</v>
      </c>
      <c r="AR86" t="s">
        <v>70</v>
      </c>
      <c r="AS86" t="s">
        <v>3531</v>
      </c>
      <c r="AT86" t="s">
        <v>3532</v>
      </c>
      <c r="AU86" t="s">
        <v>3533</v>
      </c>
      <c r="AV86" t="s">
        <v>385</v>
      </c>
      <c r="AW86" t="s">
        <v>3534</v>
      </c>
      <c r="AX86" t="s">
        <v>1189</v>
      </c>
      <c r="AY86" t="s">
        <v>356</v>
      </c>
      <c r="AZ86" t="s">
        <v>580</v>
      </c>
      <c r="BA86" t="s">
        <v>292</v>
      </c>
      <c r="BB86" t="s">
        <v>582</v>
      </c>
      <c r="BC86" t="s">
        <v>944</v>
      </c>
      <c r="BD86" t="s">
        <v>760</v>
      </c>
      <c r="BE86" t="s">
        <v>581</v>
      </c>
      <c r="BF86" t="s">
        <v>241</v>
      </c>
      <c r="BG86" t="s">
        <v>200</v>
      </c>
      <c r="BH86" t="s">
        <v>2149</v>
      </c>
      <c r="BI86" t="s">
        <v>3535</v>
      </c>
      <c r="BJ86" t="s">
        <v>1189</v>
      </c>
      <c r="BK86" t="s">
        <v>305</v>
      </c>
      <c r="BL86" t="s">
        <v>3536</v>
      </c>
      <c r="BM86" t="s">
        <v>944</v>
      </c>
      <c r="BN86">
        <v>4.75</v>
      </c>
      <c r="BO86">
        <v>5.36</v>
      </c>
      <c r="BP86">
        <v>6.52</v>
      </c>
      <c r="BQ86">
        <v>5.59</v>
      </c>
      <c r="BR86">
        <v>5.81</v>
      </c>
      <c r="BS86">
        <v>7.73</v>
      </c>
      <c r="BT86" t="s">
        <v>2155</v>
      </c>
      <c r="BU86" t="s">
        <v>882</v>
      </c>
      <c r="BV86">
        <v>28.43</v>
      </c>
      <c r="BW86">
        <v>36.29</v>
      </c>
      <c r="BX86">
        <v>35.35</v>
      </c>
      <c r="BY86">
        <v>15.27</v>
      </c>
      <c r="BZ86">
        <v>17.48</v>
      </c>
      <c r="CA86">
        <v>17.600000000000001</v>
      </c>
      <c r="CB86">
        <v>-2.39</v>
      </c>
      <c r="CC86">
        <v>-4.63</v>
      </c>
      <c r="CD86" t="s">
        <v>3537</v>
      </c>
      <c r="CE86" t="s">
        <v>3538</v>
      </c>
      <c r="CF86" s="8">
        <v>-0.9653194670713473</v>
      </c>
      <c r="CG86" s="9">
        <v>-0.96847378671682827</v>
      </c>
      <c r="CH86" s="8">
        <v>33.561489105224609</v>
      </c>
      <c r="CI86" s="8">
        <v>-6.6641487181186676E-2</v>
      </c>
      <c r="CJ86" s="8">
        <v>-8.656667172908783E-2</v>
      </c>
      <c r="CK86" s="8">
        <v>0.72640663385391235</v>
      </c>
      <c r="CL86" s="8">
        <v>-0.16359560191631317</v>
      </c>
      <c r="CM86" s="9">
        <v>23.811914443969727</v>
      </c>
      <c r="CN86" s="9">
        <v>-7.9569891095161438E-2</v>
      </c>
      <c r="CO86" s="9">
        <v>-6.7201606929302216E-2</v>
      </c>
      <c r="CP86" s="9">
        <v>0.42428570985794067</v>
      </c>
      <c r="CQ86" s="9">
        <v>-0.10025706887245178</v>
      </c>
      <c r="CR86">
        <v>2.9666435764705881</v>
      </c>
      <c r="CS86">
        <v>4.3664236321426077E-3</v>
      </c>
      <c r="CT86">
        <v>4.950980392156862</v>
      </c>
      <c r="CU86" s="8">
        <v>6.794218395650387</v>
      </c>
      <c r="CV86" s="9">
        <v>4.7978343173861502</v>
      </c>
      <c r="CW86">
        <v>0.06</v>
      </c>
      <c r="CX86">
        <v>2.8002839083402033E-2</v>
      </c>
      <c r="CY86">
        <v>156171136325.67789</v>
      </c>
      <c r="CZ86">
        <v>6.794218395650387</v>
      </c>
      <c r="DA86">
        <v>5.0929346999933217E-4</v>
      </c>
      <c r="DB86">
        <v>8586866821610.21</v>
      </c>
      <c r="DC86">
        <v>6.4545074758678673</v>
      </c>
      <c r="DD86">
        <v>2.1440605875222422E-6</v>
      </c>
      <c r="DE86">
        <v>2039697583851339.2</v>
      </c>
      <c r="DF86">
        <v>5.9789121881723402</v>
      </c>
      <c r="DG86">
        <v>2.528272811785966E-9</v>
      </c>
      <c r="DH86">
        <v>1.7297323214541696E+18</v>
      </c>
      <c r="DI86">
        <v>5.4353747165203101</v>
      </c>
      <c r="DJ86">
        <v>3.3810218718727819E-16</v>
      </c>
      <c r="DK86">
        <v>1.293465515967698E+25</v>
      </c>
      <c r="DL86">
        <v>4.7559528769552708</v>
      </c>
      <c r="DM86">
        <v>21239000000</v>
      </c>
      <c r="DN86">
        <v>6.794218395650387</v>
      </c>
      <c r="DO86">
        <v>4373235200</v>
      </c>
      <c r="DP86">
        <v>8407173400</v>
      </c>
      <c r="DQ86">
        <v>3696</v>
      </c>
      <c r="DR86">
        <v>-7.759537862721734</v>
      </c>
      <c r="DS86">
        <v>-5.7663081041029782</v>
      </c>
      <c r="DT86" s="10">
        <v>-6.6666666666667452E-3</v>
      </c>
      <c r="DU86">
        <v>-2.3333333333333355E-2</v>
      </c>
      <c r="DV86">
        <v>-3.00000000000001E-2</v>
      </c>
      <c r="DW86">
        <v>-1.0463</v>
      </c>
      <c r="DX86">
        <v>0.33098913480885384</v>
      </c>
      <c r="DY86">
        <v>-1.0051387969416499</v>
      </c>
      <c r="DZ86">
        <v>870</v>
      </c>
      <c r="EA86">
        <v>-1.0042638941355373</v>
      </c>
      <c r="EB86">
        <v>1</v>
      </c>
      <c r="EC86">
        <v>2.6775276516123044E-2</v>
      </c>
      <c r="ED86">
        <v>0.2412423212617682</v>
      </c>
      <c r="EE86" s="11">
        <v>-4.0264100000000003</v>
      </c>
      <c r="EF86">
        <v>-4.0543100000000001</v>
      </c>
      <c r="EG86">
        <v>22.110989134808854</v>
      </c>
      <c r="EH86" t="s">
        <v>2718</v>
      </c>
      <c r="EI86">
        <v>0</v>
      </c>
      <c r="EJ86">
        <v>1</v>
      </c>
      <c r="EK86" s="13">
        <v>45470</v>
      </c>
      <c r="EL86" s="14">
        <v>0.74</v>
      </c>
      <c r="EM86" s="14">
        <v>0.36</v>
      </c>
      <c r="EN86" s="14">
        <v>1.0900000000000001</v>
      </c>
      <c r="EO86" s="14">
        <v>3.24</v>
      </c>
      <c r="EP86" s="14">
        <v>-2.79</v>
      </c>
    </row>
    <row r="87" spans="1:146" ht="96" x14ac:dyDescent="0.25">
      <c r="A87" s="7"/>
      <c r="B87" s="7"/>
      <c r="C87" s="7" t="str">
        <f>""&amp;CHAR(10)&amp;Basic_Fundamental_Information_Constructure(F87)&amp;CHAR(10)&amp;Basic_Fundamental_Information_Concatenate("")</f>
        <v xml:space="preserve">
市值74.004278亿, 利润211.10亿; PE9.81; 平均PE1.91; 平均PEG0, PB1.11; ROIC6.7967%; ROE12.4633%; 股利率3.6184%; 毛利61.2333%; 净利38.49%; 上一年度营收增45411.08%, 利润增3527.15%; 当季营收增-99.44%, 利润增-99.13%; 过往5年营收增9095.27%, 利润增753.71%
Income profile:
</v>
      </c>
      <c r="D87" t="s">
        <v>293</v>
      </c>
      <c r="E87" t="s">
        <v>7</v>
      </c>
      <c r="F87">
        <v>3.04</v>
      </c>
      <c r="G87">
        <v>0.33</v>
      </c>
      <c r="H87" t="s">
        <v>3539</v>
      </c>
      <c r="I87">
        <v>7400427800</v>
      </c>
      <c r="J87">
        <v>9.81</v>
      </c>
      <c r="K87">
        <v>1.1100000000000001</v>
      </c>
      <c r="L87" t="s">
        <v>67</v>
      </c>
      <c r="M87" t="s">
        <v>2156</v>
      </c>
      <c r="N87" t="s">
        <v>2679</v>
      </c>
      <c r="O87" t="s">
        <v>1567</v>
      </c>
      <c r="P87">
        <v>-7.3</v>
      </c>
      <c r="Q87" t="s">
        <v>3540</v>
      </c>
      <c r="R87">
        <v>197104080</v>
      </c>
      <c r="S87" s="5">
        <v>-0.19850000000000001</v>
      </c>
      <c r="T87" t="s">
        <v>3541</v>
      </c>
      <c r="U87">
        <v>2420651200</v>
      </c>
      <c r="V87">
        <v>2434351200</v>
      </c>
      <c r="W87">
        <v>3.14</v>
      </c>
      <c r="X87">
        <v>0.03</v>
      </c>
      <c r="Y87">
        <v>33.29</v>
      </c>
      <c r="Z87" t="s">
        <v>3542</v>
      </c>
      <c r="AA87" t="s">
        <v>904</v>
      </c>
      <c r="AB87" t="s">
        <v>70</v>
      </c>
      <c r="AC87" t="s">
        <v>3543</v>
      </c>
      <c r="AD87" t="s">
        <v>70</v>
      </c>
      <c r="AE87">
        <v>127501102</v>
      </c>
      <c r="AF87" t="s">
        <v>2158</v>
      </c>
      <c r="AG87" t="s">
        <v>3544</v>
      </c>
      <c r="AH87" t="s">
        <v>2159</v>
      </c>
      <c r="AI87" t="s">
        <v>2139</v>
      </c>
      <c r="AJ87" t="s">
        <v>2160</v>
      </c>
      <c r="AK87" t="s">
        <v>3545</v>
      </c>
      <c r="AL87" t="s">
        <v>2161</v>
      </c>
      <c r="AM87" t="s">
        <v>70</v>
      </c>
      <c r="AN87" t="s">
        <v>3546</v>
      </c>
      <c r="AO87" t="s">
        <v>70</v>
      </c>
      <c r="AP87" t="s">
        <v>70</v>
      </c>
      <c r="AQ87" t="s">
        <v>3547</v>
      </c>
      <c r="AR87" t="s">
        <v>70</v>
      </c>
      <c r="AS87" t="s">
        <v>3548</v>
      </c>
      <c r="AT87" t="s">
        <v>3549</v>
      </c>
      <c r="AU87" t="s">
        <v>2117</v>
      </c>
      <c r="AV87" t="s">
        <v>3550</v>
      </c>
      <c r="AW87" t="s">
        <v>350</v>
      </c>
      <c r="AX87" t="s">
        <v>1190</v>
      </c>
      <c r="AY87" t="s">
        <v>909</v>
      </c>
      <c r="AZ87" t="s">
        <v>96</v>
      </c>
      <c r="BA87" t="s">
        <v>294</v>
      </c>
      <c r="BB87" t="s">
        <v>213</v>
      </c>
      <c r="BC87" t="s">
        <v>438</v>
      </c>
      <c r="BD87" t="s">
        <v>793</v>
      </c>
      <c r="BE87" t="s">
        <v>146</v>
      </c>
      <c r="BF87" t="s">
        <v>295</v>
      </c>
      <c r="BG87" t="s">
        <v>585</v>
      </c>
      <c r="BH87" t="s">
        <v>2157</v>
      </c>
      <c r="BI87" t="s">
        <v>3551</v>
      </c>
      <c r="BJ87" t="s">
        <v>1190</v>
      </c>
      <c r="BK87" t="s">
        <v>1147</v>
      </c>
      <c r="BL87" t="s">
        <v>3552</v>
      </c>
      <c r="BM87" t="s">
        <v>438</v>
      </c>
      <c r="BN87">
        <v>6.67</v>
      </c>
      <c r="BO87">
        <v>4.83</v>
      </c>
      <c r="BP87">
        <v>8.89</v>
      </c>
      <c r="BQ87">
        <v>10.6</v>
      </c>
      <c r="BR87">
        <v>9.6300000000000008</v>
      </c>
      <c r="BS87">
        <v>17.16</v>
      </c>
      <c r="BT87" t="s">
        <v>1489</v>
      </c>
      <c r="BU87" t="s">
        <v>882</v>
      </c>
      <c r="BV87">
        <v>62.22</v>
      </c>
      <c r="BW87">
        <v>61.93</v>
      </c>
      <c r="BX87">
        <v>59.55</v>
      </c>
      <c r="BY87">
        <v>33.520000000000003</v>
      </c>
      <c r="BZ87">
        <v>29.1</v>
      </c>
      <c r="CA87">
        <v>52.85</v>
      </c>
      <c r="CB87">
        <v>0.33</v>
      </c>
      <c r="CC87">
        <v>-10.85</v>
      </c>
      <c r="CD87" t="s">
        <v>3553</v>
      </c>
      <c r="CE87" t="s">
        <v>1537</v>
      </c>
      <c r="CF87" s="8">
        <v>-0.99437155316753856</v>
      </c>
      <c r="CG87" s="9">
        <v>-0.99134369433465086</v>
      </c>
      <c r="CH87" s="8">
        <v>454.11083984375</v>
      </c>
      <c r="CI87" s="8">
        <v>0.27228739857673645</v>
      </c>
      <c r="CJ87" s="8">
        <v>0.42984196543693542</v>
      </c>
      <c r="CK87" s="8">
        <v>-9.3189962208271027E-2</v>
      </c>
      <c r="CL87" s="8">
        <v>4.3966323137283325E-2</v>
      </c>
      <c r="CM87" s="9">
        <v>35.271476745605469</v>
      </c>
      <c r="CN87" s="9">
        <v>-0.24513618648052216</v>
      </c>
      <c r="CO87" s="9">
        <v>2.8939394950866699</v>
      </c>
      <c r="CP87" s="9">
        <v>-0.3242320716381073</v>
      </c>
      <c r="CQ87" s="9">
        <v>8.9219331741333008E-2</v>
      </c>
      <c r="CR87">
        <v>1.9120082159927658</v>
      </c>
      <c r="CS87">
        <v>2.1021994767873975E-4</v>
      </c>
      <c r="CT87">
        <v>3.6184210526315792</v>
      </c>
      <c r="CU87" s="8">
        <v>90.952749113738534</v>
      </c>
      <c r="CV87" s="9">
        <v>7.5370534628629686</v>
      </c>
      <c r="CW87">
        <v>0.06</v>
      </c>
      <c r="CX87">
        <v>7.7321205677249932E-3</v>
      </c>
      <c r="CY87">
        <v>1831247673387.7549</v>
      </c>
      <c r="CZ87">
        <v>90.952749113738534</v>
      </c>
      <c r="DA87">
        <v>1.1818606364807291E-6</v>
      </c>
      <c r="DB87">
        <v>1.1980623910246356E+16</v>
      </c>
      <c r="DC87">
        <v>86.405111658051609</v>
      </c>
      <c r="DD87">
        <v>3.3153451773832552E-12</v>
      </c>
      <c r="DE87">
        <v>4.2708758944900548E+21</v>
      </c>
      <c r="DF87">
        <v>80.038419220089907</v>
      </c>
      <c r="DG87">
        <v>2.4830830355158492E-19</v>
      </c>
      <c r="DH87">
        <v>5.7023577534363212E+28</v>
      </c>
      <c r="DI87">
        <v>72.762199290990836</v>
      </c>
      <c r="DJ87">
        <v>1.2937573978262692E-36</v>
      </c>
      <c r="DK87">
        <v>1.0944422674444396E+46</v>
      </c>
      <c r="DL87">
        <v>63.666924379616972</v>
      </c>
      <c r="DM87">
        <v>21110000000</v>
      </c>
      <c r="DN87">
        <v>90.952749113738534</v>
      </c>
      <c r="DO87">
        <v>14159427800</v>
      </c>
      <c r="DP87">
        <v>2476980700</v>
      </c>
      <c r="DQ87">
        <v>3754</v>
      </c>
      <c r="DR87">
        <v>-91.947120666906073</v>
      </c>
      <c r="DS87">
        <v>-8.5283971571976203</v>
      </c>
      <c r="DT87" s="10">
        <v>0.14333333333333331</v>
      </c>
      <c r="DU87">
        <v>-2.1666666666666723E-2</v>
      </c>
      <c r="DV87">
        <v>0.12166666666666659</v>
      </c>
      <c r="DW87">
        <v>-2.1084999999999998</v>
      </c>
      <c r="DX87">
        <v>0.32771729818780782</v>
      </c>
      <c r="DY87">
        <v>-2.0116873268533775</v>
      </c>
      <c r="DZ87">
        <v>1859</v>
      </c>
      <c r="EA87">
        <v>-2.0074355185127848</v>
      </c>
      <c r="EB87">
        <v>2</v>
      </c>
      <c r="EC87">
        <v>2.6859066185684299E-2</v>
      </c>
      <c r="ED87">
        <v>0.24934775228816614</v>
      </c>
      <c r="EE87" s="11">
        <v>1.0633999999999999</v>
      </c>
      <c r="EF87">
        <v>1.0537000000000001</v>
      </c>
      <c r="EG87">
        <v>22.107717298187808</v>
      </c>
      <c r="EH87" t="s">
        <v>813</v>
      </c>
      <c r="EI87">
        <v>0</v>
      </c>
      <c r="EJ87">
        <v>0</v>
      </c>
      <c r="EK87" s="13">
        <v>45470</v>
      </c>
      <c r="EL87" s="14">
        <v>0.32</v>
      </c>
      <c r="EM87" s="14">
        <v>-1.94</v>
      </c>
      <c r="EN87" s="14">
        <v>0.99</v>
      </c>
      <c r="EO87" s="14">
        <v>0.65</v>
      </c>
      <c r="EP87" s="14">
        <v>-0.97</v>
      </c>
    </row>
    <row r="88" spans="1:146" ht="96" x14ac:dyDescent="0.25">
      <c r="A88" s="7"/>
      <c r="B88" s="7"/>
      <c r="C88" s="7" t="str">
        <f>""&amp;CHAR(10)&amp;Basic_Fundamental_Information_Constructure(F88)&amp;CHAR(10)&amp;Basic_Fundamental_Information_Concatenate("")</f>
        <v xml:space="preserve">
市值80.703617亿, 利润42.71亿; PE30.98; 平均PE7; 平均PEG.24, PB.536; ROIC3.3067%; ROE2.48%; 股利率.4867%; 毛利43.4267%; 净利8.76%; 上一年度营收增213.86%, 利润增1868.2%; 当季营收增-71.71%, 利润增-110.3%; 过往5年营收增29.29%, 利润增349.85%
Income profile:
</v>
      </c>
      <c r="D88" t="s">
        <v>297</v>
      </c>
      <c r="E88" t="s">
        <v>298</v>
      </c>
      <c r="F88">
        <v>2.2599999999999998</v>
      </c>
      <c r="G88">
        <v>0.44</v>
      </c>
      <c r="H88" t="s">
        <v>3554</v>
      </c>
      <c r="I88">
        <v>8070361700</v>
      </c>
      <c r="J88">
        <v>30.98</v>
      </c>
      <c r="K88">
        <v>0.53600000000000003</v>
      </c>
      <c r="L88" t="s">
        <v>67</v>
      </c>
      <c r="M88" t="s">
        <v>2163</v>
      </c>
      <c r="N88" t="s">
        <v>3555</v>
      </c>
      <c r="O88" t="s">
        <v>200</v>
      </c>
      <c r="P88">
        <v>-4.93</v>
      </c>
      <c r="Q88" t="s">
        <v>3556</v>
      </c>
      <c r="R88">
        <v>-98644070</v>
      </c>
      <c r="S88" s="5">
        <v>-5.0670000000000002</v>
      </c>
      <c r="T88" t="s">
        <v>3557</v>
      </c>
      <c r="U88">
        <v>3570956500</v>
      </c>
      <c r="V88">
        <v>3570956500</v>
      </c>
      <c r="W88">
        <v>2.68</v>
      </c>
      <c r="X88">
        <v>0.02</v>
      </c>
      <c r="Y88">
        <v>-12.43</v>
      </c>
      <c r="Z88" t="s">
        <v>3219</v>
      </c>
      <c r="AA88" t="s">
        <v>1229</v>
      </c>
      <c r="AB88" t="s">
        <v>3558</v>
      </c>
      <c r="AC88" t="s">
        <v>169</v>
      </c>
      <c r="AD88" t="s">
        <v>70</v>
      </c>
      <c r="AE88">
        <v>204931240</v>
      </c>
      <c r="AF88" t="s">
        <v>2165</v>
      </c>
      <c r="AG88" t="s">
        <v>3559</v>
      </c>
      <c r="AH88" t="s">
        <v>2166</v>
      </c>
      <c r="AI88" t="s">
        <v>3560</v>
      </c>
      <c r="AJ88" t="s">
        <v>2167</v>
      </c>
      <c r="AK88" t="s">
        <v>3561</v>
      </c>
      <c r="AL88" t="s">
        <v>2168</v>
      </c>
      <c r="AM88" t="s">
        <v>70</v>
      </c>
      <c r="AN88" t="s">
        <v>1366</v>
      </c>
      <c r="AO88" t="s">
        <v>1490</v>
      </c>
      <c r="AP88" t="s">
        <v>3562</v>
      </c>
      <c r="AQ88" t="s">
        <v>3563</v>
      </c>
      <c r="AR88" t="s">
        <v>3564</v>
      </c>
      <c r="AS88" t="s">
        <v>3565</v>
      </c>
      <c r="AT88" t="s">
        <v>3566</v>
      </c>
      <c r="AU88" t="s">
        <v>2504</v>
      </c>
      <c r="AV88" t="s">
        <v>3567</v>
      </c>
      <c r="AW88" t="s">
        <v>2722</v>
      </c>
      <c r="AX88" t="s">
        <v>1191</v>
      </c>
      <c r="AY88" t="s">
        <v>903</v>
      </c>
      <c r="AZ88" t="s">
        <v>583</v>
      </c>
      <c r="BA88" t="s">
        <v>587</v>
      </c>
      <c r="BB88" t="s">
        <v>588</v>
      </c>
      <c r="BC88" t="s">
        <v>1746</v>
      </c>
      <c r="BD88" t="s">
        <v>837</v>
      </c>
      <c r="BE88" t="s">
        <v>586</v>
      </c>
      <c r="BF88" t="s">
        <v>590</v>
      </c>
      <c r="BG88" t="s">
        <v>591</v>
      </c>
      <c r="BH88" t="s">
        <v>2164</v>
      </c>
      <c r="BI88" t="s">
        <v>3568</v>
      </c>
      <c r="BJ88" t="s">
        <v>1191</v>
      </c>
      <c r="BK88" t="s">
        <v>897</v>
      </c>
      <c r="BL88" t="s">
        <v>739</v>
      </c>
      <c r="BM88" t="s">
        <v>1746</v>
      </c>
      <c r="BN88">
        <v>2.54</v>
      </c>
      <c r="BO88">
        <v>3.16</v>
      </c>
      <c r="BP88">
        <v>4.22</v>
      </c>
      <c r="BQ88">
        <v>2.62</v>
      </c>
      <c r="BR88">
        <v>1.69</v>
      </c>
      <c r="BS88">
        <v>3.13</v>
      </c>
      <c r="BT88" t="s">
        <v>2170</v>
      </c>
      <c r="BU88" t="s">
        <v>882</v>
      </c>
      <c r="BV88">
        <v>40.369999999999997</v>
      </c>
      <c r="BW88">
        <v>48.28</v>
      </c>
      <c r="BX88">
        <v>41.63</v>
      </c>
      <c r="BY88">
        <v>8.98</v>
      </c>
      <c r="BZ88">
        <v>7.06</v>
      </c>
      <c r="CA88">
        <v>10.24</v>
      </c>
      <c r="CB88">
        <v>-0.88</v>
      </c>
      <c r="CC88">
        <v>-21.23</v>
      </c>
      <c r="CD88" t="s">
        <v>1421</v>
      </c>
      <c r="CE88" t="s">
        <v>3569</v>
      </c>
      <c r="CF88" s="8">
        <v>-0.71709090909090911</v>
      </c>
      <c r="CG88" s="9">
        <v>-1.1029687578288101</v>
      </c>
      <c r="CH88" s="8">
        <v>2.1386106014251709</v>
      </c>
      <c r="CI88" s="8">
        <v>-0.15180467069149017</v>
      </c>
      <c r="CJ88" s="8">
        <v>5.0167225301265717E-2</v>
      </c>
      <c r="CK88" s="8">
        <v>-0.32871842384338379</v>
      </c>
      <c r="CL88" s="8">
        <v>-0.24356070160865784</v>
      </c>
      <c r="CM88" s="9">
        <v>18.682027816772461</v>
      </c>
      <c r="CN88" s="9">
        <v>-0.33639144897460938</v>
      </c>
      <c r="CO88" s="9">
        <v>-0.31302520632743835</v>
      </c>
      <c r="CP88" s="9">
        <v>-0.34163209795951843</v>
      </c>
      <c r="CQ88" s="9">
        <v>-0.19844789803028107</v>
      </c>
      <c r="CR88">
        <v>7.0014705320994786</v>
      </c>
      <c r="CS88">
        <v>0.23900795612968739</v>
      </c>
      <c r="CT88">
        <v>0.48672566371681419</v>
      </c>
      <c r="CU88" s="8">
        <v>0.29293880611658096</v>
      </c>
      <c r="CV88" s="9">
        <v>3.4985062330961227</v>
      </c>
      <c r="CW88">
        <v>0.06</v>
      </c>
      <c r="CX88">
        <v>3.4318321829262737</v>
      </c>
      <c r="CY88">
        <v>5209567585.7772799</v>
      </c>
      <c r="CZ88">
        <v>0.29293880611658096</v>
      </c>
      <c r="DA88">
        <v>0.94834681697149992</v>
      </c>
      <c r="DB88">
        <v>18852134451.290394</v>
      </c>
      <c r="DC88">
        <v>0.27829186581075188</v>
      </c>
      <c r="DD88">
        <v>0.3674685943740571</v>
      </c>
      <c r="DE88">
        <v>48652761007.927361</v>
      </c>
      <c r="DF88">
        <v>0.25778614938259126</v>
      </c>
      <c r="DG88">
        <v>0.16493356749106974</v>
      </c>
      <c r="DH88">
        <v>108397350351.18317</v>
      </c>
      <c r="DI88">
        <v>0.23435104489326478</v>
      </c>
      <c r="DJ88">
        <v>4.1980578650793965E-2</v>
      </c>
      <c r="DK88">
        <v>425872207449.00031</v>
      </c>
      <c r="DL88">
        <v>0.20505716428160667</v>
      </c>
      <c r="DM88">
        <v>4271000000</v>
      </c>
      <c r="DN88">
        <v>0.29293880611658096</v>
      </c>
      <c r="DO88">
        <v>17878361700</v>
      </c>
      <c r="DP88">
        <v>8702497000</v>
      </c>
      <c r="DQ88">
        <v>3779</v>
      </c>
      <c r="DR88">
        <v>-1.01002971520749</v>
      </c>
      <c r="DS88">
        <v>-4.6014749909249328</v>
      </c>
      <c r="DT88" s="10">
        <v>-0.50666666666666671</v>
      </c>
      <c r="DU88">
        <v>-1.0983333333333334</v>
      </c>
      <c r="DV88">
        <v>-1.605</v>
      </c>
      <c r="DW88">
        <v>-3.0591488095238097</v>
      </c>
      <c r="DX88">
        <v>0.30407161307292668</v>
      </c>
      <c r="DY88">
        <v>-3.0067472001137241</v>
      </c>
      <c r="DZ88">
        <v>3927</v>
      </c>
      <c r="EA88">
        <v>-3.0015620230400266</v>
      </c>
      <c r="EB88">
        <v>3</v>
      </c>
      <c r="EC88">
        <v>3.8365071095097347E-2</v>
      </c>
      <c r="ED88">
        <v>0.33632445536651034</v>
      </c>
      <c r="EE88" s="11">
        <v>-2.1379999999999999</v>
      </c>
      <c r="EF88">
        <v>-2.1352000000000002</v>
      </c>
      <c r="EG88">
        <v>19.114071613072927</v>
      </c>
      <c r="EH88" t="s">
        <v>1259</v>
      </c>
      <c r="EI88">
        <v>0</v>
      </c>
      <c r="EJ88">
        <v>0</v>
      </c>
      <c r="EK88" s="13">
        <v>45470</v>
      </c>
      <c r="EL88" s="14">
        <v>4.04</v>
      </c>
      <c r="EM88" s="14">
        <v>-2.69</v>
      </c>
      <c r="EN88" s="14">
        <v>0.61</v>
      </c>
      <c r="EO88" s="14">
        <v>10.06</v>
      </c>
      <c r="EP88" s="14">
        <v>-0.28000000000000003</v>
      </c>
    </row>
    <row r="89" spans="1:146" ht="168" x14ac:dyDescent="0.25">
      <c r="A89" s="7"/>
      <c r="B89" s="7"/>
      <c r="C89" s="7" t="str">
        <f>"公司是我国真空晶体生长设备研发制造于一体的专业生产厂家。公司主要产品包括单晶硅生长炉、多晶硅铸锭炉、单晶硅棒、多晶硅锭及单（多）晶硅片、新能源发电、无毒环保脱硝催化剂等。"&amp;CHAR(10)&amp;Basic_Fundamental_Information_Constructure(F89)&amp;CHAR(10)&amp;Basic_Fundamental_Information_Concatenate("硅片 79.38亿 65.07% 41.67% 10.36%
电力 12.84亿 10.52% 39.25% 60.33%
其他业务 12.11亿 9.92% 9.06% 14.78%
硅棒 11.91亿 9.77% 3.08% 5.10%")</f>
        <v>公司是我国真空晶体生长设备研发制造于一体的专业生产厂家。公司主要产品包括单晶硅生长炉、多晶硅铸锭炉、单晶硅棒、多晶硅锭及单（多）晶硅片、新能源发电、无毒环保脱硝催化剂等。
市值60.847992亿, 利润150.48亿; PE; 平均PE2.09; 平均PEG.02, PB.556; ROIC4.85%; ROE5.06%; 股利率.5159%; 毛利21.1233%; 净利7.1167%; 上一年度营收增422.21%, 利润增3457.45%; 当季营收增-90.69%, 利润增-108.24%; 过往5年营收增135.5%, 利润增704.44%
Income profile:
硅片 79.38亿 65.07% 41.67% 10.36%
电力 12.84亿 10.52% 39.25% 60.33%
其他业务 12.11亿 9.92% 9.06% 14.78%
硅棒 11.91亿 9.77% 3.08% 5.10%</v>
      </c>
      <c r="D89" t="s">
        <v>299</v>
      </c>
      <c r="E89" t="s">
        <v>41</v>
      </c>
      <c r="F89">
        <v>2.52</v>
      </c>
      <c r="G89">
        <v>1.61</v>
      </c>
      <c r="H89" t="s">
        <v>3570</v>
      </c>
      <c r="I89">
        <v>6084799200</v>
      </c>
      <c r="K89">
        <v>0.55600000000000005</v>
      </c>
      <c r="L89" t="s">
        <v>67</v>
      </c>
      <c r="M89" t="s">
        <v>2171</v>
      </c>
      <c r="N89" t="s">
        <v>3571</v>
      </c>
      <c r="O89" t="s">
        <v>2172</v>
      </c>
      <c r="P89">
        <v>-46.05</v>
      </c>
      <c r="Q89" t="s">
        <v>3572</v>
      </c>
      <c r="R89">
        <v>-463734740</v>
      </c>
      <c r="S89" s="5">
        <v>-2.5289999999999999</v>
      </c>
      <c r="T89" t="s">
        <v>3573</v>
      </c>
      <c r="U89">
        <v>2414602900</v>
      </c>
      <c r="V89">
        <v>2414602900</v>
      </c>
      <c r="W89">
        <v>2.25</v>
      </c>
      <c r="X89">
        <v>0.06</v>
      </c>
      <c r="Y89">
        <v>-32.17</v>
      </c>
      <c r="Z89" t="s">
        <v>1448</v>
      </c>
      <c r="AA89" t="s">
        <v>3574</v>
      </c>
      <c r="AB89" t="s">
        <v>3575</v>
      </c>
      <c r="AC89" t="s">
        <v>3576</v>
      </c>
      <c r="AD89" t="s">
        <v>70</v>
      </c>
      <c r="AE89">
        <v>73264774</v>
      </c>
      <c r="AF89" t="s">
        <v>2174</v>
      </c>
      <c r="AG89" t="s">
        <v>3577</v>
      </c>
      <c r="AH89" t="s">
        <v>2175</v>
      </c>
      <c r="AI89" t="s">
        <v>3578</v>
      </c>
      <c r="AJ89" t="s">
        <v>2176</v>
      </c>
      <c r="AK89" t="s">
        <v>3579</v>
      </c>
      <c r="AL89" t="s">
        <v>2177</v>
      </c>
      <c r="AM89" t="s">
        <v>70</v>
      </c>
      <c r="AN89" t="s">
        <v>2114</v>
      </c>
      <c r="AO89" t="s">
        <v>2053</v>
      </c>
      <c r="AP89" t="s">
        <v>3580</v>
      </c>
      <c r="AQ89" t="s">
        <v>3581</v>
      </c>
      <c r="AR89" t="s">
        <v>70</v>
      </c>
      <c r="AS89" t="s">
        <v>3582</v>
      </c>
      <c r="AT89" t="s">
        <v>3340</v>
      </c>
      <c r="AU89" t="s">
        <v>3583</v>
      </c>
      <c r="AV89" t="s">
        <v>3584</v>
      </c>
      <c r="AW89" t="s">
        <v>3049</v>
      </c>
      <c r="AX89" t="s">
        <v>1192</v>
      </c>
      <c r="AY89" t="s">
        <v>791</v>
      </c>
      <c r="AZ89" t="s">
        <v>572</v>
      </c>
      <c r="BA89" t="s">
        <v>300</v>
      </c>
      <c r="BB89" t="s">
        <v>592</v>
      </c>
      <c r="BC89" t="s">
        <v>123</v>
      </c>
      <c r="BD89" t="s">
        <v>792</v>
      </c>
      <c r="BE89" t="s">
        <v>325</v>
      </c>
      <c r="BF89" t="s">
        <v>301</v>
      </c>
      <c r="BG89" t="s">
        <v>576</v>
      </c>
      <c r="BH89" t="s">
        <v>2173</v>
      </c>
      <c r="BI89" t="s">
        <v>3585</v>
      </c>
      <c r="BJ89" t="s">
        <v>1192</v>
      </c>
      <c r="BK89" t="s">
        <v>700</v>
      </c>
      <c r="BL89" t="s">
        <v>3586</v>
      </c>
      <c r="BM89" t="s">
        <v>123</v>
      </c>
      <c r="BN89">
        <v>2.9</v>
      </c>
      <c r="BO89">
        <v>4.2</v>
      </c>
      <c r="BP89">
        <v>7.45</v>
      </c>
      <c r="BQ89">
        <v>3.22</v>
      </c>
      <c r="BR89">
        <v>3.88</v>
      </c>
      <c r="BS89">
        <v>8.08</v>
      </c>
      <c r="BT89" t="s">
        <v>2179</v>
      </c>
      <c r="BU89" t="s">
        <v>882</v>
      </c>
      <c r="BV89">
        <v>12.75</v>
      </c>
      <c r="BW89">
        <v>16.18</v>
      </c>
      <c r="BX89">
        <v>34.44</v>
      </c>
      <c r="BY89">
        <v>1.88</v>
      </c>
      <c r="BZ89">
        <v>3.56</v>
      </c>
      <c r="CA89">
        <v>15.91</v>
      </c>
      <c r="CB89">
        <v>-0.4</v>
      </c>
      <c r="CC89">
        <v>-23.64</v>
      </c>
      <c r="CD89" t="s">
        <v>3587</v>
      </c>
      <c r="CE89" t="s">
        <v>1487</v>
      </c>
      <c r="CF89" s="8">
        <v>-0.90690747782002534</v>
      </c>
      <c r="CG89" s="9">
        <v>-1.0824417315555555</v>
      </c>
      <c r="CH89" s="8">
        <v>4.2220668792724609</v>
      </c>
      <c r="CI89" s="8">
        <v>1.2075642347335815</v>
      </c>
      <c r="CJ89" s="8">
        <v>0.36242607235908508</v>
      </c>
      <c r="CK89" s="8">
        <v>0.97180366516113281</v>
      </c>
      <c r="CL89" s="8">
        <v>1.1307736858725548E-2</v>
      </c>
      <c r="CM89" s="9">
        <v>34.574466705322266</v>
      </c>
      <c r="CN89" s="9">
        <v>-0.48913043737411499</v>
      </c>
      <c r="CO89" s="9">
        <v>0.88181817531585693</v>
      </c>
      <c r="CP89" s="9">
        <v>0.67300379276275635</v>
      </c>
      <c r="CQ89" s="9">
        <v>-0.41814160346984863</v>
      </c>
      <c r="CR89">
        <v>2.0917150910965967</v>
      </c>
      <c r="CS89">
        <v>1.5436627618997775E-2</v>
      </c>
      <c r="CT89">
        <v>0.51587301587301593</v>
      </c>
      <c r="CU89" s="8">
        <v>1.3550337176769971</v>
      </c>
      <c r="CV89" s="9">
        <v>7.0444033265113832</v>
      </c>
      <c r="CW89">
        <v>0.06</v>
      </c>
      <c r="CX89">
        <v>0.23503410176043923</v>
      </c>
      <c r="CY89">
        <v>33432591871.324005</v>
      </c>
      <c r="CZ89">
        <v>1.3550337176769971</v>
      </c>
      <c r="DA89">
        <v>3.0969663349258963E-2</v>
      </c>
      <c r="DB89">
        <v>253725689923.84671</v>
      </c>
      <c r="DC89">
        <v>1.2872820317931473</v>
      </c>
      <c r="DD89">
        <v>3.4895682918647756E-3</v>
      </c>
      <c r="DE89">
        <v>2251796939558.0747</v>
      </c>
      <c r="DF89">
        <v>1.1924296715557574</v>
      </c>
      <c r="DG89">
        <v>2.9768645247619125E-4</v>
      </c>
      <c r="DH89">
        <v>26396227086042.691</v>
      </c>
      <c r="DI89">
        <v>1.0840269741415978</v>
      </c>
      <c r="DJ89">
        <v>1.2268502900729405E-6</v>
      </c>
      <c r="DK89">
        <v>6404855803174507</v>
      </c>
      <c r="DL89">
        <v>0.94852360237389788</v>
      </c>
      <c r="DM89">
        <v>15047999999.999998</v>
      </c>
      <c r="DN89">
        <v>1.3550337176769971</v>
      </c>
      <c r="DO89">
        <v>7857799200</v>
      </c>
      <c r="DP89">
        <v>1963650100</v>
      </c>
      <c r="DQ89">
        <v>3814</v>
      </c>
      <c r="DR89">
        <v>-2.2619411954970223</v>
      </c>
      <c r="DS89">
        <v>-8.1268450580669391</v>
      </c>
      <c r="DT89" s="10">
        <v>0.52666666666666662</v>
      </c>
      <c r="DU89">
        <v>-0.34833333333333338</v>
      </c>
      <c r="DV89">
        <v>0.17833333333333323</v>
      </c>
      <c r="DW89">
        <v>-3.0864047619047619</v>
      </c>
      <c r="DX89">
        <v>0.38865528756957302</v>
      </c>
      <c r="DY89">
        <v>-3.0137085723473804</v>
      </c>
      <c r="DZ89">
        <v>872</v>
      </c>
      <c r="EA89">
        <v>-3.0113692621542461</v>
      </c>
      <c r="EB89">
        <v>3</v>
      </c>
      <c r="EC89">
        <v>3.5415844153918644E-2</v>
      </c>
      <c r="ED89">
        <v>0.22322511084534852</v>
      </c>
      <c r="EE89" s="11">
        <v>1.0499999999999999E-2</v>
      </c>
      <c r="EF89">
        <v>5.6099999999999987E-3</v>
      </c>
      <c r="EG89">
        <v>23.158655287569573</v>
      </c>
      <c r="EH89">
        <v>-1</v>
      </c>
      <c r="EI89">
        <v>0</v>
      </c>
      <c r="EJ89">
        <v>1</v>
      </c>
      <c r="EK89" s="13">
        <v>45470</v>
      </c>
      <c r="EL89" s="14">
        <v>0.37</v>
      </c>
      <c r="EM89" s="14">
        <v>-1.83</v>
      </c>
      <c r="EN89" s="14">
        <v>-1.1200000000000001</v>
      </c>
      <c r="EO89" s="14">
        <v>1.1299999999999999</v>
      </c>
      <c r="EP89" s="14">
        <v>-1.61</v>
      </c>
    </row>
    <row r="90" spans="1:146" ht="132" x14ac:dyDescent="0.25">
      <c r="A90" s="7" t="s">
        <v>945</v>
      </c>
      <c r="B90" s="7" t="s">
        <v>947</v>
      </c>
      <c r="C90" s="7" t="str">
        <f>"公司主要从事核电项目的开发、投资、建设、运营与管理；核电运行安全技术研究及相关技术服务与咨询业务。"&amp;CHAR(10)&amp;Basic_Fundamental_Information_Constructure(F90)&amp;CHAR(10)&amp;Basic_Fundamental_Information_Concatenate("电力行业 612.02亿 98.13% 100.00% 44.15%
核电相关服务 9.01亿 1.44%")</f>
        <v>公司主要从事核电项目的开发、投资、建设、运营与管理；核电运行安全技术研究及相关技术服务与咨询业务。
市值2056.3897亿, 利润2319.04亿; PE19.29; 平均PE4.66; 平均PEG.03, PB2.21; ROIC5.3367%; ROE11.3667%; 股利率1.7906%; 毛利44.8133%; 净利23.78%; 上一年度营收增773.79%, 利润增2473.85%; 当季营收增-89.15%, 利润增-94.7%; 过往5年营收增167.66%, 利润增509.4%
Income profile:
电力行业 612.02亿 98.13% 100.00% 44.15%
核电相关服务 9.01亿 1.44%</v>
      </c>
      <c r="D90" t="s">
        <v>302</v>
      </c>
      <c r="E90" t="s">
        <v>29</v>
      </c>
      <c r="F90">
        <v>10.89</v>
      </c>
      <c r="G90">
        <v>-0.37</v>
      </c>
      <c r="H90" t="s">
        <v>3588</v>
      </c>
      <c r="I90">
        <v>205638970000</v>
      </c>
      <c r="J90">
        <v>19.29</v>
      </c>
      <c r="K90">
        <v>2.21</v>
      </c>
      <c r="L90" t="s">
        <v>67</v>
      </c>
      <c r="M90" t="s">
        <v>2180</v>
      </c>
      <c r="N90" t="s">
        <v>3589</v>
      </c>
      <c r="O90" t="s">
        <v>2181</v>
      </c>
      <c r="P90">
        <v>0.53</v>
      </c>
      <c r="Q90" t="s">
        <v>3590</v>
      </c>
      <c r="R90">
        <v>3058910900</v>
      </c>
      <c r="S90" s="5">
        <v>1.18E-2</v>
      </c>
      <c r="T90" t="s">
        <v>3591</v>
      </c>
      <c r="U90">
        <v>18883285000</v>
      </c>
      <c r="V90">
        <v>18883285000</v>
      </c>
      <c r="W90">
        <v>3.36</v>
      </c>
      <c r="X90">
        <v>0.03</v>
      </c>
      <c r="Y90">
        <v>31.38</v>
      </c>
      <c r="Z90" t="s">
        <v>3592</v>
      </c>
      <c r="AA90" t="s">
        <v>3593</v>
      </c>
      <c r="AB90" t="s">
        <v>3594</v>
      </c>
      <c r="AC90" t="s">
        <v>322</v>
      </c>
      <c r="AD90" t="s">
        <v>70</v>
      </c>
      <c r="AE90">
        <v>1685809800</v>
      </c>
      <c r="AF90" t="s">
        <v>2184</v>
      </c>
      <c r="AG90" t="s">
        <v>3595</v>
      </c>
      <c r="AH90" t="s">
        <v>2185</v>
      </c>
      <c r="AI90" t="s">
        <v>3596</v>
      </c>
      <c r="AJ90" t="s">
        <v>2186</v>
      </c>
      <c r="AK90" t="s">
        <v>3597</v>
      </c>
      <c r="AL90" t="s">
        <v>2187</v>
      </c>
      <c r="AM90" t="s">
        <v>70</v>
      </c>
      <c r="AN90" t="s">
        <v>3598</v>
      </c>
      <c r="AO90" t="s">
        <v>3599</v>
      </c>
      <c r="AP90" t="s">
        <v>3600</v>
      </c>
      <c r="AQ90" t="s">
        <v>3601</v>
      </c>
      <c r="AR90" t="s">
        <v>3602</v>
      </c>
      <c r="AS90" t="s">
        <v>3603</v>
      </c>
      <c r="AT90" t="s">
        <v>3604</v>
      </c>
      <c r="AU90" t="s">
        <v>3605</v>
      </c>
      <c r="AV90" t="s">
        <v>3606</v>
      </c>
      <c r="AW90" t="s">
        <v>3607</v>
      </c>
      <c r="AX90" t="s">
        <v>1193</v>
      </c>
      <c r="AY90" t="s">
        <v>1195</v>
      </c>
      <c r="AZ90" t="s">
        <v>594</v>
      </c>
      <c r="BA90" t="s">
        <v>596</v>
      </c>
      <c r="BB90" t="s">
        <v>597</v>
      </c>
      <c r="BC90" t="s">
        <v>1194</v>
      </c>
      <c r="BD90" t="s">
        <v>1196</v>
      </c>
      <c r="BE90" t="s">
        <v>595</v>
      </c>
      <c r="BF90" t="s">
        <v>598</v>
      </c>
      <c r="BG90" t="s">
        <v>223</v>
      </c>
      <c r="BH90" t="s">
        <v>2182</v>
      </c>
      <c r="BI90" t="s">
        <v>3608</v>
      </c>
      <c r="BJ90" t="s">
        <v>1193</v>
      </c>
      <c r="BK90" t="s">
        <v>2183</v>
      </c>
      <c r="BL90" t="s">
        <v>3609</v>
      </c>
      <c r="BM90" t="s">
        <v>1194</v>
      </c>
      <c r="BN90">
        <v>4.8</v>
      </c>
      <c r="BO90">
        <v>5.67</v>
      </c>
      <c r="BP90">
        <v>5.54</v>
      </c>
      <c r="BQ90">
        <v>10.71</v>
      </c>
      <c r="BR90">
        <v>11.35</v>
      </c>
      <c r="BS90">
        <v>12.04</v>
      </c>
      <c r="BT90" t="s">
        <v>2188</v>
      </c>
      <c r="BU90" t="s">
        <v>882</v>
      </c>
      <c r="BV90">
        <v>44.62</v>
      </c>
      <c r="BW90">
        <v>45.63</v>
      </c>
      <c r="BX90">
        <v>44.19</v>
      </c>
      <c r="BY90">
        <v>25.9</v>
      </c>
      <c r="BZ90">
        <v>22.9</v>
      </c>
      <c r="CA90">
        <v>22.54</v>
      </c>
      <c r="CB90">
        <v>2.16</v>
      </c>
      <c r="CC90">
        <v>14.87</v>
      </c>
      <c r="CD90" t="s">
        <v>1086</v>
      </c>
      <c r="CE90" t="s">
        <v>3610</v>
      </c>
      <c r="CF90" s="8">
        <v>-0.89151634672794056</v>
      </c>
      <c r="CG90" s="9">
        <v>-0.94695192931342453</v>
      </c>
      <c r="CH90" s="8">
        <v>7.7378873825073242</v>
      </c>
      <c r="CI90" s="8">
        <v>0.13702847063541412</v>
      </c>
      <c r="CJ90" s="8">
        <v>0.19930751621723175</v>
      </c>
      <c r="CK90" s="8">
        <v>0.10611284524202347</v>
      </c>
      <c r="CL90" s="8">
        <v>0.20241701602935791</v>
      </c>
      <c r="CM90" s="9">
        <v>24.73851203918457</v>
      </c>
      <c r="CN90" s="9">
        <v>9.6507236361503601E-2</v>
      </c>
      <c r="CO90" s="9">
        <v>0.37064224481582642</v>
      </c>
      <c r="CP90" s="9">
        <v>0.2599831223487854</v>
      </c>
      <c r="CQ90" s="9">
        <v>4.4332263059914112E-3</v>
      </c>
      <c r="CR90">
        <v>4.6626451415420549</v>
      </c>
      <c r="CS90">
        <v>2.7810941186389219E-2</v>
      </c>
      <c r="CT90">
        <v>1.7906336088154269</v>
      </c>
      <c r="CU90" s="8">
        <v>1.6765506461262702</v>
      </c>
      <c r="CV90" s="9">
        <v>5.0940155738033353</v>
      </c>
      <c r="CW90">
        <v>0.06</v>
      </c>
      <c r="CX90">
        <v>0.70618355107482511</v>
      </c>
      <c r="CY90">
        <v>585568680225.72327</v>
      </c>
      <c r="CZ90">
        <v>1.6765506461262702</v>
      </c>
      <c r="DA90">
        <v>7.7318710201217902E-2</v>
      </c>
      <c r="DB90">
        <v>5348239370830.6631</v>
      </c>
      <c r="DC90">
        <v>1.5927231138199567</v>
      </c>
      <c r="DD90">
        <v>6.3256133962119052E-3</v>
      </c>
      <c r="DE90">
        <v>65372153512833.383</v>
      </c>
      <c r="DF90">
        <v>1.4753645685911179</v>
      </c>
      <c r="DG90">
        <v>3.5328676933137532E-4</v>
      </c>
      <c r="DH90">
        <v>1170490960594474.5</v>
      </c>
      <c r="DI90">
        <v>1.3412405169010162</v>
      </c>
      <c r="DJ90">
        <v>5.2883137125922914E-7</v>
      </c>
      <c r="DK90">
        <v>7.8194863707753856E+17</v>
      </c>
      <c r="DL90">
        <v>1.1735854522883891</v>
      </c>
      <c r="DM90">
        <v>231904000000</v>
      </c>
      <c r="DN90">
        <v>1.6765506461262702</v>
      </c>
      <c r="DO90">
        <v>413518970000</v>
      </c>
      <c r="DP90">
        <v>-18591715000</v>
      </c>
      <c r="DQ90">
        <v>3833</v>
      </c>
      <c r="DR90">
        <v>-2.5680669928542108</v>
      </c>
      <c r="DS90">
        <v>-6.04096750311676</v>
      </c>
      <c r="DT90" s="10">
        <v>9.3333333333333268E-2</v>
      </c>
      <c r="DU90">
        <v>0.10999999999999995</v>
      </c>
      <c r="DV90">
        <v>0.2033333333333332</v>
      </c>
      <c r="DW90">
        <v>2.1486999999999998</v>
      </c>
      <c r="DX90">
        <v>0.3586618998978548</v>
      </c>
      <c r="DY90">
        <v>2.020619024514811</v>
      </c>
      <c r="DZ90">
        <v>353</v>
      </c>
      <c r="EA90">
        <v>2.0191946574592867</v>
      </c>
      <c r="EB90">
        <v>2</v>
      </c>
      <c r="EC90">
        <v>2.8755589930459662E-2</v>
      </c>
      <c r="ED90">
        <v>0.20737917157952124</v>
      </c>
      <c r="EE90" s="11">
        <v>3.0609000000000002</v>
      </c>
      <c r="EF90">
        <v>3.0467</v>
      </c>
      <c r="EG90">
        <v>22.138661899897855</v>
      </c>
      <c r="EH90" t="s">
        <v>1458</v>
      </c>
      <c r="EI90">
        <v>1</v>
      </c>
      <c r="EJ90">
        <v>1</v>
      </c>
      <c r="EK90" s="13">
        <v>45470</v>
      </c>
      <c r="EL90" s="14">
        <v>0.85</v>
      </c>
      <c r="EM90" s="14">
        <v>-1.68</v>
      </c>
      <c r="EN90" s="14">
        <v>0.56999999999999995</v>
      </c>
      <c r="EO90" s="14">
        <v>-0.28000000000000003</v>
      </c>
      <c r="EP90" s="14">
        <v>-1.42</v>
      </c>
    </row>
    <row r="91" spans="1:146" ht="96" x14ac:dyDescent="0.25">
      <c r="A91" s="7"/>
      <c r="B91" s="7"/>
      <c r="C91" s="7" t="str">
        <f>""&amp;CHAR(10)&amp;Basic_Fundamental_Information_Constructure(F91)&amp;CHAR(10)&amp;Basic_Fundamental_Information_Concatenate("")</f>
        <v xml:space="preserve">
市值566.30534亿, 利润2526.28万; PE22.12; 平均PE-82.08; 平均PEG-25.8, PB1.99; ROIC2.86%; ROE-10.24%; 股利率.2451%; 毛利5.9833%; 净利-3.2667%; 上一年度营收增-7.59%, 利润增106.19%; 当季营收增30.91%, 利润增501.04%; 过往5年营收增3.18%, 利润增-5.21%
Income profile:
</v>
      </c>
      <c r="D91" t="s">
        <v>303</v>
      </c>
      <c r="E91" t="s">
        <v>18</v>
      </c>
      <c r="F91">
        <v>3.06</v>
      </c>
      <c r="G91">
        <v>-0.97</v>
      </c>
      <c r="H91" t="s">
        <v>271</v>
      </c>
      <c r="I91">
        <v>56630534000</v>
      </c>
      <c r="J91">
        <v>22.12</v>
      </c>
      <c r="K91">
        <v>1.99</v>
      </c>
      <c r="L91" t="s">
        <v>67</v>
      </c>
      <c r="M91" t="s">
        <v>2189</v>
      </c>
      <c r="N91" t="s">
        <v>3611</v>
      </c>
      <c r="O91" t="s">
        <v>2190</v>
      </c>
      <c r="P91">
        <v>9.58</v>
      </c>
      <c r="Q91" t="s">
        <v>3612</v>
      </c>
      <c r="R91">
        <v>1331460000</v>
      </c>
      <c r="S91" s="5">
        <v>8.7230000000000008</v>
      </c>
      <c r="T91" t="s">
        <v>3613</v>
      </c>
      <c r="U91">
        <v>12396089100</v>
      </c>
      <c r="V91">
        <v>18506711000</v>
      </c>
      <c r="W91">
        <v>3.27</v>
      </c>
      <c r="X91">
        <v>0.1</v>
      </c>
      <c r="Y91">
        <v>5.65</v>
      </c>
      <c r="Z91" t="s">
        <v>3614</v>
      </c>
      <c r="AA91" t="s">
        <v>3615</v>
      </c>
      <c r="AB91" t="s">
        <v>3616</v>
      </c>
      <c r="AC91" t="s">
        <v>3617</v>
      </c>
      <c r="AD91" t="s">
        <v>70</v>
      </c>
      <c r="AE91">
        <v>1360363000</v>
      </c>
      <c r="AF91" t="s">
        <v>2193</v>
      </c>
      <c r="AG91" t="s">
        <v>3618</v>
      </c>
      <c r="AH91" t="s">
        <v>2194</v>
      </c>
      <c r="AI91" t="s">
        <v>3619</v>
      </c>
      <c r="AJ91" t="s">
        <v>2195</v>
      </c>
      <c r="AK91" t="s">
        <v>3620</v>
      </c>
      <c r="AL91" t="s">
        <v>2196</v>
      </c>
      <c r="AM91" t="s">
        <v>70</v>
      </c>
      <c r="AN91" t="s">
        <v>3621</v>
      </c>
      <c r="AO91" t="s">
        <v>3622</v>
      </c>
      <c r="AP91" t="s">
        <v>3623</v>
      </c>
      <c r="AQ91" t="s">
        <v>3624</v>
      </c>
      <c r="AR91" t="s">
        <v>2197</v>
      </c>
      <c r="AS91" t="s">
        <v>3625</v>
      </c>
      <c r="AT91" t="s">
        <v>3626</v>
      </c>
      <c r="AU91" t="s">
        <v>3627</v>
      </c>
      <c r="AV91" t="s">
        <v>3628</v>
      </c>
      <c r="AW91" t="s">
        <v>3629</v>
      </c>
      <c r="AX91" t="s">
        <v>1197</v>
      </c>
      <c r="AY91" t="s">
        <v>1198</v>
      </c>
      <c r="AZ91" t="s">
        <v>599</v>
      </c>
      <c r="BA91" t="s">
        <v>304</v>
      </c>
      <c r="BB91" t="s">
        <v>601</v>
      </c>
      <c r="BC91" t="s">
        <v>2198</v>
      </c>
      <c r="BD91" t="s">
        <v>1199</v>
      </c>
      <c r="BE91" t="s">
        <v>600</v>
      </c>
      <c r="BF91" t="s">
        <v>281</v>
      </c>
      <c r="BG91" t="s">
        <v>602</v>
      </c>
      <c r="BH91" t="s">
        <v>2191</v>
      </c>
      <c r="BI91" t="s">
        <v>3630</v>
      </c>
      <c r="BJ91" t="s">
        <v>1197</v>
      </c>
      <c r="BK91" t="s">
        <v>2192</v>
      </c>
      <c r="BL91" t="s">
        <v>3631</v>
      </c>
      <c r="BM91" t="s">
        <v>2198</v>
      </c>
      <c r="BN91">
        <v>2.86</v>
      </c>
      <c r="BO91" t="s">
        <v>70</v>
      </c>
      <c r="BP91" t="s">
        <v>70</v>
      </c>
      <c r="BQ91">
        <v>5.66</v>
      </c>
      <c r="BR91">
        <v>-6.24</v>
      </c>
      <c r="BS91">
        <v>-30.14</v>
      </c>
      <c r="BT91" t="s">
        <v>2199</v>
      </c>
      <c r="BU91" t="s">
        <v>881</v>
      </c>
      <c r="BV91">
        <v>11.75</v>
      </c>
      <c r="BW91">
        <v>7.12</v>
      </c>
      <c r="BX91">
        <v>-0.92</v>
      </c>
      <c r="BY91">
        <v>2.4500000000000002</v>
      </c>
      <c r="BZ91">
        <v>-0.75</v>
      </c>
      <c r="CA91">
        <v>-11.5</v>
      </c>
      <c r="CB91">
        <v>1.66</v>
      </c>
      <c r="CC91">
        <v>2.68</v>
      </c>
      <c r="CD91" t="s">
        <v>3632</v>
      </c>
      <c r="CE91" t="s">
        <v>3633</v>
      </c>
      <c r="CF91" s="8">
        <v>0.30907155025553662</v>
      </c>
      <c r="CG91" s="9">
        <v>5.0104216867469882</v>
      </c>
      <c r="CH91" s="8">
        <v>-7.5940646231174469E-2</v>
      </c>
      <c r="CI91" s="8">
        <v>0.12757453322410583</v>
      </c>
      <c r="CJ91" s="8">
        <v>8.3627901971340179E-2</v>
      </c>
      <c r="CK91" s="8">
        <v>1.6866663936525583E-3</v>
      </c>
      <c r="CL91" s="8">
        <v>2.2090243175625801E-2</v>
      </c>
      <c r="CM91" s="9">
        <v>1.0619186162948608</v>
      </c>
      <c r="CN91" s="9">
        <v>0.9551548957824707</v>
      </c>
      <c r="CO91" s="9">
        <v>-3.9927632808685303</v>
      </c>
      <c r="CP91" s="9">
        <v>1.8517823219299316</v>
      </c>
      <c r="CQ91" s="9">
        <v>-0.13684214651584625</v>
      </c>
      <c r="CR91">
        <v>-82.078447878285601</v>
      </c>
      <c r="CS91">
        <v>-25.804552173498447</v>
      </c>
      <c r="CT91">
        <v>0.24509803921568626</v>
      </c>
      <c r="CU91" s="8">
        <v>3.1807739706709984E-2</v>
      </c>
      <c r="CV91" s="9">
        <v>-5.2149918675422666E-2</v>
      </c>
      <c r="CW91">
        <v>0.06</v>
      </c>
      <c r="CX91">
        <v>7263.318700067749</v>
      </c>
      <c r="CY91">
        <v>24590898.647794981</v>
      </c>
      <c r="CZ91">
        <v>3.1807739706709984E-2</v>
      </c>
      <c r="DA91">
        <v>2494.2684935657421</v>
      </c>
      <c r="DB91">
        <v>71608784.082687721</v>
      </c>
      <c r="DC91">
        <v>3.0217352721374484E-2</v>
      </c>
      <c r="DD91">
        <v>1310.0554587591828</v>
      </c>
      <c r="DE91">
        <v>136338910.54442203</v>
      </c>
      <c r="DF91">
        <v>2.7990810941904785E-2</v>
      </c>
      <c r="DG91">
        <v>844.54665936712547</v>
      </c>
      <c r="DH91">
        <v>211488059.32622528</v>
      </c>
      <c r="DI91">
        <v>2.5446191765367988E-2</v>
      </c>
      <c r="DJ91">
        <v>506.11107786366824</v>
      </c>
      <c r="DK91">
        <v>352909750.07686514</v>
      </c>
      <c r="DL91">
        <v>2.2265417794696988E-2</v>
      </c>
      <c r="DM91">
        <v>25262800.000000004</v>
      </c>
      <c r="DN91">
        <v>3.1807739706709984E-2</v>
      </c>
      <c r="DO91">
        <v>178611534000</v>
      </c>
      <c r="DP91">
        <v>-44235431000</v>
      </c>
      <c r="DQ91">
        <v>3837</v>
      </c>
      <c r="DR91">
        <v>0.27726381054882665</v>
      </c>
      <c r="DS91">
        <v>5.062571605422411</v>
      </c>
      <c r="DT91" s="10">
        <v>-0.44</v>
      </c>
      <c r="DU91">
        <v>0.53666666666666663</v>
      </c>
      <c r="DV91">
        <v>9.6666666666666623E-2</v>
      </c>
      <c r="DW91">
        <v>1.0267999999999999</v>
      </c>
      <c r="DX91">
        <v>0.38646258799574396</v>
      </c>
      <c r="DY91">
        <v>1.0041931973582858</v>
      </c>
      <c r="DZ91">
        <v>565</v>
      </c>
      <c r="EA91">
        <v>1.0037295659478296</v>
      </c>
      <c r="EB91">
        <v>1</v>
      </c>
      <c r="EC91">
        <v>2.8584225473667364E-2</v>
      </c>
      <c r="ED91">
        <v>0.1826904845490914</v>
      </c>
      <c r="EE91" s="11">
        <v>1.0182100000000001</v>
      </c>
      <c r="EF91">
        <v>1.0258099999999999</v>
      </c>
      <c r="EG91">
        <v>23.156462587995744</v>
      </c>
      <c r="EH91" t="s">
        <v>940</v>
      </c>
      <c r="EI91">
        <v>0</v>
      </c>
      <c r="EJ91">
        <v>1</v>
      </c>
      <c r="EK91" s="13">
        <v>45470</v>
      </c>
      <c r="EL91" s="14">
        <v>0.5</v>
      </c>
      <c r="EM91" s="14">
        <v>-1.37</v>
      </c>
      <c r="EN91" s="14">
        <v>-0.89</v>
      </c>
      <c r="EO91" s="14">
        <v>1.1499999999999999</v>
      </c>
      <c r="EP91" s="14">
        <v>-0.76</v>
      </c>
    </row>
    <row r="92" spans="1:146" ht="96" x14ac:dyDescent="0.25">
      <c r="A92" s="7"/>
      <c r="B92" s="7"/>
      <c r="C92" s="7" t="str">
        <f>""&amp;CHAR(10)&amp;Basic_Fundamental_Information_Constructure(F92)&amp;CHAR(10)&amp;Basic_Fundamental_Information_Concatenate("")</f>
        <v xml:space="preserve">
市值41.850294亿, 利润-2.08亿; PE18.92; 平均PE88.99; 平均PEG16.42, PB2.14; ROIC7.3967%; ROE9.5267%; 股利率1.7921%; 毛利55.7%; 净利28.7533%; 上一年度营收增-34.31%, 利润增-208.9%; 当季营收增33.61%, 利润增205.17%; 过往5年营收增5.42%, 利润增-8.71%
Income profile:
</v>
      </c>
      <c r="D92" t="s">
        <v>603</v>
      </c>
      <c r="E92" t="s">
        <v>604</v>
      </c>
      <c r="F92">
        <v>8.3699999999999992</v>
      </c>
      <c r="G92">
        <v>3.72</v>
      </c>
      <c r="H92" t="s">
        <v>3634</v>
      </c>
      <c r="I92">
        <v>4185029400</v>
      </c>
      <c r="J92">
        <v>18.920000000000002</v>
      </c>
      <c r="K92">
        <v>2.14</v>
      </c>
      <c r="L92" t="s">
        <v>67</v>
      </c>
      <c r="M92" t="s">
        <v>1622</v>
      </c>
      <c r="N92" t="s">
        <v>463</v>
      </c>
      <c r="O92" t="s">
        <v>536</v>
      </c>
      <c r="P92">
        <v>25.01</v>
      </c>
      <c r="Q92" t="s">
        <v>85</v>
      </c>
      <c r="R92">
        <v>31209693</v>
      </c>
      <c r="S92" s="5">
        <v>3.32E-2</v>
      </c>
      <c r="T92" t="s">
        <v>707</v>
      </c>
      <c r="U92">
        <v>500003510</v>
      </c>
      <c r="V92">
        <v>500003510</v>
      </c>
      <c r="W92">
        <v>2.06</v>
      </c>
      <c r="X92">
        <v>0.04</v>
      </c>
      <c r="Y92">
        <v>19.600000000000001</v>
      </c>
      <c r="Z92" t="s">
        <v>236</v>
      </c>
      <c r="AA92" t="s">
        <v>3635</v>
      </c>
      <c r="AB92" t="s">
        <v>3636</v>
      </c>
      <c r="AC92" t="s">
        <v>3637</v>
      </c>
      <c r="AD92" t="s">
        <v>70</v>
      </c>
      <c r="AE92">
        <v>21638646</v>
      </c>
      <c r="AF92" t="s">
        <v>2200</v>
      </c>
      <c r="AG92">
        <v>0.31</v>
      </c>
      <c r="AH92" t="s">
        <v>2201</v>
      </c>
      <c r="AI92" t="s">
        <v>1897</v>
      </c>
      <c r="AJ92" t="s">
        <v>2202</v>
      </c>
      <c r="AK92" t="s">
        <v>2203</v>
      </c>
      <c r="AL92" t="s">
        <v>2204</v>
      </c>
      <c r="AM92" t="s">
        <v>70</v>
      </c>
      <c r="AN92" t="s">
        <v>1736</v>
      </c>
      <c r="AO92" t="s">
        <v>1020</v>
      </c>
      <c r="AP92" t="s">
        <v>3638</v>
      </c>
      <c r="AQ92" t="s">
        <v>3639</v>
      </c>
      <c r="AR92" t="s">
        <v>70</v>
      </c>
      <c r="AS92" t="s">
        <v>413</v>
      </c>
      <c r="AT92" t="s">
        <v>792</v>
      </c>
      <c r="AU92" t="s">
        <v>3640</v>
      </c>
      <c r="AV92" t="s">
        <v>3641</v>
      </c>
      <c r="AW92" t="s">
        <v>3642</v>
      </c>
      <c r="AX92" t="s">
        <v>611</v>
      </c>
      <c r="AY92" t="s">
        <v>781</v>
      </c>
      <c r="AZ92" t="s">
        <v>85</v>
      </c>
      <c r="BA92" t="s">
        <v>606</v>
      </c>
      <c r="BB92" t="s">
        <v>543</v>
      </c>
      <c r="BC92" t="s">
        <v>1082</v>
      </c>
      <c r="BD92" t="s">
        <v>159</v>
      </c>
      <c r="BE92" t="s">
        <v>605</v>
      </c>
      <c r="BF92" t="s">
        <v>607</v>
      </c>
      <c r="BG92" t="s">
        <v>608</v>
      </c>
      <c r="BH92" t="s">
        <v>584</v>
      </c>
      <c r="BI92" t="s">
        <v>646</v>
      </c>
      <c r="BJ92" t="s">
        <v>611</v>
      </c>
      <c r="BK92" t="s">
        <v>218</v>
      </c>
      <c r="BL92" t="s">
        <v>3643</v>
      </c>
      <c r="BM92" t="s">
        <v>1082</v>
      </c>
      <c r="BN92">
        <v>7.15</v>
      </c>
      <c r="BO92">
        <v>8.6999999999999993</v>
      </c>
      <c r="BP92">
        <v>6.34</v>
      </c>
      <c r="BQ92">
        <v>10.18</v>
      </c>
      <c r="BR92">
        <v>11.37</v>
      </c>
      <c r="BS92">
        <v>7.03</v>
      </c>
      <c r="BT92" t="s">
        <v>933</v>
      </c>
      <c r="BU92" t="s">
        <v>882</v>
      </c>
      <c r="BV92">
        <v>57.38</v>
      </c>
      <c r="BW92">
        <v>54.9</v>
      </c>
      <c r="BX92">
        <v>54.82</v>
      </c>
      <c r="BY92">
        <v>32.08</v>
      </c>
      <c r="BZ92">
        <v>29.47</v>
      </c>
      <c r="CA92">
        <v>24.71</v>
      </c>
      <c r="CB92">
        <v>-4.8899999999999997</v>
      </c>
      <c r="CC92">
        <v>-0.12</v>
      </c>
      <c r="CD92" t="s">
        <v>3644</v>
      </c>
      <c r="CE92" t="s">
        <v>3645</v>
      </c>
      <c r="CF92" s="8">
        <v>0.33613445378151263</v>
      </c>
      <c r="CG92" s="9">
        <v>2.0516599947433329</v>
      </c>
      <c r="CH92" s="8">
        <v>-0.3430769145488739</v>
      </c>
      <c r="CI92" s="8">
        <v>0.46067416667938232</v>
      </c>
      <c r="CJ92" s="8">
        <v>4.2154565453529358E-2</v>
      </c>
      <c r="CK92" s="8">
        <v>0.1033591702580452</v>
      </c>
      <c r="CL92" s="8">
        <v>7.8125E-3</v>
      </c>
      <c r="CM92" s="9">
        <v>-2.0890052318572998</v>
      </c>
      <c r="CN92" s="9">
        <v>0.73636364936828613</v>
      </c>
      <c r="CO92" s="9">
        <v>0.35993868112564087</v>
      </c>
      <c r="CP92" s="9">
        <v>0.92046153545379639</v>
      </c>
      <c r="CQ92" s="9">
        <v>-0.36341774463653564</v>
      </c>
      <c r="CR92">
        <v>88.990573302944668</v>
      </c>
      <c r="CS92">
        <v>16.423561871980599</v>
      </c>
      <c r="CT92">
        <v>1.7921146953405021</v>
      </c>
      <c r="CU92" s="8">
        <v>5.4184697568416595E-2</v>
      </c>
      <c r="CV92" s="9">
        <v>-8.7131822109222407E-2</v>
      </c>
      <c r="CW92">
        <v>0.06</v>
      </c>
      <c r="CX92" t="e">
        <v>#VALUE!</v>
      </c>
      <c r="CY92" t="s">
        <v>810</v>
      </c>
      <c r="CZ92">
        <v>5.4184697568416595E-2</v>
      </c>
      <c r="DA92" t="e">
        <v>#VALUE!</v>
      </c>
      <c r="DB92" t="s">
        <v>810</v>
      </c>
      <c r="DC92">
        <v>5.1475462689995762E-2</v>
      </c>
      <c r="DD92" t="e">
        <v>#VALUE!</v>
      </c>
      <c r="DE92" t="s">
        <v>810</v>
      </c>
      <c r="DF92">
        <v>4.7682533860206607E-2</v>
      </c>
      <c r="DG92" t="e">
        <v>#VALUE!</v>
      </c>
      <c r="DH92" t="s">
        <v>810</v>
      </c>
      <c r="DI92">
        <v>4.3347758054733281E-2</v>
      </c>
      <c r="DJ92" t="e">
        <v>#VALUE!</v>
      </c>
      <c r="DK92" t="s">
        <v>810</v>
      </c>
      <c r="DL92">
        <v>3.7929288297891613E-2</v>
      </c>
      <c r="DM92">
        <v>-208000000</v>
      </c>
      <c r="DN92">
        <v>5.4184697568416595E-2</v>
      </c>
      <c r="DO92">
        <v>4362029400</v>
      </c>
      <c r="DP92">
        <v>345877930</v>
      </c>
      <c r="DQ92">
        <v>3933</v>
      </c>
      <c r="DR92">
        <v>0.28194975621309604</v>
      </c>
      <c r="DS92">
        <v>2.1387918168525553</v>
      </c>
      <c r="DT92" s="10">
        <v>-0.45666666666666672</v>
      </c>
      <c r="DU92">
        <v>-0.18333333333333326</v>
      </c>
      <c r="DV92">
        <v>-0.64</v>
      </c>
      <c r="DW92">
        <v>-4.0245398773006134</v>
      </c>
      <c r="DX92">
        <v>0.41710393145161218</v>
      </c>
      <c r="DY92">
        <v>-4.0016467222442111</v>
      </c>
      <c r="DZ92">
        <v>2647</v>
      </c>
      <c r="EA92">
        <v>-4.0007937136766127</v>
      </c>
      <c r="EB92">
        <v>4</v>
      </c>
      <c r="EC92">
        <v>0.13313326540447687</v>
      </c>
      <c r="ED92">
        <v>1.9839860724177716</v>
      </c>
      <c r="EE92" s="11">
        <v>-1.0122100000000001</v>
      </c>
      <c r="EF92">
        <v>-1.02071</v>
      </c>
      <c r="EG92">
        <v>35.067103931451612</v>
      </c>
      <c r="EH92" t="s">
        <v>812</v>
      </c>
      <c r="EI92">
        <v>0</v>
      </c>
      <c r="EJ92">
        <v>0</v>
      </c>
      <c r="EK92" s="13">
        <v>45470</v>
      </c>
      <c r="EL92" s="14">
        <v>-0.56999999999999995</v>
      </c>
      <c r="EM92" s="14">
        <v>-2.57</v>
      </c>
      <c r="EN92" s="14">
        <v>0.37</v>
      </c>
      <c r="EO92" s="14">
        <v>2.92</v>
      </c>
      <c r="EP92" s="14">
        <v>-0.85</v>
      </c>
    </row>
    <row r="93" spans="1:146" ht="96" x14ac:dyDescent="0.25">
      <c r="A93" s="7"/>
      <c r="B93" s="7"/>
      <c r="C93" s="7" t="str">
        <f>""&amp;CHAR(10)&amp;Basic_Fundamental_Information_Constructure(F93)&amp;CHAR(10)&amp;Basic_Fundamental_Information_Concatenate("")</f>
        <v xml:space="preserve">
市值102.608874亿, 利润3109.23万; PE18.78; 平均PE40; 平均PEG5.44, PB1.54; ROIC4.77%; ROE6.8667%; 股利率1.3032%; 毛利49.71%; 净利25.7733%; 上一年度营收增-67.94%, 利润增-93.47%; 当季营收增360%, 利润增1782.51%; 过往5年营收增-7.35%, 利润增.5%
Income profile:
</v>
      </c>
      <c r="D93" t="s">
        <v>307</v>
      </c>
      <c r="E93" t="s">
        <v>15</v>
      </c>
      <c r="F93">
        <v>11.51</v>
      </c>
      <c r="G93">
        <v>-0.78</v>
      </c>
      <c r="H93" t="s">
        <v>3646</v>
      </c>
      <c r="I93">
        <v>10260887400</v>
      </c>
      <c r="J93">
        <v>18.78</v>
      </c>
      <c r="K93">
        <v>1.54</v>
      </c>
      <c r="L93" t="s">
        <v>67</v>
      </c>
      <c r="M93" t="s">
        <v>2207</v>
      </c>
      <c r="N93" t="s">
        <v>3647</v>
      </c>
      <c r="O93" t="s">
        <v>1257</v>
      </c>
      <c r="P93">
        <v>20.239999999999998</v>
      </c>
      <c r="Q93" t="s">
        <v>3648</v>
      </c>
      <c r="R93">
        <v>250467680</v>
      </c>
      <c r="S93" s="5">
        <v>0.41949999999999998</v>
      </c>
      <c r="T93" t="s">
        <v>3649</v>
      </c>
      <c r="U93">
        <v>803400000</v>
      </c>
      <c r="V93">
        <v>891475880</v>
      </c>
      <c r="W93">
        <v>2.1800000000000002</v>
      </c>
      <c r="X93">
        <v>0.04</v>
      </c>
      <c r="Y93">
        <v>46.37</v>
      </c>
      <c r="Z93" t="s">
        <v>1217</v>
      </c>
      <c r="AA93" t="s">
        <v>1294</v>
      </c>
      <c r="AB93" t="s">
        <v>70</v>
      </c>
      <c r="AC93" t="s">
        <v>3650</v>
      </c>
      <c r="AD93" t="s">
        <v>70</v>
      </c>
      <c r="AE93">
        <v>63600522</v>
      </c>
      <c r="AF93" t="s">
        <v>2211</v>
      </c>
      <c r="AG93" t="s">
        <v>3651</v>
      </c>
      <c r="AH93" t="s">
        <v>2212</v>
      </c>
      <c r="AI93" t="s">
        <v>3652</v>
      </c>
      <c r="AJ93" t="s">
        <v>2213</v>
      </c>
      <c r="AK93" t="s">
        <v>3653</v>
      </c>
      <c r="AL93" t="s">
        <v>2214</v>
      </c>
      <c r="AM93" t="s">
        <v>70</v>
      </c>
      <c r="AN93" t="s">
        <v>1041</v>
      </c>
      <c r="AO93" t="s">
        <v>70</v>
      </c>
      <c r="AP93" t="s">
        <v>70</v>
      </c>
      <c r="AQ93" t="s">
        <v>1279</v>
      </c>
      <c r="AR93" t="s">
        <v>70</v>
      </c>
      <c r="AS93" t="s">
        <v>3654</v>
      </c>
      <c r="AT93" t="s">
        <v>3655</v>
      </c>
      <c r="AU93" t="s">
        <v>3656</v>
      </c>
      <c r="AV93" t="s">
        <v>3657</v>
      </c>
      <c r="AW93" t="s">
        <v>3658</v>
      </c>
      <c r="AX93" t="s">
        <v>1200</v>
      </c>
      <c r="AY93" t="s">
        <v>1201</v>
      </c>
      <c r="AZ93" t="s">
        <v>609</v>
      </c>
      <c r="BA93" t="s">
        <v>308</v>
      </c>
      <c r="BB93" t="s">
        <v>610</v>
      </c>
      <c r="BC93" t="s">
        <v>586</v>
      </c>
      <c r="BD93" t="s">
        <v>894</v>
      </c>
      <c r="BE93" t="s">
        <v>432</v>
      </c>
      <c r="BF93" t="s">
        <v>309</v>
      </c>
      <c r="BG93" t="s">
        <v>175</v>
      </c>
      <c r="BH93" t="s">
        <v>2208</v>
      </c>
      <c r="BI93" t="s">
        <v>699</v>
      </c>
      <c r="BJ93" t="s">
        <v>1200</v>
      </c>
      <c r="BK93" t="s">
        <v>2209</v>
      </c>
      <c r="BL93" t="s">
        <v>3659</v>
      </c>
      <c r="BM93" t="s">
        <v>586</v>
      </c>
      <c r="BN93">
        <v>4.2300000000000004</v>
      </c>
      <c r="BO93">
        <v>6.05</v>
      </c>
      <c r="BP93">
        <v>4.03</v>
      </c>
      <c r="BQ93">
        <v>6.12</v>
      </c>
      <c r="BR93">
        <v>8.11</v>
      </c>
      <c r="BS93">
        <v>6.37</v>
      </c>
      <c r="BT93" t="s">
        <v>933</v>
      </c>
      <c r="BU93" t="s">
        <v>882</v>
      </c>
      <c r="BV93">
        <v>49.72</v>
      </c>
      <c r="BW93">
        <v>50.31</v>
      </c>
      <c r="BX93">
        <v>49.1</v>
      </c>
      <c r="BY93">
        <v>28.07</v>
      </c>
      <c r="BZ93">
        <v>29.61</v>
      </c>
      <c r="CA93">
        <v>19.64</v>
      </c>
      <c r="CB93">
        <v>-0.95</v>
      </c>
      <c r="CC93">
        <v>-10.84</v>
      </c>
      <c r="CD93" t="s">
        <v>3660</v>
      </c>
      <c r="CE93" t="s">
        <v>109</v>
      </c>
      <c r="CF93" s="8">
        <v>3.6</v>
      </c>
      <c r="CG93" s="9">
        <v>17.825079293498685</v>
      </c>
      <c r="CH93" s="8">
        <v>-0.67935061454772949</v>
      </c>
      <c r="CI93" s="8">
        <v>6.0247443616390228E-2</v>
      </c>
      <c r="CJ93" s="8">
        <v>0.20168066024780273</v>
      </c>
      <c r="CK93" s="8">
        <v>4.2452871799468994E-2</v>
      </c>
      <c r="CL93" s="8">
        <v>7.4677965603768826E-3</v>
      </c>
      <c r="CM93" s="9">
        <v>-0.93468004465103149</v>
      </c>
      <c r="CN93" s="9">
        <v>0.54045307636260986</v>
      </c>
      <c r="CO93" s="9">
        <v>1.0064934492111206</v>
      </c>
      <c r="CP93" s="9">
        <v>-0.39370077848434448</v>
      </c>
      <c r="CQ93" s="9">
        <v>-0.19365079700946808</v>
      </c>
      <c r="CR93">
        <v>40.001060625148988</v>
      </c>
      <c r="CS93">
        <v>5.4422938905863489</v>
      </c>
      <c r="CT93">
        <v>1.3032145960034753</v>
      </c>
      <c r="CU93" s="8">
        <v>-7.3500368464738133E-2</v>
      </c>
      <c r="CV93" s="9">
        <v>4.9829810857772829E-3</v>
      </c>
      <c r="CW93">
        <v>0.06</v>
      </c>
      <c r="CX93">
        <v>373.0469408824693</v>
      </c>
      <c r="CY93" t="s">
        <v>3661</v>
      </c>
      <c r="CZ93">
        <v>-7.3500368464738133E-2</v>
      </c>
      <c r="DA93">
        <v>124.34898029415643</v>
      </c>
      <c r="DB93" t="s">
        <v>3662</v>
      </c>
      <c r="DC93">
        <v>-6.9825350041501227E-2</v>
      </c>
      <c r="DD93">
        <v>62.174490147078217</v>
      </c>
      <c r="DE93" t="s">
        <v>3663</v>
      </c>
      <c r="DF93">
        <v>-6.4680324248969565E-2</v>
      </c>
      <c r="DG93">
        <v>37.304694088246926</v>
      </c>
      <c r="DH93" t="s">
        <v>3664</v>
      </c>
      <c r="DI93">
        <v>-5.8800294771790509E-2</v>
      </c>
      <c r="DJ93">
        <v>18.652347044123463</v>
      </c>
      <c r="DK93" t="s">
        <v>3665</v>
      </c>
      <c r="DL93">
        <v>-5.1450257925316691E-2</v>
      </c>
      <c r="DM93">
        <v>31092300</v>
      </c>
      <c r="DN93">
        <v>-7.3500368464738133E-2</v>
      </c>
      <c r="DO93">
        <v>11598887400</v>
      </c>
      <c r="DP93">
        <v>2932319200</v>
      </c>
      <c r="DQ93">
        <v>4260</v>
      </c>
      <c r="DR93">
        <v>3.673500368464738</v>
      </c>
      <c r="DS93">
        <v>17.820096312412907</v>
      </c>
      <c r="DT93" s="10">
        <v>-0.64</v>
      </c>
      <c r="DU93">
        <v>-0.1333333333333333</v>
      </c>
      <c r="DV93">
        <v>-0.77333333333333332</v>
      </c>
      <c r="DW93">
        <v>-2.1084000000000001</v>
      </c>
      <c r="DX93">
        <v>0.27044107142856977</v>
      </c>
      <c r="DY93">
        <v>-2.0108878121428573</v>
      </c>
      <c r="DZ93">
        <v>2384</v>
      </c>
      <c r="EA93">
        <v>-2.0058082536010624</v>
      </c>
      <c r="EB93">
        <v>2</v>
      </c>
      <c r="EC93">
        <v>2.5237699083905669E-2</v>
      </c>
      <c r="ED93">
        <v>0.25126871632242032</v>
      </c>
      <c r="EE93" s="11">
        <v>0.1237</v>
      </c>
      <c r="EF93">
        <v>0.10930000000000001</v>
      </c>
      <c r="EG93">
        <v>17.10044107142857</v>
      </c>
      <c r="EH93" t="s">
        <v>811</v>
      </c>
      <c r="EI93">
        <v>0</v>
      </c>
      <c r="EJ93">
        <v>0</v>
      </c>
      <c r="EK93" s="13">
        <v>45470</v>
      </c>
      <c r="EL93" s="14">
        <v>0.56999999999999995</v>
      </c>
      <c r="EM93" s="14">
        <v>-4.29</v>
      </c>
      <c r="EN93" s="14">
        <v>1.94</v>
      </c>
      <c r="EO93" s="14">
        <v>1.91</v>
      </c>
      <c r="EP93" s="14">
        <v>-1.44</v>
      </c>
    </row>
    <row r="94" spans="1:146" ht="144" x14ac:dyDescent="0.25">
      <c r="A94" s="7" t="s">
        <v>925</v>
      </c>
      <c r="B94" s="7"/>
      <c r="C94" s="7" t="str">
        <f>"公司是一家主营工业园区热电联产、集中供热的节能环保型企业。公司提供的主要产品是蒸汽与电力。公司生产的蒸汽向工业园区内的工业用户供应；电力直接出售给国家电网公司。"&amp;CHAR(10)&amp;Basic_Fundamental_Information_Constructure(F94)&amp;CHAR(10)&amp;Basic_Fundamental_Information_Concatenate("热电业务 10.02亿 55.14% 86.80% 14.35%
煤炭贸易 7.85亿 43.19% 8.08% 1.71%")</f>
        <v>公司是一家主营工业园区热电联产、集中供热的节能环保型企业。公司提供的主要产品是蒸汽与电力。公司生产的蒸汽向工业园区内的工业用户供应；电力直接出售给国家电网公司。
市值92.8232亿, 利润1.93亿; PE43.26; 平均PE45.32; 平均PEG94.38, PB4.16; ROIC8.3933%; ROE10.6867%; 股利率.6897%; 毛利11.3967%; 净利8.3967%; 上一年度营收增-76.08%, 利润增-8.96%; 当季营收增293.81%, 利润增1.35%; 过往5年营收增-.48%, 利润增5.93%
Income profile:
热电业务 10.02亿 55.14% 86.80% 14.35%
煤炭贸易 7.85亿 43.19% 8.08% 1.71%</v>
      </c>
      <c r="D94" t="s">
        <v>620</v>
      </c>
      <c r="E94" t="s">
        <v>621</v>
      </c>
      <c r="F94">
        <v>23.2</v>
      </c>
      <c r="G94">
        <v>-1.02</v>
      </c>
      <c r="H94" t="s">
        <v>3666</v>
      </c>
      <c r="I94">
        <v>9282320000</v>
      </c>
      <c r="J94">
        <v>43.26</v>
      </c>
      <c r="K94">
        <v>4.16</v>
      </c>
      <c r="L94" t="s">
        <v>67</v>
      </c>
      <c r="M94" t="s">
        <v>1127</v>
      </c>
      <c r="N94" t="s">
        <v>3667</v>
      </c>
      <c r="O94" t="s">
        <v>1299</v>
      </c>
      <c r="P94">
        <v>-1.48</v>
      </c>
      <c r="Q94" t="s">
        <v>1741</v>
      </c>
      <c r="R94">
        <v>45046020</v>
      </c>
      <c r="S94" s="5">
        <v>7.7799999999999994E-2</v>
      </c>
      <c r="T94" t="s">
        <v>124</v>
      </c>
      <c r="U94">
        <v>400100000</v>
      </c>
      <c r="V94">
        <v>400100000</v>
      </c>
      <c r="W94">
        <v>1.4</v>
      </c>
      <c r="X94">
        <v>0.2</v>
      </c>
      <c r="Y94">
        <v>7.47</v>
      </c>
      <c r="Z94" t="s">
        <v>1658</v>
      </c>
      <c r="AA94" t="s">
        <v>3668</v>
      </c>
      <c r="AB94" t="s">
        <v>3669</v>
      </c>
      <c r="AC94" t="s">
        <v>3670</v>
      </c>
      <c r="AD94" t="s">
        <v>70</v>
      </c>
      <c r="AE94">
        <v>1984046</v>
      </c>
      <c r="AF94" t="s">
        <v>2217</v>
      </c>
      <c r="AG94" t="s">
        <v>3671</v>
      </c>
      <c r="AH94" t="s">
        <v>2218</v>
      </c>
      <c r="AI94" t="s">
        <v>165</v>
      </c>
      <c r="AJ94" t="s">
        <v>2219</v>
      </c>
      <c r="AK94" t="s">
        <v>3672</v>
      </c>
      <c r="AL94" t="s">
        <v>2220</v>
      </c>
      <c r="AM94" t="s">
        <v>70</v>
      </c>
      <c r="AN94" t="s">
        <v>3132</v>
      </c>
      <c r="AO94" t="s">
        <v>285</v>
      </c>
      <c r="AP94" t="s">
        <v>70</v>
      </c>
      <c r="AQ94" t="s">
        <v>1462</v>
      </c>
      <c r="AR94" t="s">
        <v>70</v>
      </c>
      <c r="AS94" t="s">
        <v>1888</v>
      </c>
      <c r="AT94" t="s">
        <v>537</v>
      </c>
      <c r="AU94" t="s">
        <v>3673</v>
      </c>
      <c r="AV94" t="s">
        <v>3674</v>
      </c>
      <c r="AW94" t="s">
        <v>3675</v>
      </c>
      <c r="AX94" t="s">
        <v>1202</v>
      </c>
      <c r="AY94" t="s">
        <v>794</v>
      </c>
      <c r="AZ94" t="s">
        <v>622</v>
      </c>
      <c r="BA94" t="s">
        <v>623</v>
      </c>
      <c r="BB94" t="s">
        <v>624</v>
      </c>
      <c r="BC94" t="s">
        <v>895</v>
      </c>
      <c r="BD94" t="s">
        <v>709</v>
      </c>
      <c r="BE94" t="s">
        <v>612</v>
      </c>
      <c r="BF94" t="s">
        <v>459</v>
      </c>
      <c r="BG94" t="s">
        <v>335</v>
      </c>
      <c r="BH94" t="s">
        <v>2216</v>
      </c>
      <c r="BI94" t="s">
        <v>1215</v>
      </c>
      <c r="BJ94" t="s">
        <v>1202</v>
      </c>
      <c r="BK94" t="s">
        <v>1243</v>
      </c>
      <c r="BL94" t="s">
        <v>3676</v>
      </c>
      <c r="BM94" t="s">
        <v>895</v>
      </c>
      <c r="BN94">
        <v>6.48</v>
      </c>
      <c r="BO94">
        <v>8.27</v>
      </c>
      <c r="BP94">
        <v>10.43</v>
      </c>
      <c r="BQ94">
        <v>7.75</v>
      </c>
      <c r="BR94">
        <v>10.82</v>
      </c>
      <c r="BS94">
        <v>13.49</v>
      </c>
      <c r="BT94" t="s">
        <v>1203</v>
      </c>
      <c r="BU94" t="s">
        <v>884</v>
      </c>
      <c r="BV94">
        <v>12.16</v>
      </c>
      <c r="BW94">
        <v>9.26</v>
      </c>
      <c r="BX94">
        <v>12.77</v>
      </c>
      <c r="BY94">
        <v>8.41</v>
      </c>
      <c r="BZ94">
        <v>7.24</v>
      </c>
      <c r="CA94">
        <v>9.5399999999999991</v>
      </c>
      <c r="CB94">
        <v>-4.6399999999999997</v>
      </c>
      <c r="CC94">
        <v>-21.99</v>
      </c>
      <c r="CD94" t="s">
        <v>3677</v>
      </c>
      <c r="CE94" t="s">
        <v>1284</v>
      </c>
      <c r="CF94" s="8">
        <v>2.9381443298969074</v>
      </c>
      <c r="CG94" s="9">
        <v>1.3484015686203926E-2</v>
      </c>
      <c r="CH94" s="8">
        <v>-0.76081562042236328</v>
      </c>
      <c r="CI94" s="8">
        <v>0.14011934399604797</v>
      </c>
      <c r="CJ94" s="8">
        <v>0.52442532777786255</v>
      </c>
      <c r="CK94" s="8">
        <v>4.2957041412591934E-2</v>
      </c>
      <c r="CL94" s="8">
        <v>2.9305946081876755E-2</v>
      </c>
      <c r="CM94" s="9">
        <v>-8.9622639119625092E-2</v>
      </c>
      <c r="CN94" s="9">
        <v>-9.0128757059574127E-2</v>
      </c>
      <c r="CO94" s="9">
        <v>-4.2735044844448566E-3</v>
      </c>
      <c r="CP94" s="9">
        <v>0.14705882966518402</v>
      </c>
      <c r="CQ94" s="9">
        <v>0.3333333432674408</v>
      </c>
      <c r="CR94">
        <v>45.316452400325467</v>
      </c>
      <c r="CS94">
        <v>94.377969269592256</v>
      </c>
      <c r="CT94">
        <v>0.68965517241379315</v>
      </c>
      <c r="CU94" s="8">
        <v>-4.8015922307968143E-3</v>
      </c>
      <c r="CV94" s="9">
        <v>5.927345445379615E-2</v>
      </c>
      <c r="CW94">
        <v>0.06</v>
      </c>
      <c r="CX94">
        <v>39.835854922279793</v>
      </c>
      <c r="CY94" t="s">
        <v>3678</v>
      </c>
      <c r="CZ94">
        <v>-4.8015922307968143E-3</v>
      </c>
      <c r="DA94">
        <v>13.278618307426598</v>
      </c>
      <c r="DB94" t="s">
        <v>3679</v>
      </c>
      <c r="DC94">
        <v>-4.5615126192569732E-3</v>
      </c>
      <c r="DD94">
        <v>6.6393091537132989</v>
      </c>
      <c r="DE94" t="s">
        <v>3680</v>
      </c>
      <c r="DF94">
        <v>-4.2254011631011968E-3</v>
      </c>
      <c r="DG94">
        <v>3.9835854922279794</v>
      </c>
      <c r="DH94" t="s">
        <v>3681</v>
      </c>
      <c r="DI94">
        <v>-3.8412737846374514E-3</v>
      </c>
      <c r="DJ94">
        <v>1.9917927461139897</v>
      </c>
      <c r="DK94" t="s">
        <v>3682</v>
      </c>
      <c r="DL94">
        <v>-3.36111456155777E-3</v>
      </c>
      <c r="DM94">
        <v>193000000</v>
      </c>
      <c r="DN94">
        <v>-4.8015922307968143E-3</v>
      </c>
      <c r="DO94">
        <v>7688320000</v>
      </c>
      <c r="DP94">
        <v>489201020</v>
      </c>
      <c r="DQ94">
        <v>4434</v>
      </c>
      <c r="DR94">
        <v>2.9429459221277043</v>
      </c>
      <c r="DS94">
        <v>-4.5789438767592228E-2</v>
      </c>
      <c r="DT94" s="10">
        <v>-0.64</v>
      </c>
      <c r="DU94">
        <v>9.9999999999999992E-2</v>
      </c>
      <c r="DV94">
        <v>-0.54</v>
      </c>
      <c r="DW94">
        <v>-8.21100500227376</v>
      </c>
      <c r="DX94">
        <v>0.26923316582914414</v>
      </c>
      <c r="DY94">
        <v>-8.020938694381412</v>
      </c>
      <c r="DZ94">
        <v>326</v>
      </c>
      <c r="EA94">
        <v>-8.0196028794365315</v>
      </c>
      <c r="EB94">
        <v>8</v>
      </c>
      <c r="EC94">
        <v>4.9356160959760059E-2</v>
      </c>
      <c r="ED94">
        <v>0.4973756560859785</v>
      </c>
      <c r="EE94" s="11">
        <v>1.0560100000000001</v>
      </c>
      <c r="EF94">
        <v>1.0820099999999999</v>
      </c>
      <c r="EG94">
        <v>17.099233165829144</v>
      </c>
      <c r="EH94" t="s">
        <v>940</v>
      </c>
      <c r="EI94">
        <v>0</v>
      </c>
      <c r="EJ94">
        <v>1</v>
      </c>
      <c r="EK94" s="13">
        <v>45470</v>
      </c>
      <c r="EL94" s="14">
        <v>-0.91</v>
      </c>
      <c r="EM94" s="14">
        <v>-3.62</v>
      </c>
      <c r="EN94" s="14">
        <v>-1.62</v>
      </c>
      <c r="EO94" s="14">
        <v>0.39</v>
      </c>
      <c r="EP94" s="14">
        <v>-2.6</v>
      </c>
    </row>
    <row r="95" spans="1:146" ht="96" x14ac:dyDescent="0.25">
      <c r="A95" s="7"/>
      <c r="B95" s="7"/>
      <c r="C95" s="7" t="str">
        <f>""&amp;CHAR(10)&amp;Basic_Fundamental_Information_Constructure(F95)&amp;CHAR(10)&amp;Basic_Fundamental_Information_Concatenate("")</f>
        <v xml:space="preserve">
市值22.432亿, 利润5755.70万; PE12.31; 平均PE19.05; 平均PEG.8, PB1.68; ROIC17.5033%; ROE18.4367%; 股利率4.2796%; 毛利64.2633%; 净利47.6933%; 上一年度营收增58.14%, 利润增-72.06%; 当季营收增-73.29%, 利润增-50.04%; 过往5年营收增23.95%, 利润增14.26%
Income profile:
</v>
      </c>
      <c r="D95" t="s">
        <v>626</v>
      </c>
      <c r="E95" t="s">
        <v>899</v>
      </c>
      <c r="F95">
        <v>14.02</v>
      </c>
      <c r="G95">
        <v>0.65</v>
      </c>
      <c r="H95" t="s">
        <v>3683</v>
      </c>
      <c r="I95">
        <v>2243200000</v>
      </c>
      <c r="J95">
        <v>12.31</v>
      </c>
      <c r="K95">
        <v>1.68</v>
      </c>
      <c r="L95" t="s">
        <v>67</v>
      </c>
      <c r="M95" t="s">
        <v>79</v>
      </c>
      <c r="N95" t="s">
        <v>3684</v>
      </c>
      <c r="O95" t="s">
        <v>2223</v>
      </c>
      <c r="P95">
        <v>6.2</v>
      </c>
      <c r="Q95" t="s">
        <v>3685</v>
      </c>
      <c r="R95">
        <v>34607360</v>
      </c>
      <c r="S95" s="5">
        <v>-0.14680000000000001</v>
      </c>
      <c r="T95" t="s">
        <v>3686</v>
      </c>
      <c r="U95">
        <v>40000000</v>
      </c>
      <c r="V95">
        <v>160000000</v>
      </c>
      <c r="W95">
        <v>1.1100000000000001</v>
      </c>
      <c r="X95">
        <v>0.06</v>
      </c>
      <c r="Y95">
        <v>37.56</v>
      </c>
      <c r="Z95" t="s">
        <v>3687</v>
      </c>
      <c r="AA95" t="s">
        <v>3688</v>
      </c>
      <c r="AB95" t="s">
        <v>3689</v>
      </c>
      <c r="AC95" t="s">
        <v>3690</v>
      </c>
      <c r="AD95" t="s">
        <v>70</v>
      </c>
      <c r="AE95">
        <v>-2064174</v>
      </c>
      <c r="AF95" t="s">
        <v>2224</v>
      </c>
      <c r="AG95" t="s">
        <v>3691</v>
      </c>
      <c r="AH95" t="s">
        <v>2225</v>
      </c>
      <c r="AI95" t="s">
        <v>3656</v>
      </c>
      <c r="AJ95" t="s">
        <v>2226</v>
      </c>
      <c r="AK95" t="s">
        <v>70</v>
      </c>
      <c r="AL95" t="s">
        <v>2227</v>
      </c>
      <c r="AM95" t="s">
        <v>70</v>
      </c>
      <c r="AN95" t="s">
        <v>459</v>
      </c>
      <c r="AO95" t="s">
        <v>70</v>
      </c>
      <c r="AP95" t="s">
        <v>3692</v>
      </c>
      <c r="AQ95" t="s">
        <v>3693</v>
      </c>
      <c r="AR95" t="s">
        <v>70</v>
      </c>
      <c r="AS95" t="s">
        <v>3694</v>
      </c>
      <c r="AT95" t="s">
        <v>70</v>
      </c>
      <c r="AU95" t="s">
        <v>3695</v>
      </c>
      <c r="AV95" t="s">
        <v>3696</v>
      </c>
      <c r="AW95" t="s">
        <v>70</v>
      </c>
      <c r="AX95" t="s">
        <v>385</v>
      </c>
      <c r="AY95" t="s">
        <v>174</v>
      </c>
      <c r="AZ95" t="s">
        <v>310</v>
      </c>
      <c r="BA95" t="s">
        <v>342</v>
      </c>
      <c r="BB95" t="s">
        <v>465</v>
      </c>
      <c r="BC95" t="s">
        <v>537</v>
      </c>
      <c r="BD95" t="s">
        <v>334</v>
      </c>
      <c r="BE95" t="s">
        <v>197</v>
      </c>
      <c r="BF95" t="s">
        <v>795</v>
      </c>
      <c r="BG95" t="s">
        <v>627</v>
      </c>
      <c r="BH95" t="s">
        <v>1927</v>
      </c>
      <c r="BI95" t="s">
        <v>2222</v>
      </c>
      <c r="BJ95" t="s">
        <v>385</v>
      </c>
      <c r="BK95" t="s">
        <v>490</v>
      </c>
      <c r="BL95" t="s">
        <v>3697</v>
      </c>
      <c r="BM95" t="s">
        <v>537</v>
      </c>
      <c r="BN95">
        <v>11.29</v>
      </c>
      <c r="BO95">
        <v>18.07</v>
      </c>
      <c r="BP95">
        <v>23.15</v>
      </c>
      <c r="BQ95">
        <v>11.85</v>
      </c>
      <c r="BR95">
        <v>18.84</v>
      </c>
      <c r="BS95">
        <v>24.62</v>
      </c>
      <c r="BT95" t="s">
        <v>2228</v>
      </c>
      <c r="BU95" t="s">
        <v>884</v>
      </c>
      <c r="BV95">
        <v>63.81</v>
      </c>
      <c r="BW95">
        <v>63.66</v>
      </c>
      <c r="BX95">
        <v>65.319999999999993</v>
      </c>
      <c r="BY95">
        <v>52.05</v>
      </c>
      <c r="BZ95">
        <v>46.59</v>
      </c>
      <c r="CA95">
        <v>44.44</v>
      </c>
      <c r="CB95">
        <v>-2.84</v>
      </c>
      <c r="CC95">
        <v>-10.81</v>
      </c>
      <c r="CD95" t="s">
        <v>3698</v>
      </c>
      <c r="CE95" t="s">
        <v>3699</v>
      </c>
      <c r="CF95" s="8">
        <v>-0.73290811594202898</v>
      </c>
      <c r="CG95" s="9">
        <v>-0.50044300992694446</v>
      </c>
      <c r="CH95" s="8">
        <v>0.58144795894622803</v>
      </c>
      <c r="CI95" s="8">
        <v>0.11898734420537949</v>
      </c>
      <c r="CJ95" s="8">
        <v>0.32107022404670715</v>
      </c>
      <c r="CK95" s="8">
        <v>0.13257575035095215</v>
      </c>
      <c r="CL95" s="8">
        <v>4.3478261679410934E-2</v>
      </c>
      <c r="CM95" s="9">
        <v>-0.72059714794158936</v>
      </c>
      <c r="CN95" s="9">
        <v>0.17714285850524902</v>
      </c>
      <c r="CO95" s="9">
        <v>0.44628098607063293</v>
      </c>
      <c r="CP95" s="9">
        <v>0.41501933336257935</v>
      </c>
      <c r="CQ95" s="9">
        <v>0.39533349871635437</v>
      </c>
      <c r="CR95">
        <v>19.054525088698707</v>
      </c>
      <c r="CS95">
        <v>0.79555648235123722</v>
      </c>
      <c r="CT95">
        <v>4.2796005706134093</v>
      </c>
      <c r="CU95" s="8">
        <v>0.23951190784573556</v>
      </c>
      <c r="CV95" s="9">
        <v>0.14263590574264526</v>
      </c>
      <c r="CW95">
        <v>0.06</v>
      </c>
      <c r="CX95">
        <v>16.703235081823468</v>
      </c>
      <c r="CY95">
        <v>67304327.245166972</v>
      </c>
      <c r="CZ95">
        <v>0.23951190784573556</v>
      </c>
      <c r="DA95">
        <v>4.8200951264262395</v>
      </c>
      <c r="DB95">
        <v>233231911.51074126</v>
      </c>
      <c r="DC95">
        <v>0.22753631245344877</v>
      </c>
      <c r="DD95">
        <v>1.9920835972656095</v>
      </c>
      <c r="DE95">
        <v>564333746.60737574</v>
      </c>
      <c r="DF95">
        <v>0.2107704789042473</v>
      </c>
      <c r="DG95">
        <v>0.97035200319889137</v>
      </c>
      <c r="DH95">
        <v>1158548646.5673578</v>
      </c>
      <c r="DI95">
        <v>0.19160952627658845</v>
      </c>
      <c r="DJ95">
        <v>0.30412192926897264</v>
      </c>
      <c r="DK95">
        <v>3696543694.5052748</v>
      </c>
      <c r="DL95">
        <v>0.16765833549201489</v>
      </c>
      <c r="DM95">
        <v>57557000</v>
      </c>
      <c r="DN95">
        <v>0.23951190784573556</v>
      </c>
      <c r="DO95">
        <v>1124200000</v>
      </c>
      <c r="DP95">
        <v>620003850</v>
      </c>
      <c r="DQ95">
        <v>4438</v>
      </c>
      <c r="DR95">
        <v>-0.97242002378776449</v>
      </c>
      <c r="DS95">
        <v>-0.64307891566958975</v>
      </c>
      <c r="DT95" s="10">
        <v>-0.14000000000000001</v>
      </c>
      <c r="DU95">
        <v>-5.333333333333342E-2</v>
      </c>
      <c r="DV95">
        <v>-0.19333333333333344</v>
      </c>
      <c r="DW95">
        <v>-8.2627197039777975</v>
      </c>
      <c r="DX95">
        <v>0.26013329647941313</v>
      </c>
      <c r="DY95">
        <v>-8.0473245663276156</v>
      </c>
      <c r="DZ95">
        <v>2702</v>
      </c>
      <c r="EA95">
        <v>-8.022300891529726</v>
      </c>
      <c r="EB95">
        <v>8</v>
      </c>
      <c r="EC95">
        <v>6.1504375E-2</v>
      </c>
      <c r="ED95">
        <v>0.34143812499999998</v>
      </c>
      <c r="EE95" s="11">
        <v>-4.1424000000000003</v>
      </c>
      <c r="EF95">
        <v>-4.1353</v>
      </c>
      <c r="EG95">
        <v>8.1801332964794131</v>
      </c>
      <c r="EH95" t="s">
        <v>1293</v>
      </c>
      <c r="EI95">
        <v>0</v>
      </c>
      <c r="EJ95">
        <v>0</v>
      </c>
      <c r="EK95" s="13">
        <v>45470</v>
      </c>
      <c r="EL95" s="14">
        <v>-0.47</v>
      </c>
      <c r="EM95" s="14">
        <v>-5.25</v>
      </c>
      <c r="EN95" s="14">
        <v>2.15</v>
      </c>
      <c r="EO95" s="14">
        <v>3.24</v>
      </c>
      <c r="EP95" s="14">
        <v>-0.71</v>
      </c>
    </row>
    <row r="96" spans="1:146" ht="96" x14ac:dyDescent="0.25">
      <c r="A96" s="7"/>
      <c r="B96" s="7"/>
      <c r="C96" s="7" t="str">
        <f>""&amp;CHAR(10)&amp;Basic_Fundamental_Information_Constructure(F96)&amp;CHAR(10)&amp;Basic_Fundamental_Information_Concatenate("")</f>
        <v xml:space="preserve">
市值27.795061亿, 利润1.97亿; PE16.97; 平均PE19.53; 平均PEG.17, PB2.26; ROIC8.61%; ROE10.43%; 股利率2.5937%; 毛利21.8%; 净利14.05%; 上一年度营收增523.63%, 利润增69.83%; 当季营收增-82.82%, 利润增-49.31%; 过往5年营收增115.33%, 利润增16.34%
Income profile:
</v>
      </c>
      <c r="D96" t="s">
        <v>628</v>
      </c>
      <c r="E96" t="s">
        <v>629</v>
      </c>
      <c r="F96">
        <v>6.94</v>
      </c>
      <c r="G96">
        <v>0.14000000000000001</v>
      </c>
      <c r="H96" t="s">
        <v>3700</v>
      </c>
      <c r="I96">
        <v>2779506100</v>
      </c>
      <c r="J96">
        <v>16.97</v>
      </c>
      <c r="K96">
        <v>2.2599999999999998</v>
      </c>
      <c r="L96" t="s">
        <v>67</v>
      </c>
      <c r="M96" t="s">
        <v>2229</v>
      </c>
      <c r="N96" t="s">
        <v>3701</v>
      </c>
      <c r="O96" t="s">
        <v>251</v>
      </c>
      <c r="P96">
        <v>12.61</v>
      </c>
      <c r="Q96" t="s">
        <v>3702</v>
      </c>
      <c r="R96">
        <v>25416045</v>
      </c>
      <c r="S96" s="5">
        <v>1.4890000000000001</v>
      </c>
      <c r="T96" t="s">
        <v>473</v>
      </c>
      <c r="U96">
        <v>101484148</v>
      </c>
      <c r="V96">
        <v>400505200</v>
      </c>
      <c r="W96">
        <v>1.35</v>
      </c>
      <c r="X96">
        <v>0.13</v>
      </c>
      <c r="Y96">
        <v>11.45</v>
      </c>
      <c r="Z96" t="s">
        <v>1124</v>
      </c>
      <c r="AA96" t="s">
        <v>237</v>
      </c>
      <c r="AB96" t="s">
        <v>3703</v>
      </c>
      <c r="AC96" t="s">
        <v>3704</v>
      </c>
      <c r="AD96" t="s">
        <v>70</v>
      </c>
      <c r="AE96">
        <v>1865390</v>
      </c>
      <c r="AF96" t="s">
        <v>2231</v>
      </c>
      <c r="AG96" t="s">
        <v>3705</v>
      </c>
      <c r="AH96" t="s">
        <v>2232</v>
      </c>
      <c r="AI96" t="s">
        <v>1836</v>
      </c>
      <c r="AJ96" t="s">
        <v>2233</v>
      </c>
      <c r="AK96" t="s">
        <v>891</v>
      </c>
      <c r="AL96" t="s">
        <v>2234</v>
      </c>
      <c r="AM96" t="s">
        <v>70</v>
      </c>
      <c r="AN96" t="s">
        <v>3706</v>
      </c>
      <c r="AO96" t="s">
        <v>3707</v>
      </c>
      <c r="AP96" t="s">
        <v>70</v>
      </c>
      <c r="AQ96" t="s">
        <v>3708</v>
      </c>
      <c r="AR96" t="s">
        <v>70</v>
      </c>
      <c r="AS96" t="s">
        <v>3709</v>
      </c>
      <c r="AT96" t="s">
        <v>70</v>
      </c>
      <c r="AU96" t="s">
        <v>3710</v>
      </c>
      <c r="AV96" t="s">
        <v>3711</v>
      </c>
      <c r="AW96" t="s">
        <v>3712</v>
      </c>
      <c r="AX96" t="s">
        <v>1204</v>
      </c>
      <c r="AY96" t="s">
        <v>793</v>
      </c>
      <c r="AZ96" t="s">
        <v>630</v>
      </c>
      <c r="BA96" t="s">
        <v>611</v>
      </c>
      <c r="BB96" t="s">
        <v>331</v>
      </c>
      <c r="BC96" t="s">
        <v>177</v>
      </c>
      <c r="BD96" t="s">
        <v>306</v>
      </c>
      <c r="BE96" t="s">
        <v>156</v>
      </c>
      <c r="BF96" t="s">
        <v>128</v>
      </c>
      <c r="BG96" t="s">
        <v>306</v>
      </c>
      <c r="BH96" t="s">
        <v>1231</v>
      </c>
      <c r="BI96" t="s">
        <v>3713</v>
      </c>
      <c r="BJ96" t="s">
        <v>1204</v>
      </c>
      <c r="BK96" t="s">
        <v>647</v>
      </c>
      <c r="BL96" t="s">
        <v>3714</v>
      </c>
      <c r="BM96" t="s">
        <v>177</v>
      </c>
      <c r="BN96">
        <v>6.04</v>
      </c>
      <c r="BO96">
        <v>9.1999999999999993</v>
      </c>
      <c r="BP96">
        <v>10.59</v>
      </c>
      <c r="BQ96">
        <v>7.22</v>
      </c>
      <c r="BR96">
        <v>10.39</v>
      </c>
      <c r="BS96">
        <v>13.68</v>
      </c>
      <c r="BT96" t="s">
        <v>1378</v>
      </c>
      <c r="BU96" t="s">
        <v>884</v>
      </c>
      <c r="BV96">
        <v>23.78</v>
      </c>
      <c r="BW96">
        <v>19.739999999999998</v>
      </c>
      <c r="BX96">
        <v>21.88</v>
      </c>
      <c r="BY96">
        <v>15.4</v>
      </c>
      <c r="BZ96">
        <v>12</v>
      </c>
      <c r="CA96">
        <v>14.75</v>
      </c>
      <c r="CB96">
        <v>-4.01</v>
      </c>
      <c r="CC96">
        <v>-6.85</v>
      </c>
      <c r="CD96" t="s">
        <v>3715</v>
      </c>
      <c r="CE96" t="s">
        <v>1927</v>
      </c>
      <c r="CF96" s="8">
        <v>-0.82823529411764707</v>
      </c>
      <c r="CG96" s="9">
        <v>-0.49310347922338227</v>
      </c>
      <c r="CH96" s="8">
        <v>5.2362689971923828</v>
      </c>
      <c r="CI96" s="8">
        <v>0.25162127614021301</v>
      </c>
      <c r="CJ96" s="8">
        <v>0.35026270151138306</v>
      </c>
      <c r="CK96" s="8">
        <v>-0.12153846025466919</v>
      </c>
      <c r="CL96" s="8">
        <v>5.0080776214599609E-2</v>
      </c>
      <c r="CM96" s="9">
        <v>0.6982758641242981</v>
      </c>
      <c r="CN96" s="9">
        <v>1.7543859779834747E-2</v>
      </c>
      <c r="CO96" s="9">
        <v>-0.2738853394985199</v>
      </c>
      <c r="CP96" s="9">
        <v>6.4102564938366413E-3</v>
      </c>
      <c r="CQ96" s="9">
        <v>0.3684210479259491</v>
      </c>
      <c r="CR96">
        <v>19.528145901639341</v>
      </c>
      <c r="CS96">
        <v>0.16931834366886592</v>
      </c>
      <c r="CT96">
        <v>2.5936599423631121</v>
      </c>
      <c r="CU96" s="8">
        <v>1.1533390581607819</v>
      </c>
      <c r="CV96" s="9">
        <v>0.16335313776507973</v>
      </c>
      <c r="CW96">
        <v>0.06</v>
      </c>
      <c r="CX96">
        <v>4.9613337932431447</v>
      </c>
      <c r="CY96">
        <v>400196032.50723964</v>
      </c>
      <c r="CZ96">
        <v>1.1533390581607819</v>
      </c>
      <c r="DA96">
        <v>0.74034621580861315</v>
      </c>
      <c r="DB96">
        <v>2681861617.718153</v>
      </c>
      <c r="DC96">
        <v>1.0956721052527427</v>
      </c>
      <c r="DD96">
        <v>0.10343979702737559</v>
      </c>
      <c r="DE96">
        <v>19194798878.757767</v>
      </c>
      <c r="DF96">
        <v>1.0149383711814881</v>
      </c>
      <c r="DG96">
        <v>1.176201562445181E-2</v>
      </c>
      <c r="DH96">
        <v>168806619834.13562</v>
      </c>
      <c r="DI96">
        <v>0.92267124652862553</v>
      </c>
      <c r="DJ96">
        <v>9.6655241036850461E-5</v>
      </c>
      <c r="DK96">
        <v>20542146278886.34</v>
      </c>
      <c r="DL96">
        <v>0.80733734071254726</v>
      </c>
      <c r="DM96">
        <v>197000000</v>
      </c>
      <c r="DN96">
        <v>1.1533390581607819</v>
      </c>
      <c r="DO96">
        <v>1985506100</v>
      </c>
      <c r="DP96">
        <v>724122820</v>
      </c>
      <c r="DQ96">
        <v>4472</v>
      </c>
      <c r="DR96">
        <v>-1.9815743522784288</v>
      </c>
      <c r="DS96">
        <v>-0.65645661698846203</v>
      </c>
      <c r="DT96" s="10">
        <v>0.14333333333333331</v>
      </c>
      <c r="DU96">
        <v>7.999999999999996E-2</v>
      </c>
      <c r="DV96">
        <v>0.22333333333333327</v>
      </c>
      <c r="DW96">
        <v>-8.5854014598540154</v>
      </c>
      <c r="DX96">
        <v>0.26658891966758969</v>
      </c>
      <c r="DY96">
        <v>-8.0331272361849688</v>
      </c>
      <c r="DZ96">
        <v>929</v>
      </c>
      <c r="EA96">
        <v>-8.0271046916808917</v>
      </c>
      <c r="EB96">
        <v>8</v>
      </c>
      <c r="EC96">
        <v>5.1007078060409702E-2</v>
      </c>
      <c r="ED96">
        <v>0.90136158032405067</v>
      </c>
      <c r="EE96" s="11">
        <v>-1.0267999999999999</v>
      </c>
      <c r="EF96">
        <v>-1.0034000000000001</v>
      </c>
      <c r="EG96">
        <v>21.05658891966759</v>
      </c>
      <c r="EH96" t="s">
        <v>1237</v>
      </c>
      <c r="EI96">
        <v>0</v>
      </c>
      <c r="EJ96">
        <v>1</v>
      </c>
      <c r="EK96" s="13">
        <v>45470</v>
      </c>
      <c r="EL96" s="14">
        <v>0.86</v>
      </c>
      <c r="EM96" s="14">
        <v>-1.52</v>
      </c>
      <c r="EN96" s="14">
        <v>1.35</v>
      </c>
      <c r="EO96" s="14">
        <v>2</v>
      </c>
      <c r="EP96" s="14">
        <v>-2.34</v>
      </c>
    </row>
    <row r="97" spans="1:146" ht="96" x14ac:dyDescent="0.25">
      <c r="A97" s="7"/>
      <c r="B97" s="7"/>
      <c r="C97" s="7" t="str">
        <f>""&amp;CHAR(10)&amp;Basic_Fundamental_Information_Constructure(F97)&amp;CHAR(10)&amp;Basic_Fundamental_Information_Concatenate("")</f>
        <v xml:space="preserve">
市值24.024亿, 利润5221.60万; PE17.94; 平均PE24.79; 平均PEG1.39, PB2.59; ROIC13.4767%; ROE16.7833%; 股利率2.9138%; 毛利25.6933%; 净利16.28%; 上一年度营收增.79%, 利润增-61.89%; 当季营收增-18.22%, 利润增49.36%; 过往5年营收增17.9%, 利润增5.56%
Income profile:
</v>
      </c>
      <c r="D97" t="s">
        <v>710</v>
      </c>
      <c r="E97" t="s">
        <v>711</v>
      </c>
      <c r="F97">
        <v>8.58</v>
      </c>
      <c r="G97">
        <v>1.18</v>
      </c>
      <c r="H97" t="s">
        <v>3716</v>
      </c>
      <c r="I97">
        <v>2402400000</v>
      </c>
      <c r="J97">
        <v>17.940000000000001</v>
      </c>
      <c r="K97">
        <v>2.59</v>
      </c>
      <c r="L97" t="s">
        <v>67</v>
      </c>
      <c r="M97" t="s">
        <v>2237</v>
      </c>
      <c r="N97" t="s">
        <v>2162</v>
      </c>
      <c r="O97" t="s">
        <v>256</v>
      </c>
      <c r="P97">
        <v>-4.3499999999999996</v>
      </c>
      <c r="Q97" t="s">
        <v>3453</v>
      </c>
      <c r="R97">
        <v>24973334</v>
      </c>
      <c r="S97" s="5">
        <v>-7.1099999999999997E-2</v>
      </c>
      <c r="T97" t="s">
        <v>3717</v>
      </c>
      <c r="U97">
        <v>71554000</v>
      </c>
      <c r="V97">
        <v>280000000</v>
      </c>
      <c r="W97">
        <v>1.55</v>
      </c>
      <c r="X97">
        <v>0.13</v>
      </c>
      <c r="Y97">
        <v>13.57</v>
      </c>
      <c r="Z97" t="s">
        <v>156</v>
      </c>
      <c r="AA97" t="s">
        <v>2887</v>
      </c>
      <c r="AB97" t="s">
        <v>3718</v>
      </c>
      <c r="AC97" t="s">
        <v>3719</v>
      </c>
      <c r="AD97" t="s">
        <v>70</v>
      </c>
      <c r="AE97">
        <v>1898868</v>
      </c>
      <c r="AF97" t="s">
        <v>2238</v>
      </c>
      <c r="AG97" t="s">
        <v>3720</v>
      </c>
      <c r="AH97" t="s">
        <v>2239</v>
      </c>
      <c r="AI97" t="s">
        <v>128</v>
      </c>
      <c r="AJ97" t="s">
        <v>2240</v>
      </c>
      <c r="AK97" t="s">
        <v>3721</v>
      </c>
      <c r="AL97" t="s">
        <v>2241</v>
      </c>
      <c r="AM97" t="s">
        <v>70</v>
      </c>
      <c r="AN97" t="s">
        <v>1302</v>
      </c>
      <c r="AO97" t="s">
        <v>286</v>
      </c>
      <c r="AP97" t="s">
        <v>70</v>
      </c>
      <c r="AQ97" t="s">
        <v>148</v>
      </c>
      <c r="AR97" t="s">
        <v>3722</v>
      </c>
      <c r="AS97" t="s">
        <v>137</v>
      </c>
      <c r="AT97" t="s">
        <v>3723</v>
      </c>
      <c r="AU97" t="s">
        <v>3724</v>
      </c>
      <c r="AV97" t="s">
        <v>3725</v>
      </c>
      <c r="AW97" t="s">
        <v>3726</v>
      </c>
      <c r="AX97" t="s">
        <v>1205</v>
      </c>
      <c r="AY97" t="s">
        <v>793</v>
      </c>
      <c r="AZ97" t="s">
        <v>412</v>
      </c>
      <c r="BA97" t="s">
        <v>347</v>
      </c>
      <c r="BB97" t="s">
        <v>137</v>
      </c>
      <c r="BC97" t="s">
        <v>1421</v>
      </c>
      <c r="BD97" t="s">
        <v>616</v>
      </c>
      <c r="BE97" t="s">
        <v>422</v>
      </c>
      <c r="BF97" t="s">
        <v>796</v>
      </c>
      <c r="BG97" t="s">
        <v>712</v>
      </c>
      <c r="BH97" t="s">
        <v>2230</v>
      </c>
      <c r="BI97" t="s">
        <v>1033</v>
      </c>
      <c r="BJ97" t="s">
        <v>1205</v>
      </c>
      <c r="BK97" t="s">
        <v>1041</v>
      </c>
      <c r="BL97" t="s">
        <v>3727</v>
      </c>
      <c r="BM97" t="s">
        <v>1421</v>
      </c>
      <c r="BN97">
        <v>9.0500000000000007</v>
      </c>
      <c r="BO97">
        <v>14.29</v>
      </c>
      <c r="BP97">
        <v>17.09</v>
      </c>
      <c r="BQ97">
        <v>11.31</v>
      </c>
      <c r="BR97">
        <v>16.059999999999999</v>
      </c>
      <c r="BS97">
        <v>22.98</v>
      </c>
      <c r="BT97" t="s">
        <v>1794</v>
      </c>
      <c r="BU97" t="s">
        <v>884</v>
      </c>
      <c r="BV97">
        <v>26.66</v>
      </c>
      <c r="BW97">
        <v>25.31</v>
      </c>
      <c r="BX97">
        <v>25.11</v>
      </c>
      <c r="BY97">
        <v>17.149999999999999</v>
      </c>
      <c r="BZ97">
        <v>15.53</v>
      </c>
      <c r="CA97">
        <v>16.16</v>
      </c>
      <c r="CB97">
        <v>-3.7</v>
      </c>
      <c r="CC97">
        <v>-15.38</v>
      </c>
      <c r="CD97" t="s">
        <v>3728</v>
      </c>
      <c r="CE97" t="s">
        <v>3729</v>
      </c>
      <c r="CF97" s="8">
        <v>-0.18222222222222223</v>
      </c>
      <c r="CG97" s="9">
        <v>0.49361152146219223</v>
      </c>
      <c r="CH97" s="8">
        <v>7.8917704522609711E-3</v>
      </c>
      <c r="CI97" s="8">
        <v>0.15045395493507385</v>
      </c>
      <c r="CJ97" s="8">
        <v>0.46299809217453003</v>
      </c>
      <c r="CK97" s="8">
        <v>0.11181434243917465</v>
      </c>
      <c r="CL97" s="8">
        <v>0.1617647111415863</v>
      </c>
      <c r="CM97" s="9">
        <v>-0.61886131763458252</v>
      </c>
      <c r="CN97" s="9">
        <v>9.6000000834465027E-2</v>
      </c>
      <c r="CO97" s="9">
        <v>0.14678898453712463</v>
      </c>
      <c r="CP97" s="9">
        <v>0.14638006687164307</v>
      </c>
      <c r="CQ97" s="9">
        <v>0.50760692358016968</v>
      </c>
      <c r="CR97">
        <v>24.794019602109515</v>
      </c>
      <c r="CS97">
        <v>1.3852601381420073</v>
      </c>
      <c r="CT97">
        <v>2.9137529137529139</v>
      </c>
      <c r="CU97" s="8">
        <v>0.17898457422852515</v>
      </c>
      <c r="CV97" s="9">
        <v>5.5582931637763976E-2</v>
      </c>
      <c r="CW97">
        <v>0.06</v>
      </c>
      <c r="CX97">
        <v>31.740497228716887</v>
      </c>
      <c r="CY97">
        <v>58077225.026336476</v>
      </c>
      <c r="CZ97">
        <v>0.17898457422852515</v>
      </c>
      <c r="DA97">
        <v>9.6271453521948889</v>
      </c>
      <c r="DB97">
        <v>191479398.36389029</v>
      </c>
      <c r="DC97">
        <v>0.1700353455170989</v>
      </c>
      <c r="DD97">
        <v>4.2757317056085045</v>
      </c>
      <c r="DE97">
        <v>431130886.34209687</v>
      </c>
      <c r="DF97">
        <v>0.15750642532110212</v>
      </c>
      <c r="DG97">
        <v>2.2760130891096733</v>
      </c>
      <c r="DH97">
        <v>809925043.41049194</v>
      </c>
      <c r="DI97">
        <v>0.14318765938282013</v>
      </c>
      <c r="DJ97">
        <v>0.88864948120713483</v>
      </c>
      <c r="DK97">
        <v>2074383701.3171258</v>
      </c>
      <c r="DL97">
        <v>0.12528920195996759</v>
      </c>
      <c r="DM97">
        <v>52216000</v>
      </c>
      <c r="DN97">
        <v>0.17898457422852515</v>
      </c>
      <c r="DO97">
        <v>1843400000</v>
      </c>
      <c r="DP97">
        <v>86267820</v>
      </c>
      <c r="DQ97">
        <v>4535</v>
      </c>
      <c r="DR97">
        <v>-0.36120679645074738</v>
      </c>
      <c r="DS97">
        <v>0.43802858982442827</v>
      </c>
      <c r="DT97" s="10">
        <v>-5.6666666666666719E-2</v>
      </c>
      <c r="DU97">
        <v>-0.23333333333333331</v>
      </c>
      <c r="DV97">
        <v>-0.29000000000000004</v>
      </c>
      <c r="DW97">
        <v>-8.240572171651495</v>
      </c>
      <c r="DX97">
        <v>0.26482123566026999</v>
      </c>
      <c r="DY97">
        <v>-8.0179999071484396</v>
      </c>
      <c r="DZ97">
        <v>3264</v>
      </c>
      <c r="EA97">
        <v>-8.006502510488458</v>
      </c>
      <c r="EB97">
        <v>8</v>
      </c>
      <c r="EC97">
        <v>2.0777857142857143E-2</v>
      </c>
      <c r="ED97">
        <v>0.2777</v>
      </c>
      <c r="EE97" s="11">
        <v>1.0815999999999999</v>
      </c>
      <c r="EF97">
        <v>1.0387999999999999</v>
      </c>
      <c r="EG97">
        <v>19.07482123566027</v>
      </c>
      <c r="EH97" t="s">
        <v>813</v>
      </c>
      <c r="EI97">
        <v>0</v>
      </c>
      <c r="EJ97">
        <v>0</v>
      </c>
      <c r="EK97" s="13">
        <v>45470</v>
      </c>
      <c r="EL97" s="14">
        <v>2.5099999999999998</v>
      </c>
      <c r="EM97" s="14">
        <v>-4.41</v>
      </c>
      <c r="EN97" s="14">
        <v>-2.14</v>
      </c>
      <c r="EO97" s="14">
        <v>0.31</v>
      </c>
      <c r="EP97" s="14">
        <v>-4.28</v>
      </c>
    </row>
    <row r="98" spans="1:146" ht="180" x14ac:dyDescent="0.25">
      <c r="A98" s="7" t="s">
        <v>926</v>
      </c>
      <c r="B98" s="7" t="s">
        <v>927</v>
      </c>
      <c r="C98" s="7" t="str">
        <f>"公司的主营业务为应用清洁能源技术和新一代信息技术，通过提供“技术服务+智能设备”的综合解决方案，保障电力能源系统的安全运行和效率提升，促进电力能源系统的清洁化和智能化的发展。公司的主要产品为储能系统技术服务、试验检测及调试服务、智能配用电设备、智能监测设备、机器人及无人机。"&amp;CHAR(10)&amp;Basic_Fundamental_Information_Constructure(F98)&amp;CHAR(10)&amp;Basic_Fundamental_Information_Concatenate("智能设备 8.77亿 49.02% 50.77% 30.72%
技术服务 6.79亿 37.93% 38.37% 30.00%
其他 2.17亿 12.15% 10.39% 25.37%")</f>
        <v>公司的主营业务为应用清洁能源技术和新一代信息技术，通过提供“技术服务+智能设备”的综合解决方案，保障电力能源系统的安全运行和效率提升，促进电力能源系统的清洁化和智能化的发展。公司的主要产品为储能系统技术服务、试验检测及调试服务、智能配用电设备、智能监测设备、机器人及无人机。
市值157.5513亿, 利润2.12亿; PE53.8; 平均PE134.06; 平均PEG1.24, PB5.55; ROIC6.2133%; ROE8.18%; 股利率.6272%; 毛利29.59%; 净利11.0033%; 上一年度营收增304.69%, 利润增2.91%; 当季营收增-53.67%, 利润增112.68%; 过往5年营收增108.24%, 利润增86.48%
Income profile:
智能设备 8.77亿 49.02% 50.77% 30.72%
技术服务 6.79亿 37.93% 38.37% 30.00%
其他 2.17亿 12.15% 10.39% 25.37%</v>
      </c>
      <c r="D98" t="s">
        <v>797</v>
      </c>
      <c r="E98" t="s">
        <v>798</v>
      </c>
      <c r="F98">
        <v>27.9</v>
      </c>
      <c r="G98">
        <v>-2.17</v>
      </c>
      <c r="H98" t="s">
        <v>3730</v>
      </c>
      <c r="I98">
        <v>15755130000</v>
      </c>
      <c r="J98">
        <v>53.8</v>
      </c>
      <c r="K98">
        <v>5.55</v>
      </c>
      <c r="L98" t="s">
        <v>67</v>
      </c>
      <c r="M98" t="s">
        <v>2242</v>
      </c>
      <c r="N98" t="s">
        <v>3731</v>
      </c>
      <c r="O98" t="s">
        <v>772</v>
      </c>
      <c r="P98">
        <v>9.85</v>
      </c>
      <c r="Q98" t="s">
        <v>3732</v>
      </c>
      <c r="R98">
        <v>41968926</v>
      </c>
      <c r="S98" s="5">
        <v>0.3821</v>
      </c>
      <c r="T98" t="s">
        <v>895</v>
      </c>
      <c r="U98">
        <v>228400000</v>
      </c>
      <c r="V98">
        <v>564700000</v>
      </c>
      <c r="W98">
        <v>1.55</v>
      </c>
      <c r="X98">
        <v>0.11</v>
      </c>
      <c r="Y98">
        <v>8.43</v>
      </c>
      <c r="Z98" t="s">
        <v>3733</v>
      </c>
      <c r="AA98" t="s">
        <v>1217</v>
      </c>
      <c r="AB98" t="s">
        <v>3734</v>
      </c>
      <c r="AC98" t="s">
        <v>3735</v>
      </c>
      <c r="AD98" t="s">
        <v>70</v>
      </c>
      <c r="AE98">
        <v>-6962217</v>
      </c>
      <c r="AF98" t="s">
        <v>2244</v>
      </c>
      <c r="AG98" t="s">
        <v>3736</v>
      </c>
      <c r="AH98" t="s">
        <v>2245</v>
      </c>
      <c r="AI98" t="s">
        <v>3737</v>
      </c>
      <c r="AJ98" t="s">
        <v>2246</v>
      </c>
      <c r="AK98" t="s">
        <v>3738</v>
      </c>
      <c r="AL98" t="s">
        <v>2247</v>
      </c>
      <c r="AM98" t="s">
        <v>70</v>
      </c>
      <c r="AN98" t="s">
        <v>3739</v>
      </c>
      <c r="AO98" t="s">
        <v>70</v>
      </c>
      <c r="AP98" t="s">
        <v>3740</v>
      </c>
      <c r="AQ98" t="s">
        <v>2773</v>
      </c>
      <c r="AR98" t="s">
        <v>70</v>
      </c>
      <c r="AS98" t="s">
        <v>3741</v>
      </c>
      <c r="AT98" t="s">
        <v>70</v>
      </c>
      <c r="AU98" t="s">
        <v>3742</v>
      </c>
      <c r="AV98" t="s">
        <v>3743</v>
      </c>
      <c r="AW98" t="s">
        <v>3744</v>
      </c>
      <c r="AX98" t="s">
        <v>1206</v>
      </c>
      <c r="AY98" t="s">
        <v>799</v>
      </c>
      <c r="AZ98" t="s">
        <v>801</v>
      </c>
      <c r="BA98" t="s">
        <v>438</v>
      </c>
      <c r="BB98" t="s">
        <v>701</v>
      </c>
      <c r="BC98" t="s">
        <v>537</v>
      </c>
      <c r="BD98" t="s">
        <v>800</v>
      </c>
      <c r="BE98" t="s">
        <v>802</v>
      </c>
      <c r="BF98" t="s">
        <v>803</v>
      </c>
      <c r="BG98" t="s">
        <v>804</v>
      </c>
      <c r="BH98" t="s">
        <v>2243</v>
      </c>
      <c r="BI98" t="s">
        <v>3476</v>
      </c>
      <c r="BJ98" t="s">
        <v>1206</v>
      </c>
      <c r="BK98" t="s">
        <v>1278</v>
      </c>
      <c r="BL98" t="s">
        <v>3745</v>
      </c>
      <c r="BM98" t="s">
        <v>537</v>
      </c>
      <c r="BN98">
        <v>5.3</v>
      </c>
      <c r="BO98">
        <v>6.85</v>
      </c>
      <c r="BP98">
        <v>6.49</v>
      </c>
      <c r="BQ98">
        <v>6.06</v>
      </c>
      <c r="BR98">
        <v>8.19</v>
      </c>
      <c r="BS98">
        <v>10.29</v>
      </c>
      <c r="BT98" t="s">
        <v>928</v>
      </c>
      <c r="BU98" t="s">
        <v>885</v>
      </c>
      <c r="BV98">
        <v>28.98</v>
      </c>
      <c r="BW98">
        <v>29.66</v>
      </c>
      <c r="BX98">
        <v>30.13</v>
      </c>
      <c r="BY98">
        <v>11.19</v>
      </c>
      <c r="BZ98">
        <v>11.49</v>
      </c>
      <c r="CA98">
        <v>10.33</v>
      </c>
      <c r="CB98">
        <v>-5.28</v>
      </c>
      <c r="CC98">
        <v>5.38</v>
      </c>
      <c r="CD98" t="s">
        <v>3746</v>
      </c>
      <c r="CE98" t="s">
        <v>1284</v>
      </c>
      <c r="CF98" s="8">
        <v>-0.53669724770642202</v>
      </c>
      <c r="CG98" s="9">
        <v>1.1267943383685801</v>
      </c>
      <c r="CH98" s="8">
        <v>3.0469274520874023</v>
      </c>
      <c r="CI98" s="8">
        <v>0.29241883754730225</v>
      </c>
      <c r="CJ98" s="8">
        <v>0.24215233325958252</v>
      </c>
      <c r="CK98" s="8">
        <v>0.91580766439437866</v>
      </c>
      <c r="CL98" s="8">
        <v>0.91447371244430542</v>
      </c>
      <c r="CM98" s="9">
        <v>2.9126213863492012E-2</v>
      </c>
      <c r="CN98" s="9">
        <v>0.44055944681167603</v>
      </c>
      <c r="CO98" s="9">
        <v>0.64206826686859131</v>
      </c>
      <c r="CP98" s="9">
        <v>1.002282977104187</v>
      </c>
      <c r="CQ98" s="9">
        <v>2.2098629474639893</v>
      </c>
      <c r="CR98">
        <v>134.06185344194907</v>
      </c>
      <c r="CS98">
        <v>1.2386114499163305</v>
      </c>
      <c r="CT98">
        <v>0.62724014336917566</v>
      </c>
      <c r="CU98" s="8">
        <v>1.0823559999465941</v>
      </c>
      <c r="CV98" s="9">
        <v>0.86477997042238708</v>
      </c>
      <c r="CW98">
        <v>0.06</v>
      </c>
      <c r="CX98">
        <v>35.268056951781311</v>
      </c>
      <c r="CY98">
        <v>416471199.98931879</v>
      </c>
      <c r="CZ98">
        <v>1.0823559999465941</v>
      </c>
      <c r="DA98">
        <v>5.5073739517366906</v>
      </c>
      <c r="DB98">
        <v>2666993403.5200672</v>
      </c>
      <c r="DC98">
        <v>1.0282381999492645</v>
      </c>
      <c r="DD98">
        <v>0.83220498906574081</v>
      </c>
      <c r="DE98">
        <v>17649653862.913452</v>
      </c>
      <c r="DF98">
        <v>0.9524732799530029</v>
      </c>
      <c r="DG98">
        <v>0.10513622174096293</v>
      </c>
      <c r="DH98">
        <v>139705705196.34</v>
      </c>
      <c r="DI98">
        <v>0.86588479995727541</v>
      </c>
      <c r="DJ98">
        <v>1.1138492723439682E-3</v>
      </c>
      <c r="DK98">
        <v>13186820124315.846</v>
      </c>
      <c r="DL98">
        <v>0.75764919996261582</v>
      </c>
      <c r="DM98">
        <v>212000000</v>
      </c>
      <c r="DN98">
        <v>1.0823559999465941</v>
      </c>
      <c r="DO98">
        <v>14688130000</v>
      </c>
      <c r="DP98">
        <v>2397409700</v>
      </c>
      <c r="DQ98">
        <v>4755</v>
      </c>
      <c r="DR98">
        <v>-1.6190532476530162</v>
      </c>
      <c r="DS98">
        <v>0.26201436794619304</v>
      </c>
      <c r="DT98" s="10">
        <v>0.57666666666666655</v>
      </c>
      <c r="DU98">
        <v>1.6550000000000002</v>
      </c>
      <c r="DV98">
        <v>2.2316666666666669</v>
      </c>
      <c r="DW98">
        <v>-6.4953095684802999</v>
      </c>
      <c r="DX98">
        <v>0.38899597989949725</v>
      </c>
      <c r="DY98">
        <v>-6.0440805604005012</v>
      </c>
      <c r="DZ98">
        <v>687</v>
      </c>
      <c r="EA98">
        <v>-6.0381542697947976</v>
      </c>
      <c r="EB98">
        <v>6</v>
      </c>
      <c r="EC98">
        <v>3.1362139188949888E-2</v>
      </c>
      <c r="ED98">
        <v>0.35239950416150168</v>
      </c>
      <c r="EE98" s="11">
        <v>-1.0437099999999999</v>
      </c>
      <c r="EF98">
        <v>-1.06891</v>
      </c>
      <c r="EG98">
        <v>30.088995979899497</v>
      </c>
      <c r="EH98" t="s">
        <v>812</v>
      </c>
      <c r="EI98">
        <v>0</v>
      </c>
      <c r="EJ98">
        <v>1</v>
      </c>
      <c r="EK98" s="13">
        <v>45470</v>
      </c>
      <c r="EL98" s="14">
        <v>-1</v>
      </c>
      <c r="EM98" s="14">
        <v>-5.5</v>
      </c>
      <c r="EN98" s="14">
        <v>-1.87</v>
      </c>
      <c r="EO98" s="14">
        <v>2.86</v>
      </c>
      <c r="EP98" s="14">
        <v>-2.52</v>
      </c>
    </row>
  </sheetData>
  <autoFilter ref="BU1:BU98"/>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电力&quot;,&quot;&quot;'" altText="更新基本面按钮_x000a_">
                <anchor moveWithCells="1" sizeWithCells="1">
                  <from>
                    <xdr:col>147</xdr:col>
                    <xdr:colOff>222250</xdr:colOff>
                    <xdr:row>0</xdr:row>
                    <xdr:rowOff>50800</xdr:rowOff>
                  </from>
                  <to>
                    <xdr:col>147</xdr:col>
                    <xdr:colOff>1454150</xdr:colOff>
                    <xdr:row>0</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34"/>
  <sheetViews>
    <sheetView workbookViewId="0">
      <selection activeCell="A7" sqref="A7"/>
    </sheetView>
  </sheetViews>
  <sheetFormatPr defaultRowHeight="14" x14ac:dyDescent="0.25"/>
  <sheetData>
    <row r="1" spans="1:30" x14ac:dyDescent="0.25">
      <c r="A1">
        <f>A6</f>
        <v>10</v>
      </c>
      <c r="B1">
        <f>A1+A1*$A$2</f>
        <v>10.3</v>
      </c>
      <c r="C1">
        <f t="shared" ref="C1:AD1" si="0">B1+B1*$A$2</f>
        <v>10.609</v>
      </c>
      <c r="D1">
        <f t="shared" si="0"/>
        <v>10.92727</v>
      </c>
      <c r="E1">
        <f t="shared" si="0"/>
        <v>11.2550881</v>
      </c>
      <c r="F1">
        <f t="shared" si="0"/>
        <v>11.592740743</v>
      </c>
      <c r="G1">
        <f t="shared" si="0"/>
        <v>11.94052296529</v>
      </c>
      <c r="H1">
        <f t="shared" si="0"/>
        <v>12.2987386542487</v>
      </c>
      <c r="I1">
        <f t="shared" si="0"/>
        <v>12.667700813876161</v>
      </c>
      <c r="J1">
        <f t="shared" si="0"/>
        <v>13.047731838292446</v>
      </c>
      <c r="K1">
        <f t="shared" si="0"/>
        <v>13.439163793441219</v>
      </c>
      <c r="L1">
        <f t="shared" si="0"/>
        <v>13.842338707244455</v>
      </c>
      <c r="M1">
        <f t="shared" si="0"/>
        <v>14.257608868461789</v>
      </c>
      <c r="N1">
        <f t="shared" si="0"/>
        <v>14.685337134515642</v>
      </c>
      <c r="O1">
        <f t="shared" si="0"/>
        <v>15.125897248551111</v>
      </c>
      <c r="P1">
        <f t="shared" si="0"/>
        <v>15.579674166007644</v>
      </c>
      <c r="Q1">
        <f t="shared" si="0"/>
        <v>16.047064390987874</v>
      </c>
      <c r="R1">
        <f t="shared" si="0"/>
        <v>16.528476322717509</v>
      </c>
      <c r="S1">
        <f t="shared" si="0"/>
        <v>17.024330612399034</v>
      </c>
      <c r="T1">
        <f t="shared" si="0"/>
        <v>17.535060530771005</v>
      </c>
      <c r="U1">
        <f t="shared" si="0"/>
        <v>18.061112346694134</v>
      </c>
      <c r="V1">
        <f t="shared" si="0"/>
        <v>18.602945717094958</v>
      </c>
      <c r="W1">
        <f t="shared" si="0"/>
        <v>19.161034088607806</v>
      </c>
      <c r="X1">
        <f t="shared" si="0"/>
        <v>19.73586511126604</v>
      </c>
      <c r="Y1">
        <f t="shared" si="0"/>
        <v>20.327941064604023</v>
      </c>
      <c r="Z1">
        <f t="shared" si="0"/>
        <v>20.937779296542143</v>
      </c>
      <c r="AA1">
        <f t="shared" si="0"/>
        <v>21.565912675438408</v>
      </c>
      <c r="AB1">
        <f t="shared" si="0"/>
        <v>22.21289005570156</v>
      </c>
      <c r="AC1">
        <f t="shared" si="0"/>
        <v>22.879276757372608</v>
      </c>
      <c r="AD1">
        <f t="shared" si="0"/>
        <v>23.565655060093786</v>
      </c>
    </row>
    <row r="2" spans="1:30" x14ac:dyDescent="0.25">
      <c r="A2">
        <v>0.03</v>
      </c>
      <c r="B2" t="s">
        <v>1311</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0.15</v>
      </c>
      <c r="B4" t="s">
        <v>1312</v>
      </c>
    </row>
    <row r="5" spans="1:30" x14ac:dyDescent="0.25">
      <c r="A5" s="1">
        <v>1</v>
      </c>
      <c r="B5" s="1">
        <f>A5*$A$4+A5</f>
        <v>1.1499999999999999</v>
      </c>
      <c r="C5" s="1">
        <f t="shared" ref="C5:AD5" si="1">B5*$A$4+B5</f>
        <v>1.3224999999999998</v>
      </c>
      <c r="D5" s="1">
        <f t="shared" si="1"/>
        <v>1.5208749999999998</v>
      </c>
      <c r="E5" s="1">
        <f t="shared" si="1"/>
        <v>1.7490062499999997</v>
      </c>
      <c r="F5" s="1">
        <f t="shared" si="1"/>
        <v>2.0113571874999998</v>
      </c>
      <c r="G5" s="1">
        <f t="shared" si="1"/>
        <v>2.313060765625</v>
      </c>
      <c r="H5" s="1">
        <f t="shared" si="1"/>
        <v>2.66001988046875</v>
      </c>
      <c r="I5" s="1">
        <f t="shared" si="1"/>
        <v>3.0590228625390625</v>
      </c>
      <c r="J5" s="1">
        <f t="shared" si="1"/>
        <v>3.5178762919199218</v>
      </c>
      <c r="K5" s="1">
        <f t="shared" si="1"/>
        <v>4.0455577357079102</v>
      </c>
      <c r="L5" s="1">
        <f t="shared" si="1"/>
        <v>4.6523913960640968</v>
      </c>
      <c r="M5" s="1">
        <f t="shared" si="1"/>
        <v>5.3502501054737115</v>
      </c>
      <c r="N5" s="1">
        <f t="shared" si="1"/>
        <v>6.1527876212947685</v>
      </c>
      <c r="O5" s="1">
        <f t="shared" si="1"/>
        <v>7.0757057644889834</v>
      </c>
      <c r="P5">
        <f t="shared" si="1"/>
        <v>8.1370616291623303</v>
      </c>
      <c r="Q5">
        <f t="shared" si="1"/>
        <v>9.3576208735366802</v>
      </c>
      <c r="R5">
        <f t="shared" si="1"/>
        <v>10.761264004567183</v>
      </c>
      <c r="S5" s="1">
        <f t="shared" si="1"/>
        <v>12.375453605252261</v>
      </c>
      <c r="T5">
        <f t="shared" si="1"/>
        <v>14.2317716460401</v>
      </c>
      <c r="U5">
        <f t="shared" si="1"/>
        <v>16.366537392946114</v>
      </c>
      <c r="V5">
        <f t="shared" si="1"/>
        <v>18.82151800188803</v>
      </c>
      <c r="W5">
        <f t="shared" si="1"/>
        <v>21.644745702171235</v>
      </c>
      <c r="X5">
        <f t="shared" si="1"/>
        <v>24.891457557496921</v>
      </c>
      <c r="Y5">
        <f t="shared" si="1"/>
        <v>28.625176191121458</v>
      </c>
      <c r="Z5">
        <f t="shared" si="1"/>
        <v>32.918952619789678</v>
      </c>
      <c r="AA5">
        <f t="shared" si="1"/>
        <v>37.856795512758133</v>
      </c>
      <c r="AB5">
        <f t="shared" si="1"/>
        <v>43.535314839671855</v>
      </c>
      <c r="AC5">
        <f t="shared" si="1"/>
        <v>50.065612065622631</v>
      </c>
      <c r="AD5">
        <f t="shared" si="1"/>
        <v>57.575453875466025</v>
      </c>
    </row>
    <row r="6" spans="1:30" x14ac:dyDescent="0.25">
      <c r="A6">
        <v>10</v>
      </c>
      <c r="B6" t="s">
        <v>1313</v>
      </c>
    </row>
    <row r="7" spans="1:30" x14ac:dyDescent="0.25">
      <c r="A7" s="12">
        <f>SUM($A$5:A5)</f>
        <v>1</v>
      </c>
      <c r="B7" s="12">
        <f>SUM($A$5:B5)</f>
        <v>2.15</v>
      </c>
      <c r="C7" s="12">
        <f>SUM($A$5:C5)</f>
        <v>3.4724999999999997</v>
      </c>
      <c r="D7" s="12">
        <f>SUM($A$5:D5)</f>
        <v>4.9933749999999995</v>
      </c>
      <c r="E7" s="12">
        <f>SUM($A$5:E5)</f>
        <v>6.7423812499999993</v>
      </c>
      <c r="F7" s="12">
        <f>SUM($A$5:F5)</f>
        <v>8.7537384374999991</v>
      </c>
      <c r="G7" s="12">
        <f>SUM($A$5:G5)</f>
        <v>11.066799203124999</v>
      </c>
      <c r="H7" s="12">
        <f>SUM($A$5:H5)</f>
        <v>13.72681908359375</v>
      </c>
      <c r="I7" s="12">
        <f>SUM($A$5:I5)</f>
        <v>16.785841946132813</v>
      </c>
      <c r="J7" s="12">
        <f>SUM($A$5:J5)</f>
        <v>20.303718238052735</v>
      </c>
      <c r="K7" s="12">
        <f>SUM($A$5:K5)</f>
        <v>24.349275973760644</v>
      </c>
      <c r="L7" s="12">
        <f>SUM($A$5:L5)</f>
        <v>29.001667369824741</v>
      </c>
      <c r="M7" s="12">
        <f>SUM($A$5:M5)</f>
        <v>34.35191747529845</v>
      </c>
      <c r="N7" s="12">
        <f>SUM($A$5:N5)</f>
        <v>40.50470509659322</v>
      </c>
      <c r="O7" s="12">
        <f>SUM($A$5:O5)</f>
        <v>47.5804108610822</v>
      </c>
      <c r="P7" s="12">
        <f>SUM($A$5:P5)</f>
        <v>55.717472490244532</v>
      </c>
      <c r="Q7" s="12">
        <f>SUM($A$5:Q5)</f>
        <v>65.075093363781207</v>
      </c>
      <c r="R7" s="12">
        <f>SUM($A$5:R5)</f>
        <v>75.836357368348388</v>
      </c>
      <c r="S7" s="12">
        <f>SUM($A$5:S5)</f>
        <v>88.211810973600649</v>
      </c>
      <c r="T7" s="12">
        <f>SUM($A$5:T5)</f>
        <v>102.44358261964075</v>
      </c>
      <c r="U7" s="12">
        <f>SUM($A$5:U5)</f>
        <v>118.81012001258686</v>
      </c>
      <c r="V7" s="12">
        <f>SUM($A$5:V5)</f>
        <v>137.6316380144749</v>
      </c>
      <c r="W7" s="12">
        <f>SUM($A$5:W5)</f>
        <v>159.27638371664614</v>
      </c>
      <c r="X7" s="12">
        <f>SUM($A$5:X5)</f>
        <v>184.16784127414306</v>
      </c>
      <c r="Y7" s="12">
        <f>SUM($A$5:Y5)</f>
        <v>212.79301746526451</v>
      </c>
      <c r="Z7" s="12">
        <f>SUM($A$5:Z5)</f>
        <v>245.71197008505419</v>
      </c>
      <c r="AA7" s="12">
        <f>SUM($A$5:AA5)</f>
        <v>283.56876559781233</v>
      </c>
      <c r="AB7" s="12">
        <f>SUM($A$5:AB5)</f>
        <v>327.10408043748419</v>
      </c>
      <c r="AC7" s="12">
        <f>SUM($A$5:AC5)</f>
        <v>377.16969250310683</v>
      </c>
      <c r="AD7" s="12">
        <f>SUM($A$5:AD5)</f>
        <v>434.74514637857283</v>
      </c>
    </row>
    <row r="8" spans="1:30" x14ac:dyDescent="0.25">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x14ac:dyDescent="0.25">
      <c r="A9">
        <f>IF(A7&gt;A1,(A7-A1)/$A$6,0)</f>
        <v>0</v>
      </c>
      <c r="B9">
        <f t="shared" ref="B9:AD9" si="2">IF(B7&gt;B1,(B7-B1)/$A$6,0)</f>
        <v>0</v>
      </c>
      <c r="C9">
        <f t="shared" si="2"/>
        <v>0</v>
      </c>
      <c r="D9">
        <f t="shared" si="2"/>
        <v>0</v>
      </c>
      <c r="E9">
        <f t="shared" si="2"/>
        <v>0</v>
      </c>
      <c r="F9">
        <f t="shared" si="2"/>
        <v>0</v>
      </c>
      <c r="G9">
        <f t="shared" si="2"/>
        <v>0</v>
      </c>
      <c r="H9">
        <f t="shared" si="2"/>
        <v>0.14280804293450497</v>
      </c>
      <c r="I9">
        <f t="shared" si="2"/>
        <v>0.41181411322566513</v>
      </c>
      <c r="J9">
        <f t="shared" si="2"/>
        <v>0.72559863997602891</v>
      </c>
      <c r="K9">
        <f t="shared" si="2"/>
        <v>1.0910112180319425</v>
      </c>
      <c r="L9">
        <f t="shared" si="2"/>
        <v>1.5159328662580287</v>
      </c>
      <c r="M9">
        <f t="shared" si="2"/>
        <v>2.0094308606836662</v>
      </c>
      <c r="N9">
        <f t="shared" si="2"/>
        <v>2.5819367962077577</v>
      </c>
      <c r="O9">
        <f t="shared" si="2"/>
        <v>3.2454513612531088</v>
      </c>
      <c r="P9">
        <f t="shared" si="2"/>
        <v>4.0137798324236886</v>
      </c>
      <c r="Q9">
        <f t="shared" si="2"/>
        <v>4.9028028972793338</v>
      </c>
      <c r="R9">
        <f t="shared" si="2"/>
        <v>5.9307881045630877</v>
      </c>
      <c r="S9">
        <f t="shared" si="2"/>
        <v>7.1187480361201612</v>
      </c>
      <c r="T9">
        <f t="shared" si="2"/>
        <v>8.4908522088869738</v>
      </c>
      <c r="U9">
        <f t="shared" si="2"/>
        <v>10.074900766589273</v>
      </c>
      <c r="V9">
        <f t="shared" si="2"/>
        <v>11.902869229737995</v>
      </c>
      <c r="W9">
        <f t="shared" si="2"/>
        <v>14.011534962803832</v>
      </c>
      <c r="X9">
        <f t="shared" si="2"/>
        <v>16.443197616287701</v>
      </c>
      <c r="Y9">
        <f t="shared" si="2"/>
        <v>19.246507640066049</v>
      </c>
      <c r="Z9">
        <f t="shared" si="2"/>
        <v>22.477419078851206</v>
      </c>
      <c r="AA9">
        <f t="shared" si="2"/>
        <v>26.200285292237389</v>
      </c>
      <c r="AB9">
        <f t="shared" si="2"/>
        <v>30.489119038178263</v>
      </c>
      <c r="AC9">
        <f t="shared" si="2"/>
        <v>35.429041574573418</v>
      </c>
      <c r="AD9">
        <f t="shared" si="2"/>
        <v>41.117949131847908</v>
      </c>
    </row>
    <row r="10" spans="1:30" x14ac:dyDescent="0.25">
      <c r="A10">
        <f>A6/(A4*100)</f>
        <v>0.66666666666666663</v>
      </c>
      <c r="B10" t="s">
        <v>1314</v>
      </c>
    </row>
    <row r="12" spans="1:30" x14ac:dyDescent="0.25">
      <c r="A12" t="s">
        <v>1315</v>
      </c>
      <c r="B12">
        <f>B13/B14</f>
        <v>1</v>
      </c>
      <c r="C12">
        <f t="shared" ref="C12:T12" si="3">C13/C14</f>
        <v>0.88461538461538447</v>
      </c>
      <c r="D12">
        <f t="shared" si="3"/>
        <v>0.78254437869822469</v>
      </c>
      <c r="E12">
        <f t="shared" si="3"/>
        <v>0.69225079654073696</v>
      </c>
      <c r="F12">
        <f t="shared" si="3"/>
        <v>0.61237570463219038</v>
      </c>
      <c r="G12">
        <f t="shared" si="3"/>
        <v>0.54171696948232217</v>
      </c>
      <c r="H12">
        <f t="shared" si="3"/>
        <v>0.47921116531128499</v>
      </c>
      <c r="I12">
        <f t="shared" si="3"/>
        <v>0.42391756931382896</v>
      </c>
      <c r="J12">
        <f t="shared" si="3"/>
        <v>0.37500400362377173</v>
      </c>
      <c r="K12">
        <f t="shared" si="3"/>
        <v>0.33173431089795186</v>
      </c>
      <c r="L12">
        <f t="shared" si="3"/>
        <v>0.29345727502511126</v>
      </c>
      <c r="M12">
        <f t="shared" si="3"/>
        <v>0.25959682021452146</v>
      </c>
      <c r="N12">
        <f t="shared" si="3"/>
        <v>0.22964334095899974</v>
      </c>
      <c r="O12">
        <f t="shared" si="3"/>
        <v>0.20314603238680742</v>
      </c>
      <c r="P12">
        <f t="shared" si="3"/>
        <v>0.179706105572945</v>
      </c>
      <c r="Q12">
        <f t="shared" si="3"/>
        <v>0.15897078569914364</v>
      </c>
      <c r="R12">
        <f t="shared" si="3"/>
        <v>0.14062800273385781</v>
      </c>
      <c r="S12">
        <f t="shared" si="3"/>
        <v>0.12440169472610496</v>
      </c>
      <c r="T12">
        <f t="shared" si="3"/>
        <v>0.11004765302693899</v>
      </c>
    </row>
    <row r="13" spans="1:30" x14ac:dyDescent="0.25">
      <c r="A13" t="s">
        <v>1316</v>
      </c>
      <c r="B13">
        <v>1</v>
      </c>
      <c r="C13">
        <f>B13*(1+$D$15)</f>
        <v>1.1499999999999999</v>
      </c>
      <c r="D13">
        <f t="shared" ref="D13:T13" si="4">C13*(1+$D$15)</f>
        <v>1.3224999999999998</v>
      </c>
      <c r="E13">
        <f t="shared" si="4"/>
        <v>1.5208749999999995</v>
      </c>
      <c r="F13">
        <f t="shared" si="4"/>
        <v>1.7490062499999994</v>
      </c>
      <c r="G13">
        <f t="shared" si="4"/>
        <v>2.0113571874999994</v>
      </c>
      <c r="H13">
        <f t="shared" si="4"/>
        <v>2.3130607656249991</v>
      </c>
      <c r="I13">
        <f t="shared" si="4"/>
        <v>2.6600198804687487</v>
      </c>
      <c r="J13">
        <f t="shared" si="4"/>
        <v>3.0590228625390607</v>
      </c>
      <c r="K13">
        <f t="shared" si="4"/>
        <v>3.5178762919199196</v>
      </c>
      <c r="L13">
        <f t="shared" si="4"/>
        <v>4.0455577357079076</v>
      </c>
      <c r="M13">
        <f t="shared" si="4"/>
        <v>4.6523913960640932</v>
      </c>
      <c r="N13">
        <f t="shared" si="4"/>
        <v>5.3502501054737071</v>
      </c>
      <c r="O13">
        <f t="shared" si="4"/>
        <v>6.1527876212947623</v>
      </c>
      <c r="P13">
        <f t="shared" si="4"/>
        <v>7.0757057644889763</v>
      </c>
      <c r="Q13">
        <f t="shared" si="4"/>
        <v>8.1370616291623215</v>
      </c>
      <c r="R13">
        <f t="shared" si="4"/>
        <v>9.3576208735366695</v>
      </c>
      <c r="S13">
        <f t="shared" si="4"/>
        <v>10.761264004567169</v>
      </c>
      <c r="T13">
        <f t="shared" si="4"/>
        <v>12.375453605252243</v>
      </c>
    </row>
    <row r="14" spans="1:30" x14ac:dyDescent="0.25">
      <c r="A14" t="s">
        <v>1317</v>
      </c>
      <c r="B14">
        <v>1</v>
      </c>
      <c r="C14">
        <f>B14*(1+$B$15)</f>
        <v>1.3</v>
      </c>
      <c r="D14">
        <f>C14*(1+$B$15)</f>
        <v>1.6900000000000002</v>
      </c>
      <c r="E14">
        <f t="shared" ref="E14:T14" si="5">D14*(1+$B$15)</f>
        <v>2.1970000000000005</v>
      </c>
      <c r="F14">
        <f t="shared" si="5"/>
        <v>2.856100000000001</v>
      </c>
      <c r="G14">
        <f t="shared" si="5"/>
        <v>3.7129300000000014</v>
      </c>
      <c r="H14">
        <f t="shared" si="5"/>
        <v>4.8268090000000017</v>
      </c>
      <c r="I14">
        <f t="shared" si="5"/>
        <v>6.2748517000000028</v>
      </c>
      <c r="J14">
        <f t="shared" si="5"/>
        <v>8.1573072100000044</v>
      </c>
      <c r="K14">
        <f t="shared" si="5"/>
        <v>10.604499373000007</v>
      </c>
      <c r="L14">
        <f t="shared" si="5"/>
        <v>13.785849184900009</v>
      </c>
      <c r="M14">
        <f t="shared" si="5"/>
        <v>17.921603940370012</v>
      </c>
      <c r="N14">
        <f t="shared" si="5"/>
        <v>23.298085122481016</v>
      </c>
      <c r="O14">
        <f t="shared" si="5"/>
        <v>30.287510659225322</v>
      </c>
      <c r="P14">
        <f t="shared" si="5"/>
        <v>39.373763856992923</v>
      </c>
      <c r="Q14">
        <f t="shared" si="5"/>
        <v>51.185893014090802</v>
      </c>
      <c r="R14">
        <f t="shared" si="5"/>
        <v>66.541660918318044</v>
      </c>
      <c r="S14">
        <f t="shared" si="5"/>
        <v>86.504159193813464</v>
      </c>
      <c r="T14">
        <f t="shared" si="5"/>
        <v>112.45540695195751</v>
      </c>
    </row>
    <row r="15" spans="1:30" x14ac:dyDescent="0.25">
      <c r="A15" t="s">
        <v>1318</v>
      </c>
      <c r="B15">
        <v>0.3</v>
      </c>
      <c r="C15" t="s">
        <v>1319</v>
      </c>
      <c r="D15">
        <v>0.15</v>
      </c>
    </row>
    <row r="17" spans="1:3" x14ac:dyDescent="0.25">
      <c r="A17" t="s">
        <v>1320</v>
      </c>
      <c r="B17" t="s">
        <v>1321</v>
      </c>
      <c r="C17" t="s">
        <v>1322</v>
      </c>
    </row>
    <row r="18" spans="1:3" x14ac:dyDescent="0.25">
      <c r="A18">
        <v>0.01</v>
      </c>
      <c r="B18">
        <v>1</v>
      </c>
      <c r="C18">
        <v>1</v>
      </c>
    </row>
    <row r="19" spans="1:3" x14ac:dyDescent="0.25">
      <c r="A19">
        <v>0.02</v>
      </c>
      <c r="B19">
        <v>2</v>
      </c>
      <c r="C19">
        <v>2</v>
      </c>
    </row>
    <row r="20" spans="1:3" x14ac:dyDescent="0.25">
      <c r="A20">
        <v>0.03</v>
      </c>
      <c r="B20">
        <v>3</v>
      </c>
      <c r="C20">
        <v>3</v>
      </c>
    </row>
    <row r="21" spans="1:3" x14ac:dyDescent="0.25">
      <c r="A21">
        <v>0.05</v>
      </c>
      <c r="B21">
        <v>5</v>
      </c>
      <c r="C21">
        <v>5</v>
      </c>
    </row>
    <row r="22" spans="1:3" x14ac:dyDescent="0.25">
      <c r="A22">
        <v>0.1</v>
      </c>
      <c r="B22">
        <v>10</v>
      </c>
      <c r="C22">
        <v>7</v>
      </c>
    </row>
    <row r="23" spans="1:3" x14ac:dyDescent="0.25">
      <c r="A23">
        <v>0.15</v>
      </c>
      <c r="B23">
        <v>15</v>
      </c>
      <c r="C23" s="9">
        <v>8</v>
      </c>
    </row>
    <row r="24" spans="1:3" x14ac:dyDescent="0.25">
      <c r="A24">
        <v>0.2</v>
      </c>
      <c r="B24">
        <v>20</v>
      </c>
      <c r="C24" s="15">
        <v>9</v>
      </c>
    </row>
    <row r="25" spans="1:3" x14ac:dyDescent="0.25">
      <c r="A25">
        <v>0.3</v>
      </c>
      <c r="B25">
        <v>30</v>
      </c>
      <c r="C25" s="9">
        <v>8</v>
      </c>
    </row>
    <row r="26" spans="1:3" x14ac:dyDescent="0.25">
      <c r="A26">
        <v>0.4</v>
      </c>
      <c r="B26">
        <v>40</v>
      </c>
      <c r="C26" s="9">
        <v>8</v>
      </c>
    </row>
    <row r="27" spans="1:3" x14ac:dyDescent="0.25">
      <c r="A27">
        <v>0.5</v>
      </c>
      <c r="B27">
        <v>50</v>
      </c>
      <c r="C27" s="9">
        <v>8</v>
      </c>
    </row>
    <row r="28" spans="1:3" x14ac:dyDescent="0.25">
      <c r="A28">
        <v>0.6</v>
      </c>
      <c r="B28">
        <v>60</v>
      </c>
      <c r="C28">
        <v>7</v>
      </c>
    </row>
    <row r="29" spans="1:3" x14ac:dyDescent="0.25">
      <c r="A29">
        <v>0.8</v>
      </c>
      <c r="B29">
        <v>80</v>
      </c>
      <c r="C29" s="1">
        <v>7</v>
      </c>
    </row>
    <row r="30" spans="1:3" x14ac:dyDescent="0.25">
      <c r="A30">
        <v>1</v>
      </c>
      <c r="B30">
        <v>100</v>
      </c>
      <c r="C30" s="1">
        <v>6</v>
      </c>
    </row>
    <row r="31" spans="1:3" x14ac:dyDescent="0.25">
      <c r="A31">
        <v>1.5</v>
      </c>
      <c r="B31">
        <v>150</v>
      </c>
      <c r="C31" s="1">
        <v>5</v>
      </c>
    </row>
    <row r="32" spans="1:3" x14ac:dyDescent="0.25">
      <c r="A32">
        <v>2</v>
      </c>
      <c r="B32">
        <v>200</v>
      </c>
      <c r="C32" s="1">
        <v>5</v>
      </c>
    </row>
    <row r="33" spans="1:3" x14ac:dyDescent="0.25">
      <c r="A33">
        <v>5</v>
      </c>
      <c r="B33">
        <v>500</v>
      </c>
      <c r="C33" s="1">
        <v>4</v>
      </c>
    </row>
    <row r="34" spans="1:3" x14ac:dyDescent="0.25">
      <c r="A34">
        <v>10</v>
      </c>
      <c r="B34">
        <v>1000</v>
      </c>
      <c r="C34" s="1">
        <v>3</v>
      </c>
    </row>
  </sheetData>
  <phoneticPr fontId="1" type="noConversion"/>
  <conditionalFormatting sqref="A7:AD7">
    <cfRule type="expression" dxfId="0" priority="1">
      <formula>A$7&gt;A$1</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电力</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2024-07-09T14:44:04Z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