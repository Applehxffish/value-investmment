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001Xiaofeng\value-investment-backup\估值分析\SW1L公用事业\"/>
    </mc:Choice>
  </mc:AlternateContent>
  <bookViews>
    <workbookView xWindow="0" yWindow="0" windowWidth="3800" windowHeight="2950"/>
  </bookViews>
  <sheets>
    <sheet name="燃气" sheetId="15" r:id="rId1"/>
    <sheet name="估值-增速与年化收益" sheetId="14" r:id="rId2"/>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29" i="15"/>
  <c r="C28" i="15"/>
  <c r="C26" i="15"/>
  <c r="C25" i="15"/>
  <c r="C24" i="15"/>
  <c r="C23" i="15"/>
  <c r="C22" i="15"/>
  <c r="C19" i="15"/>
  <c r="C18" i="15"/>
  <c r="C17" i="15"/>
  <c r="C16" i="15"/>
  <c r="C15" i="15"/>
  <c r="C14" i="15"/>
  <c r="C13" i="15"/>
  <c r="C12" i="15"/>
  <c r="C10" i="15"/>
  <c r="C9" i="15"/>
  <c r="C8" i="15"/>
  <c r="C7" i="15"/>
  <c r="C6" i="15"/>
  <c r="C5" i="15"/>
  <c r="C4" i="15"/>
  <c r="C3" i="15"/>
  <c r="C2" i="15"/>
</calcChain>
</file>

<file path=xl/sharedStrings.xml><?xml version="1.0" encoding="utf-8"?>
<sst xmlns="http://schemas.openxmlformats.org/spreadsheetml/2006/main" count="1692" uniqueCount="1309">
  <si>
    <t>&lt;-增速</t>
    <phoneticPr fontId="1" type="noConversion"/>
  </si>
  <si>
    <t>&lt;-估值</t>
    <phoneticPr fontId="1" type="noConversion"/>
  </si>
  <si>
    <t>&lt;-折合年化收益</t>
    <phoneticPr fontId="1" type="noConversion"/>
  </si>
  <si>
    <t>现价</t>
  </si>
  <si>
    <t>市净率</t>
  </si>
  <si>
    <t>国新能源</t>
  </si>
  <si>
    <t>贵州燃气</t>
  </si>
  <si>
    <t>东方环宇</t>
  </si>
  <si>
    <t>大众公用</t>
  </si>
  <si>
    <t>重庆燃气</t>
  </si>
  <si>
    <t>胜利股份</t>
  </si>
  <si>
    <t>皖天然气</t>
  </si>
  <si>
    <t>陕天然气</t>
  </si>
  <si>
    <t>南京公用</t>
  </si>
  <si>
    <t>深圳燃气</t>
  </si>
  <si>
    <t>百川能源</t>
  </si>
  <si>
    <t>长春燃气</t>
  </si>
  <si>
    <t>预期多</t>
    <phoneticPr fontId="1" type="noConversion"/>
  </si>
  <si>
    <t>预期空</t>
    <phoneticPr fontId="1" type="noConversion"/>
  </si>
  <si>
    <t>已知和基本信息</t>
    <phoneticPr fontId="1" type="noConversion"/>
  </si>
  <si>
    <t>代码</t>
  </si>
  <si>
    <t>总市值</t>
  </si>
  <si>
    <t>TTM市盈率</t>
  </si>
  <si>
    <t>所属行业</t>
  </si>
  <si>
    <t>负债合计</t>
  </si>
  <si>
    <t>所有者权益合计</t>
  </si>
  <si>
    <t>主营业务收入</t>
  </si>
  <si>
    <t>净利润增长率</t>
  </si>
  <si>
    <t>总股本</t>
  </si>
  <si>
    <t>财务费用</t>
  </si>
  <si>
    <t>投资收益</t>
  </si>
  <si>
    <t>应收账款</t>
  </si>
  <si>
    <t>SZ000407</t>
  </si>
  <si>
    <t>53.48亿</t>
  </si>
  <si>
    <t>1.33亿</t>
  </si>
  <si>
    <t>--</t>
  </si>
  <si>
    <t>3.48亿</t>
  </si>
  <si>
    <t>1.43亿</t>
  </si>
  <si>
    <t>SZ000421</t>
  </si>
  <si>
    <t>35.94亿</t>
  </si>
  <si>
    <t>1.01亿</t>
  </si>
  <si>
    <t>2.09亿</t>
  </si>
  <si>
    <t>SZ000593</t>
  </si>
  <si>
    <t>10.38亿</t>
  </si>
  <si>
    <t>4130.31万</t>
  </si>
  <si>
    <t>4.14亿</t>
  </si>
  <si>
    <t>SZ000669</t>
  </si>
  <si>
    <t>37.28亿</t>
  </si>
  <si>
    <t>-13.14亿</t>
  </si>
  <si>
    <t>-1.86亿</t>
  </si>
  <si>
    <t>SZ002259</t>
  </si>
  <si>
    <t>11.06亿</t>
  </si>
  <si>
    <t>-12.47亿</t>
  </si>
  <si>
    <t>SZ002267</t>
  </si>
  <si>
    <t>SZ002700</t>
  </si>
  <si>
    <t>ST浩源</t>
  </si>
  <si>
    <t>5.19亿</t>
  </si>
  <si>
    <t>7013.82万</t>
  </si>
  <si>
    <t>1.37亿</t>
  </si>
  <si>
    <t>SZ002911</t>
  </si>
  <si>
    <t>佛燃能源</t>
  </si>
  <si>
    <t>64.27亿</t>
  </si>
  <si>
    <t>4.12亿</t>
  </si>
  <si>
    <t>3.26亿</t>
  </si>
  <si>
    <t>SZ300435</t>
  </si>
  <si>
    <t>中泰股份</t>
  </si>
  <si>
    <t>10.34亿</t>
  </si>
  <si>
    <t>7743.56万</t>
  </si>
  <si>
    <t>3.91亿</t>
  </si>
  <si>
    <t>1.05亿</t>
  </si>
  <si>
    <t>3.57亿</t>
  </si>
  <si>
    <t>2.00亿</t>
  </si>
  <si>
    <t>2.16亿</t>
  </si>
  <si>
    <t>10.06亿</t>
  </si>
  <si>
    <t>5.15亿</t>
  </si>
  <si>
    <t>SH600333</t>
  </si>
  <si>
    <t>17.33亿</t>
  </si>
  <si>
    <t>958.28万</t>
  </si>
  <si>
    <t>4.89亿</t>
  </si>
  <si>
    <t>1.02亿</t>
  </si>
  <si>
    <t>SH600617</t>
  </si>
  <si>
    <t>4.19亿</t>
  </si>
  <si>
    <t>SH600635</t>
  </si>
  <si>
    <t>5.26亿</t>
  </si>
  <si>
    <t>SH600681</t>
  </si>
  <si>
    <t>48.82亿</t>
  </si>
  <si>
    <t>7.28亿</t>
  </si>
  <si>
    <t>2.97亿</t>
  </si>
  <si>
    <t>19.78亿</t>
  </si>
  <si>
    <t>5.07亿</t>
  </si>
  <si>
    <t>SH600903</t>
  </si>
  <si>
    <t>40.83亿</t>
  </si>
  <si>
    <t>1.91亿</t>
  </si>
  <si>
    <t>1.03亿</t>
  </si>
  <si>
    <t>1.49亿</t>
  </si>
  <si>
    <t>SH600917</t>
  </si>
  <si>
    <t>70.33亿</t>
  </si>
  <si>
    <t>4.02亿</t>
  </si>
  <si>
    <t>SH601139</t>
  </si>
  <si>
    <t>140.25亿</t>
  </si>
  <si>
    <t>10.58亿</t>
  </si>
  <si>
    <t>1.74亿</t>
  </si>
  <si>
    <t>SH603053</t>
  </si>
  <si>
    <t>48.19亿</t>
  </si>
  <si>
    <t>4.51亿</t>
  </si>
  <si>
    <t>SH603080</t>
  </si>
  <si>
    <t>5.74亿</t>
  </si>
  <si>
    <t>8703.36万</t>
  </si>
  <si>
    <t>SH603689</t>
  </si>
  <si>
    <t>41.71亿</t>
  </si>
  <si>
    <t>2.24亿</t>
  </si>
  <si>
    <t>SH603706</t>
  </si>
  <si>
    <t>7.64亿</t>
  </si>
  <si>
    <t>4.52亿</t>
  </si>
  <si>
    <t>1.13亿</t>
  </si>
  <si>
    <t>1.59亿</t>
  </si>
  <si>
    <t>1.76亿</t>
  </si>
  <si>
    <t>4.69亿</t>
  </si>
  <si>
    <t>流动资产</t>
  </si>
  <si>
    <t>营业收入[20191231]</t>
  </si>
  <si>
    <t>营业收入[20181231]</t>
  </si>
  <si>
    <t>营业收入[20171231]</t>
  </si>
  <si>
    <t>营业收入[20161231]</t>
  </si>
  <si>
    <t>净利润[20191231]</t>
  </si>
  <si>
    <t>净利润[20181231]</t>
  </si>
  <si>
    <t>净利润[20171231]</t>
  </si>
  <si>
    <t>净利润[20161231]</t>
  </si>
  <si>
    <t>投入资本回报率roic%[20191231]</t>
  </si>
  <si>
    <t>净资产收益率%[20191231]</t>
  </si>
  <si>
    <t>销售毛利率%[20191231]</t>
  </si>
  <si>
    <t>销售净利率%[20191231]</t>
  </si>
  <si>
    <t>45.96亿</t>
  </si>
  <si>
    <t>1.42亿</t>
  </si>
  <si>
    <t>4.56亿</t>
  </si>
  <si>
    <t>46.76亿</t>
  </si>
  <si>
    <t>68.40亿</t>
  </si>
  <si>
    <t>2.25亿</t>
  </si>
  <si>
    <t>-1.20亿</t>
  </si>
  <si>
    <t>35.08亿</t>
  </si>
  <si>
    <t>12.75亿</t>
  </si>
  <si>
    <t>3492.27万</t>
  </si>
  <si>
    <t>6.31亿</t>
  </si>
  <si>
    <t>4.74亿</t>
  </si>
  <si>
    <t>4.21亿</t>
  </si>
  <si>
    <t>23.04亿</t>
  </si>
  <si>
    <t>1651.89万</t>
  </si>
  <si>
    <t>44.29亿</t>
  </si>
  <si>
    <t>-15.86亿</t>
  </si>
  <si>
    <t>2.40亿</t>
  </si>
  <si>
    <t>9.59亿</t>
  </si>
  <si>
    <t>9.60亿</t>
  </si>
  <si>
    <t>-1.78亿</t>
  </si>
  <si>
    <t>81.96亿</t>
  </si>
  <si>
    <t>97.49亿</t>
  </si>
  <si>
    <t>89.93亿</t>
  </si>
  <si>
    <t>3.99亿</t>
  </si>
  <si>
    <t>-2.01亿</t>
  </si>
  <si>
    <t>6975.77万</t>
  </si>
  <si>
    <t>50.94亿</t>
  </si>
  <si>
    <t>3.62亿</t>
  </si>
  <si>
    <t>1.56亿</t>
  </si>
  <si>
    <t>3.24亿</t>
  </si>
  <si>
    <t>1.60亿</t>
  </si>
  <si>
    <t>1.96亿</t>
  </si>
  <si>
    <t>5.95亿</t>
  </si>
  <si>
    <t>6763.56万</t>
  </si>
  <si>
    <t>1.10亿</t>
  </si>
  <si>
    <t>3.33亿</t>
  </si>
  <si>
    <t>1.72亿</t>
  </si>
  <si>
    <t>15.62亿</t>
  </si>
  <si>
    <t>1642.91万</t>
  </si>
  <si>
    <t>15.68亿</t>
  </si>
  <si>
    <t>-7000.12万</t>
  </si>
  <si>
    <t>109.02亿</t>
  </si>
  <si>
    <t>111.39亿</t>
  </si>
  <si>
    <t>3463.67万</t>
  </si>
  <si>
    <t>4574.04万</t>
  </si>
  <si>
    <t>54.60亿</t>
  </si>
  <si>
    <t>49.42亿</t>
  </si>
  <si>
    <t>4.78亿</t>
  </si>
  <si>
    <t>42.96亿</t>
  </si>
  <si>
    <t>47.53亿</t>
  </si>
  <si>
    <t>15.07亿</t>
  </si>
  <si>
    <t>SH600803</t>
  </si>
  <si>
    <t>新奥股份</t>
  </si>
  <si>
    <t>880.99亿</t>
  </si>
  <si>
    <t>21.07亿</t>
  </si>
  <si>
    <t>886.52亿</t>
  </si>
  <si>
    <t>136.32亿</t>
  </si>
  <si>
    <t>29.06亿</t>
  </si>
  <si>
    <t>13.21亿</t>
  </si>
  <si>
    <t>42.44亿</t>
  </si>
  <si>
    <t>2.06亿</t>
  </si>
  <si>
    <t>36.06亿</t>
  </si>
  <si>
    <t>27.79亿</t>
  </si>
  <si>
    <t>68.21亿</t>
  </si>
  <si>
    <t>3.76亿</t>
  </si>
  <si>
    <t>3.89亿</t>
  </si>
  <si>
    <t>63.72亿</t>
  </si>
  <si>
    <t>3.63亿</t>
  </si>
  <si>
    <t>150.15亿</t>
  </si>
  <si>
    <t>127.41亿</t>
  </si>
  <si>
    <t>10.31亿</t>
  </si>
  <si>
    <t>1.09亿</t>
  </si>
  <si>
    <t>41.68亿</t>
  </si>
  <si>
    <t>4.27亿</t>
  </si>
  <si>
    <t>6.77亿</t>
  </si>
  <si>
    <t>7414.52万</t>
  </si>
  <si>
    <t>9205.26万</t>
  </si>
  <si>
    <t>47.64亿</t>
  </si>
  <si>
    <t>32.41亿</t>
  </si>
  <si>
    <t>1.24亿</t>
  </si>
  <si>
    <t>8.05亿</t>
  </si>
  <si>
    <t>9387.99万</t>
  </si>
  <si>
    <t>SH605090</t>
  </si>
  <si>
    <t>九丰能源</t>
  </si>
  <si>
    <t>89.14亿</t>
  </si>
  <si>
    <t>7.68亿</t>
  </si>
  <si>
    <t>100.21亿</t>
  </si>
  <si>
    <t>114.94亿</t>
  </si>
  <si>
    <t>3.67亿</t>
  </si>
  <si>
    <t>SH605169</t>
  </si>
  <si>
    <t>洪通燃气</t>
  </si>
  <si>
    <t>7.97亿</t>
  </si>
  <si>
    <t>8.93亿</t>
  </si>
  <si>
    <t>SH605368</t>
  </si>
  <si>
    <t>蓝天燃气</t>
  </si>
  <si>
    <t>35.52亿</t>
  </si>
  <si>
    <t>1.41亿</t>
  </si>
  <si>
    <t>36.33亿</t>
  </si>
  <si>
    <t>32.06亿</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</si>
  <si>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</si>
  <si>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</si>
  <si>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</si>
  <si>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</si>
  <si>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</si>
  <si>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</si>
  <si>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</si>
  <si>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</si>
  <si>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</si>
  <si>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</si>
  <si>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</si>
  <si>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</si>
  <si>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</si>
  <si>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管道燃气 82.28亿 54.80%（毛利27.60%）
燃气工程及材料 26.34亿 17.54%（毛利32.60%）
石油气批发 15.02亿 10.00%（毛利1.68%）
天然气批发 12.61亿 8.40%（毛利23.96%）
热电业务 6.12亿 4.08%（毛利9.81%）
瓶装石油气 4.35亿 2.90%（毛利38.35%）
智慧服务及其他 2.99亿 1.99%（毛利55.09%）
综合能源-其他业务 4450.35万 0.30%（毛利49.96%）</t>
    <phoneticPr fontId="1" type="noConversion"/>
  </si>
  <si>
    <t>1.以 2020 年进口量计算，公司是
我国第四大 LPG 进口商，是华南地区第一大 LPG 进口商。LNG 方面，公司是华南地区 LNG 流通市场的重要供应商</t>
    <phoneticPr fontId="1" type="noConversion"/>
  </si>
  <si>
    <t>天然气销售 51.77亿 75.89%（毛利-0.05%）
天然气安装 14.91亿 21.86%（毛利53.53%)
其他 1.17亿 1.71%（毛利11.04%）
其他业务 3595.61万 0.53%（毛利71.81%）</t>
    <phoneticPr fontId="1" type="noConversion"/>
  </si>
  <si>
    <t>1.LNG 运输船为行业的核心资产，购建自有 LNG运输船有利于掌握行业稀缺资源，加强对 LNG 运输环节的自
主性与控制力，也符合行业龙头企业的发展路径。同时通过租赁 LNG 运输船对公司运力进行灵活补充和调配，满足公司日常业务运输需求。目前公司自有与租赁的运输船共 7 艘，在建 2 艘，可以全球投入运营，对市场拥有一定的把握度</t>
    <phoneticPr fontId="1" type="noConversion"/>
  </si>
  <si>
    <t>销售毛利率%[20201231]</t>
  </si>
  <si>
    <t>销售净利率%[20201231]</t>
  </si>
  <si>
    <t>燃气</t>
  </si>
  <si>
    <t>ST金鸿</t>
  </si>
  <si>
    <t>ST升达</t>
  </si>
  <si>
    <t>2.69亿</t>
  </si>
  <si>
    <t>SZ300332</t>
  </si>
  <si>
    <t>16.94亿</t>
  </si>
  <si>
    <t>5581.33万</t>
  </si>
  <si>
    <t>18.07亿</t>
  </si>
  <si>
    <t>19.74亿</t>
  </si>
  <si>
    <t>4716.86万</t>
  </si>
  <si>
    <t>8439.55万</t>
  </si>
  <si>
    <t>SH603318</t>
  </si>
  <si>
    <t>水发燃气</t>
  </si>
  <si>
    <t>2392.19万</t>
  </si>
  <si>
    <t>4.23亿</t>
  </si>
  <si>
    <t>438.20万</t>
  </si>
  <si>
    <t>3.83亿</t>
  </si>
  <si>
    <t>天然气销售 66.11亿 87.97%（毛利12.94%）
工程与设计 4.37亿 5.81%
综合能源 4.18亿 5.57%（毛利28.29%）
其他业务 4902.70万 0.65%（毛利23.96%）</t>
    <phoneticPr fontId="1" type="noConversion"/>
  </si>
  <si>
    <t>涨幅%</t>
  </si>
  <si>
    <t>流通股本</t>
  </si>
  <si>
    <t>净利润[20201231]</t>
  </si>
  <si>
    <t>投入资本回报率roic%[20201231]</t>
  </si>
  <si>
    <t>净资产收益率%[20201231]</t>
  </si>
  <si>
    <t>45.48亿</t>
  </si>
  <si>
    <t>35.89亿</t>
  </si>
  <si>
    <t>9865.06万</t>
  </si>
  <si>
    <t>德龙汇能</t>
  </si>
  <si>
    <t>5049.24万</t>
  </si>
  <si>
    <t>19.72亿</t>
  </si>
  <si>
    <t>-6.61亿</t>
  </si>
  <si>
    <t>15.12亿</t>
  </si>
  <si>
    <t>5020.00万</t>
  </si>
  <si>
    <t>75.63亿</t>
  </si>
  <si>
    <t>5.92亿</t>
  </si>
  <si>
    <t>-1.88亿</t>
  </si>
  <si>
    <t>135.31亿</t>
  </si>
  <si>
    <t>75.72亿</t>
  </si>
  <si>
    <t>20.52亿</t>
  </si>
  <si>
    <t>2.04亿</t>
  </si>
  <si>
    <t>24.07亿</t>
  </si>
  <si>
    <t>2.45亿</t>
  </si>
  <si>
    <t>17.97亿</t>
  </si>
  <si>
    <t>2449.26万</t>
  </si>
  <si>
    <t>126.08亿</t>
  </si>
  <si>
    <t>4536.17万</t>
  </si>
  <si>
    <t>123.24亿</t>
  </si>
  <si>
    <t>-6.91亿</t>
  </si>
  <si>
    <t>3.03亿</t>
  </si>
  <si>
    <t>1.64亿</t>
  </si>
  <si>
    <t>46.25亿</t>
  </si>
  <si>
    <t>5.37亿</t>
  </si>
  <si>
    <t>50.88亿</t>
  </si>
  <si>
    <t>78.10亿</t>
  </si>
  <si>
    <t>12.04亿</t>
  </si>
  <si>
    <t>214.15亿</t>
  </si>
  <si>
    <t>13.54亿</t>
  </si>
  <si>
    <t>43.81亿</t>
  </si>
  <si>
    <t>9.00亿</t>
  </si>
  <si>
    <t>4121.78万</t>
  </si>
  <si>
    <t>49.37亿</t>
  </si>
  <si>
    <t>9.88亿</t>
  </si>
  <si>
    <t>184.88亿</t>
  </si>
  <si>
    <t>6.20亿</t>
  </si>
  <si>
    <t>39.01亿</t>
  </si>
  <si>
    <t xml:space="preserve">    名称</t>
  </si>
  <si>
    <t>净利润?</t>
  </si>
  <si>
    <t>扣非净利润</t>
  </si>
  <si>
    <t>营业总收入[20201231]</t>
  </si>
  <si>
    <t>投入资本回报率roic%[20211231]</t>
  </si>
  <si>
    <t>净资产收益率%[20211231]</t>
  </si>
  <si>
    <t>单季营收增速</t>
  </si>
  <si>
    <t>单季利润增速</t>
  </si>
  <si>
    <t>清算价格</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</si>
  <si>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</si>
  <si>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</si>
  <si>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</si>
  <si>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</si>
  <si>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</si>
  <si>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</si>
  <si>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</si>
  <si>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</si>
  <si>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机会区域号</t>
    <phoneticPr fontId="1" type="noConversion"/>
  </si>
  <si>
    <t>5日成交换手率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</si>
  <si>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</si>
  <si>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</si>
  <si>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</si>
  <si>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</si>
  <si>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</si>
  <si>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扭亏</t>
  </si>
  <si>
    <t>-1-1</t>
  </si>
  <si>
    <t>1-1</t>
  </si>
  <si>
    <t/>
  </si>
  <si>
    <t>19.83亿</t>
  </si>
  <si>
    <t>公司是国内专注于燃气产业中游及终端领域的大型清洁能源综合服务提供商，经营产品包括液化石油气（LPG）、液化天然气（LNG）等清洁能源以及甲醇、二甲醚（DME）等化工产品，主要应用于燃气发电、工业燃料、城镇燃气、汽车燃料、化工原料等领域；
市值136亿，利润6.2亿；毛利10%，净利5.3%；2021营收增107%，利润增-19%；2022Q1营收增126%，利润增41%；过往5年营收增27%，利润增34%；
2021：
LNG 98.79亿 53.43% 42.81% 5.21%
LPG 78.07亿 42.22% 41.08% 6.33%
甲醇、二甲醚及其他 5.45亿 2.95% 5.16% 11.40%
其他业务 2.59亿 1.40% 10.95% 50.93%</t>
    <phoneticPr fontId="1" type="noConversion"/>
  </si>
  <si>
    <t>成交量[20220902]</t>
  </si>
  <si>
    <t>营业收入(同比增长率) %[20220630]</t>
  </si>
  <si>
    <t>LY营业总收入[20211231]</t>
  </si>
  <si>
    <t>净利润[20211231]</t>
  </si>
  <si>
    <t>权益乘数[20220630]</t>
  </si>
  <si>
    <t>总资产周转率[20220630]</t>
  </si>
  <si>
    <t>净利润／营业总收入%[20220630]</t>
  </si>
  <si>
    <t>营业总成本[20220630]</t>
  </si>
  <si>
    <t>营业成本[20220630]</t>
  </si>
  <si>
    <t>销售费用[20220630]</t>
  </si>
  <si>
    <t>管理费用[20220630]</t>
  </si>
  <si>
    <t>研发费用总额[20220630]</t>
  </si>
  <si>
    <t>其他收入[20220630]</t>
  </si>
  <si>
    <t>货币资金[20220630]</t>
  </si>
  <si>
    <t>应收票据[20220630]</t>
  </si>
  <si>
    <t>固定资产[20220630]</t>
  </si>
  <si>
    <t>在建工程[20220630]</t>
  </si>
  <si>
    <t>短期借款[20220630]</t>
  </si>
  <si>
    <t>应付票据[20220630]</t>
  </si>
  <si>
    <t>应付账款[20220630]</t>
  </si>
  <si>
    <t>预收款项[20220630]</t>
  </si>
  <si>
    <t>流动负债[20220630]</t>
  </si>
  <si>
    <t>长期借款[20220630]</t>
  </si>
  <si>
    <t>经营活动产生的现金流量净额[20220630]</t>
  </si>
  <si>
    <t>投资活动产生的现金流量净额[20220630]</t>
  </si>
  <si>
    <t>筹资活动产生的现金流量净额[20220630]</t>
  </si>
  <si>
    <t>CYLQ营业收入[20220331]</t>
  </si>
  <si>
    <t>LYCQ营业收入[20210630]</t>
  </si>
  <si>
    <t>LYLQ营业收入[20210331]</t>
  </si>
  <si>
    <t>CYLQ净利润[20220331]</t>
  </si>
  <si>
    <t>LYCQ净利润[20210630]</t>
  </si>
  <si>
    <t>LYLQ净利润[20210331]</t>
  </si>
  <si>
    <t>投入资本回报率roic%[20220331]</t>
  </si>
  <si>
    <t>细分行业</t>
  </si>
  <si>
    <t>销售毛利率%[20220331]</t>
  </si>
  <si>
    <t>销售净利率%[20220331]</t>
  </si>
  <si>
    <t>区间涨跌幅:前复权%[20220829-20220902]</t>
  </si>
  <si>
    <t>区间涨跌幅:前复权%[20220725-20220902]</t>
  </si>
  <si>
    <t>区间成交量[20220829-20220902]</t>
  </si>
  <si>
    <t>指数@区间成交量[20220725-20220902]</t>
  </si>
  <si>
    <t>市销率</t>
    <phoneticPr fontId="1" type="noConversion"/>
  </si>
  <si>
    <t>扣非对比净利润</t>
    <phoneticPr fontId="1" type="noConversion"/>
  </si>
  <si>
    <t>近期roe</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</si>
  <si>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</si>
  <si>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</si>
  <si>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</si>
  <si>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</si>
  <si>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</si>
  <si>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</si>
  <si>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</si>
  <si>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</si>
  <si>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</si>
  <si>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</si>
  <si>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</si>
  <si>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</si>
  <si>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</si>
  <si>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原始顺序</t>
    <phoneticPr fontId="1" type="noConversion"/>
  </si>
  <si>
    <t>策略1营收单季最佳增速</t>
    <phoneticPr fontId="1" type="noConversion"/>
  </si>
  <si>
    <t>综合策略</t>
    <phoneticPr fontId="1" type="noConversion"/>
  </si>
  <si>
    <t>30日成交换手率</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</si>
  <si>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</si>
  <si>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</si>
  <si>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</si>
  <si>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</si>
  <si>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</si>
  <si>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t>N</t>
    <phoneticPr fontId="1" type="noConversion"/>
  </si>
  <si>
    <t>6.83亿</t>
  </si>
  <si>
    <t>1.26亿</t>
  </si>
  <si>
    <t>1.75亿</t>
  </si>
  <si>
    <t>2.17亿</t>
  </si>
  <si>
    <t>1.28亿</t>
  </si>
  <si>
    <t>1.97亿</t>
  </si>
  <si>
    <t>新疆火炬</t>
  </si>
  <si>
    <t>5.08亿</t>
  </si>
  <si>
    <t>1.62亿</t>
  </si>
  <si>
    <t>SZ001331</t>
  </si>
  <si>
    <t>胜通能源</t>
  </si>
  <si>
    <t>48.81亿</t>
  </si>
  <si>
    <t>35.98亿</t>
  </si>
  <si>
    <t>30.37亿</t>
  </si>
  <si>
    <t>28.32亿</t>
  </si>
  <si>
    <t>1.12亿</t>
  </si>
  <si>
    <t>2340.02万</t>
  </si>
  <si>
    <t>3942.27万</t>
  </si>
  <si>
    <t>10派1元(含税)</t>
  </si>
  <si>
    <t>不分配不转增</t>
  </si>
  <si>
    <t>-1-0</t>
  </si>
  <si>
    <t>-1.00亿</t>
  </si>
  <si>
    <t>SZ001299</t>
  </si>
  <si>
    <t>美能能源</t>
  </si>
  <si>
    <t>4.80亿</t>
  </si>
  <si>
    <t>2.88亿</t>
  </si>
  <si>
    <t>4.63亿</t>
  </si>
  <si>
    <t>9610.48万</t>
  </si>
  <si>
    <t>8693.23万</t>
  </si>
  <si>
    <t>6018.42万</t>
  </si>
  <si>
    <t>3.87亿</t>
  </si>
  <si>
    <t>10派3元(含税)</t>
  </si>
  <si>
    <t>3.90亿</t>
  </si>
  <si>
    <t>10.57亿</t>
  </si>
  <si>
    <t>3.44亿</t>
  </si>
  <si>
    <t>5.36亿</t>
  </si>
  <si>
    <t>2.20亿</t>
  </si>
  <si>
    <t>46.45亿</t>
  </si>
  <si>
    <t>1.34亿</t>
  </si>
  <si>
    <t>3.68亿</t>
  </si>
  <si>
    <t>3.84亿</t>
  </si>
  <si>
    <t>71.13亿</t>
  </si>
  <si>
    <t>6052.98万</t>
  </si>
  <si>
    <t>2.85亿</t>
  </si>
  <si>
    <t>7.53亿</t>
  </si>
  <si>
    <t>14.69亿</t>
  </si>
  <si>
    <t>1.35亿</t>
  </si>
  <si>
    <t>6.02亿</t>
  </si>
  <si>
    <t>12.59亿</t>
  </si>
  <si>
    <t>-1.33亿</t>
  </si>
  <si>
    <t>1.85亿</t>
  </si>
  <si>
    <t>2.28亿</t>
  </si>
  <si>
    <t>5.50亿</t>
  </si>
  <si>
    <t>4.60亿</t>
  </si>
  <si>
    <t>4.25亿</t>
  </si>
  <si>
    <t>1.40亿</t>
  </si>
  <si>
    <t>51.57亿</t>
  </si>
  <si>
    <t>6000.00万</t>
  </si>
  <si>
    <t>13.18亿</t>
  </si>
  <si>
    <t>18.48亿</t>
  </si>
  <si>
    <t>-6310.54万</t>
  </si>
  <si>
    <t>6.16亿</t>
  </si>
  <si>
    <t>10.46亿</t>
  </si>
  <si>
    <t>4.50亿</t>
  </si>
  <si>
    <t>5.83亿</t>
  </si>
  <si>
    <t>0亿</t>
  </si>
  <si>
    <t>189.23亿</t>
  </si>
  <si>
    <t>6.55亿</t>
  </si>
  <si>
    <t>14.30亿</t>
  </si>
  <si>
    <t>38.42亿</t>
  </si>
  <si>
    <t>1.80亿</t>
  </si>
  <si>
    <t>3.56亿</t>
  </si>
  <si>
    <t>13.07亿</t>
  </si>
  <si>
    <t>1.32亿</t>
  </si>
  <si>
    <t>1.87亿</t>
  </si>
  <si>
    <t>32.56亿</t>
  </si>
  <si>
    <t>2.78亿</t>
  </si>
  <si>
    <t>12.83亿</t>
  </si>
  <si>
    <t>18.96亿</t>
  </si>
  <si>
    <t>15.90亿</t>
  </si>
  <si>
    <t>-1.94亿</t>
  </si>
  <si>
    <t>6.67亿</t>
  </si>
  <si>
    <t>7.61亿</t>
  </si>
  <si>
    <t>-3.33亿</t>
  </si>
  <si>
    <t>1.99亿</t>
  </si>
  <si>
    <t>54.18亿</t>
  </si>
  <si>
    <t>47.83亿</t>
  </si>
  <si>
    <t>57.68亿</t>
  </si>
  <si>
    <t>50.10亿</t>
  </si>
  <si>
    <t>10派1.5元(含税)</t>
  </si>
  <si>
    <t>58.44亿</t>
  </si>
  <si>
    <t>17.09亿</t>
  </si>
  <si>
    <t>1157.89亿</t>
  </si>
  <si>
    <t>46.32亿</t>
  </si>
  <si>
    <t>1540.44亿</t>
  </si>
  <si>
    <t>61.63亿</t>
  </si>
  <si>
    <t>2549.17万</t>
  </si>
  <si>
    <t>1.53亿</t>
  </si>
  <si>
    <t>18.00亿</t>
  </si>
  <si>
    <t>2.01亿</t>
  </si>
  <si>
    <t>3.50亿</t>
  </si>
  <si>
    <t>300.62亿</t>
  </si>
  <si>
    <t>12.22亿</t>
  </si>
  <si>
    <t>6.79亿</t>
  </si>
  <si>
    <t>10派1.3元(含税)</t>
  </si>
  <si>
    <t>48.35亿</t>
  </si>
  <si>
    <t>4.92亿</t>
  </si>
  <si>
    <t>15.00亿</t>
  </si>
  <si>
    <t>8.48亿</t>
  </si>
  <si>
    <t>9606.22万</t>
  </si>
  <si>
    <t>1.90亿</t>
  </si>
  <si>
    <t>7.78亿</t>
  </si>
  <si>
    <t>11.44亿</t>
  </si>
  <si>
    <t>10派2元(含税)</t>
  </si>
  <si>
    <t>6.72亿</t>
  </si>
  <si>
    <t>71.81亿</t>
  </si>
  <si>
    <t>239.54亿</t>
  </si>
  <si>
    <t>10.90亿</t>
  </si>
  <si>
    <t>2.05亿</t>
  </si>
  <si>
    <t>14.35亿</t>
  </si>
  <si>
    <t>1.61亿</t>
  </si>
  <si>
    <t>1.55亿</t>
  </si>
  <si>
    <t>47.54亿</t>
  </si>
  <si>
    <t>5.76亿</t>
  </si>
  <si>
    <t>422.61万</t>
  </si>
  <si>
    <t>37.03亿</t>
  </si>
  <si>
    <t>32.83亿</t>
  </si>
  <si>
    <t>12.03亿</t>
  </si>
  <si>
    <t>46.77亿</t>
  </si>
  <si>
    <t>11.67亿</t>
  </si>
  <si>
    <t>10.56亿</t>
  </si>
  <si>
    <t>5657.64万</t>
  </si>
  <si>
    <t>2631.47万</t>
  </si>
  <si>
    <t>3873321亿</t>
  </si>
  <si>
    <t>130.24万</t>
  </si>
  <si>
    <t>17518842亿</t>
  </si>
  <si>
    <t>6.44亿</t>
  </si>
  <si>
    <t>413948470亿</t>
  </si>
  <si>
    <t>1861452400亿</t>
  </si>
  <si>
    <t>1.17亿</t>
  </si>
  <si>
    <t>11.50亿</t>
  </si>
  <si>
    <t>3.97亿</t>
  </si>
  <si>
    <t>27.75亿</t>
  </si>
  <si>
    <t>-2.41亿</t>
  </si>
  <si>
    <t>-1728.87万</t>
  </si>
  <si>
    <t>12.52亿</t>
  </si>
  <si>
    <t>2271.59万</t>
  </si>
  <si>
    <t>10派0.55元(含税)</t>
  </si>
  <si>
    <t>3437.40万</t>
  </si>
  <si>
    <t>1-0</t>
  </si>
  <si>
    <t>712.90万</t>
  </si>
  <si>
    <t>118.44亿</t>
  </si>
  <si>
    <t>38.63亿</t>
  </si>
  <si>
    <t>-9027.41万</t>
  </si>
  <si>
    <t>15.25亿</t>
  </si>
  <si>
    <t>13.40亿</t>
  </si>
  <si>
    <t>4808.32万</t>
  </si>
  <si>
    <t>14564408亿</t>
  </si>
  <si>
    <t>71.93万</t>
  </si>
  <si>
    <t>4854852亿</t>
  </si>
  <si>
    <t>17.25亿</t>
  </si>
  <si>
    <t>494721630亿</t>
  </si>
  <si>
    <t>10101051500亿</t>
  </si>
  <si>
    <t>3.32亿</t>
  </si>
  <si>
    <t>15.78亿</t>
  </si>
  <si>
    <t>1105.00万</t>
  </si>
  <si>
    <t>5.41亿</t>
  </si>
  <si>
    <t>2083.73万</t>
  </si>
  <si>
    <t>98.76亿</t>
  </si>
  <si>
    <t>8.39亿</t>
  </si>
  <si>
    <t>-3.10亿</t>
  </si>
  <si>
    <t>-9479.84万</t>
  </si>
  <si>
    <t>13.66亿</t>
  </si>
  <si>
    <t>-217.48万</t>
  </si>
  <si>
    <t>4694.38万</t>
  </si>
  <si>
    <t>3.86亿</t>
  </si>
  <si>
    <t>-3-0</t>
  </si>
  <si>
    <t>294.61万</t>
  </si>
  <si>
    <t>11.57亿</t>
  </si>
  <si>
    <t>9.54亿</t>
  </si>
  <si>
    <t>4.28亿</t>
  </si>
  <si>
    <t>16.00亿</t>
  </si>
  <si>
    <t>4.08亿</t>
  </si>
  <si>
    <t>3.71亿</t>
  </si>
  <si>
    <t>875.49万</t>
  </si>
  <si>
    <t>1988.98万</t>
  </si>
  <si>
    <t>-429625亿</t>
  </si>
  <si>
    <t>73.65万</t>
  </si>
  <si>
    <t>13311762亿</t>
  </si>
  <si>
    <t>135347350亿</t>
  </si>
  <si>
    <t>572404940亿</t>
  </si>
  <si>
    <t>1.07亿</t>
  </si>
  <si>
    <t>7.58亿</t>
  </si>
  <si>
    <t>2.57亿</t>
  </si>
  <si>
    <t>2516.27万</t>
  </si>
  <si>
    <t>-1727.76万</t>
  </si>
  <si>
    <t>-9321.46万</t>
  </si>
  <si>
    <t>4824.12万</t>
  </si>
  <si>
    <t>3.85亿</t>
  </si>
  <si>
    <t>376.70万</t>
  </si>
  <si>
    <t>1901.13万</t>
  </si>
  <si>
    <t>-4-1</t>
  </si>
  <si>
    <t>228.27万</t>
  </si>
  <si>
    <t>23.41亿</t>
  </si>
  <si>
    <t>3.92亿</t>
  </si>
  <si>
    <t>12.32亿</t>
  </si>
  <si>
    <t>-2.23亿</t>
  </si>
  <si>
    <t>3.81亿</t>
  </si>
  <si>
    <t>3.40亿</t>
  </si>
  <si>
    <t>444.89万</t>
  </si>
  <si>
    <t>1542.36万</t>
  </si>
  <si>
    <t>2628300亿</t>
  </si>
  <si>
    <t>21.05万</t>
  </si>
  <si>
    <t>5016361亿</t>
  </si>
  <si>
    <t>3462.79万</t>
  </si>
  <si>
    <t>26249838亿</t>
  </si>
  <si>
    <t>379571300亿</t>
  </si>
  <si>
    <t>9196.90万</t>
  </si>
  <si>
    <t>5.27亿</t>
  </si>
  <si>
    <t>500.00万</t>
  </si>
  <si>
    <t>1.94亿</t>
  </si>
  <si>
    <t>15.30亿</t>
  </si>
  <si>
    <t>3.06亿</t>
  </si>
  <si>
    <t>9488.88万</t>
  </si>
  <si>
    <t>-2369.98万</t>
  </si>
  <si>
    <t>-7551.27万</t>
  </si>
  <si>
    <t>-976.22万</t>
  </si>
  <si>
    <t>1979.31万</t>
  </si>
  <si>
    <t>-2-1</t>
  </si>
  <si>
    <t>110.27万</t>
  </si>
  <si>
    <t>4.41亿</t>
  </si>
  <si>
    <t>13.28亿</t>
  </si>
  <si>
    <t>2.10亿</t>
  </si>
  <si>
    <t>8181.06万</t>
  </si>
  <si>
    <t>285.44万</t>
  </si>
  <si>
    <t>819.02万</t>
  </si>
  <si>
    <t>3253237亿</t>
  </si>
  <si>
    <t>19.64万</t>
  </si>
  <si>
    <t>16745771亿</t>
  </si>
  <si>
    <t>5.21亿</t>
  </si>
  <si>
    <t>14709537亿</t>
  </si>
  <si>
    <t>1073129660亿</t>
  </si>
  <si>
    <t>3926.68万</t>
  </si>
  <si>
    <t>2830.90万</t>
  </si>
  <si>
    <t>-2295.43万</t>
  </si>
  <si>
    <t>-3.86亿</t>
  </si>
  <si>
    <t>9422.28万</t>
  </si>
  <si>
    <t>2128.61万</t>
  </si>
  <si>
    <t>607.65万</t>
  </si>
  <si>
    <t>7786.57万</t>
  </si>
  <si>
    <t>106.12万</t>
  </si>
  <si>
    <t>2.26亿</t>
  </si>
  <si>
    <t>15.21亿</t>
  </si>
  <si>
    <t>11.96亿</t>
  </si>
  <si>
    <t>48.04亿</t>
  </si>
  <si>
    <t>-3954.64万</t>
  </si>
  <si>
    <t>11.73亿</t>
  </si>
  <si>
    <t>224.01万</t>
  </si>
  <si>
    <t>517.82万</t>
  </si>
  <si>
    <t>-763036亿</t>
  </si>
  <si>
    <t>35.17万</t>
  </si>
  <si>
    <t>18060102亿</t>
  </si>
  <si>
    <t>11.41亿</t>
  </si>
  <si>
    <t>49577542亿</t>
  </si>
  <si>
    <t>413.06万</t>
  </si>
  <si>
    <t>1449033500亿</t>
  </si>
  <si>
    <t>334.50万</t>
  </si>
  <si>
    <t>1300.00万</t>
  </si>
  <si>
    <t>755.78万</t>
  </si>
  <si>
    <t>6074.24万</t>
  </si>
  <si>
    <t>4234.58万</t>
  </si>
  <si>
    <t>-49.80万</t>
  </si>
  <si>
    <t>-1.30亿</t>
  </si>
  <si>
    <t>9.32亿</t>
  </si>
  <si>
    <t>379.33万</t>
  </si>
  <si>
    <t>10转2股派1元(含税)</t>
  </si>
  <si>
    <t>970.24万</t>
  </si>
  <si>
    <t>5919.82万</t>
  </si>
  <si>
    <t>107.26万</t>
  </si>
  <si>
    <t>6.37亿</t>
  </si>
  <si>
    <t>2.60亿</t>
  </si>
  <si>
    <t>1.51亿</t>
  </si>
  <si>
    <t>-110.01万</t>
  </si>
  <si>
    <t>65.33万</t>
  </si>
  <si>
    <t>661.43万</t>
  </si>
  <si>
    <t>-157603亿</t>
  </si>
  <si>
    <t>8709238亿</t>
  </si>
  <si>
    <t>2.38亿</t>
  </si>
  <si>
    <t>8708741亿</t>
  </si>
  <si>
    <t>277254160亿</t>
  </si>
  <si>
    <t>2391.66万</t>
  </si>
  <si>
    <t>1908.55万</t>
  </si>
  <si>
    <t>15.60万</t>
  </si>
  <si>
    <t>1703.67万</t>
  </si>
  <si>
    <t>-19.11万</t>
  </si>
  <si>
    <t>-16.62万</t>
  </si>
  <si>
    <t>2.11亿</t>
  </si>
  <si>
    <t>462.70万</t>
  </si>
  <si>
    <t>1194.05万</t>
  </si>
  <si>
    <t>9670.71万</t>
  </si>
  <si>
    <t>2-1</t>
  </si>
  <si>
    <t>978.10万</t>
  </si>
  <si>
    <t>59.62亿</t>
  </si>
  <si>
    <t>73.83亿</t>
  </si>
  <si>
    <t>33.14亿</t>
  </si>
  <si>
    <t>75.55亿</t>
  </si>
  <si>
    <t>5.44亿</t>
  </si>
  <si>
    <t>27.72亿</t>
  </si>
  <si>
    <t>26.77亿</t>
  </si>
  <si>
    <t>995.53万</t>
  </si>
  <si>
    <t>4485.70万</t>
  </si>
  <si>
    <t>42423604亿</t>
  </si>
  <si>
    <t>22.97万</t>
  </si>
  <si>
    <t>485673110亿</t>
  </si>
  <si>
    <t>10.30亿</t>
  </si>
  <si>
    <t>158754720亿</t>
  </si>
  <si>
    <t>148.71万</t>
  </si>
  <si>
    <t>1614930700亿</t>
  </si>
  <si>
    <t>14.32亿</t>
  </si>
  <si>
    <t>5.12亿</t>
  </si>
  <si>
    <t>9.65亿</t>
  </si>
  <si>
    <t>20.85万</t>
  </si>
  <si>
    <t>42.50亿</t>
  </si>
  <si>
    <t>-1.59亿</t>
  </si>
  <si>
    <t>-9573.83万</t>
  </si>
  <si>
    <t>85.15亿</t>
  </si>
  <si>
    <t>27.07亿</t>
  </si>
  <si>
    <t>7862.99万</t>
  </si>
  <si>
    <t>2.84亿</t>
  </si>
  <si>
    <t>0544000000</t>
  </si>
  <si>
    <t>01632000000</t>
  </si>
  <si>
    <t>03264000000</t>
  </si>
  <si>
    <t>05440000000</t>
  </si>
  <si>
    <t>010880000000</t>
  </si>
  <si>
    <t>323.47万</t>
  </si>
  <si>
    <t>8.08亿</t>
  </si>
  <si>
    <t>9911.40万</t>
  </si>
  <si>
    <t>587.00万</t>
  </si>
  <si>
    <t>618.67万</t>
  </si>
  <si>
    <t>16.18万</t>
  </si>
  <si>
    <t>17643480亿</t>
  </si>
  <si>
    <t>39900374亿</t>
  </si>
  <si>
    <t>662224240亿</t>
  </si>
  <si>
    <t>2460.71万</t>
  </si>
  <si>
    <t>4259.86万</t>
  </si>
  <si>
    <t>-884.05万</t>
  </si>
  <si>
    <t>9775.54万</t>
  </si>
  <si>
    <t>7797.71万</t>
  </si>
  <si>
    <t>1785.32万</t>
  </si>
  <si>
    <t>10派0.72元(含税)</t>
  </si>
  <si>
    <t>2384.98万</t>
  </si>
  <si>
    <t>420.57万</t>
  </si>
  <si>
    <t>101.57亿</t>
  </si>
  <si>
    <t>90.44亿</t>
  </si>
  <si>
    <t>61.59亿</t>
  </si>
  <si>
    <t>255.38亿</t>
  </si>
  <si>
    <t>8.44亿</t>
  </si>
  <si>
    <t>60.49亿</t>
  </si>
  <si>
    <t>57.82亿</t>
  </si>
  <si>
    <t>2318.30万</t>
  </si>
  <si>
    <t>38668096亿</t>
  </si>
  <si>
    <t>55.73万</t>
  </si>
  <si>
    <t>73353691亿</t>
  </si>
  <si>
    <t>27.61亿</t>
  </si>
  <si>
    <t>888546440亿</t>
  </si>
  <si>
    <t>486.13万</t>
  </si>
  <si>
    <t>7141822300亿</t>
  </si>
  <si>
    <t>10.73亿</t>
  </si>
  <si>
    <t>14.38亿</t>
  </si>
  <si>
    <t>7000.00万</t>
  </si>
  <si>
    <t>19.50亿</t>
  </si>
  <si>
    <t>74.07亿</t>
  </si>
  <si>
    <t>15.17亿</t>
  </si>
  <si>
    <t>-5.24亿</t>
  </si>
  <si>
    <t>-1.40亿</t>
  </si>
  <si>
    <t>13.39亿</t>
  </si>
  <si>
    <t>44.80亿</t>
  </si>
  <si>
    <t>7789.11万</t>
  </si>
  <si>
    <t>10转2.999149股派5.998299元(含税)</t>
  </si>
  <si>
    <t>3422.90万</t>
  </si>
  <si>
    <t>2-0</t>
  </si>
  <si>
    <t>天壕能源</t>
  </si>
  <si>
    <t>486.73万</t>
  </si>
  <si>
    <t>47.07亿</t>
  </si>
  <si>
    <t>44.44亿</t>
  </si>
  <si>
    <t>11.55亿</t>
  </si>
  <si>
    <t>45.22亿</t>
  </si>
  <si>
    <t>10.37亿</t>
  </si>
  <si>
    <t>9.67亿</t>
  </si>
  <si>
    <t>367.65万</t>
  </si>
  <si>
    <t>4105.12万</t>
  </si>
  <si>
    <t>-5696422亿</t>
  </si>
  <si>
    <t>25.07万</t>
  </si>
  <si>
    <t>75718548亿</t>
  </si>
  <si>
    <t>463168280亿</t>
  </si>
  <si>
    <t>2377.82万</t>
  </si>
  <si>
    <t>2824445800亿</t>
  </si>
  <si>
    <t>2.91亿</t>
  </si>
  <si>
    <t>5.33亿</t>
  </si>
  <si>
    <t>13.47亿</t>
  </si>
  <si>
    <t>5.80亿</t>
  </si>
  <si>
    <t>18.59万</t>
  </si>
  <si>
    <t>31.90亿</t>
  </si>
  <si>
    <t>-1168.74万</t>
  </si>
  <si>
    <t>-7718.92万</t>
  </si>
  <si>
    <t>3.66亿</t>
  </si>
  <si>
    <t>12.98亿</t>
  </si>
  <si>
    <t>10派0.56元(含税)</t>
  </si>
  <si>
    <t>2838.91万</t>
  </si>
  <si>
    <t>1.81亿</t>
  </si>
  <si>
    <t>142.42万</t>
  </si>
  <si>
    <t>22.27亿</t>
  </si>
  <si>
    <t>32.51亿</t>
  </si>
  <si>
    <t>8.16亿</t>
  </si>
  <si>
    <t>30.47亿</t>
  </si>
  <si>
    <t>7.34亿</t>
  </si>
  <si>
    <t>6.80亿</t>
  </si>
  <si>
    <t>939.67万</t>
  </si>
  <si>
    <t>2784.10万</t>
  </si>
  <si>
    <t>2935704亿</t>
  </si>
  <si>
    <t>167.33万</t>
  </si>
  <si>
    <t>67046927亿</t>
  </si>
  <si>
    <t>20.00亿</t>
  </si>
  <si>
    <t>561501180亿</t>
  </si>
  <si>
    <t>4277.50万</t>
  </si>
  <si>
    <t>3257050400亿</t>
  </si>
  <si>
    <t>8277.24万</t>
  </si>
  <si>
    <t>9.33亿</t>
  </si>
  <si>
    <t>3614.54万</t>
  </si>
  <si>
    <t>21.39亿</t>
  </si>
  <si>
    <t>1.00亿</t>
  </si>
  <si>
    <t>5287.42万</t>
  </si>
  <si>
    <t>7428.67万</t>
  </si>
  <si>
    <t>9.52亿</t>
  </si>
  <si>
    <t>6981.68万</t>
  </si>
  <si>
    <t>1131.92万</t>
  </si>
  <si>
    <t>6358.00万</t>
  </si>
  <si>
    <t>319.80万</t>
  </si>
  <si>
    <t>48.88亿</t>
  </si>
  <si>
    <t>7.56亿</t>
  </si>
  <si>
    <t>435.20亿</t>
  </si>
  <si>
    <t>2079.17万</t>
  </si>
  <si>
    <t>7.66亿</t>
  </si>
  <si>
    <t>6.23亿</t>
  </si>
  <si>
    <t>7138.38万</t>
  </si>
  <si>
    <t>4166.32万</t>
  </si>
  <si>
    <t>-217794亿</t>
  </si>
  <si>
    <t>34.39万</t>
  </si>
  <si>
    <t>-18399609亿</t>
  </si>
  <si>
    <t>2.21亿</t>
  </si>
  <si>
    <t>249843680亿</t>
  </si>
  <si>
    <t>14.94万</t>
  </si>
  <si>
    <t>1191701930亿</t>
  </si>
  <si>
    <t>13.71亿</t>
  </si>
  <si>
    <t>5.14亿</t>
  </si>
  <si>
    <t>11.40亿</t>
  </si>
  <si>
    <t>-509.66万</t>
  </si>
  <si>
    <t>-2659.50万</t>
  </si>
  <si>
    <t>-2.70亿</t>
  </si>
  <si>
    <t>-9861.84万</t>
  </si>
  <si>
    <t>23.08亿</t>
  </si>
  <si>
    <t>102.17亿</t>
  </si>
  <si>
    <t>-6772.08万</t>
  </si>
  <si>
    <t>9845.88万</t>
  </si>
  <si>
    <t>1820.86万</t>
  </si>
  <si>
    <t>1.27亿</t>
  </si>
  <si>
    <t>997.73万</t>
  </si>
  <si>
    <t>248.55亿</t>
  </si>
  <si>
    <t>42.23亿</t>
  </si>
  <si>
    <t>58.52亿</t>
  </si>
  <si>
    <t>72.14亿</t>
  </si>
  <si>
    <t>57.53亿</t>
  </si>
  <si>
    <t>53.95亿</t>
  </si>
  <si>
    <t>1222.44万</t>
  </si>
  <si>
    <t>-13393315亿</t>
  </si>
  <si>
    <t>65.61万</t>
  </si>
  <si>
    <t>38040474亿</t>
  </si>
  <si>
    <t>35.93亿</t>
  </si>
  <si>
    <t>2156538300亿</t>
  </si>
  <si>
    <t>6909673600亿</t>
  </si>
  <si>
    <t>6.81亿</t>
  </si>
  <si>
    <t>33.16亿</t>
  </si>
  <si>
    <t>14.20亿</t>
  </si>
  <si>
    <t>110.31亿</t>
  </si>
  <si>
    <t>134.83亿</t>
  </si>
  <si>
    <t>-1.44亿</t>
  </si>
  <si>
    <t>3.88亿</t>
  </si>
  <si>
    <t>155.88亿</t>
  </si>
  <si>
    <t>6559.17万</t>
  </si>
  <si>
    <t>171.98亿</t>
  </si>
  <si>
    <t>16.51亿</t>
  </si>
  <si>
    <t>7798.53万</t>
  </si>
  <si>
    <t>1.88亿</t>
  </si>
  <si>
    <t>10转4股派1.45元(含税)</t>
  </si>
  <si>
    <t>7961.55万</t>
  </si>
  <si>
    <t>0761000000</t>
  </si>
  <si>
    <t>02283000000</t>
  </si>
  <si>
    <t>04566000000</t>
  </si>
  <si>
    <t>07610000000</t>
  </si>
  <si>
    <t>015220000000</t>
  </si>
  <si>
    <t>781.20万</t>
  </si>
  <si>
    <t>130.98亿</t>
  </si>
  <si>
    <t>98.16亿</t>
  </si>
  <si>
    <t>21.67亿</t>
  </si>
  <si>
    <t>-1.69亿</t>
  </si>
  <si>
    <t>20.42亿</t>
  </si>
  <si>
    <t>18.64亿</t>
  </si>
  <si>
    <t>5800.84万</t>
  </si>
  <si>
    <t>8012.00万</t>
  </si>
  <si>
    <t>-10344666亿</t>
  </si>
  <si>
    <t>68.37万</t>
  </si>
  <si>
    <t>33499325亿</t>
  </si>
  <si>
    <t>29.58亿</t>
  </si>
  <si>
    <t>611098590亿</t>
  </si>
  <si>
    <t>167.38万</t>
  </si>
  <si>
    <t>5762057000亿</t>
  </si>
  <si>
    <t>2.12亿</t>
  </si>
  <si>
    <t>30.87亿</t>
  </si>
  <si>
    <t>14.51亿</t>
  </si>
  <si>
    <t>2746.16万</t>
  </si>
  <si>
    <t>81.81亿</t>
  </si>
  <si>
    <t>3.12亿</t>
  </si>
  <si>
    <t>1.30亿</t>
  </si>
  <si>
    <t>-2.64亿</t>
  </si>
  <si>
    <t>63.03亿</t>
  </si>
  <si>
    <t>5746.02万</t>
  </si>
  <si>
    <t>2.13亿</t>
  </si>
  <si>
    <t>485.15万</t>
  </si>
  <si>
    <t>10派0.35元(含税)</t>
  </si>
  <si>
    <t>4449.53万</t>
  </si>
  <si>
    <t>263.28万</t>
  </si>
  <si>
    <t>40.71亿</t>
  </si>
  <si>
    <t>38.97亿</t>
  </si>
  <si>
    <t>20.25亿</t>
  </si>
  <si>
    <t>65.70亿</t>
  </si>
  <si>
    <t>18.86亿</t>
  </si>
  <si>
    <t>18.17亿</t>
  </si>
  <si>
    <t>1241.53万</t>
  </si>
  <si>
    <t>3039.67万</t>
  </si>
  <si>
    <t>4658594亿</t>
  </si>
  <si>
    <t>3.00万</t>
  </si>
  <si>
    <t>88612109亿</t>
  </si>
  <si>
    <t>4.81亿</t>
  </si>
  <si>
    <t>440730280亿</t>
  </si>
  <si>
    <t>718.83万</t>
  </si>
  <si>
    <t>1456754900亿</t>
  </si>
  <si>
    <t>5652.58万</t>
  </si>
  <si>
    <t>46.38万</t>
  </si>
  <si>
    <t>10.99亿</t>
  </si>
  <si>
    <t>-5.26亿</t>
  </si>
  <si>
    <t>-1.06亿</t>
  </si>
  <si>
    <t>52.23亿</t>
  </si>
  <si>
    <t>15.96亿</t>
  </si>
  <si>
    <t>1920.76万</t>
  </si>
  <si>
    <t>570.11万</t>
  </si>
  <si>
    <t>760.37亿</t>
  </si>
  <si>
    <t>604.60亿</t>
  </si>
  <si>
    <t>342.09亿</t>
  </si>
  <si>
    <t>26.06亿</t>
  </si>
  <si>
    <t>-9324.55万</t>
  </si>
  <si>
    <t>319.54亿</t>
  </si>
  <si>
    <t>300.25亿</t>
  </si>
  <si>
    <t>10.41亿</t>
  </si>
  <si>
    <t>285060000亿</t>
  </si>
  <si>
    <t>2296.00万</t>
  </si>
  <si>
    <t>900250000亿</t>
  </si>
  <si>
    <t>170.52亿</t>
  </si>
  <si>
    <t>6067060000亿</t>
  </si>
  <si>
    <t>3.52亿</t>
  </si>
  <si>
    <t>44427880000亿</t>
  </si>
  <si>
    <t>58.81亿</t>
  </si>
  <si>
    <t>119.64亿</t>
  </si>
  <si>
    <t>5.32亿</t>
  </si>
  <si>
    <t>96.17亿</t>
  </si>
  <si>
    <t>455.10亿</t>
  </si>
  <si>
    <t>90.46亿</t>
  </si>
  <si>
    <t>-3534.00万</t>
  </si>
  <si>
    <t>-52.06亿</t>
  </si>
  <si>
    <t>34.09亿</t>
  </si>
  <si>
    <t>1437.54亿</t>
  </si>
  <si>
    <t>9.34亿</t>
  </si>
  <si>
    <t>70.91亿</t>
  </si>
  <si>
    <t>3630.64万</t>
  </si>
  <si>
    <t>10派6.6元(含税)</t>
  </si>
  <si>
    <t>3141.40万</t>
  </si>
  <si>
    <t>2.66亿</t>
  </si>
  <si>
    <t>-4-0</t>
  </si>
  <si>
    <t>284.49万</t>
  </si>
  <si>
    <t>67.33亿</t>
  </si>
  <si>
    <t>41.58亿</t>
  </si>
  <si>
    <t>20.30亿</t>
  </si>
  <si>
    <t>264.85亿</t>
  </si>
  <si>
    <t>18.83亿</t>
  </si>
  <si>
    <t>3643.27万</t>
  </si>
  <si>
    <t>8326.58万</t>
  </si>
  <si>
    <t>11368257亿</t>
  </si>
  <si>
    <t>401.97万</t>
  </si>
  <si>
    <t>98470229亿</t>
  </si>
  <si>
    <t>8.97亿</t>
  </si>
  <si>
    <t>1018437320亿</t>
  </si>
  <si>
    <t>153.89万</t>
  </si>
  <si>
    <t>2674607500亿</t>
  </si>
  <si>
    <t>9.56亿</t>
  </si>
  <si>
    <t>16.79亿</t>
  </si>
  <si>
    <t>4.67亿</t>
  </si>
  <si>
    <t>104.88万</t>
  </si>
  <si>
    <t>36.13亿</t>
  </si>
  <si>
    <t>23.74亿</t>
  </si>
  <si>
    <t>-7114.25万</t>
  </si>
  <si>
    <t>-1.32亿</t>
  </si>
  <si>
    <t>3.74亿</t>
  </si>
  <si>
    <t>60.98亿</t>
  </si>
  <si>
    <t>68.53亿</t>
  </si>
  <si>
    <t>7808.78万</t>
  </si>
  <si>
    <t>24.19亿</t>
  </si>
  <si>
    <t>10派0.36元(含税)</t>
  </si>
  <si>
    <t>1788.35万</t>
  </si>
  <si>
    <t>151.62万</t>
  </si>
  <si>
    <t>45.63亿</t>
  </si>
  <si>
    <t>57.42亿</t>
  </si>
  <si>
    <t>27.03亿</t>
  </si>
  <si>
    <t>127.62亿</t>
  </si>
  <si>
    <t>27.69亿</t>
  </si>
  <si>
    <t>26.41亿</t>
  </si>
  <si>
    <t>5154.34万</t>
  </si>
  <si>
    <t>7324.66万</t>
  </si>
  <si>
    <t>20729189亿</t>
  </si>
  <si>
    <t>510.76万</t>
  </si>
  <si>
    <t>-60342943亿</t>
  </si>
  <si>
    <t>12.43亿</t>
  </si>
  <si>
    <t>662269990亿</t>
  </si>
  <si>
    <t>2823589600亿</t>
  </si>
  <si>
    <t>9.71亿</t>
  </si>
  <si>
    <t>6.85亿</t>
  </si>
  <si>
    <t>5320.88万</t>
  </si>
  <si>
    <t>5.89亿</t>
  </si>
  <si>
    <t>33.91亿</t>
  </si>
  <si>
    <t>-1.02亿</t>
  </si>
  <si>
    <t>1392.37万</t>
  </si>
  <si>
    <t>2.93亿</t>
  </si>
  <si>
    <t>87.36亿</t>
  </si>
  <si>
    <t>4.00亿</t>
  </si>
  <si>
    <t>102.05亿</t>
  </si>
  <si>
    <t>35.70亿</t>
  </si>
  <si>
    <t>4.99亿</t>
  </si>
  <si>
    <t>11.53亿</t>
  </si>
  <si>
    <t>10派0.98元(含税)</t>
  </si>
  <si>
    <t>943.55万</t>
  </si>
  <si>
    <t>7846.89万</t>
  </si>
  <si>
    <t>699.57万</t>
  </si>
  <si>
    <t>269.98亿</t>
  </si>
  <si>
    <t>176.05亿</t>
  </si>
  <si>
    <t>68.63亿</t>
  </si>
  <si>
    <t>1191.74亿</t>
  </si>
  <si>
    <t>7.37亿</t>
  </si>
  <si>
    <t>65.06亿</t>
  </si>
  <si>
    <t>58.21亿</t>
  </si>
  <si>
    <t>3.45亿</t>
  </si>
  <si>
    <t>8298.74万</t>
  </si>
  <si>
    <t>3263458亿</t>
  </si>
  <si>
    <t>447.39万</t>
  </si>
  <si>
    <t>269393260亿</t>
  </si>
  <si>
    <t>61.69亿</t>
  </si>
  <si>
    <t>3630025400亿</t>
  </si>
  <si>
    <t>14482307000亿</t>
  </si>
  <si>
    <t>53.65亿</t>
  </si>
  <si>
    <t>36.16亿</t>
  </si>
  <si>
    <t>46.42亿</t>
  </si>
  <si>
    <t>218.68亿</t>
  </si>
  <si>
    <t>24.21亿</t>
  </si>
  <si>
    <t>-10.21亿</t>
  </si>
  <si>
    <t>12.06亿</t>
  </si>
  <si>
    <t>309.29亿</t>
  </si>
  <si>
    <t>162.52亿</t>
  </si>
  <si>
    <t>14.40亿</t>
  </si>
  <si>
    <t>6.58亿</t>
  </si>
  <si>
    <t>10派1.6元(含税)</t>
  </si>
  <si>
    <t>4138.91万</t>
  </si>
  <si>
    <t>2.70亿</t>
  </si>
  <si>
    <t>3-1</t>
  </si>
  <si>
    <t>XD成都燃</t>
  </si>
  <si>
    <t>256.22万</t>
  </si>
  <si>
    <t>34.07亿</t>
  </si>
  <si>
    <t>49.13亿</t>
  </si>
  <si>
    <t>4.49亿</t>
  </si>
  <si>
    <t>14.92亿</t>
  </si>
  <si>
    <t>13.90亿</t>
  </si>
  <si>
    <t>6964.48万</t>
  </si>
  <si>
    <t>4739.26万</t>
  </si>
  <si>
    <t>19603008亿</t>
  </si>
  <si>
    <t>414.28万</t>
  </si>
  <si>
    <t>191461860亿</t>
  </si>
  <si>
    <t>26.03亿</t>
  </si>
  <si>
    <t>107209761亿</t>
  </si>
  <si>
    <t>3487635900亿</t>
  </si>
  <si>
    <t>2.82亿</t>
  </si>
  <si>
    <t>177.31万</t>
  </si>
  <si>
    <t>29.23亿</t>
  </si>
  <si>
    <t>52.94万</t>
  </si>
  <si>
    <t>5873.18万</t>
  </si>
  <si>
    <t>5125.02万</t>
  </si>
  <si>
    <t>-51.08万</t>
  </si>
  <si>
    <t>51.73亿</t>
  </si>
  <si>
    <t>9.70亿</t>
  </si>
  <si>
    <t>7448.01万</t>
  </si>
  <si>
    <t>1271.42万</t>
  </si>
  <si>
    <t>6666.02万</t>
  </si>
  <si>
    <t>-2-0</t>
  </si>
  <si>
    <t>110.94万</t>
  </si>
  <si>
    <t>7.86亿</t>
  </si>
  <si>
    <t>4.22亿</t>
  </si>
  <si>
    <t>19.38亿</t>
  </si>
  <si>
    <t>3.34亿</t>
  </si>
  <si>
    <t>2046.46万</t>
  </si>
  <si>
    <t>1725.14万</t>
  </si>
  <si>
    <t>2.43万</t>
  </si>
  <si>
    <t>36309768亿</t>
  </si>
  <si>
    <t>164845150亿</t>
  </si>
  <si>
    <t>519274450亿</t>
  </si>
  <si>
    <t>1.11亿</t>
  </si>
  <si>
    <t>1864.43万</t>
  </si>
  <si>
    <t>5696.31万</t>
  </si>
  <si>
    <t>4506.75万</t>
  </si>
  <si>
    <t>-354.37万</t>
  </si>
  <si>
    <t>-855.79万</t>
  </si>
  <si>
    <t>-395.49万</t>
  </si>
  <si>
    <t>10.91亿</t>
  </si>
  <si>
    <t>2134.41万</t>
  </si>
  <si>
    <t>10派4.7元(含税)</t>
  </si>
  <si>
    <t>659.30万</t>
  </si>
  <si>
    <t>5260.05万</t>
  </si>
  <si>
    <t>258.54万</t>
  </si>
  <si>
    <t>26.13亿</t>
  </si>
  <si>
    <t>19.99亿</t>
  </si>
  <si>
    <t>6.30亿</t>
  </si>
  <si>
    <t>19.08亿</t>
  </si>
  <si>
    <t>5.77亿</t>
  </si>
  <si>
    <t>226.33万</t>
  </si>
  <si>
    <t>2171.33万</t>
  </si>
  <si>
    <t>30600亿</t>
  </si>
  <si>
    <t>24351876亿</t>
  </si>
  <si>
    <t>7.12亿</t>
  </si>
  <si>
    <t>216370360亿</t>
  </si>
  <si>
    <t>2042.06万</t>
  </si>
  <si>
    <t>1345746800亿</t>
  </si>
  <si>
    <t>5306.20万</t>
  </si>
  <si>
    <t>11.61亿</t>
  </si>
  <si>
    <t>5995.66万</t>
  </si>
  <si>
    <t>18.78亿</t>
  </si>
  <si>
    <t>-3529.59万</t>
  </si>
  <si>
    <t>-2811.92万</t>
  </si>
  <si>
    <t>-8566.34万</t>
  </si>
  <si>
    <t>34.65亿</t>
  </si>
  <si>
    <t>23.97亿</t>
  </si>
  <si>
    <t>10.21亿</t>
  </si>
  <si>
    <t>5351.11万</t>
  </si>
  <si>
    <t>32.01亿</t>
  </si>
  <si>
    <t>4.06亿</t>
  </si>
  <si>
    <t>7239.50万</t>
  </si>
  <si>
    <t>3594.25万</t>
  </si>
  <si>
    <t>10派0.59元(含税)</t>
  </si>
  <si>
    <t>1512.07万</t>
  </si>
  <si>
    <t>367.88万</t>
  </si>
  <si>
    <t>34.50亿</t>
  </si>
  <si>
    <t>36.77亿</t>
  </si>
  <si>
    <t>31.51亿</t>
  </si>
  <si>
    <t>3.77亿</t>
  </si>
  <si>
    <t>13.69亿</t>
  </si>
  <si>
    <t>511.51万</t>
  </si>
  <si>
    <t>3222.90万</t>
  </si>
  <si>
    <t>14041483亿</t>
  </si>
  <si>
    <t>15.91万</t>
  </si>
  <si>
    <t>106389794亿</t>
  </si>
  <si>
    <t>8.25亿</t>
  </si>
  <si>
    <t>155435390亿</t>
  </si>
  <si>
    <t>50.00万</t>
  </si>
  <si>
    <t>1612302500亿</t>
  </si>
  <si>
    <t>5.30亿</t>
  </si>
  <si>
    <t>3.42亿</t>
  </si>
  <si>
    <t>9.90亿</t>
  </si>
  <si>
    <t>15.56亿</t>
  </si>
  <si>
    <t>-1.48亿</t>
  </si>
  <si>
    <t>5295.73万</t>
  </si>
  <si>
    <t>59.28亿</t>
  </si>
  <si>
    <t>2.55亿</t>
  </si>
  <si>
    <t>61.04亿</t>
  </si>
  <si>
    <t>7.84亿</t>
  </si>
  <si>
    <t>6267.97万</t>
  </si>
  <si>
    <t>10派3.5元(含税)</t>
  </si>
  <si>
    <t>2029.48万</t>
  </si>
  <si>
    <t>8707.57万</t>
  </si>
  <si>
    <t>114.13万</t>
  </si>
  <si>
    <t>11.52亿</t>
  </si>
  <si>
    <t>18.56亿</t>
  </si>
  <si>
    <t>4.88亿</t>
  </si>
  <si>
    <t>39.31亿</t>
  </si>
  <si>
    <t>-1.89亿</t>
  </si>
  <si>
    <t>3.94亿</t>
  </si>
  <si>
    <t>3.78亿</t>
  </si>
  <si>
    <t>971.98万</t>
  </si>
  <si>
    <t>733.27万</t>
  </si>
  <si>
    <t>4152888亿</t>
  </si>
  <si>
    <t>300.00万</t>
  </si>
  <si>
    <t>66153547亿</t>
  </si>
  <si>
    <t>2.71亿</t>
  </si>
  <si>
    <t>299221960亿</t>
  </si>
  <si>
    <t>1590140900亿</t>
  </si>
  <si>
    <t>1780.65万</t>
  </si>
  <si>
    <t>186.37万</t>
  </si>
  <si>
    <t>-3785.56万</t>
  </si>
  <si>
    <t>-959.08万</t>
  </si>
  <si>
    <t>10派9元(含税)</t>
  </si>
  <si>
    <t>697.21万</t>
  </si>
  <si>
    <t>5711.68万</t>
  </si>
  <si>
    <t>4-0</t>
  </si>
  <si>
    <t>410.39万</t>
  </si>
  <si>
    <t>62.55亿</t>
  </si>
  <si>
    <t>87.43亿</t>
  </si>
  <si>
    <t>63.33亿</t>
  </si>
  <si>
    <t>2.19亿</t>
  </si>
  <si>
    <t>58.62亿</t>
  </si>
  <si>
    <t>57.32亿</t>
  </si>
  <si>
    <t>5746.25万</t>
  </si>
  <si>
    <t>6592.53万</t>
  </si>
  <si>
    <t>20909756亿</t>
  </si>
  <si>
    <t>111.28万</t>
  </si>
  <si>
    <t>461570120亿</t>
  </si>
  <si>
    <t>54.06亿</t>
  </si>
  <si>
    <t>898796750亿</t>
  </si>
  <si>
    <t>6034.46万</t>
  </si>
  <si>
    <t>7877638800亿</t>
  </si>
  <si>
    <t>13.29亿</t>
  </si>
  <si>
    <t>9.61亿</t>
  </si>
  <si>
    <t>1230.85万</t>
  </si>
  <si>
    <t>31.43亿</t>
  </si>
  <si>
    <t>7.93亿</t>
  </si>
  <si>
    <t>-9.24亿</t>
  </si>
  <si>
    <t>265.66亿</t>
  </si>
  <si>
    <t>13.06亿</t>
  </si>
  <si>
    <t>1784.57万</t>
  </si>
  <si>
    <t>10派4元(含税)</t>
  </si>
  <si>
    <t>2250.64万</t>
  </si>
  <si>
    <t>6-0</t>
  </si>
  <si>
    <t>146.74万</t>
  </si>
  <si>
    <t>18.69亿</t>
  </si>
  <si>
    <t>4.62亿</t>
  </si>
  <si>
    <t>13.56亿</t>
  </si>
  <si>
    <t>1.21亿</t>
  </si>
  <si>
    <t>4.13亿</t>
  </si>
  <si>
    <t>2259.04万</t>
  </si>
  <si>
    <t>1934.00万</t>
  </si>
  <si>
    <t>-14954亿</t>
  </si>
  <si>
    <t>7.66万</t>
  </si>
  <si>
    <t>1993861亿</t>
  </si>
  <si>
    <t>15815071亿</t>
  </si>
  <si>
    <t>839639930亿</t>
  </si>
  <si>
    <t>8508.57万</t>
  </si>
  <si>
    <t>765.65万</t>
  </si>
  <si>
    <t>3.80亿</t>
  </si>
  <si>
    <t>9669.40万</t>
  </si>
  <si>
    <t>-2449.29万</t>
  </si>
  <si>
    <t>-7335.14万</t>
  </si>
  <si>
    <t>-6107.80万</t>
  </si>
  <si>
    <t>3.70亿</t>
  </si>
  <si>
    <t>2322.00万</t>
  </si>
  <si>
    <t>728.37万</t>
  </si>
  <si>
    <t>8578.09万</t>
  </si>
  <si>
    <t>281.05万</t>
  </si>
  <si>
    <t>28.17亿</t>
  </si>
  <si>
    <t>41.05亿</t>
  </si>
  <si>
    <t>15.82亿</t>
  </si>
  <si>
    <t>9.75亿</t>
  </si>
  <si>
    <t>13.22亿</t>
  </si>
  <si>
    <t>12.65亿</t>
  </si>
  <si>
    <t>831.81万</t>
  </si>
  <si>
    <t>3472.43万</t>
  </si>
  <si>
    <t>-2476609亿</t>
  </si>
  <si>
    <t>17.56万</t>
  </si>
  <si>
    <t>196287850亿</t>
  </si>
  <si>
    <t>198718310亿</t>
  </si>
  <si>
    <t>325.00万</t>
  </si>
  <si>
    <t>2342308500亿</t>
  </si>
  <si>
    <t>8123.25万</t>
  </si>
  <si>
    <t>585.00万</t>
  </si>
  <si>
    <t>9400.00万</t>
  </si>
  <si>
    <t>5507.20万</t>
  </si>
  <si>
    <t>-4789.96万</t>
  </si>
  <si>
    <t>887.11万</t>
  </si>
  <si>
    <t>5.93亿</t>
  </si>
  <si>
    <t>49.47亿</t>
  </si>
  <si>
    <t>6.06亿</t>
  </si>
  <si>
    <t>2891.30万</t>
  </si>
  <si>
    <t>10派8.5元(含税)</t>
  </si>
  <si>
    <t>2083.38万</t>
  </si>
  <si>
    <t>0109000000</t>
  </si>
  <si>
    <t>0327000000</t>
  </si>
  <si>
    <t>0654000000</t>
  </si>
  <si>
    <t>01090000000</t>
  </si>
  <si>
    <t>02180000000</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</si>
</sst>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宋体"/>
      <family val="2"/>
      <charset val="134"/>
      <scheme val="minor"/>
    </font>
    <font>
      <sz val="9"/>
      <name val="宋体"/>
      <family val="2"/>
      <charset val="134"/>
      <scheme val="minor"/>
    </font>
    <font>
      <sz val="11"/>
      <color indexed="8"/>
      <name val="Calibri"/>
      <family val="2"/>
    </font>
    <font>
      <sz val="9"/>
      <color theme="1"/>
      <name val="宋体"/>
      <family val="2"/>
      <charset val="134"/>
      <scheme val="minor"/>
    </font>
    <font>
      <sz val="11"/>
      <color rgb="FFFF0000"/>
      <name val="宋体"/>
      <family val="2"/>
      <charset val="134"/>
      <scheme val="minor"/>
    </font>
    <font>
      <sz val="11"/>
      <name val="宋体"/>
      <family val="2"/>
      <charset val="134"/>
      <scheme val="minor"/>
    </font>
    <font>
      <sz val="11"/>
      <color rgb="FF000000"/>
      <name val="宋体"/>
      <family val="3"/>
      <charset val="134"/>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Fill="0" applyProtection="0"/>
  </cellStyleXfs>
  <cellXfs count="14">
    <xf numFmtId="0" fontId="0" fillId="0" borderId="0" xfId="0">
      <alignment vertical="center"/>
    </xf>
    <xf numFmtId="0" fontId="0" fillId="0" borderId="0" xfId="0" applyFill="1">
      <alignment vertical="center"/>
    </xf>
    <xf numFmtId="0" fontId="0" fillId="2" borderId="0" xfId="0" applyFill="1">
      <alignment vertical="center"/>
    </xf>
    <xf numFmtId="0" fontId="0" fillId="0" borderId="1" xfId="0" applyNumberFormat="1" applyFill="1" applyBorder="1" applyAlignment="1">
      <alignment vertical="center" wrapText="1"/>
    </xf>
    <xf numFmtId="0" fontId="0" fillId="3" borderId="1" xfId="0" applyNumberFormat="1" applyFill="1" applyBorder="1" applyAlignment="1">
      <alignment vertical="center" wrapText="1"/>
    </xf>
    <xf numFmtId="10" fontId="0" fillId="0" borderId="0" xfId="0" applyNumberFormat="1">
      <alignment vertical="center"/>
    </xf>
    <xf numFmtId="0" fontId="3" fillId="0" borderId="0" xfId="0" applyFont="1" applyAlignment="1">
      <alignment vertical="center" wrapText="1"/>
    </xf>
    <xf numFmtId="0" fontId="0" fillId="4" borderId="0" xfId="0" applyFill="1">
      <alignment vertical="center"/>
    </xf>
    <xf numFmtId="0" fontId="0" fillId="5" borderId="0" xfId="0" applyFill="1">
      <alignment vertical="center"/>
    </xf>
    <xf numFmtId="0" fontId="5" fillId="0" borderId="0" xfId="0" applyFont="1">
      <alignment vertical="center"/>
    </xf>
    <xf numFmtId="0" fontId="4" fillId="0" borderId="0" xfId="0" applyFont="1">
      <alignment vertical="center"/>
    </xf>
    <xf numFmtId="0" fontId="5" fillId="0" borderId="0" xfId="0" applyFont="1" applyFill="1">
      <alignment vertical="center"/>
    </xf>
    <xf numFmtId="14" fontId="0" fillId="0" borderId="0" xfId="0" applyNumberFormat="1">
      <alignment vertical="center"/>
    </xf>
    <xf numFmtId="0" fontId="0" fillId="0" borderId="0" xfId="0" applyNumberFormat="1">
      <alignment vertical="center"/>
    </xf>
  </cellXfs>
  <cellStyles count="2">
    <cellStyle name="常规" xfId="0" builtinId="0"/>
    <cellStyle name="常规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177800</xdr:colOff>
          <xdr:row>0</xdr:row>
          <xdr:rowOff>69850</xdr:rowOff>
        </xdr:from>
        <xdr:to>
          <xdr:col>147</xdr:col>
          <xdr:colOff>1295400</xdr:colOff>
          <xdr:row>0</xdr:row>
          <xdr:rowOff>381000</xdr:rowOff>
        </xdr:to>
        <xdr:sp macro="" textlink="">
          <xdr:nvSpPr>
            <xdr:cNvPr id="2050" name="Button 2" descr="更新基本面按钮&#10;"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50"/>
  <sheetViews>
    <sheetView tabSelected="1" zoomScale="85" zoomScaleNormal="85" workbookViewId="0">
      <pane xSplit="5" ySplit="1" topLeftCell="F2" activePane="bottomRight" state="frozen"/>
      <selection pane="topRight" activeCell="F1" sqref="F1"/>
      <selection pane="bottomLeft" activeCell="A2" sqref="A2"/>
      <selection pane="bottomRight" activeCell="D29" sqref="D29:EP29"/>
    </sheetView>
  </sheetViews>
  <sheetFormatPr defaultRowHeight="14" x14ac:dyDescent="0.25"/>
  <cols>
    <col min="1" max="1" width="27.54296875" customWidth="1"/>
    <col min="2" max="2" width="32.90625" customWidth="1"/>
    <col min="3" max="3" width="45.36328125" customWidth="1"/>
    <col min="148" max="148" width="22.81640625" customWidth="1"/>
  </cols>
  <sheetData>
    <row r="1" spans="1:146" ht="36.5" customHeight="1" x14ac:dyDescent="0.25">
      <c r="A1" s="3" t="s">
        <v>17</v>
      </c>
      <c r="B1" s="4" t="s">
        <v>18</v>
      </c>
      <c r="C1" s="3" t="s">
        <v>19</v>
      </c>
      <c r="D1" t="s">
        <v>20</v>
      </c>
      <c r="E1" t="s">
        <v>314</v>
      </c>
      <c r="F1" t="s">
        <v>3</v>
      </c>
      <c r="G1" t="s">
        <v>268</v>
      </c>
      <c r="H1" t="s">
        <v>344</v>
      </c>
      <c r="I1" t="s">
        <v>21</v>
      </c>
      <c r="J1" t="s">
        <v>22</v>
      </c>
      <c r="K1" t="s">
        <v>4</v>
      </c>
      <c r="L1" t="s">
        <v>23</v>
      </c>
      <c r="M1" t="s">
        <v>24</v>
      </c>
      <c r="N1" t="s">
        <v>25</v>
      </c>
      <c r="O1" t="s">
        <v>26</v>
      </c>
      <c r="P1" t="s">
        <v>345</v>
      </c>
      <c r="Q1" t="s">
        <v>346</v>
      </c>
      <c r="R1" t="s">
        <v>315</v>
      </c>
      <c r="S1" t="s">
        <v>27</v>
      </c>
      <c r="T1" t="s">
        <v>347</v>
      </c>
      <c r="U1" t="s">
        <v>269</v>
      </c>
      <c r="V1" t="s">
        <v>28</v>
      </c>
      <c r="W1" t="s">
        <v>348</v>
      </c>
      <c r="X1" t="s">
        <v>349</v>
      </c>
      <c r="Y1" t="s">
        <v>350</v>
      </c>
      <c r="Z1" t="s">
        <v>351</v>
      </c>
      <c r="AA1" t="s">
        <v>352</v>
      </c>
      <c r="AB1" t="s">
        <v>353</v>
      </c>
      <c r="AC1" t="s">
        <v>354</v>
      </c>
      <c r="AD1" t="s">
        <v>355</v>
      </c>
      <c r="AE1" t="s">
        <v>29</v>
      </c>
      <c r="AF1" t="s">
        <v>30</v>
      </c>
      <c r="AG1" t="s">
        <v>356</v>
      </c>
      <c r="AH1" t="s">
        <v>316</v>
      </c>
      <c r="AI1" t="s">
        <v>357</v>
      </c>
      <c r="AJ1" t="s">
        <v>31</v>
      </c>
      <c r="AK1" t="s">
        <v>358</v>
      </c>
      <c r="AL1" t="s">
        <v>118</v>
      </c>
      <c r="AM1" t="s">
        <v>359</v>
      </c>
      <c r="AN1" t="s">
        <v>360</v>
      </c>
      <c r="AO1" t="s">
        <v>361</v>
      </c>
      <c r="AP1" t="s">
        <v>362</v>
      </c>
      <c r="AQ1" t="s">
        <v>363</v>
      </c>
      <c r="AR1" t="s">
        <v>364</v>
      </c>
      <c r="AS1" t="s">
        <v>365</v>
      </c>
      <c r="AT1" t="s">
        <v>366</v>
      </c>
      <c r="AU1" t="s">
        <v>367</v>
      </c>
      <c r="AV1" t="s">
        <v>368</v>
      </c>
      <c r="AW1" t="s">
        <v>369</v>
      </c>
      <c r="AX1" t="s">
        <v>317</v>
      </c>
      <c r="AY1" t="s">
        <v>119</v>
      </c>
      <c r="AZ1" t="s">
        <v>120</v>
      </c>
      <c r="BA1" t="s">
        <v>121</v>
      </c>
      <c r="BB1" t="s">
        <v>122</v>
      </c>
      <c r="BC1" t="s">
        <v>270</v>
      </c>
      <c r="BD1" t="s">
        <v>123</v>
      </c>
      <c r="BE1" t="s">
        <v>124</v>
      </c>
      <c r="BF1" t="s">
        <v>125</v>
      </c>
      <c r="BG1" t="s">
        <v>126</v>
      </c>
      <c r="BH1" t="s">
        <v>370</v>
      </c>
      <c r="BI1" t="s">
        <v>371</v>
      </c>
      <c r="BJ1" t="s">
        <v>372</v>
      </c>
      <c r="BK1" t="s">
        <v>373</v>
      </c>
      <c r="BL1" t="s">
        <v>374</v>
      </c>
      <c r="BM1" t="s">
        <v>375</v>
      </c>
      <c r="BN1" t="s">
        <v>376</v>
      </c>
      <c r="BO1" t="s">
        <v>318</v>
      </c>
      <c r="BP1" t="s">
        <v>271</v>
      </c>
      <c r="BQ1" t="s">
        <v>127</v>
      </c>
      <c r="BR1" t="s">
        <v>319</v>
      </c>
      <c r="BS1" t="s">
        <v>272</v>
      </c>
      <c r="BT1" t="s">
        <v>128</v>
      </c>
      <c r="BU1" t="s">
        <v>377</v>
      </c>
      <c r="BV1" t="s">
        <v>378</v>
      </c>
      <c r="BW1" t="s">
        <v>248</v>
      </c>
      <c r="BX1" t="s">
        <v>129</v>
      </c>
      <c r="BY1" t="s">
        <v>379</v>
      </c>
      <c r="BZ1" t="s">
        <v>249</v>
      </c>
      <c r="CA1" t="s">
        <v>130</v>
      </c>
      <c r="CB1" t="s">
        <v>380</v>
      </c>
      <c r="CC1" t="s">
        <v>381</v>
      </c>
      <c r="CD1" t="s">
        <v>382</v>
      </c>
      <c r="CE1" t="s">
        <v>383</v>
      </c>
      <c r="CF1" s="1" t="s">
        <v>320</v>
      </c>
      <c r="CG1" s="1" t="s">
        <v>321</v>
      </c>
      <c r="CH1" s="1" t="s">
        <v>231</v>
      </c>
      <c r="CI1" s="1" t="s">
        <v>232</v>
      </c>
      <c r="CJ1" s="1" t="s">
        <v>233</v>
      </c>
      <c r="CK1" s="1" t="s">
        <v>234</v>
      </c>
      <c r="CL1" s="1" t="s">
        <v>235</v>
      </c>
      <c r="CM1" s="1" t="s">
        <v>236</v>
      </c>
      <c r="CN1" s="1" t="s">
        <v>237</v>
      </c>
      <c r="CO1" s="1" t="s">
        <v>238</v>
      </c>
      <c r="CP1" s="1" t="s">
        <v>239</v>
      </c>
      <c r="CQ1" s="1" t="s">
        <v>240</v>
      </c>
      <c r="CR1" s="1" t="s">
        <v>384</v>
      </c>
      <c r="CS1" s="1" t="s">
        <v>385</v>
      </c>
      <c r="CT1" s="1" t="s">
        <v>386</v>
      </c>
      <c r="CU1" s="1" t="s">
        <v>387</v>
      </c>
      <c r="CV1" s="1" t="s">
        <v>388</v>
      </c>
      <c r="CW1" s="1" t="s">
        <v>389</v>
      </c>
      <c r="CX1">
        <v>1</v>
      </c>
      <c r="CY1" t="s">
        <v>390</v>
      </c>
      <c r="CZ1" t="s">
        <v>391</v>
      </c>
      <c r="DA1">
        <v>3</v>
      </c>
      <c r="DB1" t="s">
        <v>392</v>
      </c>
      <c r="DC1" t="s">
        <v>393</v>
      </c>
      <c r="DD1">
        <v>6</v>
      </c>
      <c r="DE1" t="s">
        <v>394</v>
      </c>
      <c r="DF1" t="s">
        <v>395</v>
      </c>
      <c r="DG1">
        <v>10</v>
      </c>
      <c r="DH1" t="s">
        <v>396</v>
      </c>
      <c r="DI1" t="s">
        <v>397</v>
      </c>
      <c r="DJ1">
        <v>20</v>
      </c>
      <c r="DK1" t="s">
        <v>398</v>
      </c>
      <c r="DL1" t="s">
        <v>241</v>
      </c>
      <c r="DM1" t="s">
        <v>242</v>
      </c>
      <c r="DN1" s="2" t="s">
        <v>243</v>
      </c>
      <c r="DO1" t="s">
        <v>399</v>
      </c>
      <c r="DP1" t="s">
        <v>322</v>
      </c>
      <c r="DQ1" s="11" t="s">
        <v>400</v>
      </c>
      <c r="DR1" s="1" t="s">
        <v>401</v>
      </c>
      <c r="DS1" s="1" t="s">
        <v>323</v>
      </c>
      <c r="DT1" t="s">
        <v>324</v>
      </c>
      <c r="DU1" t="s">
        <v>325</v>
      </c>
      <c r="DV1" t="s">
        <v>326</v>
      </c>
      <c r="DW1" t="s">
        <v>327</v>
      </c>
      <c r="DX1" t="s">
        <v>328</v>
      </c>
      <c r="DY1" t="s">
        <v>329</v>
      </c>
      <c r="DZ1" t="s">
        <v>330</v>
      </c>
      <c r="EA1" t="s">
        <v>402</v>
      </c>
      <c r="EB1" t="s">
        <v>331</v>
      </c>
      <c r="EC1" t="s">
        <v>332</v>
      </c>
      <c r="ED1" t="s">
        <v>403</v>
      </c>
      <c r="EE1" t="s">
        <v>333</v>
      </c>
      <c r="EF1" t="s">
        <v>334</v>
      </c>
      <c r="EG1" t="s">
        <v>335</v>
      </c>
      <c r="EH1" t="s">
        <v>336</v>
      </c>
      <c r="EI1" t="s">
        <v>337</v>
      </c>
      <c r="EK1" s="12" t="s">
        <v>404</v>
      </c>
      <c r="EL1" t="s">
        <v>405</v>
      </c>
      <c r="EM1" t="s">
        <v>406</v>
      </c>
      <c r="EN1" t="s">
        <v>407</v>
      </c>
      <c r="EO1" t="s">
        <v>408</v>
      </c>
      <c r="EP1" t="s">
        <v>409</v>
      </c>
    </row>
    <row r="2" spans="1:146" ht="96" x14ac:dyDescent="0.25">
      <c r="A2" s="6"/>
      <c r="B2" s="6"/>
      <c r="C2" s="6" t="str">
        <f>""&amp;CHAR(10)&amp;Basic_Fundamental_Information_Constructure(F2)&amp;CHAR(10)&amp;Basic_Fundamental_Information_Concatenate("")</f>
        <v xml:space="preserve">
市值23.410252亿, 利润1.53亿; PE15.54; 平均PE17.69; 平均PEG42.38, PB.806; ROIC4.2067%; ROE4.5667%; 股利率2.0677%; 毛利15.09%; 净利3.63%; 上一年度营收增.69%, 利润增0%; 当季营收增-3.91%, 利润增-12.17%; 过往5年营收增.42%, 利润增10.49%
Income profile:
</v>
      </c>
      <c r="D2" t="s">
        <v>32</v>
      </c>
      <c r="E2" t="s">
        <v>10</v>
      </c>
      <c r="F2">
        <v>2.66</v>
      </c>
      <c r="G2">
        <v>1.1399999999999999</v>
      </c>
      <c r="H2" t="s">
        <v>534</v>
      </c>
      <c r="I2">
        <v>2341025200</v>
      </c>
      <c r="J2">
        <v>15.54</v>
      </c>
      <c r="K2">
        <v>0.80600000000000005</v>
      </c>
      <c r="L2" t="s">
        <v>250</v>
      </c>
      <c r="M2" t="s">
        <v>535</v>
      </c>
      <c r="N2" t="s">
        <v>536</v>
      </c>
      <c r="O2" t="s">
        <v>537</v>
      </c>
      <c r="P2">
        <v>-3.91</v>
      </c>
      <c r="Q2" t="s">
        <v>538</v>
      </c>
      <c r="R2">
        <v>19950797</v>
      </c>
      <c r="S2" s="5">
        <v>-0.1217</v>
      </c>
      <c r="T2" t="s">
        <v>507</v>
      </c>
      <c r="U2">
        <v>875767410</v>
      </c>
      <c r="V2">
        <v>880084660</v>
      </c>
      <c r="W2">
        <v>2.11</v>
      </c>
      <c r="X2">
        <v>0.17</v>
      </c>
      <c r="Y2">
        <v>2.4700000000000002</v>
      </c>
      <c r="Z2" t="s">
        <v>539</v>
      </c>
      <c r="AA2" t="s">
        <v>540</v>
      </c>
      <c r="AB2" t="s">
        <v>541</v>
      </c>
      <c r="AC2" t="s">
        <v>542</v>
      </c>
      <c r="AD2" t="s">
        <v>35</v>
      </c>
      <c r="AE2">
        <v>24313657</v>
      </c>
      <c r="AF2" t="s">
        <v>543</v>
      </c>
      <c r="AG2" t="s">
        <v>544</v>
      </c>
      <c r="AH2" t="s">
        <v>545</v>
      </c>
      <c r="AI2" t="s">
        <v>546</v>
      </c>
      <c r="AJ2" t="s">
        <v>547</v>
      </c>
      <c r="AK2" t="s">
        <v>35</v>
      </c>
      <c r="AL2" t="s">
        <v>548</v>
      </c>
      <c r="AM2" t="s">
        <v>35</v>
      </c>
      <c r="AN2" t="s">
        <v>549</v>
      </c>
      <c r="AO2" t="s">
        <v>550</v>
      </c>
      <c r="AP2" t="s">
        <v>551</v>
      </c>
      <c r="AQ2" t="s">
        <v>481</v>
      </c>
      <c r="AR2" t="s">
        <v>35</v>
      </c>
      <c r="AS2" t="s">
        <v>552</v>
      </c>
      <c r="AT2" t="s">
        <v>417</v>
      </c>
      <c r="AU2" t="s">
        <v>553</v>
      </c>
      <c r="AV2" t="s">
        <v>554</v>
      </c>
      <c r="AW2" t="s">
        <v>483</v>
      </c>
      <c r="AX2" t="s">
        <v>447</v>
      </c>
      <c r="AY2" t="s">
        <v>273</v>
      </c>
      <c r="AZ2" t="s">
        <v>131</v>
      </c>
      <c r="BA2" t="s">
        <v>33</v>
      </c>
      <c r="BB2" t="s">
        <v>134</v>
      </c>
      <c r="BC2" t="s">
        <v>507</v>
      </c>
      <c r="BD2" t="s">
        <v>166</v>
      </c>
      <c r="BE2" t="s">
        <v>132</v>
      </c>
      <c r="BF2" t="s">
        <v>34</v>
      </c>
      <c r="BG2" t="s">
        <v>93</v>
      </c>
      <c r="BH2" t="s">
        <v>538</v>
      </c>
      <c r="BI2" t="s">
        <v>555</v>
      </c>
      <c r="BJ2" t="s">
        <v>447</v>
      </c>
      <c r="BK2" t="s">
        <v>507</v>
      </c>
      <c r="BL2" t="s">
        <v>556</v>
      </c>
      <c r="BM2" t="s">
        <v>507</v>
      </c>
      <c r="BN2">
        <v>4.0199999999999996</v>
      </c>
      <c r="BO2">
        <v>5.2</v>
      </c>
      <c r="BP2">
        <v>3.4</v>
      </c>
      <c r="BQ2">
        <v>3.68</v>
      </c>
      <c r="BR2">
        <v>5.68</v>
      </c>
      <c r="BS2">
        <v>4.34</v>
      </c>
      <c r="BT2" t="s">
        <v>557</v>
      </c>
      <c r="BU2" t="s">
        <v>250</v>
      </c>
      <c r="BV2">
        <v>16.03</v>
      </c>
      <c r="BW2">
        <v>14.61</v>
      </c>
      <c r="BX2">
        <v>14.63</v>
      </c>
      <c r="BY2">
        <v>4.57</v>
      </c>
      <c r="BZ2">
        <v>3.92</v>
      </c>
      <c r="CA2">
        <v>2.4</v>
      </c>
      <c r="CB2">
        <v>1.92</v>
      </c>
      <c r="CC2">
        <v>-13.07</v>
      </c>
      <c r="CD2" t="s">
        <v>558</v>
      </c>
      <c r="CE2" t="s">
        <v>509</v>
      </c>
      <c r="CF2" s="7">
        <v>-3.9137380191693293E-2</v>
      </c>
      <c r="CG2" s="8">
        <v>-0.12172544341188331</v>
      </c>
      <c r="CH2" s="7">
        <v>6.8891276605427265E-3</v>
      </c>
      <c r="CI2" s="7">
        <v>2.1328156813979149E-2</v>
      </c>
      <c r="CJ2" s="7">
        <v>-1.0443864390254021E-2</v>
      </c>
      <c r="CK2" s="7">
        <v>-0.14061331748962402</v>
      </c>
      <c r="CL2" s="7">
        <v>0.14371258020401001</v>
      </c>
      <c r="CM2" s="8">
        <v>0</v>
      </c>
      <c r="CN2" s="8">
        <v>0.3909091055393219</v>
      </c>
      <c r="CO2" s="8">
        <v>-0.22535210847854614</v>
      </c>
      <c r="CP2" s="8">
        <v>6.7669175565242767E-2</v>
      </c>
      <c r="CQ2" s="8">
        <v>0.29126214981079102</v>
      </c>
      <c r="CR2">
        <v>17.690366750629725</v>
      </c>
      <c r="CS2">
        <v>42.376839913867336</v>
      </c>
      <c r="CT2">
        <v>2.0676691729323311</v>
      </c>
      <c r="CU2" s="7">
        <v>4.1745365597307682E-3</v>
      </c>
      <c r="CV2" s="8">
        <v>0.1048976644873619</v>
      </c>
      <c r="CW2">
        <v>0.06</v>
      </c>
      <c r="CX2">
        <v>19.049149947374332</v>
      </c>
      <c r="CY2">
        <v>144942173.67324415</v>
      </c>
      <c r="CZ2">
        <v>4.1745365597307682E-3</v>
      </c>
      <c r="DA2">
        <v>6.6989180440050076</v>
      </c>
      <c r="DB2">
        <v>412159871.46922857</v>
      </c>
      <c r="DC2">
        <v>3.9658097317442293E-3</v>
      </c>
      <c r="DD2">
        <v>3.6252500030274075</v>
      </c>
      <c r="DE2">
        <v>761609598.70196462</v>
      </c>
      <c r="DF2">
        <v>3.6735921725630761E-3</v>
      </c>
      <c r="DG2">
        <v>2.4110415987747564</v>
      </c>
      <c r="DH2">
        <v>1145158673.912179</v>
      </c>
      <c r="DI2">
        <v>3.3396292477846146E-3</v>
      </c>
      <c r="DJ2">
        <v>1.5341087232181128</v>
      </c>
      <c r="DK2">
        <v>1799758490.5248268</v>
      </c>
      <c r="DL2">
        <v>2.9221755918115377E-3</v>
      </c>
      <c r="DM2">
        <v>153000000</v>
      </c>
      <c r="DN2">
        <v>4.1745365597307682E-3</v>
      </c>
      <c r="DO2">
        <v>2761025200</v>
      </c>
      <c r="DP2">
        <v>-913547600</v>
      </c>
      <c r="DQ2">
        <v>73</v>
      </c>
      <c r="DR2">
        <v>-4.3311916751424061E-2</v>
      </c>
      <c r="DS2">
        <v>-0.22662310789924522</v>
      </c>
      <c r="DT2" s="9">
        <v>-0.44</v>
      </c>
      <c r="DU2">
        <v>0.11666666666666665</v>
      </c>
      <c r="DV2">
        <v>-0.32333333333333336</v>
      </c>
      <c r="DW2">
        <v>-2.1307</v>
      </c>
      <c r="DX2">
        <v>0.31101492537313413</v>
      </c>
      <c r="DY2">
        <v>-2.0223516507462689</v>
      </c>
      <c r="DZ2">
        <v>2505</v>
      </c>
      <c r="EA2">
        <v>-2.011394530370652</v>
      </c>
      <c r="EB2">
        <v>2</v>
      </c>
      <c r="EC2">
        <v>3.9057606117120593E-2</v>
      </c>
      <c r="ED2">
        <v>0.22838711903011691</v>
      </c>
      <c r="EE2" s="10">
        <v>1.0613999999999999</v>
      </c>
      <c r="EF2">
        <v>1.0462</v>
      </c>
      <c r="EG2">
        <v>14.171014925373134</v>
      </c>
      <c r="EH2" t="s">
        <v>559</v>
      </c>
      <c r="EI2">
        <v>0</v>
      </c>
      <c r="EJ2">
        <v>0</v>
      </c>
      <c r="EK2" s="12">
        <v>45470</v>
      </c>
      <c r="EL2" s="13">
        <v>0.38</v>
      </c>
      <c r="EM2" s="13">
        <v>-3.79</v>
      </c>
      <c r="EN2" s="13">
        <v>1.97</v>
      </c>
      <c r="EO2" s="13">
        <v>1.93</v>
      </c>
      <c r="EP2" s="13">
        <v>-1.52</v>
      </c>
    </row>
    <row r="3" spans="1:146" ht="96" x14ac:dyDescent="0.25">
      <c r="A3" s="6"/>
      <c r="B3" s="6"/>
      <c r="C3" s="6" t="str">
        <f>""&amp;CHAR(10)&amp;Basic_Fundamental_Information_Constructure(F3)&amp;CHAR(10)&amp;Basic_Fundamental_Information_Concatenate("")</f>
        <v xml:space="preserve">
市值25.779109亿, 利润-9027.41万; PE; 平均PE28.75; 平均PEG1.32, PB.946; ROIC1.65%; ROE2.13%; 股利率2.2422%; 毛利15.8667%; 净利1.2167%; 上一年度营收增-34.88%, 利润增-249.14%; 当季营收增9.81%, 利润增334.91%; 过往5年营收增21.71%, 利润增-50.11%
Income profile:
</v>
      </c>
      <c r="D3" t="s">
        <v>38</v>
      </c>
      <c r="E3" t="s">
        <v>13</v>
      </c>
      <c r="F3">
        <v>4.46</v>
      </c>
      <c r="G3">
        <v>1.59</v>
      </c>
      <c r="H3" t="s">
        <v>560</v>
      </c>
      <c r="I3">
        <v>2577910900</v>
      </c>
      <c r="K3">
        <v>0.94599999999999995</v>
      </c>
      <c r="L3" t="s">
        <v>250</v>
      </c>
      <c r="M3" t="s">
        <v>561</v>
      </c>
      <c r="N3" t="s">
        <v>562</v>
      </c>
      <c r="O3" t="s">
        <v>517</v>
      </c>
      <c r="P3">
        <v>9.7799999999999994</v>
      </c>
      <c r="Q3" t="s">
        <v>503</v>
      </c>
      <c r="R3">
        <v>5108879</v>
      </c>
      <c r="S3" s="5">
        <v>3.3490000000000002</v>
      </c>
      <c r="T3" t="s">
        <v>563</v>
      </c>
      <c r="U3">
        <v>574327730</v>
      </c>
      <c r="V3">
        <v>578006930</v>
      </c>
      <c r="W3">
        <v>4.16</v>
      </c>
      <c r="X3">
        <v>0.09</v>
      </c>
      <c r="Y3">
        <v>0.52</v>
      </c>
      <c r="Z3" t="s">
        <v>564</v>
      </c>
      <c r="AA3" t="s">
        <v>565</v>
      </c>
      <c r="AB3" t="s">
        <v>166</v>
      </c>
      <c r="AC3" t="s">
        <v>566</v>
      </c>
      <c r="AD3" t="s">
        <v>35</v>
      </c>
      <c r="AE3">
        <v>17642309</v>
      </c>
      <c r="AF3" t="s">
        <v>567</v>
      </c>
      <c r="AG3" t="s">
        <v>568</v>
      </c>
      <c r="AH3" t="s">
        <v>569</v>
      </c>
      <c r="AI3" t="s">
        <v>570</v>
      </c>
      <c r="AJ3" t="s">
        <v>571</v>
      </c>
      <c r="AK3" t="s">
        <v>35</v>
      </c>
      <c r="AL3" t="s">
        <v>572</v>
      </c>
      <c r="AM3" t="s">
        <v>35</v>
      </c>
      <c r="AN3" t="s">
        <v>573</v>
      </c>
      <c r="AO3" t="s">
        <v>574</v>
      </c>
      <c r="AP3" t="s">
        <v>575</v>
      </c>
      <c r="AQ3" t="s">
        <v>576</v>
      </c>
      <c r="AR3" t="s">
        <v>577</v>
      </c>
      <c r="AS3" t="s">
        <v>578</v>
      </c>
      <c r="AT3" t="s">
        <v>579</v>
      </c>
      <c r="AU3" t="s">
        <v>580</v>
      </c>
      <c r="AV3" t="s">
        <v>581</v>
      </c>
      <c r="AW3" t="s">
        <v>449</v>
      </c>
      <c r="AX3" t="s">
        <v>451</v>
      </c>
      <c r="AY3" t="s">
        <v>274</v>
      </c>
      <c r="AZ3" t="s">
        <v>135</v>
      </c>
      <c r="BA3" t="s">
        <v>39</v>
      </c>
      <c r="BB3" t="s">
        <v>138</v>
      </c>
      <c r="BC3" t="s">
        <v>452</v>
      </c>
      <c r="BD3" t="s">
        <v>275</v>
      </c>
      <c r="BE3" t="s">
        <v>136</v>
      </c>
      <c r="BF3" t="s">
        <v>40</v>
      </c>
      <c r="BG3" t="s">
        <v>37</v>
      </c>
      <c r="BH3" t="s">
        <v>503</v>
      </c>
      <c r="BI3" t="s">
        <v>582</v>
      </c>
      <c r="BJ3" t="s">
        <v>451</v>
      </c>
      <c r="BK3" t="s">
        <v>563</v>
      </c>
      <c r="BL3" t="s">
        <v>583</v>
      </c>
      <c r="BM3" t="s">
        <v>452</v>
      </c>
      <c r="BN3">
        <v>0.97</v>
      </c>
      <c r="BO3">
        <v>1.47</v>
      </c>
      <c r="BP3">
        <v>2.5099999999999998</v>
      </c>
      <c r="BQ3">
        <v>0.8</v>
      </c>
      <c r="BR3">
        <v>2.11</v>
      </c>
      <c r="BS3">
        <v>3.48</v>
      </c>
      <c r="BT3" t="s">
        <v>428</v>
      </c>
      <c r="BU3" t="s">
        <v>250</v>
      </c>
      <c r="BV3">
        <v>14.71</v>
      </c>
      <c r="BW3">
        <v>12.26</v>
      </c>
      <c r="BX3">
        <v>20.63</v>
      </c>
      <c r="BY3">
        <v>-2.2400000000000002</v>
      </c>
      <c r="BZ3">
        <v>1.22</v>
      </c>
      <c r="CA3">
        <v>4.67</v>
      </c>
      <c r="CB3">
        <v>0.45</v>
      </c>
      <c r="CC3">
        <v>-12.2</v>
      </c>
      <c r="CD3" t="s">
        <v>584</v>
      </c>
      <c r="CE3" t="s">
        <v>585</v>
      </c>
      <c r="CF3" s="7">
        <v>9.8096632503660325E-2</v>
      </c>
      <c r="CG3" s="8">
        <v>3.349125896634173</v>
      </c>
      <c r="CH3" s="7">
        <v>-0.34879797697067261</v>
      </c>
      <c r="CI3" s="7">
        <v>0.98188912868499756</v>
      </c>
      <c r="CJ3" s="7">
        <v>-0.47529241442680359</v>
      </c>
      <c r="CK3" s="7">
        <v>0.90317201614379883</v>
      </c>
      <c r="CL3" s="7">
        <v>2.4515356868505478E-2</v>
      </c>
      <c r="CM3" s="8">
        <v>-2.4913992881774902</v>
      </c>
      <c r="CN3" s="8">
        <v>-0.38642239570617676</v>
      </c>
      <c r="CO3" s="8">
        <v>-0.56155288219451904</v>
      </c>
      <c r="CP3" s="8">
        <v>1.2277227640151978</v>
      </c>
      <c r="CQ3" s="8">
        <v>-0.29370629787445068</v>
      </c>
      <c r="CR3">
        <v>28.754943751355952</v>
      </c>
      <c r="CS3">
        <v>1.3245191936824257</v>
      </c>
      <c r="CT3">
        <v>2.2421524663677128</v>
      </c>
      <c r="CU3" s="7">
        <v>0.21709722205996512</v>
      </c>
      <c r="CV3" s="8">
        <v>-0.50107161998748784</v>
      </c>
      <c r="CW3">
        <v>0.06</v>
      </c>
      <c r="CX3" t="e">
        <v>#VALUE!</v>
      </c>
      <c r="CY3" t="s">
        <v>338</v>
      </c>
      <c r="CZ3">
        <v>0.21709722205996512</v>
      </c>
      <c r="DA3" t="e">
        <v>#VALUE!</v>
      </c>
      <c r="DB3" t="s">
        <v>338</v>
      </c>
      <c r="DC3">
        <v>0.20624236095696685</v>
      </c>
      <c r="DD3" t="e">
        <v>#VALUE!</v>
      </c>
      <c r="DE3" t="s">
        <v>338</v>
      </c>
      <c r="DF3">
        <v>0.1910455554127693</v>
      </c>
      <c r="DG3" t="e">
        <v>#VALUE!</v>
      </c>
      <c r="DH3" t="s">
        <v>338</v>
      </c>
      <c r="DI3">
        <v>0.1736777776479721</v>
      </c>
      <c r="DJ3" t="e">
        <v>#VALUE!</v>
      </c>
      <c r="DK3" t="s">
        <v>338</v>
      </c>
      <c r="DL3">
        <v>0.15196805544197559</v>
      </c>
      <c r="DM3">
        <v>-90274100</v>
      </c>
      <c r="DN3">
        <v>0.21709722205996512</v>
      </c>
      <c r="DO3">
        <v>10558910900</v>
      </c>
      <c r="DP3">
        <v>225051500</v>
      </c>
      <c r="DQ3">
        <v>83</v>
      </c>
      <c r="DR3">
        <v>-0.1190005895563048</v>
      </c>
      <c r="DS3">
        <v>3.8501975166216607</v>
      </c>
      <c r="DT3" s="9">
        <v>-0.20666666666666669</v>
      </c>
      <c r="DU3">
        <v>-1.1200000000000001</v>
      </c>
      <c r="DV3">
        <v>-1.3266666666666669</v>
      </c>
      <c r="DW3">
        <v>-2.1219999999999999</v>
      </c>
      <c r="DX3">
        <v>0.29161606217616598</v>
      </c>
      <c r="DY3">
        <v>-2.0148371595854924</v>
      </c>
      <c r="DZ3">
        <v>3879</v>
      </c>
      <c r="EA3">
        <v>-2.0035742746476988</v>
      </c>
      <c r="EB3">
        <v>2</v>
      </c>
      <c r="EC3">
        <v>8.1216673301823555E-2</v>
      </c>
      <c r="ED3">
        <v>0.66781206239170865</v>
      </c>
      <c r="EE3" s="10">
        <v>-3.1452999999999998</v>
      </c>
      <c r="EF3">
        <v>-3.1343000000000001</v>
      </c>
      <c r="EG3">
        <v>17.121616062176166</v>
      </c>
      <c r="EH3" t="s">
        <v>586</v>
      </c>
      <c r="EI3">
        <v>0</v>
      </c>
      <c r="EJ3">
        <v>0</v>
      </c>
      <c r="EK3" s="12">
        <v>45470</v>
      </c>
      <c r="EL3" s="13">
        <v>-0.22</v>
      </c>
      <c r="EM3" s="13">
        <v>-3.56</v>
      </c>
      <c r="EN3" s="13">
        <v>2.08</v>
      </c>
      <c r="EO3" s="13">
        <v>2.71</v>
      </c>
      <c r="EP3" s="13">
        <v>-1.1000000000000001</v>
      </c>
    </row>
    <row r="4" spans="1:146" ht="96" x14ac:dyDescent="0.25">
      <c r="A4" s="6"/>
      <c r="B4" s="6"/>
      <c r="C4" s="6" t="str">
        <f>""&amp;CHAR(10)&amp;Basic_Fundamental_Information_Constructure(F4)&amp;CHAR(10)&amp;Basic_Fundamental_Information_Concatenate("")</f>
        <v xml:space="preserve">
市值16.891521亿, 利润-2.41亿; PE; 平均PE-40.21; 平均PEG-1.8, PB1.96; ROIC4.0533%; ROE4.79%; 股利率0%; 毛利15.8133%; 净利-2.46%; 上一年度营收增8.92%, 利润增-599.57%; 当季营收增11.17%, 利润增273.26%; 过往5年营收增22.39%, 利润增-90.54%
Income profile:
</v>
      </c>
      <c r="D4" t="s">
        <v>42</v>
      </c>
      <c r="E4" t="s">
        <v>276</v>
      </c>
      <c r="F4">
        <v>4.71</v>
      </c>
      <c r="G4">
        <v>1.29</v>
      </c>
      <c r="H4" t="s">
        <v>587</v>
      </c>
      <c r="I4">
        <v>1689152100</v>
      </c>
      <c r="K4">
        <v>1.96</v>
      </c>
      <c r="L4" t="s">
        <v>250</v>
      </c>
      <c r="M4" t="s">
        <v>588</v>
      </c>
      <c r="N4" t="s">
        <v>589</v>
      </c>
      <c r="O4" t="s">
        <v>590</v>
      </c>
      <c r="P4">
        <v>11.16</v>
      </c>
      <c r="Q4" t="s">
        <v>591</v>
      </c>
      <c r="R4">
        <v>14060666</v>
      </c>
      <c r="S4" s="5">
        <v>2.7330000000000001</v>
      </c>
      <c r="T4" t="s">
        <v>553</v>
      </c>
      <c r="U4">
        <v>358447370</v>
      </c>
      <c r="V4">
        <v>358631010</v>
      </c>
      <c r="W4">
        <v>2.12</v>
      </c>
      <c r="X4">
        <v>0.21</v>
      </c>
      <c r="Y4">
        <v>3.66</v>
      </c>
      <c r="Z4" t="s">
        <v>592</v>
      </c>
      <c r="AA4" t="s">
        <v>593</v>
      </c>
      <c r="AB4" t="s">
        <v>594</v>
      </c>
      <c r="AC4" t="s">
        <v>595</v>
      </c>
      <c r="AD4" t="s">
        <v>35</v>
      </c>
      <c r="AE4">
        <v>5653275</v>
      </c>
      <c r="AF4" t="s">
        <v>596</v>
      </c>
      <c r="AG4" t="s">
        <v>597</v>
      </c>
      <c r="AH4" t="s">
        <v>598</v>
      </c>
      <c r="AI4" t="s">
        <v>520</v>
      </c>
      <c r="AJ4" t="s">
        <v>599</v>
      </c>
      <c r="AK4" t="s">
        <v>35</v>
      </c>
      <c r="AL4" t="s">
        <v>600</v>
      </c>
      <c r="AM4" t="s">
        <v>35</v>
      </c>
      <c r="AN4" t="s">
        <v>601</v>
      </c>
      <c r="AO4" t="s">
        <v>528</v>
      </c>
      <c r="AP4" t="s">
        <v>35</v>
      </c>
      <c r="AQ4" t="s">
        <v>160</v>
      </c>
      <c r="AR4" t="s">
        <v>35</v>
      </c>
      <c r="AS4" t="s">
        <v>602</v>
      </c>
      <c r="AT4" t="s">
        <v>603</v>
      </c>
      <c r="AU4" t="s">
        <v>604</v>
      </c>
      <c r="AV4" t="s">
        <v>605</v>
      </c>
      <c r="AW4" t="s">
        <v>606</v>
      </c>
      <c r="AX4" t="s">
        <v>455</v>
      </c>
      <c r="AY4" t="s">
        <v>182</v>
      </c>
      <c r="AZ4" t="s">
        <v>139</v>
      </c>
      <c r="BA4" t="s">
        <v>43</v>
      </c>
      <c r="BB4" t="s">
        <v>141</v>
      </c>
      <c r="BC4" t="s">
        <v>607</v>
      </c>
      <c r="BD4" t="s">
        <v>277</v>
      </c>
      <c r="BE4" t="s">
        <v>140</v>
      </c>
      <c r="BF4" t="s">
        <v>44</v>
      </c>
      <c r="BG4" t="s">
        <v>49</v>
      </c>
      <c r="BH4" t="s">
        <v>591</v>
      </c>
      <c r="BI4" t="s">
        <v>608</v>
      </c>
      <c r="BJ4" t="s">
        <v>455</v>
      </c>
      <c r="BK4" t="s">
        <v>553</v>
      </c>
      <c r="BL4" t="s">
        <v>609</v>
      </c>
      <c r="BM4" t="s">
        <v>607</v>
      </c>
      <c r="BN4">
        <v>3.74</v>
      </c>
      <c r="BO4">
        <v>3.72</v>
      </c>
      <c r="BP4">
        <v>4.7</v>
      </c>
      <c r="BQ4">
        <v>4.9800000000000004</v>
      </c>
      <c r="BR4">
        <v>4.4800000000000004</v>
      </c>
      <c r="BS4">
        <v>4.91</v>
      </c>
      <c r="BT4" t="s">
        <v>429</v>
      </c>
      <c r="BU4" t="s">
        <v>250</v>
      </c>
      <c r="BV4">
        <v>15.51</v>
      </c>
      <c r="BW4">
        <v>14.99</v>
      </c>
      <c r="BX4">
        <v>16.940000000000001</v>
      </c>
      <c r="BY4">
        <v>-14.31</v>
      </c>
      <c r="BZ4">
        <v>3.21</v>
      </c>
      <c r="CA4">
        <v>3.72</v>
      </c>
      <c r="CB4">
        <v>1.07</v>
      </c>
      <c r="CC4">
        <v>-12.29</v>
      </c>
      <c r="CD4" t="s">
        <v>610</v>
      </c>
      <c r="CE4" t="s">
        <v>37</v>
      </c>
      <c r="CF4" s="7">
        <v>0.11168831168831168</v>
      </c>
      <c r="CG4" s="8">
        <v>2.7325898593044862</v>
      </c>
      <c r="CH4" s="7">
        <v>8.9176356792449951E-2</v>
      </c>
      <c r="CI4" s="7">
        <v>-2.5215744972229004E-2</v>
      </c>
      <c r="CJ4" s="7">
        <v>0.18196077644824982</v>
      </c>
      <c r="CK4" s="7">
        <v>0.22832375764846802</v>
      </c>
      <c r="CL4" s="7">
        <v>0.6450079083442688</v>
      </c>
      <c r="CM4" s="8">
        <v>-5.995729923248291</v>
      </c>
      <c r="CN4" s="8">
        <v>-4.4584926217794418E-2</v>
      </c>
      <c r="CO4" s="8">
        <v>0.4458332359790802</v>
      </c>
      <c r="CP4" s="8">
        <v>-0.15447750687599182</v>
      </c>
      <c r="CQ4" s="8">
        <v>1.2220597267150879</v>
      </c>
      <c r="CR4">
        <v>-40.211428634910412</v>
      </c>
      <c r="CS4">
        <v>-1.7963510790440962</v>
      </c>
      <c r="CT4">
        <v>0</v>
      </c>
      <c r="CU4" s="7">
        <v>0.22385061085224151</v>
      </c>
      <c r="CV4" s="8">
        <v>-0.90537987872958181</v>
      </c>
      <c r="CW4">
        <v>0.06</v>
      </c>
      <c r="CX4" t="e">
        <v>#VALUE!</v>
      </c>
      <c r="CY4" t="s">
        <v>338</v>
      </c>
      <c r="CZ4">
        <v>0.22385061085224151</v>
      </c>
      <c r="DA4" t="e">
        <v>#VALUE!</v>
      </c>
      <c r="DB4" t="s">
        <v>338</v>
      </c>
      <c r="DC4">
        <v>0.21265808030962943</v>
      </c>
      <c r="DD4" t="e">
        <v>#VALUE!</v>
      </c>
      <c r="DE4" t="s">
        <v>338</v>
      </c>
      <c r="DF4">
        <v>0.19698853754997253</v>
      </c>
      <c r="DG4" t="e">
        <v>#VALUE!</v>
      </c>
      <c r="DH4" t="s">
        <v>338</v>
      </c>
      <c r="DI4">
        <v>0.17908048868179322</v>
      </c>
      <c r="DJ4" t="e">
        <v>#VALUE!</v>
      </c>
      <c r="DK4" t="s">
        <v>338</v>
      </c>
      <c r="DL4">
        <v>0.15669542759656904</v>
      </c>
      <c r="DM4">
        <v>-241000000</v>
      </c>
      <c r="DN4">
        <v>0.22385061085224151</v>
      </c>
      <c r="DO4">
        <v>1892152100</v>
      </c>
      <c r="DP4">
        <v>-185595060</v>
      </c>
      <c r="DQ4">
        <v>161</v>
      </c>
      <c r="DR4">
        <v>-0.11216229916392982</v>
      </c>
      <c r="DS4">
        <v>3.6379697380340681</v>
      </c>
      <c r="DT4" s="9">
        <v>1.0000000000000011E-2</v>
      </c>
      <c r="DU4">
        <v>-0.97333333333333327</v>
      </c>
      <c r="DV4">
        <v>-0.96333333333333326</v>
      </c>
      <c r="DW4">
        <v>-2.1229</v>
      </c>
      <c r="DX4">
        <v>0.31294615384615226</v>
      </c>
      <c r="DY4">
        <v>-2.0163390823076921</v>
      </c>
      <c r="DZ4">
        <v>3525</v>
      </c>
      <c r="EA4">
        <v>-2.0050679932402526</v>
      </c>
      <c r="EB4">
        <v>2</v>
      </c>
      <c r="EC4">
        <v>5.3010753308811748E-2</v>
      </c>
      <c r="ED4">
        <v>0.39873852514873154</v>
      </c>
      <c r="EE4" s="10">
        <v>-4.0007099999999998</v>
      </c>
      <c r="EF4">
        <v>-4.0157100000000003</v>
      </c>
      <c r="EG4">
        <v>18.132946153846152</v>
      </c>
      <c r="EH4" t="s">
        <v>611</v>
      </c>
      <c r="EI4">
        <v>0</v>
      </c>
      <c r="EJ4">
        <v>0</v>
      </c>
      <c r="EK4" s="12">
        <v>45470</v>
      </c>
      <c r="EL4" s="13">
        <v>1.53</v>
      </c>
      <c r="EM4" s="13">
        <v>-4.51</v>
      </c>
      <c r="EN4" s="13">
        <v>2.02</v>
      </c>
      <c r="EO4" s="13">
        <v>2.86</v>
      </c>
      <c r="EP4" s="13">
        <v>-1.5</v>
      </c>
    </row>
    <row r="5" spans="1:146" ht="96" x14ac:dyDescent="0.25">
      <c r="A5" s="6"/>
      <c r="B5" s="6"/>
      <c r="C5" s="6" t="str">
        <f>""&amp;CHAR(10)&amp;Basic_Fundamental_Information_Constructure(F5)&amp;CHAR(10)&amp;Basic_Fundamental_Information_Concatenate("")</f>
        <v xml:space="preserve">
市值9.1174779亿, 利润-2.23亿; PE; 平均PE-1.4; 平均PEG-.07, PB3.45; ROIC0%; ROE-9.6%; 股利率0%; 毛利11.1967%; 净利-22.3467%; 上一年度营收增-2.14%, 利润增-67.67%; 当季营收增13.95%, 利润增156.86%; 过往5年营收增-21.35%, 利润增-794.17%
Income profile:
</v>
      </c>
      <c r="D5" t="s">
        <v>46</v>
      </c>
      <c r="E5" t="s">
        <v>251</v>
      </c>
      <c r="F5">
        <v>1.34</v>
      </c>
      <c r="G5">
        <v>2.29</v>
      </c>
      <c r="H5" t="s">
        <v>612</v>
      </c>
      <c r="I5">
        <v>911747790</v>
      </c>
      <c r="K5">
        <v>3.45</v>
      </c>
      <c r="L5" t="s">
        <v>250</v>
      </c>
      <c r="M5" t="s">
        <v>613</v>
      </c>
      <c r="N5" t="s">
        <v>608</v>
      </c>
      <c r="O5" t="s">
        <v>614</v>
      </c>
      <c r="P5">
        <v>14.11</v>
      </c>
      <c r="Q5" t="s">
        <v>615</v>
      </c>
      <c r="R5">
        <v>5551222</v>
      </c>
      <c r="S5" s="5">
        <v>1.569</v>
      </c>
      <c r="T5" t="s">
        <v>616</v>
      </c>
      <c r="U5">
        <v>680408800</v>
      </c>
      <c r="V5">
        <v>680408800</v>
      </c>
      <c r="W5">
        <v>7</v>
      </c>
      <c r="X5">
        <v>0.15</v>
      </c>
      <c r="Y5">
        <v>1.97</v>
      </c>
      <c r="Z5" t="s">
        <v>617</v>
      </c>
      <c r="AA5" t="s">
        <v>618</v>
      </c>
      <c r="AB5" t="s">
        <v>619</v>
      </c>
      <c r="AC5" t="s">
        <v>620</v>
      </c>
      <c r="AD5" t="s">
        <v>35</v>
      </c>
      <c r="AE5">
        <v>16005448</v>
      </c>
      <c r="AF5" t="s">
        <v>621</v>
      </c>
      <c r="AG5" t="s">
        <v>622</v>
      </c>
      <c r="AH5" t="s">
        <v>623</v>
      </c>
      <c r="AI5" t="s">
        <v>624</v>
      </c>
      <c r="AJ5" t="s">
        <v>625</v>
      </c>
      <c r="AK5" t="s">
        <v>35</v>
      </c>
      <c r="AL5" t="s">
        <v>626</v>
      </c>
      <c r="AM5" t="s">
        <v>35</v>
      </c>
      <c r="AN5" t="s">
        <v>627</v>
      </c>
      <c r="AO5" t="s">
        <v>628</v>
      </c>
      <c r="AP5" t="s">
        <v>629</v>
      </c>
      <c r="AQ5" t="s">
        <v>630</v>
      </c>
      <c r="AR5">
        <v>6000</v>
      </c>
      <c r="AS5" t="s">
        <v>631</v>
      </c>
      <c r="AT5" t="s">
        <v>632</v>
      </c>
      <c r="AU5" t="s">
        <v>633</v>
      </c>
      <c r="AV5" t="s">
        <v>634</v>
      </c>
      <c r="AW5" t="s">
        <v>635</v>
      </c>
      <c r="AX5" t="s">
        <v>458</v>
      </c>
      <c r="AY5" t="s">
        <v>278</v>
      </c>
      <c r="AZ5" t="s">
        <v>144</v>
      </c>
      <c r="BA5" t="s">
        <v>47</v>
      </c>
      <c r="BB5" t="s">
        <v>146</v>
      </c>
      <c r="BC5" t="s">
        <v>459</v>
      </c>
      <c r="BD5" t="s">
        <v>279</v>
      </c>
      <c r="BE5" t="s">
        <v>145</v>
      </c>
      <c r="BF5" t="s">
        <v>48</v>
      </c>
      <c r="BG5" t="s">
        <v>147</v>
      </c>
      <c r="BH5" t="s">
        <v>615</v>
      </c>
      <c r="BI5" t="s">
        <v>444</v>
      </c>
      <c r="BJ5" t="s">
        <v>458</v>
      </c>
      <c r="BK5" t="s">
        <v>616</v>
      </c>
      <c r="BL5" t="s">
        <v>636</v>
      </c>
      <c r="BM5" t="s">
        <v>459</v>
      </c>
      <c r="BN5" t="s">
        <v>35</v>
      </c>
      <c r="BO5" t="s">
        <v>35</v>
      </c>
      <c r="BP5" t="s">
        <v>35</v>
      </c>
      <c r="BQ5">
        <v>-3.56</v>
      </c>
      <c r="BR5">
        <v>-24.54</v>
      </c>
      <c r="BS5">
        <v>-0.7</v>
      </c>
      <c r="BT5" t="s">
        <v>429</v>
      </c>
      <c r="BU5" t="s">
        <v>250</v>
      </c>
      <c r="BV5">
        <v>9</v>
      </c>
      <c r="BW5">
        <v>10.78</v>
      </c>
      <c r="BX5">
        <v>13.81</v>
      </c>
      <c r="BY5">
        <v>-20.45</v>
      </c>
      <c r="BZ5">
        <v>-12.42</v>
      </c>
      <c r="CA5">
        <v>-34.17</v>
      </c>
      <c r="CB5">
        <v>0.75</v>
      </c>
      <c r="CC5">
        <v>-10.67</v>
      </c>
      <c r="CD5" t="s">
        <v>637</v>
      </c>
      <c r="CE5" t="s">
        <v>58</v>
      </c>
      <c r="CF5" s="7">
        <v>0.13953488372093023</v>
      </c>
      <c r="CG5" s="8">
        <v>1.5686445678228269</v>
      </c>
      <c r="CH5" s="7">
        <v>-2.1445641294121742E-2</v>
      </c>
      <c r="CI5" s="7">
        <v>-0.36156183481216431</v>
      </c>
      <c r="CJ5" s="7">
        <v>-0.1440972238779068</v>
      </c>
      <c r="CK5" s="7">
        <v>-0.38197425007820129</v>
      </c>
      <c r="CL5" s="7">
        <v>-0.15827503800392151</v>
      </c>
      <c r="CM5" s="8">
        <v>-0.67669171094894409</v>
      </c>
      <c r="CN5" s="8">
        <v>0.79878973960876465</v>
      </c>
      <c r="CO5" s="8">
        <v>-41.0147705078125</v>
      </c>
      <c r="CP5" s="8">
        <v>1.0125714540481567</v>
      </c>
      <c r="CQ5" s="8">
        <v>0.17150062322616577</v>
      </c>
      <c r="CR5">
        <v>-1.4025158947700067</v>
      </c>
      <c r="CS5">
        <v>-6.5700597479890016E-2</v>
      </c>
      <c r="CT5">
        <v>0</v>
      </c>
      <c r="CU5" s="7">
        <v>-0.21347079761326312</v>
      </c>
      <c r="CV5" s="8">
        <v>-7.9417200803756716</v>
      </c>
      <c r="CW5">
        <v>0.06</v>
      </c>
      <c r="CX5" t="e">
        <v>#VALUE!</v>
      </c>
      <c r="CY5" t="s">
        <v>338</v>
      </c>
      <c r="CZ5">
        <v>-0.21347079761326312</v>
      </c>
      <c r="DA5" t="e">
        <v>#VALUE!</v>
      </c>
      <c r="DB5" t="s">
        <v>338</v>
      </c>
      <c r="DC5">
        <v>-0.20279725773259996</v>
      </c>
      <c r="DD5" t="e">
        <v>#VALUE!</v>
      </c>
      <c r="DE5" t="s">
        <v>338</v>
      </c>
      <c r="DF5">
        <v>-0.18785430189967156</v>
      </c>
      <c r="DG5" t="e">
        <v>#VALUE!</v>
      </c>
      <c r="DH5" t="s">
        <v>338</v>
      </c>
      <c r="DI5">
        <v>-0.1707766380906105</v>
      </c>
      <c r="DJ5" t="e">
        <v>#VALUE!</v>
      </c>
      <c r="DK5" t="s">
        <v>338</v>
      </c>
      <c r="DL5">
        <v>-0.14942955832928417</v>
      </c>
      <c r="DM5">
        <v>-223000000</v>
      </c>
      <c r="DN5">
        <v>-0.21347079761326312</v>
      </c>
      <c r="DO5">
        <v>2867747790</v>
      </c>
      <c r="DP5">
        <v>-1150428700</v>
      </c>
      <c r="DQ5">
        <v>207</v>
      </c>
      <c r="DR5">
        <v>0.35300568133419336</v>
      </c>
      <c r="DS5">
        <v>9.5103646481984985</v>
      </c>
      <c r="DT5" s="9">
        <v>-0.80666666666666664</v>
      </c>
      <c r="DU5">
        <v>-1.1933333333333336</v>
      </c>
      <c r="DV5">
        <v>-2</v>
      </c>
      <c r="DW5">
        <v>-2.1067</v>
      </c>
      <c r="DX5">
        <v>0.27447518248175229</v>
      </c>
      <c r="DY5">
        <v>-2.0154155019708031</v>
      </c>
      <c r="DZ5">
        <v>4387</v>
      </c>
      <c r="EA5">
        <v>-2.0021810974412704</v>
      </c>
      <c r="EB5">
        <v>2</v>
      </c>
      <c r="EC5">
        <v>2.9090011769395106E-2</v>
      </c>
      <c r="ED5">
        <v>0.20134954162850333</v>
      </c>
      <c r="EE5" s="10">
        <v>-2.0268099999999998</v>
      </c>
      <c r="EF5">
        <v>-2.0268100000000002</v>
      </c>
      <c r="EG5">
        <v>13.144475182481752</v>
      </c>
      <c r="EH5" t="s">
        <v>638</v>
      </c>
      <c r="EI5">
        <v>0</v>
      </c>
      <c r="EJ5">
        <v>0</v>
      </c>
      <c r="EK5" s="12">
        <v>45470</v>
      </c>
      <c r="EL5" s="13">
        <v>2.13</v>
      </c>
      <c r="EM5" s="13">
        <v>-4.8600000000000003</v>
      </c>
      <c r="EN5" s="13">
        <v>-1.46</v>
      </c>
      <c r="EO5" s="13">
        <v>1.48</v>
      </c>
      <c r="EP5" s="13">
        <v>0</v>
      </c>
    </row>
    <row r="6" spans="1:146" ht="96" x14ac:dyDescent="0.25">
      <c r="C6" s="6" t="str">
        <f>""&amp;CHAR(10)&amp;Basic_Fundamental_Information_Constructure(F6)&amp;CHAR(10)&amp;Basic_Fundamental_Information_Concatenate("")</f>
        <v xml:space="preserve">
市值21.646697亿, 利润8181.06万; PE26.83; 平均PE24.96; 平均PEG2.86, PB1.63; ROIC9.2767%; ROE10.6467%; 股利率2.5997%; 毛利22.9567%; 净利17.4633%; 上一年度营收增4.73%, 利润增-13.17%; 当季营收增12.3%, 利润增-5.33%; 过往5年营收增8.72%, 利润增8.04%
Income profile:
</v>
      </c>
      <c r="D6" t="s">
        <v>432</v>
      </c>
      <c r="E6" t="s">
        <v>433</v>
      </c>
      <c r="F6">
        <v>11.54</v>
      </c>
      <c r="G6">
        <v>0.87</v>
      </c>
      <c r="H6" t="s">
        <v>639</v>
      </c>
      <c r="I6">
        <v>2164669700</v>
      </c>
      <c r="J6">
        <v>26.83</v>
      </c>
      <c r="K6">
        <v>1.63</v>
      </c>
      <c r="L6" t="s">
        <v>250</v>
      </c>
      <c r="M6" t="s">
        <v>640</v>
      </c>
      <c r="N6" t="s">
        <v>641</v>
      </c>
      <c r="O6" t="s">
        <v>642</v>
      </c>
      <c r="P6" s="5">
        <v>12.7</v>
      </c>
      <c r="Q6" t="s">
        <v>533</v>
      </c>
      <c r="R6">
        <v>20151072</v>
      </c>
      <c r="S6">
        <v>-5.33E-2</v>
      </c>
      <c r="T6" t="s">
        <v>643</v>
      </c>
      <c r="U6">
        <v>51265439</v>
      </c>
      <c r="V6">
        <v>187579700</v>
      </c>
      <c r="W6">
        <v>1.28</v>
      </c>
      <c r="X6">
        <v>0.12</v>
      </c>
      <c r="Y6">
        <v>9.51</v>
      </c>
      <c r="Z6" t="s">
        <v>630</v>
      </c>
      <c r="AA6" t="s">
        <v>460</v>
      </c>
      <c r="AB6" t="s">
        <v>644</v>
      </c>
      <c r="AC6" t="s">
        <v>645</v>
      </c>
      <c r="AD6" t="s">
        <v>35</v>
      </c>
      <c r="AE6">
        <v>-2278321</v>
      </c>
      <c r="AF6" t="s">
        <v>646</v>
      </c>
      <c r="AG6" t="s">
        <v>647</v>
      </c>
      <c r="AH6" t="s">
        <v>648</v>
      </c>
      <c r="AI6" t="s">
        <v>649</v>
      </c>
      <c r="AJ6" t="s">
        <v>650</v>
      </c>
      <c r="AK6" t="s">
        <v>35</v>
      </c>
      <c r="AL6" t="s">
        <v>651</v>
      </c>
      <c r="AM6" t="s">
        <v>35</v>
      </c>
      <c r="AN6" t="s">
        <v>652</v>
      </c>
      <c r="AO6" t="s">
        <v>35</v>
      </c>
      <c r="AP6" t="s">
        <v>35</v>
      </c>
      <c r="AQ6" t="s">
        <v>653</v>
      </c>
      <c r="AR6" t="s">
        <v>35</v>
      </c>
      <c r="AS6" t="s">
        <v>199</v>
      </c>
      <c r="AT6" t="s">
        <v>35</v>
      </c>
      <c r="AU6" t="s">
        <v>654</v>
      </c>
      <c r="AV6" t="s">
        <v>655</v>
      </c>
      <c r="AW6" t="s">
        <v>35</v>
      </c>
      <c r="AX6" t="s">
        <v>462</v>
      </c>
      <c r="AY6" t="s">
        <v>434</v>
      </c>
      <c r="AZ6" t="s">
        <v>436</v>
      </c>
      <c r="BA6" t="s">
        <v>133</v>
      </c>
      <c r="BB6" t="s">
        <v>266</v>
      </c>
      <c r="BC6" t="s">
        <v>656</v>
      </c>
      <c r="BD6" t="s">
        <v>40</v>
      </c>
      <c r="BE6" t="s">
        <v>437</v>
      </c>
      <c r="BF6" t="s">
        <v>438</v>
      </c>
      <c r="BG6" t="s">
        <v>439</v>
      </c>
      <c r="BH6" t="s">
        <v>533</v>
      </c>
      <c r="BI6" t="s">
        <v>484</v>
      </c>
      <c r="BJ6" t="s">
        <v>462</v>
      </c>
      <c r="BK6" t="s">
        <v>643</v>
      </c>
      <c r="BL6" t="s">
        <v>657</v>
      </c>
      <c r="BM6" t="s">
        <v>656</v>
      </c>
      <c r="BN6">
        <v>3.46</v>
      </c>
      <c r="BO6">
        <v>9.09</v>
      </c>
      <c r="BP6">
        <v>15.28</v>
      </c>
      <c r="BQ6">
        <v>3.95</v>
      </c>
      <c r="BR6">
        <v>11.78</v>
      </c>
      <c r="BS6">
        <v>16.21</v>
      </c>
      <c r="BT6" t="s">
        <v>441</v>
      </c>
      <c r="BU6" t="s">
        <v>250</v>
      </c>
      <c r="BV6">
        <v>19.07</v>
      </c>
      <c r="BW6">
        <v>22.69</v>
      </c>
      <c r="BX6">
        <v>27.11</v>
      </c>
      <c r="BY6">
        <v>14.15</v>
      </c>
      <c r="BZ6">
        <v>17.09</v>
      </c>
      <c r="CA6">
        <v>21.15</v>
      </c>
      <c r="CB6">
        <v>-2.2000000000000002</v>
      </c>
      <c r="CC6" s="7">
        <v>-11.64</v>
      </c>
      <c r="CD6" s="8" t="s">
        <v>658</v>
      </c>
      <c r="CE6" s="7" t="s">
        <v>659</v>
      </c>
      <c r="CF6" s="7">
        <v>0.12299465240641712</v>
      </c>
      <c r="CG6" s="7">
        <v>-5.3322496840661274E-2</v>
      </c>
      <c r="CH6" s="7">
        <v>4.7272726893424988E-2</v>
      </c>
      <c r="CI6" s="7">
        <v>0.1458333283662796</v>
      </c>
      <c r="CJ6" s="8">
        <v>3.6717060953378677E-2</v>
      </c>
      <c r="CK6" s="8">
        <v>1.5350877307355404E-2</v>
      </c>
      <c r="CL6" s="8">
        <v>0.19060052931308746</v>
      </c>
      <c r="CM6" s="8">
        <v>-0.13173244893550873</v>
      </c>
      <c r="CN6" s="8">
        <v>-6.7100986838340759E-2</v>
      </c>
      <c r="CO6">
        <v>5.0936061888933182E-2</v>
      </c>
      <c r="CP6">
        <v>0.10551308840513229</v>
      </c>
      <c r="CQ6">
        <v>0.44443732500076294</v>
      </c>
      <c r="CR6" s="7">
        <v>24.964730160054295</v>
      </c>
      <c r="CS6" s="8">
        <v>2.8644090982793964</v>
      </c>
      <c r="CT6">
        <v>2.5996533795493937</v>
      </c>
      <c r="CU6">
        <v>8.715490456670523E-2</v>
      </c>
      <c r="CV6">
        <v>8.0410607904195783E-2</v>
      </c>
      <c r="CW6">
        <v>0.06</v>
      </c>
      <c r="CX6">
        <v>15.227319268494806</v>
      </c>
      <c r="CY6">
        <v>83906410.410891414</v>
      </c>
      <c r="CZ6">
        <v>8.715490456670523E-2</v>
      </c>
      <c r="DA6">
        <v>4.9881526238215104</v>
      </c>
      <c r="DB6">
        <v>256140859.42325377</v>
      </c>
      <c r="DC6">
        <v>8.2797159338369966E-2</v>
      </c>
      <c r="DD6">
        <v>2.4634702296497215</v>
      </c>
      <c r="DE6">
        <v>518646291.97555625</v>
      </c>
      <c r="DF6">
        <v>7.6696316018700597E-2</v>
      </c>
      <c r="DG6">
        <v>1.4847300674329078</v>
      </c>
      <c r="DH6">
        <v>860540059.11598849</v>
      </c>
      <c r="DI6">
        <v>6.9723923653364189E-2</v>
      </c>
      <c r="DJ6">
        <v>0.77310112081180005</v>
      </c>
      <c r="DK6">
        <v>1652655345.6013286</v>
      </c>
      <c r="DL6">
        <v>6.1008433196693655E-2</v>
      </c>
      <c r="DM6">
        <v>81810600</v>
      </c>
      <c r="DN6">
        <v>8.715490456670523E-2</v>
      </c>
      <c r="DO6">
        <v>1277669700</v>
      </c>
      <c r="DP6">
        <v>710129660</v>
      </c>
      <c r="DQ6" s="9">
        <v>477</v>
      </c>
      <c r="DR6">
        <v>3.5839747839711888E-2</v>
      </c>
      <c r="DS6">
        <v>-0.13373310474485706</v>
      </c>
      <c r="DT6">
        <v>-0.34</v>
      </c>
      <c r="DU6">
        <v>9.9999999999999992E-2</v>
      </c>
      <c r="DV6">
        <v>-0.24000000000000005</v>
      </c>
      <c r="DW6">
        <v>-2.1164000000000001</v>
      </c>
      <c r="DX6">
        <v>0.29803821595584279</v>
      </c>
      <c r="DY6">
        <v>-2.0090836483372603</v>
      </c>
      <c r="DZ6">
        <v>2295</v>
      </c>
      <c r="EA6">
        <v>-2.0050040058844201</v>
      </c>
      <c r="EB6" s="10">
        <v>2</v>
      </c>
      <c r="EC6">
        <v>3.2394230292510331E-2</v>
      </c>
      <c r="ED6">
        <v>0.41510728506336242</v>
      </c>
      <c r="EE6">
        <v>-2.0576099999999999</v>
      </c>
      <c r="EF6">
        <v>-2.0744099999999999</v>
      </c>
      <c r="EG6">
        <v>22.078038215955843</v>
      </c>
      <c r="EH6" s="12" t="s">
        <v>638</v>
      </c>
      <c r="EI6" s="13">
        <v>0</v>
      </c>
      <c r="EJ6" s="13">
        <v>0</v>
      </c>
      <c r="EK6" s="13">
        <v>45470</v>
      </c>
      <c r="EL6" s="13">
        <v>0.09</v>
      </c>
      <c r="EM6" s="13">
        <v>-3.42</v>
      </c>
      <c r="EN6" s="13">
        <v>1.77</v>
      </c>
      <c r="EO6" s="13">
        <v>3.56</v>
      </c>
      <c r="EP6" s="13">
        <v>-1.68</v>
      </c>
    </row>
    <row r="7" spans="1:146" ht="96" x14ac:dyDescent="0.25">
      <c r="C7" s="6" t="str">
        <f>""&amp;CHAR(10)&amp;Basic_Fundamental_Information_Constructure(F7)&amp;CHAR(10)&amp;Basic_Fundamental_Information_Concatenate("")</f>
        <v xml:space="preserve">
市值21.5208亿, 利润-3954.64万; PE; 平均PE26.83; 平均PEG2.23, PB1.41; ROIC20.165%; ROE13.6333%; 股利率.7806%; 毛利2.71%; 净利2.0267%; 上一年度营收增-6.85%, 利润增-122.99%; 当季营收增28.33%, 利润增409.63%; 过往5年营收增12.04%, 利润增53.84%
Income profile:
</v>
      </c>
      <c r="D7" t="s">
        <v>419</v>
      </c>
      <c r="E7" t="s">
        <v>420</v>
      </c>
      <c r="F7">
        <v>12.81</v>
      </c>
      <c r="G7">
        <v>1.26</v>
      </c>
      <c r="H7" t="s">
        <v>660</v>
      </c>
      <c r="I7">
        <v>2152080000</v>
      </c>
      <c r="K7">
        <v>1.41</v>
      </c>
      <c r="L7" t="s">
        <v>250</v>
      </c>
      <c r="M7" t="s">
        <v>661</v>
      </c>
      <c r="N7" t="s">
        <v>662</v>
      </c>
      <c r="O7" t="s">
        <v>663</v>
      </c>
      <c r="P7" s="5">
        <v>28.3</v>
      </c>
      <c r="Q7" t="s">
        <v>664</v>
      </c>
      <c r="R7">
        <v>19331862</v>
      </c>
      <c r="S7">
        <v>4.0960000000000001</v>
      </c>
      <c r="T7" t="s">
        <v>665</v>
      </c>
      <c r="U7">
        <v>42000000</v>
      </c>
      <c r="V7">
        <v>168000000</v>
      </c>
      <c r="W7">
        <v>1.04</v>
      </c>
      <c r="X7">
        <v>0.72</v>
      </c>
      <c r="Y7">
        <v>1.62</v>
      </c>
      <c r="Z7" t="s">
        <v>666</v>
      </c>
      <c r="AA7" t="s">
        <v>666</v>
      </c>
      <c r="AB7" t="s">
        <v>667</v>
      </c>
      <c r="AC7" t="s">
        <v>668</v>
      </c>
      <c r="AD7" t="s">
        <v>35</v>
      </c>
      <c r="AE7">
        <v>-8924589</v>
      </c>
      <c r="AF7" t="s">
        <v>669</v>
      </c>
      <c r="AG7" t="s">
        <v>670</v>
      </c>
      <c r="AH7" t="s">
        <v>671</v>
      </c>
      <c r="AI7" t="s">
        <v>672</v>
      </c>
      <c r="AJ7" t="s">
        <v>673</v>
      </c>
      <c r="AK7" t="s">
        <v>674</v>
      </c>
      <c r="AL7" t="s">
        <v>675</v>
      </c>
      <c r="AM7" t="s">
        <v>35</v>
      </c>
      <c r="AN7" t="s">
        <v>676</v>
      </c>
      <c r="AO7" t="s">
        <v>35</v>
      </c>
      <c r="AP7" t="s">
        <v>677</v>
      </c>
      <c r="AQ7" t="s">
        <v>678</v>
      </c>
      <c r="AR7" t="s">
        <v>35</v>
      </c>
      <c r="AS7" t="s">
        <v>679</v>
      </c>
      <c r="AT7" t="s">
        <v>35</v>
      </c>
      <c r="AU7" t="s">
        <v>680</v>
      </c>
      <c r="AV7" t="s">
        <v>681</v>
      </c>
      <c r="AW7" t="s">
        <v>682</v>
      </c>
      <c r="AX7" t="s">
        <v>466</v>
      </c>
      <c r="AY7" t="s">
        <v>421</v>
      </c>
      <c r="AZ7" t="s">
        <v>422</v>
      </c>
      <c r="BA7" t="s">
        <v>423</v>
      </c>
      <c r="BB7" t="s">
        <v>424</v>
      </c>
      <c r="BC7" t="s">
        <v>168</v>
      </c>
      <c r="BD7" t="s">
        <v>101</v>
      </c>
      <c r="BE7" t="s">
        <v>425</v>
      </c>
      <c r="BF7" t="s">
        <v>426</v>
      </c>
      <c r="BG7" t="s">
        <v>427</v>
      </c>
      <c r="BH7" t="s">
        <v>664</v>
      </c>
      <c r="BI7" t="s">
        <v>683</v>
      </c>
      <c r="BJ7" t="s">
        <v>466</v>
      </c>
      <c r="BK7" t="s">
        <v>665</v>
      </c>
      <c r="BL7" t="s">
        <v>684</v>
      </c>
      <c r="BM7" t="s">
        <v>168</v>
      </c>
      <c r="BN7" t="s">
        <v>35</v>
      </c>
      <c r="BO7">
        <v>13.75</v>
      </c>
      <c r="BP7">
        <v>26.58</v>
      </c>
      <c r="BQ7">
        <v>-3.39</v>
      </c>
      <c r="BR7">
        <v>17.63</v>
      </c>
      <c r="BS7">
        <v>26.66</v>
      </c>
      <c r="BT7" t="s">
        <v>685</v>
      </c>
      <c r="BU7" t="s">
        <v>250</v>
      </c>
      <c r="BV7">
        <v>-0.89</v>
      </c>
      <c r="BW7">
        <v>3.94</v>
      </c>
      <c r="BX7">
        <v>5.08</v>
      </c>
      <c r="BY7">
        <v>-0.82</v>
      </c>
      <c r="BZ7">
        <v>3.34</v>
      </c>
      <c r="CA7">
        <v>3.56</v>
      </c>
      <c r="CB7">
        <v>-7.51</v>
      </c>
      <c r="CC7" s="7">
        <v>-5.67</v>
      </c>
      <c r="CD7" s="8" t="s">
        <v>686</v>
      </c>
      <c r="CE7" s="7" t="s">
        <v>687</v>
      </c>
      <c r="CF7" s="7">
        <v>0.2832618025751073</v>
      </c>
      <c r="CG7" s="7">
        <v>4.0963177180818811</v>
      </c>
      <c r="CH7" s="7">
        <v>-6.845073401927948E-2</v>
      </c>
      <c r="CI7" s="7">
        <v>5.6545842438936234E-2</v>
      </c>
      <c r="CJ7" s="8">
        <v>0.35658702254295349</v>
      </c>
      <c r="CK7" s="8">
        <v>0.18472175300121307</v>
      </c>
      <c r="CL7" s="8">
        <v>7.2386980056762695E-2</v>
      </c>
      <c r="CM7" s="8">
        <v>-1.2299209833145142</v>
      </c>
      <c r="CN7" s="8">
        <v>-1.149425283074379E-2</v>
      </c>
      <c r="CO7">
        <v>0.55357140302658081</v>
      </c>
      <c r="CP7">
        <v>3.7862839698791504</v>
      </c>
      <c r="CQ7">
        <v>-0.40642827749252319</v>
      </c>
      <c r="CR7" s="7">
        <v>26.829649899797726</v>
      </c>
      <c r="CS7" s="8">
        <v>2.2291506488273924</v>
      </c>
      <c r="CT7">
        <v>0.78064012490241996</v>
      </c>
      <c r="CU7">
        <v>0.1203581728041172</v>
      </c>
      <c r="CV7">
        <v>0.53840237185358997</v>
      </c>
      <c r="CW7">
        <v>0.06</v>
      </c>
      <c r="CX7" t="e">
        <v>#VALUE!</v>
      </c>
      <c r="CY7" t="s">
        <v>338</v>
      </c>
      <c r="CZ7">
        <v>0.1203581728041172</v>
      </c>
      <c r="DA7" t="e">
        <v>#VALUE!</v>
      </c>
      <c r="DB7" t="s">
        <v>338</v>
      </c>
      <c r="DC7">
        <v>0.11434026416391134</v>
      </c>
      <c r="DD7" t="e">
        <v>#VALUE!</v>
      </c>
      <c r="DE7" t="s">
        <v>338</v>
      </c>
      <c r="DF7">
        <v>0.10591519206762313</v>
      </c>
      <c r="DG7" t="e">
        <v>#VALUE!</v>
      </c>
      <c r="DH7" t="s">
        <v>338</v>
      </c>
      <c r="DI7">
        <v>9.6286538243293765E-2</v>
      </c>
      <c r="DJ7" t="e">
        <v>#VALUE!</v>
      </c>
      <c r="DK7" t="s">
        <v>338</v>
      </c>
      <c r="DL7">
        <v>8.4250720962882039E-2</v>
      </c>
      <c r="DM7">
        <v>-39546400</v>
      </c>
      <c r="DN7">
        <v>0.1203581728041172</v>
      </c>
      <c r="DO7">
        <v>857080000</v>
      </c>
      <c r="DP7">
        <v>1388291100</v>
      </c>
      <c r="DQ7" s="9">
        <v>496</v>
      </c>
      <c r="DR7">
        <v>0.1629036297709901</v>
      </c>
      <c r="DS7">
        <v>3.5579153462282909</v>
      </c>
      <c r="DT7">
        <v>-0.19000000000000003</v>
      </c>
      <c r="DU7">
        <v>-0.10833333333333332</v>
      </c>
      <c r="DV7">
        <v>-0.29833333333333334</v>
      </c>
      <c r="DW7">
        <v>-5.7549933422103861</v>
      </c>
      <c r="DX7">
        <v>0.28389687524282869</v>
      </c>
      <c r="DY7">
        <v>-5.123741049617422</v>
      </c>
      <c r="DZ7">
        <v>2444</v>
      </c>
      <c r="EA7">
        <v>-5.0645584419334728</v>
      </c>
      <c r="EB7" s="10">
        <v>5</v>
      </c>
      <c r="EC7">
        <v>5.7752380952380951E-2</v>
      </c>
      <c r="ED7">
        <v>0.3523702380952381</v>
      </c>
      <c r="EE7">
        <v>-4.0888099999999996</v>
      </c>
      <c r="EF7">
        <v>-4.1121100000000004</v>
      </c>
      <c r="EG7">
        <v>12.163896875242829</v>
      </c>
      <c r="EH7" s="12" t="s">
        <v>611</v>
      </c>
      <c r="EI7" s="13">
        <v>0</v>
      </c>
      <c r="EJ7" s="13">
        <v>0</v>
      </c>
      <c r="EK7" s="13">
        <v>45470</v>
      </c>
      <c r="EL7" s="13">
        <v>0.51</v>
      </c>
      <c r="EM7" s="13">
        <v>-5.58</v>
      </c>
      <c r="EN7" s="13">
        <v>2.23</v>
      </c>
      <c r="EO7" s="13">
        <v>3.23</v>
      </c>
      <c r="EP7" s="13">
        <v>-2.33</v>
      </c>
    </row>
    <row r="8" spans="1:146" ht="96" x14ac:dyDescent="0.25">
      <c r="A8" s="6"/>
      <c r="B8" s="6"/>
      <c r="C8" s="6" t="str">
        <f>""&amp;CHAR(10)&amp;Basic_Fundamental_Information_Constructure(F8)&amp;CHAR(10)&amp;Basic_Fundamental_Information_Concatenate("")</f>
        <v xml:space="preserve">
市值17.529249亿, 利润-110.01万; PE; 平均PE-7.88; 平均PEG-1.65, PB7.04; ROIC11.64%; ROE-1.9033%; 股利率0%; 毛利10.8833%; 净利-.1833%; 上一年度营收增-57.9%, 利润增98.26%; 当季营收增-28.44%, 利润增-11.37%; 过往5年营收增4.78%, 利润增-134.36%
Income profile:
</v>
      </c>
      <c r="D8" t="s">
        <v>50</v>
      </c>
      <c r="E8" t="s">
        <v>252</v>
      </c>
      <c r="F8">
        <v>2.33</v>
      </c>
      <c r="G8">
        <v>0</v>
      </c>
      <c r="H8" t="s">
        <v>688</v>
      </c>
      <c r="I8">
        <v>1752924900</v>
      </c>
      <c r="K8">
        <v>7.04</v>
      </c>
      <c r="L8" t="s">
        <v>250</v>
      </c>
      <c r="M8" t="s">
        <v>689</v>
      </c>
      <c r="N8" t="s">
        <v>690</v>
      </c>
      <c r="O8" t="s">
        <v>691</v>
      </c>
      <c r="P8">
        <v>-28.51</v>
      </c>
      <c r="Q8" t="s">
        <v>521</v>
      </c>
      <c r="R8">
        <v>4100951</v>
      </c>
      <c r="S8" s="5">
        <v>-0.1137</v>
      </c>
      <c r="T8" t="s">
        <v>692</v>
      </c>
      <c r="U8">
        <v>752328270</v>
      </c>
      <c r="V8">
        <v>752328270</v>
      </c>
      <c r="W8">
        <v>3.45</v>
      </c>
      <c r="X8">
        <v>0.17</v>
      </c>
      <c r="Y8">
        <v>2.4300000000000002</v>
      </c>
      <c r="Z8" t="s">
        <v>465</v>
      </c>
      <c r="AA8" t="s">
        <v>411</v>
      </c>
      <c r="AB8" t="s">
        <v>693</v>
      </c>
      <c r="AC8" t="s">
        <v>694</v>
      </c>
      <c r="AD8" t="s">
        <v>35</v>
      </c>
      <c r="AE8">
        <v>4463075</v>
      </c>
      <c r="AF8" t="s">
        <v>695</v>
      </c>
      <c r="AG8">
        <v>3402</v>
      </c>
      <c r="AH8" t="s">
        <v>696</v>
      </c>
      <c r="AI8" t="s">
        <v>697</v>
      </c>
      <c r="AJ8" t="s">
        <v>698</v>
      </c>
      <c r="AK8" t="s">
        <v>35</v>
      </c>
      <c r="AL8" t="s">
        <v>699</v>
      </c>
      <c r="AM8" t="s">
        <v>35</v>
      </c>
      <c r="AN8" t="s">
        <v>700</v>
      </c>
      <c r="AO8" t="s">
        <v>35</v>
      </c>
      <c r="AP8" t="s">
        <v>35</v>
      </c>
      <c r="AQ8" t="s">
        <v>701</v>
      </c>
      <c r="AR8" t="s">
        <v>702</v>
      </c>
      <c r="AS8" t="s">
        <v>72</v>
      </c>
      <c r="AT8" t="s">
        <v>116</v>
      </c>
      <c r="AU8" t="s">
        <v>703</v>
      </c>
      <c r="AV8" t="s">
        <v>704</v>
      </c>
      <c r="AW8" t="s">
        <v>705</v>
      </c>
      <c r="AX8" t="s">
        <v>469</v>
      </c>
      <c r="AY8" t="s">
        <v>280</v>
      </c>
      <c r="AZ8" t="s">
        <v>149</v>
      </c>
      <c r="BA8" t="s">
        <v>51</v>
      </c>
      <c r="BB8" t="s">
        <v>150</v>
      </c>
      <c r="BC8" t="s">
        <v>470</v>
      </c>
      <c r="BD8" t="s">
        <v>281</v>
      </c>
      <c r="BE8" t="s">
        <v>69</v>
      </c>
      <c r="BF8" t="s">
        <v>52</v>
      </c>
      <c r="BG8" t="s">
        <v>151</v>
      </c>
      <c r="BH8" t="s">
        <v>521</v>
      </c>
      <c r="BI8" t="s">
        <v>706</v>
      </c>
      <c r="BJ8" t="s">
        <v>469</v>
      </c>
      <c r="BK8" t="s">
        <v>692</v>
      </c>
      <c r="BL8" t="s">
        <v>707</v>
      </c>
      <c r="BM8" t="s">
        <v>470</v>
      </c>
      <c r="BN8">
        <v>6.83</v>
      </c>
      <c r="BO8" t="s">
        <v>35</v>
      </c>
      <c r="BP8">
        <v>16.45</v>
      </c>
      <c r="BQ8">
        <v>10</v>
      </c>
      <c r="BR8">
        <v>-75.89</v>
      </c>
      <c r="BS8">
        <v>60.18</v>
      </c>
      <c r="BT8" t="s">
        <v>429</v>
      </c>
      <c r="BU8" t="s">
        <v>250</v>
      </c>
      <c r="BV8">
        <v>13.93</v>
      </c>
      <c r="BW8">
        <v>7.62</v>
      </c>
      <c r="BX8">
        <v>11.1</v>
      </c>
      <c r="BY8">
        <v>-0.32</v>
      </c>
      <c r="BZ8">
        <v>-3.54</v>
      </c>
      <c r="CA8">
        <v>3.31</v>
      </c>
      <c r="CB8">
        <v>2.19</v>
      </c>
      <c r="CC8">
        <v>-15.58</v>
      </c>
      <c r="CD8" t="s">
        <v>708</v>
      </c>
      <c r="CE8" t="s">
        <v>709</v>
      </c>
      <c r="CF8" s="7">
        <v>-0.28436018957345971</v>
      </c>
      <c r="CG8" s="8">
        <v>-0.11369116057920899</v>
      </c>
      <c r="CH8" s="7">
        <v>-0.57900434732437134</v>
      </c>
      <c r="CI8" s="7">
        <v>0.2222222238779068</v>
      </c>
      <c r="CJ8" s="7">
        <v>0.57664233446121216</v>
      </c>
      <c r="CK8" s="7">
        <v>-0.13291139900684357</v>
      </c>
      <c r="CL8" s="7">
        <v>0.15208333730697632</v>
      </c>
      <c r="CM8" s="8">
        <v>0.98256725072860718</v>
      </c>
      <c r="CN8" s="8">
        <v>-2.2570796012878418</v>
      </c>
      <c r="CO8" s="8">
        <v>-0.52190476655960083</v>
      </c>
      <c r="CP8" s="8">
        <v>1.0842020511627197</v>
      </c>
      <c r="CQ8" s="8">
        <v>-6.0056185722351074</v>
      </c>
      <c r="CR8">
        <v>-7.8841874340098297</v>
      </c>
      <c r="CS8">
        <v>-1.6491897547270682</v>
      </c>
      <c r="CT8">
        <v>0</v>
      </c>
      <c r="CU8" s="7">
        <v>4.7806429862976077E-2</v>
      </c>
      <c r="CV8" s="8">
        <v>-1.3435667276382446</v>
      </c>
      <c r="CW8">
        <v>0.06</v>
      </c>
      <c r="CX8" t="e">
        <v>#VALUE!</v>
      </c>
      <c r="CY8" t="s">
        <v>338</v>
      </c>
      <c r="CZ8">
        <v>4.7806429862976077E-2</v>
      </c>
      <c r="DA8" t="e">
        <v>#VALUE!</v>
      </c>
      <c r="DB8" t="s">
        <v>338</v>
      </c>
      <c r="DC8">
        <v>4.541610836982727E-2</v>
      </c>
      <c r="DD8" t="e">
        <v>#VALUE!</v>
      </c>
      <c r="DE8" t="s">
        <v>338</v>
      </c>
      <c r="DF8">
        <v>4.2069658279418949E-2</v>
      </c>
      <c r="DG8" t="e">
        <v>#VALUE!</v>
      </c>
      <c r="DH8" t="s">
        <v>338</v>
      </c>
      <c r="DI8">
        <v>3.8245143890380862E-2</v>
      </c>
      <c r="DJ8" t="e">
        <v>#VALUE!</v>
      </c>
      <c r="DK8" t="s">
        <v>338</v>
      </c>
      <c r="DL8">
        <v>3.3464500904083254E-2</v>
      </c>
      <c r="DM8">
        <v>-1100100</v>
      </c>
      <c r="DN8">
        <v>4.7806429862976077E-2</v>
      </c>
      <c r="DO8">
        <v>2129924900</v>
      </c>
      <c r="DP8">
        <v>61254160</v>
      </c>
      <c r="DQ8">
        <v>767</v>
      </c>
      <c r="DR8">
        <v>-0.33216661943643577</v>
      </c>
      <c r="DS8">
        <v>1.2298755670590356</v>
      </c>
      <c r="DT8" s="9">
        <v>-0.22333333333333338</v>
      </c>
      <c r="DU8">
        <v>-1.7566666666666668</v>
      </c>
      <c r="DV8">
        <v>-1.9800000000000002</v>
      </c>
      <c r="DW8">
        <v>-2.1558000000000002</v>
      </c>
      <c r="DX8">
        <v>0.21347077405777895</v>
      </c>
      <c r="DY8">
        <v>-2.0192367465982022</v>
      </c>
      <c r="DZ8">
        <v>4373</v>
      </c>
      <c r="EA8">
        <v>-2.0027744583645548</v>
      </c>
      <c r="EB8">
        <v>2</v>
      </c>
      <c r="EC8">
        <v>1.5871396139347523E-2</v>
      </c>
      <c r="ED8">
        <v>0.1285437539121054</v>
      </c>
      <c r="EE8" s="10">
        <v>2.10711</v>
      </c>
      <c r="EF8">
        <v>2.1288100000000001</v>
      </c>
      <c r="EG8">
        <v>9.123470774057779</v>
      </c>
      <c r="EH8" t="s">
        <v>710</v>
      </c>
      <c r="EI8">
        <v>0</v>
      </c>
      <c r="EJ8">
        <v>0</v>
      </c>
      <c r="EK8" s="12">
        <v>45470</v>
      </c>
      <c r="EL8" s="13">
        <v>-0.83</v>
      </c>
      <c r="EM8" s="13">
        <v>-5</v>
      </c>
      <c r="EN8" s="13">
        <v>4.82</v>
      </c>
      <c r="EO8" s="13">
        <v>-3.77</v>
      </c>
      <c r="EP8" s="13">
        <v>-2.17</v>
      </c>
    </row>
    <row r="9" spans="1:146" ht="96" x14ac:dyDescent="0.25">
      <c r="A9" s="6"/>
      <c r="B9" s="6"/>
      <c r="C9" s="6" t="str">
        <f>""&amp;CHAR(10)&amp;Basic_Fundamental_Information_Constructure(F9)&amp;CHAR(10)&amp;Basic_Fundamental_Information_Concatenate("")</f>
        <v xml:space="preserve">
市值90.856564亿, 利润5.44亿; PE14.79; 平均PE19.52; 平均PEG7, PB1.28; ROIC5.61%; ROE7.06%; 股利率3.672%; 毛利12.3033%; 净利6.9133%; 上一年度营收增-11.27%, 利润增-11.69%; 当季营收增22.42%, 利润增16.67%; 过往5年营收增-2.79%, 利润增9.03%
Income profile:
</v>
      </c>
      <c r="D9" t="s">
        <v>53</v>
      </c>
      <c r="E9" t="s">
        <v>12</v>
      </c>
      <c r="F9">
        <v>8.17</v>
      </c>
      <c r="G9">
        <v>0.12</v>
      </c>
      <c r="H9" t="s">
        <v>711</v>
      </c>
      <c r="I9">
        <v>9085656400</v>
      </c>
      <c r="J9">
        <v>14.79</v>
      </c>
      <c r="K9">
        <v>1.28</v>
      </c>
      <c r="L9" t="s">
        <v>250</v>
      </c>
      <c r="M9" t="s">
        <v>712</v>
      </c>
      <c r="N9" t="s">
        <v>713</v>
      </c>
      <c r="O9" t="s">
        <v>714</v>
      </c>
      <c r="P9">
        <v>22.44</v>
      </c>
      <c r="Q9" t="s">
        <v>715</v>
      </c>
      <c r="R9">
        <v>488826410</v>
      </c>
      <c r="S9" s="5">
        <v>0.1666</v>
      </c>
      <c r="T9" t="s">
        <v>716</v>
      </c>
      <c r="U9">
        <v>1112064200</v>
      </c>
      <c r="V9">
        <v>1112075450</v>
      </c>
      <c r="W9">
        <v>1.75</v>
      </c>
      <c r="X9">
        <v>0.26</v>
      </c>
      <c r="Y9">
        <v>15.12</v>
      </c>
      <c r="Z9" t="s">
        <v>717</v>
      </c>
      <c r="AA9" t="s">
        <v>718</v>
      </c>
      <c r="AB9" t="s">
        <v>719</v>
      </c>
      <c r="AC9" t="s">
        <v>720</v>
      </c>
      <c r="AD9" t="s">
        <v>35</v>
      </c>
      <c r="AE9">
        <v>19344726</v>
      </c>
      <c r="AF9" t="s">
        <v>721</v>
      </c>
      <c r="AG9" t="s">
        <v>722</v>
      </c>
      <c r="AH9" t="s">
        <v>723</v>
      </c>
      <c r="AI9" t="s">
        <v>724</v>
      </c>
      <c r="AJ9" t="s">
        <v>725</v>
      </c>
      <c r="AK9" t="s">
        <v>726</v>
      </c>
      <c r="AL9" t="s">
        <v>727</v>
      </c>
      <c r="AM9" t="s">
        <v>35</v>
      </c>
      <c r="AN9" t="s">
        <v>728</v>
      </c>
      <c r="AO9" t="s">
        <v>729</v>
      </c>
      <c r="AP9" t="s">
        <v>467</v>
      </c>
      <c r="AQ9" t="s">
        <v>730</v>
      </c>
      <c r="AR9" t="s">
        <v>731</v>
      </c>
      <c r="AS9" t="s">
        <v>732</v>
      </c>
      <c r="AT9" t="s">
        <v>472</v>
      </c>
      <c r="AU9" t="s">
        <v>142</v>
      </c>
      <c r="AV9" t="s">
        <v>733</v>
      </c>
      <c r="AW9" t="s">
        <v>734</v>
      </c>
      <c r="AX9" t="s">
        <v>735</v>
      </c>
      <c r="AY9" t="s">
        <v>282</v>
      </c>
      <c r="AZ9" t="s">
        <v>152</v>
      </c>
      <c r="BA9" t="s">
        <v>153</v>
      </c>
      <c r="BB9" t="s">
        <v>154</v>
      </c>
      <c r="BC9" t="s">
        <v>471</v>
      </c>
      <c r="BD9" t="s">
        <v>143</v>
      </c>
      <c r="BE9" t="s">
        <v>70</v>
      </c>
      <c r="BF9" t="s">
        <v>133</v>
      </c>
      <c r="BG9" t="s">
        <v>155</v>
      </c>
      <c r="BH9" t="s">
        <v>715</v>
      </c>
      <c r="BI9" t="s">
        <v>736</v>
      </c>
      <c r="BJ9" t="s">
        <v>735</v>
      </c>
      <c r="BK9" t="s">
        <v>716</v>
      </c>
      <c r="BL9" t="s">
        <v>81</v>
      </c>
      <c r="BM9" t="s">
        <v>471</v>
      </c>
      <c r="BN9">
        <v>4.0199999999999996</v>
      </c>
      <c r="BO9">
        <v>7.46</v>
      </c>
      <c r="BP9">
        <v>5.35</v>
      </c>
      <c r="BQ9">
        <v>4.84</v>
      </c>
      <c r="BR9">
        <v>9.6</v>
      </c>
      <c r="BS9">
        <v>6.74</v>
      </c>
      <c r="BT9" t="s">
        <v>441</v>
      </c>
      <c r="BU9" t="s">
        <v>250</v>
      </c>
      <c r="BV9">
        <v>13.46</v>
      </c>
      <c r="BW9">
        <v>13.1</v>
      </c>
      <c r="BX9">
        <v>10.35</v>
      </c>
      <c r="BY9">
        <v>7.47</v>
      </c>
      <c r="BZ9">
        <v>7.44</v>
      </c>
      <c r="CA9">
        <v>5.83</v>
      </c>
      <c r="CB9">
        <v>8.07</v>
      </c>
      <c r="CC9">
        <v>5.83</v>
      </c>
      <c r="CD9" t="s">
        <v>737</v>
      </c>
      <c r="CE9" t="s">
        <v>738</v>
      </c>
      <c r="CF9" s="7">
        <v>0.22423346878463243</v>
      </c>
      <c r="CG9" s="8">
        <v>0.16665014319809052</v>
      </c>
      <c r="CH9" s="7">
        <v>-0.11274222284555435</v>
      </c>
      <c r="CI9" s="7">
        <v>0.12587597966194153</v>
      </c>
      <c r="CJ9" s="7">
        <v>-7.7232792973518372E-2</v>
      </c>
      <c r="CK9" s="7">
        <v>-0.15929843485355377</v>
      </c>
      <c r="CL9" s="7">
        <v>8.4065347909927368E-2</v>
      </c>
      <c r="CM9" s="8">
        <v>-0.11688311398029327</v>
      </c>
      <c r="CN9" s="8">
        <v>0.46318289637565613</v>
      </c>
      <c r="CO9" s="8">
        <v>0.17927171289920807</v>
      </c>
      <c r="CP9" s="8">
        <v>-0.21710526943206787</v>
      </c>
      <c r="CQ9" s="8">
        <v>0.1428571492433548</v>
      </c>
      <c r="CR9">
        <v>19.518058861439311</v>
      </c>
      <c r="CS9">
        <v>7.0041489453673531</v>
      </c>
      <c r="CT9">
        <v>3.6719706242350063</v>
      </c>
      <c r="CU9" s="7">
        <v>-2.7866424620151521E-2</v>
      </c>
      <c r="CV9" s="8">
        <v>9.0264675021171567E-2</v>
      </c>
      <c r="CW9">
        <v>0.06</v>
      </c>
      <c r="CX9">
        <v>14.089441911764705</v>
      </c>
      <c r="CY9" t="s">
        <v>739</v>
      </c>
      <c r="CZ9">
        <v>-2.7866424620151521E-2</v>
      </c>
      <c r="DA9">
        <v>4.6964806372549024</v>
      </c>
      <c r="DB9" t="s">
        <v>740</v>
      </c>
      <c r="DC9">
        <v>-2.6473103389143944E-2</v>
      </c>
      <c r="DD9">
        <v>2.3482403186274512</v>
      </c>
      <c r="DE9" t="s">
        <v>741</v>
      </c>
      <c r="DF9">
        <v>-2.452245366573334E-2</v>
      </c>
      <c r="DG9">
        <v>1.4089441911764706</v>
      </c>
      <c r="DH9" t="s">
        <v>742</v>
      </c>
      <c r="DI9">
        <v>-2.229313969612122E-2</v>
      </c>
      <c r="DJ9">
        <v>0.70447209558823531</v>
      </c>
      <c r="DK9" t="s">
        <v>743</v>
      </c>
      <c r="DL9">
        <v>-1.9506497234106062E-2</v>
      </c>
      <c r="DM9">
        <v>544000000</v>
      </c>
      <c r="DN9">
        <v>-2.7866424620151521E-2</v>
      </c>
      <c r="DO9">
        <v>7664656400</v>
      </c>
      <c r="DP9">
        <v>-2635069300</v>
      </c>
      <c r="DQ9">
        <v>774</v>
      </c>
      <c r="DR9">
        <v>0.25209989340478395</v>
      </c>
      <c r="DS9">
        <v>7.638546817691895E-2</v>
      </c>
      <c r="DT9" s="9">
        <v>-0.55666666666666664</v>
      </c>
      <c r="DU9">
        <v>0.38666666666666666</v>
      </c>
      <c r="DV9">
        <v>-0.16999999999999998</v>
      </c>
      <c r="DW9">
        <v>5.722428748451053</v>
      </c>
      <c r="DX9">
        <v>0.41686585915492935</v>
      </c>
      <c r="DY9">
        <v>5.2000158561181218</v>
      </c>
      <c r="DZ9">
        <v>2118</v>
      </c>
      <c r="EA9">
        <v>5.1171130022515499</v>
      </c>
      <c r="EB9">
        <v>5</v>
      </c>
      <c r="EC9">
        <v>7.0705544304570336E-2</v>
      </c>
      <c r="ED9">
        <v>0.25537835584806767</v>
      </c>
      <c r="EE9" s="10">
        <v>-1.0879000000000001</v>
      </c>
      <c r="EF9">
        <v>-1.0746</v>
      </c>
      <c r="EG9">
        <v>14.276865859154929</v>
      </c>
      <c r="EH9" t="s">
        <v>430</v>
      </c>
      <c r="EI9">
        <v>1</v>
      </c>
      <c r="EJ9">
        <v>0</v>
      </c>
      <c r="EK9" s="12">
        <v>45470</v>
      </c>
      <c r="EL9" s="13">
        <v>1.07</v>
      </c>
      <c r="EM9" s="13">
        <v>-2.12</v>
      </c>
      <c r="EN9" s="13">
        <v>1.35</v>
      </c>
      <c r="EO9" s="13">
        <v>0</v>
      </c>
      <c r="EP9" s="13">
        <v>-1.33</v>
      </c>
    </row>
    <row r="10" spans="1:146" ht="96" x14ac:dyDescent="0.25">
      <c r="A10" s="6"/>
      <c r="B10" s="6"/>
      <c r="C10" s="6" t="str">
        <f>""&amp;CHAR(10)&amp;Basic_Fundamental_Information_Constructure(F10)&amp;CHAR(10)&amp;Basic_Fundamental_Information_Concatenate("")</f>
        <v xml:space="preserve">
市值33.582937亿, 利润9911.40万; PE33.93; 平均PE-279.81; 平均PEG-22.98, PB4.19; ROIC11.185%; ROE-.52%; 股利率.9057%; 毛利26.9333%; 净利-4.01%; 上一年度营收增14.41%, 利润增27.11%; 当季营收增7.41%, 利润增-.75%; 过往5年营收增12.18%, 利润增-42.2%
Income profile:
</v>
      </c>
      <c r="D10" t="s">
        <v>54</v>
      </c>
      <c r="E10" t="s">
        <v>55</v>
      </c>
      <c r="F10">
        <v>7.95</v>
      </c>
      <c r="G10">
        <v>2.19</v>
      </c>
      <c r="H10" t="s">
        <v>744</v>
      </c>
      <c r="I10">
        <v>3358293700</v>
      </c>
      <c r="J10">
        <v>33.93</v>
      </c>
      <c r="K10">
        <v>4.1900000000000004</v>
      </c>
      <c r="L10" t="s">
        <v>250</v>
      </c>
      <c r="M10" t="s">
        <v>435</v>
      </c>
      <c r="N10" t="s">
        <v>745</v>
      </c>
      <c r="O10" t="s">
        <v>101</v>
      </c>
      <c r="P10">
        <v>7.45</v>
      </c>
      <c r="Q10" t="s">
        <v>491</v>
      </c>
      <c r="R10">
        <v>17718479</v>
      </c>
      <c r="S10" s="5">
        <v>-7.5399999999999998E-3</v>
      </c>
      <c r="T10" t="s">
        <v>746</v>
      </c>
      <c r="U10">
        <v>422296460</v>
      </c>
      <c r="V10">
        <v>422426880</v>
      </c>
      <c r="W10">
        <v>1.34</v>
      </c>
      <c r="X10">
        <v>0.16</v>
      </c>
      <c r="Y10">
        <v>10.11</v>
      </c>
      <c r="Z10" t="s">
        <v>507</v>
      </c>
      <c r="AA10" t="s">
        <v>37</v>
      </c>
      <c r="AB10" t="s">
        <v>747</v>
      </c>
      <c r="AC10" t="s">
        <v>748</v>
      </c>
      <c r="AD10" t="s">
        <v>35</v>
      </c>
      <c r="AE10">
        <v>-2244608</v>
      </c>
      <c r="AF10" t="s">
        <v>475</v>
      </c>
      <c r="AG10" t="s">
        <v>749</v>
      </c>
      <c r="AH10" t="s">
        <v>750</v>
      </c>
      <c r="AI10" t="s">
        <v>445</v>
      </c>
      <c r="AJ10" t="s">
        <v>751</v>
      </c>
      <c r="AK10" t="s">
        <v>35</v>
      </c>
      <c r="AL10" t="s">
        <v>752</v>
      </c>
      <c r="AM10" t="s">
        <v>35</v>
      </c>
      <c r="AN10" t="s">
        <v>753</v>
      </c>
      <c r="AO10" t="s">
        <v>35</v>
      </c>
      <c r="AP10" t="s">
        <v>35</v>
      </c>
      <c r="AQ10" t="s">
        <v>754</v>
      </c>
      <c r="AR10" t="s">
        <v>35</v>
      </c>
      <c r="AS10" t="s">
        <v>253</v>
      </c>
      <c r="AT10" t="s">
        <v>35</v>
      </c>
      <c r="AU10" t="s">
        <v>755</v>
      </c>
      <c r="AV10" t="s">
        <v>756</v>
      </c>
      <c r="AW10" t="s">
        <v>35</v>
      </c>
      <c r="AX10" t="s">
        <v>474</v>
      </c>
      <c r="AY10" t="s">
        <v>283</v>
      </c>
      <c r="AZ10" t="s">
        <v>81</v>
      </c>
      <c r="BA10" t="s">
        <v>56</v>
      </c>
      <c r="BB10" t="s">
        <v>62</v>
      </c>
      <c r="BC10" t="s">
        <v>757</v>
      </c>
      <c r="BD10" t="s">
        <v>284</v>
      </c>
      <c r="BE10" t="s">
        <v>156</v>
      </c>
      <c r="BF10" t="s">
        <v>57</v>
      </c>
      <c r="BG10" t="s">
        <v>157</v>
      </c>
      <c r="BH10" t="s">
        <v>491</v>
      </c>
      <c r="BI10" t="s">
        <v>418</v>
      </c>
      <c r="BJ10" t="s">
        <v>474</v>
      </c>
      <c r="BK10" t="s">
        <v>746</v>
      </c>
      <c r="BL10" t="s">
        <v>758</v>
      </c>
      <c r="BM10" t="s">
        <v>757</v>
      </c>
      <c r="BN10">
        <v>11.61</v>
      </c>
      <c r="BO10">
        <v>10.76</v>
      </c>
      <c r="BP10" t="s">
        <v>35</v>
      </c>
      <c r="BQ10">
        <v>12.22</v>
      </c>
      <c r="BR10">
        <v>11.7</v>
      </c>
      <c r="BS10">
        <v>-25.48</v>
      </c>
      <c r="BT10" t="s">
        <v>759</v>
      </c>
      <c r="BU10" t="s">
        <v>250</v>
      </c>
      <c r="BV10">
        <v>26.68</v>
      </c>
      <c r="BW10">
        <v>23.95</v>
      </c>
      <c r="BX10">
        <v>30.17</v>
      </c>
      <c r="BY10">
        <v>14.69</v>
      </c>
      <c r="BZ10">
        <v>12.86</v>
      </c>
      <c r="CA10">
        <v>-39.58</v>
      </c>
      <c r="CB10">
        <v>0.25</v>
      </c>
      <c r="CC10">
        <v>37.07</v>
      </c>
      <c r="CD10" t="s">
        <v>760</v>
      </c>
      <c r="CE10" t="s">
        <v>418</v>
      </c>
      <c r="CF10" s="7">
        <v>7.407407407407407E-2</v>
      </c>
      <c r="CG10" s="8">
        <v>-7.5460421661102768E-3</v>
      </c>
      <c r="CH10" s="7">
        <v>0.14408233761787415</v>
      </c>
      <c r="CI10" s="7">
        <v>-1.5202702954411507E-2</v>
      </c>
      <c r="CJ10" s="7">
        <v>0.41288784146308899</v>
      </c>
      <c r="CK10" s="7">
        <v>-0.19267822802066803</v>
      </c>
      <c r="CL10" s="7">
        <v>0.25970873236656189</v>
      </c>
      <c r="CM10" s="8">
        <v>0.27106541395187378</v>
      </c>
      <c r="CN10" s="8">
        <v>1.4147717952728271</v>
      </c>
      <c r="CO10" s="8">
        <v>6.4676620066165924E-2</v>
      </c>
      <c r="CP10" s="8">
        <v>-3.8657708168029785</v>
      </c>
      <c r="CQ10" s="8">
        <v>5.454652477055788E-3</v>
      </c>
      <c r="CR10">
        <v>-279.80728757307708</v>
      </c>
      <c r="CS10">
        <v>-22.980306813430808</v>
      </c>
      <c r="CT10">
        <v>0.90566037735849048</v>
      </c>
      <c r="CU10" s="7">
        <v>0.12175959609448909</v>
      </c>
      <c r="CV10" s="8">
        <v>-0.42196046700701118</v>
      </c>
      <c r="CW10">
        <v>0.06</v>
      </c>
      <c r="CX10">
        <v>27.060037962648209</v>
      </c>
      <c r="CY10">
        <v>104888755.28991432</v>
      </c>
      <c r="CZ10">
        <v>0.12175959609448909</v>
      </c>
      <c r="DA10">
        <v>8.6091606125803946</v>
      </c>
      <c r="DB10">
        <v>329682976.97367358</v>
      </c>
      <c r="DC10">
        <v>0.11567161628976463</v>
      </c>
      <c r="DD10">
        <v>4.0871665034830782</v>
      </c>
      <c r="DE10">
        <v>694440438.76881695</v>
      </c>
      <c r="DF10">
        <v>0.10714844456315041</v>
      </c>
      <c r="DG10">
        <v>2.3546587325138035</v>
      </c>
      <c r="DH10">
        <v>1205394930.827141</v>
      </c>
      <c r="DI10">
        <v>9.7407676875591279E-2</v>
      </c>
      <c r="DJ10">
        <v>1.1082291724371083</v>
      </c>
      <c r="DK10">
        <v>2561107188.4692445</v>
      </c>
      <c r="DL10">
        <v>8.5231717266142357E-2</v>
      </c>
      <c r="DM10">
        <v>99114000</v>
      </c>
      <c r="DN10">
        <v>0.12175959609448909</v>
      </c>
      <c r="DO10">
        <v>2838293700</v>
      </c>
      <c r="DP10">
        <v>393224240</v>
      </c>
      <c r="DQ10">
        <v>1187</v>
      </c>
      <c r="DR10">
        <v>-4.7685522020415025E-2</v>
      </c>
      <c r="DS10">
        <v>0.41441442484090091</v>
      </c>
      <c r="DT10" s="9">
        <v>-0.32333333333333331</v>
      </c>
      <c r="DU10">
        <v>-0.82000000000000017</v>
      </c>
      <c r="DV10">
        <v>-1.1433333333333335</v>
      </c>
      <c r="DW10">
        <v>3.2382916666666666</v>
      </c>
      <c r="DX10">
        <v>0.29722098765432181</v>
      </c>
      <c r="DY10">
        <v>3.0350815345164608</v>
      </c>
      <c r="DZ10">
        <v>3706</v>
      </c>
      <c r="EA10">
        <v>3.0096388404033485</v>
      </c>
      <c r="EB10">
        <v>3</v>
      </c>
      <c r="EC10">
        <v>5.6459001851397336E-2</v>
      </c>
      <c r="ED10">
        <v>0.38349832283400148</v>
      </c>
      <c r="EE10" s="10">
        <v>1.0471999999999999</v>
      </c>
      <c r="EF10">
        <v>1.0031099999999999</v>
      </c>
      <c r="EG10">
        <v>15.147220987654322</v>
      </c>
      <c r="EH10" t="s">
        <v>340</v>
      </c>
      <c r="EI10">
        <v>0</v>
      </c>
      <c r="EJ10">
        <v>0</v>
      </c>
      <c r="EK10" s="12">
        <v>45470</v>
      </c>
      <c r="EL10" s="13">
        <v>4.9800000000000004</v>
      </c>
      <c r="EM10" s="13">
        <v>5.01</v>
      </c>
      <c r="EN10" s="13">
        <v>5.0199999999999996</v>
      </c>
      <c r="EO10" s="13">
        <v>-5.0199999999999996</v>
      </c>
      <c r="EP10" s="13">
        <v>-5.03</v>
      </c>
    </row>
    <row r="11" spans="1:146" ht="48" x14ac:dyDescent="0.25">
      <c r="A11" s="6"/>
      <c r="B11" s="6"/>
      <c r="C11" s="6" t="s">
        <v>267</v>
      </c>
      <c r="D11" t="s">
        <v>59</v>
      </c>
      <c r="E11" t="s">
        <v>60</v>
      </c>
      <c r="F11">
        <v>9.75</v>
      </c>
      <c r="G11">
        <v>0.21</v>
      </c>
      <c r="H11" t="s">
        <v>761</v>
      </c>
      <c r="I11">
        <v>12552373600</v>
      </c>
      <c r="J11">
        <v>14.82</v>
      </c>
      <c r="K11">
        <v>2.85</v>
      </c>
      <c r="L11" t="s">
        <v>250</v>
      </c>
      <c r="M11" t="s">
        <v>762</v>
      </c>
      <c r="N11" t="s">
        <v>763</v>
      </c>
      <c r="O11" t="s">
        <v>764</v>
      </c>
      <c r="P11">
        <v>37.47</v>
      </c>
      <c r="Q11" t="s">
        <v>765</v>
      </c>
      <c r="R11">
        <v>80294538</v>
      </c>
      <c r="S11" s="5">
        <v>3.09E-2</v>
      </c>
      <c r="T11" t="s">
        <v>766</v>
      </c>
      <c r="U11">
        <v>1247939030</v>
      </c>
      <c r="V11">
        <v>1287422930</v>
      </c>
      <c r="W11">
        <v>2.13</v>
      </c>
      <c r="X11">
        <v>0.33</v>
      </c>
      <c r="Y11">
        <v>1.22</v>
      </c>
      <c r="Z11" t="s">
        <v>767</v>
      </c>
      <c r="AA11" t="s">
        <v>768</v>
      </c>
      <c r="AB11" t="s">
        <v>769</v>
      </c>
      <c r="AC11" t="s">
        <v>94</v>
      </c>
      <c r="AD11" t="s">
        <v>35</v>
      </c>
      <c r="AE11">
        <v>12495480</v>
      </c>
      <c r="AF11" t="s">
        <v>770</v>
      </c>
      <c r="AG11" t="s">
        <v>771</v>
      </c>
      <c r="AH11" t="s">
        <v>772</v>
      </c>
      <c r="AI11" t="s">
        <v>773</v>
      </c>
      <c r="AJ11" t="s">
        <v>774</v>
      </c>
      <c r="AK11" t="s">
        <v>775</v>
      </c>
      <c r="AL11" t="s">
        <v>776</v>
      </c>
      <c r="AM11" t="s">
        <v>35</v>
      </c>
      <c r="AN11" t="s">
        <v>777</v>
      </c>
      <c r="AO11" t="s">
        <v>778</v>
      </c>
      <c r="AP11" t="s">
        <v>779</v>
      </c>
      <c r="AQ11" t="s">
        <v>780</v>
      </c>
      <c r="AR11" t="s">
        <v>35</v>
      </c>
      <c r="AS11" t="s">
        <v>781</v>
      </c>
      <c r="AT11" t="s">
        <v>782</v>
      </c>
      <c r="AU11" t="s">
        <v>783</v>
      </c>
      <c r="AV11" t="s">
        <v>784</v>
      </c>
      <c r="AW11" t="s">
        <v>785</v>
      </c>
      <c r="AX11" t="s">
        <v>476</v>
      </c>
      <c r="AY11" t="s">
        <v>285</v>
      </c>
      <c r="AZ11" t="s">
        <v>286</v>
      </c>
      <c r="BA11" t="s">
        <v>61</v>
      </c>
      <c r="BB11" t="s">
        <v>158</v>
      </c>
      <c r="BC11" t="s">
        <v>477</v>
      </c>
      <c r="BD11" t="s">
        <v>164</v>
      </c>
      <c r="BE11" t="s">
        <v>117</v>
      </c>
      <c r="BF11" t="s">
        <v>62</v>
      </c>
      <c r="BG11" t="s">
        <v>159</v>
      </c>
      <c r="BH11" t="s">
        <v>765</v>
      </c>
      <c r="BI11" t="s">
        <v>786</v>
      </c>
      <c r="BJ11" t="s">
        <v>476</v>
      </c>
      <c r="BK11" t="s">
        <v>766</v>
      </c>
      <c r="BL11" t="s">
        <v>787</v>
      </c>
      <c r="BM11" t="s">
        <v>477</v>
      </c>
      <c r="BN11">
        <v>4.96</v>
      </c>
      <c r="BO11">
        <v>7.53</v>
      </c>
      <c r="BP11">
        <v>10.27</v>
      </c>
      <c r="BQ11">
        <v>8.01</v>
      </c>
      <c r="BR11">
        <v>13.53</v>
      </c>
      <c r="BS11">
        <v>16.88</v>
      </c>
      <c r="BT11" t="s">
        <v>788</v>
      </c>
      <c r="BU11" t="s">
        <v>250</v>
      </c>
      <c r="BV11">
        <v>7.67</v>
      </c>
      <c r="BW11">
        <v>9.91</v>
      </c>
      <c r="BX11">
        <v>11.98</v>
      </c>
      <c r="BY11">
        <v>3.63</v>
      </c>
      <c r="BZ11">
        <v>3.41</v>
      </c>
      <c r="CA11">
        <v>4.76</v>
      </c>
      <c r="CB11">
        <v>6.67</v>
      </c>
      <c r="CC11">
        <v>2.09</v>
      </c>
      <c r="CD11" t="s">
        <v>789</v>
      </c>
      <c r="CE11" t="s">
        <v>531</v>
      </c>
      <c r="CF11" s="7">
        <v>0.37477678571428569</v>
      </c>
      <c r="CG11" s="8">
        <v>3.0856387957032317E-2</v>
      </c>
      <c r="CH11" s="7">
        <v>0.34957465529441833</v>
      </c>
      <c r="CI11" s="7">
        <v>0.39849236607551575</v>
      </c>
      <c r="CJ11" s="7">
        <v>0.78697836399078369</v>
      </c>
      <c r="CK11" s="7">
        <v>0.17815466225147247</v>
      </c>
      <c r="CL11" s="7">
        <v>0.26168033480644226</v>
      </c>
      <c r="CM11" s="8">
        <v>0.28854963183403015</v>
      </c>
      <c r="CN11" s="8">
        <v>0.10084033757448196</v>
      </c>
      <c r="CO11" s="8">
        <v>0.26865673065185547</v>
      </c>
      <c r="CP11" s="8">
        <v>0.13834951817989349</v>
      </c>
      <c r="CQ11" s="8">
        <v>0.13812154531478882</v>
      </c>
      <c r="CR11">
        <v>22.569446089301771</v>
      </c>
      <c r="CS11">
        <v>0.57141299012907831</v>
      </c>
      <c r="CT11">
        <v>6.1521015384615385</v>
      </c>
      <c r="CU11" s="7">
        <v>0.39497607648372651</v>
      </c>
      <c r="CV11" s="8">
        <v>0.18690355271100997</v>
      </c>
      <c r="CW11">
        <v>0.06</v>
      </c>
      <c r="CX11">
        <v>12.303202394696804</v>
      </c>
      <c r="CY11">
        <v>1110716800.5210049</v>
      </c>
      <c r="CZ11">
        <v>0.39497607648372651</v>
      </c>
      <c r="DA11">
        <v>3.1351837571747212</v>
      </c>
      <c r="DB11">
        <v>4358715360.3763838</v>
      </c>
      <c r="DC11">
        <v>0.37522727265954015</v>
      </c>
      <c r="DD11">
        <v>1.0724899728084605</v>
      </c>
      <c r="DE11">
        <v>12741726213.267399</v>
      </c>
      <c r="DF11">
        <v>0.34757894730567934</v>
      </c>
      <c r="DG11">
        <v>0.40910906848122924</v>
      </c>
      <c r="DH11">
        <v>33402763841.757751</v>
      </c>
      <c r="DI11">
        <v>0.31598086118698121</v>
      </c>
      <c r="DJ11">
        <v>6.8421408931119934E-2</v>
      </c>
      <c r="DK11">
        <v>199723651025.03192</v>
      </c>
      <c r="DL11">
        <v>0.27648325353860853</v>
      </c>
      <c r="DM11">
        <v>844000000</v>
      </c>
      <c r="DN11">
        <v>0.39497607648372651</v>
      </c>
      <c r="DO11">
        <v>13665373600</v>
      </c>
      <c r="DP11">
        <v>-265177699.99999905</v>
      </c>
      <c r="DQ11">
        <v>1376</v>
      </c>
      <c r="DR11">
        <v>-2.0199290769440825E-2</v>
      </c>
      <c r="DS11">
        <v>-0.15604716475397765</v>
      </c>
      <c r="DT11" s="9">
        <v>0.35999999999999993</v>
      </c>
      <c r="DU11">
        <v>0.3</v>
      </c>
      <c r="DV11">
        <v>0.65999999999999992</v>
      </c>
      <c r="DW11">
        <v>5.313343328335832</v>
      </c>
      <c r="DX11">
        <v>0.36083225806451524</v>
      </c>
      <c r="DY11">
        <v>5.0691963147458532</v>
      </c>
      <c r="DZ11">
        <v>509</v>
      </c>
      <c r="EA11">
        <v>5.0623037659776262</v>
      </c>
      <c r="EB11">
        <v>5</v>
      </c>
      <c r="EC11">
        <v>2.6587222584267628E-2</v>
      </c>
      <c r="ED11">
        <v>0.12039555641594794</v>
      </c>
      <c r="EE11" s="10">
        <v>2.0163000000000002</v>
      </c>
      <c r="EF11">
        <v>2.0019999999999998</v>
      </c>
      <c r="EG11">
        <v>14.220832258064515</v>
      </c>
      <c r="EH11" t="s">
        <v>790</v>
      </c>
      <c r="EI11">
        <v>1</v>
      </c>
      <c r="EJ11">
        <v>1</v>
      </c>
      <c r="EK11" s="12">
        <v>45470</v>
      </c>
      <c r="EL11" s="13">
        <v>0.11</v>
      </c>
      <c r="EM11" s="13">
        <v>-1.32</v>
      </c>
      <c r="EN11" s="13">
        <v>1.45</v>
      </c>
      <c r="EO11" s="13">
        <v>0.44</v>
      </c>
      <c r="EP11" s="13">
        <v>-1.43</v>
      </c>
    </row>
    <row r="12" spans="1:146" ht="96" x14ac:dyDescent="0.25">
      <c r="A12" s="6"/>
      <c r="B12" s="6"/>
      <c r="C12" s="6" t="str">
        <f>""&amp;CHAR(10)&amp;Basic_Fundamental_Information_Constructure(F12)&amp;CHAR(10)&amp;Basic_Fundamental_Information_Concatenate("")</f>
        <v xml:space="preserve">
市值46.490406亿, 利润2.40亿; PE44.29; 平均PE27.97; 平均PEG1.26, PB1.12; ROIC6.0667%; ROE7.56%; 股利率1.0467%; 毛利23.4533%; 净利8.4033%; 上一年度营收增17.7%, 利润增-34.43%; 当季营收增-11.02%, 利润增-66.34%; 过往5年营收增22.27%, 利润增56.94%
Income profile:
</v>
      </c>
      <c r="D12" t="s">
        <v>254</v>
      </c>
      <c r="E12" t="s">
        <v>791</v>
      </c>
      <c r="F12">
        <v>5.35</v>
      </c>
      <c r="G12">
        <v>0</v>
      </c>
      <c r="H12" t="s">
        <v>792</v>
      </c>
      <c r="I12">
        <v>4649040600</v>
      </c>
      <c r="J12">
        <v>44.29</v>
      </c>
      <c r="K12">
        <v>1.1200000000000001</v>
      </c>
      <c r="L12" t="s">
        <v>250</v>
      </c>
      <c r="M12" t="s">
        <v>793</v>
      </c>
      <c r="N12" t="s">
        <v>794</v>
      </c>
      <c r="O12" t="s">
        <v>795</v>
      </c>
      <c r="P12">
        <v>-11.06</v>
      </c>
      <c r="Q12" t="s">
        <v>796</v>
      </c>
      <c r="R12">
        <v>68663217</v>
      </c>
      <c r="S12" s="5">
        <v>-0.66290000000000004</v>
      </c>
      <c r="T12" t="s">
        <v>148</v>
      </c>
      <c r="U12">
        <v>832923200</v>
      </c>
      <c r="V12">
        <v>868979550</v>
      </c>
      <c r="W12">
        <v>1.98</v>
      </c>
      <c r="X12">
        <v>0.13</v>
      </c>
      <c r="Y12">
        <v>6.05</v>
      </c>
      <c r="Z12" t="s">
        <v>797</v>
      </c>
      <c r="AA12" t="s">
        <v>798</v>
      </c>
      <c r="AB12" t="s">
        <v>799</v>
      </c>
      <c r="AC12" t="s">
        <v>800</v>
      </c>
      <c r="AD12" t="s">
        <v>35</v>
      </c>
      <c r="AE12">
        <v>14377008</v>
      </c>
      <c r="AF12" t="s">
        <v>801</v>
      </c>
      <c r="AG12" t="s">
        <v>802</v>
      </c>
      <c r="AH12" t="s">
        <v>803</v>
      </c>
      <c r="AI12" t="s">
        <v>468</v>
      </c>
      <c r="AJ12" t="s">
        <v>804</v>
      </c>
      <c r="AK12" t="s">
        <v>805</v>
      </c>
      <c r="AL12" t="s">
        <v>806</v>
      </c>
      <c r="AM12" t="s">
        <v>35</v>
      </c>
      <c r="AN12" t="s">
        <v>807</v>
      </c>
      <c r="AO12" t="s">
        <v>808</v>
      </c>
      <c r="AP12" t="s">
        <v>809</v>
      </c>
      <c r="AQ12" t="s">
        <v>810</v>
      </c>
      <c r="AR12" t="s">
        <v>811</v>
      </c>
      <c r="AS12" t="s">
        <v>812</v>
      </c>
      <c r="AT12" t="s">
        <v>71</v>
      </c>
      <c r="AU12" t="s">
        <v>813</v>
      </c>
      <c r="AV12" t="s">
        <v>431</v>
      </c>
      <c r="AW12" t="s">
        <v>814</v>
      </c>
      <c r="AX12" t="s">
        <v>479</v>
      </c>
      <c r="AY12" t="s">
        <v>287</v>
      </c>
      <c r="AZ12" t="s">
        <v>255</v>
      </c>
      <c r="BA12" t="s">
        <v>257</v>
      </c>
      <c r="BB12" t="s">
        <v>258</v>
      </c>
      <c r="BC12" t="s">
        <v>815</v>
      </c>
      <c r="BD12" t="s">
        <v>288</v>
      </c>
      <c r="BE12" t="s">
        <v>256</v>
      </c>
      <c r="BF12" t="s">
        <v>259</v>
      </c>
      <c r="BG12" t="s">
        <v>260</v>
      </c>
      <c r="BH12" t="s">
        <v>796</v>
      </c>
      <c r="BI12" t="s">
        <v>816</v>
      </c>
      <c r="BJ12" t="s">
        <v>479</v>
      </c>
      <c r="BK12" t="s">
        <v>148</v>
      </c>
      <c r="BL12" t="s">
        <v>288</v>
      </c>
      <c r="BM12" t="s">
        <v>815</v>
      </c>
      <c r="BN12">
        <v>5.84</v>
      </c>
      <c r="BO12">
        <v>7.55</v>
      </c>
      <c r="BP12">
        <v>4.8099999999999996</v>
      </c>
      <c r="BQ12">
        <v>7.42</v>
      </c>
      <c r="BR12">
        <v>9.56</v>
      </c>
      <c r="BS12">
        <v>5.7</v>
      </c>
      <c r="BT12" t="s">
        <v>817</v>
      </c>
      <c r="BU12" t="s">
        <v>250</v>
      </c>
      <c r="BV12">
        <v>17.95</v>
      </c>
      <c r="BW12">
        <v>24.35</v>
      </c>
      <c r="BX12">
        <v>28.06</v>
      </c>
      <c r="BY12">
        <v>6.37</v>
      </c>
      <c r="BZ12">
        <v>9.44</v>
      </c>
      <c r="CA12">
        <v>9.4</v>
      </c>
      <c r="CB12">
        <v>1.83</v>
      </c>
      <c r="CC12">
        <v>-8.14</v>
      </c>
      <c r="CD12" t="s">
        <v>818</v>
      </c>
      <c r="CE12" t="s">
        <v>819</v>
      </c>
      <c r="CF12" s="7">
        <v>-0.11016949152542373</v>
      </c>
      <c r="CG12" s="8">
        <v>-0.66341560294117652</v>
      </c>
      <c r="CH12" s="7">
        <v>0.17699114978313446</v>
      </c>
      <c r="CI12" s="7">
        <v>0.87231963872909546</v>
      </c>
      <c r="CJ12" s="7">
        <v>0.21133412420749664</v>
      </c>
      <c r="CK12" s="7">
        <v>-6.2534622848033905E-2</v>
      </c>
      <c r="CL12" s="7">
        <v>-8.4599763154983521E-2</v>
      </c>
      <c r="CM12" s="8">
        <v>-0.34426230192184448</v>
      </c>
      <c r="CN12" s="8">
        <v>0.79411762952804565</v>
      </c>
      <c r="CO12" s="8">
        <v>2.6550428867340088</v>
      </c>
      <c r="CP12" s="8">
        <v>0.1832723468542099</v>
      </c>
      <c r="CQ12" s="8">
        <v>-0.44110056757926941</v>
      </c>
      <c r="CR12">
        <v>27.967591405219331</v>
      </c>
      <c r="CS12">
        <v>1.2558296816323962</v>
      </c>
      <c r="CT12">
        <v>1.0467289719626169</v>
      </c>
      <c r="CU12" s="7">
        <v>0.22270210534334184</v>
      </c>
      <c r="CV12" s="8">
        <v>0.56941399872303011</v>
      </c>
      <c r="CW12">
        <v>0.06</v>
      </c>
      <c r="CX12">
        <v>17.743361926445115</v>
      </c>
      <c r="CY12">
        <v>276838212.53056794</v>
      </c>
      <c r="CZ12">
        <v>0.22270210534334184</v>
      </c>
      <c r="DA12">
        <v>5.1911607931396011</v>
      </c>
      <c r="DB12">
        <v>946231641.77297819</v>
      </c>
      <c r="DC12">
        <v>0.21156700007617474</v>
      </c>
      <c r="DD12">
        <v>2.1890411939967258</v>
      </c>
      <c r="DE12">
        <v>2243923327.4690704</v>
      </c>
      <c r="DF12">
        <v>0.19597785270214083</v>
      </c>
      <c r="DG12">
        <v>1.0934046418422871</v>
      </c>
      <c r="DH12">
        <v>4492427059.5043926</v>
      </c>
      <c r="DI12">
        <v>0.17816168427467349</v>
      </c>
      <c r="DJ12">
        <v>0.36496188608060115</v>
      </c>
      <c r="DK12">
        <v>13459050896.386438</v>
      </c>
      <c r="DL12">
        <v>0.15589147374033926</v>
      </c>
      <c r="DM12">
        <v>240000000</v>
      </c>
      <c r="DN12">
        <v>0.22270210534334184</v>
      </c>
      <c r="DO12">
        <v>4912040600</v>
      </c>
      <c r="DP12">
        <v>-365554200</v>
      </c>
      <c r="DQ12">
        <v>1811</v>
      </c>
      <c r="DR12">
        <v>-0.33287159686876555</v>
      </c>
      <c r="DS12">
        <v>-1.2328296016642066</v>
      </c>
      <c r="DT12" s="9">
        <v>0.16</v>
      </c>
      <c r="DU12">
        <v>0.12333333333333336</v>
      </c>
      <c r="DV12">
        <v>0.28333333333333338</v>
      </c>
      <c r="DW12">
        <v>-2.0813999999999999</v>
      </c>
      <c r="DX12">
        <v>0.35684585635359128</v>
      </c>
      <c r="DY12">
        <v>-2.0127672527071825</v>
      </c>
      <c r="DZ12">
        <v>1081</v>
      </c>
      <c r="EA12">
        <v>-2.0100663916158981</v>
      </c>
      <c r="EB12">
        <v>2</v>
      </c>
      <c r="EC12">
        <v>3.266946845872265E-2</v>
      </c>
      <c r="ED12">
        <v>0.20829028715347789</v>
      </c>
      <c r="EE12" s="10">
        <v>-2.0207999999999999</v>
      </c>
      <c r="EF12">
        <v>-2.0053100000000001</v>
      </c>
      <c r="EG12">
        <v>20.156845856353591</v>
      </c>
      <c r="EH12" t="s">
        <v>638</v>
      </c>
      <c r="EI12">
        <v>0</v>
      </c>
      <c r="EJ12">
        <v>1</v>
      </c>
      <c r="EK12" s="12">
        <v>45470</v>
      </c>
      <c r="EL12" s="13">
        <v>0.94</v>
      </c>
      <c r="EM12" s="13">
        <v>-2.42</v>
      </c>
      <c r="EN12" s="13">
        <v>-0.56999999999999995</v>
      </c>
      <c r="EO12" s="13">
        <v>2.68</v>
      </c>
      <c r="EP12" s="13">
        <v>-2.61</v>
      </c>
    </row>
    <row r="13" spans="1:146" ht="96" x14ac:dyDescent="0.25">
      <c r="A13" s="6"/>
      <c r="B13" s="6"/>
      <c r="C13" s="6" t="str">
        <f>""&amp;CHAR(10)&amp;Basic_Fundamental_Information_Constructure(F13)&amp;CHAR(10)&amp;Basic_Fundamental_Information_Concatenate("")</f>
        <v xml:space="preserve">
市值42.922882亿, 利润3.50亿; PE12.25; 平均PE21.21; 平均PEG.49, PB1.33; ROIC7.8033%; ROE9.8267%; 股利率1.3417%; 毛利18.42%; 净利10.0567%; 上一年度营收增-6.42%, 利润增25.9%; 当季营收增-14.29%, 利润增.51%; 过往5年营收增43.12%, 利润增46.39%
Income profile:
</v>
      </c>
      <c r="D13" t="s">
        <v>64</v>
      </c>
      <c r="E13" t="s">
        <v>65</v>
      </c>
      <c r="F13">
        <v>11.18</v>
      </c>
      <c r="G13">
        <v>1.18</v>
      </c>
      <c r="H13" t="s">
        <v>820</v>
      </c>
      <c r="I13">
        <v>4292288200</v>
      </c>
      <c r="J13">
        <v>12.25</v>
      </c>
      <c r="K13">
        <v>1.33</v>
      </c>
      <c r="L13" t="s">
        <v>250</v>
      </c>
      <c r="M13" t="s">
        <v>821</v>
      </c>
      <c r="N13" t="s">
        <v>822</v>
      </c>
      <c r="O13" t="s">
        <v>823</v>
      </c>
      <c r="P13">
        <v>-14.24</v>
      </c>
      <c r="Q13" t="s">
        <v>824</v>
      </c>
      <c r="R13">
        <v>70174057</v>
      </c>
      <c r="S13" s="5">
        <v>5.1200000000000004E-3</v>
      </c>
      <c r="T13" t="s">
        <v>510</v>
      </c>
      <c r="U13">
        <v>367073580</v>
      </c>
      <c r="V13">
        <v>383925600</v>
      </c>
      <c r="W13">
        <v>1.71</v>
      </c>
      <c r="X13">
        <v>0.15</v>
      </c>
      <c r="Y13">
        <v>8.4600000000000009</v>
      </c>
      <c r="Z13" t="s">
        <v>825</v>
      </c>
      <c r="AA13" t="s">
        <v>826</v>
      </c>
      <c r="AB13" t="s">
        <v>827</v>
      </c>
      <c r="AC13" t="s">
        <v>828</v>
      </c>
      <c r="AD13" t="s">
        <v>35</v>
      </c>
      <c r="AE13">
        <v>-2774178</v>
      </c>
      <c r="AF13" t="s">
        <v>829</v>
      </c>
      <c r="AG13" t="s">
        <v>830</v>
      </c>
      <c r="AH13" t="s">
        <v>831</v>
      </c>
      <c r="AI13" t="s">
        <v>832</v>
      </c>
      <c r="AJ13" t="s">
        <v>833</v>
      </c>
      <c r="AK13" t="s">
        <v>834</v>
      </c>
      <c r="AL13" t="s">
        <v>835</v>
      </c>
      <c r="AM13" t="s">
        <v>35</v>
      </c>
      <c r="AN13" t="s">
        <v>836</v>
      </c>
      <c r="AO13" t="s">
        <v>837</v>
      </c>
      <c r="AP13" t="s">
        <v>838</v>
      </c>
      <c r="AQ13" t="s">
        <v>486</v>
      </c>
      <c r="AR13" t="s">
        <v>35</v>
      </c>
      <c r="AS13" t="s">
        <v>839</v>
      </c>
      <c r="AT13" t="s">
        <v>840</v>
      </c>
      <c r="AU13" t="s">
        <v>841</v>
      </c>
      <c r="AV13" t="s">
        <v>842</v>
      </c>
      <c r="AW13" t="s">
        <v>446</v>
      </c>
      <c r="AX13" t="s">
        <v>485</v>
      </c>
      <c r="AY13" t="s">
        <v>289</v>
      </c>
      <c r="AZ13" t="s">
        <v>88</v>
      </c>
      <c r="BA13" t="s">
        <v>66</v>
      </c>
      <c r="BB13" t="s">
        <v>164</v>
      </c>
      <c r="BC13" t="s">
        <v>486</v>
      </c>
      <c r="BD13" t="s">
        <v>290</v>
      </c>
      <c r="BE13" t="s">
        <v>163</v>
      </c>
      <c r="BF13" t="s">
        <v>67</v>
      </c>
      <c r="BG13" t="s">
        <v>165</v>
      </c>
      <c r="BH13" t="s">
        <v>824</v>
      </c>
      <c r="BI13" t="s">
        <v>843</v>
      </c>
      <c r="BJ13" t="s">
        <v>485</v>
      </c>
      <c r="BK13" t="s">
        <v>510</v>
      </c>
      <c r="BL13" t="s">
        <v>844</v>
      </c>
      <c r="BM13" t="s">
        <v>486</v>
      </c>
      <c r="BN13">
        <v>6.39</v>
      </c>
      <c r="BO13">
        <v>8.34</v>
      </c>
      <c r="BP13">
        <v>8.68</v>
      </c>
      <c r="BQ13">
        <v>8.84</v>
      </c>
      <c r="BR13">
        <v>10.43</v>
      </c>
      <c r="BS13">
        <v>10.210000000000001</v>
      </c>
      <c r="BT13" t="s">
        <v>499</v>
      </c>
      <c r="BU13" t="s">
        <v>250</v>
      </c>
      <c r="BV13">
        <v>19.22</v>
      </c>
      <c r="BW13">
        <v>17.100000000000001</v>
      </c>
      <c r="BX13">
        <v>18.940000000000001</v>
      </c>
      <c r="BY13">
        <v>11.46</v>
      </c>
      <c r="BZ13">
        <v>8.51</v>
      </c>
      <c r="CA13">
        <v>10.199999999999999</v>
      </c>
      <c r="CB13">
        <v>-5.01</v>
      </c>
      <c r="CC13">
        <v>-13.33</v>
      </c>
      <c r="CD13" t="s">
        <v>845</v>
      </c>
      <c r="CE13" t="s">
        <v>846</v>
      </c>
      <c r="CF13" s="7">
        <v>-0.14285714285714285</v>
      </c>
      <c r="CG13" s="8">
        <v>5.1170635147987304E-3</v>
      </c>
      <c r="CH13" s="7">
        <v>-6.4189165830612183E-2</v>
      </c>
      <c r="CI13" s="7">
        <v>0.35272118449211121</v>
      </c>
      <c r="CJ13" s="7">
        <v>0.2168857753276825</v>
      </c>
      <c r="CK13" s="7">
        <v>0.91295939683914185</v>
      </c>
      <c r="CL13" s="7">
        <v>0.73781514167785645</v>
      </c>
      <c r="CM13" s="8">
        <v>0.25899279117584229</v>
      </c>
      <c r="CN13" s="8">
        <v>0.13469387590885162</v>
      </c>
      <c r="CO13" s="8">
        <v>0.25</v>
      </c>
      <c r="CP13" s="8">
        <v>1.5311355590820313</v>
      </c>
      <c r="CQ13" s="8">
        <v>0.14489410817623138</v>
      </c>
      <c r="CR13">
        <v>21.212700869603037</v>
      </c>
      <c r="CS13">
        <v>0.49190187141021752</v>
      </c>
      <c r="CT13">
        <v>1.3416815742397139</v>
      </c>
      <c r="CU13" s="7">
        <v>0.43123846650123598</v>
      </c>
      <c r="CV13" s="8">
        <v>0.46394326686859133</v>
      </c>
      <c r="CW13">
        <v>0.06</v>
      </c>
      <c r="CX13">
        <v>6.9158595821240771</v>
      </c>
      <c r="CY13">
        <v>472578738.93908733</v>
      </c>
      <c r="CZ13">
        <v>0.43123846650123598</v>
      </c>
      <c r="DA13">
        <v>1.7132334179845716</v>
      </c>
      <c r="DB13">
        <v>1907672454.7229397</v>
      </c>
      <c r="DC13">
        <v>0.40967654317617419</v>
      </c>
      <c r="DD13">
        <v>0.56053859694524366</v>
      </c>
      <c r="DE13">
        <v>5830621152.2473688</v>
      </c>
      <c r="DF13">
        <v>0.37948985052108769</v>
      </c>
      <c r="DG13">
        <v>0.20153692553971206</v>
      </c>
      <c r="DH13">
        <v>16216820769.928818</v>
      </c>
      <c r="DI13">
        <v>0.34499077320098881</v>
      </c>
      <c r="DJ13">
        <v>2.8921986809731785E-2</v>
      </c>
      <c r="DK13">
        <v>113003585179.01935</v>
      </c>
      <c r="DL13">
        <v>0.30186692655086517</v>
      </c>
      <c r="DM13">
        <v>350000000</v>
      </c>
      <c r="DN13">
        <v>0.43123846650123598</v>
      </c>
      <c r="DO13">
        <v>3268288200</v>
      </c>
      <c r="DP13">
        <v>1118050400</v>
      </c>
      <c r="DQ13">
        <v>1906</v>
      </c>
      <c r="DR13">
        <v>-0.57409560935837889</v>
      </c>
      <c r="DS13">
        <v>-0.45882620335379259</v>
      </c>
      <c r="DT13" s="9">
        <v>0.27666666666666662</v>
      </c>
      <c r="DU13">
        <v>0.53333333333333333</v>
      </c>
      <c r="DV13">
        <v>0.80999999999999994</v>
      </c>
      <c r="DW13">
        <v>-8.3758439609902471</v>
      </c>
      <c r="DX13">
        <v>0.31803082730418397</v>
      </c>
      <c r="DY13">
        <v>-8.0669118113123748</v>
      </c>
      <c r="DZ13">
        <v>346</v>
      </c>
      <c r="EA13">
        <v>-8.062381187689267</v>
      </c>
      <c r="EB13">
        <v>8</v>
      </c>
      <c r="EC13">
        <v>2.9482795624985673E-2</v>
      </c>
      <c r="ED13">
        <v>0.16560500263592737</v>
      </c>
      <c r="EE13" s="10">
        <v>2.1009099999999998</v>
      </c>
      <c r="EF13">
        <v>2.1224099999999999</v>
      </c>
      <c r="EG13">
        <v>14.178030827304184</v>
      </c>
      <c r="EH13" t="s">
        <v>710</v>
      </c>
      <c r="EI13">
        <v>0</v>
      </c>
      <c r="EJ13">
        <v>1</v>
      </c>
      <c r="EK13" s="12">
        <v>45470</v>
      </c>
      <c r="EL13" s="13">
        <v>0.68</v>
      </c>
      <c r="EM13" s="13">
        <v>-4.41</v>
      </c>
      <c r="EN13" s="13">
        <v>0.71</v>
      </c>
      <c r="EO13" s="13">
        <v>2.38</v>
      </c>
      <c r="EP13" s="13">
        <v>-2.15</v>
      </c>
    </row>
    <row r="14" spans="1:146" ht="96" x14ac:dyDescent="0.25">
      <c r="A14" s="6"/>
      <c r="B14" s="6"/>
      <c r="C14" s="6" t="str">
        <f>""&amp;CHAR(10)&amp;Basic_Fundamental_Information_Constructure(F14)&amp;CHAR(10)&amp;Basic_Fundamental_Information_Concatenate("")</f>
        <v xml:space="preserve">
市值22.655941亿, 利润2079.17万; PE; 平均PE-139.67; 平均PEG-.32, PB1.17; ROIC1.91%; ROE-3.1267%; 股利率0%; 毛利18.2433%; 净利-2.15%; 上一年度营收增2195.36%, 利润增121.08%; 当季营收增-92.6%, 利润增-115.31%; 过往5年营收增443.31%, 利润增-29.47%
Income profile:
</v>
      </c>
      <c r="D14" t="s">
        <v>75</v>
      </c>
      <c r="E14" t="s">
        <v>16</v>
      </c>
      <c r="F14">
        <v>3.72</v>
      </c>
      <c r="G14">
        <v>0.54</v>
      </c>
      <c r="H14" t="s">
        <v>847</v>
      </c>
      <c r="I14">
        <v>2265594100</v>
      </c>
      <c r="K14">
        <v>1.17</v>
      </c>
      <c r="L14" t="s">
        <v>250</v>
      </c>
      <c r="M14" t="s">
        <v>848</v>
      </c>
      <c r="N14" t="s">
        <v>342</v>
      </c>
      <c r="O14" t="s">
        <v>849</v>
      </c>
      <c r="P14">
        <v>14.98</v>
      </c>
      <c r="Q14" t="s">
        <v>850</v>
      </c>
      <c r="R14">
        <v>-15071619</v>
      </c>
      <c r="S14" s="5">
        <v>0.72389999999999999</v>
      </c>
      <c r="T14" t="s">
        <v>851</v>
      </c>
      <c r="U14">
        <v>609030680</v>
      </c>
      <c r="V14">
        <v>609030680</v>
      </c>
      <c r="W14">
        <v>3.25</v>
      </c>
      <c r="X14">
        <v>0.11</v>
      </c>
      <c r="Y14">
        <v>-2.79</v>
      </c>
      <c r="Z14" t="s">
        <v>852</v>
      </c>
      <c r="AA14" t="s">
        <v>853</v>
      </c>
      <c r="AB14" t="s">
        <v>854</v>
      </c>
      <c r="AC14" t="s">
        <v>855</v>
      </c>
      <c r="AD14" t="s">
        <v>35</v>
      </c>
      <c r="AE14">
        <v>25385148</v>
      </c>
      <c r="AF14" t="s">
        <v>856</v>
      </c>
      <c r="AG14" t="s">
        <v>857</v>
      </c>
      <c r="AH14" t="s">
        <v>858</v>
      </c>
      <c r="AI14" t="s">
        <v>859</v>
      </c>
      <c r="AJ14" t="s">
        <v>860</v>
      </c>
      <c r="AK14" t="s">
        <v>861</v>
      </c>
      <c r="AL14" t="s">
        <v>862</v>
      </c>
      <c r="AM14" t="s">
        <v>35</v>
      </c>
      <c r="AN14" t="s">
        <v>640</v>
      </c>
      <c r="AO14" t="s">
        <v>863</v>
      </c>
      <c r="AP14" t="s">
        <v>35</v>
      </c>
      <c r="AQ14" t="s">
        <v>864</v>
      </c>
      <c r="AR14" t="s">
        <v>35</v>
      </c>
      <c r="AS14" t="s">
        <v>194</v>
      </c>
      <c r="AT14" t="s">
        <v>865</v>
      </c>
      <c r="AU14" t="s">
        <v>866</v>
      </c>
      <c r="AV14" t="s">
        <v>867</v>
      </c>
      <c r="AW14" t="s">
        <v>868</v>
      </c>
      <c r="AX14" t="s">
        <v>488</v>
      </c>
      <c r="AY14" t="s">
        <v>291</v>
      </c>
      <c r="AZ14" t="s">
        <v>169</v>
      </c>
      <c r="BA14" t="s">
        <v>76</v>
      </c>
      <c r="BB14" t="s">
        <v>171</v>
      </c>
      <c r="BC14" t="s">
        <v>869</v>
      </c>
      <c r="BD14" t="s">
        <v>292</v>
      </c>
      <c r="BE14" t="s">
        <v>170</v>
      </c>
      <c r="BF14" t="s">
        <v>77</v>
      </c>
      <c r="BG14" t="s">
        <v>172</v>
      </c>
      <c r="BH14" t="s">
        <v>870</v>
      </c>
      <c r="BI14" t="s">
        <v>871</v>
      </c>
      <c r="BJ14" t="s">
        <v>488</v>
      </c>
      <c r="BK14" t="s">
        <v>872</v>
      </c>
      <c r="BL14" t="s">
        <v>873</v>
      </c>
      <c r="BM14" t="s">
        <v>869</v>
      </c>
      <c r="BN14" t="s">
        <v>35</v>
      </c>
      <c r="BO14" t="s">
        <v>35</v>
      </c>
      <c r="BP14">
        <v>1.91</v>
      </c>
      <c r="BQ14">
        <v>-5.77</v>
      </c>
      <c r="BR14">
        <v>-4.7699999999999996</v>
      </c>
      <c r="BS14">
        <v>1.1599999999999999</v>
      </c>
      <c r="BT14" t="s">
        <v>429</v>
      </c>
      <c r="BU14" t="s">
        <v>250</v>
      </c>
      <c r="BV14">
        <v>15.63</v>
      </c>
      <c r="BW14">
        <v>16.16</v>
      </c>
      <c r="BX14">
        <v>22.94</v>
      </c>
      <c r="BY14">
        <v>-2.82</v>
      </c>
      <c r="BZ14">
        <v>-5.19</v>
      </c>
      <c r="CA14">
        <v>1.56</v>
      </c>
      <c r="CB14">
        <v>1.64</v>
      </c>
      <c r="CC14">
        <v>-9.7100000000000009</v>
      </c>
      <c r="CD14" t="s">
        <v>874</v>
      </c>
      <c r="CE14" t="s">
        <v>875</v>
      </c>
      <c r="CF14" s="7">
        <v>-0.9260056768131546</v>
      </c>
      <c r="CG14" s="8">
        <v>-1.1530753878779754</v>
      </c>
      <c r="CH14" s="7">
        <v>21.953586578369141</v>
      </c>
      <c r="CI14" s="7">
        <v>5.509185791015625E-2</v>
      </c>
      <c r="CJ14" s="7">
        <v>0.15044809877872467</v>
      </c>
      <c r="CK14" s="7">
        <v>-9.8672784864902496E-2</v>
      </c>
      <c r="CL14" s="7">
        <v>0.10522954910993576</v>
      </c>
      <c r="CM14" s="8">
        <v>1.2108297348022461</v>
      </c>
      <c r="CN14" s="8">
        <v>-5.0264568328857422</v>
      </c>
      <c r="CO14" s="8">
        <v>0.49080595374107361</v>
      </c>
      <c r="CP14" s="8">
        <v>0.71443629264831543</v>
      </c>
      <c r="CQ14" s="8">
        <v>1.1368948221206665</v>
      </c>
      <c r="CR14">
        <v>-139.6741646921501</v>
      </c>
      <c r="CS14">
        <v>-0.31506848403031595</v>
      </c>
      <c r="CT14">
        <v>0</v>
      </c>
      <c r="CU14" s="7">
        <v>4.4331366598606108</v>
      </c>
      <c r="CV14" s="8">
        <v>-0.29469800591468809</v>
      </c>
      <c r="CW14">
        <v>0.06</v>
      </c>
      <c r="CX14">
        <v>48.518311940035758</v>
      </c>
      <c r="CY14">
        <v>106569950.46304138</v>
      </c>
      <c r="CZ14">
        <v>4.4331366598606108</v>
      </c>
      <c r="DA14">
        <v>1.6811118681728998</v>
      </c>
      <c r="DB14">
        <v>3075699004.8613544</v>
      </c>
      <c r="DC14">
        <v>4.2114798268675804</v>
      </c>
      <c r="DD14">
        <v>1.9948038040685043E-2</v>
      </c>
      <c r="DE14">
        <v>259203140151.14215</v>
      </c>
      <c r="DF14">
        <v>3.9011602606773375</v>
      </c>
      <c r="DG14">
        <v>9.0498459259873702E-5</v>
      </c>
      <c r="DH14">
        <v>57134609166684.461</v>
      </c>
      <c r="DI14">
        <v>3.5465093278884887</v>
      </c>
      <c r="DJ14">
        <v>3.2324429052694486E-10</v>
      </c>
      <c r="DK14">
        <v>1.5995933266357234E+19</v>
      </c>
      <c r="DL14">
        <v>3.1031956619024275</v>
      </c>
      <c r="DM14">
        <v>20791700</v>
      </c>
      <c r="DN14">
        <v>4.4331366598606108</v>
      </c>
      <c r="DO14">
        <v>5170594100</v>
      </c>
      <c r="DP14">
        <v>-1587298070</v>
      </c>
      <c r="DQ14">
        <v>3105</v>
      </c>
      <c r="DR14">
        <v>-5.3591423366737656</v>
      </c>
      <c r="DS14">
        <v>-0.85837738196328728</v>
      </c>
      <c r="DT14" s="9">
        <v>-6.6666666666666714E-3</v>
      </c>
      <c r="DU14">
        <v>-0.71500000000000019</v>
      </c>
      <c r="DV14">
        <v>-0.7216666666666669</v>
      </c>
      <c r="DW14">
        <v>-2.0971000000000002</v>
      </c>
      <c r="DX14">
        <v>0.35337480314960512</v>
      </c>
      <c r="DY14">
        <v>-2.0139216933858268</v>
      </c>
      <c r="DZ14">
        <v>2214</v>
      </c>
      <c r="EA14">
        <v>-2.0078898677192476</v>
      </c>
      <c r="EB14">
        <v>2</v>
      </c>
      <c r="EC14">
        <v>2.9897672806893736E-2</v>
      </c>
      <c r="ED14">
        <v>0.20852808269034986</v>
      </c>
      <c r="EE14" s="10">
        <v>8.8499999999999995E-2</v>
      </c>
      <c r="EF14">
        <v>7.6999999999999999E-2</v>
      </c>
      <c r="EG14">
        <v>21.143374803149605</v>
      </c>
      <c r="EH14" t="s">
        <v>341</v>
      </c>
      <c r="EI14">
        <v>0</v>
      </c>
      <c r="EJ14">
        <v>0</v>
      </c>
      <c r="EK14" s="12">
        <v>45470</v>
      </c>
      <c r="EL14" s="13">
        <v>0.1</v>
      </c>
      <c r="EM14" s="13">
        <v>-1.39</v>
      </c>
      <c r="EN14" s="13">
        <v>0.72</v>
      </c>
      <c r="EO14" s="13">
        <v>0.96</v>
      </c>
      <c r="EP14" s="13">
        <v>-1.1499999999999999</v>
      </c>
    </row>
    <row r="15" spans="1:146" ht="96" x14ac:dyDescent="0.25">
      <c r="A15" s="6"/>
      <c r="B15" s="6"/>
      <c r="C15" s="6" t="str">
        <f>""&amp;CHAR(10)&amp;Basic_Fundamental_Information_Constructure(F15)&amp;CHAR(10)&amp;Basic_Fundamental_Information_Concatenate("")</f>
        <v xml:space="preserve">
市值47.265199亿, 利润7.61亿; PE56.35; 平均PE108.52; 平均PEG32.17, PB1.24; ROIC-23.9633%; ROE.55%; 股利率5.9184%; 毛利13.7567%; 净利-.3467%; 上一年度营收增-53.72%, 利润增1060.21%; 当季营收增254.45%, 利润增-35.19%; 过往5年营收增-3.37%, 利润增-181.58%
Income profile:
</v>
      </c>
      <c r="D15" t="s">
        <v>80</v>
      </c>
      <c r="E15" t="s">
        <v>5</v>
      </c>
      <c r="F15">
        <v>2.4500000000000002</v>
      </c>
      <c r="G15">
        <v>0.41</v>
      </c>
      <c r="H15" t="s">
        <v>876</v>
      </c>
      <c r="I15">
        <v>4726519900</v>
      </c>
      <c r="J15">
        <v>56.35</v>
      </c>
      <c r="K15">
        <v>1.24</v>
      </c>
      <c r="L15" t="s">
        <v>250</v>
      </c>
      <c r="M15" t="s">
        <v>877</v>
      </c>
      <c r="N15" t="s">
        <v>878</v>
      </c>
      <c r="O15" t="s">
        <v>879</v>
      </c>
      <c r="P15">
        <v>3.02</v>
      </c>
      <c r="Q15" t="s">
        <v>880</v>
      </c>
      <c r="R15">
        <v>121837225</v>
      </c>
      <c r="S15" s="5">
        <v>5.0799999999999998E-2</v>
      </c>
      <c r="T15" t="s">
        <v>492</v>
      </c>
      <c r="U15">
        <v>1775542700</v>
      </c>
      <c r="V15">
        <v>1929191800</v>
      </c>
      <c r="W15">
        <v>6.89</v>
      </c>
      <c r="X15">
        <v>0.2</v>
      </c>
      <c r="Y15">
        <v>2.61</v>
      </c>
      <c r="Z15" t="s">
        <v>881</v>
      </c>
      <c r="AA15" t="s">
        <v>882</v>
      </c>
      <c r="AB15" t="s">
        <v>883</v>
      </c>
      <c r="AC15" t="s">
        <v>94</v>
      </c>
      <c r="AD15" t="s">
        <v>35</v>
      </c>
      <c r="AE15">
        <v>179974700</v>
      </c>
      <c r="AF15" t="s">
        <v>884</v>
      </c>
      <c r="AG15" t="s">
        <v>885</v>
      </c>
      <c r="AH15" t="s">
        <v>886</v>
      </c>
      <c r="AI15" t="s">
        <v>887</v>
      </c>
      <c r="AJ15" t="s">
        <v>888</v>
      </c>
      <c r="AK15" t="s">
        <v>35</v>
      </c>
      <c r="AL15" t="s">
        <v>889</v>
      </c>
      <c r="AM15" t="s">
        <v>35</v>
      </c>
      <c r="AN15" t="s">
        <v>890</v>
      </c>
      <c r="AO15" t="s">
        <v>891</v>
      </c>
      <c r="AP15" t="s">
        <v>892</v>
      </c>
      <c r="AQ15" t="s">
        <v>457</v>
      </c>
      <c r="AR15" t="s">
        <v>35</v>
      </c>
      <c r="AS15" t="s">
        <v>893</v>
      </c>
      <c r="AT15" t="s">
        <v>894</v>
      </c>
      <c r="AU15" t="s">
        <v>895</v>
      </c>
      <c r="AV15" t="s">
        <v>414</v>
      </c>
      <c r="AW15" t="s">
        <v>896</v>
      </c>
      <c r="AX15" t="s">
        <v>897</v>
      </c>
      <c r="AY15" t="s">
        <v>293</v>
      </c>
      <c r="AZ15" t="s">
        <v>295</v>
      </c>
      <c r="BA15" t="s">
        <v>173</v>
      </c>
      <c r="BB15" t="s">
        <v>174</v>
      </c>
      <c r="BC15" t="s">
        <v>898</v>
      </c>
      <c r="BD15" t="s">
        <v>294</v>
      </c>
      <c r="BE15" t="s">
        <v>296</v>
      </c>
      <c r="BF15" t="s">
        <v>175</v>
      </c>
      <c r="BG15" t="s">
        <v>176</v>
      </c>
      <c r="BH15" t="s">
        <v>899</v>
      </c>
      <c r="BI15" t="s">
        <v>900</v>
      </c>
      <c r="BJ15" t="s">
        <v>897</v>
      </c>
      <c r="BK15" t="s">
        <v>901</v>
      </c>
      <c r="BL15" t="s">
        <v>902</v>
      </c>
      <c r="BM15" t="s">
        <v>898</v>
      </c>
      <c r="BN15">
        <v>-57.7</v>
      </c>
      <c r="BO15">
        <v>-9.8699999999999992</v>
      </c>
      <c r="BP15">
        <v>-4.32</v>
      </c>
      <c r="BQ15">
        <v>-1.1599999999999999</v>
      </c>
      <c r="BR15">
        <v>1.76</v>
      </c>
      <c r="BS15">
        <v>1.05</v>
      </c>
      <c r="BT15" t="s">
        <v>903</v>
      </c>
      <c r="BU15" t="s">
        <v>250</v>
      </c>
      <c r="BV15">
        <v>9.5399999999999991</v>
      </c>
      <c r="BW15">
        <v>11.04</v>
      </c>
      <c r="BX15">
        <v>20.69</v>
      </c>
      <c r="BY15">
        <v>0.35</v>
      </c>
      <c r="BZ15">
        <v>-0.57999999999999996</v>
      </c>
      <c r="CA15">
        <v>-0.81</v>
      </c>
      <c r="CB15">
        <v>-2</v>
      </c>
      <c r="CC15">
        <v>-13.93</v>
      </c>
      <c r="CD15" t="s">
        <v>904</v>
      </c>
      <c r="CE15" t="s">
        <v>440</v>
      </c>
      <c r="CF15" s="7">
        <v>2.5445184736523316</v>
      </c>
      <c r="CG15" s="8">
        <v>-0.35192965425531914</v>
      </c>
      <c r="CH15" s="7">
        <v>-0.53720808029174805</v>
      </c>
      <c r="CI15" s="7">
        <v>0.23635785281658173</v>
      </c>
      <c r="CJ15" s="7">
        <v>2.3044487461447716E-2</v>
      </c>
      <c r="CK15" s="7">
        <v>0.1304347962141037</v>
      </c>
      <c r="CL15" s="7">
        <v>-2.1276658400893211E-2</v>
      </c>
      <c r="CM15" s="8">
        <v>10.602078437805176</v>
      </c>
      <c r="CN15" s="8">
        <v>0.44597095251083374</v>
      </c>
      <c r="CO15" s="8">
        <v>1.0656465291976929</v>
      </c>
      <c r="CP15" s="8">
        <v>-20.949935913085938</v>
      </c>
      <c r="CQ15" s="8">
        <v>-0.24275475740432739</v>
      </c>
      <c r="CR15">
        <v>108.51821505717855</v>
      </c>
      <c r="CS15">
        <v>32.173067876814322</v>
      </c>
      <c r="CT15">
        <v>5.9183673469387745</v>
      </c>
      <c r="CU15" s="7">
        <v>-3.3729520440101621E-2</v>
      </c>
      <c r="CV15" s="8">
        <v>-1.8157989501953125</v>
      </c>
      <c r="CW15">
        <v>0.06</v>
      </c>
      <c r="CX15">
        <v>33.322627989487515</v>
      </c>
      <c r="CY15" t="s">
        <v>905</v>
      </c>
      <c r="CZ15">
        <v>-3.3729520440101621E-2</v>
      </c>
      <c r="DA15">
        <v>11.107542663162505</v>
      </c>
      <c r="DB15" t="s">
        <v>906</v>
      </c>
      <c r="DC15">
        <v>-3.2043044418096536E-2</v>
      </c>
      <c r="DD15">
        <v>5.5537713315812525</v>
      </c>
      <c r="DE15" t="s">
        <v>907</v>
      </c>
      <c r="DF15">
        <v>-2.9681977987289426E-2</v>
      </c>
      <c r="DG15">
        <v>3.3322627989487517</v>
      </c>
      <c r="DH15" t="s">
        <v>908</v>
      </c>
      <c r="DI15">
        <v>-2.6983616352081297E-2</v>
      </c>
      <c r="DJ15">
        <v>1.6661313994743758</v>
      </c>
      <c r="DK15" t="s">
        <v>909</v>
      </c>
      <c r="DL15">
        <v>-2.3610664308071135E-2</v>
      </c>
      <c r="DM15">
        <v>761000000</v>
      </c>
      <c r="DN15">
        <v>-3.3729520440101621E-2</v>
      </c>
      <c r="DO15">
        <v>25358519900</v>
      </c>
      <c r="DP15">
        <v>-4121326400</v>
      </c>
      <c r="DQ15">
        <v>3322</v>
      </c>
      <c r="DR15">
        <v>2.5782479940924334</v>
      </c>
      <c r="DS15">
        <v>1.4638692959399933</v>
      </c>
      <c r="DT15" s="9">
        <v>-0.45666666666666672</v>
      </c>
      <c r="DU15">
        <v>-0.47333333333333338</v>
      </c>
      <c r="DV15">
        <v>-0.93000000000000016</v>
      </c>
      <c r="DW15">
        <v>-2.1393</v>
      </c>
      <c r="DX15">
        <v>0.34572481653746701</v>
      </c>
      <c r="DY15">
        <v>-2.0286574669436694</v>
      </c>
      <c r="DZ15">
        <v>3562</v>
      </c>
      <c r="EA15">
        <v>-2.0086813618060275</v>
      </c>
      <c r="EB15">
        <v>2</v>
      </c>
      <c r="EC15">
        <v>4.1268835996503821E-2</v>
      </c>
      <c r="ED15">
        <v>0.20060213815961689</v>
      </c>
      <c r="EE15" s="10">
        <v>-2.1247099999999999</v>
      </c>
      <c r="EF15">
        <v>-2.1288100000000001</v>
      </c>
      <c r="EG15">
        <v>14.205724816537467</v>
      </c>
      <c r="EH15" t="s">
        <v>638</v>
      </c>
      <c r="EI15">
        <v>0</v>
      </c>
      <c r="EJ15">
        <v>0</v>
      </c>
      <c r="EK15" s="12">
        <v>45470</v>
      </c>
      <c r="EL15" s="13">
        <v>-1.9</v>
      </c>
      <c r="EM15" s="13">
        <v>-6.96</v>
      </c>
      <c r="EN15" s="13">
        <v>-0.42</v>
      </c>
      <c r="EO15" s="13">
        <v>1.46</v>
      </c>
      <c r="EP15" s="13">
        <v>-0.41</v>
      </c>
    </row>
    <row r="16" spans="1:146" ht="96" x14ac:dyDescent="0.25">
      <c r="A16" s="6"/>
      <c r="B16" s="6"/>
      <c r="C16" s="6" t="str">
        <f>""&amp;CHAR(10)&amp;Basic_Fundamental_Information_Constructure(F16)&amp;CHAR(10)&amp;Basic_Fundamental_Information_Concatenate("")</f>
        <v xml:space="preserve">
市值79.715736亿, 利润-1.69亿; PE; 平均PE36.23; 平均PEG2.4, PB.956; ROIC3.105%; ROE.95%; 股利率1.2963%; 毛利14.1633%; 净利2.5533%; 上一年度营收增-93.34%, 利润增49.25%; 当季营收增3671.31%, 利润增470.56%; 过往5年营收增-15.1%, 利润增-38.77%
Income profile:
</v>
      </c>
      <c r="D16" t="s">
        <v>82</v>
      </c>
      <c r="E16" t="s">
        <v>8</v>
      </c>
      <c r="F16">
        <v>2.7</v>
      </c>
      <c r="G16">
        <v>0.75</v>
      </c>
      <c r="H16" t="s">
        <v>910</v>
      </c>
      <c r="I16">
        <v>7971573600</v>
      </c>
      <c r="K16">
        <v>0.95599999999999996</v>
      </c>
      <c r="L16" t="s">
        <v>250</v>
      </c>
      <c r="M16" t="s">
        <v>911</v>
      </c>
      <c r="N16" t="s">
        <v>912</v>
      </c>
      <c r="O16" t="s">
        <v>913</v>
      </c>
      <c r="P16">
        <v>0.95</v>
      </c>
      <c r="Q16" t="s">
        <v>450</v>
      </c>
      <c r="R16">
        <v>27680915</v>
      </c>
      <c r="S16" s="5">
        <v>-0.89339999999999997</v>
      </c>
      <c r="T16" t="s">
        <v>914</v>
      </c>
      <c r="U16">
        <v>2418791700</v>
      </c>
      <c r="V16">
        <v>2952434700</v>
      </c>
      <c r="W16">
        <v>2.34</v>
      </c>
      <c r="X16">
        <v>0.09</v>
      </c>
      <c r="Y16">
        <v>3.84</v>
      </c>
      <c r="Z16" t="s">
        <v>915</v>
      </c>
      <c r="AA16" t="s">
        <v>916</v>
      </c>
      <c r="AB16" t="s">
        <v>917</v>
      </c>
      <c r="AC16" t="s">
        <v>918</v>
      </c>
      <c r="AD16" t="s">
        <v>35</v>
      </c>
      <c r="AE16">
        <v>32789954</v>
      </c>
      <c r="AF16" t="s">
        <v>919</v>
      </c>
      <c r="AG16" t="s">
        <v>920</v>
      </c>
      <c r="AH16" t="s">
        <v>921</v>
      </c>
      <c r="AI16" t="s">
        <v>922</v>
      </c>
      <c r="AJ16" t="s">
        <v>923</v>
      </c>
      <c r="AK16" t="s">
        <v>924</v>
      </c>
      <c r="AL16" t="s">
        <v>925</v>
      </c>
      <c r="AM16" t="s">
        <v>35</v>
      </c>
      <c r="AN16" t="s">
        <v>926</v>
      </c>
      <c r="AO16" t="s">
        <v>927</v>
      </c>
      <c r="AP16" t="s">
        <v>35</v>
      </c>
      <c r="AQ16" t="s">
        <v>928</v>
      </c>
      <c r="AR16" t="s">
        <v>929</v>
      </c>
      <c r="AS16" t="s">
        <v>930</v>
      </c>
      <c r="AT16" t="s">
        <v>931</v>
      </c>
      <c r="AU16" t="s">
        <v>932</v>
      </c>
      <c r="AV16" t="s">
        <v>933</v>
      </c>
      <c r="AW16" t="s">
        <v>137</v>
      </c>
      <c r="AX16" t="s">
        <v>497</v>
      </c>
      <c r="AY16" t="s">
        <v>495</v>
      </c>
      <c r="AZ16" t="s">
        <v>496</v>
      </c>
      <c r="BA16" t="s">
        <v>177</v>
      </c>
      <c r="BB16" t="s">
        <v>178</v>
      </c>
      <c r="BC16" t="s">
        <v>493</v>
      </c>
      <c r="BD16" t="s">
        <v>297</v>
      </c>
      <c r="BE16" t="s">
        <v>74</v>
      </c>
      <c r="BF16" t="s">
        <v>83</v>
      </c>
      <c r="BG16" t="s">
        <v>179</v>
      </c>
      <c r="BH16" t="s">
        <v>934</v>
      </c>
      <c r="BI16" t="s">
        <v>935</v>
      </c>
      <c r="BJ16" t="s">
        <v>497</v>
      </c>
      <c r="BK16" t="s">
        <v>936</v>
      </c>
      <c r="BL16" t="s">
        <v>937</v>
      </c>
      <c r="BM16" t="s">
        <v>493</v>
      </c>
      <c r="BN16">
        <v>2.62</v>
      </c>
      <c r="BO16" t="s">
        <v>35</v>
      </c>
      <c r="BP16">
        <v>3.59</v>
      </c>
      <c r="BQ16">
        <v>3.29</v>
      </c>
      <c r="BR16">
        <v>-3.96</v>
      </c>
      <c r="BS16">
        <v>3.52</v>
      </c>
      <c r="BT16" t="s">
        <v>938</v>
      </c>
      <c r="BU16" t="s">
        <v>250</v>
      </c>
      <c r="BV16">
        <v>14.35</v>
      </c>
      <c r="BW16">
        <v>13.07</v>
      </c>
      <c r="BX16">
        <v>15.07</v>
      </c>
      <c r="BY16">
        <v>4.82</v>
      </c>
      <c r="BZ16">
        <v>-4.4000000000000004</v>
      </c>
      <c r="CA16">
        <v>7.24</v>
      </c>
      <c r="CB16">
        <v>0.75</v>
      </c>
      <c r="CC16">
        <v>-6.9</v>
      </c>
      <c r="CD16" t="s">
        <v>939</v>
      </c>
      <c r="CE16" t="s">
        <v>573</v>
      </c>
      <c r="CF16" s="7">
        <v>36.713060518410998</v>
      </c>
      <c r="CG16" s="8">
        <v>4.7056405235494179</v>
      </c>
      <c r="CH16" s="7">
        <v>-0.93342578411102295</v>
      </c>
      <c r="CI16" s="7">
        <v>6.4599506556987762E-2</v>
      </c>
      <c r="CJ16" s="7">
        <v>0.13276182115077972</v>
      </c>
      <c r="CK16" s="7">
        <v>-0.12399262189865112</v>
      </c>
      <c r="CL16" s="7">
        <v>0.1048157811164856</v>
      </c>
      <c r="CM16" s="8">
        <v>0.49249249696731567</v>
      </c>
      <c r="CN16" s="8">
        <v>-2.0990099906921387</v>
      </c>
      <c r="CO16" s="8">
        <v>-0.41165047883987427</v>
      </c>
      <c r="CP16" s="8">
        <v>-2.0912546664476395E-2</v>
      </c>
      <c r="CQ16" s="8">
        <v>0.10041841119527817</v>
      </c>
      <c r="CR16">
        <v>36.234425454545452</v>
      </c>
      <c r="CS16">
        <v>2.3988641504100281</v>
      </c>
      <c r="CT16">
        <v>1.2962962962962961</v>
      </c>
      <c r="CU16" s="7">
        <v>-0.15104825943708419</v>
      </c>
      <c r="CV16" s="8">
        <v>-0.38773242160677912</v>
      </c>
      <c r="CW16">
        <v>0.06</v>
      </c>
      <c r="CX16" t="e">
        <v>#VALUE!</v>
      </c>
      <c r="CY16" t="s">
        <v>338</v>
      </c>
      <c r="CZ16">
        <v>-0.15104825943708419</v>
      </c>
      <c r="DA16" t="e">
        <v>#VALUE!</v>
      </c>
      <c r="DB16" t="s">
        <v>338</v>
      </c>
      <c r="DC16">
        <v>-0.14349584646522998</v>
      </c>
      <c r="DD16" t="e">
        <v>#VALUE!</v>
      </c>
      <c r="DE16" t="s">
        <v>338</v>
      </c>
      <c r="DF16">
        <v>-0.13292246830463408</v>
      </c>
      <c r="DG16" t="e">
        <v>#VALUE!</v>
      </c>
      <c r="DH16" t="s">
        <v>338</v>
      </c>
      <c r="DI16">
        <v>-0.12083860754966735</v>
      </c>
      <c r="DJ16" t="e">
        <v>#VALUE!</v>
      </c>
      <c r="DK16" t="s">
        <v>338</v>
      </c>
      <c r="DL16">
        <v>-0.10573378160595893</v>
      </c>
      <c r="DM16">
        <v>-169000000</v>
      </c>
      <c r="DN16">
        <v>-0.15104825943708419</v>
      </c>
      <c r="DO16">
        <v>11253573600</v>
      </c>
      <c r="DP16">
        <v>-2418943000</v>
      </c>
      <c r="DQ16">
        <v>3335</v>
      </c>
      <c r="DR16">
        <v>36.864108777848081</v>
      </c>
      <c r="DS16">
        <v>5.0933729451561973</v>
      </c>
      <c r="DT16" s="9">
        <v>-0.77333333333333332</v>
      </c>
      <c r="DU16">
        <v>-0.65999999999999992</v>
      </c>
      <c r="DV16">
        <v>-1.4333333333333331</v>
      </c>
      <c r="DW16">
        <v>-2.069</v>
      </c>
      <c r="DX16">
        <v>0.34402198795180805</v>
      </c>
      <c r="DY16">
        <v>-2.0092475171686748</v>
      </c>
      <c r="DZ16">
        <v>2607</v>
      </c>
      <c r="EA16">
        <v>-2.0045296546914271</v>
      </c>
      <c r="EB16">
        <v>2</v>
      </c>
      <c r="EC16">
        <v>1.5070714349753442E-2</v>
      </c>
      <c r="ED16">
        <v>0.11244956577701787</v>
      </c>
      <c r="EE16" s="10">
        <v>-1.0115099999999999</v>
      </c>
      <c r="EF16">
        <v>-1.0294099999999999</v>
      </c>
      <c r="EG16">
        <v>21.134021987951808</v>
      </c>
      <c r="EH16" t="s">
        <v>339</v>
      </c>
      <c r="EI16">
        <v>0</v>
      </c>
      <c r="EJ16">
        <v>0</v>
      </c>
      <c r="EK16" s="12">
        <v>45470</v>
      </c>
      <c r="EL16" s="13">
        <v>-0.45</v>
      </c>
      <c r="EM16" s="13">
        <v>-4.07</v>
      </c>
      <c r="EN16" s="13">
        <v>0.59</v>
      </c>
      <c r="EO16" s="13">
        <v>4.68</v>
      </c>
      <c r="EP16" s="13">
        <v>-1.79</v>
      </c>
    </row>
    <row r="17" spans="1:146" ht="96" x14ac:dyDescent="0.25">
      <c r="A17" s="6"/>
      <c r="B17" s="6"/>
      <c r="C17" s="6" t="str">
        <f>""&amp;CHAR(10)&amp;Basic_Fundamental_Information_Constructure(F17)&amp;CHAR(10)&amp;Basic_Fundamental_Information_Concatenate("")</f>
        <v xml:space="preserve">
市值45.186807亿, 利润4.27亿; PE15.78; 平均PE7.54; 平均PEG1, PB1.21; ROIC8.1767%; ROE10.32%; 股利率3.8576%; 毛利18.3133%; 净利9.17%; 上一年度营收增31.14%, 利润增9.21%; 当季营收增26.88%, 利润增-49.76%; 过往5年营收增7.57%, 利润增-14.01%
Income profile:
</v>
      </c>
      <c r="D17" t="s">
        <v>84</v>
      </c>
      <c r="E17" t="s">
        <v>15</v>
      </c>
      <c r="F17">
        <v>3.37</v>
      </c>
      <c r="G17">
        <v>0.9</v>
      </c>
      <c r="H17" t="s">
        <v>940</v>
      </c>
      <c r="I17">
        <v>4518680700</v>
      </c>
      <c r="J17">
        <v>15.78</v>
      </c>
      <c r="K17">
        <v>1.21</v>
      </c>
      <c r="L17" t="s">
        <v>250</v>
      </c>
      <c r="M17" t="s">
        <v>941</v>
      </c>
      <c r="N17" t="s">
        <v>942</v>
      </c>
      <c r="O17" t="s">
        <v>943</v>
      </c>
      <c r="P17">
        <v>9.11</v>
      </c>
      <c r="Q17" t="s">
        <v>944</v>
      </c>
      <c r="R17">
        <v>90431152</v>
      </c>
      <c r="S17" s="5">
        <v>-0.47599999999999998</v>
      </c>
      <c r="T17" t="s">
        <v>205</v>
      </c>
      <c r="U17">
        <v>1339808770</v>
      </c>
      <c r="V17">
        <v>1340854810</v>
      </c>
      <c r="W17">
        <v>2.0299999999999998</v>
      </c>
      <c r="X17">
        <v>0.26</v>
      </c>
      <c r="Y17">
        <v>4.66</v>
      </c>
      <c r="Z17" t="s">
        <v>945</v>
      </c>
      <c r="AA17" t="s">
        <v>946</v>
      </c>
      <c r="AB17" t="s">
        <v>947</v>
      </c>
      <c r="AC17" t="s">
        <v>948</v>
      </c>
      <c r="AD17" t="s">
        <v>35</v>
      </c>
      <c r="AE17">
        <v>19540301</v>
      </c>
      <c r="AF17" t="s">
        <v>949</v>
      </c>
      <c r="AG17" t="s">
        <v>950</v>
      </c>
      <c r="AH17" t="s">
        <v>951</v>
      </c>
      <c r="AI17" t="s">
        <v>952</v>
      </c>
      <c r="AJ17" t="s">
        <v>953</v>
      </c>
      <c r="AK17" t="s">
        <v>954</v>
      </c>
      <c r="AL17" t="s">
        <v>955</v>
      </c>
      <c r="AM17" t="s">
        <v>35</v>
      </c>
      <c r="AN17" t="s">
        <v>461</v>
      </c>
      <c r="AO17" t="s">
        <v>463</v>
      </c>
      <c r="AP17" t="s">
        <v>956</v>
      </c>
      <c r="AQ17" t="s">
        <v>444</v>
      </c>
      <c r="AR17" t="s">
        <v>957</v>
      </c>
      <c r="AS17" t="s">
        <v>144</v>
      </c>
      <c r="AT17" t="s">
        <v>958</v>
      </c>
      <c r="AU17" t="s">
        <v>959</v>
      </c>
      <c r="AV17" t="s">
        <v>960</v>
      </c>
      <c r="AW17" t="s">
        <v>464</v>
      </c>
      <c r="AX17" t="s">
        <v>498</v>
      </c>
      <c r="AY17" t="s">
        <v>299</v>
      </c>
      <c r="AZ17" t="s">
        <v>180</v>
      </c>
      <c r="BA17" t="s">
        <v>85</v>
      </c>
      <c r="BB17" t="s">
        <v>181</v>
      </c>
      <c r="BC17" t="s">
        <v>68</v>
      </c>
      <c r="BD17" t="s">
        <v>300</v>
      </c>
      <c r="BE17" t="s">
        <v>89</v>
      </c>
      <c r="BF17" t="s">
        <v>86</v>
      </c>
      <c r="BG17" t="s">
        <v>73</v>
      </c>
      <c r="BH17" t="s">
        <v>961</v>
      </c>
      <c r="BI17" t="s">
        <v>962</v>
      </c>
      <c r="BJ17" t="s">
        <v>498</v>
      </c>
      <c r="BK17" t="s">
        <v>449</v>
      </c>
      <c r="BL17" t="s">
        <v>480</v>
      </c>
      <c r="BM17" t="s">
        <v>68</v>
      </c>
      <c r="BN17">
        <v>5.65</v>
      </c>
      <c r="BO17">
        <v>8.1199999999999992</v>
      </c>
      <c r="BP17">
        <v>10.76</v>
      </c>
      <c r="BQ17">
        <v>7.28</v>
      </c>
      <c r="BR17">
        <v>10.3</v>
      </c>
      <c r="BS17">
        <v>13.38</v>
      </c>
      <c r="BT17" t="s">
        <v>514</v>
      </c>
      <c r="BU17" t="s">
        <v>250</v>
      </c>
      <c r="BV17">
        <v>15.44</v>
      </c>
      <c r="BW17">
        <v>17.420000000000002</v>
      </c>
      <c r="BX17">
        <v>22.08</v>
      </c>
      <c r="BY17">
        <v>7.4</v>
      </c>
      <c r="BZ17">
        <v>8.11</v>
      </c>
      <c r="CA17">
        <v>12</v>
      </c>
      <c r="CB17">
        <v>0</v>
      </c>
      <c r="CC17">
        <v>-8.42</v>
      </c>
      <c r="CD17" t="s">
        <v>963</v>
      </c>
      <c r="CE17" t="s">
        <v>298</v>
      </c>
      <c r="CF17" s="7">
        <v>0.26879699248120303</v>
      </c>
      <c r="CG17" s="8">
        <v>-0.4976047111111111</v>
      </c>
      <c r="CH17" s="7">
        <v>0.31137725710868835</v>
      </c>
      <c r="CI17" s="7">
        <v>8.3243228495121002E-2</v>
      </c>
      <c r="CJ17" s="7">
        <v>7.6582856476306915E-2</v>
      </c>
      <c r="CK17" s="7">
        <v>-0.12003275007009506</v>
      </c>
      <c r="CL17" s="7">
        <v>2.7140740305185318E-2</v>
      </c>
      <c r="CM17" s="8">
        <v>9.2071607708930969E-2</v>
      </c>
      <c r="CN17" s="8">
        <v>-0.27188080549240112</v>
      </c>
      <c r="CO17" s="8">
        <v>5.917159840464592E-2</v>
      </c>
      <c r="CP17" s="8">
        <v>-0.3035714328289032</v>
      </c>
      <c r="CQ17" s="8">
        <v>-0.27634194493293762</v>
      </c>
      <c r="CR17">
        <v>7.5395117352614012</v>
      </c>
      <c r="CS17">
        <v>0.99646918969103593</v>
      </c>
      <c r="CT17">
        <v>3.857566765578635</v>
      </c>
      <c r="CU17" s="7">
        <v>7.5662266463041306E-2</v>
      </c>
      <c r="CV17" s="8">
        <v>-0.14011019542813302</v>
      </c>
      <c r="CW17">
        <v>0.06</v>
      </c>
      <c r="CX17">
        <v>10.82986545045393</v>
      </c>
      <c r="CY17">
        <v>433309233.75445145</v>
      </c>
      <c r="CZ17">
        <v>7.5662266463041306E-2</v>
      </c>
      <c r="DA17">
        <v>3.5823991850619605</v>
      </c>
      <c r="DB17">
        <v>1309926799.7736652</v>
      </c>
      <c r="DC17">
        <v>7.187915313988924E-2</v>
      </c>
      <c r="DD17">
        <v>1.7922852287314481</v>
      </c>
      <c r="DE17">
        <v>2618266682.5421572</v>
      </c>
      <c r="DF17">
        <v>6.6582794487476352E-2</v>
      </c>
      <c r="DG17">
        <v>1.095971074098506</v>
      </c>
      <c r="DH17">
        <v>4281755979.6092038</v>
      </c>
      <c r="DI17">
        <v>6.0529813170433044E-2</v>
      </c>
      <c r="DJ17">
        <v>0.58886302397404588</v>
      </c>
      <c r="DK17">
        <v>7969053088.663332</v>
      </c>
      <c r="DL17">
        <v>5.2963586524128914E-2</v>
      </c>
      <c r="DM17">
        <v>426999999.99999994</v>
      </c>
      <c r="DN17">
        <v>7.5662266463041306E-2</v>
      </c>
      <c r="DO17">
        <v>4692680700</v>
      </c>
      <c r="DP17">
        <v>-847245100</v>
      </c>
      <c r="DQ17">
        <v>3371</v>
      </c>
      <c r="DR17">
        <v>0.19313472601816173</v>
      </c>
      <c r="DS17">
        <v>-0.35749451568297808</v>
      </c>
      <c r="DT17" s="9">
        <v>-0.27333333333333337</v>
      </c>
      <c r="DU17">
        <v>-0.58666666666666656</v>
      </c>
      <c r="DV17">
        <v>-0.85999999999999988</v>
      </c>
      <c r="DW17">
        <v>-2.0842000000000001</v>
      </c>
      <c r="DX17">
        <v>0.26711951219512253</v>
      </c>
      <c r="DY17">
        <v>-2.0098614629268292</v>
      </c>
      <c r="DZ17">
        <v>688</v>
      </c>
      <c r="EA17">
        <v>-2.0085337356286574</v>
      </c>
      <c r="EB17">
        <v>2</v>
      </c>
      <c r="EC17">
        <v>1.4324891745736439E-2</v>
      </c>
      <c r="ED17">
        <v>0.12231003593893958</v>
      </c>
      <c r="EE17" s="10">
        <v>2.35E-2</v>
      </c>
      <c r="EF17">
        <v>1.89E-2</v>
      </c>
      <c r="EG17">
        <v>15.117119512195123</v>
      </c>
      <c r="EH17" t="s">
        <v>341</v>
      </c>
      <c r="EI17">
        <v>0</v>
      </c>
      <c r="EJ17">
        <v>1</v>
      </c>
      <c r="EK17" s="12">
        <v>45470</v>
      </c>
      <c r="EL17" s="13">
        <v>0.35</v>
      </c>
      <c r="EM17" s="13">
        <v>-3.86</v>
      </c>
      <c r="EN17" s="13">
        <v>3.28</v>
      </c>
      <c r="EO17" s="13">
        <v>1.77</v>
      </c>
      <c r="EP17" s="13">
        <v>-0.46</v>
      </c>
    </row>
    <row r="18" spans="1:146" ht="96" x14ac:dyDescent="0.25">
      <c r="A18" s="6"/>
      <c r="B18" s="6"/>
      <c r="C18" s="6" t="str">
        <f>""&amp;CHAR(10)&amp;Basic_Fundamental_Information_Constructure(F18)&amp;CHAR(10)&amp;Basic_Fundamental_Information_Concatenate("")</f>
        <v xml:space="preserve">
市值655.31109亿, 利润-9324.55万; PE9.76; 平均PE23.52; 平均PEG.23, PB2.65; ROIC12.0467%; ROE30.39%; 股利率3.1206%; 毛利15.28%; 净利8.33%; 上一年度营收增-98.31%, 利润增-101.6%; 当季营收增3562.63%, 利润增2876.28%; 过往5年营收增103.17%, 利润增27.38%
Income profile:
</v>
      </c>
      <c r="D18" t="s">
        <v>183</v>
      </c>
      <c r="E18" t="s">
        <v>184</v>
      </c>
      <c r="F18">
        <v>21.15</v>
      </c>
      <c r="G18">
        <v>0.14000000000000001</v>
      </c>
      <c r="H18" t="s">
        <v>964</v>
      </c>
      <c r="I18">
        <v>65531109000</v>
      </c>
      <c r="J18">
        <v>9.76</v>
      </c>
      <c r="K18">
        <v>2.65</v>
      </c>
      <c r="L18" t="s">
        <v>250</v>
      </c>
      <c r="M18" t="s">
        <v>965</v>
      </c>
      <c r="N18" t="s">
        <v>966</v>
      </c>
      <c r="O18" t="s">
        <v>967</v>
      </c>
      <c r="P18">
        <v>-0.41</v>
      </c>
      <c r="Q18" t="s">
        <v>968</v>
      </c>
      <c r="R18">
        <v>1080580000</v>
      </c>
      <c r="S18" s="5">
        <v>-0.25800000000000001</v>
      </c>
      <c r="T18" t="s">
        <v>969</v>
      </c>
      <c r="U18">
        <v>2839866100</v>
      </c>
      <c r="V18">
        <v>3098397600</v>
      </c>
      <c r="W18">
        <v>2.2599999999999998</v>
      </c>
      <c r="X18">
        <v>0.25</v>
      </c>
      <c r="Y18">
        <v>6.06</v>
      </c>
      <c r="Z18" t="s">
        <v>970</v>
      </c>
      <c r="AA18" t="s">
        <v>971</v>
      </c>
      <c r="AB18" t="s">
        <v>442</v>
      </c>
      <c r="AC18" t="s">
        <v>972</v>
      </c>
      <c r="AD18" t="s">
        <v>35</v>
      </c>
      <c r="AE18">
        <v>252340000</v>
      </c>
      <c r="AF18" t="s">
        <v>973</v>
      </c>
      <c r="AG18" t="s">
        <v>974</v>
      </c>
      <c r="AH18" t="s">
        <v>975</v>
      </c>
      <c r="AI18" t="s">
        <v>976</v>
      </c>
      <c r="AJ18" t="s">
        <v>977</v>
      </c>
      <c r="AK18" t="s">
        <v>978</v>
      </c>
      <c r="AL18" t="s">
        <v>979</v>
      </c>
      <c r="AM18" t="s">
        <v>35</v>
      </c>
      <c r="AN18" t="s">
        <v>980</v>
      </c>
      <c r="AO18" t="s">
        <v>981</v>
      </c>
      <c r="AP18" t="s">
        <v>982</v>
      </c>
      <c r="AQ18" t="s">
        <v>983</v>
      </c>
      <c r="AR18" t="s">
        <v>35</v>
      </c>
      <c r="AS18" t="s">
        <v>984</v>
      </c>
      <c r="AT18" t="s">
        <v>985</v>
      </c>
      <c r="AU18" t="s">
        <v>986</v>
      </c>
      <c r="AV18" t="s">
        <v>987</v>
      </c>
      <c r="AW18" t="s">
        <v>988</v>
      </c>
      <c r="AX18" t="s">
        <v>504</v>
      </c>
      <c r="AY18" t="s">
        <v>502</v>
      </c>
      <c r="AZ18" t="s">
        <v>185</v>
      </c>
      <c r="BA18" t="s">
        <v>187</v>
      </c>
      <c r="BB18" t="s">
        <v>188</v>
      </c>
      <c r="BC18" t="s">
        <v>500</v>
      </c>
      <c r="BD18" t="s">
        <v>503</v>
      </c>
      <c r="BE18" t="s">
        <v>186</v>
      </c>
      <c r="BF18" t="s">
        <v>189</v>
      </c>
      <c r="BG18" t="s">
        <v>190</v>
      </c>
      <c r="BH18" t="s">
        <v>989</v>
      </c>
      <c r="BI18" t="s">
        <v>990</v>
      </c>
      <c r="BJ18" t="s">
        <v>504</v>
      </c>
      <c r="BK18" t="s">
        <v>991</v>
      </c>
      <c r="BL18" t="s">
        <v>992</v>
      </c>
      <c r="BM18" t="s">
        <v>500</v>
      </c>
      <c r="BN18">
        <v>8.6199999999999992</v>
      </c>
      <c r="BO18">
        <v>13.47</v>
      </c>
      <c r="BP18">
        <v>14.05</v>
      </c>
      <c r="BQ18">
        <v>16.63</v>
      </c>
      <c r="BR18">
        <v>33.43</v>
      </c>
      <c r="BS18">
        <v>41.11</v>
      </c>
      <c r="BT18" t="s">
        <v>993</v>
      </c>
      <c r="BU18" t="s">
        <v>250</v>
      </c>
      <c r="BV18">
        <v>13.95</v>
      </c>
      <c r="BW18">
        <v>15.15</v>
      </c>
      <c r="BX18">
        <v>16.739999999999998</v>
      </c>
      <c r="BY18">
        <v>8.7200000000000006</v>
      </c>
      <c r="BZ18">
        <v>7.19</v>
      </c>
      <c r="CA18">
        <v>9.08</v>
      </c>
      <c r="CB18">
        <v>1.68</v>
      </c>
      <c r="CC18">
        <v>15.7</v>
      </c>
      <c r="CD18" t="s">
        <v>994</v>
      </c>
      <c r="CE18" t="s">
        <v>995</v>
      </c>
      <c r="CF18" s="7">
        <v>35.626338329764451</v>
      </c>
      <c r="CG18" s="8">
        <v>28.762796641914374</v>
      </c>
      <c r="CH18" s="7">
        <v>-0.98308271169662476</v>
      </c>
      <c r="CI18" s="7">
        <v>0.33038553595542908</v>
      </c>
      <c r="CJ18" s="7">
        <v>0.31430551409721375</v>
      </c>
      <c r="CK18" s="7">
        <v>-6.237884983420372E-3</v>
      </c>
      <c r="CL18" s="7">
        <v>5.5032272338867187</v>
      </c>
      <c r="CM18" s="8">
        <v>-1.0159558057785034</v>
      </c>
      <c r="CN18" s="8">
        <v>0.26165798306465149</v>
      </c>
      <c r="CO18" s="8">
        <v>1.1983863115310669</v>
      </c>
      <c r="CP18" s="8">
        <v>-0.27494832873344421</v>
      </c>
      <c r="CQ18" s="8">
        <v>1.1998486518859863</v>
      </c>
      <c r="CR18">
        <v>23.520513745655595</v>
      </c>
      <c r="CS18">
        <v>0.22797391046549786</v>
      </c>
      <c r="CT18">
        <v>3.1205673758865249</v>
      </c>
      <c r="CU18" s="7">
        <v>1.0317195374518633</v>
      </c>
      <c r="CV18" s="8">
        <v>0.27379776239395143</v>
      </c>
      <c r="CW18">
        <v>0.06</v>
      </c>
      <c r="CX18" t="e">
        <v>#VALUE!</v>
      </c>
      <c r="CY18" t="s">
        <v>338</v>
      </c>
      <c r="CZ18">
        <v>1.0317195374518633</v>
      </c>
      <c r="DA18" t="e">
        <v>#VALUE!</v>
      </c>
      <c r="DB18" t="s">
        <v>338</v>
      </c>
      <c r="DC18">
        <v>0.98013356057927004</v>
      </c>
      <c r="DD18" t="e">
        <v>#VALUE!</v>
      </c>
      <c r="DE18" t="s">
        <v>338</v>
      </c>
      <c r="DF18">
        <v>0.90791319295763973</v>
      </c>
      <c r="DG18" t="e">
        <v>#VALUE!</v>
      </c>
      <c r="DH18" t="s">
        <v>338</v>
      </c>
      <c r="DI18">
        <v>0.82537562996149072</v>
      </c>
      <c r="DJ18" t="e">
        <v>#VALUE!</v>
      </c>
      <c r="DK18" t="s">
        <v>338</v>
      </c>
      <c r="DL18">
        <v>0.72220367621630421</v>
      </c>
      <c r="DM18">
        <v>-93245500</v>
      </c>
      <c r="DN18">
        <v>1.0317195374518633</v>
      </c>
      <c r="DO18">
        <v>81108109000</v>
      </c>
      <c r="DP18">
        <v>-1082120000</v>
      </c>
      <c r="DQ18">
        <v>3477</v>
      </c>
      <c r="DR18">
        <v>34.594618792312588</v>
      </c>
      <c r="DS18">
        <v>28.488998879520423</v>
      </c>
      <c r="DT18" s="9">
        <v>4.9999999999999689E-3</v>
      </c>
      <c r="DU18">
        <v>-2.9999999999999988E-2</v>
      </c>
      <c r="DV18">
        <v>-2.5000000000000019E-2</v>
      </c>
      <c r="DW18">
        <v>2.157</v>
      </c>
      <c r="DX18">
        <v>0.33809774436090234</v>
      </c>
      <c r="DY18">
        <v>2.0185413458646617</v>
      </c>
      <c r="DZ18">
        <v>4745</v>
      </c>
      <c r="EA18">
        <v>2.0013243818474757</v>
      </c>
      <c r="EB18">
        <v>2</v>
      </c>
      <c r="EC18">
        <v>1.0138789159919307E-2</v>
      </c>
      <c r="ED18">
        <v>8.5850828182929134E-2</v>
      </c>
      <c r="EE18" s="10">
        <v>-4.0717999999999996</v>
      </c>
      <c r="EF18">
        <v>-4.0542999999999996</v>
      </c>
      <c r="EG18">
        <v>22.118097744360902</v>
      </c>
      <c r="EH18" t="s">
        <v>996</v>
      </c>
      <c r="EI18">
        <v>1</v>
      </c>
      <c r="EJ18">
        <v>0</v>
      </c>
      <c r="EK18" s="12">
        <v>45470</v>
      </c>
      <c r="EL18" s="13">
        <v>0</v>
      </c>
      <c r="EM18" s="13">
        <v>-2.83</v>
      </c>
      <c r="EN18" s="13">
        <v>1.0900000000000001</v>
      </c>
      <c r="EO18" s="13">
        <v>2.88</v>
      </c>
      <c r="EP18" s="13">
        <v>-1.75</v>
      </c>
    </row>
    <row r="19" spans="1:146" ht="96" x14ac:dyDescent="0.25">
      <c r="A19" s="6"/>
      <c r="B19" s="6"/>
      <c r="C19" s="6" t="str">
        <f>""&amp;CHAR(10)&amp;Basic_Fundamental_Information_Constructure(F19)&amp;CHAR(10)&amp;Basic_Fundamental_Information_Concatenate("")</f>
        <v xml:space="preserve">
市值71.070253亿, 利润71.81亿; PE76.83; 平均PE5.36; 平均PEG.07, PB2.32; ROIC3.06%; ROE4.15%; 股利率.5825%; 毛利15%; 净利2.1333%; 上一年度营收增329.74%, 利润增28069.96%; 当季营收增-70.38%, 利润增-95.79%; 过往5年营收增77.59%, 利润增5597.76%
Income profile:
</v>
      </c>
      <c r="D19" t="s">
        <v>90</v>
      </c>
      <c r="E19" t="s">
        <v>6</v>
      </c>
      <c r="F19">
        <v>6.18</v>
      </c>
      <c r="G19">
        <v>0.49</v>
      </c>
      <c r="H19" t="s">
        <v>997</v>
      </c>
      <c r="I19">
        <v>7107025300</v>
      </c>
      <c r="J19">
        <v>76.83</v>
      </c>
      <c r="K19">
        <v>2.3199999999999998</v>
      </c>
      <c r="L19" t="s">
        <v>250</v>
      </c>
      <c r="M19" t="s">
        <v>998</v>
      </c>
      <c r="N19" t="s">
        <v>999</v>
      </c>
      <c r="O19" t="s">
        <v>1000</v>
      </c>
      <c r="P19">
        <v>6.14</v>
      </c>
      <c r="Q19" t="s">
        <v>1001</v>
      </c>
      <c r="R19">
        <v>101791556</v>
      </c>
      <c r="S19" s="5">
        <v>0.16500000000000001</v>
      </c>
      <c r="T19" t="s">
        <v>525</v>
      </c>
      <c r="U19">
        <v>1150004100</v>
      </c>
      <c r="V19">
        <v>1150004100</v>
      </c>
      <c r="W19">
        <v>2.66</v>
      </c>
      <c r="X19">
        <v>0.19</v>
      </c>
      <c r="Y19">
        <v>6.45</v>
      </c>
      <c r="Z19" t="s">
        <v>1002</v>
      </c>
      <c r="AA19" t="s">
        <v>501</v>
      </c>
      <c r="AB19" t="s">
        <v>1003</v>
      </c>
      <c r="AC19" t="s">
        <v>1004</v>
      </c>
      <c r="AD19" t="s">
        <v>35</v>
      </c>
      <c r="AE19">
        <v>42159372</v>
      </c>
      <c r="AF19" t="s">
        <v>1005</v>
      </c>
      <c r="AG19" t="s">
        <v>1006</v>
      </c>
      <c r="AH19" t="s">
        <v>1007</v>
      </c>
      <c r="AI19" t="s">
        <v>1008</v>
      </c>
      <c r="AJ19" t="s">
        <v>1009</v>
      </c>
      <c r="AK19" t="s">
        <v>1010</v>
      </c>
      <c r="AL19" t="s">
        <v>1011</v>
      </c>
      <c r="AM19" t="s">
        <v>35</v>
      </c>
      <c r="AN19" t="s">
        <v>1012</v>
      </c>
      <c r="AO19" t="s">
        <v>1013</v>
      </c>
      <c r="AP19" t="s">
        <v>35</v>
      </c>
      <c r="AQ19" t="s">
        <v>1014</v>
      </c>
      <c r="AR19" t="s">
        <v>1015</v>
      </c>
      <c r="AS19" t="s">
        <v>1016</v>
      </c>
      <c r="AT19" t="s">
        <v>1017</v>
      </c>
      <c r="AU19" t="s">
        <v>1018</v>
      </c>
      <c r="AV19" t="s">
        <v>1019</v>
      </c>
      <c r="AW19" t="s">
        <v>1020</v>
      </c>
      <c r="AX19" t="s">
        <v>505</v>
      </c>
      <c r="AY19" t="s">
        <v>301</v>
      </c>
      <c r="AZ19" t="s">
        <v>191</v>
      </c>
      <c r="BA19" t="s">
        <v>91</v>
      </c>
      <c r="BB19" t="s">
        <v>193</v>
      </c>
      <c r="BC19" t="s">
        <v>506</v>
      </c>
      <c r="BD19" t="s">
        <v>116</v>
      </c>
      <c r="BE19" t="s">
        <v>192</v>
      </c>
      <c r="BF19" t="s">
        <v>92</v>
      </c>
      <c r="BG19" t="s">
        <v>168</v>
      </c>
      <c r="BH19" t="s">
        <v>1021</v>
      </c>
      <c r="BI19" t="s">
        <v>1022</v>
      </c>
      <c r="BJ19" t="s">
        <v>505</v>
      </c>
      <c r="BK19" t="s">
        <v>1023</v>
      </c>
      <c r="BL19" t="s">
        <v>1024</v>
      </c>
      <c r="BM19" t="s">
        <v>506</v>
      </c>
      <c r="BN19">
        <v>3.94</v>
      </c>
      <c r="BO19">
        <v>1.17</v>
      </c>
      <c r="BP19">
        <v>4.07</v>
      </c>
      <c r="BQ19">
        <v>5.56</v>
      </c>
      <c r="BR19">
        <v>0.86</v>
      </c>
      <c r="BS19">
        <v>6.03</v>
      </c>
      <c r="BT19" t="s">
        <v>1025</v>
      </c>
      <c r="BU19" t="s">
        <v>250</v>
      </c>
      <c r="BV19">
        <v>15.37</v>
      </c>
      <c r="BW19">
        <v>12.6</v>
      </c>
      <c r="BX19">
        <v>17.03</v>
      </c>
      <c r="BY19">
        <v>2.25</v>
      </c>
      <c r="BZ19">
        <v>0.35</v>
      </c>
      <c r="CA19">
        <v>3.8</v>
      </c>
      <c r="CB19">
        <v>-0.96</v>
      </c>
      <c r="CC19">
        <v>-14.1</v>
      </c>
      <c r="CD19" t="s">
        <v>1026</v>
      </c>
      <c r="CE19" t="s">
        <v>456</v>
      </c>
      <c r="CF19" s="7">
        <v>-0.70377936670071506</v>
      </c>
      <c r="CG19" s="8">
        <v>-0.95791998511781729</v>
      </c>
      <c r="CH19" s="7">
        <v>3.2974202632904053</v>
      </c>
      <c r="CI19" s="7">
        <v>0.21128140389919281</v>
      </c>
      <c r="CJ19" s="7">
        <v>0.19886898994445801</v>
      </c>
      <c r="CK19" s="7">
        <v>3.9431773126125336E-2</v>
      </c>
      <c r="CL19" s="7">
        <v>0.13227951526641846</v>
      </c>
      <c r="CM19" s="8">
        <v>280.69955444335937</v>
      </c>
      <c r="CN19" s="8">
        <v>-0.85516083240509033</v>
      </c>
      <c r="CO19" s="8">
        <v>-0.14563107490539551</v>
      </c>
      <c r="CP19" s="8">
        <v>7.8534029424190521E-2</v>
      </c>
      <c r="CQ19" s="8">
        <v>0.11046511679887772</v>
      </c>
      <c r="CR19">
        <v>5.3627864316326956</v>
      </c>
      <c r="CS19">
        <v>6.9120864465868501E-2</v>
      </c>
      <c r="CT19">
        <v>0.58252427184466016</v>
      </c>
      <c r="CU19" s="7">
        <v>0.77585638910531995</v>
      </c>
      <c r="CV19" s="8">
        <v>55.977552336454394</v>
      </c>
      <c r="CW19">
        <v>0.06</v>
      </c>
      <c r="CX19">
        <v>0.80478395561304106</v>
      </c>
      <c r="CY19">
        <v>12030589368.080475</v>
      </c>
      <c r="CZ19">
        <v>0.77585638910531995</v>
      </c>
      <c r="DA19">
        <v>0.1545313629064935</v>
      </c>
      <c r="DB19">
        <v>62654111876.684654</v>
      </c>
      <c r="DC19">
        <v>0.73706356965005393</v>
      </c>
      <c r="DD19">
        <v>3.3251138925496165E-2</v>
      </c>
      <c r="DE19">
        <v>291178756965.10529</v>
      </c>
      <c r="DF19">
        <v>0.68275362241268156</v>
      </c>
      <c r="DG19">
        <v>6.7785972203407508E-3</v>
      </c>
      <c r="DH19">
        <v>1428322849888.0034</v>
      </c>
      <c r="DI19">
        <v>0.62068511128425596</v>
      </c>
      <c r="DJ19">
        <v>2.3115353455993915E-4</v>
      </c>
      <c r="DK19">
        <v>41885690039013.477</v>
      </c>
      <c r="DL19">
        <v>0.54309947237372391</v>
      </c>
      <c r="DM19">
        <v>7181000000</v>
      </c>
      <c r="DN19">
        <v>0.77585638910531995</v>
      </c>
      <c r="DO19">
        <v>9682025300</v>
      </c>
      <c r="DP19">
        <v>-938392500.00000048</v>
      </c>
      <c r="DQ19">
        <v>3561</v>
      </c>
      <c r="DR19">
        <v>-1.4796357558060351</v>
      </c>
      <c r="DS19">
        <v>-56.935472321572213</v>
      </c>
      <c r="DT19" s="9">
        <v>0.14333333333333331</v>
      </c>
      <c r="DU19">
        <v>-0.44</v>
      </c>
      <c r="DV19">
        <v>-0.29666666666666669</v>
      </c>
      <c r="DW19">
        <v>-2.141</v>
      </c>
      <c r="DX19">
        <v>0.31247037037037045</v>
      </c>
      <c r="DY19">
        <v>-2.0186783222222222</v>
      </c>
      <c r="DZ19">
        <v>1386</v>
      </c>
      <c r="EA19">
        <v>-2.0136121471537289</v>
      </c>
      <c r="EB19">
        <v>2</v>
      </c>
      <c r="EC19">
        <v>1.5550814123184431E-2</v>
      </c>
      <c r="ED19">
        <v>0.11739088582379836</v>
      </c>
      <c r="EE19" s="10">
        <v>1.0679000000000001</v>
      </c>
      <c r="EF19">
        <v>1.0719000000000001</v>
      </c>
      <c r="EG19">
        <v>18.13247037037037</v>
      </c>
      <c r="EH19" t="s">
        <v>559</v>
      </c>
      <c r="EI19">
        <v>0</v>
      </c>
      <c r="EJ19">
        <v>1</v>
      </c>
      <c r="EK19" s="12">
        <v>45470</v>
      </c>
      <c r="EL19" s="13">
        <v>1.62</v>
      </c>
      <c r="EM19" s="13">
        <v>-0.99</v>
      </c>
      <c r="EN19" s="13">
        <v>-0.6</v>
      </c>
      <c r="EO19" s="13">
        <v>0.61</v>
      </c>
      <c r="EP19" s="13">
        <v>0.4</v>
      </c>
    </row>
    <row r="20" spans="1:146" ht="48" x14ac:dyDescent="0.25">
      <c r="A20" s="6"/>
      <c r="B20" s="6"/>
      <c r="C20" s="6" t="s">
        <v>246</v>
      </c>
      <c r="D20" t="s">
        <v>95</v>
      </c>
      <c r="E20" t="s">
        <v>9</v>
      </c>
      <c r="F20">
        <v>5.42</v>
      </c>
      <c r="G20">
        <v>-0.18</v>
      </c>
      <c r="H20" t="s">
        <v>1027</v>
      </c>
      <c r="I20">
        <v>8516662800</v>
      </c>
      <c r="J20">
        <v>17.11</v>
      </c>
      <c r="K20">
        <v>1.59</v>
      </c>
      <c r="L20" t="s">
        <v>250</v>
      </c>
      <c r="M20" t="s">
        <v>1028</v>
      </c>
      <c r="N20" t="s">
        <v>1029</v>
      </c>
      <c r="O20" t="s">
        <v>1030</v>
      </c>
      <c r="P20">
        <v>4.33</v>
      </c>
      <c r="Q20" t="s">
        <v>1031</v>
      </c>
      <c r="R20">
        <v>-51443242</v>
      </c>
      <c r="S20" s="5">
        <v>-1.7600000000000001E-2</v>
      </c>
      <c r="T20" t="s">
        <v>508</v>
      </c>
      <c r="U20">
        <v>1561039800</v>
      </c>
      <c r="V20">
        <v>1571340000</v>
      </c>
      <c r="W20">
        <v>1.85</v>
      </c>
      <c r="X20">
        <v>0.26</v>
      </c>
      <c r="Y20">
        <v>-1.75</v>
      </c>
      <c r="Z20" t="s">
        <v>1032</v>
      </c>
      <c r="AA20" t="s">
        <v>1033</v>
      </c>
      <c r="AB20" t="s">
        <v>1034</v>
      </c>
      <c r="AC20" t="s">
        <v>1035</v>
      </c>
      <c r="AD20" t="s">
        <v>35</v>
      </c>
      <c r="AE20">
        <v>-2512397</v>
      </c>
      <c r="AF20" t="s">
        <v>1036</v>
      </c>
      <c r="AG20" t="s">
        <v>1037</v>
      </c>
      <c r="AH20" t="s">
        <v>1038</v>
      </c>
      <c r="AI20" t="s">
        <v>1039</v>
      </c>
      <c r="AJ20" t="s">
        <v>1040</v>
      </c>
      <c r="AK20" t="s">
        <v>35</v>
      </c>
      <c r="AL20" t="s">
        <v>1041</v>
      </c>
      <c r="AM20" t="s">
        <v>35</v>
      </c>
      <c r="AN20" t="s">
        <v>1042</v>
      </c>
      <c r="AO20" t="s">
        <v>1043</v>
      </c>
      <c r="AP20" t="s">
        <v>1044</v>
      </c>
      <c r="AQ20" t="s">
        <v>1045</v>
      </c>
      <c r="AR20" t="s">
        <v>35</v>
      </c>
      <c r="AS20" t="s">
        <v>1046</v>
      </c>
      <c r="AT20" t="s">
        <v>203</v>
      </c>
      <c r="AU20" t="s">
        <v>1047</v>
      </c>
      <c r="AV20" t="s">
        <v>1048</v>
      </c>
      <c r="AW20" t="s">
        <v>1049</v>
      </c>
      <c r="AX20" t="s">
        <v>1050</v>
      </c>
      <c r="AY20" t="s">
        <v>302</v>
      </c>
      <c r="AZ20" t="s">
        <v>195</v>
      </c>
      <c r="BA20" t="s">
        <v>96</v>
      </c>
      <c r="BB20" t="s">
        <v>198</v>
      </c>
      <c r="BC20" t="s">
        <v>1051</v>
      </c>
      <c r="BD20" t="s">
        <v>133</v>
      </c>
      <c r="BE20" t="s">
        <v>196</v>
      </c>
      <c r="BF20" t="s">
        <v>97</v>
      </c>
      <c r="BG20" t="s">
        <v>36</v>
      </c>
      <c r="BH20" t="s">
        <v>1052</v>
      </c>
      <c r="BI20" t="s">
        <v>1053</v>
      </c>
      <c r="BJ20" t="s">
        <v>1050</v>
      </c>
      <c r="BK20" t="s">
        <v>1054</v>
      </c>
      <c r="BL20" t="s">
        <v>1055</v>
      </c>
      <c r="BM20" t="s">
        <v>1051</v>
      </c>
      <c r="BN20">
        <v>4.29</v>
      </c>
      <c r="BO20">
        <v>6.69</v>
      </c>
      <c r="BP20">
        <v>8.39</v>
      </c>
      <c r="BQ20">
        <v>5.48</v>
      </c>
      <c r="BR20">
        <v>8.2799999999999994</v>
      </c>
      <c r="BS20">
        <v>9.91</v>
      </c>
      <c r="BT20" t="s">
        <v>1056</v>
      </c>
      <c r="BU20" t="s">
        <v>250</v>
      </c>
      <c r="BV20">
        <v>8.6999999999999993</v>
      </c>
      <c r="BW20">
        <v>8.8699999999999992</v>
      </c>
      <c r="BX20">
        <v>10.71</v>
      </c>
      <c r="BY20">
        <v>5.0599999999999996</v>
      </c>
      <c r="BZ20">
        <v>4.62</v>
      </c>
      <c r="CA20">
        <v>5.96</v>
      </c>
      <c r="CB20">
        <v>0</v>
      </c>
      <c r="CC20">
        <v>-8.48</v>
      </c>
      <c r="CD20" t="s">
        <v>1057</v>
      </c>
      <c r="CE20" t="s">
        <v>1058</v>
      </c>
      <c r="CF20" s="7">
        <v>-0.24285714285714297</v>
      </c>
      <c r="CG20" s="8">
        <v>-1.0446168620988725</v>
      </c>
      <c r="CH20" s="7">
        <v>0.46085169911384583</v>
      </c>
      <c r="CI20" s="7">
        <v>0.11856596171855927</v>
      </c>
      <c r="CJ20" s="7">
        <v>0.14499334990978241</v>
      </c>
      <c r="CK20" s="7">
        <v>-3.0143572017550468E-2</v>
      </c>
      <c r="CL20" s="7">
        <v>0.10373512655496597</v>
      </c>
      <c r="CM20" s="8">
        <v>3.5</v>
      </c>
      <c r="CN20" s="8">
        <v>-0.12280701845884323</v>
      </c>
      <c r="CO20" s="8">
        <v>0.21276596188545227</v>
      </c>
      <c r="CP20" s="8">
        <v>-6.4676620066165924E-2</v>
      </c>
      <c r="CQ20" s="8">
        <v>0.15517240762710571</v>
      </c>
      <c r="CR20">
        <v>13.511363511369645</v>
      </c>
      <c r="CS20">
        <v>0.8465739396862435</v>
      </c>
      <c r="CT20">
        <v>1.8081180811808117</v>
      </c>
      <c r="CU20" s="7">
        <v>0.1596005130559206</v>
      </c>
      <c r="CV20" s="8">
        <v>0.73609094619750981</v>
      </c>
      <c r="CW20">
        <v>0.06</v>
      </c>
      <c r="CX20">
        <v>3.7263419985439019</v>
      </c>
      <c r="CY20">
        <v>1969132946.6987331</v>
      </c>
      <c r="CZ20">
        <v>0.1596005130559206</v>
      </c>
      <c r="DA20">
        <v>1.1485836081538312</v>
      </c>
      <c r="DB20">
        <v>6388444644.2642059</v>
      </c>
      <c r="DC20">
        <v>0.15162048740312456</v>
      </c>
      <c r="DD20">
        <v>0.52186245927387676</v>
      </c>
      <c r="DE20">
        <v>14060530068.03685</v>
      </c>
      <c r="DF20">
        <v>0.14044845148921012</v>
      </c>
      <c r="DG20">
        <v>0.28549825771966164</v>
      </c>
      <c r="DH20">
        <v>25701252465.102772</v>
      </c>
      <c r="DI20">
        <v>0.12768041044473649</v>
      </c>
      <c r="DJ20">
        <v>0.11905551213854661</v>
      </c>
      <c r="DK20">
        <v>61632281178.724899</v>
      </c>
      <c r="DL20">
        <v>0.11172035913914441</v>
      </c>
      <c r="DM20">
        <v>1800000000</v>
      </c>
      <c r="DN20">
        <v>0.1596005130559206</v>
      </c>
      <c r="DO20">
        <v>7337662800</v>
      </c>
      <c r="DP20">
        <v>-567410399.99999952</v>
      </c>
      <c r="DQ20">
        <v>3567</v>
      </c>
      <c r="DR20">
        <v>-0.40245765591306359</v>
      </c>
      <c r="DS20">
        <v>-1.7807078082963823</v>
      </c>
      <c r="DT20" s="9">
        <v>-0.27333333333333337</v>
      </c>
      <c r="DU20">
        <v>-0.36500000000000005</v>
      </c>
      <c r="DV20">
        <v>-0.63833333333333342</v>
      </c>
      <c r="DW20">
        <v>-2.0848</v>
      </c>
      <c r="DX20">
        <v>0.31024509685977947</v>
      </c>
      <c r="DY20">
        <v>-2.0101967842137092</v>
      </c>
      <c r="DZ20">
        <v>738</v>
      </c>
      <c r="EA20">
        <v>-2.0087241371002618</v>
      </c>
      <c r="EB20">
        <v>2</v>
      </c>
      <c r="EC20">
        <v>6.0047475403159087E-3</v>
      </c>
      <c r="ED20">
        <v>4.9937569208446296E-2</v>
      </c>
      <c r="EE20" s="10">
        <v>8.5800000000000001E-2</v>
      </c>
      <c r="EF20">
        <v>5.62E-2</v>
      </c>
      <c r="EG20">
        <v>19.120245096859779</v>
      </c>
      <c r="EH20" t="s">
        <v>341</v>
      </c>
      <c r="EI20">
        <v>0</v>
      </c>
      <c r="EJ20">
        <v>1</v>
      </c>
      <c r="EK20" s="12">
        <v>45470</v>
      </c>
      <c r="EL20" s="13">
        <v>0.61</v>
      </c>
      <c r="EM20" s="13">
        <v>-1.42</v>
      </c>
      <c r="EN20" s="13">
        <v>-0.31</v>
      </c>
      <c r="EO20" s="13">
        <v>1.03</v>
      </c>
      <c r="EP20" s="13">
        <v>-2.96</v>
      </c>
    </row>
    <row r="21" spans="1:146" ht="96" x14ac:dyDescent="0.25">
      <c r="A21" s="6"/>
      <c r="B21" s="6"/>
      <c r="C21" s="6" t="s">
        <v>244</v>
      </c>
      <c r="D21" t="s">
        <v>98</v>
      </c>
      <c r="E21" t="s">
        <v>14</v>
      </c>
      <c r="F21">
        <v>6.84</v>
      </c>
      <c r="G21">
        <v>-0.28999999999999998</v>
      </c>
      <c r="H21" t="s">
        <v>1059</v>
      </c>
      <c r="I21">
        <v>19676874000</v>
      </c>
      <c r="J21">
        <v>13.5</v>
      </c>
      <c r="K21">
        <v>1.35</v>
      </c>
      <c r="L21" t="s">
        <v>250</v>
      </c>
      <c r="M21" t="s">
        <v>1060</v>
      </c>
      <c r="N21" t="s">
        <v>1061</v>
      </c>
      <c r="O21" t="s">
        <v>1062</v>
      </c>
      <c r="P21">
        <v>-9.44</v>
      </c>
      <c r="Q21" t="s">
        <v>1063</v>
      </c>
      <c r="R21">
        <v>275678320</v>
      </c>
      <c r="S21" s="5">
        <v>6.7299999999999999E-2</v>
      </c>
      <c r="T21" t="s">
        <v>1064</v>
      </c>
      <c r="U21">
        <v>2876735900</v>
      </c>
      <c r="V21">
        <v>2876735900</v>
      </c>
      <c r="W21">
        <v>2.6</v>
      </c>
      <c r="X21">
        <v>0.15</v>
      </c>
      <c r="Y21">
        <v>4.5999999999999996</v>
      </c>
      <c r="Z21" t="s">
        <v>1065</v>
      </c>
      <c r="AA21" t="s">
        <v>1066</v>
      </c>
      <c r="AB21" t="s">
        <v>1067</v>
      </c>
      <c r="AC21" t="s">
        <v>1068</v>
      </c>
      <c r="AD21" t="s">
        <v>35</v>
      </c>
      <c r="AE21">
        <v>80224228</v>
      </c>
      <c r="AF21" t="s">
        <v>1069</v>
      </c>
      <c r="AG21" t="s">
        <v>1070</v>
      </c>
      <c r="AH21" t="s">
        <v>1071</v>
      </c>
      <c r="AI21" t="s">
        <v>1072</v>
      </c>
      <c r="AJ21" t="s">
        <v>1073</v>
      </c>
      <c r="AK21" t="s">
        <v>454</v>
      </c>
      <c r="AL21" t="s">
        <v>1074</v>
      </c>
      <c r="AM21" t="s">
        <v>35</v>
      </c>
      <c r="AN21" t="s">
        <v>1075</v>
      </c>
      <c r="AO21" t="s">
        <v>1076</v>
      </c>
      <c r="AP21" t="s">
        <v>132</v>
      </c>
      <c r="AQ21" t="s">
        <v>1077</v>
      </c>
      <c r="AR21" t="s">
        <v>35</v>
      </c>
      <c r="AS21" t="s">
        <v>1078</v>
      </c>
      <c r="AT21" t="s">
        <v>1079</v>
      </c>
      <c r="AU21" t="s">
        <v>494</v>
      </c>
      <c r="AV21" t="s">
        <v>1080</v>
      </c>
      <c r="AW21" t="s">
        <v>1081</v>
      </c>
      <c r="AX21" t="s">
        <v>511</v>
      </c>
      <c r="AY21" t="s">
        <v>304</v>
      </c>
      <c r="AZ21" t="s">
        <v>200</v>
      </c>
      <c r="BA21" t="s">
        <v>99</v>
      </c>
      <c r="BB21" t="s">
        <v>201</v>
      </c>
      <c r="BC21" t="s">
        <v>512</v>
      </c>
      <c r="BD21" t="s">
        <v>305</v>
      </c>
      <c r="BE21" t="s">
        <v>190</v>
      </c>
      <c r="BF21" t="s">
        <v>100</v>
      </c>
      <c r="BG21" t="s">
        <v>202</v>
      </c>
      <c r="BH21" t="s">
        <v>1082</v>
      </c>
      <c r="BI21" t="s">
        <v>1083</v>
      </c>
      <c r="BJ21" t="s">
        <v>511</v>
      </c>
      <c r="BK21" t="s">
        <v>1084</v>
      </c>
      <c r="BL21" t="s">
        <v>1085</v>
      </c>
      <c r="BM21" t="s">
        <v>512</v>
      </c>
      <c r="BN21">
        <v>6.35</v>
      </c>
      <c r="BO21">
        <v>8.2200000000000006</v>
      </c>
      <c r="BP21">
        <v>9.68</v>
      </c>
      <c r="BQ21">
        <v>8.1300000000000008</v>
      </c>
      <c r="BR21">
        <v>9.65</v>
      </c>
      <c r="BS21">
        <v>11.32</v>
      </c>
      <c r="BT21" t="s">
        <v>1086</v>
      </c>
      <c r="BU21" t="s">
        <v>250</v>
      </c>
      <c r="BV21">
        <v>15.5</v>
      </c>
      <c r="BW21">
        <v>14.65</v>
      </c>
      <c r="BX21">
        <v>19.78</v>
      </c>
      <c r="BY21">
        <v>5.31</v>
      </c>
      <c r="BZ21">
        <v>4.68</v>
      </c>
      <c r="CA21">
        <v>7.19</v>
      </c>
      <c r="CB21">
        <v>2.4</v>
      </c>
      <c r="CC21">
        <v>-3.93</v>
      </c>
      <c r="CD21" t="s">
        <v>1087</v>
      </c>
      <c r="CE21" t="s">
        <v>1088</v>
      </c>
      <c r="CF21" s="7">
        <v>-0.57771351218311595</v>
      </c>
      <c r="CG21" s="8">
        <v>-0.58103598784194532</v>
      </c>
      <c r="CH21" s="7">
        <v>2.9642736911773682</v>
      </c>
      <c r="CI21" s="7">
        <v>0.40378239750862122</v>
      </c>
      <c r="CJ21" s="7">
        <v>0.42624041438102722</v>
      </c>
      <c r="CK21" s="7">
        <v>7.0588245987892151E-2</v>
      </c>
      <c r="CL21" s="7">
        <v>0.10077700018882751</v>
      </c>
      <c r="CM21" s="8">
        <v>-0.39689034223556519</v>
      </c>
      <c r="CN21" s="8">
        <v>-9.7488924860954285E-2</v>
      </c>
      <c r="CO21" s="8">
        <v>2.4981124326586723E-2</v>
      </c>
      <c r="CP21" s="8">
        <v>0.24858216941356659</v>
      </c>
      <c r="CQ21" s="8">
        <v>2.6188166812062263E-2</v>
      </c>
      <c r="CR21">
        <v>17.560797858099065</v>
      </c>
      <c r="CS21">
        <v>0.22141068715010756</v>
      </c>
      <c r="CT21">
        <v>2.3391812865497079</v>
      </c>
      <c r="CU21" s="7">
        <v>0.79313234984874725</v>
      </c>
      <c r="CV21" s="8">
        <v>-3.8925561308860782E-2</v>
      </c>
      <c r="CW21">
        <v>0.06</v>
      </c>
      <c r="CX21">
        <v>23.316812536644914</v>
      </c>
      <c r="CY21">
        <v>1246734473.4325724</v>
      </c>
      <c r="CZ21">
        <v>0.79313234984874725</v>
      </c>
      <c r="DA21">
        <v>4.4232215225965676</v>
      </c>
      <c r="DB21">
        <v>6572104483.4614305</v>
      </c>
      <c r="DC21">
        <v>0.75347573235630982</v>
      </c>
      <c r="DD21">
        <v>0.93242915491232359</v>
      </c>
      <c r="DE21">
        <v>31176496194.752129</v>
      </c>
      <c r="DF21">
        <v>0.69795646786689758</v>
      </c>
      <c r="DG21">
        <v>0.1848544287092671</v>
      </c>
      <c r="DH21">
        <v>157258196100.45767</v>
      </c>
      <c r="DI21">
        <v>0.63450587987899787</v>
      </c>
      <c r="DJ21">
        <v>5.8830490734245221E-3</v>
      </c>
      <c r="DK21">
        <v>4941293815024.8047</v>
      </c>
      <c r="DL21">
        <v>0.55519264489412301</v>
      </c>
      <c r="DM21">
        <v>737000000</v>
      </c>
      <c r="DN21">
        <v>0.79313234984874725</v>
      </c>
      <c r="DO21">
        <v>29069874000</v>
      </c>
      <c r="DP21">
        <v>-7385693000</v>
      </c>
      <c r="DQ21">
        <v>3674</v>
      </c>
      <c r="DR21">
        <v>-1.3708458620318633</v>
      </c>
      <c r="DS21">
        <v>-0.5421104265330845</v>
      </c>
      <c r="DT21" s="9">
        <v>0.14333333333333331</v>
      </c>
      <c r="DU21">
        <v>-0.27</v>
      </c>
      <c r="DV21">
        <v>-0.12666666666666671</v>
      </c>
      <c r="DW21">
        <v>-1.0392999999999999</v>
      </c>
      <c r="DX21">
        <v>0.35329296296296137</v>
      </c>
      <c r="DY21">
        <v>-1.0060244134444445</v>
      </c>
      <c r="DZ21">
        <v>2408</v>
      </c>
      <c r="EA21">
        <v>-1.0031855117665145</v>
      </c>
      <c r="EB21">
        <v>1</v>
      </c>
      <c r="EC21">
        <v>1.4387521635197725E-2</v>
      </c>
      <c r="ED21">
        <v>9.3856373815893221E-2</v>
      </c>
      <c r="EE21" s="10">
        <v>3.0161099999999998</v>
      </c>
      <c r="EF21">
        <v>3.0293100000000002</v>
      </c>
      <c r="EG21">
        <v>20.153292962962961</v>
      </c>
      <c r="EH21" t="s">
        <v>1089</v>
      </c>
      <c r="EI21">
        <v>0</v>
      </c>
      <c r="EJ21">
        <v>0</v>
      </c>
      <c r="EK21" s="12">
        <v>45470</v>
      </c>
      <c r="EL21" s="13">
        <v>-0.49</v>
      </c>
      <c r="EM21" s="13">
        <v>-3.23</v>
      </c>
      <c r="EN21" s="13">
        <v>-4.03</v>
      </c>
      <c r="EO21" s="13">
        <v>2.76</v>
      </c>
      <c r="EP21" s="13">
        <v>-1.32</v>
      </c>
    </row>
    <row r="22" spans="1:146" ht="96" x14ac:dyDescent="0.25">
      <c r="A22" s="6"/>
      <c r="B22" s="6"/>
      <c r="C22" s="6" t="str">
        <f>""&amp;CHAR(10)&amp;Basic_Fundamental_Information_Constructure(F22)&amp;CHAR(10)&amp;Basic_Fundamental_Information_Concatenate("")</f>
        <v xml:space="preserve">
市值83.911216亿, 利润4.49亿; PE15.81; 平均PE18.5; 平均PEG5.73, PB1.81; ROIC10.55%; ROE11.7167%; 股利率3.178%; 毛利19.09%; 净利11.01%; 上一年度营收增5.36%, 利润增-8.74%; 当季营收增74.64%, 利润增162.9%; 过往5年营收增3.23%, 利润增1.48%
Income profile:
</v>
      </c>
      <c r="D22" t="s">
        <v>102</v>
      </c>
      <c r="E22" t="s">
        <v>1090</v>
      </c>
      <c r="F22">
        <v>9.44</v>
      </c>
      <c r="G22">
        <v>-0.42</v>
      </c>
      <c r="H22" t="s">
        <v>1091</v>
      </c>
      <c r="I22">
        <v>8391121600</v>
      </c>
      <c r="J22">
        <v>15.81</v>
      </c>
      <c r="K22">
        <v>1.81</v>
      </c>
      <c r="L22" t="s">
        <v>250</v>
      </c>
      <c r="M22" t="s">
        <v>1092</v>
      </c>
      <c r="N22" t="s">
        <v>1093</v>
      </c>
      <c r="O22" t="s">
        <v>255</v>
      </c>
      <c r="P22">
        <v>8.67</v>
      </c>
      <c r="Q22" t="s">
        <v>158</v>
      </c>
      <c r="R22">
        <v>195805470</v>
      </c>
      <c r="S22" s="5">
        <v>2.4899999999999999E-2</v>
      </c>
      <c r="T22" t="s">
        <v>1094</v>
      </c>
      <c r="U22">
        <v>888890000</v>
      </c>
      <c r="V22">
        <v>888890000</v>
      </c>
      <c r="W22">
        <v>1.64</v>
      </c>
      <c r="X22">
        <v>0.21</v>
      </c>
      <c r="Y22">
        <v>11.74</v>
      </c>
      <c r="Z22" t="s">
        <v>1095</v>
      </c>
      <c r="AA22" t="s">
        <v>1096</v>
      </c>
      <c r="AB22" t="s">
        <v>1097</v>
      </c>
      <c r="AC22" t="s">
        <v>1098</v>
      </c>
      <c r="AD22" t="s">
        <v>35</v>
      </c>
      <c r="AE22">
        <v>-19754374</v>
      </c>
      <c r="AF22" t="s">
        <v>1099</v>
      </c>
      <c r="AG22" t="s">
        <v>1100</v>
      </c>
      <c r="AH22" t="s">
        <v>1101</v>
      </c>
      <c r="AI22" t="s">
        <v>1102</v>
      </c>
      <c r="AJ22" t="s">
        <v>1103</v>
      </c>
      <c r="AK22" t="s">
        <v>35</v>
      </c>
      <c r="AL22" t="s">
        <v>1104</v>
      </c>
      <c r="AM22" t="s">
        <v>35</v>
      </c>
      <c r="AN22" t="s">
        <v>1105</v>
      </c>
      <c r="AO22" t="s">
        <v>35</v>
      </c>
      <c r="AP22" t="s">
        <v>418</v>
      </c>
      <c r="AQ22" t="s">
        <v>522</v>
      </c>
      <c r="AR22" t="s">
        <v>1106</v>
      </c>
      <c r="AS22" t="s">
        <v>1107</v>
      </c>
      <c r="AT22" t="s">
        <v>1108</v>
      </c>
      <c r="AU22" t="s">
        <v>1109</v>
      </c>
      <c r="AV22" t="s">
        <v>1110</v>
      </c>
      <c r="AW22" t="s">
        <v>1111</v>
      </c>
      <c r="AX22" t="s">
        <v>515</v>
      </c>
      <c r="AY22" t="s">
        <v>306</v>
      </c>
      <c r="AZ22" t="s">
        <v>204</v>
      </c>
      <c r="BA22" t="s">
        <v>103</v>
      </c>
      <c r="BB22" t="s">
        <v>146</v>
      </c>
      <c r="BC22" t="s">
        <v>516</v>
      </c>
      <c r="BD22" t="s">
        <v>78</v>
      </c>
      <c r="BE22" t="s">
        <v>45</v>
      </c>
      <c r="BF22" t="s">
        <v>104</v>
      </c>
      <c r="BG22" t="s">
        <v>205</v>
      </c>
      <c r="BH22" t="s">
        <v>1112</v>
      </c>
      <c r="BI22" t="s">
        <v>1113</v>
      </c>
      <c r="BJ22" t="s">
        <v>515</v>
      </c>
      <c r="BK22" t="s">
        <v>83</v>
      </c>
      <c r="BL22" t="s">
        <v>1114</v>
      </c>
      <c r="BM22" t="s">
        <v>516</v>
      </c>
      <c r="BN22">
        <v>9.3800000000000008</v>
      </c>
      <c r="BO22">
        <v>11.18</v>
      </c>
      <c r="BP22">
        <v>11.09</v>
      </c>
      <c r="BQ22">
        <v>10.24</v>
      </c>
      <c r="BR22">
        <v>11.83</v>
      </c>
      <c r="BS22">
        <v>13.08</v>
      </c>
      <c r="BT22" t="s">
        <v>441</v>
      </c>
      <c r="BU22" t="s">
        <v>250</v>
      </c>
      <c r="BV22">
        <v>18.84</v>
      </c>
      <c r="BW22">
        <v>18.95</v>
      </c>
      <c r="BX22">
        <v>19.48</v>
      </c>
      <c r="BY22">
        <v>10.77</v>
      </c>
      <c r="BZ22">
        <v>10.78</v>
      </c>
      <c r="CA22">
        <v>11.48</v>
      </c>
      <c r="CB22">
        <v>0.85</v>
      </c>
      <c r="CC22">
        <v>-5.51</v>
      </c>
      <c r="CD22" t="s">
        <v>1115</v>
      </c>
      <c r="CE22" t="s">
        <v>1116</v>
      </c>
      <c r="CF22" s="7">
        <v>0.74639175257732004</v>
      </c>
      <c r="CG22" s="8">
        <v>1.6289635755054035</v>
      </c>
      <c r="CH22" s="7">
        <v>5.3567804396152496E-2</v>
      </c>
      <c r="CI22" s="7">
        <v>0.1036292165517807</v>
      </c>
      <c r="CJ22" s="7">
        <v>5.1103692501783371E-2</v>
      </c>
      <c r="CK22" s="7">
        <v>-0.13509023189544678</v>
      </c>
      <c r="CL22" s="7">
        <v>8.8055901229381561E-2</v>
      </c>
      <c r="CM22" s="8">
        <v>-8.739837259054184E-2</v>
      </c>
      <c r="CN22" s="8">
        <v>6.1349691823124886E-3</v>
      </c>
      <c r="CO22" s="8">
        <v>0.18115942180156708</v>
      </c>
      <c r="CP22" s="8">
        <v>-8.2039915025234222E-2</v>
      </c>
      <c r="CQ22" s="8">
        <v>5.620608851313591E-2</v>
      </c>
      <c r="CR22">
        <v>18.496226891991181</v>
      </c>
      <c r="CS22">
        <v>5.7346815166075231</v>
      </c>
      <c r="CT22">
        <v>3.1779661016949152</v>
      </c>
      <c r="CU22" s="7">
        <v>3.225327655673027E-2</v>
      </c>
      <c r="CV22" s="8">
        <v>1.4812438376247882E-2</v>
      </c>
      <c r="CW22">
        <v>0.06</v>
      </c>
      <c r="CX22">
        <v>15.746530149051004</v>
      </c>
      <c r="CY22">
        <v>437246906.76789802</v>
      </c>
      <c r="CZ22">
        <v>3.225327655673027E-2</v>
      </c>
      <c r="DA22">
        <v>5.4053900796996599</v>
      </c>
      <c r="DB22">
        <v>1273751107.4099131</v>
      </c>
      <c r="DC22">
        <v>3.0640612728893755E-2</v>
      </c>
      <c r="DD22">
        <v>2.8376708847773999</v>
      </c>
      <c r="DE22">
        <v>2426328450.1860409</v>
      </c>
      <c r="DF22">
        <v>2.8382883369922639E-2</v>
      </c>
      <c r="DG22">
        <v>1.8284023747016305</v>
      </c>
      <c r="DH22">
        <v>3765649014.2786841</v>
      </c>
      <c r="DI22">
        <v>2.5802621245384218E-2</v>
      </c>
      <c r="DJ22">
        <v>1.0945856030100003</v>
      </c>
      <c r="DK22">
        <v>6290162762.1143637</v>
      </c>
      <c r="DL22">
        <v>2.2577293589711188E-2</v>
      </c>
      <c r="DM22">
        <v>449000000</v>
      </c>
      <c r="DN22">
        <v>3.225327655673027E-2</v>
      </c>
      <c r="DO22">
        <v>6885121600</v>
      </c>
      <c r="DP22">
        <v>564635900</v>
      </c>
      <c r="DQ22">
        <v>3890</v>
      </c>
      <c r="DR22">
        <v>0.71413847602058977</v>
      </c>
      <c r="DS22">
        <v>1.6141511371291557</v>
      </c>
      <c r="DT22" s="9">
        <v>-0.44</v>
      </c>
      <c r="DU22">
        <v>0.35333333333333333</v>
      </c>
      <c r="DV22">
        <v>-8.666666666666667E-2</v>
      </c>
      <c r="DW22">
        <v>-1.0550999999999999</v>
      </c>
      <c r="DX22">
        <v>0.44073150095559299</v>
      </c>
      <c r="DY22">
        <v>-1.0105093057026531</v>
      </c>
      <c r="DZ22">
        <v>1693</v>
      </c>
      <c r="EA22">
        <v>-1.007027455496275</v>
      </c>
      <c r="EB22">
        <v>1</v>
      </c>
      <c r="EC22">
        <v>1.4303457120678599E-2</v>
      </c>
      <c r="ED22">
        <v>7.4992631259210935E-2</v>
      </c>
      <c r="EE22" s="10">
        <v>-2.0933000000000002</v>
      </c>
      <c r="EF22">
        <v>-2.0657000000000001</v>
      </c>
      <c r="EG22">
        <v>25.190731500955593</v>
      </c>
      <c r="EH22" t="s">
        <v>1117</v>
      </c>
      <c r="EI22">
        <v>0</v>
      </c>
      <c r="EJ22">
        <v>0</v>
      </c>
      <c r="EK22" s="12">
        <v>45470</v>
      </c>
      <c r="EL22" s="13">
        <v>-1.58</v>
      </c>
      <c r="EM22" s="13">
        <v>-4.16</v>
      </c>
      <c r="EN22" s="13">
        <v>5.9</v>
      </c>
      <c r="EO22" s="13">
        <v>-0.41</v>
      </c>
      <c r="EP22" s="13">
        <v>-2.76</v>
      </c>
    </row>
    <row r="23" spans="1:146" ht="96" x14ac:dyDescent="0.25">
      <c r="A23" s="6"/>
      <c r="B23" s="6"/>
      <c r="C23" s="6" t="str">
        <f>""&amp;CHAR(10)&amp;Basic_Fundamental_Information_Constructure(F23)&amp;CHAR(10)&amp;Basic_Fundamental_Information_Concatenate("")</f>
        <v xml:space="preserve">
市值19.0742亿, 利润1.01亿; PE13.14; 平均PE20.72; 平均PEG.47, PB1.3; ROIC7.47%; ROE8.2867%; 股利率3.4866%; 毛利28.5467%; 净利11.74%; 上一年度营收增128.54%, 利润增5.14%; 当季营收增26.73%, 利润增70.67%; 过往5年营收增44.24%, 利润增3.33%
Income profile:
</v>
      </c>
      <c r="D23" t="s">
        <v>105</v>
      </c>
      <c r="E23" t="s">
        <v>416</v>
      </c>
      <c r="F23">
        <v>13.48</v>
      </c>
      <c r="G23">
        <v>1.51</v>
      </c>
      <c r="H23" t="s">
        <v>1118</v>
      </c>
      <c r="I23">
        <v>1907420000</v>
      </c>
      <c r="J23">
        <v>13.14</v>
      </c>
      <c r="K23">
        <v>1.3</v>
      </c>
      <c r="L23" t="s">
        <v>250</v>
      </c>
      <c r="M23" t="s">
        <v>1119</v>
      </c>
      <c r="N23" t="s">
        <v>489</v>
      </c>
      <c r="O23" t="s">
        <v>1120</v>
      </c>
      <c r="P23">
        <v>54.69</v>
      </c>
      <c r="Q23" t="s">
        <v>1121</v>
      </c>
      <c r="R23">
        <v>36427281</v>
      </c>
      <c r="S23" s="5">
        <v>0.42799999999999999</v>
      </c>
      <c r="T23" t="s">
        <v>40</v>
      </c>
      <c r="U23">
        <v>141500000</v>
      </c>
      <c r="V23">
        <v>141500000</v>
      </c>
      <c r="W23">
        <v>1.45</v>
      </c>
      <c r="X23">
        <v>0.18</v>
      </c>
      <c r="Y23">
        <v>9.25</v>
      </c>
      <c r="Z23" t="s">
        <v>196</v>
      </c>
      <c r="AA23" t="s">
        <v>1122</v>
      </c>
      <c r="AB23" t="s">
        <v>1123</v>
      </c>
      <c r="AC23" t="s">
        <v>1124</v>
      </c>
      <c r="AD23" t="s">
        <v>35</v>
      </c>
      <c r="AE23">
        <v>1000368</v>
      </c>
      <c r="AF23" t="s">
        <v>475</v>
      </c>
      <c r="AG23" t="s">
        <v>1125</v>
      </c>
      <c r="AH23" t="s">
        <v>1126</v>
      </c>
      <c r="AI23" t="s">
        <v>706</v>
      </c>
      <c r="AJ23" t="s">
        <v>1127</v>
      </c>
      <c r="AK23" t="s">
        <v>35</v>
      </c>
      <c r="AL23" t="s">
        <v>1128</v>
      </c>
      <c r="AM23" t="s">
        <v>35</v>
      </c>
      <c r="AN23" t="s">
        <v>1129</v>
      </c>
      <c r="AO23" t="s">
        <v>1130</v>
      </c>
      <c r="AP23" t="s">
        <v>35</v>
      </c>
      <c r="AQ23" t="s">
        <v>1131</v>
      </c>
      <c r="AR23" t="s">
        <v>35</v>
      </c>
      <c r="AS23" t="s">
        <v>106</v>
      </c>
      <c r="AT23" t="s">
        <v>1132</v>
      </c>
      <c r="AU23" t="s">
        <v>1133</v>
      </c>
      <c r="AV23" t="s">
        <v>1134</v>
      </c>
      <c r="AW23" t="s">
        <v>1135</v>
      </c>
      <c r="AX23" t="s">
        <v>518</v>
      </c>
      <c r="AY23" t="s">
        <v>307</v>
      </c>
      <c r="AZ23" t="s">
        <v>206</v>
      </c>
      <c r="BA23" t="s">
        <v>106</v>
      </c>
      <c r="BB23" t="s">
        <v>197</v>
      </c>
      <c r="BC23" t="s">
        <v>519</v>
      </c>
      <c r="BD23" t="s">
        <v>79</v>
      </c>
      <c r="BE23" t="s">
        <v>207</v>
      </c>
      <c r="BF23" t="s">
        <v>107</v>
      </c>
      <c r="BG23" t="s">
        <v>208</v>
      </c>
      <c r="BH23" t="s">
        <v>1136</v>
      </c>
      <c r="BI23" t="s">
        <v>167</v>
      </c>
      <c r="BJ23" t="s">
        <v>518</v>
      </c>
      <c r="BK23" t="s">
        <v>448</v>
      </c>
      <c r="BL23" t="s">
        <v>1137</v>
      </c>
      <c r="BM23" t="s">
        <v>519</v>
      </c>
      <c r="BN23">
        <v>8.18</v>
      </c>
      <c r="BO23">
        <v>6.64</v>
      </c>
      <c r="BP23">
        <v>7.59</v>
      </c>
      <c r="BQ23">
        <v>9.14</v>
      </c>
      <c r="BR23">
        <v>7.42</v>
      </c>
      <c r="BS23">
        <v>8.3000000000000007</v>
      </c>
      <c r="BT23" t="s">
        <v>1138</v>
      </c>
      <c r="BU23" t="s">
        <v>250</v>
      </c>
      <c r="BV23">
        <v>26.95</v>
      </c>
      <c r="BW23">
        <v>30</v>
      </c>
      <c r="BX23">
        <v>28.69</v>
      </c>
      <c r="BY23">
        <v>12.55</v>
      </c>
      <c r="BZ23">
        <v>11.32</v>
      </c>
      <c r="CA23">
        <v>11.35</v>
      </c>
      <c r="CB23">
        <v>0.15</v>
      </c>
      <c r="CC23">
        <v>-5.54</v>
      </c>
      <c r="CD23" t="s">
        <v>1139</v>
      </c>
      <c r="CE23" t="s">
        <v>1140</v>
      </c>
      <c r="CF23" s="7">
        <v>0.26726726726726729</v>
      </c>
      <c r="CG23" s="8">
        <v>0.70666746313969664</v>
      </c>
      <c r="CH23" s="7">
        <v>1.2853773832321167</v>
      </c>
      <c r="CI23" s="7">
        <v>-5.7777777314186096E-2</v>
      </c>
      <c r="CJ23" s="7">
        <v>0.32939440011978149</v>
      </c>
      <c r="CK23" s="7">
        <v>0.17944251000881195</v>
      </c>
      <c r="CL23" s="7">
        <v>0.47557839751243591</v>
      </c>
      <c r="CM23" s="8">
        <v>5.1402110606431961E-2</v>
      </c>
      <c r="CN23" s="8">
        <v>-5.8213725686073303E-2</v>
      </c>
      <c r="CO23" s="8">
        <v>0.37567907571792603</v>
      </c>
      <c r="CP23" s="8">
        <v>-0.1480853408575058</v>
      </c>
      <c r="CQ23" s="8">
        <v>-5.4523173719644547E-2</v>
      </c>
      <c r="CR23">
        <v>20.721804489496169</v>
      </c>
      <c r="CS23">
        <v>0.46839206106789755</v>
      </c>
      <c r="CT23">
        <v>3.486646884272997</v>
      </c>
      <c r="CU23" s="7">
        <v>0.44240298271179201</v>
      </c>
      <c r="CV23" s="8">
        <v>3.3251789212226865E-2</v>
      </c>
      <c r="CW23">
        <v>0.06</v>
      </c>
      <c r="CX23">
        <v>8.0285798515062954</v>
      </c>
      <c r="CY23">
        <v>137436510.61687827</v>
      </c>
      <c r="CZ23">
        <v>0.44240298271179201</v>
      </c>
      <c r="DA23">
        <v>1.9717629200373017</v>
      </c>
      <c r="DB23">
        <v>559610888.70619678</v>
      </c>
      <c r="DC23">
        <v>0.42028283357620239</v>
      </c>
      <c r="DD23">
        <v>0.63633336172019228</v>
      </c>
      <c r="DE23">
        <v>1734028209.7062113</v>
      </c>
      <c r="DF23">
        <v>0.38931462478637696</v>
      </c>
      <c r="DG23">
        <v>0.22463670170232461</v>
      </c>
      <c r="DH23">
        <v>4912020126.8899841</v>
      </c>
      <c r="DI23">
        <v>0.35392238616943361</v>
      </c>
      <c r="DJ23">
        <v>3.0747159092763102E-2</v>
      </c>
      <c r="DK23">
        <v>35886892726.284744</v>
      </c>
      <c r="DL23">
        <v>0.30968208789825441</v>
      </c>
      <c r="DM23">
        <v>101000000</v>
      </c>
      <c r="DN23">
        <v>0.44240298271179201</v>
      </c>
      <c r="DO23">
        <v>1103420000</v>
      </c>
      <c r="DP23">
        <v>-54725550</v>
      </c>
      <c r="DQ23">
        <v>3913</v>
      </c>
      <c r="DR23">
        <v>-0.17513571544452472</v>
      </c>
      <c r="DS23">
        <v>0.67341567392746982</v>
      </c>
      <c r="DT23" s="9">
        <v>0.24333333333333326</v>
      </c>
      <c r="DU23">
        <v>0.35333333333333333</v>
      </c>
      <c r="DV23">
        <v>0.59666666666666657</v>
      </c>
      <c r="DW23">
        <v>-1.0553999999999999</v>
      </c>
      <c r="DX23">
        <v>0.32534101386868813</v>
      </c>
      <c r="DY23">
        <v>-1.0069438921683254</v>
      </c>
      <c r="DZ23">
        <v>3597</v>
      </c>
      <c r="EA23">
        <v>-1.0020559899903476</v>
      </c>
      <c r="EB23">
        <v>1</v>
      </c>
      <c r="EC23">
        <v>4.6593639575971735E-2</v>
      </c>
      <c r="ED23">
        <v>0.37173498233215546</v>
      </c>
      <c r="EE23" s="10">
        <v>1.00661</v>
      </c>
      <c r="EF23">
        <v>1.0194099999999999</v>
      </c>
      <c r="EG23">
        <v>20.125341013868688</v>
      </c>
      <c r="EH23" t="s">
        <v>340</v>
      </c>
      <c r="EI23">
        <v>0</v>
      </c>
      <c r="EJ23">
        <v>0</v>
      </c>
      <c r="EK23" s="12">
        <v>45470</v>
      </c>
      <c r="EL23" s="13">
        <v>-0.28999999999999998</v>
      </c>
      <c r="EM23" s="13">
        <v>-4.2300000000000004</v>
      </c>
      <c r="EN23" s="13">
        <v>3.59</v>
      </c>
      <c r="EO23" s="13">
        <v>0.99</v>
      </c>
      <c r="EP23" s="13">
        <v>-1.28</v>
      </c>
    </row>
    <row r="24" spans="1:146" ht="96" x14ac:dyDescent="0.25">
      <c r="A24" s="6"/>
      <c r="B24" s="6"/>
      <c r="C24" s="6" t="str">
        <f>""&amp;CHAR(10)&amp;Basic_Fundamental_Information_Constructure(F24)&amp;CHAR(10)&amp;Basic_Fundamental_Information_Concatenate("")</f>
        <v xml:space="preserve">
市值26.21295亿, 利润2.17亿; PE33.31; 平均PE71.48; 平均PEG1.1, PB1.57; ROIC4.8533%; ROE3.69%; 股利率1.0333%; 毛利13.7233%; 净利3.7933%; 上一年度营收增-44.94%, 利润增305.52%; 当季营收增55.17%, 利润增-31.92%; 过往5年营收增65.22%, 利润增-462.18%
Income profile:
</v>
      </c>
      <c r="D24" t="s">
        <v>261</v>
      </c>
      <c r="E24" t="s">
        <v>262</v>
      </c>
      <c r="F24">
        <v>5.71</v>
      </c>
      <c r="G24">
        <v>0.18</v>
      </c>
      <c r="H24" t="s">
        <v>1141</v>
      </c>
      <c r="I24">
        <v>2621295000</v>
      </c>
      <c r="J24">
        <v>33.31</v>
      </c>
      <c r="K24">
        <v>1.57</v>
      </c>
      <c r="L24" t="s">
        <v>250</v>
      </c>
      <c r="M24" t="s">
        <v>1142</v>
      </c>
      <c r="N24" t="s">
        <v>1143</v>
      </c>
      <c r="O24" t="s">
        <v>1144</v>
      </c>
      <c r="P24">
        <v>-24.95</v>
      </c>
      <c r="Q24" t="s">
        <v>1145</v>
      </c>
      <c r="R24">
        <v>24468894</v>
      </c>
      <c r="S24" s="5">
        <v>0.34639999999999999</v>
      </c>
      <c r="T24" t="s">
        <v>413</v>
      </c>
      <c r="U24">
        <v>383544590</v>
      </c>
      <c r="V24">
        <v>459070920</v>
      </c>
      <c r="W24">
        <v>2.2599999999999998</v>
      </c>
      <c r="X24">
        <v>0.14000000000000001</v>
      </c>
      <c r="Y24">
        <v>6.96</v>
      </c>
      <c r="Z24" t="s">
        <v>1146</v>
      </c>
      <c r="AA24" t="s">
        <v>628</v>
      </c>
      <c r="AB24" t="s">
        <v>1147</v>
      </c>
      <c r="AC24" t="s">
        <v>1148</v>
      </c>
      <c r="AD24" t="s">
        <v>35</v>
      </c>
      <c r="AE24">
        <v>19842250</v>
      </c>
      <c r="AF24" t="s">
        <v>1149</v>
      </c>
      <c r="AG24">
        <v>7229.04</v>
      </c>
      <c r="AH24" t="s">
        <v>1150</v>
      </c>
      <c r="AI24" t="s">
        <v>1151</v>
      </c>
      <c r="AJ24" t="s">
        <v>1152</v>
      </c>
      <c r="AK24" t="s">
        <v>1153</v>
      </c>
      <c r="AL24" t="s">
        <v>1154</v>
      </c>
      <c r="AM24" t="s">
        <v>35</v>
      </c>
      <c r="AN24" t="s">
        <v>1155</v>
      </c>
      <c r="AO24" t="s">
        <v>1156</v>
      </c>
      <c r="AP24" t="s">
        <v>1157</v>
      </c>
      <c r="AQ24" t="s">
        <v>228</v>
      </c>
      <c r="AR24" t="s">
        <v>35</v>
      </c>
      <c r="AS24" t="s">
        <v>1158</v>
      </c>
      <c r="AT24" t="s">
        <v>58</v>
      </c>
      <c r="AU24" t="s">
        <v>1159</v>
      </c>
      <c r="AV24" t="s">
        <v>1160</v>
      </c>
      <c r="AW24" t="s">
        <v>1161</v>
      </c>
      <c r="AX24" t="s">
        <v>1162</v>
      </c>
      <c r="AY24" t="s">
        <v>1163</v>
      </c>
      <c r="AZ24" t="s">
        <v>1164</v>
      </c>
      <c r="BA24" t="s">
        <v>161</v>
      </c>
      <c r="BB24" t="s">
        <v>264</v>
      </c>
      <c r="BC24" t="s">
        <v>1165</v>
      </c>
      <c r="BD24" t="s">
        <v>308</v>
      </c>
      <c r="BE24" t="s">
        <v>263</v>
      </c>
      <c r="BF24" t="s">
        <v>137</v>
      </c>
      <c r="BG24" t="s">
        <v>265</v>
      </c>
      <c r="BH24" t="s">
        <v>1166</v>
      </c>
      <c r="BI24" t="s">
        <v>1167</v>
      </c>
      <c r="BJ24" t="s">
        <v>1162</v>
      </c>
      <c r="BK24" t="s">
        <v>1168</v>
      </c>
      <c r="BL24" t="s">
        <v>1169</v>
      </c>
      <c r="BM24" t="s">
        <v>1165</v>
      </c>
      <c r="BN24">
        <v>3.92</v>
      </c>
      <c r="BO24">
        <v>6.06</v>
      </c>
      <c r="BP24">
        <v>4.58</v>
      </c>
      <c r="BQ24">
        <v>2.87</v>
      </c>
      <c r="BR24">
        <v>4.1399999999999997</v>
      </c>
      <c r="BS24">
        <v>4.0599999999999996</v>
      </c>
      <c r="BT24" t="s">
        <v>1170</v>
      </c>
      <c r="BU24" t="s">
        <v>250</v>
      </c>
      <c r="BV24">
        <v>15.18</v>
      </c>
      <c r="BW24">
        <v>14.45</v>
      </c>
      <c r="BX24">
        <v>11.54</v>
      </c>
      <c r="BY24">
        <v>4.4800000000000004</v>
      </c>
      <c r="BZ24">
        <v>3.71</v>
      </c>
      <c r="CA24">
        <v>3.19</v>
      </c>
      <c r="CB24">
        <v>0.88</v>
      </c>
      <c r="CC24">
        <v>-11.88</v>
      </c>
      <c r="CD24" t="s">
        <v>1171</v>
      </c>
      <c r="CE24" t="s">
        <v>211</v>
      </c>
      <c r="CF24" s="7">
        <v>0.5517241379310347</v>
      </c>
      <c r="CG24" s="8">
        <v>-0.31922114488419001</v>
      </c>
      <c r="CH24" s="7">
        <v>-0.44935062527656555</v>
      </c>
      <c r="CI24" s="7">
        <v>0.44555696845054626</v>
      </c>
      <c r="CJ24" s="7">
        <v>1.3476983308792114</v>
      </c>
      <c r="CK24" s="7">
        <v>2.1512346267700195</v>
      </c>
      <c r="CL24" s="7">
        <v>-0.23404255509376526</v>
      </c>
      <c r="CM24" s="8">
        <v>3.0552332401275635</v>
      </c>
      <c r="CN24" s="8">
        <v>0.29825222492218018</v>
      </c>
      <c r="CO24" s="8">
        <v>0.72301530838012695</v>
      </c>
      <c r="CP24" s="8">
        <v>1.1993491649627686</v>
      </c>
      <c r="CQ24" s="8">
        <v>-28.384756088256836</v>
      </c>
      <c r="CR24">
        <v>71.479206736450195</v>
      </c>
      <c r="CS24">
        <v>1.0959381507165564</v>
      </c>
      <c r="CT24">
        <v>1.0332749562171628</v>
      </c>
      <c r="CU24" s="7">
        <v>0.6522193491458893</v>
      </c>
      <c r="CV24" s="8">
        <v>-4.6217812299728394</v>
      </c>
      <c r="CW24">
        <v>0.06</v>
      </c>
      <c r="CX24">
        <v>9.5651616532998673</v>
      </c>
      <c r="CY24">
        <v>338237357.325149</v>
      </c>
      <c r="CZ24">
        <v>0.6522193491458893</v>
      </c>
      <c r="DA24">
        <v>2.0067325638113704</v>
      </c>
      <c r="DB24">
        <v>1612220311.9359519</v>
      </c>
      <c r="DC24">
        <v>0.61960838168859478</v>
      </c>
      <c r="DD24">
        <v>0.50096465929605949</v>
      </c>
      <c r="DE24">
        <v>6458130209.3168402</v>
      </c>
      <c r="DF24">
        <v>0.5739530272483826</v>
      </c>
      <c r="DG24">
        <v>0.12500410847105639</v>
      </c>
      <c r="DH24">
        <v>25881509332.544094</v>
      </c>
      <c r="DI24">
        <v>0.52177547931671142</v>
      </c>
      <c r="DJ24">
        <v>7.059475081449473E-3</v>
      </c>
      <c r="DK24">
        <v>458291156590.6001</v>
      </c>
      <c r="DL24">
        <v>0.45655354440212248</v>
      </c>
      <c r="DM24">
        <v>217000000</v>
      </c>
      <c r="DN24">
        <v>0.6522193491458893</v>
      </c>
      <c r="DO24">
        <v>3235295000</v>
      </c>
      <c r="DP24">
        <v>-532253200</v>
      </c>
      <c r="DQ24">
        <v>4084</v>
      </c>
      <c r="DR24">
        <v>-0.10049521121485461</v>
      </c>
      <c r="DS24">
        <v>4.3025600850886496</v>
      </c>
      <c r="DT24" s="9">
        <v>0.18500000000000005</v>
      </c>
      <c r="DU24">
        <v>-0.10666666666666673</v>
      </c>
      <c r="DV24">
        <v>7.8333333333333324E-2</v>
      </c>
      <c r="DW24">
        <v>-2.1187999999999998</v>
      </c>
      <c r="DX24">
        <v>0.3219411290322583</v>
      </c>
      <c r="DY24">
        <v>-2.0144866061290321</v>
      </c>
      <c r="DZ24">
        <v>368</v>
      </c>
      <c r="EA24">
        <v>-2.0134433436915598</v>
      </c>
      <c r="EB24">
        <v>2</v>
      </c>
      <c r="EC24">
        <v>3.2937612341030008E-2</v>
      </c>
      <c r="ED24">
        <v>0.27011077068440753</v>
      </c>
      <c r="EE24" s="10">
        <v>-1.0810999999999999</v>
      </c>
      <c r="EF24">
        <v>-1.0636000000000001</v>
      </c>
      <c r="EG24">
        <v>20.121941129032258</v>
      </c>
      <c r="EH24" t="s">
        <v>430</v>
      </c>
      <c r="EI24">
        <v>0</v>
      </c>
      <c r="EJ24">
        <v>1</v>
      </c>
      <c r="EK24" s="12">
        <v>45470</v>
      </c>
      <c r="EL24" s="13">
        <v>0.17</v>
      </c>
      <c r="EM24" s="13">
        <v>-4.68</v>
      </c>
      <c r="EN24" s="13">
        <v>1.27</v>
      </c>
      <c r="EO24" s="13">
        <v>2.87</v>
      </c>
      <c r="EP24" s="13">
        <v>-1.75</v>
      </c>
    </row>
    <row r="25" spans="1:146" ht="96" x14ac:dyDescent="0.25">
      <c r="A25" s="6"/>
      <c r="B25" s="6"/>
      <c r="C25" s="6" t="str">
        <f>""&amp;CHAR(10)&amp;Basic_Fundamental_Information_Constructure(F25)&amp;CHAR(10)&amp;Basic_Fundamental_Information_Concatenate("")</f>
        <v xml:space="preserve">
市值41.972304亿, 利润3.77亿; PE12.11; 平均PE17.4; 平均PEG4.4, PB1.36; ROIC5.45%; ROE9.5267%; 股利率3.9863%; 毛利9.4367%; 净利4.56%; 上一年度营收增-46.85%, 利润增47.84%; 当季营收增100%, 利润增70.19%; 过往5年营收增3.95%, 利润增18.15%
Income profile:
</v>
      </c>
      <c r="D25" t="s">
        <v>108</v>
      </c>
      <c r="E25" t="s">
        <v>11</v>
      </c>
      <c r="F25">
        <v>8.7799999999999994</v>
      </c>
      <c r="G25">
        <v>1.62</v>
      </c>
      <c r="H25" t="s">
        <v>1172</v>
      </c>
      <c r="I25">
        <v>4197230400</v>
      </c>
      <c r="J25">
        <v>12.11</v>
      </c>
      <c r="K25">
        <v>1.36</v>
      </c>
      <c r="L25" t="s">
        <v>250</v>
      </c>
      <c r="M25" t="s">
        <v>1173</v>
      </c>
      <c r="N25" t="s">
        <v>1174</v>
      </c>
      <c r="O25" t="s">
        <v>171</v>
      </c>
      <c r="P25">
        <v>-13.07</v>
      </c>
      <c r="Q25" t="s">
        <v>1175</v>
      </c>
      <c r="R25">
        <v>106677127</v>
      </c>
      <c r="S25" s="5">
        <v>2.4199999999999999E-2</v>
      </c>
      <c r="T25" t="s">
        <v>1176</v>
      </c>
      <c r="U25">
        <v>470449470</v>
      </c>
      <c r="V25">
        <v>478044470</v>
      </c>
      <c r="W25">
        <v>1.95</v>
      </c>
      <c r="X25">
        <v>0.22</v>
      </c>
      <c r="Y25">
        <v>6.95</v>
      </c>
      <c r="Z25" t="s">
        <v>478</v>
      </c>
      <c r="AA25" t="s">
        <v>1177</v>
      </c>
      <c r="AB25" t="s">
        <v>1178</v>
      </c>
      <c r="AC25" t="s">
        <v>1179</v>
      </c>
      <c r="AD25" t="s">
        <v>35</v>
      </c>
      <c r="AE25">
        <v>16963737</v>
      </c>
      <c r="AF25" t="s">
        <v>1180</v>
      </c>
      <c r="AG25" t="s">
        <v>1181</v>
      </c>
      <c r="AH25" t="s">
        <v>1182</v>
      </c>
      <c r="AI25" t="s">
        <v>1183</v>
      </c>
      <c r="AJ25" t="s">
        <v>1184</v>
      </c>
      <c r="AK25" t="s">
        <v>1185</v>
      </c>
      <c r="AL25" t="s">
        <v>1186</v>
      </c>
      <c r="AM25" t="s">
        <v>35</v>
      </c>
      <c r="AN25" t="s">
        <v>1187</v>
      </c>
      <c r="AO25" t="s">
        <v>411</v>
      </c>
      <c r="AP25" t="s">
        <v>35</v>
      </c>
      <c r="AQ25" t="s">
        <v>1188</v>
      </c>
      <c r="AR25" t="s">
        <v>35</v>
      </c>
      <c r="AS25" t="s">
        <v>1189</v>
      </c>
      <c r="AT25" t="s">
        <v>1190</v>
      </c>
      <c r="AU25" t="s">
        <v>509</v>
      </c>
      <c r="AV25" t="s">
        <v>1191</v>
      </c>
      <c r="AW25" t="s">
        <v>1192</v>
      </c>
      <c r="AX25" t="s">
        <v>1193</v>
      </c>
      <c r="AY25" t="s">
        <v>309</v>
      </c>
      <c r="AZ25" t="s">
        <v>209</v>
      </c>
      <c r="BA25" t="s">
        <v>109</v>
      </c>
      <c r="BB25" t="s">
        <v>210</v>
      </c>
      <c r="BC25" t="s">
        <v>1194</v>
      </c>
      <c r="BD25" t="s">
        <v>192</v>
      </c>
      <c r="BE25" t="s">
        <v>41</v>
      </c>
      <c r="BF25" t="s">
        <v>110</v>
      </c>
      <c r="BG25" t="s">
        <v>116</v>
      </c>
      <c r="BH25" t="s">
        <v>1195</v>
      </c>
      <c r="BI25" t="s">
        <v>1196</v>
      </c>
      <c r="BJ25" t="s">
        <v>1193</v>
      </c>
      <c r="BK25" t="s">
        <v>444</v>
      </c>
      <c r="BL25" t="s">
        <v>1197</v>
      </c>
      <c r="BM25" t="s">
        <v>1194</v>
      </c>
      <c r="BN25">
        <v>5.55</v>
      </c>
      <c r="BO25">
        <v>5.52</v>
      </c>
      <c r="BP25">
        <v>5.28</v>
      </c>
      <c r="BQ25">
        <v>10.44</v>
      </c>
      <c r="BR25">
        <v>9.67</v>
      </c>
      <c r="BS25">
        <v>8.4700000000000006</v>
      </c>
      <c r="BT25" t="s">
        <v>1198</v>
      </c>
      <c r="BU25" t="s">
        <v>250</v>
      </c>
      <c r="BV25">
        <v>11.17</v>
      </c>
      <c r="BW25">
        <v>8.52</v>
      </c>
      <c r="BX25">
        <v>8.6199999999999992</v>
      </c>
      <c r="BY25">
        <v>5.56</v>
      </c>
      <c r="BZ25">
        <v>4.1900000000000004</v>
      </c>
      <c r="CA25">
        <v>3.93</v>
      </c>
      <c r="CB25">
        <v>6.81</v>
      </c>
      <c r="CC25">
        <v>-0.45</v>
      </c>
      <c r="CD25" t="s">
        <v>1199</v>
      </c>
      <c r="CE25" t="s">
        <v>1200</v>
      </c>
      <c r="CF25" s="7">
        <v>1</v>
      </c>
      <c r="CG25" s="8">
        <v>0.7019406123513674</v>
      </c>
      <c r="CH25" s="7">
        <v>-0.46845477819442749</v>
      </c>
      <c r="CI25" s="7">
        <v>0.20072920620441437</v>
      </c>
      <c r="CJ25" s="7">
        <v>3.6313951015472412E-2</v>
      </c>
      <c r="CK25" s="7">
        <v>0.1421721875667572</v>
      </c>
      <c r="CL25" s="7">
        <v>0.28694853186607361</v>
      </c>
      <c r="CM25" s="8">
        <v>0.47843137383460999</v>
      </c>
      <c r="CN25" s="8">
        <v>0.23786407709121704</v>
      </c>
      <c r="CO25" s="8">
        <v>-1.4354066923260689E-2</v>
      </c>
      <c r="CP25" s="8">
        <v>-6.6964283585548401E-2</v>
      </c>
      <c r="CQ25" s="8">
        <v>0.27272728085517883</v>
      </c>
      <c r="CR25">
        <v>17.403857912923289</v>
      </c>
      <c r="CS25">
        <v>4.4013801207522354</v>
      </c>
      <c r="CT25">
        <v>3.9863325740318909</v>
      </c>
      <c r="CU25" s="7">
        <v>3.9541819691658021E-2</v>
      </c>
      <c r="CV25" s="8">
        <v>0.18154087625443935</v>
      </c>
      <c r="CW25">
        <v>0.06</v>
      </c>
      <c r="CX25">
        <v>10.738367437527707</v>
      </c>
      <c r="CY25">
        <v>369723835.87146699</v>
      </c>
      <c r="CZ25">
        <v>3.9541819691658021E-2</v>
      </c>
      <c r="DA25">
        <v>3.6632637520747098</v>
      </c>
      <c r="DB25">
        <v>1083795945.0098119</v>
      </c>
      <c r="DC25">
        <v>3.7564728707075119E-2</v>
      </c>
      <c r="DD25">
        <v>1.9078058747739799</v>
      </c>
      <c r="DE25">
        <v>2081045274.3103948</v>
      </c>
      <c r="DF25">
        <v>3.4796801328659061E-2</v>
      </c>
      <c r="DG25">
        <v>1.2188478384776227</v>
      </c>
      <c r="DH25">
        <v>3257363449.8617444</v>
      </c>
      <c r="DI25">
        <v>3.163345575332642E-2</v>
      </c>
      <c r="DJ25">
        <v>0.71738116978979827</v>
      </c>
      <c r="DK25">
        <v>5534338740.9559793</v>
      </c>
      <c r="DL25">
        <v>2.7679273784160612E-2</v>
      </c>
      <c r="DM25">
        <v>377000000</v>
      </c>
      <c r="DN25">
        <v>3.9541819691658021E-2</v>
      </c>
      <c r="DO25">
        <v>3970230399.9999995</v>
      </c>
      <c r="DP25">
        <v>622302500</v>
      </c>
      <c r="DQ25">
        <v>4258</v>
      </c>
      <c r="DR25">
        <v>0.96045818030834196</v>
      </c>
      <c r="DS25">
        <v>0.52039973609692802</v>
      </c>
      <c r="DT25" s="9">
        <v>-0.35666666666666669</v>
      </c>
      <c r="DU25">
        <v>0.6366666666666666</v>
      </c>
      <c r="DV25">
        <v>0.27999999999999992</v>
      </c>
      <c r="DW25">
        <v>5.0660792951541849</v>
      </c>
      <c r="DX25">
        <v>0.45307077556980002</v>
      </c>
      <c r="DY25">
        <v>5.0154011525706919</v>
      </c>
      <c r="DZ25">
        <v>205</v>
      </c>
      <c r="EA25">
        <v>5.0147832981133549</v>
      </c>
      <c r="EB25">
        <v>5</v>
      </c>
      <c r="EC25">
        <v>4.2453790962167177E-2</v>
      </c>
      <c r="ED25">
        <v>0.18214979037410473</v>
      </c>
      <c r="EE25" s="10">
        <v>2.710000000000001E-3</v>
      </c>
      <c r="EF25">
        <v>3.2410000000000001E-2</v>
      </c>
      <c r="EG25">
        <v>22.2330707755698</v>
      </c>
      <c r="EH25">
        <v>-1</v>
      </c>
      <c r="EI25">
        <v>1</v>
      </c>
      <c r="EJ25">
        <v>1</v>
      </c>
      <c r="EK25" s="12">
        <v>45470</v>
      </c>
      <c r="EL25" s="13">
        <v>-1.08</v>
      </c>
      <c r="EM25" s="13">
        <v>-4.66</v>
      </c>
      <c r="EN25" s="13">
        <v>-4.29</v>
      </c>
      <c r="EO25" s="13">
        <v>4.53</v>
      </c>
      <c r="EP25" s="13">
        <v>-2.97</v>
      </c>
    </row>
    <row r="26" spans="1:146" ht="96" x14ac:dyDescent="0.25">
      <c r="A26" s="6"/>
      <c r="B26" s="6"/>
      <c r="C26" s="6" t="str">
        <f>""&amp;CHAR(10)&amp;Basic_Fundamental_Information_Constructure(F26)&amp;CHAR(10)&amp;Basic_Fundamental_Information_Concatenate("")</f>
        <v xml:space="preserve">
市值28.085456亿, 利润-1.89亿; PE13.76; 平均PE40.52; 平均PEG.52, PB1.63; ROIC7.1267%; ROE8.4767%; 股利率6.0688%; 毛利26.6433%; 净利15.8167%; 上一年度营收增271.9%, 利润增-237.96%; 当季营收增-62.66%, 利润增-78.1%; 过往5年营收增77.52%, 利润增-37.66%
Income profile:
</v>
      </c>
      <c r="D26" t="s">
        <v>111</v>
      </c>
      <c r="E26" t="s">
        <v>7</v>
      </c>
      <c r="F26">
        <v>14.83</v>
      </c>
      <c r="G26">
        <v>1.23</v>
      </c>
      <c r="H26" t="s">
        <v>1201</v>
      </c>
      <c r="I26">
        <v>2808545600</v>
      </c>
      <c r="J26">
        <v>13.76</v>
      </c>
      <c r="K26">
        <v>1.63</v>
      </c>
      <c r="L26" t="s">
        <v>250</v>
      </c>
      <c r="M26" t="s">
        <v>1202</v>
      </c>
      <c r="N26" t="s">
        <v>1203</v>
      </c>
      <c r="O26" t="s">
        <v>1204</v>
      </c>
      <c r="P26">
        <v>12.43</v>
      </c>
      <c r="Q26" t="s">
        <v>1205</v>
      </c>
      <c r="R26">
        <v>72719122</v>
      </c>
      <c r="S26" s="5">
        <v>0.1009</v>
      </c>
      <c r="T26" t="s">
        <v>1206</v>
      </c>
      <c r="U26">
        <v>189382710</v>
      </c>
      <c r="V26">
        <v>189382710</v>
      </c>
      <c r="W26">
        <v>1.54</v>
      </c>
      <c r="X26">
        <v>0.17</v>
      </c>
      <c r="Y26">
        <v>17.47</v>
      </c>
      <c r="Z26" t="s">
        <v>1207</v>
      </c>
      <c r="AA26" t="s">
        <v>1208</v>
      </c>
      <c r="AB26" t="s">
        <v>1209</v>
      </c>
      <c r="AC26" t="s">
        <v>1210</v>
      </c>
      <c r="AD26" t="s">
        <v>35</v>
      </c>
      <c r="AE26">
        <v>-2427778</v>
      </c>
      <c r="AF26" t="s">
        <v>1211</v>
      </c>
      <c r="AG26" t="s">
        <v>1212</v>
      </c>
      <c r="AH26" t="s">
        <v>1213</v>
      </c>
      <c r="AI26" t="s">
        <v>1214</v>
      </c>
      <c r="AJ26" t="s">
        <v>1215</v>
      </c>
      <c r="AK26" t="s">
        <v>35</v>
      </c>
      <c r="AL26" t="s">
        <v>1216</v>
      </c>
      <c r="AM26" t="s">
        <v>35</v>
      </c>
      <c r="AN26" t="s">
        <v>1217</v>
      </c>
      <c r="AO26" t="s">
        <v>35</v>
      </c>
      <c r="AP26" t="s">
        <v>35</v>
      </c>
      <c r="AQ26" t="s">
        <v>92</v>
      </c>
      <c r="AR26" t="s">
        <v>1218</v>
      </c>
      <c r="AS26" t="s">
        <v>1183</v>
      </c>
      <c r="AT26" t="s">
        <v>211</v>
      </c>
      <c r="AU26" t="s">
        <v>1219</v>
      </c>
      <c r="AV26" t="s">
        <v>490</v>
      </c>
      <c r="AW26" t="s">
        <v>1220</v>
      </c>
      <c r="AX26" t="s">
        <v>443</v>
      </c>
      <c r="AY26" t="s">
        <v>310</v>
      </c>
      <c r="AZ26" t="s">
        <v>212</v>
      </c>
      <c r="BA26" t="s">
        <v>113</v>
      </c>
      <c r="BB26" t="s">
        <v>81</v>
      </c>
      <c r="BC26" t="s">
        <v>58</v>
      </c>
      <c r="BD26" t="s">
        <v>160</v>
      </c>
      <c r="BE26" t="s">
        <v>69</v>
      </c>
      <c r="BF26" t="s">
        <v>114</v>
      </c>
      <c r="BG26" t="s">
        <v>213</v>
      </c>
      <c r="BH26" t="s">
        <v>537</v>
      </c>
      <c r="BI26" t="s">
        <v>482</v>
      </c>
      <c r="BJ26" t="s">
        <v>443</v>
      </c>
      <c r="BK26" t="s">
        <v>415</v>
      </c>
      <c r="BL26" t="s">
        <v>573</v>
      </c>
      <c r="BM26" t="s">
        <v>58</v>
      </c>
      <c r="BN26">
        <v>5.82</v>
      </c>
      <c r="BO26">
        <v>7.38</v>
      </c>
      <c r="BP26">
        <v>8.18</v>
      </c>
      <c r="BQ26">
        <v>6.69</v>
      </c>
      <c r="BR26">
        <v>8.67</v>
      </c>
      <c r="BS26">
        <v>10.07</v>
      </c>
      <c r="BT26" t="s">
        <v>1221</v>
      </c>
      <c r="BU26" t="s">
        <v>250</v>
      </c>
      <c r="BV26">
        <v>28.85</v>
      </c>
      <c r="BW26">
        <v>25.22</v>
      </c>
      <c r="BX26">
        <v>25.86</v>
      </c>
      <c r="BY26">
        <v>17.12</v>
      </c>
      <c r="BZ26">
        <v>13.69</v>
      </c>
      <c r="CA26">
        <v>16.64</v>
      </c>
      <c r="CB26">
        <v>1.23</v>
      </c>
      <c r="CC26">
        <v>-7.54</v>
      </c>
      <c r="CD26" t="s">
        <v>1222</v>
      </c>
      <c r="CE26" t="s">
        <v>1223</v>
      </c>
      <c r="CF26" s="7">
        <v>-0.62662586074980875</v>
      </c>
      <c r="CG26" s="8">
        <v>-0.78096650000000001</v>
      </c>
      <c r="CH26" s="7">
        <v>2.7190163135528564</v>
      </c>
      <c r="CI26" s="7">
        <v>6.9838054478168488E-2</v>
      </c>
      <c r="CJ26" s="7">
        <v>0.22732919454574585</v>
      </c>
      <c r="CK26" s="7">
        <v>0.78097343444824219</v>
      </c>
      <c r="CL26" s="7">
        <v>7.8758947551250458E-2</v>
      </c>
      <c r="CM26" s="8">
        <v>-2.3795621395111084</v>
      </c>
      <c r="CN26" s="8">
        <v>-0.12179487198591232</v>
      </c>
      <c r="CO26" s="8">
        <v>0.48571428656578064</v>
      </c>
      <c r="CP26" s="8">
        <v>-7.0796459913253784E-2</v>
      </c>
      <c r="CQ26" s="8">
        <v>0.20366548001766205</v>
      </c>
      <c r="CR26">
        <v>40.519567307773229</v>
      </c>
      <c r="CS26">
        <v>0.52270957222993975</v>
      </c>
      <c r="CT26">
        <v>6.0687795010114636</v>
      </c>
      <c r="CU26" s="7">
        <v>0.77518318891525273</v>
      </c>
      <c r="CV26" s="8">
        <v>-0.37655474096536634</v>
      </c>
      <c r="CW26">
        <v>0.06</v>
      </c>
      <c r="CX26" t="e">
        <v>#VALUE!</v>
      </c>
      <c r="CY26" t="s">
        <v>338</v>
      </c>
      <c r="CZ26">
        <v>0.77518318891525273</v>
      </c>
      <c r="DA26" t="e">
        <v>#VALUE!</v>
      </c>
      <c r="DB26" t="s">
        <v>338</v>
      </c>
      <c r="DC26">
        <v>0.73642402946949004</v>
      </c>
      <c r="DD26" t="e">
        <v>#VALUE!</v>
      </c>
      <c r="DE26" t="s">
        <v>338</v>
      </c>
      <c r="DF26">
        <v>0.68216120624542242</v>
      </c>
      <c r="DG26" t="e">
        <v>#VALUE!</v>
      </c>
      <c r="DH26" t="s">
        <v>338</v>
      </c>
      <c r="DI26">
        <v>0.62014655113220218</v>
      </c>
      <c r="DJ26" t="e">
        <v>#VALUE!</v>
      </c>
      <c r="DK26" t="s">
        <v>338</v>
      </c>
      <c r="DL26">
        <v>0.54262823224067691</v>
      </c>
      <c r="DM26">
        <v>-189000000</v>
      </c>
      <c r="DN26">
        <v>0.77518318891525273</v>
      </c>
      <c r="DO26">
        <v>2104545600.0000002</v>
      </c>
      <c r="DP26">
        <v>765140900</v>
      </c>
      <c r="DQ26">
        <v>4268</v>
      </c>
      <c r="DR26">
        <v>-1.4018090496650615</v>
      </c>
      <c r="DS26">
        <v>-0.40441175903463367</v>
      </c>
      <c r="DT26" s="9">
        <v>0.22666666666666666</v>
      </c>
      <c r="DU26">
        <v>-0.95666666666666667</v>
      </c>
      <c r="DV26">
        <v>-0.73</v>
      </c>
      <c r="DW26">
        <v>-2.0754000000000001</v>
      </c>
      <c r="DX26">
        <v>0.31206741274021127</v>
      </c>
      <c r="DY26">
        <v>-2.0092038829206116</v>
      </c>
      <c r="DZ26">
        <v>3220</v>
      </c>
      <c r="EA26">
        <v>-2.003404175874747</v>
      </c>
      <c r="EB26">
        <v>2</v>
      </c>
      <c r="EC26">
        <v>3.6814870797867452E-2</v>
      </c>
      <c r="ED26">
        <v>0.30159458590491178</v>
      </c>
      <c r="EE26" s="10">
        <v>4.0608000000000004</v>
      </c>
      <c r="EF26">
        <v>4.0412999999999997</v>
      </c>
      <c r="EG26">
        <v>19.122067412740211</v>
      </c>
      <c r="EH26" t="s">
        <v>1224</v>
      </c>
      <c r="EI26">
        <v>0</v>
      </c>
      <c r="EJ26">
        <v>0</v>
      </c>
      <c r="EK26" s="12">
        <v>45470</v>
      </c>
      <c r="EL26" s="13">
        <v>-0.33</v>
      </c>
      <c r="EM26" s="13">
        <v>-1.89</v>
      </c>
      <c r="EN26" s="13">
        <v>-0.5</v>
      </c>
      <c r="EO26" s="13">
        <v>3.36</v>
      </c>
      <c r="EP26" s="13">
        <v>-1.95</v>
      </c>
    </row>
    <row r="27" spans="1:146" ht="156" x14ac:dyDescent="0.25">
      <c r="A27" s="6" t="s">
        <v>245</v>
      </c>
      <c r="B27" s="6" t="s">
        <v>247</v>
      </c>
      <c r="C27" s="6" t="s">
        <v>343</v>
      </c>
      <c r="D27" t="s">
        <v>214</v>
      </c>
      <c r="E27" t="s">
        <v>215</v>
      </c>
      <c r="F27">
        <v>28.87</v>
      </c>
      <c r="G27">
        <v>0.28000000000000003</v>
      </c>
      <c r="H27" t="s">
        <v>1225</v>
      </c>
      <c r="I27">
        <v>18281318000</v>
      </c>
      <c r="J27">
        <v>13.7</v>
      </c>
      <c r="K27">
        <v>2.2200000000000002</v>
      </c>
      <c r="L27" t="s">
        <v>250</v>
      </c>
      <c r="M27" t="s">
        <v>1226</v>
      </c>
      <c r="N27" t="s">
        <v>1227</v>
      </c>
      <c r="O27" t="s">
        <v>1228</v>
      </c>
      <c r="P27">
        <v>-2.17</v>
      </c>
      <c r="Q27" t="s">
        <v>524</v>
      </c>
      <c r="R27">
        <v>480136780</v>
      </c>
      <c r="S27" s="5">
        <v>6.3200000000000006E-2</v>
      </c>
      <c r="T27" t="s">
        <v>1229</v>
      </c>
      <c r="U27">
        <v>268810460</v>
      </c>
      <c r="V27">
        <v>633228880</v>
      </c>
      <c r="W27">
        <v>1.71</v>
      </c>
      <c r="X27">
        <v>0.43</v>
      </c>
      <c r="Y27">
        <v>7.66</v>
      </c>
      <c r="Z27" t="s">
        <v>1230</v>
      </c>
      <c r="AA27" t="s">
        <v>1231</v>
      </c>
      <c r="AB27" t="s">
        <v>1232</v>
      </c>
      <c r="AC27" t="s">
        <v>1233</v>
      </c>
      <c r="AD27" t="s">
        <v>35</v>
      </c>
      <c r="AE27">
        <v>-2357535</v>
      </c>
      <c r="AF27" t="s">
        <v>1234</v>
      </c>
      <c r="AG27" t="s">
        <v>1235</v>
      </c>
      <c r="AH27" t="s">
        <v>1236</v>
      </c>
      <c r="AI27" t="s">
        <v>1237</v>
      </c>
      <c r="AJ27" t="s">
        <v>1238</v>
      </c>
      <c r="AK27" t="s">
        <v>1239</v>
      </c>
      <c r="AL27" t="s">
        <v>1240</v>
      </c>
      <c r="AM27" t="s">
        <v>35</v>
      </c>
      <c r="AN27" t="s">
        <v>163</v>
      </c>
      <c r="AO27" t="s">
        <v>1241</v>
      </c>
      <c r="AP27" t="s">
        <v>35</v>
      </c>
      <c r="AQ27" t="s">
        <v>1242</v>
      </c>
      <c r="AR27" t="s">
        <v>1243</v>
      </c>
      <c r="AS27" t="s">
        <v>1244</v>
      </c>
      <c r="AT27" t="s">
        <v>1245</v>
      </c>
      <c r="AU27" t="s">
        <v>410</v>
      </c>
      <c r="AV27" t="s">
        <v>1246</v>
      </c>
      <c r="AW27" t="s">
        <v>412</v>
      </c>
      <c r="AX27" t="s">
        <v>526</v>
      </c>
      <c r="AY27" t="s">
        <v>311</v>
      </c>
      <c r="AZ27" t="s">
        <v>216</v>
      </c>
      <c r="BA27" t="s">
        <v>218</v>
      </c>
      <c r="BB27" t="s">
        <v>219</v>
      </c>
      <c r="BC27" t="s">
        <v>527</v>
      </c>
      <c r="BD27" t="s">
        <v>312</v>
      </c>
      <c r="BE27" t="s">
        <v>217</v>
      </c>
      <c r="BF27" t="s">
        <v>220</v>
      </c>
      <c r="BG27" t="s">
        <v>101</v>
      </c>
      <c r="BH27" t="s">
        <v>1247</v>
      </c>
      <c r="BI27" t="s">
        <v>166</v>
      </c>
      <c r="BJ27" t="s">
        <v>526</v>
      </c>
      <c r="BK27" t="s">
        <v>1248</v>
      </c>
      <c r="BL27" t="s">
        <v>1249</v>
      </c>
      <c r="BM27" t="s">
        <v>527</v>
      </c>
      <c r="BN27">
        <v>9.93</v>
      </c>
      <c r="BO27">
        <v>12.76</v>
      </c>
      <c r="BP27">
        <v>11.41</v>
      </c>
      <c r="BQ27">
        <v>15.43</v>
      </c>
      <c r="BR27">
        <v>17.670000000000002</v>
      </c>
      <c r="BS27">
        <v>14.17</v>
      </c>
      <c r="BT27" t="s">
        <v>1250</v>
      </c>
      <c r="BU27" t="s">
        <v>250</v>
      </c>
      <c r="BV27">
        <v>7.82</v>
      </c>
      <c r="BW27">
        <v>6.5</v>
      </c>
      <c r="BX27">
        <v>6.5</v>
      </c>
      <c r="BY27">
        <v>4.95</v>
      </c>
      <c r="BZ27">
        <v>4.5599999999999996</v>
      </c>
      <c r="CA27">
        <v>3.4</v>
      </c>
      <c r="CB27">
        <v>-0.45</v>
      </c>
      <c r="CC27">
        <v>15.9</v>
      </c>
      <c r="CD27" t="s">
        <v>1251</v>
      </c>
      <c r="CE27" t="s">
        <v>453</v>
      </c>
      <c r="CF27" s="7">
        <v>56.572727272727263</v>
      </c>
      <c r="CG27" s="8">
        <v>25.90490034013796</v>
      </c>
      <c r="CH27" s="7">
        <v>-0.97194623947143555</v>
      </c>
      <c r="CI27" s="7">
        <v>0.29565119743347168</v>
      </c>
      <c r="CJ27" s="7">
        <v>1.0740408897399902</v>
      </c>
      <c r="CK27" s="7">
        <v>-0.11046804487705231</v>
      </c>
      <c r="CL27" s="7">
        <v>-0.12815377116203308</v>
      </c>
      <c r="CM27" s="8">
        <v>-0.79908257722854614</v>
      </c>
      <c r="CN27" s="8">
        <v>0.75806450843811035</v>
      </c>
      <c r="CO27" s="8">
        <v>-0.1927083283662796</v>
      </c>
      <c r="CP27" s="8">
        <v>1.0926430225372314</v>
      </c>
      <c r="CQ27" s="8">
        <v>1.109195351600647</v>
      </c>
      <c r="CR27">
        <v>33.875203211859173</v>
      </c>
      <c r="CS27">
        <v>10.644276310071806</v>
      </c>
      <c r="CT27">
        <v>1.3855213023900241</v>
      </c>
      <c r="CU27" s="7">
        <v>3.1824806332588197E-2</v>
      </c>
      <c r="CV27" s="8">
        <v>0.39362239539623262</v>
      </c>
      <c r="CW27">
        <v>0.06</v>
      </c>
      <c r="CX27">
        <v>74.084809044271523</v>
      </c>
      <c r="CY27">
        <v>213178898.66682717</v>
      </c>
      <c r="CZ27">
        <v>3.1824806332588197E-2</v>
      </c>
      <c r="DA27">
        <v>25.440808555485127</v>
      </c>
      <c r="DB27">
        <v>620786794.78899288</v>
      </c>
      <c r="DC27">
        <v>3.0233566015958786E-2</v>
      </c>
      <c r="DD27">
        <v>13.361932997716666</v>
      </c>
      <c r="DE27">
        <v>1181963567.8983586</v>
      </c>
      <c r="DF27">
        <v>2.8005829572677613E-2</v>
      </c>
      <c r="DG27">
        <v>8.6137977761508804</v>
      </c>
      <c r="DH27">
        <v>1833490686.7360108</v>
      </c>
      <c r="DI27">
        <v>2.5459845066070561E-2</v>
      </c>
      <c r="DJ27">
        <v>5.1617844389598915</v>
      </c>
      <c r="DK27">
        <v>3059662445.5674443</v>
      </c>
      <c r="DL27">
        <v>2.2277364432811735E-2</v>
      </c>
      <c r="DM27">
        <v>219000000</v>
      </c>
      <c r="DN27">
        <v>3.1824806332588197E-2</v>
      </c>
      <c r="DO27">
        <v>15793318000</v>
      </c>
      <c r="DP27">
        <v>4734638800</v>
      </c>
      <c r="DQ27">
        <v>4454</v>
      </c>
      <c r="DR27">
        <v>56.540902466394677</v>
      </c>
      <c r="DS27">
        <v>25.511277944741728</v>
      </c>
      <c r="DT27" s="9">
        <v>-0.35666666666666669</v>
      </c>
      <c r="DU27">
        <v>0.48666666666666658</v>
      </c>
      <c r="DV27">
        <v>0.12999999999999989</v>
      </c>
      <c r="DW27">
        <v>2.1589999999999998</v>
      </c>
      <c r="DX27">
        <v>0.29896982456140475</v>
      </c>
      <c r="DY27">
        <v>2.0125562021052632</v>
      </c>
      <c r="DZ27">
        <v>1152</v>
      </c>
      <c r="EA27">
        <v>2.009725527971161</v>
      </c>
      <c r="EB27">
        <v>2</v>
      </c>
      <c r="EC27">
        <v>3.5542282910406738E-2</v>
      </c>
      <c r="ED27">
        <v>0.45007422908443467</v>
      </c>
      <c r="EE27" s="10">
        <v>6.0143000000000004</v>
      </c>
      <c r="EF27">
        <v>6.0004</v>
      </c>
      <c r="EG27">
        <v>22.078969824561405</v>
      </c>
      <c r="EH27" t="s">
        <v>1252</v>
      </c>
      <c r="EI27">
        <v>1</v>
      </c>
      <c r="EJ27">
        <v>1</v>
      </c>
      <c r="EK27" s="12">
        <v>45470</v>
      </c>
      <c r="EL27" s="13">
        <v>-0.56000000000000005</v>
      </c>
      <c r="EM27" s="13">
        <v>-4.3899999999999997</v>
      </c>
      <c r="EN27" s="13">
        <v>2.4900000000000002</v>
      </c>
      <c r="EO27" s="13">
        <v>0.53</v>
      </c>
      <c r="EP27" s="13">
        <v>-1.39</v>
      </c>
    </row>
    <row r="28" spans="1:146" ht="96" x14ac:dyDescent="0.25">
      <c r="A28" s="6"/>
      <c r="B28" s="6"/>
      <c r="C28" s="6" t="str">
        <f>""&amp;CHAR(10)&amp;Basic_Fundamental_Information_Constructure(F28)&amp;CHAR(10)&amp;Basic_Fundamental_Information_Concatenate("")</f>
        <v xml:space="preserve">
市值21.810048亿, 利润1.21亿; PE15.41; 平均PE14.15; 平均PEG1, PB1.21; ROIC8.04%; ROE9.3633%; 股利率2.594%; 毛利26.34%; 净利12.2633%; 上一年度营收增-5.51%, 利润增-24.84%; 当季营收增24.86%, 利润增-90.77%; 过往5年营收增14.18%, 利润增-.99%
Income profile:
</v>
      </c>
      <c r="D28" t="s">
        <v>221</v>
      </c>
      <c r="E28" t="s">
        <v>222</v>
      </c>
      <c r="F28">
        <v>7.71</v>
      </c>
      <c r="G28">
        <v>1.58</v>
      </c>
      <c r="H28" t="s">
        <v>1253</v>
      </c>
      <c r="I28">
        <v>2181004800</v>
      </c>
      <c r="J28">
        <v>15.41</v>
      </c>
      <c r="K28">
        <v>1.21</v>
      </c>
      <c r="L28" t="s">
        <v>250</v>
      </c>
      <c r="M28" t="s">
        <v>513</v>
      </c>
      <c r="N28" t="s">
        <v>1254</v>
      </c>
      <c r="O28" t="s">
        <v>1255</v>
      </c>
      <c r="P28">
        <v>40.54</v>
      </c>
      <c r="Q28" t="s">
        <v>1256</v>
      </c>
      <c r="R28">
        <v>2144192</v>
      </c>
      <c r="S28" s="5">
        <v>-0.84430000000000005</v>
      </c>
      <c r="T28" t="s">
        <v>1257</v>
      </c>
      <c r="U28">
        <v>132380443</v>
      </c>
      <c r="V28">
        <v>282880000</v>
      </c>
      <c r="W28">
        <v>1.29</v>
      </c>
      <c r="X28">
        <v>0.19</v>
      </c>
      <c r="Y28">
        <v>0.08</v>
      </c>
      <c r="Z28" t="s">
        <v>463</v>
      </c>
      <c r="AA28" t="s">
        <v>1258</v>
      </c>
      <c r="AB28" t="s">
        <v>1259</v>
      </c>
      <c r="AC28" t="s">
        <v>1260</v>
      </c>
      <c r="AD28" t="s">
        <v>35</v>
      </c>
      <c r="AE28">
        <v>1764105</v>
      </c>
      <c r="AF28" t="s">
        <v>1261</v>
      </c>
      <c r="AG28" t="s">
        <v>1262</v>
      </c>
      <c r="AH28" t="s">
        <v>1263</v>
      </c>
      <c r="AI28" t="s">
        <v>1085</v>
      </c>
      <c r="AJ28" t="s">
        <v>1264</v>
      </c>
      <c r="AK28" t="s">
        <v>35</v>
      </c>
      <c r="AL28" t="s">
        <v>1265</v>
      </c>
      <c r="AM28" t="s">
        <v>35</v>
      </c>
      <c r="AN28" t="s">
        <v>456</v>
      </c>
      <c r="AO28" t="s">
        <v>1266</v>
      </c>
      <c r="AP28" t="s">
        <v>35</v>
      </c>
      <c r="AQ28" t="s">
        <v>507</v>
      </c>
      <c r="AR28" t="s">
        <v>1267</v>
      </c>
      <c r="AS28" t="s">
        <v>1268</v>
      </c>
      <c r="AT28" t="s">
        <v>1269</v>
      </c>
      <c r="AU28" t="s">
        <v>1270</v>
      </c>
      <c r="AV28" t="s">
        <v>1271</v>
      </c>
      <c r="AW28" t="s">
        <v>1272</v>
      </c>
      <c r="AX28" t="s">
        <v>529</v>
      </c>
      <c r="AY28" t="s">
        <v>303</v>
      </c>
      <c r="AZ28" t="s">
        <v>223</v>
      </c>
      <c r="BA28" t="s">
        <v>224</v>
      </c>
      <c r="BB28" t="s">
        <v>112</v>
      </c>
      <c r="BC28" t="s">
        <v>530</v>
      </c>
      <c r="BD28" t="s">
        <v>71</v>
      </c>
      <c r="BE28" t="s">
        <v>211</v>
      </c>
      <c r="BF28" t="s">
        <v>162</v>
      </c>
      <c r="BG28" t="s">
        <v>115</v>
      </c>
      <c r="BH28" t="s">
        <v>1002</v>
      </c>
      <c r="BI28" t="s">
        <v>1273</v>
      </c>
      <c r="BJ28" t="s">
        <v>529</v>
      </c>
      <c r="BK28" t="s">
        <v>507</v>
      </c>
      <c r="BL28" t="s">
        <v>1274</v>
      </c>
      <c r="BM28" t="s">
        <v>530</v>
      </c>
      <c r="BN28">
        <v>5.18</v>
      </c>
      <c r="BO28">
        <v>8.07</v>
      </c>
      <c r="BP28">
        <v>10.87</v>
      </c>
      <c r="BQ28">
        <v>6.15</v>
      </c>
      <c r="BR28">
        <v>9.51</v>
      </c>
      <c r="BS28">
        <v>12.43</v>
      </c>
      <c r="BT28" t="s">
        <v>523</v>
      </c>
      <c r="BU28" t="s">
        <v>250</v>
      </c>
      <c r="BV28">
        <v>20.29</v>
      </c>
      <c r="BW28">
        <v>26.3</v>
      </c>
      <c r="BX28">
        <v>32.43</v>
      </c>
      <c r="BY28">
        <v>8.26</v>
      </c>
      <c r="BZ28">
        <v>11.41</v>
      </c>
      <c r="CA28">
        <v>17.12</v>
      </c>
      <c r="CB28">
        <v>-1.66</v>
      </c>
      <c r="CC28">
        <v>-13.95</v>
      </c>
      <c r="CD28" t="s">
        <v>1275</v>
      </c>
      <c r="CE28" t="s">
        <v>1276</v>
      </c>
      <c r="CF28" s="7">
        <v>0.24864864864864866</v>
      </c>
      <c r="CG28" s="8">
        <v>-0.90765753660637383</v>
      </c>
      <c r="CH28" s="7">
        <v>-5.505230650305748E-2</v>
      </c>
      <c r="CI28" s="7">
        <v>0.19186051189899445</v>
      </c>
      <c r="CJ28" s="7">
        <v>0.51066499948501587</v>
      </c>
      <c r="CK28" s="7">
        <v>-0.10750280320644379</v>
      </c>
      <c r="CL28" s="7">
        <v>0.16884817183017731</v>
      </c>
      <c r="CM28" s="8">
        <v>-0.24844720959663391</v>
      </c>
      <c r="CN28" s="8">
        <v>-0.19499999284744263</v>
      </c>
      <c r="CO28" s="8">
        <v>0.61290323734283447</v>
      </c>
      <c r="CP28" s="8">
        <v>-0.22499999403953552</v>
      </c>
      <c r="CQ28" s="8">
        <v>6.2893079593777657E-3</v>
      </c>
      <c r="CR28">
        <v>14.147058162162162</v>
      </c>
      <c r="CS28">
        <v>0.99793224182976559</v>
      </c>
      <c r="CT28">
        <v>2.5940337224383918</v>
      </c>
      <c r="CU28" s="7">
        <v>0.14176371470093727</v>
      </c>
      <c r="CV28" s="8">
        <v>-9.8509302362799651E-3</v>
      </c>
      <c r="CW28">
        <v>0.06</v>
      </c>
      <c r="CX28">
        <v>7.6036132004479731</v>
      </c>
      <c r="CY28">
        <v>130333405.16869189</v>
      </c>
      <c r="CZ28">
        <v>0.14176371470093727</v>
      </c>
      <c r="DA28">
        <v>2.3788486919306102</v>
      </c>
      <c r="DB28">
        <v>416590093.92300886</v>
      </c>
      <c r="DC28">
        <v>0.13467552896589038</v>
      </c>
      <c r="DD28">
        <v>1.1035362112784897</v>
      </c>
      <c r="DE28">
        <v>898026534.9443152</v>
      </c>
      <c r="DF28">
        <v>0.12475206893682479</v>
      </c>
      <c r="DG28">
        <v>0.61879509201957306</v>
      </c>
      <c r="DH28">
        <v>1601507207.7666922</v>
      </c>
      <c r="DI28">
        <v>0.11341097176074982</v>
      </c>
      <c r="DJ28">
        <v>0.27354388172478583</v>
      </c>
      <c r="DK28">
        <v>3622836649.6497107</v>
      </c>
      <c r="DL28">
        <v>9.9234600290656075E-2</v>
      </c>
      <c r="DM28">
        <v>121000000</v>
      </c>
      <c r="DN28">
        <v>0.14176371470093727</v>
      </c>
      <c r="DO28">
        <v>991004799.99999976</v>
      </c>
      <c r="DP28">
        <v>459639930</v>
      </c>
      <c r="DQ28">
        <v>4476</v>
      </c>
      <c r="DR28">
        <v>0.1068849339477114</v>
      </c>
      <c r="DS28">
        <v>-0.89780660637009391</v>
      </c>
      <c r="DT28" s="9">
        <v>-5.6666666666666719E-2</v>
      </c>
      <c r="DU28">
        <v>-0.60666666666666669</v>
      </c>
      <c r="DV28">
        <v>-0.66333333333333344</v>
      </c>
      <c r="DW28">
        <v>-2.1395</v>
      </c>
      <c r="DX28">
        <v>0.33491051434109664</v>
      </c>
      <c r="DY28">
        <v>-2.0118450167505828</v>
      </c>
      <c r="DZ28">
        <v>1728</v>
      </c>
      <c r="EA28">
        <v>-2.0078395003229885</v>
      </c>
      <c r="EB28">
        <v>2</v>
      </c>
      <c r="EC28">
        <v>2.574837386877828E-2</v>
      </c>
      <c r="ED28">
        <v>0.30324130373303165</v>
      </c>
      <c r="EE28" s="10">
        <v>1.89E-2</v>
      </c>
      <c r="EF28">
        <v>3.209999999999998E-3</v>
      </c>
      <c r="EG28">
        <v>25.084910514341097</v>
      </c>
      <c r="EH28">
        <v>-1</v>
      </c>
      <c r="EI28">
        <v>0</v>
      </c>
      <c r="EJ28">
        <v>0</v>
      </c>
      <c r="EK28" s="12">
        <v>45470</v>
      </c>
      <c r="EL28" s="13">
        <v>-1.1399999999999999</v>
      </c>
      <c r="EM28" s="13">
        <v>-4.9400000000000004</v>
      </c>
      <c r="EN28">
        <v>2.62</v>
      </c>
      <c r="EO28">
        <v>3.19</v>
      </c>
      <c r="EP28">
        <v>-2.21</v>
      </c>
    </row>
    <row r="29" spans="1:146" ht="96" x14ac:dyDescent="0.25">
      <c r="A29" s="6"/>
      <c r="B29" s="6"/>
      <c r="C29" s="6" t="str">
        <f>""&amp;CHAR(10)&amp;Basic_Fundamental_Information_Constructure(F29)&amp;CHAR(10)&amp;Basic_Fundamental_Information_Concatenate("")</f>
        <v xml:space="preserve">
市值96.027084亿, 利润1.09亿; PE15.74; 平均PE27.71; 平均PEG3.77, PB2.42; ROIC13.1433%; ROE15.7833%; 股利率6.1328%; 毛利20.5567%; 净利11.9067%; 上一年度营收增-79.49%, 利润增-81.62%; 当季营收增600%, 利润增601%; 过往5年营收增-7.34%, 利润增-.49%
Income profile:
</v>
      </c>
      <c r="D29" t="s">
        <v>225</v>
      </c>
      <c r="E29" t="s">
        <v>226</v>
      </c>
      <c r="F29">
        <v>13.86</v>
      </c>
      <c r="G29">
        <v>0.36</v>
      </c>
      <c r="H29" t="s">
        <v>1277</v>
      </c>
      <c r="I29">
        <v>9602708400</v>
      </c>
      <c r="J29">
        <v>15.74</v>
      </c>
      <c r="K29">
        <v>2.42</v>
      </c>
      <c r="L29" t="s">
        <v>250</v>
      </c>
      <c r="M29" t="s">
        <v>1278</v>
      </c>
      <c r="N29" t="s">
        <v>1279</v>
      </c>
      <c r="O29" t="s">
        <v>1280</v>
      </c>
      <c r="P29">
        <v>8.4600000000000009</v>
      </c>
      <c r="Q29" t="s">
        <v>1281</v>
      </c>
      <c r="R29">
        <v>202678790</v>
      </c>
      <c r="S29" s="5">
        <v>1.9400000000000001E-2</v>
      </c>
      <c r="T29" t="s">
        <v>203</v>
      </c>
      <c r="U29">
        <v>248288030</v>
      </c>
      <c r="V29">
        <v>692836100</v>
      </c>
      <c r="W29">
        <v>1.63</v>
      </c>
      <c r="X29">
        <v>0.24</v>
      </c>
      <c r="Y29">
        <v>12.87</v>
      </c>
      <c r="Z29" t="s">
        <v>1282</v>
      </c>
      <c r="AA29" t="s">
        <v>1283</v>
      </c>
      <c r="AB29" t="s">
        <v>1284</v>
      </c>
      <c r="AC29" t="s">
        <v>1285</v>
      </c>
      <c r="AD29" t="s">
        <v>35</v>
      </c>
      <c r="AE29">
        <v>8885364</v>
      </c>
      <c r="AF29" t="s">
        <v>1286</v>
      </c>
      <c r="AG29" t="s">
        <v>1287</v>
      </c>
      <c r="AH29" t="s">
        <v>1288</v>
      </c>
      <c r="AI29" t="s">
        <v>76</v>
      </c>
      <c r="AJ29" t="s">
        <v>1289</v>
      </c>
      <c r="AK29" t="s">
        <v>1290</v>
      </c>
      <c r="AL29" t="s">
        <v>1291</v>
      </c>
      <c r="AM29" t="s">
        <v>35</v>
      </c>
      <c r="AN29" t="s">
        <v>1292</v>
      </c>
      <c r="AO29" t="s">
        <v>473</v>
      </c>
      <c r="AP29" t="s">
        <v>1293</v>
      </c>
      <c r="AQ29" t="s">
        <v>1229</v>
      </c>
      <c r="AR29" t="s">
        <v>35</v>
      </c>
      <c r="AS29" t="s">
        <v>487</v>
      </c>
      <c r="AT29" t="s">
        <v>1294</v>
      </c>
      <c r="AU29" t="s">
        <v>1295</v>
      </c>
      <c r="AV29" t="s">
        <v>1296</v>
      </c>
      <c r="AW29" t="s">
        <v>1297</v>
      </c>
      <c r="AX29" t="s">
        <v>532</v>
      </c>
      <c r="AY29" t="s">
        <v>313</v>
      </c>
      <c r="AZ29" t="s">
        <v>227</v>
      </c>
      <c r="BA29" t="s">
        <v>229</v>
      </c>
      <c r="BB29" t="s">
        <v>230</v>
      </c>
      <c r="BC29" t="s">
        <v>1298</v>
      </c>
      <c r="BD29" t="s">
        <v>143</v>
      </c>
      <c r="BE29" t="s">
        <v>167</v>
      </c>
      <c r="BF29" t="s">
        <v>63</v>
      </c>
      <c r="BG29" t="s">
        <v>87</v>
      </c>
      <c r="BH29" t="s">
        <v>1299</v>
      </c>
      <c r="BI29" t="s">
        <v>661</v>
      </c>
      <c r="BJ29" t="s">
        <v>532</v>
      </c>
      <c r="BK29" t="s">
        <v>1300</v>
      </c>
      <c r="BL29" t="s">
        <v>1301</v>
      </c>
      <c r="BM29" t="s">
        <v>1298</v>
      </c>
      <c r="BN29">
        <v>10.75</v>
      </c>
      <c r="BO29">
        <v>14.98</v>
      </c>
      <c r="BP29">
        <v>13.7</v>
      </c>
      <c r="BQ29">
        <v>13.64</v>
      </c>
      <c r="BR29">
        <v>18.239999999999998</v>
      </c>
      <c r="BS29">
        <v>15.47</v>
      </c>
      <c r="BT29" t="s">
        <v>1302</v>
      </c>
      <c r="BU29" t="s">
        <v>250</v>
      </c>
      <c r="BV29">
        <v>21.38</v>
      </c>
      <c r="BW29">
        <v>21.06</v>
      </c>
      <c r="BX29">
        <v>19.23</v>
      </c>
      <c r="BY29">
        <v>12.35</v>
      </c>
      <c r="BZ29">
        <v>12.57</v>
      </c>
      <c r="CA29">
        <v>10.8</v>
      </c>
      <c r="CB29">
        <v>1.61</v>
      </c>
      <c r="CC29">
        <v>4.68</v>
      </c>
      <c r="CD29" t="s">
        <v>1303</v>
      </c>
      <c r="CE29" t="s">
        <v>932</v>
      </c>
      <c r="CF29" s="7">
        <v>6.0000000000000009</v>
      </c>
      <c r="CG29" s="8">
        <v>6.0099536540656455</v>
      </c>
      <c r="CH29" s="7">
        <v>-0.79490953683853149</v>
      </c>
      <c r="CI29" s="7">
        <v>0.21866187453269958</v>
      </c>
      <c r="CJ29" s="7">
        <v>9.8254486918449402E-2</v>
      </c>
      <c r="CK29" s="7">
        <v>-2.2295605391263962E-2</v>
      </c>
      <c r="CL29" s="7">
        <v>0.13318771123886108</v>
      </c>
      <c r="CM29" s="8">
        <v>-0.81618887186050415</v>
      </c>
      <c r="CN29" s="8">
        <v>0.40855106711387634</v>
      </c>
      <c r="CO29" s="8">
        <v>0.26426425576210022</v>
      </c>
      <c r="CP29" s="8">
        <v>2.1472392603754997E-2</v>
      </c>
      <c r="CQ29" s="8">
        <v>9.7643099725246429E-2</v>
      </c>
      <c r="CR29">
        <v>27.713444155844154</v>
      </c>
      <c r="CS29">
        <v>3.774634079735451</v>
      </c>
      <c r="CT29">
        <v>6.1327561327561328</v>
      </c>
      <c r="CU29" s="7">
        <v>-7.3420213907957083E-2</v>
      </c>
      <c r="CV29" s="8">
        <v>-4.8516113311052322E-3</v>
      </c>
      <c r="CW29">
        <v>0.06</v>
      </c>
      <c r="CX29">
        <v>76.281728440366976</v>
      </c>
      <c r="CY29" t="s">
        <v>1304</v>
      </c>
      <c r="CZ29">
        <v>-7.3420213907957083E-2</v>
      </c>
      <c r="DA29">
        <v>25.427242813455656</v>
      </c>
      <c r="DB29" t="s">
        <v>1305</v>
      </c>
      <c r="DC29">
        <v>-6.974920321255923E-2</v>
      </c>
      <c r="DD29">
        <v>12.713621406727828</v>
      </c>
      <c r="DE29" t="s">
        <v>1306</v>
      </c>
      <c r="DF29">
        <v>-6.4609788239002236E-2</v>
      </c>
      <c r="DG29">
        <v>7.6281728440366976</v>
      </c>
      <c r="DH29" t="s">
        <v>1307</v>
      </c>
      <c r="DI29">
        <v>-5.8736171126365672E-2</v>
      </c>
      <c r="DJ29">
        <v>3.8140864220183488</v>
      </c>
      <c r="DK29" t="s">
        <v>1308</v>
      </c>
      <c r="DL29">
        <v>-5.1394149735569952E-2</v>
      </c>
      <c r="DM29">
        <v>109000000.00000001</v>
      </c>
      <c r="DN29">
        <v>-7.3420213907957083E-2</v>
      </c>
      <c r="DO29">
        <v>8314708400</v>
      </c>
      <c r="DP29">
        <v>1059308500</v>
      </c>
      <c r="DQ29">
        <v>4518</v>
      </c>
      <c r="DR29">
        <v>6.0734202139079576</v>
      </c>
      <c r="DS29">
        <v>6.0148052653967508</v>
      </c>
      <c r="DT29" s="9">
        <v>-0.62333333333333341</v>
      </c>
      <c r="DU29">
        <v>-4.9999999999999968E-2</v>
      </c>
      <c r="DV29">
        <v>-0.67333333333333334</v>
      </c>
      <c r="DW29">
        <v>1.0468</v>
      </c>
      <c r="DX29">
        <v>0.3102599999999992</v>
      </c>
      <c r="DY29">
        <v>1.007500168</v>
      </c>
      <c r="DZ29">
        <v>1372</v>
      </c>
      <c r="EA29">
        <v>1.0054864242630137</v>
      </c>
      <c r="EB29">
        <v>1</v>
      </c>
      <c r="EC29">
        <v>3.0070315331432642E-2</v>
      </c>
      <c r="ED29">
        <v>0.18763456465389144</v>
      </c>
      <c r="EE29" s="10">
        <v>-2.03321</v>
      </c>
      <c r="EF29">
        <v>-2.0560100000000001</v>
      </c>
      <c r="EG29">
        <v>15.160259999999999</v>
      </c>
      <c r="EH29" t="s">
        <v>638</v>
      </c>
      <c r="EI29">
        <v>0</v>
      </c>
      <c r="EJ29">
        <v>1</v>
      </c>
      <c r="EK29" s="12">
        <v>45470</v>
      </c>
      <c r="EL29" s="13">
        <v>-0.14000000000000001</v>
      </c>
      <c r="EM29" s="13">
        <v>-4.4000000000000004</v>
      </c>
      <c r="EN29">
        <v>-0.22</v>
      </c>
      <c r="EO29">
        <v>3.36</v>
      </c>
      <c r="EP29">
        <v>-2.2799999999999998</v>
      </c>
    </row>
    <row r="30" spans="1:146" x14ac:dyDescent="0.25">
      <c r="A30" s="6"/>
      <c r="B30" s="6"/>
      <c r="C30" s="6"/>
      <c r="Q30" s="5"/>
    </row>
    <row r="31" spans="1:146" x14ac:dyDescent="0.25">
      <c r="A31" s="6"/>
      <c r="B31" s="6"/>
      <c r="C31" s="6"/>
      <c r="Q31" s="5"/>
    </row>
    <row r="32" spans="1:146" x14ac:dyDescent="0.25">
      <c r="A32" s="6"/>
      <c r="B32" s="6"/>
      <c r="C32" s="6"/>
      <c r="Q32" s="5"/>
    </row>
    <row r="33" spans="1:17" x14ac:dyDescent="0.25">
      <c r="A33" s="6"/>
      <c r="B33" s="6"/>
      <c r="C33" s="6"/>
      <c r="Q33" s="5"/>
    </row>
    <row r="34" spans="1:17" x14ac:dyDescent="0.25">
      <c r="A34" s="6"/>
      <c r="B34" s="6"/>
      <c r="C34" s="6"/>
      <c r="Q34" s="5"/>
    </row>
    <row r="35" spans="1:17" x14ac:dyDescent="0.25">
      <c r="A35" s="6"/>
      <c r="B35" s="6"/>
      <c r="C35" s="6"/>
      <c r="Q35" s="5"/>
    </row>
    <row r="36" spans="1:17" x14ac:dyDescent="0.25">
      <c r="A36" s="6"/>
      <c r="B36" s="6"/>
      <c r="C36" s="6"/>
      <c r="Q36" s="5"/>
    </row>
    <row r="37" spans="1:17" x14ac:dyDescent="0.25">
      <c r="A37" s="6"/>
      <c r="B37" s="6"/>
      <c r="C37" s="6"/>
      <c r="Q37" s="5"/>
    </row>
    <row r="38" spans="1:17" x14ac:dyDescent="0.25">
      <c r="A38" s="6"/>
      <c r="B38" s="6"/>
      <c r="C38" s="6"/>
      <c r="Q38" s="5"/>
    </row>
    <row r="39" spans="1:17" x14ac:dyDescent="0.25">
      <c r="A39" s="6"/>
      <c r="B39" s="6"/>
      <c r="C39" s="6"/>
      <c r="Q39" s="5"/>
    </row>
    <row r="40" spans="1:17" x14ac:dyDescent="0.25">
      <c r="A40" s="6"/>
      <c r="B40" s="6"/>
      <c r="C40" s="6"/>
      <c r="Q40" s="5"/>
    </row>
    <row r="41" spans="1:17" x14ac:dyDescent="0.25">
      <c r="A41" s="6"/>
      <c r="B41" s="6"/>
      <c r="C41" s="6"/>
      <c r="Q41" s="5"/>
    </row>
    <row r="42" spans="1:17" x14ac:dyDescent="0.25">
      <c r="A42" s="6"/>
      <c r="B42" s="6"/>
      <c r="C42" s="6"/>
      <c r="Q42" s="5"/>
    </row>
    <row r="43" spans="1:17" x14ac:dyDescent="0.25">
      <c r="A43" s="6"/>
      <c r="B43" s="6"/>
      <c r="C43" s="6"/>
      <c r="Q43" s="5"/>
    </row>
    <row r="44" spans="1:17" x14ac:dyDescent="0.25">
      <c r="A44" s="6"/>
      <c r="B44" s="6"/>
      <c r="C44" s="6"/>
      <c r="Q44" s="5"/>
    </row>
    <row r="45" spans="1:17" x14ac:dyDescent="0.25">
      <c r="A45" s="6"/>
      <c r="B45" s="6"/>
      <c r="C45" s="6"/>
      <c r="Q45" s="5"/>
    </row>
    <row r="46" spans="1:17" x14ac:dyDescent="0.25">
      <c r="A46" s="6"/>
      <c r="B46" s="6"/>
      <c r="C46" s="6"/>
      <c r="Q46" s="5"/>
    </row>
    <row r="47" spans="1:17" x14ac:dyDescent="0.25">
      <c r="A47" s="6"/>
      <c r="B47" s="6"/>
      <c r="C47" s="6"/>
      <c r="Q47" s="5"/>
    </row>
    <row r="48" spans="1:17" x14ac:dyDescent="0.25">
      <c r="A48" s="6"/>
      <c r="B48" s="6"/>
      <c r="C48" s="6"/>
      <c r="Q48" s="5"/>
    </row>
    <row r="49" spans="1:17" x14ac:dyDescent="0.25">
      <c r="A49" s="6"/>
      <c r="B49" s="6"/>
      <c r="C49" s="6"/>
      <c r="Q49" s="5"/>
    </row>
    <row r="50" spans="1:17" x14ac:dyDescent="0.25">
      <c r="A50" s="6"/>
      <c r="B50" s="6"/>
      <c r="C50" s="6"/>
      <c r="Q50" s="5"/>
    </row>
  </sheetData>
  <phoneticPr fontId="1" type="noConversion"/>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asic_Fundamental_Tabel_Update_Buttom &quot;燃气&quot;,&quot;&quot;'" altText="更新基本面按钮_x000a_">
                <anchor moveWithCells="1" sizeWithCells="1">
                  <from>
                    <xdr:col>147</xdr:col>
                    <xdr:colOff>177800</xdr:colOff>
                    <xdr:row>0</xdr:row>
                    <xdr:rowOff>69850</xdr:rowOff>
                  </from>
                  <to>
                    <xdr:col>147</xdr:col>
                    <xdr:colOff>1295400</xdr:colOff>
                    <xdr:row>0</xdr:row>
                    <xdr:rowOff>381000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6"/>
  <sheetViews>
    <sheetView workbookViewId="0">
      <selection activeCell="A3" sqref="A3"/>
    </sheetView>
  </sheetViews>
  <sheetFormatPr defaultRowHeight="14" x14ac:dyDescent="0.25"/>
  <sheetData>
    <row r="1" spans="1:30" x14ac:dyDescent="0.25">
      <c r="A1">
        <v>1</v>
      </c>
      <c r="B1">
        <f>A1+A1*$A$2</f>
        <v>1.1499999999999999</v>
      </c>
      <c r="C1">
        <f t="shared" ref="C1:AD1" si="0">B1+B1*$A$2</f>
        <v>1.3224999999999998</v>
      </c>
      <c r="D1">
        <f t="shared" si="0"/>
        <v>1.5208749999999998</v>
      </c>
      <c r="E1">
        <f t="shared" si="0"/>
        <v>1.7490062499999997</v>
      </c>
      <c r="F1">
        <f t="shared" si="0"/>
        <v>2.0113571874999998</v>
      </c>
      <c r="G1">
        <f t="shared" si="0"/>
        <v>2.313060765625</v>
      </c>
      <c r="H1">
        <f t="shared" si="0"/>
        <v>2.66001988046875</v>
      </c>
      <c r="I1">
        <f t="shared" si="0"/>
        <v>3.0590228625390625</v>
      </c>
      <c r="J1">
        <f t="shared" si="0"/>
        <v>3.5178762919199218</v>
      </c>
      <c r="K1">
        <f t="shared" si="0"/>
        <v>4.0455577357079102</v>
      </c>
      <c r="L1">
        <f t="shared" si="0"/>
        <v>4.6523913960640968</v>
      </c>
      <c r="M1">
        <f t="shared" si="0"/>
        <v>5.3502501054737115</v>
      </c>
      <c r="N1">
        <f t="shared" si="0"/>
        <v>6.1527876212947685</v>
      </c>
      <c r="O1">
        <f t="shared" si="0"/>
        <v>7.0757057644889834</v>
      </c>
      <c r="P1">
        <f t="shared" si="0"/>
        <v>8.1370616291623303</v>
      </c>
      <c r="Q1">
        <f t="shared" si="0"/>
        <v>9.3576208735366802</v>
      </c>
      <c r="R1">
        <f t="shared" si="0"/>
        <v>10.761264004567183</v>
      </c>
      <c r="S1">
        <f t="shared" si="0"/>
        <v>12.375453605252261</v>
      </c>
      <c r="T1">
        <f t="shared" si="0"/>
        <v>14.2317716460401</v>
      </c>
      <c r="U1">
        <f t="shared" si="0"/>
        <v>16.366537392946114</v>
      </c>
      <c r="V1">
        <f t="shared" si="0"/>
        <v>18.82151800188803</v>
      </c>
      <c r="W1">
        <f t="shared" si="0"/>
        <v>21.644745702171235</v>
      </c>
      <c r="X1">
        <f t="shared" si="0"/>
        <v>24.891457557496921</v>
      </c>
      <c r="Y1">
        <f t="shared" si="0"/>
        <v>28.625176191121458</v>
      </c>
      <c r="Z1">
        <f t="shared" si="0"/>
        <v>32.918952619789678</v>
      </c>
      <c r="AA1">
        <f t="shared" si="0"/>
        <v>37.856795512758133</v>
      </c>
      <c r="AB1">
        <f t="shared" si="0"/>
        <v>43.535314839671855</v>
      </c>
      <c r="AC1">
        <f t="shared" si="0"/>
        <v>50.065612065622631</v>
      </c>
      <c r="AD1">
        <f t="shared" si="0"/>
        <v>57.575453875466025</v>
      </c>
    </row>
    <row r="2" spans="1:30" x14ac:dyDescent="0.25">
      <c r="A2">
        <v>0.15</v>
      </c>
      <c r="B2" t="s">
        <v>2</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0.5</v>
      </c>
      <c r="B4" t="s">
        <v>0</v>
      </c>
    </row>
    <row r="5" spans="1:30" x14ac:dyDescent="0.25">
      <c r="A5" s="1">
        <v>1</v>
      </c>
      <c r="B5" s="1">
        <f>A5*$A$4+A5</f>
        <v>1.5</v>
      </c>
      <c r="C5" s="1">
        <f t="shared" ref="C5:AD5" si="1">B5*$A$4+B5</f>
        <v>2.25</v>
      </c>
      <c r="D5" s="1">
        <f t="shared" si="1"/>
        <v>3.375</v>
      </c>
      <c r="E5" s="1">
        <f t="shared" si="1"/>
        <v>5.0625</v>
      </c>
      <c r="F5" s="1">
        <f t="shared" si="1"/>
        <v>7.59375</v>
      </c>
      <c r="G5" s="1">
        <f t="shared" si="1"/>
        <v>11.390625</v>
      </c>
      <c r="H5" s="1">
        <f t="shared" si="1"/>
        <v>17.0859375</v>
      </c>
      <c r="I5" s="1">
        <f t="shared" si="1"/>
        <v>25.62890625</v>
      </c>
      <c r="J5" s="1">
        <f t="shared" si="1"/>
        <v>38.443359375</v>
      </c>
      <c r="K5" s="1">
        <f t="shared" si="1"/>
        <v>57.6650390625</v>
      </c>
      <c r="L5" s="1">
        <f t="shared" si="1"/>
        <v>86.49755859375</v>
      </c>
      <c r="M5" s="1">
        <f t="shared" si="1"/>
        <v>129.746337890625</v>
      </c>
      <c r="N5" s="1">
        <f t="shared" si="1"/>
        <v>194.6195068359375</v>
      </c>
      <c r="O5" s="1">
        <f t="shared" si="1"/>
        <v>291.92926025390625</v>
      </c>
      <c r="P5">
        <f t="shared" si="1"/>
        <v>437.89389038085937</v>
      </c>
      <c r="Q5">
        <f t="shared" si="1"/>
        <v>656.84083557128906</v>
      </c>
      <c r="R5">
        <f t="shared" si="1"/>
        <v>985.26125335693359</v>
      </c>
      <c r="S5" s="1">
        <f t="shared" si="1"/>
        <v>1477.8918800354004</v>
      </c>
      <c r="T5">
        <f t="shared" si="1"/>
        <v>2216.8378200531006</v>
      </c>
      <c r="U5">
        <f t="shared" si="1"/>
        <v>3325.2567300796509</v>
      </c>
      <c r="V5">
        <f t="shared" si="1"/>
        <v>4987.8850951194763</v>
      </c>
      <c r="W5">
        <f t="shared" si="1"/>
        <v>7481.8276426792145</v>
      </c>
      <c r="X5">
        <f t="shared" si="1"/>
        <v>11222.741464018822</v>
      </c>
      <c r="Y5">
        <f t="shared" si="1"/>
        <v>16834.112196028233</v>
      </c>
      <c r="Z5">
        <f t="shared" si="1"/>
        <v>25251.168294042349</v>
      </c>
      <c r="AA5">
        <f t="shared" si="1"/>
        <v>37876.752441063523</v>
      </c>
      <c r="AB5">
        <f t="shared" si="1"/>
        <v>56815.128661595285</v>
      </c>
      <c r="AC5">
        <f t="shared" si="1"/>
        <v>85222.692992392927</v>
      </c>
      <c r="AD5">
        <f t="shared" si="1"/>
        <v>127834.03948858939</v>
      </c>
    </row>
    <row r="6" spans="1:30" x14ac:dyDescent="0.25">
      <c r="A6">
        <v>15</v>
      </c>
      <c r="B6" t="s">
        <v>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燃气</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2024-07-09T14:41:12Z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