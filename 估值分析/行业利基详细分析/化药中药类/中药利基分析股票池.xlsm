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08Investment\value-investment\估值分析\行业利基详细分析\化药中药类\"/>
    </mc:Choice>
  </mc:AlternateContent>
  <bookViews>
    <workbookView xWindow="-105" yWindow="-105" windowWidth="20265" windowHeight="9135"/>
  </bookViews>
  <sheets>
    <sheet name="中药etf成分股" sheetId="55" r:id="rId1"/>
    <sheet name="公司价值折现" sheetId="42" r:id="rId2"/>
    <sheet name="基本面模型" sheetId="2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<sst xmlns="http://schemas.openxmlformats.org/spreadsheetml/2006/main" count="740" uniqueCount="629">
  <si>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</si>
  <si>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</si>
  <si>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</si>
  <si>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</si>
  <si>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</si>
  <si>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</si>
  <si>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</si>
  <si>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预期空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</si>
  <si>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</si>
  <si>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</si>
  <si>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</si>
  <si>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</si>
  <si>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</si>
  <si>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</si>
  <si>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</si>
  <si>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</si>
  <si>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</si>
  <si>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</si>
  <si>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</si>
  <si>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</si>
  <si>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</si>
  <si>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</si>
  <si>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</si>
  <si>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</si>
  <si>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</si>
  <si>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</si>
  <si>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</si>
  <si>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</si>
  <si>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</si>
  <si>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</si>
  <si>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</si>
  <si>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</si>
  <si>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</si>
  <si>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</si>
  <si>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</si>
  <si>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</si>
  <si>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</si>
  <si>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</si>
  <si>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</si>
  <si>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</si>
  <si>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</si>
  <si>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</si>
  <si>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</si>
  <si>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</si>
  <si>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</si>
  <si>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</si>
  <si>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</si>
  <si>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</si>
  <si>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</si>
  <si>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</si>
  <si>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</si>
  <si>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</si>
  <si>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</si>
  <si>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</si>
  <si>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</si>
  <si>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</si>
  <si>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</si>
  <si>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</si>
  <si>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</si>
  <si>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</si>
  <si>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</si>
  <si>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</si>
  <si>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</si>
  <si>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</si>
  <si>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</si>
  <si>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</si>
  <si>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</si>
  <si>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</si>
  <si>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</si>
  <si>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</si>
  <si>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</si>
  <si>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</si>
  <si>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</si>
  <si>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</si>
  <si>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</si>
  <si>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</si>
  <si>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</si>
  <si>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</si>
  <si>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</si>
  <si>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</si>
  <si>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</si>
  <si>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</si>
  <si>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</si>
  <si>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</si>
  <si>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</si>
  <si>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</si>
  <si>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</si>
  <si>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</si>
  <si>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</si>
  <si>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</si>
  <si>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</si>
  <si>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</si>
  <si>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</si>
  <si>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</si>
  <si>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</si>
  <si>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</si>
  <si>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</si>
  <si>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</si>
  <si>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</si>
  <si>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</si>
  <si>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</si>
  <si>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</si>
  <si>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</si>
  <si>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</si>
  <si>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</si>
  <si>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</si>
  <si>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</si>
  <si>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</si>
  <si>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</si>
  <si>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</si>
  <si>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</si>
  <si>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</si>
  <si>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</si>
  <si>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</si>
  <si>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</si>
  <si>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</si>
  <si>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</si>
  <si>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</si>
  <si>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预期多</t>
    <phoneticPr fontId="1" type="noConversion"/>
  </si>
  <si>
    <t>已知和基本信息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</si>
  <si>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</si>
  <si>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</si>
  <si>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</si>
  <si>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</si>
  <si>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</si>
  <si>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</si>
  <si>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</si>
  <si>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</si>
  <si>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</si>
  <si>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</si>
  <si>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</si>
  <si>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</si>
  <si>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扣非对比净利润</t>
    <phoneticPr fontId="1" type="noConversion"/>
  </si>
  <si>
    <t>近期roe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</si>
  <si>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</si>
  <si>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</si>
  <si>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</si>
  <si>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</si>
  <si>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</si>
  <si>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</si>
  <si>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</si>
  <si>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</si>
  <si>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</si>
  <si>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</si>
  <si>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</si>
  <si>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</si>
  <si>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</si>
  <si>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</si>
  <si>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原始排序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</si>
  <si>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</si>
  <si>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</si>
  <si>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</si>
  <si>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</si>
  <si>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</si>
  <si>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</si>
  <si>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</si>
  <si>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</si>
  <si>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</si>
  <si>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</si>
  <si>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</si>
  <si>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</si>
  <si>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</si>
  <si>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</si>
  <si>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</si>
  <si>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</si>
  <si>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</si>
  <si>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</si>
  <si>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SH600436</t>
  </si>
  <si>
    <t>片仔癀</t>
  </si>
  <si>
    <t>中药</t>
  </si>
  <si>
    <t>SZ000538</t>
  </si>
  <si>
    <t>云南白药</t>
  </si>
  <si>
    <t>SH600085</t>
  </si>
  <si>
    <t>同仁堂</t>
  </si>
  <si>
    <t>SZ002603</t>
  </si>
  <si>
    <t>以岭药业</t>
  </si>
  <si>
    <t>SZ000423</t>
  </si>
  <si>
    <t>东阿阿胶</t>
  </si>
  <si>
    <t>SH600332</t>
  </si>
  <si>
    <t>白云山</t>
  </si>
  <si>
    <t>SZ000999</t>
  </si>
  <si>
    <t>华润三九</t>
  </si>
  <si>
    <t>SH600771</t>
  </si>
  <si>
    <t>广誉远</t>
  </si>
  <si>
    <t>SH600129</t>
  </si>
  <si>
    <t>太极集团</t>
  </si>
  <si>
    <t>SZ000623</t>
  </si>
  <si>
    <t>吉林敖东</t>
  </si>
  <si>
    <t>24.37亿</t>
  </si>
  <si>
    <t>126.32亿</t>
  </si>
  <si>
    <t>2629517600亿</t>
  </si>
  <si>
    <t>86.94亿</t>
  </si>
  <si>
    <t>24.72亿</t>
  </si>
  <si>
    <t>17.21亿</t>
  </si>
  <si>
    <t>13.59亿</t>
  </si>
  <si>
    <t>1.44亿</t>
  </si>
  <si>
    <t>9976.95万</t>
  </si>
  <si>
    <t>2.30亿</t>
  </si>
  <si>
    <t>33432671亿</t>
  </si>
  <si>
    <t>66.13万</t>
  </si>
  <si>
    <t>7.71亿</t>
  </si>
  <si>
    <t>29.70亿</t>
  </si>
  <si>
    <t>711845640亿</t>
  </si>
  <si>
    <t>4954.61万</t>
  </si>
  <si>
    <t>13138118200亿</t>
  </si>
  <si>
    <t>--</t>
  </si>
  <si>
    <t>8235.47万</t>
  </si>
  <si>
    <t>9.04亿</t>
  </si>
  <si>
    <t>1.14亿</t>
  </si>
  <si>
    <t>3.03亿</t>
  </si>
  <si>
    <t>826.41万</t>
  </si>
  <si>
    <t>21.67亿</t>
  </si>
  <si>
    <t>6.34亿</t>
  </si>
  <si>
    <t>-2973.84万</t>
  </si>
  <si>
    <t>-9448.11万</t>
  </si>
  <si>
    <t>80.22亿</t>
  </si>
  <si>
    <t>65.11亿</t>
  </si>
  <si>
    <t>57.22亿</t>
  </si>
  <si>
    <t>47.66亿</t>
  </si>
  <si>
    <t>37.14亿</t>
  </si>
  <si>
    <t>24.32亿</t>
  </si>
  <si>
    <t>16.72亿</t>
  </si>
  <si>
    <t>13.74亿</t>
  </si>
  <si>
    <t>11.43亿</t>
  </si>
  <si>
    <t>8.07亿</t>
  </si>
  <si>
    <t>23.48亿</t>
  </si>
  <si>
    <t>6.89亿</t>
  </si>
  <si>
    <t>10派12.5元(含税)</t>
  </si>
  <si>
    <t/>
  </si>
  <si>
    <t>146.81亿</t>
  </si>
  <si>
    <t>400.52亿</t>
  </si>
  <si>
    <t>10512751000亿</t>
  </si>
  <si>
    <t>364.88亿</t>
  </si>
  <si>
    <t>30.01亿</t>
  </si>
  <si>
    <t>90.80亿</t>
  </si>
  <si>
    <t>76.30亿</t>
  </si>
  <si>
    <t>12.01亿</t>
  </si>
  <si>
    <t>1.64亿</t>
  </si>
  <si>
    <t>3.43亿</t>
  </si>
  <si>
    <t>242399010亿</t>
  </si>
  <si>
    <t>263.66万</t>
  </si>
  <si>
    <t>14.03亿</t>
  </si>
  <si>
    <t>136.35亿</t>
  </si>
  <si>
    <t>9825131900亿</t>
  </si>
  <si>
    <t>10.35亿</t>
  </si>
  <si>
    <t>36816456000亿</t>
  </si>
  <si>
    <t>2.83亿</t>
  </si>
  <si>
    <t>18.59亿</t>
  </si>
  <si>
    <t>17.97亿</t>
  </si>
  <si>
    <t>50.21亿</t>
  </si>
  <si>
    <t>20.15万</t>
  </si>
  <si>
    <t>134.79亿</t>
  </si>
  <si>
    <t>210.00万</t>
  </si>
  <si>
    <t>7.34亿</t>
  </si>
  <si>
    <t>-3.16亿</t>
  </si>
  <si>
    <t>1.31亿</t>
  </si>
  <si>
    <t>363.74亿</t>
  </si>
  <si>
    <t>327.43亿</t>
  </si>
  <si>
    <t>296.65亿</t>
  </si>
  <si>
    <t>270.17亿</t>
  </si>
  <si>
    <t>243.15亿</t>
  </si>
  <si>
    <t>28.05亿</t>
  </si>
  <si>
    <t>55.16亿</t>
  </si>
  <si>
    <t>41.84亿</t>
  </si>
  <si>
    <t>34.94亿</t>
  </si>
  <si>
    <t>31.45亿</t>
  </si>
  <si>
    <t>94.30亿</t>
  </si>
  <si>
    <t>9.14亿</t>
  </si>
  <si>
    <t>10派15.2元(含税)</t>
  </si>
  <si>
    <t>1.61亿</t>
  </si>
  <si>
    <t>-1-1</t>
  </si>
  <si>
    <t>86.89亿</t>
  </si>
  <si>
    <t>192.25亿</t>
  </si>
  <si>
    <t>5143069700亿</t>
  </si>
  <si>
    <t>153.72亿</t>
  </si>
  <si>
    <t>14.26亿</t>
  </si>
  <si>
    <t>41.50亿</t>
  </si>
  <si>
    <t>27.52亿</t>
  </si>
  <si>
    <t>9.34亿</t>
  </si>
  <si>
    <t>3.95亿</t>
  </si>
  <si>
    <t>3.66亿</t>
  </si>
  <si>
    <t>-99653亿</t>
  </si>
  <si>
    <t>69.51万</t>
  </si>
  <si>
    <t>5.19亿</t>
  </si>
  <si>
    <t>125.72亿</t>
  </si>
  <si>
    <t>1627798200亿</t>
  </si>
  <si>
    <t>4.42亿</t>
  </si>
  <si>
    <t>21470966000亿</t>
  </si>
  <si>
    <t>1.08亿</t>
  </si>
  <si>
    <t>3.00亿</t>
  </si>
  <si>
    <t>6687.10万</t>
  </si>
  <si>
    <t>35.45亿</t>
  </si>
  <si>
    <t>63.89亿</t>
  </si>
  <si>
    <t>12.22亿</t>
  </si>
  <si>
    <t>11.45亿</t>
  </si>
  <si>
    <t>-678.92万</t>
  </si>
  <si>
    <t>-1.53亿</t>
  </si>
  <si>
    <t>146.03亿</t>
  </si>
  <si>
    <t>128.26亿</t>
  </si>
  <si>
    <t>132.77亿</t>
  </si>
  <si>
    <t>142.09亿</t>
  </si>
  <si>
    <t>133.76亿</t>
  </si>
  <si>
    <t>12.27亿</t>
  </si>
  <si>
    <t>10.31亿</t>
  </si>
  <si>
    <t>9.85亿</t>
  </si>
  <si>
    <t>11.34亿</t>
  </si>
  <si>
    <t>39.54亿</t>
  </si>
  <si>
    <t>4.00亿</t>
  </si>
  <si>
    <t>10派3.2元(含税)</t>
  </si>
  <si>
    <t>-1-0</t>
  </si>
  <si>
    <t>61.15亿</t>
  </si>
  <si>
    <t>121.32亿</t>
  </si>
  <si>
    <t>3934956600亿</t>
  </si>
  <si>
    <t>125.33亿</t>
  </si>
  <si>
    <t>23.62亿</t>
  </si>
  <si>
    <t>24.89亿</t>
  </si>
  <si>
    <t>13.79亿</t>
  </si>
  <si>
    <t>7.32亿</t>
  </si>
  <si>
    <t>1.67亿</t>
  </si>
  <si>
    <t>8.95亿</t>
  </si>
  <si>
    <t>-4378477亿</t>
  </si>
  <si>
    <t>158.20万</t>
  </si>
  <si>
    <t>11.78亿</t>
  </si>
  <si>
    <t>10.36亿</t>
  </si>
  <si>
    <t>1938660400亿</t>
  </si>
  <si>
    <t>8459996600亿</t>
  </si>
  <si>
    <t>15.09亿</t>
  </si>
  <si>
    <t>7.00亿</t>
  </si>
  <si>
    <t>6.30亿</t>
  </si>
  <si>
    <t>21.58亿</t>
  </si>
  <si>
    <t>55.62亿</t>
  </si>
  <si>
    <t>2.00亿</t>
  </si>
  <si>
    <t>-14.64亿</t>
  </si>
  <si>
    <t>1.94亿</t>
  </si>
  <si>
    <t>101.17亿</t>
  </si>
  <si>
    <t>87.82亿</t>
  </si>
  <si>
    <t>58.25亿</t>
  </si>
  <si>
    <t>48.15亿</t>
  </si>
  <si>
    <t>40.81亿</t>
  </si>
  <si>
    <t>13.44亿</t>
  </si>
  <si>
    <t>12.19亿</t>
  </si>
  <si>
    <t>6.07亿</t>
  </si>
  <si>
    <t>5.99亿</t>
  </si>
  <si>
    <t>5.41亿</t>
  </si>
  <si>
    <t>27.22亿</t>
  </si>
  <si>
    <t>4.84亿</t>
  </si>
  <si>
    <t>10派5元(含税)</t>
  </si>
  <si>
    <t>-3-1</t>
  </si>
  <si>
    <t>23.96亿</t>
  </si>
  <si>
    <t>105.81亿</t>
  </si>
  <si>
    <t>1069042840亿</t>
  </si>
  <si>
    <t>40.42亿</t>
  </si>
  <si>
    <t>7.80亿</t>
  </si>
  <si>
    <t>8.14亿</t>
  </si>
  <si>
    <t>3.12亿</t>
  </si>
  <si>
    <t>4.26亿</t>
  </si>
  <si>
    <t>6247.04万</t>
  </si>
  <si>
    <t>1.38亿</t>
  </si>
  <si>
    <t>4351746亿</t>
  </si>
  <si>
    <t>53.99万</t>
  </si>
  <si>
    <t>2.12亿</t>
  </si>
  <si>
    <t>60.22亿</t>
  </si>
  <si>
    <t>415658940亿</t>
  </si>
  <si>
    <t>3898.34万</t>
  </si>
  <si>
    <t>10181564400亿</t>
  </si>
  <si>
    <t>388.31万</t>
  </si>
  <si>
    <t>53.23万</t>
  </si>
  <si>
    <t>22.24亿</t>
  </si>
  <si>
    <t>6.78亿</t>
  </si>
  <si>
    <t>-2626.92万</t>
  </si>
  <si>
    <t>-48.13万</t>
  </si>
  <si>
    <t>38.49亿</t>
  </si>
  <si>
    <t>34.09亿</t>
  </si>
  <si>
    <t>73.38亿</t>
  </si>
  <si>
    <t>73.72亿</t>
  </si>
  <si>
    <t>4.40亿</t>
  </si>
  <si>
    <t>4328.93万</t>
  </si>
  <si>
    <t>-4.55亿</t>
  </si>
  <si>
    <t>20.85亿</t>
  </si>
  <si>
    <t>20.44亿</t>
  </si>
  <si>
    <t>8.90亿</t>
  </si>
  <si>
    <t>1.15亿</t>
  </si>
  <si>
    <t>10派11.6元(含税)</t>
  </si>
  <si>
    <t>0780000000</t>
  </si>
  <si>
    <t>02340000000</t>
  </si>
  <si>
    <t>04680000000</t>
  </si>
  <si>
    <t>07800000000</t>
  </si>
  <si>
    <t>015600000000</t>
  </si>
  <si>
    <t>380.57亿</t>
  </si>
  <si>
    <t>356.01亿</t>
  </si>
  <si>
    <t>21628521000亿</t>
  </si>
  <si>
    <t>707.88亿</t>
  </si>
  <si>
    <t>39.67亿</t>
  </si>
  <si>
    <t>193.33亿</t>
  </si>
  <si>
    <t>165.93亿</t>
  </si>
  <si>
    <t>18.66亿</t>
  </si>
  <si>
    <t>6.29亿</t>
  </si>
  <si>
    <t>10.65亿</t>
  </si>
  <si>
    <t>81726750亿</t>
  </si>
  <si>
    <t>490.12万</t>
  </si>
  <si>
    <t>18.27亿</t>
  </si>
  <si>
    <t>202.46亿</t>
  </si>
  <si>
    <t>15951359000亿</t>
  </si>
  <si>
    <t>12.51亿</t>
  </si>
  <si>
    <t>55437164000亿</t>
  </si>
  <si>
    <t>20.66亿</t>
  </si>
  <si>
    <t>86.21亿</t>
  </si>
  <si>
    <t>34.54亿</t>
  </si>
  <si>
    <t>110.90亿</t>
  </si>
  <si>
    <t>328.89亿</t>
  </si>
  <si>
    <t>31.37亿</t>
  </si>
  <si>
    <t>-28.39亿</t>
  </si>
  <si>
    <t>-6.38亿</t>
  </si>
  <si>
    <t>15.71亿</t>
  </si>
  <si>
    <t>690.14亿</t>
  </si>
  <si>
    <t>616.74亿</t>
  </si>
  <si>
    <t>649.52亿</t>
  </si>
  <si>
    <t>422.34亿</t>
  </si>
  <si>
    <t>209.54亿</t>
  </si>
  <si>
    <t>37.20亿</t>
  </si>
  <si>
    <t>29.15亿</t>
  </si>
  <si>
    <t>31.89亿</t>
  </si>
  <si>
    <t>34.41亿</t>
  </si>
  <si>
    <t>20.62亿</t>
  </si>
  <si>
    <t>205.39亿</t>
  </si>
  <si>
    <t>18.06亿</t>
  </si>
  <si>
    <t>10派7.32元(含税)</t>
  </si>
  <si>
    <t>147.29亿</t>
  </si>
  <si>
    <t>231.51亿</t>
  </si>
  <si>
    <t>6352408300亿</t>
  </si>
  <si>
    <t>180.79亿</t>
  </si>
  <si>
    <t>24.49亿</t>
  </si>
  <si>
    <t>48.21亿</t>
  </si>
  <si>
    <t>29.17亿</t>
  </si>
  <si>
    <t>3.09亿</t>
  </si>
  <si>
    <t>7.36亿</t>
  </si>
  <si>
    <t>3109807亿</t>
  </si>
  <si>
    <t>401.44万</t>
  </si>
  <si>
    <t>11.31亿</t>
  </si>
  <si>
    <t>53.30亿</t>
  </si>
  <si>
    <t>6857416300亿</t>
  </si>
  <si>
    <t>3973.84万</t>
  </si>
  <si>
    <t>20405579000亿</t>
  </si>
  <si>
    <t>10.83亿</t>
  </si>
  <si>
    <t>14.34亿</t>
  </si>
  <si>
    <t>7.41亿</t>
  </si>
  <si>
    <t>23.80亿</t>
  </si>
  <si>
    <t>132.02亿</t>
  </si>
  <si>
    <t>1.18亿</t>
  </si>
  <si>
    <t>3.01亿</t>
  </si>
  <si>
    <t>12.52亿</t>
  </si>
  <si>
    <t>5.22亿</t>
  </si>
  <si>
    <t>155.44亿</t>
  </si>
  <si>
    <t>136.37亿</t>
  </si>
  <si>
    <t>147.94亿</t>
  </si>
  <si>
    <t>134.28亿</t>
  </si>
  <si>
    <t>111.20亿</t>
  </si>
  <si>
    <t>20.55亿</t>
  </si>
  <si>
    <t>15.97亿</t>
  </si>
  <si>
    <t>20.99亿</t>
  </si>
  <si>
    <t>14.32亿</t>
  </si>
  <si>
    <t>13.02亿</t>
  </si>
  <si>
    <t>42.50亿</t>
  </si>
  <si>
    <t>8.41亿</t>
  </si>
  <si>
    <t>10派10元(含税)</t>
  </si>
  <si>
    <t>2.06亿</t>
  </si>
  <si>
    <t>10.14亿</t>
  </si>
  <si>
    <t>17.34亿</t>
  </si>
  <si>
    <t>369045040亿</t>
  </si>
  <si>
    <t>9.95亿</t>
  </si>
  <si>
    <t>-3.99亿</t>
  </si>
  <si>
    <t>3.54亿</t>
  </si>
  <si>
    <t>1.04亿</t>
  </si>
  <si>
    <t>1842.05万</t>
  </si>
  <si>
    <t>3219.23万</t>
  </si>
  <si>
    <t>-30520亿</t>
  </si>
  <si>
    <t>10.13万</t>
  </si>
  <si>
    <t>971.48万</t>
  </si>
  <si>
    <t>2.76亿</t>
  </si>
  <si>
    <t>798759710亿</t>
  </si>
  <si>
    <t>1787316000亿</t>
  </si>
  <si>
    <t>2.21亿</t>
  </si>
  <si>
    <t>1.11亿</t>
  </si>
  <si>
    <t>470.77万</t>
  </si>
  <si>
    <t>7.63亿</t>
  </si>
  <si>
    <t>1.90亿</t>
  </si>
  <si>
    <t>1.36亿</t>
  </si>
  <si>
    <t>-24.28万</t>
  </si>
  <si>
    <t>-1.06亿</t>
  </si>
  <si>
    <t>8.54亿</t>
  </si>
  <si>
    <t>11.09亿</t>
  </si>
  <si>
    <t>12.17亿</t>
  </si>
  <si>
    <t>16.19亿</t>
  </si>
  <si>
    <t>11.69亿</t>
  </si>
  <si>
    <t>3200.30万</t>
  </si>
  <si>
    <t>1.30亿</t>
  </si>
  <si>
    <t>3.74亿</t>
  </si>
  <si>
    <t>2.37亿</t>
  </si>
  <si>
    <t>2.38亿</t>
  </si>
  <si>
    <t>775.78万</t>
  </si>
  <si>
    <t>不分配不转增</t>
  </si>
  <si>
    <t>2.22亿</t>
  </si>
  <si>
    <t>扭亏</t>
  </si>
  <si>
    <t>114.77亿</t>
  </si>
  <si>
    <t>31.62亿</t>
  </si>
  <si>
    <t>4427245400亿</t>
  </si>
  <si>
    <t>140.51亿</t>
  </si>
  <si>
    <t>3.50亿</t>
  </si>
  <si>
    <t>41.29亿</t>
  </si>
  <si>
    <t>21.70亿</t>
  </si>
  <si>
    <t>16.59亿</t>
  </si>
  <si>
    <t>1.86亿</t>
  </si>
  <si>
    <t>-890360亿</t>
  </si>
  <si>
    <t>171.06万</t>
  </si>
  <si>
    <t>2.39亿</t>
  </si>
  <si>
    <t>17.59亿</t>
  </si>
  <si>
    <t>2637162000亿</t>
  </si>
  <si>
    <t>410.86万</t>
  </si>
  <si>
    <t>7971061900亿</t>
  </si>
  <si>
    <t>8.84亿</t>
  </si>
  <si>
    <t>30.66亿</t>
  </si>
  <si>
    <t>3.28亿</t>
  </si>
  <si>
    <t>16.66亿</t>
  </si>
  <si>
    <t>3.62亿</t>
  </si>
  <si>
    <t>99.74亿</t>
  </si>
  <si>
    <t>6.11亿</t>
  </si>
  <si>
    <t>-1.68亿</t>
  </si>
  <si>
    <t>-1.62亿</t>
  </si>
  <si>
    <t>-2.88亿</t>
  </si>
  <si>
    <t>121.49亿</t>
  </si>
  <si>
    <t>112.08亿</t>
  </si>
  <si>
    <t>116.43亿</t>
  </si>
  <si>
    <t>106.89亿</t>
  </si>
  <si>
    <t>87.73亿</t>
  </si>
  <si>
    <t>-5.23亿</t>
  </si>
  <si>
    <t>6606.71万</t>
  </si>
  <si>
    <t>-7083.03万</t>
  </si>
  <si>
    <t>7026.35万</t>
  </si>
  <si>
    <t>35.34亿</t>
  </si>
  <si>
    <t>2153.34万</t>
  </si>
  <si>
    <t>46.78亿</t>
  </si>
  <si>
    <t>268.50亿</t>
  </si>
  <si>
    <t>787662850亿</t>
  </si>
  <si>
    <t>28.68亿</t>
  </si>
  <si>
    <t>17.81亿</t>
  </si>
  <si>
    <t>7.12亿</t>
  </si>
  <si>
    <t>4.13亿</t>
  </si>
  <si>
    <t>6030.88万</t>
  </si>
  <si>
    <t>407495510亿</t>
  </si>
  <si>
    <t>363.01万</t>
  </si>
  <si>
    <t>4.45亿</t>
  </si>
  <si>
    <t>11.15亿</t>
  </si>
  <si>
    <t>859896460亿</t>
  </si>
  <si>
    <t>1.12亿</t>
  </si>
  <si>
    <t>5912132500亿</t>
  </si>
  <si>
    <t>1.80亿</t>
  </si>
  <si>
    <t>7.01亿</t>
  </si>
  <si>
    <t>1176.09万</t>
  </si>
  <si>
    <t>4.01亿</t>
  </si>
  <si>
    <t>2928.53万</t>
  </si>
  <si>
    <t>43.63亿</t>
  </si>
  <si>
    <t>-2.30亿</t>
  </si>
  <si>
    <t>-9310.85万</t>
  </si>
  <si>
    <t>-47.65万</t>
  </si>
  <si>
    <t>23.04亿</t>
  </si>
  <si>
    <t>22.52亿</t>
  </si>
  <si>
    <t>30.88亿</t>
  </si>
  <si>
    <t>33.24亿</t>
  </si>
  <si>
    <t>29.77亿</t>
  </si>
  <si>
    <t>17.09亿</t>
  </si>
  <si>
    <t>14.04亿</t>
  </si>
  <si>
    <t>9.35亿</t>
  </si>
  <si>
    <t>18.63亿</t>
  </si>
  <si>
    <t>6.37亿</t>
  </si>
  <si>
    <t>5929.69万</t>
  </si>
  <si>
    <t>10派3元(含税)</t>
  </si>
  <si>
    <t>账面净赚</t>
  </si>
  <si>
    <t>1.这几年价格持续增长，市场预期有一定演绎；</t>
    <phoneticPr fontId="1" type="noConversion"/>
  </si>
  <si>
    <t>1.莲花温清的正负作用都需要考虑，坏的就是演绎过于充分，好的作为中药感冒药的经典。</t>
    <phoneticPr fontId="1" type="noConversion"/>
  </si>
  <si>
    <t>1.预计中报业绩：净利润9.893亿元至10.88亿元，增长幅度为1倍至1.2倍 变动原因：一是公司通过深入整合优势资源，实现营业收入和净利润同比稳定增长；二是公司公允价值变动收益及投资收益同比增加。2023年上半年，预计非经常性损益金额对净利润的影响金额约为12,000万元-13,000万元（2022年同期为-29,048.23万元）。</t>
    <phoneticPr fontId="1" type="noConversion"/>
  </si>
  <si>
    <r>
      <t>0.漳州市国资委实控人；1.片仔癀原料</t>
    </r>
    <r>
      <rPr>
        <sz val="9"/>
        <color rgb="FFFF0000"/>
        <rFont val="宋体"/>
        <family val="3"/>
        <charset val="134"/>
        <scheme val="minor"/>
      </rPr>
      <t>牛黄和麝香</t>
    </r>
    <r>
      <rPr>
        <sz val="9"/>
        <color theme="1"/>
        <rFont val="宋体"/>
        <family val="2"/>
        <charset val="134"/>
        <scheme val="minor"/>
      </rPr>
      <t>（国家管控材料，稀缺性）田七，蛇胆，癀原意是热毒肿痛特别肝病引发，所以片仔癀主治肝病，中国为</t>
    </r>
    <r>
      <rPr>
        <sz val="9"/>
        <color rgb="FFFF0000"/>
        <rFont val="宋体"/>
        <family val="3"/>
        <charset val="134"/>
        <scheme val="minor"/>
      </rPr>
      <t>肝病大国，且解酒护肝场景</t>
    </r>
    <r>
      <rPr>
        <sz val="9"/>
        <color theme="1"/>
        <rFont val="宋体"/>
        <family val="2"/>
        <charset val="134"/>
        <scheme val="minor"/>
      </rPr>
      <t>；2.2022年5月化妆品产品线实现独立运作；3.片仔癀有很多衍生品产品，痔疮膏，含片，解痒，活络油，润喉片；</t>
    </r>
    <phoneticPr fontId="1" type="noConversion"/>
  </si>
  <si>
    <r>
      <t>1.安宫牛黄丸和同仁堂有</t>
    </r>
    <r>
      <rPr>
        <sz val="9"/>
        <color rgb="FFFF0000"/>
        <rFont val="宋体"/>
        <family val="3"/>
        <charset val="134"/>
        <scheme val="minor"/>
      </rPr>
      <t>竞争关系</t>
    </r>
    <r>
      <rPr>
        <sz val="9"/>
        <color theme="1"/>
        <rFont val="宋体"/>
        <family val="2"/>
        <charset val="134"/>
        <scheme val="minor"/>
      </rPr>
      <t>（安宫牛黄丸主要医治急性脑卒中，且有养生滋补功效，片仔癀通过并购子公司切入此赛道和同仁堂竞争）；2.从2005年提价17次；但2014年后量增加很大给营销带来总提升；</t>
    </r>
    <phoneticPr fontId="1" type="noConversion"/>
  </si>
  <si>
    <t>123.09万</t>
  </si>
  <si>
    <t>494.58万</t>
  </si>
  <si>
    <t>3699.54万</t>
  </si>
  <si>
    <t>公司的主营业务是药制造业、化妆品、日化产品及保健品、保健食品、医药流通业。公司的主要产品为片仔癀及其系列产品。片仔癀悠久的历史、深厚的文化底蕴和显著的疗效彰显其独特的品牌优势。公司独家生产的传统名贵中成药片仔癀，其源于宫廷、兴于寺庙、流传于民间、发展于当代，因其独特神奇的疗效而形成了极佳的口碑，被国内外中药界誉为“国宝名药”。
市值1695.5024亿, 利润24.72亿; PE66.42; 平均PE102.76; 平均PEG5.48, PB14; ROIC21.4633%; ROE24.75%; 股利率0.4448%; 毛利48.06%; 净利28.99%; 上一年度营收增8.38%, 利润增1.64%; 当季营收增11.99%, 利润增11.71%; 过往5年营收增18.75%, 利润增26.13%
Income profile:
肝病用药 11.77亿 44.77% 74.36% 80.22%
医药流通业 11.11亿 42.24% 15.20% 17.38%
心脑血管用药 1.21亿 4.62% 4.01% 42.00%
化妆品业 1.09亿 4.14% 5.21% 60.67%</t>
  </si>
  <si>
    <r>
      <t>0.云南国有股权运营有限公司，陈发树的新华都，以及鱼跃医药为三大股东；1.全球独有的低纬高原地区地貌特征，成就了云南白药“植物王国”的美誉。2.云南白药牙膏2022年市场占有率达到24%；3.2023年半年报预告</t>
    </r>
    <r>
      <rPr>
        <sz val="9"/>
        <color rgb="FFFF0000"/>
        <rFont val="宋体"/>
        <family val="3"/>
        <charset val="134"/>
        <scheme val="minor"/>
      </rPr>
      <t>30亿利润增速75%</t>
    </r>
    <r>
      <rPr>
        <sz val="9"/>
        <rFont val="宋体"/>
        <family val="3"/>
        <charset val="134"/>
        <scheme val="minor"/>
      </rPr>
      <t>；</t>
    </r>
    <phoneticPr fontId="1" type="noConversion"/>
  </si>
  <si>
    <t>1.四大BG,药品事业部，健康品事业部，中药资源事业部，省医药公司，三大BU,口腔智护，医美业务，新零售健康服务；</t>
    <phoneticPr fontId="1" type="noConversion"/>
  </si>
  <si>
    <t>432.84万</t>
  </si>
  <si>
    <t>2652.48万</t>
  </si>
  <si>
    <t>1.57亿</t>
  </si>
  <si>
    <t>公司是一家主要经营化学原料药、化学药制剂、中成药、中药材、生物制品等的公司。公司产品以云南白药系列、三七系列和云南民族特色药品系列为主，共17种剂型200余个产品，产品畅销国内市场及东南亚一带，并逐渐进入日本、欧美等发达国家市场。公司是我国知名中成药生产企业之一，是云南大型工商医药企业之一，是中国中成药五十强之一。
市值961.14178亿, 利润30.01亿; PE26.66; 平均PE26.04; 平均PEG3.05, PB2.4; ROIC8.4967%; ROE9.97%; 股利率2.8417%; 毛利27.44%; 净利12.98%; 上一年度营收增0.31%, 利润增6.99%; 当季营收增11.48%, 利润增66.08%; 过往5年营收增8.54%, 利润增4.1%
Income profile:
批发零售 236.45亿 64.80% 15.33% 6.23%
工业产品(自制) 127.73亿 35.00% 84.40% 63.47%</t>
  </si>
  <si>
    <t>0.北京国资委实控人；1.牛黄丸主打心血管，脑卒中等急慢性病；</t>
    <phoneticPr fontId="1" type="noConversion"/>
  </si>
  <si>
    <t>385.92万</t>
  </si>
  <si>
    <t>2670.96万</t>
  </si>
  <si>
    <t>2.47亿</t>
  </si>
  <si>
    <t>公司的主营业务是中成药的生产与销售；公司的主要产品是安宫牛黄丸、同仁牛黄清心丸、同仁大活络丸；同仁堂是中药行业久负盛名的中华老字号；同仁堂以安宫牛黄丸、同仁牛黄清心丸、同仁大活络丸为代表的十大王牌产品以及众多经典药品家喻户晓，蜚声海内外，在临床病患治疗中盛享美誉，公司业务覆盖 20 个国家及地区，零售终端达 71 个，形成了“立足中国香港，深耕主流，面向世界”的国际网络布局。
市值712.34165亿, 利润14.26亿; PE45.98; 平均PE61.38; 平均PEG19.94, PB5.79; ROIC10.3667%; ROE11.84%; 股利率0.6161%; 毛利47.0533%; 净利13.8933%; 上一年度营收增5.27%, 利润增16.22%; 当季营收增30.07%, 利润增30.84%; 过往5年营收增3.08%, 利润增6.69%
Income profile:
生产制造分部 98.72亿 64.22% 64.50% 49.01%
药品零售分部 85.54亿 55.64% 35.81% 31.41%</t>
  </si>
  <si>
    <t>1.院士吴以岭领衔的中药公司；</t>
    <phoneticPr fontId="1" type="noConversion"/>
  </si>
  <si>
    <t>1290.17万</t>
  </si>
  <si>
    <t>7054.66万</t>
  </si>
  <si>
    <t>4.72亿</t>
  </si>
  <si>
    <t>公司是一家主要致力于专利创新中药的研发、生产和销售。公司拥有通过GMP认证的胶囊、片剂、颗粒剂、针剂生产线,以及通过欧盟认证的化学药制剂车间。
市值404.3107亿, 利润23.62亿; PE13.13; 平均PE36.36; 平均PEG1.41, PB3.33; ROIC16.6167%; ROE17.68%; 股利率2.0661%; 毛利64.3567%; 净利19.2067%; 上一年度营收增23.88%, 利润增75.74%; 当季营收增44.56%, 利润增148.45%; 过往5年营收增25.76%, 利润增39.78%
Income profile:
呼吸系统类 68.72亿 54.83% 59.95% 69.84%
心脑血管类 41.78亿 33.33% 33.86% 64.89%
其他类 11.01亿 8.79% 3.44% 25.03%
其他专利产品 3.83亿 3.05% 2.75% 57.58%</t>
  </si>
  <si>
    <t>0.国资委控股（06年华润控股）；1.滋补阿胶闻名，阿胶是马科动物驴的皮熬制而成，和人参，鹿茸并称中药三宝；</t>
    <phoneticPr fontId="1" type="noConversion"/>
  </si>
  <si>
    <t>1.利润增速大于营收，涨价应该是原因之一，最高单次涨过68%：2.阿胶有点归属于高消费的滋补品；</t>
    <phoneticPr fontId="1" type="noConversion"/>
  </si>
  <si>
    <t>341.34万</t>
  </si>
  <si>
    <t>1277.67万</t>
  </si>
  <si>
    <t>1.59亿</t>
  </si>
  <si>
    <t>1-0</t>
  </si>
  <si>
    <t>公司主营业务为阿胶和阿胶系列及其他中成药等产品的研发、生产和销售。公司主要产品有阿胶、复方阿胶浆、阿胶糕、“真颜”品牌系列、阿胶粉。
市值333.57999亿, 利润7.80亿; PE37.24; 平均PE40.54; 平均PEG7.43, PB3.21; ROIC3.8733%; ROE4.1933%; 股利率2.2394%; 毛利62.6933%; 净利11.3867%; 上一年度营收增5.01%, 利润增77.27%; 当季营收增20.12%, 利润增100.29%; 过往5年营收增-5.46%, 利润增196.68%
Income profile:
阿胶及系列产品 36.99亿 91.52% 98.03% 73.16%
其他药品及保健品 1.87亿 4.63% 4.40% 64.89%
毛驴养殖及销售 1.03亿 2.55% 0.39% 10.33%</t>
  </si>
  <si>
    <r>
      <t>0.广州市国资委实控人；1.知名产品为：
消渴丸 、</t>
    </r>
    <r>
      <rPr>
        <sz val="9"/>
        <color rgb="FFFF0000"/>
        <rFont val="宋体"/>
        <family val="3"/>
        <charset val="134"/>
        <scheme val="minor"/>
      </rPr>
      <t>板蓝根</t>
    </r>
    <r>
      <rPr>
        <sz val="9"/>
        <color theme="1"/>
        <rFont val="宋体"/>
        <family val="2"/>
        <charset val="134"/>
        <scheme val="minor"/>
      </rPr>
      <t>颗粒系列 、滋肾育胎丸 、小柴胡颗粒  、复方丹参片系列 、清开灵系列 、华佗再造丸 、夏桑菊颗粒  、</t>
    </r>
    <r>
      <rPr>
        <sz val="9"/>
        <color rgb="FFFF0000"/>
        <rFont val="宋体"/>
        <family val="3"/>
        <charset val="134"/>
        <scheme val="minor"/>
      </rPr>
      <t>保济</t>
    </r>
    <r>
      <rPr>
        <sz val="9"/>
        <color theme="1"/>
        <rFont val="宋体"/>
        <family val="2"/>
        <charset val="134"/>
        <scheme val="minor"/>
      </rPr>
      <t>系列 、小儿七星茶颗粒 、安宫牛黄丸  、壮腰健肾丸  、舒筋健腰丸 、</t>
    </r>
    <r>
      <rPr>
        <sz val="9"/>
        <color rgb="FFFF0000"/>
        <rFont val="宋体"/>
        <family val="3"/>
        <charset val="134"/>
        <scheme val="minor"/>
      </rPr>
      <t>蜜炼川贝枇杷膏</t>
    </r>
    <r>
      <rPr>
        <sz val="9"/>
        <color theme="1"/>
        <rFont val="宋体"/>
        <family val="2"/>
        <charset val="134"/>
        <scheme val="minor"/>
      </rPr>
      <t xml:space="preserve"> 、头孢克肟系列 、枸橼酸西地那非 、头孢硫脒  、头孢丙烯系列 、阿咖酚散系列 、阿莫西林  、</t>
    </r>
    <r>
      <rPr>
        <sz val="9"/>
        <color rgb="FFFF0000"/>
        <rFont val="宋体"/>
        <family val="3"/>
        <charset val="134"/>
        <scheme val="minor"/>
      </rPr>
      <t>王老吉凉茶</t>
    </r>
    <r>
      <rPr>
        <sz val="9"/>
        <color theme="1"/>
        <rFont val="宋体"/>
        <family val="2"/>
        <charset val="134"/>
        <scheme val="minor"/>
      </rPr>
      <t xml:space="preserve"> 、刺柠吉系列</t>
    </r>
    <phoneticPr fontId="1" type="noConversion"/>
  </si>
  <si>
    <t>518.25万</t>
  </si>
  <si>
    <t>2449.56万</t>
  </si>
  <si>
    <t>2.48亿</t>
  </si>
  <si>
    <t>公司主营业务中西成药、化学原料药、天然药物、生物医药、化学原料药中间体的研究开发、制造与销售;西药、中药和医疗器械的批发、零售和进出口业务;大健康产品的研发、生产与销售;医疗服务、健康管理、养生养老等健康产业投资。
市值511.14867亿, 利润39.67亿; PE12.56; 平均PE15.9; 平均PEG0.48, PB1.5; ROIC9.4467%; ROE12.66%; 股利率2.3282%; 毛利19.7933%; 净利6.62%; 上一年度营收增2.57%, 利润增6.64%; 当季营收增5.3%, 利润增5.68%; 过往5年营收增32.95%, 利润增17.04%
Income profile:
大商业 491.31亿 69.41% 26.02% 7.03%
大健康 104.73亿 14.79% 34.33% 43.52%
大南药 104.62亿 14.78% 37.78% 47.95%
其他 4.84亿 0.68% 0.51% 14.06%</t>
  </si>
  <si>
    <t>0.国资委控股；</t>
    <phoneticPr fontId="1" type="noConversion"/>
  </si>
  <si>
    <t>372.56万</t>
  </si>
  <si>
    <t>2689.62万</t>
  </si>
  <si>
    <t>1.93亿</t>
  </si>
  <si>
    <t>公司主要从事医药产品的研发、生产、销售及相关健康服务。主要产品包括999感冒灵、999皮炎平、参附注射液、注射用头孢、免煎中药、三九胃泰颗粒、正天丸等。
市值532.43354亿, 利润24.49亿; PE19.3; 平均PE29.22; 平均PEG2.74, PB2.93; ROIC13.0667%; ROE13.7733%; 股利率1.856%; 毛利58.7533%; 净利14.93%; 上一年度营收增16.31%, 利润增19.17%; 当季营收增49.47%, 利润增36.86%; 过往5年营收增10.68%, 利润增16.1%
Income profile:
医药行业 173.60亿 96.02% 100.00% 55.38%
包装印刷 5.60亿 3.10%
零售行业 1.38亿 0.76%</t>
  </si>
  <si>
    <t>672.55万</t>
  </si>
  <si>
    <t>2969.56万</t>
  </si>
  <si>
    <t>公司主要从事中药产品的生产、销售,根据中国证监会发布的《上市公司行业分类指引》,公司属于医药制造业,核心业务为中成药业务。依据产品定位和销售渠道不同,公司医药工业主要包括传统中药、精品中药和养生酒三大板块。公司拥有龟龄集、定坤丹、安宫牛黄丸、牛黄清心丸等百余种传统中药批准文号
市值153.21073亿, 利润-3.99亿; PE; 平均PE1584.86; 平均PEG4680.28, PB8.95; ROIC1.78%; ROE-11.22%; 股利率0%; 毛利68.1267%; 净利-11.2167%; 上一年度营收增16.51%, 利润增-26.27%; 当季营收增55.06%, 利润增26.2%; 过往5年营收增-0.34%, 利润增-239.3%
Income profile:
传统中药 6.37亿 64.00% 2.17亿 63.04% 64.50% 65.85%
精品中药 2.29亿 23.02% 27.97% 79.39%
其他业务 8989.63万 9.04% 4.06% 29.38%
养生酒 3926.20万 3.95% 3.46% 57.28%</t>
  </si>
  <si>
    <t>367.99万</t>
  </si>
  <si>
    <t>2902.27万</t>
  </si>
  <si>
    <t>2.52亿</t>
  </si>
  <si>
    <t>公司主要从事中、西成药的生产和销售。公司的主要产品为藿香正气口服液、注射用头孢唑肟钠（益保世灵）、洛芬待因缓释片（思为普）、小金片、盐酸吗啡缓释片（美菲康）、罗格列酮钠片（太罗）、急支糖浆、复方板蓝根颗粒、通天口服液、氯化钠注射液、鼻窦炎口服液、六味地黄丸、玄麦甘桔颗粒、沉香化气片、天胶、葡萄糖注射液、散列通、消化酶片、酒石酸美托洛尔缓释片、夏桑菊颗粒、感冒清热颗粒、五子衍宗丸。
市值282.23223亿, 利润3.50亿; PE50.12; 平均PE-1312.71; 平均PEG-128.5, PB8.58; ROIC3.53%; ROE-1.1333%; 股利率0%; 毛利44.6333%; 净利0.2933%; 上一年度营收增15.66%, 利润增166.92%; 当季营收增25.28%, 利润增991.16%; 过往5年营收增10.22%, 利润增-183.06%
Income profile:
其他业务 16.54亿 37.35% 18.45% 25.18%
消化系统 9.10亿 20.55% 23.78% 58.99%
呼吸系统 8.80亿 19.88% 25.49% 65.40%
抗感染 5.46亿 12.33% 17.34% 71.73%
神经系统 3.35亿 7.56% 11.70% 78.91%
心脑血管 1.03亿 2.32% 3.24% 71.13%</t>
  </si>
  <si>
    <t>540.74万</t>
  </si>
  <si>
    <t>3820.05万</t>
  </si>
  <si>
    <t>公司主要从事中成药、生物化学药研发、制造和销售。公司的主要产品为“安神补脑液”、“小儿柴桂退热口服液”、“血府逐瘀口服液”、“注射用核糖核酸II”、“羚贝止咳糖浆”、“养血饮口服液”、“注射用盐酸平阳霉素”、“少腹逐瘀颗粒”、“肾复康片”、“伸筋片”、“脑心舒口服液”、“心脑舒通胶囊”、“利脑心胶囊”、“感冒清热胶囊”、“注射用赖氨匹林”等。
市值189.81876亿, 利润17.81亿; PE8.6; 平均PE12.02; 平均PEG14.07, PB0.731; ROIC6.79%; ROE7.2933%; 股利率1.8382%; 毛利53.0967%; 净利71.42%; 上一年度营收增24.48%, 利润增0%; 当季营收增23.65%, 利润增719.23%; 过往5年营收增0.85%, 利润增5.26%
Income profile:
中药 16.92亿 59.01% 69.09% 59.90%
连锁药店批发和零售 4.48亿 15.63% 5.96% 19.50%
食品 3.59亿 12.53% 12.18% 49.73%
化学药品 3.25亿 11.35% 11.86% 53.47%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</si>
</sst>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  <font>
      <sz val="9"/>
      <color theme="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3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5" fillId="0" borderId="0" xfId="0" applyFont="1" applyFill="1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6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5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2" xfId="0" applyNumberFormat="1" applyFill="1" applyBorder="1" applyAlignment="1">
      <alignment vertical="center" wrapText="1"/>
    </xf>
    <xf numFmtId="0" fontId="0" fillId="4" borderId="2" xfId="0" applyNumberFormat="1" applyFill="1" applyBorder="1" applyAlignment="1">
      <alignment vertical="center" wrapText="1"/>
    </xf>
    <xf numFmtId="0" fontId="0" fillId="2" borderId="1" xfId="0" applyNumberForma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11" fillId="0" borderId="0" xfId="0" applyFont="1" applyAlignment="1">
      <alignment vertical="center"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252413</xdr:colOff>
          <xdr:row>1</xdr:row>
          <xdr:rowOff>138113</xdr:rowOff>
        </xdr:from>
        <xdr:to>
          <xdr:col>1</xdr:col>
          <xdr:colOff>1190625</xdr:colOff>
          <xdr:row>1</xdr:row>
          <xdr:rowOff>481013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52388</xdr:colOff>
          <xdr:row>37</xdr:row>
          <xdr:rowOff>52388</xdr:rowOff>
        </xdr:from>
        <xdr:to>
          <xdr:col>15</xdr:col>
          <xdr:colOff>547688</xdr:colOff>
          <xdr:row>59</xdr:row>
          <xdr:rowOff>90488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100013</xdr:colOff>
          <xdr:row>1</xdr:row>
          <xdr:rowOff>38100</xdr:rowOff>
        </xdr:from>
        <xdr:to>
          <xdr:col>25</xdr:col>
          <xdr:colOff>466725</xdr:colOff>
          <xdr:row>36</xdr:row>
          <xdr:rowOff>100013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166688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Q12"/>
  <sheetViews>
    <sheetView tabSelected="1" zoomScale="85" zoomScaleNormal="85" workbookViewId="0">
      <pane xSplit="6" ySplit="1" topLeftCell="G8" activePane="bottomRight" state="frozen"/>
      <selection pane="topRight" activeCell="G1" sqref="G1"/>
      <selection pane="bottomLeft" activeCell="A2" sqref="A2"/>
      <selection pane="bottomRight" activeCell="D12" sqref="D12"/>
    </sheetView>
  </sheetViews>
  <sheetFormatPr defaultRowHeight="13.5"/>
  <cols>
    <col min="1" max="1" width="12" style="20" customWidth="1"/>
    <col min="2" max="2" width="35.1328125" customWidth="1"/>
    <col min="3" max="3" width="40.796875" customWidth="1"/>
    <col min="4" max="4" width="56" customWidth="1"/>
    <col min="22" max="22" width="14.796875" customWidth="1"/>
  </cols>
  <sheetData>
    <row r="1" spans="1:147" s="14" customFormat="1">
      <c r="A1" s="15" t="s">
        <v>48</v>
      </c>
      <c r="B1" s="16" t="s">
        <v>118</v>
      </c>
      <c r="C1" s="17" t="s">
        <v>7</v>
      </c>
      <c r="D1" s="16" t="s">
        <v>119</v>
      </c>
      <c r="E1" t="s">
        <v>2</v>
      </c>
      <c r="F1" t="s">
        <v>3</v>
      </c>
      <c r="G1" t="s">
        <v>0</v>
      </c>
      <c r="H1" t="s">
        <v>91</v>
      </c>
      <c r="I1" t="s">
        <v>120</v>
      </c>
      <c r="J1" t="s">
        <v>4</v>
      </c>
      <c r="K1" t="s">
        <v>5</v>
      </c>
      <c r="L1" t="s">
        <v>1</v>
      </c>
      <c r="M1" t="s">
        <v>6</v>
      </c>
      <c r="N1" t="s">
        <v>8</v>
      </c>
      <c r="O1" t="s">
        <v>9</v>
      </c>
      <c r="P1" t="s">
        <v>10</v>
      </c>
      <c r="Q1" t="s">
        <v>121</v>
      </c>
      <c r="R1" t="s">
        <v>92</v>
      </c>
      <c r="S1" t="s">
        <v>122</v>
      </c>
      <c r="T1" t="s">
        <v>11</v>
      </c>
      <c r="U1" t="s">
        <v>93</v>
      </c>
      <c r="V1" t="s">
        <v>94</v>
      </c>
      <c r="W1" t="s">
        <v>12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95</v>
      </c>
      <c r="AD1" t="s">
        <v>75</v>
      </c>
      <c r="AE1" t="s">
        <v>123</v>
      </c>
      <c r="AF1" t="s">
        <v>13</v>
      </c>
      <c r="AG1" t="s">
        <v>14</v>
      </c>
      <c r="AH1" t="s">
        <v>96</v>
      </c>
      <c r="AI1" t="s">
        <v>124</v>
      </c>
      <c r="AJ1" t="s">
        <v>97</v>
      </c>
      <c r="AK1" t="s">
        <v>15</v>
      </c>
      <c r="AL1" t="s">
        <v>98</v>
      </c>
      <c r="AM1" t="s">
        <v>49</v>
      </c>
      <c r="AN1" t="s">
        <v>99</v>
      </c>
      <c r="AO1" t="s">
        <v>100</v>
      </c>
      <c r="AP1" t="s">
        <v>101</v>
      </c>
      <c r="AQ1" t="s">
        <v>102</v>
      </c>
      <c r="AR1" t="s">
        <v>103</v>
      </c>
      <c r="AS1" t="s">
        <v>104</v>
      </c>
      <c r="AT1" t="s">
        <v>105</v>
      </c>
      <c r="AU1" t="s">
        <v>106</v>
      </c>
      <c r="AV1" t="s">
        <v>107</v>
      </c>
      <c r="AW1" t="s">
        <v>108</v>
      </c>
      <c r="AX1" t="s">
        <v>109</v>
      </c>
      <c r="AY1" t="s">
        <v>125</v>
      </c>
      <c r="AZ1" t="s">
        <v>50</v>
      </c>
      <c r="BA1" t="s">
        <v>51</v>
      </c>
      <c r="BB1" t="s">
        <v>52</v>
      </c>
      <c r="BC1" t="s">
        <v>53</v>
      </c>
      <c r="BD1" t="s">
        <v>59</v>
      </c>
      <c r="BE1" t="s">
        <v>54</v>
      </c>
      <c r="BF1" t="s">
        <v>55</v>
      </c>
      <c r="BG1" t="s">
        <v>56</v>
      </c>
      <c r="BH1" t="s">
        <v>57</v>
      </c>
      <c r="BI1" t="s">
        <v>126</v>
      </c>
      <c r="BJ1" t="s">
        <v>110</v>
      </c>
      <c r="BK1" t="s">
        <v>58</v>
      </c>
      <c r="BL1" t="s">
        <v>111</v>
      </c>
      <c r="BM1" t="s">
        <v>112</v>
      </c>
      <c r="BN1" t="s">
        <v>113</v>
      </c>
      <c r="BO1" t="s">
        <v>114</v>
      </c>
      <c r="BP1" t="s">
        <v>60</v>
      </c>
      <c r="BQ1" t="s">
        <v>61</v>
      </c>
      <c r="BR1" t="s">
        <v>62</v>
      </c>
      <c r="BS1" t="s">
        <v>115</v>
      </c>
      <c r="BT1" t="s">
        <v>63</v>
      </c>
      <c r="BU1" t="s">
        <v>64</v>
      </c>
      <c r="BV1" t="s">
        <v>65</v>
      </c>
      <c r="BW1" t="s">
        <v>116</v>
      </c>
      <c r="BX1" t="s">
        <v>66</v>
      </c>
      <c r="BY1" t="s">
        <v>67</v>
      </c>
      <c r="BZ1" t="s">
        <v>117</v>
      </c>
      <c r="CA1" t="s">
        <v>68</v>
      </c>
      <c r="CB1" t="s">
        <v>69</v>
      </c>
      <c r="CC1" t="s">
        <v>127</v>
      </c>
      <c r="CD1" t="s">
        <v>128</v>
      </c>
      <c r="CE1" t="s">
        <v>129</v>
      </c>
      <c r="CF1" t="s">
        <v>130</v>
      </c>
      <c r="CG1" s="1" t="s">
        <v>76</v>
      </c>
      <c r="CH1" s="1" t="s">
        <v>77</v>
      </c>
      <c r="CI1" s="1" t="s">
        <v>78</v>
      </c>
      <c r="CJ1" s="1" t="s">
        <v>79</v>
      </c>
      <c r="CK1" s="1" t="s">
        <v>80</v>
      </c>
      <c r="CL1" s="1" t="s">
        <v>81</v>
      </c>
      <c r="CM1" s="1" t="s">
        <v>82</v>
      </c>
      <c r="CN1" s="1" t="s">
        <v>83</v>
      </c>
      <c r="CO1" s="1" t="s">
        <v>84</v>
      </c>
      <c r="CP1" s="1" t="s">
        <v>85</v>
      </c>
      <c r="CQ1" s="1" t="s">
        <v>86</v>
      </c>
      <c r="CR1" s="1" t="s">
        <v>87</v>
      </c>
      <c r="CS1" s="1" t="s">
        <v>131</v>
      </c>
      <c r="CT1" s="1" t="s">
        <v>132</v>
      </c>
      <c r="CU1" s="1" t="s">
        <v>133</v>
      </c>
      <c r="CV1" s="1" t="s">
        <v>134</v>
      </c>
      <c r="CW1" s="1" t="s">
        <v>135</v>
      </c>
      <c r="CX1" s="1" t="s">
        <v>136</v>
      </c>
      <c r="CY1">
        <v>1</v>
      </c>
      <c r="CZ1" t="s">
        <v>137</v>
      </c>
      <c r="DA1" t="s">
        <v>138</v>
      </c>
      <c r="DB1">
        <v>3</v>
      </c>
      <c r="DC1" t="s">
        <v>139</v>
      </c>
      <c r="DD1" t="s">
        <v>140</v>
      </c>
      <c r="DE1">
        <v>6</v>
      </c>
      <c r="DF1" t="s">
        <v>141</v>
      </c>
      <c r="DG1" t="s">
        <v>142</v>
      </c>
      <c r="DH1">
        <v>10</v>
      </c>
      <c r="DI1" t="s">
        <v>143</v>
      </c>
      <c r="DJ1" t="s">
        <v>144</v>
      </c>
      <c r="DK1">
        <v>20</v>
      </c>
      <c r="DL1" t="s">
        <v>145</v>
      </c>
      <c r="DM1" t="s">
        <v>88</v>
      </c>
      <c r="DN1" t="s">
        <v>89</v>
      </c>
      <c r="DO1" s="2" t="s">
        <v>90</v>
      </c>
      <c r="DP1" t="s">
        <v>146</v>
      </c>
      <c r="DQ1" t="s">
        <v>147</v>
      </c>
      <c r="DR1" s="1" t="s">
        <v>148</v>
      </c>
      <c r="DS1" s="1" t="s">
        <v>149</v>
      </c>
      <c r="DT1" s="1" t="s">
        <v>150</v>
      </c>
      <c r="DU1" t="s">
        <v>151</v>
      </c>
      <c r="DV1" t="s">
        <v>152</v>
      </c>
      <c r="DW1" t="s">
        <v>153</v>
      </c>
      <c r="DX1" t="s">
        <v>154</v>
      </c>
      <c r="DY1" t="s">
        <v>155</v>
      </c>
      <c r="DZ1" t="s">
        <v>156</v>
      </c>
      <c r="EA1" t="s">
        <v>157</v>
      </c>
      <c r="EB1" t="s">
        <v>158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7" s="1" customFormat="1" ht="49.05" customHeight="1">
      <c r="A2" s="19"/>
      <c r="B2" s="18"/>
      <c r="C2" s="18">
        <v>3</v>
      </c>
      <c r="D2" s="18">
        <v>12</v>
      </c>
    </row>
    <row r="3" spans="1:147" ht="157.5">
      <c r="B3" s="21" t="s">
        <v>580</v>
      </c>
      <c r="C3" s="21" t="s">
        <v>581</v>
      </c>
      <c r="D3" s="21" t="s">
        <v>585</v>
      </c>
      <c r="E3" t="s">
        <v>167</v>
      </c>
      <c r="F3" t="s">
        <v>168</v>
      </c>
      <c r="G3">
        <v>281.02999999999997</v>
      </c>
      <c r="H3">
        <v>-1.9E-3</v>
      </c>
      <c r="I3" t="s">
        <v>582</v>
      </c>
      <c r="J3">
        <v>169550240000</v>
      </c>
      <c r="K3">
        <v>66.42</v>
      </c>
      <c r="L3">
        <v>14</v>
      </c>
      <c r="M3" t="s">
        <v>169</v>
      </c>
      <c r="N3" t="s">
        <v>188</v>
      </c>
      <c r="O3" t="s">
        <v>189</v>
      </c>
      <c r="P3" t="s">
        <v>190</v>
      </c>
      <c r="Q3">
        <v>11.98</v>
      </c>
      <c r="R3" t="s">
        <v>191</v>
      </c>
      <c r="S3">
        <v>769681320</v>
      </c>
      <c r="T3" s="22">
        <v>0.1166</v>
      </c>
      <c r="U3" t="s">
        <v>192</v>
      </c>
      <c r="V3">
        <v>603317210</v>
      </c>
      <c r="W3">
        <v>603317210</v>
      </c>
      <c r="X3">
        <v>1.19</v>
      </c>
      <c r="Y3">
        <v>0.18</v>
      </c>
      <c r="Z3">
        <v>30.3</v>
      </c>
      <c r="AA3" t="s">
        <v>193</v>
      </c>
      <c r="AB3" t="s">
        <v>194</v>
      </c>
      <c r="AC3" t="s">
        <v>195</v>
      </c>
      <c r="AD3" t="s">
        <v>196</v>
      </c>
      <c r="AE3" t="s">
        <v>197</v>
      </c>
      <c r="AF3">
        <v>533098</v>
      </c>
      <c r="AG3" t="s">
        <v>198</v>
      </c>
      <c r="AH3" t="s">
        <v>199</v>
      </c>
      <c r="AI3" t="s">
        <v>200</v>
      </c>
      <c r="AJ3" t="s">
        <v>201</v>
      </c>
      <c r="AK3" t="s">
        <v>202</v>
      </c>
      <c r="AL3" t="s">
        <v>203</v>
      </c>
      <c r="AM3" t="s">
        <v>204</v>
      </c>
      <c r="AN3" t="s">
        <v>205</v>
      </c>
      <c r="AO3" t="s">
        <v>206</v>
      </c>
      <c r="AP3" t="s">
        <v>207</v>
      </c>
      <c r="AQ3" t="s">
        <v>208</v>
      </c>
      <c r="AR3" t="s">
        <v>209</v>
      </c>
      <c r="AS3" t="s">
        <v>210</v>
      </c>
      <c r="AT3" t="s">
        <v>211</v>
      </c>
      <c r="AU3" t="s">
        <v>205</v>
      </c>
      <c r="AV3" t="s">
        <v>212</v>
      </c>
      <c r="AW3" t="s">
        <v>213</v>
      </c>
      <c r="AX3" t="s">
        <v>214</v>
      </c>
      <c r="AY3" t="s">
        <v>215</v>
      </c>
      <c r="AZ3" t="s">
        <v>216</v>
      </c>
      <c r="BA3" t="s">
        <v>217</v>
      </c>
      <c r="BB3" t="s">
        <v>218</v>
      </c>
      <c r="BC3" t="s">
        <v>219</v>
      </c>
      <c r="BD3" t="s">
        <v>220</v>
      </c>
      <c r="BE3" t="s">
        <v>221</v>
      </c>
      <c r="BF3" t="s">
        <v>222</v>
      </c>
      <c r="BG3" t="s">
        <v>223</v>
      </c>
      <c r="BH3" t="s">
        <v>224</v>
      </c>
      <c r="BI3" t="s">
        <v>191</v>
      </c>
      <c r="BJ3" t="s">
        <v>225</v>
      </c>
      <c r="BK3" t="s">
        <v>215</v>
      </c>
      <c r="BL3" t="s">
        <v>192</v>
      </c>
      <c r="BM3" t="s">
        <v>226</v>
      </c>
      <c r="BN3" t="s">
        <v>220</v>
      </c>
      <c r="BO3">
        <v>20.82</v>
      </c>
      <c r="BP3">
        <v>23.95</v>
      </c>
      <c r="BQ3">
        <v>19.62</v>
      </c>
      <c r="BR3">
        <v>23.5</v>
      </c>
      <c r="BS3">
        <v>27.68</v>
      </c>
      <c r="BT3">
        <v>23.07</v>
      </c>
      <c r="BU3" t="s">
        <v>227</v>
      </c>
      <c r="BV3" t="s">
        <v>169</v>
      </c>
      <c r="BW3">
        <v>48.3</v>
      </c>
      <c r="BX3">
        <v>50.72</v>
      </c>
      <c r="BY3">
        <v>45.16</v>
      </c>
      <c r="BZ3">
        <v>30.3</v>
      </c>
      <c r="CA3">
        <v>30.72</v>
      </c>
      <c r="CB3">
        <v>25.95</v>
      </c>
      <c r="CC3">
        <v>-0.89</v>
      </c>
      <c r="CD3">
        <v>-3.07</v>
      </c>
      <c r="CE3" t="s">
        <v>583</v>
      </c>
      <c r="CF3" t="s">
        <v>584</v>
      </c>
      <c r="CG3" s="23">
        <v>0.11989676320272573</v>
      </c>
      <c r="CH3" s="24">
        <v>0.11709915820029028</v>
      </c>
      <c r="CI3" s="23">
        <v>8.3769567310810089E-2</v>
      </c>
      <c r="CJ3" s="23">
        <v>0.23206880688667297</v>
      </c>
      <c r="CK3" s="23">
        <v>0.13788889348506927</v>
      </c>
      <c r="CL3" s="23">
        <v>0.2005874365568161</v>
      </c>
      <c r="CM3" s="23">
        <v>0.28325262665748596</v>
      </c>
      <c r="CN3" s="24">
        <v>1.6447369009256363E-2</v>
      </c>
      <c r="CO3" s="24">
        <v>0.45454546809196472</v>
      </c>
      <c r="CP3" s="24">
        <v>0.21688500046730042</v>
      </c>
      <c r="CQ3" s="24">
        <v>0.20209966599941254</v>
      </c>
      <c r="CR3" s="24">
        <v>0.41635695099830627</v>
      </c>
      <c r="CS3">
        <v>102.75772121212121</v>
      </c>
      <c r="CT3">
        <v>5.4800182251351295</v>
      </c>
      <c r="CU3">
        <v>0.44479237092125401</v>
      </c>
      <c r="CV3" s="23">
        <v>0.18751346617937087</v>
      </c>
      <c r="CW3" s="24">
        <v>0.26126689091324806</v>
      </c>
      <c r="CX3">
        <v>0.06</v>
      </c>
      <c r="CY3">
        <v>57.542033356512086</v>
      </c>
      <c r="CZ3">
        <v>2769371026.7881179</v>
      </c>
      <c r="DA3">
        <v>0.18751346617937087</v>
      </c>
      <c r="DB3">
        <v>17.330110688920858</v>
      </c>
      <c r="DC3">
        <v>9195281141.6187801</v>
      </c>
      <c r="DD3">
        <v>0.17813779287040232</v>
      </c>
      <c r="DE3">
        <v>7.6198249892743766</v>
      </c>
      <c r="DF3">
        <v>20913241475.271091</v>
      </c>
      <c r="DG3">
        <v>0.16501185023784637</v>
      </c>
      <c r="DH3">
        <v>4.0068715867798055</v>
      </c>
      <c r="DI3">
        <v>39770488409.404884</v>
      </c>
      <c r="DJ3">
        <v>0.15001077294349671</v>
      </c>
      <c r="DK3">
        <v>1.5186349938174264</v>
      </c>
      <c r="DL3">
        <v>104933206892.21391</v>
      </c>
      <c r="DM3">
        <v>0.13125942632555959</v>
      </c>
      <c r="DN3">
        <v>2472000000</v>
      </c>
      <c r="DO3">
        <v>0.18751346617937087</v>
      </c>
      <c r="DP3">
        <v>159355240000</v>
      </c>
      <c r="DQ3">
        <v>10971118200</v>
      </c>
      <c r="DR3">
        <v>3147</v>
      </c>
      <c r="DS3">
        <v>-6.7616702976645141E-2</v>
      </c>
      <c r="DT3">
        <v>-0.1441677327129578</v>
      </c>
      <c r="DU3" s="25">
        <v>0.36666666666666664</v>
      </c>
      <c r="DV3">
        <v>0.49999999999999994</v>
      </c>
      <c r="DW3">
        <v>0.86666666666666659</v>
      </c>
      <c r="DX3">
        <v>-1.0306999999999999</v>
      </c>
      <c r="DY3">
        <v>0.46368689080264319</v>
      </c>
      <c r="DZ3">
        <v>-1.0041041875476411</v>
      </c>
      <c r="EA3">
        <v>1105</v>
      </c>
      <c r="EB3">
        <v>-1.0032052525149071</v>
      </c>
      <c r="EC3">
        <v>1</v>
      </c>
      <c r="ED3">
        <v>8.1976776362802581E-3</v>
      </c>
      <c r="EE3">
        <v>6.1319981241708656E-2</v>
      </c>
      <c r="EF3" s="26">
        <v>0.13061000000000003</v>
      </c>
      <c r="EG3">
        <v>0.130629</v>
      </c>
      <c r="EH3">
        <v>33.133686890802643</v>
      </c>
      <c r="EI3">
        <v>-1</v>
      </c>
      <c r="EJ3">
        <v>0</v>
      </c>
      <c r="EK3">
        <v>1</v>
      </c>
      <c r="EL3" s="27">
        <v>45128</v>
      </c>
      <c r="EM3">
        <v>4.8999999999999998E-3</v>
      </c>
      <c r="EN3">
        <v>0.37</v>
      </c>
      <c r="EO3">
        <v>-1.08</v>
      </c>
      <c r="EP3">
        <v>-0.47</v>
      </c>
      <c r="EQ3">
        <v>-1.9E-3</v>
      </c>
    </row>
    <row r="4" spans="1:147" ht="135">
      <c r="B4" s="21" t="s">
        <v>586</v>
      </c>
      <c r="C4" s="21" t="s">
        <v>587</v>
      </c>
      <c r="D4" s="21" t="s">
        <v>591</v>
      </c>
      <c r="E4" t="s">
        <v>170</v>
      </c>
      <c r="F4" t="s">
        <v>171</v>
      </c>
      <c r="G4">
        <v>53.49</v>
      </c>
      <c r="H4">
        <v>8.6999999999999994E-3</v>
      </c>
      <c r="I4" t="s">
        <v>588</v>
      </c>
      <c r="J4">
        <v>96114178000</v>
      </c>
      <c r="K4">
        <v>26.66</v>
      </c>
      <c r="L4">
        <v>2.4</v>
      </c>
      <c r="M4" t="s">
        <v>169</v>
      </c>
      <c r="N4" t="s">
        <v>229</v>
      </c>
      <c r="O4" t="s">
        <v>230</v>
      </c>
      <c r="P4" t="s">
        <v>231</v>
      </c>
      <c r="Q4">
        <v>11.49</v>
      </c>
      <c r="R4" t="s">
        <v>232</v>
      </c>
      <c r="S4">
        <v>1517988400</v>
      </c>
      <c r="T4" s="22">
        <v>0.66020000000000001</v>
      </c>
      <c r="U4" t="s">
        <v>233</v>
      </c>
      <c r="V4">
        <v>1684594700</v>
      </c>
      <c r="W4">
        <v>1796862500</v>
      </c>
      <c r="X4">
        <v>1.37</v>
      </c>
      <c r="Y4">
        <v>0.19</v>
      </c>
      <c r="Z4">
        <v>14.42</v>
      </c>
      <c r="AA4" t="s">
        <v>234</v>
      </c>
      <c r="AB4" t="s">
        <v>235</v>
      </c>
      <c r="AC4" t="s">
        <v>236</v>
      </c>
      <c r="AD4" t="s">
        <v>237</v>
      </c>
      <c r="AE4" t="s">
        <v>238</v>
      </c>
      <c r="AF4">
        <v>-27768697</v>
      </c>
      <c r="AG4" t="s">
        <v>239</v>
      </c>
      <c r="AH4" t="s">
        <v>240</v>
      </c>
      <c r="AI4" t="s">
        <v>241</v>
      </c>
      <c r="AJ4" t="s">
        <v>242</v>
      </c>
      <c r="AK4" t="s">
        <v>243</v>
      </c>
      <c r="AL4" t="s">
        <v>244</v>
      </c>
      <c r="AM4" t="s">
        <v>245</v>
      </c>
      <c r="AN4" t="s">
        <v>205</v>
      </c>
      <c r="AO4" t="s">
        <v>246</v>
      </c>
      <c r="AP4" t="s">
        <v>247</v>
      </c>
      <c r="AQ4" t="s">
        <v>248</v>
      </c>
      <c r="AR4" t="s">
        <v>249</v>
      </c>
      <c r="AS4" t="s">
        <v>250</v>
      </c>
      <c r="AT4" t="s">
        <v>251</v>
      </c>
      <c r="AU4" t="s">
        <v>252</v>
      </c>
      <c r="AV4" t="s">
        <v>253</v>
      </c>
      <c r="AW4" t="s">
        <v>254</v>
      </c>
      <c r="AX4" t="s">
        <v>255</v>
      </c>
      <c r="AY4" t="s">
        <v>256</v>
      </c>
      <c r="AZ4" t="s">
        <v>257</v>
      </c>
      <c r="BA4" t="s">
        <v>258</v>
      </c>
      <c r="BB4" t="s">
        <v>259</v>
      </c>
      <c r="BC4" t="s">
        <v>260</v>
      </c>
      <c r="BD4" t="s">
        <v>261</v>
      </c>
      <c r="BE4" t="s">
        <v>262</v>
      </c>
      <c r="BF4" t="s">
        <v>263</v>
      </c>
      <c r="BG4" t="s">
        <v>264</v>
      </c>
      <c r="BH4" t="s">
        <v>265</v>
      </c>
      <c r="BI4" t="s">
        <v>232</v>
      </c>
      <c r="BJ4" t="s">
        <v>266</v>
      </c>
      <c r="BK4" t="s">
        <v>256</v>
      </c>
      <c r="BL4" t="s">
        <v>233</v>
      </c>
      <c r="BM4" t="s">
        <v>267</v>
      </c>
      <c r="BN4" t="s">
        <v>261</v>
      </c>
      <c r="BO4">
        <v>6.29</v>
      </c>
      <c r="BP4">
        <v>6.19</v>
      </c>
      <c r="BQ4">
        <v>13.01</v>
      </c>
      <c r="BR4">
        <v>7.87</v>
      </c>
      <c r="BS4">
        <v>7.58</v>
      </c>
      <c r="BT4">
        <v>14.46</v>
      </c>
      <c r="BU4" t="s">
        <v>268</v>
      </c>
      <c r="BV4" t="s">
        <v>169</v>
      </c>
      <c r="BW4">
        <v>27.42</v>
      </c>
      <c r="BX4">
        <v>27.15</v>
      </c>
      <c r="BY4">
        <v>27.75</v>
      </c>
      <c r="BZ4">
        <v>14.42</v>
      </c>
      <c r="CA4">
        <v>7.69</v>
      </c>
      <c r="CB4">
        <v>16.829999999999998</v>
      </c>
      <c r="CC4">
        <v>-1.47</v>
      </c>
      <c r="CD4">
        <v>1.61</v>
      </c>
      <c r="CE4" t="s">
        <v>589</v>
      </c>
      <c r="CF4" t="s">
        <v>590</v>
      </c>
      <c r="CG4" s="23">
        <v>0.11481983032873808</v>
      </c>
      <c r="CH4" s="24">
        <v>0.66081881838074397</v>
      </c>
      <c r="CI4" s="23">
        <v>3.1341032590717077E-3</v>
      </c>
      <c r="CJ4" s="23">
        <v>0.11089392006397247</v>
      </c>
      <c r="CK4" s="23">
        <v>0.10375866293907166</v>
      </c>
      <c r="CL4" s="23">
        <v>9.8012305796146393E-2</v>
      </c>
      <c r="CM4" s="23">
        <v>0.11112482100725174</v>
      </c>
      <c r="CN4" s="24">
        <v>6.9875225424766541E-2</v>
      </c>
      <c r="CO4" s="24">
        <v>-0.49147936701774597</v>
      </c>
      <c r="CP4" s="24">
        <v>0.31835570931434631</v>
      </c>
      <c r="CQ4" s="24">
        <v>0.19748134911060333</v>
      </c>
      <c r="CR4" s="24">
        <v>0.11096985638141632</v>
      </c>
      <c r="CS4">
        <v>26.041321652743282</v>
      </c>
      <c r="CT4">
        <v>3.0498792589893653</v>
      </c>
      <c r="CU4">
        <v>2.8416526453542716</v>
      </c>
      <c r="CV4" s="23">
        <v>8.5384762613102794E-2</v>
      </c>
      <c r="CW4" s="24">
        <v>4.1040554642677307E-2</v>
      </c>
      <c r="CX4">
        <v>0.06</v>
      </c>
      <c r="CY4">
        <v>23.021876256375968</v>
      </c>
      <c r="CZ4">
        <v>3072867615.66219</v>
      </c>
      <c r="DA4">
        <v>8.5384762613102794E-2</v>
      </c>
      <c r="DB4">
        <v>7.5528092922987566</v>
      </c>
      <c r="DC4">
        <v>9366472164.4876537</v>
      </c>
      <c r="DD4">
        <v>8.1115524482447646E-2</v>
      </c>
      <c r="DE4">
        <v>3.7375319879164097</v>
      </c>
      <c r="DF4">
        <v>18927778605.966591</v>
      </c>
      <c r="DG4">
        <v>7.5138591099530458E-2</v>
      </c>
      <c r="DH4">
        <v>2.2576750193565447</v>
      </c>
      <c r="DI4">
        <v>31334526622.951412</v>
      </c>
      <c r="DJ4">
        <v>6.8307810090482243E-2</v>
      </c>
      <c r="DK4">
        <v>1.1813556438764958</v>
      </c>
      <c r="DL4">
        <v>59883049077.298698</v>
      </c>
      <c r="DM4">
        <v>5.9769333829171954E-2</v>
      </c>
      <c r="DN4">
        <v>3001000000</v>
      </c>
      <c r="DO4">
        <v>8.5384762613102794E-2</v>
      </c>
      <c r="DP4">
        <v>70743178000</v>
      </c>
      <c r="DQ4">
        <v>23337456000</v>
      </c>
      <c r="DR4">
        <v>125</v>
      </c>
      <c r="DS4">
        <v>2.9435067715635282E-2</v>
      </c>
      <c r="DT4">
        <v>0.61977826373806666</v>
      </c>
      <c r="DU4" s="25">
        <v>0</v>
      </c>
      <c r="DV4">
        <v>0.54</v>
      </c>
      <c r="DW4">
        <v>0.54</v>
      </c>
      <c r="DX4">
        <v>1.61E-2</v>
      </c>
      <c r="DY4">
        <v>0.35894777070063683</v>
      </c>
      <c r="DZ4">
        <v>2.7200591082802545E-3</v>
      </c>
      <c r="EA4">
        <v>1710</v>
      </c>
      <c r="EB4">
        <v>1.7980965562169769E-3</v>
      </c>
      <c r="EC4">
        <v>0</v>
      </c>
      <c r="ED4">
        <v>1.47617305163862E-2</v>
      </c>
      <c r="EE4">
        <v>8.7374520866232111E-2</v>
      </c>
      <c r="EF4" s="26">
        <v>-1.0036099999999999</v>
      </c>
      <c r="EG4">
        <v>-1.0035229999999999</v>
      </c>
      <c r="EH4">
        <v>19.168947770700637</v>
      </c>
      <c r="EI4" t="s">
        <v>270</v>
      </c>
      <c r="EJ4">
        <v>0</v>
      </c>
      <c r="EK4">
        <v>0</v>
      </c>
      <c r="EL4" s="27">
        <v>45128</v>
      </c>
      <c r="EM4">
        <v>2.8E-3</v>
      </c>
      <c r="EN4">
        <v>-0.39</v>
      </c>
      <c r="EO4">
        <v>-0.44</v>
      </c>
      <c r="EP4">
        <v>-1.78</v>
      </c>
      <c r="EQ4">
        <v>8.6999999999999994E-3</v>
      </c>
    </row>
    <row r="5" spans="1:147" ht="146.25">
      <c r="B5" s="21" t="s">
        <v>592</v>
      </c>
      <c r="C5" s="21" t="s">
        <v>577</v>
      </c>
      <c r="D5" s="21" t="s">
        <v>596</v>
      </c>
      <c r="E5" t="s">
        <v>172</v>
      </c>
      <c r="F5" t="s">
        <v>173</v>
      </c>
      <c r="G5">
        <v>51.94</v>
      </c>
      <c r="H5">
        <v>4.7999999999999996E-3</v>
      </c>
      <c r="I5" t="s">
        <v>593</v>
      </c>
      <c r="J5">
        <v>71234165000</v>
      </c>
      <c r="K5">
        <v>45.98</v>
      </c>
      <c r="L5">
        <v>5.79</v>
      </c>
      <c r="M5" t="s">
        <v>169</v>
      </c>
      <c r="N5" t="s">
        <v>271</v>
      </c>
      <c r="O5" t="s">
        <v>272</v>
      </c>
      <c r="P5" t="s">
        <v>273</v>
      </c>
      <c r="Q5">
        <v>30.08</v>
      </c>
      <c r="R5" t="s">
        <v>274</v>
      </c>
      <c r="S5">
        <v>523355610</v>
      </c>
      <c r="T5" s="22">
        <v>0.3085</v>
      </c>
      <c r="U5" t="s">
        <v>275</v>
      </c>
      <c r="V5">
        <v>1371470300</v>
      </c>
      <c r="W5">
        <v>1371470300</v>
      </c>
      <c r="X5">
        <v>1.45</v>
      </c>
      <c r="Y5" t="s">
        <v>205</v>
      </c>
      <c r="Z5">
        <v>16.13</v>
      </c>
      <c r="AA5" t="s">
        <v>276</v>
      </c>
      <c r="AB5" t="s">
        <v>277</v>
      </c>
      <c r="AC5" t="s">
        <v>278</v>
      </c>
      <c r="AD5" t="s">
        <v>279</v>
      </c>
      <c r="AE5" t="s">
        <v>280</v>
      </c>
      <c r="AF5">
        <v>-19866281</v>
      </c>
      <c r="AG5" t="s">
        <v>281</v>
      </c>
      <c r="AH5" t="s">
        <v>282</v>
      </c>
      <c r="AI5" t="s">
        <v>283</v>
      </c>
      <c r="AJ5" t="s">
        <v>284</v>
      </c>
      <c r="AK5" t="s">
        <v>285</v>
      </c>
      <c r="AL5" t="s">
        <v>286</v>
      </c>
      <c r="AM5" t="s">
        <v>287</v>
      </c>
      <c r="AN5" t="s">
        <v>205</v>
      </c>
      <c r="AO5" t="s">
        <v>288</v>
      </c>
      <c r="AP5" t="s">
        <v>289</v>
      </c>
      <c r="AQ5" t="s">
        <v>290</v>
      </c>
      <c r="AR5" t="s">
        <v>291</v>
      </c>
      <c r="AS5" t="s">
        <v>205</v>
      </c>
      <c r="AT5" t="s">
        <v>292</v>
      </c>
      <c r="AU5" t="s">
        <v>293</v>
      </c>
      <c r="AV5" t="s">
        <v>294</v>
      </c>
      <c r="AW5" t="s">
        <v>295</v>
      </c>
      <c r="AX5" t="s">
        <v>296</v>
      </c>
      <c r="AY5" t="s">
        <v>297</v>
      </c>
      <c r="AZ5" t="s">
        <v>298</v>
      </c>
      <c r="BA5" t="s">
        <v>299</v>
      </c>
      <c r="BB5" t="s">
        <v>300</v>
      </c>
      <c r="BC5" t="s">
        <v>301</v>
      </c>
      <c r="BD5" t="s">
        <v>302</v>
      </c>
      <c r="BE5" t="s">
        <v>303</v>
      </c>
      <c r="BF5" t="s">
        <v>304</v>
      </c>
      <c r="BG5" t="s">
        <v>305</v>
      </c>
      <c r="BH5" t="s">
        <v>205</v>
      </c>
      <c r="BI5" t="s">
        <v>274</v>
      </c>
      <c r="BJ5" t="s">
        <v>306</v>
      </c>
      <c r="BK5" t="s">
        <v>297</v>
      </c>
      <c r="BL5" t="s">
        <v>275</v>
      </c>
      <c r="BM5" t="s">
        <v>307</v>
      </c>
      <c r="BN5" t="s">
        <v>302</v>
      </c>
      <c r="BO5">
        <v>11.15</v>
      </c>
      <c r="BP5">
        <v>10.55</v>
      </c>
      <c r="BQ5">
        <v>9.4</v>
      </c>
      <c r="BR5">
        <v>12.71</v>
      </c>
      <c r="BS5">
        <v>11.99</v>
      </c>
      <c r="BT5">
        <v>10.82</v>
      </c>
      <c r="BU5" t="s">
        <v>308</v>
      </c>
      <c r="BV5" t="s">
        <v>169</v>
      </c>
      <c r="BW5">
        <v>46.5</v>
      </c>
      <c r="BX5">
        <v>47.62</v>
      </c>
      <c r="BY5">
        <v>47.04</v>
      </c>
      <c r="BZ5">
        <v>16.13</v>
      </c>
      <c r="CA5">
        <v>12.95</v>
      </c>
      <c r="CB5">
        <v>12.6</v>
      </c>
      <c r="CC5">
        <v>-0.35</v>
      </c>
      <c r="CD5">
        <v>-9.9700000000000006</v>
      </c>
      <c r="CE5" t="s">
        <v>594</v>
      </c>
      <c r="CF5" t="s">
        <v>595</v>
      </c>
      <c r="CG5" s="23">
        <v>0.30072577137076378</v>
      </c>
      <c r="CH5" s="24">
        <v>0.30838902499999998</v>
      </c>
      <c r="CI5" s="23">
        <v>5.2660442888736725E-2</v>
      </c>
      <c r="CJ5" s="23">
        <v>0.1385466456413269</v>
      </c>
      <c r="CK5" s="23">
        <v>-3.3968463540077209E-2</v>
      </c>
      <c r="CL5" s="23">
        <v>-6.5592281520366669E-2</v>
      </c>
      <c r="CM5" s="23">
        <v>6.2275752425193787E-2</v>
      </c>
      <c r="CN5" s="24">
        <v>0.16218413412570953</v>
      </c>
      <c r="CO5" s="24">
        <v>0.19010674953460693</v>
      </c>
      <c r="CP5" s="24">
        <v>4.6700507402420044E-2</v>
      </c>
      <c r="CQ5" s="24">
        <v>-0.13139329850673676</v>
      </c>
      <c r="CR5" s="24" t="s">
        <v>205</v>
      </c>
      <c r="CS5">
        <v>61.377016198518007</v>
      </c>
      <c r="CT5">
        <v>19.937688556573939</v>
      </c>
      <c r="CU5">
        <v>0.61609549480169434</v>
      </c>
      <c r="CV5" s="23">
        <v>3.0784419178962706E-2</v>
      </c>
      <c r="CW5" s="24">
        <v>6.6899523138999939E-2</v>
      </c>
      <c r="CX5">
        <v>0.06</v>
      </c>
      <c r="CY5">
        <v>43.771764731845913</v>
      </c>
      <c r="CZ5">
        <v>1386696775.2350953</v>
      </c>
      <c r="DA5">
        <v>3.0784419178962706E-2</v>
      </c>
      <c r="DB5">
        <v>15.044692836720968</v>
      </c>
      <c r="DC5">
        <v>4034523380.3543267</v>
      </c>
      <c r="DD5">
        <v>2.9245198220014569E-2</v>
      </c>
      <c r="DE5">
        <v>7.9107075536935589</v>
      </c>
      <c r="DF5">
        <v>7672912263.2854309</v>
      </c>
      <c r="DG5">
        <v>2.7090288877487181E-2</v>
      </c>
      <c r="DH5">
        <v>5.105797288159903</v>
      </c>
      <c r="DI5">
        <v>11888087515.882408</v>
      </c>
      <c r="DJ5">
        <v>2.4627535343170165E-2</v>
      </c>
      <c r="DK5">
        <v>3.0669250521938825</v>
      </c>
      <c r="DL5">
        <v>19791212359.943523</v>
      </c>
      <c r="DM5">
        <v>2.1549093425273894E-2</v>
      </c>
      <c r="DN5">
        <v>1426000000</v>
      </c>
      <c r="DO5">
        <v>3.0784419178962706E-2</v>
      </c>
      <c r="DP5">
        <v>60698165000</v>
      </c>
      <c r="DQ5">
        <v>15081966000</v>
      </c>
      <c r="DR5">
        <v>2874</v>
      </c>
      <c r="DS5">
        <v>0.2699413521918011</v>
      </c>
      <c r="DT5">
        <v>0.24148950186100004</v>
      </c>
      <c r="DU5" s="25">
        <v>0.22</v>
      </c>
      <c r="DV5">
        <v>0.64399999999999991</v>
      </c>
      <c r="DW5">
        <v>0.86399999999999988</v>
      </c>
      <c r="DX5">
        <v>-2.0996999999999999</v>
      </c>
      <c r="DY5">
        <v>0.26813603238866424</v>
      </c>
      <c r="DZ5">
        <v>-2.0107811624291498</v>
      </c>
      <c r="EA5">
        <v>1109</v>
      </c>
      <c r="EB5">
        <v>-2.0084112299942785</v>
      </c>
      <c r="EC5">
        <v>2</v>
      </c>
      <c r="ED5">
        <v>1.9475157427762017E-2</v>
      </c>
      <c r="EE5">
        <v>0.18009868678891555</v>
      </c>
      <c r="EF5" s="26">
        <v>-1.0225</v>
      </c>
      <c r="EG5">
        <v>-1.022548</v>
      </c>
      <c r="EH5">
        <v>16.108136032388664</v>
      </c>
      <c r="EI5" t="s">
        <v>309</v>
      </c>
      <c r="EJ5">
        <v>0</v>
      </c>
      <c r="EK5">
        <v>1</v>
      </c>
      <c r="EL5" s="27">
        <v>45128</v>
      </c>
      <c r="EM5">
        <v>1.6299999999999999E-2</v>
      </c>
      <c r="EN5">
        <v>-2.06</v>
      </c>
      <c r="EO5">
        <v>0.25</v>
      </c>
      <c r="EP5">
        <v>-0.62</v>
      </c>
      <c r="EQ5">
        <v>4.7999999999999996E-3</v>
      </c>
    </row>
    <row r="6" spans="1:147" ht="123.75">
      <c r="B6" s="21" t="s">
        <v>597</v>
      </c>
      <c r="C6" s="21" t="s">
        <v>578</v>
      </c>
      <c r="D6" s="21" t="s">
        <v>601</v>
      </c>
      <c r="E6" t="s">
        <v>174</v>
      </c>
      <c r="F6" t="s">
        <v>175</v>
      </c>
      <c r="G6">
        <v>24.2</v>
      </c>
      <c r="H6">
        <v>3.3E-3</v>
      </c>
      <c r="I6" t="s">
        <v>598</v>
      </c>
      <c r="J6">
        <v>40431070000</v>
      </c>
      <c r="K6">
        <v>13.13</v>
      </c>
      <c r="L6">
        <v>3.33</v>
      </c>
      <c r="M6" t="s">
        <v>169</v>
      </c>
      <c r="N6" t="s">
        <v>310</v>
      </c>
      <c r="O6" t="s">
        <v>311</v>
      </c>
      <c r="P6" t="s">
        <v>312</v>
      </c>
      <c r="Q6">
        <v>44.56</v>
      </c>
      <c r="R6" t="s">
        <v>313</v>
      </c>
      <c r="S6">
        <v>1202514380</v>
      </c>
      <c r="T6" s="22">
        <v>1.4830000000000001</v>
      </c>
      <c r="U6" t="s">
        <v>314</v>
      </c>
      <c r="V6">
        <v>1376224000</v>
      </c>
      <c r="W6">
        <v>1670705400</v>
      </c>
      <c r="X6">
        <v>1.5</v>
      </c>
      <c r="Y6">
        <v>0.23</v>
      </c>
      <c r="Z6">
        <v>30.53</v>
      </c>
      <c r="AA6" t="s">
        <v>315</v>
      </c>
      <c r="AB6" t="s">
        <v>316</v>
      </c>
      <c r="AC6" t="s">
        <v>317</v>
      </c>
      <c r="AD6" t="s">
        <v>318</v>
      </c>
      <c r="AE6" t="s">
        <v>319</v>
      </c>
      <c r="AF6">
        <v>495213</v>
      </c>
      <c r="AG6" t="s">
        <v>320</v>
      </c>
      <c r="AH6" t="s">
        <v>321</v>
      </c>
      <c r="AI6" t="s">
        <v>322</v>
      </c>
      <c r="AJ6" t="s">
        <v>323</v>
      </c>
      <c r="AK6" t="s">
        <v>324</v>
      </c>
      <c r="AL6" t="s">
        <v>205</v>
      </c>
      <c r="AM6" t="s">
        <v>325</v>
      </c>
      <c r="AN6" t="s">
        <v>205</v>
      </c>
      <c r="AO6" t="s">
        <v>326</v>
      </c>
      <c r="AP6" t="s">
        <v>327</v>
      </c>
      <c r="AQ6" t="s">
        <v>328</v>
      </c>
      <c r="AR6" t="s">
        <v>329</v>
      </c>
      <c r="AS6" t="s">
        <v>205</v>
      </c>
      <c r="AT6" t="s">
        <v>330</v>
      </c>
      <c r="AU6" t="s">
        <v>331</v>
      </c>
      <c r="AV6" t="s">
        <v>307</v>
      </c>
      <c r="AW6" t="s">
        <v>332</v>
      </c>
      <c r="AX6" t="s">
        <v>333</v>
      </c>
      <c r="AY6" t="s">
        <v>334</v>
      </c>
      <c r="AZ6" t="s">
        <v>335</v>
      </c>
      <c r="BA6" t="s">
        <v>336</v>
      </c>
      <c r="BB6" t="s">
        <v>337</v>
      </c>
      <c r="BC6" t="s">
        <v>338</v>
      </c>
      <c r="BD6" t="s">
        <v>339</v>
      </c>
      <c r="BE6" t="s">
        <v>340</v>
      </c>
      <c r="BF6" t="s">
        <v>341</v>
      </c>
      <c r="BG6" t="s">
        <v>342</v>
      </c>
      <c r="BH6" t="s">
        <v>343</v>
      </c>
      <c r="BI6" t="s">
        <v>313</v>
      </c>
      <c r="BJ6" t="s">
        <v>344</v>
      </c>
      <c r="BK6" t="s">
        <v>334</v>
      </c>
      <c r="BL6" t="s">
        <v>314</v>
      </c>
      <c r="BM6" t="s">
        <v>345</v>
      </c>
      <c r="BN6" t="s">
        <v>339</v>
      </c>
      <c r="BO6">
        <v>21.71</v>
      </c>
      <c r="BP6">
        <v>14.04</v>
      </c>
      <c r="BQ6">
        <v>14.1</v>
      </c>
      <c r="BR6">
        <v>23.62</v>
      </c>
      <c r="BS6">
        <v>14.94</v>
      </c>
      <c r="BT6">
        <v>14.48</v>
      </c>
      <c r="BU6" t="s">
        <v>346</v>
      </c>
      <c r="BV6" t="s">
        <v>169</v>
      </c>
      <c r="BW6">
        <v>64.959999999999994</v>
      </c>
      <c r="BX6">
        <v>63.62</v>
      </c>
      <c r="BY6">
        <v>64.489999999999995</v>
      </c>
      <c r="BZ6">
        <v>30.53</v>
      </c>
      <c r="CA6">
        <v>13.26</v>
      </c>
      <c r="CB6">
        <v>13.83</v>
      </c>
      <c r="CC6">
        <v>-1.22</v>
      </c>
      <c r="CD6">
        <v>-10.87</v>
      </c>
      <c r="CE6" t="s">
        <v>599</v>
      </c>
      <c r="CF6" t="s">
        <v>600</v>
      </c>
      <c r="CG6" s="23">
        <v>0.44561227038941953</v>
      </c>
      <c r="CH6" s="24">
        <v>1.4845338429752066</v>
      </c>
      <c r="CI6" s="23">
        <v>0.23880596458911896</v>
      </c>
      <c r="CJ6" s="23">
        <v>0.15201549232006073</v>
      </c>
      <c r="CK6" s="23">
        <v>0.50763952732086182</v>
      </c>
      <c r="CL6" s="23">
        <v>0.2097611278295517</v>
      </c>
      <c r="CM6" s="23">
        <v>0.17985790967941284</v>
      </c>
      <c r="CN6" s="24">
        <v>0.75744038820266724</v>
      </c>
      <c r="CO6" s="24">
        <v>0.10254301130771637</v>
      </c>
      <c r="CP6" s="24">
        <v>1.008237361907959</v>
      </c>
      <c r="CQ6" s="24">
        <v>1.3355592265725136E-2</v>
      </c>
      <c r="CR6" s="24">
        <v>0.10720887035131454</v>
      </c>
      <c r="CS6">
        <v>36.358875899280577</v>
      </c>
      <c r="CT6">
        <v>1.411359359886404</v>
      </c>
      <c r="CU6">
        <v>2.0661157024793391</v>
      </c>
      <c r="CV6" s="23">
        <v>0.25761600434780119</v>
      </c>
      <c r="CW6" s="24">
        <v>0.39775704480707647</v>
      </c>
      <c r="CX6">
        <v>0.06</v>
      </c>
      <c r="CY6">
        <v>12.280440753064379</v>
      </c>
      <c r="CZ6">
        <v>2802348115.3485913</v>
      </c>
      <c r="DA6">
        <v>0.25761600434780119</v>
      </c>
      <c r="DB6">
        <v>3.4919204994251309</v>
      </c>
      <c r="DC6">
        <v>9855341782.7426281</v>
      </c>
      <c r="DD6">
        <v>0.24473520413041111</v>
      </c>
      <c r="DE6">
        <v>1.4120978345223418</v>
      </c>
      <c r="DF6">
        <v>24370882214.149807</v>
      </c>
      <c r="DG6">
        <v>0.22670208382606505</v>
      </c>
      <c r="DH6">
        <v>0.66924755238236644</v>
      </c>
      <c r="DI6">
        <v>51422033412.739235</v>
      </c>
      <c r="DJ6">
        <v>0.20609280347824097</v>
      </c>
      <c r="DK6">
        <v>0.19571573946013762</v>
      </c>
      <c r="DL6">
        <v>175837007769.16452</v>
      </c>
      <c r="DM6">
        <v>0.18033120304346081</v>
      </c>
      <c r="DN6">
        <v>2362000000</v>
      </c>
      <c r="DO6">
        <v>0.25761600434780119</v>
      </c>
      <c r="DP6">
        <v>34414070000</v>
      </c>
      <c r="DQ6">
        <v>2897996600</v>
      </c>
      <c r="DR6">
        <v>1103</v>
      </c>
      <c r="DS6">
        <v>0.18799626604161834</v>
      </c>
      <c r="DT6">
        <v>1.0867767981681302</v>
      </c>
      <c r="DU6" s="25">
        <v>0.8866666666666666</v>
      </c>
      <c r="DV6">
        <v>1.04</v>
      </c>
      <c r="DW6">
        <v>1.9266666666666667</v>
      </c>
      <c r="DX6">
        <v>-2.1086999999999998</v>
      </c>
      <c r="DY6">
        <v>0.36946313559321919</v>
      </c>
      <c r="DZ6">
        <v>-2.0162466428389831</v>
      </c>
      <c r="EA6">
        <v>152</v>
      </c>
      <c r="EB6">
        <v>-2.0157571503292657</v>
      </c>
      <c r="EC6">
        <v>2</v>
      </c>
      <c r="ED6">
        <v>4.2225637147039807E-2</v>
      </c>
      <c r="EE6">
        <v>0.28251539738843245</v>
      </c>
      <c r="EF6" s="26">
        <v>-3.0312999999999999</v>
      </c>
      <c r="EG6">
        <v>-3.0313330000000001</v>
      </c>
      <c r="EH6">
        <v>22.149463135593219</v>
      </c>
      <c r="EI6" t="s">
        <v>347</v>
      </c>
      <c r="EJ6">
        <v>0</v>
      </c>
      <c r="EK6">
        <v>1</v>
      </c>
      <c r="EL6" s="27">
        <v>45128</v>
      </c>
      <c r="EM6">
        <v>1.06E-2</v>
      </c>
      <c r="EN6">
        <v>-1.37</v>
      </c>
      <c r="EO6">
        <v>-0.7</v>
      </c>
      <c r="EP6">
        <v>-0.54</v>
      </c>
      <c r="EQ6">
        <v>3.3E-3</v>
      </c>
    </row>
    <row r="7" spans="1:147" ht="112.5">
      <c r="B7" s="21" t="s">
        <v>602</v>
      </c>
      <c r="C7" s="21" t="s">
        <v>603</v>
      </c>
      <c r="D7" s="21" t="s">
        <v>608</v>
      </c>
      <c r="E7" t="s">
        <v>176</v>
      </c>
      <c r="F7" t="s">
        <v>177</v>
      </c>
      <c r="G7">
        <v>51.8</v>
      </c>
      <c r="H7">
        <v>-6.3E-3</v>
      </c>
      <c r="I7" t="s">
        <v>604</v>
      </c>
      <c r="J7">
        <v>33357999000</v>
      </c>
      <c r="K7">
        <v>37.24</v>
      </c>
      <c r="L7">
        <v>3.21</v>
      </c>
      <c r="M7" t="s">
        <v>169</v>
      </c>
      <c r="N7" t="s">
        <v>348</v>
      </c>
      <c r="O7" t="s">
        <v>349</v>
      </c>
      <c r="P7" t="s">
        <v>350</v>
      </c>
      <c r="Q7">
        <v>20.059999999999999</v>
      </c>
      <c r="R7" t="s">
        <v>351</v>
      </c>
      <c r="S7">
        <v>230335470</v>
      </c>
      <c r="T7" s="22">
        <v>1.0089999999999999</v>
      </c>
      <c r="U7" t="s">
        <v>352</v>
      </c>
      <c r="V7">
        <v>654021540</v>
      </c>
      <c r="W7">
        <v>654021540</v>
      </c>
      <c r="X7">
        <v>1.23</v>
      </c>
      <c r="Y7">
        <v>0.08</v>
      </c>
      <c r="Z7">
        <v>21.56</v>
      </c>
      <c r="AA7" t="s">
        <v>353</v>
      </c>
      <c r="AB7" t="s">
        <v>354</v>
      </c>
      <c r="AC7" t="s">
        <v>355</v>
      </c>
      <c r="AD7" t="s">
        <v>356</v>
      </c>
      <c r="AE7" t="s">
        <v>357</v>
      </c>
      <c r="AF7">
        <v>-26261402</v>
      </c>
      <c r="AG7" t="s">
        <v>358</v>
      </c>
      <c r="AH7" t="s">
        <v>359</v>
      </c>
      <c r="AI7" t="s">
        <v>360</v>
      </c>
      <c r="AJ7" t="s">
        <v>361</v>
      </c>
      <c r="AK7" t="s">
        <v>362</v>
      </c>
      <c r="AL7" t="s">
        <v>363</v>
      </c>
      <c r="AM7" t="s">
        <v>364</v>
      </c>
      <c r="AN7" t="s">
        <v>205</v>
      </c>
      <c r="AO7" t="s">
        <v>365</v>
      </c>
      <c r="AP7" t="s">
        <v>205</v>
      </c>
      <c r="AQ7" t="s">
        <v>205</v>
      </c>
      <c r="AR7" t="s">
        <v>354</v>
      </c>
      <c r="AS7" t="s">
        <v>366</v>
      </c>
      <c r="AT7" t="s">
        <v>367</v>
      </c>
      <c r="AU7" t="s">
        <v>205</v>
      </c>
      <c r="AV7" t="s">
        <v>368</v>
      </c>
      <c r="AW7" t="s">
        <v>369</v>
      </c>
      <c r="AX7" t="s">
        <v>370</v>
      </c>
      <c r="AY7" t="s">
        <v>371</v>
      </c>
      <c r="AZ7" t="s">
        <v>372</v>
      </c>
      <c r="BA7" t="s">
        <v>201</v>
      </c>
      <c r="BB7" t="s">
        <v>373</v>
      </c>
      <c r="BC7" t="s">
        <v>374</v>
      </c>
      <c r="BD7" t="s">
        <v>375</v>
      </c>
      <c r="BE7" t="s">
        <v>376</v>
      </c>
      <c r="BF7" t="s">
        <v>377</v>
      </c>
      <c r="BG7" t="s">
        <v>378</v>
      </c>
      <c r="BH7" t="s">
        <v>379</v>
      </c>
      <c r="BI7" t="s">
        <v>351</v>
      </c>
      <c r="BJ7" t="s">
        <v>380</v>
      </c>
      <c r="BK7" t="s">
        <v>371</v>
      </c>
      <c r="BL7" t="s">
        <v>352</v>
      </c>
      <c r="BM7" t="s">
        <v>381</v>
      </c>
      <c r="BN7" t="s">
        <v>375</v>
      </c>
      <c r="BO7">
        <v>7.08</v>
      </c>
      <c r="BP7">
        <v>4.17</v>
      </c>
      <c r="BQ7">
        <v>0.37</v>
      </c>
      <c r="BR7">
        <v>7.68</v>
      </c>
      <c r="BS7">
        <v>4.46</v>
      </c>
      <c r="BT7">
        <v>0.44</v>
      </c>
      <c r="BU7" t="s">
        <v>382</v>
      </c>
      <c r="BV7" t="s">
        <v>169</v>
      </c>
      <c r="BW7">
        <v>70.78</v>
      </c>
      <c r="BX7">
        <v>62.3</v>
      </c>
      <c r="BY7">
        <v>55</v>
      </c>
      <c r="BZ7">
        <v>21.56</v>
      </c>
      <c r="CA7">
        <v>11.4</v>
      </c>
      <c r="CB7">
        <v>1.2</v>
      </c>
      <c r="CC7">
        <v>1.21</v>
      </c>
      <c r="CD7">
        <v>3.37</v>
      </c>
      <c r="CE7" t="s">
        <v>605</v>
      </c>
      <c r="CF7" t="s">
        <v>606</v>
      </c>
      <c r="CG7" s="23">
        <v>0.20117173033707866</v>
      </c>
      <c r="CH7" s="24">
        <v>1.0029171304347828</v>
      </c>
      <c r="CI7" s="23">
        <v>5.0142876803874969E-2</v>
      </c>
      <c r="CJ7" s="23">
        <v>0.12907011806964874</v>
      </c>
      <c r="CK7" s="23">
        <v>0.14781147241592407</v>
      </c>
      <c r="CL7" s="23">
        <v>-0.59525758028030396</v>
      </c>
      <c r="CM7" s="23">
        <v>-4.6120975166559219E-3</v>
      </c>
      <c r="CN7" s="24">
        <v>0.77272725105285645</v>
      </c>
      <c r="CO7" s="24">
        <v>9.1641740798950195</v>
      </c>
      <c r="CP7" s="24">
        <v>1.0951412916183472</v>
      </c>
      <c r="CQ7" s="24">
        <v>-1.218225359916687</v>
      </c>
      <c r="CR7" s="24">
        <v>2.0058739930391312E-2</v>
      </c>
      <c r="CS7">
        <v>40.538032478672051</v>
      </c>
      <c r="CT7">
        <v>7.4287601389938898</v>
      </c>
      <c r="CU7">
        <v>2.2393822393822393</v>
      </c>
      <c r="CV7" s="23">
        <v>-5.4569042101502416E-2</v>
      </c>
      <c r="CW7" s="24">
        <v>1.9667752005159855</v>
      </c>
      <c r="CX7">
        <v>0.06</v>
      </c>
      <c r="CY7">
        <v>32.273075641025642</v>
      </c>
      <c r="CZ7" t="s">
        <v>383</v>
      </c>
      <c r="DA7">
        <v>-5.4569042101502416E-2</v>
      </c>
      <c r="DB7">
        <v>10.757691880341881</v>
      </c>
      <c r="DC7" t="s">
        <v>384</v>
      </c>
      <c r="DD7">
        <v>-5.1840589996427294E-2</v>
      </c>
      <c r="DE7">
        <v>5.3788459401709403</v>
      </c>
      <c r="DF7" t="s">
        <v>385</v>
      </c>
      <c r="DG7">
        <v>-4.8020757049322127E-2</v>
      </c>
      <c r="DH7">
        <v>3.2273075641025639</v>
      </c>
      <c r="DI7" t="s">
        <v>386</v>
      </c>
      <c r="DJ7">
        <v>-4.3655233681201937E-2</v>
      </c>
      <c r="DK7">
        <v>1.613653782051282</v>
      </c>
      <c r="DL7" t="s">
        <v>387</v>
      </c>
      <c r="DM7">
        <v>-3.8198329471051687E-2</v>
      </c>
      <c r="DN7">
        <v>780000000</v>
      </c>
      <c r="DO7">
        <v>-5.4569042101502416E-2</v>
      </c>
      <c r="DP7">
        <v>25172999000</v>
      </c>
      <c r="DQ7">
        <v>7957564400</v>
      </c>
      <c r="DR7">
        <v>88</v>
      </c>
      <c r="DS7">
        <v>0.25574077243858107</v>
      </c>
      <c r="DT7">
        <v>-0.96385807008120272</v>
      </c>
      <c r="DU7" s="25">
        <v>-0.11666666666666665</v>
      </c>
      <c r="DV7">
        <v>0.77333333333333332</v>
      </c>
      <c r="DW7">
        <v>0.65666666666666662</v>
      </c>
      <c r="DX7">
        <v>1.0337000000000001</v>
      </c>
      <c r="DY7">
        <v>0.44035660377358765</v>
      </c>
      <c r="DZ7">
        <v>1.0027080175471699</v>
      </c>
      <c r="EA7">
        <v>1483</v>
      </c>
      <c r="EB7">
        <v>1.00191198384599</v>
      </c>
      <c r="EC7">
        <v>1</v>
      </c>
      <c r="ED7">
        <v>1.9535595112050896E-2</v>
      </c>
      <c r="EE7">
        <v>0.24311125899614866</v>
      </c>
      <c r="EF7" s="26">
        <v>1.0093099999999999</v>
      </c>
      <c r="EG7">
        <v>1.0093730000000001</v>
      </c>
      <c r="EH7">
        <v>36.080356603773588</v>
      </c>
      <c r="EI7" t="s">
        <v>607</v>
      </c>
      <c r="EJ7">
        <v>0</v>
      </c>
      <c r="EK7">
        <v>1</v>
      </c>
      <c r="EL7" s="27">
        <v>45128</v>
      </c>
      <c r="EM7">
        <v>3.1300000000000001E-2</v>
      </c>
      <c r="EN7">
        <v>-0.97</v>
      </c>
      <c r="EO7">
        <v>-0.28999999999999998</v>
      </c>
      <c r="EP7">
        <v>0.02</v>
      </c>
      <c r="EQ7">
        <v>-6.3E-3</v>
      </c>
    </row>
    <row r="8" spans="1:147" ht="146.25">
      <c r="B8" s="21" t="s">
        <v>609</v>
      </c>
      <c r="C8" s="28"/>
      <c r="D8" s="21" t="s">
        <v>613</v>
      </c>
      <c r="E8" t="s">
        <v>178</v>
      </c>
      <c r="F8" t="s">
        <v>179</v>
      </c>
      <c r="G8">
        <v>31.44</v>
      </c>
      <c r="H8">
        <v>1.1900000000000001E-2</v>
      </c>
      <c r="I8" t="s">
        <v>610</v>
      </c>
      <c r="J8">
        <v>51114867000</v>
      </c>
      <c r="K8">
        <v>12.56</v>
      </c>
      <c r="L8">
        <v>1.5</v>
      </c>
      <c r="M8" t="s">
        <v>169</v>
      </c>
      <c r="N8" t="s">
        <v>388</v>
      </c>
      <c r="O8" t="s">
        <v>389</v>
      </c>
      <c r="P8" t="s">
        <v>390</v>
      </c>
      <c r="Q8">
        <v>5.31</v>
      </c>
      <c r="R8" t="s">
        <v>391</v>
      </c>
      <c r="S8">
        <v>1908600500</v>
      </c>
      <c r="T8" s="22">
        <v>5.7000000000000002E-2</v>
      </c>
      <c r="U8" t="s">
        <v>392</v>
      </c>
      <c r="V8">
        <v>1405890900</v>
      </c>
      <c r="W8">
        <v>1625790900</v>
      </c>
      <c r="X8">
        <v>2.0699999999999998</v>
      </c>
      <c r="Y8">
        <v>0.28999999999999998</v>
      </c>
      <c r="Z8">
        <v>9.1</v>
      </c>
      <c r="AA8" t="s">
        <v>393</v>
      </c>
      <c r="AB8" t="s">
        <v>394</v>
      </c>
      <c r="AC8" t="s">
        <v>395</v>
      </c>
      <c r="AD8" t="s">
        <v>396</v>
      </c>
      <c r="AE8" t="s">
        <v>397</v>
      </c>
      <c r="AF8">
        <v>-35251507</v>
      </c>
      <c r="AG8" t="s">
        <v>398</v>
      </c>
      <c r="AH8" t="s">
        <v>399</v>
      </c>
      <c r="AI8" t="s">
        <v>400</v>
      </c>
      <c r="AJ8" t="s">
        <v>401</v>
      </c>
      <c r="AK8" t="s">
        <v>402</v>
      </c>
      <c r="AL8" t="s">
        <v>403</v>
      </c>
      <c r="AM8" t="s">
        <v>404</v>
      </c>
      <c r="AN8" t="s">
        <v>205</v>
      </c>
      <c r="AO8" t="s">
        <v>405</v>
      </c>
      <c r="AP8" t="s">
        <v>406</v>
      </c>
      <c r="AQ8" t="s">
        <v>407</v>
      </c>
      <c r="AR8" t="s">
        <v>408</v>
      </c>
      <c r="AS8" t="s">
        <v>205</v>
      </c>
      <c r="AT8" t="s">
        <v>409</v>
      </c>
      <c r="AU8" t="s">
        <v>410</v>
      </c>
      <c r="AV8" t="s">
        <v>411</v>
      </c>
      <c r="AW8" t="s">
        <v>412</v>
      </c>
      <c r="AX8" t="s">
        <v>413</v>
      </c>
      <c r="AY8" t="s">
        <v>414</v>
      </c>
      <c r="AZ8" t="s">
        <v>415</v>
      </c>
      <c r="BA8" t="s">
        <v>416</v>
      </c>
      <c r="BB8" t="s">
        <v>417</v>
      </c>
      <c r="BC8" t="s">
        <v>418</v>
      </c>
      <c r="BD8" t="s">
        <v>419</v>
      </c>
      <c r="BE8" t="s">
        <v>420</v>
      </c>
      <c r="BF8" t="s">
        <v>421</v>
      </c>
      <c r="BG8" t="s">
        <v>422</v>
      </c>
      <c r="BH8" t="s">
        <v>423</v>
      </c>
      <c r="BI8" t="s">
        <v>391</v>
      </c>
      <c r="BJ8" t="s">
        <v>424</v>
      </c>
      <c r="BK8" t="s">
        <v>414</v>
      </c>
      <c r="BL8" t="s">
        <v>392</v>
      </c>
      <c r="BM8" t="s">
        <v>425</v>
      </c>
      <c r="BN8" t="s">
        <v>419</v>
      </c>
      <c r="BO8">
        <v>9.59</v>
      </c>
      <c r="BP8">
        <v>9.86</v>
      </c>
      <c r="BQ8">
        <v>8.89</v>
      </c>
      <c r="BR8">
        <v>12.97</v>
      </c>
      <c r="BS8">
        <v>13.46</v>
      </c>
      <c r="BT8">
        <v>11.55</v>
      </c>
      <c r="BU8" t="s">
        <v>426</v>
      </c>
      <c r="BV8" t="s">
        <v>169</v>
      </c>
      <c r="BW8">
        <v>23.28</v>
      </c>
      <c r="BX8">
        <v>19.170000000000002</v>
      </c>
      <c r="BY8">
        <v>16.93</v>
      </c>
      <c r="BZ8">
        <v>9.1</v>
      </c>
      <c r="CA8">
        <v>5.75</v>
      </c>
      <c r="CB8">
        <v>5.01</v>
      </c>
      <c r="CC8">
        <v>0.48</v>
      </c>
      <c r="CD8">
        <v>-5.64</v>
      </c>
      <c r="CE8" t="s">
        <v>611</v>
      </c>
      <c r="CF8" t="s">
        <v>612</v>
      </c>
      <c r="CG8" s="23">
        <v>5.304644822045864E-2</v>
      </c>
      <c r="CH8" s="24">
        <v>5.6810908084164037E-2</v>
      </c>
      <c r="CI8" s="23">
        <v>2.5704840198159218E-2</v>
      </c>
      <c r="CJ8" s="23">
        <v>0.11901292949914932</v>
      </c>
      <c r="CK8" s="23">
        <v>-5.0468038767576218E-2</v>
      </c>
      <c r="CL8" s="23">
        <v>0.53790789842605591</v>
      </c>
      <c r="CM8" s="23">
        <v>1.0155578851699829</v>
      </c>
      <c r="CN8" s="24">
        <v>6.6397868096828461E-2</v>
      </c>
      <c r="CO8" s="24">
        <v>0.27615776658058167</v>
      </c>
      <c r="CP8" s="24">
        <v>-8.5920311510562897E-2</v>
      </c>
      <c r="CQ8" s="24">
        <v>-7.3234528303146362E-2</v>
      </c>
      <c r="CR8" s="24">
        <v>0.66876816749572754</v>
      </c>
      <c r="CS8">
        <v>15.895573857157666</v>
      </c>
      <c r="CT8">
        <v>0.4823518901481173</v>
      </c>
      <c r="CU8">
        <v>2.3282442748091605</v>
      </c>
      <c r="CV8" s="23">
        <v>0.32954310290515421</v>
      </c>
      <c r="CW8" s="24">
        <v>0.17043379247188567</v>
      </c>
      <c r="CX8">
        <v>0.06</v>
      </c>
      <c r="CY8">
        <v>10.76638531216916</v>
      </c>
      <c r="CZ8">
        <v>4975752348.3252335</v>
      </c>
      <c r="DA8">
        <v>0.32954310290515421</v>
      </c>
      <c r="DB8">
        <v>2.889172408545218</v>
      </c>
      <c r="DC8">
        <v>18541941921.345734</v>
      </c>
      <c r="DD8">
        <v>0.31306594775989649</v>
      </c>
      <c r="DE8">
        <v>1.0707432730298347</v>
      </c>
      <c r="DF8">
        <v>50031476591.408218</v>
      </c>
      <c r="DG8">
        <v>0.28999793055653572</v>
      </c>
      <c r="DH8">
        <v>0.45371561979516634</v>
      </c>
      <c r="DI8">
        <v>118071462966.57146</v>
      </c>
      <c r="DJ8">
        <v>0.2636344823241234</v>
      </c>
      <c r="DK8">
        <v>9.9590623681475296E-2</v>
      </c>
      <c r="DL8">
        <v>537910749222.11414</v>
      </c>
      <c r="DM8">
        <v>0.23068017203360794</v>
      </c>
      <c r="DN8">
        <v>3967000000</v>
      </c>
      <c r="DO8">
        <v>0.32954310290515421</v>
      </c>
      <c r="DP8">
        <v>53570867000</v>
      </c>
      <c r="DQ8">
        <v>22548164000</v>
      </c>
      <c r="DR8">
        <v>3071</v>
      </c>
      <c r="DS8">
        <v>-0.27649665468469559</v>
      </c>
      <c r="DT8">
        <v>-0.11362288438772164</v>
      </c>
      <c r="DU8" s="25">
        <v>0.31666666666666665</v>
      </c>
      <c r="DV8">
        <v>0.35000000000000003</v>
      </c>
      <c r="DW8">
        <v>0.66666666666666674</v>
      </c>
      <c r="DX8">
        <v>-1.0564</v>
      </c>
      <c r="DY8">
        <v>0.35877258064516071</v>
      </c>
      <c r="DZ8">
        <v>-1.0055707735483872</v>
      </c>
      <c r="EA8">
        <v>1462</v>
      </c>
      <c r="EB8">
        <v>-1.0039564086469517</v>
      </c>
      <c r="EC8">
        <v>1</v>
      </c>
      <c r="ED8">
        <v>1.5066882217141208E-2</v>
      </c>
      <c r="EE8">
        <v>0.15254114166834123</v>
      </c>
      <c r="EF8" s="26">
        <v>5.1510000000000007E-2</v>
      </c>
      <c r="EG8">
        <v>5.1390999999999999E-2</v>
      </c>
      <c r="EH8">
        <v>26.098772580645161</v>
      </c>
      <c r="EI8" t="s">
        <v>228</v>
      </c>
      <c r="EJ8">
        <v>0</v>
      </c>
      <c r="EK8">
        <v>1</v>
      </c>
      <c r="EL8" s="27">
        <v>45128</v>
      </c>
      <c r="EM8">
        <v>6.1000000000000004E-3</v>
      </c>
      <c r="EN8">
        <v>-0.56999999999999995</v>
      </c>
      <c r="EO8">
        <v>-0.32</v>
      </c>
      <c r="EP8">
        <v>-0.42</v>
      </c>
      <c r="EQ8">
        <v>1.1900000000000001E-2</v>
      </c>
    </row>
    <row r="9" spans="1:147" ht="123.75">
      <c r="B9" s="21" t="s">
        <v>614</v>
      </c>
      <c r="C9" s="21"/>
      <c r="D9" s="21" t="s">
        <v>618</v>
      </c>
      <c r="E9" t="s">
        <v>180</v>
      </c>
      <c r="F9" t="s">
        <v>181</v>
      </c>
      <c r="G9">
        <v>53.88</v>
      </c>
      <c r="H9">
        <v>4.3E-3</v>
      </c>
      <c r="I9" t="s">
        <v>615</v>
      </c>
      <c r="J9">
        <v>53243354000</v>
      </c>
      <c r="K9">
        <v>19.3</v>
      </c>
      <c r="L9">
        <v>2.93</v>
      </c>
      <c r="M9" t="s">
        <v>169</v>
      </c>
      <c r="N9" t="s">
        <v>427</v>
      </c>
      <c r="O9" t="s">
        <v>428</v>
      </c>
      <c r="P9" t="s">
        <v>429</v>
      </c>
      <c r="Q9">
        <v>49.46</v>
      </c>
      <c r="R9" t="s">
        <v>430</v>
      </c>
      <c r="S9">
        <v>1151030150</v>
      </c>
      <c r="T9" s="22">
        <v>0.36899999999999999</v>
      </c>
      <c r="U9" t="s">
        <v>431</v>
      </c>
      <c r="V9">
        <v>978395310</v>
      </c>
      <c r="W9">
        <v>988346000</v>
      </c>
      <c r="X9">
        <v>1.64</v>
      </c>
      <c r="Y9">
        <v>0.2</v>
      </c>
      <c r="Z9">
        <v>19.350000000000001</v>
      </c>
      <c r="AA9" t="s">
        <v>432</v>
      </c>
      <c r="AB9" t="s">
        <v>433</v>
      </c>
      <c r="AC9" t="s">
        <v>241</v>
      </c>
      <c r="AD9" t="s">
        <v>434</v>
      </c>
      <c r="AE9" t="s">
        <v>435</v>
      </c>
      <c r="AF9">
        <v>-7306107</v>
      </c>
      <c r="AG9" t="s">
        <v>436</v>
      </c>
      <c r="AH9" t="s">
        <v>437</v>
      </c>
      <c r="AI9" t="s">
        <v>438</v>
      </c>
      <c r="AJ9" t="s">
        <v>439</v>
      </c>
      <c r="AK9" t="s">
        <v>440</v>
      </c>
      <c r="AL9" t="s">
        <v>441</v>
      </c>
      <c r="AM9" t="s">
        <v>442</v>
      </c>
      <c r="AN9" t="s">
        <v>205</v>
      </c>
      <c r="AO9" t="s">
        <v>443</v>
      </c>
      <c r="AP9" t="s">
        <v>444</v>
      </c>
      <c r="AQ9" t="s">
        <v>445</v>
      </c>
      <c r="AR9" t="s">
        <v>446</v>
      </c>
      <c r="AS9" t="s">
        <v>205</v>
      </c>
      <c r="AT9" t="s">
        <v>447</v>
      </c>
      <c r="AU9" t="s">
        <v>448</v>
      </c>
      <c r="AV9" t="s">
        <v>449</v>
      </c>
      <c r="AW9" t="s">
        <v>450</v>
      </c>
      <c r="AX9" t="s">
        <v>451</v>
      </c>
      <c r="AY9" t="s">
        <v>452</v>
      </c>
      <c r="AZ9" t="s">
        <v>453</v>
      </c>
      <c r="BA9" t="s">
        <v>454</v>
      </c>
      <c r="BB9" t="s">
        <v>455</v>
      </c>
      <c r="BC9" t="s">
        <v>456</v>
      </c>
      <c r="BD9" t="s">
        <v>457</v>
      </c>
      <c r="BE9" t="s">
        <v>458</v>
      </c>
      <c r="BF9" t="s">
        <v>459</v>
      </c>
      <c r="BG9" t="s">
        <v>460</v>
      </c>
      <c r="BH9" t="s">
        <v>461</v>
      </c>
      <c r="BI9" t="s">
        <v>430</v>
      </c>
      <c r="BJ9" t="s">
        <v>462</v>
      </c>
      <c r="BK9" t="s">
        <v>452</v>
      </c>
      <c r="BL9" t="s">
        <v>431</v>
      </c>
      <c r="BM9" t="s">
        <v>463</v>
      </c>
      <c r="BN9" t="s">
        <v>457</v>
      </c>
      <c r="BO9">
        <v>14.53</v>
      </c>
      <c r="BP9">
        <v>13.55</v>
      </c>
      <c r="BQ9">
        <v>11.12</v>
      </c>
      <c r="BR9">
        <v>15.15</v>
      </c>
      <c r="BS9">
        <v>14.11</v>
      </c>
      <c r="BT9">
        <v>12.06</v>
      </c>
      <c r="BU9" t="s">
        <v>464</v>
      </c>
      <c r="BV9" t="s">
        <v>169</v>
      </c>
      <c r="BW9">
        <v>54.08</v>
      </c>
      <c r="BX9">
        <v>59.72</v>
      </c>
      <c r="BY9">
        <v>62.46</v>
      </c>
      <c r="BZ9">
        <v>19.350000000000001</v>
      </c>
      <c r="CA9">
        <v>13.58</v>
      </c>
      <c r="CB9">
        <v>11.86</v>
      </c>
      <c r="CC9">
        <v>-0.5</v>
      </c>
      <c r="CD9">
        <v>-11.8</v>
      </c>
      <c r="CE9" t="s">
        <v>616</v>
      </c>
      <c r="CF9" t="s">
        <v>617</v>
      </c>
      <c r="CG9" s="23">
        <v>0.49468430588235296</v>
      </c>
      <c r="CH9" s="24">
        <v>0.3686446492271106</v>
      </c>
      <c r="CI9" s="23">
        <v>0.16308543086051941</v>
      </c>
      <c r="CJ9" s="23">
        <v>0.13984015583992004</v>
      </c>
      <c r="CK9" s="23">
        <v>-7.8207395970821381E-2</v>
      </c>
      <c r="CL9" s="23">
        <v>0.10172778367996216</v>
      </c>
      <c r="CM9" s="23">
        <v>0.20755393803119659</v>
      </c>
      <c r="CN9" s="24">
        <v>0.19172742962837219</v>
      </c>
      <c r="CO9" s="24">
        <v>0.28678780794143677</v>
      </c>
      <c r="CP9" s="24">
        <v>-0.23916150629520416</v>
      </c>
      <c r="CQ9" s="24">
        <v>0.46578207612037659</v>
      </c>
      <c r="CR9" s="24">
        <v>9.9846392869949341E-2</v>
      </c>
      <c r="CS9">
        <v>29.217132248033657</v>
      </c>
      <c r="CT9">
        <v>2.7356869886447761</v>
      </c>
      <c r="CU9">
        <v>1.855976243504083</v>
      </c>
      <c r="CV9" s="23">
        <v>0.10679998248815536</v>
      </c>
      <c r="CW9" s="24">
        <v>0.16099644005298613</v>
      </c>
      <c r="CX9">
        <v>0.06</v>
      </c>
      <c r="CY9">
        <v>17.528021952019113</v>
      </c>
      <c r="CZ9">
        <v>2557125619.9183888</v>
      </c>
      <c r="DA9">
        <v>0.10679998248815536</v>
      </c>
      <c r="DB9">
        <v>5.6472385897486914</v>
      </c>
      <c r="DC9">
        <v>7936862111.9290447</v>
      </c>
      <c r="DD9">
        <v>0.10145998336374759</v>
      </c>
      <c r="DE9">
        <v>2.7273857270926052</v>
      </c>
      <c r="DF9">
        <v>16433815559.993998</v>
      </c>
      <c r="DG9">
        <v>9.3983984589576727E-2</v>
      </c>
      <c r="DH9">
        <v>1.6026521929320843</v>
      </c>
      <c r="DI9">
        <v>27966987595.729324</v>
      </c>
      <c r="DJ9">
        <v>8.5439985990524298E-2</v>
      </c>
      <c r="DK9">
        <v>0.78890976849742778</v>
      </c>
      <c r="DL9">
        <v>56814297134.851791</v>
      </c>
      <c r="DM9">
        <v>7.475998774170875E-2</v>
      </c>
      <c r="DN9">
        <v>2449000000</v>
      </c>
      <c r="DO9">
        <v>0.10679998248815536</v>
      </c>
      <c r="DP9">
        <v>44821354000</v>
      </c>
      <c r="DQ9">
        <v>7203578999.9999981</v>
      </c>
      <c r="DR9">
        <v>436</v>
      </c>
      <c r="DS9">
        <v>0.38788432339419759</v>
      </c>
      <c r="DT9">
        <v>0.20764820917412447</v>
      </c>
      <c r="DU9" s="25">
        <v>0.48666666666666664</v>
      </c>
      <c r="DV9">
        <v>0.73999999999999988</v>
      </c>
      <c r="DW9">
        <v>1.2266666666666666</v>
      </c>
      <c r="DX9">
        <v>-2.1179999999999999</v>
      </c>
      <c r="DY9">
        <v>0.29935854922279848</v>
      </c>
      <c r="DZ9">
        <v>-2.01644430880829</v>
      </c>
      <c r="EA9">
        <v>616</v>
      </c>
      <c r="EB9">
        <v>-2.0144364407754045</v>
      </c>
      <c r="EC9">
        <v>2</v>
      </c>
      <c r="ED9">
        <v>2.7213344314642847E-2</v>
      </c>
      <c r="EE9">
        <v>0.19527574351492291</v>
      </c>
      <c r="EF9" s="26">
        <v>6.8909999999999985E-2</v>
      </c>
      <c r="EG9">
        <v>6.8866999999999998E-2</v>
      </c>
      <c r="EH9">
        <v>16.139358549222798</v>
      </c>
      <c r="EI9" t="s">
        <v>228</v>
      </c>
      <c r="EJ9">
        <v>0</v>
      </c>
      <c r="EK9">
        <v>1</v>
      </c>
      <c r="EL9" s="27">
        <v>45128</v>
      </c>
      <c r="EM9">
        <v>1.2200000000000001E-2</v>
      </c>
      <c r="EN9">
        <v>-0.86</v>
      </c>
      <c r="EO9">
        <v>0.63</v>
      </c>
      <c r="EP9">
        <v>-1.88</v>
      </c>
      <c r="EQ9">
        <v>4.3E-3</v>
      </c>
    </row>
    <row r="10" spans="1:147" ht="146.25">
      <c r="B10" s="21"/>
      <c r="C10" s="21"/>
      <c r="D10" s="21" t="s">
        <v>621</v>
      </c>
      <c r="E10" t="s">
        <v>182</v>
      </c>
      <c r="F10" t="s">
        <v>183</v>
      </c>
      <c r="G10">
        <v>31.3</v>
      </c>
      <c r="H10">
        <v>1.29E-2</v>
      </c>
      <c r="I10" t="s">
        <v>619</v>
      </c>
      <c r="J10">
        <v>15321073000</v>
      </c>
      <c r="L10">
        <v>8.9499999999999993</v>
      </c>
      <c r="M10" t="s">
        <v>169</v>
      </c>
      <c r="N10" t="s">
        <v>466</v>
      </c>
      <c r="O10" t="s">
        <v>467</v>
      </c>
      <c r="P10" t="s">
        <v>468</v>
      </c>
      <c r="Q10">
        <v>55.16</v>
      </c>
      <c r="R10" t="s">
        <v>469</v>
      </c>
      <c r="S10">
        <v>9790453</v>
      </c>
      <c r="T10" s="22">
        <v>0.26200000000000001</v>
      </c>
      <c r="U10" t="s">
        <v>470</v>
      </c>
      <c r="V10">
        <v>489491140</v>
      </c>
      <c r="W10">
        <v>489491140</v>
      </c>
      <c r="X10">
        <v>1.59</v>
      </c>
      <c r="Y10">
        <v>0.14000000000000001</v>
      </c>
      <c r="Z10">
        <v>2.6</v>
      </c>
      <c r="AA10" t="s">
        <v>471</v>
      </c>
      <c r="AB10" t="s">
        <v>472</v>
      </c>
      <c r="AC10" t="s">
        <v>360</v>
      </c>
      <c r="AD10" t="s">
        <v>473</v>
      </c>
      <c r="AE10" t="s">
        <v>474</v>
      </c>
      <c r="AF10">
        <v>3982293</v>
      </c>
      <c r="AG10" t="s">
        <v>475</v>
      </c>
      <c r="AH10" t="s">
        <v>476</v>
      </c>
      <c r="AI10" t="s">
        <v>477</v>
      </c>
      <c r="AJ10" t="s">
        <v>478</v>
      </c>
      <c r="AK10" t="s">
        <v>479</v>
      </c>
      <c r="AL10" t="s">
        <v>205</v>
      </c>
      <c r="AM10" t="s">
        <v>480</v>
      </c>
      <c r="AN10" t="s">
        <v>205</v>
      </c>
      <c r="AO10">
        <v>0</v>
      </c>
      <c r="AP10" t="s">
        <v>481</v>
      </c>
      <c r="AQ10" t="s">
        <v>482</v>
      </c>
      <c r="AR10" t="s">
        <v>482</v>
      </c>
      <c r="AS10" t="s">
        <v>483</v>
      </c>
      <c r="AT10" t="s">
        <v>484</v>
      </c>
      <c r="AU10" t="s">
        <v>485</v>
      </c>
      <c r="AV10" t="s">
        <v>486</v>
      </c>
      <c r="AW10" t="s">
        <v>487</v>
      </c>
      <c r="AX10" t="s">
        <v>488</v>
      </c>
      <c r="AY10" t="s">
        <v>489</v>
      </c>
      <c r="AZ10" t="s">
        <v>490</v>
      </c>
      <c r="BA10" t="s">
        <v>491</v>
      </c>
      <c r="BB10" t="s">
        <v>492</v>
      </c>
      <c r="BC10" t="s">
        <v>493</v>
      </c>
      <c r="BD10" t="s">
        <v>254</v>
      </c>
      <c r="BE10" t="s">
        <v>494</v>
      </c>
      <c r="BF10" t="s">
        <v>495</v>
      </c>
      <c r="BG10" t="s">
        <v>496</v>
      </c>
      <c r="BH10" t="s">
        <v>497</v>
      </c>
      <c r="BI10" t="s">
        <v>469</v>
      </c>
      <c r="BJ10" t="s">
        <v>498</v>
      </c>
      <c r="BK10" t="s">
        <v>489</v>
      </c>
      <c r="BL10" t="s">
        <v>470</v>
      </c>
      <c r="BM10" t="s">
        <v>499</v>
      </c>
      <c r="BN10" t="s">
        <v>254</v>
      </c>
      <c r="BO10" t="s">
        <v>205</v>
      </c>
      <c r="BP10" t="s">
        <v>205</v>
      </c>
      <c r="BQ10">
        <v>1.78</v>
      </c>
      <c r="BR10">
        <v>-20.98</v>
      </c>
      <c r="BS10">
        <v>-14.03</v>
      </c>
      <c r="BT10">
        <v>1.35</v>
      </c>
      <c r="BU10" t="s">
        <v>500</v>
      </c>
      <c r="BV10" t="s">
        <v>169</v>
      </c>
      <c r="BW10">
        <v>71.94</v>
      </c>
      <c r="BX10">
        <v>61.19</v>
      </c>
      <c r="BY10">
        <v>71.25</v>
      </c>
      <c r="BZ10">
        <v>2.6</v>
      </c>
      <c r="CA10">
        <v>-38.92</v>
      </c>
      <c r="CB10">
        <v>2.67</v>
      </c>
      <c r="CC10">
        <v>-4.05</v>
      </c>
      <c r="CD10">
        <v>-16.09</v>
      </c>
      <c r="CE10" t="s">
        <v>620</v>
      </c>
      <c r="CF10" t="s">
        <v>501</v>
      </c>
      <c r="CG10" s="23">
        <v>0.5506094117647059</v>
      </c>
      <c r="CH10" s="24">
        <v>0.26201410193611591</v>
      </c>
      <c r="CI10" s="23">
        <v>0.16510538756847382</v>
      </c>
      <c r="CJ10" s="23">
        <v>-0.22993683815002441</v>
      </c>
      <c r="CK10" s="23">
        <v>-8.8742814958095551E-2</v>
      </c>
      <c r="CL10" s="23">
        <v>-0.24830149114131927</v>
      </c>
      <c r="CM10" s="23">
        <v>0.38494452834129333</v>
      </c>
      <c r="CN10" s="24">
        <v>-0.26265823841094971</v>
      </c>
      <c r="CO10" s="24">
        <v>-10.874074935913086</v>
      </c>
      <c r="CP10" s="24">
        <v>-0.75382310152053833</v>
      </c>
      <c r="CQ10" s="24">
        <v>-0.65240639448165894</v>
      </c>
      <c r="CR10" s="24">
        <v>0.57805907726287842</v>
      </c>
      <c r="CS10">
        <v>1584.8566108649554</v>
      </c>
      <c r="CT10">
        <v>4680.2765253346342</v>
      </c>
      <c r="CU10">
        <v>0</v>
      </c>
      <c r="CV10" s="23">
        <v>-3.3862456679344178E-3</v>
      </c>
      <c r="CW10" s="24">
        <v>-2.3929807186126708</v>
      </c>
      <c r="CX10">
        <v>0.06</v>
      </c>
      <c r="CY10" t="e">
        <v>#VALUE!</v>
      </c>
      <c r="CZ10" t="s">
        <v>502</v>
      </c>
      <c r="DA10">
        <v>-3.3862456679344178E-3</v>
      </c>
      <c r="DB10" t="e">
        <v>#VALUE!</v>
      </c>
      <c r="DC10" t="s">
        <v>502</v>
      </c>
      <c r="DD10">
        <v>-3.2169333845376968E-3</v>
      </c>
      <c r="DE10" t="e">
        <v>#VALUE!</v>
      </c>
      <c r="DF10" t="s">
        <v>502</v>
      </c>
      <c r="DG10">
        <v>-2.9798961877822877E-3</v>
      </c>
      <c r="DH10" t="e">
        <v>#VALUE!</v>
      </c>
      <c r="DI10" t="s">
        <v>502</v>
      </c>
      <c r="DJ10">
        <v>-2.7089965343475345E-3</v>
      </c>
      <c r="DK10" t="e">
        <v>#VALUE!</v>
      </c>
      <c r="DL10" t="s">
        <v>502</v>
      </c>
      <c r="DM10">
        <v>-2.3703719675540924E-3</v>
      </c>
      <c r="DN10">
        <v>-399000000</v>
      </c>
      <c r="DO10">
        <v>-3.3862456679344178E-3</v>
      </c>
      <c r="DP10">
        <v>14601073000</v>
      </c>
      <c r="DQ10">
        <v>1024316000</v>
      </c>
      <c r="DR10">
        <v>3419</v>
      </c>
      <c r="DS10">
        <v>0.55399565743264034</v>
      </c>
      <c r="DT10">
        <v>2.6549948205487865</v>
      </c>
      <c r="DU10" s="25">
        <v>0.22</v>
      </c>
      <c r="DV10">
        <v>-1.26</v>
      </c>
      <c r="DW10">
        <v>-1.04</v>
      </c>
      <c r="DX10">
        <v>-8.2517091361093851</v>
      </c>
      <c r="DY10">
        <v>0.42376396396396471</v>
      </c>
      <c r="DZ10">
        <v>-8.033669611811936</v>
      </c>
      <c r="EA10">
        <v>3996</v>
      </c>
      <c r="EB10">
        <v>-8.0070008766681315</v>
      </c>
      <c r="EC10">
        <v>8</v>
      </c>
      <c r="ED10">
        <v>6.0666266604948151E-2</v>
      </c>
      <c r="EE10">
        <v>0.45353221306518443</v>
      </c>
      <c r="EF10" s="26">
        <v>-1.0381100000000001</v>
      </c>
      <c r="EG10">
        <v>-1.037981</v>
      </c>
      <c r="EH10">
        <v>29.133763963963965</v>
      </c>
      <c r="EI10" t="s">
        <v>309</v>
      </c>
      <c r="EJ10">
        <v>0</v>
      </c>
      <c r="EK10">
        <v>0</v>
      </c>
      <c r="EL10" s="27">
        <v>45128</v>
      </c>
      <c r="EM10">
        <v>-1.1299999999999999E-2</v>
      </c>
      <c r="EN10">
        <v>-1.0900000000000001</v>
      </c>
      <c r="EO10">
        <v>-1.22</v>
      </c>
      <c r="EP10">
        <v>-1.94</v>
      </c>
      <c r="EQ10">
        <v>1.29E-2</v>
      </c>
    </row>
    <row r="11" spans="1:147" ht="191.25">
      <c r="B11" s="21"/>
      <c r="C11" s="21"/>
      <c r="D11" s="21" t="s">
        <v>625</v>
      </c>
      <c r="E11" t="s">
        <v>184</v>
      </c>
      <c r="F11" t="s">
        <v>185</v>
      </c>
      <c r="G11">
        <v>50.68</v>
      </c>
      <c r="H11">
        <v>-5.1000000000000004E-3</v>
      </c>
      <c r="I11" t="s">
        <v>622</v>
      </c>
      <c r="J11">
        <v>28223223000</v>
      </c>
      <c r="K11">
        <v>50.12</v>
      </c>
      <c r="L11">
        <v>8.58</v>
      </c>
      <c r="M11" t="s">
        <v>169</v>
      </c>
      <c r="N11" t="s">
        <v>503</v>
      </c>
      <c r="O11" t="s">
        <v>504</v>
      </c>
      <c r="P11" t="s">
        <v>505</v>
      </c>
      <c r="Q11">
        <v>25.27</v>
      </c>
      <c r="R11" t="s">
        <v>506</v>
      </c>
      <c r="S11">
        <v>234964030</v>
      </c>
      <c r="T11" s="22">
        <v>9.9120000000000008</v>
      </c>
      <c r="U11" t="s">
        <v>507</v>
      </c>
      <c r="V11">
        <v>556890740</v>
      </c>
      <c r="W11">
        <v>556890740</v>
      </c>
      <c r="X11">
        <v>4.63</v>
      </c>
      <c r="Y11" t="s">
        <v>205</v>
      </c>
      <c r="Z11">
        <v>5.34</v>
      </c>
      <c r="AA11" t="s">
        <v>508</v>
      </c>
      <c r="AB11" t="s">
        <v>509</v>
      </c>
      <c r="AC11" t="s">
        <v>510</v>
      </c>
      <c r="AD11" t="s">
        <v>511</v>
      </c>
      <c r="AE11" t="s">
        <v>269</v>
      </c>
      <c r="AF11">
        <v>28107399</v>
      </c>
      <c r="AG11" t="s">
        <v>512</v>
      </c>
      <c r="AH11" t="s">
        <v>513</v>
      </c>
      <c r="AI11" t="s">
        <v>514</v>
      </c>
      <c r="AJ11" t="s">
        <v>515</v>
      </c>
      <c r="AK11" t="s">
        <v>516</v>
      </c>
      <c r="AL11" t="s">
        <v>517</v>
      </c>
      <c r="AM11" t="s">
        <v>518</v>
      </c>
      <c r="AN11" t="s">
        <v>205</v>
      </c>
      <c r="AO11" t="s">
        <v>519</v>
      </c>
      <c r="AP11" t="s">
        <v>520</v>
      </c>
      <c r="AQ11" t="s">
        <v>521</v>
      </c>
      <c r="AR11" t="s">
        <v>522</v>
      </c>
      <c r="AS11" t="s">
        <v>523</v>
      </c>
      <c r="AT11" t="s">
        <v>524</v>
      </c>
      <c r="AU11" t="s">
        <v>525</v>
      </c>
      <c r="AV11" t="s">
        <v>526</v>
      </c>
      <c r="AW11" t="s">
        <v>527</v>
      </c>
      <c r="AX11" t="s">
        <v>528</v>
      </c>
      <c r="AY11" t="s">
        <v>529</v>
      </c>
      <c r="AZ11" t="s">
        <v>530</v>
      </c>
      <c r="BA11" t="s">
        <v>531</v>
      </c>
      <c r="BB11" t="s">
        <v>532</v>
      </c>
      <c r="BC11" t="s">
        <v>533</v>
      </c>
      <c r="BD11" t="s">
        <v>534</v>
      </c>
      <c r="BE11" t="s">
        <v>535</v>
      </c>
      <c r="BF11" t="s">
        <v>536</v>
      </c>
      <c r="BG11" t="s">
        <v>537</v>
      </c>
      <c r="BH11" t="s">
        <v>205</v>
      </c>
      <c r="BI11" t="s">
        <v>506</v>
      </c>
      <c r="BJ11" t="s">
        <v>538</v>
      </c>
      <c r="BK11" t="s">
        <v>529</v>
      </c>
      <c r="BL11" t="s">
        <v>507</v>
      </c>
      <c r="BM11" t="s">
        <v>539</v>
      </c>
      <c r="BN11" t="s">
        <v>534</v>
      </c>
      <c r="BO11">
        <v>6.13</v>
      </c>
      <c r="BP11" t="s">
        <v>205</v>
      </c>
      <c r="BQ11">
        <v>0.93</v>
      </c>
      <c r="BR11">
        <v>12.08</v>
      </c>
      <c r="BS11">
        <v>-17.54</v>
      </c>
      <c r="BT11">
        <v>2.06</v>
      </c>
      <c r="BU11" t="s">
        <v>500</v>
      </c>
      <c r="BV11" t="s">
        <v>169</v>
      </c>
      <c r="BW11">
        <v>51</v>
      </c>
      <c r="BX11">
        <v>42.49</v>
      </c>
      <c r="BY11">
        <v>40.409999999999997</v>
      </c>
      <c r="BZ11">
        <v>5.34</v>
      </c>
      <c r="CA11">
        <v>-4.75</v>
      </c>
      <c r="CB11">
        <v>0.28999999999999998</v>
      </c>
      <c r="CC11">
        <v>1.22</v>
      </c>
      <c r="CD11">
        <v>-21.73</v>
      </c>
      <c r="CE11" t="s">
        <v>623</v>
      </c>
      <c r="CF11" t="s">
        <v>624</v>
      </c>
      <c r="CG11" s="23">
        <v>0.25275761177136374</v>
      </c>
      <c r="CH11" s="24">
        <v>9.9116084779923277</v>
      </c>
      <c r="CI11" s="23">
        <v>0.15655609965324402</v>
      </c>
      <c r="CJ11" s="23">
        <v>8.3957955241203308E-2</v>
      </c>
      <c r="CK11" s="23">
        <v>-3.736153244972229E-2</v>
      </c>
      <c r="CL11" s="23">
        <v>8.9250564575195313E-2</v>
      </c>
      <c r="CM11" s="23">
        <v>0.21839737892150879</v>
      </c>
      <c r="CN11" s="24">
        <v>1.6692160367965698</v>
      </c>
      <c r="CO11" s="24">
        <v>-8.916193962097168</v>
      </c>
      <c r="CP11" s="24">
        <v>1.9327518939971924</v>
      </c>
      <c r="CQ11" s="24">
        <v>-2.0080668926239014</v>
      </c>
      <c r="CR11" s="24" t="s">
        <v>205</v>
      </c>
      <c r="CS11">
        <v>-1312.7117098931433</v>
      </c>
      <c r="CT11">
        <v>-128.49554742219686</v>
      </c>
      <c r="CU11">
        <v>0</v>
      </c>
      <c r="CV11" s="23">
        <v>0.10216009318828582</v>
      </c>
      <c r="CW11" s="24">
        <v>-1.8305732309818268</v>
      </c>
      <c r="CX11">
        <v>0.06</v>
      </c>
      <c r="CY11">
        <v>100.40158313885462</v>
      </c>
      <c r="CZ11">
        <v>363920785.48669815</v>
      </c>
      <c r="DA11">
        <v>0.10216009318828582</v>
      </c>
      <c r="DB11">
        <v>32.474650424922338</v>
      </c>
      <c r="DC11">
        <v>1125130602.5440421</v>
      </c>
      <c r="DD11">
        <v>9.7052088528871525E-2</v>
      </c>
      <c r="DE11">
        <v>15.767184679931718</v>
      </c>
      <c r="DF11">
        <v>2317358725.8418689</v>
      </c>
      <c r="DG11">
        <v>8.9900882005691532E-2</v>
      </c>
      <c r="DH11">
        <v>9.321262754495649</v>
      </c>
      <c r="DI11">
        <v>3919879093.889677</v>
      </c>
      <c r="DJ11">
        <v>8.1728074550628665E-2</v>
      </c>
      <c r="DK11">
        <v>4.6510355055262007</v>
      </c>
      <c r="DL11">
        <v>7855932932.9106474</v>
      </c>
      <c r="DM11">
        <v>7.1512065231800079E-2</v>
      </c>
      <c r="DN11">
        <v>350000000</v>
      </c>
      <c r="DO11">
        <v>0.10216009318828582</v>
      </c>
      <c r="DP11">
        <v>36538223000</v>
      </c>
      <c r="DQ11">
        <v>-2002938100</v>
      </c>
      <c r="DR11">
        <v>2909</v>
      </c>
      <c r="DS11">
        <v>0.15059751858307791</v>
      </c>
      <c r="DT11">
        <v>11.742181708974154</v>
      </c>
      <c r="DU11" s="25">
        <v>0.48666666666666664</v>
      </c>
      <c r="DV11">
        <v>-1.3340000000000001</v>
      </c>
      <c r="DW11">
        <v>-0.84733333333333349</v>
      </c>
      <c r="DX11">
        <v>-3.0648035714285715</v>
      </c>
      <c r="DY11">
        <v>0.25516944444444378</v>
      </c>
      <c r="DZ11">
        <v>-3.0074633913194444</v>
      </c>
      <c r="EA11">
        <v>3849</v>
      </c>
      <c r="EB11">
        <v>-3.0017693193296444</v>
      </c>
      <c r="EC11">
        <v>3</v>
      </c>
      <c r="ED11">
        <v>5.2115608889456481E-2</v>
      </c>
      <c r="EE11">
        <v>0.45251246231891018</v>
      </c>
      <c r="EF11" s="26">
        <v>4.2510000000000006E-2</v>
      </c>
      <c r="EG11">
        <v>4.2561000000000009E-2</v>
      </c>
      <c r="EH11">
        <v>14.115169444444444</v>
      </c>
      <c r="EI11" t="s">
        <v>228</v>
      </c>
      <c r="EJ11">
        <v>0</v>
      </c>
      <c r="EK11">
        <v>0</v>
      </c>
      <c r="EL11" s="27">
        <v>45128</v>
      </c>
      <c r="EM11">
        <v>7.0499999999999993E-2</v>
      </c>
      <c r="EN11">
        <v>-2.31</v>
      </c>
      <c r="EO11">
        <v>-1.1499999999999999</v>
      </c>
      <c r="EP11">
        <v>-1.58</v>
      </c>
      <c r="EQ11">
        <v>-5.1000000000000004E-3</v>
      </c>
    </row>
    <row r="12" spans="1:147" ht="168.75">
      <c r="B12" s="29" t="s">
        <v>579</v>
      </c>
      <c r="C12" s="21"/>
      <c r="D12" s="21" t="s">
        <v>628</v>
      </c>
      <c r="E12" t="s">
        <v>186</v>
      </c>
      <c r="F12" t="s">
        <v>187</v>
      </c>
      <c r="G12">
        <v>16.32</v>
      </c>
      <c r="H12">
        <v>4.3E-3</v>
      </c>
      <c r="I12" t="s">
        <v>626</v>
      </c>
      <c r="J12">
        <v>18981876000</v>
      </c>
      <c r="K12">
        <v>8.6</v>
      </c>
      <c r="L12">
        <v>0.73099999999999998</v>
      </c>
      <c r="M12" t="s">
        <v>169</v>
      </c>
      <c r="N12" t="s">
        <v>540</v>
      </c>
      <c r="O12" t="s">
        <v>541</v>
      </c>
      <c r="P12" t="s">
        <v>542</v>
      </c>
      <c r="Q12">
        <v>23.64</v>
      </c>
      <c r="R12" t="s">
        <v>543</v>
      </c>
      <c r="S12">
        <v>485778760</v>
      </c>
      <c r="T12" s="22">
        <v>7.1920000000000002</v>
      </c>
      <c r="U12" t="s">
        <v>544</v>
      </c>
      <c r="V12">
        <v>1159308300</v>
      </c>
      <c r="W12">
        <v>1163102350</v>
      </c>
      <c r="X12">
        <v>1.17</v>
      </c>
      <c r="Y12">
        <v>0.03</v>
      </c>
      <c r="Z12">
        <v>62.27</v>
      </c>
      <c r="AA12" t="s">
        <v>545</v>
      </c>
      <c r="AB12" t="s">
        <v>546</v>
      </c>
      <c r="AC12" t="s">
        <v>485</v>
      </c>
      <c r="AD12" t="s">
        <v>547</v>
      </c>
      <c r="AE12" t="s">
        <v>495</v>
      </c>
      <c r="AF12">
        <v>23926483</v>
      </c>
      <c r="AG12" t="s">
        <v>548</v>
      </c>
      <c r="AH12" t="s">
        <v>549</v>
      </c>
      <c r="AI12" t="s">
        <v>550</v>
      </c>
      <c r="AJ12" t="s">
        <v>551</v>
      </c>
      <c r="AK12" t="s">
        <v>552</v>
      </c>
      <c r="AL12" t="s">
        <v>553</v>
      </c>
      <c r="AM12" t="s">
        <v>554</v>
      </c>
      <c r="AN12" t="s">
        <v>205</v>
      </c>
      <c r="AO12" t="s">
        <v>555</v>
      </c>
      <c r="AP12" t="s">
        <v>556</v>
      </c>
      <c r="AQ12" t="s">
        <v>557</v>
      </c>
      <c r="AR12" t="s">
        <v>558</v>
      </c>
      <c r="AS12" t="s">
        <v>559</v>
      </c>
      <c r="AT12" t="s">
        <v>560</v>
      </c>
      <c r="AU12" t="s">
        <v>205</v>
      </c>
      <c r="AV12" t="s">
        <v>561</v>
      </c>
      <c r="AW12" t="s">
        <v>562</v>
      </c>
      <c r="AX12" t="s">
        <v>563</v>
      </c>
      <c r="AY12" t="s">
        <v>564</v>
      </c>
      <c r="AZ12" t="s">
        <v>565</v>
      </c>
      <c r="BA12" t="s">
        <v>566</v>
      </c>
      <c r="BB12" t="s">
        <v>567</v>
      </c>
      <c r="BC12" t="s">
        <v>568</v>
      </c>
      <c r="BD12" t="s">
        <v>544</v>
      </c>
      <c r="BE12" t="s">
        <v>569</v>
      </c>
      <c r="BF12" t="s">
        <v>570</v>
      </c>
      <c r="BG12" t="s">
        <v>571</v>
      </c>
      <c r="BH12" t="s">
        <v>572</v>
      </c>
      <c r="BI12" t="s">
        <v>543</v>
      </c>
      <c r="BJ12" t="s">
        <v>573</v>
      </c>
      <c r="BK12" t="s">
        <v>564</v>
      </c>
      <c r="BL12" t="s">
        <v>544</v>
      </c>
      <c r="BM12" t="s">
        <v>574</v>
      </c>
      <c r="BN12" t="s">
        <v>544</v>
      </c>
      <c r="BO12">
        <v>6.63</v>
      </c>
      <c r="BP12">
        <v>6.86</v>
      </c>
      <c r="BQ12">
        <v>6.88</v>
      </c>
      <c r="BR12">
        <v>7</v>
      </c>
      <c r="BS12">
        <v>7.4</v>
      </c>
      <c r="BT12">
        <v>7.48</v>
      </c>
      <c r="BU12" t="s">
        <v>575</v>
      </c>
      <c r="BV12" t="s">
        <v>169</v>
      </c>
      <c r="BW12">
        <v>47.54</v>
      </c>
      <c r="BX12">
        <v>52.31</v>
      </c>
      <c r="BY12">
        <v>59.44</v>
      </c>
      <c r="BZ12">
        <v>62.27</v>
      </c>
      <c r="CA12">
        <v>76.87</v>
      </c>
      <c r="CB12">
        <v>75.12</v>
      </c>
      <c r="CC12">
        <v>0.8</v>
      </c>
      <c r="CD12">
        <v>-1.33</v>
      </c>
      <c r="CE12" t="s">
        <v>627</v>
      </c>
      <c r="CF12" t="s">
        <v>465</v>
      </c>
      <c r="CG12" s="23">
        <v>0.23651938775510203</v>
      </c>
      <c r="CH12" s="24">
        <v>7.1923129202369775</v>
      </c>
      <c r="CI12" s="23">
        <v>0.2447916716337204</v>
      </c>
      <c r="CJ12" s="23">
        <v>2.3090586066246033E-2</v>
      </c>
      <c r="CK12" s="23">
        <v>-0.27072539925575256</v>
      </c>
      <c r="CL12" s="23">
        <v>-7.0998795330524445E-2</v>
      </c>
      <c r="CM12" s="23">
        <v>0.11656031757593155</v>
      </c>
      <c r="CN12" s="24">
        <v>0</v>
      </c>
      <c r="CO12" s="24">
        <v>4.2129900306463242E-2</v>
      </c>
      <c r="CP12" s="24">
        <v>0.21723641455173492</v>
      </c>
      <c r="CQ12" s="24">
        <v>0.50160425901412964</v>
      </c>
      <c r="CR12" s="24">
        <v>-0.49812132120132446</v>
      </c>
      <c r="CS12">
        <v>12.022723107780006</v>
      </c>
      <c r="CT12">
        <v>14.072072622711907</v>
      </c>
      <c r="CU12">
        <v>1.838235294117647</v>
      </c>
      <c r="CV12" s="23">
        <v>8.5436761379241947E-3</v>
      </c>
      <c r="CW12" s="24">
        <v>5.2569850534200671E-2</v>
      </c>
      <c r="CX12">
        <v>0.06</v>
      </c>
      <c r="CY12" t="s">
        <v>576</v>
      </c>
      <c r="CZ12">
        <v>1694543667.1713612</v>
      </c>
      <c r="DA12">
        <v>8.5436761379241947E-3</v>
      </c>
      <c r="DB12" t="s">
        <v>576</v>
      </c>
      <c r="DC12">
        <v>4836814193.1973476</v>
      </c>
      <c r="DD12">
        <v>8.116492331027984E-3</v>
      </c>
      <c r="DE12" t="s">
        <v>576</v>
      </c>
      <c r="DF12">
        <v>8979701723.5784855</v>
      </c>
      <c r="DG12">
        <v>7.5184350013732916E-3</v>
      </c>
      <c r="DH12" t="s">
        <v>576</v>
      </c>
      <c r="DI12">
        <v>13567042587.258499</v>
      </c>
      <c r="DJ12">
        <v>6.8349409103393563E-3</v>
      </c>
      <c r="DK12" t="s">
        <v>576</v>
      </c>
      <c r="DL12">
        <v>21515397600.501438</v>
      </c>
      <c r="DM12">
        <v>5.9805732965469358E-3</v>
      </c>
      <c r="DN12">
        <v>1780999999.9999998</v>
      </c>
      <c r="DO12">
        <v>8.5436761379241947E-3</v>
      </c>
      <c r="DP12">
        <v>-3190124000</v>
      </c>
      <c r="DQ12">
        <v>1549132500</v>
      </c>
      <c r="DR12">
        <v>185</v>
      </c>
      <c r="DS12">
        <v>0.22797571161717783</v>
      </c>
      <c r="DT12">
        <v>7.1397430697027771</v>
      </c>
      <c r="DU12" s="25">
        <v>3.3333333333333326E-2</v>
      </c>
      <c r="DV12">
        <v>0.15</v>
      </c>
      <c r="DW12">
        <v>0.18333333333333332</v>
      </c>
      <c r="DX12">
        <v>-1.3300000000000001E-2</v>
      </c>
      <c r="DY12">
        <v>0.34543932038835112</v>
      </c>
      <c r="DZ12">
        <v>-2.4663429611650489E-3</v>
      </c>
      <c r="EA12">
        <v>2474</v>
      </c>
      <c r="EB12">
        <v>-1.2568816160862914E-3</v>
      </c>
      <c r="EC12">
        <v>0</v>
      </c>
      <c r="ED12">
        <v>3.2843627218189356E-2</v>
      </c>
      <c r="EE12">
        <v>0.17711253012256403</v>
      </c>
      <c r="EF12" s="26">
        <v>4.8110000000000007E-2</v>
      </c>
      <c r="EG12">
        <v>4.8066999999999999E-2</v>
      </c>
      <c r="EH12">
        <v>16.185439320388351</v>
      </c>
      <c r="EI12" t="s">
        <v>228</v>
      </c>
      <c r="EJ12">
        <v>0</v>
      </c>
      <c r="EK12">
        <v>0</v>
      </c>
      <c r="EL12" s="27">
        <v>45128</v>
      </c>
      <c r="EM12">
        <v>1.11E-2</v>
      </c>
      <c r="EN12">
        <v>0.12</v>
      </c>
      <c r="EO12">
        <v>0.37</v>
      </c>
      <c r="EP12">
        <v>-1.22</v>
      </c>
      <c r="EQ12">
        <v>4.3E-3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252413</xdr:colOff>
                    <xdr:row>1</xdr:row>
                    <xdr:rowOff>138113</xdr:rowOff>
                  </from>
                  <to>
                    <xdr:col>1</xdr:col>
                    <xdr:colOff>1190625</xdr:colOff>
                    <xdr:row>1</xdr:row>
                    <xdr:rowOff>481013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3.5"/>
  <cols>
    <col min="1" max="1" width="8.86328125" style="1"/>
    <col min="2" max="2" width="12.53125" customWidth="1"/>
    <col min="4" max="4" width="13.86328125" bestFit="1" customWidth="1"/>
    <col min="5" max="12" width="8.796875" customWidth="1"/>
    <col min="13" max="13" width="15.86328125" customWidth="1"/>
    <col min="14" max="17" width="8.796875" customWidth="1"/>
    <col min="18" max="18" width="13.6640625" customWidth="1"/>
    <col min="19" max="19" width="12.86328125" customWidth="1"/>
  </cols>
  <sheetData>
    <row r="1" spans="1:32" s="5" customFormat="1" ht="40.5">
      <c r="A1" s="4" t="s">
        <v>16</v>
      </c>
      <c r="B1" s="5" t="s">
        <v>20</v>
      </c>
      <c r="C1" s="5" t="s">
        <v>17</v>
      </c>
      <c r="D1" s="5" t="s">
        <v>21</v>
      </c>
      <c r="E1" s="6" t="s">
        <v>18</v>
      </c>
      <c r="F1" s="6" t="s">
        <v>19</v>
      </c>
      <c r="G1" s="6" t="s">
        <v>27</v>
      </c>
      <c r="H1" s="6" t="s">
        <v>22</v>
      </c>
      <c r="I1" s="6" t="s">
        <v>23</v>
      </c>
      <c r="J1" s="6" t="s">
        <v>24</v>
      </c>
      <c r="K1" s="6" t="s">
        <v>25</v>
      </c>
      <c r="L1" s="5" t="s">
        <v>26</v>
      </c>
      <c r="M1" s="5" t="s">
        <v>28</v>
      </c>
      <c r="N1" s="5" t="s">
        <v>29</v>
      </c>
      <c r="O1" s="5" t="s">
        <v>30</v>
      </c>
      <c r="P1" s="5" t="s">
        <v>31</v>
      </c>
      <c r="Q1" s="5" t="s">
        <v>32</v>
      </c>
      <c r="R1" s="9" t="s">
        <v>33</v>
      </c>
      <c r="S1" s="5" t="s">
        <v>34</v>
      </c>
      <c r="T1" s="5" t="s">
        <v>35</v>
      </c>
      <c r="U1" s="5" t="s">
        <v>36</v>
      </c>
      <c r="V1" s="5" t="s">
        <v>37</v>
      </c>
      <c r="W1" s="5" t="s">
        <v>38</v>
      </c>
      <c r="X1" s="5" t="s">
        <v>39</v>
      </c>
      <c r="Y1" s="5" t="s">
        <v>40</v>
      </c>
      <c r="Z1" s="5" t="s">
        <v>41</v>
      </c>
      <c r="AA1" s="5" t="s">
        <v>42</v>
      </c>
      <c r="AB1" s="5" t="s">
        <v>43</v>
      </c>
      <c r="AC1" s="5" t="s">
        <v>44</v>
      </c>
      <c r="AD1" s="13" t="s">
        <v>45</v>
      </c>
      <c r="AE1" s="5" t="s">
        <v>46</v>
      </c>
      <c r="AF1" s="5" t="s">
        <v>47</v>
      </c>
    </row>
    <row r="2" spans="1:32">
      <c r="A2" s="2">
        <v>1</v>
      </c>
      <c r="B2">
        <v>1</v>
      </c>
      <c r="C2" s="3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7">
        <v>7.06</v>
      </c>
      <c r="I2" s="8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3">
        <v>0.37</v>
      </c>
      <c r="U2" s="3">
        <v>0.06</v>
      </c>
      <c r="V2">
        <f>SUM($R$2:R2)</f>
        <v>7.06</v>
      </c>
      <c r="W2" s="2">
        <f>X2-Y2</f>
        <v>474.26</v>
      </c>
      <c r="X2" s="12">
        <f>579-579*10%</f>
        <v>521.1</v>
      </c>
      <c r="Y2" s="12">
        <f>57.79-10.95</f>
        <v>46.84</v>
      </c>
      <c r="Z2">
        <f>$W$2/S2</f>
        <v>67.175637393767701</v>
      </c>
      <c r="AA2" s="3">
        <v>0.3</v>
      </c>
      <c r="AB2">
        <f>S2/AA2</f>
        <v>23.533333333333331</v>
      </c>
      <c r="AC2">
        <f>AC3*(1-$U$2)</f>
        <v>222.37291878719995</v>
      </c>
      <c r="AD2" s="3">
        <v>0</v>
      </c>
      <c r="AE2">
        <f>AC2*AD2</f>
        <v>0</v>
      </c>
      <c r="AF2">
        <f>IF(AB2&gt;AE2, 1, 0)</f>
        <v>1</v>
      </c>
    </row>
    <row r="3" spans="1:32">
      <c r="A3" s="2">
        <v>2</v>
      </c>
      <c r="B3">
        <f>B2+B2*C2</f>
        <v>1.08</v>
      </c>
      <c r="C3" s="3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3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3">
        <v>0.3</v>
      </c>
      <c r="AB3">
        <f t="shared" ref="AB3:AB66" si="1">S3/AA3</f>
        <v>32.240666666666669</v>
      </c>
      <c r="AC3">
        <f>AC4*(1-$U$2)</f>
        <v>236.56693487999996</v>
      </c>
      <c r="AD3" s="3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>
      <c r="A4" s="2">
        <v>3</v>
      </c>
      <c r="B4">
        <f t="shared" ref="B4:B51" si="4">B3+B3*C3</f>
        <v>1.1664000000000001</v>
      </c>
      <c r="C4" s="3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3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3">
        <v>0.3</v>
      </c>
      <c r="AB4">
        <f t="shared" si="1"/>
        <v>44.169713333333341</v>
      </c>
      <c r="AC4">
        <f>AC5*(1-$U$2)</f>
        <v>251.66695199999998</v>
      </c>
      <c r="AD4" s="3">
        <v>0.15</v>
      </c>
      <c r="AE4">
        <f t="shared" si="2"/>
        <v>37.750042799999996</v>
      </c>
      <c r="AF4">
        <f t="shared" si="3"/>
        <v>1</v>
      </c>
    </row>
    <row r="5" spans="1:32">
      <c r="A5" s="2">
        <v>4</v>
      </c>
      <c r="B5">
        <f t="shared" si="4"/>
        <v>1.2597120000000002</v>
      </c>
      <c r="C5" s="3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3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3">
        <v>0.3</v>
      </c>
      <c r="AB5">
        <f t="shared" si="1"/>
        <v>60.512507266666688</v>
      </c>
      <c r="AC5">
        <f>AC6*(1-$U$2)</f>
        <v>267.73079999999999</v>
      </c>
      <c r="AD5" s="3">
        <v>0.15</v>
      </c>
      <c r="AE5">
        <f t="shared" si="2"/>
        <v>40.159619999999997</v>
      </c>
      <c r="AF5">
        <f t="shared" si="3"/>
        <v>1</v>
      </c>
    </row>
    <row r="6" spans="1:32">
      <c r="A6" s="2">
        <v>5</v>
      </c>
      <c r="B6">
        <f t="shared" si="4"/>
        <v>1.3604889600000001</v>
      </c>
      <c r="C6" s="3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3">
        <v>0.37</v>
      </c>
      <c r="V6">
        <f>SUM($R$2:R6)</f>
        <v>62.920100387891438</v>
      </c>
      <c r="W6" s="10">
        <f t="shared" si="8"/>
        <v>0.13267005521842754</v>
      </c>
      <c r="Z6">
        <f t="shared" si="0"/>
        <v>19.06907062789659</v>
      </c>
      <c r="AA6" s="3">
        <v>0.3</v>
      </c>
      <c r="AB6">
        <f t="shared" si="1"/>
        <v>82.902134955333366</v>
      </c>
      <c r="AC6">
        <f>AC7*(1-$U$2)</f>
        <v>284.82</v>
      </c>
      <c r="AD6" s="3">
        <v>0.2</v>
      </c>
      <c r="AE6">
        <f t="shared" si="2"/>
        <v>56.963999999999999</v>
      </c>
      <c r="AF6">
        <f t="shared" si="3"/>
        <v>1</v>
      </c>
    </row>
    <row r="7" spans="1:32">
      <c r="A7" s="2">
        <v>6</v>
      </c>
      <c r="B7">
        <f t="shared" si="4"/>
        <v>1.4693280768000001</v>
      </c>
      <c r="C7" s="3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3">
        <v>0.37</v>
      </c>
      <c r="V7">
        <f>SUM($R$2:R7)</f>
        <v>88.381261822086103</v>
      </c>
      <c r="W7" s="11">
        <f t="shared" si="8"/>
        <v>0.18635613760824465</v>
      </c>
      <c r="Z7">
        <f t="shared" si="0"/>
        <v>13.919029655398969</v>
      </c>
      <c r="AA7" s="3">
        <v>0.3</v>
      </c>
      <c r="AB7">
        <f t="shared" si="1"/>
        <v>113.57592488880672</v>
      </c>
      <c r="AC7">
        <v>303</v>
      </c>
      <c r="AD7" s="3">
        <v>0.2</v>
      </c>
      <c r="AE7">
        <f t="shared" si="2"/>
        <v>60.6</v>
      </c>
      <c r="AF7">
        <f t="shared" si="3"/>
        <v>1</v>
      </c>
    </row>
    <row r="8" spans="1:32">
      <c r="A8" s="2">
        <v>7</v>
      </c>
      <c r="B8">
        <f t="shared" si="4"/>
        <v>1.5868743229440001</v>
      </c>
      <c r="C8" s="3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3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3">
        <v>0.3</v>
      </c>
      <c r="AB8">
        <f t="shared" si="1"/>
        <v>155.59901709766521</v>
      </c>
      <c r="AC8">
        <f t="shared" ref="AC8:AC67" si="10">AC7*(1+$U$2)</f>
        <v>321.18</v>
      </c>
      <c r="AD8" s="3">
        <v>0.2</v>
      </c>
      <c r="AE8">
        <f t="shared" si="2"/>
        <v>64.236000000000004</v>
      </c>
      <c r="AF8">
        <f t="shared" si="3"/>
        <v>1</v>
      </c>
    </row>
    <row r="9" spans="1:32">
      <c r="A9" s="2">
        <v>8</v>
      </c>
      <c r="B9">
        <f t="shared" si="4"/>
        <v>1.7138242687795202</v>
      </c>
      <c r="C9" s="3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3">
        <v>0.1</v>
      </c>
      <c r="V9">
        <f>SUM($R$2:R9)</f>
        <v>163.81980982010805</v>
      </c>
      <c r="W9" s="10">
        <f t="shared" si="8"/>
        <v>0.34542194117173713</v>
      </c>
      <c r="Z9">
        <f t="shared" si="0"/>
        <v>7.4159676356752984</v>
      </c>
      <c r="AA9" s="3">
        <v>0.3</v>
      </c>
      <c r="AB9">
        <f t="shared" si="1"/>
        <v>213.17065342380135</v>
      </c>
      <c r="AC9">
        <f t="shared" si="10"/>
        <v>340.45080000000002</v>
      </c>
      <c r="AD9" s="3">
        <v>0.2</v>
      </c>
      <c r="AE9">
        <f t="shared" si="2"/>
        <v>68.090160000000012</v>
      </c>
      <c r="AF9" s="2">
        <f t="shared" si="3"/>
        <v>1</v>
      </c>
    </row>
    <row r="10" spans="1:32">
      <c r="A10" s="2">
        <v>9</v>
      </c>
      <c r="B10">
        <f t="shared" si="4"/>
        <v>1.8509302102818819</v>
      </c>
      <c r="C10" s="3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3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3">
        <v>0.3</v>
      </c>
      <c r="AB10">
        <f t="shared" si="1"/>
        <v>234.4877187661815</v>
      </c>
      <c r="AC10">
        <f t="shared" si="10"/>
        <v>360.87784800000003</v>
      </c>
      <c r="AD10" s="3">
        <v>0.2</v>
      </c>
      <c r="AE10">
        <f t="shared" si="2"/>
        <v>72.175569600000003</v>
      </c>
      <c r="AF10" s="1">
        <f t="shared" si="3"/>
        <v>1</v>
      </c>
    </row>
    <row r="11" spans="1:32">
      <c r="A11" s="2">
        <v>10</v>
      </c>
      <c r="B11">
        <f t="shared" si="4"/>
        <v>1.9990046271044324</v>
      </c>
      <c r="C11" s="3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3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3">
        <v>0.3</v>
      </c>
      <c r="AB11">
        <f t="shared" si="1"/>
        <v>257.9364906427997</v>
      </c>
      <c r="AC11">
        <f t="shared" si="10"/>
        <v>382.53051888000005</v>
      </c>
      <c r="AD11" s="3">
        <v>0.2</v>
      </c>
      <c r="AE11">
        <f t="shared" si="2"/>
        <v>76.506103776000018</v>
      </c>
      <c r="AF11">
        <f t="shared" si="3"/>
        <v>1</v>
      </c>
    </row>
    <row r="12" spans="1:32">
      <c r="A12" s="2">
        <v>11</v>
      </c>
      <c r="B12">
        <f t="shared" si="4"/>
        <v>2.1589249972727869</v>
      </c>
      <c r="C12" s="3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3">
        <v>0.08</v>
      </c>
      <c r="V12">
        <f>SUM($R$2:R12)</f>
        <v>301.28765069428454</v>
      </c>
      <c r="W12" s="11">
        <f t="shared" si="8"/>
        <v>0.6352794895084648</v>
      </c>
      <c r="Z12">
        <f t="shared" si="0"/>
        <v>5.5717262476899307</v>
      </c>
      <c r="AA12" s="3">
        <v>0.3</v>
      </c>
      <c r="AB12">
        <f t="shared" si="1"/>
        <v>283.73013970707967</v>
      </c>
      <c r="AC12">
        <f t="shared" si="10"/>
        <v>405.48235001280005</v>
      </c>
      <c r="AD12" s="3">
        <v>0.2</v>
      </c>
      <c r="AE12">
        <f t="shared" si="2"/>
        <v>81.096470002560011</v>
      </c>
      <c r="AF12" s="1">
        <f t="shared" si="3"/>
        <v>1</v>
      </c>
    </row>
    <row r="13" spans="1:32">
      <c r="A13" s="2">
        <v>12</v>
      </c>
      <c r="B13">
        <f t="shared" si="4"/>
        <v>2.3316389970546099</v>
      </c>
      <c r="C13" s="3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3">
        <v>0.08</v>
      </c>
      <c r="V13">
        <f>SUM($R$2:R13)</f>
        <v>349.71447210308537</v>
      </c>
      <c r="W13" s="11">
        <f t="shared" si="8"/>
        <v>0.73738976954220337</v>
      </c>
      <c r="Z13">
        <f t="shared" si="0"/>
        <v>5.1590057848980839</v>
      </c>
      <c r="AA13" s="3">
        <v>0.3</v>
      </c>
      <c r="AB13">
        <f t="shared" si="1"/>
        <v>306.42855088364604</v>
      </c>
      <c r="AC13">
        <f t="shared" si="10"/>
        <v>429.81129101356805</v>
      </c>
      <c r="AD13" s="3">
        <v>0.2</v>
      </c>
      <c r="AE13">
        <f t="shared" si="2"/>
        <v>85.962258202713613</v>
      </c>
      <c r="AF13">
        <f t="shared" si="3"/>
        <v>1</v>
      </c>
    </row>
    <row r="14" spans="1:32">
      <c r="A14" s="2">
        <v>13</v>
      </c>
      <c r="B14">
        <f t="shared" si="4"/>
        <v>2.5181701168189785</v>
      </c>
      <c r="C14" s="3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3">
        <v>0.08</v>
      </c>
      <c r="V14">
        <f>SUM($R$2:R14)</f>
        <v>399.055007123373</v>
      </c>
      <c r="W14" s="11">
        <f t="shared" si="8"/>
        <v>0.84142665863318222</v>
      </c>
      <c r="Z14">
        <f>$W$2/S14</f>
        <v>4.7768572082389662</v>
      </c>
      <c r="AA14" s="3">
        <v>0.3</v>
      </c>
      <c r="AB14">
        <f>S14/AA14</f>
        <v>330.94283495433774</v>
      </c>
      <c r="AC14">
        <f t="shared" si="10"/>
        <v>455.59996847438214</v>
      </c>
      <c r="AD14" s="3">
        <v>0.2</v>
      </c>
      <c r="AE14">
        <f t="shared" si="2"/>
        <v>91.119993694876428</v>
      </c>
      <c r="AF14">
        <f t="shared" si="3"/>
        <v>1</v>
      </c>
    </row>
    <row r="15" spans="1:32">
      <c r="A15" s="2">
        <v>14</v>
      </c>
      <c r="B15">
        <f t="shared" si="4"/>
        <v>2.7196237261644969</v>
      </c>
      <c r="C15" s="3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3">
        <v>0.08</v>
      </c>
      <c r="V15">
        <f>SUM($R$2:R15)</f>
        <v>449.3264956346095</v>
      </c>
      <c r="W15" s="11">
        <f t="shared" si="8"/>
        <v>0.94742650789568905</v>
      </c>
      <c r="Z15">
        <f t="shared" ref="Z15:Z78" si="11">$W$2/S15</f>
        <v>4.4230159335545975</v>
      </c>
      <c r="AA15" s="3">
        <v>0.3</v>
      </c>
      <c r="AB15">
        <f t="shared" si="1"/>
        <v>357.41826175068479</v>
      </c>
      <c r="AC15">
        <f t="shared" si="10"/>
        <v>482.93596658284508</v>
      </c>
      <c r="AD15" s="3">
        <v>0.2</v>
      </c>
      <c r="AE15">
        <f t="shared" si="2"/>
        <v>96.587193316569028</v>
      </c>
      <c r="AF15">
        <f t="shared" si="3"/>
        <v>1</v>
      </c>
    </row>
    <row r="16" spans="1:32">
      <c r="A16" s="2">
        <v>15</v>
      </c>
      <c r="B16">
        <f t="shared" si="4"/>
        <v>2.9371936242576568</v>
      </c>
      <c r="C16" s="3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3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3">
        <v>0.3</v>
      </c>
      <c r="AB16">
        <f t="shared" si="1"/>
        <v>386.01172269073959</v>
      </c>
      <c r="AC16">
        <f t="shared" si="10"/>
        <v>511.9121245778158</v>
      </c>
      <c r="AD16" s="3">
        <v>0.2</v>
      </c>
      <c r="AE16">
        <f t="shared" si="2"/>
        <v>102.38242491556316</v>
      </c>
      <c r="AF16">
        <f t="shared" si="3"/>
        <v>1</v>
      </c>
    </row>
    <row r="17" spans="1:32">
      <c r="A17" s="2">
        <v>16</v>
      </c>
      <c r="B17">
        <f t="shared" si="4"/>
        <v>3.1721691141982693</v>
      </c>
      <c r="C17" s="3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3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3">
        <v>0.3</v>
      </c>
      <c r="AB17">
        <f t="shared" si="1"/>
        <v>416.89266050599878</v>
      </c>
      <c r="AC17">
        <f t="shared" si="10"/>
        <v>542.62685205248476</v>
      </c>
      <c r="AD17" s="3">
        <v>0.2</v>
      </c>
      <c r="AE17">
        <f t="shared" si="2"/>
        <v>108.52537041049696</v>
      </c>
      <c r="AF17">
        <f t="shared" si="3"/>
        <v>1</v>
      </c>
    </row>
    <row r="18" spans="1:32">
      <c r="A18" s="2">
        <v>17</v>
      </c>
      <c r="B18">
        <f t="shared" si="4"/>
        <v>3.4259426433341309</v>
      </c>
      <c r="C18" s="3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3">
        <v>0.08</v>
      </c>
      <c r="V18">
        <f>SUM($R$2:R18)</f>
        <v>605.90399705983532</v>
      </c>
      <c r="W18" s="11">
        <f t="shared" si="8"/>
        <v>1.2775776937963044</v>
      </c>
      <c r="Z18">
        <f t="shared" si="11"/>
        <v>3.5111326506015637</v>
      </c>
      <c r="AA18" s="3">
        <v>0.3</v>
      </c>
      <c r="AB18">
        <f t="shared" si="1"/>
        <v>450.24407334647873</v>
      </c>
      <c r="AC18">
        <f t="shared" si="10"/>
        <v>575.18446317563382</v>
      </c>
      <c r="AD18" s="3">
        <v>0.2</v>
      </c>
      <c r="AE18">
        <f t="shared" si="2"/>
        <v>115.03689263512678</v>
      </c>
      <c r="AF18">
        <f t="shared" si="3"/>
        <v>1</v>
      </c>
    </row>
    <row r="19" spans="1:32">
      <c r="A19" s="2">
        <v>18</v>
      </c>
      <c r="B19">
        <f t="shared" si="4"/>
        <v>3.7000180548008612</v>
      </c>
      <c r="C19" s="3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3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3">
        <v>0.3</v>
      </c>
      <c r="AB19">
        <f t="shared" si="1"/>
        <v>486.26359921419703</v>
      </c>
      <c r="AC19">
        <f t="shared" si="10"/>
        <v>609.69553096617187</v>
      </c>
      <c r="AD19" s="3">
        <v>0.2</v>
      </c>
      <c r="AE19">
        <f t="shared" si="2"/>
        <v>121.93910619323438</v>
      </c>
      <c r="AF19">
        <f t="shared" si="3"/>
        <v>1</v>
      </c>
    </row>
    <row r="20" spans="1:32">
      <c r="A20" s="2">
        <v>19</v>
      </c>
      <c r="B20">
        <f t="shared" si="4"/>
        <v>3.9960194991849303</v>
      </c>
      <c r="C20" s="3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3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3">
        <v>0.3</v>
      </c>
      <c r="AB20">
        <f t="shared" si="1"/>
        <v>525.16468715133283</v>
      </c>
      <c r="AC20">
        <f t="shared" si="10"/>
        <v>646.27726282414221</v>
      </c>
      <c r="AD20" s="3">
        <v>0.2</v>
      </c>
      <c r="AE20">
        <f t="shared" si="2"/>
        <v>129.25545256482846</v>
      </c>
      <c r="AF20">
        <f t="shared" si="3"/>
        <v>1</v>
      </c>
    </row>
    <row r="21" spans="1:32">
      <c r="A21" s="2">
        <v>20</v>
      </c>
      <c r="B21">
        <f t="shared" si="4"/>
        <v>4.3157010591197249</v>
      </c>
      <c r="C21" s="3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3">
        <v>0.08</v>
      </c>
      <c r="V21">
        <f>SUM($R$2:R21)</f>
        <v>771.51265175076651</v>
      </c>
      <c r="W21" s="10">
        <f t="shared" si="8"/>
        <v>1.626771500338984</v>
      </c>
      <c r="Z21">
        <f t="shared" si="11"/>
        <v>2.7872503005461273</v>
      </c>
      <c r="AA21" s="3">
        <v>0.3</v>
      </c>
      <c r="AB21">
        <f t="shared" si="1"/>
        <v>567.17786212343947</v>
      </c>
      <c r="AC21">
        <f t="shared" si="10"/>
        <v>685.05389859359082</v>
      </c>
      <c r="AD21" s="3">
        <v>0.2</v>
      </c>
      <c r="AE21">
        <f t="shared" si="2"/>
        <v>137.01077971871817</v>
      </c>
      <c r="AF21">
        <f t="shared" si="3"/>
        <v>1</v>
      </c>
    </row>
    <row r="22" spans="1:32">
      <c r="A22" s="2">
        <v>21</v>
      </c>
      <c r="B22">
        <f t="shared" si="4"/>
        <v>4.6609571438493029</v>
      </c>
      <c r="C22" s="3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3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3">
        <v>0.3</v>
      </c>
      <c r="AB22">
        <f t="shared" si="1"/>
        <v>612.55209109331463</v>
      </c>
      <c r="AC22">
        <f t="shared" si="10"/>
        <v>726.15713250920635</v>
      </c>
      <c r="AD22" s="3">
        <v>0.2</v>
      </c>
      <c r="AE22">
        <f t="shared" si="2"/>
        <v>145.23142650184127</v>
      </c>
      <c r="AF22">
        <f t="shared" si="3"/>
        <v>1</v>
      </c>
    </row>
    <row r="23" spans="1:32">
      <c r="A23" s="2">
        <v>22</v>
      </c>
      <c r="B23">
        <f t="shared" si="4"/>
        <v>5.0338337153572468</v>
      </c>
      <c r="C23" s="3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3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3">
        <v>0.3</v>
      </c>
      <c r="AB23">
        <f t="shared" si="1"/>
        <v>661.55625838077992</v>
      </c>
      <c r="AC23">
        <f t="shared" si="10"/>
        <v>769.72656045975873</v>
      </c>
      <c r="AD23" s="3">
        <v>0.2</v>
      </c>
      <c r="AE23">
        <f t="shared" si="2"/>
        <v>153.94531209195176</v>
      </c>
      <c r="AF23">
        <f t="shared" si="3"/>
        <v>1</v>
      </c>
    </row>
    <row r="24" spans="1:32">
      <c r="A24" s="2">
        <v>23</v>
      </c>
      <c r="B24">
        <f t="shared" si="4"/>
        <v>5.4365404125858268</v>
      </c>
      <c r="C24" s="3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3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3">
        <v>0.3</v>
      </c>
      <c r="AB24">
        <f t="shared" si="1"/>
        <v>714.48075905124244</v>
      </c>
      <c r="AC24">
        <f t="shared" si="10"/>
        <v>815.91015408734427</v>
      </c>
      <c r="AD24" s="3">
        <v>0.2</v>
      </c>
      <c r="AE24">
        <f t="shared" si="2"/>
        <v>163.18203081746887</v>
      </c>
      <c r="AF24">
        <f t="shared" si="3"/>
        <v>1</v>
      </c>
    </row>
    <row r="25" spans="1:32">
      <c r="A25" s="2">
        <v>24</v>
      </c>
      <c r="B25">
        <f t="shared" si="4"/>
        <v>5.8714636455926925</v>
      </c>
      <c r="C25" s="3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3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3">
        <v>0.3</v>
      </c>
      <c r="AB25">
        <f t="shared" si="1"/>
        <v>771.63921977534176</v>
      </c>
      <c r="AC25">
        <f t="shared" si="10"/>
        <v>864.86476333258497</v>
      </c>
      <c r="AD25" s="3">
        <v>0.2</v>
      </c>
      <c r="AE25">
        <f t="shared" si="2"/>
        <v>172.97295266651702</v>
      </c>
      <c r="AF25">
        <f t="shared" si="3"/>
        <v>1</v>
      </c>
    </row>
    <row r="26" spans="1:32">
      <c r="A26" s="2">
        <v>25</v>
      </c>
      <c r="B26">
        <f t="shared" si="4"/>
        <v>6.3411807372401077</v>
      </c>
      <c r="C26" s="3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3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3">
        <v>0.3</v>
      </c>
      <c r="AB26">
        <f t="shared" si="1"/>
        <v>833.37035735736924</v>
      </c>
      <c r="AC26">
        <f t="shared" si="10"/>
        <v>916.75664913254013</v>
      </c>
      <c r="AD26" s="3">
        <v>0.2</v>
      </c>
      <c r="AE26">
        <f t="shared" si="2"/>
        <v>183.35132982650805</v>
      </c>
      <c r="AF26">
        <f t="shared" si="3"/>
        <v>1</v>
      </c>
    </row>
    <row r="27" spans="1:32">
      <c r="A27" s="2">
        <v>26</v>
      </c>
      <c r="B27">
        <f t="shared" si="4"/>
        <v>6.848475196219316</v>
      </c>
      <c r="C27" s="3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3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3">
        <v>0.3</v>
      </c>
      <c r="AB27">
        <f t="shared" si="1"/>
        <v>900.03998594595885</v>
      </c>
      <c r="AC27">
        <f t="shared" si="10"/>
        <v>971.7620480804926</v>
      </c>
      <c r="AD27" s="3">
        <v>0.2</v>
      </c>
      <c r="AE27">
        <f t="shared" si="2"/>
        <v>194.35240961609853</v>
      </c>
      <c r="AF27">
        <f t="shared" si="3"/>
        <v>1</v>
      </c>
    </row>
    <row r="28" spans="1:32">
      <c r="A28" s="2">
        <v>27</v>
      </c>
      <c r="B28">
        <f t="shared" si="4"/>
        <v>7.3963532119168613</v>
      </c>
      <c r="C28" s="3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3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3">
        <v>0.3</v>
      </c>
      <c r="AB28">
        <f t="shared" si="1"/>
        <v>972.04318482163558</v>
      </c>
      <c r="AC28">
        <f t="shared" si="10"/>
        <v>1030.0677709653223</v>
      </c>
      <c r="AD28" s="3">
        <v>0.2</v>
      </c>
      <c r="AE28">
        <f t="shared" si="2"/>
        <v>206.01355419306446</v>
      </c>
      <c r="AF28">
        <f t="shared" si="3"/>
        <v>1</v>
      </c>
    </row>
    <row r="29" spans="1:32">
      <c r="A29" s="2">
        <v>28</v>
      </c>
      <c r="B29">
        <f t="shared" si="4"/>
        <v>7.9880614688702103</v>
      </c>
      <c r="C29" s="3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3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3">
        <v>0.3</v>
      </c>
      <c r="AB29">
        <f t="shared" si="1"/>
        <v>1049.8066396073666</v>
      </c>
      <c r="AC29">
        <f t="shared" si="10"/>
        <v>1091.8718372232418</v>
      </c>
      <c r="AD29" s="3">
        <v>0.2</v>
      </c>
      <c r="AE29">
        <f t="shared" si="2"/>
        <v>218.37436744464836</v>
      </c>
      <c r="AF29">
        <f t="shared" si="3"/>
        <v>1</v>
      </c>
    </row>
    <row r="30" spans="1:32">
      <c r="A30" s="2">
        <v>29</v>
      </c>
      <c r="B30">
        <f t="shared" si="4"/>
        <v>8.6271063863798272</v>
      </c>
      <c r="C30" s="3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3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3">
        <v>0.3</v>
      </c>
      <c r="AB30">
        <f t="shared" si="1"/>
        <v>1133.7911707759561</v>
      </c>
      <c r="AC30">
        <f t="shared" si="10"/>
        <v>1157.3841474566364</v>
      </c>
      <c r="AD30" s="3">
        <v>0.2</v>
      </c>
      <c r="AE30">
        <f t="shared" si="2"/>
        <v>231.47682949132729</v>
      </c>
      <c r="AF30">
        <f t="shared" si="3"/>
        <v>1</v>
      </c>
    </row>
    <row r="31" spans="1:32">
      <c r="A31" s="2">
        <v>30</v>
      </c>
      <c r="B31">
        <f t="shared" si="4"/>
        <v>9.3172748972902131</v>
      </c>
      <c r="C31" s="3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3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3">
        <v>0.3</v>
      </c>
      <c r="AB31">
        <f t="shared" si="1"/>
        <v>1224.4944644380325</v>
      </c>
      <c r="AC31">
        <f t="shared" si="10"/>
        <v>1226.8271963040345</v>
      </c>
      <c r="AD31" s="3">
        <v>0.2</v>
      </c>
      <c r="AE31">
        <f t="shared" si="2"/>
        <v>245.36543926080691</v>
      </c>
      <c r="AF31">
        <f t="shared" si="3"/>
        <v>1</v>
      </c>
    </row>
    <row r="32" spans="1:32">
      <c r="A32" s="2">
        <v>31</v>
      </c>
      <c r="B32">
        <f t="shared" si="4"/>
        <v>10.06265688907343</v>
      </c>
      <c r="C32" s="3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3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3">
        <v>0.3</v>
      </c>
      <c r="AB32">
        <f t="shared" si="1"/>
        <v>1322.4540215930754</v>
      </c>
      <c r="AC32">
        <f t="shared" si="10"/>
        <v>1300.4368280822766</v>
      </c>
      <c r="AD32" s="3">
        <v>0.2</v>
      </c>
      <c r="AE32">
        <f t="shared" si="2"/>
        <v>260.08736561645532</v>
      </c>
      <c r="AF32">
        <f t="shared" si="3"/>
        <v>1</v>
      </c>
    </row>
    <row r="33" spans="1:32">
      <c r="A33" s="2">
        <v>32</v>
      </c>
      <c r="B33">
        <f t="shared" si="4"/>
        <v>10.867669440199306</v>
      </c>
      <c r="C33" s="3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3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3">
        <v>0.3</v>
      </c>
      <c r="AB33">
        <f t="shared" si="1"/>
        <v>1428.2503433205213</v>
      </c>
      <c r="AC33">
        <f t="shared" si="10"/>
        <v>1378.4630377672133</v>
      </c>
      <c r="AD33" s="3">
        <v>0.2</v>
      </c>
      <c r="AE33">
        <f t="shared" si="2"/>
        <v>275.69260755344266</v>
      </c>
      <c r="AF33">
        <f t="shared" si="3"/>
        <v>1</v>
      </c>
    </row>
    <row r="34" spans="1:32">
      <c r="A34" s="2">
        <v>33</v>
      </c>
      <c r="B34">
        <f t="shared" si="4"/>
        <v>11.73708299541525</v>
      </c>
      <c r="C34" s="3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3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3">
        <v>0.3</v>
      </c>
      <c r="AB34">
        <f t="shared" si="1"/>
        <v>1542.5103707861633</v>
      </c>
      <c r="AC34">
        <f t="shared" si="10"/>
        <v>1461.1708200332462</v>
      </c>
      <c r="AD34" s="3">
        <v>0.2</v>
      </c>
      <c r="AE34">
        <f t="shared" si="2"/>
        <v>292.23416400664922</v>
      </c>
      <c r="AF34">
        <f t="shared" si="3"/>
        <v>1</v>
      </c>
    </row>
    <row r="35" spans="1:32">
      <c r="A35" s="2">
        <v>34</v>
      </c>
      <c r="B35">
        <f t="shared" si="4"/>
        <v>12.67604963504847</v>
      </c>
      <c r="C35" s="3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3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3">
        <v>0.3</v>
      </c>
      <c r="AB35">
        <f t="shared" si="1"/>
        <v>1665.9112004490564</v>
      </c>
      <c r="AC35">
        <f t="shared" si="10"/>
        <v>1548.8410692352411</v>
      </c>
      <c r="AD35" s="3">
        <v>0.2</v>
      </c>
      <c r="AE35">
        <f t="shared" si="2"/>
        <v>309.76821384704823</v>
      </c>
      <c r="AF35">
        <f t="shared" si="3"/>
        <v>1</v>
      </c>
    </row>
    <row r="36" spans="1:32">
      <c r="A36" s="2">
        <v>35</v>
      </c>
      <c r="B36">
        <f t="shared" si="4"/>
        <v>13.690133605852347</v>
      </c>
      <c r="C36" s="3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3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3">
        <v>0.3</v>
      </c>
      <c r="AB36">
        <f t="shared" si="1"/>
        <v>1799.1840964849812</v>
      </c>
      <c r="AC36">
        <f t="shared" si="10"/>
        <v>1641.7715333893557</v>
      </c>
      <c r="AD36" s="3">
        <v>0.2</v>
      </c>
      <c r="AE36">
        <f t="shared" si="2"/>
        <v>328.35430667787114</v>
      </c>
      <c r="AF36">
        <f t="shared" si="3"/>
        <v>1</v>
      </c>
    </row>
    <row r="37" spans="1:32">
      <c r="A37" s="2">
        <v>36</v>
      </c>
      <c r="B37">
        <f t="shared" si="4"/>
        <v>14.785344294320534</v>
      </c>
      <c r="C37" s="3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3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3">
        <v>0.3</v>
      </c>
      <c r="AB37">
        <f t="shared" si="1"/>
        <v>1943.1188242037797</v>
      </c>
      <c r="AC37">
        <f t="shared" si="10"/>
        <v>1740.2778253927172</v>
      </c>
      <c r="AD37" s="3">
        <v>0.2</v>
      </c>
      <c r="AE37">
        <f t="shared" si="2"/>
        <v>348.05556507854345</v>
      </c>
      <c r="AF37">
        <f t="shared" si="3"/>
        <v>1</v>
      </c>
    </row>
    <row r="38" spans="1:32">
      <c r="A38" s="2">
        <v>37</v>
      </c>
      <c r="B38">
        <f t="shared" si="4"/>
        <v>15.968171837866176</v>
      </c>
      <c r="C38" s="3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3">
        <v>0.08</v>
      </c>
      <c r="V38">
        <f>SUM($R$2:R38)</f>
        <v>1907.4604458080742</v>
      </c>
      <c r="W38" s="11">
        <f t="shared" si="8"/>
        <v>4.0219720107284491</v>
      </c>
      <c r="Z38">
        <f t="shared" si="11"/>
        <v>0.75330721614441876</v>
      </c>
      <c r="AA38" s="3">
        <v>0.3</v>
      </c>
      <c r="AB38">
        <f t="shared" si="1"/>
        <v>2098.5683301400823</v>
      </c>
      <c r="AC38">
        <f t="shared" si="10"/>
        <v>1844.6944949162803</v>
      </c>
      <c r="AD38" s="3">
        <v>0.2</v>
      </c>
      <c r="AE38">
        <f t="shared" si="2"/>
        <v>368.93889898325608</v>
      </c>
      <c r="AF38">
        <f t="shared" si="3"/>
        <v>1</v>
      </c>
    </row>
    <row r="39" spans="1:32">
      <c r="A39" s="2">
        <v>38</v>
      </c>
      <c r="B39">
        <f t="shared" si="4"/>
        <v>17.245625584895471</v>
      </c>
      <c r="C39" s="3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3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3">
        <v>0.3</v>
      </c>
      <c r="AB39">
        <f t="shared" si="1"/>
        <v>2266.4537965512886</v>
      </c>
      <c r="AC39">
        <f t="shared" si="10"/>
        <v>1955.3761646112573</v>
      </c>
      <c r="AD39" s="3">
        <v>0.2</v>
      </c>
      <c r="AE39">
        <f t="shared" si="2"/>
        <v>391.07523292225147</v>
      </c>
      <c r="AF39">
        <f t="shared" si="3"/>
        <v>1</v>
      </c>
    </row>
    <row r="40" spans="1:32">
      <c r="A40" s="2">
        <v>39</v>
      </c>
      <c r="B40">
        <f t="shared" si="4"/>
        <v>18.62527563168711</v>
      </c>
      <c r="C40" s="3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3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3">
        <v>0.3</v>
      </c>
      <c r="AB40">
        <f t="shared" si="1"/>
        <v>2447.770100275392</v>
      </c>
      <c r="AC40">
        <f t="shared" si="10"/>
        <v>2072.6987344879331</v>
      </c>
      <c r="AD40" s="3">
        <v>0.2</v>
      </c>
      <c r="AE40">
        <f t="shared" si="2"/>
        <v>414.53974689758661</v>
      </c>
      <c r="AF40">
        <f t="shared" si="3"/>
        <v>1</v>
      </c>
    </row>
    <row r="41" spans="1:32">
      <c r="A41" s="2">
        <v>40</v>
      </c>
      <c r="B41">
        <f t="shared" si="4"/>
        <v>20.115297682222078</v>
      </c>
      <c r="C41" s="3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3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3">
        <v>0.3</v>
      </c>
      <c r="AB41">
        <f t="shared" si="1"/>
        <v>2643.5917082974233</v>
      </c>
      <c r="AC41">
        <f t="shared" si="10"/>
        <v>2197.0606585572091</v>
      </c>
      <c r="AD41" s="3">
        <v>0.2</v>
      </c>
      <c r="AE41">
        <f t="shared" si="2"/>
        <v>439.41213171144182</v>
      </c>
      <c r="AF41">
        <f t="shared" si="3"/>
        <v>1</v>
      </c>
    </row>
    <row r="42" spans="1:32">
      <c r="A42" s="2">
        <v>41</v>
      </c>
      <c r="B42">
        <f t="shared" si="4"/>
        <v>21.724521496799845</v>
      </c>
      <c r="C42" s="3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3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3">
        <v>0.3</v>
      </c>
      <c r="AB42">
        <f t="shared" si="1"/>
        <v>2855.0790449612173</v>
      </c>
      <c r="AC42">
        <f t="shared" si="10"/>
        <v>2328.8842980706418</v>
      </c>
      <c r="AD42" s="3">
        <v>0.2</v>
      </c>
      <c r="AE42">
        <f t="shared" si="2"/>
        <v>465.7768596141284</v>
      </c>
      <c r="AF42">
        <f t="shared" si="3"/>
        <v>1</v>
      </c>
    </row>
    <row r="43" spans="1:32">
      <c r="A43" s="2">
        <v>42</v>
      </c>
      <c r="B43">
        <f t="shared" si="4"/>
        <v>23.462483216543834</v>
      </c>
      <c r="C43" s="3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3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3">
        <v>0.3</v>
      </c>
      <c r="AB43">
        <f t="shared" si="1"/>
        <v>3083.4853685581147</v>
      </c>
      <c r="AC43">
        <f t="shared" si="10"/>
        <v>2468.6173559548802</v>
      </c>
      <c r="AD43" s="3">
        <v>0.2</v>
      </c>
      <c r="AE43">
        <f t="shared" si="2"/>
        <v>493.72347119097606</v>
      </c>
      <c r="AF43">
        <f t="shared" si="3"/>
        <v>1</v>
      </c>
    </row>
    <row r="44" spans="1:32">
      <c r="A44" s="2">
        <v>43</v>
      </c>
      <c r="B44">
        <f t="shared" si="4"/>
        <v>25.339481873867342</v>
      </c>
      <c r="C44" s="3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3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3">
        <v>0.3</v>
      </c>
      <c r="AB44">
        <f t="shared" si="1"/>
        <v>3330.1641980427639</v>
      </c>
      <c r="AC44">
        <f t="shared" si="10"/>
        <v>2616.7343973121733</v>
      </c>
      <c r="AD44" s="3">
        <v>0.2</v>
      </c>
      <c r="AE44">
        <f t="shared" si="2"/>
        <v>523.34687946243469</v>
      </c>
      <c r="AF44">
        <f t="shared" si="3"/>
        <v>1</v>
      </c>
    </row>
    <row r="45" spans="1:32">
      <c r="A45" s="2">
        <v>44</v>
      </c>
      <c r="B45">
        <f t="shared" si="4"/>
        <v>27.36664042377673</v>
      </c>
      <c r="C45" s="3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3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3">
        <v>0.3</v>
      </c>
      <c r="AB45">
        <f t="shared" si="1"/>
        <v>3596.5773338861854</v>
      </c>
      <c r="AC45">
        <f t="shared" si="10"/>
        <v>2773.7384611509037</v>
      </c>
      <c r="AD45" s="3">
        <v>0.2</v>
      </c>
      <c r="AE45">
        <f t="shared" si="2"/>
        <v>554.74769223018075</v>
      </c>
      <c r="AF45">
        <f t="shared" si="3"/>
        <v>1</v>
      </c>
    </row>
    <row r="46" spans="1:32">
      <c r="A46" s="2">
        <v>45</v>
      </c>
      <c r="B46">
        <f t="shared" si="4"/>
        <v>29.555971657678867</v>
      </c>
      <c r="C46" s="3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3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3">
        <v>0.3</v>
      </c>
      <c r="AB46">
        <f t="shared" si="1"/>
        <v>3884.3035205970805</v>
      </c>
      <c r="AC46">
        <f t="shared" si="10"/>
        <v>2940.1627688199583</v>
      </c>
      <c r="AD46" s="3">
        <v>0.2</v>
      </c>
      <c r="AE46">
        <f t="shared" si="2"/>
        <v>588.0325537639917</v>
      </c>
      <c r="AF46">
        <f t="shared" si="3"/>
        <v>1</v>
      </c>
    </row>
    <row r="47" spans="1:32">
      <c r="A47" s="2">
        <v>46</v>
      </c>
      <c r="B47">
        <f t="shared" si="4"/>
        <v>31.920449390293179</v>
      </c>
      <c r="C47" s="3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3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3">
        <v>0.3</v>
      </c>
      <c r="AB47">
        <f t="shared" si="1"/>
        <v>4195.0478022448478</v>
      </c>
      <c r="AC47">
        <f t="shared" si="10"/>
        <v>3116.5725349491559</v>
      </c>
      <c r="AD47" s="3">
        <v>0.2</v>
      </c>
      <c r="AE47">
        <f t="shared" si="2"/>
        <v>623.31450698983122</v>
      </c>
      <c r="AF47">
        <f t="shared" si="3"/>
        <v>1</v>
      </c>
    </row>
    <row r="48" spans="1:32">
      <c r="A48" s="2">
        <v>47</v>
      </c>
      <c r="B48">
        <f t="shared" si="4"/>
        <v>34.474085341516634</v>
      </c>
      <c r="C48" s="3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3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3">
        <v>0.3</v>
      </c>
      <c r="AB48">
        <f t="shared" si="1"/>
        <v>4530.6516264244356</v>
      </c>
      <c r="AC48">
        <f t="shared" si="10"/>
        <v>3303.5668870461054</v>
      </c>
      <c r="AD48" s="3">
        <v>0.2</v>
      </c>
      <c r="AE48">
        <f t="shared" si="2"/>
        <v>660.71337740922115</v>
      </c>
      <c r="AF48">
        <f t="shared" si="3"/>
        <v>1</v>
      </c>
    </row>
    <row r="49" spans="1:32">
      <c r="A49" s="2">
        <v>48</v>
      </c>
      <c r="B49">
        <f t="shared" si="4"/>
        <v>37.232012168837969</v>
      </c>
      <c r="C49" s="3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3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3">
        <v>0.3</v>
      </c>
      <c r="AB49">
        <f t="shared" si="1"/>
        <v>4893.1037565383904</v>
      </c>
      <c r="AC49">
        <f t="shared" si="10"/>
        <v>3501.7809002688718</v>
      </c>
      <c r="AD49" s="3">
        <v>0.2</v>
      </c>
      <c r="AE49">
        <f t="shared" si="2"/>
        <v>700.35618005377444</v>
      </c>
      <c r="AF49">
        <f t="shared" si="3"/>
        <v>1</v>
      </c>
    </row>
    <row r="50" spans="1:32">
      <c r="A50" s="2">
        <v>49</v>
      </c>
      <c r="B50">
        <f t="shared" si="4"/>
        <v>40.210573142345005</v>
      </c>
      <c r="C50" s="3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3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3">
        <v>0.3</v>
      </c>
      <c r="AB50">
        <f t="shared" si="1"/>
        <v>5284.5520570614617</v>
      </c>
      <c r="AC50">
        <f t="shared" si="10"/>
        <v>3711.8877542850041</v>
      </c>
      <c r="AD50" s="3">
        <v>0.2</v>
      </c>
      <c r="AE50">
        <f t="shared" si="2"/>
        <v>742.37755085700087</v>
      </c>
      <c r="AF50">
        <f t="shared" si="3"/>
        <v>1</v>
      </c>
    </row>
    <row r="51" spans="1:32">
      <c r="A51" s="2">
        <v>50</v>
      </c>
      <c r="B51">
        <f t="shared" si="4"/>
        <v>43.427418993732608</v>
      </c>
      <c r="C51" s="3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3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3">
        <v>0.3</v>
      </c>
      <c r="AB51">
        <f t="shared" si="1"/>
        <v>5707.316221626379</v>
      </c>
      <c r="AC51">
        <f t="shared" si="10"/>
        <v>3934.6010195421045</v>
      </c>
      <c r="AD51" s="3">
        <v>0.2</v>
      </c>
      <c r="AE51">
        <f t="shared" si="2"/>
        <v>786.92020390842094</v>
      </c>
      <c r="AF51">
        <f t="shared" si="3"/>
        <v>1</v>
      </c>
    </row>
    <row r="52" spans="1:32">
      <c r="A52" s="2">
        <v>51</v>
      </c>
      <c r="B52">
        <f t="shared" ref="B52:B101" si="12">B51+B51*C51</f>
        <v>46.901612513231214</v>
      </c>
      <c r="C52" s="3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3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3">
        <v>0.3</v>
      </c>
      <c r="AB52">
        <f t="shared" si="1"/>
        <v>6163.9015193564901</v>
      </c>
      <c r="AC52">
        <f t="shared" si="10"/>
        <v>4170.6770807146313</v>
      </c>
      <c r="AD52" s="3">
        <v>0.2</v>
      </c>
      <c r="AE52">
        <f t="shared" si="2"/>
        <v>834.13541614292626</v>
      </c>
      <c r="AF52">
        <f t="shared" si="3"/>
        <v>1</v>
      </c>
    </row>
    <row r="53" spans="1:32">
      <c r="A53" s="2">
        <v>52</v>
      </c>
      <c r="B53">
        <f t="shared" si="12"/>
        <v>50.653741514289713</v>
      </c>
      <c r="C53" s="3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3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3">
        <v>0.3</v>
      </c>
      <c r="AB53">
        <f t="shared" si="1"/>
        <v>6657.0136409050092</v>
      </c>
      <c r="AC53">
        <f t="shared" si="10"/>
        <v>4420.9177055575092</v>
      </c>
      <c r="AD53" s="3">
        <v>0.2</v>
      </c>
      <c r="AE53">
        <f t="shared" si="2"/>
        <v>884.18354111150188</v>
      </c>
      <c r="AF53">
        <f t="shared" si="3"/>
        <v>1</v>
      </c>
    </row>
    <row r="54" spans="1:32">
      <c r="A54" s="2">
        <v>53</v>
      </c>
      <c r="B54">
        <f t="shared" si="12"/>
        <v>54.706040835432887</v>
      </c>
      <c r="C54" s="3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3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3">
        <v>0.3</v>
      </c>
      <c r="AB54">
        <f t="shared" si="1"/>
        <v>7189.5747321774106</v>
      </c>
      <c r="AC54">
        <f t="shared" si="10"/>
        <v>4686.1727678909601</v>
      </c>
      <c r="AD54" s="3">
        <v>0.2</v>
      </c>
      <c r="AE54">
        <f t="shared" si="2"/>
        <v>937.23455357819205</v>
      </c>
      <c r="AF54">
        <f t="shared" si="3"/>
        <v>1</v>
      </c>
    </row>
    <row r="55" spans="1:32">
      <c r="A55" s="2">
        <v>54</v>
      </c>
      <c r="B55">
        <f t="shared" si="12"/>
        <v>59.08252410226752</v>
      </c>
      <c r="C55" s="3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3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3">
        <v>0.3</v>
      </c>
      <c r="AB55">
        <f t="shared" si="1"/>
        <v>7764.7407107516028</v>
      </c>
      <c r="AC55">
        <f t="shared" si="10"/>
        <v>4967.3431339644176</v>
      </c>
      <c r="AD55" s="3">
        <v>0.2</v>
      </c>
      <c r="AE55">
        <f t="shared" si="2"/>
        <v>993.46862679288358</v>
      </c>
      <c r="AF55">
        <f t="shared" si="3"/>
        <v>1</v>
      </c>
    </row>
    <row r="56" spans="1:32">
      <c r="A56" s="2">
        <v>55</v>
      </c>
      <c r="B56">
        <f t="shared" si="12"/>
        <v>63.809126030448923</v>
      </c>
      <c r="C56" s="3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3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3">
        <v>0.3</v>
      </c>
      <c r="AB56">
        <f t="shared" si="1"/>
        <v>8385.9199676117332</v>
      </c>
      <c r="AC56">
        <f t="shared" si="10"/>
        <v>5265.3837220022833</v>
      </c>
      <c r="AD56" s="3">
        <v>0.2</v>
      </c>
      <c r="AE56">
        <f t="shared" si="2"/>
        <v>1053.0767444004566</v>
      </c>
      <c r="AF56">
        <f t="shared" si="3"/>
        <v>1</v>
      </c>
    </row>
    <row r="57" spans="1:32">
      <c r="A57" s="2">
        <v>56</v>
      </c>
      <c r="B57">
        <f t="shared" si="12"/>
        <v>68.913856112884844</v>
      </c>
      <c r="C57" s="3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3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3">
        <v>0.3</v>
      </c>
      <c r="AB57">
        <f t="shared" si="1"/>
        <v>9056.7935650206709</v>
      </c>
      <c r="AC57">
        <f t="shared" si="10"/>
        <v>5581.3067453224203</v>
      </c>
      <c r="AD57" s="3">
        <v>0.2</v>
      </c>
      <c r="AE57">
        <f t="shared" si="2"/>
        <v>1116.2613490644842</v>
      </c>
      <c r="AF57">
        <f t="shared" si="3"/>
        <v>1</v>
      </c>
    </row>
    <row r="58" spans="1:32">
      <c r="A58" s="2">
        <v>57</v>
      </c>
      <c r="B58">
        <f t="shared" si="12"/>
        <v>74.426964601915628</v>
      </c>
      <c r="C58" s="3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3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3">
        <v>0.3</v>
      </c>
      <c r="AB58">
        <f t="shared" si="1"/>
        <v>9781.3370502223261</v>
      </c>
      <c r="AC58">
        <f t="shared" si="10"/>
        <v>5916.1851500417661</v>
      </c>
      <c r="AD58" s="3">
        <v>0.2</v>
      </c>
      <c r="AE58">
        <f t="shared" si="2"/>
        <v>1183.2370300083533</v>
      </c>
      <c r="AF58">
        <f t="shared" si="3"/>
        <v>1</v>
      </c>
    </row>
    <row r="59" spans="1:32">
      <c r="A59" s="2">
        <v>58</v>
      </c>
      <c r="B59">
        <f t="shared" si="12"/>
        <v>80.381121770068873</v>
      </c>
      <c r="C59" s="3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3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3">
        <v>0.3</v>
      </c>
      <c r="AB59">
        <f t="shared" si="1"/>
        <v>10563.84401424011</v>
      </c>
      <c r="AC59">
        <f t="shared" si="10"/>
        <v>6271.1562590442727</v>
      </c>
      <c r="AD59" s="3">
        <v>0.2</v>
      </c>
      <c r="AE59">
        <f t="shared" si="2"/>
        <v>1254.2312518088547</v>
      </c>
      <c r="AF59">
        <f t="shared" si="3"/>
        <v>1</v>
      </c>
    </row>
    <row r="60" spans="1:32">
      <c r="A60" s="2">
        <v>59</v>
      </c>
      <c r="B60">
        <f t="shared" si="12"/>
        <v>86.811611511674386</v>
      </c>
      <c r="C60" s="3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3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3">
        <v>0.3</v>
      </c>
      <c r="AB60">
        <f t="shared" si="1"/>
        <v>11408.951535379321</v>
      </c>
      <c r="AC60">
        <f t="shared" si="10"/>
        <v>6647.4256345869298</v>
      </c>
      <c r="AD60" s="3">
        <v>0.2</v>
      </c>
      <c r="AE60">
        <f t="shared" si="2"/>
        <v>1329.485126917386</v>
      </c>
      <c r="AF60">
        <f t="shared" si="3"/>
        <v>1</v>
      </c>
    </row>
    <row r="61" spans="1:32">
      <c r="A61" s="2">
        <v>60</v>
      </c>
      <c r="B61">
        <f t="shared" si="12"/>
        <v>93.756540432608332</v>
      </c>
      <c r="C61" s="3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3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3">
        <v>0.3</v>
      </c>
      <c r="AB61">
        <f t="shared" si="1"/>
        <v>12321.667658209668</v>
      </c>
      <c r="AC61">
        <f t="shared" si="10"/>
        <v>7046.2711726621455</v>
      </c>
      <c r="AD61" s="3">
        <v>0.2</v>
      </c>
      <c r="AE61">
        <f t="shared" si="2"/>
        <v>1409.2542345324291</v>
      </c>
      <c r="AF61">
        <f t="shared" si="3"/>
        <v>1</v>
      </c>
    </row>
    <row r="62" spans="1:32">
      <c r="A62" s="2">
        <v>61</v>
      </c>
      <c r="B62">
        <f t="shared" si="12"/>
        <v>101.257063667217</v>
      </c>
      <c r="C62" s="3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3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3">
        <v>0.3</v>
      </c>
      <c r="AB62">
        <f t="shared" si="1"/>
        <v>13307.401070866443</v>
      </c>
      <c r="AC62">
        <f t="shared" si="10"/>
        <v>7469.0474430218746</v>
      </c>
      <c r="AD62" s="3">
        <v>0.2</v>
      </c>
      <c r="AE62">
        <f t="shared" si="2"/>
        <v>1493.809488604375</v>
      </c>
      <c r="AF62">
        <f t="shared" si="3"/>
        <v>1</v>
      </c>
    </row>
    <row r="63" spans="1:32">
      <c r="A63" s="2">
        <v>62</v>
      </c>
      <c r="B63">
        <f t="shared" si="12"/>
        <v>109.35762876059435</v>
      </c>
      <c r="C63" s="3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3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3">
        <v>0.3</v>
      </c>
      <c r="AB63">
        <f t="shared" si="1"/>
        <v>14371.993156535758</v>
      </c>
      <c r="AC63">
        <f t="shared" si="10"/>
        <v>7917.1902896031879</v>
      </c>
      <c r="AD63" s="3">
        <v>0.2</v>
      </c>
      <c r="AE63">
        <f t="shared" si="2"/>
        <v>1583.4380579206377</v>
      </c>
      <c r="AF63">
        <f t="shared" si="3"/>
        <v>1</v>
      </c>
    </row>
    <row r="64" spans="1:32">
      <c r="A64" s="2">
        <v>63</v>
      </c>
      <c r="B64">
        <f t="shared" si="12"/>
        <v>118.1062390614419</v>
      </c>
      <c r="C64" s="3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3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3">
        <v>0.3</v>
      </c>
      <c r="AB64">
        <f t="shared" si="1"/>
        <v>15521.75260905862</v>
      </c>
      <c r="AC64">
        <f t="shared" si="10"/>
        <v>8392.2217069793787</v>
      </c>
      <c r="AD64" s="3">
        <v>0.2</v>
      </c>
      <c r="AE64">
        <f t="shared" si="2"/>
        <v>1678.4443413958759</v>
      </c>
      <c r="AF64">
        <f t="shared" si="3"/>
        <v>1</v>
      </c>
    </row>
    <row r="65" spans="1:32">
      <c r="A65" s="2">
        <v>64</v>
      </c>
      <c r="B65">
        <f t="shared" si="12"/>
        <v>127.55473818635726</v>
      </c>
      <c r="C65" s="3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3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3">
        <v>0.3</v>
      </c>
      <c r="AB65">
        <f t="shared" si="1"/>
        <v>16763.49281778331</v>
      </c>
      <c r="AC65">
        <f t="shared" si="10"/>
        <v>8895.7550093981426</v>
      </c>
      <c r="AD65" s="3">
        <v>0.2</v>
      </c>
      <c r="AE65">
        <f t="shared" si="2"/>
        <v>1779.1510018796287</v>
      </c>
      <c r="AF65">
        <f t="shared" si="3"/>
        <v>1</v>
      </c>
    </row>
    <row r="66" spans="1:32">
      <c r="A66" s="2">
        <v>65</v>
      </c>
      <c r="B66">
        <f t="shared" si="12"/>
        <v>137.75911724126584</v>
      </c>
      <c r="C66" s="3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3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3">
        <v>0.3</v>
      </c>
      <c r="AB66">
        <f t="shared" si="1"/>
        <v>18104.572243205974</v>
      </c>
      <c r="AC66">
        <f t="shared" si="10"/>
        <v>9429.5003099620317</v>
      </c>
      <c r="AD66" s="3">
        <v>0.2</v>
      </c>
      <c r="AE66">
        <f t="shared" si="2"/>
        <v>1885.9000619924063</v>
      </c>
      <c r="AF66">
        <f t="shared" si="3"/>
        <v>1</v>
      </c>
    </row>
    <row r="67" spans="1:32">
      <c r="A67" s="2">
        <v>66</v>
      </c>
      <c r="B67">
        <f t="shared" si="12"/>
        <v>148.7798466205671</v>
      </c>
      <c r="C67" s="3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3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3">
        <v>0.3</v>
      </c>
      <c r="AB67">
        <f t="shared" ref="AB67:AB130" si="15">S67/AA67</f>
        <v>19552.938022662453</v>
      </c>
      <c r="AC67">
        <f t="shared" si="10"/>
        <v>9995.2703285597545</v>
      </c>
      <c r="AD67" s="3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>
      <c r="A68" s="2">
        <v>67</v>
      </c>
      <c r="B68">
        <f t="shared" si="12"/>
        <v>160.68223435021247</v>
      </c>
      <c r="C68" s="3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3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3">
        <v>0.3</v>
      </c>
      <c r="AB68">
        <f t="shared" si="15"/>
        <v>21117.173064475453</v>
      </c>
      <c r="AC68">
        <f t="shared" ref="AC68:AC131" si="21">AC67*(1+$U$2)</f>
        <v>10594.98654827334</v>
      </c>
      <c r="AD68" s="3">
        <v>0.2</v>
      </c>
      <c r="AE68">
        <f t="shared" si="16"/>
        <v>2118.9973096546682</v>
      </c>
      <c r="AF68">
        <f t="shared" si="17"/>
        <v>1</v>
      </c>
    </row>
    <row r="69" spans="1:32">
      <c r="A69" s="2">
        <v>68</v>
      </c>
      <c r="B69">
        <f t="shared" si="12"/>
        <v>173.53681309822946</v>
      </c>
      <c r="C69" s="3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3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3">
        <v>0.3</v>
      </c>
      <c r="AB69">
        <f t="shared" si="15"/>
        <v>22806.546909633489</v>
      </c>
      <c r="AC69">
        <f t="shared" si="21"/>
        <v>11230.685741169742</v>
      </c>
      <c r="AD69" s="3">
        <v>0.2</v>
      </c>
      <c r="AE69">
        <f t="shared" si="16"/>
        <v>2246.1371482339487</v>
      </c>
      <c r="AF69">
        <f t="shared" si="17"/>
        <v>1</v>
      </c>
    </row>
    <row r="70" spans="1:32">
      <c r="A70" s="2">
        <v>69</v>
      </c>
      <c r="B70">
        <f t="shared" si="12"/>
        <v>187.41975814608782</v>
      </c>
      <c r="C70" s="3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3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3">
        <v>0.3</v>
      </c>
      <c r="AB70">
        <f t="shared" si="15"/>
        <v>24631.07066240417</v>
      </c>
      <c r="AC70">
        <f t="shared" si="21"/>
        <v>11904.526885639927</v>
      </c>
      <c r="AD70" s="3">
        <v>0.2</v>
      </c>
      <c r="AE70">
        <f t="shared" si="16"/>
        <v>2380.9053771279855</v>
      </c>
      <c r="AF70">
        <f t="shared" si="17"/>
        <v>1</v>
      </c>
    </row>
    <row r="71" spans="1:32">
      <c r="A71" s="2">
        <v>70</v>
      </c>
      <c r="B71">
        <f t="shared" si="12"/>
        <v>202.41333879777483</v>
      </c>
      <c r="C71" s="3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3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3">
        <v>0.3</v>
      </c>
      <c r="AB71">
        <f t="shared" si="15"/>
        <v>26601.556315396505</v>
      </c>
      <c r="AC71">
        <f t="shared" si="21"/>
        <v>12618.798498778324</v>
      </c>
      <c r="AD71" s="3">
        <v>0.2</v>
      </c>
      <c r="AE71">
        <f t="shared" si="16"/>
        <v>2523.7596997556648</v>
      </c>
      <c r="AF71">
        <f t="shared" si="17"/>
        <v>1</v>
      </c>
    </row>
    <row r="72" spans="1:32">
      <c r="A72" s="2">
        <v>71</v>
      </c>
      <c r="B72">
        <f t="shared" si="12"/>
        <v>218.60640590159682</v>
      </c>
      <c r="C72" s="3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3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3">
        <v>0.3</v>
      </c>
      <c r="AB72">
        <f t="shared" si="15"/>
        <v>28729.680820628226</v>
      </c>
      <c r="AC72">
        <f t="shared" si="21"/>
        <v>13375.926408705023</v>
      </c>
      <c r="AD72" s="3">
        <v>0.2</v>
      </c>
      <c r="AE72">
        <f t="shared" si="16"/>
        <v>2675.1852817410049</v>
      </c>
      <c r="AF72">
        <f t="shared" si="17"/>
        <v>1</v>
      </c>
    </row>
    <row r="73" spans="1:32">
      <c r="A73" s="2">
        <v>72</v>
      </c>
      <c r="B73">
        <f t="shared" si="12"/>
        <v>236.09491837372457</v>
      </c>
      <c r="C73" s="3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3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3">
        <v>0.3</v>
      </c>
      <c r="AB73">
        <f t="shared" si="15"/>
        <v>31028.055286278486</v>
      </c>
      <c r="AC73">
        <f t="shared" si="21"/>
        <v>14178.481993227326</v>
      </c>
      <c r="AD73" s="3">
        <v>0.2</v>
      </c>
      <c r="AE73">
        <f t="shared" si="16"/>
        <v>2835.6963986454653</v>
      </c>
      <c r="AF73">
        <f t="shared" si="17"/>
        <v>1</v>
      </c>
    </row>
    <row r="74" spans="1:32">
      <c r="A74" s="2">
        <v>73</v>
      </c>
      <c r="B74">
        <f t="shared" si="12"/>
        <v>254.98251184362255</v>
      </c>
      <c r="C74" s="3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3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3">
        <v>0.3</v>
      </c>
      <c r="AB74">
        <f t="shared" si="15"/>
        <v>33510.29970918077</v>
      </c>
      <c r="AC74">
        <f t="shared" si="21"/>
        <v>15029.190912820966</v>
      </c>
      <c r="AD74" s="3">
        <v>0.2</v>
      </c>
      <c r="AE74">
        <f t="shared" si="16"/>
        <v>3005.8381825641936</v>
      </c>
      <c r="AF74">
        <f t="shared" si="17"/>
        <v>1</v>
      </c>
    </row>
    <row r="75" spans="1:32">
      <c r="A75" s="2">
        <v>74</v>
      </c>
      <c r="B75">
        <f t="shared" si="12"/>
        <v>275.38111279111234</v>
      </c>
      <c r="C75" s="3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3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3">
        <v>0.3</v>
      </c>
      <c r="AB75">
        <f t="shared" si="15"/>
        <v>36191.123685915234</v>
      </c>
      <c r="AC75">
        <f t="shared" si="21"/>
        <v>15930.942367590225</v>
      </c>
      <c r="AD75" s="3">
        <v>0.2</v>
      </c>
      <c r="AE75">
        <f t="shared" si="16"/>
        <v>3186.1884735180452</v>
      </c>
      <c r="AF75">
        <f t="shared" si="17"/>
        <v>1</v>
      </c>
    </row>
    <row r="76" spans="1:32">
      <c r="A76" s="2">
        <v>75</v>
      </c>
      <c r="B76">
        <f t="shared" si="12"/>
        <v>297.41160181440131</v>
      </c>
      <c r="C76" s="3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3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3">
        <v>0.3</v>
      </c>
      <c r="AB76">
        <f t="shared" si="15"/>
        <v>39086.41358078846</v>
      </c>
      <c r="AC76">
        <f t="shared" si="21"/>
        <v>16886.79890964564</v>
      </c>
      <c r="AD76" s="3">
        <v>0.2</v>
      </c>
      <c r="AE76">
        <f t="shared" si="16"/>
        <v>3377.3597819291281</v>
      </c>
      <c r="AF76">
        <f t="shared" si="17"/>
        <v>1</v>
      </c>
    </row>
    <row r="77" spans="1:32">
      <c r="A77" s="2">
        <v>76</v>
      </c>
      <c r="B77">
        <f t="shared" si="12"/>
        <v>321.20452995955338</v>
      </c>
      <c r="C77" s="3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3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3">
        <v>0.3</v>
      </c>
      <c r="AB77">
        <f t="shared" si="15"/>
        <v>42213.326667251531</v>
      </c>
      <c r="AC77">
        <f t="shared" si="21"/>
        <v>17900.006844224379</v>
      </c>
      <c r="AD77" s="3">
        <v>0.2</v>
      </c>
      <c r="AE77">
        <f t="shared" si="16"/>
        <v>3580.0013688448762</v>
      </c>
      <c r="AF77">
        <f t="shared" si="17"/>
        <v>1</v>
      </c>
    </row>
    <row r="78" spans="1:32">
      <c r="A78" s="2">
        <v>77</v>
      </c>
      <c r="B78">
        <f t="shared" si="12"/>
        <v>346.90089235631763</v>
      </c>
      <c r="C78" s="3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3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3">
        <v>0.3</v>
      </c>
      <c r="AB78">
        <f t="shared" si="15"/>
        <v>45590.392800631664</v>
      </c>
      <c r="AC78">
        <f t="shared" si="21"/>
        <v>18974.007254877844</v>
      </c>
      <c r="AD78" s="3">
        <v>0.2</v>
      </c>
      <c r="AE78">
        <f t="shared" si="16"/>
        <v>3794.801450975569</v>
      </c>
      <c r="AF78">
        <f t="shared" si="17"/>
        <v>1</v>
      </c>
    </row>
    <row r="79" spans="1:32">
      <c r="A79" s="2">
        <v>78</v>
      </c>
      <c r="B79">
        <f t="shared" si="12"/>
        <v>374.65296374482301</v>
      </c>
      <c r="C79" s="3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3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3">
        <v>0.3</v>
      </c>
      <c r="AB79">
        <f t="shared" si="15"/>
        <v>49237.624224682193</v>
      </c>
      <c r="AC79">
        <f t="shared" si="21"/>
        <v>20112.447690170517</v>
      </c>
      <c r="AD79" s="3">
        <v>0.2</v>
      </c>
      <c r="AE79">
        <f t="shared" si="16"/>
        <v>4022.4895380341036</v>
      </c>
      <c r="AF79">
        <f t="shared" si="17"/>
        <v>1</v>
      </c>
    </row>
    <row r="80" spans="1:32">
      <c r="A80" s="2">
        <v>79</v>
      </c>
      <c r="B80">
        <f t="shared" si="12"/>
        <v>404.62520084440882</v>
      </c>
      <c r="C80" s="3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3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3">
        <v>0.3</v>
      </c>
      <c r="AB80">
        <f t="shared" si="15"/>
        <v>53176.634162656766</v>
      </c>
      <c r="AC80">
        <f t="shared" si="21"/>
        <v>21319.194551580749</v>
      </c>
      <c r="AD80" s="3">
        <v>0.2</v>
      </c>
      <c r="AE80">
        <f t="shared" si="16"/>
        <v>4263.8389103161498</v>
      </c>
      <c r="AF80">
        <f t="shared" si="17"/>
        <v>1</v>
      </c>
    </row>
    <row r="81" spans="1:32">
      <c r="A81" s="2">
        <v>80</v>
      </c>
      <c r="B81">
        <f t="shared" si="12"/>
        <v>436.99521691196151</v>
      </c>
      <c r="C81" s="3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3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3">
        <v>0.3</v>
      </c>
      <c r="AB81">
        <f t="shared" si="15"/>
        <v>57430.764895669308</v>
      </c>
      <c r="AC81">
        <f t="shared" si="21"/>
        <v>22598.346224675595</v>
      </c>
      <c r="AD81" s="3">
        <v>0.2</v>
      </c>
      <c r="AE81">
        <f t="shared" si="16"/>
        <v>4519.6692449351194</v>
      </c>
      <c r="AF81">
        <f t="shared" si="17"/>
        <v>1</v>
      </c>
    </row>
    <row r="82" spans="1:32">
      <c r="A82" s="2">
        <v>81</v>
      </c>
      <c r="B82">
        <f t="shared" si="12"/>
        <v>471.95483426491842</v>
      </c>
      <c r="C82" s="3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3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3">
        <v>0.3</v>
      </c>
      <c r="AB82">
        <f t="shared" si="15"/>
        <v>62025.226087322859</v>
      </c>
      <c r="AC82">
        <f t="shared" si="21"/>
        <v>23954.246998156133</v>
      </c>
      <c r="AD82" s="3">
        <v>0.2</v>
      </c>
      <c r="AE82">
        <f t="shared" si="16"/>
        <v>4790.8493996312272</v>
      </c>
      <c r="AF82">
        <f t="shared" si="17"/>
        <v>1</v>
      </c>
    </row>
    <row r="83" spans="1:32">
      <c r="A83" s="2">
        <v>82</v>
      </c>
      <c r="B83">
        <f t="shared" si="12"/>
        <v>509.71122100611188</v>
      </c>
      <c r="C83" s="3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3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3">
        <v>0.3</v>
      </c>
      <c r="AB83">
        <f t="shared" si="15"/>
        <v>66987.244174308697</v>
      </c>
      <c r="AC83">
        <f t="shared" si="21"/>
        <v>25391.501818045504</v>
      </c>
      <c r="AD83" s="3">
        <v>0.2</v>
      </c>
      <c r="AE83">
        <f t="shared" si="16"/>
        <v>5078.3003636091016</v>
      </c>
      <c r="AF83">
        <f t="shared" si="17"/>
        <v>1</v>
      </c>
    </row>
    <row r="84" spans="1:32">
      <c r="A84" s="2">
        <v>83</v>
      </c>
      <c r="B84">
        <f t="shared" si="12"/>
        <v>550.48811868660084</v>
      </c>
      <c r="C84" s="3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3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3">
        <v>0.3</v>
      </c>
      <c r="AB84">
        <f t="shared" si="15"/>
        <v>72346.223708253397</v>
      </c>
      <c r="AC84">
        <f t="shared" si="21"/>
        <v>26914.991927128238</v>
      </c>
      <c r="AD84" s="3">
        <v>0.2</v>
      </c>
      <c r="AE84">
        <f t="shared" si="16"/>
        <v>5382.9983854256479</v>
      </c>
      <c r="AF84">
        <f t="shared" si="17"/>
        <v>1</v>
      </c>
    </row>
    <row r="85" spans="1:32">
      <c r="A85" s="2">
        <v>84</v>
      </c>
      <c r="B85">
        <f t="shared" si="12"/>
        <v>594.52716818152885</v>
      </c>
      <c r="C85" s="3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3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3">
        <v>0.3</v>
      </c>
      <c r="AB85">
        <f t="shared" si="15"/>
        <v>78133.921604913674</v>
      </c>
      <c r="AC85">
        <f t="shared" si="21"/>
        <v>28529.891442755932</v>
      </c>
      <c r="AD85" s="3">
        <v>0.2</v>
      </c>
      <c r="AE85">
        <f t="shared" si="16"/>
        <v>5705.9782885511868</v>
      </c>
      <c r="AF85">
        <f t="shared" si="17"/>
        <v>1</v>
      </c>
    </row>
    <row r="86" spans="1:32">
      <c r="A86" s="2">
        <v>85</v>
      </c>
      <c r="B86">
        <f t="shared" si="12"/>
        <v>642.08934163605113</v>
      </c>
      <c r="C86" s="3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3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3">
        <v>0.3</v>
      </c>
      <c r="AB86">
        <f t="shared" si="15"/>
        <v>84384.635333306767</v>
      </c>
      <c r="AC86">
        <f t="shared" si="21"/>
        <v>30241.684929321291</v>
      </c>
      <c r="AD86" s="3">
        <v>0.2</v>
      </c>
      <c r="AE86">
        <f t="shared" si="16"/>
        <v>6048.3369858642582</v>
      </c>
      <c r="AF86">
        <f t="shared" si="17"/>
        <v>1</v>
      </c>
    </row>
    <row r="87" spans="1:32">
      <c r="A87" s="2">
        <v>86</v>
      </c>
      <c r="B87">
        <f t="shared" si="12"/>
        <v>693.45648896693524</v>
      </c>
      <c r="C87" s="3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3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3">
        <v>0.3</v>
      </c>
      <c r="AB87">
        <f t="shared" si="15"/>
        <v>91135.406159971302</v>
      </c>
      <c r="AC87">
        <f t="shared" si="21"/>
        <v>32056.186025080569</v>
      </c>
      <c r="AD87" s="3">
        <v>0.2</v>
      </c>
      <c r="AE87">
        <f t="shared" si="16"/>
        <v>6411.2372050161139</v>
      </c>
      <c r="AF87">
        <f t="shared" si="17"/>
        <v>1</v>
      </c>
    </row>
    <row r="88" spans="1:32">
      <c r="A88" s="2">
        <v>87</v>
      </c>
      <c r="B88">
        <f t="shared" si="12"/>
        <v>748.93300808429001</v>
      </c>
      <c r="C88" s="3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3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3">
        <v>0.3</v>
      </c>
      <c r="AB88">
        <f t="shared" si="15"/>
        <v>98426.238652769011</v>
      </c>
      <c r="AC88">
        <f t="shared" si="21"/>
        <v>33979.557186585407</v>
      </c>
      <c r="AD88" s="3">
        <v>0.2</v>
      </c>
      <c r="AE88">
        <f t="shared" si="16"/>
        <v>6795.9114373170814</v>
      </c>
      <c r="AF88">
        <f t="shared" si="17"/>
        <v>1</v>
      </c>
    </row>
    <row r="89" spans="1:32">
      <c r="A89" s="2">
        <v>88</v>
      </c>
      <c r="B89">
        <f t="shared" si="12"/>
        <v>808.84764873103325</v>
      </c>
      <c r="C89" s="3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3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3">
        <v>0.3</v>
      </c>
      <c r="AB89">
        <f t="shared" si="15"/>
        <v>106300.33774499054</v>
      </c>
      <c r="AC89">
        <f t="shared" si="21"/>
        <v>36018.330617780535</v>
      </c>
      <c r="AD89" s="3">
        <v>0.2</v>
      </c>
      <c r="AE89">
        <f t="shared" si="16"/>
        <v>7203.6661235561078</v>
      </c>
      <c r="AF89">
        <f t="shared" si="17"/>
        <v>1</v>
      </c>
    </row>
    <row r="90" spans="1:32">
      <c r="A90" s="2">
        <v>89</v>
      </c>
      <c r="B90">
        <f t="shared" si="12"/>
        <v>873.55546062951589</v>
      </c>
      <c r="C90" s="3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3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3">
        <v>0.3</v>
      </c>
      <c r="AB90">
        <f t="shared" si="15"/>
        <v>114804.3647645898</v>
      </c>
      <c r="AC90">
        <f t="shared" si="21"/>
        <v>38179.430454847366</v>
      </c>
      <c r="AD90" s="3">
        <v>0.2</v>
      </c>
      <c r="AE90">
        <f t="shared" si="16"/>
        <v>7635.886090969474</v>
      </c>
      <c r="AF90">
        <f t="shared" si="17"/>
        <v>1</v>
      </c>
    </row>
    <row r="91" spans="1:32">
      <c r="A91" s="2">
        <v>90</v>
      </c>
      <c r="B91">
        <f t="shared" si="12"/>
        <v>943.43989747987712</v>
      </c>
      <c r="C91" s="3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3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3">
        <v>0.3</v>
      </c>
      <c r="AB91">
        <f t="shared" si="15"/>
        <v>123988.713945757</v>
      </c>
      <c r="AC91">
        <f t="shared" si="21"/>
        <v>40470.196282138211</v>
      </c>
      <c r="AD91" s="3">
        <v>0.2</v>
      </c>
      <c r="AE91">
        <f t="shared" si="16"/>
        <v>8094.0392564276426</v>
      </c>
      <c r="AF91">
        <f t="shared" si="17"/>
        <v>1</v>
      </c>
    </row>
    <row r="92" spans="1:32">
      <c r="A92" s="2">
        <v>91</v>
      </c>
      <c r="B92">
        <f t="shared" si="12"/>
        <v>1018.9150892782673</v>
      </c>
      <c r="C92" s="3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3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3">
        <v>0.3</v>
      </c>
      <c r="AB92">
        <f t="shared" si="15"/>
        <v>133907.81106141757</v>
      </c>
      <c r="AC92">
        <f t="shared" si="21"/>
        <v>42898.408059066503</v>
      </c>
      <c r="AD92" s="3">
        <v>0.2</v>
      </c>
      <c r="AE92">
        <f t="shared" si="16"/>
        <v>8579.6816118133011</v>
      </c>
      <c r="AF92">
        <f t="shared" si="17"/>
        <v>1</v>
      </c>
    </row>
    <row r="93" spans="1:32">
      <c r="A93" s="2">
        <v>92</v>
      </c>
      <c r="B93">
        <f t="shared" si="12"/>
        <v>1100.4282964205286</v>
      </c>
      <c r="C93" s="3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3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3">
        <v>0.3</v>
      </c>
      <c r="AB93">
        <f t="shared" si="15"/>
        <v>144620.43594633098</v>
      </c>
      <c r="AC93">
        <f t="shared" si="21"/>
        <v>45472.312542610496</v>
      </c>
      <c r="AD93" s="3">
        <v>0.2</v>
      </c>
      <c r="AE93">
        <f t="shared" si="16"/>
        <v>9094.4625085220996</v>
      </c>
      <c r="AF93">
        <f t="shared" si="17"/>
        <v>1</v>
      </c>
    </row>
    <row r="94" spans="1:32">
      <c r="A94" s="2">
        <v>93</v>
      </c>
      <c r="B94">
        <f t="shared" si="12"/>
        <v>1188.4625601341709</v>
      </c>
      <c r="C94" s="3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3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3">
        <v>0.3</v>
      </c>
      <c r="AB94">
        <f t="shared" si="15"/>
        <v>156190.07082203749</v>
      </c>
      <c r="AC94">
        <f t="shared" si="21"/>
        <v>48200.651295167125</v>
      </c>
      <c r="AD94" s="3">
        <v>0.2</v>
      </c>
      <c r="AE94">
        <f t="shared" si="16"/>
        <v>9640.1302590334253</v>
      </c>
      <c r="AF94">
        <f t="shared" si="17"/>
        <v>1</v>
      </c>
    </row>
    <row r="95" spans="1:32">
      <c r="A95" s="2">
        <v>94</v>
      </c>
      <c r="B95">
        <f t="shared" si="12"/>
        <v>1283.5395649449044</v>
      </c>
      <c r="C95" s="3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3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3">
        <v>0.3</v>
      </c>
      <c r="AB95">
        <f t="shared" si="15"/>
        <v>168685.2764878005</v>
      </c>
      <c r="AC95">
        <f t="shared" si="21"/>
        <v>51092.690372877158</v>
      </c>
      <c r="AD95" s="3">
        <v>0.2</v>
      </c>
      <c r="AE95">
        <f t="shared" si="16"/>
        <v>10218.538074575432</v>
      </c>
      <c r="AF95">
        <f t="shared" si="17"/>
        <v>1</v>
      </c>
    </row>
    <row r="96" spans="1:32">
      <c r="A96" s="2">
        <v>95</v>
      </c>
      <c r="B96">
        <f t="shared" si="12"/>
        <v>1386.2227301404969</v>
      </c>
      <c r="C96" s="3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3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3">
        <v>0.3</v>
      </c>
      <c r="AB96">
        <f t="shared" si="15"/>
        <v>182180.09860682455</v>
      </c>
      <c r="AC96">
        <f t="shared" si="21"/>
        <v>54158.251795249787</v>
      </c>
      <c r="AD96" s="3">
        <v>0.2</v>
      </c>
      <c r="AE96">
        <f t="shared" si="16"/>
        <v>10831.650359049958</v>
      </c>
      <c r="AF96">
        <f t="shared" si="17"/>
        <v>1</v>
      </c>
    </row>
    <row r="97" spans="1:32">
      <c r="A97" s="2">
        <v>96</v>
      </c>
      <c r="B97">
        <f t="shared" si="12"/>
        <v>1497.1205485517366</v>
      </c>
      <c r="C97" s="3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3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3">
        <v>0.3</v>
      </c>
      <c r="AB97">
        <f t="shared" si="15"/>
        <v>196754.50649537053</v>
      </c>
      <c r="AC97">
        <f t="shared" si="21"/>
        <v>57407.746902964776</v>
      </c>
      <c r="AD97" s="3">
        <v>0.2</v>
      </c>
      <c r="AE97">
        <f t="shared" si="16"/>
        <v>11481.549380592956</v>
      </c>
      <c r="AF97">
        <f t="shared" si="17"/>
        <v>1</v>
      </c>
    </row>
    <row r="98" spans="1:32">
      <c r="A98" s="2">
        <v>97</v>
      </c>
      <c r="B98">
        <f t="shared" si="12"/>
        <v>1616.8901924358756</v>
      </c>
      <c r="C98" s="3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3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3">
        <v>0.3</v>
      </c>
      <c r="AB98">
        <f t="shared" si="15"/>
        <v>212494.86701500017</v>
      </c>
      <c r="AC98">
        <f t="shared" si="21"/>
        <v>60852.211717142665</v>
      </c>
      <c r="AD98" s="3">
        <v>0.2</v>
      </c>
      <c r="AE98">
        <f t="shared" si="16"/>
        <v>12170.442343428535</v>
      </c>
      <c r="AF98">
        <f t="shared" si="17"/>
        <v>1</v>
      </c>
    </row>
    <row r="99" spans="1:32">
      <c r="A99" s="2">
        <v>98</v>
      </c>
      <c r="B99">
        <f t="shared" si="12"/>
        <v>1746.2414078307456</v>
      </c>
      <c r="C99" s="3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3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3">
        <v>0.3</v>
      </c>
      <c r="AB99">
        <f t="shared" si="15"/>
        <v>229494.45637620022</v>
      </c>
      <c r="AC99">
        <f t="shared" si="21"/>
        <v>64503.344420171226</v>
      </c>
      <c r="AD99" s="3">
        <v>0.2</v>
      </c>
      <c r="AE99">
        <f t="shared" si="16"/>
        <v>12900.668884034247</v>
      </c>
      <c r="AF99">
        <f t="shared" si="17"/>
        <v>1</v>
      </c>
    </row>
    <row r="100" spans="1:32">
      <c r="A100" s="2">
        <v>99</v>
      </c>
      <c r="B100">
        <f t="shared" si="12"/>
        <v>1885.9407204572053</v>
      </c>
      <c r="C100" s="3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3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3">
        <v>0.3</v>
      </c>
      <c r="AB100">
        <f t="shared" si="15"/>
        <v>247854.01288629623</v>
      </c>
      <c r="AC100">
        <f t="shared" si="21"/>
        <v>68373.545085381498</v>
      </c>
      <c r="AD100" s="3">
        <v>0.2</v>
      </c>
      <c r="AE100">
        <f t="shared" si="16"/>
        <v>13674.7090170763</v>
      </c>
      <c r="AF100">
        <f t="shared" si="17"/>
        <v>1</v>
      </c>
    </row>
    <row r="101" spans="1:32">
      <c r="A101" s="2">
        <v>100</v>
      </c>
      <c r="B101">
        <f t="shared" si="12"/>
        <v>2036.8159780937817</v>
      </c>
      <c r="C101" s="3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3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3">
        <v>0.3</v>
      </c>
      <c r="AB101">
        <f t="shared" si="15"/>
        <v>267682.33391719993</v>
      </c>
      <c r="AC101">
        <f t="shared" si="21"/>
        <v>72475.957790504399</v>
      </c>
      <c r="AD101" s="3">
        <v>0.2</v>
      </c>
      <c r="AE101">
        <f t="shared" si="16"/>
        <v>14495.19155810088</v>
      </c>
      <c r="AF101">
        <f t="shared" si="17"/>
        <v>1</v>
      </c>
    </row>
    <row r="102" spans="1:32">
      <c r="A102" s="2">
        <v>101</v>
      </c>
      <c r="B102">
        <f t="shared" ref="B102:B165" si="23">B101+B101*C101</f>
        <v>2199.761256341284</v>
      </c>
      <c r="C102" s="3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3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3">
        <v>0.3</v>
      </c>
      <c r="AB102">
        <f t="shared" si="15"/>
        <v>289096.92063057591</v>
      </c>
      <c r="AC102">
        <f t="shared" si="21"/>
        <v>76824.515257934661</v>
      </c>
      <c r="AD102" s="3">
        <v>0.2</v>
      </c>
      <c r="AE102">
        <f t="shared" si="16"/>
        <v>15364.903051586933</v>
      </c>
      <c r="AF102">
        <f t="shared" si="17"/>
        <v>1</v>
      </c>
    </row>
    <row r="103" spans="1:32">
      <c r="A103" s="2">
        <v>102</v>
      </c>
      <c r="B103">
        <f t="shared" si="23"/>
        <v>2375.7421568485865</v>
      </c>
      <c r="C103" s="3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3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3">
        <v>0.3</v>
      </c>
      <c r="AB103">
        <f t="shared" si="15"/>
        <v>312224.67428102205</v>
      </c>
      <c r="AC103">
        <f t="shared" si="21"/>
        <v>81433.98617341074</v>
      </c>
      <c r="AD103" s="3">
        <v>0.2</v>
      </c>
      <c r="AE103">
        <f t="shared" si="16"/>
        <v>16286.797234682148</v>
      </c>
      <c r="AF103">
        <f t="shared" si="17"/>
        <v>1</v>
      </c>
    </row>
    <row r="104" spans="1:32">
      <c r="A104" s="2">
        <v>103</v>
      </c>
      <c r="B104">
        <f t="shared" si="23"/>
        <v>2565.8015293964736</v>
      </c>
      <c r="C104" s="3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3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3">
        <v>0.3</v>
      </c>
      <c r="AB104">
        <f t="shared" si="15"/>
        <v>337202.64822350378</v>
      </c>
      <c r="AC104">
        <f t="shared" si="21"/>
        <v>86320.025343815389</v>
      </c>
      <c r="AD104" s="3">
        <v>0.2</v>
      </c>
      <c r="AE104">
        <f t="shared" si="16"/>
        <v>17264.005068763079</v>
      </c>
      <c r="AF104">
        <f t="shared" si="17"/>
        <v>1</v>
      </c>
    </row>
    <row r="105" spans="1:32">
      <c r="A105" s="2">
        <v>104</v>
      </c>
      <c r="B105">
        <f t="shared" si="23"/>
        <v>2771.0656517481916</v>
      </c>
      <c r="C105" s="3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3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3">
        <v>0.3</v>
      </c>
      <c r="AB105">
        <f t="shared" si="15"/>
        <v>364178.86008138413</v>
      </c>
      <c r="AC105">
        <f t="shared" si="21"/>
        <v>91499.22686444431</v>
      </c>
      <c r="AD105" s="3">
        <v>0.2</v>
      </c>
      <c r="AE105">
        <f t="shared" si="16"/>
        <v>18299.845372888863</v>
      </c>
      <c r="AF105">
        <f t="shared" si="17"/>
        <v>1</v>
      </c>
    </row>
    <row r="106" spans="1:32">
      <c r="A106" s="2">
        <v>105</v>
      </c>
      <c r="B106">
        <f t="shared" si="23"/>
        <v>2992.7509038880471</v>
      </c>
      <c r="C106" s="3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3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3">
        <v>0.3</v>
      </c>
      <c r="AB106">
        <f t="shared" si="15"/>
        <v>393313.16888789489</v>
      </c>
      <c r="AC106">
        <f t="shared" si="21"/>
        <v>96989.180476310969</v>
      </c>
      <c r="AD106" s="3">
        <v>0.2</v>
      </c>
      <c r="AE106">
        <f t="shared" si="16"/>
        <v>19397.836095262195</v>
      </c>
      <c r="AF106">
        <f t="shared" si="17"/>
        <v>1</v>
      </c>
    </row>
    <row r="107" spans="1:32">
      <c r="A107" s="2">
        <v>106</v>
      </c>
      <c r="B107">
        <f t="shared" si="23"/>
        <v>3232.170976199091</v>
      </c>
      <c r="C107" s="3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3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3">
        <v>0.3</v>
      </c>
      <c r="AB107">
        <f t="shared" si="15"/>
        <v>424778.2223989265</v>
      </c>
      <c r="AC107">
        <f t="shared" si="21"/>
        <v>102808.53130488964</v>
      </c>
      <c r="AD107" s="3">
        <v>0.2</v>
      </c>
      <c r="AE107">
        <f t="shared" si="16"/>
        <v>20561.706260977928</v>
      </c>
      <c r="AF107">
        <f t="shared" si="17"/>
        <v>1</v>
      </c>
    </row>
    <row r="108" spans="1:32">
      <c r="A108" s="2">
        <v>107</v>
      </c>
      <c r="B108">
        <f t="shared" si="23"/>
        <v>3490.7446542950183</v>
      </c>
      <c r="C108" s="3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3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3">
        <v>0.3</v>
      </c>
      <c r="AB108">
        <f t="shared" si="15"/>
        <v>458760.48019084061</v>
      </c>
      <c r="AC108">
        <f t="shared" si="21"/>
        <v>108977.04318318302</v>
      </c>
      <c r="AD108" s="3">
        <v>0.2</v>
      </c>
      <c r="AE108">
        <f t="shared" si="16"/>
        <v>21795.408636636606</v>
      </c>
      <c r="AF108">
        <f t="shared" si="17"/>
        <v>1</v>
      </c>
    </row>
    <row r="109" spans="1:32">
      <c r="A109" s="2">
        <v>108</v>
      </c>
      <c r="B109">
        <f t="shared" si="23"/>
        <v>3770.0042266386199</v>
      </c>
      <c r="C109" s="3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3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3">
        <v>0.3</v>
      </c>
      <c r="AB109">
        <f t="shared" si="15"/>
        <v>495461.3186061079</v>
      </c>
      <c r="AC109">
        <f t="shared" si="21"/>
        <v>115515.66577417401</v>
      </c>
      <c r="AD109" s="3">
        <v>0.2</v>
      </c>
      <c r="AE109">
        <f t="shared" si="16"/>
        <v>23103.133154834803</v>
      </c>
      <c r="AF109">
        <f t="shared" si="17"/>
        <v>1</v>
      </c>
    </row>
    <row r="110" spans="1:32">
      <c r="A110" s="2">
        <v>109</v>
      </c>
      <c r="B110">
        <f t="shared" si="23"/>
        <v>4071.6045647697097</v>
      </c>
      <c r="C110" s="3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3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3">
        <v>0.3</v>
      </c>
      <c r="AB110">
        <f t="shared" si="15"/>
        <v>535098.22409459658</v>
      </c>
      <c r="AC110">
        <f t="shared" si="21"/>
        <v>122446.60572062446</v>
      </c>
      <c r="AD110" s="3">
        <v>0.2</v>
      </c>
      <c r="AE110">
        <f t="shared" si="16"/>
        <v>24489.321144124893</v>
      </c>
      <c r="AF110">
        <f t="shared" si="17"/>
        <v>1</v>
      </c>
    </row>
    <row r="111" spans="1:32">
      <c r="A111" s="2">
        <v>110</v>
      </c>
      <c r="B111">
        <f t="shared" si="23"/>
        <v>4397.3329299512861</v>
      </c>
      <c r="C111" s="3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3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3">
        <v>0.3</v>
      </c>
      <c r="AB111">
        <f t="shared" si="15"/>
        <v>577906.08202216437</v>
      </c>
      <c r="AC111">
        <f t="shared" si="21"/>
        <v>129793.40206386193</v>
      </c>
      <c r="AD111" s="3">
        <v>0.2</v>
      </c>
      <c r="AE111">
        <f t="shared" si="16"/>
        <v>25958.680412772388</v>
      </c>
      <c r="AF111">
        <f t="shared" si="17"/>
        <v>1</v>
      </c>
    </row>
    <row r="112" spans="1:32">
      <c r="A112" s="2">
        <v>111</v>
      </c>
      <c r="B112">
        <f t="shared" si="23"/>
        <v>4749.1195643473893</v>
      </c>
      <c r="C112" s="3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3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3">
        <v>0.3</v>
      </c>
      <c r="AB112">
        <f t="shared" si="15"/>
        <v>624138.56858393748</v>
      </c>
      <c r="AC112">
        <f t="shared" si="21"/>
        <v>137581.00618769365</v>
      </c>
      <c r="AD112" s="3">
        <v>0.2</v>
      </c>
      <c r="AE112">
        <f t="shared" si="16"/>
        <v>27516.201237538731</v>
      </c>
      <c r="AF112">
        <f t="shared" si="17"/>
        <v>1</v>
      </c>
    </row>
    <row r="113" spans="1:32">
      <c r="A113" s="2">
        <v>112</v>
      </c>
      <c r="B113">
        <f t="shared" si="23"/>
        <v>5129.0491294951808</v>
      </c>
      <c r="C113" s="3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3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3">
        <v>0.3</v>
      </c>
      <c r="AB113">
        <f t="shared" si="15"/>
        <v>674069.65407065256</v>
      </c>
      <c r="AC113">
        <f t="shared" si="21"/>
        <v>145835.86655895528</v>
      </c>
      <c r="AD113" s="3">
        <v>0.2</v>
      </c>
      <c r="AE113">
        <f t="shared" si="16"/>
        <v>29167.173311791059</v>
      </c>
      <c r="AF113">
        <f t="shared" si="17"/>
        <v>1</v>
      </c>
    </row>
    <row r="114" spans="1:32">
      <c r="A114" s="2">
        <v>113</v>
      </c>
      <c r="B114">
        <f t="shared" si="23"/>
        <v>5539.3730598547954</v>
      </c>
      <c r="C114" s="3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3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3">
        <v>0.3</v>
      </c>
      <c r="AB114">
        <f t="shared" si="15"/>
        <v>727995.22639630479</v>
      </c>
      <c r="AC114">
        <f t="shared" si="21"/>
        <v>154586.01855249261</v>
      </c>
      <c r="AD114" s="3">
        <v>0.2</v>
      </c>
      <c r="AE114">
        <f t="shared" si="16"/>
        <v>30917.203710498521</v>
      </c>
      <c r="AF114">
        <f t="shared" si="17"/>
        <v>1</v>
      </c>
    </row>
    <row r="115" spans="1:32">
      <c r="A115" s="2">
        <v>114</v>
      </c>
      <c r="B115">
        <f t="shared" si="23"/>
        <v>5982.5229046431787</v>
      </c>
      <c r="C115" s="3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3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3">
        <v>0.3</v>
      </c>
      <c r="AB115">
        <f t="shared" si="15"/>
        <v>786234.84450800926</v>
      </c>
      <c r="AC115">
        <f t="shared" si="21"/>
        <v>163861.17966564218</v>
      </c>
      <c r="AD115" s="3">
        <v>0.2</v>
      </c>
      <c r="AE115">
        <f t="shared" si="16"/>
        <v>32772.235933128439</v>
      </c>
      <c r="AF115">
        <f t="shared" si="17"/>
        <v>1</v>
      </c>
    </row>
    <row r="116" spans="1:32">
      <c r="A116" s="2">
        <v>115</v>
      </c>
      <c r="B116">
        <f t="shared" si="23"/>
        <v>6461.124737014633</v>
      </c>
      <c r="C116" s="3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3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3">
        <v>0.3</v>
      </c>
      <c r="AB116">
        <f t="shared" si="15"/>
        <v>849133.6320686501</v>
      </c>
      <c r="AC116">
        <f t="shared" si="21"/>
        <v>173692.85044558073</v>
      </c>
      <c r="AD116" s="3">
        <v>0.2</v>
      </c>
      <c r="AE116">
        <f t="shared" si="16"/>
        <v>34738.570089116147</v>
      </c>
      <c r="AF116">
        <f t="shared" si="17"/>
        <v>1</v>
      </c>
    </row>
    <row r="117" spans="1:32">
      <c r="A117" s="2">
        <v>116</v>
      </c>
      <c r="B117">
        <f t="shared" si="23"/>
        <v>6978.0147159758035</v>
      </c>
      <c r="C117" s="3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3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3">
        <v>0.3</v>
      </c>
      <c r="AB117">
        <f t="shared" si="15"/>
        <v>917064.32263414201</v>
      </c>
      <c r="AC117">
        <f t="shared" si="21"/>
        <v>184114.42147231559</v>
      </c>
      <c r="AD117" s="3">
        <v>0.2</v>
      </c>
      <c r="AE117">
        <f t="shared" si="16"/>
        <v>36822.884294463118</v>
      </c>
      <c r="AF117">
        <f t="shared" si="17"/>
        <v>1</v>
      </c>
    </row>
    <row r="118" spans="1:32">
      <c r="A118" s="2">
        <v>117</v>
      </c>
      <c r="B118">
        <f t="shared" si="23"/>
        <v>7536.2558932538677</v>
      </c>
      <c r="C118" s="3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3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3">
        <v>0.3</v>
      </c>
      <c r="AB118">
        <f t="shared" si="15"/>
        <v>990429.46844487335</v>
      </c>
      <c r="AC118">
        <f t="shared" si="21"/>
        <v>195161.28676065453</v>
      </c>
      <c r="AD118" s="3">
        <v>0.2</v>
      </c>
      <c r="AE118">
        <f t="shared" si="16"/>
        <v>39032.25735213091</v>
      </c>
      <c r="AF118">
        <f t="shared" si="17"/>
        <v>1</v>
      </c>
    </row>
    <row r="119" spans="1:32">
      <c r="A119" s="2">
        <v>118</v>
      </c>
      <c r="B119">
        <f t="shared" si="23"/>
        <v>8139.1563647141775</v>
      </c>
      <c r="C119" s="3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3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3">
        <v>0.3</v>
      </c>
      <c r="AB119">
        <f t="shared" si="15"/>
        <v>1069663.8259204633</v>
      </c>
      <c r="AC119">
        <f t="shared" si="21"/>
        <v>206870.96396629381</v>
      </c>
      <c r="AD119" s="3">
        <v>0.2</v>
      </c>
      <c r="AE119">
        <f t="shared" si="16"/>
        <v>41374.192793258764</v>
      </c>
      <c r="AF119">
        <f t="shared" si="17"/>
        <v>1</v>
      </c>
    </row>
    <row r="120" spans="1:32">
      <c r="A120" s="2">
        <v>119</v>
      </c>
      <c r="B120">
        <f t="shared" si="23"/>
        <v>8790.2888738913116</v>
      </c>
      <c r="C120" s="3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3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3">
        <v>0.3</v>
      </c>
      <c r="AB120">
        <f t="shared" si="15"/>
        <v>1155236.9319941006</v>
      </c>
      <c r="AC120">
        <f t="shared" si="21"/>
        <v>219283.22180427145</v>
      </c>
      <c r="AD120" s="3">
        <v>0.2</v>
      </c>
      <c r="AE120">
        <f t="shared" si="16"/>
        <v>43856.64436085429</v>
      </c>
      <c r="AF120">
        <f t="shared" si="17"/>
        <v>1</v>
      </c>
    </row>
    <row r="121" spans="1:32">
      <c r="A121" s="2">
        <v>120</v>
      </c>
      <c r="B121">
        <f t="shared" si="23"/>
        <v>9493.5119838026167</v>
      </c>
      <c r="C121" s="3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3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3">
        <v>0.3</v>
      </c>
      <c r="AB121">
        <f t="shared" si="15"/>
        <v>1247655.8865536286</v>
      </c>
      <c r="AC121">
        <f t="shared" si="21"/>
        <v>232440.21511252775</v>
      </c>
      <c r="AD121" s="3">
        <v>0.2</v>
      </c>
      <c r="AE121">
        <f t="shared" si="16"/>
        <v>46488.043022505553</v>
      </c>
      <c r="AF121">
        <f t="shared" si="17"/>
        <v>1</v>
      </c>
    </row>
    <row r="122" spans="1:32">
      <c r="A122" s="2">
        <v>121</v>
      </c>
      <c r="B122">
        <f t="shared" si="23"/>
        <v>10252.992942506826</v>
      </c>
      <c r="C122" s="3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3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3">
        <v>0.3</v>
      </c>
      <c r="AB122">
        <f t="shared" si="15"/>
        <v>1347468.357477919</v>
      </c>
      <c r="AC122">
        <f t="shared" si="21"/>
        <v>246386.62801927942</v>
      </c>
      <c r="AD122" s="3">
        <v>0.2</v>
      </c>
      <c r="AE122">
        <f t="shared" si="16"/>
        <v>49277.32560385589</v>
      </c>
      <c r="AF122">
        <f t="shared" si="17"/>
        <v>1</v>
      </c>
    </row>
    <row r="123" spans="1:32">
      <c r="A123" s="2">
        <v>122</v>
      </c>
      <c r="B123">
        <f t="shared" si="23"/>
        <v>11073.232377907372</v>
      </c>
      <c r="C123" s="3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3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3">
        <v>0.3</v>
      </c>
      <c r="AB123">
        <f t="shared" si="15"/>
        <v>1455265.8260761525</v>
      </c>
      <c r="AC123">
        <f t="shared" si="21"/>
        <v>261169.82570043619</v>
      </c>
      <c r="AD123" s="3">
        <v>0.2</v>
      </c>
      <c r="AE123">
        <f t="shared" si="16"/>
        <v>52233.965140087239</v>
      </c>
      <c r="AF123">
        <f t="shared" si="17"/>
        <v>1</v>
      </c>
    </row>
    <row r="124" spans="1:32">
      <c r="A124" s="2">
        <v>123</v>
      </c>
      <c r="B124">
        <f t="shared" si="23"/>
        <v>11959.090968139963</v>
      </c>
      <c r="C124" s="3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3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3">
        <v>0.3</v>
      </c>
      <c r="AB124">
        <f t="shared" si="15"/>
        <v>1571687.0921622447</v>
      </c>
      <c r="AC124">
        <f t="shared" si="21"/>
        <v>276840.0152424624</v>
      </c>
      <c r="AD124" s="3">
        <v>0.2</v>
      </c>
      <c r="AE124">
        <f t="shared" si="16"/>
        <v>55368.003048492479</v>
      </c>
      <c r="AF124">
        <f t="shared" si="17"/>
        <v>1</v>
      </c>
    </row>
    <row r="125" spans="1:32">
      <c r="A125" s="2">
        <v>124</v>
      </c>
      <c r="B125">
        <f t="shared" si="23"/>
        <v>12915.818245591159</v>
      </c>
      <c r="C125" s="3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3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3">
        <v>0.3</v>
      </c>
      <c r="AB125">
        <f t="shared" si="15"/>
        <v>1697422.0595352245</v>
      </c>
      <c r="AC125">
        <f t="shared" si="21"/>
        <v>293450.41615701013</v>
      </c>
      <c r="AD125" s="3">
        <v>0.2</v>
      </c>
      <c r="AE125">
        <f t="shared" si="16"/>
        <v>58690.08323140203</v>
      </c>
      <c r="AF125">
        <f t="shared" si="17"/>
        <v>1</v>
      </c>
    </row>
    <row r="126" spans="1:32">
      <c r="A126" s="2">
        <v>125</v>
      </c>
      <c r="B126">
        <f t="shared" si="23"/>
        <v>13949.083705238452</v>
      </c>
      <c r="C126" s="3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3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3">
        <v>0.3</v>
      </c>
      <c r="AB126">
        <f t="shared" si="15"/>
        <v>1833215.8242980426</v>
      </c>
      <c r="AC126">
        <f t="shared" si="21"/>
        <v>311057.44112643076</v>
      </c>
      <c r="AD126" s="3">
        <v>0.2</v>
      </c>
      <c r="AE126">
        <f t="shared" si="16"/>
        <v>62211.488225286157</v>
      </c>
      <c r="AF126">
        <f t="shared" si="17"/>
        <v>1</v>
      </c>
    </row>
    <row r="127" spans="1:32">
      <c r="A127" s="2">
        <v>126</v>
      </c>
      <c r="B127">
        <f t="shared" si="23"/>
        <v>15065.010401657528</v>
      </c>
      <c r="C127" s="3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3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3">
        <v>0.3</v>
      </c>
      <c r="AB127">
        <f t="shared" si="15"/>
        <v>1979873.0902418864</v>
      </c>
      <c r="AC127">
        <f t="shared" si="21"/>
        <v>329720.88759401662</v>
      </c>
      <c r="AD127" s="3">
        <v>0.2</v>
      </c>
      <c r="AE127">
        <f t="shared" si="16"/>
        <v>65944.177518803321</v>
      </c>
      <c r="AF127">
        <f t="shared" si="17"/>
        <v>1</v>
      </c>
    </row>
    <row r="128" spans="1:32">
      <c r="A128" s="2">
        <v>127</v>
      </c>
      <c r="B128">
        <f t="shared" si="23"/>
        <v>16270.211233790131</v>
      </c>
      <c r="C128" s="3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3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3">
        <v>0.3</v>
      </c>
      <c r="AB128">
        <f t="shared" si="15"/>
        <v>2138262.9374612374</v>
      </c>
      <c r="AC128">
        <f t="shared" si="21"/>
        <v>349504.14084965765</v>
      </c>
      <c r="AD128" s="3">
        <v>0.2</v>
      </c>
      <c r="AE128">
        <f t="shared" si="16"/>
        <v>69900.828169931527</v>
      </c>
      <c r="AF128">
        <f t="shared" si="17"/>
        <v>1</v>
      </c>
    </row>
    <row r="129" spans="1:32">
      <c r="A129" s="2">
        <v>128</v>
      </c>
      <c r="B129">
        <f t="shared" si="23"/>
        <v>17571.828132493341</v>
      </c>
      <c r="C129" s="3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3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3">
        <v>0.3</v>
      </c>
      <c r="AB129">
        <f t="shared" si="15"/>
        <v>2309323.9724581367</v>
      </c>
      <c r="AC129">
        <f t="shared" si="21"/>
        <v>370474.38930063712</v>
      </c>
      <c r="AD129" s="3">
        <v>0.2</v>
      </c>
      <c r="AE129">
        <f t="shared" si="16"/>
        <v>74094.877860127424</v>
      </c>
      <c r="AF129">
        <f t="shared" si="17"/>
        <v>1</v>
      </c>
    </row>
    <row r="130" spans="1:32">
      <c r="A130" s="2">
        <v>129</v>
      </c>
      <c r="B130">
        <f t="shared" si="23"/>
        <v>18977.574383092808</v>
      </c>
      <c r="C130" s="3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3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3">
        <v>0.3</v>
      </c>
      <c r="AB130">
        <f t="shared" si="15"/>
        <v>2494069.8902547881</v>
      </c>
      <c r="AC130">
        <f t="shared" si="21"/>
        <v>392702.85265867534</v>
      </c>
      <c r="AD130" s="3">
        <v>0.2</v>
      </c>
      <c r="AE130">
        <f t="shared" si="16"/>
        <v>78540.570531735066</v>
      </c>
      <c r="AF130">
        <f t="shared" si="17"/>
        <v>1</v>
      </c>
    </row>
    <row r="131" spans="1:32">
      <c r="A131" s="2">
        <v>130</v>
      </c>
      <c r="B131">
        <f t="shared" si="23"/>
        <v>20495.780333740233</v>
      </c>
      <c r="C131" s="3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3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3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3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>
      <c r="A132" s="2">
        <v>131</v>
      </c>
      <c r="B132">
        <f t="shared" si="23"/>
        <v>22135.442760439451</v>
      </c>
      <c r="C132" s="3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3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3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3">
        <v>0.2</v>
      </c>
      <c r="AE132">
        <f t="shared" si="30"/>
        <v>88248.185049457534</v>
      </c>
      <c r="AF132">
        <f t="shared" si="31"/>
        <v>1</v>
      </c>
    </row>
    <row r="133" spans="1:32">
      <c r="A133" s="2">
        <v>132</v>
      </c>
      <c r="B133">
        <f t="shared" si="23"/>
        <v>23906.278181274607</v>
      </c>
      <c r="C133" s="3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3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3">
        <v>0.3</v>
      </c>
      <c r="AB133">
        <f t="shared" si="29"/>
        <v>3141809.76959264</v>
      </c>
      <c r="AC133">
        <f t="shared" si="32"/>
        <v>467715.3807621249</v>
      </c>
      <c r="AD133" s="3">
        <v>0.2</v>
      </c>
      <c r="AE133">
        <f t="shared" si="30"/>
        <v>93543.076152424983</v>
      </c>
      <c r="AF133">
        <f t="shared" si="31"/>
        <v>1</v>
      </c>
    </row>
    <row r="134" spans="1:32">
      <c r="A134" s="2">
        <v>133</v>
      </c>
      <c r="B134">
        <f t="shared" si="23"/>
        <v>25818.780435776574</v>
      </c>
      <c r="C134" s="3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3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3">
        <v>0.3</v>
      </c>
      <c r="AB134">
        <f t="shared" si="29"/>
        <v>3393154.551160051</v>
      </c>
      <c r="AC134">
        <f t="shared" si="32"/>
        <v>495778.30360785243</v>
      </c>
      <c r="AD134" s="3">
        <v>0.2</v>
      </c>
      <c r="AE134">
        <f t="shared" si="30"/>
        <v>99155.660721570486</v>
      </c>
      <c r="AF134">
        <f t="shared" si="31"/>
        <v>1</v>
      </c>
    </row>
    <row r="135" spans="1:32">
      <c r="A135" s="2">
        <v>134</v>
      </c>
      <c r="B135">
        <f t="shared" si="23"/>
        <v>27884.282870638701</v>
      </c>
      <c r="C135" s="3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3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3">
        <v>0.3</v>
      </c>
      <c r="AB135">
        <f t="shared" si="29"/>
        <v>3664606.9152528555</v>
      </c>
      <c r="AC135">
        <f t="shared" si="32"/>
        <v>525525.00182432355</v>
      </c>
      <c r="AD135" s="3">
        <v>0.2</v>
      </c>
      <c r="AE135">
        <f t="shared" si="30"/>
        <v>105105.00036486471</v>
      </c>
      <c r="AF135">
        <f t="shared" si="31"/>
        <v>1</v>
      </c>
    </row>
    <row r="136" spans="1:32">
      <c r="A136" s="2">
        <v>135</v>
      </c>
      <c r="B136">
        <f t="shared" si="23"/>
        <v>30115.025500289797</v>
      </c>
      <c r="C136" s="3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3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3">
        <v>0.3</v>
      </c>
      <c r="AB136">
        <f t="shared" si="29"/>
        <v>3957775.4684730838</v>
      </c>
      <c r="AC136">
        <f t="shared" si="32"/>
        <v>557056.50193378294</v>
      </c>
      <c r="AD136" s="3">
        <v>0.2</v>
      </c>
      <c r="AE136">
        <f t="shared" si="30"/>
        <v>111411.3003867566</v>
      </c>
      <c r="AF136">
        <f t="shared" si="31"/>
        <v>1</v>
      </c>
    </row>
    <row r="137" spans="1:32">
      <c r="A137" s="2">
        <v>136</v>
      </c>
      <c r="B137">
        <f t="shared" si="23"/>
        <v>32524.227540312982</v>
      </c>
      <c r="C137" s="3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3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3">
        <v>0.3</v>
      </c>
      <c r="AB137">
        <f t="shared" si="29"/>
        <v>4274397.5059509315</v>
      </c>
      <c r="AC137">
        <f t="shared" si="32"/>
        <v>590479.89204980992</v>
      </c>
      <c r="AD137" s="3">
        <v>0.2</v>
      </c>
      <c r="AE137">
        <f t="shared" si="30"/>
        <v>118095.97840996199</v>
      </c>
      <c r="AF137">
        <f t="shared" si="31"/>
        <v>1</v>
      </c>
    </row>
    <row r="138" spans="1:32">
      <c r="A138" s="2">
        <v>137</v>
      </c>
      <c r="B138">
        <f t="shared" si="23"/>
        <v>35126.165743538018</v>
      </c>
      <c r="C138" s="3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3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3">
        <v>0.3</v>
      </c>
      <c r="AB138">
        <f t="shared" si="29"/>
        <v>4616349.3064270066</v>
      </c>
      <c r="AC138">
        <f t="shared" si="32"/>
        <v>625908.6855727986</v>
      </c>
      <c r="AD138" s="3">
        <v>0.2</v>
      </c>
      <c r="AE138">
        <f t="shared" si="30"/>
        <v>125181.73711455973</v>
      </c>
      <c r="AF138">
        <f t="shared" si="31"/>
        <v>1</v>
      </c>
    </row>
    <row r="139" spans="1:32">
      <c r="A139" s="2">
        <v>138</v>
      </c>
      <c r="B139">
        <f t="shared" si="23"/>
        <v>37936.259003021063</v>
      </c>
      <c r="C139" s="3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3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3">
        <v>0.3</v>
      </c>
      <c r="AB139">
        <f t="shared" si="29"/>
        <v>4985657.2509411667</v>
      </c>
      <c r="AC139">
        <f t="shared" si="32"/>
        <v>663463.20670716651</v>
      </c>
      <c r="AD139" s="3">
        <v>0.2</v>
      </c>
      <c r="AE139">
        <f t="shared" si="30"/>
        <v>132692.64134143331</v>
      </c>
      <c r="AF139">
        <f t="shared" si="31"/>
        <v>1</v>
      </c>
    </row>
    <row r="140" spans="1:32">
      <c r="A140" s="2">
        <v>139</v>
      </c>
      <c r="B140">
        <f t="shared" si="23"/>
        <v>40971.159723262746</v>
      </c>
      <c r="C140" s="3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3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3">
        <v>0.3</v>
      </c>
      <c r="AB140">
        <f t="shared" si="29"/>
        <v>5384509.8310164604</v>
      </c>
      <c r="AC140">
        <f t="shared" si="32"/>
        <v>703270.99910959648</v>
      </c>
      <c r="AD140" s="3">
        <v>0.2</v>
      </c>
      <c r="AE140">
        <f t="shared" si="30"/>
        <v>140654.19982191929</v>
      </c>
      <c r="AF140">
        <f t="shared" si="31"/>
        <v>1</v>
      </c>
    </row>
    <row r="141" spans="1:32">
      <c r="A141" s="2">
        <v>140</v>
      </c>
      <c r="B141">
        <f t="shared" si="23"/>
        <v>44248.852501123765</v>
      </c>
      <c r="C141" s="3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3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3">
        <v>0.3</v>
      </c>
      <c r="AB141">
        <f t="shared" si="29"/>
        <v>5815270.6174977776</v>
      </c>
      <c r="AC141">
        <f t="shared" si="32"/>
        <v>745467.25905617233</v>
      </c>
      <c r="AD141" s="3">
        <v>0.2</v>
      </c>
      <c r="AE141">
        <f t="shared" si="30"/>
        <v>149093.45181123447</v>
      </c>
      <c r="AF141">
        <f t="shared" si="31"/>
        <v>1</v>
      </c>
    </row>
    <row r="142" spans="1:32">
      <c r="A142" s="2">
        <v>141</v>
      </c>
      <c r="B142">
        <f t="shared" si="23"/>
        <v>47788.760701213665</v>
      </c>
      <c r="C142" s="3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3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3">
        <v>0.3</v>
      </c>
      <c r="AB142">
        <f t="shared" si="29"/>
        <v>6280492.2668976001</v>
      </c>
      <c r="AC142">
        <f t="shared" si="32"/>
        <v>790195.29459954274</v>
      </c>
      <c r="AD142" s="3">
        <v>0.2</v>
      </c>
      <c r="AE142">
        <f t="shared" si="30"/>
        <v>158039.05891990857</v>
      </c>
      <c r="AF142">
        <f t="shared" si="31"/>
        <v>1</v>
      </c>
    </row>
    <row r="143" spans="1:32">
      <c r="A143" s="2">
        <v>142</v>
      </c>
      <c r="B143">
        <f t="shared" si="23"/>
        <v>51611.86155731076</v>
      </c>
      <c r="C143" s="3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3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3">
        <v>0.3</v>
      </c>
      <c r="AB143">
        <f t="shared" si="29"/>
        <v>6782931.6482494092</v>
      </c>
      <c r="AC143">
        <f t="shared" si="32"/>
        <v>837607.01227551536</v>
      </c>
      <c r="AD143" s="3">
        <v>0.2</v>
      </c>
      <c r="AE143">
        <f t="shared" si="30"/>
        <v>167521.40245510309</v>
      </c>
      <c r="AF143">
        <f t="shared" si="31"/>
        <v>1</v>
      </c>
    </row>
    <row r="144" spans="1:32">
      <c r="A144" s="2">
        <v>143</v>
      </c>
      <c r="B144">
        <f t="shared" si="23"/>
        <v>55740.81048189562</v>
      </c>
      <c r="C144" s="3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3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3">
        <v>0.3</v>
      </c>
      <c r="AB144">
        <f t="shared" si="29"/>
        <v>7325566.1801093621</v>
      </c>
      <c r="AC144">
        <f t="shared" si="32"/>
        <v>887863.43301204627</v>
      </c>
      <c r="AD144" s="3">
        <v>0.2</v>
      </c>
      <c r="AE144">
        <f t="shared" si="30"/>
        <v>177572.68660240926</v>
      </c>
      <c r="AF144">
        <f t="shared" si="31"/>
        <v>1</v>
      </c>
    </row>
    <row r="145" spans="1:32">
      <c r="A145" s="2">
        <v>144</v>
      </c>
      <c r="B145">
        <f t="shared" si="23"/>
        <v>60200.075320447271</v>
      </c>
      <c r="C145" s="3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3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3">
        <v>0.3</v>
      </c>
      <c r="AB145">
        <f t="shared" si="29"/>
        <v>7911611.4745181119</v>
      </c>
      <c r="AC145">
        <f t="shared" si="32"/>
        <v>941135.23899276904</v>
      </c>
      <c r="AD145" s="3">
        <v>0.2</v>
      </c>
      <c r="AE145">
        <f t="shared" si="30"/>
        <v>188227.04779855383</v>
      </c>
      <c r="AF145">
        <f t="shared" si="31"/>
        <v>1</v>
      </c>
    </row>
    <row r="146" spans="1:32">
      <c r="A146" s="2">
        <v>145</v>
      </c>
      <c r="B146">
        <f t="shared" si="23"/>
        <v>65016.081346083054</v>
      </c>
      <c r="C146" s="3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3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3">
        <v>0.3</v>
      </c>
      <c r="AB146">
        <f t="shared" si="29"/>
        <v>8544540.3924795613</v>
      </c>
      <c r="AC146">
        <f t="shared" si="32"/>
        <v>997603.35333233525</v>
      </c>
      <c r="AD146" s="3">
        <v>0.2</v>
      </c>
      <c r="AE146">
        <f t="shared" si="30"/>
        <v>199520.67066646705</v>
      </c>
      <c r="AF146">
        <f t="shared" si="31"/>
        <v>1</v>
      </c>
    </row>
    <row r="147" spans="1:32">
      <c r="A147" s="2">
        <v>146</v>
      </c>
      <c r="B147">
        <f t="shared" si="23"/>
        <v>70217.367853769698</v>
      </c>
      <c r="C147" s="3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3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3">
        <v>0.3</v>
      </c>
      <c r="AB147">
        <f t="shared" si="29"/>
        <v>9228103.6238779277</v>
      </c>
      <c r="AC147">
        <f t="shared" si="32"/>
        <v>1057459.5545322753</v>
      </c>
      <c r="AD147" s="3">
        <v>0.2</v>
      </c>
      <c r="AE147">
        <f t="shared" si="30"/>
        <v>211491.91090645507</v>
      </c>
      <c r="AF147">
        <f t="shared" si="31"/>
        <v>1</v>
      </c>
    </row>
    <row r="148" spans="1:32">
      <c r="A148" s="2">
        <v>147</v>
      </c>
      <c r="B148">
        <f t="shared" si="23"/>
        <v>75834.757282071281</v>
      </c>
      <c r="C148" s="3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3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3">
        <v>0.3</v>
      </c>
      <c r="AB148">
        <f t="shared" si="29"/>
        <v>9966351.9137881622</v>
      </c>
      <c r="AC148">
        <f t="shared" si="32"/>
        <v>1120907.1278042118</v>
      </c>
      <c r="AD148" s="3">
        <v>0.2</v>
      </c>
      <c r="AE148">
        <f t="shared" si="30"/>
        <v>224181.42556084238</v>
      </c>
      <c r="AF148">
        <f t="shared" si="31"/>
        <v>1</v>
      </c>
    </row>
    <row r="149" spans="1:32">
      <c r="A149" s="2">
        <v>148</v>
      </c>
      <c r="B149">
        <f t="shared" si="23"/>
        <v>81901.537864636979</v>
      </c>
      <c r="C149" s="3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3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3">
        <v>0.3</v>
      </c>
      <c r="AB149">
        <f t="shared" si="29"/>
        <v>10763660.066891216</v>
      </c>
      <c r="AC149">
        <f t="shared" si="32"/>
        <v>1188161.5554724645</v>
      </c>
      <c r="AD149" s="3">
        <v>0.2</v>
      </c>
      <c r="AE149">
        <f t="shared" si="30"/>
        <v>237632.31109449291</v>
      </c>
      <c r="AF149">
        <f t="shared" si="31"/>
        <v>1</v>
      </c>
    </row>
    <row r="150" spans="1:32">
      <c r="A150" s="2">
        <v>149</v>
      </c>
      <c r="B150">
        <f t="shared" si="23"/>
        <v>88453.660893807944</v>
      </c>
      <c r="C150" s="3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3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3">
        <v>0.3</v>
      </c>
      <c r="AB150">
        <f t="shared" si="29"/>
        <v>11624752.872242514</v>
      </c>
      <c r="AC150">
        <f t="shared" si="32"/>
        <v>1259451.2488008125</v>
      </c>
      <c r="AD150" s="3">
        <v>0.2</v>
      </c>
      <c r="AE150">
        <f t="shared" si="30"/>
        <v>251890.24976016252</v>
      </c>
      <c r="AF150">
        <f t="shared" si="31"/>
        <v>1</v>
      </c>
    </row>
    <row r="151" spans="1:32">
      <c r="A151" s="2">
        <v>150</v>
      </c>
      <c r="B151">
        <f t="shared" si="23"/>
        <v>95529.953765312574</v>
      </c>
      <c r="C151" s="3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3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3">
        <v>0.3</v>
      </c>
      <c r="AB151">
        <f t="shared" si="29"/>
        <v>12554733.102021914</v>
      </c>
      <c r="AC151">
        <f t="shared" si="32"/>
        <v>1335018.3237288613</v>
      </c>
      <c r="AD151" s="3">
        <v>0.2</v>
      </c>
      <c r="AE151">
        <f t="shared" si="30"/>
        <v>267003.66474577226</v>
      </c>
      <c r="AF151">
        <f t="shared" si="31"/>
        <v>1</v>
      </c>
    </row>
    <row r="152" spans="1:32">
      <c r="A152" s="2">
        <v>151</v>
      </c>
      <c r="B152">
        <f t="shared" si="23"/>
        <v>103172.35006653758</v>
      </c>
      <c r="C152" s="3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3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3">
        <v>0.3</v>
      </c>
      <c r="AB152">
        <f t="shared" si="29"/>
        <v>13559111.75018367</v>
      </c>
      <c r="AC152">
        <f t="shared" si="32"/>
        <v>1415119.423152593</v>
      </c>
      <c r="AD152" s="3">
        <v>0.2</v>
      </c>
      <c r="AE152">
        <f t="shared" si="30"/>
        <v>283023.88463051862</v>
      </c>
      <c r="AF152">
        <f t="shared" si="31"/>
        <v>1</v>
      </c>
    </row>
    <row r="153" spans="1:32">
      <c r="A153" s="2">
        <v>152</v>
      </c>
      <c r="B153">
        <f t="shared" si="23"/>
        <v>111426.13807186058</v>
      </c>
      <c r="C153" s="3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3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3">
        <v>0.3</v>
      </c>
      <c r="AB153">
        <f t="shared" si="29"/>
        <v>14643840.690198364</v>
      </c>
      <c r="AC153">
        <f t="shared" si="32"/>
        <v>1500026.5885417487</v>
      </c>
      <c r="AD153" s="3">
        <v>0.2</v>
      </c>
      <c r="AE153">
        <f t="shared" si="30"/>
        <v>300005.31770834973</v>
      </c>
      <c r="AF153">
        <f t="shared" si="31"/>
        <v>1</v>
      </c>
    </row>
    <row r="154" spans="1:32">
      <c r="A154" s="2">
        <v>153</v>
      </c>
      <c r="B154">
        <f t="shared" si="23"/>
        <v>120340.22911760943</v>
      </c>
      <c r="C154" s="3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3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3">
        <v>0.3</v>
      </c>
      <c r="AB154">
        <f t="shared" si="29"/>
        <v>15815347.945414236</v>
      </c>
      <c r="AC154">
        <f t="shared" si="32"/>
        <v>1590028.1838542537</v>
      </c>
      <c r="AD154" s="3">
        <v>0.2</v>
      </c>
      <c r="AE154">
        <f t="shared" si="30"/>
        <v>318005.63677085075</v>
      </c>
      <c r="AF154">
        <f t="shared" si="31"/>
        <v>1</v>
      </c>
    </row>
    <row r="155" spans="1:32">
      <c r="A155" s="2">
        <v>154</v>
      </c>
      <c r="B155">
        <f t="shared" si="23"/>
        <v>129967.44744701819</v>
      </c>
      <c r="C155" s="3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3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3">
        <v>0.3</v>
      </c>
      <c r="AB155">
        <f t="shared" si="29"/>
        <v>17080575.781047378</v>
      </c>
      <c r="AC155">
        <f t="shared" si="32"/>
        <v>1685429.874885509</v>
      </c>
      <c r="AD155" s="3">
        <v>0.2</v>
      </c>
      <c r="AE155">
        <f t="shared" si="30"/>
        <v>337085.97497710184</v>
      </c>
      <c r="AF155">
        <f t="shared" si="31"/>
        <v>1</v>
      </c>
    </row>
    <row r="156" spans="1:32">
      <c r="A156" s="2">
        <v>155</v>
      </c>
      <c r="B156">
        <f t="shared" si="23"/>
        <v>140364.84324277964</v>
      </c>
      <c r="C156" s="3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3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3">
        <v>0.3</v>
      </c>
      <c r="AB156">
        <f t="shared" si="29"/>
        <v>18447021.843531165</v>
      </c>
      <c r="AC156">
        <f t="shared" si="32"/>
        <v>1786555.6673786396</v>
      </c>
      <c r="AD156" s="3">
        <v>0.2</v>
      </c>
      <c r="AE156">
        <f t="shared" si="30"/>
        <v>357311.13347572793</v>
      </c>
      <c r="AF156">
        <f t="shared" si="31"/>
        <v>1</v>
      </c>
    </row>
    <row r="157" spans="1:32">
      <c r="A157" s="2">
        <v>156</v>
      </c>
      <c r="B157">
        <f t="shared" si="23"/>
        <v>151594.030702202</v>
      </c>
      <c r="C157" s="3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3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3">
        <v>0.3</v>
      </c>
      <c r="AB157">
        <f t="shared" si="29"/>
        <v>19922783.591013659</v>
      </c>
      <c r="AC157">
        <f t="shared" si="32"/>
        <v>1893749.007421358</v>
      </c>
      <c r="AD157" s="3">
        <v>0.2</v>
      </c>
      <c r="AE157">
        <f t="shared" si="30"/>
        <v>378749.80148427165</v>
      </c>
      <c r="AF157">
        <f t="shared" si="31"/>
        <v>1</v>
      </c>
    </row>
    <row r="158" spans="1:32">
      <c r="A158" s="2">
        <v>157</v>
      </c>
      <c r="B158">
        <f t="shared" si="23"/>
        <v>163721.55315837817</v>
      </c>
      <c r="C158" s="3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3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3">
        <v>0.3</v>
      </c>
      <c r="AB158">
        <f t="shared" si="29"/>
        <v>21516606.278294753</v>
      </c>
      <c r="AC158">
        <f t="shared" si="32"/>
        <v>2007373.9478666396</v>
      </c>
      <c r="AD158" s="3">
        <v>0.2</v>
      </c>
      <c r="AE158">
        <f t="shared" si="30"/>
        <v>401474.78957332793</v>
      </c>
      <c r="AF158">
        <f t="shared" si="31"/>
        <v>1</v>
      </c>
    </row>
    <row r="159" spans="1:32">
      <c r="A159" s="2">
        <v>158</v>
      </c>
      <c r="B159">
        <f t="shared" si="23"/>
        <v>176819.27741104842</v>
      </c>
      <c r="C159" s="3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3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3">
        <v>0.3</v>
      </c>
      <c r="AB159">
        <f t="shared" si="29"/>
        <v>23237934.780558337</v>
      </c>
      <c r="AC159">
        <f t="shared" si="32"/>
        <v>2127816.3847386381</v>
      </c>
      <c r="AD159" s="3">
        <v>0.2</v>
      </c>
      <c r="AE159">
        <f t="shared" si="30"/>
        <v>425563.27694772766</v>
      </c>
      <c r="AF159">
        <f t="shared" si="31"/>
        <v>1</v>
      </c>
    </row>
    <row r="160" spans="1:32">
      <c r="A160" s="2">
        <v>159</v>
      </c>
      <c r="B160">
        <f t="shared" si="23"/>
        <v>190964.81960393229</v>
      </c>
      <c r="C160" s="3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3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3">
        <v>0.3</v>
      </c>
      <c r="AB160">
        <f t="shared" si="29"/>
        <v>25096969.563003004</v>
      </c>
      <c r="AC160">
        <f t="shared" si="32"/>
        <v>2255485.3678229563</v>
      </c>
      <c r="AD160" s="3">
        <v>0.2</v>
      </c>
      <c r="AE160">
        <f t="shared" si="30"/>
        <v>451097.07356459129</v>
      </c>
      <c r="AF160">
        <f t="shared" si="31"/>
        <v>1</v>
      </c>
    </row>
    <row r="161" spans="1:32">
      <c r="A161" s="2">
        <v>160</v>
      </c>
      <c r="B161">
        <f t="shared" si="23"/>
        <v>206242.00517224689</v>
      </c>
      <c r="C161" s="3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3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3">
        <v>0.3</v>
      </c>
      <c r="AB161">
        <f t="shared" si="29"/>
        <v>27104727.128043246</v>
      </c>
      <c r="AC161">
        <f t="shared" si="32"/>
        <v>2390814.4898923337</v>
      </c>
      <c r="AD161" s="3">
        <v>0.2</v>
      </c>
      <c r="AE161">
        <f t="shared" si="30"/>
        <v>478162.89797846676</v>
      </c>
      <c r="AF161">
        <f t="shared" si="31"/>
        <v>1</v>
      </c>
    </row>
    <row r="162" spans="1:32">
      <c r="A162" s="2">
        <v>161</v>
      </c>
      <c r="B162">
        <f t="shared" si="23"/>
        <v>222741.36558602663</v>
      </c>
      <c r="C162" s="3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3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3">
        <v>0.3</v>
      </c>
      <c r="AB162">
        <f t="shared" si="29"/>
        <v>29273105.29828671</v>
      </c>
      <c r="AC162">
        <f t="shared" si="32"/>
        <v>2534263.3592858738</v>
      </c>
      <c r="AD162" s="3">
        <v>0.2</v>
      </c>
      <c r="AE162">
        <f t="shared" si="30"/>
        <v>506852.67185717478</v>
      </c>
      <c r="AF162">
        <f t="shared" si="31"/>
        <v>1</v>
      </c>
    </row>
    <row r="163" spans="1:32">
      <c r="A163" s="2">
        <v>162</v>
      </c>
      <c r="B163">
        <f t="shared" si="23"/>
        <v>240560.67483290876</v>
      </c>
      <c r="C163" s="3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3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3">
        <v>0.3</v>
      </c>
      <c r="AB163">
        <f t="shared" si="29"/>
        <v>31614953.722149651</v>
      </c>
      <c r="AC163">
        <f t="shared" si="32"/>
        <v>2686319.1608430264</v>
      </c>
      <c r="AD163" s="3">
        <v>0.2</v>
      </c>
      <c r="AE163">
        <f t="shared" si="30"/>
        <v>537263.8321686053</v>
      </c>
      <c r="AF163">
        <f t="shared" si="31"/>
        <v>1</v>
      </c>
    </row>
    <row r="164" spans="1:32">
      <c r="A164" s="2">
        <v>163</v>
      </c>
      <c r="B164">
        <f t="shared" si="23"/>
        <v>259805.52881954145</v>
      </c>
      <c r="C164" s="3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3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3">
        <v>0.3</v>
      </c>
      <c r="AB164">
        <f t="shared" si="29"/>
        <v>34144150.019921623</v>
      </c>
      <c r="AC164">
        <f t="shared" si="32"/>
        <v>2847498.310493608</v>
      </c>
      <c r="AD164" s="3">
        <v>0.2</v>
      </c>
      <c r="AE164">
        <f t="shared" si="30"/>
        <v>569499.6620987216</v>
      </c>
      <c r="AF164">
        <f t="shared" si="31"/>
        <v>1</v>
      </c>
    </row>
    <row r="165" spans="1:32">
      <c r="A165" s="2">
        <v>164</v>
      </c>
      <c r="B165">
        <f t="shared" si="23"/>
        <v>280589.97112510476</v>
      </c>
      <c r="C165" s="3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3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3">
        <v>0.3</v>
      </c>
      <c r="AB165">
        <f t="shared" si="29"/>
        <v>36875682.021515362</v>
      </c>
      <c r="AC165">
        <f t="shared" si="32"/>
        <v>3018348.2091232245</v>
      </c>
      <c r="AD165" s="3">
        <v>0.2</v>
      </c>
      <c r="AE165">
        <f t="shared" si="30"/>
        <v>603669.64182464487</v>
      </c>
      <c r="AF165">
        <f t="shared" si="31"/>
        <v>1</v>
      </c>
    </row>
    <row r="166" spans="1:32">
      <c r="A166" s="2">
        <v>165</v>
      </c>
      <c r="B166">
        <f t="shared" ref="B166:B200" si="34">B165+B165*C165</f>
        <v>303037.16881511314</v>
      </c>
      <c r="C166" s="3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3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3">
        <v>0.3</v>
      </c>
      <c r="AB166">
        <f t="shared" si="29"/>
        <v>39825736.58323659</v>
      </c>
      <c r="AC166">
        <f t="shared" si="32"/>
        <v>3199449.1016706182</v>
      </c>
      <c r="AD166" s="3">
        <v>0.2</v>
      </c>
      <c r="AE166">
        <f t="shared" si="30"/>
        <v>639889.82033412368</v>
      </c>
      <c r="AF166">
        <f t="shared" si="31"/>
        <v>1</v>
      </c>
    </row>
    <row r="167" spans="1:32">
      <c r="A167" s="2">
        <v>166</v>
      </c>
      <c r="B167">
        <f t="shared" si="34"/>
        <v>327280.14232032216</v>
      </c>
      <c r="C167" s="3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3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3">
        <v>0.3</v>
      </c>
      <c r="AB167">
        <f t="shared" si="29"/>
        <v>43011795.509895518</v>
      </c>
      <c r="AC167">
        <f t="shared" si="32"/>
        <v>3391416.0477708555</v>
      </c>
      <c r="AD167" s="3">
        <v>0.2</v>
      </c>
      <c r="AE167">
        <f t="shared" si="30"/>
        <v>678283.20955417119</v>
      </c>
      <c r="AF167">
        <f t="shared" si="31"/>
        <v>1</v>
      </c>
    </row>
    <row r="168" spans="1:32">
      <c r="A168" s="2">
        <v>167</v>
      </c>
      <c r="B168">
        <f t="shared" si="34"/>
        <v>353462.55370594794</v>
      </c>
      <c r="C168" s="3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3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3">
        <v>0.3</v>
      </c>
      <c r="AB168">
        <f t="shared" si="29"/>
        <v>46452739.150687158</v>
      </c>
      <c r="AC168">
        <f t="shared" si="32"/>
        <v>3594901.0106371068</v>
      </c>
      <c r="AD168" s="3">
        <v>0.2</v>
      </c>
      <c r="AE168">
        <f t="shared" si="30"/>
        <v>718980.20212742139</v>
      </c>
      <c r="AF168">
        <f t="shared" si="31"/>
        <v>1</v>
      </c>
    </row>
    <row r="169" spans="1:32">
      <c r="A169" s="2">
        <v>168</v>
      </c>
      <c r="B169">
        <f t="shared" si="34"/>
        <v>381739.55800242379</v>
      </c>
      <c r="C169" s="3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3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3">
        <v>0.3</v>
      </c>
      <c r="AB169">
        <f t="shared" si="29"/>
        <v>50168958.282742135</v>
      </c>
      <c r="AC169">
        <f t="shared" si="32"/>
        <v>3810595.0712753334</v>
      </c>
      <c r="AD169" s="3">
        <v>0.2</v>
      </c>
      <c r="AE169">
        <f t="shared" si="30"/>
        <v>762119.01425506675</v>
      </c>
      <c r="AF169">
        <f t="shared" si="31"/>
        <v>1</v>
      </c>
    </row>
    <row r="170" spans="1:32">
      <c r="A170" s="2">
        <v>169</v>
      </c>
      <c r="B170">
        <f t="shared" si="34"/>
        <v>412278.72264261771</v>
      </c>
      <c r="C170" s="3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3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3">
        <v>0.3</v>
      </c>
      <c r="AB170">
        <f t="shared" si="29"/>
        <v>54182474.94536151</v>
      </c>
      <c r="AC170">
        <f t="shared" si="32"/>
        <v>4039230.7755518537</v>
      </c>
      <c r="AD170" s="3">
        <v>0.2</v>
      </c>
      <c r="AE170">
        <f t="shared" si="30"/>
        <v>807846.15511037083</v>
      </c>
      <c r="AF170">
        <f t="shared" si="31"/>
        <v>1</v>
      </c>
    </row>
    <row r="171" spans="1:32">
      <c r="A171" s="2">
        <v>170</v>
      </c>
      <c r="B171">
        <f t="shared" si="34"/>
        <v>445261.02045402711</v>
      </c>
      <c r="C171" s="3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3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3">
        <v>0.3</v>
      </c>
      <c r="AB171">
        <f t="shared" si="29"/>
        <v>58517072.940990433</v>
      </c>
      <c r="AC171">
        <f t="shared" si="32"/>
        <v>4281584.622084965</v>
      </c>
      <c r="AD171" s="3">
        <v>0.2</v>
      </c>
      <c r="AE171">
        <f t="shared" si="30"/>
        <v>856316.92441699305</v>
      </c>
      <c r="AF171">
        <f t="shared" si="31"/>
        <v>1</v>
      </c>
    </row>
    <row r="172" spans="1:32">
      <c r="A172" s="2">
        <v>171</v>
      </c>
      <c r="B172">
        <f t="shared" si="34"/>
        <v>480881.90209034929</v>
      </c>
      <c r="C172" s="3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3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3">
        <v>0.3</v>
      </c>
      <c r="AB172">
        <f t="shared" si="29"/>
        <v>63198438.776269667</v>
      </c>
      <c r="AC172">
        <f t="shared" si="32"/>
        <v>4538479.6994100632</v>
      </c>
      <c r="AD172" s="3">
        <v>0.2</v>
      </c>
      <c r="AE172">
        <f t="shared" si="30"/>
        <v>907695.93988201267</v>
      </c>
      <c r="AF172">
        <f t="shared" si="31"/>
        <v>1</v>
      </c>
    </row>
    <row r="173" spans="1:32">
      <c r="A173" s="2">
        <v>172</v>
      </c>
      <c r="B173">
        <f t="shared" si="34"/>
        <v>519352.45425757725</v>
      </c>
      <c r="C173" s="3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3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3">
        <v>0.3</v>
      </c>
      <c r="AB173">
        <f t="shared" si="29"/>
        <v>68254313.878371254</v>
      </c>
      <c r="AC173">
        <f t="shared" si="32"/>
        <v>4810788.481374667</v>
      </c>
      <c r="AD173" s="3">
        <v>0.2</v>
      </c>
      <c r="AE173">
        <f t="shared" si="30"/>
        <v>962157.69627493341</v>
      </c>
      <c r="AF173">
        <f t="shared" si="31"/>
        <v>1</v>
      </c>
    </row>
    <row r="174" spans="1:32">
      <c r="A174" s="2">
        <v>173</v>
      </c>
      <c r="B174">
        <f t="shared" si="34"/>
        <v>560900.65059818339</v>
      </c>
      <c r="C174" s="3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3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3">
        <v>0.3</v>
      </c>
      <c r="AB174">
        <f t="shared" si="29"/>
        <v>73714658.988640964</v>
      </c>
      <c r="AC174">
        <f t="shared" si="32"/>
        <v>5099435.7902571475</v>
      </c>
      <c r="AD174" s="3">
        <v>0.2</v>
      </c>
      <c r="AE174">
        <f t="shared" si="30"/>
        <v>1019887.1580514295</v>
      </c>
      <c r="AF174">
        <f t="shared" si="31"/>
        <v>1</v>
      </c>
    </row>
    <row r="175" spans="1:32">
      <c r="A175" s="2">
        <v>174</v>
      </c>
      <c r="B175">
        <f t="shared" si="34"/>
        <v>605772.70264603803</v>
      </c>
      <c r="C175" s="3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3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3">
        <v>0.3</v>
      </c>
      <c r="AB175">
        <f t="shared" si="29"/>
        <v>79611831.70773223</v>
      </c>
      <c r="AC175">
        <f t="shared" si="32"/>
        <v>5405401.9376725769</v>
      </c>
      <c r="AD175" s="3">
        <v>0.2</v>
      </c>
      <c r="AE175">
        <f t="shared" si="30"/>
        <v>1081080.3875345155</v>
      </c>
      <c r="AF175">
        <f t="shared" si="31"/>
        <v>1</v>
      </c>
    </row>
    <row r="176" spans="1:32">
      <c r="A176" s="2">
        <v>175</v>
      </c>
      <c r="B176">
        <f t="shared" si="34"/>
        <v>654234.51885772112</v>
      </c>
      <c r="C176" s="3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3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3">
        <v>0.3</v>
      </c>
      <c r="AB176">
        <f t="shared" si="29"/>
        <v>85980778.244350821</v>
      </c>
      <c r="AC176">
        <f t="shared" si="32"/>
        <v>5729726.0539329322</v>
      </c>
      <c r="AD176" s="3">
        <v>0.2</v>
      </c>
      <c r="AE176">
        <f t="shared" si="30"/>
        <v>1145945.2107865864</v>
      </c>
      <c r="AF176">
        <f t="shared" si="31"/>
        <v>1</v>
      </c>
    </row>
    <row r="177" spans="1:32">
      <c r="A177" s="2">
        <v>176</v>
      </c>
      <c r="B177">
        <f t="shared" si="34"/>
        <v>706573.28036633879</v>
      </c>
      <c r="C177" s="3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3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3">
        <v>0.3</v>
      </c>
      <c r="AB177">
        <f t="shared" si="29"/>
        <v>92859240.503898889</v>
      </c>
      <c r="AC177">
        <f t="shared" si="32"/>
        <v>6073509.617168908</v>
      </c>
      <c r="AD177" s="3">
        <v>0.2</v>
      </c>
      <c r="AE177">
        <f t="shared" si="30"/>
        <v>1214701.9234337816</v>
      </c>
      <c r="AF177">
        <f t="shared" si="31"/>
        <v>1</v>
      </c>
    </row>
    <row r="178" spans="1:32">
      <c r="A178" s="2">
        <v>177</v>
      </c>
      <c r="B178">
        <f t="shared" si="34"/>
        <v>763099.14279564586</v>
      </c>
      <c r="C178" s="3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3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3">
        <v>0.3</v>
      </c>
      <c r="AB178">
        <f t="shared" si="29"/>
        <v>100287979.74421081</v>
      </c>
      <c r="AC178">
        <f t="shared" si="32"/>
        <v>6437920.1941990424</v>
      </c>
      <c r="AD178" s="3">
        <v>0.2</v>
      </c>
      <c r="AE178">
        <f t="shared" si="30"/>
        <v>1287584.0388398087</v>
      </c>
      <c r="AF178">
        <f t="shared" si="31"/>
        <v>1</v>
      </c>
    </row>
    <row r="179" spans="1:32">
      <c r="A179" s="2">
        <v>178</v>
      </c>
      <c r="B179">
        <f t="shared" si="34"/>
        <v>824147.0742192975</v>
      </c>
      <c r="C179" s="3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3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3">
        <v>0.3</v>
      </c>
      <c r="AB179">
        <f t="shared" si="29"/>
        <v>108311018.12374768</v>
      </c>
      <c r="AC179">
        <f t="shared" si="32"/>
        <v>6824195.4058509851</v>
      </c>
      <c r="AD179" s="3">
        <v>0.2</v>
      </c>
      <c r="AE179">
        <f t="shared" si="30"/>
        <v>1364839.0811701971</v>
      </c>
      <c r="AF179">
        <f t="shared" si="31"/>
        <v>1</v>
      </c>
    </row>
    <row r="180" spans="1:32">
      <c r="A180" s="2">
        <v>179</v>
      </c>
      <c r="B180">
        <f t="shared" si="34"/>
        <v>890078.84015684132</v>
      </c>
      <c r="C180" s="3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3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3">
        <v>0.3</v>
      </c>
      <c r="AB180">
        <f t="shared" si="29"/>
        <v>116975899.57364748</v>
      </c>
      <c r="AC180">
        <f t="shared" si="32"/>
        <v>7233647.1302020447</v>
      </c>
      <c r="AD180" s="3">
        <v>0.2</v>
      </c>
      <c r="AE180">
        <f t="shared" si="30"/>
        <v>1446729.4260404091</v>
      </c>
      <c r="AF180">
        <f t="shared" si="31"/>
        <v>1</v>
      </c>
    </row>
    <row r="181" spans="1:32">
      <c r="A181" s="2">
        <v>180</v>
      </c>
      <c r="B181">
        <f t="shared" si="34"/>
        <v>961285.14736938861</v>
      </c>
      <c r="C181" s="3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3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3">
        <v>0.3</v>
      </c>
      <c r="AB181">
        <f t="shared" si="29"/>
        <v>126333971.53953931</v>
      </c>
      <c r="AC181">
        <f t="shared" si="32"/>
        <v>7667665.9580141678</v>
      </c>
      <c r="AD181" s="3">
        <v>0.2</v>
      </c>
      <c r="AE181">
        <f t="shared" si="30"/>
        <v>1533533.1916028336</v>
      </c>
      <c r="AF181">
        <f t="shared" si="31"/>
        <v>1</v>
      </c>
    </row>
    <row r="182" spans="1:32">
      <c r="A182" s="2">
        <v>181</v>
      </c>
      <c r="B182">
        <f t="shared" si="34"/>
        <v>1038187.9591589397</v>
      </c>
      <c r="C182" s="3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3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3">
        <v>0.3</v>
      </c>
      <c r="AB182">
        <f t="shared" si="29"/>
        <v>136440689.26270244</v>
      </c>
      <c r="AC182">
        <f t="shared" si="32"/>
        <v>8127725.9154950185</v>
      </c>
      <c r="AD182" s="3">
        <v>0.2</v>
      </c>
      <c r="AE182">
        <f t="shared" si="30"/>
        <v>1625545.1830990037</v>
      </c>
      <c r="AF182">
        <f t="shared" si="31"/>
        <v>1</v>
      </c>
    </row>
    <row r="183" spans="1:32">
      <c r="A183" s="2">
        <v>182</v>
      </c>
      <c r="B183">
        <f t="shared" si="34"/>
        <v>1121242.9958916549</v>
      </c>
      <c r="C183" s="3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3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3">
        <v>0.3</v>
      </c>
      <c r="AB183">
        <f t="shared" si="29"/>
        <v>147355944.40371865</v>
      </c>
      <c r="AC183">
        <f t="shared" si="32"/>
        <v>8615389.4704247192</v>
      </c>
      <c r="AD183" s="3">
        <v>0.2</v>
      </c>
      <c r="AE183">
        <f t="shared" si="30"/>
        <v>1723077.8940849439</v>
      </c>
      <c r="AF183">
        <f t="shared" si="31"/>
        <v>1</v>
      </c>
    </row>
    <row r="184" spans="1:32">
      <c r="A184" s="2">
        <v>183</v>
      </c>
      <c r="B184">
        <f t="shared" si="34"/>
        <v>1210942.4355629873</v>
      </c>
      <c r="C184" s="3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3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3">
        <v>0.3</v>
      </c>
      <c r="AB184">
        <f t="shared" si="29"/>
        <v>159144419.95601615</v>
      </c>
      <c r="AC184">
        <f t="shared" si="32"/>
        <v>9132312.8386502024</v>
      </c>
      <c r="AD184" s="3">
        <v>0.2</v>
      </c>
      <c r="AE184">
        <f t="shared" si="30"/>
        <v>1826462.5677300405</v>
      </c>
      <c r="AF184">
        <f t="shared" si="31"/>
        <v>1</v>
      </c>
    </row>
    <row r="185" spans="1:32">
      <c r="A185" s="2">
        <v>184</v>
      </c>
      <c r="B185">
        <f t="shared" si="34"/>
        <v>1307817.8304080262</v>
      </c>
      <c r="C185" s="3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3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3">
        <v>0.3</v>
      </c>
      <c r="AB185">
        <f t="shared" si="29"/>
        <v>171875973.55249745</v>
      </c>
      <c r="AC185">
        <f t="shared" si="32"/>
        <v>9680251.6089692153</v>
      </c>
      <c r="AD185" s="3">
        <v>0.2</v>
      </c>
      <c r="AE185">
        <f t="shared" si="30"/>
        <v>1936050.3217938431</v>
      </c>
      <c r="AF185">
        <f t="shared" si="31"/>
        <v>1</v>
      </c>
    </row>
    <row r="186" spans="1:32">
      <c r="A186" s="2">
        <v>185</v>
      </c>
      <c r="B186">
        <f t="shared" si="34"/>
        <v>1412443.2568406684</v>
      </c>
      <c r="C186" s="3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3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3">
        <v>0.3</v>
      </c>
      <c r="AB186">
        <f t="shared" si="29"/>
        <v>185626051.43669727</v>
      </c>
      <c r="AC186">
        <f t="shared" si="32"/>
        <v>10261066.705507368</v>
      </c>
      <c r="AD186" s="3">
        <v>0.2</v>
      </c>
      <c r="AE186">
        <f t="shared" si="30"/>
        <v>2052213.3411014737</v>
      </c>
      <c r="AF186">
        <f t="shared" si="31"/>
        <v>1</v>
      </c>
    </row>
    <row r="187" spans="1:32">
      <c r="A187" s="2">
        <v>186</v>
      </c>
      <c r="B187">
        <f t="shared" si="34"/>
        <v>1525438.7173879219</v>
      </c>
      <c r="C187" s="3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3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3">
        <v>0.3</v>
      </c>
      <c r="AB187">
        <f t="shared" si="29"/>
        <v>200476135.55163306</v>
      </c>
      <c r="AC187">
        <f t="shared" si="32"/>
        <v>10876730.707837811</v>
      </c>
      <c r="AD187" s="3">
        <v>0.2</v>
      </c>
      <c r="AE187">
        <f t="shared" si="30"/>
        <v>2175346.1415675622</v>
      </c>
      <c r="AF187">
        <f t="shared" si="31"/>
        <v>1</v>
      </c>
    </row>
    <row r="188" spans="1:32">
      <c r="A188" s="2">
        <v>187</v>
      </c>
      <c r="B188">
        <f t="shared" si="34"/>
        <v>1647473.8147789557</v>
      </c>
      <c r="C188" s="3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3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3">
        <v>0.3</v>
      </c>
      <c r="AB188">
        <f t="shared" si="29"/>
        <v>216514226.39576373</v>
      </c>
      <c r="AC188">
        <f t="shared" si="32"/>
        <v>11529334.55030808</v>
      </c>
      <c r="AD188" s="3">
        <v>0.2</v>
      </c>
      <c r="AE188">
        <f t="shared" si="30"/>
        <v>2305866.910061616</v>
      </c>
      <c r="AF188">
        <f t="shared" si="31"/>
        <v>1</v>
      </c>
    </row>
    <row r="189" spans="1:32">
      <c r="A189" s="2">
        <v>188</v>
      </c>
      <c r="B189">
        <f t="shared" si="34"/>
        <v>1779271.7199612721</v>
      </c>
      <c r="C189" s="3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3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3">
        <v>0.3</v>
      </c>
      <c r="AB189">
        <f t="shared" si="29"/>
        <v>233835364.50742483</v>
      </c>
      <c r="AC189">
        <f t="shared" si="32"/>
        <v>12221094.623326566</v>
      </c>
      <c r="AD189" s="3">
        <v>0.2</v>
      </c>
      <c r="AE189">
        <f t="shared" si="30"/>
        <v>2444218.9246653132</v>
      </c>
      <c r="AF189">
        <f t="shared" si="31"/>
        <v>1</v>
      </c>
    </row>
    <row r="190" spans="1:32">
      <c r="A190" s="2">
        <v>189</v>
      </c>
      <c r="B190">
        <f t="shared" si="34"/>
        <v>1921613.4575581739</v>
      </c>
      <c r="C190" s="3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3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3">
        <v>0.3</v>
      </c>
      <c r="AB190">
        <f t="shared" si="29"/>
        <v>252542193.66801885</v>
      </c>
      <c r="AC190">
        <f t="shared" si="32"/>
        <v>12954360.30072616</v>
      </c>
      <c r="AD190" s="3">
        <v>0.2</v>
      </c>
      <c r="AE190">
        <f t="shared" si="30"/>
        <v>2590872.0601452324</v>
      </c>
      <c r="AF190">
        <f t="shared" si="31"/>
        <v>1</v>
      </c>
    </row>
    <row r="191" spans="1:32">
      <c r="A191" s="2">
        <v>190</v>
      </c>
      <c r="B191">
        <f t="shared" si="34"/>
        <v>2075342.5341628278</v>
      </c>
      <c r="C191" s="3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3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3">
        <v>0.3</v>
      </c>
      <c r="AB191">
        <f t="shared" si="29"/>
        <v>272745569.16146034</v>
      </c>
      <c r="AC191">
        <f t="shared" si="32"/>
        <v>13731621.91876973</v>
      </c>
      <c r="AD191" s="3">
        <v>0.2</v>
      </c>
      <c r="AE191">
        <f t="shared" si="30"/>
        <v>2746324.3837539461</v>
      </c>
      <c r="AF191">
        <f t="shared" si="31"/>
        <v>1</v>
      </c>
    </row>
    <row r="192" spans="1:32">
      <c r="A192" s="2">
        <v>191</v>
      </c>
      <c r="B192">
        <f t="shared" si="34"/>
        <v>2241369.9368958538</v>
      </c>
      <c r="C192" s="3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3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3">
        <v>0.3</v>
      </c>
      <c r="AB192">
        <f t="shared" si="29"/>
        <v>294565214.69437718</v>
      </c>
      <c r="AC192">
        <f t="shared" si="32"/>
        <v>14555519.233895915</v>
      </c>
      <c r="AD192" s="3">
        <v>0.2</v>
      </c>
      <c r="AE192">
        <f t="shared" si="30"/>
        <v>2911103.846779183</v>
      </c>
      <c r="AF192">
        <f t="shared" si="31"/>
        <v>1</v>
      </c>
    </row>
    <row r="193" spans="1:32">
      <c r="A193" s="2">
        <v>192</v>
      </c>
      <c r="B193">
        <f t="shared" si="34"/>
        <v>2420679.5318475221</v>
      </c>
      <c r="C193" s="3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3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3">
        <v>0.3</v>
      </c>
      <c r="AB193">
        <f t="shared" si="29"/>
        <v>318130431.86992741</v>
      </c>
      <c r="AC193">
        <f t="shared" si="32"/>
        <v>15428850.387929671</v>
      </c>
      <c r="AD193" s="3">
        <v>0.2</v>
      </c>
      <c r="AE193">
        <f t="shared" si="30"/>
        <v>3085770.0775859342</v>
      </c>
      <c r="AF193">
        <f t="shared" si="31"/>
        <v>1</v>
      </c>
    </row>
    <row r="194" spans="1:32">
      <c r="A194" s="2">
        <v>193</v>
      </c>
      <c r="B194">
        <f t="shared" si="34"/>
        <v>2614333.8943953239</v>
      </c>
      <c r="C194" s="3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3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3">
        <v>0.3</v>
      </c>
      <c r="AB194">
        <f t="shared" si="29"/>
        <v>343580866.41952163</v>
      </c>
      <c r="AC194">
        <f t="shared" si="32"/>
        <v>16354581.411205452</v>
      </c>
      <c r="AD194" s="3">
        <v>0.2</v>
      </c>
      <c r="AE194">
        <f t="shared" si="30"/>
        <v>3270916.2822410907</v>
      </c>
      <c r="AF194">
        <f t="shared" si="31"/>
        <v>1</v>
      </c>
    </row>
    <row r="195" spans="1:32">
      <c r="A195" s="2">
        <v>194</v>
      </c>
      <c r="B195">
        <f t="shared" si="34"/>
        <v>2823480.6059469497</v>
      </c>
      <c r="C195" s="3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3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3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3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>
      <c r="A196" s="2">
        <v>195</v>
      </c>
      <c r="B196">
        <f t="shared" si="34"/>
        <v>3049359.0544227054</v>
      </c>
      <c r="C196" s="3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3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3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3">
        <v>0.2</v>
      </c>
      <c r="AE196">
        <f t="shared" si="41"/>
        <v>3675201.5347260903</v>
      </c>
      <c r="AF196">
        <f t="shared" si="42"/>
        <v>1</v>
      </c>
    </row>
    <row r="197" spans="1:32">
      <c r="A197" s="2">
        <v>196</v>
      </c>
      <c r="B197">
        <f t="shared" si="34"/>
        <v>3293307.7787765218</v>
      </c>
      <c r="C197" s="3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3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3">
        <v>0.3</v>
      </c>
      <c r="AB197">
        <f t="shared" si="40"/>
        <v>432812940.39906853</v>
      </c>
      <c r="AC197">
        <f t="shared" si="43"/>
        <v>19478568.134048279</v>
      </c>
      <c r="AD197" s="3">
        <v>0.2</v>
      </c>
      <c r="AE197">
        <f t="shared" si="41"/>
        <v>3895713.6268096562</v>
      </c>
      <c r="AF197">
        <f t="shared" si="42"/>
        <v>1</v>
      </c>
    </row>
    <row r="198" spans="1:32">
      <c r="A198" s="2">
        <v>197</v>
      </c>
      <c r="B198">
        <f t="shared" si="34"/>
        <v>3556772.4010786437</v>
      </c>
      <c r="C198" s="3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3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3">
        <v>0.3</v>
      </c>
      <c r="AB198">
        <f t="shared" si="40"/>
        <v>467437975.63099408</v>
      </c>
      <c r="AC198">
        <f t="shared" si="43"/>
        <v>20647282.222091176</v>
      </c>
      <c r="AD198" s="3">
        <v>0.2</v>
      </c>
      <c r="AE198">
        <f t="shared" si="41"/>
        <v>4129456.4444182352</v>
      </c>
      <c r="AF198">
        <f t="shared" si="42"/>
        <v>1</v>
      </c>
    </row>
    <row r="199" spans="1:32">
      <c r="A199" s="2">
        <v>198</v>
      </c>
      <c r="B199">
        <f t="shared" si="34"/>
        <v>3841314.1931649353</v>
      </c>
      <c r="C199" s="3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3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3">
        <v>0.3</v>
      </c>
      <c r="AB199">
        <f t="shared" si="40"/>
        <v>504833013.68147367</v>
      </c>
      <c r="AC199">
        <f t="shared" si="43"/>
        <v>21886119.155416649</v>
      </c>
      <c r="AD199" s="3">
        <v>0.2</v>
      </c>
      <c r="AE199">
        <f t="shared" si="41"/>
        <v>4377223.8310833303</v>
      </c>
      <c r="AF199">
        <f t="shared" si="42"/>
        <v>1</v>
      </c>
    </row>
    <row r="200" spans="1:32">
      <c r="A200" s="2">
        <v>199</v>
      </c>
      <c r="B200">
        <f t="shared" si="34"/>
        <v>4148619.3286181302</v>
      </c>
      <c r="C200" s="3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3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3">
        <v>0.3</v>
      </c>
      <c r="AB200">
        <f t="shared" si="40"/>
        <v>545219654.77599156</v>
      </c>
      <c r="AC200">
        <f t="shared" si="43"/>
        <v>23199286.304741647</v>
      </c>
      <c r="AD200" s="3">
        <v>0.2</v>
      </c>
      <c r="AE200">
        <f t="shared" si="41"/>
        <v>4639857.2609483292</v>
      </c>
      <c r="AF200">
        <f t="shared" si="42"/>
        <v>1</v>
      </c>
    </row>
    <row r="201" spans="1:32">
      <c r="A201" s="2">
        <v>200</v>
      </c>
      <c r="B201">
        <f>B200+B200*C200</f>
        <v>4480508.8749075802</v>
      </c>
      <c r="C201" s="3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3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3">
        <v>0.3</v>
      </c>
      <c r="AB201">
        <f t="shared" si="40"/>
        <v>588837227.15807092</v>
      </c>
      <c r="AC201">
        <f t="shared" si="43"/>
        <v>24591243.483026147</v>
      </c>
      <c r="AD201" s="3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3.5"/>
  <sheetData>
    <row r="3" spans="3:3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52388</xdr:colOff>
                <xdr:row>37</xdr:row>
                <xdr:rowOff>52388</xdr:rowOff>
              </from>
              <to>
                <xdr:col>15</xdr:col>
                <xdr:colOff>547688</xdr:colOff>
                <xdr:row>59</xdr:row>
                <xdr:rowOff>90488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100013</xdr:colOff>
                <xdr:row>1</xdr:row>
                <xdr:rowOff>38100</xdr:rowOff>
              </from>
              <to>
                <xdr:col>25</xdr:col>
                <xdr:colOff>466725</xdr:colOff>
                <xdr:row>36</xdr:row>
                <xdr:rowOff>100013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166688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中药etf成分股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hxffish@163.com</cp:lastModifiedBy>
  <dcterms:created xsi:type="dcterms:W3CDTF">2018-08-09T11:49:58Z</dcterms:created>
  <dcterms:modified xsi:type="dcterms:W3CDTF">2023-07-23T23:26:07Z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