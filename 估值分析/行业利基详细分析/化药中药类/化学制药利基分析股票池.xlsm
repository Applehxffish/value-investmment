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化药中药类\"/>
    </mc:Choice>
  </mc:AlternateContent>
  <bookViews>
    <workbookView xWindow="-108" yWindow="-108" windowWidth="20268" windowHeight="9132" activeTab="1"/>
  </bookViews>
  <sheets>
    <sheet name="专利药" sheetId="55" r:id="rId1"/>
    <sheet name="新冠特效药" sheetId="56" r:id="rId2"/>
    <sheet name="公司价值折现" sheetId="42" r:id="rId3"/>
    <sheet name="基本面模型" sheetId="23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<sst xmlns="http://schemas.openxmlformats.org/spreadsheetml/2006/main" count="1239" uniqueCount="939">
  <si>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</si>
  <si>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</si>
  <si>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</si>
  <si>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</si>
  <si>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</si>
  <si>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</si>
  <si>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</si>
  <si>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预期空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</si>
  <si>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</si>
  <si>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</si>
  <si>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</si>
  <si>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</si>
  <si>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</si>
  <si>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</si>
  <si>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</si>
  <si>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</si>
  <si>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</si>
  <si>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</si>
  <si>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</si>
  <si>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</si>
  <si>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</si>
  <si>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</si>
  <si>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</si>
  <si>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</si>
  <si>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</si>
  <si>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</si>
  <si>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</si>
  <si>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</si>
  <si>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</si>
  <si>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</si>
  <si>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</si>
  <si>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</si>
  <si>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</si>
  <si>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</si>
  <si>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</si>
  <si>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</si>
  <si>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</si>
  <si>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</si>
  <si>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</si>
  <si>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</si>
  <si>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</si>
  <si>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</si>
  <si>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</si>
  <si>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</si>
  <si>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</si>
  <si>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</si>
  <si>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</si>
  <si>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</si>
  <si>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</si>
  <si>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</si>
  <si>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</si>
  <si>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</si>
  <si>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</si>
  <si>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</si>
  <si>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</si>
  <si>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</si>
  <si>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</si>
  <si>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</si>
  <si>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</si>
  <si>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</si>
  <si>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</si>
  <si>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</si>
  <si>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</si>
  <si>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</si>
  <si>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</si>
  <si>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</si>
  <si>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</si>
  <si>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</si>
  <si>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</si>
  <si>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</si>
  <si>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</si>
  <si>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</si>
  <si>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</si>
  <si>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</si>
  <si>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</si>
  <si>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</si>
  <si>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</si>
  <si>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</si>
  <si>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</si>
  <si>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</si>
  <si>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</si>
  <si>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</si>
  <si>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</si>
  <si>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</si>
  <si>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</si>
  <si>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</si>
  <si>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</si>
  <si>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</si>
  <si>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</si>
  <si>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</si>
  <si>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</si>
  <si>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</si>
  <si>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</si>
  <si>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</si>
  <si>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</si>
  <si>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</si>
  <si>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</si>
  <si>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</si>
  <si>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</si>
  <si>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</si>
  <si>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</si>
  <si>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</si>
  <si>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</si>
  <si>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</si>
  <si>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</si>
  <si>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</si>
  <si>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</si>
  <si>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</si>
  <si>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</si>
  <si>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</si>
  <si>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</si>
  <si>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</si>
  <si>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</si>
  <si>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</si>
  <si>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</si>
  <si>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</si>
  <si>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</si>
  <si>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</si>
  <si>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预期多</t>
    <phoneticPr fontId="1" type="noConversion"/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</si>
  <si>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</si>
  <si>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</si>
  <si>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</si>
  <si>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</si>
  <si>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</si>
  <si>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</si>
  <si>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</si>
  <si>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</si>
  <si>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</si>
  <si>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</si>
  <si>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</si>
  <si>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</si>
  <si>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</si>
  <si>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</si>
  <si>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</si>
  <si>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</si>
  <si>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</si>
  <si>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</si>
  <si>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</si>
  <si>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</si>
  <si>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</si>
  <si>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</si>
  <si>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</si>
  <si>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</si>
  <si>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</si>
  <si>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</si>
  <si>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</si>
  <si>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</si>
  <si>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</si>
  <si>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原始排序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</si>
  <si>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</si>
  <si>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</si>
  <si>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</si>
  <si>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</si>
  <si>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</si>
  <si>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</si>
  <si>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</si>
  <si>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</si>
  <si>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</si>
  <si>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</si>
  <si>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</si>
  <si>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</si>
  <si>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</si>
  <si>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</si>
  <si>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</si>
  <si>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</si>
  <si>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</si>
  <si>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</si>
  <si>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SH600276</t>
  </si>
  <si>
    <t>恒瑞医药</t>
  </si>
  <si>
    <t>化学制药</t>
  </si>
  <si>
    <t>SH600196</t>
  </si>
  <si>
    <t>复星医药</t>
  </si>
  <si>
    <t>SZ002422</t>
  </si>
  <si>
    <t>科伦药业</t>
  </si>
  <si>
    <t>SZ002294</t>
  </si>
  <si>
    <t>信立泰</t>
  </si>
  <si>
    <t>SZ300558</t>
  </si>
  <si>
    <t>贝达药业</t>
  </si>
  <si>
    <t>SH688578</t>
  </si>
  <si>
    <t>艾力斯-U</t>
  </si>
  <si>
    <t>SH688177</t>
  </si>
  <si>
    <t>百奥泰</t>
  </si>
  <si>
    <t>生物制品</t>
  </si>
  <si>
    <t>SH688222</t>
  </si>
  <si>
    <t>成都先导</t>
  </si>
  <si>
    <t>医疗服务</t>
  </si>
  <si>
    <t>5075.86万</t>
  </si>
  <si>
    <t>41.11亿</t>
  </si>
  <si>
    <t>366.35亿</t>
  </si>
  <si>
    <t>10228041800亿</t>
  </si>
  <si>
    <t>259.06亿</t>
  </si>
  <si>
    <t>45.30亿</t>
  </si>
  <si>
    <t>79.88亿</t>
  </si>
  <si>
    <t>16.88亿</t>
  </si>
  <si>
    <t>32.67亿</t>
  </si>
  <si>
    <t>9.77亿</t>
  </si>
  <si>
    <t>21.84亿</t>
  </si>
  <si>
    <t>55977368亿</t>
  </si>
  <si>
    <t>94.86万</t>
  </si>
  <si>
    <t>2008675600亿</t>
  </si>
  <si>
    <t>134.20亿</t>
  </si>
  <si>
    <t>5745590500亿</t>
  </si>
  <si>
    <t>3.98亿</t>
  </si>
  <si>
    <t>30902701000亿</t>
  </si>
  <si>
    <t>50.14亿</t>
  </si>
  <si>
    <t>12.88亿</t>
  </si>
  <si>
    <t>--</t>
  </si>
  <si>
    <t>2.64亿</t>
  </si>
  <si>
    <t>13.43亿</t>
  </si>
  <si>
    <t>38.38亿</t>
  </si>
  <si>
    <t>8.45亿</t>
  </si>
  <si>
    <t>-11.65亿</t>
  </si>
  <si>
    <t>3316.71万</t>
  </si>
  <si>
    <t>277.35亿</t>
  </si>
  <si>
    <t>232.89亿</t>
  </si>
  <si>
    <t>174.18亿</t>
  </si>
  <si>
    <t>138.36亿</t>
  </si>
  <si>
    <t>110.94亿</t>
  </si>
  <si>
    <t>63.28亿</t>
  </si>
  <si>
    <t>53.28亿</t>
  </si>
  <si>
    <t>40.66亿</t>
  </si>
  <si>
    <t>32.17亿</t>
  </si>
  <si>
    <t>25.89亿</t>
  </si>
  <si>
    <t>54.79亿</t>
  </si>
  <si>
    <t>132.98亿</t>
  </si>
  <si>
    <t>69.29亿</t>
  </si>
  <si>
    <t>12.37亿</t>
  </si>
  <si>
    <t>26.68亿</t>
  </si>
  <si>
    <t>14.97亿</t>
  </si>
  <si>
    <t>化学制剂</t>
  </si>
  <si>
    <t>3.13亿</t>
  </si>
  <si>
    <t>14.37亿</t>
  </si>
  <si>
    <t>1-1</t>
  </si>
  <si>
    <t>公司主营业务涉及药品研发、生产和销售，主要产品是艾瑞昔布片、甲磺酸阿帕替尼片、硫培非格司亭注射液、马来酸吡咯替尼片、注射用卡瑞利珠单抗、注射用甲苯磺酸瑞马唑仑、氟唑帕利胶囊、海曲泊帕乙醇胺片、碘克沙醇注射液、酒石酸布托啡诺注射液、托伐普坦片、多西他赛注射液、厄贝沙坦片、注射用顺苯磺酸阿曲库铵。公司是国内最大的抗肿瘤药、手术用药和造影剂的研究和生产基地之一。
市值2533.7397亿, 利润45.30亿; PE63.63, PB7.02; 毛利86.6033%; 净利22.5567%; 上一年度营收增-6.59%, 利润增-28.41%; 当季营收增-25.44%, 利润增-24.65%; 过往5年营收增19.36%, 利润增14.41%
Income profile:
抗肿瘤 130.72亿 50.46% 53.48% 90.68%
麻醉 49.16亿 18.98% 19.76% 89.08%
其他 45.23亿 17.46% 15.69% 76.89%
造影剂 32.70亿 12.62% 10.66% 72.24%</t>
  </si>
  <si>
    <t>2894.39万</t>
  </si>
  <si>
    <t>510.70亿</t>
  </si>
  <si>
    <t>477.34亿</t>
  </si>
  <si>
    <t>21340054000亿</t>
  </si>
  <si>
    <t>390.05亿</t>
  </si>
  <si>
    <t>47.35亿</t>
  </si>
  <si>
    <t>196.03亿</t>
  </si>
  <si>
    <t>115.76亿</t>
  </si>
  <si>
    <t>41.66亿</t>
  </si>
  <si>
    <t>16.72亿</t>
  </si>
  <si>
    <t>18.18亿</t>
  </si>
  <si>
    <t>2167398600亿</t>
  </si>
  <si>
    <t>868.98万</t>
  </si>
  <si>
    <t>1861837500亿</t>
  </si>
  <si>
    <t>122.58亿</t>
  </si>
  <si>
    <t>7272567200亿</t>
  </si>
  <si>
    <t>1974.30万</t>
  </si>
  <si>
    <t>32136806000亿</t>
  </si>
  <si>
    <t>96.52亿</t>
  </si>
  <si>
    <t>37.41亿</t>
  </si>
  <si>
    <t>130.55亿</t>
  </si>
  <si>
    <t>48.62亿</t>
  </si>
  <si>
    <t>319.67亿</t>
  </si>
  <si>
    <t>107.88亿</t>
  </si>
  <si>
    <t>18.20亿</t>
  </si>
  <si>
    <t>-24.85亿</t>
  </si>
  <si>
    <t>24.20亿</t>
  </si>
  <si>
    <t>303.07亿</t>
  </si>
  <si>
    <t>285.85亿</t>
  </si>
  <si>
    <t>249.18亿</t>
  </si>
  <si>
    <t>185.34亿</t>
  </si>
  <si>
    <t>146.29亿</t>
  </si>
  <si>
    <t>36.63亿</t>
  </si>
  <si>
    <t>33.22亿</t>
  </si>
  <si>
    <t>27.08亿</t>
  </si>
  <si>
    <t>31.24亿</t>
  </si>
  <si>
    <t>28.06亿</t>
  </si>
  <si>
    <t>103.82亿</t>
  </si>
  <si>
    <t>169.52亿</t>
  </si>
  <si>
    <t>80.56亿</t>
  </si>
  <si>
    <t>4.63亿</t>
  </si>
  <si>
    <t>24.82亿</t>
  </si>
  <si>
    <t>8.47亿</t>
  </si>
  <si>
    <t>1.91亿</t>
  </si>
  <si>
    <t>9.01亿</t>
  </si>
  <si>
    <t>-2-0</t>
  </si>
  <si>
    <t xml:space="preserve">
市值851.62001亿, 利润47.35亿; PE22.41, PB2; 毛利52.95%; 净利10.77%; 上一年度营收增28.7%, 利润增29.27%; 当季营收增23.18%, 利润增-33.68%; 过往5年营收增22.12%, 利润增12.04%
Income profile:
</t>
  </si>
  <si>
    <t>1921.66万</t>
  </si>
  <si>
    <t>178.72亿</t>
  </si>
  <si>
    <t>146.95亿</t>
  </si>
  <si>
    <t>9124621800亿</t>
  </si>
  <si>
    <t>172.77亿</t>
  </si>
  <si>
    <t>11.03亿</t>
  </si>
  <si>
    <t>82.17亿</t>
  </si>
  <si>
    <t>41.82亿</t>
  </si>
  <si>
    <t>22.53亿</t>
  </si>
  <si>
    <t>5.98亿</t>
  </si>
  <si>
    <t>8.43亿</t>
  </si>
  <si>
    <t>109590601亿</t>
  </si>
  <si>
    <t>129.02万</t>
  </si>
  <si>
    <t>810329070亿</t>
  </si>
  <si>
    <t>32.64亿</t>
  </si>
  <si>
    <t>5541446800亿</t>
  </si>
  <si>
    <t>14899581000亿</t>
  </si>
  <si>
    <t>103.19亿</t>
  </si>
  <si>
    <t>10.43亿</t>
  </si>
  <si>
    <t>31.86亿</t>
  </si>
  <si>
    <t>1.98亿</t>
  </si>
  <si>
    <t>17.16亿</t>
  </si>
  <si>
    <t>113.42亿</t>
  </si>
  <si>
    <t>33.26亿</t>
  </si>
  <si>
    <t>12.79亿</t>
  </si>
  <si>
    <t>-9.98亿</t>
  </si>
  <si>
    <t>8756.39万</t>
  </si>
  <si>
    <t>164.64亿</t>
  </si>
  <si>
    <t>176.36亿</t>
  </si>
  <si>
    <t>163.52亿</t>
  </si>
  <si>
    <t>114.35亿</t>
  </si>
  <si>
    <t>85.66亿</t>
  </si>
  <si>
    <t>8.29亿</t>
  </si>
  <si>
    <t>9.38亿</t>
  </si>
  <si>
    <t>12.13亿</t>
  </si>
  <si>
    <t>7.49亿</t>
  </si>
  <si>
    <t>5.85亿</t>
  </si>
  <si>
    <t>44.82亿</t>
  </si>
  <si>
    <t>82.32亿</t>
  </si>
  <si>
    <t>41.51亿</t>
  </si>
  <si>
    <t>2.91亿</t>
  </si>
  <si>
    <t>4.93亿</t>
  </si>
  <si>
    <t>1.75亿</t>
  </si>
  <si>
    <t>1.04亿</t>
  </si>
  <si>
    <t>5.64亿</t>
  </si>
  <si>
    <t>2-0</t>
  </si>
  <si>
    <t>564.89万</t>
  </si>
  <si>
    <t>18.41亿</t>
  </si>
  <si>
    <t>76.79亿</t>
  </si>
  <si>
    <t>1668148000亿</t>
  </si>
  <si>
    <t>30.58亿</t>
  </si>
  <si>
    <t>5.34亿</t>
  </si>
  <si>
    <t>13.49亿</t>
  </si>
  <si>
    <t>4.18亿</t>
  </si>
  <si>
    <t>5.91亿</t>
  </si>
  <si>
    <t>1.28亿</t>
  </si>
  <si>
    <t>4.25亿</t>
  </si>
  <si>
    <t>42509745亿</t>
  </si>
  <si>
    <t>85.88万</t>
  </si>
  <si>
    <t>283056640亿</t>
  </si>
  <si>
    <t>35.18亿</t>
  </si>
  <si>
    <t>490764750亿</t>
  </si>
  <si>
    <t>1272.32万</t>
  </si>
  <si>
    <t>4635119000亿</t>
  </si>
  <si>
    <t>14.79亿</t>
  </si>
  <si>
    <t>4546.62万</t>
  </si>
  <si>
    <t>2.29亿</t>
  </si>
  <si>
    <t>1.88亿</t>
  </si>
  <si>
    <t>16.33亿</t>
  </si>
  <si>
    <t>4.08亿</t>
  </si>
  <si>
    <t>-6381.27万</t>
  </si>
  <si>
    <t>-4.15亿</t>
  </si>
  <si>
    <t>27.39亿</t>
  </si>
  <si>
    <t>44.70亿</t>
  </si>
  <si>
    <t>46.52亿</t>
  </si>
  <si>
    <t>41.54亿</t>
  </si>
  <si>
    <t>38.33亿</t>
  </si>
  <si>
    <t>6086.50万</t>
  </si>
  <si>
    <t>7.15亿</t>
  </si>
  <si>
    <t>14.58亿</t>
  </si>
  <si>
    <t>14.52亿</t>
  </si>
  <si>
    <t>13.96亿</t>
  </si>
  <si>
    <t>9.35亿</t>
  </si>
  <si>
    <t>13.76亿</t>
  </si>
  <si>
    <t>7.66亿</t>
  </si>
  <si>
    <t>2.37亿</t>
  </si>
  <si>
    <t>1.55亿</t>
  </si>
  <si>
    <t>3619.51万</t>
  </si>
  <si>
    <t>1.80亿</t>
  </si>
  <si>
    <t>0534000000</t>
  </si>
  <si>
    <t>01602000000</t>
  </si>
  <si>
    <t>03204000000</t>
  </si>
  <si>
    <t>05340000000</t>
  </si>
  <si>
    <t>010680000000</t>
  </si>
  <si>
    <t>3-0</t>
  </si>
  <si>
    <t>1.随着政策的支持、人均可支配收入的提高和医疗报销范围的扩大，中国肿瘤药物市场仍存在巨大空间，公司将充分借鉴凯美纳的成功经验，发挥自身优势资源，加大产品的品牌建设力度，不断提升公司产品商业化能力；2.目前公司在研创新药项目40余项，进入临床试验10余项，2项已申报NDA，3项正在开展III期临床试验；</t>
    <phoneticPr fontId="1" type="noConversion"/>
  </si>
  <si>
    <t>1.问：公司研发投入资金的情况答：公司历来重视研发创新，研发效率较高，早期投入的盐酸恩沙替尼、贝安汀（MIL60）已陆续上市。2021年公司研发投入8.61亿元，占营业收入比例38.32%，其中资本化研发支出占研发投入的比例为34.24%。随着公司对研发保持持续的高投入，新药研发工作加速推进，公司研发管线日益丰富，在研产品40余项，有10余项已进入临床研究。</t>
    <phoneticPr fontId="1" type="noConversion"/>
  </si>
  <si>
    <t>1294.82万</t>
  </si>
  <si>
    <t>24.02亿</t>
  </si>
  <si>
    <t>48.19亿</t>
  </si>
  <si>
    <t>1253336960亿</t>
  </si>
  <si>
    <t>22.46亿</t>
  </si>
  <si>
    <t>3.83亿</t>
  </si>
  <si>
    <t>12.15亿</t>
  </si>
  <si>
    <t>1.39亿</t>
  </si>
  <si>
    <t>4.40亿</t>
  </si>
  <si>
    <t>3.09亿</t>
  </si>
  <si>
    <t>4.59亿</t>
  </si>
  <si>
    <t>180741亿</t>
  </si>
  <si>
    <t>203.71万</t>
  </si>
  <si>
    <t>60334511亿</t>
  </si>
  <si>
    <t>6.79亿</t>
  </si>
  <si>
    <t>473770690亿</t>
  </si>
  <si>
    <t>910.53万</t>
  </si>
  <si>
    <t>1723872900亿</t>
  </si>
  <si>
    <t>6.42亿</t>
  </si>
  <si>
    <t>9.74亿</t>
  </si>
  <si>
    <t>2.80亿</t>
  </si>
  <si>
    <t>4.35亿</t>
  </si>
  <si>
    <t>217.31万</t>
  </si>
  <si>
    <t>12.11亿</t>
  </si>
  <si>
    <t>4.80亿</t>
  </si>
  <si>
    <t>-8.69亿</t>
  </si>
  <si>
    <t>6.15亿</t>
  </si>
  <si>
    <t>18.70亿</t>
  </si>
  <si>
    <t>15.54亿</t>
  </si>
  <si>
    <t>12.24亿</t>
  </si>
  <si>
    <t>10.26亿</t>
  </si>
  <si>
    <t>10.35亿</t>
  </si>
  <si>
    <t>6.06亿</t>
  </si>
  <si>
    <t>2.31亿</t>
  </si>
  <si>
    <t>1.67亿</t>
  </si>
  <si>
    <t>2.58亿</t>
  </si>
  <si>
    <t>3.69亿</t>
  </si>
  <si>
    <t>11.55亿</t>
  </si>
  <si>
    <t>6.19亿</t>
  </si>
  <si>
    <t>8367.89万</t>
  </si>
  <si>
    <t>2.15亿</t>
  </si>
  <si>
    <t>1.48亿</t>
  </si>
  <si>
    <t>3795.57万</t>
  </si>
  <si>
    <t>1.27亿</t>
  </si>
  <si>
    <t>公司单一产品伏美替尼（第三代EGFR靶向药）即将于2020年上市。
依然亏损，2021Q1营收大幅增加到3700多万，利润仍旧-4000万，同比环比缩小</t>
    <phoneticPr fontId="1" type="noConversion"/>
  </si>
  <si>
    <t>612.13万</t>
  </si>
  <si>
    <t>1.14亿</t>
  </si>
  <si>
    <t>30.37亿</t>
  </si>
  <si>
    <t>300386400亿</t>
  </si>
  <si>
    <t>5.30亿</t>
  </si>
  <si>
    <t>1827.46万</t>
  </si>
  <si>
    <t>2.96亿</t>
  </si>
  <si>
    <t>1253.94万</t>
  </si>
  <si>
    <t>1.71亿</t>
  </si>
  <si>
    <t>4280.25万</t>
  </si>
  <si>
    <t>8893.07万</t>
  </si>
  <si>
    <t>6484839亿</t>
  </si>
  <si>
    <t>4509024亿</t>
  </si>
  <si>
    <t>10.20亿</t>
  </si>
  <si>
    <t>76765974亿</t>
  </si>
  <si>
    <t>2205153800亿</t>
  </si>
  <si>
    <t>1.26亿</t>
  </si>
  <si>
    <t>2.89亿</t>
  </si>
  <si>
    <t>2615.00万</t>
  </si>
  <si>
    <t>1.13亿</t>
  </si>
  <si>
    <t>596.60万</t>
  </si>
  <si>
    <t>3.97亿</t>
  </si>
  <si>
    <t>-397.31万</t>
  </si>
  <si>
    <t>56.09万</t>
  </si>
  <si>
    <t>62.97万</t>
  </si>
  <si>
    <t>462.00万</t>
  </si>
  <si>
    <t>772.70万</t>
  </si>
  <si>
    <t>-3.11亿</t>
  </si>
  <si>
    <t>-3.98亿</t>
  </si>
  <si>
    <t>-9739.38万</t>
  </si>
  <si>
    <t>-3893.38万</t>
  </si>
  <si>
    <t>1.11亿</t>
  </si>
  <si>
    <t>1.21亿</t>
  </si>
  <si>
    <t>3676.77万</t>
  </si>
  <si>
    <t>-2267.34万</t>
  </si>
  <si>
    <t>-7834.18万</t>
  </si>
  <si>
    <t>-4429.89万</t>
  </si>
  <si>
    <t>-5.54万</t>
  </si>
  <si>
    <t>-6.31万</t>
  </si>
  <si>
    <t>1907.07万</t>
  </si>
  <si>
    <t>9139.23万</t>
  </si>
  <si>
    <t>1-0</t>
  </si>
  <si>
    <t>50.28万</t>
  </si>
  <si>
    <t>5.25亿</t>
  </si>
  <si>
    <t>19.18亿</t>
  </si>
  <si>
    <t>228994790亿</t>
  </si>
  <si>
    <t>8.37亿</t>
  </si>
  <si>
    <t>8193.65万</t>
  </si>
  <si>
    <t>6919.00万</t>
  </si>
  <si>
    <t>6820.45万</t>
  </si>
  <si>
    <t>1678.51万</t>
  </si>
  <si>
    <t>2.66亿</t>
  </si>
  <si>
    <t>4078558亿</t>
  </si>
  <si>
    <t>1.02万</t>
  </si>
  <si>
    <t>-187988360亿</t>
  </si>
  <si>
    <t>1.79亿</t>
  </si>
  <si>
    <t>121175808亿</t>
  </si>
  <si>
    <t>1551611000亿</t>
  </si>
  <si>
    <t>4.65亿</t>
  </si>
  <si>
    <t>1.58亿</t>
  </si>
  <si>
    <t>1.72万</t>
  </si>
  <si>
    <t>7364.02万</t>
  </si>
  <si>
    <t>-1.18亿</t>
  </si>
  <si>
    <t>-5.05亿</t>
  </si>
  <si>
    <t>-3166.29万</t>
  </si>
  <si>
    <t>1.85亿</t>
  </si>
  <si>
    <t>70.00万</t>
  </si>
  <si>
    <t>200.89万</t>
  </si>
  <si>
    <t>276.37万</t>
  </si>
  <si>
    <t>-5.13亿</t>
  </si>
  <si>
    <t>-10.23亿</t>
  </si>
  <si>
    <t>-5.53亿</t>
  </si>
  <si>
    <t>-2.36亿</t>
  </si>
  <si>
    <t>-1.37亿</t>
  </si>
  <si>
    <t>7422.06万</t>
  </si>
  <si>
    <t>3.29亿</t>
  </si>
  <si>
    <t>6030.37万</t>
  </si>
  <si>
    <t>-1.10亿</t>
  </si>
  <si>
    <t>261.62万</t>
  </si>
  <si>
    <t>-1.09亿</t>
  </si>
  <si>
    <t>其他生物制品</t>
  </si>
  <si>
    <t>-14.61万</t>
  </si>
  <si>
    <t>178.83万</t>
  </si>
  <si>
    <t>1182.78万</t>
  </si>
  <si>
    <t>-1-0</t>
  </si>
  <si>
    <t xml:space="preserve">
市值78.633792亿, 利润8193.65万; PE, PB4.1; 毛利82.6333%; 净利-213.065%; 上一年度营收增352.43%, 利润增115.97%; 当季营收增-42.4%, 利润增-152.98%; 过往5年营收增6638.42%, 利润增-25.15%
Income profile:
</t>
  </si>
  <si>
    <t>123.70万</t>
  </si>
  <si>
    <t>3.84亿</t>
  </si>
  <si>
    <t>12.82亿</t>
  </si>
  <si>
    <t>138716310亿</t>
  </si>
  <si>
    <t>3.11亿</t>
  </si>
  <si>
    <t>6338.38万</t>
  </si>
  <si>
    <t>8718.70万</t>
  </si>
  <si>
    <t>801.81万</t>
  </si>
  <si>
    <t>4018.74万</t>
  </si>
  <si>
    <t>4257.86万</t>
  </si>
  <si>
    <t>9645464亿</t>
  </si>
  <si>
    <t>131.77万</t>
  </si>
  <si>
    <t>-12261501亿</t>
  </si>
  <si>
    <t>3.80亿</t>
  </si>
  <si>
    <t>72536698亿</t>
  </si>
  <si>
    <t>1161359190亿</t>
  </si>
  <si>
    <t>2.73亿</t>
  </si>
  <si>
    <t>3792.04万</t>
  </si>
  <si>
    <t>1127.79万</t>
  </si>
  <si>
    <t>1.20亿</t>
  </si>
  <si>
    <t>1.97亿</t>
  </si>
  <si>
    <t>-1534.55万</t>
  </si>
  <si>
    <t>3553.44万</t>
  </si>
  <si>
    <t>-2255.13万</t>
  </si>
  <si>
    <t>2.44亿</t>
  </si>
  <si>
    <t>1.51亿</t>
  </si>
  <si>
    <t>5321.87万</t>
  </si>
  <si>
    <t>1642.91万</t>
  </si>
  <si>
    <t>6402.32万</t>
  </si>
  <si>
    <t>4496.05万</t>
  </si>
  <si>
    <t>-2308.07万</t>
  </si>
  <si>
    <t>-2297.42万</t>
  </si>
  <si>
    <t>7246.59万</t>
  </si>
  <si>
    <t>1.54亿</t>
  </si>
  <si>
    <t>6916.43万</t>
  </si>
  <si>
    <t>-708.84万</t>
  </si>
  <si>
    <t>2065.79万</t>
  </si>
  <si>
    <t>578.19万</t>
  </si>
  <si>
    <t>医疗研发外包</t>
  </si>
  <si>
    <t>760.78万</t>
  </si>
  <si>
    <t>3857.60万</t>
  </si>
  <si>
    <t/>
  </si>
  <si>
    <t xml:space="preserve">
市值68.876892亿, 利润6338.38万; PE193.1, PB5.37; 毛利65.2667%; 净利20.6733%; 上一年度营收增27.46%, 利润增-1%; 当季营收增-21.91%, 利润增-99.8%; 过往5年营收增100.48%, 利润增82.72%
Income profile:
</t>
  </si>
  <si>
    <t>公司主营业务药品、医疗器械产品的研发、生产、销售。主要产品及在研项目包括心血管类药物及医疗器械、头孢类抗生素及原料、骨科药物等，涵盖心血管、抗肿瘤、降血糖、抗感染、骨科、抗肿瘤等治疗领域。
市值352.72795亿, 利润5.34亿; PE51.78, PB4.51; 毛利74.1833%; 净利14.1333%; 上一年度营收增11.65%, 利润增777.35%; 当季营收增20.19%, 利润增35.55%; 过往5年营收增-2.13%, 利润增127.87%
Income profile:
制剂 25.85亿 84.53% 94.40% 82.71%
原料 3.76亿 12.28% 2.58% 15.58%
器械 5888.48万 1.93% 2.00% 76.79%
其他 3872.87万 1.27% 1.02% 59.69%</t>
  </si>
  <si>
    <r>
      <t>1.</t>
    </r>
    <r>
      <rPr>
        <b/>
        <sz val="9"/>
        <color rgb="FFFF0000"/>
        <rFont val="宋体"/>
        <family val="3"/>
        <charset val="134"/>
        <scheme val="minor"/>
      </rPr>
      <t>创新药</t>
    </r>
    <r>
      <rPr>
        <sz val="9"/>
        <color theme="1"/>
        <rFont val="宋体"/>
        <family val="2"/>
        <charset val="134"/>
        <scheme val="minor"/>
      </rPr>
      <t>方面：第一，研究院的改革已经逐步取得成效。第二，公司会在稳定现有研发管线的基础上，开拓新项目且积极进行国内外合作，发现新机会。第三，重要项目上，与MSD合作的B项目和264项目明年会根据节点收到资金支持；167项目顺利推进中，是对研发团队的锻炼，为其他项目积累经验。公司对研发板块已做好明年的规划。</t>
    </r>
    <phoneticPr fontId="1" type="noConversion"/>
  </si>
  <si>
    <t>公司是主要从事大容量注射剂（输液）、小容量注射剂（水针）、注射用无菌粉针（含分装粉针及冻干粉针）、片剂、胶囊剂、颗粒剂、口服液、腹膜透析液等25种剂型药品及抗生素中间体、原料药、医药包材等产品的研发、生产和销售。主要产品涵盖麻醉镇痛、中枢神经、抗感染、肠外营养等领域。
市值361.17242亿, 利润11.03亿; PE24.44, PB2.59; 毛利55.8667%; 净利5.55%; 上一年度营收增4.94%, 利润增33.05%; 当季营收增13.76%, 利润增241.97%; 过往5年营收增16.53%, 利润增17.75%
Income profile:
输液 43.99亿 48.21% 57.94% 65.10%
非输液 41.40亿 45.37% 35.36% 42.22%
研发项目 3.85亿 4.22% 5.52% 70.87%</t>
  </si>
  <si>
    <t>公司主营业务为抗癌药物的生产与销售。公司主要产品和服务有埃克替尼、烧伤止痛膏、谷维素片、谷维素双维B片、糠甾醇片、技术服务。
市值208.24961亿, 利润3.83亿; PE79.27, PB4.42; 毛利91.25%; 净利20.0767%; 上一年度营收增20.11%, 利润增-36.8%; 当季营收增24.69%, 利润增-83.52%; 过往5年营收增17.17%, 利润增19.7%
Income profile:
药品销售 12.36亿 98.62% 99.46% 89.69%
其他业务 1727.81万 1.38% 0.54% 34.67%</t>
  </si>
  <si>
    <r>
      <t>1.一季度报预计2021年仍亏损，上市的伏美替尼仍需时间去渗透市场;2.具备一定的研发实力，</t>
    </r>
    <r>
      <rPr>
        <sz val="9"/>
        <color rgb="FFFF0000"/>
        <rFont val="宋体"/>
        <family val="3"/>
        <charset val="134"/>
        <scheme val="minor"/>
      </rPr>
      <t>2012年曾将信立坦卖给了信立泰。目前从高血压转为肿瘤领域。三费都很高</t>
    </r>
    <r>
      <rPr>
        <sz val="9"/>
        <color theme="1"/>
        <rFont val="宋体"/>
        <family val="2"/>
        <charset val="134"/>
        <scheme val="minor"/>
      </rPr>
      <t>，研发费用尤其。公司单一产品伏美替尼（第三代EGFR靶向药）即将于2020年上市。</t>
    </r>
    <phoneticPr fontId="1" type="noConversion"/>
  </si>
  <si>
    <t>公司是一家专注于肿瘤治疗领域的创新药企业，主要产品包括艾氟替尼(第三代EGFR-TKI)、阿利沙坦酯等。目前，已在非小细胞肺癌小分子靶向药领域构建了丰富的研发管线。
市值109.125亿, 利润1827.46万; PE88.45, PB3.59; 毛利74.54%; 净利-20.4%; 上一年度营收增94391%, 利润增105.88%; 当季营收增124.84%, 利润增245.22%; 过往5年营收增23563.37%, 利润增-82.77%
Income profile:
技术授权 2.94亿 55.53% 56.08% 99.91%
抗肿瘤类产品 2.36亿 44.47% 43.92% 97.72%</t>
  </si>
  <si>
    <t>SH688180</t>
  </si>
  <si>
    <t>君实生物-U</t>
  </si>
  <si>
    <t>1015.73万</t>
  </si>
  <si>
    <t>SZ002317</t>
  </si>
  <si>
    <t>众生药业</t>
  </si>
  <si>
    <t>中药</t>
  </si>
  <si>
    <t>SH600062</t>
  </si>
  <si>
    <t>华润双鹤</t>
  </si>
  <si>
    <t>3346.47万</t>
  </si>
  <si>
    <t>SZ300199</t>
  </si>
  <si>
    <t>翰宇药业</t>
  </si>
  <si>
    <t>1.06亿</t>
  </si>
  <si>
    <t>SH688658</t>
  </si>
  <si>
    <t>悦康药业</t>
  </si>
  <si>
    <t>457.32万</t>
  </si>
  <si>
    <t>SH688221</t>
  </si>
  <si>
    <t>前沿生物-U</t>
  </si>
  <si>
    <t>3414.12万</t>
  </si>
  <si>
    <t>SZ300204</t>
  </si>
  <si>
    <t>舒泰神</t>
  </si>
  <si>
    <t>3597.77万</t>
  </si>
  <si>
    <t>SZ300436</t>
  </si>
  <si>
    <t>广生堂</t>
  </si>
  <si>
    <t>925.75万</t>
  </si>
  <si>
    <t>SH688373</t>
  </si>
  <si>
    <t>盟科药业-U</t>
  </si>
  <si>
    <t>664.82万</t>
  </si>
  <si>
    <t>26.77亿</t>
  </si>
  <si>
    <t>69.04亿</t>
  </si>
  <si>
    <t>1218381860亿</t>
  </si>
  <si>
    <t>40.25亿</t>
  </si>
  <si>
    <t>-7.21亿</t>
  </si>
  <si>
    <t>29.32亿</t>
  </si>
  <si>
    <t>4.27亿</t>
  </si>
  <si>
    <t>5.14亿</t>
  </si>
  <si>
    <t>4.20亿</t>
  </si>
  <si>
    <t>10.62亿</t>
  </si>
  <si>
    <t>-18744166亿</t>
  </si>
  <si>
    <t>19.22万</t>
  </si>
  <si>
    <t>-1646968500亿</t>
  </si>
  <si>
    <t>30.65亿</t>
  </si>
  <si>
    <t>289586600亿</t>
  </si>
  <si>
    <t>4261782600亿</t>
  </si>
  <si>
    <t>10.86亿</t>
  </si>
  <si>
    <t>4.48亿</t>
  </si>
  <si>
    <t>9.00亿</t>
  </si>
  <si>
    <t>7.76亿</t>
  </si>
  <si>
    <t>-11.17亿</t>
  </si>
  <si>
    <t>-3.46亿</t>
  </si>
  <si>
    <t>8.53亿</t>
  </si>
  <si>
    <t>15.95亿</t>
  </si>
  <si>
    <t>7.75亿</t>
  </si>
  <si>
    <t>292.76万</t>
  </si>
  <si>
    <t>5449.98万</t>
  </si>
  <si>
    <t>593.91万</t>
  </si>
  <si>
    <t>-16.69亿</t>
  </si>
  <si>
    <t>-7.47亿</t>
  </si>
  <si>
    <t>-7.23亿</t>
  </si>
  <si>
    <t>-3.17亿</t>
  </si>
  <si>
    <t>-1.35亿</t>
  </si>
  <si>
    <t>9.46亿</t>
  </si>
  <si>
    <t>27.18亿</t>
  </si>
  <si>
    <t>21.14亿</t>
  </si>
  <si>
    <t>-9.12亿</t>
  </si>
  <si>
    <t>-3.92亿</t>
  </si>
  <si>
    <t>934.70万</t>
  </si>
  <si>
    <t>6077.95万</t>
  </si>
  <si>
    <t>5.18亿</t>
  </si>
  <si>
    <t>亏损</t>
  </si>
  <si>
    <t>扭亏</t>
  </si>
  <si>
    <t>3-1</t>
  </si>
  <si>
    <t xml:space="preserve">
市值580.40379亿, 利润-7.21亿; PE, PB8.85; 毛利77.51%; 净利-102.2433%; 上一年度营收增152.35%, 利润增56.8%; 当季营收增-54.9%, 利润增-70.11%; 过往5年营收增5470.67%, 利润增-66.57%
Income profile:
</t>
  </si>
  <si>
    <r>
      <t>1.现有产品管线覆盖</t>
    </r>
    <r>
      <rPr>
        <sz val="9"/>
        <color rgb="FFFF0000"/>
        <rFont val="宋体"/>
        <family val="3"/>
        <charset val="134"/>
        <scheme val="minor"/>
      </rPr>
      <t>眼科、心脑血管、呼吸、消化、妇科</t>
    </r>
    <r>
      <rPr>
        <sz val="9"/>
        <color theme="1"/>
        <rFont val="宋体"/>
        <family val="2"/>
        <charset val="134"/>
        <scheme val="minor"/>
      </rPr>
      <t>等多种重大疾病领域,产品布局完整、梯队合理,符合国家产业政策和药物政策,能够满足全终端市场需求。创新药管线覆盖</t>
    </r>
    <r>
      <rPr>
        <sz val="9"/>
        <color rgb="FFFF0000"/>
        <rFont val="宋体"/>
        <family val="3"/>
        <charset val="134"/>
        <scheme val="minor"/>
      </rPr>
      <t>呼吸、肿瘤和代谢</t>
    </r>
    <r>
      <rPr>
        <sz val="9"/>
        <color theme="1"/>
        <rFont val="宋体"/>
        <family val="2"/>
        <charset val="134"/>
        <scheme val="minor"/>
      </rPr>
      <t>性疾病等治疗领域。2.公司基于对核心治疗领域呼吸系统病毒性、感染性疾病的理解和新药研发丰富经验,果断布局广谱抗新冠病毒药物的研发。RAY1216是众生睿创研发的、具有全球自主知识产权的强效、广谱抗新冠病毒3CL蛋白酶抑制剂,通过作用于新型冠状病毒主蛋白(mainprotease,Mpro,3CLpro),</t>
    </r>
    <r>
      <rPr>
        <b/>
        <sz val="9"/>
        <color rgb="FFFF0000"/>
        <rFont val="宋体"/>
        <family val="3"/>
        <charset val="134"/>
        <scheme val="minor"/>
      </rPr>
      <t>抑制病毒前体蛋白质的切割,进而阻断病毒复制,达到抗新冠病毒的作用</t>
    </r>
    <r>
      <rPr>
        <sz val="9"/>
        <color theme="1"/>
        <rFont val="宋体"/>
        <family val="2"/>
        <charset val="134"/>
        <scheme val="minor"/>
      </rPr>
      <t>。</t>
    </r>
    <phoneticPr fontId="1" type="noConversion"/>
  </si>
  <si>
    <t>8898.17万</t>
  </si>
  <si>
    <t>21.20亿</t>
  </si>
  <si>
    <t>36.92亿</t>
  </si>
  <si>
    <t>1991202000亿</t>
  </si>
  <si>
    <t>24.29亿</t>
  </si>
  <si>
    <t>2.78亿</t>
  </si>
  <si>
    <t>16.95亿</t>
  </si>
  <si>
    <t>6.75亿</t>
  </si>
  <si>
    <t>7.36亿</t>
  </si>
  <si>
    <t>1.18亿</t>
  </si>
  <si>
    <t>8043.89万</t>
  </si>
  <si>
    <t>17746399亿</t>
  </si>
  <si>
    <t>18.44万</t>
  </si>
  <si>
    <t>267140360亿</t>
  </si>
  <si>
    <t>12.41亿</t>
  </si>
  <si>
    <t>557310340亿</t>
  </si>
  <si>
    <t>5.50亿</t>
  </si>
  <si>
    <t>3351060300亿</t>
  </si>
  <si>
    <t>4671.31万</t>
  </si>
  <si>
    <t>8.39亿</t>
  </si>
  <si>
    <t>1300.00万</t>
  </si>
  <si>
    <t>9771.53万</t>
  </si>
  <si>
    <t>1.37万</t>
  </si>
  <si>
    <t>12.16亿</t>
  </si>
  <si>
    <t>2.97亿</t>
  </si>
  <si>
    <t>1.40亿</t>
  </si>
  <si>
    <t>-4.86亿</t>
  </si>
  <si>
    <t>5.43亿</t>
  </si>
  <si>
    <t>18.96亿</t>
  </si>
  <si>
    <t>25.32亿</t>
  </si>
  <si>
    <t>23.62亿</t>
  </si>
  <si>
    <t>19.64亿</t>
  </si>
  <si>
    <t>16.92亿</t>
  </si>
  <si>
    <t>-4.27亿</t>
  </si>
  <si>
    <t>3.18亿</t>
  </si>
  <si>
    <t>4.36亿</t>
  </si>
  <si>
    <t>4.14亿</t>
  </si>
  <si>
    <t>13.26亿</t>
  </si>
  <si>
    <t>18.24亿</t>
  </si>
  <si>
    <t>12.10亿</t>
  </si>
  <si>
    <t>2.02亿</t>
  </si>
  <si>
    <t>3.14亿</t>
  </si>
  <si>
    <t>2.88亿</t>
  </si>
  <si>
    <t>3.86亿</t>
  </si>
  <si>
    <t>10.14亿</t>
  </si>
  <si>
    <t>公司主营业务是药品研发、生产、销售。公司主要产品有复方血栓通系列产品、众生丸系列产品、头孢克肟分散片、头孢拉定胶囊、硫糖铝口服混悬液。
市值262.08392亿, 利润2.78亿; PE123.3, PB7.22; 毛利65.07%; 净利1.61%; 上一年度营收增28.11%, 利润增165.11%; 当季营收增8.34%, 利润增79.74%; 过往5年营收增9.31%, 利润增-18.2%
Income profile:
中成药销售 8.53亿 64.34% 78.43% 79.08%
化学药销售 3.70亿 27.90% 20.87% 48.53%</t>
  </si>
  <si>
    <t>105.19亿</t>
  </si>
  <si>
    <t>7158192100亿</t>
  </si>
  <si>
    <t>91.12亿</t>
  </si>
  <si>
    <t>9.36亿</t>
  </si>
  <si>
    <t>18.77亿</t>
  </si>
  <si>
    <t>5.66亿</t>
  </si>
  <si>
    <t>1.93亿</t>
  </si>
  <si>
    <t>26567610亿</t>
  </si>
  <si>
    <t>1981.10万</t>
  </si>
  <si>
    <t>926445760亿</t>
  </si>
  <si>
    <t>1659197500亿</t>
  </si>
  <si>
    <t>7403909900亿</t>
  </si>
  <si>
    <t>2688.70万</t>
  </si>
  <si>
    <t>7.46亿</t>
  </si>
  <si>
    <t>2.00亿</t>
  </si>
  <si>
    <t>8.60亿</t>
  </si>
  <si>
    <t>1055.96万</t>
  </si>
  <si>
    <t>-4.97亿</t>
  </si>
  <si>
    <t>85.04亿</t>
  </si>
  <si>
    <t>93.81亿</t>
  </si>
  <si>
    <t>82.25亿</t>
  </si>
  <si>
    <t>64.22亿</t>
  </si>
  <si>
    <t>54.95亿</t>
  </si>
  <si>
    <t>10.05亿</t>
  </si>
  <si>
    <t>10.55亿</t>
  </si>
  <si>
    <t>9.69亿</t>
  </si>
  <si>
    <t>7.14亿</t>
  </si>
  <si>
    <t>49.11亿</t>
  </si>
  <si>
    <t>68.75亿</t>
  </si>
  <si>
    <t>46.30亿</t>
  </si>
  <si>
    <t>7.37亿</t>
  </si>
  <si>
    <t>8.89亿</t>
  </si>
  <si>
    <t>5.95亿</t>
  </si>
  <si>
    <t>3.33亿</t>
  </si>
  <si>
    <t>14.78亿</t>
  </si>
  <si>
    <t>7-0</t>
  </si>
  <si>
    <t xml:space="preserve">
市值210.31672亿, 利润9.36亿; PE20.51, PB2.14; 毛利61%; 净利12.9733%; 上一年度营收增7.15%, 利润增-6.87%; 当季营收增.1%, 利润增-17.8%; 过往5年营收增11.36%, 利润增6.06%
Income profile:
</t>
  </si>
  <si>
    <t>21.94亿</t>
  </si>
  <si>
    <t>15.23亿</t>
  </si>
  <si>
    <t>530964140亿</t>
  </si>
  <si>
    <t>3080.78万</t>
  </si>
  <si>
    <t>6.32亿</t>
  </si>
  <si>
    <t>2.59亿</t>
  </si>
  <si>
    <t>8056.01万</t>
  </si>
  <si>
    <t>7483.31万</t>
  </si>
  <si>
    <t>-810986亿</t>
  </si>
  <si>
    <t>301.98万</t>
  </si>
  <si>
    <t>-105960510亿</t>
  </si>
  <si>
    <t>5514.63万</t>
  </si>
  <si>
    <t>312874320亿</t>
  </si>
  <si>
    <t>6.95万</t>
  </si>
  <si>
    <t>907570660亿</t>
  </si>
  <si>
    <t>1.56亿</t>
  </si>
  <si>
    <t>3.82亿</t>
  </si>
  <si>
    <t>9015.62万</t>
  </si>
  <si>
    <t>411.04万</t>
  </si>
  <si>
    <t>7.77亿</t>
  </si>
  <si>
    <t>9.76亿</t>
  </si>
  <si>
    <t>797.60万</t>
  </si>
  <si>
    <t>-2550.84万</t>
  </si>
  <si>
    <t>-3565.79万</t>
  </si>
  <si>
    <t>7.22亿</t>
  </si>
  <si>
    <t>6.14亿</t>
  </si>
  <si>
    <t>12.64亿</t>
  </si>
  <si>
    <t>12.46亿</t>
  </si>
  <si>
    <t>8.55亿</t>
  </si>
  <si>
    <t>-6.09亿</t>
  </si>
  <si>
    <t>-8.85亿</t>
  </si>
  <si>
    <t>-3.41亿</t>
  </si>
  <si>
    <t>3.30亿</t>
  </si>
  <si>
    <t>2.92亿</t>
  </si>
  <si>
    <t>3.57亿</t>
  </si>
  <si>
    <t>5.08亿</t>
  </si>
  <si>
    <t>3.66亿</t>
  </si>
  <si>
    <t>-9822.31万</t>
  </si>
  <si>
    <t>-2661.42万</t>
  </si>
  <si>
    <t>2.95亿</t>
  </si>
  <si>
    <t>17.27亿</t>
  </si>
  <si>
    <t>4-0</t>
  </si>
  <si>
    <t xml:space="preserve">
市值150.8345亿, 利润3080.78万; PE7190, PB10.08; 毛利79.13%; 净利-85.4467%; 上一年度营收增1.94%, 利润增105.06%; 当季营收增22.51%, 利润增46.86%; 过往5年营收增3.06%, 利润增-42.72%
Income profile:
</t>
  </si>
  <si>
    <t>20.12亿</t>
  </si>
  <si>
    <t>40.24亿</t>
  </si>
  <si>
    <t>3502028900亿</t>
  </si>
  <si>
    <t>49.66亿</t>
  </si>
  <si>
    <t>5.45亿</t>
  </si>
  <si>
    <t>31.23亿</t>
  </si>
  <si>
    <t>10.74亿</t>
  </si>
  <si>
    <t>15.62亿</t>
  </si>
  <si>
    <t>2.10亿</t>
  </si>
  <si>
    <t>2.24亿</t>
  </si>
  <si>
    <t>0亿</t>
  </si>
  <si>
    <t>470.10万</t>
  </si>
  <si>
    <t>304081230亿</t>
  </si>
  <si>
    <t>17.30亿</t>
  </si>
  <si>
    <t>1248959450亿</t>
  </si>
  <si>
    <t>4824.85万</t>
  </si>
  <si>
    <t>4069812200亿</t>
  </si>
  <si>
    <t>2.08亿</t>
  </si>
  <si>
    <t>1.10亿</t>
  </si>
  <si>
    <t>3.62亿</t>
  </si>
  <si>
    <t>18.90亿</t>
  </si>
  <si>
    <t>-1793.32万</t>
  </si>
  <si>
    <t>-5.14亿</t>
  </si>
  <si>
    <t>-2.17亿</t>
  </si>
  <si>
    <t>43.39亿</t>
  </si>
  <si>
    <t>42.88亿</t>
  </si>
  <si>
    <t>39.83亿</t>
  </si>
  <si>
    <t>27.00亿</t>
  </si>
  <si>
    <t>4.42亿</t>
  </si>
  <si>
    <t>2.85亿</t>
  </si>
  <si>
    <t>2.68亿</t>
  </si>
  <si>
    <t>1.62亿</t>
  </si>
  <si>
    <t>19.29亿</t>
  </si>
  <si>
    <t>33.45亿</t>
  </si>
  <si>
    <t>21.31亿</t>
  </si>
  <si>
    <t>3.74亿</t>
  </si>
  <si>
    <t>2.13亿</t>
  </si>
  <si>
    <t>2494.46万</t>
  </si>
  <si>
    <t>2.77亿</t>
  </si>
  <si>
    <t xml:space="preserve">
市值91.8亿, 利润5.45亿; PE18.1, PB2.29; 毛利65.1533%; 净利8.1%; 上一年度营收增14.45%, 利润增23.3%; 当季营收增29.57%, 利润增21.43%; 过往5年营收增17.7%, 利润增37.54%
Income profile:
</t>
  </si>
  <si>
    <t>8.20亿</t>
  </si>
  <si>
    <t>18.01亿</t>
  </si>
  <si>
    <t>57658277亿</t>
  </si>
  <si>
    <t>4050.29万</t>
  </si>
  <si>
    <t>-2.60亿</t>
  </si>
  <si>
    <t>5197.15万</t>
  </si>
  <si>
    <t>4096.54万</t>
  </si>
  <si>
    <t>6064.94万</t>
  </si>
  <si>
    <t>8106.14万</t>
  </si>
  <si>
    <t>15548011亿</t>
  </si>
  <si>
    <t>208.76万</t>
  </si>
  <si>
    <t>-261148500亿</t>
  </si>
  <si>
    <t>9.95亿</t>
  </si>
  <si>
    <t>39418201亿</t>
  </si>
  <si>
    <t>1657707300亿</t>
  </si>
  <si>
    <t>5.56亿</t>
  </si>
  <si>
    <t>1.70亿</t>
  </si>
  <si>
    <t>3669.83万</t>
  </si>
  <si>
    <t>1.19亿</t>
  </si>
  <si>
    <t>-1.87亿</t>
  </si>
  <si>
    <t>9993.32万</t>
  </si>
  <si>
    <t>4662.28万</t>
  </si>
  <si>
    <t>2086.00万</t>
  </si>
  <si>
    <t>191.11万</t>
  </si>
  <si>
    <t>-2.31亿</t>
  </si>
  <si>
    <t>-1.92亿</t>
  </si>
  <si>
    <t>-2.47亿</t>
  </si>
  <si>
    <t>-6527.99万</t>
  </si>
  <si>
    <t>-2347.67万</t>
  </si>
  <si>
    <t>2616.61万</t>
  </si>
  <si>
    <t>3464.53万</t>
  </si>
  <si>
    <t>2281.14万</t>
  </si>
  <si>
    <t>-1.23亿</t>
  </si>
  <si>
    <t>-1.77亿</t>
  </si>
  <si>
    <t>-9344.56万</t>
  </si>
  <si>
    <t>3.12亿</t>
  </si>
  <si>
    <t xml:space="preserve">
市值82.482219亿, 利润-2.60亿; PE, PB4.58; 毛利-10.8133%; 净利-637.1767%; 上一年度营收增-13.13%, 利润增-12.55%; 当季营收增166.12%, 利润增-23.88%; 过往5年营收增367.3%, 利润增-93.41%
Income profile:
</t>
  </si>
  <si>
    <t>13.85亿</t>
  </si>
  <si>
    <t>382918480亿</t>
  </si>
  <si>
    <t>5.84亿</t>
  </si>
  <si>
    <t>5.46亿</t>
  </si>
  <si>
    <t>7245.99万</t>
  </si>
  <si>
    <t>3166.84万</t>
  </si>
  <si>
    <t>1.66亿</t>
  </si>
  <si>
    <t>4177872亿</t>
  </si>
  <si>
    <t>20.29万</t>
  </si>
  <si>
    <t>-160268220亿</t>
  </si>
  <si>
    <t>94907226亿</t>
  </si>
  <si>
    <t>4879.97万</t>
  </si>
  <si>
    <t>538557140亿</t>
  </si>
  <si>
    <t>1.08亿</t>
  </si>
  <si>
    <t>567.98万</t>
  </si>
  <si>
    <t>3378.66万</t>
  </si>
  <si>
    <t>-1.47亿</t>
  </si>
  <si>
    <t>2.30亿</t>
  </si>
  <si>
    <t>1634.26万</t>
  </si>
  <si>
    <t>6.61亿</t>
  </si>
  <si>
    <t>8.06亿</t>
  </si>
  <si>
    <t>13.88亿</t>
  </si>
  <si>
    <t>14.03亿</t>
  </si>
  <si>
    <t>-1.33亿</t>
  </si>
  <si>
    <t>2729.94万</t>
  </si>
  <si>
    <t>1.34亿</t>
  </si>
  <si>
    <t>2.63亿</t>
  </si>
  <si>
    <t>2.57亿</t>
  </si>
  <si>
    <t>2.47亿</t>
  </si>
  <si>
    <t>4.26亿</t>
  </si>
  <si>
    <t>-8274.67万</t>
  </si>
  <si>
    <t>-1.26亿</t>
  </si>
  <si>
    <t>-5981.14万</t>
  </si>
  <si>
    <t>1.47亿</t>
  </si>
  <si>
    <t>7.20亿</t>
  </si>
  <si>
    <t xml:space="preserve">
市值71.398705亿, 利润-1.37亿; PE, PB5.16; 毛利83.52%; 净利-20.21%; 上一年度营收增37.41%, 利润增-3.01%; 当季营收增-11.16%, 利润增-8.97%; 过往5年营收增-11.86%, 利润增-143.31%
Income profile:
</t>
  </si>
  <si>
    <t>10.16亿</t>
  </si>
  <si>
    <t>297466450亿</t>
  </si>
  <si>
    <t>3.70亿</t>
  </si>
  <si>
    <t>-3488.66万</t>
  </si>
  <si>
    <t>4.46亿</t>
  </si>
  <si>
    <t>1.25亿</t>
  </si>
  <si>
    <t>1.32亿</t>
  </si>
  <si>
    <t>5970.50万</t>
  </si>
  <si>
    <t>6653.62万</t>
  </si>
  <si>
    <t>56028260亿</t>
  </si>
  <si>
    <t>12.55万</t>
  </si>
  <si>
    <t>-75833068亿</t>
  </si>
  <si>
    <t>3.00亿</t>
  </si>
  <si>
    <t>50515530亿</t>
  </si>
  <si>
    <t>48.61万</t>
  </si>
  <si>
    <t>455447600亿</t>
  </si>
  <si>
    <t>5277.43万</t>
  </si>
  <si>
    <t>1.94亿</t>
  </si>
  <si>
    <t>328.10万</t>
  </si>
  <si>
    <t>7518.55万</t>
  </si>
  <si>
    <t>4.15亿</t>
  </si>
  <si>
    <t>3350.00万</t>
  </si>
  <si>
    <t>-7772.83万</t>
  </si>
  <si>
    <t>-1.57亿</t>
  </si>
  <si>
    <t>1.44亿</t>
  </si>
  <si>
    <t>3.68亿</t>
  </si>
  <si>
    <t>4.02亿</t>
  </si>
  <si>
    <t>1482.45万</t>
  </si>
  <si>
    <t>1074.19万</t>
  </si>
  <si>
    <t>1648.44万</t>
  </si>
  <si>
    <t>3356.53万</t>
  </si>
  <si>
    <t>6641.30万</t>
  </si>
  <si>
    <t>2.71亿</t>
  </si>
  <si>
    <t>1.73亿</t>
  </si>
  <si>
    <t>-2622.26万</t>
  </si>
  <si>
    <t>-2053.19万</t>
  </si>
  <si>
    <t>-1709.75万</t>
  </si>
  <si>
    <t>6210.88万</t>
  </si>
  <si>
    <t>2.98亿</t>
  </si>
  <si>
    <t xml:space="preserve">
市值69.297072亿, 利润-3488.66万; PE, PB7.03; 毛利67.3133%; 净利-2.9533%; 上一年度营收增.54%, 利润增-335.33%; 当季营收增6.6%, 利润增-1218.15%; 过往5年营收增4.57%, 利润增-86.5%
Income profile:
</t>
  </si>
  <si>
    <t>12.56亿</t>
  </si>
  <si>
    <t>34856253亿</t>
  </si>
  <si>
    <t>766.00万</t>
  </si>
  <si>
    <t>-2.26亿</t>
  </si>
  <si>
    <t>628.05万</t>
  </si>
  <si>
    <t>5243.86万</t>
  </si>
  <si>
    <t>4746.15万</t>
  </si>
  <si>
    <t>6554.72万</t>
  </si>
  <si>
    <t>348.60万</t>
  </si>
  <si>
    <t>-189099840亿</t>
  </si>
  <si>
    <t>3.04亿</t>
  </si>
  <si>
    <t>10477528亿</t>
  </si>
  <si>
    <t>1340580330亿</t>
  </si>
  <si>
    <t>5.63万</t>
  </si>
  <si>
    <t>5758.06万</t>
  </si>
  <si>
    <t>980.22万</t>
  </si>
  <si>
    <t>1.00亿</t>
  </si>
  <si>
    <t>-1.79亿</t>
  </si>
  <si>
    <t>-5.82亿</t>
  </si>
  <si>
    <t>9.62亿</t>
  </si>
  <si>
    <t>109.34万</t>
  </si>
  <si>
    <t>-8632.72万</t>
  </si>
  <si>
    <t>-1.15亿</t>
  </si>
  <si>
    <t>-1.50亿</t>
  </si>
  <si>
    <t>2038.26万</t>
  </si>
  <si>
    <t>548.99万</t>
  </si>
  <si>
    <t>-1.08亿</t>
  </si>
  <si>
    <t>-8680.58万</t>
  </si>
  <si>
    <t>4791.84万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</si>
</sst>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3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5" fillId="0" borderId="0" xfId="0" applyFont="1" applyFill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6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5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2" xfId="0" applyNumberFormat="1" applyFill="1" applyBorder="1" applyAlignment="1">
      <alignment vertical="center" wrapText="1"/>
    </xf>
    <xf numFmtId="0" fontId="0" fillId="4" borderId="2" xfId="0" applyNumberFormat="1" applyFill="1" applyBorder="1" applyAlignment="1">
      <alignment vertical="center" wrapText="1"/>
    </xf>
    <xf numFmtId="0" fontId="0" fillId="2" borderId="1" xfId="0" applyNumberForma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Font="1" applyAlignment="1">
      <alignment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137160</xdr:rowOff>
        </xdr:from>
        <xdr:to>
          <xdr:col>1</xdr:col>
          <xdr:colOff>1188720</xdr:colOff>
          <xdr:row>1</xdr:row>
          <xdr:rowOff>480060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137160</xdr:rowOff>
        </xdr:from>
        <xdr:to>
          <xdr:col>1</xdr:col>
          <xdr:colOff>1188720</xdr:colOff>
          <xdr:row>1</xdr:row>
          <xdr:rowOff>480060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Q10"/>
  <sheetViews>
    <sheetView zoomScale="85" zoomScaleNormal="85" workbookViewId="0">
      <pane xSplit="6" ySplit="1" topLeftCell="G2" activePane="bottomRight" state="frozen"/>
      <selection pane="topRight" activeCell="G1" sqref="G1"/>
      <selection pane="bottomLeft" activeCell="A2" sqref="A2"/>
      <selection pane="bottomRight" sqref="A1:XFD1048576"/>
    </sheetView>
  </sheetViews>
  <sheetFormatPr defaultRowHeight="14.4" x14ac:dyDescent="0.25"/>
  <cols>
    <col min="1" max="1" width="12" style="20" customWidth="1"/>
    <col min="2" max="2" width="35.109375" customWidth="1"/>
    <col min="3" max="3" width="40.77734375" customWidth="1"/>
    <col min="4" max="4" width="56" customWidth="1"/>
    <col min="22" max="22" width="14.77734375" customWidth="1"/>
  </cols>
  <sheetData>
    <row r="1" spans="1:147" s="14" customFormat="1" x14ac:dyDescent="0.25">
      <c r="A1" s="15" t="s">
        <v>48</v>
      </c>
      <c r="B1" s="16" t="s">
        <v>118</v>
      </c>
      <c r="C1" s="17" t="s">
        <v>7</v>
      </c>
      <c r="D1" s="16" t="s">
        <v>119</v>
      </c>
      <c r="E1" t="s">
        <v>2</v>
      </c>
      <c r="F1" t="s">
        <v>3</v>
      </c>
      <c r="G1" t="s">
        <v>0</v>
      </c>
      <c r="H1" t="s">
        <v>91</v>
      </c>
      <c r="I1" t="s">
        <v>120</v>
      </c>
      <c r="J1" t="s">
        <v>4</v>
      </c>
      <c r="K1" t="s">
        <v>5</v>
      </c>
      <c r="L1" t="s">
        <v>1</v>
      </c>
      <c r="M1" t="s">
        <v>6</v>
      </c>
      <c r="N1" t="s">
        <v>8</v>
      </c>
      <c r="O1" t="s">
        <v>9</v>
      </c>
      <c r="P1" t="s">
        <v>10</v>
      </c>
      <c r="Q1" t="s">
        <v>121</v>
      </c>
      <c r="R1" t="s">
        <v>92</v>
      </c>
      <c r="S1" t="s">
        <v>122</v>
      </c>
      <c r="T1" t="s">
        <v>11</v>
      </c>
      <c r="U1" t="s">
        <v>93</v>
      </c>
      <c r="V1" t="s">
        <v>94</v>
      </c>
      <c r="W1" t="s">
        <v>12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95</v>
      </c>
      <c r="AD1" t="s">
        <v>75</v>
      </c>
      <c r="AE1" t="s">
        <v>123</v>
      </c>
      <c r="AF1" t="s">
        <v>13</v>
      </c>
      <c r="AG1" t="s">
        <v>14</v>
      </c>
      <c r="AH1" t="s">
        <v>96</v>
      </c>
      <c r="AI1" t="s">
        <v>124</v>
      </c>
      <c r="AJ1" t="s">
        <v>97</v>
      </c>
      <c r="AK1" t="s">
        <v>15</v>
      </c>
      <c r="AL1" t="s">
        <v>98</v>
      </c>
      <c r="AM1" t="s">
        <v>49</v>
      </c>
      <c r="AN1" t="s">
        <v>99</v>
      </c>
      <c r="AO1" t="s">
        <v>100</v>
      </c>
      <c r="AP1" t="s">
        <v>101</v>
      </c>
      <c r="AQ1" t="s">
        <v>102</v>
      </c>
      <c r="AR1" t="s">
        <v>103</v>
      </c>
      <c r="AS1" t="s">
        <v>104</v>
      </c>
      <c r="AT1" t="s">
        <v>105</v>
      </c>
      <c r="AU1" t="s">
        <v>106</v>
      </c>
      <c r="AV1" t="s">
        <v>107</v>
      </c>
      <c r="AW1" t="s">
        <v>108</v>
      </c>
      <c r="AX1" t="s">
        <v>109</v>
      </c>
      <c r="AY1" t="s">
        <v>125</v>
      </c>
      <c r="AZ1" t="s">
        <v>50</v>
      </c>
      <c r="BA1" t="s">
        <v>51</v>
      </c>
      <c r="BB1" t="s">
        <v>52</v>
      </c>
      <c r="BC1" t="s">
        <v>53</v>
      </c>
      <c r="BD1" t="s">
        <v>59</v>
      </c>
      <c r="BE1" t="s">
        <v>54</v>
      </c>
      <c r="BF1" t="s">
        <v>55</v>
      </c>
      <c r="BG1" t="s">
        <v>56</v>
      </c>
      <c r="BH1" t="s">
        <v>57</v>
      </c>
      <c r="BI1" t="s">
        <v>126</v>
      </c>
      <c r="BJ1" t="s">
        <v>110</v>
      </c>
      <c r="BK1" t="s">
        <v>58</v>
      </c>
      <c r="BL1" t="s">
        <v>111</v>
      </c>
      <c r="BM1" t="s">
        <v>112</v>
      </c>
      <c r="BN1" t="s">
        <v>113</v>
      </c>
      <c r="BO1" t="s">
        <v>114</v>
      </c>
      <c r="BP1" t="s">
        <v>60</v>
      </c>
      <c r="BQ1" t="s">
        <v>61</v>
      </c>
      <c r="BR1" t="s">
        <v>62</v>
      </c>
      <c r="BS1" t="s">
        <v>115</v>
      </c>
      <c r="BT1" t="s">
        <v>63</v>
      </c>
      <c r="BU1" t="s">
        <v>64</v>
      </c>
      <c r="BV1" t="s">
        <v>65</v>
      </c>
      <c r="BW1" t="s">
        <v>116</v>
      </c>
      <c r="BX1" t="s">
        <v>66</v>
      </c>
      <c r="BY1" t="s">
        <v>67</v>
      </c>
      <c r="BZ1" t="s">
        <v>117</v>
      </c>
      <c r="CA1" t="s">
        <v>68</v>
      </c>
      <c r="CB1" t="s">
        <v>69</v>
      </c>
      <c r="CC1" t="s">
        <v>127</v>
      </c>
      <c r="CD1" t="s">
        <v>128</v>
      </c>
      <c r="CE1" t="s">
        <v>129</v>
      </c>
      <c r="CF1" t="s">
        <v>130</v>
      </c>
      <c r="CG1" s="1" t="s">
        <v>76</v>
      </c>
      <c r="CH1" s="1" t="s">
        <v>77</v>
      </c>
      <c r="CI1" s="1" t="s">
        <v>78</v>
      </c>
      <c r="CJ1" s="1" t="s">
        <v>79</v>
      </c>
      <c r="CK1" s="1" t="s">
        <v>80</v>
      </c>
      <c r="CL1" s="1" t="s">
        <v>81</v>
      </c>
      <c r="CM1" s="1" t="s">
        <v>82</v>
      </c>
      <c r="CN1" s="1" t="s">
        <v>83</v>
      </c>
      <c r="CO1" s="1" t="s">
        <v>84</v>
      </c>
      <c r="CP1" s="1" t="s">
        <v>85</v>
      </c>
      <c r="CQ1" s="1" t="s">
        <v>86</v>
      </c>
      <c r="CR1" s="1" t="s">
        <v>87</v>
      </c>
      <c r="CS1" s="1" t="s">
        <v>131</v>
      </c>
      <c r="CT1" s="1" t="s">
        <v>132</v>
      </c>
      <c r="CU1" s="1" t="s">
        <v>133</v>
      </c>
      <c r="CV1" s="1" t="s">
        <v>134</v>
      </c>
      <c r="CW1" s="1" t="s">
        <v>135</v>
      </c>
      <c r="CX1" s="1" t="s">
        <v>136</v>
      </c>
      <c r="CY1">
        <v>1</v>
      </c>
      <c r="CZ1" t="s">
        <v>137</v>
      </c>
      <c r="DA1" t="s">
        <v>138</v>
      </c>
      <c r="DB1">
        <v>3</v>
      </c>
      <c r="DC1" t="s">
        <v>139</v>
      </c>
      <c r="DD1" t="s">
        <v>140</v>
      </c>
      <c r="DE1">
        <v>6</v>
      </c>
      <c r="DF1" t="s">
        <v>141</v>
      </c>
      <c r="DG1" t="s">
        <v>142</v>
      </c>
      <c r="DH1">
        <v>10</v>
      </c>
      <c r="DI1" t="s">
        <v>143</v>
      </c>
      <c r="DJ1" t="s">
        <v>144</v>
      </c>
      <c r="DK1">
        <v>20</v>
      </c>
      <c r="DL1" t="s">
        <v>145</v>
      </c>
      <c r="DM1" t="s">
        <v>88</v>
      </c>
      <c r="DN1" t="s">
        <v>89</v>
      </c>
      <c r="DO1" s="2" t="s">
        <v>90</v>
      </c>
      <c r="DP1" t="s">
        <v>146</v>
      </c>
      <c r="DQ1" t="s">
        <v>147</v>
      </c>
      <c r="DR1" s="1" t="s">
        <v>148</v>
      </c>
      <c r="DS1" s="1" t="s">
        <v>149</v>
      </c>
      <c r="DT1" s="1" t="s">
        <v>150</v>
      </c>
      <c r="DU1" t="s">
        <v>151</v>
      </c>
      <c r="DV1" t="s">
        <v>152</v>
      </c>
      <c r="DW1" t="s">
        <v>153</v>
      </c>
      <c r="DX1" t="s">
        <v>154</v>
      </c>
      <c r="DY1" t="s">
        <v>155</v>
      </c>
      <c r="DZ1" t="s">
        <v>156</v>
      </c>
      <c r="EA1" t="s">
        <v>157</v>
      </c>
      <c r="EB1" t="s">
        <v>158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7" s="1" customFormat="1" ht="49.05" customHeight="1" x14ac:dyDescent="0.25">
      <c r="A2" s="19"/>
      <c r="B2" s="18"/>
      <c r="C2" s="18">
        <v>3</v>
      </c>
      <c r="D2" s="18">
        <v>10</v>
      </c>
    </row>
    <row r="3" spans="1:147" ht="151.19999999999999" x14ac:dyDescent="0.25">
      <c r="B3" s="21"/>
      <c r="C3" s="21"/>
      <c r="D3" s="21" t="s">
        <v>233</v>
      </c>
      <c r="E3" t="s">
        <v>167</v>
      </c>
      <c r="F3" t="s">
        <v>168</v>
      </c>
      <c r="G3">
        <v>39.72</v>
      </c>
      <c r="H3">
        <v>0</v>
      </c>
      <c r="I3" t="s">
        <v>186</v>
      </c>
      <c r="J3">
        <v>253373970000</v>
      </c>
      <c r="K3">
        <v>63.63</v>
      </c>
      <c r="L3">
        <v>7.02</v>
      </c>
      <c r="M3" t="s">
        <v>169</v>
      </c>
      <c r="N3" t="s">
        <v>187</v>
      </c>
      <c r="O3" t="s">
        <v>188</v>
      </c>
      <c r="P3" t="s">
        <v>189</v>
      </c>
      <c r="Q3">
        <v>-23.08</v>
      </c>
      <c r="R3" t="s">
        <v>190</v>
      </c>
      <c r="S3">
        <v>2119331700</v>
      </c>
      <c r="T3" s="22">
        <v>-0.20549999999999999</v>
      </c>
      <c r="U3" t="s">
        <v>191</v>
      </c>
      <c r="V3">
        <v>6379002300</v>
      </c>
      <c r="W3">
        <v>6379002300</v>
      </c>
      <c r="X3">
        <v>1.1100000000000001</v>
      </c>
      <c r="Y3">
        <v>0.26</v>
      </c>
      <c r="Z3">
        <v>20.22</v>
      </c>
      <c r="AA3" t="s">
        <v>192</v>
      </c>
      <c r="AB3" t="s">
        <v>193</v>
      </c>
      <c r="AC3" t="s">
        <v>194</v>
      </c>
      <c r="AD3" t="s">
        <v>195</v>
      </c>
      <c r="AE3" t="s">
        <v>196</v>
      </c>
      <c r="AF3">
        <v>-220703360</v>
      </c>
      <c r="AG3" t="s">
        <v>197</v>
      </c>
      <c r="AH3" t="s">
        <v>198</v>
      </c>
      <c r="AI3" t="s">
        <v>199</v>
      </c>
      <c r="AJ3" t="s">
        <v>200</v>
      </c>
      <c r="AK3" t="s">
        <v>201</v>
      </c>
      <c r="AL3" t="s">
        <v>202</v>
      </c>
      <c r="AM3" t="s">
        <v>203</v>
      </c>
      <c r="AN3" t="s">
        <v>204</v>
      </c>
      <c r="AO3" t="s">
        <v>205</v>
      </c>
      <c r="AP3" t="s">
        <v>206</v>
      </c>
      <c r="AQ3" t="s">
        <v>207</v>
      </c>
      <c r="AR3" t="s">
        <v>208</v>
      </c>
      <c r="AS3" t="s">
        <v>206</v>
      </c>
      <c r="AT3" t="s">
        <v>209</v>
      </c>
      <c r="AU3" t="s">
        <v>206</v>
      </c>
      <c r="AV3" t="s">
        <v>210</v>
      </c>
      <c r="AW3" t="s">
        <v>211</v>
      </c>
      <c r="AX3" t="s">
        <v>212</v>
      </c>
      <c r="AY3" t="s">
        <v>213</v>
      </c>
      <c r="AZ3" t="s">
        <v>214</v>
      </c>
      <c r="BA3" t="s">
        <v>215</v>
      </c>
      <c r="BB3" t="s">
        <v>216</v>
      </c>
      <c r="BC3" t="s">
        <v>217</v>
      </c>
      <c r="BD3" t="s">
        <v>218</v>
      </c>
      <c r="BE3" t="s">
        <v>219</v>
      </c>
      <c r="BF3" t="s">
        <v>220</v>
      </c>
      <c r="BG3" t="s">
        <v>221</v>
      </c>
      <c r="BH3" t="s">
        <v>222</v>
      </c>
      <c r="BI3" t="s">
        <v>223</v>
      </c>
      <c r="BJ3" t="s">
        <v>224</v>
      </c>
      <c r="BK3" t="s">
        <v>225</v>
      </c>
      <c r="BL3" t="s">
        <v>226</v>
      </c>
      <c r="BM3" t="s">
        <v>227</v>
      </c>
      <c r="BN3" t="s">
        <v>228</v>
      </c>
      <c r="BO3">
        <v>5.79</v>
      </c>
      <c r="BP3">
        <v>13.59</v>
      </c>
      <c r="BQ3">
        <v>22.71</v>
      </c>
      <c r="BR3">
        <v>23.93</v>
      </c>
      <c r="BS3">
        <v>13.96</v>
      </c>
      <c r="BT3">
        <v>22.51</v>
      </c>
      <c r="BU3">
        <v>24.02</v>
      </c>
      <c r="BV3" t="s">
        <v>229</v>
      </c>
      <c r="BW3">
        <v>84.39</v>
      </c>
      <c r="BX3">
        <v>87.93</v>
      </c>
      <c r="BY3">
        <v>87.49</v>
      </c>
      <c r="BZ3">
        <v>22.05</v>
      </c>
      <c r="CA3">
        <v>22.75</v>
      </c>
      <c r="CB3">
        <v>22.87</v>
      </c>
      <c r="CC3">
        <v>1.38</v>
      </c>
      <c r="CD3">
        <v>18.82</v>
      </c>
      <c r="CE3" t="s">
        <v>230</v>
      </c>
      <c r="CF3" t="s">
        <v>231</v>
      </c>
      <c r="CG3" s="23">
        <v>-0.25435047888208479</v>
      </c>
      <c r="CH3" s="24">
        <v>-0.24651434671221178</v>
      </c>
      <c r="CI3" s="23">
        <v>-6.5945528447628021E-2</v>
      </c>
      <c r="CJ3" s="23">
        <v>0.19090554118156433</v>
      </c>
      <c r="CK3" s="23">
        <v>0.33706507086753845</v>
      </c>
      <c r="CL3" s="23">
        <v>0.25888985395431519</v>
      </c>
      <c r="CM3" s="23">
        <v>0.24716068804264069</v>
      </c>
      <c r="CN3" s="24">
        <v>-0.28413403034210205</v>
      </c>
      <c r="CO3" s="24">
        <v>0.18768769502639771</v>
      </c>
      <c r="CP3" s="24">
        <v>0.3103787899017334</v>
      </c>
      <c r="CQ3" s="24">
        <v>0.26391047239303589</v>
      </c>
      <c r="CR3" s="24">
        <v>0.24256470799446106</v>
      </c>
      <c r="CS3">
        <v>9.7805130085694429</v>
      </c>
      <c r="CT3">
        <v>44341624.724061809</v>
      </c>
      <c r="CU3">
        <v>5.8354920000000003</v>
      </c>
      <c r="CV3" s="23">
        <v>0.19361512511968612</v>
      </c>
      <c r="CW3" s="24">
        <v>0.14408152699470519</v>
      </c>
      <c r="CX3">
        <v>0.06</v>
      </c>
      <c r="CY3">
        <v>43.29529413408109</v>
      </c>
      <c r="CZ3">
        <v>5101015581.8794136</v>
      </c>
      <c r="DA3">
        <v>0.19361512511968612</v>
      </c>
      <c r="DB3">
        <v>12.973769368300312</v>
      </c>
      <c r="DC3">
        <v>17022806844.37151</v>
      </c>
      <c r="DD3">
        <v>0.18393436886370182</v>
      </c>
      <c r="DE3">
        <v>5.6633872546424895</v>
      </c>
      <c r="DF3">
        <v>38996091926.957855</v>
      </c>
      <c r="DG3">
        <v>0.17038131010532379</v>
      </c>
      <c r="DH3">
        <v>2.9519915798549734</v>
      </c>
      <c r="DI3">
        <v>74813888869.849014</v>
      </c>
      <c r="DJ3">
        <v>0.15489210009574891</v>
      </c>
      <c r="DK3">
        <v>1.094993969382188</v>
      </c>
      <c r="DL3">
        <v>201690581113.0694</v>
      </c>
      <c r="DM3">
        <v>0.13553058758378028</v>
      </c>
      <c r="DN3">
        <v>4530000000</v>
      </c>
      <c r="DO3">
        <v>0.19361512511968612</v>
      </c>
      <c r="DP3">
        <v>220849970000</v>
      </c>
      <c r="DQ3">
        <v>27064701000</v>
      </c>
      <c r="DR3">
        <v>2936</v>
      </c>
      <c r="DS3">
        <v>-0.44796560400177088</v>
      </c>
      <c r="DT3">
        <v>-0.39059587370691695</v>
      </c>
      <c r="DU3" s="25">
        <v>0.27999999999999992</v>
      </c>
      <c r="DV3">
        <v>0.11333333333333324</v>
      </c>
      <c r="DW3">
        <v>0.39333333333333315</v>
      </c>
      <c r="DX3">
        <v>3.0318928571428572</v>
      </c>
      <c r="DY3">
        <v>0.4078149018372686</v>
      </c>
      <c r="DZ3">
        <v>3.0069467395478813</v>
      </c>
      <c r="EA3">
        <v>2696</v>
      </c>
      <c r="EB3">
        <v>3.0031002803527511</v>
      </c>
      <c r="EC3">
        <v>3</v>
      </c>
      <c r="ED3">
        <v>4.9067234228775868E-2</v>
      </c>
      <c r="EE3">
        <v>0.22527033733786239</v>
      </c>
      <c r="EF3" s="26">
        <v>1.0152099999999999</v>
      </c>
      <c r="EG3">
        <v>1.0152099999999999</v>
      </c>
      <c r="EH3">
        <v>19.217814901837269</v>
      </c>
      <c r="EI3" t="s">
        <v>232</v>
      </c>
      <c r="EJ3">
        <v>0</v>
      </c>
      <c r="EK3">
        <v>0</v>
      </c>
      <c r="EL3" s="27">
        <v>44861</v>
      </c>
      <c r="EM3" s="28">
        <v>2.02</v>
      </c>
      <c r="EN3" s="28">
        <v>-2.48</v>
      </c>
      <c r="EO3" s="28">
        <v>-2.21</v>
      </c>
      <c r="EP3" s="28">
        <v>-2.21</v>
      </c>
      <c r="EQ3" s="28">
        <v>0</v>
      </c>
    </row>
    <row r="4" spans="1:147" ht="64.8" x14ac:dyDescent="0.25">
      <c r="B4" s="21"/>
      <c r="C4" s="21"/>
      <c r="D4" s="21" t="s">
        <v>280</v>
      </c>
      <c r="E4" t="s">
        <v>170</v>
      </c>
      <c r="F4" t="s">
        <v>171</v>
      </c>
      <c r="G4">
        <v>31.9</v>
      </c>
      <c r="H4">
        <v>-0.47</v>
      </c>
      <c r="I4" t="s">
        <v>234</v>
      </c>
      <c r="J4">
        <v>85162001000</v>
      </c>
      <c r="K4">
        <v>22.41</v>
      </c>
      <c r="L4">
        <v>2</v>
      </c>
      <c r="M4" t="s">
        <v>169</v>
      </c>
      <c r="N4" t="s">
        <v>235</v>
      </c>
      <c r="O4" t="s">
        <v>236</v>
      </c>
      <c r="P4" t="s">
        <v>237</v>
      </c>
      <c r="Q4">
        <v>25.88</v>
      </c>
      <c r="R4" t="s">
        <v>238</v>
      </c>
      <c r="S4">
        <v>1547333600</v>
      </c>
      <c r="T4" s="22">
        <v>-0.37669999999999998</v>
      </c>
      <c r="U4" t="s">
        <v>239</v>
      </c>
      <c r="V4">
        <v>2010958000</v>
      </c>
      <c r="W4">
        <v>2669655200</v>
      </c>
      <c r="X4">
        <v>2.0699999999999998</v>
      </c>
      <c r="Y4">
        <v>0.22</v>
      </c>
      <c r="Z4">
        <v>8.73</v>
      </c>
      <c r="AA4" t="s">
        <v>240</v>
      </c>
      <c r="AB4" t="s">
        <v>241</v>
      </c>
      <c r="AC4" t="s">
        <v>242</v>
      </c>
      <c r="AD4" t="s">
        <v>243</v>
      </c>
      <c r="AE4" t="s">
        <v>244</v>
      </c>
      <c r="AF4">
        <v>261741650</v>
      </c>
      <c r="AG4" t="s">
        <v>245</v>
      </c>
      <c r="AH4" t="s">
        <v>246</v>
      </c>
      <c r="AI4" t="s">
        <v>247</v>
      </c>
      <c r="AJ4" t="s">
        <v>248</v>
      </c>
      <c r="AK4" t="s">
        <v>249</v>
      </c>
      <c r="AL4" t="s">
        <v>250</v>
      </c>
      <c r="AM4" t="s">
        <v>251</v>
      </c>
      <c r="AN4" t="s">
        <v>252</v>
      </c>
      <c r="AO4" t="s">
        <v>253</v>
      </c>
      <c r="AP4" t="s">
        <v>254</v>
      </c>
      <c r="AQ4" t="s">
        <v>210</v>
      </c>
      <c r="AR4" t="s">
        <v>255</v>
      </c>
      <c r="AS4" t="s">
        <v>206</v>
      </c>
      <c r="AT4" t="s">
        <v>256</v>
      </c>
      <c r="AU4" t="s">
        <v>257</v>
      </c>
      <c r="AV4" t="s">
        <v>258</v>
      </c>
      <c r="AW4" t="s">
        <v>259</v>
      </c>
      <c r="AX4" t="s">
        <v>260</v>
      </c>
      <c r="AY4" t="s">
        <v>261</v>
      </c>
      <c r="AZ4" t="s">
        <v>262</v>
      </c>
      <c r="BA4" t="s">
        <v>263</v>
      </c>
      <c r="BB4" t="s">
        <v>264</v>
      </c>
      <c r="BC4" t="s">
        <v>265</v>
      </c>
      <c r="BD4" t="s">
        <v>266</v>
      </c>
      <c r="BE4" t="s">
        <v>267</v>
      </c>
      <c r="BF4" t="s">
        <v>268</v>
      </c>
      <c r="BG4" t="s">
        <v>269</v>
      </c>
      <c r="BH4" t="s">
        <v>270</v>
      </c>
      <c r="BI4" t="s">
        <v>271</v>
      </c>
      <c r="BJ4" t="s">
        <v>272</v>
      </c>
      <c r="BK4" t="s">
        <v>273</v>
      </c>
      <c r="BL4" t="s">
        <v>274</v>
      </c>
      <c r="BM4" t="s">
        <v>275</v>
      </c>
      <c r="BN4" t="s">
        <v>276</v>
      </c>
      <c r="BO4">
        <v>2.31</v>
      </c>
      <c r="BP4">
        <v>7.5</v>
      </c>
      <c r="BQ4">
        <v>6.31</v>
      </c>
      <c r="BR4">
        <v>6.24</v>
      </c>
      <c r="BS4">
        <v>12.39</v>
      </c>
      <c r="BT4">
        <v>10.84</v>
      </c>
      <c r="BU4">
        <v>11.55</v>
      </c>
      <c r="BV4" t="s">
        <v>229</v>
      </c>
      <c r="BW4">
        <v>43.55</v>
      </c>
      <c r="BX4">
        <v>55.68</v>
      </c>
      <c r="BY4">
        <v>59.62</v>
      </c>
      <c r="BZ4">
        <v>6.21</v>
      </c>
      <c r="CA4">
        <v>13</v>
      </c>
      <c r="CB4">
        <v>13.1</v>
      </c>
      <c r="CC4">
        <v>2.1800000000000002</v>
      </c>
      <c r="CD4">
        <v>-10.27</v>
      </c>
      <c r="CE4" t="s">
        <v>277</v>
      </c>
      <c r="CF4" t="s">
        <v>278</v>
      </c>
      <c r="CG4" s="23">
        <v>0.23179563848920837</v>
      </c>
      <c r="CH4" s="24">
        <v>-0.33679902140672785</v>
      </c>
      <c r="CI4" s="23">
        <v>0.28699636459350586</v>
      </c>
      <c r="CJ4" s="23">
        <v>6.024136021733284E-2</v>
      </c>
      <c r="CK4" s="23">
        <v>0.14716275036334991</v>
      </c>
      <c r="CL4" s="23">
        <v>0.34444797039031982</v>
      </c>
      <c r="CM4" s="23">
        <v>0.2669355571269989</v>
      </c>
      <c r="CN4" s="24">
        <v>0.29265627264976501</v>
      </c>
      <c r="CO4" s="24">
        <v>0.10264907032251358</v>
      </c>
      <c r="CP4" s="24">
        <v>0.22673554718494415</v>
      </c>
      <c r="CQ4" s="24">
        <v>-0.13316261768341064</v>
      </c>
      <c r="CR4" s="24">
        <v>0.11332853138446808</v>
      </c>
      <c r="CS4">
        <v>2.1833611331880527</v>
      </c>
      <c r="CT4">
        <v>39320749.73600845</v>
      </c>
      <c r="CU4">
        <v>3.9756420000000001</v>
      </c>
      <c r="CV4" s="23">
        <v>0.22115680053830147</v>
      </c>
      <c r="CW4" s="24">
        <v>0.12044136077165604</v>
      </c>
      <c r="CX4">
        <v>0.06</v>
      </c>
      <c r="CY4">
        <v>16.223625418326716</v>
      </c>
      <c r="CZ4">
        <v>5454884387.3102427</v>
      </c>
      <c r="DA4">
        <v>0.22115680053830147</v>
      </c>
      <c r="DB4">
        <v>4.7525523818353985</v>
      </c>
      <c r="DC4">
        <v>18621152149.36837</v>
      </c>
      <c r="DD4">
        <v>0.21009896051138638</v>
      </c>
      <c r="DE4">
        <v>2.0077868626714888</v>
      </c>
      <c r="DF4">
        <v>44077388215.523911</v>
      </c>
      <c r="DG4">
        <v>0.19461798447370529</v>
      </c>
      <c r="DH4">
        <v>1.0051705836792331</v>
      </c>
      <c r="DI4">
        <v>88042768498.129074</v>
      </c>
      <c r="DJ4">
        <v>0.17692544043064118</v>
      </c>
      <c r="DK4">
        <v>0.33743515394000506</v>
      </c>
      <c r="DL4">
        <v>262266690256.38828</v>
      </c>
      <c r="DM4">
        <v>0.15480976037681102</v>
      </c>
      <c r="DN4">
        <v>4735000000</v>
      </c>
      <c r="DO4">
        <v>0.22115680053830147</v>
      </c>
      <c r="DP4">
        <v>88498001000</v>
      </c>
      <c r="DQ4">
        <v>169806000</v>
      </c>
      <c r="DR4">
        <v>2872</v>
      </c>
      <c r="DS4">
        <v>1.0638837950906893E-2</v>
      </c>
      <c r="DT4">
        <v>-0.45724038217838392</v>
      </c>
      <c r="DU4" s="25">
        <v>0.60333333333333328</v>
      </c>
      <c r="DV4">
        <v>0.08</v>
      </c>
      <c r="DW4">
        <v>0.68333333333333324</v>
      </c>
      <c r="DX4">
        <v>-2.1027</v>
      </c>
      <c r="DY4">
        <v>0.38198668146503867</v>
      </c>
      <c r="DZ4">
        <v>-2.0217710321864595</v>
      </c>
      <c r="EA4">
        <v>2190</v>
      </c>
      <c r="EB4">
        <v>-2.0119787626263146</v>
      </c>
      <c r="EC4">
        <v>2</v>
      </c>
      <c r="ED4">
        <v>7.1544819720539193E-2</v>
      </c>
      <c r="EE4">
        <v>0.33749676737280532</v>
      </c>
      <c r="EF4" s="26">
        <v>-2.0396999999999998</v>
      </c>
      <c r="EG4">
        <v>-2.0350000000000001</v>
      </c>
      <c r="EH4">
        <v>17.211986681465039</v>
      </c>
      <c r="EI4" t="s">
        <v>279</v>
      </c>
      <c r="EJ4">
        <v>0</v>
      </c>
      <c r="EK4">
        <v>0</v>
      </c>
      <c r="EL4" s="27">
        <v>44861</v>
      </c>
      <c r="EM4" s="28">
        <v>3.62</v>
      </c>
      <c r="EN4" s="28">
        <v>-4.82</v>
      </c>
      <c r="EO4" s="28">
        <v>1.04</v>
      </c>
      <c r="EP4" s="28">
        <v>1.04</v>
      </c>
      <c r="EQ4" s="28">
        <v>-0.47</v>
      </c>
    </row>
    <row r="5" spans="1:147" ht="129.6" x14ac:dyDescent="0.25">
      <c r="B5" s="21" t="s">
        <v>553</v>
      </c>
      <c r="C5" s="21"/>
      <c r="D5" s="21" t="s">
        <v>554</v>
      </c>
      <c r="E5" t="s">
        <v>172</v>
      </c>
      <c r="F5" t="s">
        <v>173</v>
      </c>
      <c r="G5">
        <v>25.49</v>
      </c>
      <c r="H5">
        <v>1.31</v>
      </c>
      <c r="I5" t="s">
        <v>281</v>
      </c>
      <c r="J5">
        <v>36117242000</v>
      </c>
      <c r="K5">
        <v>24.44</v>
      </c>
      <c r="L5">
        <v>2.59</v>
      </c>
      <c r="M5" t="s">
        <v>169</v>
      </c>
      <c r="N5" t="s">
        <v>282</v>
      </c>
      <c r="O5" t="s">
        <v>283</v>
      </c>
      <c r="P5" t="s">
        <v>284</v>
      </c>
      <c r="Q5">
        <v>10.84</v>
      </c>
      <c r="R5" t="s">
        <v>285</v>
      </c>
      <c r="S5">
        <v>1378476500</v>
      </c>
      <c r="T5" s="22">
        <v>0.76149999999999995</v>
      </c>
      <c r="U5" t="s">
        <v>286</v>
      </c>
      <c r="V5">
        <v>1120077410</v>
      </c>
      <c r="W5">
        <v>1416918100</v>
      </c>
      <c r="X5">
        <v>2.2200000000000002</v>
      </c>
      <c r="Y5">
        <v>0.28000000000000003</v>
      </c>
      <c r="Z5">
        <v>9.67</v>
      </c>
      <c r="AA5" t="s">
        <v>287</v>
      </c>
      <c r="AB5" t="s">
        <v>288</v>
      </c>
      <c r="AC5" t="s">
        <v>289</v>
      </c>
      <c r="AD5" t="s">
        <v>290</v>
      </c>
      <c r="AE5" t="s">
        <v>291</v>
      </c>
      <c r="AF5">
        <v>239697600</v>
      </c>
      <c r="AG5" t="s">
        <v>292</v>
      </c>
      <c r="AH5" t="s">
        <v>293</v>
      </c>
      <c r="AI5" t="s">
        <v>294</v>
      </c>
      <c r="AJ5" t="s">
        <v>295</v>
      </c>
      <c r="AK5" t="s">
        <v>296</v>
      </c>
      <c r="AL5" t="s">
        <v>206</v>
      </c>
      <c r="AM5" t="s">
        <v>297</v>
      </c>
      <c r="AN5" t="s">
        <v>298</v>
      </c>
      <c r="AO5" t="s">
        <v>299</v>
      </c>
      <c r="AP5" t="s">
        <v>300</v>
      </c>
      <c r="AQ5" t="s">
        <v>301</v>
      </c>
      <c r="AR5" t="s">
        <v>302</v>
      </c>
      <c r="AS5" t="s">
        <v>206</v>
      </c>
      <c r="AT5" t="s">
        <v>303</v>
      </c>
      <c r="AU5" t="s">
        <v>304</v>
      </c>
      <c r="AV5" t="s">
        <v>305</v>
      </c>
      <c r="AW5" t="s">
        <v>306</v>
      </c>
      <c r="AX5" t="s">
        <v>307</v>
      </c>
      <c r="AY5" t="s">
        <v>308</v>
      </c>
      <c r="AZ5" t="s">
        <v>309</v>
      </c>
      <c r="BA5" t="s">
        <v>310</v>
      </c>
      <c r="BB5" t="s">
        <v>311</v>
      </c>
      <c r="BC5" t="s">
        <v>312</v>
      </c>
      <c r="BD5" t="s">
        <v>313</v>
      </c>
      <c r="BE5" t="s">
        <v>314</v>
      </c>
      <c r="BF5" t="s">
        <v>315</v>
      </c>
      <c r="BG5" t="s">
        <v>316</v>
      </c>
      <c r="BH5" t="s">
        <v>317</v>
      </c>
      <c r="BI5" t="s">
        <v>318</v>
      </c>
      <c r="BJ5" t="s">
        <v>319</v>
      </c>
      <c r="BK5" t="s">
        <v>320</v>
      </c>
      <c r="BL5" t="s">
        <v>321</v>
      </c>
      <c r="BM5" t="s">
        <v>322</v>
      </c>
      <c r="BN5" t="s">
        <v>323</v>
      </c>
      <c r="BO5">
        <v>3.46</v>
      </c>
      <c r="BP5">
        <v>4.4000000000000004</v>
      </c>
      <c r="BQ5">
        <v>3.36</v>
      </c>
      <c r="BR5">
        <v>4.1100000000000003</v>
      </c>
      <c r="BS5">
        <v>8.07</v>
      </c>
      <c r="BT5">
        <v>6.25</v>
      </c>
      <c r="BU5">
        <v>7.21</v>
      </c>
      <c r="BV5" t="s">
        <v>229</v>
      </c>
      <c r="BW5">
        <v>53.17</v>
      </c>
      <c r="BX5">
        <v>54.25</v>
      </c>
      <c r="BY5">
        <v>60.18</v>
      </c>
      <c r="BZ5">
        <v>6.05</v>
      </c>
      <c r="CA5">
        <v>4.8099999999999996</v>
      </c>
      <c r="CB5">
        <v>5.79</v>
      </c>
      <c r="CC5">
        <v>1.47</v>
      </c>
      <c r="CD5">
        <v>17.52</v>
      </c>
      <c r="CE5" t="s">
        <v>324</v>
      </c>
      <c r="CF5" t="s">
        <v>325</v>
      </c>
      <c r="CG5" s="23">
        <v>0.13761867189414387</v>
      </c>
      <c r="CH5" s="24">
        <v>2.419737421383648</v>
      </c>
      <c r="CI5" s="23">
        <v>4.9380447715520859E-2</v>
      </c>
      <c r="CJ5" s="23">
        <v>-6.6454961895942688E-2</v>
      </c>
      <c r="CK5" s="23">
        <v>7.8522488474845886E-2</v>
      </c>
      <c r="CL5" s="23">
        <v>0.42999565601348877</v>
      </c>
      <c r="CM5" s="23">
        <v>0.33492875099182129</v>
      </c>
      <c r="CN5" s="24">
        <v>0.33051878213882446</v>
      </c>
      <c r="CO5" s="24">
        <v>-0.11620469391345978</v>
      </c>
      <c r="CP5" s="24">
        <v>-0.22671058773994446</v>
      </c>
      <c r="CQ5" s="24">
        <v>0.61949259042739868</v>
      </c>
      <c r="CR5" s="24">
        <v>0.28034189343452454</v>
      </c>
      <c r="CS5">
        <v>2.0904811020431788</v>
      </c>
      <c r="CT5">
        <v>73465917.497733459</v>
      </c>
      <c r="CU5">
        <v>6.0108720000000018</v>
      </c>
      <c r="CV5" s="23">
        <v>0.16527447625994682</v>
      </c>
      <c r="CW5" s="24">
        <v>0.17748759686946869</v>
      </c>
      <c r="CX5">
        <v>0.06</v>
      </c>
      <c r="CY5">
        <v>32.40641836260918</v>
      </c>
      <c r="CZ5">
        <v>1212545044.6365294</v>
      </c>
      <c r="DA5">
        <v>0.16527447625994682</v>
      </c>
      <c r="DB5">
        <v>9.9416769446590134</v>
      </c>
      <c r="DC5">
        <v>3952476249.1010256</v>
      </c>
      <c r="DD5">
        <v>0.15701075244694948</v>
      </c>
      <c r="DE5">
        <v>4.4871267251715876</v>
      </c>
      <c r="DF5">
        <v>8757105472.3214645</v>
      </c>
      <c r="DG5">
        <v>0.14544153910875321</v>
      </c>
      <c r="DH5">
        <v>2.4353573188151989</v>
      </c>
      <c r="DI5">
        <v>16134898027.660536</v>
      </c>
      <c r="DJ5">
        <v>0.13221958100795747</v>
      </c>
      <c r="DK5">
        <v>0.99643876823610655</v>
      </c>
      <c r="DL5">
        <v>39434678027.992195</v>
      </c>
      <c r="DM5">
        <v>0.11569213338196277</v>
      </c>
      <c r="DN5">
        <v>1103000000</v>
      </c>
      <c r="DO5">
        <v>0.16527447625994682</v>
      </c>
      <c r="DP5">
        <v>39294242000</v>
      </c>
      <c r="DQ5">
        <v>3557581000</v>
      </c>
      <c r="DR5">
        <v>920</v>
      </c>
      <c r="DS5">
        <v>-2.765580436580295E-2</v>
      </c>
      <c r="DT5">
        <v>2.2422498245141793</v>
      </c>
      <c r="DU5" s="25">
        <v>0.21666666666666665</v>
      </c>
      <c r="DV5">
        <v>0.96666666666666667</v>
      </c>
      <c r="DW5">
        <v>1.1833333333333333</v>
      </c>
      <c r="DX5">
        <v>3.0171904761904762</v>
      </c>
      <c r="DY5">
        <v>0.40439716312056828</v>
      </c>
      <c r="DZ5">
        <v>3.0031698750422153</v>
      </c>
      <c r="EA5">
        <v>1348</v>
      </c>
      <c r="EB5">
        <v>3.0022922838413719</v>
      </c>
      <c r="EC5">
        <v>3</v>
      </c>
      <c r="ED5">
        <v>7.3398737725207969E-2</v>
      </c>
      <c r="EE5">
        <v>0.39804700074055094</v>
      </c>
      <c r="EF5" s="26">
        <v>2.0076000000000001</v>
      </c>
      <c r="EG5">
        <v>2.0207000000000002</v>
      </c>
      <c r="EH5">
        <v>22.184397163120568</v>
      </c>
      <c r="EI5" t="s">
        <v>326</v>
      </c>
      <c r="EJ5">
        <v>0</v>
      </c>
      <c r="EK5">
        <v>1</v>
      </c>
      <c r="EL5" s="27">
        <v>44861</v>
      </c>
      <c r="EM5" s="28">
        <v>1.71</v>
      </c>
      <c r="EN5" s="28">
        <v>-2.58</v>
      </c>
      <c r="EO5" s="28">
        <v>-1.97</v>
      </c>
      <c r="EP5" s="28">
        <v>-1.97</v>
      </c>
      <c r="EQ5" s="28">
        <v>1.31</v>
      </c>
    </row>
    <row r="6" spans="1:147" ht="118.8" x14ac:dyDescent="0.25">
      <c r="B6" s="21"/>
      <c r="C6" s="21"/>
      <c r="D6" s="21" t="s">
        <v>552</v>
      </c>
      <c r="E6" t="s">
        <v>174</v>
      </c>
      <c r="F6" t="s">
        <v>175</v>
      </c>
      <c r="G6">
        <v>31.64</v>
      </c>
      <c r="H6">
        <v>1.18</v>
      </c>
      <c r="I6" t="s">
        <v>327</v>
      </c>
      <c r="J6">
        <v>35272795000</v>
      </c>
      <c r="K6">
        <v>51.78</v>
      </c>
      <c r="L6">
        <v>4.51</v>
      </c>
      <c r="M6" t="s">
        <v>169</v>
      </c>
      <c r="N6" t="s">
        <v>328</v>
      </c>
      <c r="O6" t="s">
        <v>329</v>
      </c>
      <c r="P6" t="s">
        <v>330</v>
      </c>
      <c r="Q6">
        <v>21.2</v>
      </c>
      <c r="R6" t="s">
        <v>331</v>
      </c>
      <c r="S6">
        <v>348154480</v>
      </c>
      <c r="T6" s="22">
        <v>0.46939999999999998</v>
      </c>
      <c r="U6" t="s">
        <v>332</v>
      </c>
      <c r="V6">
        <v>1114502130</v>
      </c>
      <c r="W6">
        <v>1114816540</v>
      </c>
      <c r="X6">
        <v>1.24</v>
      </c>
      <c r="Y6">
        <v>0.18</v>
      </c>
      <c r="Z6">
        <v>20.82</v>
      </c>
      <c r="AA6" t="s">
        <v>333</v>
      </c>
      <c r="AB6" t="s">
        <v>334</v>
      </c>
      <c r="AC6" t="s">
        <v>335</v>
      </c>
      <c r="AD6" t="s">
        <v>336</v>
      </c>
      <c r="AE6" t="s">
        <v>337</v>
      </c>
      <c r="AF6">
        <v>-56951213</v>
      </c>
      <c r="AG6" t="s">
        <v>338</v>
      </c>
      <c r="AH6" t="s">
        <v>339</v>
      </c>
      <c r="AI6" t="s">
        <v>340</v>
      </c>
      <c r="AJ6" t="s">
        <v>341</v>
      </c>
      <c r="AK6" t="s">
        <v>342</v>
      </c>
      <c r="AL6" t="s">
        <v>343</v>
      </c>
      <c r="AM6" t="s">
        <v>344</v>
      </c>
      <c r="AN6" t="s">
        <v>345</v>
      </c>
      <c r="AO6" t="s">
        <v>346</v>
      </c>
      <c r="AP6" t="s">
        <v>347</v>
      </c>
      <c r="AQ6" t="s">
        <v>206</v>
      </c>
      <c r="AR6" t="s">
        <v>348</v>
      </c>
      <c r="AS6" t="s">
        <v>206</v>
      </c>
      <c r="AT6" t="s">
        <v>349</v>
      </c>
      <c r="AU6" t="s">
        <v>206</v>
      </c>
      <c r="AV6" t="s">
        <v>350</v>
      </c>
      <c r="AW6" t="s">
        <v>351</v>
      </c>
      <c r="AX6" t="s">
        <v>352</v>
      </c>
      <c r="AY6" t="s">
        <v>353</v>
      </c>
      <c r="AZ6" t="s">
        <v>354</v>
      </c>
      <c r="BA6" t="s">
        <v>355</v>
      </c>
      <c r="BB6" t="s">
        <v>356</v>
      </c>
      <c r="BC6" t="s">
        <v>357</v>
      </c>
      <c r="BD6" t="s">
        <v>358</v>
      </c>
      <c r="BE6" t="s">
        <v>359</v>
      </c>
      <c r="BF6" t="s">
        <v>360</v>
      </c>
      <c r="BG6" t="s">
        <v>361</v>
      </c>
      <c r="BH6" t="s">
        <v>362</v>
      </c>
      <c r="BI6" t="s">
        <v>363</v>
      </c>
      <c r="BJ6" t="s">
        <v>364</v>
      </c>
      <c r="BK6" t="s">
        <v>365</v>
      </c>
      <c r="BL6" t="s">
        <v>366</v>
      </c>
      <c r="BM6" t="s">
        <v>366</v>
      </c>
      <c r="BN6" t="s">
        <v>367</v>
      </c>
      <c r="BO6">
        <v>4.2300000000000004</v>
      </c>
      <c r="BP6">
        <v>7.54</v>
      </c>
      <c r="BQ6">
        <v>0.95</v>
      </c>
      <c r="BR6">
        <v>10.4</v>
      </c>
      <c r="BS6">
        <v>7.6</v>
      </c>
      <c r="BT6">
        <v>1.03</v>
      </c>
      <c r="BU6">
        <v>11.07</v>
      </c>
      <c r="BV6" t="s">
        <v>229</v>
      </c>
      <c r="BW6">
        <v>75.069999999999993</v>
      </c>
      <c r="BX6">
        <v>69.05</v>
      </c>
      <c r="BY6">
        <v>78.430000000000007</v>
      </c>
      <c r="BZ6">
        <v>25.32</v>
      </c>
      <c r="CA6">
        <v>1.83</v>
      </c>
      <c r="CB6">
        <v>15.25</v>
      </c>
      <c r="CC6">
        <v>2.73</v>
      </c>
      <c r="CD6">
        <v>27.84</v>
      </c>
      <c r="CE6" t="s">
        <v>368</v>
      </c>
      <c r="CF6" t="s">
        <v>369</v>
      </c>
      <c r="CG6" s="23">
        <v>0.20188196721311474</v>
      </c>
      <c r="CH6" s="24">
        <v>0.35554243902439026</v>
      </c>
      <c r="CI6" s="23">
        <v>0.11646579205989838</v>
      </c>
      <c r="CJ6" s="23">
        <v>-0.38724833726882935</v>
      </c>
      <c r="CK6" s="23">
        <v>-3.9122983813285828E-2</v>
      </c>
      <c r="CL6" s="23">
        <v>0.11988454312086105</v>
      </c>
      <c r="CM6" s="23">
        <v>8.3746396005153656E-2</v>
      </c>
      <c r="CN6" s="24">
        <v>7.7735152244567871</v>
      </c>
      <c r="CO6" s="24">
        <v>-0.91487407684326172</v>
      </c>
      <c r="CP6" s="24">
        <v>-0.50960218906402588</v>
      </c>
      <c r="CQ6" s="24">
        <v>4.1322312317788601E-3</v>
      </c>
      <c r="CR6" s="24">
        <v>4.0114611387252808E-2</v>
      </c>
      <c r="CS6">
        <v>11.534596141268803</v>
      </c>
      <c r="CT6">
        <v>53006861.423220977</v>
      </c>
      <c r="CU6">
        <v>4.647024</v>
      </c>
      <c r="CV6" s="23">
        <v>-2.1254917979240416E-2</v>
      </c>
      <c r="CW6" s="24">
        <v>1.2786571602337062</v>
      </c>
      <c r="CX6">
        <v>0.06</v>
      </c>
      <c r="CY6">
        <v>55.121338951310861</v>
      </c>
      <c r="CZ6" t="s">
        <v>370</v>
      </c>
      <c r="DA6">
        <v>-2.1254917979240416E-2</v>
      </c>
      <c r="DB6">
        <v>18.373779650436955</v>
      </c>
      <c r="DC6" t="s">
        <v>371</v>
      </c>
      <c r="DD6">
        <v>-2.0192172080278393E-2</v>
      </c>
      <c r="DE6">
        <v>9.1868898252184774</v>
      </c>
      <c r="DF6" t="s">
        <v>372</v>
      </c>
      <c r="DG6">
        <v>-1.8704327821731568E-2</v>
      </c>
      <c r="DH6">
        <v>5.5121338951310861</v>
      </c>
      <c r="DI6" t="s">
        <v>373</v>
      </c>
      <c r="DJ6">
        <v>-1.7003934383392334E-2</v>
      </c>
      <c r="DK6">
        <v>2.756066947565543</v>
      </c>
      <c r="DL6" t="s">
        <v>374</v>
      </c>
      <c r="DM6">
        <v>-1.4878442585468291E-2</v>
      </c>
      <c r="DN6">
        <v>534000000</v>
      </c>
      <c r="DO6">
        <v>-2.1254917979240416E-2</v>
      </c>
      <c r="DP6">
        <v>29434795000</v>
      </c>
      <c r="DQ6">
        <v>3002119000</v>
      </c>
      <c r="DR6">
        <v>793</v>
      </c>
      <c r="DS6">
        <v>0.22313688519235517</v>
      </c>
      <c r="DT6">
        <v>-0.92311472120931604</v>
      </c>
      <c r="DU6" s="25">
        <v>0.28999999999999998</v>
      </c>
      <c r="DV6">
        <v>8.6666666666666656E-2</v>
      </c>
      <c r="DW6">
        <v>0.37666666666666665</v>
      </c>
      <c r="DX6">
        <v>8.0980603448275854</v>
      </c>
      <c r="DY6">
        <v>0.38108388888888839</v>
      </c>
      <c r="DZ6">
        <v>8.0197183554837164</v>
      </c>
      <c r="EA6">
        <v>2723</v>
      </c>
      <c r="EB6">
        <v>8.008690817594589</v>
      </c>
      <c r="EC6">
        <v>8</v>
      </c>
      <c r="ED6">
        <v>3.2467315205065045E-2</v>
      </c>
      <c r="EE6">
        <v>0.16146154415685293</v>
      </c>
      <c r="EF6" s="26">
        <v>3.0287000000000002</v>
      </c>
      <c r="EG6">
        <v>3.0405000000000002</v>
      </c>
      <c r="EH6">
        <v>18.201083888888888</v>
      </c>
      <c r="EI6" t="s">
        <v>375</v>
      </c>
      <c r="EJ6">
        <v>0</v>
      </c>
      <c r="EK6">
        <v>0</v>
      </c>
      <c r="EL6" s="27">
        <v>44861</v>
      </c>
      <c r="EM6" s="28">
        <v>4.03</v>
      </c>
      <c r="EN6" s="28">
        <v>-4.43</v>
      </c>
      <c r="EO6" s="28">
        <v>-1.47</v>
      </c>
      <c r="EP6" s="28">
        <v>-1.47</v>
      </c>
      <c r="EQ6" s="28">
        <v>1.18</v>
      </c>
    </row>
    <row r="7" spans="1:147" ht="86.4" x14ac:dyDescent="0.25">
      <c r="B7" s="21" t="s">
        <v>376</v>
      </c>
      <c r="C7" s="21" t="s">
        <v>377</v>
      </c>
      <c r="D7" s="21" t="s">
        <v>555</v>
      </c>
      <c r="E7" t="s">
        <v>176</v>
      </c>
      <c r="F7" t="s">
        <v>177</v>
      </c>
      <c r="G7">
        <v>49.99</v>
      </c>
      <c r="H7">
        <v>-10.41</v>
      </c>
      <c r="I7" t="s">
        <v>378</v>
      </c>
      <c r="J7">
        <v>20824961000</v>
      </c>
      <c r="K7">
        <v>79.27</v>
      </c>
      <c r="L7">
        <v>4.42</v>
      </c>
      <c r="M7" t="s">
        <v>169</v>
      </c>
      <c r="N7" t="s">
        <v>379</v>
      </c>
      <c r="O7" t="s">
        <v>380</v>
      </c>
      <c r="P7" t="s">
        <v>381</v>
      </c>
      <c r="Q7">
        <v>8.5</v>
      </c>
      <c r="R7" t="s">
        <v>382</v>
      </c>
      <c r="S7">
        <v>94717355</v>
      </c>
      <c r="T7" s="22">
        <v>-0.55959999999999999</v>
      </c>
      <c r="U7" t="s">
        <v>383</v>
      </c>
      <c r="V7">
        <v>415209180</v>
      </c>
      <c r="W7">
        <v>416582530</v>
      </c>
      <c r="X7">
        <v>1.5</v>
      </c>
      <c r="Y7">
        <v>0.19</v>
      </c>
      <c r="Z7">
        <v>6.88</v>
      </c>
      <c r="AA7" t="s">
        <v>384</v>
      </c>
      <c r="AB7" t="s">
        <v>385</v>
      </c>
      <c r="AC7" t="s">
        <v>386</v>
      </c>
      <c r="AD7" t="s">
        <v>387</v>
      </c>
      <c r="AE7" t="s">
        <v>388</v>
      </c>
      <c r="AF7">
        <v>2299546</v>
      </c>
      <c r="AG7" t="s">
        <v>389</v>
      </c>
      <c r="AH7" t="s">
        <v>390</v>
      </c>
      <c r="AI7" t="s">
        <v>391</v>
      </c>
      <c r="AJ7" t="s">
        <v>392</v>
      </c>
      <c r="AK7" t="s">
        <v>393</v>
      </c>
      <c r="AL7" t="s">
        <v>394</v>
      </c>
      <c r="AM7" t="s">
        <v>395</v>
      </c>
      <c r="AN7" t="s">
        <v>396</v>
      </c>
      <c r="AO7" t="s">
        <v>397</v>
      </c>
      <c r="AP7" t="s">
        <v>398</v>
      </c>
      <c r="AQ7" t="s">
        <v>206</v>
      </c>
      <c r="AR7" t="s">
        <v>399</v>
      </c>
      <c r="AS7" t="s">
        <v>400</v>
      </c>
      <c r="AT7" t="s">
        <v>401</v>
      </c>
      <c r="AU7" t="s">
        <v>402</v>
      </c>
      <c r="AV7" t="s">
        <v>336</v>
      </c>
      <c r="AW7" t="s">
        <v>403</v>
      </c>
      <c r="AX7" t="s">
        <v>404</v>
      </c>
      <c r="AY7" t="s">
        <v>405</v>
      </c>
      <c r="AZ7" t="s">
        <v>406</v>
      </c>
      <c r="BA7" t="s">
        <v>407</v>
      </c>
      <c r="BB7" t="s">
        <v>408</v>
      </c>
      <c r="BC7" t="s">
        <v>409</v>
      </c>
      <c r="BD7" t="s">
        <v>410</v>
      </c>
      <c r="BE7" t="s">
        <v>411</v>
      </c>
      <c r="BF7" t="s">
        <v>412</v>
      </c>
      <c r="BG7" t="s">
        <v>413</v>
      </c>
      <c r="BH7" t="s">
        <v>414</v>
      </c>
      <c r="BI7" t="s">
        <v>317</v>
      </c>
      <c r="BJ7" t="s">
        <v>415</v>
      </c>
      <c r="BK7" t="s">
        <v>416</v>
      </c>
      <c r="BL7" t="s">
        <v>417</v>
      </c>
      <c r="BM7" t="s">
        <v>418</v>
      </c>
      <c r="BN7" t="s">
        <v>419</v>
      </c>
      <c r="BO7">
        <v>1.88</v>
      </c>
      <c r="BP7">
        <v>8.7799999999999994</v>
      </c>
      <c r="BQ7">
        <v>16.690000000000001</v>
      </c>
      <c r="BR7">
        <v>7.75</v>
      </c>
      <c r="BS7">
        <v>8.74</v>
      </c>
      <c r="BT7">
        <v>21.28</v>
      </c>
      <c r="BU7">
        <v>9.84</v>
      </c>
      <c r="BV7" t="s">
        <v>229</v>
      </c>
      <c r="BW7">
        <v>87.95</v>
      </c>
      <c r="BX7">
        <v>92.57</v>
      </c>
      <c r="BY7">
        <v>93.23</v>
      </c>
      <c r="BZ7">
        <v>13.56</v>
      </c>
      <c r="CA7">
        <v>32.14</v>
      </c>
      <c r="CB7">
        <v>14.53</v>
      </c>
      <c r="CC7">
        <v>-8.61</v>
      </c>
      <c r="CD7">
        <v>13.87</v>
      </c>
      <c r="CE7" t="s">
        <v>420</v>
      </c>
      <c r="CF7" t="s">
        <v>421</v>
      </c>
      <c r="CG7" s="23">
        <v>0.24689731343283583</v>
      </c>
      <c r="CH7" s="24">
        <v>-0.83524694029850743</v>
      </c>
      <c r="CI7" s="23">
        <v>0.20106959342956543</v>
      </c>
      <c r="CJ7" s="23">
        <v>0.20334620773792267</v>
      </c>
      <c r="CK7" s="23">
        <v>0.26960784196853638</v>
      </c>
      <c r="CL7" s="23">
        <v>0.19298245012760162</v>
      </c>
      <c r="CM7" s="23">
        <v>-8.6956517770886421E-3</v>
      </c>
      <c r="CN7" s="24">
        <v>-0.36798679828643799</v>
      </c>
      <c r="CO7" s="24">
        <v>1.6233766078948975</v>
      </c>
      <c r="CP7" s="24">
        <v>0.38323354721069336</v>
      </c>
      <c r="CQ7" s="24">
        <v>-0.35271316766738892</v>
      </c>
      <c r="CR7" s="24">
        <v>-0.30081301927566528</v>
      </c>
      <c r="CS7">
        <v>9.2720218165627788</v>
      </c>
      <c r="CT7">
        <v>15753136.031331593</v>
      </c>
      <c r="CU7">
        <v>1.9608000000000001</v>
      </c>
      <c r="CV7" s="23">
        <v>0.1716620882973075</v>
      </c>
      <c r="CW7" s="24">
        <v>0.19701943397521973</v>
      </c>
      <c r="CX7">
        <v>0.06</v>
      </c>
      <c r="CY7">
        <v>43.482088861645359</v>
      </c>
      <c r="CZ7">
        <v>423345830.01685727</v>
      </c>
      <c r="DA7">
        <v>0.1716620882973075</v>
      </c>
      <c r="DB7">
        <v>13.268845043893167</v>
      </c>
      <c r="DC7">
        <v>1387306953.92905</v>
      </c>
      <c r="DD7">
        <v>0.16307898388244213</v>
      </c>
      <c r="DE7">
        <v>5.9441096015010926</v>
      </c>
      <c r="DF7">
        <v>3096840777.5239129</v>
      </c>
      <c r="DG7">
        <v>0.15106263770163061</v>
      </c>
      <c r="DH7">
        <v>3.1971907449054329</v>
      </c>
      <c r="DI7">
        <v>5757542314.0868855</v>
      </c>
      <c r="DJ7">
        <v>0.13732967063784601</v>
      </c>
      <c r="DK7">
        <v>1.2801150660202476</v>
      </c>
      <c r="DL7">
        <v>14379926843.005253</v>
      </c>
      <c r="DM7">
        <v>0.12016346180811524</v>
      </c>
      <c r="DN7">
        <v>383000000</v>
      </c>
      <c r="DO7">
        <v>0.1716620882973075</v>
      </c>
      <c r="DP7">
        <v>18407961000</v>
      </c>
      <c r="DQ7">
        <v>512872900</v>
      </c>
      <c r="DR7">
        <v>2038</v>
      </c>
      <c r="DS7">
        <v>7.5235225135528327E-2</v>
      </c>
      <c r="DT7">
        <v>-1.0322663742737272</v>
      </c>
      <c r="DU7" s="25">
        <v>0.56666666666666665</v>
      </c>
      <c r="DV7">
        <v>-0.16999999999999996</v>
      </c>
      <c r="DW7">
        <v>0.39666666666666672</v>
      </c>
      <c r="DX7">
        <v>-7.3830071174377228</v>
      </c>
      <c r="DY7">
        <v>0.80886377952755795</v>
      </c>
      <c r="DZ7">
        <v>-7.114466954703393</v>
      </c>
      <c r="EA7">
        <v>2682</v>
      </c>
      <c r="EB7">
        <v>-7.0514149168076239</v>
      </c>
      <c r="EC7">
        <v>7</v>
      </c>
      <c r="ED7">
        <v>9.111207807970248E-2</v>
      </c>
      <c r="EE7">
        <v>0.30486156008510484</v>
      </c>
      <c r="EF7" s="26">
        <v>2.3009999999999999E-2</v>
      </c>
      <c r="EG7">
        <v>0.12711</v>
      </c>
      <c r="EH7">
        <v>51.298863779527558</v>
      </c>
      <c r="EI7">
        <v>-1</v>
      </c>
      <c r="EJ7">
        <v>0</v>
      </c>
      <c r="EK7">
        <v>0</v>
      </c>
      <c r="EL7" s="27">
        <v>44861</v>
      </c>
      <c r="EM7" s="28">
        <v>0.55000000000000004</v>
      </c>
      <c r="EN7" s="28">
        <v>-3.36</v>
      </c>
      <c r="EO7" s="28">
        <v>-1.22</v>
      </c>
      <c r="EP7" s="28">
        <v>-1.22</v>
      </c>
      <c r="EQ7" s="28">
        <v>-10.41</v>
      </c>
    </row>
    <row r="8" spans="1:147" ht="97.2" x14ac:dyDescent="0.25">
      <c r="B8" s="21" t="s">
        <v>422</v>
      </c>
      <c r="C8" s="21" t="s">
        <v>556</v>
      </c>
      <c r="D8" s="21" t="s">
        <v>557</v>
      </c>
      <c r="E8" t="s">
        <v>178</v>
      </c>
      <c r="F8" t="s">
        <v>179</v>
      </c>
      <c r="G8">
        <v>24.25</v>
      </c>
      <c r="H8">
        <v>3.19</v>
      </c>
      <c r="I8" t="s">
        <v>423</v>
      </c>
      <c r="J8">
        <v>10912500000</v>
      </c>
      <c r="K8">
        <v>88.45</v>
      </c>
      <c r="L8">
        <v>3.59</v>
      </c>
      <c r="M8" t="s">
        <v>169</v>
      </c>
      <c r="N8" t="s">
        <v>424</v>
      </c>
      <c r="O8" t="s">
        <v>425</v>
      </c>
      <c r="P8" t="s">
        <v>426</v>
      </c>
      <c r="Q8">
        <v>147.34</v>
      </c>
      <c r="R8" t="s">
        <v>427</v>
      </c>
      <c r="S8">
        <v>26764547</v>
      </c>
      <c r="T8" s="22">
        <v>1.3420000000000001</v>
      </c>
      <c r="U8" t="s">
        <v>428</v>
      </c>
      <c r="V8">
        <v>189075000</v>
      </c>
      <c r="W8">
        <v>450000000</v>
      </c>
      <c r="X8">
        <v>1.04</v>
      </c>
      <c r="Y8">
        <v>0.1</v>
      </c>
      <c r="Z8">
        <v>8.91</v>
      </c>
      <c r="AA8" t="s">
        <v>429</v>
      </c>
      <c r="AB8" t="s">
        <v>430</v>
      </c>
      <c r="AC8" t="s">
        <v>431</v>
      </c>
      <c r="AD8" t="s">
        <v>432</v>
      </c>
      <c r="AE8" t="s">
        <v>433</v>
      </c>
      <c r="AF8">
        <v>-20051241</v>
      </c>
      <c r="AG8" t="s">
        <v>434</v>
      </c>
      <c r="AH8" t="s">
        <v>206</v>
      </c>
      <c r="AI8" t="s">
        <v>435</v>
      </c>
      <c r="AJ8" t="s">
        <v>436</v>
      </c>
      <c r="AK8" t="s">
        <v>437</v>
      </c>
      <c r="AL8" t="s">
        <v>206</v>
      </c>
      <c r="AM8" t="s">
        <v>438</v>
      </c>
      <c r="AN8" t="s">
        <v>439</v>
      </c>
      <c r="AO8" t="s">
        <v>440</v>
      </c>
      <c r="AP8" t="s">
        <v>206</v>
      </c>
      <c r="AQ8" t="s">
        <v>206</v>
      </c>
      <c r="AR8" t="s">
        <v>441</v>
      </c>
      <c r="AS8" t="s">
        <v>206</v>
      </c>
      <c r="AT8" t="s">
        <v>442</v>
      </c>
      <c r="AU8" t="s">
        <v>206</v>
      </c>
      <c r="AV8" t="s">
        <v>443</v>
      </c>
      <c r="AW8" t="s">
        <v>444</v>
      </c>
      <c r="AX8" t="s">
        <v>445</v>
      </c>
      <c r="AY8" t="s">
        <v>446</v>
      </c>
      <c r="AZ8" t="s">
        <v>447</v>
      </c>
      <c r="BA8" t="s">
        <v>448</v>
      </c>
      <c r="BB8" t="s">
        <v>449</v>
      </c>
      <c r="BC8" t="s">
        <v>206</v>
      </c>
      <c r="BD8" t="s">
        <v>450</v>
      </c>
      <c r="BE8" t="s">
        <v>451</v>
      </c>
      <c r="BF8" t="s">
        <v>452</v>
      </c>
      <c r="BG8" t="s">
        <v>453</v>
      </c>
      <c r="BH8" t="s">
        <v>206</v>
      </c>
      <c r="BI8" t="s">
        <v>454</v>
      </c>
      <c r="BJ8" t="s">
        <v>455</v>
      </c>
      <c r="BK8" t="s">
        <v>456</v>
      </c>
      <c r="BL8" t="s">
        <v>457</v>
      </c>
      <c r="BM8" t="s">
        <v>458</v>
      </c>
      <c r="BN8" t="s">
        <v>459</v>
      </c>
      <c r="BO8">
        <v>0.89</v>
      </c>
      <c r="BP8">
        <v>0.62</v>
      </c>
      <c r="BQ8">
        <v>-14.88</v>
      </c>
      <c r="BR8">
        <v>-53.33</v>
      </c>
      <c r="BS8">
        <v>0.62</v>
      </c>
      <c r="BT8">
        <v>-25.33</v>
      </c>
      <c r="BU8">
        <v>-57.78</v>
      </c>
      <c r="BV8" t="s">
        <v>229</v>
      </c>
      <c r="BW8">
        <v>95.39</v>
      </c>
      <c r="BX8">
        <v>71.17</v>
      </c>
      <c r="BY8">
        <v>57.06</v>
      </c>
      <c r="BZ8">
        <v>-20.399999999999999</v>
      </c>
      <c r="CA8" t="s">
        <v>460</v>
      </c>
      <c r="CB8" t="s">
        <v>461</v>
      </c>
      <c r="CC8">
        <v>7.25</v>
      </c>
      <c r="CD8">
        <v>9.23</v>
      </c>
      <c r="CE8" t="s">
        <v>462</v>
      </c>
      <c r="CF8" t="s">
        <v>463</v>
      </c>
      <c r="CG8" s="23">
        <v>1.2483821526896453</v>
      </c>
      <c r="CH8" s="24">
        <v>2.4522248985838457</v>
      </c>
      <c r="CI8" s="23">
        <v>943.90997314453125</v>
      </c>
      <c r="CJ8" s="23">
        <v>-0.10925837606191635</v>
      </c>
      <c r="CK8" s="23">
        <v>-0.86370128393173218</v>
      </c>
      <c r="CL8" s="23">
        <v>-0.40209653973579407</v>
      </c>
      <c r="CM8" s="23" t="e">
        <v>#VALUE!</v>
      </c>
      <c r="CN8" s="24">
        <v>1.0587607622146606</v>
      </c>
      <c r="CO8" s="24">
        <v>0.21859297156333923</v>
      </c>
      <c r="CP8" s="24">
        <v>-3.0865025520324707</v>
      </c>
      <c r="CQ8" s="24">
        <v>-1.5015231370925903</v>
      </c>
      <c r="CR8" s="24" t="e">
        <v>#VALUE!</v>
      </c>
      <c r="CS8">
        <v>20.589622641509433</v>
      </c>
      <c r="CT8">
        <v>24673721.996651091</v>
      </c>
      <c r="CU8">
        <v>0.92664000000000013</v>
      </c>
      <c r="CV8" s="23">
        <v>235.63372923620045</v>
      </c>
      <c r="CW8" s="24">
        <v>-0.82766798883676529</v>
      </c>
      <c r="CX8">
        <v>0.06</v>
      </c>
      <c r="CY8">
        <v>1.9583979169600254</v>
      </c>
      <c r="CZ8">
        <v>4079610139.9055362</v>
      </c>
      <c r="DA8">
        <v>235.63372923620045</v>
      </c>
      <c r="DB8">
        <v>4.5587592051777866E-5</v>
      </c>
      <c r="DC8">
        <v>175256021220107.81</v>
      </c>
      <c r="DD8">
        <v>223.85204277439041</v>
      </c>
      <c r="DE8">
        <v>7.5411007253085096E-12</v>
      </c>
      <c r="DF8">
        <v>1.0594607194658769E+21</v>
      </c>
      <c r="DG8">
        <v>207.3576817278564</v>
      </c>
      <c r="DH8">
        <v>1.3032932934553853E-20</v>
      </c>
      <c r="DI8">
        <v>6.130239478803471E+29</v>
      </c>
      <c r="DJ8">
        <v>188.50698338896038</v>
      </c>
      <c r="DK8">
        <v>5.5564227747317131E-42</v>
      </c>
      <c r="DL8">
        <v>1.4378855468545167E+51</v>
      </c>
      <c r="DM8">
        <v>164.9436104653403</v>
      </c>
      <c r="DN8">
        <v>18274600</v>
      </c>
      <c r="DO8">
        <v>235.63372923620045</v>
      </c>
      <c r="DP8">
        <v>7989500000</v>
      </c>
      <c r="DQ8">
        <v>2092153800</v>
      </c>
      <c r="DR8">
        <v>4777</v>
      </c>
      <c r="DS8">
        <v>-234.38534708351079</v>
      </c>
      <c r="DT8">
        <v>3.279892887420611</v>
      </c>
      <c r="DU8" s="25">
        <v>0.42800000000000005</v>
      </c>
      <c r="DV8">
        <v>-0.8</v>
      </c>
      <c r="DW8">
        <v>-0.372</v>
      </c>
      <c r="DX8">
        <v>9.7854821235102918</v>
      </c>
      <c r="DY8">
        <v>0.67866855484899813</v>
      </c>
      <c r="DZ8">
        <v>9.1639054195726128</v>
      </c>
      <c r="EA8">
        <v>3709</v>
      </c>
      <c r="EB8">
        <v>9.0390491449382271</v>
      </c>
      <c r="EC8">
        <v>9</v>
      </c>
      <c r="ED8">
        <v>4.2379333333333331E-2</v>
      </c>
      <c r="EE8">
        <v>0.203094</v>
      </c>
      <c r="EF8" s="26">
        <v>1.0639000000000001</v>
      </c>
      <c r="EG8">
        <v>1.0958000000000001</v>
      </c>
      <c r="EH8">
        <v>47.208668554848998</v>
      </c>
      <c r="EI8" t="s">
        <v>464</v>
      </c>
      <c r="EJ8">
        <v>1</v>
      </c>
      <c r="EK8">
        <v>0</v>
      </c>
      <c r="EL8" s="27">
        <v>44861</v>
      </c>
      <c r="EM8" s="28">
        <v>2.17</v>
      </c>
      <c r="EN8" s="28">
        <v>-1.56</v>
      </c>
      <c r="EO8" s="28">
        <v>-0.26</v>
      </c>
      <c r="EP8" s="28">
        <v>-0.26</v>
      </c>
      <c r="EQ8" s="28">
        <v>3.19</v>
      </c>
    </row>
    <row r="9" spans="1:147" ht="64.8" x14ac:dyDescent="0.25">
      <c r="B9" s="21"/>
      <c r="C9" s="21"/>
      <c r="D9" s="21" t="s">
        <v>508</v>
      </c>
      <c r="E9" t="s">
        <v>180</v>
      </c>
      <c r="F9" t="s">
        <v>181</v>
      </c>
      <c r="G9">
        <v>18.989999999999998</v>
      </c>
      <c r="H9">
        <v>3.21</v>
      </c>
      <c r="I9" t="s">
        <v>465</v>
      </c>
      <c r="J9">
        <v>7863379200</v>
      </c>
      <c r="L9">
        <v>4.0999999999999996</v>
      </c>
      <c r="M9" t="s">
        <v>182</v>
      </c>
      <c r="N9" t="s">
        <v>466</v>
      </c>
      <c r="O9" t="s">
        <v>467</v>
      </c>
      <c r="P9" t="s">
        <v>468</v>
      </c>
      <c r="Q9">
        <v>-30.33</v>
      </c>
      <c r="R9" t="s">
        <v>469</v>
      </c>
      <c r="S9">
        <v>-169130100</v>
      </c>
      <c r="T9" s="3">
        <v>-65.650000000000006</v>
      </c>
      <c r="U9" t="s">
        <v>470</v>
      </c>
      <c r="V9">
        <v>107543423</v>
      </c>
      <c r="W9">
        <v>414080000</v>
      </c>
      <c r="X9">
        <v>1.27</v>
      </c>
      <c r="Y9">
        <v>0.09</v>
      </c>
      <c r="Z9">
        <v>-73.86</v>
      </c>
      <c r="AA9" t="s">
        <v>334</v>
      </c>
      <c r="AB9" t="s">
        <v>471</v>
      </c>
      <c r="AC9" t="s">
        <v>472</v>
      </c>
      <c r="AD9" t="s">
        <v>473</v>
      </c>
      <c r="AE9" t="s">
        <v>474</v>
      </c>
      <c r="AF9">
        <v>-3753411</v>
      </c>
      <c r="AG9" t="s">
        <v>475</v>
      </c>
      <c r="AH9" t="s">
        <v>476</v>
      </c>
      <c r="AI9" t="s">
        <v>477</v>
      </c>
      <c r="AJ9" t="s">
        <v>478</v>
      </c>
      <c r="AK9" t="s">
        <v>479</v>
      </c>
      <c r="AL9" t="s">
        <v>206</v>
      </c>
      <c r="AM9" t="s">
        <v>480</v>
      </c>
      <c r="AN9" t="s">
        <v>481</v>
      </c>
      <c r="AO9" t="s">
        <v>482</v>
      </c>
      <c r="AP9" t="s">
        <v>483</v>
      </c>
      <c r="AQ9" t="s">
        <v>206</v>
      </c>
      <c r="AR9" t="s">
        <v>484</v>
      </c>
      <c r="AS9" t="s">
        <v>206</v>
      </c>
      <c r="AT9" t="s">
        <v>322</v>
      </c>
      <c r="AU9" t="s">
        <v>206</v>
      </c>
      <c r="AV9" t="s">
        <v>485</v>
      </c>
      <c r="AW9" t="s">
        <v>486</v>
      </c>
      <c r="AX9" t="s">
        <v>487</v>
      </c>
      <c r="AY9" t="s">
        <v>488</v>
      </c>
      <c r="AZ9" t="s">
        <v>489</v>
      </c>
      <c r="BA9">
        <v>0</v>
      </c>
      <c r="BB9" t="s">
        <v>490</v>
      </c>
      <c r="BC9" t="s">
        <v>491</v>
      </c>
      <c r="BD9" t="s">
        <v>492</v>
      </c>
      <c r="BE9" t="s">
        <v>493</v>
      </c>
      <c r="BF9" t="s">
        <v>494</v>
      </c>
      <c r="BG9" t="s">
        <v>495</v>
      </c>
      <c r="BH9" t="s">
        <v>496</v>
      </c>
      <c r="BI9" t="s">
        <v>497</v>
      </c>
      <c r="BJ9" t="s">
        <v>498</v>
      </c>
      <c r="BK9" t="s">
        <v>499</v>
      </c>
      <c r="BL9" t="s">
        <v>500</v>
      </c>
      <c r="BM9" t="s">
        <v>501</v>
      </c>
      <c r="BN9" t="s">
        <v>502</v>
      </c>
      <c r="BO9">
        <v>-7.32</v>
      </c>
      <c r="BP9">
        <v>3.6</v>
      </c>
      <c r="BQ9">
        <v>-35.71</v>
      </c>
      <c r="BR9">
        <v>-133.36000000000001</v>
      </c>
      <c r="BS9">
        <v>4</v>
      </c>
      <c r="BT9">
        <v>-26.35</v>
      </c>
      <c r="BU9">
        <v>-110.08</v>
      </c>
      <c r="BV9" t="s">
        <v>503</v>
      </c>
      <c r="BW9">
        <v>76.92</v>
      </c>
      <c r="BX9">
        <v>89.23</v>
      </c>
      <c r="BY9">
        <v>81.75</v>
      </c>
      <c r="BZ9">
        <v>-148.69999999999999</v>
      </c>
      <c r="CA9">
        <v>-277.43</v>
      </c>
      <c r="CB9" t="s">
        <v>504</v>
      </c>
      <c r="CC9">
        <v>3.77</v>
      </c>
      <c r="CD9">
        <v>-2.96</v>
      </c>
      <c r="CE9" t="s">
        <v>505</v>
      </c>
      <c r="CF9" t="s">
        <v>506</v>
      </c>
      <c r="CG9" s="23">
        <v>-0.42398094056375174</v>
      </c>
      <c r="CH9" s="24">
        <v>-1.5297627046969882</v>
      </c>
      <c r="CI9" s="23">
        <v>3.5243244171142578</v>
      </c>
      <c r="CJ9" s="23">
        <v>263.28570556640625</v>
      </c>
      <c r="CK9" s="23" t="e">
        <v>#VALUE!</v>
      </c>
      <c r="CL9" s="23">
        <v>-1</v>
      </c>
      <c r="CM9" s="23">
        <v>-0.27311211824417114</v>
      </c>
      <c r="CN9" s="24">
        <v>1.1597203016281128</v>
      </c>
      <c r="CO9" s="24">
        <v>0.49853372573852539</v>
      </c>
      <c r="CP9" s="24">
        <v>-0.84990960359573364</v>
      </c>
      <c r="CQ9" s="24">
        <v>-1.3432203531265259</v>
      </c>
      <c r="CR9" s="24">
        <v>-0.72262775897979736</v>
      </c>
      <c r="CS9">
        <v>9.3947182795698936</v>
      </c>
      <c r="CT9">
        <v>-229431767.28320101</v>
      </c>
      <c r="CU9">
        <v>-8.4421979999999994</v>
      </c>
      <c r="CV9" s="23">
        <v>66.384229466319084</v>
      </c>
      <c r="CW9" s="24">
        <v>-0.25150073766708375</v>
      </c>
      <c r="CX9">
        <v>0.06</v>
      </c>
      <c r="CY9">
        <v>1.2422240223145946</v>
      </c>
      <c r="CZ9">
        <v>5208705582.7047672</v>
      </c>
      <c r="DA9">
        <v>66.384229466319084</v>
      </c>
      <c r="DB9">
        <v>3.5177357938411333E-4</v>
      </c>
      <c r="DC9">
        <v>18393590591221.68</v>
      </c>
      <c r="DD9">
        <v>63.065017993003124</v>
      </c>
      <c r="DE9">
        <v>2.5000942368579868E-9</v>
      </c>
      <c r="DF9">
        <v>2.5880541239644232E+18</v>
      </c>
      <c r="DG9">
        <v>58.418121930360797</v>
      </c>
      <c r="DH9">
        <v>6.4469318000751829E-16</v>
      </c>
      <c r="DI9">
        <v>1.003636985879786E+25</v>
      </c>
      <c r="DJ9">
        <v>53.107383573055273</v>
      </c>
      <c r="DK9">
        <v>7.3378241230553738E-32</v>
      </c>
      <c r="DL9">
        <v>8.8178444883547014E+40</v>
      </c>
      <c r="DM9">
        <v>46.468960626423353</v>
      </c>
      <c r="DN9">
        <v>81936500</v>
      </c>
      <c r="DO9">
        <v>66.384229466319084</v>
      </c>
      <c r="DP9">
        <v>6470379200</v>
      </c>
      <c r="DQ9">
        <v>1058611000</v>
      </c>
      <c r="DR9">
        <v>4527</v>
      </c>
      <c r="DS9">
        <v>-66.808210406882836</v>
      </c>
      <c r="DT9">
        <v>-1.2782619670299045</v>
      </c>
      <c r="DU9" s="25">
        <v>0.23599999999999999</v>
      </c>
      <c r="DV9">
        <v>-2.7816666666666663</v>
      </c>
      <c r="DW9">
        <v>-2.5456666666666665</v>
      </c>
      <c r="DX9">
        <v>4.7851458885941645</v>
      </c>
      <c r="DY9">
        <v>0.5411946431288962</v>
      </c>
      <c r="DZ9">
        <v>4.1187098524301176</v>
      </c>
      <c r="EA9">
        <v>4745</v>
      </c>
      <c r="EB9">
        <v>4.002832821000184</v>
      </c>
      <c r="EC9">
        <v>4</v>
      </c>
      <c r="ED9">
        <v>4.3187306800618244E-3</v>
      </c>
      <c r="EE9">
        <v>2.8564045595054096E-2</v>
      </c>
      <c r="EF9" s="26">
        <v>-1.0624</v>
      </c>
      <c r="EG9">
        <v>-1.0945</v>
      </c>
      <c r="EH9">
        <v>39.151194643128896</v>
      </c>
      <c r="EI9" t="s">
        <v>507</v>
      </c>
      <c r="EJ9">
        <v>0</v>
      </c>
      <c r="EK9">
        <v>0</v>
      </c>
      <c r="EL9" s="27">
        <v>44848</v>
      </c>
      <c r="EM9" s="28">
        <v>-3.99</v>
      </c>
      <c r="EN9" s="28">
        <v>-1.54</v>
      </c>
      <c r="EO9" s="28">
        <v>2.6</v>
      </c>
      <c r="EP9" s="28">
        <v>3.66</v>
      </c>
      <c r="EQ9" s="28">
        <v>3.21</v>
      </c>
    </row>
    <row r="10" spans="1:147" ht="64.8" x14ac:dyDescent="0.25">
      <c r="B10" s="29"/>
      <c r="C10" s="29"/>
      <c r="D10" s="29" t="s">
        <v>551</v>
      </c>
      <c r="E10" t="s">
        <v>183</v>
      </c>
      <c r="F10" t="s">
        <v>184</v>
      </c>
      <c r="G10">
        <v>17.190000000000001</v>
      </c>
      <c r="H10">
        <v>0.17</v>
      </c>
      <c r="I10" t="s">
        <v>509</v>
      </c>
      <c r="J10">
        <v>6887689200</v>
      </c>
      <c r="K10">
        <v>193.1</v>
      </c>
      <c r="L10">
        <v>5.37</v>
      </c>
      <c r="M10" t="s">
        <v>185</v>
      </c>
      <c r="N10" t="s">
        <v>510</v>
      </c>
      <c r="O10" t="s">
        <v>511</v>
      </c>
      <c r="P10" t="s">
        <v>512</v>
      </c>
      <c r="Q10">
        <v>-10.01</v>
      </c>
      <c r="R10" t="s">
        <v>513</v>
      </c>
      <c r="S10">
        <v>-7058057</v>
      </c>
      <c r="T10" s="22">
        <v>-1.3420000000000001</v>
      </c>
      <c r="U10" t="s">
        <v>514</v>
      </c>
      <c r="V10">
        <v>280151890</v>
      </c>
      <c r="W10">
        <v>400680000</v>
      </c>
      <c r="X10">
        <v>1.3</v>
      </c>
      <c r="Y10">
        <v>0.08</v>
      </c>
      <c r="Z10">
        <v>-5.09</v>
      </c>
      <c r="AA10" t="s">
        <v>412</v>
      </c>
      <c r="AB10" t="s">
        <v>515</v>
      </c>
      <c r="AC10" t="s">
        <v>516</v>
      </c>
      <c r="AD10" t="s">
        <v>517</v>
      </c>
      <c r="AE10" t="s">
        <v>518</v>
      </c>
      <c r="AF10">
        <v>-10596215</v>
      </c>
      <c r="AG10" t="s">
        <v>519</v>
      </c>
      <c r="AH10" t="s">
        <v>520</v>
      </c>
      <c r="AI10" t="s">
        <v>521</v>
      </c>
      <c r="AJ10" t="s">
        <v>522</v>
      </c>
      <c r="AK10" t="s">
        <v>523</v>
      </c>
      <c r="AL10" t="s">
        <v>206</v>
      </c>
      <c r="AM10" t="s">
        <v>524</v>
      </c>
      <c r="AN10" t="s">
        <v>525</v>
      </c>
      <c r="AO10">
        <v>0</v>
      </c>
      <c r="AP10" t="s">
        <v>206</v>
      </c>
      <c r="AQ10" t="s">
        <v>526</v>
      </c>
      <c r="AR10" t="s">
        <v>527</v>
      </c>
      <c r="AS10" t="s">
        <v>206</v>
      </c>
      <c r="AT10" t="s">
        <v>528</v>
      </c>
      <c r="AU10" t="s">
        <v>529</v>
      </c>
      <c r="AV10" t="s">
        <v>530</v>
      </c>
      <c r="AW10" t="s">
        <v>531</v>
      </c>
      <c r="AX10" t="s">
        <v>532</v>
      </c>
      <c r="AY10" t="s">
        <v>533</v>
      </c>
      <c r="AZ10" t="s">
        <v>207</v>
      </c>
      <c r="BA10" t="s">
        <v>534</v>
      </c>
      <c r="BB10" t="s">
        <v>535</v>
      </c>
      <c r="BC10" t="s">
        <v>536</v>
      </c>
      <c r="BD10" t="s">
        <v>537</v>
      </c>
      <c r="BE10" t="s">
        <v>528</v>
      </c>
      <c r="BF10" t="s">
        <v>538</v>
      </c>
      <c r="BG10" t="s">
        <v>539</v>
      </c>
      <c r="BH10" t="s">
        <v>540</v>
      </c>
      <c r="BI10" t="s">
        <v>541</v>
      </c>
      <c r="BJ10" t="s">
        <v>542</v>
      </c>
      <c r="BK10" t="s">
        <v>543</v>
      </c>
      <c r="BL10" t="s">
        <v>544</v>
      </c>
      <c r="BM10" t="s">
        <v>545</v>
      </c>
      <c r="BN10" t="s">
        <v>546</v>
      </c>
      <c r="BO10">
        <v>-0.45</v>
      </c>
      <c r="BP10">
        <v>4.2</v>
      </c>
      <c r="BQ10">
        <v>6.63</v>
      </c>
      <c r="BR10">
        <v>25.9</v>
      </c>
      <c r="BS10">
        <v>4.8899999999999997</v>
      </c>
      <c r="BT10">
        <v>6.26</v>
      </c>
      <c r="BU10">
        <v>26.68</v>
      </c>
      <c r="BV10" t="s">
        <v>547</v>
      </c>
      <c r="BW10">
        <v>34.89</v>
      </c>
      <c r="BX10">
        <v>79.36</v>
      </c>
      <c r="BY10">
        <v>81.55</v>
      </c>
      <c r="BZ10">
        <v>-9.7799999999999994</v>
      </c>
      <c r="CA10">
        <v>26.28</v>
      </c>
      <c r="CB10">
        <v>45.52</v>
      </c>
      <c r="CC10">
        <v>11.77</v>
      </c>
      <c r="CD10">
        <v>0.41</v>
      </c>
      <c r="CE10" t="s">
        <v>548</v>
      </c>
      <c r="CF10" t="s">
        <v>549</v>
      </c>
      <c r="CG10" s="23">
        <v>-0.2190739276035914</v>
      </c>
      <c r="CH10" s="24">
        <v>-0.9979602715783813</v>
      </c>
      <c r="CI10" s="23">
        <v>0.27459016442298889</v>
      </c>
      <c r="CJ10" s="23">
        <v>-7.5757578015327454E-2</v>
      </c>
      <c r="CK10" s="23">
        <v>0.74834436178207397</v>
      </c>
      <c r="CL10" s="23">
        <v>1.837348461151123</v>
      </c>
      <c r="CM10" s="23">
        <v>2.2392950057983398</v>
      </c>
      <c r="CN10" s="24">
        <v>-9.9870050325989723E-3</v>
      </c>
      <c r="CO10" s="24">
        <v>-0.46647334098815918</v>
      </c>
      <c r="CP10" s="24">
        <v>1.6690095663070679</v>
      </c>
      <c r="CQ10" s="24">
        <v>2.9479694366455078</v>
      </c>
      <c r="CR10" s="24">
        <v>-4.6356348320841789E-3</v>
      </c>
      <c r="CS10">
        <v>22.146910610932476</v>
      </c>
      <c r="CT10">
        <v>-19344849.945885226</v>
      </c>
      <c r="CU10">
        <v>-0.52936000000000005</v>
      </c>
      <c r="CV10" s="23">
        <v>1.0047640830278397</v>
      </c>
      <c r="CW10" s="24">
        <v>0.82717660441994667</v>
      </c>
      <c r="CX10">
        <v>0.06</v>
      </c>
      <c r="CY10">
        <v>49.965312447026882</v>
      </c>
      <c r="CZ10">
        <v>119876948.7602075</v>
      </c>
      <c r="DA10">
        <v>1.0047640830278397</v>
      </c>
      <c r="DB10">
        <v>8.2080368076567716</v>
      </c>
      <c r="DC10">
        <v>729734690.56724846</v>
      </c>
      <c r="DD10">
        <v>0.95452587887644769</v>
      </c>
      <c r="DE10">
        <v>1.3533307648317676</v>
      </c>
      <c r="DF10">
        <v>4425887119.1364498</v>
      </c>
      <c r="DG10">
        <v>0.88419239306449893</v>
      </c>
      <c r="DH10">
        <v>0.19230179507708417</v>
      </c>
      <c r="DI10">
        <v>31147338991.812496</v>
      </c>
      <c r="DJ10">
        <v>0.80381126642227185</v>
      </c>
      <c r="DK10">
        <v>2.708398976217369E-3</v>
      </c>
      <c r="DL10">
        <v>2211523949239.332</v>
      </c>
      <c r="DM10">
        <v>0.7033348581194877</v>
      </c>
      <c r="DN10">
        <v>63383800</v>
      </c>
      <c r="DO10">
        <v>1.0047640830278397</v>
      </c>
      <c r="DP10">
        <v>5989689200</v>
      </c>
      <c r="DQ10">
        <v>1041359190</v>
      </c>
      <c r="DR10">
        <v>4549</v>
      </c>
      <c r="DS10">
        <v>-1.2238380106314311</v>
      </c>
      <c r="DT10">
        <v>-1.825136875998328</v>
      </c>
      <c r="DU10" s="25">
        <v>1.4743333333333337</v>
      </c>
      <c r="DV10">
        <v>-0.73666666666666669</v>
      </c>
      <c r="DW10">
        <v>0.73766666666666703</v>
      </c>
      <c r="DX10">
        <v>5.0348343245539509</v>
      </c>
      <c r="DY10">
        <v>0.38721588552467751</v>
      </c>
      <c r="DZ10">
        <v>5.0068698821635618</v>
      </c>
      <c r="EA10">
        <v>1986</v>
      </c>
      <c r="EB10">
        <v>5.0040486278259202</v>
      </c>
      <c r="EC10">
        <v>5</v>
      </c>
      <c r="ED10">
        <v>1.8987221723070779E-2</v>
      </c>
      <c r="EE10">
        <v>9.6276330238594388E-2</v>
      </c>
      <c r="EF10" s="26">
        <v>3.8400000000000004E-2</v>
      </c>
      <c r="EG10">
        <v>4.0099999999999997E-2</v>
      </c>
      <c r="EH10">
        <v>19.197215885524678</v>
      </c>
      <c r="EI10" t="s">
        <v>550</v>
      </c>
      <c r="EJ10">
        <v>1</v>
      </c>
      <c r="EK10">
        <v>0</v>
      </c>
      <c r="EL10" s="27">
        <v>44819</v>
      </c>
      <c r="EM10" s="28">
        <v>3.22</v>
      </c>
      <c r="EN10" s="28">
        <v>-2.77</v>
      </c>
      <c r="EO10" s="28">
        <v>-2.4500000000000002</v>
      </c>
      <c r="EP10" s="28">
        <v>-2.97</v>
      </c>
      <c r="EQ10" s="28">
        <v>1.45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251460</xdr:colOff>
                    <xdr:row>1</xdr:row>
                    <xdr:rowOff>137160</xdr:rowOff>
                  </from>
                  <to>
                    <xdr:col>1</xdr:col>
                    <xdr:colOff>1188720</xdr:colOff>
                    <xdr:row>1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Q11"/>
  <sheetViews>
    <sheetView tabSelected="1" workbookViewId="0">
      <selection activeCell="D7" sqref="D7"/>
    </sheetView>
  </sheetViews>
  <sheetFormatPr defaultRowHeight="14.4" x14ac:dyDescent="0.25"/>
  <cols>
    <col min="1" max="1" width="12" style="20" customWidth="1"/>
    <col min="2" max="2" width="35.109375" customWidth="1"/>
    <col min="3" max="3" width="40.77734375" customWidth="1"/>
    <col min="4" max="4" width="56" customWidth="1"/>
    <col min="22" max="22" width="14.77734375" customWidth="1"/>
  </cols>
  <sheetData>
    <row r="1" spans="1:147" s="14" customFormat="1" x14ac:dyDescent="0.25">
      <c r="A1" s="15" t="s">
        <v>48</v>
      </c>
      <c r="B1" s="16" t="s">
        <v>118</v>
      </c>
      <c r="C1" s="17" t="s">
        <v>7</v>
      </c>
      <c r="D1" s="16" t="s">
        <v>119</v>
      </c>
      <c r="E1" t="s">
        <v>2</v>
      </c>
      <c r="F1" t="s">
        <v>3</v>
      </c>
      <c r="G1" t="s">
        <v>0</v>
      </c>
      <c r="H1" t="s">
        <v>91</v>
      </c>
      <c r="I1" t="s">
        <v>120</v>
      </c>
      <c r="J1" t="s">
        <v>4</v>
      </c>
      <c r="K1" t="s">
        <v>5</v>
      </c>
      <c r="L1" t="s">
        <v>1</v>
      </c>
      <c r="M1" t="s">
        <v>6</v>
      </c>
      <c r="N1" t="s">
        <v>8</v>
      </c>
      <c r="O1" t="s">
        <v>9</v>
      </c>
      <c r="P1" t="s">
        <v>10</v>
      </c>
      <c r="Q1" t="s">
        <v>121</v>
      </c>
      <c r="R1" t="s">
        <v>92</v>
      </c>
      <c r="S1" t="s">
        <v>122</v>
      </c>
      <c r="T1" t="s">
        <v>11</v>
      </c>
      <c r="U1" t="s">
        <v>93</v>
      </c>
      <c r="V1" t="s">
        <v>94</v>
      </c>
      <c r="W1" t="s">
        <v>12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95</v>
      </c>
      <c r="AD1" t="s">
        <v>75</v>
      </c>
      <c r="AE1" t="s">
        <v>123</v>
      </c>
      <c r="AF1" t="s">
        <v>13</v>
      </c>
      <c r="AG1" t="s">
        <v>14</v>
      </c>
      <c r="AH1" t="s">
        <v>96</v>
      </c>
      <c r="AI1" t="s">
        <v>124</v>
      </c>
      <c r="AJ1" t="s">
        <v>97</v>
      </c>
      <c r="AK1" t="s">
        <v>15</v>
      </c>
      <c r="AL1" t="s">
        <v>98</v>
      </c>
      <c r="AM1" t="s">
        <v>49</v>
      </c>
      <c r="AN1" t="s">
        <v>99</v>
      </c>
      <c r="AO1" t="s">
        <v>100</v>
      </c>
      <c r="AP1" t="s">
        <v>101</v>
      </c>
      <c r="AQ1" t="s">
        <v>102</v>
      </c>
      <c r="AR1" t="s">
        <v>103</v>
      </c>
      <c r="AS1" t="s">
        <v>104</v>
      </c>
      <c r="AT1" t="s">
        <v>105</v>
      </c>
      <c r="AU1" t="s">
        <v>106</v>
      </c>
      <c r="AV1" t="s">
        <v>107</v>
      </c>
      <c r="AW1" t="s">
        <v>108</v>
      </c>
      <c r="AX1" t="s">
        <v>109</v>
      </c>
      <c r="AY1" t="s">
        <v>125</v>
      </c>
      <c r="AZ1" t="s">
        <v>50</v>
      </c>
      <c r="BA1" t="s">
        <v>51</v>
      </c>
      <c r="BB1" t="s">
        <v>52</v>
      </c>
      <c r="BC1" t="s">
        <v>53</v>
      </c>
      <c r="BD1" t="s">
        <v>59</v>
      </c>
      <c r="BE1" t="s">
        <v>54</v>
      </c>
      <c r="BF1" t="s">
        <v>55</v>
      </c>
      <c r="BG1" t="s">
        <v>56</v>
      </c>
      <c r="BH1" t="s">
        <v>57</v>
      </c>
      <c r="BI1" t="s">
        <v>126</v>
      </c>
      <c r="BJ1" t="s">
        <v>110</v>
      </c>
      <c r="BK1" t="s">
        <v>58</v>
      </c>
      <c r="BL1" t="s">
        <v>111</v>
      </c>
      <c r="BM1" t="s">
        <v>112</v>
      </c>
      <c r="BN1" t="s">
        <v>113</v>
      </c>
      <c r="BO1" t="s">
        <v>114</v>
      </c>
      <c r="BP1" t="s">
        <v>60</v>
      </c>
      <c r="BQ1" t="s">
        <v>61</v>
      </c>
      <c r="BR1" t="s">
        <v>62</v>
      </c>
      <c r="BS1" t="s">
        <v>115</v>
      </c>
      <c r="BT1" t="s">
        <v>63</v>
      </c>
      <c r="BU1" t="s">
        <v>64</v>
      </c>
      <c r="BV1" t="s">
        <v>65</v>
      </c>
      <c r="BW1" t="s">
        <v>116</v>
      </c>
      <c r="BX1" t="s">
        <v>66</v>
      </c>
      <c r="BY1" t="s">
        <v>67</v>
      </c>
      <c r="BZ1" t="s">
        <v>117</v>
      </c>
      <c r="CA1" t="s">
        <v>68</v>
      </c>
      <c r="CB1" t="s">
        <v>69</v>
      </c>
      <c r="CC1" t="s">
        <v>127</v>
      </c>
      <c r="CD1" t="s">
        <v>128</v>
      </c>
      <c r="CE1" t="s">
        <v>129</v>
      </c>
      <c r="CF1" t="s">
        <v>130</v>
      </c>
      <c r="CG1" s="1" t="s">
        <v>76</v>
      </c>
      <c r="CH1" s="1" t="s">
        <v>77</v>
      </c>
      <c r="CI1" s="1" t="s">
        <v>78</v>
      </c>
      <c r="CJ1" s="1" t="s">
        <v>79</v>
      </c>
      <c r="CK1" s="1" t="s">
        <v>80</v>
      </c>
      <c r="CL1" s="1" t="s">
        <v>81</v>
      </c>
      <c r="CM1" s="1" t="s">
        <v>82</v>
      </c>
      <c r="CN1" s="1" t="s">
        <v>83</v>
      </c>
      <c r="CO1" s="1" t="s">
        <v>84</v>
      </c>
      <c r="CP1" s="1" t="s">
        <v>85</v>
      </c>
      <c r="CQ1" s="1" t="s">
        <v>86</v>
      </c>
      <c r="CR1" s="1" t="s">
        <v>87</v>
      </c>
      <c r="CS1" s="1" t="s">
        <v>131</v>
      </c>
      <c r="CT1" s="1" t="s">
        <v>132</v>
      </c>
      <c r="CU1" s="1" t="s">
        <v>133</v>
      </c>
      <c r="CV1" s="1" t="s">
        <v>134</v>
      </c>
      <c r="CW1" s="1" t="s">
        <v>135</v>
      </c>
      <c r="CX1" s="1" t="s">
        <v>136</v>
      </c>
      <c r="CY1">
        <v>1</v>
      </c>
      <c r="CZ1" t="s">
        <v>137</v>
      </c>
      <c r="DA1" t="s">
        <v>138</v>
      </c>
      <c r="DB1">
        <v>3</v>
      </c>
      <c r="DC1" t="s">
        <v>139</v>
      </c>
      <c r="DD1" t="s">
        <v>140</v>
      </c>
      <c r="DE1">
        <v>6</v>
      </c>
      <c r="DF1" t="s">
        <v>141</v>
      </c>
      <c r="DG1" t="s">
        <v>142</v>
      </c>
      <c r="DH1">
        <v>10</v>
      </c>
      <c r="DI1" t="s">
        <v>143</v>
      </c>
      <c r="DJ1" t="s">
        <v>144</v>
      </c>
      <c r="DK1">
        <v>20</v>
      </c>
      <c r="DL1" t="s">
        <v>145</v>
      </c>
      <c r="DM1" t="s">
        <v>88</v>
      </c>
      <c r="DN1" t="s">
        <v>89</v>
      </c>
      <c r="DO1" s="2" t="s">
        <v>90</v>
      </c>
      <c r="DP1" t="s">
        <v>146</v>
      </c>
      <c r="DQ1" t="s">
        <v>147</v>
      </c>
      <c r="DR1" s="1" t="s">
        <v>148</v>
      </c>
      <c r="DS1" s="1" t="s">
        <v>149</v>
      </c>
      <c r="DT1" s="1" t="s">
        <v>150</v>
      </c>
      <c r="DU1" t="s">
        <v>151</v>
      </c>
      <c r="DV1" t="s">
        <v>152</v>
      </c>
      <c r="DW1" t="s">
        <v>153</v>
      </c>
      <c r="DX1" t="s">
        <v>154</v>
      </c>
      <c r="DY1" t="s">
        <v>155</v>
      </c>
      <c r="DZ1" t="s">
        <v>156</v>
      </c>
      <c r="EA1" t="s">
        <v>157</v>
      </c>
      <c r="EB1" t="s">
        <v>158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7" s="1" customFormat="1" ht="49.05" customHeight="1" x14ac:dyDescent="0.25">
      <c r="A2" s="19"/>
      <c r="B2" s="18"/>
      <c r="C2" s="18">
        <v>3</v>
      </c>
      <c r="D2" s="18">
        <v>11</v>
      </c>
    </row>
    <row r="3" spans="1:147" ht="64.8" x14ac:dyDescent="0.25">
      <c r="B3" s="21"/>
      <c r="C3" s="21"/>
      <c r="D3" s="21" t="s">
        <v>629</v>
      </c>
      <c r="E3" t="s">
        <v>558</v>
      </c>
      <c r="F3" t="s">
        <v>559</v>
      </c>
      <c r="G3">
        <v>63.58</v>
      </c>
      <c r="H3">
        <v>-2.63</v>
      </c>
      <c r="I3" t="s">
        <v>560</v>
      </c>
      <c r="J3">
        <v>58040379000</v>
      </c>
      <c r="L3">
        <v>8.85</v>
      </c>
      <c r="M3" t="s">
        <v>182</v>
      </c>
      <c r="N3" t="s">
        <v>585</v>
      </c>
      <c r="O3" t="s">
        <v>586</v>
      </c>
      <c r="P3" t="s">
        <v>587</v>
      </c>
      <c r="Q3">
        <v>-55.18</v>
      </c>
      <c r="R3" t="s">
        <v>588</v>
      </c>
      <c r="S3">
        <v>-1594729600</v>
      </c>
      <c r="T3" s="3">
        <v>-3.0670000000000002</v>
      </c>
      <c r="U3" t="s">
        <v>589</v>
      </c>
      <c r="V3">
        <v>430826000</v>
      </c>
      <c r="W3">
        <v>912871640</v>
      </c>
      <c r="X3">
        <v>1.39</v>
      </c>
      <c r="Y3">
        <v>0.12</v>
      </c>
      <c r="Z3">
        <v>-142.36000000000001</v>
      </c>
      <c r="AA3" t="s">
        <v>590</v>
      </c>
      <c r="AB3" t="s">
        <v>591</v>
      </c>
      <c r="AC3" t="s">
        <v>592</v>
      </c>
      <c r="AD3" t="s">
        <v>593</v>
      </c>
      <c r="AE3" t="s">
        <v>594</v>
      </c>
      <c r="AF3">
        <v>-71341734</v>
      </c>
      <c r="AG3" t="s">
        <v>595</v>
      </c>
      <c r="AH3" t="s">
        <v>596</v>
      </c>
      <c r="AI3" t="s">
        <v>597</v>
      </c>
      <c r="AJ3" t="s">
        <v>598</v>
      </c>
      <c r="AK3" t="s">
        <v>599</v>
      </c>
      <c r="AL3" t="s">
        <v>206</v>
      </c>
      <c r="AM3" t="s">
        <v>600</v>
      </c>
      <c r="AN3" t="s">
        <v>206</v>
      </c>
      <c r="AO3" t="s">
        <v>601</v>
      </c>
      <c r="AP3" t="s">
        <v>602</v>
      </c>
      <c r="AQ3" t="s">
        <v>206</v>
      </c>
      <c r="AR3" t="s">
        <v>603</v>
      </c>
      <c r="AS3" t="s">
        <v>206</v>
      </c>
      <c r="AT3" t="s">
        <v>349</v>
      </c>
      <c r="AU3" t="s">
        <v>604</v>
      </c>
      <c r="AV3" t="s">
        <v>605</v>
      </c>
      <c r="AW3" t="s">
        <v>606</v>
      </c>
      <c r="AX3" t="s">
        <v>607</v>
      </c>
      <c r="AY3" t="s">
        <v>608</v>
      </c>
      <c r="AZ3" t="s">
        <v>609</v>
      </c>
      <c r="BA3" t="s">
        <v>610</v>
      </c>
      <c r="BB3" t="s">
        <v>611</v>
      </c>
      <c r="BC3" t="s">
        <v>612</v>
      </c>
      <c r="BD3" t="s">
        <v>613</v>
      </c>
      <c r="BE3" t="s">
        <v>614</v>
      </c>
      <c r="BF3" t="s">
        <v>615</v>
      </c>
      <c r="BG3" t="s">
        <v>616</v>
      </c>
      <c r="BH3" t="s">
        <v>617</v>
      </c>
      <c r="BI3" t="s">
        <v>618</v>
      </c>
      <c r="BJ3" t="s">
        <v>619</v>
      </c>
      <c r="BK3" t="s">
        <v>620</v>
      </c>
      <c r="BL3" t="s">
        <v>621</v>
      </c>
      <c r="BM3" t="s">
        <v>622</v>
      </c>
      <c r="BN3" t="s">
        <v>623</v>
      </c>
      <c r="BO3">
        <v>-19.420000000000002</v>
      </c>
      <c r="BP3">
        <v>-4.6900000000000004</v>
      </c>
      <c r="BQ3">
        <v>-27.08</v>
      </c>
      <c r="BR3">
        <v>-15.62</v>
      </c>
      <c r="BS3">
        <v>-5.0999999999999996</v>
      </c>
      <c r="BT3">
        <v>-41.58</v>
      </c>
      <c r="BU3">
        <v>-22.58</v>
      </c>
      <c r="BV3" t="s">
        <v>503</v>
      </c>
      <c r="BW3">
        <v>67.59</v>
      </c>
      <c r="BX3">
        <v>76.64</v>
      </c>
      <c r="BY3">
        <v>88.3</v>
      </c>
      <c r="BZ3">
        <v>-105.64</v>
      </c>
      <c r="CA3">
        <v>-104.62</v>
      </c>
      <c r="CB3">
        <v>-96.47</v>
      </c>
      <c r="CC3">
        <v>-12.19</v>
      </c>
      <c r="CD3">
        <v>19.71</v>
      </c>
      <c r="CE3" t="s">
        <v>624</v>
      </c>
      <c r="CF3" t="s">
        <v>625</v>
      </c>
      <c r="CG3" s="23">
        <v>-0.54903665562913928</v>
      </c>
      <c r="CH3" s="24">
        <v>-0.7010955606993452</v>
      </c>
      <c r="CI3" s="23">
        <v>1.5235108137130737</v>
      </c>
      <c r="CJ3" s="23">
        <v>1.0580645799636841</v>
      </c>
      <c r="CK3" s="23">
        <v>263.72195434570312</v>
      </c>
      <c r="CL3" s="23">
        <v>-0.94628238677978516</v>
      </c>
      <c r="CM3" s="23">
        <v>8.1764411926269531</v>
      </c>
      <c r="CN3" s="24">
        <v>0.5680047869682312</v>
      </c>
      <c r="CO3" s="24">
        <v>-1.234270453453064</v>
      </c>
      <c r="CP3" s="24">
        <v>-3.3195022493600845E-2</v>
      </c>
      <c r="CQ3" s="24">
        <v>-1.2807570695877075</v>
      </c>
      <c r="CR3" s="24">
        <v>-1.3481481075286865</v>
      </c>
      <c r="CS3">
        <v>14.419969937888199</v>
      </c>
      <c r="CT3">
        <v>228428363.38418862</v>
      </c>
      <c r="CU3">
        <v>-23.745647999999999</v>
      </c>
      <c r="CV3" s="23">
        <v>54.706737709045413</v>
      </c>
      <c r="CW3" s="24">
        <v>-0.66567317321896557</v>
      </c>
      <c r="CX3">
        <v>0.06</v>
      </c>
      <c r="CY3" t="e">
        <v>#VALUE!</v>
      </c>
      <c r="CZ3" t="s">
        <v>626</v>
      </c>
      <c r="DA3">
        <v>54.706737709045413</v>
      </c>
      <c r="DB3" t="e">
        <v>#VALUE!</v>
      </c>
      <c r="DC3" t="s">
        <v>627</v>
      </c>
      <c r="DD3">
        <v>51.971400823593143</v>
      </c>
      <c r="DE3" t="e">
        <v>#VALUE!</v>
      </c>
      <c r="DF3" t="s">
        <v>627</v>
      </c>
      <c r="DG3">
        <v>48.141929183959967</v>
      </c>
      <c r="DH3" t="e">
        <v>#VALUE!</v>
      </c>
      <c r="DI3" t="s">
        <v>627</v>
      </c>
      <c r="DJ3">
        <v>43.765390167236333</v>
      </c>
      <c r="DK3" t="e">
        <v>#VALUE!</v>
      </c>
      <c r="DL3" t="s">
        <v>627</v>
      </c>
      <c r="DM3">
        <v>38.294716396331786</v>
      </c>
      <c r="DN3">
        <v>-721000000</v>
      </c>
      <c r="DO3">
        <v>54.706737709045413</v>
      </c>
      <c r="DP3">
        <v>53813379000</v>
      </c>
      <c r="DQ3">
        <v>2628782600</v>
      </c>
      <c r="DR3">
        <v>4552</v>
      </c>
      <c r="DS3">
        <v>-55.255774364674551</v>
      </c>
      <c r="DT3">
        <v>-3.5422387480379625E-2</v>
      </c>
      <c r="DU3" s="25">
        <v>1.1896666666666669</v>
      </c>
      <c r="DV3">
        <v>-3.5483333333333333</v>
      </c>
      <c r="DW3">
        <v>-2.3586666666666662</v>
      </c>
      <c r="DX3">
        <v>-7.3821316614420063</v>
      </c>
      <c r="DY3">
        <v>0.31733494208494123</v>
      </c>
      <c r="DZ3">
        <v>-7.0448373963641204</v>
      </c>
      <c r="EA3">
        <v>4738</v>
      </c>
      <c r="EB3">
        <v>-7.0014026010312227</v>
      </c>
      <c r="EC3">
        <v>7</v>
      </c>
      <c r="ED3">
        <v>6.6580554523525348E-2</v>
      </c>
      <c r="EE3">
        <v>0.56744012772704822</v>
      </c>
      <c r="EF3" s="26">
        <v>3.0032649999999999</v>
      </c>
      <c r="EG3">
        <v>3.0230100000000002</v>
      </c>
      <c r="EH3">
        <v>20.117334942084941</v>
      </c>
      <c r="EI3" t="s">
        <v>628</v>
      </c>
      <c r="EJ3">
        <v>0</v>
      </c>
      <c r="EK3">
        <v>0</v>
      </c>
      <c r="EL3" s="27">
        <v>44890</v>
      </c>
      <c r="EM3" s="28">
        <v>-1.8100000000000002E-2</v>
      </c>
      <c r="EN3" s="28">
        <v>-2.7400000000000001E-2</v>
      </c>
      <c r="EO3" s="28">
        <v>-6.1699999999999998E-2</v>
      </c>
      <c r="EP3" s="28">
        <v>6.4999999999999997E-3</v>
      </c>
      <c r="EQ3" s="28">
        <v>-2.63</v>
      </c>
    </row>
    <row r="4" spans="1:147" ht="140.4" x14ac:dyDescent="0.25">
      <c r="B4" s="21" t="s">
        <v>630</v>
      </c>
      <c r="C4" s="21"/>
      <c r="D4" s="21" t="s">
        <v>676</v>
      </c>
      <c r="E4" t="s">
        <v>561</v>
      </c>
      <c r="F4" t="s">
        <v>562</v>
      </c>
      <c r="G4">
        <v>32.18</v>
      </c>
      <c r="H4">
        <v>10.02</v>
      </c>
      <c r="I4" t="s">
        <v>631</v>
      </c>
      <c r="J4">
        <v>26208392000</v>
      </c>
      <c r="K4">
        <v>123.3</v>
      </c>
      <c r="L4">
        <v>7.22</v>
      </c>
      <c r="M4" t="s">
        <v>563</v>
      </c>
      <c r="N4" t="s">
        <v>632</v>
      </c>
      <c r="O4" t="s">
        <v>633</v>
      </c>
      <c r="P4" t="s">
        <v>634</v>
      </c>
      <c r="Q4">
        <v>9.19</v>
      </c>
      <c r="R4" t="s">
        <v>635</v>
      </c>
      <c r="S4">
        <v>248731480</v>
      </c>
      <c r="T4" s="22">
        <v>-0.20730000000000001</v>
      </c>
      <c r="U4" t="s">
        <v>636</v>
      </c>
      <c r="V4">
        <v>707215410</v>
      </c>
      <c r="W4">
        <v>814431080</v>
      </c>
      <c r="X4">
        <v>1.57</v>
      </c>
      <c r="Y4">
        <v>0.37</v>
      </c>
      <c r="Z4">
        <v>12.37</v>
      </c>
      <c r="AA4" t="s">
        <v>637</v>
      </c>
      <c r="AB4" t="s">
        <v>638</v>
      </c>
      <c r="AC4" t="s">
        <v>639</v>
      </c>
      <c r="AD4" t="s">
        <v>640</v>
      </c>
      <c r="AE4" t="s">
        <v>641</v>
      </c>
      <c r="AF4">
        <v>60446456</v>
      </c>
      <c r="AG4" t="s">
        <v>642</v>
      </c>
      <c r="AH4" t="s">
        <v>643</v>
      </c>
      <c r="AI4" t="s">
        <v>644</v>
      </c>
      <c r="AJ4" t="s">
        <v>645</v>
      </c>
      <c r="AK4" t="s">
        <v>646</v>
      </c>
      <c r="AL4" t="s">
        <v>647</v>
      </c>
      <c r="AM4" t="s">
        <v>648</v>
      </c>
      <c r="AN4" t="s">
        <v>206</v>
      </c>
      <c r="AO4" t="s">
        <v>649</v>
      </c>
      <c r="AP4" t="s">
        <v>650</v>
      </c>
      <c r="AQ4" t="s">
        <v>651</v>
      </c>
      <c r="AR4" t="s">
        <v>652</v>
      </c>
      <c r="AS4" t="s">
        <v>653</v>
      </c>
      <c r="AT4" t="s">
        <v>654</v>
      </c>
      <c r="AU4" t="s">
        <v>655</v>
      </c>
      <c r="AV4" t="s">
        <v>656</v>
      </c>
      <c r="AW4" t="s">
        <v>657</v>
      </c>
      <c r="AX4" t="s">
        <v>658</v>
      </c>
      <c r="AY4" t="s">
        <v>659</v>
      </c>
      <c r="AZ4" t="s">
        <v>660</v>
      </c>
      <c r="BA4" t="s">
        <v>661</v>
      </c>
      <c r="BB4" t="s">
        <v>662</v>
      </c>
      <c r="BC4" t="s">
        <v>663</v>
      </c>
      <c r="BD4" t="s">
        <v>664</v>
      </c>
      <c r="BE4" t="s">
        <v>665</v>
      </c>
      <c r="BF4" t="s">
        <v>666</v>
      </c>
      <c r="BG4" t="s">
        <v>593</v>
      </c>
      <c r="BH4" t="s">
        <v>667</v>
      </c>
      <c r="BI4" t="s">
        <v>668</v>
      </c>
      <c r="BJ4" t="s">
        <v>669</v>
      </c>
      <c r="BK4" t="s">
        <v>670</v>
      </c>
      <c r="BL4" t="s">
        <v>671</v>
      </c>
      <c r="BM4" t="s">
        <v>672</v>
      </c>
      <c r="BN4" t="s">
        <v>673</v>
      </c>
      <c r="BO4">
        <v>5.04</v>
      </c>
      <c r="BP4">
        <v>1.61</v>
      </c>
      <c r="BQ4">
        <v>-9.1999999999999993</v>
      </c>
      <c r="BR4">
        <v>6.46</v>
      </c>
      <c r="BS4">
        <v>2.12</v>
      </c>
      <c r="BT4">
        <v>-11.33</v>
      </c>
      <c r="BU4">
        <v>7.99</v>
      </c>
      <c r="BV4" t="s">
        <v>563</v>
      </c>
      <c r="BW4">
        <v>66.11</v>
      </c>
      <c r="BX4">
        <v>65.34</v>
      </c>
      <c r="BY4">
        <v>63.76</v>
      </c>
      <c r="BZ4">
        <v>15.12</v>
      </c>
      <c r="CA4">
        <v>-22.92</v>
      </c>
      <c r="CB4">
        <v>12.63</v>
      </c>
      <c r="CC4">
        <v>39.31</v>
      </c>
      <c r="CD4">
        <v>146.59</v>
      </c>
      <c r="CE4" t="s">
        <v>674</v>
      </c>
      <c r="CF4" t="s">
        <v>675</v>
      </c>
      <c r="CG4" s="23">
        <v>8.3390879478827784E-2</v>
      </c>
      <c r="CH4" s="24">
        <v>0.79736461538461534</v>
      </c>
      <c r="CI4" s="23">
        <v>0.28111809492111206</v>
      </c>
      <c r="CJ4" s="23">
        <v>-0.25118482112884521</v>
      </c>
      <c r="CK4" s="23">
        <v>7.1972958743572235E-2</v>
      </c>
      <c r="CL4" s="23">
        <v>0.20264759659767151</v>
      </c>
      <c r="CM4" s="23">
        <v>0.16075649857521057</v>
      </c>
      <c r="CN4" s="24">
        <v>1.6510539054870605</v>
      </c>
      <c r="CO4" s="24">
        <v>-2.3427672386169434</v>
      </c>
      <c r="CP4" s="24">
        <v>-0.27064219117164612</v>
      </c>
      <c r="CQ4" s="24">
        <v>3.8095239549875259E-2</v>
      </c>
      <c r="CR4" s="24">
        <v>1.4492753893136978E-2</v>
      </c>
      <c r="CS4">
        <v>10.789786743515851</v>
      </c>
      <c r="CT4">
        <v>96093654.676258996</v>
      </c>
      <c r="CU4">
        <v>7.185732999999999</v>
      </c>
      <c r="CV4" s="23">
        <v>9.3062065541744232E-2</v>
      </c>
      <c r="CW4" s="24">
        <v>-0.18195350617170333</v>
      </c>
      <c r="CX4">
        <v>0.06</v>
      </c>
      <c r="CY4">
        <v>85.939604873060162</v>
      </c>
      <c r="CZ4">
        <v>286670994.54774046</v>
      </c>
      <c r="DA4">
        <v>9.3062065541744232E-2</v>
      </c>
      <c r="DB4">
        <v>28.011560916341139</v>
      </c>
      <c r="DC4">
        <v>879508002.91274869</v>
      </c>
      <c r="DD4">
        <v>8.8408962264657012E-2</v>
      </c>
      <c r="DE4">
        <v>13.741670383360129</v>
      </c>
      <c r="DF4">
        <v>1792823675.1939819</v>
      </c>
      <c r="DG4">
        <v>8.1894617676734921E-2</v>
      </c>
      <c r="DH4">
        <v>8.2198296987140207</v>
      </c>
      <c r="DI4">
        <v>2997190076.073513</v>
      </c>
      <c r="DJ4">
        <v>7.4449652433395394E-2</v>
      </c>
      <c r="DK4">
        <v>4.2097828340103733</v>
      </c>
      <c r="DL4">
        <v>5852176459.3093243</v>
      </c>
      <c r="DM4">
        <v>6.5143445879220954E-2</v>
      </c>
      <c r="DN4">
        <v>278000000</v>
      </c>
      <c r="DO4">
        <v>9.3062065541744232E-2</v>
      </c>
      <c r="DP4">
        <v>24636392000</v>
      </c>
      <c r="DQ4">
        <v>2135060300</v>
      </c>
      <c r="DR4">
        <v>817</v>
      </c>
      <c r="DS4">
        <v>-9.6711860629164481E-3</v>
      </c>
      <c r="DT4">
        <v>0.9793181215563187</v>
      </c>
      <c r="DU4" s="25">
        <v>0.23333333333333331</v>
      </c>
      <c r="DV4">
        <v>-0.73666666666666669</v>
      </c>
      <c r="DW4">
        <v>-0.50333333333333341</v>
      </c>
      <c r="DX4">
        <v>9.2681629033358348</v>
      </c>
      <c r="DY4">
        <v>0.67067061143984308</v>
      </c>
      <c r="DZ4">
        <v>9.1020817363783362</v>
      </c>
      <c r="EA4">
        <v>3862</v>
      </c>
      <c r="EB4">
        <v>9.0212783615283385</v>
      </c>
      <c r="EC4">
        <v>9</v>
      </c>
      <c r="ED4">
        <v>0.47395047841248888</v>
      </c>
      <c r="EE4">
        <v>1.2450408940680406</v>
      </c>
      <c r="EF4" s="26">
        <v>2.1402000000000001</v>
      </c>
      <c r="EG4">
        <v>3.0903999999999998</v>
      </c>
      <c r="EH4">
        <v>29.380670611439843</v>
      </c>
      <c r="EI4" t="s">
        <v>375</v>
      </c>
      <c r="EJ4">
        <v>1</v>
      </c>
      <c r="EK4">
        <v>0</v>
      </c>
      <c r="EL4" s="27">
        <v>44874</v>
      </c>
      <c r="EM4" s="28">
        <v>-3.03</v>
      </c>
      <c r="EN4" s="28">
        <v>10</v>
      </c>
      <c r="EO4" s="28">
        <v>9.98</v>
      </c>
      <c r="EP4" s="28">
        <v>7.93</v>
      </c>
      <c r="EQ4" s="28">
        <v>10.02</v>
      </c>
    </row>
    <row r="5" spans="1:147" ht="64.8" x14ac:dyDescent="0.25">
      <c r="B5" s="21"/>
      <c r="C5" s="21"/>
      <c r="D5" s="21" t="s">
        <v>713</v>
      </c>
      <c r="E5" t="s">
        <v>564</v>
      </c>
      <c r="F5" t="s">
        <v>565</v>
      </c>
      <c r="G5">
        <v>20.16</v>
      </c>
      <c r="H5">
        <v>-5.08</v>
      </c>
      <c r="I5" t="s">
        <v>566</v>
      </c>
      <c r="J5">
        <v>21031672000</v>
      </c>
      <c r="K5">
        <v>20.51</v>
      </c>
      <c r="L5">
        <v>2.14</v>
      </c>
      <c r="M5" t="s">
        <v>169</v>
      </c>
      <c r="N5" t="s">
        <v>187</v>
      </c>
      <c r="O5" t="s">
        <v>677</v>
      </c>
      <c r="P5" t="s">
        <v>678</v>
      </c>
      <c r="Q5">
        <v>4.1100000000000003</v>
      </c>
      <c r="R5" t="s">
        <v>679</v>
      </c>
      <c r="S5">
        <v>978682610</v>
      </c>
      <c r="T5" s="22">
        <v>0.1008</v>
      </c>
      <c r="U5" t="s">
        <v>680</v>
      </c>
      <c r="V5">
        <v>1025631410</v>
      </c>
      <c r="W5">
        <v>1043237710</v>
      </c>
      <c r="X5">
        <v>1.39</v>
      </c>
      <c r="Y5">
        <v>0.51</v>
      </c>
      <c r="Z5">
        <v>14.27</v>
      </c>
      <c r="AA5" t="s">
        <v>206</v>
      </c>
      <c r="AB5" t="s">
        <v>206</v>
      </c>
      <c r="AC5" t="s">
        <v>681</v>
      </c>
      <c r="AD5" t="s">
        <v>682</v>
      </c>
      <c r="AE5" t="s">
        <v>683</v>
      </c>
      <c r="AF5">
        <v>-62970373</v>
      </c>
      <c r="AG5" t="s">
        <v>684</v>
      </c>
      <c r="AH5" t="s">
        <v>685</v>
      </c>
      <c r="AI5" t="s">
        <v>686</v>
      </c>
      <c r="AJ5" t="s">
        <v>206</v>
      </c>
      <c r="AK5" t="s">
        <v>687</v>
      </c>
      <c r="AL5" t="s">
        <v>206</v>
      </c>
      <c r="AM5" t="s">
        <v>688</v>
      </c>
      <c r="AN5" t="s">
        <v>206</v>
      </c>
      <c r="AO5" t="s">
        <v>202</v>
      </c>
      <c r="AP5" t="s">
        <v>206</v>
      </c>
      <c r="AQ5" t="s">
        <v>689</v>
      </c>
      <c r="AR5" t="s">
        <v>690</v>
      </c>
      <c r="AS5" t="s">
        <v>206</v>
      </c>
      <c r="AT5" t="s">
        <v>206</v>
      </c>
      <c r="AU5" t="s">
        <v>691</v>
      </c>
      <c r="AV5" t="s">
        <v>692</v>
      </c>
      <c r="AW5" t="s">
        <v>693</v>
      </c>
      <c r="AX5" t="s">
        <v>694</v>
      </c>
      <c r="AY5" t="s">
        <v>695</v>
      </c>
      <c r="AZ5" t="s">
        <v>696</v>
      </c>
      <c r="BA5" t="s">
        <v>697</v>
      </c>
      <c r="BB5" t="s">
        <v>698</v>
      </c>
      <c r="BC5" t="s">
        <v>699</v>
      </c>
      <c r="BD5" t="s">
        <v>700</v>
      </c>
      <c r="BE5" t="s">
        <v>701</v>
      </c>
      <c r="BF5" t="s">
        <v>702</v>
      </c>
      <c r="BG5" t="s">
        <v>291</v>
      </c>
      <c r="BH5" t="s">
        <v>703</v>
      </c>
      <c r="BI5" t="s">
        <v>704</v>
      </c>
      <c r="BJ5" t="s">
        <v>705</v>
      </c>
      <c r="BK5" t="s">
        <v>706</v>
      </c>
      <c r="BL5" t="s">
        <v>707</v>
      </c>
      <c r="BM5" t="s">
        <v>708</v>
      </c>
      <c r="BN5" t="s">
        <v>709</v>
      </c>
      <c r="BO5">
        <v>8.86</v>
      </c>
      <c r="BP5">
        <v>3.06</v>
      </c>
      <c r="BQ5">
        <v>10.97</v>
      </c>
      <c r="BR5">
        <v>12.71</v>
      </c>
      <c r="BS5">
        <v>3.3</v>
      </c>
      <c r="BT5">
        <v>11.27</v>
      </c>
      <c r="BU5">
        <v>12.87</v>
      </c>
      <c r="BV5" t="s">
        <v>229</v>
      </c>
      <c r="BW5">
        <v>56.56</v>
      </c>
      <c r="BX5">
        <v>63.01</v>
      </c>
      <c r="BY5">
        <v>63.43</v>
      </c>
      <c r="BZ5">
        <v>15.63</v>
      </c>
      <c r="CA5">
        <v>11.92</v>
      </c>
      <c r="CB5">
        <v>11.37</v>
      </c>
      <c r="CC5">
        <v>-7.44</v>
      </c>
      <c r="CD5">
        <v>9.51</v>
      </c>
      <c r="CE5" t="s">
        <v>710</v>
      </c>
      <c r="CF5" t="s">
        <v>711</v>
      </c>
      <c r="CG5" s="23">
        <v>9.7643652561247218E-4</v>
      </c>
      <c r="CH5" s="24">
        <v>-0.17795030612244897</v>
      </c>
      <c r="CI5" s="23">
        <v>7.1495823562145233E-2</v>
      </c>
      <c r="CJ5" s="23">
        <v>-9.3486852943897247E-2</v>
      </c>
      <c r="CK5" s="23">
        <v>0.14054714143276215</v>
      </c>
      <c r="CL5" s="23">
        <v>0.28075361251831055</v>
      </c>
      <c r="CM5" s="23">
        <v>0.16869883239269257</v>
      </c>
      <c r="CN5" s="24">
        <v>-6.8656712770462036E-2</v>
      </c>
      <c r="CO5" s="24">
        <v>-4.7393366694450378E-2</v>
      </c>
      <c r="CP5" s="24">
        <v>8.8751286268234253E-2</v>
      </c>
      <c r="CQ5" s="24">
        <v>0.14946618676185608</v>
      </c>
      <c r="CR5" s="24">
        <v>0.18067227303981781</v>
      </c>
      <c r="CS5">
        <v>2.3081290605794558</v>
      </c>
      <c r="CT5">
        <v>98979247.863247856</v>
      </c>
      <c r="CU5">
        <v>10.116002999999999</v>
      </c>
      <c r="CV5" s="23">
        <v>0.11360171139240265</v>
      </c>
      <c r="CW5" s="24">
        <v>6.0567933320999148E-2</v>
      </c>
      <c r="CX5">
        <v>0.06</v>
      </c>
      <c r="CY5">
        <v>14.8715612583505</v>
      </c>
      <c r="CZ5">
        <v>983331322.51253664</v>
      </c>
      <c r="DA5">
        <v>0.11360171139240265</v>
      </c>
      <c r="DB5">
        <v>4.7639807326512038</v>
      </c>
      <c r="DC5">
        <v>3069632901.6976895</v>
      </c>
      <c r="DD5">
        <v>0.1079216258227825</v>
      </c>
      <c r="DE5">
        <v>2.2829704365514369</v>
      </c>
      <c r="DF5">
        <v>6405545935.1851835</v>
      </c>
      <c r="DG5">
        <v>9.9969506025314334E-2</v>
      </c>
      <c r="DH5">
        <v>1.3295666726654656</v>
      </c>
      <c r="DI5">
        <v>10998825632.928215</v>
      </c>
      <c r="DJ5">
        <v>9.0881369113922125E-2</v>
      </c>
      <c r="DK5">
        <v>0.64140611550655724</v>
      </c>
      <c r="DL5">
        <v>22799395962.183491</v>
      </c>
      <c r="DM5">
        <v>7.9521197974681851E-2</v>
      </c>
      <c r="DN5">
        <v>936000000</v>
      </c>
      <c r="DO5">
        <v>0.11360171139240265</v>
      </c>
      <c r="DP5">
        <v>14623672000</v>
      </c>
      <c r="DQ5">
        <v>7403909900</v>
      </c>
      <c r="DR5">
        <v>2775</v>
      </c>
      <c r="DS5">
        <v>-0.11262527486679018</v>
      </c>
      <c r="DT5">
        <v>-0.23851823944344813</v>
      </c>
      <c r="DU5" s="25">
        <v>0.21666666666666665</v>
      </c>
      <c r="DV5">
        <v>9.9999999999999992E-2</v>
      </c>
      <c r="DW5">
        <v>0.31666666666666665</v>
      </c>
      <c r="DX5">
        <v>-7.4389380530973455</v>
      </c>
      <c r="DY5">
        <v>0.33530446549391135</v>
      </c>
      <c r="DZ5">
        <v>-7.0988947034380354</v>
      </c>
      <c r="EA5">
        <v>2876</v>
      </c>
      <c r="EB5">
        <v>-7.0407427576012349</v>
      </c>
      <c r="EC5">
        <v>7</v>
      </c>
      <c r="ED5">
        <v>0.31919858418461505</v>
      </c>
      <c r="EE5">
        <v>1.4167432655401231</v>
      </c>
      <c r="EF5" s="26">
        <v>7.1233009999999997</v>
      </c>
      <c r="EG5">
        <v>7.0724999999999998</v>
      </c>
      <c r="EH5">
        <v>11.225304465493911</v>
      </c>
      <c r="EI5" t="s">
        <v>712</v>
      </c>
      <c r="EJ5">
        <v>0</v>
      </c>
      <c r="EK5">
        <v>0</v>
      </c>
      <c r="EL5" s="27">
        <v>44890</v>
      </c>
      <c r="EM5" s="28">
        <v>6.6100000000000006E-2</v>
      </c>
      <c r="EN5" s="28">
        <v>-4.7800000000000002E-2</v>
      </c>
      <c r="EO5" s="28">
        <v>-6.7400000000000002E-2</v>
      </c>
      <c r="EP5" s="28">
        <v>3.0099999999999998E-2</v>
      </c>
      <c r="EQ5" s="28">
        <v>-5.08</v>
      </c>
    </row>
    <row r="6" spans="1:147" ht="64.8" x14ac:dyDescent="0.25">
      <c r="B6" s="21"/>
      <c r="C6" s="21"/>
      <c r="D6" s="21" t="s">
        <v>756</v>
      </c>
      <c r="E6" t="s">
        <v>567</v>
      </c>
      <c r="F6" t="s">
        <v>568</v>
      </c>
      <c r="G6">
        <v>16.45</v>
      </c>
      <c r="H6">
        <v>13.84</v>
      </c>
      <c r="I6" t="s">
        <v>569</v>
      </c>
      <c r="J6">
        <v>15083450000</v>
      </c>
      <c r="K6">
        <v>7190</v>
      </c>
      <c r="L6">
        <v>10.08</v>
      </c>
      <c r="M6" t="s">
        <v>169</v>
      </c>
      <c r="N6" t="s">
        <v>714</v>
      </c>
      <c r="O6" t="s">
        <v>715</v>
      </c>
      <c r="P6" t="s">
        <v>716</v>
      </c>
      <c r="Q6">
        <v>4.58</v>
      </c>
      <c r="R6" t="s">
        <v>639</v>
      </c>
      <c r="S6">
        <v>-146781750</v>
      </c>
      <c r="T6" s="22">
        <v>-0.2432</v>
      </c>
      <c r="U6" t="s">
        <v>717</v>
      </c>
      <c r="V6">
        <v>699719520</v>
      </c>
      <c r="W6">
        <v>916927040</v>
      </c>
      <c r="X6">
        <v>2.44</v>
      </c>
      <c r="Y6">
        <v>0.14000000000000001</v>
      </c>
      <c r="Z6">
        <v>-27.92</v>
      </c>
      <c r="AA6" t="s">
        <v>718</v>
      </c>
      <c r="AB6" t="s">
        <v>424</v>
      </c>
      <c r="AC6" t="s">
        <v>719</v>
      </c>
      <c r="AD6" t="s">
        <v>720</v>
      </c>
      <c r="AE6" t="s">
        <v>721</v>
      </c>
      <c r="AF6">
        <v>65588610</v>
      </c>
      <c r="AG6" t="s">
        <v>722</v>
      </c>
      <c r="AH6" t="s">
        <v>723</v>
      </c>
      <c r="AI6" t="s">
        <v>724</v>
      </c>
      <c r="AJ6" t="s">
        <v>725</v>
      </c>
      <c r="AK6" t="s">
        <v>726</v>
      </c>
      <c r="AL6" t="s">
        <v>727</v>
      </c>
      <c r="AM6" t="s">
        <v>728</v>
      </c>
      <c r="AN6" t="s">
        <v>206</v>
      </c>
      <c r="AO6" t="s">
        <v>729</v>
      </c>
      <c r="AP6" t="s">
        <v>730</v>
      </c>
      <c r="AQ6" t="s">
        <v>206</v>
      </c>
      <c r="AR6" t="s">
        <v>731</v>
      </c>
      <c r="AS6" t="s">
        <v>732</v>
      </c>
      <c r="AT6" t="s">
        <v>733</v>
      </c>
      <c r="AU6" t="s">
        <v>734</v>
      </c>
      <c r="AV6" t="s">
        <v>735</v>
      </c>
      <c r="AW6" t="s">
        <v>736</v>
      </c>
      <c r="AX6" t="s">
        <v>737</v>
      </c>
      <c r="AY6" t="s">
        <v>738</v>
      </c>
      <c r="AZ6" t="s">
        <v>739</v>
      </c>
      <c r="BA6" t="s">
        <v>740</v>
      </c>
      <c r="BB6" t="s">
        <v>741</v>
      </c>
      <c r="BC6" t="s">
        <v>742</v>
      </c>
      <c r="BD6" t="s">
        <v>743</v>
      </c>
      <c r="BE6" t="s">
        <v>744</v>
      </c>
      <c r="BF6" t="s">
        <v>745</v>
      </c>
      <c r="BG6" t="s">
        <v>746</v>
      </c>
      <c r="BH6" t="s">
        <v>747</v>
      </c>
      <c r="BI6" t="s">
        <v>748</v>
      </c>
      <c r="BJ6" t="s">
        <v>749</v>
      </c>
      <c r="BK6" t="s">
        <v>750</v>
      </c>
      <c r="BL6" t="s">
        <v>751</v>
      </c>
      <c r="BM6" t="s">
        <v>485</v>
      </c>
      <c r="BN6" t="s">
        <v>752</v>
      </c>
      <c r="BO6">
        <v>-4.3</v>
      </c>
      <c r="BP6">
        <v>-1.67</v>
      </c>
      <c r="BQ6">
        <v>-11.62</v>
      </c>
      <c r="BR6">
        <v>-15.25</v>
      </c>
      <c r="BS6">
        <v>-3.66</v>
      </c>
      <c r="BT6">
        <v>-31.74</v>
      </c>
      <c r="BU6">
        <v>-31.95</v>
      </c>
      <c r="BV6" t="s">
        <v>229</v>
      </c>
      <c r="BW6">
        <v>77.38</v>
      </c>
      <c r="BX6">
        <v>80.48</v>
      </c>
      <c r="BY6">
        <v>79.53</v>
      </c>
      <c r="BZ6">
        <v>-27.86</v>
      </c>
      <c r="CA6">
        <v>-84.42</v>
      </c>
      <c r="CB6">
        <v>-144.06</v>
      </c>
      <c r="CC6">
        <v>6.82</v>
      </c>
      <c r="CD6">
        <v>59.55</v>
      </c>
      <c r="CE6" t="s">
        <v>753</v>
      </c>
      <c r="CF6" t="s">
        <v>754</v>
      </c>
      <c r="CG6" s="23">
        <v>0.22509957746478873</v>
      </c>
      <c r="CH6" s="24">
        <v>0.4686411893313841</v>
      </c>
      <c r="CI6" s="23">
        <v>1.9390581175684929E-2</v>
      </c>
      <c r="CJ6" s="23">
        <v>0.17589576542377472</v>
      </c>
      <c r="CK6" s="23">
        <v>-0.51424050331115723</v>
      </c>
      <c r="CL6" s="23">
        <v>1.4446227811276913E-2</v>
      </c>
      <c r="CM6" s="23">
        <v>0.45730993151664734</v>
      </c>
      <c r="CN6" s="24">
        <v>1.05058753490448</v>
      </c>
      <c r="CO6" s="24">
        <v>0.31186440587043762</v>
      </c>
      <c r="CP6" s="24">
        <v>-1.5953079462051392</v>
      </c>
      <c r="CQ6" s="24">
        <v>-2.0333333015441895</v>
      </c>
      <c r="CR6" s="24">
        <v>0.13013698160648346</v>
      </c>
      <c r="CS6">
        <v>20.493817934782609</v>
      </c>
      <c r="CT6">
        <v>-343940528.04809165</v>
      </c>
      <c r="CU6">
        <v>-9.5374720000000011</v>
      </c>
      <c r="CV6" s="23">
        <v>3.0560400523245334E-2</v>
      </c>
      <c r="CW6" s="24">
        <v>-0.42721046507358551</v>
      </c>
      <c r="CX6">
        <v>0.06</v>
      </c>
      <c r="CY6">
        <v>525.98695656203051</v>
      </c>
      <c r="CZ6">
        <v>29952168.591735888</v>
      </c>
      <c r="DA6">
        <v>3.0560400523245334E-2</v>
      </c>
      <c r="DB6">
        <v>180.82051317013824</v>
      </c>
      <c r="DC6">
        <v>87127559.38910687</v>
      </c>
      <c r="DD6">
        <v>2.9032380497083066E-2</v>
      </c>
      <c r="DE6">
        <v>95.101188360631554</v>
      </c>
      <c r="DF6">
        <v>165659864.73542082</v>
      </c>
      <c r="DG6">
        <v>2.6893152460455896E-2</v>
      </c>
      <c r="DH6">
        <v>61.396926496787145</v>
      </c>
      <c r="DI6">
        <v>256599978.18985969</v>
      </c>
      <c r="DJ6">
        <v>2.4448320418596268E-2</v>
      </c>
      <c r="DK6">
        <v>36.898473636924244</v>
      </c>
      <c r="DL6">
        <v>426967525.94759226</v>
      </c>
      <c r="DM6">
        <v>2.1392280366271731E-2</v>
      </c>
      <c r="DN6">
        <v>30807800.000000004</v>
      </c>
      <c r="DO6">
        <v>3.0560400523245334E-2</v>
      </c>
      <c r="DP6">
        <v>15754450000</v>
      </c>
      <c r="DQ6">
        <v>130570660</v>
      </c>
      <c r="DR6">
        <v>1693</v>
      </c>
      <c r="DS6">
        <v>0.19453917694154341</v>
      </c>
      <c r="DT6">
        <v>0.89585165440496961</v>
      </c>
      <c r="DU6" s="25">
        <v>0.11666666666666665</v>
      </c>
      <c r="DV6">
        <v>-1.9450000000000001</v>
      </c>
      <c r="DW6">
        <v>-1.8283333333333334</v>
      </c>
      <c r="DX6">
        <v>9.1145256087321584</v>
      </c>
      <c r="DY6">
        <v>0.73081643837159538</v>
      </c>
      <c r="DZ6">
        <v>9.0195628565859671</v>
      </c>
      <c r="EA6">
        <v>4583</v>
      </c>
      <c r="EB6">
        <v>9.0012319279960078</v>
      </c>
      <c r="EC6">
        <v>9</v>
      </c>
      <c r="ED6">
        <v>0.3217267973687416</v>
      </c>
      <c r="EE6">
        <v>1.8834650137485311</v>
      </c>
      <c r="EF6" s="26">
        <v>3.0518700000000001</v>
      </c>
      <c r="EG6">
        <v>4.0403000000000002</v>
      </c>
      <c r="EH6">
        <v>56.170816438371595</v>
      </c>
      <c r="EI6" t="s">
        <v>755</v>
      </c>
      <c r="EJ6">
        <v>1</v>
      </c>
      <c r="EK6">
        <v>0</v>
      </c>
      <c r="EL6" s="27">
        <v>44890</v>
      </c>
      <c r="EM6" s="28">
        <v>-3.9E-2</v>
      </c>
      <c r="EN6" s="28">
        <v>-1.4200000000000001E-2</v>
      </c>
      <c r="EO6" s="28">
        <v>-3.56E-2</v>
      </c>
      <c r="EP6" s="28">
        <v>2.7E-2</v>
      </c>
      <c r="EQ6" s="28">
        <v>13.84</v>
      </c>
    </row>
    <row r="7" spans="1:147" ht="64.8" x14ac:dyDescent="0.25">
      <c r="D7" s="21" t="s">
        <v>796</v>
      </c>
      <c r="E7" t="s">
        <v>570</v>
      </c>
      <c r="F7" t="s">
        <v>571</v>
      </c>
      <c r="G7">
        <v>20.399999999999999</v>
      </c>
      <c r="H7">
        <v>-2.44</v>
      </c>
      <c r="I7" t="s">
        <v>572</v>
      </c>
      <c r="J7">
        <v>9180000000</v>
      </c>
      <c r="K7">
        <v>18.100000000000001</v>
      </c>
      <c r="L7">
        <v>2.29</v>
      </c>
      <c r="M7" t="s">
        <v>169</v>
      </c>
      <c r="N7" t="s">
        <v>757</v>
      </c>
      <c r="O7" t="s">
        <v>758</v>
      </c>
      <c r="P7" t="s">
        <v>759</v>
      </c>
      <c r="Q7">
        <v>4.6900000000000004</v>
      </c>
      <c r="R7" t="s">
        <v>760</v>
      </c>
      <c r="S7">
        <v>335504300</v>
      </c>
      <c r="T7" s="22">
        <v>-0.1018</v>
      </c>
      <c r="U7" t="s">
        <v>761</v>
      </c>
      <c r="V7">
        <v>201899880</v>
      </c>
      <c r="W7">
        <v>450000000</v>
      </c>
      <c r="X7">
        <v>1.5</v>
      </c>
      <c r="Y7">
        <v>0.6</v>
      </c>
      <c r="Z7">
        <v>9.65</v>
      </c>
      <c r="AA7" t="s">
        <v>762</v>
      </c>
      <c r="AB7" t="s">
        <v>763</v>
      </c>
      <c r="AC7" t="s">
        <v>764</v>
      </c>
      <c r="AD7" t="s">
        <v>765</v>
      </c>
      <c r="AE7" t="s">
        <v>766</v>
      </c>
      <c r="AF7">
        <v>-29140699</v>
      </c>
      <c r="AG7" t="s">
        <v>767</v>
      </c>
      <c r="AH7" t="s">
        <v>768</v>
      </c>
      <c r="AI7" t="s">
        <v>769</v>
      </c>
      <c r="AJ7" t="s">
        <v>770</v>
      </c>
      <c r="AK7" t="s">
        <v>771</v>
      </c>
      <c r="AL7" t="s">
        <v>772</v>
      </c>
      <c r="AM7" t="s">
        <v>773</v>
      </c>
      <c r="AN7" t="s">
        <v>206</v>
      </c>
      <c r="AO7" t="s">
        <v>774</v>
      </c>
      <c r="AP7" t="s">
        <v>775</v>
      </c>
      <c r="AQ7" t="s">
        <v>591</v>
      </c>
      <c r="AR7" t="s">
        <v>776</v>
      </c>
      <c r="AS7" t="s">
        <v>206</v>
      </c>
      <c r="AT7" t="s">
        <v>777</v>
      </c>
      <c r="AU7" t="s">
        <v>206</v>
      </c>
      <c r="AV7" t="s">
        <v>778</v>
      </c>
      <c r="AW7" t="s">
        <v>779</v>
      </c>
      <c r="AX7" t="s">
        <v>780</v>
      </c>
      <c r="AY7" t="s">
        <v>781</v>
      </c>
      <c r="AZ7" t="s">
        <v>782</v>
      </c>
      <c r="BA7" t="s">
        <v>783</v>
      </c>
      <c r="BB7" t="s">
        <v>784</v>
      </c>
      <c r="BC7" t="s">
        <v>206</v>
      </c>
      <c r="BD7" t="s">
        <v>785</v>
      </c>
      <c r="BE7" t="s">
        <v>786</v>
      </c>
      <c r="BF7" t="s">
        <v>787</v>
      </c>
      <c r="BG7" t="s">
        <v>788</v>
      </c>
      <c r="BH7" t="s">
        <v>206</v>
      </c>
      <c r="BI7" t="s">
        <v>789</v>
      </c>
      <c r="BJ7" t="s">
        <v>790</v>
      </c>
      <c r="BK7" t="s">
        <v>791</v>
      </c>
      <c r="BL7" t="s">
        <v>656</v>
      </c>
      <c r="BM7" t="s">
        <v>792</v>
      </c>
      <c r="BN7" t="s">
        <v>793</v>
      </c>
      <c r="BO7">
        <v>7</v>
      </c>
      <c r="BP7">
        <v>1.39</v>
      </c>
      <c r="BQ7">
        <v>16.079999999999998</v>
      </c>
      <c r="BR7">
        <v>20.34</v>
      </c>
      <c r="BS7">
        <v>1.6</v>
      </c>
      <c r="BT7">
        <v>32.94</v>
      </c>
      <c r="BU7">
        <v>29.17</v>
      </c>
      <c r="BV7" t="s">
        <v>229</v>
      </c>
      <c r="BW7">
        <v>68.53</v>
      </c>
      <c r="BX7">
        <v>66.010000000000005</v>
      </c>
      <c r="BY7">
        <v>60.92</v>
      </c>
      <c r="BZ7">
        <v>7.37</v>
      </c>
      <c r="CA7">
        <v>10.220000000000001</v>
      </c>
      <c r="CB7">
        <v>6.71</v>
      </c>
      <c r="CC7">
        <v>-6.68</v>
      </c>
      <c r="CD7">
        <v>28.22</v>
      </c>
      <c r="CE7" t="s">
        <v>794</v>
      </c>
      <c r="CF7" t="s">
        <v>795</v>
      </c>
      <c r="CG7" s="23">
        <v>0.2957404448105429</v>
      </c>
      <c r="CH7" s="24">
        <v>0.21431242236024844</v>
      </c>
      <c r="CI7" s="23">
        <v>0.14450341463088989</v>
      </c>
      <c r="CJ7" s="23">
        <v>1.1893612332642078E-2</v>
      </c>
      <c r="CK7" s="23">
        <v>7.6575428247451782E-2</v>
      </c>
      <c r="CL7" s="23">
        <v>0.47518521547317505</v>
      </c>
      <c r="CM7" s="23" t="e">
        <v>#VALUE!</v>
      </c>
      <c r="CN7" s="24">
        <v>0.23303167521953583</v>
      </c>
      <c r="CO7" s="24">
        <v>0.55087721347808838</v>
      </c>
      <c r="CP7" s="24">
        <v>6.3432835042476654E-2</v>
      </c>
      <c r="CQ7" s="24">
        <v>0.65432101488113403</v>
      </c>
      <c r="CR7" s="24" t="e">
        <v>#VALUE!</v>
      </c>
      <c r="CS7">
        <v>1.8485702778896496</v>
      </c>
      <c r="CT7">
        <v>55794721.100917429</v>
      </c>
      <c r="CU7">
        <v>8.6849999999999987</v>
      </c>
      <c r="CV7" s="23">
        <v>0.1770394176710397</v>
      </c>
      <c r="CW7" s="24">
        <v>0.37541568465530872</v>
      </c>
      <c r="CX7">
        <v>0.06</v>
      </c>
      <c r="CY7">
        <v>11.844489643554926</v>
      </c>
      <c r="CZ7">
        <v>605175927.01011002</v>
      </c>
      <c r="DA7">
        <v>0.1770394176710397</v>
      </c>
      <c r="DB7">
        <v>3.5983275791067957</v>
      </c>
      <c r="DC7">
        <v>1992036534.3111134</v>
      </c>
      <c r="DD7">
        <v>0.1681874467874877</v>
      </c>
      <c r="DE7">
        <v>1.6017999543809534</v>
      </c>
      <c r="DF7">
        <v>4474965791.0748367</v>
      </c>
      <c r="DG7">
        <v>0.15579468755051493</v>
      </c>
      <c r="DH7">
        <v>0.85501928129471205</v>
      </c>
      <c r="DI7">
        <v>8383436674.2535486</v>
      </c>
      <c r="DJ7">
        <v>0.14163153413683177</v>
      </c>
      <c r="DK7">
        <v>0.33608419773435433</v>
      </c>
      <c r="DL7">
        <v>21327988784.720215</v>
      </c>
      <c r="DM7">
        <v>0.12392759236972778</v>
      </c>
      <c r="DN7">
        <v>545000000</v>
      </c>
      <c r="DO7">
        <v>0.1770394176710397</v>
      </c>
      <c r="DP7">
        <v>7168000000</v>
      </c>
      <c r="DQ7">
        <v>2179812200</v>
      </c>
      <c r="DR7">
        <v>4835</v>
      </c>
      <c r="DS7">
        <v>0.1187010271395032</v>
      </c>
      <c r="DT7">
        <v>-0.16110326229506028</v>
      </c>
      <c r="DU7" s="25">
        <v>0.13999999999999999</v>
      </c>
      <c r="DV7">
        <v>0.65999999999999992</v>
      </c>
      <c r="DW7">
        <v>0.79999999999999993</v>
      </c>
      <c r="DX7">
        <v>-7.1914040114613185</v>
      </c>
      <c r="DY7">
        <v>0.31005270758122916</v>
      </c>
      <c r="DZ7">
        <v>-7.0172364494739998</v>
      </c>
      <c r="EA7">
        <v>1961</v>
      </c>
      <c r="EB7">
        <v>-7.0103256587525697</v>
      </c>
      <c r="EC7">
        <v>7</v>
      </c>
      <c r="ED7">
        <v>5.5432444444444444E-2</v>
      </c>
      <c r="EE7">
        <v>0.61555555555555552</v>
      </c>
      <c r="EF7" s="26">
        <v>1.7335E-2</v>
      </c>
      <c r="EG7">
        <v>4.1710000000000004E-2</v>
      </c>
      <c r="EH7">
        <v>22.090052707581229</v>
      </c>
      <c r="EI7">
        <v>-1</v>
      </c>
      <c r="EJ7">
        <v>0</v>
      </c>
      <c r="EK7">
        <v>0</v>
      </c>
      <c r="EL7" s="27">
        <v>44890</v>
      </c>
      <c r="EM7" s="28">
        <v>0</v>
      </c>
      <c r="EN7" s="28">
        <v>-3.9300000000000002E-2</v>
      </c>
      <c r="EO7" s="28">
        <v>-2.1399999999999999E-2</v>
      </c>
      <c r="EP7" s="28">
        <v>1.7500000000000002E-2</v>
      </c>
      <c r="EQ7" s="28">
        <v>-2.44</v>
      </c>
    </row>
    <row r="8" spans="1:147" ht="64.8" x14ac:dyDescent="0.25">
      <c r="B8" s="21"/>
      <c r="C8" s="21"/>
      <c r="D8" s="21" t="s">
        <v>833</v>
      </c>
      <c r="E8" t="s">
        <v>573</v>
      </c>
      <c r="F8" t="s">
        <v>574</v>
      </c>
      <c r="G8">
        <v>22.02</v>
      </c>
      <c r="H8">
        <v>15.89</v>
      </c>
      <c r="I8" t="s">
        <v>575</v>
      </c>
      <c r="J8">
        <v>8248221900</v>
      </c>
      <c r="L8">
        <v>4.58</v>
      </c>
      <c r="M8" t="s">
        <v>169</v>
      </c>
      <c r="N8" t="s">
        <v>797</v>
      </c>
      <c r="O8" t="s">
        <v>798</v>
      </c>
      <c r="P8" t="s">
        <v>799</v>
      </c>
      <c r="Q8">
        <v>66.42</v>
      </c>
      <c r="R8" t="s">
        <v>800</v>
      </c>
      <c r="S8">
        <v>-226508770</v>
      </c>
      <c r="T8" s="22">
        <v>-0.27700000000000002</v>
      </c>
      <c r="U8" t="s">
        <v>801</v>
      </c>
      <c r="V8">
        <v>190905500</v>
      </c>
      <c r="W8">
        <v>374578650</v>
      </c>
      <c r="X8">
        <v>1.46</v>
      </c>
      <c r="Y8">
        <v>0.02</v>
      </c>
      <c r="Z8">
        <v>-392.85</v>
      </c>
      <c r="AA8" t="s">
        <v>665</v>
      </c>
      <c r="AB8" t="s">
        <v>802</v>
      </c>
      <c r="AC8" t="s">
        <v>803</v>
      </c>
      <c r="AD8" t="s">
        <v>804</v>
      </c>
      <c r="AE8" t="s">
        <v>805</v>
      </c>
      <c r="AF8">
        <v>-983889</v>
      </c>
      <c r="AG8" t="s">
        <v>806</v>
      </c>
      <c r="AH8" t="s">
        <v>807</v>
      </c>
      <c r="AI8" t="s">
        <v>808</v>
      </c>
      <c r="AJ8" t="s">
        <v>809</v>
      </c>
      <c r="AK8" t="s">
        <v>810</v>
      </c>
      <c r="AL8" t="s">
        <v>206</v>
      </c>
      <c r="AM8" t="s">
        <v>811</v>
      </c>
      <c r="AN8" t="s">
        <v>206</v>
      </c>
      <c r="AO8" t="s">
        <v>812</v>
      </c>
      <c r="AP8" t="s">
        <v>813</v>
      </c>
      <c r="AQ8" t="s">
        <v>206</v>
      </c>
      <c r="AR8" t="s">
        <v>814</v>
      </c>
      <c r="AS8" t="s">
        <v>206</v>
      </c>
      <c r="AT8" t="s">
        <v>748</v>
      </c>
      <c r="AU8" t="s">
        <v>815</v>
      </c>
      <c r="AV8" t="s">
        <v>816</v>
      </c>
      <c r="AW8" t="s">
        <v>817</v>
      </c>
      <c r="AX8" t="s">
        <v>786</v>
      </c>
      <c r="AY8" t="s">
        <v>818</v>
      </c>
      <c r="AZ8" t="s">
        <v>819</v>
      </c>
      <c r="BA8" t="s">
        <v>820</v>
      </c>
      <c r="BB8" t="s">
        <v>206</v>
      </c>
      <c r="BC8">
        <v>0</v>
      </c>
      <c r="BD8" t="s">
        <v>821</v>
      </c>
      <c r="BE8" t="s">
        <v>822</v>
      </c>
      <c r="BF8" t="s">
        <v>823</v>
      </c>
      <c r="BG8" t="s">
        <v>824</v>
      </c>
      <c r="BH8" t="s">
        <v>825</v>
      </c>
      <c r="BI8" t="s">
        <v>826</v>
      </c>
      <c r="BJ8" t="s">
        <v>827</v>
      </c>
      <c r="BK8" t="s">
        <v>828</v>
      </c>
      <c r="BL8" t="s">
        <v>829</v>
      </c>
      <c r="BM8" t="s">
        <v>830</v>
      </c>
      <c r="BN8" t="s">
        <v>831</v>
      </c>
      <c r="BO8">
        <v>-9.31</v>
      </c>
      <c r="BP8">
        <v>-2.4900000000000002</v>
      </c>
      <c r="BQ8">
        <v>-11.21</v>
      </c>
      <c r="BR8">
        <v>-20.27</v>
      </c>
      <c r="BS8">
        <v>-3.29</v>
      </c>
      <c r="BT8">
        <v>-28.62</v>
      </c>
      <c r="BU8">
        <v>-30.34</v>
      </c>
      <c r="BV8" t="s">
        <v>229</v>
      </c>
      <c r="BW8">
        <v>-0.99</v>
      </c>
      <c r="BX8">
        <v>18.420000000000002</v>
      </c>
      <c r="BY8">
        <v>-49.87</v>
      </c>
      <c r="BZ8">
        <v>-471.06</v>
      </c>
      <c r="CA8">
        <v>-505.15</v>
      </c>
      <c r="CB8">
        <v>-935.32</v>
      </c>
      <c r="CC8">
        <v>32.81</v>
      </c>
      <c r="CD8">
        <v>62.15</v>
      </c>
      <c r="CE8" t="s">
        <v>775</v>
      </c>
      <c r="CF8" t="s">
        <v>832</v>
      </c>
      <c r="CG8" s="23">
        <v>1.6611832954478236</v>
      </c>
      <c r="CH8" s="24">
        <v>-0.23881890121884664</v>
      </c>
      <c r="CI8" s="23">
        <v>-0.1312641054391861</v>
      </c>
      <c r="CJ8" s="23">
        <v>1.2350335121154785</v>
      </c>
      <c r="CK8" s="23">
        <v>9.9151802062988281</v>
      </c>
      <c r="CL8" s="23" t="e">
        <v>#VALUE!</v>
      </c>
      <c r="CM8" s="23" t="e">
        <v>#VALUE!</v>
      </c>
      <c r="CN8" s="24">
        <v>-0.12554112076759338</v>
      </c>
      <c r="CO8" s="24">
        <v>-0.203125</v>
      </c>
      <c r="CP8" s="24">
        <v>0.22267206013202667</v>
      </c>
      <c r="CQ8" s="24">
        <v>-2.7837066650390625</v>
      </c>
      <c r="CR8" s="24">
        <v>-1.7806249856948853</v>
      </c>
      <c r="CS8">
        <v>203.64521799673602</v>
      </c>
      <c r="CT8">
        <v>100441730.76923077</v>
      </c>
      <c r="CU8">
        <v>-11.471220000000001</v>
      </c>
      <c r="CV8" s="23">
        <v>3.6729832043250403</v>
      </c>
      <c r="CW8" s="24">
        <v>-0.93406514227390292</v>
      </c>
      <c r="CX8">
        <v>0.06</v>
      </c>
      <c r="CY8" t="e">
        <v>#VALUE!</v>
      </c>
      <c r="CZ8" t="s">
        <v>626</v>
      </c>
      <c r="DA8">
        <v>3.6729832043250403</v>
      </c>
      <c r="DB8" t="e">
        <v>#VALUE!</v>
      </c>
      <c r="DC8" t="s">
        <v>627</v>
      </c>
      <c r="DD8">
        <v>3.4893340441087881</v>
      </c>
      <c r="DE8" t="e">
        <v>#VALUE!</v>
      </c>
      <c r="DF8" t="s">
        <v>627</v>
      </c>
      <c r="DG8">
        <v>3.2322252198060357</v>
      </c>
      <c r="DH8" t="e">
        <v>#VALUE!</v>
      </c>
      <c r="DI8" t="s">
        <v>627</v>
      </c>
      <c r="DJ8">
        <v>2.9383865634600324</v>
      </c>
      <c r="DK8" t="e">
        <v>#VALUE!</v>
      </c>
      <c r="DL8" t="s">
        <v>627</v>
      </c>
      <c r="DM8">
        <v>2.5710882430275279</v>
      </c>
      <c r="DN8">
        <v>-260000000</v>
      </c>
      <c r="DO8">
        <v>3.6729832043250403</v>
      </c>
      <c r="DP8">
        <v>7267221900</v>
      </c>
      <c r="DQ8">
        <v>1300707300</v>
      </c>
      <c r="DR8">
        <v>4590</v>
      </c>
      <c r="DS8">
        <v>-2.0117999088772169</v>
      </c>
      <c r="DT8">
        <v>0.69524624105505628</v>
      </c>
      <c r="DU8" s="25">
        <v>1.7550000000000001</v>
      </c>
      <c r="DV8">
        <v>-3.4316666666666666</v>
      </c>
      <c r="DW8">
        <v>-1.6766666666666665</v>
      </c>
      <c r="DX8">
        <v>9.5279163314561544</v>
      </c>
      <c r="DY8">
        <v>0.80256410256410216</v>
      </c>
      <c r="DZ8">
        <v>9.1861243476287733</v>
      </c>
      <c r="EA8">
        <v>4526</v>
      </c>
      <c r="EB8">
        <v>9.0138898766887152</v>
      </c>
      <c r="EC8">
        <v>9</v>
      </c>
      <c r="ED8">
        <v>0.29366329340980862</v>
      </c>
      <c r="EE8">
        <v>0.83293588676236618</v>
      </c>
      <c r="EF8" s="26">
        <v>1.0846610000000001</v>
      </c>
      <c r="EG8">
        <v>2.0935999999999999</v>
      </c>
      <c r="EH8">
        <v>45.352564102564102</v>
      </c>
      <c r="EI8" t="s">
        <v>326</v>
      </c>
      <c r="EJ8">
        <v>1</v>
      </c>
      <c r="EK8">
        <v>0</v>
      </c>
      <c r="EL8" s="27">
        <v>44890</v>
      </c>
      <c r="EM8" s="28">
        <v>4.2799999999999998E-2</v>
      </c>
      <c r="EN8" s="28">
        <v>4.1099999999999998E-2</v>
      </c>
      <c r="EO8" s="28">
        <v>-5.9999999999999995E-4</v>
      </c>
      <c r="EP8" s="28">
        <v>5.6099999999999997E-2</v>
      </c>
      <c r="EQ8" s="28">
        <v>15.89</v>
      </c>
    </row>
    <row r="9" spans="1:147" ht="64.8" x14ac:dyDescent="0.25">
      <c r="B9" s="21"/>
      <c r="C9" s="21"/>
      <c r="D9" s="21" t="s">
        <v>869</v>
      </c>
      <c r="E9" t="s">
        <v>576</v>
      </c>
      <c r="F9" t="s">
        <v>577</v>
      </c>
      <c r="G9">
        <v>15.02</v>
      </c>
      <c r="H9">
        <v>3.8</v>
      </c>
      <c r="I9" t="s">
        <v>578</v>
      </c>
      <c r="J9">
        <v>7139870500</v>
      </c>
      <c r="L9">
        <v>5.16</v>
      </c>
      <c r="M9" t="s">
        <v>169</v>
      </c>
      <c r="N9" t="s">
        <v>719</v>
      </c>
      <c r="O9" t="s">
        <v>834</v>
      </c>
      <c r="P9" t="s">
        <v>835</v>
      </c>
      <c r="Q9">
        <v>-10.18</v>
      </c>
      <c r="R9" t="s">
        <v>836</v>
      </c>
      <c r="S9">
        <v>-154874390</v>
      </c>
      <c r="T9" s="22">
        <v>-0.23100000000000001</v>
      </c>
      <c r="U9" t="s">
        <v>496</v>
      </c>
      <c r="V9">
        <v>469381380</v>
      </c>
      <c r="W9">
        <v>475357560</v>
      </c>
      <c r="X9">
        <v>1.19</v>
      </c>
      <c r="Y9">
        <v>0.22</v>
      </c>
      <c r="Z9">
        <v>-40.450000000000003</v>
      </c>
      <c r="AA9" t="s">
        <v>837</v>
      </c>
      <c r="AB9" t="s">
        <v>838</v>
      </c>
      <c r="AC9" t="s">
        <v>478</v>
      </c>
      <c r="AD9" t="s">
        <v>839</v>
      </c>
      <c r="AE9" t="s">
        <v>840</v>
      </c>
      <c r="AF9">
        <v>-786215</v>
      </c>
      <c r="AG9" t="s">
        <v>841</v>
      </c>
      <c r="AH9" t="s">
        <v>842</v>
      </c>
      <c r="AI9" t="s">
        <v>843</v>
      </c>
      <c r="AJ9" t="s">
        <v>488</v>
      </c>
      <c r="AK9" t="s">
        <v>844</v>
      </c>
      <c r="AL9" t="s">
        <v>845</v>
      </c>
      <c r="AM9" t="s">
        <v>846</v>
      </c>
      <c r="AN9" t="s">
        <v>206</v>
      </c>
      <c r="AO9" t="s">
        <v>847</v>
      </c>
      <c r="AP9" t="s">
        <v>848</v>
      </c>
      <c r="AQ9" t="s">
        <v>206</v>
      </c>
      <c r="AR9" t="s">
        <v>849</v>
      </c>
      <c r="AS9" t="s">
        <v>206</v>
      </c>
      <c r="AT9" t="s">
        <v>431</v>
      </c>
      <c r="AU9" t="s">
        <v>206</v>
      </c>
      <c r="AV9" t="s">
        <v>850</v>
      </c>
      <c r="AW9" t="s">
        <v>851</v>
      </c>
      <c r="AX9" t="s">
        <v>852</v>
      </c>
      <c r="AY9" t="s">
        <v>337</v>
      </c>
      <c r="AZ9" t="s">
        <v>853</v>
      </c>
      <c r="BA9" t="s">
        <v>854</v>
      </c>
      <c r="BB9" t="s">
        <v>855</v>
      </c>
      <c r="BC9" t="s">
        <v>856</v>
      </c>
      <c r="BD9" t="s">
        <v>857</v>
      </c>
      <c r="BE9" t="s">
        <v>858</v>
      </c>
      <c r="BF9" t="s">
        <v>859</v>
      </c>
      <c r="BG9" t="s">
        <v>860</v>
      </c>
      <c r="BH9" t="s">
        <v>861</v>
      </c>
      <c r="BI9" t="s">
        <v>862</v>
      </c>
      <c r="BJ9" t="s">
        <v>863</v>
      </c>
      <c r="BK9" t="s">
        <v>525</v>
      </c>
      <c r="BL9" t="s">
        <v>864</v>
      </c>
      <c r="BM9" t="s">
        <v>865</v>
      </c>
      <c r="BN9" t="s">
        <v>866</v>
      </c>
      <c r="BO9">
        <v>-10.46</v>
      </c>
      <c r="BP9">
        <v>-1.6</v>
      </c>
      <c r="BQ9">
        <v>-8.33</v>
      </c>
      <c r="BR9">
        <v>0.78</v>
      </c>
      <c r="BS9">
        <v>-1.61</v>
      </c>
      <c r="BT9">
        <v>-8.2799999999999994</v>
      </c>
      <c r="BU9">
        <v>1.36</v>
      </c>
      <c r="BV9" t="s">
        <v>229</v>
      </c>
      <c r="BW9">
        <v>81.05</v>
      </c>
      <c r="BX9">
        <v>81.739999999999995</v>
      </c>
      <c r="BY9">
        <v>87.77</v>
      </c>
      <c r="BZ9">
        <v>-33.479999999999997</v>
      </c>
      <c r="CA9">
        <v>-31.28</v>
      </c>
      <c r="CB9">
        <v>4.13</v>
      </c>
      <c r="CC9">
        <v>-1.57</v>
      </c>
      <c r="CD9">
        <v>38.950000000000003</v>
      </c>
      <c r="CE9" t="s">
        <v>867</v>
      </c>
      <c r="CF9" t="s">
        <v>868</v>
      </c>
      <c r="CG9" s="23">
        <v>-0.11164392156862765</v>
      </c>
      <c r="CH9" s="24">
        <v>-8.9729802413104368E-2</v>
      </c>
      <c r="CI9" s="23">
        <v>0.3741176426410675</v>
      </c>
      <c r="CJ9" s="23">
        <v>-0.35703480243682861</v>
      </c>
      <c r="CK9" s="23">
        <v>-0.17990075051784515</v>
      </c>
      <c r="CL9" s="23">
        <v>-0.4193083643913269</v>
      </c>
      <c r="CM9" s="23">
        <v>-1.069142110645771E-2</v>
      </c>
      <c r="CN9" s="24">
        <v>-3.0075188726186752E-2</v>
      </c>
      <c r="CO9" s="24">
        <v>-5.8719015121459961</v>
      </c>
      <c r="CP9" s="24">
        <v>-0.79627311229705811</v>
      </c>
      <c r="CQ9" s="24">
        <v>-0.49049431085586548</v>
      </c>
      <c r="CR9" s="24">
        <v>2.3346303030848503E-2</v>
      </c>
      <c r="CS9">
        <v>12.225805650684931</v>
      </c>
      <c r="CT9">
        <v>116984102.18978103</v>
      </c>
      <c r="CU9">
        <v>-10.58981</v>
      </c>
      <c r="CV9" s="23">
        <v>-0.11856353916227817</v>
      </c>
      <c r="CW9" s="24">
        <v>-1.4330795641988516</v>
      </c>
      <c r="CX9">
        <v>0.06</v>
      </c>
      <c r="CY9" t="e">
        <v>#VALUE!</v>
      </c>
      <c r="CZ9" t="s">
        <v>626</v>
      </c>
      <c r="DA9">
        <v>-0.11856353916227817</v>
      </c>
      <c r="DB9" t="e">
        <v>#VALUE!</v>
      </c>
      <c r="DC9" t="s">
        <v>627</v>
      </c>
      <c r="DD9">
        <v>-0.11263536220416426</v>
      </c>
      <c r="DE9" t="e">
        <v>#VALUE!</v>
      </c>
      <c r="DF9" t="s">
        <v>627</v>
      </c>
      <c r="DG9">
        <v>-0.1043359144628048</v>
      </c>
      <c r="DH9" t="e">
        <v>#VALUE!</v>
      </c>
      <c r="DI9" t="s">
        <v>627</v>
      </c>
      <c r="DJ9">
        <v>-9.4850831329822541E-2</v>
      </c>
      <c r="DK9" t="e">
        <v>#VALUE!</v>
      </c>
      <c r="DL9" t="s">
        <v>627</v>
      </c>
      <c r="DM9">
        <v>-8.2994477413594711E-2</v>
      </c>
      <c r="DN9">
        <v>-137000000</v>
      </c>
      <c r="DO9">
        <v>-0.11856353916227817</v>
      </c>
      <c r="DP9">
        <v>6013870500</v>
      </c>
      <c r="DQ9">
        <v>367557140</v>
      </c>
      <c r="DR9">
        <v>1697</v>
      </c>
      <c r="DS9">
        <v>6.9196175936505205E-3</v>
      </c>
      <c r="DT9">
        <v>1.3433497617857473</v>
      </c>
      <c r="DU9" s="25">
        <v>-0.23333333333333331</v>
      </c>
      <c r="DV9">
        <v>-2.415</v>
      </c>
      <c r="DW9">
        <v>-2.6483333333333334</v>
      </c>
      <c r="DX9">
        <v>3.2595535714285715</v>
      </c>
      <c r="DY9">
        <v>0.52416666666666578</v>
      </c>
      <c r="DZ9">
        <v>3.0529921875000001</v>
      </c>
      <c r="EA9">
        <v>4788</v>
      </c>
      <c r="EB9">
        <v>3.0011159671462893</v>
      </c>
      <c r="EC9">
        <v>3</v>
      </c>
      <c r="ED9">
        <v>0.30924090068116306</v>
      </c>
      <c r="EE9">
        <v>1.5146493094587576</v>
      </c>
      <c r="EF9" s="26">
        <v>2.0520870000000002</v>
      </c>
      <c r="EG9">
        <v>2.0901000000000001</v>
      </c>
      <c r="EH9">
        <v>32.204166666666666</v>
      </c>
      <c r="EI9" t="s">
        <v>326</v>
      </c>
      <c r="EJ9">
        <v>0</v>
      </c>
      <c r="EK9">
        <v>0</v>
      </c>
      <c r="EL9" s="27">
        <v>44890</v>
      </c>
      <c r="EM9" s="28">
        <v>-3.5999999999999997E-2</v>
      </c>
      <c r="EN9" s="28">
        <v>-2.6499999999999999E-2</v>
      </c>
      <c r="EO9" s="28">
        <v>-6.6299999999999998E-2</v>
      </c>
      <c r="EP9" s="28">
        <v>8.2299999999999998E-2</v>
      </c>
      <c r="EQ9" s="28">
        <v>3.8</v>
      </c>
    </row>
    <row r="10" spans="1:147" ht="64.8" x14ac:dyDescent="0.25">
      <c r="B10" s="21"/>
      <c r="C10" s="21"/>
      <c r="D10" s="21" t="s">
        <v>909</v>
      </c>
      <c r="E10" t="s">
        <v>579</v>
      </c>
      <c r="F10" t="s">
        <v>580</v>
      </c>
      <c r="G10">
        <v>43.51</v>
      </c>
      <c r="H10">
        <v>-2.14</v>
      </c>
      <c r="I10" t="s">
        <v>581</v>
      </c>
      <c r="J10">
        <v>6929707200</v>
      </c>
      <c r="L10">
        <v>7.03</v>
      </c>
      <c r="M10" t="s">
        <v>169</v>
      </c>
      <c r="N10" t="s">
        <v>322</v>
      </c>
      <c r="O10" t="s">
        <v>870</v>
      </c>
      <c r="P10" t="s">
        <v>871</v>
      </c>
      <c r="Q10">
        <v>9.74</v>
      </c>
      <c r="R10" t="s">
        <v>872</v>
      </c>
      <c r="S10">
        <v>-71493069</v>
      </c>
      <c r="T10" s="22">
        <v>-2.4820000000000002</v>
      </c>
      <c r="U10" t="s">
        <v>873</v>
      </c>
      <c r="V10">
        <v>133255751</v>
      </c>
      <c r="W10">
        <v>159267000</v>
      </c>
      <c r="X10">
        <v>1.49</v>
      </c>
      <c r="Y10">
        <v>0.2</v>
      </c>
      <c r="Z10">
        <v>-27.44</v>
      </c>
      <c r="AA10" t="s">
        <v>874</v>
      </c>
      <c r="AB10" t="s">
        <v>875</v>
      </c>
      <c r="AC10" t="s">
        <v>876</v>
      </c>
      <c r="AD10" t="s">
        <v>877</v>
      </c>
      <c r="AE10" t="s">
        <v>878</v>
      </c>
      <c r="AF10">
        <v>2820369</v>
      </c>
      <c r="AG10" t="s">
        <v>879</v>
      </c>
      <c r="AH10" t="s">
        <v>880</v>
      </c>
      <c r="AI10" t="s">
        <v>881</v>
      </c>
      <c r="AJ10" t="s">
        <v>882</v>
      </c>
      <c r="AK10" t="s">
        <v>883</v>
      </c>
      <c r="AL10" t="s">
        <v>884</v>
      </c>
      <c r="AM10" t="s">
        <v>885</v>
      </c>
      <c r="AN10" t="s">
        <v>206</v>
      </c>
      <c r="AO10" t="s">
        <v>886</v>
      </c>
      <c r="AP10" t="s">
        <v>887</v>
      </c>
      <c r="AQ10" t="s">
        <v>888</v>
      </c>
      <c r="AR10" t="s">
        <v>889</v>
      </c>
      <c r="AS10" t="s">
        <v>206</v>
      </c>
      <c r="AT10" t="s">
        <v>890</v>
      </c>
      <c r="AU10" t="s">
        <v>891</v>
      </c>
      <c r="AV10" t="s">
        <v>892</v>
      </c>
      <c r="AW10" t="s">
        <v>893</v>
      </c>
      <c r="AX10" t="s">
        <v>894</v>
      </c>
      <c r="AY10" t="s">
        <v>895</v>
      </c>
      <c r="AZ10" t="s">
        <v>890</v>
      </c>
      <c r="BA10" t="s">
        <v>896</v>
      </c>
      <c r="BB10" t="s">
        <v>429</v>
      </c>
      <c r="BC10" t="s">
        <v>230</v>
      </c>
      <c r="BD10" t="s">
        <v>897</v>
      </c>
      <c r="BE10" t="s">
        <v>898</v>
      </c>
      <c r="BF10" t="s">
        <v>899</v>
      </c>
      <c r="BG10" t="s">
        <v>900</v>
      </c>
      <c r="BH10" t="s">
        <v>901</v>
      </c>
      <c r="BI10" t="s">
        <v>683</v>
      </c>
      <c r="BJ10" t="s">
        <v>902</v>
      </c>
      <c r="BK10" t="s">
        <v>903</v>
      </c>
      <c r="BL10" t="s">
        <v>904</v>
      </c>
      <c r="BM10" t="s">
        <v>905</v>
      </c>
      <c r="BN10" t="s">
        <v>906</v>
      </c>
      <c r="BO10">
        <v>-5.57</v>
      </c>
      <c r="BP10">
        <v>-0.72</v>
      </c>
      <c r="BQ10">
        <v>2.5499999999999998</v>
      </c>
      <c r="BR10">
        <v>2.2599999999999998</v>
      </c>
      <c r="BS10">
        <v>-0.88</v>
      </c>
      <c r="BT10">
        <v>2.6</v>
      </c>
      <c r="BU10">
        <v>2.04</v>
      </c>
      <c r="BV10" t="s">
        <v>229</v>
      </c>
      <c r="BW10">
        <v>58.28</v>
      </c>
      <c r="BX10">
        <v>66.17</v>
      </c>
      <c r="BY10">
        <v>77.489999999999995</v>
      </c>
      <c r="BZ10">
        <v>-16.38</v>
      </c>
      <c r="CA10">
        <v>4.49</v>
      </c>
      <c r="CB10">
        <v>3.03</v>
      </c>
      <c r="CC10">
        <v>-7.39</v>
      </c>
      <c r="CD10">
        <v>35.549999999999997</v>
      </c>
      <c r="CE10" t="s">
        <v>907</v>
      </c>
      <c r="CF10" t="s">
        <v>908</v>
      </c>
      <c r="CG10" s="23">
        <v>6.5984183673469393E-2</v>
      </c>
      <c r="CH10" s="24">
        <v>-12.181478278593058</v>
      </c>
      <c r="CI10" s="23">
        <v>5.4347827099263668E-3</v>
      </c>
      <c r="CJ10" s="23">
        <v>-0.11325301229953766</v>
      </c>
      <c r="CK10" s="23">
        <v>3.2338310033082962E-2</v>
      </c>
      <c r="CL10" s="23">
        <v>0.35810810327529907</v>
      </c>
      <c r="CM10" s="23">
        <v>-5.4313100874423981E-2</v>
      </c>
      <c r="CN10" s="24">
        <v>-3.3533070087432861</v>
      </c>
      <c r="CO10" s="24">
        <v>0.38006311655044556</v>
      </c>
      <c r="CP10" s="24">
        <v>-0.34835967421531677</v>
      </c>
      <c r="CQ10" s="24">
        <v>-0.50888568162918091</v>
      </c>
      <c r="CR10" s="24">
        <v>-0.49459743499755859</v>
      </c>
      <c r="CS10">
        <v>18.728938378378377</v>
      </c>
      <c r="CT10">
        <v>217370187.98048535</v>
      </c>
      <c r="CU10">
        <v>-8.1771200000000004</v>
      </c>
      <c r="CV10" s="23">
        <v>4.5663016568869355E-2</v>
      </c>
      <c r="CW10" s="24">
        <v>-0.86501733660697933</v>
      </c>
      <c r="CX10">
        <v>0.06</v>
      </c>
      <c r="CY10" t="e">
        <v>#VALUE!</v>
      </c>
      <c r="CZ10" t="s">
        <v>626</v>
      </c>
      <c r="DA10">
        <v>4.5663016568869355E-2</v>
      </c>
      <c r="DB10" t="e">
        <v>#VALUE!</v>
      </c>
      <c r="DC10" t="s">
        <v>627</v>
      </c>
      <c r="DD10">
        <v>4.3379865740425884E-2</v>
      </c>
      <c r="DE10" t="e">
        <v>#VALUE!</v>
      </c>
      <c r="DF10" t="s">
        <v>627</v>
      </c>
      <c r="DG10">
        <v>4.018345458060503E-2</v>
      </c>
      <c r="DH10" t="e">
        <v>#VALUE!</v>
      </c>
      <c r="DI10" t="s">
        <v>627</v>
      </c>
      <c r="DJ10">
        <v>3.6530413255095484E-2</v>
      </c>
      <c r="DK10" t="e">
        <v>#VALUE!</v>
      </c>
      <c r="DL10" t="s">
        <v>627</v>
      </c>
      <c r="DM10">
        <v>3.1964111598208549E-2</v>
      </c>
      <c r="DN10">
        <v>-34886600</v>
      </c>
      <c r="DO10">
        <v>4.5663016568869355E-2</v>
      </c>
      <c r="DP10">
        <v>6406707200</v>
      </c>
      <c r="DQ10">
        <v>40447599.99999994</v>
      </c>
      <c r="DR10">
        <v>1921</v>
      </c>
      <c r="DS10">
        <v>2.0321167104600038E-2</v>
      </c>
      <c r="DT10">
        <v>-11.31646094198608</v>
      </c>
      <c r="DU10" s="25">
        <v>0.71666666666666667</v>
      </c>
      <c r="DV10">
        <v>-1.8483333333333334</v>
      </c>
      <c r="DW10">
        <v>-1.1316666666666668</v>
      </c>
      <c r="DX10">
        <v>-7.1721006054960412</v>
      </c>
      <c r="DY10">
        <v>0.37841879194630768</v>
      </c>
      <c r="DZ10">
        <v>-7.0358690002907132</v>
      </c>
      <c r="EA10">
        <v>4242</v>
      </c>
      <c r="EB10">
        <v>-7.0047595545264105</v>
      </c>
      <c r="EC10">
        <v>7</v>
      </c>
      <c r="ED10">
        <v>0.38996653418473382</v>
      </c>
      <c r="EE10">
        <v>1.8710718479032065</v>
      </c>
      <c r="EF10" s="26">
        <v>1.0943639999999999</v>
      </c>
      <c r="EG10">
        <v>1.073</v>
      </c>
      <c r="EH10">
        <v>17.208418791946308</v>
      </c>
      <c r="EI10" t="s">
        <v>464</v>
      </c>
      <c r="EJ10">
        <v>0</v>
      </c>
      <c r="EK10">
        <v>0</v>
      </c>
      <c r="EL10" s="27">
        <v>44890</v>
      </c>
      <c r="EM10" s="28">
        <v>1.8100000000000002E-2</v>
      </c>
      <c r="EN10" s="28">
        <v>-2.3400000000000001E-2</v>
      </c>
      <c r="EO10" s="28">
        <v>-9.74E-2</v>
      </c>
      <c r="EP10" s="28">
        <v>5.4600000000000003E-2</v>
      </c>
      <c r="EQ10" s="28">
        <v>-2.14</v>
      </c>
    </row>
    <row r="11" spans="1:147" x14ac:dyDescent="0.25">
      <c r="B11" s="21"/>
      <c r="C11" s="21"/>
      <c r="D11" s="21" t="e">
        <v>#VALUE!</v>
      </c>
      <c r="E11" t="s">
        <v>582</v>
      </c>
      <c r="F11" t="s">
        <v>583</v>
      </c>
      <c r="G11">
        <v>8.42</v>
      </c>
      <c r="H11">
        <v>-1.64</v>
      </c>
      <c r="I11" t="s">
        <v>584</v>
      </c>
      <c r="J11">
        <v>5516868900</v>
      </c>
      <c r="L11">
        <v>4.3899999999999997</v>
      </c>
      <c r="M11" t="s">
        <v>169</v>
      </c>
      <c r="N11" t="s">
        <v>793</v>
      </c>
      <c r="O11" t="s">
        <v>910</v>
      </c>
      <c r="P11" t="s">
        <v>911</v>
      </c>
      <c r="Q11">
        <v>534.91</v>
      </c>
      <c r="R11" t="s">
        <v>912</v>
      </c>
      <c r="S11">
        <v>-173774510</v>
      </c>
      <c r="T11" s="22">
        <v>-0.38469999999999999</v>
      </c>
      <c r="U11" t="s">
        <v>913</v>
      </c>
      <c r="V11">
        <v>118687659</v>
      </c>
      <c r="W11">
        <v>655210080</v>
      </c>
      <c r="X11">
        <v>1.17</v>
      </c>
      <c r="Y11">
        <v>0.03</v>
      </c>
      <c r="Z11">
        <v>-498.55</v>
      </c>
      <c r="AA11" t="s">
        <v>766</v>
      </c>
      <c r="AB11" t="s">
        <v>914</v>
      </c>
      <c r="AC11" t="s">
        <v>915</v>
      </c>
      <c r="AD11" t="s">
        <v>916</v>
      </c>
      <c r="AE11" t="s">
        <v>917</v>
      </c>
      <c r="AF11">
        <v>3057850</v>
      </c>
      <c r="AG11" t="s">
        <v>767</v>
      </c>
      <c r="AH11" t="s">
        <v>918</v>
      </c>
      <c r="AI11" t="s">
        <v>919</v>
      </c>
      <c r="AJ11" t="s">
        <v>920</v>
      </c>
      <c r="AK11" t="s">
        <v>921</v>
      </c>
      <c r="AL11" t="s">
        <v>206</v>
      </c>
      <c r="AM11" t="s">
        <v>922</v>
      </c>
      <c r="AN11" t="s">
        <v>206</v>
      </c>
      <c r="AO11" t="s">
        <v>923</v>
      </c>
      <c r="AP11" t="s">
        <v>924</v>
      </c>
      <c r="AQ11" t="s">
        <v>206</v>
      </c>
      <c r="AR11" t="s">
        <v>925</v>
      </c>
      <c r="AS11" t="s">
        <v>206</v>
      </c>
      <c r="AT11" t="s">
        <v>926</v>
      </c>
      <c r="AU11" t="s">
        <v>206</v>
      </c>
      <c r="AV11" t="s">
        <v>927</v>
      </c>
      <c r="AW11" t="s">
        <v>928</v>
      </c>
      <c r="AX11" t="s">
        <v>929</v>
      </c>
      <c r="AY11">
        <v>0</v>
      </c>
      <c r="AZ11">
        <v>0</v>
      </c>
      <c r="BA11" t="s">
        <v>930</v>
      </c>
      <c r="BB11" t="s">
        <v>206</v>
      </c>
      <c r="BC11" t="s">
        <v>206</v>
      </c>
      <c r="BD11" t="s">
        <v>931</v>
      </c>
      <c r="BE11" t="s">
        <v>932</v>
      </c>
      <c r="BF11" t="s">
        <v>933</v>
      </c>
      <c r="BG11" t="s">
        <v>206</v>
      </c>
      <c r="BH11" t="s">
        <v>206</v>
      </c>
      <c r="BI11" t="s">
        <v>934</v>
      </c>
      <c r="BJ11" t="s">
        <v>935</v>
      </c>
      <c r="BK11" t="s">
        <v>206</v>
      </c>
      <c r="BL11" t="s">
        <v>936</v>
      </c>
      <c r="BM11" t="s">
        <v>865</v>
      </c>
      <c r="BN11" t="s">
        <v>937</v>
      </c>
      <c r="BO11">
        <v>-18.989999999999998</v>
      </c>
      <c r="BP11">
        <v>-10.7</v>
      </c>
      <c r="BQ11">
        <v>-22.36</v>
      </c>
      <c r="BR11">
        <v>263.86</v>
      </c>
      <c r="BS11">
        <v>-12</v>
      </c>
      <c r="BT11" t="s">
        <v>206</v>
      </c>
      <c r="BU11" t="s">
        <v>206</v>
      </c>
      <c r="BV11" t="s">
        <v>229</v>
      </c>
      <c r="BW11">
        <v>82.49</v>
      </c>
      <c r="BX11" t="s">
        <v>206</v>
      </c>
      <c r="BY11" t="s">
        <v>206</v>
      </c>
      <c r="BZ11">
        <v>-528.63</v>
      </c>
      <c r="CA11" t="s">
        <v>206</v>
      </c>
      <c r="CB11" t="s">
        <v>206</v>
      </c>
      <c r="CC11">
        <v>-4.54</v>
      </c>
      <c r="CD11">
        <v>15.98</v>
      </c>
      <c r="CE11" t="s">
        <v>938</v>
      </c>
      <c r="CF11" t="s">
        <v>398</v>
      </c>
      <c r="CG11" s="23">
        <v>1.6364146887921456</v>
      </c>
      <c r="CH11" s="24">
        <v>-0.67816947405483463</v>
      </c>
      <c r="CI11" s="23" t="e">
        <v>#VALUE!</v>
      </c>
      <c r="CJ11" s="23" t="e">
        <v>#VALUE!</v>
      </c>
      <c r="CK11" s="23">
        <v>-1</v>
      </c>
      <c r="CL11" s="23" t="e">
        <v>#VALUE!</v>
      </c>
      <c r="CM11" s="23" t="e">
        <v>#VALUE!</v>
      </c>
      <c r="CN11" s="24">
        <v>-1.6179466247558594</v>
      </c>
      <c r="CO11" s="24">
        <v>0.24932870268821716</v>
      </c>
      <c r="CP11" s="24">
        <v>0.23333333432674408</v>
      </c>
      <c r="CQ11" s="24" t="e">
        <v>#VALUE!</v>
      </c>
      <c r="CR11" s="24" t="e">
        <v>#VALUE!</v>
      </c>
      <c r="CS11">
        <v>720.21787206266322</v>
      </c>
      <c r="CT11">
        <v>83672495.575221255</v>
      </c>
      <c r="CU11">
        <v>-17.499105</v>
      </c>
      <c r="CV11" s="23">
        <v>-1</v>
      </c>
      <c r="CW11" s="24">
        <v>-0.37842819591363269</v>
      </c>
      <c r="CX11">
        <v>0.06</v>
      </c>
      <c r="CY11" t="e">
        <v>#VALUE!</v>
      </c>
      <c r="CZ11" t="s">
        <v>626</v>
      </c>
      <c r="DA11">
        <v>-1</v>
      </c>
      <c r="DB11" t="e">
        <v>#VALUE!</v>
      </c>
      <c r="DC11" t="s">
        <v>627</v>
      </c>
      <c r="DD11">
        <v>-0.95</v>
      </c>
      <c r="DE11" t="e">
        <v>#VALUE!</v>
      </c>
      <c r="DF11" t="s">
        <v>627</v>
      </c>
      <c r="DG11">
        <v>-0.88</v>
      </c>
      <c r="DH11" t="e">
        <v>#VALUE!</v>
      </c>
      <c r="DI11" t="s">
        <v>627</v>
      </c>
      <c r="DJ11">
        <v>-0.8</v>
      </c>
      <c r="DK11" t="e">
        <v>#VALUE!</v>
      </c>
      <c r="DL11" t="s">
        <v>627</v>
      </c>
      <c r="DM11">
        <v>-0.7</v>
      </c>
      <c r="DN11">
        <v>-225999999.99999997</v>
      </c>
      <c r="DO11">
        <v>-1</v>
      </c>
      <c r="DP11">
        <v>4473868900</v>
      </c>
      <c r="DQ11">
        <v>1240580330</v>
      </c>
      <c r="DR11">
        <v>4713</v>
      </c>
      <c r="DS11">
        <v>2.6364146887921454</v>
      </c>
      <c r="DT11">
        <v>-0.29974127814120194</v>
      </c>
      <c r="DU11" s="25">
        <v>1.7999999999999998</v>
      </c>
      <c r="DV11">
        <v>-2.9675000000000002</v>
      </c>
      <c r="DW11">
        <v>-1.1675000000000004</v>
      </c>
      <c r="DX11">
        <v>-6.2212475633528266</v>
      </c>
      <c r="DY11">
        <v>0.33113714285714113</v>
      </c>
      <c r="DZ11">
        <v>-6.0378636758563076</v>
      </c>
      <c r="EA11">
        <v>4261</v>
      </c>
      <c r="EB11">
        <v>-6.0048771449170877</v>
      </c>
      <c r="EC11">
        <v>6</v>
      </c>
      <c r="ED11">
        <v>7.3134405990823589E-2</v>
      </c>
      <c r="EE11">
        <v>0.42734385282961457</v>
      </c>
      <c r="EF11" s="26">
        <v>8.5719999999999998E-3</v>
      </c>
      <c r="EG11">
        <v>7.8099999999999975E-3</v>
      </c>
      <c r="EH11">
        <v>16.171137142857141</v>
      </c>
      <c r="EI11">
        <v>-1</v>
      </c>
      <c r="EJ11">
        <v>0</v>
      </c>
      <c r="EK11">
        <v>0</v>
      </c>
      <c r="EL11" s="27">
        <v>44890</v>
      </c>
      <c r="EM11" s="28">
        <v>9.1000000000000004E-3</v>
      </c>
      <c r="EN11" s="28">
        <v>1.6899999999999998E-2</v>
      </c>
      <c r="EO11" s="28">
        <v>-2.2100000000000002E-2</v>
      </c>
      <c r="EP11" s="28">
        <v>-3.2800000000000003E-2</v>
      </c>
      <c r="EQ11" s="28">
        <v>-1.64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251460</xdr:colOff>
                    <xdr:row>1</xdr:row>
                    <xdr:rowOff>137160</xdr:rowOff>
                  </from>
                  <to>
                    <xdr:col>1</xdr:col>
                    <xdr:colOff>1188720</xdr:colOff>
                    <xdr:row>1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5546875" customWidth="1"/>
    <col min="19" max="19" width="12.88671875" customWidth="1"/>
  </cols>
  <sheetData>
    <row r="1" spans="1:32" s="5" customFormat="1" ht="57.6" x14ac:dyDescent="0.25">
      <c r="A1" s="4" t="s">
        <v>16</v>
      </c>
      <c r="B1" s="5" t="s">
        <v>20</v>
      </c>
      <c r="C1" s="5" t="s">
        <v>17</v>
      </c>
      <c r="D1" s="5" t="s">
        <v>21</v>
      </c>
      <c r="E1" s="6" t="s">
        <v>18</v>
      </c>
      <c r="F1" s="6" t="s">
        <v>19</v>
      </c>
      <c r="G1" s="6" t="s">
        <v>27</v>
      </c>
      <c r="H1" s="6" t="s">
        <v>22</v>
      </c>
      <c r="I1" s="6" t="s">
        <v>23</v>
      </c>
      <c r="J1" s="6" t="s">
        <v>24</v>
      </c>
      <c r="K1" s="6" t="s">
        <v>25</v>
      </c>
      <c r="L1" s="5" t="s">
        <v>26</v>
      </c>
      <c r="M1" s="5" t="s">
        <v>28</v>
      </c>
      <c r="N1" s="5" t="s">
        <v>29</v>
      </c>
      <c r="O1" s="5" t="s">
        <v>30</v>
      </c>
      <c r="P1" s="5" t="s">
        <v>31</v>
      </c>
      <c r="Q1" s="5" t="s">
        <v>32</v>
      </c>
      <c r="R1" s="9" t="s">
        <v>33</v>
      </c>
      <c r="S1" s="5" t="s">
        <v>34</v>
      </c>
      <c r="T1" s="5" t="s">
        <v>35</v>
      </c>
      <c r="U1" s="5" t="s">
        <v>36</v>
      </c>
      <c r="V1" s="5" t="s">
        <v>37</v>
      </c>
      <c r="W1" s="5" t="s">
        <v>38</v>
      </c>
      <c r="X1" s="5" t="s">
        <v>39</v>
      </c>
      <c r="Y1" s="5" t="s">
        <v>40</v>
      </c>
      <c r="Z1" s="5" t="s">
        <v>41</v>
      </c>
      <c r="AA1" s="5" t="s">
        <v>42</v>
      </c>
      <c r="AB1" s="5" t="s">
        <v>43</v>
      </c>
      <c r="AC1" s="5" t="s">
        <v>44</v>
      </c>
      <c r="AD1" s="13" t="s">
        <v>45</v>
      </c>
      <c r="AE1" s="5" t="s">
        <v>46</v>
      </c>
      <c r="AF1" s="5" t="s">
        <v>47</v>
      </c>
    </row>
    <row r="2" spans="1:32" x14ac:dyDescent="0.25">
      <c r="A2" s="2">
        <v>1</v>
      </c>
      <c r="B2">
        <v>1</v>
      </c>
      <c r="C2" s="3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7">
        <v>7.06</v>
      </c>
      <c r="I2" s="8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3">
        <v>0.37</v>
      </c>
      <c r="U2" s="3">
        <v>0.06</v>
      </c>
      <c r="V2">
        <f>SUM($R$2:R2)</f>
        <v>7.06</v>
      </c>
      <c r="W2" s="2">
        <f>X2-Y2</f>
        <v>474.26</v>
      </c>
      <c r="X2" s="12">
        <f>579-579*10%</f>
        <v>521.1</v>
      </c>
      <c r="Y2" s="12">
        <f>57.79-10.95</f>
        <v>46.84</v>
      </c>
      <c r="Z2">
        <f>$W$2/S2</f>
        <v>67.175637393767701</v>
      </c>
      <c r="AA2" s="3">
        <v>0.3</v>
      </c>
      <c r="AB2">
        <f>S2/AA2</f>
        <v>23.533333333333331</v>
      </c>
      <c r="AC2">
        <f>AC3*(1-$U$2)</f>
        <v>222.37291878719995</v>
      </c>
      <c r="AD2" s="3">
        <v>0</v>
      </c>
      <c r="AE2">
        <f>AC2*AD2</f>
        <v>0</v>
      </c>
      <c r="AF2">
        <f>IF(AB2&gt;AE2, 1, 0)</f>
        <v>1</v>
      </c>
    </row>
    <row r="3" spans="1:32" x14ac:dyDescent="0.25">
      <c r="A3" s="2">
        <v>2</v>
      </c>
      <c r="B3">
        <f>B2+B2*C2</f>
        <v>1.08</v>
      </c>
      <c r="C3" s="3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3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3">
        <v>0.3</v>
      </c>
      <c r="AB3">
        <f t="shared" ref="AB3:AB66" si="1">S3/AA3</f>
        <v>32.240666666666669</v>
      </c>
      <c r="AC3">
        <f>AC4*(1-$U$2)</f>
        <v>236.56693487999996</v>
      </c>
      <c r="AD3" s="3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x14ac:dyDescent="0.25">
      <c r="A4" s="2">
        <v>3</v>
      </c>
      <c r="B4">
        <f t="shared" ref="B4:B51" si="4">B3+B3*C3</f>
        <v>1.1664000000000001</v>
      </c>
      <c r="C4" s="3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3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3">
        <v>0.3</v>
      </c>
      <c r="AB4">
        <f t="shared" si="1"/>
        <v>44.169713333333341</v>
      </c>
      <c r="AC4">
        <f>AC5*(1-$U$2)</f>
        <v>251.66695199999998</v>
      </c>
      <c r="AD4" s="3">
        <v>0.15</v>
      </c>
      <c r="AE4">
        <f t="shared" si="2"/>
        <v>37.750042799999996</v>
      </c>
      <c r="AF4">
        <f t="shared" si="3"/>
        <v>1</v>
      </c>
    </row>
    <row r="5" spans="1:32" x14ac:dyDescent="0.25">
      <c r="A5" s="2">
        <v>4</v>
      </c>
      <c r="B5">
        <f t="shared" si="4"/>
        <v>1.2597120000000002</v>
      </c>
      <c r="C5" s="3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3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3">
        <v>0.3</v>
      </c>
      <c r="AB5">
        <f t="shared" si="1"/>
        <v>60.512507266666688</v>
      </c>
      <c r="AC5">
        <f>AC6*(1-$U$2)</f>
        <v>267.73079999999999</v>
      </c>
      <c r="AD5" s="3">
        <v>0.15</v>
      </c>
      <c r="AE5">
        <f t="shared" si="2"/>
        <v>40.159619999999997</v>
      </c>
      <c r="AF5">
        <f t="shared" si="3"/>
        <v>1</v>
      </c>
    </row>
    <row r="6" spans="1:32" x14ac:dyDescent="0.25">
      <c r="A6" s="2">
        <v>5</v>
      </c>
      <c r="B6">
        <f t="shared" si="4"/>
        <v>1.3604889600000001</v>
      </c>
      <c r="C6" s="3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3">
        <v>0.37</v>
      </c>
      <c r="V6">
        <f>SUM($R$2:R6)</f>
        <v>62.920100387891438</v>
      </c>
      <c r="W6" s="10">
        <f t="shared" si="8"/>
        <v>0.13267005521842754</v>
      </c>
      <c r="Z6">
        <f t="shared" si="0"/>
        <v>19.06907062789659</v>
      </c>
      <c r="AA6" s="3">
        <v>0.3</v>
      </c>
      <c r="AB6">
        <f t="shared" si="1"/>
        <v>82.902134955333366</v>
      </c>
      <c r="AC6">
        <f>AC7*(1-$U$2)</f>
        <v>284.82</v>
      </c>
      <c r="AD6" s="3">
        <v>0.2</v>
      </c>
      <c r="AE6">
        <f t="shared" si="2"/>
        <v>56.963999999999999</v>
      </c>
      <c r="AF6">
        <f t="shared" si="3"/>
        <v>1</v>
      </c>
    </row>
    <row r="7" spans="1:32" x14ac:dyDescent="0.25">
      <c r="A7" s="2">
        <v>6</v>
      </c>
      <c r="B7">
        <f t="shared" si="4"/>
        <v>1.4693280768000001</v>
      </c>
      <c r="C7" s="3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3">
        <v>0.37</v>
      </c>
      <c r="V7">
        <f>SUM($R$2:R7)</f>
        <v>88.381261822086103</v>
      </c>
      <c r="W7" s="11">
        <f t="shared" si="8"/>
        <v>0.18635613760824465</v>
      </c>
      <c r="Z7">
        <f t="shared" si="0"/>
        <v>13.919029655398969</v>
      </c>
      <c r="AA7" s="3">
        <v>0.3</v>
      </c>
      <c r="AB7">
        <f t="shared" si="1"/>
        <v>113.57592488880672</v>
      </c>
      <c r="AC7">
        <v>303</v>
      </c>
      <c r="AD7" s="3">
        <v>0.2</v>
      </c>
      <c r="AE7">
        <f t="shared" si="2"/>
        <v>60.6</v>
      </c>
      <c r="AF7">
        <f t="shared" si="3"/>
        <v>1</v>
      </c>
    </row>
    <row r="8" spans="1:32" x14ac:dyDescent="0.25">
      <c r="A8" s="2">
        <v>7</v>
      </c>
      <c r="B8">
        <f t="shared" si="4"/>
        <v>1.5868743229440001</v>
      </c>
      <c r="C8" s="3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3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3">
        <v>0.3</v>
      </c>
      <c r="AB8">
        <f t="shared" si="1"/>
        <v>155.59901709766521</v>
      </c>
      <c r="AC8">
        <f t="shared" ref="AC8:AC67" si="10">AC7*(1+$U$2)</f>
        <v>321.18</v>
      </c>
      <c r="AD8" s="3">
        <v>0.2</v>
      </c>
      <c r="AE8">
        <f t="shared" si="2"/>
        <v>64.236000000000004</v>
      </c>
      <c r="AF8">
        <f t="shared" si="3"/>
        <v>1</v>
      </c>
    </row>
    <row r="9" spans="1:32" x14ac:dyDescent="0.25">
      <c r="A9" s="2">
        <v>8</v>
      </c>
      <c r="B9">
        <f t="shared" si="4"/>
        <v>1.7138242687795202</v>
      </c>
      <c r="C9" s="3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3">
        <v>0.1</v>
      </c>
      <c r="V9">
        <f>SUM($R$2:R9)</f>
        <v>163.81980982010805</v>
      </c>
      <c r="W9" s="10">
        <f t="shared" si="8"/>
        <v>0.34542194117173713</v>
      </c>
      <c r="Z9">
        <f t="shared" si="0"/>
        <v>7.4159676356752984</v>
      </c>
      <c r="AA9" s="3">
        <v>0.3</v>
      </c>
      <c r="AB9">
        <f t="shared" si="1"/>
        <v>213.17065342380135</v>
      </c>
      <c r="AC9">
        <f t="shared" si="10"/>
        <v>340.45080000000002</v>
      </c>
      <c r="AD9" s="3">
        <v>0.2</v>
      </c>
      <c r="AE9">
        <f t="shared" si="2"/>
        <v>68.090160000000012</v>
      </c>
      <c r="AF9" s="2">
        <f t="shared" si="3"/>
        <v>1</v>
      </c>
    </row>
    <row r="10" spans="1:32" x14ac:dyDescent="0.25">
      <c r="A10" s="2">
        <v>9</v>
      </c>
      <c r="B10">
        <f t="shared" si="4"/>
        <v>1.8509302102818819</v>
      </c>
      <c r="C10" s="3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3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3">
        <v>0.3</v>
      </c>
      <c r="AB10">
        <f t="shared" si="1"/>
        <v>234.4877187661815</v>
      </c>
      <c r="AC10">
        <f t="shared" si="10"/>
        <v>360.87784800000003</v>
      </c>
      <c r="AD10" s="3">
        <v>0.2</v>
      </c>
      <c r="AE10">
        <f t="shared" si="2"/>
        <v>72.175569600000003</v>
      </c>
      <c r="AF10" s="1">
        <f t="shared" si="3"/>
        <v>1</v>
      </c>
    </row>
    <row r="11" spans="1:32" x14ac:dyDescent="0.25">
      <c r="A11" s="2">
        <v>10</v>
      </c>
      <c r="B11">
        <f t="shared" si="4"/>
        <v>1.9990046271044324</v>
      </c>
      <c r="C11" s="3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3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3">
        <v>0.3</v>
      </c>
      <c r="AB11">
        <f t="shared" si="1"/>
        <v>257.9364906427997</v>
      </c>
      <c r="AC11">
        <f t="shared" si="10"/>
        <v>382.53051888000005</v>
      </c>
      <c r="AD11" s="3">
        <v>0.2</v>
      </c>
      <c r="AE11">
        <f t="shared" si="2"/>
        <v>76.506103776000018</v>
      </c>
      <c r="AF11">
        <f t="shared" si="3"/>
        <v>1</v>
      </c>
    </row>
    <row r="12" spans="1:32" x14ac:dyDescent="0.25">
      <c r="A12" s="2">
        <v>11</v>
      </c>
      <c r="B12">
        <f t="shared" si="4"/>
        <v>2.1589249972727869</v>
      </c>
      <c r="C12" s="3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3">
        <v>0.08</v>
      </c>
      <c r="V12">
        <f>SUM($R$2:R12)</f>
        <v>301.28765069428454</v>
      </c>
      <c r="W12" s="11">
        <f t="shared" si="8"/>
        <v>0.6352794895084648</v>
      </c>
      <c r="Z12">
        <f t="shared" si="0"/>
        <v>5.5717262476899307</v>
      </c>
      <c r="AA12" s="3">
        <v>0.3</v>
      </c>
      <c r="AB12">
        <f t="shared" si="1"/>
        <v>283.73013970707967</v>
      </c>
      <c r="AC12">
        <f t="shared" si="10"/>
        <v>405.48235001280005</v>
      </c>
      <c r="AD12" s="3">
        <v>0.2</v>
      </c>
      <c r="AE12">
        <f t="shared" si="2"/>
        <v>81.096470002560011</v>
      </c>
      <c r="AF12" s="1">
        <f t="shared" si="3"/>
        <v>1</v>
      </c>
    </row>
    <row r="13" spans="1:32" x14ac:dyDescent="0.25">
      <c r="A13" s="2">
        <v>12</v>
      </c>
      <c r="B13">
        <f t="shared" si="4"/>
        <v>2.3316389970546099</v>
      </c>
      <c r="C13" s="3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3">
        <v>0.08</v>
      </c>
      <c r="V13">
        <f>SUM($R$2:R13)</f>
        <v>349.71447210308537</v>
      </c>
      <c r="W13" s="11">
        <f t="shared" si="8"/>
        <v>0.73738976954220337</v>
      </c>
      <c r="Z13">
        <f t="shared" si="0"/>
        <v>5.1590057848980839</v>
      </c>
      <c r="AA13" s="3">
        <v>0.3</v>
      </c>
      <c r="AB13">
        <f t="shared" si="1"/>
        <v>306.42855088364604</v>
      </c>
      <c r="AC13">
        <f t="shared" si="10"/>
        <v>429.81129101356805</v>
      </c>
      <c r="AD13" s="3">
        <v>0.2</v>
      </c>
      <c r="AE13">
        <f t="shared" si="2"/>
        <v>85.962258202713613</v>
      </c>
      <c r="AF13">
        <f t="shared" si="3"/>
        <v>1</v>
      </c>
    </row>
    <row r="14" spans="1:32" x14ac:dyDescent="0.25">
      <c r="A14" s="2">
        <v>13</v>
      </c>
      <c r="B14">
        <f t="shared" si="4"/>
        <v>2.5181701168189785</v>
      </c>
      <c r="C14" s="3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3">
        <v>0.08</v>
      </c>
      <c r="V14">
        <f>SUM($R$2:R14)</f>
        <v>399.055007123373</v>
      </c>
      <c r="W14" s="11">
        <f t="shared" si="8"/>
        <v>0.84142665863318222</v>
      </c>
      <c r="Z14">
        <f>$W$2/S14</f>
        <v>4.7768572082389662</v>
      </c>
      <c r="AA14" s="3">
        <v>0.3</v>
      </c>
      <c r="AB14">
        <f>S14/AA14</f>
        <v>330.94283495433774</v>
      </c>
      <c r="AC14">
        <f t="shared" si="10"/>
        <v>455.59996847438214</v>
      </c>
      <c r="AD14" s="3">
        <v>0.2</v>
      </c>
      <c r="AE14">
        <f t="shared" si="2"/>
        <v>91.119993694876428</v>
      </c>
      <c r="AF14">
        <f t="shared" si="3"/>
        <v>1</v>
      </c>
    </row>
    <row r="15" spans="1:32" x14ac:dyDescent="0.25">
      <c r="A15" s="2">
        <v>14</v>
      </c>
      <c r="B15">
        <f t="shared" si="4"/>
        <v>2.7196237261644969</v>
      </c>
      <c r="C15" s="3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3">
        <v>0.08</v>
      </c>
      <c r="V15">
        <f>SUM($R$2:R15)</f>
        <v>449.3264956346095</v>
      </c>
      <c r="W15" s="11">
        <f t="shared" si="8"/>
        <v>0.94742650789568905</v>
      </c>
      <c r="Z15">
        <f t="shared" ref="Z15:Z78" si="11">$W$2/S15</f>
        <v>4.4230159335545975</v>
      </c>
      <c r="AA15" s="3">
        <v>0.3</v>
      </c>
      <c r="AB15">
        <f t="shared" si="1"/>
        <v>357.41826175068479</v>
      </c>
      <c r="AC15">
        <f t="shared" si="10"/>
        <v>482.93596658284508</v>
      </c>
      <c r="AD15" s="3">
        <v>0.2</v>
      </c>
      <c r="AE15">
        <f t="shared" si="2"/>
        <v>96.587193316569028</v>
      </c>
      <c r="AF15">
        <f t="shared" si="3"/>
        <v>1</v>
      </c>
    </row>
    <row r="16" spans="1:32" x14ac:dyDescent="0.25">
      <c r="A16" s="2">
        <v>15</v>
      </c>
      <c r="B16">
        <f t="shared" si="4"/>
        <v>2.9371936242576568</v>
      </c>
      <c r="C16" s="3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3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3">
        <v>0.3</v>
      </c>
      <c r="AB16">
        <f t="shared" si="1"/>
        <v>386.01172269073959</v>
      </c>
      <c r="AC16">
        <f t="shared" si="10"/>
        <v>511.9121245778158</v>
      </c>
      <c r="AD16" s="3">
        <v>0.2</v>
      </c>
      <c r="AE16">
        <f t="shared" si="2"/>
        <v>102.38242491556316</v>
      </c>
      <c r="AF16">
        <f t="shared" si="3"/>
        <v>1</v>
      </c>
    </row>
    <row r="17" spans="1:32" x14ac:dyDescent="0.25">
      <c r="A17" s="2">
        <v>16</v>
      </c>
      <c r="B17">
        <f t="shared" si="4"/>
        <v>3.1721691141982693</v>
      </c>
      <c r="C17" s="3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3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3">
        <v>0.3</v>
      </c>
      <c r="AB17">
        <f t="shared" si="1"/>
        <v>416.89266050599878</v>
      </c>
      <c r="AC17">
        <f t="shared" si="10"/>
        <v>542.62685205248476</v>
      </c>
      <c r="AD17" s="3">
        <v>0.2</v>
      </c>
      <c r="AE17">
        <f t="shared" si="2"/>
        <v>108.52537041049696</v>
      </c>
      <c r="AF17">
        <f t="shared" si="3"/>
        <v>1</v>
      </c>
    </row>
    <row r="18" spans="1:32" x14ac:dyDescent="0.25">
      <c r="A18" s="2">
        <v>17</v>
      </c>
      <c r="B18">
        <f t="shared" si="4"/>
        <v>3.4259426433341309</v>
      </c>
      <c r="C18" s="3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3">
        <v>0.08</v>
      </c>
      <c r="V18">
        <f>SUM($R$2:R18)</f>
        <v>605.90399705983532</v>
      </c>
      <c r="W18" s="11">
        <f t="shared" si="8"/>
        <v>1.2775776937963044</v>
      </c>
      <c r="Z18">
        <f t="shared" si="11"/>
        <v>3.5111326506015637</v>
      </c>
      <c r="AA18" s="3">
        <v>0.3</v>
      </c>
      <c r="AB18">
        <f t="shared" si="1"/>
        <v>450.24407334647873</v>
      </c>
      <c r="AC18">
        <f t="shared" si="10"/>
        <v>575.18446317563382</v>
      </c>
      <c r="AD18" s="3">
        <v>0.2</v>
      </c>
      <c r="AE18">
        <f t="shared" si="2"/>
        <v>115.03689263512678</v>
      </c>
      <c r="AF18">
        <f t="shared" si="3"/>
        <v>1</v>
      </c>
    </row>
    <row r="19" spans="1:32" x14ac:dyDescent="0.25">
      <c r="A19" s="2">
        <v>18</v>
      </c>
      <c r="B19">
        <f t="shared" si="4"/>
        <v>3.7000180548008612</v>
      </c>
      <c r="C19" s="3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3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3">
        <v>0.3</v>
      </c>
      <c r="AB19">
        <f t="shared" si="1"/>
        <v>486.26359921419703</v>
      </c>
      <c r="AC19">
        <f t="shared" si="10"/>
        <v>609.69553096617187</v>
      </c>
      <c r="AD19" s="3">
        <v>0.2</v>
      </c>
      <c r="AE19">
        <f t="shared" si="2"/>
        <v>121.93910619323438</v>
      </c>
      <c r="AF19">
        <f t="shared" si="3"/>
        <v>1</v>
      </c>
    </row>
    <row r="20" spans="1:32" x14ac:dyDescent="0.25">
      <c r="A20" s="2">
        <v>19</v>
      </c>
      <c r="B20">
        <f t="shared" si="4"/>
        <v>3.9960194991849303</v>
      </c>
      <c r="C20" s="3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3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3">
        <v>0.3</v>
      </c>
      <c r="AB20">
        <f t="shared" si="1"/>
        <v>525.16468715133283</v>
      </c>
      <c r="AC20">
        <f t="shared" si="10"/>
        <v>646.27726282414221</v>
      </c>
      <c r="AD20" s="3">
        <v>0.2</v>
      </c>
      <c r="AE20">
        <f t="shared" si="2"/>
        <v>129.25545256482846</v>
      </c>
      <c r="AF20">
        <f t="shared" si="3"/>
        <v>1</v>
      </c>
    </row>
    <row r="21" spans="1:32" x14ac:dyDescent="0.25">
      <c r="A21" s="2">
        <v>20</v>
      </c>
      <c r="B21">
        <f t="shared" si="4"/>
        <v>4.3157010591197249</v>
      </c>
      <c r="C21" s="3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3">
        <v>0.08</v>
      </c>
      <c r="V21">
        <f>SUM($R$2:R21)</f>
        <v>771.51265175076651</v>
      </c>
      <c r="W21" s="10">
        <f t="shared" si="8"/>
        <v>1.626771500338984</v>
      </c>
      <c r="Z21">
        <f t="shared" si="11"/>
        <v>2.7872503005461273</v>
      </c>
      <c r="AA21" s="3">
        <v>0.3</v>
      </c>
      <c r="AB21">
        <f t="shared" si="1"/>
        <v>567.17786212343947</v>
      </c>
      <c r="AC21">
        <f t="shared" si="10"/>
        <v>685.05389859359082</v>
      </c>
      <c r="AD21" s="3">
        <v>0.2</v>
      </c>
      <c r="AE21">
        <f t="shared" si="2"/>
        <v>137.01077971871817</v>
      </c>
      <c r="AF21">
        <f t="shared" si="3"/>
        <v>1</v>
      </c>
    </row>
    <row r="22" spans="1:32" x14ac:dyDescent="0.25">
      <c r="A22" s="2">
        <v>21</v>
      </c>
      <c r="B22">
        <f t="shared" si="4"/>
        <v>4.6609571438493029</v>
      </c>
      <c r="C22" s="3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3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3">
        <v>0.3</v>
      </c>
      <c r="AB22">
        <f t="shared" si="1"/>
        <v>612.55209109331463</v>
      </c>
      <c r="AC22">
        <f t="shared" si="10"/>
        <v>726.15713250920635</v>
      </c>
      <c r="AD22" s="3">
        <v>0.2</v>
      </c>
      <c r="AE22">
        <f t="shared" si="2"/>
        <v>145.23142650184127</v>
      </c>
      <c r="AF22">
        <f t="shared" si="3"/>
        <v>1</v>
      </c>
    </row>
    <row r="23" spans="1:32" x14ac:dyDescent="0.25">
      <c r="A23" s="2">
        <v>22</v>
      </c>
      <c r="B23">
        <f t="shared" si="4"/>
        <v>5.0338337153572468</v>
      </c>
      <c r="C23" s="3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3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3">
        <v>0.3</v>
      </c>
      <c r="AB23">
        <f t="shared" si="1"/>
        <v>661.55625838077992</v>
      </c>
      <c r="AC23">
        <f t="shared" si="10"/>
        <v>769.72656045975873</v>
      </c>
      <c r="AD23" s="3">
        <v>0.2</v>
      </c>
      <c r="AE23">
        <f t="shared" si="2"/>
        <v>153.94531209195176</v>
      </c>
      <c r="AF23">
        <f t="shared" si="3"/>
        <v>1</v>
      </c>
    </row>
    <row r="24" spans="1:32" x14ac:dyDescent="0.25">
      <c r="A24" s="2">
        <v>23</v>
      </c>
      <c r="B24">
        <f t="shared" si="4"/>
        <v>5.4365404125858268</v>
      </c>
      <c r="C24" s="3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3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3">
        <v>0.3</v>
      </c>
      <c r="AB24">
        <f t="shared" si="1"/>
        <v>714.48075905124244</v>
      </c>
      <c r="AC24">
        <f t="shared" si="10"/>
        <v>815.91015408734427</v>
      </c>
      <c r="AD24" s="3">
        <v>0.2</v>
      </c>
      <c r="AE24">
        <f t="shared" si="2"/>
        <v>163.18203081746887</v>
      </c>
      <c r="AF24">
        <f t="shared" si="3"/>
        <v>1</v>
      </c>
    </row>
    <row r="25" spans="1:32" x14ac:dyDescent="0.25">
      <c r="A25" s="2">
        <v>24</v>
      </c>
      <c r="B25">
        <f t="shared" si="4"/>
        <v>5.8714636455926925</v>
      </c>
      <c r="C25" s="3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3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3">
        <v>0.3</v>
      </c>
      <c r="AB25">
        <f t="shared" si="1"/>
        <v>771.63921977534176</v>
      </c>
      <c r="AC25">
        <f t="shared" si="10"/>
        <v>864.86476333258497</v>
      </c>
      <c r="AD25" s="3">
        <v>0.2</v>
      </c>
      <c r="AE25">
        <f t="shared" si="2"/>
        <v>172.97295266651702</v>
      </c>
      <c r="AF25">
        <f t="shared" si="3"/>
        <v>1</v>
      </c>
    </row>
    <row r="26" spans="1:32" x14ac:dyDescent="0.25">
      <c r="A26" s="2">
        <v>25</v>
      </c>
      <c r="B26">
        <f t="shared" si="4"/>
        <v>6.3411807372401077</v>
      </c>
      <c r="C26" s="3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3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3">
        <v>0.3</v>
      </c>
      <c r="AB26">
        <f t="shared" si="1"/>
        <v>833.37035735736924</v>
      </c>
      <c r="AC26">
        <f t="shared" si="10"/>
        <v>916.75664913254013</v>
      </c>
      <c r="AD26" s="3">
        <v>0.2</v>
      </c>
      <c r="AE26">
        <f t="shared" si="2"/>
        <v>183.35132982650805</v>
      </c>
      <c r="AF26">
        <f t="shared" si="3"/>
        <v>1</v>
      </c>
    </row>
    <row r="27" spans="1:32" x14ac:dyDescent="0.25">
      <c r="A27" s="2">
        <v>26</v>
      </c>
      <c r="B27">
        <f t="shared" si="4"/>
        <v>6.848475196219316</v>
      </c>
      <c r="C27" s="3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3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3">
        <v>0.3</v>
      </c>
      <c r="AB27">
        <f t="shared" si="1"/>
        <v>900.03998594595885</v>
      </c>
      <c r="AC27">
        <f t="shared" si="10"/>
        <v>971.7620480804926</v>
      </c>
      <c r="AD27" s="3">
        <v>0.2</v>
      </c>
      <c r="AE27">
        <f t="shared" si="2"/>
        <v>194.35240961609853</v>
      </c>
      <c r="AF27">
        <f t="shared" si="3"/>
        <v>1</v>
      </c>
    </row>
    <row r="28" spans="1:32" x14ac:dyDescent="0.25">
      <c r="A28" s="2">
        <v>27</v>
      </c>
      <c r="B28">
        <f t="shared" si="4"/>
        <v>7.3963532119168613</v>
      </c>
      <c r="C28" s="3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3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3">
        <v>0.3</v>
      </c>
      <c r="AB28">
        <f t="shared" si="1"/>
        <v>972.04318482163558</v>
      </c>
      <c r="AC28">
        <f t="shared" si="10"/>
        <v>1030.0677709653223</v>
      </c>
      <c r="AD28" s="3">
        <v>0.2</v>
      </c>
      <c r="AE28">
        <f t="shared" si="2"/>
        <v>206.01355419306446</v>
      </c>
      <c r="AF28">
        <f t="shared" si="3"/>
        <v>1</v>
      </c>
    </row>
    <row r="29" spans="1:32" x14ac:dyDescent="0.25">
      <c r="A29" s="2">
        <v>28</v>
      </c>
      <c r="B29">
        <f t="shared" si="4"/>
        <v>7.9880614688702103</v>
      </c>
      <c r="C29" s="3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3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3">
        <v>0.3</v>
      </c>
      <c r="AB29">
        <f t="shared" si="1"/>
        <v>1049.8066396073666</v>
      </c>
      <c r="AC29">
        <f t="shared" si="10"/>
        <v>1091.8718372232418</v>
      </c>
      <c r="AD29" s="3">
        <v>0.2</v>
      </c>
      <c r="AE29">
        <f t="shared" si="2"/>
        <v>218.37436744464836</v>
      </c>
      <c r="AF29">
        <f t="shared" si="3"/>
        <v>1</v>
      </c>
    </row>
    <row r="30" spans="1:32" x14ac:dyDescent="0.25">
      <c r="A30" s="2">
        <v>29</v>
      </c>
      <c r="B30">
        <f t="shared" si="4"/>
        <v>8.6271063863798272</v>
      </c>
      <c r="C30" s="3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3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3">
        <v>0.3</v>
      </c>
      <c r="AB30">
        <f t="shared" si="1"/>
        <v>1133.7911707759561</v>
      </c>
      <c r="AC30">
        <f t="shared" si="10"/>
        <v>1157.3841474566364</v>
      </c>
      <c r="AD30" s="3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3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3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3">
        <v>0.3</v>
      </c>
      <c r="AB31">
        <f t="shared" si="1"/>
        <v>1224.4944644380325</v>
      </c>
      <c r="AC31">
        <f t="shared" si="10"/>
        <v>1226.8271963040345</v>
      </c>
      <c r="AD31" s="3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3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3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3">
        <v>0.3</v>
      </c>
      <c r="AB32">
        <f t="shared" si="1"/>
        <v>1322.4540215930754</v>
      </c>
      <c r="AC32">
        <f t="shared" si="10"/>
        <v>1300.4368280822766</v>
      </c>
      <c r="AD32" s="3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3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3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3">
        <v>0.3</v>
      </c>
      <c r="AB33">
        <f t="shared" si="1"/>
        <v>1428.2503433205213</v>
      </c>
      <c r="AC33">
        <f t="shared" si="10"/>
        <v>1378.4630377672133</v>
      </c>
      <c r="AD33" s="3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3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3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3">
        <v>0.3</v>
      </c>
      <c r="AB34">
        <f t="shared" si="1"/>
        <v>1542.5103707861633</v>
      </c>
      <c r="AC34">
        <f t="shared" si="10"/>
        <v>1461.1708200332462</v>
      </c>
      <c r="AD34" s="3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3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3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3">
        <v>0.3</v>
      </c>
      <c r="AB35">
        <f t="shared" si="1"/>
        <v>1665.9112004490564</v>
      </c>
      <c r="AC35">
        <f t="shared" si="10"/>
        <v>1548.8410692352411</v>
      </c>
      <c r="AD35" s="3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3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3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3">
        <v>0.3</v>
      </c>
      <c r="AB36">
        <f t="shared" si="1"/>
        <v>1799.1840964849812</v>
      </c>
      <c r="AC36">
        <f t="shared" si="10"/>
        <v>1641.7715333893557</v>
      </c>
      <c r="AD36" s="3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3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3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3">
        <v>0.3</v>
      </c>
      <c r="AB37">
        <f t="shared" si="1"/>
        <v>1943.1188242037797</v>
      </c>
      <c r="AC37">
        <f t="shared" si="10"/>
        <v>1740.2778253927172</v>
      </c>
      <c r="AD37" s="3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3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3">
        <v>0.08</v>
      </c>
      <c r="V38">
        <f>SUM($R$2:R38)</f>
        <v>1907.4604458080742</v>
      </c>
      <c r="W38" s="11">
        <f t="shared" si="8"/>
        <v>4.0219720107284491</v>
      </c>
      <c r="Z38">
        <f t="shared" si="11"/>
        <v>0.75330721614441876</v>
      </c>
      <c r="AA38" s="3">
        <v>0.3</v>
      </c>
      <c r="AB38">
        <f t="shared" si="1"/>
        <v>2098.5683301400823</v>
      </c>
      <c r="AC38">
        <f t="shared" si="10"/>
        <v>1844.6944949162803</v>
      </c>
      <c r="AD38" s="3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3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3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3">
        <v>0.3</v>
      </c>
      <c r="AB39">
        <f t="shared" si="1"/>
        <v>2266.4537965512886</v>
      </c>
      <c r="AC39">
        <f t="shared" si="10"/>
        <v>1955.3761646112573</v>
      </c>
      <c r="AD39" s="3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3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3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3">
        <v>0.3</v>
      </c>
      <c r="AB40">
        <f t="shared" si="1"/>
        <v>2447.770100275392</v>
      </c>
      <c r="AC40">
        <f t="shared" si="10"/>
        <v>2072.6987344879331</v>
      </c>
      <c r="AD40" s="3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3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3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3">
        <v>0.3</v>
      </c>
      <c r="AB41">
        <f t="shared" si="1"/>
        <v>2643.5917082974233</v>
      </c>
      <c r="AC41">
        <f t="shared" si="10"/>
        <v>2197.0606585572091</v>
      </c>
      <c r="AD41" s="3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3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3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3">
        <v>0.3</v>
      </c>
      <c r="AB42">
        <f t="shared" si="1"/>
        <v>2855.0790449612173</v>
      </c>
      <c r="AC42">
        <f t="shared" si="10"/>
        <v>2328.8842980706418</v>
      </c>
      <c r="AD42" s="3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3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3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3">
        <v>0.3</v>
      </c>
      <c r="AB43">
        <f t="shared" si="1"/>
        <v>3083.4853685581147</v>
      </c>
      <c r="AC43">
        <f t="shared" si="10"/>
        <v>2468.6173559548802</v>
      </c>
      <c r="AD43" s="3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3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3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3">
        <v>0.3</v>
      </c>
      <c r="AB44">
        <f t="shared" si="1"/>
        <v>3330.1641980427639</v>
      </c>
      <c r="AC44">
        <f t="shared" si="10"/>
        <v>2616.7343973121733</v>
      </c>
      <c r="AD44" s="3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3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3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3">
        <v>0.3</v>
      </c>
      <c r="AB45">
        <f t="shared" si="1"/>
        <v>3596.5773338861854</v>
      </c>
      <c r="AC45">
        <f t="shared" si="10"/>
        <v>2773.7384611509037</v>
      </c>
      <c r="AD45" s="3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3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3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3">
        <v>0.3</v>
      </c>
      <c r="AB46">
        <f t="shared" si="1"/>
        <v>3884.3035205970805</v>
      </c>
      <c r="AC46">
        <f t="shared" si="10"/>
        <v>2940.1627688199583</v>
      </c>
      <c r="AD46" s="3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3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3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3">
        <v>0.3</v>
      </c>
      <c r="AB47">
        <f t="shared" si="1"/>
        <v>4195.0478022448478</v>
      </c>
      <c r="AC47">
        <f t="shared" si="10"/>
        <v>3116.5725349491559</v>
      </c>
      <c r="AD47" s="3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3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3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3">
        <v>0.3</v>
      </c>
      <c r="AB48">
        <f t="shared" si="1"/>
        <v>4530.6516264244356</v>
      </c>
      <c r="AC48">
        <f t="shared" si="10"/>
        <v>3303.5668870461054</v>
      </c>
      <c r="AD48" s="3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3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3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3">
        <v>0.3</v>
      </c>
      <c r="AB49">
        <f t="shared" si="1"/>
        <v>4893.1037565383904</v>
      </c>
      <c r="AC49">
        <f t="shared" si="10"/>
        <v>3501.7809002688718</v>
      </c>
      <c r="AD49" s="3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3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3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3">
        <v>0.3</v>
      </c>
      <c r="AB50">
        <f t="shared" si="1"/>
        <v>5284.5520570614617</v>
      </c>
      <c r="AC50">
        <f t="shared" si="10"/>
        <v>3711.8877542850041</v>
      </c>
      <c r="AD50" s="3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3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3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3">
        <v>0.3</v>
      </c>
      <c r="AB51">
        <f t="shared" si="1"/>
        <v>5707.316221626379</v>
      </c>
      <c r="AC51">
        <f t="shared" si="10"/>
        <v>3934.6010195421045</v>
      </c>
      <c r="AD51" s="3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3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3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3">
        <v>0.3</v>
      </c>
      <c r="AB52">
        <f t="shared" si="1"/>
        <v>6163.9015193564901</v>
      </c>
      <c r="AC52">
        <f t="shared" si="10"/>
        <v>4170.6770807146313</v>
      </c>
      <c r="AD52" s="3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3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3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3">
        <v>0.3</v>
      </c>
      <c r="AB53">
        <f t="shared" si="1"/>
        <v>6657.0136409050092</v>
      </c>
      <c r="AC53">
        <f t="shared" si="10"/>
        <v>4420.9177055575092</v>
      </c>
      <c r="AD53" s="3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3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3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3">
        <v>0.3</v>
      </c>
      <c r="AB54">
        <f t="shared" si="1"/>
        <v>7189.5747321774106</v>
      </c>
      <c r="AC54">
        <f t="shared" si="10"/>
        <v>4686.1727678909601</v>
      </c>
      <c r="AD54" s="3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3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3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3">
        <v>0.3</v>
      </c>
      <c r="AB55">
        <f t="shared" si="1"/>
        <v>7764.7407107516028</v>
      </c>
      <c r="AC55">
        <f t="shared" si="10"/>
        <v>4967.3431339644176</v>
      </c>
      <c r="AD55" s="3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3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3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3">
        <v>0.3</v>
      </c>
      <c r="AB56">
        <f t="shared" si="1"/>
        <v>8385.9199676117332</v>
      </c>
      <c r="AC56">
        <f t="shared" si="10"/>
        <v>5265.3837220022833</v>
      </c>
      <c r="AD56" s="3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3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3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3">
        <v>0.3</v>
      </c>
      <c r="AB57">
        <f t="shared" si="1"/>
        <v>9056.7935650206709</v>
      </c>
      <c r="AC57">
        <f t="shared" si="10"/>
        <v>5581.3067453224203</v>
      </c>
      <c r="AD57" s="3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3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3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3">
        <v>0.3</v>
      </c>
      <c r="AB58">
        <f t="shared" si="1"/>
        <v>9781.3370502223261</v>
      </c>
      <c r="AC58">
        <f t="shared" si="10"/>
        <v>5916.1851500417661</v>
      </c>
      <c r="AD58" s="3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3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3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3">
        <v>0.3</v>
      </c>
      <c r="AB59">
        <f t="shared" si="1"/>
        <v>10563.84401424011</v>
      </c>
      <c r="AC59">
        <f t="shared" si="10"/>
        <v>6271.1562590442727</v>
      </c>
      <c r="AD59" s="3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3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3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3">
        <v>0.3</v>
      </c>
      <c r="AB60">
        <f t="shared" si="1"/>
        <v>11408.951535379321</v>
      </c>
      <c r="AC60">
        <f t="shared" si="10"/>
        <v>6647.4256345869298</v>
      </c>
      <c r="AD60" s="3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3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3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3">
        <v>0.3</v>
      </c>
      <c r="AB61">
        <f t="shared" si="1"/>
        <v>12321.667658209668</v>
      </c>
      <c r="AC61">
        <f t="shared" si="10"/>
        <v>7046.2711726621455</v>
      </c>
      <c r="AD61" s="3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3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3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3">
        <v>0.3</v>
      </c>
      <c r="AB62">
        <f t="shared" si="1"/>
        <v>13307.401070866443</v>
      </c>
      <c r="AC62">
        <f t="shared" si="10"/>
        <v>7469.0474430218746</v>
      </c>
      <c r="AD62" s="3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3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3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3">
        <v>0.3</v>
      </c>
      <c r="AB63">
        <f t="shared" si="1"/>
        <v>14371.993156535758</v>
      </c>
      <c r="AC63">
        <f t="shared" si="10"/>
        <v>7917.1902896031879</v>
      </c>
      <c r="AD63" s="3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3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3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3">
        <v>0.3</v>
      </c>
      <c r="AB64">
        <f t="shared" si="1"/>
        <v>15521.75260905862</v>
      </c>
      <c r="AC64">
        <f t="shared" si="10"/>
        <v>8392.2217069793787</v>
      </c>
      <c r="AD64" s="3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3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3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3">
        <v>0.3</v>
      </c>
      <c r="AB65">
        <f t="shared" si="1"/>
        <v>16763.49281778331</v>
      </c>
      <c r="AC65">
        <f t="shared" si="10"/>
        <v>8895.7550093981426</v>
      </c>
      <c r="AD65" s="3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3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3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3">
        <v>0.3</v>
      </c>
      <c r="AB66">
        <f t="shared" si="1"/>
        <v>18104.572243205974</v>
      </c>
      <c r="AC66">
        <f t="shared" si="10"/>
        <v>9429.5003099620317</v>
      </c>
      <c r="AD66" s="3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3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3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3">
        <v>0.3</v>
      </c>
      <c r="AB67">
        <f t="shared" ref="AB67:AB130" si="15">S67/AA67</f>
        <v>19552.938022662453</v>
      </c>
      <c r="AC67">
        <f t="shared" si="10"/>
        <v>9995.2703285597545</v>
      </c>
      <c r="AD67" s="3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3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3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3">
        <v>0.3</v>
      </c>
      <c r="AB68">
        <f t="shared" si="15"/>
        <v>21117.173064475453</v>
      </c>
      <c r="AC68">
        <f t="shared" ref="AC68:AC131" si="21">AC67*(1+$U$2)</f>
        <v>10594.98654827334</v>
      </c>
      <c r="AD68" s="3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3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3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3">
        <v>0.3</v>
      </c>
      <c r="AB69">
        <f t="shared" si="15"/>
        <v>22806.546909633489</v>
      </c>
      <c r="AC69">
        <f t="shared" si="21"/>
        <v>11230.685741169742</v>
      </c>
      <c r="AD69" s="3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3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3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3">
        <v>0.3</v>
      </c>
      <c r="AB70">
        <f t="shared" si="15"/>
        <v>24631.07066240417</v>
      </c>
      <c r="AC70">
        <f t="shared" si="21"/>
        <v>11904.526885639927</v>
      </c>
      <c r="AD70" s="3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3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3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3">
        <v>0.3</v>
      </c>
      <c r="AB71">
        <f t="shared" si="15"/>
        <v>26601.556315396505</v>
      </c>
      <c r="AC71">
        <f t="shared" si="21"/>
        <v>12618.798498778324</v>
      </c>
      <c r="AD71" s="3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3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3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3">
        <v>0.3</v>
      </c>
      <c r="AB72">
        <f t="shared" si="15"/>
        <v>28729.680820628226</v>
      </c>
      <c r="AC72">
        <f t="shared" si="21"/>
        <v>13375.926408705023</v>
      </c>
      <c r="AD72" s="3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3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3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3">
        <v>0.3</v>
      </c>
      <c r="AB73">
        <f t="shared" si="15"/>
        <v>31028.055286278486</v>
      </c>
      <c r="AC73">
        <f t="shared" si="21"/>
        <v>14178.481993227326</v>
      </c>
      <c r="AD73" s="3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3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3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3">
        <v>0.3</v>
      </c>
      <c r="AB74">
        <f t="shared" si="15"/>
        <v>33510.29970918077</v>
      </c>
      <c r="AC74">
        <f t="shared" si="21"/>
        <v>15029.190912820966</v>
      </c>
      <c r="AD74" s="3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3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3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3">
        <v>0.3</v>
      </c>
      <c r="AB75">
        <f t="shared" si="15"/>
        <v>36191.123685915234</v>
      </c>
      <c r="AC75">
        <f t="shared" si="21"/>
        <v>15930.942367590225</v>
      </c>
      <c r="AD75" s="3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3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3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3">
        <v>0.3</v>
      </c>
      <c r="AB76">
        <f t="shared" si="15"/>
        <v>39086.41358078846</v>
      </c>
      <c r="AC76">
        <f t="shared" si="21"/>
        <v>16886.79890964564</v>
      </c>
      <c r="AD76" s="3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3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3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3">
        <v>0.3</v>
      </c>
      <c r="AB77">
        <f t="shared" si="15"/>
        <v>42213.326667251531</v>
      </c>
      <c r="AC77">
        <f t="shared" si="21"/>
        <v>17900.006844224379</v>
      </c>
      <c r="AD77" s="3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3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3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3">
        <v>0.3</v>
      </c>
      <c r="AB78">
        <f t="shared" si="15"/>
        <v>45590.392800631664</v>
      </c>
      <c r="AC78">
        <f t="shared" si="21"/>
        <v>18974.007254877844</v>
      </c>
      <c r="AD78" s="3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3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3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3">
        <v>0.3</v>
      </c>
      <c r="AB79">
        <f t="shared" si="15"/>
        <v>49237.624224682193</v>
      </c>
      <c r="AC79">
        <f t="shared" si="21"/>
        <v>20112.447690170517</v>
      </c>
      <c r="AD79" s="3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3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3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3">
        <v>0.3</v>
      </c>
      <c r="AB80">
        <f t="shared" si="15"/>
        <v>53176.634162656766</v>
      </c>
      <c r="AC80">
        <f t="shared" si="21"/>
        <v>21319.194551580749</v>
      </c>
      <c r="AD80" s="3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3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3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3">
        <v>0.3</v>
      </c>
      <c r="AB81">
        <f t="shared" si="15"/>
        <v>57430.764895669308</v>
      </c>
      <c r="AC81">
        <f t="shared" si="21"/>
        <v>22598.346224675595</v>
      </c>
      <c r="AD81" s="3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3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3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3">
        <v>0.3</v>
      </c>
      <c r="AB82">
        <f t="shared" si="15"/>
        <v>62025.226087322859</v>
      </c>
      <c r="AC82">
        <f t="shared" si="21"/>
        <v>23954.246998156133</v>
      </c>
      <c r="AD82" s="3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3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3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3">
        <v>0.3</v>
      </c>
      <c r="AB83">
        <f t="shared" si="15"/>
        <v>66987.244174308697</v>
      </c>
      <c r="AC83">
        <f t="shared" si="21"/>
        <v>25391.501818045504</v>
      </c>
      <c r="AD83" s="3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3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3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3">
        <v>0.3</v>
      </c>
      <c r="AB84">
        <f t="shared" si="15"/>
        <v>72346.223708253397</v>
      </c>
      <c r="AC84">
        <f t="shared" si="21"/>
        <v>26914.991927128238</v>
      </c>
      <c r="AD84" s="3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3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3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3">
        <v>0.3</v>
      </c>
      <c r="AB85">
        <f t="shared" si="15"/>
        <v>78133.921604913674</v>
      </c>
      <c r="AC85">
        <f t="shared" si="21"/>
        <v>28529.891442755932</v>
      </c>
      <c r="AD85" s="3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3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3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3">
        <v>0.3</v>
      </c>
      <c r="AB86">
        <f t="shared" si="15"/>
        <v>84384.635333306767</v>
      </c>
      <c r="AC86">
        <f t="shared" si="21"/>
        <v>30241.684929321291</v>
      </c>
      <c r="AD86" s="3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3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3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3">
        <v>0.3</v>
      </c>
      <c r="AB87">
        <f t="shared" si="15"/>
        <v>91135.406159971302</v>
      </c>
      <c r="AC87">
        <f t="shared" si="21"/>
        <v>32056.186025080569</v>
      </c>
      <c r="AD87" s="3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3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3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3">
        <v>0.3</v>
      </c>
      <c r="AB88">
        <f t="shared" si="15"/>
        <v>98426.238652769011</v>
      </c>
      <c r="AC88">
        <f t="shared" si="21"/>
        <v>33979.557186585407</v>
      </c>
      <c r="AD88" s="3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3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3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3">
        <v>0.3</v>
      </c>
      <c r="AB89">
        <f t="shared" si="15"/>
        <v>106300.33774499054</v>
      </c>
      <c r="AC89">
        <f t="shared" si="21"/>
        <v>36018.330617780535</v>
      </c>
      <c r="AD89" s="3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3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3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3">
        <v>0.3</v>
      </c>
      <c r="AB90">
        <f t="shared" si="15"/>
        <v>114804.3647645898</v>
      </c>
      <c r="AC90">
        <f t="shared" si="21"/>
        <v>38179.430454847366</v>
      </c>
      <c r="AD90" s="3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3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3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3">
        <v>0.3</v>
      </c>
      <c r="AB91">
        <f t="shared" si="15"/>
        <v>123988.713945757</v>
      </c>
      <c r="AC91">
        <f t="shared" si="21"/>
        <v>40470.196282138211</v>
      </c>
      <c r="AD91" s="3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3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3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3">
        <v>0.3</v>
      </c>
      <c r="AB92">
        <f t="shared" si="15"/>
        <v>133907.81106141757</v>
      </c>
      <c r="AC92">
        <f t="shared" si="21"/>
        <v>42898.408059066503</v>
      </c>
      <c r="AD92" s="3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3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3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3">
        <v>0.3</v>
      </c>
      <c r="AB93">
        <f t="shared" si="15"/>
        <v>144620.43594633098</v>
      </c>
      <c r="AC93">
        <f t="shared" si="21"/>
        <v>45472.312542610496</v>
      </c>
      <c r="AD93" s="3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3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3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3">
        <v>0.3</v>
      </c>
      <c r="AB94">
        <f t="shared" si="15"/>
        <v>156190.07082203749</v>
      </c>
      <c r="AC94">
        <f t="shared" si="21"/>
        <v>48200.651295167125</v>
      </c>
      <c r="AD94" s="3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3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3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3">
        <v>0.3</v>
      </c>
      <c r="AB95">
        <f t="shared" si="15"/>
        <v>168685.2764878005</v>
      </c>
      <c r="AC95">
        <f t="shared" si="21"/>
        <v>51092.690372877158</v>
      </c>
      <c r="AD95" s="3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3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3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3">
        <v>0.3</v>
      </c>
      <c r="AB96">
        <f t="shared" si="15"/>
        <v>182180.09860682455</v>
      </c>
      <c r="AC96">
        <f t="shared" si="21"/>
        <v>54158.251795249787</v>
      </c>
      <c r="AD96" s="3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3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3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3">
        <v>0.3</v>
      </c>
      <c r="AB97">
        <f t="shared" si="15"/>
        <v>196754.50649537053</v>
      </c>
      <c r="AC97">
        <f t="shared" si="21"/>
        <v>57407.746902964776</v>
      </c>
      <c r="AD97" s="3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3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3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3">
        <v>0.3</v>
      </c>
      <c r="AB98">
        <f t="shared" si="15"/>
        <v>212494.86701500017</v>
      </c>
      <c r="AC98">
        <f t="shared" si="21"/>
        <v>60852.211717142665</v>
      </c>
      <c r="AD98" s="3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3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3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3">
        <v>0.3</v>
      </c>
      <c r="AB99">
        <f t="shared" si="15"/>
        <v>229494.45637620022</v>
      </c>
      <c r="AC99">
        <f t="shared" si="21"/>
        <v>64503.344420171226</v>
      </c>
      <c r="AD99" s="3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3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3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3">
        <v>0.3</v>
      </c>
      <c r="AB100">
        <f t="shared" si="15"/>
        <v>247854.01288629623</v>
      </c>
      <c r="AC100">
        <f t="shared" si="21"/>
        <v>68373.545085381498</v>
      </c>
      <c r="AD100" s="3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3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3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3">
        <v>0.3</v>
      </c>
      <c r="AB101">
        <f t="shared" si="15"/>
        <v>267682.33391719993</v>
      </c>
      <c r="AC101">
        <f t="shared" si="21"/>
        <v>72475.957790504399</v>
      </c>
      <c r="AD101" s="3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3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3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3">
        <v>0.3</v>
      </c>
      <c r="AB102">
        <f t="shared" si="15"/>
        <v>289096.92063057591</v>
      </c>
      <c r="AC102">
        <f t="shared" si="21"/>
        <v>76824.515257934661</v>
      </c>
      <c r="AD102" s="3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3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3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3">
        <v>0.3</v>
      </c>
      <c r="AB103">
        <f t="shared" si="15"/>
        <v>312224.67428102205</v>
      </c>
      <c r="AC103">
        <f t="shared" si="21"/>
        <v>81433.98617341074</v>
      </c>
      <c r="AD103" s="3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3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3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3">
        <v>0.3</v>
      </c>
      <c r="AB104">
        <f t="shared" si="15"/>
        <v>337202.64822350378</v>
      </c>
      <c r="AC104">
        <f t="shared" si="21"/>
        <v>86320.025343815389</v>
      </c>
      <c r="AD104" s="3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3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3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3">
        <v>0.3</v>
      </c>
      <c r="AB105">
        <f t="shared" si="15"/>
        <v>364178.86008138413</v>
      </c>
      <c r="AC105">
        <f t="shared" si="21"/>
        <v>91499.22686444431</v>
      </c>
      <c r="AD105" s="3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3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3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3">
        <v>0.3</v>
      </c>
      <c r="AB106">
        <f t="shared" si="15"/>
        <v>393313.16888789489</v>
      </c>
      <c r="AC106">
        <f t="shared" si="21"/>
        <v>96989.180476310969</v>
      </c>
      <c r="AD106" s="3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3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3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3">
        <v>0.3</v>
      </c>
      <c r="AB107">
        <f t="shared" si="15"/>
        <v>424778.2223989265</v>
      </c>
      <c r="AC107">
        <f t="shared" si="21"/>
        <v>102808.53130488964</v>
      </c>
      <c r="AD107" s="3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3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3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3">
        <v>0.3</v>
      </c>
      <c r="AB108">
        <f t="shared" si="15"/>
        <v>458760.48019084061</v>
      </c>
      <c r="AC108">
        <f t="shared" si="21"/>
        <v>108977.04318318302</v>
      </c>
      <c r="AD108" s="3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3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3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3">
        <v>0.3</v>
      </c>
      <c r="AB109">
        <f t="shared" si="15"/>
        <v>495461.3186061079</v>
      </c>
      <c r="AC109">
        <f t="shared" si="21"/>
        <v>115515.66577417401</v>
      </c>
      <c r="AD109" s="3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3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3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3">
        <v>0.3</v>
      </c>
      <c r="AB110">
        <f t="shared" si="15"/>
        <v>535098.22409459658</v>
      </c>
      <c r="AC110">
        <f t="shared" si="21"/>
        <v>122446.60572062446</v>
      </c>
      <c r="AD110" s="3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3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3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3">
        <v>0.3</v>
      </c>
      <c r="AB111">
        <f t="shared" si="15"/>
        <v>577906.08202216437</v>
      </c>
      <c r="AC111">
        <f t="shared" si="21"/>
        <v>129793.40206386193</v>
      </c>
      <c r="AD111" s="3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3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3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3">
        <v>0.3</v>
      </c>
      <c r="AB112">
        <f t="shared" si="15"/>
        <v>624138.56858393748</v>
      </c>
      <c r="AC112">
        <f t="shared" si="21"/>
        <v>137581.00618769365</v>
      </c>
      <c r="AD112" s="3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3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3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3">
        <v>0.3</v>
      </c>
      <c r="AB113">
        <f t="shared" si="15"/>
        <v>674069.65407065256</v>
      </c>
      <c r="AC113">
        <f t="shared" si="21"/>
        <v>145835.86655895528</v>
      </c>
      <c r="AD113" s="3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3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3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3">
        <v>0.3</v>
      </c>
      <c r="AB114">
        <f t="shared" si="15"/>
        <v>727995.22639630479</v>
      </c>
      <c r="AC114">
        <f t="shared" si="21"/>
        <v>154586.01855249261</v>
      </c>
      <c r="AD114" s="3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3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3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3">
        <v>0.3</v>
      </c>
      <c r="AB115">
        <f t="shared" si="15"/>
        <v>786234.84450800926</v>
      </c>
      <c r="AC115">
        <f t="shared" si="21"/>
        <v>163861.17966564218</v>
      </c>
      <c r="AD115" s="3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3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3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3">
        <v>0.3</v>
      </c>
      <c r="AB116">
        <f t="shared" si="15"/>
        <v>849133.6320686501</v>
      </c>
      <c r="AC116">
        <f t="shared" si="21"/>
        <v>173692.85044558073</v>
      </c>
      <c r="AD116" s="3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3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3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3">
        <v>0.3</v>
      </c>
      <c r="AB117">
        <f t="shared" si="15"/>
        <v>917064.32263414201</v>
      </c>
      <c r="AC117">
        <f t="shared" si="21"/>
        <v>184114.42147231559</v>
      </c>
      <c r="AD117" s="3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3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3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3">
        <v>0.3</v>
      </c>
      <c r="AB118">
        <f t="shared" si="15"/>
        <v>990429.46844487335</v>
      </c>
      <c r="AC118">
        <f t="shared" si="21"/>
        <v>195161.28676065453</v>
      </c>
      <c r="AD118" s="3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3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3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3">
        <v>0.3</v>
      </c>
      <c r="AB119">
        <f t="shared" si="15"/>
        <v>1069663.8259204633</v>
      </c>
      <c r="AC119">
        <f t="shared" si="21"/>
        <v>206870.96396629381</v>
      </c>
      <c r="AD119" s="3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3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3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3">
        <v>0.3</v>
      </c>
      <c r="AB120">
        <f t="shared" si="15"/>
        <v>1155236.9319941006</v>
      </c>
      <c r="AC120">
        <f t="shared" si="21"/>
        <v>219283.22180427145</v>
      </c>
      <c r="AD120" s="3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3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3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3">
        <v>0.3</v>
      </c>
      <c r="AB121">
        <f t="shared" si="15"/>
        <v>1247655.8865536286</v>
      </c>
      <c r="AC121">
        <f t="shared" si="21"/>
        <v>232440.21511252775</v>
      </c>
      <c r="AD121" s="3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3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3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3">
        <v>0.3</v>
      </c>
      <c r="AB122">
        <f t="shared" si="15"/>
        <v>1347468.357477919</v>
      </c>
      <c r="AC122">
        <f t="shared" si="21"/>
        <v>246386.62801927942</v>
      </c>
      <c r="AD122" s="3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3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3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3">
        <v>0.3</v>
      </c>
      <c r="AB123">
        <f t="shared" si="15"/>
        <v>1455265.8260761525</v>
      </c>
      <c r="AC123">
        <f t="shared" si="21"/>
        <v>261169.82570043619</v>
      </c>
      <c r="AD123" s="3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3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3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3">
        <v>0.3</v>
      </c>
      <c r="AB124">
        <f t="shared" si="15"/>
        <v>1571687.0921622447</v>
      </c>
      <c r="AC124">
        <f t="shared" si="21"/>
        <v>276840.0152424624</v>
      </c>
      <c r="AD124" s="3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3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3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3">
        <v>0.3</v>
      </c>
      <c r="AB125">
        <f t="shared" si="15"/>
        <v>1697422.0595352245</v>
      </c>
      <c r="AC125">
        <f t="shared" si="21"/>
        <v>293450.41615701013</v>
      </c>
      <c r="AD125" s="3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3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3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3">
        <v>0.3</v>
      </c>
      <c r="AB126">
        <f t="shared" si="15"/>
        <v>1833215.8242980426</v>
      </c>
      <c r="AC126">
        <f t="shared" si="21"/>
        <v>311057.44112643076</v>
      </c>
      <c r="AD126" s="3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3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3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3">
        <v>0.3</v>
      </c>
      <c r="AB127">
        <f t="shared" si="15"/>
        <v>1979873.0902418864</v>
      </c>
      <c r="AC127">
        <f t="shared" si="21"/>
        <v>329720.88759401662</v>
      </c>
      <c r="AD127" s="3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3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3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3">
        <v>0.3</v>
      </c>
      <c r="AB128">
        <f t="shared" si="15"/>
        <v>2138262.9374612374</v>
      </c>
      <c r="AC128">
        <f t="shared" si="21"/>
        <v>349504.14084965765</v>
      </c>
      <c r="AD128" s="3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3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3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3">
        <v>0.3</v>
      </c>
      <c r="AB129">
        <f t="shared" si="15"/>
        <v>2309323.9724581367</v>
      </c>
      <c r="AC129">
        <f t="shared" si="21"/>
        <v>370474.38930063712</v>
      </c>
      <c r="AD129" s="3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3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3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3">
        <v>0.3</v>
      </c>
      <c r="AB130">
        <f t="shared" si="15"/>
        <v>2494069.8902547881</v>
      </c>
      <c r="AC130">
        <f t="shared" si="21"/>
        <v>392702.85265867534</v>
      </c>
      <c r="AD130" s="3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3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3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3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3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3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3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3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3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3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3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3">
        <v>0.3</v>
      </c>
      <c r="AB133">
        <f t="shared" si="29"/>
        <v>3141809.76959264</v>
      </c>
      <c r="AC133">
        <f t="shared" si="32"/>
        <v>467715.3807621249</v>
      </c>
      <c r="AD133" s="3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3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3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3">
        <v>0.3</v>
      </c>
      <c r="AB134">
        <f t="shared" si="29"/>
        <v>3393154.551160051</v>
      </c>
      <c r="AC134">
        <f t="shared" si="32"/>
        <v>495778.30360785243</v>
      </c>
      <c r="AD134" s="3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3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3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3">
        <v>0.3</v>
      </c>
      <c r="AB135">
        <f t="shared" si="29"/>
        <v>3664606.9152528555</v>
      </c>
      <c r="AC135">
        <f t="shared" si="32"/>
        <v>525525.00182432355</v>
      </c>
      <c r="AD135" s="3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3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3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3">
        <v>0.3</v>
      </c>
      <c r="AB136">
        <f t="shared" si="29"/>
        <v>3957775.4684730838</v>
      </c>
      <c r="AC136">
        <f t="shared" si="32"/>
        <v>557056.50193378294</v>
      </c>
      <c r="AD136" s="3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3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3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3">
        <v>0.3</v>
      </c>
      <c r="AB137">
        <f t="shared" si="29"/>
        <v>4274397.5059509315</v>
      </c>
      <c r="AC137">
        <f t="shared" si="32"/>
        <v>590479.89204980992</v>
      </c>
      <c r="AD137" s="3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3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3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3">
        <v>0.3</v>
      </c>
      <c r="AB138">
        <f t="shared" si="29"/>
        <v>4616349.3064270066</v>
      </c>
      <c r="AC138">
        <f t="shared" si="32"/>
        <v>625908.6855727986</v>
      </c>
      <c r="AD138" s="3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3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3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3">
        <v>0.3</v>
      </c>
      <c r="AB139">
        <f t="shared" si="29"/>
        <v>4985657.2509411667</v>
      </c>
      <c r="AC139">
        <f t="shared" si="32"/>
        <v>663463.20670716651</v>
      </c>
      <c r="AD139" s="3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3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3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3">
        <v>0.3</v>
      </c>
      <c r="AB140">
        <f t="shared" si="29"/>
        <v>5384509.8310164604</v>
      </c>
      <c r="AC140">
        <f t="shared" si="32"/>
        <v>703270.99910959648</v>
      </c>
      <c r="AD140" s="3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3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3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3">
        <v>0.3</v>
      </c>
      <c r="AB141">
        <f t="shared" si="29"/>
        <v>5815270.6174977776</v>
      </c>
      <c r="AC141">
        <f t="shared" si="32"/>
        <v>745467.25905617233</v>
      </c>
      <c r="AD141" s="3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3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3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3">
        <v>0.3</v>
      </c>
      <c r="AB142">
        <f t="shared" si="29"/>
        <v>6280492.2668976001</v>
      </c>
      <c r="AC142">
        <f t="shared" si="32"/>
        <v>790195.29459954274</v>
      </c>
      <c r="AD142" s="3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3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3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3">
        <v>0.3</v>
      </c>
      <c r="AB143">
        <f t="shared" si="29"/>
        <v>6782931.6482494092</v>
      </c>
      <c r="AC143">
        <f t="shared" si="32"/>
        <v>837607.01227551536</v>
      </c>
      <c r="AD143" s="3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3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3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3">
        <v>0.3</v>
      </c>
      <c r="AB144">
        <f t="shared" si="29"/>
        <v>7325566.1801093621</v>
      </c>
      <c r="AC144">
        <f t="shared" si="32"/>
        <v>887863.43301204627</v>
      </c>
      <c r="AD144" s="3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3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3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3">
        <v>0.3</v>
      </c>
      <c r="AB145">
        <f t="shared" si="29"/>
        <v>7911611.4745181119</v>
      </c>
      <c r="AC145">
        <f t="shared" si="32"/>
        <v>941135.23899276904</v>
      </c>
      <c r="AD145" s="3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3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3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3">
        <v>0.3</v>
      </c>
      <c r="AB146">
        <f t="shared" si="29"/>
        <v>8544540.3924795613</v>
      </c>
      <c r="AC146">
        <f t="shared" si="32"/>
        <v>997603.35333233525</v>
      </c>
      <c r="AD146" s="3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3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3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3">
        <v>0.3</v>
      </c>
      <c r="AB147">
        <f t="shared" si="29"/>
        <v>9228103.6238779277</v>
      </c>
      <c r="AC147">
        <f t="shared" si="32"/>
        <v>1057459.5545322753</v>
      </c>
      <c r="AD147" s="3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3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3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3">
        <v>0.3</v>
      </c>
      <c r="AB148">
        <f t="shared" si="29"/>
        <v>9966351.9137881622</v>
      </c>
      <c r="AC148">
        <f t="shared" si="32"/>
        <v>1120907.1278042118</v>
      </c>
      <c r="AD148" s="3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3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3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3">
        <v>0.3</v>
      </c>
      <c r="AB149">
        <f t="shared" si="29"/>
        <v>10763660.066891216</v>
      </c>
      <c r="AC149">
        <f t="shared" si="32"/>
        <v>1188161.5554724645</v>
      </c>
      <c r="AD149" s="3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3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3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3">
        <v>0.3</v>
      </c>
      <c r="AB150">
        <f t="shared" si="29"/>
        <v>11624752.872242514</v>
      </c>
      <c r="AC150">
        <f t="shared" si="32"/>
        <v>1259451.2488008125</v>
      </c>
      <c r="AD150" s="3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3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3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3">
        <v>0.3</v>
      </c>
      <c r="AB151">
        <f t="shared" si="29"/>
        <v>12554733.102021914</v>
      </c>
      <c r="AC151">
        <f t="shared" si="32"/>
        <v>1335018.3237288613</v>
      </c>
      <c r="AD151" s="3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3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3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3">
        <v>0.3</v>
      </c>
      <c r="AB152">
        <f t="shared" si="29"/>
        <v>13559111.75018367</v>
      </c>
      <c r="AC152">
        <f t="shared" si="32"/>
        <v>1415119.423152593</v>
      </c>
      <c r="AD152" s="3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3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3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3">
        <v>0.3</v>
      </c>
      <c r="AB153">
        <f t="shared" si="29"/>
        <v>14643840.690198364</v>
      </c>
      <c r="AC153">
        <f t="shared" si="32"/>
        <v>1500026.5885417487</v>
      </c>
      <c r="AD153" s="3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3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3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3">
        <v>0.3</v>
      </c>
      <c r="AB154">
        <f t="shared" si="29"/>
        <v>15815347.945414236</v>
      </c>
      <c r="AC154">
        <f t="shared" si="32"/>
        <v>1590028.1838542537</v>
      </c>
      <c r="AD154" s="3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3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3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3">
        <v>0.3</v>
      </c>
      <c r="AB155">
        <f t="shared" si="29"/>
        <v>17080575.781047378</v>
      </c>
      <c r="AC155">
        <f t="shared" si="32"/>
        <v>1685429.874885509</v>
      </c>
      <c r="AD155" s="3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3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3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3">
        <v>0.3</v>
      </c>
      <c r="AB156">
        <f t="shared" si="29"/>
        <v>18447021.843531165</v>
      </c>
      <c r="AC156">
        <f t="shared" si="32"/>
        <v>1786555.6673786396</v>
      </c>
      <c r="AD156" s="3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3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3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3">
        <v>0.3</v>
      </c>
      <c r="AB157">
        <f t="shared" si="29"/>
        <v>19922783.591013659</v>
      </c>
      <c r="AC157">
        <f t="shared" si="32"/>
        <v>1893749.007421358</v>
      </c>
      <c r="AD157" s="3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3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3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3">
        <v>0.3</v>
      </c>
      <c r="AB158">
        <f t="shared" si="29"/>
        <v>21516606.278294753</v>
      </c>
      <c r="AC158">
        <f t="shared" si="32"/>
        <v>2007373.9478666396</v>
      </c>
      <c r="AD158" s="3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3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3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3">
        <v>0.3</v>
      </c>
      <c r="AB159">
        <f t="shared" si="29"/>
        <v>23237934.780558337</v>
      </c>
      <c r="AC159">
        <f t="shared" si="32"/>
        <v>2127816.3847386381</v>
      </c>
      <c r="AD159" s="3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3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3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3">
        <v>0.3</v>
      </c>
      <c r="AB160">
        <f t="shared" si="29"/>
        <v>25096969.563003004</v>
      </c>
      <c r="AC160">
        <f t="shared" si="32"/>
        <v>2255485.3678229563</v>
      </c>
      <c r="AD160" s="3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3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3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3">
        <v>0.3</v>
      </c>
      <c r="AB161">
        <f t="shared" si="29"/>
        <v>27104727.128043246</v>
      </c>
      <c r="AC161">
        <f t="shared" si="32"/>
        <v>2390814.4898923337</v>
      </c>
      <c r="AD161" s="3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3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3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3">
        <v>0.3</v>
      </c>
      <c r="AB162">
        <f t="shared" si="29"/>
        <v>29273105.29828671</v>
      </c>
      <c r="AC162">
        <f t="shared" si="32"/>
        <v>2534263.3592858738</v>
      </c>
      <c r="AD162" s="3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3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3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3">
        <v>0.3</v>
      </c>
      <c r="AB163">
        <f t="shared" si="29"/>
        <v>31614953.722149651</v>
      </c>
      <c r="AC163">
        <f t="shared" si="32"/>
        <v>2686319.1608430264</v>
      </c>
      <c r="AD163" s="3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3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3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3">
        <v>0.3</v>
      </c>
      <c r="AB164">
        <f t="shared" si="29"/>
        <v>34144150.019921623</v>
      </c>
      <c r="AC164">
        <f t="shared" si="32"/>
        <v>2847498.310493608</v>
      </c>
      <c r="AD164" s="3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3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3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3">
        <v>0.3</v>
      </c>
      <c r="AB165">
        <f t="shared" si="29"/>
        <v>36875682.021515362</v>
      </c>
      <c r="AC165">
        <f t="shared" si="32"/>
        <v>3018348.2091232245</v>
      </c>
      <c r="AD165" s="3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3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3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3">
        <v>0.3</v>
      </c>
      <c r="AB166">
        <f t="shared" si="29"/>
        <v>39825736.58323659</v>
      </c>
      <c r="AC166">
        <f t="shared" si="32"/>
        <v>3199449.1016706182</v>
      </c>
      <c r="AD166" s="3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3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3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3">
        <v>0.3</v>
      </c>
      <c r="AB167">
        <f t="shared" si="29"/>
        <v>43011795.509895518</v>
      </c>
      <c r="AC167">
        <f t="shared" si="32"/>
        <v>3391416.0477708555</v>
      </c>
      <c r="AD167" s="3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3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3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3">
        <v>0.3</v>
      </c>
      <c r="AB168">
        <f t="shared" si="29"/>
        <v>46452739.150687158</v>
      </c>
      <c r="AC168">
        <f t="shared" si="32"/>
        <v>3594901.0106371068</v>
      </c>
      <c r="AD168" s="3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3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3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3">
        <v>0.3</v>
      </c>
      <c r="AB169">
        <f t="shared" si="29"/>
        <v>50168958.282742135</v>
      </c>
      <c r="AC169">
        <f t="shared" si="32"/>
        <v>3810595.0712753334</v>
      </c>
      <c r="AD169" s="3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3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3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3">
        <v>0.3</v>
      </c>
      <c r="AB170">
        <f t="shared" si="29"/>
        <v>54182474.94536151</v>
      </c>
      <c r="AC170">
        <f t="shared" si="32"/>
        <v>4039230.7755518537</v>
      </c>
      <c r="AD170" s="3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3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3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3">
        <v>0.3</v>
      </c>
      <c r="AB171">
        <f t="shared" si="29"/>
        <v>58517072.940990433</v>
      </c>
      <c r="AC171">
        <f t="shared" si="32"/>
        <v>4281584.622084965</v>
      </c>
      <c r="AD171" s="3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3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3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3">
        <v>0.3</v>
      </c>
      <c r="AB172">
        <f t="shared" si="29"/>
        <v>63198438.776269667</v>
      </c>
      <c r="AC172">
        <f t="shared" si="32"/>
        <v>4538479.6994100632</v>
      </c>
      <c r="AD172" s="3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3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3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3">
        <v>0.3</v>
      </c>
      <c r="AB173">
        <f t="shared" si="29"/>
        <v>68254313.878371254</v>
      </c>
      <c r="AC173">
        <f t="shared" si="32"/>
        <v>4810788.481374667</v>
      </c>
      <c r="AD173" s="3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3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3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3">
        <v>0.3</v>
      </c>
      <c r="AB174">
        <f t="shared" si="29"/>
        <v>73714658.988640964</v>
      </c>
      <c r="AC174">
        <f t="shared" si="32"/>
        <v>5099435.7902571475</v>
      </c>
      <c r="AD174" s="3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3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3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3">
        <v>0.3</v>
      </c>
      <c r="AB175">
        <f t="shared" si="29"/>
        <v>79611831.70773223</v>
      </c>
      <c r="AC175">
        <f t="shared" si="32"/>
        <v>5405401.9376725769</v>
      </c>
      <c r="AD175" s="3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3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3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3">
        <v>0.3</v>
      </c>
      <c r="AB176">
        <f t="shared" si="29"/>
        <v>85980778.244350821</v>
      </c>
      <c r="AC176">
        <f t="shared" si="32"/>
        <v>5729726.0539329322</v>
      </c>
      <c r="AD176" s="3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3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3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3">
        <v>0.3</v>
      </c>
      <c r="AB177">
        <f t="shared" si="29"/>
        <v>92859240.503898889</v>
      </c>
      <c r="AC177">
        <f t="shared" si="32"/>
        <v>6073509.617168908</v>
      </c>
      <c r="AD177" s="3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3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3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3">
        <v>0.3</v>
      </c>
      <c r="AB178">
        <f t="shared" si="29"/>
        <v>100287979.74421081</v>
      </c>
      <c r="AC178">
        <f t="shared" si="32"/>
        <v>6437920.1941990424</v>
      </c>
      <c r="AD178" s="3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3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3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3">
        <v>0.3</v>
      </c>
      <c r="AB179">
        <f t="shared" si="29"/>
        <v>108311018.12374768</v>
      </c>
      <c r="AC179">
        <f t="shared" si="32"/>
        <v>6824195.4058509851</v>
      </c>
      <c r="AD179" s="3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3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3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3">
        <v>0.3</v>
      </c>
      <c r="AB180">
        <f t="shared" si="29"/>
        <v>116975899.57364748</v>
      </c>
      <c r="AC180">
        <f t="shared" si="32"/>
        <v>7233647.1302020447</v>
      </c>
      <c r="AD180" s="3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3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3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3">
        <v>0.3</v>
      </c>
      <c r="AB181">
        <f t="shared" si="29"/>
        <v>126333971.53953931</v>
      </c>
      <c r="AC181">
        <f t="shared" si="32"/>
        <v>7667665.9580141678</v>
      </c>
      <c r="AD181" s="3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3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3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3">
        <v>0.3</v>
      </c>
      <c r="AB182">
        <f t="shared" si="29"/>
        <v>136440689.26270244</v>
      </c>
      <c r="AC182">
        <f t="shared" si="32"/>
        <v>8127725.9154950185</v>
      </c>
      <c r="AD182" s="3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3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3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3">
        <v>0.3</v>
      </c>
      <c r="AB183">
        <f t="shared" si="29"/>
        <v>147355944.40371865</v>
      </c>
      <c r="AC183">
        <f t="shared" si="32"/>
        <v>8615389.4704247192</v>
      </c>
      <c r="AD183" s="3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3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3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3">
        <v>0.3</v>
      </c>
      <c r="AB184">
        <f t="shared" si="29"/>
        <v>159144419.95601615</v>
      </c>
      <c r="AC184">
        <f t="shared" si="32"/>
        <v>9132312.8386502024</v>
      </c>
      <c r="AD184" s="3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3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3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3">
        <v>0.3</v>
      </c>
      <c r="AB185">
        <f t="shared" si="29"/>
        <v>171875973.55249745</v>
      </c>
      <c r="AC185">
        <f t="shared" si="32"/>
        <v>9680251.6089692153</v>
      </c>
      <c r="AD185" s="3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3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3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3">
        <v>0.3</v>
      </c>
      <c r="AB186">
        <f t="shared" si="29"/>
        <v>185626051.43669727</v>
      </c>
      <c r="AC186">
        <f t="shared" si="32"/>
        <v>10261066.705507368</v>
      </c>
      <c r="AD186" s="3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3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3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3">
        <v>0.3</v>
      </c>
      <c r="AB187">
        <f t="shared" si="29"/>
        <v>200476135.55163306</v>
      </c>
      <c r="AC187">
        <f t="shared" si="32"/>
        <v>10876730.707837811</v>
      </c>
      <c r="AD187" s="3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3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3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3">
        <v>0.3</v>
      </c>
      <c r="AB188">
        <f t="shared" si="29"/>
        <v>216514226.39576373</v>
      </c>
      <c r="AC188">
        <f t="shared" si="32"/>
        <v>11529334.55030808</v>
      </c>
      <c r="AD188" s="3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3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3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3">
        <v>0.3</v>
      </c>
      <c r="AB189">
        <f t="shared" si="29"/>
        <v>233835364.50742483</v>
      </c>
      <c r="AC189">
        <f t="shared" si="32"/>
        <v>12221094.623326566</v>
      </c>
      <c r="AD189" s="3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3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3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3">
        <v>0.3</v>
      </c>
      <c r="AB190">
        <f t="shared" si="29"/>
        <v>252542193.66801885</v>
      </c>
      <c r="AC190">
        <f t="shared" si="32"/>
        <v>12954360.30072616</v>
      </c>
      <c r="AD190" s="3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3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3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3">
        <v>0.3</v>
      </c>
      <c r="AB191">
        <f t="shared" si="29"/>
        <v>272745569.16146034</v>
      </c>
      <c r="AC191">
        <f t="shared" si="32"/>
        <v>13731621.91876973</v>
      </c>
      <c r="AD191" s="3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3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3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3">
        <v>0.3</v>
      </c>
      <c r="AB192">
        <f t="shared" si="29"/>
        <v>294565214.69437718</v>
      </c>
      <c r="AC192">
        <f t="shared" si="32"/>
        <v>14555519.233895915</v>
      </c>
      <c r="AD192" s="3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3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3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3">
        <v>0.3</v>
      </c>
      <c r="AB193">
        <f t="shared" si="29"/>
        <v>318130431.86992741</v>
      </c>
      <c r="AC193">
        <f t="shared" si="32"/>
        <v>15428850.387929671</v>
      </c>
      <c r="AD193" s="3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3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3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3">
        <v>0.3</v>
      </c>
      <c r="AB194">
        <f t="shared" si="29"/>
        <v>343580866.41952163</v>
      </c>
      <c r="AC194">
        <f t="shared" si="32"/>
        <v>16354581.411205452</v>
      </c>
      <c r="AD194" s="3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3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3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3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3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3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3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3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3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3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3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3">
        <v>0.3</v>
      </c>
      <c r="AB197">
        <f t="shared" si="40"/>
        <v>432812940.39906853</v>
      </c>
      <c r="AC197">
        <f t="shared" si="43"/>
        <v>19478568.134048279</v>
      </c>
      <c r="AD197" s="3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3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3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3">
        <v>0.3</v>
      </c>
      <c r="AB198">
        <f t="shared" si="40"/>
        <v>467437975.63099408</v>
      </c>
      <c r="AC198">
        <f t="shared" si="43"/>
        <v>20647282.222091176</v>
      </c>
      <c r="AD198" s="3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3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3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3">
        <v>0.3</v>
      </c>
      <c r="AB199">
        <f t="shared" si="40"/>
        <v>504833013.68147367</v>
      </c>
      <c r="AC199">
        <f t="shared" si="43"/>
        <v>21886119.155416649</v>
      </c>
      <c r="AD199" s="3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3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3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3">
        <v>0.3</v>
      </c>
      <c r="AB200">
        <f t="shared" si="40"/>
        <v>545219654.77599156</v>
      </c>
      <c r="AC200">
        <f t="shared" si="43"/>
        <v>23199286.304741647</v>
      </c>
      <c r="AD200" s="3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3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3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3">
        <v>0.3</v>
      </c>
      <c r="AB201">
        <f t="shared" si="40"/>
        <v>588837227.15807092</v>
      </c>
      <c r="AC201">
        <f t="shared" si="43"/>
        <v>24591243.483026147</v>
      </c>
      <c r="AD201" s="3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专利药</vt:lpstr>
      <vt:lpstr>新冠特效药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2023-06-10T11:42:05Z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