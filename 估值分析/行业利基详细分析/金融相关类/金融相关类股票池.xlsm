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金融相关类\"/>
    </mc:Choice>
  </mc:AlternateContent>
  <bookViews>
    <workbookView xWindow="-108" yWindow="-108" windowWidth="20268" windowHeight="9132"/>
  </bookViews>
  <sheets>
    <sheet name="金融资讯及数据" sheetId="49" r:id="rId1"/>
    <sheet name="公司价值折现" sheetId="42" r:id="rId2"/>
    <sheet name="基本面模型" sheetId="2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<sst xmlns="http://schemas.openxmlformats.org/spreadsheetml/2006/main" count="442" uniqueCount="400">
  <si>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</si>
  <si>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</si>
  <si>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</si>
  <si>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</si>
  <si>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</si>
  <si>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</si>
  <si>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</si>
  <si>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</si>
  <si>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</si>
  <si>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</si>
  <si>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</si>
  <si>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</si>
  <si>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</si>
  <si>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</si>
  <si>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</si>
  <si>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</si>
  <si>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</si>
  <si>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</si>
  <si>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2.02亿</t>
  </si>
  <si>
    <t>1.79亿</t>
  </si>
  <si>
    <t>4.53亿</t>
  </si>
  <si>
    <t>1.69亿</t>
  </si>
  <si>
    <t>1.50亿</t>
  </si>
  <si>
    <t>1.28亿</t>
  </si>
  <si>
    <t>1.90亿</t>
  </si>
  <si>
    <t>1.14亿</t>
  </si>
  <si>
    <t>2.26亿</t>
  </si>
  <si>
    <t>1.53亿</t>
  </si>
  <si>
    <t>1.08亿</t>
  </si>
  <si>
    <t>1.18亿</t>
  </si>
  <si>
    <t>1.17亿</t>
  </si>
  <si>
    <t>2.79亿</t>
  </si>
  <si>
    <t>7.26亿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</si>
  <si>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</si>
  <si>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</si>
  <si>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</si>
  <si>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</si>
  <si>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</si>
  <si>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</si>
  <si>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</si>
  <si>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</si>
  <si>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</si>
  <si>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</si>
  <si>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</si>
  <si>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</si>
  <si>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</si>
  <si>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</si>
  <si>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</si>
  <si>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</si>
  <si>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</si>
  <si>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</si>
  <si>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</si>
  <si>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</si>
  <si>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</si>
  <si>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</si>
  <si>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</si>
  <si>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</si>
  <si>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</si>
  <si>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</si>
  <si>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</si>
  <si>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</si>
  <si>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</si>
  <si>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</si>
  <si>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</si>
  <si>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</si>
  <si>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</si>
  <si>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</si>
  <si>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</si>
  <si>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</si>
  <si>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</si>
  <si>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</si>
  <si>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</si>
  <si>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</si>
  <si>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</si>
  <si>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</si>
  <si>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</si>
  <si>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</si>
  <si>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</si>
  <si>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</si>
  <si>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</si>
  <si>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</si>
  <si>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</si>
  <si>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</si>
  <si>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</si>
  <si>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</si>
  <si>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</si>
  <si>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</si>
  <si>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5.77亿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</si>
  <si>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</si>
  <si>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</si>
  <si>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</si>
  <si>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</si>
  <si>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</si>
  <si>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</si>
  <si>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</si>
  <si>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</si>
  <si>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</si>
  <si>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</si>
  <si>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</si>
  <si>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</si>
  <si>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</si>
  <si>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</si>
  <si>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</si>
  <si>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</si>
  <si>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</si>
  <si>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</si>
  <si>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近期roe</t>
    <phoneticPr fontId="1" type="noConversion"/>
  </si>
  <si>
    <t>过往营收增速均值</t>
    <phoneticPr fontId="1" type="noConversion"/>
  </si>
  <si>
    <t>20增速</t>
  </si>
  <si>
    <t>当期自由现金流估计值</t>
  </si>
  <si>
    <t>自由现金流估计增速</t>
  </si>
  <si>
    <t>量价齐升策略</t>
    <phoneticPr fontId="1" type="noConversion"/>
  </si>
  <si>
    <t>20年自由现金流折现</t>
    <phoneticPr fontId="1" type="noConversion"/>
  </si>
  <si>
    <t>原始排序</t>
    <phoneticPr fontId="1" type="noConversion"/>
  </si>
  <si>
    <t>价格变动策略</t>
    <phoneticPr fontId="1" type="noConversion"/>
  </si>
  <si>
    <t>综合策略</t>
    <phoneticPr fontId="1" type="noConversion"/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</si>
  <si>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</si>
  <si>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</si>
  <si>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</si>
  <si>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</si>
  <si>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</si>
  <si>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</si>
  <si>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</si>
  <si>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</si>
  <si>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</si>
  <si>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</si>
  <si>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</si>
  <si>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</si>
  <si>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</si>
  <si>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</si>
  <si>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</si>
  <si>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</si>
  <si>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</si>
  <si>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</si>
  <si>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</si>
  <si>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</si>
  <si>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</si>
  <si>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</si>
  <si>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</si>
  <si>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</si>
  <si>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</si>
  <si>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</si>
  <si>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</si>
  <si>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</si>
  <si>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</si>
  <si>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</si>
  <si>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</si>
  <si>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</si>
  <si>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</si>
  <si>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</si>
  <si>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</si>
  <si>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</si>
  <si>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</si>
  <si>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</si>
  <si>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</si>
  <si>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</si>
  <si>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</si>
  <si>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</si>
  <si>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</si>
  <si>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</si>
  <si>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</si>
  <si>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</si>
  <si>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</si>
  <si>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</si>
  <si>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</si>
  <si>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</si>
  <si>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</si>
  <si>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</si>
  <si>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</si>
  <si>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</si>
  <si>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</si>
  <si>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</si>
  <si>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</si>
  <si>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</si>
  <si>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</si>
  <si>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</si>
  <si>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</si>
  <si>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</si>
  <si>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</si>
  <si>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</si>
  <si>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</si>
  <si>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</si>
  <si>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</si>
  <si>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</si>
  <si>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1.09亿</t>
  </si>
  <si>
    <t>3.98亿</t>
  </si>
  <si>
    <t/>
  </si>
  <si>
    <t>开始亏损</t>
  </si>
  <si>
    <t>3.24亿</t>
  </si>
  <si>
    <t>3.83亿</t>
  </si>
  <si>
    <t>1.45亿</t>
  </si>
  <si>
    <t>7.83亿</t>
  </si>
  <si>
    <t>17.69亿</t>
  </si>
  <si>
    <t>SZ300059</t>
  </si>
  <si>
    <t>东方财富</t>
  </si>
  <si>
    <t>证券</t>
  </si>
  <si>
    <t>SZ300033</t>
  </si>
  <si>
    <t>同花顺</t>
  </si>
  <si>
    <t>366.31万</t>
  </si>
  <si>
    <t>计算机应用</t>
  </si>
  <si>
    <t>SZ300803</t>
  </si>
  <si>
    <t>指南针</t>
  </si>
  <si>
    <t>854.71万</t>
  </si>
  <si>
    <t>SH601519</t>
  </si>
  <si>
    <t>大智慧</t>
  </si>
  <si>
    <t>5815.83万</t>
  </si>
  <si>
    <t>SH688318</t>
  </si>
  <si>
    <t>财富趋势</t>
  </si>
  <si>
    <t>231.06万</t>
  </si>
  <si>
    <t>1333.64亿</t>
  </si>
  <si>
    <t>634.28亿</t>
  </si>
  <si>
    <t>3542720400亿</t>
  </si>
  <si>
    <t>130.94亿</t>
  </si>
  <si>
    <t>85.53亿</t>
  </si>
  <si>
    <t>31.73亿</t>
  </si>
  <si>
    <t>3.99亿</t>
  </si>
  <si>
    <t>3.75亿</t>
  </si>
  <si>
    <t>16.73亿</t>
  </si>
  <si>
    <t>4.73亿</t>
  </si>
  <si>
    <t>1170525470亿</t>
  </si>
  <si>
    <t>40.94万</t>
  </si>
  <si>
    <t>6329106200亿</t>
  </si>
  <si>
    <t>566.51亿</t>
  </si>
  <si>
    <t>1105042740亿</t>
  </si>
  <si>
    <t>175952110000亿</t>
  </si>
  <si>
    <t>3.05亿</t>
  </si>
  <si>
    <t>19.99亿</t>
  </si>
  <si>
    <t>2.49亿</t>
  </si>
  <si>
    <t>7.03万</t>
  </si>
  <si>
    <t>1189.06亿</t>
  </si>
  <si>
    <t>192.21万</t>
  </si>
  <si>
    <t>-38.96亿</t>
  </si>
  <si>
    <t>-6.26亿</t>
  </si>
  <si>
    <t>82.39亿</t>
  </si>
  <si>
    <t>14.78亿</t>
  </si>
  <si>
    <t>13.10亿</t>
  </si>
  <si>
    <t>11.12亿</t>
  </si>
  <si>
    <t>12.03亿</t>
  </si>
  <si>
    <t>47.78亿</t>
  </si>
  <si>
    <t>18.31亿</t>
  </si>
  <si>
    <t>9.59亿</t>
  </si>
  <si>
    <t>6.37亿</t>
  </si>
  <si>
    <t>7.14亿</t>
  </si>
  <si>
    <t>23.50亿</t>
  </si>
  <si>
    <t>40.51亿</t>
  </si>
  <si>
    <t>25.55亿</t>
  </si>
  <si>
    <t>44.44亿</t>
  </si>
  <si>
    <t>62.34亿</t>
  </si>
  <si>
    <t>37.27亿</t>
  </si>
  <si>
    <t>10转2股派0.8元(含税)</t>
  </si>
  <si>
    <t>10.98亿</t>
  </si>
  <si>
    <t>50.71亿</t>
  </si>
  <si>
    <t>公司主营业务是证券业务、金融电子商务服务业务、金融数据服务业务等。公司通过以“东方财富网”为核心，集互联网财经门户平台、金融电子商务平台、金融终端平台及移动端平台等为一体的互联网服务大平台，向海量用户提供基于互联网平台应用的产品和服务。
市值3069.65亿, 利润85.53亿; PE34.44, PB4.84; ROIC5.2%; ROE16.4967%; 股利率0.3444%; 毛利0%; 净利153.3133%; 上一年度营收增58.93%, 利润增79.01%; 当季营收增-20.27%, 利润增-14.23%; 过往5年营收增107.89%, 利润增74.13%
Income profile:
证券服务 39.58亿 62.75%
金融电子商务服务 22.02亿 34.90% 99.91% 94.66%
金融数据服务 1.18亿 1.88% 0.41% 7.20%</t>
  </si>
  <si>
    <t>64.45亿</t>
  </si>
  <si>
    <t>2275663300亿</t>
  </si>
  <si>
    <t>35.10亿</t>
  </si>
  <si>
    <t>19.11亿</t>
  </si>
  <si>
    <t>13.28亿</t>
  </si>
  <si>
    <t>2.64亿</t>
  </si>
  <si>
    <t>2.70亿</t>
  </si>
  <si>
    <t>5.19亿</t>
  </si>
  <si>
    <t>180759亿</t>
  </si>
  <si>
    <t>19.20万</t>
  </si>
  <si>
    <t>847466010亿</t>
  </si>
  <si>
    <t>68.02亿</t>
  </si>
  <si>
    <t>44670384亿</t>
  </si>
  <si>
    <t>6882450300亿</t>
  </si>
  <si>
    <t>5.65亿</t>
  </si>
  <si>
    <t>7971.66万</t>
  </si>
  <si>
    <t>17.06亿</t>
  </si>
  <si>
    <t>8.97亿</t>
  </si>
  <si>
    <t>-2.09亿</t>
  </si>
  <si>
    <t>-9.69亿</t>
  </si>
  <si>
    <t>28.44亿</t>
  </si>
  <si>
    <t>17.42亿</t>
  </si>
  <si>
    <t>13.87亿</t>
  </si>
  <si>
    <t>14.10亿</t>
  </si>
  <si>
    <t>17.34亿</t>
  </si>
  <si>
    <t>17.24亿</t>
  </si>
  <si>
    <t>8.98亿</t>
  </si>
  <si>
    <t>6.34亿</t>
  </si>
  <si>
    <t>12.12亿</t>
  </si>
  <si>
    <t>13.89亿</t>
  </si>
  <si>
    <t>21.85亿</t>
  </si>
  <si>
    <t>13.27亿</t>
  </si>
  <si>
    <t>4.85亿</t>
  </si>
  <si>
    <t>9.91亿</t>
  </si>
  <si>
    <t>10派18元(含税)</t>
  </si>
  <si>
    <t>软件开发</t>
  </si>
  <si>
    <t>2448.70万</t>
  </si>
  <si>
    <t>公司是国内领先的互联网金融信息服务提供商。公司主要业务是为各类机构客户提供软件产品和系统维护服务、金融数据服务、智能推广服务，为个人投资者提供金融资讯、投资理财分析工具、理财产品投资交易等服务。同时公司已构建同花顺AI开放平台
市值639.2064亿, 利润19.11亿; PE35.45, PB9.92; ROIC24.23%; ROE32.2967%; 股利率1.5139%; 毛利89.6067%; 净利49.0167%; 上一年度营收增23.42%, 利润增10.85%; 当季营收增3.34%, 利润增-4%; 过往5年营收增18.39%, 利润增18.34%
Income profile:
增值电信业务 8.00亿 57.57% 56.56% 86.01%
广告及互联网推广服务 3.23亿 23.23% 25.02% 94.31%
基金销售及其他交易手续费 1.76亿 12.65% 12.45% 86.13%
软件销售及维护 9094.49万 6.55% 5.97% 79.84%</t>
  </si>
  <si>
    <t>14.38亿</t>
  </si>
  <si>
    <t>1093142750亿</t>
  </si>
  <si>
    <t>9.32亿</t>
  </si>
  <si>
    <t>1.76亿</t>
  </si>
  <si>
    <t>7.52亿</t>
  </si>
  <si>
    <t>1.03亿</t>
  </si>
  <si>
    <t>9663.49万</t>
  </si>
  <si>
    <t>7728.57万</t>
  </si>
  <si>
    <t>6967228亿</t>
  </si>
  <si>
    <t>1.12万</t>
  </si>
  <si>
    <t>307998450亿</t>
  </si>
  <si>
    <t>5.78亿</t>
  </si>
  <si>
    <t>27141558亿</t>
  </si>
  <si>
    <t>1359769000亿</t>
  </si>
  <si>
    <t>4187.84万</t>
  </si>
  <si>
    <t>10.71万</t>
  </si>
  <si>
    <t>7.59亿</t>
  </si>
  <si>
    <t>-1.17亿</t>
  </si>
  <si>
    <t>-7.89亿</t>
  </si>
  <si>
    <t>-2234.00万</t>
  </si>
  <si>
    <t>6.93亿</t>
  </si>
  <si>
    <t>6.23亿</t>
  </si>
  <si>
    <t>6.69亿</t>
  </si>
  <si>
    <t>5.71亿</t>
  </si>
  <si>
    <t>8921.06万</t>
  </si>
  <si>
    <t>1.20亿</t>
  </si>
  <si>
    <t>1.55亿</t>
  </si>
  <si>
    <t>9.08亿</t>
  </si>
  <si>
    <t>7.41亿</t>
  </si>
  <si>
    <t>5.41亿</t>
  </si>
  <si>
    <t>1.64亿</t>
  </si>
  <si>
    <t>1.31亿</t>
  </si>
  <si>
    <t>不分配不转增</t>
  </si>
  <si>
    <t>6470.11万</t>
  </si>
  <si>
    <t>公司主要业务是以证券工具型软件终端为载体，以互联网为工具，向投资者提供及时、专业的金融数据分析和证券投资咨询服务；同时，公司基于自身在金融信息服务领域积累的客户资源、流量入口优势及营销优势，积极拓展广告服务业务和保险经纪业务。
市值237.50795亿, 利润1.76亿; PE72.73, PB14.19; ROIC9.3767%; ROE12.9167%; 股利率0%; 毛利87.3967%; 净利22.6433%; 上一年度营收增34.49%, 利润增97.29%; 当季营收增-7.43%, 利润增-130.31%; 过往5年营收增11.41%, 利润增10.97%
Income profile:
金融信息服务 8.59亿 92.08% 91.23% 87.29%
广告服务 7334.59万 7.87% 8.74% 97.85%
保险经纪 46.32万 0.05% 0.03% 61.89%</t>
  </si>
  <si>
    <t>6.14亿</t>
  </si>
  <si>
    <t>16.45亿</t>
  </si>
  <si>
    <t>695673930亿</t>
  </si>
  <si>
    <t>8.19亿</t>
  </si>
  <si>
    <t>1604.95万</t>
  </si>
  <si>
    <t>8506.91万</t>
  </si>
  <si>
    <t>1.60亿</t>
  </si>
  <si>
    <t>9896.12万</t>
  </si>
  <si>
    <t>817875亿</t>
  </si>
  <si>
    <t>45.41万</t>
  </si>
  <si>
    <t>-90986887亿</t>
  </si>
  <si>
    <t>14.31亿</t>
  </si>
  <si>
    <t>80958780亿</t>
  </si>
  <si>
    <t>1610998700亿</t>
  </si>
  <si>
    <t>16.65万</t>
  </si>
  <si>
    <t>74.54万</t>
  </si>
  <si>
    <t>-1.10亿</t>
  </si>
  <si>
    <t>-9979.65万</t>
  </si>
  <si>
    <t>-829.21万</t>
  </si>
  <si>
    <t>7.08亿</t>
  </si>
  <si>
    <t>6.83亿</t>
  </si>
  <si>
    <t>5.94亿</t>
  </si>
  <si>
    <t>6.38亿</t>
  </si>
  <si>
    <t>11.31亿</t>
  </si>
  <si>
    <t>7248.01万</t>
  </si>
  <si>
    <t>596.42万</t>
  </si>
  <si>
    <t>-17.60亿</t>
  </si>
  <si>
    <t>4.19亿</t>
  </si>
  <si>
    <t>5.43亿</t>
  </si>
  <si>
    <t>3.39亿</t>
  </si>
  <si>
    <t>-7069.07万</t>
  </si>
  <si>
    <t>660.51万</t>
  </si>
  <si>
    <t>-491.63万</t>
  </si>
  <si>
    <t>5.93亿</t>
  </si>
  <si>
    <t>14.69亿</t>
  </si>
  <si>
    <t>048148500</t>
  </si>
  <si>
    <t>096297000</t>
  </si>
  <si>
    <t>0160495000</t>
  </si>
  <si>
    <t>0320990000</t>
  </si>
  <si>
    <t>-1-1</t>
  </si>
  <si>
    <t>公司的主要业务聚焦在证券信息服务平台、大数据及数据工程服务和境外业务三大板块。证券信息服务平台是以软件终端为载体,以移动APP、PC版软件、云服务、互动直播以及TV终端等方式向广大投资者提供及时、专业的证券信息和数据服务的综合性互联网平台
市值152.48668亿, 利润1604.95万; PE, PB9.29; ROIC0.7633%; ROE2.1167%; 股利率0%; 毛利57.4433%; 净利-2.03%; 上一年度营收增15.68%, 利润增-77.86%; 当季营收增35.62%, 利润增-244.14%; 过往5年营收增-3.23%, 利润增198.58%
Income profile:
金融资讯及数据PC终端服务系统 3.18亿 38.79% 33.19% 56.41%
港股服务系统 1.65亿 20.15% 19.86% 65.01%
广告 1.47亿 18.00% 26.98% 98.82%
证券公司综合服务系统 9298.82万 11.36% 9.81% 56.94%
其他 4820.12万 5.89% 7.98% 89.39%</t>
  </si>
  <si>
    <t>30.83亿</t>
  </si>
  <si>
    <t>197217620亿</t>
  </si>
  <si>
    <t>3.26亿</t>
  </si>
  <si>
    <t>2.82亿</t>
  </si>
  <si>
    <t>5266.88万</t>
  </si>
  <si>
    <t>3555.18万</t>
  </si>
  <si>
    <t>394.77万</t>
  </si>
  <si>
    <t>691.13万</t>
  </si>
  <si>
    <t>2779.33万</t>
  </si>
  <si>
    <t>30864251亿</t>
  </si>
  <si>
    <t>3.00万</t>
  </si>
  <si>
    <t>134777640亿</t>
  </si>
  <si>
    <t>8.13亿</t>
  </si>
  <si>
    <t>27435406亿</t>
  </si>
  <si>
    <t>2794615200亿</t>
  </si>
  <si>
    <t>150.97万</t>
  </si>
  <si>
    <t>25.40万</t>
  </si>
  <si>
    <t>1.26亿</t>
  </si>
  <si>
    <t>6856.57万</t>
  </si>
  <si>
    <t>-9345.58万</t>
  </si>
  <si>
    <t>2.73亿</t>
  </si>
  <si>
    <t>1.95亿</t>
  </si>
  <si>
    <t>2.39亿</t>
  </si>
  <si>
    <t>1.83亿</t>
  </si>
  <si>
    <t>1.43亿</t>
  </si>
  <si>
    <t>1.39亿</t>
  </si>
  <si>
    <t>1.27亿</t>
  </si>
  <si>
    <t>9597.37万</t>
  </si>
  <si>
    <t>1.87亿</t>
  </si>
  <si>
    <t>10转4股派14元(含税)</t>
  </si>
  <si>
    <t>1644.02万</t>
  </si>
  <si>
    <t>4740.06万</t>
  </si>
  <si>
    <t>公司是国内证券行情交易系统软件产品的重要提供商,主营业务是面向证券公司等金融机构客户提供安全、稳定、可靠的金融软件解决方案,为证券公司等金融机构建设其投资者行情交易终端、终端用户信息系统以及客户服务系统等。同时为终端投资者客户提供专业、高效的证券信息服务。
市值146.68067亿, 利润2.82亿; PE90.8, PB4.76; ROIC11.6033%; ROE13.2033%; 股利率0.8909%; 毛利84.4533%; 净利82.1067%; 上一年度营收增19.41%, 利润增17.99%; 当季营收增27.33%, 利润增-142.23%; 过往5年营收增13.18%, 利润增16.53%
Income profile:
证券行情交易系统及维护服务 2.68亿 82.21% 91.43% 96.29%
证券信息服务收入 5472.63万 16.77% 7.66% 39.53%
其他业务 331.48万 1.02% 0.92% 78.26%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</si>
</sst>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8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7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14" fontId="5" fillId="0" borderId="0" xfId="2" applyNumberFormat="1" applyBorder="1" applyAlignment="1">
      <alignment vertical="center" wrapText="1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Q7"/>
  <sheetViews>
    <sheetView tabSelected="1" workbookViewId="0">
      <selection activeCell="D7" sqref="D7"/>
    </sheetView>
  </sheetViews>
  <sheetFormatPr defaultRowHeight="14.4" x14ac:dyDescent="0.25"/>
  <cols>
    <col min="1" max="1" width="10.109375" customWidth="1"/>
    <col min="2" max="2" width="29.33203125" customWidth="1"/>
    <col min="3" max="3" width="35.44140625" customWidth="1"/>
    <col min="4" max="4" width="42.21875" customWidth="1"/>
  </cols>
  <sheetData>
    <row r="1" spans="1:147" s="16" customFormat="1" x14ac:dyDescent="0.25">
      <c r="A1" s="17" t="s">
        <v>65</v>
      </c>
      <c r="B1" s="20" t="s">
        <v>8</v>
      </c>
      <c r="C1" s="21" t="s">
        <v>9</v>
      </c>
      <c r="D1" s="20" t="s">
        <v>143</v>
      </c>
      <c r="E1" t="s">
        <v>2</v>
      </c>
      <c r="F1" t="s">
        <v>3</v>
      </c>
      <c r="G1" t="s">
        <v>0</v>
      </c>
      <c r="H1" t="s">
        <v>116</v>
      </c>
      <c r="I1" t="s">
        <v>144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145</v>
      </c>
      <c r="R1" t="s">
        <v>117</v>
      </c>
      <c r="S1" t="s">
        <v>146</v>
      </c>
      <c r="T1" t="s">
        <v>13</v>
      </c>
      <c r="U1" t="s">
        <v>118</v>
      </c>
      <c r="V1" t="s">
        <v>119</v>
      </c>
      <c r="W1" t="s">
        <v>14</v>
      </c>
      <c r="X1" t="s">
        <v>88</v>
      </c>
      <c r="Y1" t="s">
        <v>89</v>
      </c>
      <c r="Z1" t="s">
        <v>90</v>
      </c>
      <c r="AA1" t="s">
        <v>91</v>
      </c>
      <c r="AB1" t="s">
        <v>92</v>
      </c>
      <c r="AC1" t="s">
        <v>120</v>
      </c>
      <c r="AD1" t="s">
        <v>93</v>
      </c>
      <c r="AE1" t="s">
        <v>147</v>
      </c>
      <c r="AF1" t="s">
        <v>15</v>
      </c>
      <c r="AG1" t="s">
        <v>16</v>
      </c>
      <c r="AH1" t="s">
        <v>121</v>
      </c>
      <c r="AI1" t="s">
        <v>148</v>
      </c>
      <c r="AJ1" t="s">
        <v>122</v>
      </c>
      <c r="AK1" t="s">
        <v>17</v>
      </c>
      <c r="AL1" t="s">
        <v>123</v>
      </c>
      <c r="AM1" t="s">
        <v>66</v>
      </c>
      <c r="AN1" t="s">
        <v>124</v>
      </c>
      <c r="AO1" t="s">
        <v>125</v>
      </c>
      <c r="AP1" t="s">
        <v>126</v>
      </c>
      <c r="AQ1" t="s">
        <v>127</v>
      </c>
      <c r="AR1" t="s">
        <v>128</v>
      </c>
      <c r="AS1" t="s">
        <v>129</v>
      </c>
      <c r="AT1" t="s">
        <v>130</v>
      </c>
      <c r="AU1" t="s">
        <v>131</v>
      </c>
      <c r="AV1" t="s">
        <v>132</v>
      </c>
      <c r="AW1" t="s">
        <v>133</v>
      </c>
      <c r="AX1" t="s">
        <v>134</v>
      </c>
      <c r="AY1" t="s">
        <v>149</v>
      </c>
      <c r="AZ1" t="s">
        <v>67</v>
      </c>
      <c r="BA1" t="s">
        <v>68</v>
      </c>
      <c r="BB1" t="s">
        <v>69</v>
      </c>
      <c r="BC1" t="s">
        <v>70</v>
      </c>
      <c r="BD1" t="s">
        <v>76</v>
      </c>
      <c r="BE1" t="s">
        <v>71</v>
      </c>
      <c r="BF1" t="s">
        <v>72</v>
      </c>
      <c r="BG1" t="s">
        <v>73</v>
      </c>
      <c r="BH1" t="s">
        <v>74</v>
      </c>
      <c r="BI1" t="s">
        <v>150</v>
      </c>
      <c r="BJ1" t="s">
        <v>135</v>
      </c>
      <c r="BK1" t="s">
        <v>75</v>
      </c>
      <c r="BL1" t="s">
        <v>136</v>
      </c>
      <c r="BM1" t="s">
        <v>137</v>
      </c>
      <c r="BN1" t="s">
        <v>138</v>
      </c>
      <c r="BO1" t="s">
        <v>139</v>
      </c>
      <c r="BP1" t="s">
        <v>77</v>
      </c>
      <c r="BQ1" t="s">
        <v>78</v>
      </c>
      <c r="BR1" t="s">
        <v>79</v>
      </c>
      <c r="BS1" t="s">
        <v>140</v>
      </c>
      <c r="BT1" t="s">
        <v>80</v>
      </c>
      <c r="BU1" t="s">
        <v>81</v>
      </c>
      <c r="BV1" t="s">
        <v>82</v>
      </c>
      <c r="BW1" t="s">
        <v>141</v>
      </c>
      <c r="BX1" t="s">
        <v>83</v>
      </c>
      <c r="BY1" t="s">
        <v>84</v>
      </c>
      <c r="BZ1" t="s">
        <v>142</v>
      </c>
      <c r="CA1" t="s">
        <v>85</v>
      </c>
      <c r="CB1" t="s">
        <v>86</v>
      </c>
      <c r="CC1" t="s">
        <v>151</v>
      </c>
      <c r="CD1" t="s">
        <v>152</v>
      </c>
      <c r="CE1" t="s">
        <v>153</v>
      </c>
      <c r="CF1" t="s">
        <v>154</v>
      </c>
      <c r="CG1" s="1" t="s">
        <v>94</v>
      </c>
      <c r="CH1" s="1" t="s">
        <v>95</v>
      </c>
      <c r="CI1" s="1" t="s">
        <v>96</v>
      </c>
      <c r="CJ1" s="1" t="s">
        <v>97</v>
      </c>
      <c r="CK1" s="1" t="s">
        <v>98</v>
      </c>
      <c r="CL1" s="1" t="s">
        <v>99</v>
      </c>
      <c r="CM1" s="1" t="s">
        <v>100</v>
      </c>
      <c r="CN1" s="1" t="s">
        <v>101</v>
      </c>
      <c r="CO1" s="1" t="s">
        <v>102</v>
      </c>
      <c r="CP1" s="1" t="s">
        <v>103</v>
      </c>
      <c r="CQ1" s="1" t="s">
        <v>104</v>
      </c>
      <c r="CR1" s="1" t="s">
        <v>105</v>
      </c>
      <c r="CS1" s="1" t="s">
        <v>155</v>
      </c>
      <c r="CT1" s="1" t="s">
        <v>156</v>
      </c>
      <c r="CU1" s="1" t="s">
        <v>106</v>
      </c>
      <c r="CV1" s="1" t="s">
        <v>107</v>
      </c>
      <c r="CW1" s="1" t="s">
        <v>157</v>
      </c>
      <c r="CX1" s="1" t="s">
        <v>158</v>
      </c>
      <c r="CY1">
        <v>1</v>
      </c>
      <c r="CZ1" t="s">
        <v>159</v>
      </c>
      <c r="DA1" t="s">
        <v>160</v>
      </c>
      <c r="DB1">
        <v>3</v>
      </c>
      <c r="DC1" t="s">
        <v>161</v>
      </c>
      <c r="DD1" t="s">
        <v>162</v>
      </c>
      <c r="DE1">
        <v>6</v>
      </c>
      <c r="DF1" t="s">
        <v>163</v>
      </c>
      <c r="DG1" t="s">
        <v>164</v>
      </c>
      <c r="DH1">
        <v>10</v>
      </c>
      <c r="DI1" t="s">
        <v>165</v>
      </c>
      <c r="DJ1" t="s">
        <v>166</v>
      </c>
      <c r="DK1">
        <v>20</v>
      </c>
      <c r="DL1" t="s">
        <v>112</v>
      </c>
      <c r="DM1" t="s">
        <v>108</v>
      </c>
      <c r="DN1" t="s">
        <v>109</v>
      </c>
      <c r="DO1" s="2" t="s">
        <v>110</v>
      </c>
      <c r="DP1" t="s">
        <v>167</v>
      </c>
      <c r="DQ1" t="s">
        <v>168</v>
      </c>
      <c r="DR1" s="1" t="s">
        <v>113</v>
      </c>
      <c r="DS1" s="1" t="s">
        <v>169</v>
      </c>
      <c r="DT1" s="1" t="s">
        <v>170</v>
      </c>
      <c r="DU1" t="s">
        <v>171</v>
      </c>
      <c r="DV1" t="s">
        <v>172</v>
      </c>
      <c r="DW1" t="s">
        <v>173</v>
      </c>
      <c r="DX1" t="s">
        <v>114</v>
      </c>
      <c r="DY1" t="s">
        <v>174</v>
      </c>
      <c r="DZ1" t="s">
        <v>111</v>
      </c>
      <c r="EA1" t="s">
        <v>175</v>
      </c>
      <c r="EB1" t="s">
        <v>115</v>
      </c>
      <c r="EC1" t="s">
        <v>176</v>
      </c>
      <c r="ED1" t="s">
        <v>177</v>
      </c>
      <c r="EE1" t="s">
        <v>178</v>
      </c>
      <c r="EF1" t="s">
        <v>179</v>
      </c>
      <c r="EG1" t="s">
        <v>180</v>
      </c>
      <c r="EH1" t="s">
        <v>181</v>
      </c>
      <c r="EI1" t="s">
        <v>182</v>
      </c>
      <c r="EJ1" t="s">
        <v>183</v>
      </c>
      <c r="EK1"/>
    </row>
    <row r="2" spans="1:147" s="16" customFormat="1" ht="71.55" customHeight="1" x14ac:dyDescent="0.25">
      <c r="A2" s="28"/>
      <c r="B2" s="26"/>
      <c r="C2" s="27">
        <v>3</v>
      </c>
      <c r="D2" s="27">
        <v>7</v>
      </c>
      <c r="T2" s="18"/>
      <c r="U2" s="18"/>
      <c r="V2" s="18"/>
      <c r="AB2" s="19"/>
    </row>
    <row r="3" spans="1:147" ht="151.19999999999999" x14ac:dyDescent="0.25">
      <c r="B3" s="3"/>
      <c r="C3" s="3"/>
      <c r="D3" s="3" t="s">
        <v>252</v>
      </c>
      <c r="E3" t="s">
        <v>193</v>
      </c>
      <c r="F3" t="s">
        <v>194</v>
      </c>
      <c r="G3">
        <v>23.23</v>
      </c>
      <c r="H3">
        <v>-4.7000000000000002E-3</v>
      </c>
      <c r="I3" t="s">
        <v>22</v>
      </c>
      <c r="J3">
        <v>306965000000</v>
      </c>
      <c r="K3">
        <v>34.44</v>
      </c>
      <c r="L3">
        <v>4.84</v>
      </c>
      <c r="M3" t="s">
        <v>195</v>
      </c>
      <c r="N3" t="s">
        <v>209</v>
      </c>
      <c r="O3" t="s">
        <v>210</v>
      </c>
      <c r="P3" t="s">
        <v>211</v>
      </c>
      <c r="Q3">
        <v>-12.55</v>
      </c>
      <c r="R3" t="s">
        <v>212</v>
      </c>
      <c r="S3">
        <v>6594205500</v>
      </c>
      <c r="T3" s="4">
        <v>5.7700000000000001E-2</v>
      </c>
      <c r="U3" t="s">
        <v>213</v>
      </c>
      <c r="V3">
        <v>11088671100</v>
      </c>
      <c r="W3">
        <v>13214162500</v>
      </c>
      <c r="X3">
        <v>3.1</v>
      </c>
      <c r="Y3">
        <v>0.02</v>
      </c>
      <c r="Z3">
        <v>68.97</v>
      </c>
      <c r="AA3" t="s">
        <v>214</v>
      </c>
      <c r="AB3" t="s">
        <v>215</v>
      </c>
      <c r="AC3" t="s">
        <v>216</v>
      </c>
      <c r="AD3" t="s">
        <v>217</v>
      </c>
      <c r="AE3" t="s">
        <v>218</v>
      </c>
      <c r="AF3">
        <v>-70674718</v>
      </c>
      <c r="AG3" t="s">
        <v>219</v>
      </c>
      <c r="AH3" t="s">
        <v>220</v>
      </c>
      <c r="AI3" t="s">
        <v>221</v>
      </c>
      <c r="AJ3" t="s">
        <v>222</v>
      </c>
      <c r="AK3" t="s">
        <v>223</v>
      </c>
      <c r="AL3" t="s">
        <v>7</v>
      </c>
      <c r="AM3" t="s">
        <v>224</v>
      </c>
      <c r="AN3" t="s">
        <v>7</v>
      </c>
      <c r="AO3" t="s">
        <v>225</v>
      </c>
      <c r="AP3" t="s">
        <v>226</v>
      </c>
      <c r="AQ3" t="s">
        <v>7</v>
      </c>
      <c r="AR3" t="s">
        <v>227</v>
      </c>
      <c r="AS3" t="s">
        <v>228</v>
      </c>
      <c r="AT3" t="s">
        <v>229</v>
      </c>
      <c r="AU3" t="s">
        <v>230</v>
      </c>
      <c r="AV3" t="s">
        <v>231</v>
      </c>
      <c r="AW3" t="s">
        <v>232</v>
      </c>
      <c r="AX3" t="s">
        <v>184</v>
      </c>
      <c r="AY3" t="s">
        <v>233</v>
      </c>
      <c r="AZ3" t="s">
        <v>234</v>
      </c>
      <c r="BA3" t="s">
        <v>235</v>
      </c>
      <c r="BB3" t="s">
        <v>236</v>
      </c>
      <c r="BC3" t="s">
        <v>237</v>
      </c>
      <c r="BD3" t="s">
        <v>238</v>
      </c>
      <c r="BE3" t="s">
        <v>239</v>
      </c>
      <c r="BF3" t="s">
        <v>240</v>
      </c>
      <c r="BG3" t="s">
        <v>241</v>
      </c>
      <c r="BH3" t="s">
        <v>242</v>
      </c>
      <c r="BI3" t="s">
        <v>243</v>
      </c>
      <c r="BJ3" t="s">
        <v>244</v>
      </c>
      <c r="BK3" t="s">
        <v>245</v>
      </c>
      <c r="BL3" t="s">
        <v>246</v>
      </c>
      <c r="BM3" t="s">
        <v>247</v>
      </c>
      <c r="BN3" t="s">
        <v>248</v>
      </c>
      <c r="BO3">
        <v>6.02</v>
      </c>
      <c r="BP3">
        <v>5.94</v>
      </c>
      <c r="BQ3">
        <v>3.64</v>
      </c>
      <c r="BR3">
        <v>22.11</v>
      </c>
      <c r="BS3">
        <v>17.89</v>
      </c>
      <c r="BT3">
        <v>9.49</v>
      </c>
      <c r="BU3" t="s">
        <v>249</v>
      </c>
      <c r="BV3" t="s">
        <v>195</v>
      </c>
      <c r="BW3" t="s">
        <v>7</v>
      </c>
      <c r="BX3" t="s">
        <v>7</v>
      </c>
      <c r="BY3" t="s">
        <v>7</v>
      </c>
      <c r="BZ3">
        <v>189.12</v>
      </c>
      <c r="CA3">
        <v>146.91999999999999</v>
      </c>
      <c r="CB3">
        <v>123.9</v>
      </c>
      <c r="CC3">
        <v>6.8</v>
      </c>
      <c r="CD3">
        <v>16.149999999999999</v>
      </c>
      <c r="CE3" t="s">
        <v>250</v>
      </c>
      <c r="CF3" t="s">
        <v>251</v>
      </c>
      <c r="CG3" s="23">
        <v>-0.20272700534759358</v>
      </c>
      <c r="CH3" s="24">
        <v>-0.14231930594335843</v>
      </c>
      <c r="CI3" s="23">
        <v>0.58927047252655029</v>
      </c>
      <c r="CJ3" s="23">
        <v>4.5744247436523437</v>
      </c>
      <c r="CK3" s="23">
        <v>0.12824428081512451</v>
      </c>
      <c r="CL3" s="23">
        <v>0.17805755138397217</v>
      </c>
      <c r="CM3" s="23">
        <v>-7.5644269585609436E-2</v>
      </c>
      <c r="CN3" s="24">
        <v>0.79007959365844727</v>
      </c>
      <c r="CO3" s="24">
        <v>1.609502911567688</v>
      </c>
      <c r="CP3" s="24">
        <v>0.90928041934967041</v>
      </c>
      <c r="CQ3" s="24">
        <v>0.50549453496932983</v>
      </c>
      <c r="CR3" s="24">
        <v>-0.10784313827753067</v>
      </c>
      <c r="CS3">
        <v>23.443180082480527</v>
      </c>
      <c r="CT3">
        <v>73998669.472699642</v>
      </c>
      <c r="CU3">
        <v>0.34438226431338786</v>
      </c>
      <c r="CV3" s="23">
        <v>1.0788705557584763</v>
      </c>
      <c r="CW3" s="24">
        <v>0.74130286425352099</v>
      </c>
      <c r="CX3">
        <v>0.06</v>
      </c>
      <c r="CY3">
        <v>22.469180593053746</v>
      </c>
      <c r="CZ3">
        <v>16774131946.605892</v>
      </c>
      <c r="DA3">
        <v>1.0788705557584763</v>
      </c>
      <c r="DB3">
        <v>3.5166471892194817</v>
      </c>
      <c r="DC3">
        <v>107176233417.84622</v>
      </c>
      <c r="DD3">
        <v>1.0249270279705525</v>
      </c>
      <c r="DE3">
        <v>0.53345894657449822</v>
      </c>
      <c r="DF3">
        <v>706522971299.28308</v>
      </c>
      <c r="DG3">
        <v>0.94940608906745916</v>
      </c>
      <c r="DH3">
        <v>6.7747403415166732E-2</v>
      </c>
      <c r="DI3">
        <v>5563327611101.0703</v>
      </c>
      <c r="DJ3">
        <v>0.86309644460678114</v>
      </c>
      <c r="DK3">
        <v>7.2686245454065164E-4</v>
      </c>
      <c r="DL3">
        <v>518531391524668.25</v>
      </c>
      <c r="DM3">
        <v>0.75520938903093338</v>
      </c>
      <c r="DN3">
        <v>8553000000</v>
      </c>
      <c r="DO3">
        <v>1.0788705557584763</v>
      </c>
      <c r="DP3">
        <v>376901000000</v>
      </c>
      <c r="DQ3">
        <v>57046110000</v>
      </c>
      <c r="DR3">
        <v>1562</v>
      </c>
      <c r="DS3">
        <v>-1.2815975611060699</v>
      </c>
      <c r="DT3">
        <v>-0.88362217019687939</v>
      </c>
      <c r="DU3" s="25">
        <v>0.65</v>
      </c>
      <c r="DV3">
        <v>1.0166666666666666</v>
      </c>
      <c r="DW3">
        <v>1.6666666666666665</v>
      </c>
      <c r="DX3">
        <v>9.4210526315789469</v>
      </c>
      <c r="DY3">
        <v>0.3665253374368721</v>
      </c>
      <c r="DZ3">
        <v>9.0911685631313137</v>
      </c>
      <c r="EA3">
        <v>572</v>
      </c>
      <c r="EB3">
        <v>9.0805735980538831</v>
      </c>
      <c r="EC3">
        <v>9</v>
      </c>
      <c r="ED3">
        <v>8.3092666674864937E-2</v>
      </c>
      <c r="EE3">
        <v>0.38375492960677604</v>
      </c>
      <c r="EF3" s="22">
        <v>8.3900000000000002E-2</v>
      </c>
      <c r="EG3">
        <v>8.3852999999999997E-2</v>
      </c>
      <c r="EH3">
        <v>15.216525337436872</v>
      </c>
      <c r="EI3">
        <v>-1</v>
      </c>
      <c r="EJ3">
        <v>1</v>
      </c>
      <c r="EK3">
        <v>1</v>
      </c>
      <c r="EL3" s="29">
        <v>44946</v>
      </c>
      <c r="EM3" s="30">
        <v>3.5400000000000001E-2</v>
      </c>
      <c r="EN3" s="30">
        <v>1.24</v>
      </c>
      <c r="EO3" s="30">
        <v>-0.56999999999999995</v>
      </c>
      <c r="EP3" s="30">
        <v>2.96</v>
      </c>
      <c r="EQ3" s="30">
        <v>-4.7000000000000002E-3</v>
      </c>
    </row>
    <row r="4" spans="1:147" ht="172.8" x14ac:dyDescent="0.25">
      <c r="B4" s="3"/>
      <c r="C4" s="3"/>
      <c r="D4" s="3" t="s">
        <v>290</v>
      </c>
      <c r="E4" t="s">
        <v>196</v>
      </c>
      <c r="F4" t="s">
        <v>197</v>
      </c>
      <c r="G4">
        <v>118.9</v>
      </c>
      <c r="H4">
        <v>-1.2500000000000001E-2</v>
      </c>
      <c r="I4" t="s">
        <v>198</v>
      </c>
      <c r="J4">
        <v>63920640000</v>
      </c>
      <c r="K4">
        <v>35.450000000000003</v>
      </c>
      <c r="L4">
        <v>9.92</v>
      </c>
      <c r="M4" t="s">
        <v>199</v>
      </c>
      <c r="N4" t="s">
        <v>192</v>
      </c>
      <c r="O4" t="s">
        <v>253</v>
      </c>
      <c r="P4" t="s">
        <v>254</v>
      </c>
      <c r="Q4">
        <v>4.1500000000000004</v>
      </c>
      <c r="R4" t="s">
        <v>255</v>
      </c>
      <c r="S4">
        <v>882437330</v>
      </c>
      <c r="T4" s="4">
        <v>-0.10920000000000001</v>
      </c>
      <c r="U4" t="s">
        <v>256</v>
      </c>
      <c r="V4">
        <v>271490080</v>
      </c>
      <c r="W4">
        <v>537600000</v>
      </c>
      <c r="X4">
        <v>1.27</v>
      </c>
      <c r="Y4">
        <v>0.27</v>
      </c>
      <c r="Z4">
        <v>38.78</v>
      </c>
      <c r="AA4" t="s">
        <v>257</v>
      </c>
      <c r="AB4" t="s">
        <v>258</v>
      </c>
      <c r="AC4" t="s">
        <v>259</v>
      </c>
      <c r="AD4" t="s">
        <v>23</v>
      </c>
      <c r="AE4" t="s">
        <v>260</v>
      </c>
      <c r="AF4">
        <v>-153492740</v>
      </c>
      <c r="AG4" t="s">
        <v>261</v>
      </c>
      <c r="AH4" t="s">
        <v>262</v>
      </c>
      <c r="AI4" t="s">
        <v>263</v>
      </c>
      <c r="AJ4" t="s">
        <v>264</v>
      </c>
      <c r="AK4" t="s">
        <v>265</v>
      </c>
      <c r="AL4" t="s">
        <v>7</v>
      </c>
      <c r="AM4" t="s">
        <v>266</v>
      </c>
      <c r="AN4" t="s">
        <v>7</v>
      </c>
      <c r="AO4" t="s">
        <v>267</v>
      </c>
      <c r="AP4" t="s">
        <v>7</v>
      </c>
      <c r="AQ4" t="s">
        <v>7</v>
      </c>
      <c r="AR4" t="s">
        <v>268</v>
      </c>
      <c r="AS4" t="s">
        <v>7</v>
      </c>
      <c r="AT4" t="s">
        <v>269</v>
      </c>
      <c r="AU4" t="s">
        <v>7</v>
      </c>
      <c r="AV4" t="s">
        <v>270</v>
      </c>
      <c r="AW4" t="s">
        <v>271</v>
      </c>
      <c r="AX4" t="s">
        <v>272</v>
      </c>
      <c r="AY4" t="s">
        <v>273</v>
      </c>
      <c r="AZ4" t="s">
        <v>274</v>
      </c>
      <c r="BA4" t="s">
        <v>275</v>
      </c>
      <c r="BB4" t="s">
        <v>276</v>
      </c>
      <c r="BC4" t="s">
        <v>277</v>
      </c>
      <c r="BD4" t="s">
        <v>278</v>
      </c>
      <c r="BE4" t="s">
        <v>279</v>
      </c>
      <c r="BF4" t="s">
        <v>280</v>
      </c>
      <c r="BG4" t="s">
        <v>32</v>
      </c>
      <c r="BH4" t="s">
        <v>281</v>
      </c>
      <c r="BI4" t="s">
        <v>282</v>
      </c>
      <c r="BJ4" t="s">
        <v>283</v>
      </c>
      <c r="BK4" t="s">
        <v>284</v>
      </c>
      <c r="BL4" t="s">
        <v>285</v>
      </c>
      <c r="BM4" t="s">
        <v>286</v>
      </c>
      <c r="BN4" t="s">
        <v>87</v>
      </c>
      <c r="BO4">
        <v>24.57</v>
      </c>
      <c r="BP4">
        <v>27.28</v>
      </c>
      <c r="BQ4">
        <v>20.84</v>
      </c>
      <c r="BR4">
        <v>33.590000000000003</v>
      </c>
      <c r="BS4">
        <v>38.369999999999997</v>
      </c>
      <c r="BT4">
        <v>24.93</v>
      </c>
      <c r="BU4" t="s">
        <v>287</v>
      </c>
      <c r="BV4" t="s">
        <v>288</v>
      </c>
      <c r="BW4">
        <v>87.54</v>
      </c>
      <c r="BX4">
        <v>91.66</v>
      </c>
      <c r="BY4">
        <v>89.62</v>
      </c>
      <c r="BZ4">
        <v>34.9</v>
      </c>
      <c r="CA4">
        <v>60.62</v>
      </c>
      <c r="CB4">
        <v>51.53</v>
      </c>
      <c r="CC4">
        <v>7.31</v>
      </c>
      <c r="CD4">
        <v>14.54</v>
      </c>
      <c r="CE4" t="s">
        <v>289</v>
      </c>
      <c r="CF4" t="s">
        <v>25</v>
      </c>
      <c r="CG4" s="23">
        <v>3.3407109557109557E-2</v>
      </c>
      <c r="CH4" s="24">
        <v>-4.0006449275362177E-2</v>
      </c>
      <c r="CI4" s="23">
        <v>0.23417726159095764</v>
      </c>
      <c r="CJ4" s="23">
        <v>0.63260620832443237</v>
      </c>
      <c r="CK4" s="23">
        <v>0.25594803690910339</v>
      </c>
      <c r="CL4" s="23">
        <v>-1.6312010586261749E-2</v>
      </c>
      <c r="CM4" s="23">
        <v>-0.18685121834278107</v>
      </c>
      <c r="CN4" s="24">
        <v>0.10846871137619019</v>
      </c>
      <c r="CO4" s="24">
        <v>0.91982179880142212</v>
      </c>
      <c r="CP4" s="24">
        <v>0.41640380024909973</v>
      </c>
      <c r="CQ4" s="24">
        <v>-0.12672176957130432</v>
      </c>
      <c r="CR4" s="24">
        <v>-0.40099009871482849</v>
      </c>
      <c r="CS4">
        <v>18.211008547008547</v>
      </c>
      <c r="CT4">
        <v>44346729.984301411</v>
      </c>
      <c r="CU4">
        <v>1.5138772077375946</v>
      </c>
      <c r="CV4" s="23">
        <v>0.18391365557909012</v>
      </c>
      <c r="CW4" s="24">
        <v>0.18339648842811584</v>
      </c>
      <c r="CX4">
        <v>0.06</v>
      </c>
      <c r="CY4">
        <v>27.757107870797544</v>
      </c>
      <c r="CZ4">
        <v>2134395279.0675857</v>
      </c>
      <c r="DA4">
        <v>0.18391365557909012</v>
      </c>
      <c r="DB4">
        <v>8.3846383061486733</v>
      </c>
      <c r="DC4">
        <v>7065855179.0545769</v>
      </c>
      <c r="DD4">
        <v>0.1747179728001356</v>
      </c>
      <c r="DE4">
        <v>3.7023178733505899</v>
      </c>
      <c r="DF4">
        <v>16002040350.571985</v>
      </c>
      <c r="DG4">
        <v>0.16184401690959929</v>
      </c>
      <c r="DH4">
        <v>1.956943147599026</v>
      </c>
      <c r="DI4">
        <v>30274073149.589073</v>
      </c>
      <c r="DJ4">
        <v>0.14713092446327211</v>
      </c>
      <c r="DK4">
        <v>0.75110006788251771</v>
      </c>
      <c r="DL4">
        <v>78877159693.276276</v>
      </c>
      <c r="DM4">
        <v>0.12873955890536307</v>
      </c>
      <c r="DN4">
        <v>1911000000</v>
      </c>
      <c r="DO4">
        <v>0.18391365557909012</v>
      </c>
      <c r="DP4">
        <v>59244640000</v>
      </c>
      <c r="DQ4">
        <v>5176450300</v>
      </c>
      <c r="DR4">
        <v>1537</v>
      </c>
      <c r="DS4">
        <v>-0.15050654602198055</v>
      </c>
      <c r="DT4">
        <v>-0.22340293770347802</v>
      </c>
      <c r="DU4" s="25">
        <v>0.5</v>
      </c>
      <c r="DV4">
        <v>0.33333333333333331</v>
      </c>
      <c r="DW4">
        <v>0.83333333333333326</v>
      </c>
      <c r="DX4">
        <v>9.5027510316368637</v>
      </c>
      <c r="DY4">
        <v>0.38479824561403408</v>
      </c>
      <c r="DZ4">
        <v>9.1079900395762454</v>
      </c>
      <c r="EA4">
        <v>1913</v>
      </c>
      <c r="EB4">
        <v>9.0660182911590663</v>
      </c>
      <c r="EC4">
        <v>9</v>
      </c>
      <c r="ED4">
        <v>4.5548735119047619E-2</v>
      </c>
      <c r="EE4">
        <v>0.2120535714285714</v>
      </c>
      <c r="EF4" s="22">
        <v>4.7699999999999999E-2</v>
      </c>
      <c r="EG4">
        <v>4.7574999999999999E-2</v>
      </c>
      <c r="EH4">
        <v>17.214798245614034</v>
      </c>
      <c r="EI4" t="s">
        <v>186</v>
      </c>
      <c r="EJ4">
        <v>1</v>
      </c>
      <c r="EK4">
        <v>0</v>
      </c>
      <c r="EL4" s="29">
        <v>44946</v>
      </c>
      <c r="EM4" s="30">
        <v>5.3400000000000003E-2</v>
      </c>
      <c r="EN4" s="30">
        <v>0.54</v>
      </c>
      <c r="EO4" s="30">
        <v>0.6</v>
      </c>
      <c r="EP4" s="30">
        <v>1.99</v>
      </c>
      <c r="EQ4" s="30">
        <v>-1.2500000000000001E-2</v>
      </c>
    </row>
    <row r="5" spans="1:147" ht="151.19999999999999" x14ac:dyDescent="0.25">
      <c r="B5" s="3"/>
      <c r="C5" s="3"/>
      <c r="D5" s="3" t="s">
        <v>325</v>
      </c>
      <c r="E5" t="s">
        <v>200</v>
      </c>
      <c r="F5" t="s">
        <v>201</v>
      </c>
      <c r="G5">
        <v>58.36</v>
      </c>
      <c r="H5">
        <v>8.6E-3</v>
      </c>
      <c r="I5" t="s">
        <v>202</v>
      </c>
      <c r="J5">
        <v>23750795000</v>
      </c>
      <c r="K5">
        <v>72.73</v>
      </c>
      <c r="L5">
        <v>14.19</v>
      </c>
      <c r="M5" t="s">
        <v>199</v>
      </c>
      <c r="N5" t="s">
        <v>291</v>
      </c>
      <c r="O5" t="s">
        <v>217</v>
      </c>
      <c r="P5" t="s">
        <v>292</v>
      </c>
      <c r="Q5">
        <v>47.57</v>
      </c>
      <c r="R5" t="s">
        <v>293</v>
      </c>
      <c r="S5">
        <v>313997370</v>
      </c>
      <c r="T5" s="4">
        <v>0.91890000000000005</v>
      </c>
      <c r="U5" t="s">
        <v>294</v>
      </c>
      <c r="V5">
        <v>391553670</v>
      </c>
      <c r="W5">
        <v>406970450</v>
      </c>
      <c r="X5">
        <v>1.86</v>
      </c>
      <c r="Y5">
        <v>0.42</v>
      </c>
      <c r="Z5">
        <v>28.52</v>
      </c>
      <c r="AA5" t="s">
        <v>295</v>
      </c>
      <c r="AB5" t="s">
        <v>296</v>
      </c>
      <c r="AC5" t="s">
        <v>20</v>
      </c>
      <c r="AD5" t="s">
        <v>297</v>
      </c>
      <c r="AE5" t="s">
        <v>298</v>
      </c>
      <c r="AF5">
        <v>-6063196</v>
      </c>
      <c r="AG5" t="s">
        <v>299</v>
      </c>
      <c r="AH5" t="s">
        <v>300</v>
      </c>
      <c r="AI5" t="s">
        <v>301</v>
      </c>
      <c r="AJ5" t="s">
        <v>302</v>
      </c>
      <c r="AK5" t="s">
        <v>303</v>
      </c>
      <c r="AL5" t="s">
        <v>7</v>
      </c>
      <c r="AM5" t="s">
        <v>304</v>
      </c>
      <c r="AN5" t="s">
        <v>7</v>
      </c>
      <c r="AO5">
        <v>0</v>
      </c>
      <c r="AP5" t="s">
        <v>7</v>
      </c>
      <c r="AQ5" t="s">
        <v>7</v>
      </c>
      <c r="AR5" t="s">
        <v>305</v>
      </c>
      <c r="AS5" t="s">
        <v>306</v>
      </c>
      <c r="AT5" t="s">
        <v>307</v>
      </c>
      <c r="AU5" t="s">
        <v>7</v>
      </c>
      <c r="AV5" t="s">
        <v>308</v>
      </c>
      <c r="AW5" t="s">
        <v>309</v>
      </c>
      <c r="AX5" t="s">
        <v>310</v>
      </c>
      <c r="AY5" t="s">
        <v>311</v>
      </c>
      <c r="AZ5" t="s">
        <v>312</v>
      </c>
      <c r="BA5" t="s">
        <v>302</v>
      </c>
      <c r="BB5" t="s">
        <v>313</v>
      </c>
      <c r="BC5" t="s">
        <v>314</v>
      </c>
      <c r="BD5" t="s">
        <v>315</v>
      </c>
      <c r="BE5" t="s">
        <v>316</v>
      </c>
      <c r="BF5" t="s">
        <v>23</v>
      </c>
      <c r="BG5" t="s">
        <v>317</v>
      </c>
      <c r="BH5" t="s">
        <v>190</v>
      </c>
      <c r="BI5" t="s">
        <v>318</v>
      </c>
      <c r="BJ5" t="s">
        <v>319</v>
      </c>
      <c r="BK5" t="s">
        <v>320</v>
      </c>
      <c r="BL5" t="s">
        <v>188</v>
      </c>
      <c r="BM5" t="s">
        <v>321</v>
      </c>
      <c r="BN5" t="s">
        <v>322</v>
      </c>
      <c r="BO5">
        <v>10.92</v>
      </c>
      <c r="BP5">
        <v>5.04</v>
      </c>
      <c r="BQ5">
        <v>12.17</v>
      </c>
      <c r="BR5">
        <v>14.66</v>
      </c>
      <c r="BS5">
        <v>8.14</v>
      </c>
      <c r="BT5">
        <v>15.95</v>
      </c>
      <c r="BU5" t="s">
        <v>323</v>
      </c>
      <c r="BV5" t="s">
        <v>288</v>
      </c>
      <c r="BW5">
        <v>92.03</v>
      </c>
      <c r="BX5">
        <v>84.63</v>
      </c>
      <c r="BY5">
        <v>85.53</v>
      </c>
      <c r="BZ5">
        <v>35.729999999999997</v>
      </c>
      <c r="CA5">
        <v>12.88</v>
      </c>
      <c r="CB5">
        <v>19.32</v>
      </c>
      <c r="CC5">
        <v>9.3699999999999992</v>
      </c>
      <c r="CD5">
        <v>16.739999999999998</v>
      </c>
      <c r="CE5" t="s">
        <v>324</v>
      </c>
      <c r="CF5" t="s">
        <v>18</v>
      </c>
      <c r="CG5" s="23">
        <v>-7.4286249999999998E-2</v>
      </c>
      <c r="CH5" s="24">
        <v>-1.30311</v>
      </c>
      <c r="CI5" s="23">
        <v>0.34487733244895935</v>
      </c>
      <c r="CJ5" s="23">
        <v>0.11235955357551575</v>
      </c>
      <c r="CK5" s="23">
        <v>7.7854670584201813E-2</v>
      </c>
      <c r="CL5" s="23">
        <v>-0.13602390885353088</v>
      </c>
      <c r="CM5" s="23">
        <v>0.17162872850894928</v>
      </c>
      <c r="CN5" s="24">
        <v>0.97285974025726318</v>
      </c>
      <c r="CO5" s="24">
        <v>-0.25657832622528076</v>
      </c>
      <c r="CP5" s="24">
        <v>-6.25E-2</v>
      </c>
      <c r="CQ5" s="24">
        <v>-0.17419354617595673</v>
      </c>
      <c r="CR5" s="24">
        <v>6.8965516984462738E-2</v>
      </c>
      <c r="CS5">
        <v>25.483685622317598</v>
      </c>
      <c r="CT5">
        <v>174999119.31818181</v>
      </c>
      <c r="CU5">
        <v>0</v>
      </c>
      <c r="CV5" s="23">
        <v>0.11413927525281906</v>
      </c>
      <c r="CW5" s="24">
        <v>0.10971067696809769</v>
      </c>
      <c r="CX5">
        <v>0.06</v>
      </c>
      <c r="CY5">
        <v>127.119852097688</v>
      </c>
      <c r="CZ5">
        <v>184989162.68348691</v>
      </c>
      <c r="DA5">
        <v>0.11413927525281906</v>
      </c>
      <c r="DB5">
        <v>40.703354417852864</v>
      </c>
      <c r="DC5">
        <v>577736045.00973892</v>
      </c>
      <c r="DD5">
        <v>0.1084323114901781</v>
      </c>
      <c r="DE5">
        <v>19.493636759313699</v>
      </c>
      <c r="DF5">
        <v>1206331855.3817101</v>
      </c>
      <c r="DG5">
        <v>0.10044256222248077</v>
      </c>
      <c r="DH5">
        <v>11.344733277805853</v>
      </c>
      <c r="DI5">
        <v>2072838067.1588705</v>
      </c>
      <c r="DJ5">
        <v>9.1311420202255245E-2</v>
      </c>
      <c r="DK5">
        <v>5.4640886773241482</v>
      </c>
      <c r="DL5">
        <v>4303699370.3250189</v>
      </c>
      <c r="DM5">
        <v>7.9897492676973339E-2</v>
      </c>
      <c r="DN5">
        <v>176000000</v>
      </c>
      <c r="DO5">
        <v>0.11413927525281906</v>
      </c>
      <c r="DP5">
        <v>23515795000</v>
      </c>
      <c r="DQ5">
        <v>600769000</v>
      </c>
      <c r="DR5">
        <v>2277</v>
      </c>
      <c r="DS5">
        <v>-0.18842552525281905</v>
      </c>
      <c r="DT5">
        <v>-1.4128206769680978</v>
      </c>
      <c r="DU5" s="25">
        <v>0.8666666666666667</v>
      </c>
      <c r="DV5">
        <v>0.66666666666666663</v>
      </c>
      <c r="DW5">
        <v>1.5333333333333332</v>
      </c>
      <c r="DX5">
        <v>9.5597371565113498</v>
      </c>
      <c r="DY5">
        <v>0.47030247524752478</v>
      </c>
      <c r="DZ5">
        <v>9.1792851967185971</v>
      </c>
      <c r="EA5">
        <v>738</v>
      </c>
      <c r="EB5">
        <v>9.1524033447928907</v>
      </c>
      <c r="EC5">
        <v>9</v>
      </c>
      <c r="ED5">
        <v>0.15898230448918343</v>
      </c>
      <c r="EE5">
        <v>0.4963505335583947</v>
      </c>
      <c r="EF5" s="22">
        <v>6.7000000000000004E-2</v>
      </c>
      <c r="EG5">
        <v>6.7086000000000007E-2</v>
      </c>
      <c r="EH5">
        <v>15.320302475247525</v>
      </c>
      <c r="EI5" t="s">
        <v>186</v>
      </c>
      <c r="EJ5">
        <v>1</v>
      </c>
      <c r="EK5">
        <v>1</v>
      </c>
      <c r="EL5" s="29">
        <v>44946</v>
      </c>
      <c r="EM5" s="30">
        <v>6.7299999999999999E-2</v>
      </c>
      <c r="EN5" s="30">
        <v>1.84</v>
      </c>
      <c r="EO5" s="30">
        <v>-1.52</v>
      </c>
      <c r="EP5" s="30">
        <v>1.3</v>
      </c>
      <c r="EQ5" s="30">
        <v>8.6E-3</v>
      </c>
    </row>
    <row r="6" spans="1:147" ht="194.4" x14ac:dyDescent="0.25">
      <c r="B6" s="3"/>
      <c r="C6" s="3"/>
      <c r="D6" s="3" t="s">
        <v>366</v>
      </c>
      <c r="E6" t="s">
        <v>203</v>
      </c>
      <c r="F6" t="s">
        <v>204</v>
      </c>
      <c r="G6">
        <v>7.49</v>
      </c>
      <c r="H6">
        <v>-1.9599999999999999E-2</v>
      </c>
      <c r="I6" t="s">
        <v>205</v>
      </c>
      <c r="J6">
        <v>15248668000</v>
      </c>
      <c r="L6">
        <v>9.2899999999999991</v>
      </c>
      <c r="M6" t="s">
        <v>199</v>
      </c>
      <c r="N6" t="s">
        <v>326</v>
      </c>
      <c r="O6" t="s">
        <v>327</v>
      </c>
      <c r="P6" t="s">
        <v>328</v>
      </c>
      <c r="Q6">
        <v>28.1</v>
      </c>
      <c r="R6" t="s">
        <v>329</v>
      </c>
      <c r="S6">
        <v>-87297260</v>
      </c>
      <c r="T6" s="5">
        <v>-14.22</v>
      </c>
      <c r="U6" t="s">
        <v>330</v>
      </c>
      <c r="V6">
        <v>2003865600</v>
      </c>
      <c r="W6">
        <v>2035870200</v>
      </c>
      <c r="X6">
        <v>1.37</v>
      </c>
      <c r="Y6">
        <v>0.3</v>
      </c>
      <c r="Z6">
        <v>-12.83</v>
      </c>
      <c r="AA6" t="s">
        <v>191</v>
      </c>
      <c r="AB6" t="s">
        <v>185</v>
      </c>
      <c r="AC6" t="s">
        <v>331</v>
      </c>
      <c r="AD6" t="s">
        <v>332</v>
      </c>
      <c r="AE6" t="s">
        <v>333</v>
      </c>
      <c r="AF6">
        <v>-12903215</v>
      </c>
      <c r="AG6" t="s">
        <v>334</v>
      </c>
      <c r="AH6" t="s">
        <v>335</v>
      </c>
      <c r="AI6" t="s">
        <v>336</v>
      </c>
      <c r="AJ6" t="s">
        <v>337</v>
      </c>
      <c r="AK6" t="s">
        <v>338</v>
      </c>
      <c r="AL6" t="s">
        <v>7</v>
      </c>
      <c r="AM6" t="s">
        <v>339</v>
      </c>
      <c r="AN6" t="s">
        <v>7</v>
      </c>
      <c r="AO6" t="s">
        <v>340</v>
      </c>
      <c r="AP6" t="s">
        <v>7</v>
      </c>
      <c r="AQ6" t="s">
        <v>7</v>
      </c>
      <c r="AR6" t="s">
        <v>27</v>
      </c>
      <c r="AS6" t="s">
        <v>341</v>
      </c>
      <c r="AT6" t="s">
        <v>320</v>
      </c>
      <c r="AU6" t="s">
        <v>7</v>
      </c>
      <c r="AV6" t="s">
        <v>342</v>
      </c>
      <c r="AW6" t="s">
        <v>343</v>
      </c>
      <c r="AX6" t="s">
        <v>344</v>
      </c>
      <c r="AY6" t="s">
        <v>345</v>
      </c>
      <c r="AZ6" t="s">
        <v>346</v>
      </c>
      <c r="BA6" t="s">
        <v>347</v>
      </c>
      <c r="BB6" t="s">
        <v>348</v>
      </c>
      <c r="BC6" t="s">
        <v>349</v>
      </c>
      <c r="BD6" t="s">
        <v>350</v>
      </c>
      <c r="BE6" t="s">
        <v>351</v>
      </c>
      <c r="BF6" t="s">
        <v>28</v>
      </c>
      <c r="BG6" t="s">
        <v>189</v>
      </c>
      <c r="BH6" t="s">
        <v>352</v>
      </c>
      <c r="BI6" t="s">
        <v>353</v>
      </c>
      <c r="BJ6" t="s">
        <v>354</v>
      </c>
      <c r="BK6" t="s">
        <v>355</v>
      </c>
      <c r="BL6" t="s">
        <v>356</v>
      </c>
      <c r="BM6" t="s">
        <v>357</v>
      </c>
      <c r="BN6" t="s">
        <v>358</v>
      </c>
      <c r="BO6">
        <v>-0.23</v>
      </c>
      <c r="BP6">
        <v>3.2</v>
      </c>
      <c r="BQ6">
        <v>-0.68</v>
      </c>
      <c r="BR6">
        <v>1.04</v>
      </c>
      <c r="BS6">
        <v>4.9000000000000004</v>
      </c>
      <c r="BT6">
        <v>0.41</v>
      </c>
      <c r="BU6" t="s">
        <v>323</v>
      </c>
      <c r="BV6" t="s">
        <v>288</v>
      </c>
      <c r="BW6">
        <v>44.41</v>
      </c>
      <c r="BX6">
        <v>64.73</v>
      </c>
      <c r="BY6">
        <v>63.19</v>
      </c>
      <c r="BZ6">
        <v>-17.2</v>
      </c>
      <c r="CA6">
        <v>10.24</v>
      </c>
      <c r="CB6">
        <v>0.87</v>
      </c>
      <c r="CC6">
        <v>-2.98</v>
      </c>
      <c r="CD6">
        <v>21</v>
      </c>
      <c r="CE6" t="s">
        <v>359</v>
      </c>
      <c r="CF6" t="s">
        <v>360</v>
      </c>
      <c r="CG6" s="23">
        <v>0.3562447549019605</v>
      </c>
      <c r="CH6" s="24">
        <v>-2.4413665005988854</v>
      </c>
      <c r="CI6" s="23">
        <v>0.15677966177463531</v>
      </c>
      <c r="CJ6" s="23">
        <v>3.660321980714798E-2</v>
      </c>
      <c r="CK6" s="23">
        <v>0.14983165264129639</v>
      </c>
      <c r="CL6" s="23">
        <v>-6.8965516984462738E-2</v>
      </c>
      <c r="CM6" s="23">
        <v>-0.43589746952056885</v>
      </c>
      <c r="CN6" s="24">
        <v>-0.77856677770614624</v>
      </c>
      <c r="CO6" s="24">
        <v>11.152525901794434</v>
      </c>
      <c r="CP6" s="24">
        <v>-0.94477593898773193</v>
      </c>
      <c r="CQ6" s="24">
        <v>-0.71801567077636719</v>
      </c>
      <c r="CR6" s="24">
        <v>1.217613697052002</v>
      </c>
      <c r="CS6">
        <v>18.618642246642246</v>
      </c>
      <c r="CT6">
        <v>-566914153.08888125</v>
      </c>
      <c r="CU6">
        <v>0</v>
      </c>
      <c r="CV6" s="23">
        <v>-3.2329690456390378E-2</v>
      </c>
      <c r="CW6" s="24">
        <v>1.9857562422752379</v>
      </c>
      <c r="CX6">
        <v>0.06</v>
      </c>
      <c r="CY6" t="e">
        <v>#VALUE!</v>
      </c>
      <c r="CZ6" t="s">
        <v>187</v>
      </c>
      <c r="DA6">
        <v>-3.2329690456390378E-2</v>
      </c>
      <c r="DB6">
        <v>295.28786981941283</v>
      </c>
      <c r="DC6" t="s">
        <v>361</v>
      </c>
      <c r="DD6">
        <v>-3.0713205933570856E-2</v>
      </c>
      <c r="DE6">
        <v>147.64393490970642</v>
      </c>
      <c r="DF6" t="s">
        <v>362</v>
      </c>
      <c r="DG6">
        <v>-2.8450127601623534E-2</v>
      </c>
      <c r="DH6">
        <v>88.586360945823856</v>
      </c>
      <c r="DI6" t="s">
        <v>363</v>
      </c>
      <c r="DJ6">
        <v>-2.5863752365112305E-2</v>
      </c>
      <c r="DK6">
        <v>44.293180472911928</v>
      </c>
      <c r="DL6" t="s">
        <v>364</v>
      </c>
      <c r="DM6">
        <v>-2.2630783319473262E-2</v>
      </c>
      <c r="DN6">
        <v>16049500</v>
      </c>
      <c r="DO6">
        <v>-3.2329690456390378E-2</v>
      </c>
      <c r="DP6">
        <v>14217668000</v>
      </c>
      <c r="DQ6">
        <v>1069998700</v>
      </c>
      <c r="DR6">
        <v>3639</v>
      </c>
      <c r="DS6">
        <v>0.3885744453583509</v>
      </c>
      <c r="DT6">
        <v>-4.4271227428741238</v>
      </c>
      <c r="DU6" s="25">
        <v>0.66666666666666663</v>
      </c>
      <c r="DV6">
        <v>-1.2150000000000001</v>
      </c>
      <c r="DW6">
        <v>-0.54833333333333345</v>
      </c>
      <c r="DX6">
        <v>-6.1242702251876562</v>
      </c>
      <c r="DY6">
        <v>0.50367598763462451</v>
      </c>
      <c r="DZ6">
        <v>-6.0501649058862039</v>
      </c>
      <c r="EA6">
        <v>3926</v>
      </c>
      <c r="EB6">
        <v>-6.0101512080988746</v>
      </c>
      <c r="EC6">
        <v>6</v>
      </c>
      <c r="ED6">
        <v>0.29127593694332771</v>
      </c>
      <c r="EE6">
        <v>0.72155877128119461</v>
      </c>
      <c r="EF6" s="22">
        <v>-1.0094099999999999</v>
      </c>
      <c r="EG6">
        <v>-1.009606</v>
      </c>
      <c r="EH6">
        <v>10.403675987634625</v>
      </c>
      <c r="EI6" t="s">
        <v>365</v>
      </c>
      <c r="EJ6">
        <v>0</v>
      </c>
      <c r="EK6">
        <v>0</v>
      </c>
      <c r="EL6" s="29">
        <v>44946</v>
      </c>
      <c r="EM6" s="30">
        <v>7.3800000000000004E-2</v>
      </c>
      <c r="EN6" s="30">
        <v>-10.01</v>
      </c>
      <c r="EO6" s="30">
        <v>0.8</v>
      </c>
      <c r="EP6" s="30">
        <v>1.6</v>
      </c>
      <c r="EQ6" s="30">
        <v>-1.9599999999999999E-2</v>
      </c>
    </row>
    <row r="7" spans="1:147" ht="172.8" x14ac:dyDescent="0.25">
      <c r="B7" s="3"/>
      <c r="C7" s="3"/>
      <c r="D7" s="3" t="s">
        <v>399</v>
      </c>
      <c r="E7" t="s">
        <v>206</v>
      </c>
      <c r="F7" t="s">
        <v>207</v>
      </c>
      <c r="G7">
        <v>157.15</v>
      </c>
      <c r="H7">
        <v>-2.3699999999999999E-2</v>
      </c>
      <c r="I7" t="s">
        <v>208</v>
      </c>
      <c r="J7">
        <v>14668067000</v>
      </c>
      <c r="K7">
        <v>90.8</v>
      </c>
      <c r="L7">
        <v>4.76</v>
      </c>
      <c r="M7" t="s">
        <v>199</v>
      </c>
      <c r="N7" t="s">
        <v>322</v>
      </c>
      <c r="O7" t="s">
        <v>367</v>
      </c>
      <c r="P7" t="s">
        <v>368</v>
      </c>
      <c r="Q7">
        <v>3.86</v>
      </c>
      <c r="R7" t="s">
        <v>369</v>
      </c>
      <c r="S7">
        <v>66837158</v>
      </c>
      <c r="T7" s="4">
        <v>-0.64259999999999995</v>
      </c>
      <c r="U7" t="s">
        <v>370</v>
      </c>
      <c r="V7">
        <v>28816705</v>
      </c>
      <c r="W7">
        <v>93338000</v>
      </c>
      <c r="X7">
        <v>1.04</v>
      </c>
      <c r="Y7">
        <v>0.06</v>
      </c>
      <c r="Z7">
        <v>33.869999999999997</v>
      </c>
      <c r="AA7" t="s">
        <v>371</v>
      </c>
      <c r="AB7" t="s">
        <v>372</v>
      </c>
      <c r="AC7" t="s">
        <v>373</v>
      </c>
      <c r="AD7" t="s">
        <v>374</v>
      </c>
      <c r="AE7" t="s">
        <v>375</v>
      </c>
      <c r="AF7">
        <v>-39902034</v>
      </c>
      <c r="AG7" t="s">
        <v>376</v>
      </c>
      <c r="AH7" t="s">
        <v>377</v>
      </c>
      <c r="AI7" t="s">
        <v>378</v>
      </c>
      <c r="AJ7" t="s">
        <v>379</v>
      </c>
      <c r="AK7" t="s">
        <v>380</v>
      </c>
      <c r="AL7" t="s">
        <v>7</v>
      </c>
      <c r="AM7" t="s">
        <v>381</v>
      </c>
      <c r="AN7" t="s">
        <v>7</v>
      </c>
      <c r="AO7">
        <v>0</v>
      </c>
      <c r="AP7" t="s">
        <v>7</v>
      </c>
      <c r="AQ7" t="s">
        <v>7</v>
      </c>
      <c r="AR7" t="s">
        <v>382</v>
      </c>
      <c r="AS7" t="s">
        <v>383</v>
      </c>
      <c r="AT7" t="s">
        <v>384</v>
      </c>
      <c r="AU7" t="s">
        <v>7</v>
      </c>
      <c r="AV7" t="s">
        <v>385</v>
      </c>
      <c r="AW7" t="s">
        <v>31</v>
      </c>
      <c r="AX7" t="s">
        <v>386</v>
      </c>
      <c r="AY7" t="s">
        <v>387</v>
      </c>
      <c r="AZ7" t="s">
        <v>26</v>
      </c>
      <c r="BA7" t="s">
        <v>388</v>
      </c>
      <c r="BB7" t="s">
        <v>21</v>
      </c>
      <c r="BC7" t="s">
        <v>19</v>
      </c>
      <c r="BD7" t="s">
        <v>389</v>
      </c>
      <c r="BE7" t="s">
        <v>390</v>
      </c>
      <c r="BF7" t="s">
        <v>391</v>
      </c>
      <c r="BG7" t="s">
        <v>29</v>
      </c>
      <c r="BH7" t="s">
        <v>392</v>
      </c>
      <c r="BI7" t="s">
        <v>30</v>
      </c>
      <c r="BJ7" t="s">
        <v>24</v>
      </c>
      <c r="BK7" t="s">
        <v>393</v>
      </c>
      <c r="BL7" t="s">
        <v>394</v>
      </c>
      <c r="BM7" t="s">
        <v>395</v>
      </c>
      <c r="BN7" t="s">
        <v>29</v>
      </c>
      <c r="BO7">
        <v>7.86</v>
      </c>
      <c r="BP7">
        <v>11.02</v>
      </c>
      <c r="BQ7">
        <v>15.93</v>
      </c>
      <c r="BR7">
        <v>9.43</v>
      </c>
      <c r="BS7">
        <v>10.73</v>
      </c>
      <c r="BT7">
        <v>19.45</v>
      </c>
      <c r="BU7" t="s">
        <v>396</v>
      </c>
      <c r="BV7" t="s">
        <v>288</v>
      </c>
      <c r="BW7">
        <v>80.400000000000006</v>
      </c>
      <c r="BX7">
        <v>86.71</v>
      </c>
      <c r="BY7">
        <v>86.25</v>
      </c>
      <c r="BZ7">
        <v>81.78</v>
      </c>
      <c r="CA7">
        <v>87.44</v>
      </c>
      <c r="CB7">
        <v>77.099999999999994</v>
      </c>
      <c r="CC7">
        <v>14.89</v>
      </c>
      <c r="CD7">
        <v>73.72</v>
      </c>
      <c r="CE7" t="s">
        <v>397</v>
      </c>
      <c r="CF7" t="s">
        <v>398</v>
      </c>
      <c r="CG7" s="23">
        <v>0.27329555555555557</v>
      </c>
      <c r="CH7" s="24">
        <v>-1.4222687246376813</v>
      </c>
      <c r="CI7" s="23">
        <v>0.19413919746875763</v>
      </c>
      <c r="CJ7" s="23">
        <v>0.20796459913253784</v>
      </c>
      <c r="CK7" s="23">
        <v>0.15897436439990997</v>
      </c>
      <c r="CL7" s="23">
        <v>0.15384615957736969</v>
      </c>
      <c r="CM7" s="23">
        <v>-5.5865921080112457E-2</v>
      </c>
      <c r="CN7" s="24">
        <v>0.17991632223129272</v>
      </c>
      <c r="CO7" s="24">
        <v>0.30601093173027039</v>
      </c>
      <c r="CP7" s="24">
        <v>0.27972027659416199</v>
      </c>
      <c r="CQ7" s="24">
        <v>0.2118644118309021</v>
      </c>
      <c r="CR7" s="24">
        <v>-0.15107913315296173</v>
      </c>
      <c r="CS7">
        <v>44.994070552147242</v>
      </c>
      <c r="CT7">
        <v>47793489.361702129</v>
      </c>
      <c r="CU7">
        <v>0.89086859688195985</v>
      </c>
      <c r="CV7" s="23">
        <v>0.13181167989969253</v>
      </c>
      <c r="CW7" s="24">
        <v>0.1652865618467331</v>
      </c>
      <c r="CX7">
        <v>0.06</v>
      </c>
      <c r="CY7">
        <v>38.910286820950262</v>
      </c>
      <c r="CZ7">
        <v>301104616.7280314</v>
      </c>
      <c r="DA7">
        <v>0.13181167989969253</v>
      </c>
      <c r="DB7">
        <v>12.275282536736865</v>
      </c>
      <c r="DC7">
        <v>954443774.71041727</v>
      </c>
      <c r="DD7">
        <v>0.1252210959047079</v>
      </c>
      <c r="DE7">
        <v>5.7604739432925882</v>
      </c>
      <c r="DF7">
        <v>2033872059.0242436</v>
      </c>
      <c r="DG7">
        <v>0.11599427831172943</v>
      </c>
      <c r="DH7">
        <v>3.2741489238119832</v>
      </c>
      <c r="DI7">
        <v>3578354947.3856463</v>
      </c>
      <c r="DJ7">
        <v>0.10544934391975402</v>
      </c>
      <c r="DK7">
        <v>1.4937693974003787</v>
      </c>
      <c r="DL7">
        <v>7843290283.2188044</v>
      </c>
      <c r="DM7">
        <v>9.2268175929784771E-2</v>
      </c>
      <c r="DN7">
        <v>282000000</v>
      </c>
      <c r="DO7">
        <v>0.13181167989969253</v>
      </c>
      <c r="DP7">
        <v>11716067000</v>
      </c>
      <c r="DQ7">
        <v>2668615200</v>
      </c>
      <c r="DR7">
        <v>4693</v>
      </c>
      <c r="DS7">
        <v>0.14148387565586304</v>
      </c>
      <c r="DT7">
        <v>-1.5875552864844145</v>
      </c>
      <c r="DU7" s="25">
        <v>0.56666666666666665</v>
      </c>
      <c r="DV7">
        <v>2.6666666666666616E-2</v>
      </c>
      <c r="DW7">
        <v>0.59333333333333327</v>
      </c>
      <c r="DX7">
        <v>9.2019804666304932</v>
      </c>
      <c r="DY7">
        <v>0.50683527212735757</v>
      </c>
      <c r="DZ7">
        <v>9.070053950108198</v>
      </c>
      <c r="EA7">
        <v>2361</v>
      </c>
      <c r="EB7">
        <v>9.0364502572586538</v>
      </c>
      <c r="EC7">
        <v>9</v>
      </c>
      <c r="ED7">
        <v>0.17613619319034049</v>
      </c>
      <c r="EE7">
        <v>0.50783817951959553</v>
      </c>
      <c r="EF7" s="22">
        <v>0.1484</v>
      </c>
      <c r="EG7">
        <v>0.14816300000000002</v>
      </c>
      <c r="EH7">
        <v>16.346835272127358</v>
      </c>
      <c r="EI7" t="s">
        <v>186</v>
      </c>
      <c r="EJ7">
        <v>1</v>
      </c>
      <c r="EK7">
        <v>0</v>
      </c>
      <c r="EL7" s="29">
        <v>44946</v>
      </c>
      <c r="EM7" s="30">
        <v>0.1162</v>
      </c>
      <c r="EN7" s="30">
        <v>4.8</v>
      </c>
      <c r="EO7" s="30">
        <v>-0.81</v>
      </c>
      <c r="EP7" s="30">
        <v>1.42</v>
      </c>
      <c r="EQ7" s="30">
        <v>-2.3699999999999999E-2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7" customFormat="1" ht="57.6" x14ac:dyDescent="0.25">
      <c r="A1" s="6" t="s">
        <v>33</v>
      </c>
      <c r="B1" s="7" t="s">
        <v>37</v>
      </c>
      <c r="C1" s="7" t="s">
        <v>34</v>
      </c>
      <c r="D1" s="7" t="s">
        <v>38</v>
      </c>
      <c r="E1" s="8" t="s">
        <v>35</v>
      </c>
      <c r="F1" s="8" t="s">
        <v>36</v>
      </c>
      <c r="G1" s="8" t="s">
        <v>44</v>
      </c>
      <c r="H1" s="8" t="s">
        <v>39</v>
      </c>
      <c r="I1" s="8" t="s">
        <v>40</v>
      </c>
      <c r="J1" s="8" t="s">
        <v>41</v>
      </c>
      <c r="K1" s="8" t="s">
        <v>42</v>
      </c>
      <c r="L1" s="7" t="s">
        <v>43</v>
      </c>
      <c r="M1" s="7" t="s">
        <v>45</v>
      </c>
      <c r="N1" s="7" t="s">
        <v>46</v>
      </c>
      <c r="O1" s="7" t="s">
        <v>47</v>
      </c>
      <c r="P1" s="7" t="s">
        <v>48</v>
      </c>
      <c r="Q1" s="7" t="s">
        <v>49</v>
      </c>
      <c r="R1" s="11" t="s">
        <v>50</v>
      </c>
      <c r="S1" s="7" t="s">
        <v>51</v>
      </c>
      <c r="T1" s="7" t="s">
        <v>52</v>
      </c>
      <c r="U1" s="7" t="s">
        <v>53</v>
      </c>
      <c r="V1" s="7" t="s">
        <v>54</v>
      </c>
      <c r="W1" s="7" t="s">
        <v>55</v>
      </c>
      <c r="X1" s="7" t="s">
        <v>56</v>
      </c>
      <c r="Y1" s="7" t="s">
        <v>57</v>
      </c>
      <c r="Z1" s="7" t="s">
        <v>58</v>
      </c>
      <c r="AA1" s="7" t="s">
        <v>59</v>
      </c>
      <c r="AB1" s="7" t="s">
        <v>60</v>
      </c>
      <c r="AC1" s="7" t="s">
        <v>61</v>
      </c>
      <c r="AD1" s="15" t="s">
        <v>62</v>
      </c>
      <c r="AE1" s="7" t="s">
        <v>63</v>
      </c>
      <c r="AF1" s="7" t="s">
        <v>64</v>
      </c>
    </row>
    <row r="2" spans="1:32" ht="13.95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金融资讯及数据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