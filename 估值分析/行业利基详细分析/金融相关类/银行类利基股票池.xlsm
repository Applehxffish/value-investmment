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金融相关类\"/>
    </mc:Choice>
  </mc:AlternateContent>
  <bookViews>
    <workbookView xWindow="-108" yWindow="-108" windowWidth="20268" windowHeight="9132"/>
  </bookViews>
  <sheets>
    <sheet name="国有大型银行" sheetId="49" r:id="rId1"/>
    <sheet name="股份制银行" sheetId="50" r:id="rId2"/>
    <sheet name="城商行" sheetId="51" r:id="rId3"/>
    <sheet name="农商行" sheetId="52" r:id="rId4"/>
    <sheet name="公司价值折现" sheetId="42" r:id="rId5"/>
    <sheet name="基本面模型" sheetId="23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<sst xmlns="http://schemas.openxmlformats.org/spreadsheetml/2006/main" count="1073" uniqueCount="493">
  <si>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</si>
  <si>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</si>
  <si>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</si>
  <si>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</si>
  <si>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</si>
  <si>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</si>
  <si>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</si>
  <si>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预期多</t>
    <phoneticPr fontId="1" type="noConversion"/>
  </si>
  <si>
    <t>预期空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</si>
  <si>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</si>
  <si>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</si>
  <si>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</si>
  <si>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</si>
  <si>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</si>
  <si>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</si>
  <si>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</si>
  <si>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</si>
  <si>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</si>
  <si>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</si>
  <si>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</si>
  <si>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</si>
  <si>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</si>
  <si>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</si>
  <si>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</si>
  <si>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</si>
  <si>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</si>
  <si>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</si>
  <si>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</si>
  <si>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</si>
  <si>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</si>
  <si>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</si>
  <si>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</si>
  <si>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</si>
  <si>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</si>
  <si>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</si>
  <si>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</si>
  <si>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</si>
  <si>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</si>
  <si>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</si>
  <si>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</si>
  <si>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</si>
  <si>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</si>
  <si>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</si>
  <si>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</si>
  <si>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</si>
  <si>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</si>
  <si>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</si>
  <si>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</si>
  <si>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</si>
  <si>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</si>
  <si>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</si>
  <si>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</si>
  <si>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</si>
  <si>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</si>
  <si>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</si>
  <si>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</si>
  <si>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</si>
  <si>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</si>
  <si>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</si>
  <si>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</si>
  <si>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</si>
  <si>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</si>
  <si>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</si>
  <si>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</si>
  <si>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</si>
  <si>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</si>
  <si>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</si>
  <si>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</si>
  <si>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</si>
  <si>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</si>
  <si>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</si>
  <si>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</si>
  <si>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</si>
  <si>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</si>
  <si>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</si>
  <si>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</si>
  <si>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</si>
  <si>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</si>
  <si>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</si>
  <si>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</si>
  <si>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</si>
  <si>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</si>
  <si>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</si>
  <si>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</si>
  <si>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</si>
  <si>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</si>
  <si>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</si>
  <si>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</si>
  <si>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</si>
  <si>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近期roe</t>
    <phoneticPr fontId="1" type="noConversion"/>
  </si>
  <si>
    <t>过往营收增速均值</t>
    <phoneticPr fontId="1" type="noConversion"/>
  </si>
  <si>
    <t>20增速</t>
  </si>
  <si>
    <t>当期自由现金流估计值</t>
  </si>
  <si>
    <t>自由现金流估计增速</t>
  </si>
  <si>
    <t>量价齐升策略</t>
    <phoneticPr fontId="1" type="noConversion"/>
  </si>
  <si>
    <t>20年自由现金流折现</t>
    <phoneticPr fontId="1" type="noConversion"/>
  </si>
  <si>
    <t>原始排序</t>
    <phoneticPr fontId="1" type="noConversion"/>
  </si>
  <si>
    <t>价格变动策略</t>
    <phoneticPr fontId="1" type="noConversion"/>
  </si>
  <si>
    <t>综合策略</t>
    <phoneticPr fontId="1" type="noConversion"/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</si>
  <si>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</si>
  <si>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</si>
  <si>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</si>
  <si>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</si>
  <si>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</si>
  <si>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</si>
  <si>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</si>
  <si>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</si>
  <si>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</si>
  <si>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</si>
  <si>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</si>
  <si>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</si>
  <si>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</si>
  <si>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</si>
  <si>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</si>
  <si>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</si>
  <si>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</si>
  <si>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</si>
  <si>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</si>
  <si>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</si>
  <si>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</si>
  <si>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</si>
  <si>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</si>
  <si>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</si>
  <si>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</si>
  <si>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</si>
  <si>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</si>
  <si>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已知和基本信息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</si>
  <si>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</si>
  <si>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</si>
  <si>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</si>
  <si>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</si>
  <si>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</si>
  <si>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</si>
  <si>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</si>
  <si>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</si>
  <si>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</si>
  <si>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</si>
  <si>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</si>
  <si>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</si>
  <si>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扣非对比净利润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</si>
  <si>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</si>
  <si>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</si>
  <si>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</si>
  <si>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</si>
  <si>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</si>
  <si>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</si>
  <si>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</si>
  <si>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</si>
  <si>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</si>
  <si>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</si>
  <si>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</si>
  <si>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</si>
  <si>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</si>
  <si>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</si>
  <si>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</si>
  <si>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</si>
  <si>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</si>
  <si>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成交量综合策略</t>
    <phoneticPr fontId="1" type="noConversion"/>
  </si>
  <si>
    <t>基本面排序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</si>
  <si>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</si>
  <si>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</si>
  <si>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</si>
  <si>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</si>
  <si>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</si>
  <si>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</si>
  <si>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</si>
  <si>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</si>
  <si>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SH601398</t>
  </si>
  <si>
    <t>工商银行</t>
  </si>
  <si>
    <t>1.42亿</t>
  </si>
  <si>
    <t>银行</t>
  </si>
  <si>
    <t>SH601939</t>
  </si>
  <si>
    <t>建设银行</t>
  </si>
  <si>
    <t>3090.36万</t>
  </si>
  <si>
    <t>SH601288</t>
  </si>
  <si>
    <t>农业银行</t>
  </si>
  <si>
    <t>3.06亿</t>
  </si>
  <si>
    <t>SH601988</t>
  </si>
  <si>
    <t>中国银行</t>
  </si>
  <si>
    <t>7515.13万</t>
  </si>
  <si>
    <t>SH601658</t>
  </si>
  <si>
    <t>邮储银行</t>
  </si>
  <si>
    <t>7505.13万</t>
  </si>
  <si>
    <t>SH601328</t>
  </si>
  <si>
    <t>交通银行</t>
  </si>
  <si>
    <t>4684.58万</t>
  </si>
  <si>
    <t>SH600036</t>
  </si>
  <si>
    <t>招商银行</t>
  </si>
  <si>
    <t>4134.03万</t>
  </si>
  <si>
    <t>SH601166</t>
  </si>
  <si>
    <t>兴业银行</t>
  </si>
  <si>
    <t>6369.01万</t>
  </si>
  <si>
    <t>SZ000001</t>
  </si>
  <si>
    <t>平安银行</t>
  </si>
  <si>
    <t>6085.90万</t>
  </si>
  <si>
    <t>SH601998</t>
  </si>
  <si>
    <t>中信银行</t>
  </si>
  <si>
    <t>2448.44万</t>
  </si>
  <si>
    <t>SH600000</t>
  </si>
  <si>
    <t>浦发银行</t>
  </si>
  <si>
    <t>2098.70万</t>
  </si>
  <si>
    <t>SH601818</t>
  </si>
  <si>
    <t>光大银行</t>
  </si>
  <si>
    <t>7717.88万</t>
  </si>
  <si>
    <t>SH600016</t>
  </si>
  <si>
    <t>民生银行</t>
  </si>
  <si>
    <t>4535.82万</t>
  </si>
  <si>
    <t>SH600015</t>
  </si>
  <si>
    <t>华夏银行</t>
  </si>
  <si>
    <t>1850.62万</t>
  </si>
  <si>
    <t>SH601916</t>
  </si>
  <si>
    <t>浙商银行</t>
  </si>
  <si>
    <t>4216.99万</t>
  </si>
  <si>
    <t>SZ002142</t>
  </si>
  <si>
    <t>宁波银行</t>
  </si>
  <si>
    <t>2093.64万</t>
  </si>
  <si>
    <t>SH600919</t>
  </si>
  <si>
    <t>江苏银行</t>
  </si>
  <si>
    <t>5930.05万</t>
  </si>
  <si>
    <t>SH601009</t>
  </si>
  <si>
    <t>南京银行</t>
  </si>
  <si>
    <t>1146.90万</t>
  </si>
  <si>
    <t>SH601169</t>
  </si>
  <si>
    <t>北京银行</t>
  </si>
  <si>
    <t>3641.76万</t>
  </si>
  <si>
    <t>SH601229</t>
  </si>
  <si>
    <t>上海银行</t>
  </si>
  <si>
    <t>1585.48万</t>
  </si>
  <si>
    <t>SH600926</t>
  </si>
  <si>
    <t>杭州银行</t>
  </si>
  <si>
    <t>1571.07万</t>
  </si>
  <si>
    <t>SH601838</t>
  </si>
  <si>
    <t>成都银行</t>
  </si>
  <si>
    <t>3204.29万</t>
  </si>
  <si>
    <t>SZ002966</t>
  </si>
  <si>
    <t>苏州银行</t>
  </si>
  <si>
    <t>1883.91万</t>
  </si>
  <si>
    <t>SH601577</t>
  </si>
  <si>
    <t>长沙银行</t>
  </si>
  <si>
    <t>1130.80万</t>
  </si>
  <si>
    <t>SH601963</t>
  </si>
  <si>
    <t>重庆银行</t>
  </si>
  <si>
    <t>535.56万</t>
  </si>
  <si>
    <t>SZ001227</t>
  </si>
  <si>
    <t>兰州银行</t>
  </si>
  <si>
    <t>2221.47万</t>
  </si>
  <si>
    <t>SH601997</t>
  </si>
  <si>
    <t>贵阳银行</t>
  </si>
  <si>
    <t>1205.00万</t>
  </si>
  <si>
    <t>SZ002948</t>
  </si>
  <si>
    <t>青岛银行</t>
  </si>
  <si>
    <t>2173.59万</t>
  </si>
  <si>
    <t>SZ002936</t>
  </si>
  <si>
    <t>郑州银行</t>
  </si>
  <si>
    <t>2008.94万</t>
  </si>
  <si>
    <t>SH601665</t>
  </si>
  <si>
    <t>齐鲁银行</t>
  </si>
  <si>
    <t>1349.21万</t>
  </si>
  <si>
    <t>SH600928</t>
  </si>
  <si>
    <t>西安银行</t>
  </si>
  <si>
    <t>1119.53万</t>
  </si>
  <si>
    <t>SH601187</t>
  </si>
  <si>
    <t>厦门银行</t>
  </si>
  <si>
    <t>630.60万</t>
  </si>
  <si>
    <t>SH601825</t>
  </si>
  <si>
    <t>沪农商行</t>
  </si>
  <si>
    <t>921.41万</t>
  </si>
  <si>
    <t>SH601077</t>
  </si>
  <si>
    <t>渝农商行</t>
  </si>
  <si>
    <t>2852.22万</t>
  </si>
  <si>
    <t>SH601128</t>
  </si>
  <si>
    <t>常熟银行</t>
  </si>
  <si>
    <t>2272.74万</t>
  </si>
  <si>
    <t>SZ002958</t>
  </si>
  <si>
    <t>青农商行</t>
  </si>
  <si>
    <t>1358.36万</t>
  </si>
  <si>
    <t>SH601528</t>
  </si>
  <si>
    <t>瑞丰银行</t>
  </si>
  <si>
    <t>5764.05万</t>
  </si>
  <si>
    <t>SH600908</t>
  </si>
  <si>
    <t>无锡银行</t>
  </si>
  <si>
    <t>2089.12万</t>
  </si>
  <si>
    <t>SZ002839</t>
  </si>
  <si>
    <t>张家港行</t>
  </si>
  <si>
    <t>2180.01万</t>
  </si>
  <si>
    <t>SH601860</t>
  </si>
  <si>
    <t>紫金银行</t>
  </si>
  <si>
    <t>3490.72万</t>
  </si>
  <si>
    <t>SZ002807</t>
  </si>
  <si>
    <t>江阴银行</t>
  </si>
  <si>
    <t>4164.41万</t>
  </si>
  <si>
    <t>SH603323</t>
  </si>
  <si>
    <t>苏农银行</t>
  </si>
  <si>
    <t>1664.28万</t>
  </si>
  <si>
    <t>361216.56亿</t>
  </si>
  <si>
    <t>34290.05亿</t>
  </si>
  <si>
    <t>711392000000亿</t>
  </si>
  <si>
    <t>9427.62亿</t>
  </si>
  <si>
    <t>3483.38亿</t>
  </si>
  <si>
    <t>--</t>
  </si>
  <si>
    <t>33468000000亿</t>
  </si>
  <si>
    <t>28.25亿</t>
  </si>
  <si>
    <t>263765000000亿</t>
  </si>
  <si>
    <t>0亿</t>
  </si>
  <si>
    <t>2805.29亿</t>
  </si>
  <si>
    <t>172.82亿</t>
  </si>
  <si>
    <t>18425.51亿</t>
  </si>
  <si>
    <t>-6784.88亿</t>
  </si>
  <si>
    <t>-428.13亿</t>
  </si>
  <si>
    <t>8826.65亿</t>
  </si>
  <si>
    <t>8554.28亿</t>
  </si>
  <si>
    <t>7737.89亿</t>
  </si>
  <si>
    <t>7265.02亿</t>
  </si>
  <si>
    <t>6758.91亿</t>
  </si>
  <si>
    <t>3159.06亿</t>
  </si>
  <si>
    <t>3122.24亿</t>
  </si>
  <si>
    <t>2976.76亿</t>
  </si>
  <si>
    <t>2860.49亿</t>
  </si>
  <si>
    <t>2782.49亿</t>
  </si>
  <si>
    <t>4872.70亿</t>
  </si>
  <si>
    <t>7120.93亿</t>
  </si>
  <si>
    <t>4677.93亿</t>
  </si>
  <si>
    <t>1715.06亿</t>
  </si>
  <si>
    <t>2518.21亿</t>
  </si>
  <si>
    <t>1634.73亿</t>
  </si>
  <si>
    <t>10派2.933元(含税)</t>
  </si>
  <si>
    <t>国有大型银行</t>
  </si>
  <si>
    <t>7.61亿</t>
  </si>
  <si>
    <t>51.95亿</t>
  </si>
  <si>
    <t/>
  </si>
  <si>
    <t xml:space="preserve">公司是一家主要从事公司和个人金融业务、资金业务、投资银行业务,并提供资产管理、信托、金融租赁及其他金融服务的商业银行,是目前中国最大的商业银行,本外币合计存贷款市场份额均占据国内25%左右.公司是目前全球市值最大、客户存款第一和盈利最多的银行.
市值15432.391亿, 利润3483.38亿; PE4.26, PB.505; ROIC0%; ROE12.3833%; 股利率6.7737%; 毛利0%; 净利36.0167%; 上一年度营收增6.81%, 利润增10.27%; 当季营收增-8.26%, 利润增6.76%; 过往5年营收增6.91%, 利润增4.64%
Income profile:
利息收入 6200.23亿 81.21%
手续费及佣金收入 836.49亿 10.96%
其他业务收入 434.04亿 5.68%
投资收益/(损失) 216.62亿 2.84% </t>
  </si>
  <si>
    <t>314863.58亿</t>
  </si>
  <si>
    <t>28133.37亿</t>
  </si>
  <si>
    <t>630539000000亿</t>
  </si>
  <si>
    <t>8242.46亿</t>
  </si>
  <si>
    <t>3025.13亿</t>
  </si>
  <si>
    <t>13346000000亿</t>
  </si>
  <si>
    <t>8.09亿</t>
  </si>
  <si>
    <t>247151000000亿</t>
  </si>
  <si>
    <t>1669.34亿</t>
  </si>
  <si>
    <t>8242.65亿</t>
  </si>
  <si>
    <t>-5624.24亿</t>
  </si>
  <si>
    <t>71.11亿</t>
  </si>
  <si>
    <t>7558.58亿</t>
  </si>
  <si>
    <t>7056.29亿</t>
  </si>
  <si>
    <t>6588.91亿</t>
  </si>
  <si>
    <t>6216.59亿</t>
  </si>
  <si>
    <t>6050.90亿</t>
  </si>
  <si>
    <t>2710.50亿</t>
  </si>
  <si>
    <t>2667.33亿</t>
  </si>
  <si>
    <t>2546.55亿</t>
  </si>
  <si>
    <t>2422.64亿</t>
  </si>
  <si>
    <t>2314.60亿</t>
  </si>
  <si>
    <t>4359.70亿</t>
  </si>
  <si>
    <t>6244.05亿</t>
  </si>
  <si>
    <t>4163.32亿</t>
  </si>
  <si>
    <t>1616.42亿</t>
  </si>
  <si>
    <t>2321.53亿</t>
  </si>
  <si>
    <t>1533.00亿</t>
  </si>
  <si>
    <t>10派3.64元(含税)</t>
  </si>
  <si>
    <t>2.08亿</t>
  </si>
  <si>
    <t>13.95亿</t>
  </si>
  <si>
    <t>公司成立于2004年9月17日，其主营业务为银行业及有关的金融服务，主要产品有公司存款业务、公司贷款业务、小企业业务、个人存款业务、个人贷款业务、信用卡业务、借记卡业务、私人银行业务、委托性住房金融业务。
市值14075.618亿, 利润3025.13亿; PE4.43, PB.531; ROIC0%; ROE12.6167%; 股利率6.4654%; 毛利0%; 净利37.1467%; 上一年度营收增9.05%, 利润增11.61%; 当季营收增-6.49%, 利润增8.61%; 过往5年营收增6.4%, 利润增5.55%
Income profile:
利息收入 5649.57亿 81.65%
手续费及佣金收入 771.39亿 11.15%
其他业务收入 465.24亿 6.72%
投资收益 75.75亿 1.09%</t>
  </si>
  <si>
    <t>311945.74亿</t>
  </si>
  <si>
    <t>26318.78亿</t>
  </si>
  <si>
    <t>564620000000亿</t>
  </si>
  <si>
    <t>7199.15亿</t>
  </si>
  <si>
    <t>2411.83亿</t>
  </si>
  <si>
    <t>7537000000亿</t>
  </si>
  <si>
    <t>7.68亿</t>
  </si>
  <si>
    <t>197695000000亿</t>
  </si>
  <si>
    <t>1379.42亿</t>
  </si>
  <si>
    <t>98.85亿</t>
  </si>
  <si>
    <t>13891.97亿</t>
  </si>
  <si>
    <t>-8433.48亿</t>
  </si>
  <si>
    <t>3326.60亿</t>
  </si>
  <si>
    <t>6579.61亿</t>
  </si>
  <si>
    <t>6272.68亿</t>
  </si>
  <si>
    <t>5985.88亿</t>
  </si>
  <si>
    <t>5370.41亿</t>
  </si>
  <si>
    <t>5060.16亿</t>
  </si>
  <si>
    <t>2159.25亿</t>
  </si>
  <si>
    <t>2120.98亿</t>
  </si>
  <si>
    <t>2027.83亿</t>
  </si>
  <si>
    <t>1929.62亿</t>
  </si>
  <si>
    <t>1839.41亿</t>
  </si>
  <si>
    <t>3871.96亿</t>
  </si>
  <si>
    <t>5448.97亿</t>
  </si>
  <si>
    <t>3655.37亿</t>
  </si>
  <si>
    <t>1289.45亿</t>
  </si>
  <si>
    <t>1867.09亿</t>
  </si>
  <si>
    <t>1222.78亿</t>
  </si>
  <si>
    <t>10派2.068元(含税)</t>
  </si>
  <si>
    <t>15.09亿</t>
  </si>
  <si>
    <t>80.99亿</t>
  </si>
  <si>
    <t xml:space="preserve">公司是一家金融服务商业银行,公司主要业务包括公司银行业务、个人银行业务、资金业务及其他,
市值10219.5046亿, 利润2411.83亿; PE4.06, PB.468; ROIC0%; ROE11.7833%; 股利率7.0822%; 毛利0%; 净利33.3767%; 上一年度营收增9.42%, 利润增11.7%; 当季营收增-1.08%, 利润增6.41%; 过往5年营收增7.34%, 利润增5.62%
Income profile:
利息收入 5427.73亿 85.28%
手续费及佣金收入 562.27亿 8.83%
其他业务收入 270.75亿 4.25%
投资损益 80.07亿 1.26%
公允价值变动损益 47.51亿 0.75% </t>
  </si>
  <si>
    <t>261203.29亿</t>
  </si>
  <si>
    <t>25189.58亿</t>
  </si>
  <si>
    <t>467818000000亿</t>
  </si>
  <si>
    <t>6055.59亿</t>
  </si>
  <si>
    <t>2165.59亿</t>
  </si>
  <si>
    <t>16352000000亿</t>
  </si>
  <si>
    <t>7.86亿</t>
  </si>
  <si>
    <t>172800000000亿</t>
  </si>
  <si>
    <t>2484.65亿</t>
  </si>
  <si>
    <t>-3133.67亿</t>
  </si>
  <si>
    <t>966.88亿</t>
  </si>
  <si>
    <t>-867.88亿</t>
  </si>
  <si>
    <t>5655.31亿</t>
  </si>
  <si>
    <t>5491.82亿</t>
  </si>
  <si>
    <t>5041.07亿</t>
  </si>
  <si>
    <t>4832.78亿</t>
  </si>
  <si>
    <t>4836.30亿</t>
  </si>
  <si>
    <t>1928.70亿</t>
  </si>
  <si>
    <t>1874.05亿</t>
  </si>
  <si>
    <t>1800.86亿</t>
  </si>
  <si>
    <t>1724.07亿</t>
  </si>
  <si>
    <t>1645.78亿</t>
  </si>
  <si>
    <t>3132.54亿</t>
  </si>
  <si>
    <t>4560.74亿</t>
  </si>
  <si>
    <t>3029.88亿</t>
  </si>
  <si>
    <t>1199.24亿</t>
  </si>
  <si>
    <t>1635.23亿</t>
  </si>
  <si>
    <t>1128.13亿</t>
  </si>
  <si>
    <t>10派2.21元(含税)</t>
  </si>
  <si>
    <t>4.61亿</t>
  </si>
  <si>
    <t>29.57亿</t>
  </si>
  <si>
    <t xml:space="preserve">公司是一家主要从事吸收人民币存款;发放短期、中期和长期贷款等的股份制商业银行.公司是中国第四大国有商业银行,拥有最广泛的海外分支机构网络,在外汇存贷款、国际结算、外汇资金和银行卡等业务领域居于领先地位.
市值9479.2869亿, 利润2165.59亿; PE4.19, PB.471; ROIC0%; ROE11.1133%; 股利率6.8634%; 毛利0%; 净利37.57%; 上一年度营收增7.08%, 利润增12.28%; 当季营收增.97%, 利润增4.83%; 过往5年营收增4.65%, 利润增5.69%
Income profile:
利息收入 4190.11亿 81.35%
手续费及佣金收入 499.17亿 9.69%
其他业务收入 332.92亿 6.46%
投资收益 112.58亿 2.19% </t>
  </si>
  <si>
    <t>127050.54亿</t>
  </si>
  <si>
    <t>8180.07亿</t>
  </si>
  <si>
    <t>256931000000亿</t>
  </si>
  <si>
    <t>3187.62亿</t>
  </si>
  <si>
    <t>761.70亿</t>
  </si>
  <si>
    <t>16954000000亿</t>
  </si>
  <si>
    <t>2.62亿</t>
  </si>
  <si>
    <t>73690000000亿</t>
  </si>
  <si>
    <t>550.33亿</t>
  </si>
  <si>
    <t>1292.14亿</t>
  </si>
  <si>
    <t>-2474.09亿</t>
  </si>
  <si>
    <t>-366.74亿</t>
  </si>
  <si>
    <t>2862.02亿</t>
  </si>
  <si>
    <t>2768.09亿</t>
  </si>
  <si>
    <t>2609.95亿</t>
  </si>
  <si>
    <t>2245.72亿</t>
  </si>
  <si>
    <t>1888.09亿</t>
  </si>
  <si>
    <t>641.99亿</t>
  </si>
  <si>
    <t>609.33亿</t>
  </si>
  <si>
    <t>523.11亿</t>
  </si>
  <si>
    <t>476.83亿</t>
  </si>
  <si>
    <t>398.01亿</t>
  </si>
  <si>
    <t>1734.61亿</t>
  </si>
  <si>
    <t>2383.58亿</t>
  </si>
  <si>
    <t>1576.53亿</t>
  </si>
  <si>
    <t>471.14亿</t>
  </si>
  <si>
    <t>645.07亿</t>
  </si>
  <si>
    <t>410.10亿</t>
  </si>
  <si>
    <t>10派2.474元(含税)</t>
  </si>
  <si>
    <t>4.89亿</t>
  </si>
  <si>
    <t>28.67亿</t>
  </si>
  <si>
    <t>公司主营业务提供银行及相关金融服务。主要产品是个人银行业务、公司银行业务及资金业务。
市值4526.8144亿, 利润761.70亿; PE5.29, PB.669; ROIC0%; ROE12.2667%; 股利率5.049%; 毛利0%; 净利23.9033%; 上一年度营收增11.38%, 利润增18.65%; 当季营收增3.43%, 利润增13.78%; 过往5年营收增11.2%, 利润增14%
Income profile:
利息收入 2354.47亿 82.91%
手续费及佣金收入 300.74亿 10.59%
投资收益 112.99亿 3.98%
汇兑收益 47.14亿 1.66%
公允价值变动收益 19.97亿 0.70%</t>
  </si>
  <si>
    <t>116807.66亿</t>
  </si>
  <si>
    <t>10124.37亿</t>
  </si>
  <si>
    <t>210076000000亿</t>
  </si>
  <si>
    <t>2693.90亿</t>
  </si>
  <si>
    <t>875.81亿</t>
  </si>
  <si>
    <t>11854000000亿</t>
  </si>
  <si>
    <t>2.71亿</t>
  </si>
  <si>
    <t>67439000000亿</t>
  </si>
  <si>
    <t>1854.38亿</t>
  </si>
  <si>
    <t>32.91亿</t>
  </si>
  <si>
    <t>893.02亿</t>
  </si>
  <si>
    <t>-404.22亿</t>
  </si>
  <si>
    <t>-234.03亿</t>
  </si>
  <si>
    <t>2462.00亿</t>
  </si>
  <si>
    <t>2324.72亿</t>
  </si>
  <si>
    <t>2126.54亿</t>
  </si>
  <si>
    <t>1960.11亿</t>
  </si>
  <si>
    <t>1931.94亿</t>
  </si>
  <si>
    <t>782.74亿</t>
  </si>
  <si>
    <t>772.81亿</t>
  </si>
  <si>
    <t>736.30亿</t>
  </si>
  <si>
    <t>702.23亿</t>
  </si>
  <si>
    <t>672.10亿</t>
  </si>
  <si>
    <t>1433.86亿</t>
  </si>
  <si>
    <t>1999.70亿</t>
  </si>
  <si>
    <t>1338.95亿</t>
  </si>
  <si>
    <t>440.40亿</t>
  </si>
  <si>
    <t>643.60亿</t>
  </si>
  <si>
    <t>420.19亿</t>
  </si>
  <si>
    <t>10派3.55元(含税)</t>
  </si>
  <si>
    <t>3.18亿</t>
  </si>
  <si>
    <t>20.07亿</t>
  </si>
  <si>
    <t xml:space="preserve">公司主营业务为提供银行及相关金融服务，是中国主要金融服务供货商之一，业务范围涵盖了商业银行、证券、信托、金融租赁、基金管理、保险、离岸金融服务等
市值3616.5948亿, 利润875.81亿; PE3.97, PB.438; ROIC0%; ROE10.77%; 股利率7.2895%; 毛利0%; 净利32.2267%; 上一年度营收增9.42%, 利润增11.89%; 当季营收增.93%, 利润增6.72%; 过往5年营收增6.92%, 利润增5.49%
Income profile:
利息收入 2025.68亿 76.94%
手续费及佣金收入 270.72亿 10.28%
保险业务收入 135.19亿 5.13%
其他业务收入 91.21亿 3.46%
投资收益 82.65亿 3.14%
汇兑及汇率产品净收益 43.91亿 1.67%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</si>
</sst>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  <font>
      <sz val="9"/>
      <color theme="1"/>
      <name val="宋体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7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6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left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14" fontId="4" fillId="2" borderId="0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14" fontId="5" fillId="0" borderId="0" xfId="2" applyNumberFormat="1" applyBorder="1" applyAlignment="1">
      <alignment vertical="center" wrapText="1"/>
    </xf>
    <xf numFmtId="0" fontId="9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5.vml"/><Relationship Id="rId7" Type="http://schemas.openxmlformats.org/officeDocument/2006/relationships/image" Target="../media/image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Q8"/>
  <sheetViews>
    <sheetView tabSelected="1" topLeftCell="A2" workbookViewId="0">
      <selection activeCell="D4" sqref="D4"/>
    </sheetView>
  </sheetViews>
  <sheetFormatPr defaultRowHeight="14.4" x14ac:dyDescent="0.25"/>
  <cols>
    <col min="1" max="1" width="10.109375" customWidth="1"/>
    <col min="2" max="2" width="29.33203125" customWidth="1"/>
    <col min="3" max="3" width="35.44140625" customWidth="1"/>
    <col min="4" max="4" width="42.21875" customWidth="1"/>
  </cols>
  <sheetData>
    <row r="1" spans="1:147" s="14" customFormat="1" x14ac:dyDescent="0.25">
      <c r="A1" s="15" t="s">
        <v>49</v>
      </c>
      <c r="B1" s="18" t="s">
        <v>7</v>
      </c>
      <c r="C1" s="19" t="s">
        <v>8</v>
      </c>
      <c r="D1" s="18" t="s">
        <v>126</v>
      </c>
      <c r="E1" t="s">
        <v>2</v>
      </c>
      <c r="F1" t="s">
        <v>3</v>
      </c>
      <c r="G1" t="s">
        <v>0</v>
      </c>
      <c r="H1" t="s">
        <v>99</v>
      </c>
      <c r="I1" t="s">
        <v>127</v>
      </c>
      <c r="J1" t="s">
        <v>4</v>
      </c>
      <c r="K1" t="s">
        <v>5</v>
      </c>
      <c r="L1" t="s">
        <v>1</v>
      </c>
      <c r="M1" t="s">
        <v>6</v>
      </c>
      <c r="N1" t="s">
        <v>9</v>
      </c>
      <c r="O1" t="s">
        <v>10</v>
      </c>
      <c r="P1" t="s">
        <v>11</v>
      </c>
      <c r="Q1" t="s">
        <v>128</v>
      </c>
      <c r="R1" t="s">
        <v>100</v>
      </c>
      <c r="S1" t="s">
        <v>129</v>
      </c>
      <c r="T1" t="s">
        <v>12</v>
      </c>
      <c r="U1" t="s">
        <v>101</v>
      </c>
      <c r="V1" t="s">
        <v>102</v>
      </c>
      <c r="W1" t="s">
        <v>13</v>
      </c>
      <c r="X1" t="s">
        <v>71</v>
      </c>
      <c r="Y1" t="s">
        <v>72</v>
      </c>
      <c r="Z1" t="s">
        <v>73</v>
      </c>
      <c r="AA1" t="s">
        <v>74</v>
      </c>
      <c r="AB1" t="s">
        <v>75</v>
      </c>
      <c r="AC1" t="s">
        <v>103</v>
      </c>
      <c r="AD1" t="s">
        <v>76</v>
      </c>
      <c r="AE1" t="s">
        <v>130</v>
      </c>
      <c r="AF1" t="s">
        <v>14</v>
      </c>
      <c r="AG1" t="s">
        <v>15</v>
      </c>
      <c r="AH1" t="s">
        <v>104</v>
      </c>
      <c r="AI1" t="s">
        <v>131</v>
      </c>
      <c r="AJ1" t="s">
        <v>105</v>
      </c>
      <c r="AK1" t="s">
        <v>16</v>
      </c>
      <c r="AL1" t="s">
        <v>106</v>
      </c>
      <c r="AM1" t="s">
        <v>50</v>
      </c>
      <c r="AN1" t="s">
        <v>107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  <c r="AT1" t="s">
        <v>113</v>
      </c>
      <c r="AU1" t="s">
        <v>114</v>
      </c>
      <c r="AV1" t="s">
        <v>115</v>
      </c>
      <c r="AW1" t="s">
        <v>116</v>
      </c>
      <c r="AX1" t="s">
        <v>117</v>
      </c>
      <c r="AY1" t="s">
        <v>132</v>
      </c>
      <c r="AZ1" t="s">
        <v>51</v>
      </c>
      <c r="BA1" t="s">
        <v>52</v>
      </c>
      <c r="BB1" t="s">
        <v>53</v>
      </c>
      <c r="BC1" t="s">
        <v>54</v>
      </c>
      <c r="BD1" t="s">
        <v>60</v>
      </c>
      <c r="BE1" t="s">
        <v>55</v>
      </c>
      <c r="BF1" t="s">
        <v>56</v>
      </c>
      <c r="BG1" t="s">
        <v>57</v>
      </c>
      <c r="BH1" t="s">
        <v>58</v>
      </c>
      <c r="BI1" t="s">
        <v>133</v>
      </c>
      <c r="BJ1" t="s">
        <v>118</v>
      </c>
      <c r="BK1" t="s">
        <v>59</v>
      </c>
      <c r="BL1" t="s">
        <v>119</v>
      </c>
      <c r="BM1" t="s">
        <v>120</v>
      </c>
      <c r="BN1" t="s">
        <v>121</v>
      </c>
      <c r="BO1" t="s">
        <v>122</v>
      </c>
      <c r="BP1" t="s">
        <v>61</v>
      </c>
      <c r="BQ1" t="s">
        <v>62</v>
      </c>
      <c r="BR1" t="s">
        <v>63</v>
      </c>
      <c r="BS1" t="s">
        <v>123</v>
      </c>
      <c r="BT1" t="s">
        <v>64</v>
      </c>
      <c r="BU1" t="s">
        <v>65</v>
      </c>
      <c r="BV1" t="s">
        <v>66</v>
      </c>
      <c r="BW1" t="s">
        <v>124</v>
      </c>
      <c r="BX1" t="s">
        <v>67</v>
      </c>
      <c r="BY1" t="s">
        <v>68</v>
      </c>
      <c r="BZ1" t="s">
        <v>125</v>
      </c>
      <c r="CA1" t="s">
        <v>69</v>
      </c>
      <c r="CB1" t="s">
        <v>70</v>
      </c>
      <c r="CC1" t="s">
        <v>134</v>
      </c>
      <c r="CD1" t="s">
        <v>135</v>
      </c>
      <c r="CE1" t="s">
        <v>136</v>
      </c>
      <c r="CF1" t="s">
        <v>137</v>
      </c>
      <c r="CG1" s="1" t="s">
        <v>77</v>
      </c>
      <c r="CH1" s="1" t="s">
        <v>78</v>
      </c>
      <c r="CI1" s="1" t="s">
        <v>79</v>
      </c>
      <c r="CJ1" s="1" t="s">
        <v>80</v>
      </c>
      <c r="CK1" s="1" t="s">
        <v>81</v>
      </c>
      <c r="CL1" s="1" t="s">
        <v>82</v>
      </c>
      <c r="CM1" s="1" t="s">
        <v>83</v>
      </c>
      <c r="CN1" s="1" t="s">
        <v>84</v>
      </c>
      <c r="CO1" s="1" t="s">
        <v>85</v>
      </c>
      <c r="CP1" s="1" t="s">
        <v>86</v>
      </c>
      <c r="CQ1" s="1" t="s">
        <v>87</v>
      </c>
      <c r="CR1" s="1" t="s">
        <v>88</v>
      </c>
      <c r="CS1" s="1" t="s">
        <v>138</v>
      </c>
      <c r="CT1" s="1" t="s">
        <v>139</v>
      </c>
      <c r="CU1" s="1" t="s">
        <v>89</v>
      </c>
      <c r="CV1" s="1" t="s">
        <v>90</v>
      </c>
      <c r="CW1" s="1" t="s">
        <v>140</v>
      </c>
      <c r="CX1" s="1" t="s">
        <v>141</v>
      </c>
      <c r="CY1">
        <v>1</v>
      </c>
      <c r="CZ1" t="s">
        <v>142</v>
      </c>
      <c r="DA1" t="s">
        <v>143</v>
      </c>
      <c r="DB1">
        <v>3</v>
      </c>
      <c r="DC1" t="s">
        <v>144</v>
      </c>
      <c r="DD1" t="s">
        <v>145</v>
      </c>
      <c r="DE1">
        <v>6</v>
      </c>
      <c r="DF1" t="s">
        <v>146</v>
      </c>
      <c r="DG1" t="s">
        <v>147</v>
      </c>
      <c r="DH1">
        <v>10</v>
      </c>
      <c r="DI1" t="s">
        <v>148</v>
      </c>
      <c r="DJ1" t="s">
        <v>149</v>
      </c>
      <c r="DK1">
        <v>20</v>
      </c>
      <c r="DL1" t="s">
        <v>95</v>
      </c>
      <c r="DM1" t="s">
        <v>91</v>
      </c>
      <c r="DN1" t="s">
        <v>92</v>
      </c>
      <c r="DO1" s="2" t="s">
        <v>93</v>
      </c>
      <c r="DP1" t="s">
        <v>150</v>
      </c>
      <c r="DQ1" t="s">
        <v>151</v>
      </c>
      <c r="DR1" s="1" t="s">
        <v>96</v>
      </c>
      <c r="DS1" s="1" t="s">
        <v>152</v>
      </c>
      <c r="DT1" s="1" t="s">
        <v>153</v>
      </c>
      <c r="DU1" t="s">
        <v>154</v>
      </c>
      <c r="DV1" t="s">
        <v>155</v>
      </c>
      <c r="DW1" t="s">
        <v>156</v>
      </c>
      <c r="DX1" t="s">
        <v>97</v>
      </c>
      <c r="DY1" t="s">
        <v>157</v>
      </c>
      <c r="DZ1" t="s">
        <v>94</v>
      </c>
      <c r="EA1" t="s">
        <v>158</v>
      </c>
      <c r="EB1" t="s">
        <v>98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7" s="14" customFormat="1" ht="71.55" customHeight="1" x14ac:dyDescent="0.25">
      <c r="A2" s="22"/>
      <c r="B2" s="20"/>
      <c r="C2" s="21">
        <v>3</v>
      </c>
      <c r="D2" s="21">
        <v>8</v>
      </c>
      <c r="T2" s="16"/>
      <c r="U2" s="16"/>
      <c r="V2" s="16"/>
      <c r="AB2" s="17"/>
    </row>
    <row r="3" spans="1:147" ht="162" x14ac:dyDescent="0.25">
      <c r="B3" s="23"/>
      <c r="C3" s="23"/>
      <c r="D3" s="23" t="s">
        <v>330</v>
      </c>
      <c r="E3" t="s">
        <v>167</v>
      </c>
      <c r="F3" t="s">
        <v>168</v>
      </c>
      <c r="G3">
        <v>4.33</v>
      </c>
      <c r="H3">
        <v>0</v>
      </c>
      <c r="I3" t="s">
        <v>169</v>
      </c>
      <c r="J3">
        <v>1543239100000</v>
      </c>
      <c r="K3">
        <v>4.26</v>
      </c>
      <c r="L3">
        <v>0.505</v>
      </c>
      <c r="M3" t="s">
        <v>170</v>
      </c>
      <c r="N3" t="s">
        <v>294</v>
      </c>
      <c r="O3" t="s">
        <v>295</v>
      </c>
      <c r="P3" t="s">
        <v>296</v>
      </c>
      <c r="Q3">
        <v>-0.1</v>
      </c>
      <c r="R3" t="s">
        <v>297</v>
      </c>
      <c r="S3">
        <v>265822000000</v>
      </c>
      <c r="T3" s="24">
        <v>5.5599999999999997E-2</v>
      </c>
      <c r="U3" t="s">
        <v>298</v>
      </c>
      <c r="V3">
        <v>269612210000</v>
      </c>
      <c r="W3">
        <v>356406260000</v>
      </c>
      <c r="X3">
        <v>11.53</v>
      </c>
      <c r="Y3">
        <v>0.02</v>
      </c>
      <c r="Z3">
        <v>37.46</v>
      </c>
      <c r="AA3" t="s">
        <v>299</v>
      </c>
      <c r="AB3" t="s">
        <v>299</v>
      </c>
      <c r="AC3" t="s">
        <v>299</v>
      </c>
      <c r="AD3" t="s">
        <v>299</v>
      </c>
      <c r="AE3" t="s">
        <v>299</v>
      </c>
      <c r="AF3">
        <v>0</v>
      </c>
      <c r="AG3" t="s">
        <v>300</v>
      </c>
      <c r="AH3" t="s">
        <v>301</v>
      </c>
      <c r="AI3" t="s">
        <v>302</v>
      </c>
      <c r="AJ3" t="s">
        <v>299</v>
      </c>
      <c r="AK3" t="s">
        <v>303</v>
      </c>
      <c r="AL3" t="s">
        <v>299</v>
      </c>
      <c r="AM3" t="s">
        <v>303</v>
      </c>
      <c r="AN3" t="s">
        <v>304</v>
      </c>
      <c r="AO3" t="s">
        <v>305</v>
      </c>
      <c r="AP3" t="s">
        <v>299</v>
      </c>
      <c r="AQ3" t="s">
        <v>299</v>
      </c>
      <c r="AR3" t="s">
        <v>299</v>
      </c>
      <c r="AS3" t="s">
        <v>299</v>
      </c>
      <c r="AT3" t="s">
        <v>299</v>
      </c>
      <c r="AU3" t="s">
        <v>299</v>
      </c>
      <c r="AV3" t="s">
        <v>306</v>
      </c>
      <c r="AW3" t="s">
        <v>307</v>
      </c>
      <c r="AX3" t="s">
        <v>308</v>
      </c>
      <c r="AY3" t="s">
        <v>309</v>
      </c>
      <c r="AZ3" t="s">
        <v>310</v>
      </c>
      <c r="BA3" t="s">
        <v>311</v>
      </c>
      <c r="BB3" t="s">
        <v>312</v>
      </c>
      <c r="BC3" t="s">
        <v>313</v>
      </c>
      <c r="BD3" t="s">
        <v>314</v>
      </c>
      <c r="BE3" t="s">
        <v>315</v>
      </c>
      <c r="BF3" t="s">
        <v>316</v>
      </c>
      <c r="BG3" t="s">
        <v>317</v>
      </c>
      <c r="BH3" t="s">
        <v>318</v>
      </c>
      <c r="BI3" t="s">
        <v>319</v>
      </c>
      <c r="BJ3" t="s">
        <v>320</v>
      </c>
      <c r="BK3" t="s">
        <v>321</v>
      </c>
      <c r="BL3" t="s">
        <v>322</v>
      </c>
      <c r="BM3" t="s">
        <v>323</v>
      </c>
      <c r="BN3" t="s">
        <v>324</v>
      </c>
      <c r="BO3" t="s">
        <v>299</v>
      </c>
      <c r="BP3" t="s">
        <v>299</v>
      </c>
      <c r="BQ3" t="s">
        <v>299</v>
      </c>
      <c r="BR3">
        <v>12.15</v>
      </c>
      <c r="BS3">
        <v>11.95</v>
      </c>
      <c r="BT3">
        <v>13.05</v>
      </c>
      <c r="BU3" t="s">
        <v>325</v>
      </c>
      <c r="BV3" t="s">
        <v>326</v>
      </c>
      <c r="BW3" t="s">
        <v>299</v>
      </c>
      <c r="BX3" t="s">
        <v>299</v>
      </c>
      <c r="BY3" t="s">
        <v>299</v>
      </c>
      <c r="BZ3">
        <v>35.42</v>
      </c>
      <c r="CA3">
        <v>35.99</v>
      </c>
      <c r="CB3">
        <v>36.64</v>
      </c>
      <c r="CC3">
        <v>-0.23</v>
      </c>
      <c r="CD3">
        <v>0.7</v>
      </c>
      <c r="CE3" t="s">
        <v>327</v>
      </c>
      <c r="CF3" t="s">
        <v>328</v>
      </c>
      <c r="CG3" s="25">
        <v>-8.2595169873106833E-2</v>
      </c>
      <c r="CH3" s="26">
        <v>6.7551048127858018E-2</v>
      </c>
      <c r="CI3" s="25">
        <v>6.8085819482803345E-2</v>
      </c>
      <c r="CJ3" s="25">
        <v>3.1840231269598007E-2</v>
      </c>
      <c r="CK3" s="25">
        <v>0.10550548136234283</v>
      </c>
      <c r="CL3" s="25">
        <v>6.5088570117950439E-2</v>
      </c>
      <c r="CM3" s="25">
        <v>7.4880458414554596E-2</v>
      </c>
      <c r="CN3" s="26">
        <v>0.10266344249248505</v>
      </c>
      <c r="CO3" s="26">
        <v>1.1792845092713833E-2</v>
      </c>
      <c r="CP3" s="26">
        <v>4.8871845006942749E-2</v>
      </c>
      <c r="CQ3" s="26">
        <v>4.064689576625824E-2</v>
      </c>
      <c r="CR3" s="26">
        <v>2.8032431378960609E-2</v>
      </c>
      <c r="CS3">
        <v>1.6369339239383851</v>
      </c>
      <c r="CT3">
        <v>75720995.125424162</v>
      </c>
      <c r="CU3">
        <v>6.7736720554272516</v>
      </c>
      <c r="CV3" s="25">
        <v>6.9080112129449839E-2</v>
      </c>
      <c r="CW3" s="26">
        <v>4.6401491947472097E-2</v>
      </c>
      <c r="CX3">
        <v>0.06</v>
      </c>
      <c r="CY3">
        <v>97.448775051723544</v>
      </c>
      <c r="CZ3">
        <v>351321913300.89459</v>
      </c>
      <c r="DA3">
        <v>6.9080112129449839E-2</v>
      </c>
      <c r="DB3">
        <v>32.415855333485943</v>
      </c>
      <c r="DC3">
        <v>1056146436606.0994</v>
      </c>
      <c r="DD3">
        <v>6.5626106522977345E-2</v>
      </c>
      <c r="DE3">
        <v>16.337892025898547</v>
      </c>
      <c r="DF3">
        <v>2095490045210.8418</v>
      </c>
      <c r="DG3">
        <v>6.0790498673915859E-2</v>
      </c>
      <c r="DH3">
        <v>10.072580131077572</v>
      </c>
      <c r="DI3">
        <v>3398919606940.6118</v>
      </c>
      <c r="DJ3">
        <v>5.5264089703559872E-2</v>
      </c>
      <c r="DK3">
        <v>5.5073063522673662</v>
      </c>
      <c r="DL3">
        <v>6216449187705.8975</v>
      </c>
      <c r="DM3">
        <v>4.8356078490614886E-2</v>
      </c>
      <c r="DN3">
        <v>348338000000</v>
      </c>
      <c r="DO3">
        <v>6.9080112129449839E-2</v>
      </c>
      <c r="DP3">
        <v>34235890100000</v>
      </c>
      <c r="DQ3">
        <v>0</v>
      </c>
      <c r="DR3">
        <v>3632</v>
      </c>
      <c r="DS3">
        <v>-0.15167528200255667</v>
      </c>
      <c r="DT3">
        <v>2.1149556180385921E-2</v>
      </c>
      <c r="DU3" s="27">
        <v>0</v>
      </c>
      <c r="DV3">
        <v>0.6</v>
      </c>
      <c r="DW3">
        <v>0.6</v>
      </c>
      <c r="DX3">
        <v>6.9999999999999993E-3</v>
      </c>
      <c r="DY3">
        <v>0.36648701215120494</v>
      </c>
      <c r="DZ3">
        <v>1.02540908505843E-3</v>
      </c>
      <c r="EA3">
        <v>3407</v>
      </c>
      <c r="EB3">
        <v>3.1562266636804581E-4</v>
      </c>
      <c r="EC3">
        <v>0</v>
      </c>
      <c r="ED3">
        <v>2.1352037980477672E-3</v>
      </c>
      <c r="EE3">
        <v>1.4576062721232786E-2</v>
      </c>
      <c r="EF3" s="28">
        <v>1.7000000000000001E-3</v>
      </c>
      <c r="EG3">
        <v>1.6999999999999999E-3</v>
      </c>
      <c r="EH3">
        <v>22.146487012151205</v>
      </c>
      <c r="EI3" t="s">
        <v>329</v>
      </c>
      <c r="EJ3">
        <v>0</v>
      </c>
      <c r="EK3">
        <v>0</v>
      </c>
      <c r="EL3" s="29">
        <v>44946</v>
      </c>
      <c r="EM3" s="30">
        <v>0</v>
      </c>
      <c r="EN3" s="30">
        <v>-0.23</v>
      </c>
      <c r="EO3" s="30">
        <v>0.23</v>
      </c>
      <c r="EP3" s="30">
        <v>-0.23</v>
      </c>
      <c r="EQ3" s="30">
        <v>0</v>
      </c>
    </row>
    <row r="4" spans="1:147" ht="151.19999999999999" x14ac:dyDescent="0.25">
      <c r="B4" s="23"/>
      <c r="C4" s="23"/>
      <c r="D4" s="23" t="s">
        <v>362</v>
      </c>
      <c r="E4" t="s">
        <v>171</v>
      </c>
      <c r="F4" t="s">
        <v>172</v>
      </c>
      <c r="G4">
        <v>5.63</v>
      </c>
      <c r="H4">
        <v>1.8E-3</v>
      </c>
      <c r="I4" t="s">
        <v>173</v>
      </c>
      <c r="J4">
        <v>1407561800000</v>
      </c>
      <c r="K4">
        <v>4.43</v>
      </c>
      <c r="L4">
        <v>0.53100000000000003</v>
      </c>
      <c r="M4" t="s">
        <v>170</v>
      </c>
      <c r="N4" t="s">
        <v>331</v>
      </c>
      <c r="O4" t="s">
        <v>332</v>
      </c>
      <c r="P4" t="s">
        <v>333</v>
      </c>
      <c r="Q4">
        <v>0.98</v>
      </c>
      <c r="R4" t="s">
        <v>334</v>
      </c>
      <c r="S4">
        <v>247282000000</v>
      </c>
      <c r="T4" s="24">
        <v>6.5199999999999994E-2</v>
      </c>
      <c r="U4" t="s">
        <v>335</v>
      </c>
      <c r="V4">
        <v>9593657600</v>
      </c>
      <c r="W4">
        <v>250010980000</v>
      </c>
      <c r="X4">
        <v>12.19</v>
      </c>
      <c r="Y4">
        <v>0.02</v>
      </c>
      <c r="Z4">
        <v>39.130000000000003</v>
      </c>
      <c r="AA4" t="s">
        <v>299</v>
      </c>
      <c r="AB4" t="s">
        <v>299</v>
      </c>
      <c r="AC4" t="s">
        <v>299</v>
      </c>
      <c r="AD4" t="s">
        <v>299</v>
      </c>
      <c r="AE4" t="s">
        <v>299</v>
      </c>
      <c r="AF4">
        <v>0</v>
      </c>
      <c r="AG4" t="s">
        <v>336</v>
      </c>
      <c r="AH4" t="s">
        <v>337</v>
      </c>
      <c r="AI4" t="s">
        <v>338</v>
      </c>
      <c r="AJ4" t="s">
        <v>299</v>
      </c>
      <c r="AK4" t="s">
        <v>303</v>
      </c>
      <c r="AL4" t="s">
        <v>299</v>
      </c>
      <c r="AM4" t="s">
        <v>303</v>
      </c>
      <c r="AN4" t="s">
        <v>339</v>
      </c>
      <c r="AO4" t="s">
        <v>299</v>
      </c>
      <c r="AP4" t="s">
        <v>299</v>
      </c>
      <c r="AQ4" t="s">
        <v>299</v>
      </c>
      <c r="AR4" t="s">
        <v>299</v>
      </c>
      <c r="AS4" t="s">
        <v>299</v>
      </c>
      <c r="AT4" t="s">
        <v>299</v>
      </c>
      <c r="AU4" t="s">
        <v>299</v>
      </c>
      <c r="AV4" t="s">
        <v>340</v>
      </c>
      <c r="AW4" t="s">
        <v>341</v>
      </c>
      <c r="AX4" t="s">
        <v>342</v>
      </c>
      <c r="AY4" t="s">
        <v>343</v>
      </c>
      <c r="AZ4" t="s">
        <v>344</v>
      </c>
      <c r="BA4" t="s">
        <v>345</v>
      </c>
      <c r="BB4" t="s">
        <v>346</v>
      </c>
      <c r="BC4" t="s">
        <v>347</v>
      </c>
      <c r="BD4" t="s">
        <v>348</v>
      </c>
      <c r="BE4" t="s">
        <v>349</v>
      </c>
      <c r="BF4" t="s">
        <v>350</v>
      </c>
      <c r="BG4" t="s">
        <v>351</v>
      </c>
      <c r="BH4" t="s">
        <v>352</v>
      </c>
      <c r="BI4" t="s">
        <v>353</v>
      </c>
      <c r="BJ4" t="s">
        <v>354</v>
      </c>
      <c r="BK4" t="s">
        <v>355</v>
      </c>
      <c r="BL4" t="s">
        <v>356</v>
      </c>
      <c r="BM4" t="s">
        <v>357</v>
      </c>
      <c r="BN4" t="s">
        <v>358</v>
      </c>
      <c r="BO4" t="s">
        <v>299</v>
      </c>
      <c r="BP4" t="s">
        <v>299</v>
      </c>
      <c r="BQ4" t="s">
        <v>299</v>
      </c>
      <c r="BR4">
        <v>12.55</v>
      </c>
      <c r="BS4">
        <v>12.12</v>
      </c>
      <c r="BT4">
        <v>13.18</v>
      </c>
      <c r="BU4" t="s">
        <v>359</v>
      </c>
      <c r="BV4" t="s">
        <v>326</v>
      </c>
      <c r="BW4" t="s">
        <v>299</v>
      </c>
      <c r="BX4" t="s">
        <v>299</v>
      </c>
      <c r="BY4" t="s">
        <v>299</v>
      </c>
      <c r="BZ4">
        <v>37.1</v>
      </c>
      <c r="CA4">
        <v>36.19</v>
      </c>
      <c r="CB4">
        <v>38.15</v>
      </c>
      <c r="CC4">
        <v>-0.18</v>
      </c>
      <c r="CD4">
        <v>0.18</v>
      </c>
      <c r="CE4" t="s">
        <v>360</v>
      </c>
      <c r="CF4" t="s">
        <v>361</v>
      </c>
      <c r="CG4" s="25">
        <v>-6.4900299414147919E-2</v>
      </c>
      <c r="CH4" s="26">
        <v>8.6071550860461449E-2</v>
      </c>
      <c r="CI4" s="25">
        <v>9.0477302670478821E-2</v>
      </c>
      <c r="CJ4" s="25">
        <v>7.1183323860168457E-2</v>
      </c>
      <c r="CK4" s="25">
        <v>7.0934310555458069E-2</v>
      </c>
      <c r="CL4" s="25">
        <v>5.989132821559906E-2</v>
      </c>
      <c r="CM4" s="25">
        <v>2.7382716536521912E-2</v>
      </c>
      <c r="CN4" s="26">
        <v>0.1160782054066658</v>
      </c>
      <c r="CO4" s="26">
        <v>1.6184737905859947E-2</v>
      </c>
      <c r="CP4" s="26">
        <v>4.7428835183382034E-2</v>
      </c>
      <c r="CQ4" s="26">
        <v>5.1146708428859711E-2</v>
      </c>
      <c r="CR4" s="26">
        <v>4.6677622944116592E-2</v>
      </c>
      <c r="CS4">
        <v>1.7076962460236389</v>
      </c>
      <c r="CT4">
        <v>81699298.873106286</v>
      </c>
      <c r="CU4">
        <v>6.465364120781528</v>
      </c>
      <c r="CV4" s="25">
        <v>6.3973796367645261E-2</v>
      </c>
      <c r="CW4" s="26">
        <v>5.5503221973776815E-2</v>
      </c>
      <c r="CX4">
        <v>0.06</v>
      </c>
      <c r="CY4">
        <v>99.06429126750821</v>
      </c>
      <c r="CZ4">
        <v>303647080245.81647</v>
      </c>
      <c r="DA4">
        <v>6.3973796367645261E-2</v>
      </c>
      <c r="DB4">
        <v>33.096796777409821</v>
      </c>
      <c r="DC4">
        <v>908866891328.0293</v>
      </c>
      <c r="DD4">
        <v>6.0775106549262992E-2</v>
      </c>
      <c r="DE4">
        <v>16.776549719447349</v>
      </c>
      <c r="DF4">
        <v>1793013659127.4568</v>
      </c>
      <c r="DG4">
        <v>5.6296940803527831E-2</v>
      </c>
      <c r="DH4">
        <v>10.408246463084769</v>
      </c>
      <c r="DI4">
        <v>2890072108369.8086</v>
      </c>
      <c r="DJ4">
        <v>5.1179037094116211E-2</v>
      </c>
      <c r="DK4">
        <v>5.7669582353139539</v>
      </c>
      <c r="DL4">
        <v>5216022307184.6836</v>
      </c>
      <c r="DM4">
        <v>4.478165745735168E-2</v>
      </c>
      <c r="DN4">
        <v>302513000000</v>
      </c>
      <c r="DO4">
        <v>6.3973796367645261E-2</v>
      </c>
      <c r="DP4">
        <v>30080582800000</v>
      </c>
      <c r="DQ4">
        <v>0</v>
      </c>
      <c r="DR4">
        <v>3729</v>
      </c>
      <c r="DS4">
        <v>-0.12887409578179318</v>
      </c>
      <c r="DT4">
        <v>3.0568328886684634E-2</v>
      </c>
      <c r="DU4" s="27">
        <v>0.6</v>
      </c>
      <c r="DV4">
        <v>0.6</v>
      </c>
      <c r="DW4">
        <v>1.2</v>
      </c>
      <c r="DX4">
        <v>1.8E-3</v>
      </c>
      <c r="DY4">
        <v>0.31910393581171992</v>
      </c>
      <c r="DZ4">
        <v>2.6838708446109435E-4</v>
      </c>
      <c r="EA4">
        <v>3409</v>
      </c>
      <c r="EB4">
        <v>8.2500946523696823E-5</v>
      </c>
      <c r="EC4">
        <v>0</v>
      </c>
      <c r="ED4">
        <v>8.3196346016482954E-4</v>
      </c>
      <c r="EE4">
        <v>5.5797549371631597E-3</v>
      </c>
      <c r="EF4" s="28">
        <v>6.5000000000000006E-3</v>
      </c>
      <c r="EG4">
        <v>6.5179999999999995E-3</v>
      </c>
      <c r="EH4">
        <v>17.14910393581172</v>
      </c>
      <c r="EI4">
        <v>-1</v>
      </c>
      <c r="EJ4">
        <v>0</v>
      </c>
      <c r="EK4">
        <v>0</v>
      </c>
      <c r="EL4" s="29">
        <v>44946</v>
      </c>
      <c r="EM4" s="30">
        <v>-3.5000000000000001E-3</v>
      </c>
      <c r="EN4" s="30">
        <v>-0.36</v>
      </c>
      <c r="EO4" s="30">
        <v>0.18</v>
      </c>
      <c r="EP4" s="30">
        <v>0.18</v>
      </c>
      <c r="EQ4" s="30">
        <v>1.8E-3</v>
      </c>
    </row>
    <row r="5" spans="1:147" ht="140.4" x14ac:dyDescent="0.25">
      <c r="B5" s="23"/>
      <c r="C5" s="23"/>
      <c r="D5" s="23" t="s">
        <v>395</v>
      </c>
      <c r="E5" t="s">
        <v>174</v>
      </c>
      <c r="F5" t="s">
        <v>175</v>
      </c>
      <c r="G5">
        <v>2.92</v>
      </c>
      <c r="H5">
        <v>0</v>
      </c>
      <c r="I5" t="s">
        <v>176</v>
      </c>
      <c r="J5">
        <v>1021950460000</v>
      </c>
      <c r="K5">
        <v>4.0599999999999996</v>
      </c>
      <c r="L5">
        <v>0.46800000000000003</v>
      </c>
      <c r="M5" t="s">
        <v>170</v>
      </c>
      <c r="N5" t="s">
        <v>363</v>
      </c>
      <c r="O5" t="s">
        <v>364</v>
      </c>
      <c r="P5" t="s">
        <v>365</v>
      </c>
      <c r="Q5">
        <v>3.62</v>
      </c>
      <c r="R5" t="s">
        <v>366</v>
      </c>
      <c r="S5">
        <v>197505000000</v>
      </c>
      <c r="T5" s="24">
        <v>5.7799999999999997E-2</v>
      </c>
      <c r="U5" t="s">
        <v>367</v>
      </c>
      <c r="V5">
        <v>299284540000</v>
      </c>
      <c r="W5">
        <v>349983030000</v>
      </c>
      <c r="X5">
        <v>12.85</v>
      </c>
      <c r="Y5">
        <v>0.02</v>
      </c>
      <c r="Z5">
        <v>34.94</v>
      </c>
      <c r="AA5" t="s">
        <v>299</v>
      </c>
      <c r="AB5" t="s">
        <v>299</v>
      </c>
      <c r="AC5" t="s">
        <v>299</v>
      </c>
      <c r="AD5" t="s">
        <v>299</v>
      </c>
      <c r="AE5" t="s">
        <v>299</v>
      </c>
      <c r="AF5">
        <v>0</v>
      </c>
      <c r="AG5" t="s">
        <v>368</v>
      </c>
      <c r="AH5" t="s">
        <v>369</v>
      </c>
      <c r="AI5" t="s">
        <v>370</v>
      </c>
      <c r="AJ5" t="s">
        <v>299</v>
      </c>
      <c r="AK5" t="s">
        <v>303</v>
      </c>
      <c r="AL5" t="s">
        <v>299</v>
      </c>
      <c r="AM5" t="s">
        <v>303</v>
      </c>
      <c r="AN5" t="s">
        <v>371</v>
      </c>
      <c r="AO5" t="s">
        <v>372</v>
      </c>
      <c r="AP5" t="s">
        <v>299</v>
      </c>
      <c r="AQ5" t="s">
        <v>299</v>
      </c>
      <c r="AR5" t="s">
        <v>299</v>
      </c>
      <c r="AS5" t="s">
        <v>299</v>
      </c>
      <c r="AT5" t="s">
        <v>299</v>
      </c>
      <c r="AU5" t="s">
        <v>299</v>
      </c>
      <c r="AV5" t="s">
        <v>373</v>
      </c>
      <c r="AW5" t="s">
        <v>374</v>
      </c>
      <c r="AX5" t="s">
        <v>375</v>
      </c>
      <c r="AY5" t="s">
        <v>376</v>
      </c>
      <c r="AZ5" t="s">
        <v>377</v>
      </c>
      <c r="BA5" t="s">
        <v>378</v>
      </c>
      <c r="BB5" t="s">
        <v>379</v>
      </c>
      <c r="BC5" t="s">
        <v>380</v>
      </c>
      <c r="BD5" t="s">
        <v>381</v>
      </c>
      <c r="BE5" t="s">
        <v>382</v>
      </c>
      <c r="BF5" t="s">
        <v>383</v>
      </c>
      <c r="BG5" t="s">
        <v>384</v>
      </c>
      <c r="BH5" t="s">
        <v>385</v>
      </c>
      <c r="BI5" t="s">
        <v>386</v>
      </c>
      <c r="BJ5" t="s">
        <v>387</v>
      </c>
      <c r="BK5" t="s">
        <v>388</v>
      </c>
      <c r="BL5" t="s">
        <v>389</v>
      </c>
      <c r="BM5" t="s">
        <v>390</v>
      </c>
      <c r="BN5" t="s">
        <v>391</v>
      </c>
      <c r="BO5" t="s">
        <v>299</v>
      </c>
      <c r="BP5" t="s">
        <v>299</v>
      </c>
      <c r="BQ5" t="s">
        <v>299</v>
      </c>
      <c r="BR5">
        <v>11.57</v>
      </c>
      <c r="BS5">
        <v>11.35</v>
      </c>
      <c r="BT5">
        <v>12.43</v>
      </c>
      <c r="BU5" t="s">
        <v>392</v>
      </c>
      <c r="BV5" t="s">
        <v>326</v>
      </c>
      <c r="BW5" t="s">
        <v>299</v>
      </c>
      <c r="BX5" t="s">
        <v>299</v>
      </c>
      <c r="BY5" t="s">
        <v>299</v>
      </c>
      <c r="BZ5">
        <v>33.299999999999997</v>
      </c>
      <c r="CA5">
        <v>32.89</v>
      </c>
      <c r="CB5">
        <v>33.94</v>
      </c>
      <c r="CC5">
        <v>-0.68</v>
      </c>
      <c r="CD5">
        <v>0.69</v>
      </c>
      <c r="CE5" t="s">
        <v>393</v>
      </c>
      <c r="CF5" t="s">
        <v>394</v>
      </c>
      <c r="CG5" s="25">
        <v>-1.0793933987511151E-2</v>
      </c>
      <c r="CH5" s="26">
        <v>6.4084058915739317E-2</v>
      </c>
      <c r="CI5" s="25">
        <v>9.4160594046115875E-2</v>
      </c>
      <c r="CJ5" s="25">
        <v>4.8931237310171127E-2</v>
      </c>
      <c r="CK5" s="25">
        <v>4.7912746667861938E-2</v>
      </c>
      <c r="CL5" s="25">
        <v>0.11460388451814651</v>
      </c>
      <c r="CM5" s="25">
        <v>6.1312299221754074E-2</v>
      </c>
      <c r="CN5" s="26">
        <v>0.1169758066534996</v>
      </c>
      <c r="CO5" s="26">
        <v>1.8043503165245056E-2</v>
      </c>
      <c r="CP5" s="26">
        <v>4.5935846865177155E-2</v>
      </c>
      <c r="CQ5" s="26">
        <v>5.0896007567644119E-2</v>
      </c>
      <c r="CR5" s="26">
        <v>4.9042884260416031E-2</v>
      </c>
      <c r="CS5">
        <v>1.4195432238528161</v>
      </c>
      <c r="CT5">
        <v>81968878.403535903</v>
      </c>
      <c r="CU5">
        <v>7.0821917808219181</v>
      </c>
      <c r="CV5" s="25">
        <v>7.33841523528099E-2</v>
      </c>
      <c r="CW5" s="26">
        <v>5.6178809702396394E-2</v>
      </c>
      <c r="CX5">
        <v>0.06</v>
      </c>
      <c r="CY5">
        <v>121.13520458819012</v>
      </c>
      <c r="CZ5">
        <v>244228311336.70538</v>
      </c>
      <c r="DA5">
        <v>7.33841523528099E-2</v>
      </c>
      <c r="DB5">
        <v>40.147822072721979</v>
      </c>
      <c r="DC5">
        <v>736892935472.60645</v>
      </c>
      <c r="DD5">
        <v>6.9714944735169398E-2</v>
      </c>
      <c r="DE5">
        <v>20.137517189195133</v>
      </c>
      <c r="DF5">
        <v>1469130786186.1819</v>
      </c>
      <c r="DG5">
        <v>6.4578054070472707E-2</v>
      </c>
      <c r="DH5">
        <v>12.348998586811904</v>
      </c>
      <c r="DI5">
        <v>2395712190913.5923</v>
      </c>
      <c r="DJ5">
        <v>5.870732188224792E-2</v>
      </c>
      <c r="DK5">
        <v>6.6755938229092173</v>
      </c>
      <c r="DL5">
        <v>4431762513541.7598</v>
      </c>
      <c r="DM5">
        <v>5.136890664696693E-2</v>
      </c>
      <c r="DN5">
        <v>241183000000</v>
      </c>
      <c r="DO5">
        <v>7.33841523528099E-2</v>
      </c>
      <c r="DP5">
        <v>29584646460000</v>
      </c>
      <c r="DQ5">
        <v>0</v>
      </c>
      <c r="DR5">
        <v>3613</v>
      </c>
      <c r="DS5">
        <v>-8.4178086340321048E-2</v>
      </c>
      <c r="DT5">
        <v>7.9052492133429228E-3</v>
      </c>
      <c r="DU5" s="27">
        <v>0.6</v>
      </c>
      <c r="DV5">
        <v>0.6</v>
      </c>
      <c r="DW5">
        <v>1.2</v>
      </c>
      <c r="DX5">
        <v>6.8999999999999999E-3</v>
      </c>
      <c r="DY5">
        <v>0.43631929519364121</v>
      </c>
      <c r="DZ5">
        <v>1.2856031368361281E-3</v>
      </c>
      <c r="EA5">
        <v>3405</v>
      </c>
      <c r="EB5">
        <v>3.9623323010573065E-4</v>
      </c>
      <c r="EC5">
        <v>0</v>
      </c>
      <c r="ED5">
        <v>4.3116376242585252E-3</v>
      </c>
      <c r="EE5">
        <v>2.3141122013830211E-2</v>
      </c>
      <c r="EF5" s="28">
        <v>9.7000000000000003E-3</v>
      </c>
      <c r="EG5">
        <v>9.7000000000000003E-3</v>
      </c>
      <c r="EH5">
        <v>25.186319295193641</v>
      </c>
      <c r="EI5" t="s">
        <v>329</v>
      </c>
      <c r="EJ5">
        <v>0</v>
      </c>
      <c r="EK5">
        <v>0</v>
      </c>
      <c r="EL5" s="29">
        <v>44946</v>
      </c>
      <c r="EM5" s="30">
        <v>-1.0200000000000001E-2</v>
      </c>
      <c r="EN5" s="30">
        <v>0</v>
      </c>
      <c r="EO5" s="30">
        <v>0.34</v>
      </c>
      <c r="EP5" s="30">
        <v>0</v>
      </c>
      <c r="EQ5" s="30">
        <v>0</v>
      </c>
    </row>
    <row r="6" spans="1:147" ht="162" x14ac:dyDescent="0.25">
      <c r="B6" s="23"/>
      <c r="C6" s="23"/>
      <c r="D6" s="23" t="s">
        <v>427</v>
      </c>
      <c r="E6" t="s">
        <v>177</v>
      </c>
      <c r="F6" t="s">
        <v>178</v>
      </c>
      <c r="G6">
        <v>3.22</v>
      </c>
      <c r="H6">
        <v>0</v>
      </c>
      <c r="I6" t="s">
        <v>179</v>
      </c>
      <c r="J6">
        <v>947928690000</v>
      </c>
      <c r="K6">
        <v>4.1900000000000004</v>
      </c>
      <c r="L6">
        <v>0.47099999999999997</v>
      </c>
      <c r="M6" t="s">
        <v>170</v>
      </c>
      <c r="N6" t="s">
        <v>396</v>
      </c>
      <c r="O6" t="s">
        <v>397</v>
      </c>
      <c r="P6" t="s">
        <v>398</v>
      </c>
      <c r="Q6">
        <v>2.58</v>
      </c>
      <c r="R6" t="s">
        <v>399</v>
      </c>
      <c r="S6">
        <v>173081000000</v>
      </c>
      <c r="T6" s="24">
        <v>5.8500000000000003E-2</v>
      </c>
      <c r="U6" t="s">
        <v>400</v>
      </c>
      <c r="V6">
        <v>210765510000</v>
      </c>
      <c r="W6">
        <v>294387790000</v>
      </c>
      <c r="X6">
        <v>11.37</v>
      </c>
      <c r="Y6">
        <v>0.02</v>
      </c>
      <c r="Z6">
        <v>38.69</v>
      </c>
      <c r="AA6" t="s">
        <v>299</v>
      </c>
      <c r="AB6" t="s">
        <v>299</v>
      </c>
      <c r="AC6" t="s">
        <v>299</v>
      </c>
      <c r="AD6" t="s">
        <v>299</v>
      </c>
      <c r="AE6" t="s">
        <v>299</v>
      </c>
      <c r="AF6">
        <v>0</v>
      </c>
      <c r="AG6" t="s">
        <v>401</v>
      </c>
      <c r="AH6" t="s">
        <v>402</v>
      </c>
      <c r="AI6" t="s">
        <v>403</v>
      </c>
      <c r="AJ6" t="s">
        <v>299</v>
      </c>
      <c r="AK6" t="s">
        <v>303</v>
      </c>
      <c r="AL6" t="s">
        <v>299</v>
      </c>
      <c r="AM6" t="s">
        <v>303</v>
      </c>
      <c r="AN6" t="s">
        <v>404</v>
      </c>
      <c r="AO6" t="s">
        <v>299</v>
      </c>
      <c r="AP6" t="s">
        <v>299</v>
      </c>
      <c r="AQ6" t="s">
        <v>299</v>
      </c>
      <c r="AR6" t="s">
        <v>299</v>
      </c>
      <c r="AS6" t="s">
        <v>299</v>
      </c>
      <c r="AT6" t="s">
        <v>299</v>
      </c>
      <c r="AU6" t="s">
        <v>299</v>
      </c>
      <c r="AV6" t="s">
        <v>405</v>
      </c>
      <c r="AW6" t="s">
        <v>406</v>
      </c>
      <c r="AX6" t="s">
        <v>407</v>
      </c>
      <c r="AY6" t="s">
        <v>408</v>
      </c>
      <c r="AZ6" t="s">
        <v>409</v>
      </c>
      <c r="BA6" t="s">
        <v>410</v>
      </c>
      <c r="BB6" t="s">
        <v>411</v>
      </c>
      <c r="BC6" t="s">
        <v>412</v>
      </c>
      <c r="BD6" t="s">
        <v>413</v>
      </c>
      <c r="BE6" t="s">
        <v>414</v>
      </c>
      <c r="BF6" t="s">
        <v>415</v>
      </c>
      <c r="BG6" t="s">
        <v>416</v>
      </c>
      <c r="BH6" t="s">
        <v>417</v>
      </c>
      <c r="BI6" t="s">
        <v>418</v>
      </c>
      <c r="BJ6" t="s">
        <v>419</v>
      </c>
      <c r="BK6" t="s">
        <v>420</v>
      </c>
      <c r="BL6" t="s">
        <v>421</v>
      </c>
      <c r="BM6" t="s">
        <v>422</v>
      </c>
      <c r="BN6" t="s">
        <v>423</v>
      </c>
      <c r="BO6" t="s">
        <v>299</v>
      </c>
      <c r="BP6" t="s">
        <v>299</v>
      </c>
      <c r="BQ6" t="s">
        <v>299</v>
      </c>
      <c r="BR6">
        <v>11.28</v>
      </c>
      <c r="BS6">
        <v>10.61</v>
      </c>
      <c r="BT6">
        <v>11.45</v>
      </c>
      <c r="BU6" t="s">
        <v>424</v>
      </c>
      <c r="BV6" t="s">
        <v>326</v>
      </c>
      <c r="BW6" t="s">
        <v>299</v>
      </c>
      <c r="BX6" t="s">
        <v>299</v>
      </c>
      <c r="BY6" t="s">
        <v>299</v>
      </c>
      <c r="BZ6">
        <v>39.68</v>
      </c>
      <c r="CA6">
        <v>36.270000000000003</v>
      </c>
      <c r="CB6">
        <v>36.76</v>
      </c>
      <c r="CC6">
        <v>-0.31</v>
      </c>
      <c r="CD6">
        <v>1.9</v>
      </c>
      <c r="CE6" t="s">
        <v>425</v>
      </c>
      <c r="CF6" t="s">
        <v>426</v>
      </c>
      <c r="CG6" s="25">
        <v>9.654703891930027E-3</v>
      </c>
      <c r="CH6" s="26">
        <v>4.8254782094261803E-2</v>
      </c>
      <c r="CI6" s="25">
        <v>7.0779524743556976E-2</v>
      </c>
      <c r="CJ6" s="25">
        <v>2.9769675806164742E-2</v>
      </c>
      <c r="CK6" s="25">
        <v>8.9415550231933594E-2</v>
      </c>
      <c r="CL6" s="25">
        <v>4.3099440634250641E-2</v>
      </c>
      <c r="CM6" s="25">
        <v>-7.2781642666086555E-4</v>
      </c>
      <c r="CN6" s="26">
        <v>0.12282358855009079</v>
      </c>
      <c r="CO6" s="26">
        <v>2.9161518439650536E-2</v>
      </c>
      <c r="CP6" s="26">
        <v>4.0641665458679199E-2</v>
      </c>
      <c r="CQ6" s="26">
        <v>4.4539958238601685E-2</v>
      </c>
      <c r="CR6" s="26">
        <v>4.7570124268531799E-2</v>
      </c>
      <c r="CS6">
        <v>1.5653779235384166</v>
      </c>
      <c r="CT6">
        <v>79793497.384084702</v>
      </c>
      <c r="CU6">
        <v>6.8633540372670803</v>
      </c>
      <c r="CV6" s="25">
        <v>4.6467274997849015E-2</v>
      </c>
      <c r="CW6" s="26">
        <v>5.6947370991110802E-2</v>
      </c>
      <c r="CX6">
        <v>0.06</v>
      </c>
      <c r="CY6">
        <v>114.82675289910071</v>
      </c>
      <c r="CZ6">
        <v>213794251515.33884</v>
      </c>
      <c r="DA6">
        <v>4.6467274997849015E-2</v>
      </c>
      <c r="DB6">
        <v>38.940340293683185</v>
      </c>
      <c r="DC6">
        <v>630433619861.87708</v>
      </c>
      <c r="DD6">
        <v>4.4143911247956559E-2</v>
      </c>
      <c r="DE6">
        <v>20.12583421366541</v>
      </c>
      <c r="DF6">
        <v>1219790416107.6248</v>
      </c>
      <c r="DG6">
        <v>4.0891201998107134E-2</v>
      </c>
      <c r="DH6">
        <v>12.753018209680002</v>
      </c>
      <c r="DI6">
        <v>1924979584155.7095</v>
      </c>
      <c r="DJ6">
        <v>3.7173819998279213E-2</v>
      </c>
      <c r="DK6">
        <v>7.3826421048846989</v>
      </c>
      <c r="DL6">
        <v>3325272895696.3853</v>
      </c>
      <c r="DM6">
        <v>3.2527092498494309E-2</v>
      </c>
      <c r="DN6">
        <v>216559000000</v>
      </c>
      <c r="DO6">
        <v>4.6467274997849015E-2</v>
      </c>
      <c r="DP6">
        <v>24549299690000</v>
      </c>
      <c r="DQ6">
        <v>0</v>
      </c>
      <c r="DR6">
        <v>3741</v>
      </c>
      <c r="DS6">
        <v>-3.6812571105918984E-2</v>
      </c>
      <c r="DT6">
        <v>-8.6925888968489989E-3</v>
      </c>
      <c r="DU6" s="27">
        <v>0.6</v>
      </c>
      <c r="DV6">
        <v>0.6</v>
      </c>
      <c r="DW6">
        <v>1.2</v>
      </c>
      <c r="DX6">
        <v>1.9E-2</v>
      </c>
      <c r="DY6">
        <v>0.34590125464243343</v>
      </c>
      <c r="DZ6">
        <v>2.9621238382062653E-3</v>
      </c>
      <c r="EA6">
        <v>3411</v>
      </c>
      <c r="EB6">
        <v>9.0933952042455653E-4</v>
      </c>
      <c r="EC6">
        <v>0</v>
      </c>
      <c r="ED6">
        <v>1.5659616861147675E-3</v>
      </c>
      <c r="EE6">
        <v>1.0044574199222053E-2</v>
      </c>
      <c r="EF6" s="28">
        <v>3.3100000000000004E-3</v>
      </c>
      <c r="EG6">
        <v>3.31E-3</v>
      </c>
      <c r="EH6">
        <v>19.155901254642433</v>
      </c>
      <c r="EI6">
        <v>-1</v>
      </c>
      <c r="EJ6">
        <v>0</v>
      </c>
      <c r="EK6">
        <v>0</v>
      </c>
      <c r="EL6" s="29">
        <v>44946</v>
      </c>
      <c r="EM6" s="30">
        <v>-6.1999999999999998E-3</v>
      </c>
      <c r="EN6" s="30">
        <v>0.31</v>
      </c>
      <c r="EO6" s="30">
        <v>-0.31</v>
      </c>
      <c r="EP6" s="30">
        <v>0.31</v>
      </c>
      <c r="EQ6" s="30">
        <v>0</v>
      </c>
    </row>
    <row r="7" spans="1:147" ht="140.4" x14ac:dyDescent="0.25">
      <c r="B7" s="23"/>
      <c r="C7" s="23"/>
      <c r="D7" s="23" t="s">
        <v>459</v>
      </c>
      <c r="E7" t="s">
        <v>180</v>
      </c>
      <c r="F7" t="s">
        <v>181</v>
      </c>
      <c r="G7">
        <v>4.9000000000000004</v>
      </c>
      <c r="H7">
        <v>1.4500000000000001E-2</v>
      </c>
      <c r="I7" t="s">
        <v>182</v>
      </c>
      <c r="J7">
        <v>452681440000</v>
      </c>
      <c r="K7">
        <v>5.29</v>
      </c>
      <c r="L7">
        <v>0.66900000000000004</v>
      </c>
      <c r="M7" t="s">
        <v>170</v>
      </c>
      <c r="N7" t="s">
        <v>428</v>
      </c>
      <c r="O7" t="s">
        <v>429</v>
      </c>
      <c r="P7" t="s">
        <v>430</v>
      </c>
      <c r="Q7">
        <v>7.79</v>
      </c>
      <c r="R7" t="s">
        <v>431</v>
      </c>
      <c r="S7">
        <v>73849000000</v>
      </c>
      <c r="T7" s="24">
        <v>0.14480000000000001</v>
      </c>
      <c r="U7" t="s">
        <v>432</v>
      </c>
      <c r="V7">
        <v>11274461400</v>
      </c>
      <c r="W7">
        <v>92383968000</v>
      </c>
      <c r="X7">
        <v>16.53</v>
      </c>
      <c r="Y7">
        <v>0.02</v>
      </c>
      <c r="Z7">
        <v>28.78</v>
      </c>
      <c r="AA7" t="s">
        <v>299</v>
      </c>
      <c r="AB7" t="s">
        <v>299</v>
      </c>
      <c r="AC7" t="s">
        <v>299</v>
      </c>
      <c r="AD7" t="s">
        <v>299</v>
      </c>
      <c r="AE7" t="s">
        <v>299</v>
      </c>
      <c r="AF7">
        <v>0</v>
      </c>
      <c r="AG7" t="s">
        <v>433</v>
      </c>
      <c r="AH7" t="s">
        <v>434</v>
      </c>
      <c r="AI7" t="s">
        <v>435</v>
      </c>
      <c r="AJ7" t="s">
        <v>299</v>
      </c>
      <c r="AK7" t="s">
        <v>303</v>
      </c>
      <c r="AL7" t="s">
        <v>299</v>
      </c>
      <c r="AM7" t="s">
        <v>303</v>
      </c>
      <c r="AN7" t="s">
        <v>436</v>
      </c>
      <c r="AO7" t="s">
        <v>299</v>
      </c>
      <c r="AP7" t="s">
        <v>299</v>
      </c>
      <c r="AQ7" t="s">
        <v>299</v>
      </c>
      <c r="AR7" t="s">
        <v>299</v>
      </c>
      <c r="AS7" t="s">
        <v>299</v>
      </c>
      <c r="AT7" t="s">
        <v>299</v>
      </c>
      <c r="AU7" t="s">
        <v>299</v>
      </c>
      <c r="AV7" t="s">
        <v>437</v>
      </c>
      <c r="AW7" t="s">
        <v>438</v>
      </c>
      <c r="AX7" t="s">
        <v>439</v>
      </c>
      <c r="AY7" t="s">
        <v>440</v>
      </c>
      <c r="AZ7" t="s">
        <v>441</v>
      </c>
      <c r="BA7" t="s">
        <v>442</v>
      </c>
      <c r="BB7" t="s">
        <v>443</v>
      </c>
      <c r="BC7" t="s">
        <v>444</v>
      </c>
      <c r="BD7" t="s">
        <v>445</v>
      </c>
      <c r="BE7" t="s">
        <v>446</v>
      </c>
      <c r="BF7" t="s">
        <v>447</v>
      </c>
      <c r="BG7" t="s">
        <v>448</v>
      </c>
      <c r="BH7" t="s">
        <v>449</v>
      </c>
      <c r="BI7" t="s">
        <v>450</v>
      </c>
      <c r="BJ7" t="s">
        <v>451</v>
      </c>
      <c r="BK7" t="s">
        <v>452</v>
      </c>
      <c r="BL7" t="s">
        <v>453</v>
      </c>
      <c r="BM7" t="s">
        <v>454</v>
      </c>
      <c r="BN7" t="s">
        <v>455</v>
      </c>
      <c r="BO7" t="s">
        <v>299</v>
      </c>
      <c r="BP7" t="s">
        <v>299</v>
      </c>
      <c r="BQ7" t="s">
        <v>299</v>
      </c>
      <c r="BR7">
        <v>11.86</v>
      </c>
      <c r="BS7">
        <v>11.84</v>
      </c>
      <c r="BT7">
        <v>13.1</v>
      </c>
      <c r="BU7" t="s">
        <v>456</v>
      </c>
      <c r="BV7" t="s">
        <v>326</v>
      </c>
      <c r="BW7" t="s">
        <v>299</v>
      </c>
      <c r="BX7" t="s">
        <v>299</v>
      </c>
      <c r="BY7" t="s">
        <v>299</v>
      </c>
      <c r="BZ7">
        <v>27.19</v>
      </c>
      <c r="CA7">
        <v>22.47</v>
      </c>
      <c r="CB7">
        <v>22.05</v>
      </c>
      <c r="CC7">
        <v>0.2</v>
      </c>
      <c r="CD7">
        <v>8.89</v>
      </c>
      <c r="CE7" t="s">
        <v>457</v>
      </c>
      <c r="CF7" t="s">
        <v>458</v>
      </c>
      <c r="CG7" s="25">
        <v>3.4260578650641221E-2</v>
      </c>
      <c r="CH7" s="26">
        <v>0.13780482614801853</v>
      </c>
      <c r="CI7" s="25">
        <v>0.11376576125621796</v>
      </c>
      <c r="CJ7" s="25">
        <v>3.3933192491531372E-2</v>
      </c>
      <c r="CK7" s="25">
        <v>6.0591138899326324E-2</v>
      </c>
      <c r="CL7" s="25">
        <v>0.16218855977058411</v>
      </c>
      <c r="CM7" s="25">
        <v>0.18941360712051392</v>
      </c>
      <c r="CN7" s="26">
        <v>0.18646711111068726</v>
      </c>
      <c r="CO7" s="26">
        <v>5.3599834442138672E-2</v>
      </c>
      <c r="CP7" s="26">
        <v>0.16482198238372803</v>
      </c>
      <c r="CQ7" s="26">
        <v>9.705767035484314E-2</v>
      </c>
      <c r="CR7" s="26">
        <v>0.19803518056869507</v>
      </c>
      <c r="CS7">
        <v>1.4201236031898408</v>
      </c>
      <c r="CT7">
        <v>96744124.983589336</v>
      </c>
      <c r="CU7">
        <v>5.0489795918367344</v>
      </c>
      <c r="CV7" s="25">
        <v>0.11197845190763474</v>
      </c>
      <c r="CW7" s="26">
        <v>0.13999635577201844</v>
      </c>
      <c r="CX7">
        <v>0.06</v>
      </c>
      <c r="CY7">
        <v>154.42981119073661</v>
      </c>
      <c r="CZ7">
        <v>79905093096.042007</v>
      </c>
      <c r="DA7">
        <v>0.11197845190763474</v>
      </c>
      <c r="DB7">
        <v>49.537993872899563</v>
      </c>
      <c r="DC7">
        <v>249096248662.3952</v>
      </c>
      <c r="DD7">
        <v>0.106379529312253</v>
      </c>
      <c r="DE7">
        <v>23.783535500250807</v>
      </c>
      <c r="DF7">
        <v>518834907445.52563</v>
      </c>
      <c r="DG7">
        <v>9.8541037678718565E-2</v>
      </c>
      <c r="DH7">
        <v>13.880854102718262</v>
      </c>
      <c r="DI7">
        <v>888974723650.7251</v>
      </c>
      <c r="DJ7">
        <v>8.9582761526107793E-2</v>
      </c>
      <c r="DK7">
        <v>6.7289218807317646</v>
      </c>
      <c r="DL7">
        <v>1833834403002.1738</v>
      </c>
      <c r="DM7">
        <v>7.8384916335344307E-2</v>
      </c>
      <c r="DN7">
        <v>76170000000</v>
      </c>
      <c r="DO7">
        <v>0.11197845190763474</v>
      </c>
      <c r="DP7">
        <v>12339728440000</v>
      </c>
      <c r="DQ7">
        <v>0</v>
      </c>
      <c r="DR7">
        <v>3665</v>
      </c>
      <c r="DS7">
        <v>-7.7717873256993517E-2</v>
      </c>
      <c r="DT7">
        <v>-2.1915296239999049E-3</v>
      </c>
      <c r="DU7" s="27">
        <v>0.6</v>
      </c>
      <c r="DV7">
        <v>0.6</v>
      </c>
      <c r="DW7">
        <v>1.2</v>
      </c>
      <c r="DX7">
        <v>2.0889000000000002</v>
      </c>
      <c r="DY7">
        <v>0.35056155880155543</v>
      </c>
      <c r="DZ7">
        <v>2.0151629225774581</v>
      </c>
      <c r="EA7">
        <v>2313</v>
      </c>
      <c r="EB7">
        <v>2.0080373963845162</v>
      </c>
      <c r="EC7">
        <v>2</v>
      </c>
      <c r="ED7">
        <v>5.2931261839716595E-3</v>
      </c>
      <c r="EE7">
        <v>3.1033523045903375E-2</v>
      </c>
      <c r="EF7" s="28">
        <v>2.0899999999999998E-2</v>
      </c>
      <c r="EG7">
        <v>2.1044999999999998E-2</v>
      </c>
      <c r="EH7">
        <v>18.170561558801555</v>
      </c>
      <c r="EI7">
        <v>-1</v>
      </c>
      <c r="EJ7">
        <v>1</v>
      </c>
      <c r="EK7">
        <v>0</v>
      </c>
      <c r="EL7" s="29">
        <v>44946</v>
      </c>
      <c r="EM7" s="30">
        <v>-1.43E-2</v>
      </c>
      <c r="EN7" s="30">
        <v>-0.83</v>
      </c>
      <c r="EO7" s="30">
        <v>1.67</v>
      </c>
      <c r="EP7" s="30">
        <v>-0.62</v>
      </c>
      <c r="EQ7" s="30">
        <v>1.4500000000000001E-2</v>
      </c>
    </row>
    <row r="8" spans="1:147" ht="162" x14ac:dyDescent="0.25">
      <c r="B8" s="23"/>
      <c r="C8" s="23"/>
      <c r="D8" s="23" t="s">
        <v>492</v>
      </c>
      <c r="E8" t="s">
        <v>183</v>
      </c>
      <c r="F8" t="s">
        <v>184</v>
      </c>
      <c r="G8">
        <v>4.87</v>
      </c>
      <c r="H8">
        <v>-2E-3</v>
      </c>
      <c r="I8" t="s">
        <v>185</v>
      </c>
      <c r="J8">
        <v>361659480000</v>
      </c>
      <c r="K8">
        <v>3.97</v>
      </c>
      <c r="L8">
        <v>0.438</v>
      </c>
      <c r="M8" t="s">
        <v>170</v>
      </c>
      <c r="N8" t="s">
        <v>460</v>
      </c>
      <c r="O8" t="s">
        <v>461</v>
      </c>
      <c r="P8" t="s">
        <v>462</v>
      </c>
      <c r="Q8">
        <v>5.05</v>
      </c>
      <c r="R8" t="s">
        <v>463</v>
      </c>
      <c r="S8">
        <v>67883000000</v>
      </c>
      <c r="T8" s="24">
        <v>5.4699999999999999E-2</v>
      </c>
      <c r="U8" t="s">
        <v>464</v>
      </c>
      <c r="V8">
        <v>39250864000</v>
      </c>
      <c r="W8">
        <v>74262727000</v>
      </c>
      <c r="X8">
        <v>12.54</v>
      </c>
      <c r="Y8">
        <v>0.02</v>
      </c>
      <c r="Z8">
        <v>32.380000000000003</v>
      </c>
      <c r="AA8" t="s">
        <v>299</v>
      </c>
      <c r="AB8" t="s">
        <v>299</v>
      </c>
      <c r="AC8" t="s">
        <v>299</v>
      </c>
      <c r="AD8" t="s">
        <v>299</v>
      </c>
      <c r="AE8" t="s">
        <v>299</v>
      </c>
      <c r="AF8">
        <v>0</v>
      </c>
      <c r="AG8" t="s">
        <v>465</v>
      </c>
      <c r="AH8" t="s">
        <v>466</v>
      </c>
      <c r="AI8" t="s">
        <v>467</v>
      </c>
      <c r="AJ8" t="s">
        <v>299</v>
      </c>
      <c r="AK8" t="s">
        <v>303</v>
      </c>
      <c r="AL8" t="s">
        <v>299</v>
      </c>
      <c r="AM8" t="s">
        <v>303</v>
      </c>
      <c r="AN8" t="s">
        <v>468</v>
      </c>
      <c r="AO8" t="s">
        <v>469</v>
      </c>
      <c r="AP8" t="s">
        <v>299</v>
      </c>
      <c r="AQ8" t="s">
        <v>299</v>
      </c>
      <c r="AR8" t="s">
        <v>299</v>
      </c>
      <c r="AS8" t="s">
        <v>299</v>
      </c>
      <c r="AT8" t="s">
        <v>299</v>
      </c>
      <c r="AU8" t="s">
        <v>299</v>
      </c>
      <c r="AV8" t="s">
        <v>470</v>
      </c>
      <c r="AW8" t="s">
        <v>471</v>
      </c>
      <c r="AX8" t="s">
        <v>472</v>
      </c>
      <c r="AY8" t="s">
        <v>473</v>
      </c>
      <c r="AZ8" t="s">
        <v>474</v>
      </c>
      <c r="BA8" t="s">
        <v>475</v>
      </c>
      <c r="BB8" t="s">
        <v>476</v>
      </c>
      <c r="BC8" t="s">
        <v>477</v>
      </c>
      <c r="BD8" t="s">
        <v>478</v>
      </c>
      <c r="BE8" t="s">
        <v>479</v>
      </c>
      <c r="BF8" t="s">
        <v>480</v>
      </c>
      <c r="BG8" t="s">
        <v>481</v>
      </c>
      <c r="BH8" t="s">
        <v>482</v>
      </c>
      <c r="BI8" t="s">
        <v>483</v>
      </c>
      <c r="BJ8" t="s">
        <v>484</v>
      </c>
      <c r="BK8" t="s">
        <v>485</v>
      </c>
      <c r="BL8" t="s">
        <v>486</v>
      </c>
      <c r="BM8" t="s">
        <v>487</v>
      </c>
      <c r="BN8" t="s">
        <v>488</v>
      </c>
      <c r="BO8" t="s">
        <v>299</v>
      </c>
      <c r="BP8" t="s">
        <v>299</v>
      </c>
      <c r="BQ8" t="s">
        <v>299</v>
      </c>
      <c r="BR8">
        <v>10.76</v>
      </c>
      <c r="BS8">
        <v>10.35</v>
      </c>
      <c r="BT8">
        <v>11.2</v>
      </c>
      <c r="BU8" t="s">
        <v>489</v>
      </c>
      <c r="BV8" t="s">
        <v>326</v>
      </c>
      <c r="BW8" t="s">
        <v>299</v>
      </c>
      <c r="BX8" t="s">
        <v>299</v>
      </c>
      <c r="BY8" t="s">
        <v>299</v>
      </c>
      <c r="BZ8">
        <v>30.78</v>
      </c>
      <c r="CA8">
        <v>32.32</v>
      </c>
      <c r="CB8">
        <v>33.58</v>
      </c>
      <c r="CC8">
        <v>0</v>
      </c>
      <c r="CD8">
        <v>1.88</v>
      </c>
      <c r="CE8" t="s">
        <v>490</v>
      </c>
      <c r="CF8" t="s">
        <v>491</v>
      </c>
      <c r="CG8" s="25">
        <v>9.3076049943246319E-3</v>
      </c>
      <c r="CH8" s="26">
        <v>6.7230652164182447E-2</v>
      </c>
      <c r="CI8" s="25">
        <v>9.4191767275333405E-2</v>
      </c>
      <c r="CJ8" s="25">
        <v>5.9052228927612305E-2</v>
      </c>
      <c r="CK8" s="25">
        <v>9.3193657696247101E-2</v>
      </c>
      <c r="CL8" s="25">
        <v>8.4908492863178253E-2</v>
      </c>
      <c r="CM8" s="25">
        <v>1.4581195078790188E-2</v>
      </c>
      <c r="CN8" s="26">
        <v>0.1189027801156044</v>
      </c>
      <c r="CO8" s="26">
        <v>1.2849231250584126E-2</v>
      </c>
      <c r="CP8" s="26">
        <v>4.9585800617933273E-2</v>
      </c>
      <c r="CQ8" s="26">
        <v>4.8516798764467239E-2</v>
      </c>
      <c r="CR8" s="26">
        <v>4.4829718768596649E-2</v>
      </c>
      <c r="CS8">
        <v>1.3425126396673968</v>
      </c>
      <c r="CT8">
        <v>77001861.134264275</v>
      </c>
      <c r="CU8">
        <v>7.2895277207392191</v>
      </c>
      <c r="CV8" s="25">
        <v>6.918546836823225E-2</v>
      </c>
      <c r="CW8" s="26">
        <v>5.4936865903437139E-2</v>
      </c>
      <c r="CX8">
        <v>0.06</v>
      </c>
      <c r="CY8">
        <v>124.85846083637053</v>
      </c>
      <c r="CZ8">
        <v>88339936325.62088</v>
      </c>
      <c r="DA8">
        <v>6.918546836823225E-2</v>
      </c>
      <c r="DB8">
        <v>41.529829860622336</v>
      </c>
      <c r="DC8">
        <v>265591949618.32458</v>
      </c>
      <c r="DD8">
        <v>6.572619494982064E-2</v>
      </c>
      <c r="DE8">
        <v>20.928951826244226</v>
      </c>
      <c r="DF8">
        <v>527020587154.71606</v>
      </c>
      <c r="DG8">
        <v>6.0883212164044381E-2</v>
      </c>
      <c r="DH8">
        <v>12.901363647348948</v>
      </c>
      <c r="DI8">
        <v>854947490939.57288</v>
      </c>
      <c r="DJ8">
        <v>5.5348374694585804E-2</v>
      </c>
      <c r="DK8">
        <v>7.0520278709553983</v>
      </c>
      <c r="DL8">
        <v>1564087476940.9658</v>
      </c>
      <c r="DM8">
        <v>4.8429827857762571E-2</v>
      </c>
      <c r="DN8">
        <v>87581000000</v>
      </c>
      <c r="DO8">
        <v>6.918546836823225E-2</v>
      </c>
      <c r="DP8">
        <v>11029988480000</v>
      </c>
      <c r="DQ8">
        <v>0</v>
      </c>
      <c r="DR8">
        <v>3619</v>
      </c>
      <c r="DS8">
        <v>-5.9877863373907617E-2</v>
      </c>
      <c r="DT8">
        <v>1.2293786260745308E-2</v>
      </c>
      <c r="DU8" s="27">
        <v>0.6</v>
      </c>
      <c r="DV8">
        <v>0.6</v>
      </c>
      <c r="DW8">
        <v>1.2</v>
      </c>
      <c r="DX8">
        <v>1.8799999999999997E-2</v>
      </c>
      <c r="DY8">
        <v>0.32844543590408126</v>
      </c>
      <c r="DZ8">
        <v>2.9787741949967371E-3</v>
      </c>
      <c r="EA8">
        <v>3406</v>
      </c>
      <c r="EB8">
        <v>9.1747697676047401E-4</v>
      </c>
      <c r="EC8">
        <v>0</v>
      </c>
      <c r="ED8">
        <v>4.2820943001460211E-3</v>
      </c>
      <c r="EE8">
        <v>2.7025670630166868E-2</v>
      </c>
      <c r="EF8" s="28">
        <v>5.7999999999999996E-3</v>
      </c>
      <c r="EG8">
        <v>5.7799999999999995E-3</v>
      </c>
      <c r="EH8">
        <v>17.158445435904081</v>
      </c>
      <c r="EI8" t="s">
        <v>329</v>
      </c>
      <c r="EJ8">
        <v>0</v>
      </c>
      <c r="EK8">
        <v>0</v>
      </c>
      <c r="EL8" s="29">
        <v>44946</v>
      </c>
      <c r="EM8" s="30">
        <v>-6.1999999999999998E-3</v>
      </c>
      <c r="EN8" s="30">
        <v>0.41</v>
      </c>
      <c r="EO8" s="30">
        <v>0.21</v>
      </c>
      <c r="EP8" s="30">
        <v>0.21</v>
      </c>
      <c r="EQ8" s="30">
        <v>-2E-3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K11"/>
  <sheetViews>
    <sheetView workbookViewId="0">
      <selection activeCell="B3" sqref="B3"/>
    </sheetView>
  </sheetViews>
  <sheetFormatPr defaultRowHeight="14.4" x14ac:dyDescent="0.25"/>
  <cols>
    <col min="1" max="1" width="10.109375" customWidth="1"/>
    <col min="2" max="2" width="29.33203125" customWidth="1"/>
    <col min="3" max="3" width="35.44140625" customWidth="1"/>
    <col min="4" max="4" width="42.21875" customWidth="1"/>
  </cols>
  <sheetData>
    <row r="1" spans="1:141" s="14" customFormat="1" x14ac:dyDescent="0.25">
      <c r="A1" s="15" t="s">
        <v>49</v>
      </c>
      <c r="B1" s="18" t="s">
        <v>7</v>
      </c>
      <c r="C1" s="19" t="s">
        <v>8</v>
      </c>
      <c r="D1" s="18" t="s">
        <v>126</v>
      </c>
      <c r="E1" t="s">
        <v>2</v>
      </c>
      <c r="F1" t="s">
        <v>3</v>
      </c>
      <c r="G1" t="s">
        <v>0</v>
      </c>
      <c r="H1" t="s">
        <v>99</v>
      </c>
      <c r="I1" t="s">
        <v>127</v>
      </c>
      <c r="J1" t="s">
        <v>4</v>
      </c>
      <c r="K1" t="s">
        <v>5</v>
      </c>
      <c r="L1" t="s">
        <v>1</v>
      </c>
      <c r="M1" t="s">
        <v>6</v>
      </c>
      <c r="N1" t="s">
        <v>9</v>
      </c>
      <c r="O1" t="s">
        <v>10</v>
      </c>
      <c r="P1" t="s">
        <v>11</v>
      </c>
      <c r="Q1" t="s">
        <v>128</v>
      </c>
      <c r="R1" t="s">
        <v>100</v>
      </c>
      <c r="S1" t="s">
        <v>129</v>
      </c>
      <c r="T1" t="s">
        <v>12</v>
      </c>
      <c r="U1" t="s">
        <v>101</v>
      </c>
      <c r="V1" t="s">
        <v>102</v>
      </c>
      <c r="W1" t="s">
        <v>13</v>
      </c>
      <c r="X1" t="s">
        <v>71</v>
      </c>
      <c r="Y1" t="s">
        <v>72</v>
      </c>
      <c r="Z1" t="s">
        <v>73</v>
      </c>
      <c r="AA1" t="s">
        <v>74</v>
      </c>
      <c r="AB1" t="s">
        <v>75</v>
      </c>
      <c r="AC1" t="s">
        <v>103</v>
      </c>
      <c r="AD1" t="s">
        <v>76</v>
      </c>
      <c r="AE1" t="s">
        <v>130</v>
      </c>
      <c r="AF1" t="s">
        <v>14</v>
      </c>
      <c r="AG1" t="s">
        <v>15</v>
      </c>
      <c r="AH1" t="s">
        <v>104</v>
      </c>
      <c r="AI1" t="s">
        <v>131</v>
      </c>
      <c r="AJ1" t="s">
        <v>105</v>
      </c>
      <c r="AK1" t="s">
        <v>16</v>
      </c>
      <c r="AL1" t="s">
        <v>106</v>
      </c>
      <c r="AM1" t="s">
        <v>50</v>
      </c>
      <c r="AN1" t="s">
        <v>107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  <c r="AT1" t="s">
        <v>113</v>
      </c>
      <c r="AU1" t="s">
        <v>114</v>
      </c>
      <c r="AV1" t="s">
        <v>115</v>
      </c>
      <c r="AW1" t="s">
        <v>116</v>
      </c>
      <c r="AX1" t="s">
        <v>117</v>
      </c>
      <c r="AY1" t="s">
        <v>132</v>
      </c>
      <c r="AZ1" t="s">
        <v>51</v>
      </c>
      <c r="BA1" t="s">
        <v>52</v>
      </c>
      <c r="BB1" t="s">
        <v>53</v>
      </c>
      <c r="BC1" t="s">
        <v>54</v>
      </c>
      <c r="BD1" t="s">
        <v>60</v>
      </c>
      <c r="BE1" t="s">
        <v>55</v>
      </c>
      <c r="BF1" t="s">
        <v>56</v>
      </c>
      <c r="BG1" t="s">
        <v>57</v>
      </c>
      <c r="BH1" t="s">
        <v>58</v>
      </c>
      <c r="BI1" t="s">
        <v>133</v>
      </c>
      <c r="BJ1" t="s">
        <v>118</v>
      </c>
      <c r="BK1" t="s">
        <v>59</v>
      </c>
      <c r="BL1" t="s">
        <v>119</v>
      </c>
      <c r="BM1" t="s">
        <v>120</v>
      </c>
      <c r="BN1" t="s">
        <v>121</v>
      </c>
      <c r="BO1" t="s">
        <v>122</v>
      </c>
      <c r="BP1" t="s">
        <v>61</v>
      </c>
      <c r="BQ1" t="s">
        <v>62</v>
      </c>
      <c r="BR1" t="s">
        <v>63</v>
      </c>
      <c r="BS1" t="s">
        <v>123</v>
      </c>
      <c r="BT1" t="s">
        <v>64</v>
      </c>
      <c r="BU1" t="s">
        <v>65</v>
      </c>
      <c r="BV1" t="s">
        <v>66</v>
      </c>
      <c r="BW1" t="s">
        <v>124</v>
      </c>
      <c r="BX1" t="s">
        <v>67</v>
      </c>
      <c r="BY1" t="s">
        <v>68</v>
      </c>
      <c r="BZ1" t="s">
        <v>125</v>
      </c>
      <c r="CA1" t="s">
        <v>69</v>
      </c>
      <c r="CB1" t="s">
        <v>70</v>
      </c>
      <c r="CC1" t="s">
        <v>134</v>
      </c>
      <c r="CD1" t="s">
        <v>135</v>
      </c>
      <c r="CE1" t="s">
        <v>136</v>
      </c>
      <c r="CF1" t="s">
        <v>137</v>
      </c>
      <c r="CG1" s="1" t="s">
        <v>77</v>
      </c>
      <c r="CH1" s="1" t="s">
        <v>78</v>
      </c>
      <c r="CI1" s="1" t="s">
        <v>79</v>
      </c>
      <c r="CJ1" s="1" t="s">
        <v>80</v>
      </c>
      <c r="CK1" s="1" t="s">
        <v>81</v>
      </c>
      <c r="CL1" s="1" t="s">
        <v>82</v>
      </c>
      <c r="CM1" s="1" t="s">
        <v>83</v>
      </c>
      <c r="CN1" s="1" t="s">
        <v>84</v>
      </c>
      <c r="CO1" s="1" t="s">
        <v>85</v>
      </c>
      <c r="CP1" s="1" t="s">
        <v>86</v>
      </c>
      <c r="CQ1" s="1" t="s">
        <v>87</v>
      </c>
      <c r="CR1" s="1" t="s">
        <v>88</v>
      </c>
      <c r="CS1" s="1" t="s">
        <v>138</v>
      </c>
      <c r="CT1" s="1" t="s">
        <v>139</v>
      </c>
      <c r="CU1" s="1" t="s">
        <v>89</v>
      </c>
      <c r="CV1" s="1" t="s">
        <v>90</v>
      </c>
      <c r="CW1" s="1" t="s">
        <v>140</v>
      </c>
      <c r="CX1" s="1" t="s">
        <v>37</v>
      </c>
      <c r="CY1">
        <v>1</v>
      </c>
      <c r="CZ1" t="s">
        <v>142</v>
      </c>
      <c r="DA1" t="s">
        <v>143</v>
      </c>
      <c r="DB1">
        <v>3</v>
      </c>
      <c r="DC1" t="s">
        <v>144</v>
      </c>
      <c r="DD1" t="s">
        <v>145</v>
      </c>
      <c r="DE1">
        <v>6</v>
      </c>
      <c r="DF1" t="s">
        <v>146</v>
      </c>
      <c r="DG1" t="s">
        <v>147</v>
      </c>
      <c r="DH1">
        <v>10</v>
      </c>
      <c r="DI1" t="s">
        <v>148</v>
      </c>
      <c r="DJ1" t="s">
        <v>149</v>
      </c>
      <c r="DK1">
        <v>20</v>
      </c>
      <c r="DL1" t="s">
        <v>95</v>
      </c>
      <c r="DM1" t="s">
        <v>91</v>
      </c>
      <c r="DN1" t="s">
        <v>92</v>
      </c>
      <c r="DO1" s="2" t="s">
        <v>93</v>
      </c>
      <c r="DP1" t="s">
        <v>150</v>
      </c>
      <c r="DQ1" t="s">
        <v>151</v>
      </c>
      <c r="DR1" s="1" t="s">
        <v>96</v>
      </c>
      <c r="DS1" s="1" t="s">
        <v>152</v>
      </c>
      <c r="DT1" s="1" t="s">
        <v>153</v>
      </c>
      <c r="DU1" t="s">
        <v>154</v>
      </c>
      <c r="DV1" t="s">
        <v>155</v>
      </c>
      <c r="DW1" t="s">
        <v>156</v>
      </c>
      <c r="DX1" t="s">
        <v>97</v>
      </c>
      <c r="DY1" t="s">
        <v>157</v>
      </c>
      <c r="DZ1" t="s">
        <v>94</v>
      </c>
      <c r="EA1" t="s">
        <v>158</v>
      </c>
      <c r="EB1" t="s">
        <v>98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1" s="14" customFormat="1" ht="71.55" customHeight="1" x14ac:dyDescent="0.25">
      <c r="A2" s="22"/>
      <c r="B2" s="20"/>
      <c r="C2" s="21">
        <v>3</v>
      </c>
      <c r="D2" s="21">
        <v>11</v>
      </c>
      <c r="T2" s="16"/>
      <c r="U2" s="16"/>
      <c r="V2" s="16"/>
      <c r="AB2" s="17"/>
    </row>
    <row r="3" spans="1:141" x14ac:dyDescent="0.25">
      <c r="E3" t="s">
        <v>186</v>
      </c>
      <c r="F3" t="s">
        <v>187</v>
      </c>
      <c r="G3">
        <v>41.05</v>
      </c>
      <c r="H3">
        <v>0.98</v>
      </c>
      <c r="I3" t="s">
        <v>188</v>
      </c>
      <c r="J3">
        <v>1035274660000</v>
      </c>
      <c r="K3">
        <v>7.77</v>
      </c>
      <c r="L3">
        <v>1.25</v>
      </c>
      <c r="M3" t="s">
        <v>170</v>
      </c>
    </row>
    <row r="4" spans="1:141" x14ac:dyDescent="0.25">
      <c r="E4" t="s">
        <v>189</v>
      </c>
      <c r="F4" t="s">
        <v>190</v>
      </c>
      <c r="G4">
        <v>17.96</v>
      </c>
      <c r="H4">
        <v>-0.61</v>
      </c>
      <c r="I4" t="s">
        <v>191</v>
      </c>
      <c r="J4">
        <v>373105580000</v>
      </c>
      <c r="K4">
        <v>4.12</v>
      </c>
      <c r="L4">
        <v>0.57899999999999996</v>
      </c>
      <c r="M4" t="s">
        <v>170</v>
      </c>
    </row>
    <row r="5" spans="1:141" x14ac:dyDescent="0.25">
      <c r="E5" t="s">
        <v>192</v>
      </c>
      <c r="F5" t="s">
        <v>193</v>
      </c>
      <c r="G5">
        <v>15.13</v>
      </c>
      <c r="H5">
        <v>0.27</v>
      </c>
      <c r="I5" t="s">
        <v>194</v>
      </c>
      <c r="J5">
        <v>293611540000</v>
      </c>
      <c r="K5">
        <v>6.69</v>
      </c>
      <c r="L5">
        <v>0.80500000000000005</v>
      </c>
      <c r="M5" t="s">
        <v>170</v>
      </c>
    </row>
    <row r="6" spans="1:141" x14ac:dyDescent="0.25">
      <c r="E6" t="s">
        <v>195</v>
      </c>
      <c r="F6" t="s">
        <v>196</v>
      </c>
      <c r="G6">
        <v>5.07</v>
      </c>
      <c r="H6">
        <v>0.2</v>
      </c>
      <c r="I6" t="s">
        <v>197</v>
      </c>
      <c r="J6">
        <v>248099660000</v>
      </c>
      <c r="K6">
        <v>4.07</v>
      </c>
      <c r="L6">
        <v>0.45100000000000001</v>
      </c>
      <c r="M6" t="s">
        <v>170</v>
      </c>
    </row>
    <row r="7" spans="1:141" x14ac:dyDescent="0.25">
      <c r="E7" t="s">
        <v>198</v>
      </c>
      <c r="F7" t="s">
        <v>199</v>
      </c>
      <c r="G7">
        <v>7.36</v>
      </c>
      <c r="H7">
        <v>0.41</v>
      </c>
      <c r="I7" t="s">
        <v>200</v>
      </c>
      <c r="J7">
        <v>216032000000</v>
      </c>
      <c r="K7">
        <v>4.16</v>
      </c>
      <c r="L7">
        <v>0.371</v>
      </c>
      <c r="M7" t="s">
        <v>170</v>
      </c>
    </row>
    <row r="8" spans="1:141" x14ac:dyDescent="0.25">
      <c r="E8" t="s">
        <v>201</v>
      </c>
      <c r="F8" t="s">
        <v>202</v>
      </c>
      <c r="G8">
        <v>3.1</v>
      </c>
      <c r="H8">
        <v>0.32</v>
      </c>
      <c r="I8" t="s">
        <v>203</v>
      </c>
      <c r="J8">
        <v>167499140000</v>
      </c>
      <c r="K8">
        <v>3.73</v>
      </c>
      <c r="L8">
        <v>0.42199999999999999</v>
      </c>
      <c r="M8" t="s">
        <v>170</v>
      </c>
    </row>
    <row r="9" spans="1:141" x14ac:dyDescent="0.25">
      <c r="E9" t="s">
        <v>204</v>
      </c>
      <c r="F9" t="s">
        <v>205</v>
      </c>
      <c r="G9">
        <v>3.5</v>
      </c>
      <c r="H9">
        <v>0.56999999999999995</v>
      </c>
      <c r="I9" t="s">
        <v>206</v>
      </c>
      <c r="J9">
        <v>153238460000</v>
      </c>
      <c r="K9">
        <v>4.6900000000000004</v>
      </c>
      <c r="L9">
        <v>0.30399999999999999</v>
      </c>
      <c r="M9" t="s">
        <v>170</v>
      </c>
    </row>
    <row r="10" spans="1:141" x14ac:dyDescent="0.25">
      <c r="E10" t="s">
        <v>207</v>
      </c>
      <c r="F10" t="s">
        <v>208</v>
      </c>
      <c r="G10">
        <v>5.23</v>
      </c>
      <c r="H10">
        <v>0.38</v>
      </c>
      <c r="I10" t="s">
        <v>209</v>
      </c>
      <c r="J10">
        <v>83235076000</v>
      </c>
      <c r="K10">
        <v>3.41</v>
      </c>
      <c r="L10">
        <v>0.32700000000000001</v>
      </c>
      <c r="M10" t="s">
        <v>170</v>
      </c>
    </row>
    <row r="11" spans="1:141" x14ac:dyDescent="0.25">
      <c r="E11" t="s">
        <v>210</v>
      </c>
      <c r="F11" t="s">
        <v>211</v>
      </c>
      <c r="G11">
        <v>3.01</v>
      </c>
      <c r="H11">
        <v>0.67</v>
      </c>
      <c r="I11" t="s">
        <v>212</v>
      </c>
      <c r="J11">
        <v>64018777000</v>
      </c>
      <c r="K11">
        <v>4.7</v>
      </c>
      <c r="L11">
        <v>0.47499999999999998</v>
      </c>
      <c r="M11" t="s">
        <v>170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K19"/>
  <sheetViews>
    <sheetView workbookViewId="0">
      <selection activeCell="B3" sqref="B3"/>
    </sheetView>
  </sheetViews>
  <sheetFormatPr defaultRowHeight="14.4" x14ac:dyDescent="0.25"/>
  <cols>
    <col min="1" max="1" width="10.109375" customWidth="1"/>
    <col min="2" max="2" width="29.33203125" customWidth="1"/>
    <col min="3" max="3" width="35.44140625" customWidth="1"/>
    <col min="4" max="4" width="42.21875" customWidth="1"/>
  </cols>
  <sheetData>
    <row r="1" spans="1:141" s="14" customFormat="1" x14ac:dyDescent="0.25">
      <c r="A1" s="15" t="s">
        <v>49</v>
      </c>
      <c r="B1" s="18" t="s">
        <v>7</v>
      </c>
      <c r="C1" s="19" t="s">
        <v>8</v>
      </c>
      <c r="D1" s="18" t="s">
        <v>126</v>
      </c>
      <c r="E1" t="s">
        <v>2</v>
      </c>
      <c r="F1" t="s">
        <v>3</v>
      </c>
      <c r="G1" t="s">
        <v>0</v>
      </c>
      <c r="H1" t="s">
        <v>99</v>
      </c>
      <c r="I1" t="s">
        <v>127</v>
      </c>
      <c r="J1" t="s">
        <v>4</v>
      </c>
      <c r="K1" t="s">
        <v>5</v>
      </c>
      <c r="L1" t="s">
        <v>1</v>
      </c>
      <c r="M1" t="s">
        <v>6</v>
      </c>
      <c r="N1" t="s">
        <v>9</v>
      </c>
      <c r="O1" t="s">
        <v>10</v>
      </c>
      <c r="P1" t="s">
        <v>11</v>
      </c>
      <c r="Q1" t="s">
        <v>128</v>
      </c>
      <c r="R1" t="s">
        <v>100</v>
      </c>
      <c r="S1" t="s">
        <v>129</v>
      </c>
      <c r="T1" t="s">
        <v>12</v>
      </c>
      <c r="U1" t="s">
        <v>101</v>
      </c>
      <c r="V1" t="s">
        <v>102</v>
      </c>
      <c r="W1" t="s">
        <v>13</v>
      </c>
      <c r="X1" t="s">
        <v>71</v>
      </c>
      <c r="Y1" t="s">
        <v>72</v>
      </c>
      <c r="Z1" t="s">
        <v>73</v>
      </c>
      <c r="AA1" t="s">
        <v>74</v>
      </c>
      <c r="AB1" t="s">
        <v>75</v>
      </c>
      <c r="AC1" t="s">
        <v>103</v>
      </c>
      <c r="AD1" t="s">
        <v>76</v>
      </c>
      <c r="AE1" t="s">
        <v>130</v>
      </c>
      <c r="AF1" t="s">
        <v>14</v>
      </c>
      <c r="AG1" t="s">
        <v>15</v>
      </c>
      <c r="AH1" t="s">
        <v>104</v>
      </c>
      <c r="AI1" t="s">
        <v>131</v>
      </c>
      <c r="AJ1" t="s">
        <v>105</v>
      </c>
      <c r="AK1" t="s">
        <v>16</v>
      </c>
      <c r="AL1" t="s">
        <v>106</v>
      </c>
      <c r="AM1" t="s">
        <v>50</v>
      </c>
      <c r="AN1" t="s">
        <v>107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  <c r="AT1" t="s">
        <v>113</v>
      </c>
      <c r="AU1" t="s">
        <v>114</v>
      </c>
      <c r="AV1" t="s">
        <v>115</v>
      </c>
      <c r="AW1" t="s">
        <v>116</v>
      </c>
      <c r="AX1" t="s">
        <v>117</v>
      </c>
      <c r="AY1" t="s">
        <v>132</v>
      </c>
      <c r="AZ1" t="s">
        <v>51</v>
      </c>
      <c r="BA1" t="s">
        <v>52</v>
      </c>
      <c r="BB1" t="s">
        <v>53</v>
      </c>
      <c r="BC1" t="s">
        <v>54</v>
      </c>
      <c r="BD1" t="s">
        <v>60</v>
      </c>
      <c r="BE1" t="s">
        <v>55</v>
      </c>
      <c r="BF1" t="s">
        <v>56</v>
      </c>
      <c r="BG1" t="s">
        <v>57</v>
      </c>
      <c r="BH1" t="s">
        <v>58</v>
      </c>
      <c r="BI1" t="s">
        <v>133</v>
      </c>
      <c r="BJ1" t="s">
        <v>118</v>
      </c>
      <c r="BK1" t="s">
        <v>59</v>
      </c>
      <c r="BL1" t="s">
        <v>119</v>
      </c>
      <c r="BM1" t="s">
        <v>120</v>
      </c>
      <c r="BN1" t="s">
        <v>121</v>
      </c>
      <c r="BO1" t="s">
        <v>122</v>
      </c>
      <c r="BP1" t="s">
        <v>61</v>
      </c>
      <c r="BQ1" t="s">
        <v>62</v>
      </c>
      <c r="BR1" t="s">
        <v>63</v>
      </c>
      <c r="BS1" t="s">
        <v>123</v>
      </c>
      <c r="BT1" t="s">
        <v>64</v>
      </c>
      <c r="BU1" t="s">
        <v>65</v>
      </c>
      <c r="BV1" t="s">
        <v>66</v>
      </c>
      <c r="BW1" t="s">
        <v>124</v>
      </c>
      <c r="BX1" t="s">
        <v>67</v>
      </c>
      <c r="BY1" t="s">
        <v>68</v>
      </c>
      <c r="BZ1" t="s">
        <v>125</v>
      </c>
      <c r="CA1" t="s">
        <v>69</v>
      </c>
      <c r="CB1" t="s">
        <v>70</v>
      </c>
      <c r="CC1" t="s">
        <v>134</v>
      </c>
      <c r="CD1" t="s">
        <v>135</v>
      </c>
      <c r="CE1" t="s">
        <v>136</v>
      </c>
      <c r="CF1" t="s">
        <v>137</v>
      </c>
      <c r="CG1" s="1" t="s">
        <v>77</v>
      </c>
      <c r="CH1" s="1" t="s">
        <v>78</v>
      </c>
      <c r="CI1" s="1" t="s">
        <v>79</v>
      </c>
      <c r="CJ1" s="1" t="s">
        <v>80</v>
      </c>
      <c r="CK1" s="1" t="s">
        <v>81</v>
      </c>
      <c r="CL1" s="1" t="s">
        <v>82</v>
      </c>
      <c r="CM1" s="1" t="s">
        <v>83</v>
      </c>
      <c r="CN1" s="1" t="s">
        <v>84</v>
      </c>
      <c r="CO1" s="1" t="s">
        <v>85</v>
      </c>
      <c r="CP1" s="1" t="s">
        <v>86</v>
      </c>
      <c r="CQ1" s="1" t="s">
        <v>87</v>
      </c>
      <c r="CR1" s="1" t="s">
        <v>88</v>
      </c>
      <c r="CS1" s="1" t="s">
        <v>138</v>
      </c>
      <c r="CT1" s="1" t="s">
        <v>139</v>
      </c>
      <c r="CU1" s="1" t="s">
        <v>89</v>
      </c>
      <c r="CV1" s="1" t="s">
        <v>90</v>
      </c>
      <c r="CW1" s="1" t="s">
        <v>140</v>
      </c>
      <c r="CX1" s="1" t="s">
        <v>37</v>
      </c>
      <c r="CY1">
        <v>1</v>
      </c>
      <c r="CZ1" t="s">
        <v>142</v>
      </c>
      <c r="DA1" t="s">
        <v>143</v>
      </c>
      <c r="DB1">
        <v>3</v>
      </c>
      <c r="DC1" t="s">
        <v>144</v>
      </c>
      <c r="DD1" t="s">
        <v>145</v>
      </c>
      <c r="DE1">
        <v>6</v>
      </c>
      <c r="DF1" t="s">
        <v>146</v>
      </c>
      <c r="DG1" t="s">
        <v>147</v>
      </c>
      <c r="DH1">
        <v>10</v>
      </c>
      <c r="DI1" t="s">
        <v>148</v>
      </c>
      <c r="DJ1" t="s">
        <v>149</v>
      </c>
      <c r="DK1">
        <v>20</v>
      </c>
      <c r="DL1" t="s">
        <v>95</v>
      </c>
      <c r="DM1" t="s">
        <v>91</v>
      </c>
      <c r="DN1" t="s">
        <v>92</v>
      </c>
      <c r="DO1" s="2" t="s">
        <v>93</v>
      </c>
      <c r="DP1" t="s">
        <v>150</v>
      </c>
      <c r="DQ1" t="s">
        <v>151</v>
      </c>
      <c r="DR1" s="1" t="s">
        <v>96</v>
      </c>
      <c r="DS1" s="1" t="s">
        <v>152</v>
      </c>
      <c r="DT1" s="1" t="s">
        <v>153</v>
      </c>
      <c r="DU1" t="s">
        <v>154</v>
      </c>
      <c r="DV1" t="s">
        <v>155</v>
      </c>
      <c r="DW1" t="s">
        <v>156</v>
      </c>
      <c r="DX1" t="s">
        <v>97</v>
      </c>
      <c r="DY1" t="s">
        <v>157</v>
      </c>
      <c r="DZ1" t="s">
        <v>94</v>
      </c>
      <c r="EA1" t="s">
        <v>158</v>
      </c>
      <c r="EB1" t="s">
        <v>98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1" s="14" customFormat="1" ht="71.55" customHeight="1" x14ac:dyDescent="0.25">
      <c r="A2" s="22"/>
      <c r="B2" s="20"/>
      <c r="C2" s="21">
        <v>3</v>
      </c>
      <c r="D2" s="21">
        <v>19</v>
      </c>
      <c r="T2" s="16"/>
      <c r="U2" s="16"/>
      <c r="V2" s="16"/>
      <c r="AB2" s="17"/>
    </row>
    <row r="3" spans="1:141" x14ac:dyDescent="0.25">
      <c r="E3" t="s">
        <v>213</v>
      </c>
      <c r="F3" t="s">
        <v>214</v>
      </c>
      <c r="G3">
        <v>33.21</v>
      </c>
      <c r="H3">
        <v>-0.15</v>
      </c>
      <c r="I3" t="s">
        <v>215</v>
      </c>
      <c r="J3">
        <v>219305250000</v>
      </c>
      <c r="K3">
        <v>9.7799999999999994</v>
      </c>
      <c r="L3">
        <v>1.46</v>
      </c>
      <c r="M3" t="s">
        <v>170</v>
      </c>
    </row>
    <row r="4" spans="1:141" x14ac:dyDescent="0.25">
      <c r="E4" t="s">
        <v>216</v>
      </c>
      <c r="F4" t="s">
        <v>217</v>
      </c>
      <c r="G4">
        <v>7.52</v>
      </c>
      <c r="H4">
        <v>0</v>
      </c>
      <c r="I4" t="s">
        <v>218</v>
      </c>
      <c r="J4">
        <v>111067818000</v>
      </c>
      <c r="K4">
        <v>4.5199999999999996</v>
      </c>
      <c r="L4">
        <v>0.66800000000000004</v>
      </c>
      <c r="M4" t="s">
        <v>170</v>
      </c>
    </row>
    <row r="5" spans="1:141" x14ac:dyDescent="0.25">
      <c r="E5" t="s">
        <v>219</v>
      </c>
      <c r="F5" t="s">
        <v>220</v>
      </c>
      <c r="G5">
        <v>10.66</v>
      </c>
      <c r="H5">
        <v>0.19</v>
      </c>
      <c r="I5" t="s">
        <v>221</v>
      </c>
      <c r="J5">
        <v>110264036000</v>
      </c>
      <c r="K5">
        <v>5.97</v>
      </c>
      <c r="L5">
        <v>0.88700000000000001</v>
      </c>
      <c r="M5" t="s">
        <v>170</v>
      </c>
    </row>
    <row r="6" spans="1:141" x14ac:dyDescent="0.25">
      <c r="E6" t="s">
        <v>222</v>
      </c>
      <c r="F6" t="s">
        <v>223</v>
      </c>
      <c r="G6">
        <v>4.2699999999999996</v>
      </c>
      <c r="H6">
        <v>0.23</v>
      </c>
      <c r="I6" t="s">
        <v>224</v>
      </c>
      <c r="J6">
        <v>90280543000</v>
      </c>
      <c r="K6">
        <v>3.86</v>
      </c>
      <c r="L6">
        <v>0.39400000000000002</v>
      </c>
      <c r="M6" t="s">
        <v>170</v>
      </c>
    </row>
    <row r="7" spans="1:141" x14ac:dyDescent="0.25">
      <c r="E7" t="s">
        <v>225</v>
      </c>
      <c r="F7" t="s">
        <v>226</v>
      </c>
      <c r="G7">
        <v>6.05</v>
      </c>
      <c r="H7">
        <v>0.17</v>
      </c>
      <c r="I7" t="s">
        <v>227</v>
      </c>
      <c r="J7">
        <v>85950311000</v>
      </c>
      <c r="K7">
        <v>3.81</v>
      </c>
      <c r="L7">
        <v>0.437</v>
      </c>
      <c r="M7" t="s">
        <v>170</v>
      </c>
    </row>
    <row r="8" spans="1:141" x14ac:dyDescent="0.25">
      <c r="E8" t="s">
        <v>228</v>
      </c>
      <c r="F8" t="s">
        <v>229</v>
      </c>
      <c r="G8">
        <v>13.28</v>
      </c>
      <c r="H8">
        <v>-0.23</v>
      </c>
      <c r="I8" t="s">
        <v>230</v>
      </c>
      <c r="J8">
        <v>78754096000</v>
      </c>
      <c r="K8">
        <v>6.85</v>
      </c>
      <c r="L8">
        <v>0.98199999999999998</v>
      </c>
      <c r="M8" t="s">
        <v>170</v>
      </c>
    </row>
    <row r="9" spans="1:141" x14ac:dyDescent="0.25">
      <c r="E9" t="s">
        <v>231</v>
      </c>
      <c r="F9" t="s">
        <v>232</v>
      </c>
      <c r="G9">
        <v>14.36</v>
      </c>
      <c r="H9">
        <v>1.41</v>
      </c>
      <c r="I9" t="s">
        <v>233</v>
      </c>
      <c r="J9">
        <v>53645085000</v>
      </c>
      <c r="K9">
        <v>5.68</v>
      </c>
      <c r="L9">
        <v>1.02</v>
      </c>
      <c r="M9" t="s">
        <v>170</v>
      </c>
    </row>
    <row r="10" spans="1:141" x14ac:dyDescent="0.25">
      <c r="E10" t="s">
        <v>234</v>
      </c>
      <c r="F10" t="s">
        <v>235</v>
      </c>
      <c r="G10">
        <v>7.87</v>
      </c>
      <c r="H10">
        <v>-1.63</v>
      </c>
      <c r="I10" t="s">
        <v>236</v>
      </c>
      <c r="J10">
        <v>28857175000</v>
      </c>
      <c r="K10">
        <v>7.71</v>
      </c>
      <c r="L10">
        <v>0.83299999999999996</v>
      </c>
      <c r="M10" t="s">
        <v>170</v>
      </c>
    </row>
    <row r="11" spans="1:141" x14ac:dyDescent="0.25">
      <c r="E11" t="s">
        <v>237</v>
      </c>
      <c r="F11" t="s">
        <v>238</v>
      </c>
      <c r="G11">
        <v>6.94</v>
      </c>
      <c r="H11">
        <v>0</v>
      </c>
      <c r="I11" t="s">
        <v>239</v>
      </c>
      <c r="J11">
        <v>27909583000</v>
      </c>
      <c r="K11">
        <v>4.22</v>
      </c>
      <c r="L11">
        <v>0.51500000000000001</v>
      </c>
      <c r="M11" t="s">
        <v>170</v>
      </c>
    </row>
    <row r="12" spans="1:141" x14ac:dyDescent="0.25">
      <c r="E12" t="s">
        <v>240</v>
      </c>
      <c r="F12" t="s">
        <v>241</v>
      </c>
      <c r="G12">
        <v>7.08</v>
      </c>
      <c r="H12">
        <v>0.28000000000000003</v>
      </c>
      <c r="I12" t="s">
        <v>242</v>
      </c>
      <c r="J12">
        <v>24599742000</v>
      </c>
      <c r="K12">
        <v>5.09</v>
      </c>
      <c r="L12">
        <v>0.53400000000000003</v>
      </c>
      <c r="M12" t="s">
        <v>170</v>
      </c>
    </row>
    <row r="13" spans="1:141" x14ac:dyDescent="0.25">
      <c r="E13" t="s">
        <v>243</v>
      </c>
      <c r="F13" t="s">
        <v>244</v>
      </c>
      <c r="G13">
        <v>3.65</v>
      </c>
      <c r="H13">
        <v>0.55000000000000004</v>
      </c>
      <c r="I13" t="s">
        <v>245</v>
      </c>
      <c r="J13">
        <v>20789295000</v>
      </c>
      <c r="K13">
        <v>12.54</v>
      </c>
      <c r="L13">
        <v>0.78</v>
      </c>
      <c r="M13" t="s">
        <v>170</v>
      </c>
    </row>
    <row r="14" spans="1:141" x14ac:dyDescent="0.25">
      <c r="E14" t="s">
        <v>246</v>
      </c>
      <c r="F14" t="s">
        <v>247</v>
      </c>
      <c r="G14">
        <v>5.61</v>
      </c>
      <c r="H14">
        <v>0.18</v>
      </c>
      <c r="I14" t="s">
        <v>248</v>
      </c>
      <c r="J14">
        <v>20511271000</v>
      </c>
      <c r="K14">
        <v>3.37</v>
      </c>
      <c r="L14">
        <v>0.40600000000000003</v>
      </c>
      <c r="M14" t="s">
        <v>170</v>
      </c>
    </row>
    <row r="15" spans="1:141" x14ac:dyDescent="0.25">
      <c r="E15" t="s">
        <v>249</v>
      </c>
      <c r="F15" t="s">
        <v>250</v>
      </c>
      <c r="G15">
        <v>3.48</v>
      </c>
      <c r="H15">
        <v>-0.28999999999999998</v>
      </c>
      <c r="I15" t="s">
        <v>251</v>
      </c>
      <c r="J15">
        <v>20254834000</v>
      </c>
      <c r="K15">
        <v>6.54</v>
      </c>
      <c r="L15">
        <v>0.68</v>
      </c>
      <c r="M15" t="s">
        <v>170</v>
      </c>
    </row>
    <row r="16" spans="1:141" x14ac:dyDescent="0.25">
      <c r="E16" t="s">
        <v>252</v>
      </c>
      <c r="F16" t="s">
        <v>253</v>
      </c>
      <c r="G16">
        <v>2.44</v>
      </c>
      <c r="H16">
        <v>0.41</v>
      </c>
      <c r="I16" t="s">
        <v>254</v>
      </c>
      <c r="J16">
        <v>20167912000</v>
      </c>
      <c r="K16">
        <v>6.12</v>
      </c>
      <c r="L16">
        <v>0.46300000000000002</v>
      </c>
      <c r="M16" t="s">
        <v>170</v>
      </c>
    </row>
    <row r="17" spans="5:13" x14ac:dyDescent="0.25">
      <c r="E17" t="s">
        <v>255</v>
      </c>
      <c r="F17" t="s">
        <v>256</v>
      </c>
      <c r="G17">
        <v>4.29</v>
      </c>
      <c r="H17">
        <v>-0.69</v>
      </c>
      <c r="I17" t="s">
        <v>257</v>
      </c>
      <c r="J17">
        <v>19651775000</v>
      </c>
      <c r="K17">
        <v>5.69</v>
      </c>
      <c r="L17">
        <v>0.69599999999999995</v>
      </c>
      <c r="M17" t="s">
        <v>170</v>
      </c>
    </row>
    <row r="18" spans="5:13" x14ac:dyDescent="0.25">
      <c r="E18" t="s">
        <v>258</v>
      </c>
      <c r="F18" t="s">
        <v>259</v>
      </c>
      <c r="G18">
        <v>3.51</v>
      </c>
      <c r="H18">
        <v>0</v>
      </c>
      <c r="I18" t="s">
        <v>260</v>
      </c>
      <c r="J18">
        <v>15600000000</v>
      </c>
      <c r="K18">
        <v>6.11</v>
      </c>
      <c r="L18">
        <v>0.54300000000000004</v>
      </c>
      <c r="M18" t="s">
        <v>170</v>
      </c>
    </row>
    <row r="19" spans="5:13" x14ac:dyDescent="0.25">
      <c r="E19" t="s">
        <v>261</v>
      </c>
      <c r="F19" t="s">
        <v>262</v>
      </c>
      <c r="G19">
        <v>5.87</v>
      </c>
      <c r="H19">
        <v>-0.17</v>
      </c>
      <c r="I19" t="s">
        <v>263</v>
      </c>
      <c r="J19">
        <v>15491681000</v>
      </c>
      <c r="K19">
        <v>6.31</v>
      </c>
      <c r="L19">
        <v>0.71399999999999997</v>
      </c>
      <c r="M19" t="s">
        <v>170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K12"/>
  <sheetViews>
    <sheetView workbookViewId="0">
      <selection activeCell="D2" sqref="D2"/>
    </sheetView>
  </sheetViews>
  <sheetFormatPr defaultRowHeight="14.4" x14ac:dyDescent="0.25"/>
  <cols>
    <col min="1" max="1" width="10.109375" customWidth="1"/>
    <col min="2" max="2" width="29.33203125" customWidth="1"/>
    <col min="3" max="3" width="35.44140625" customWidth="1"/>
    <col min="4" max="4" width="42.21875" customWidth="1"/>
  </cols>
  <sheetData>
    <row r="1" spans="1:141" s="14" customFormat="1" x14ac:dyDescent="0.25">
      <c r="A1" s="15" t="s">
        <v>49</v>
      </c>
      <c r="B1" s="18" t="s">
        <v>7</v>
      </c>
      <c r="C1" s="19" t="s">
        <v>8</v>
      </c>
      <c r="D1" s="18" t="s">
        <v>126</v>
      </c>
      <c r="E1" t="s">
        <v>2</v>
      </c>
      <c r="F1" t="s">
        <v>3</v>
      </c>
      <c r="G1" t="s">
        <v>0</v>
      </c>
      <c r="H1" t="s">
        <v>99</v>
      </c>
      <c r="I1" t="s">
        <v>127</v>
      </c>
      <c r="J1" t="s">
        <v>4</v>
      </c>
      <c r="K1" t="s">
        <v>5</v>
      </c>
      <c r="L1" t="s">
        <v>1</v>
      </c>
      <c r="M1" t="s">
        <v>6</v>
      </c>
      <c r="N1" t="s">
        <v>9</v>
      </c>
      <c r="O1" t="s">
        <v>10</v>
      </c>
      <c r="P1" t="s">
        <v>11</v>
      </c>
      <c r="Q1" t="s">
        <v>128</v>
      </c>
      <c r="R1" t="s">
        <v>100</v>
      </c>
      <c r="S1" t="s">
        <v>129</v>
      </c>
      <c r="T1" t="s">
        <v>12</v>
      </c>
      <c r="U1" t="s">
        <v>101</v>
      </c>
      <c r="V1" t="s">
        <v>102</v>
      </c>
      <c r="W1" t="s">
        <v>13</v>
      </c>
      <c r="X1" t="s">
        <v>71</v>
      </c>
      <c r="Y1" t="s">
        <v>72</v>
      </c>
      <c r="Z1" t="s">
        <v>73</v>
      </c>
      <c r="AA1" t="s">
        <v>74</v>
      </c>
      <c r="AB1" t="s">
        <v>75</v>
      </c>
      <c r="AC1" t="s">
        <v>103</v>
      </c>
      <c r="AD1" t="s">
        <v>76</v>
      </c>
      <c r="AE1" t="s">
        <v>130</v>
      </c>
      <c r="AF1" t="s">
        <v>14</v>
      </c>
      <c r="AG1" t="s">
        <v>15</v>
      </c>
      <c r="AH1" t="s">
        <v>104</v>
      </c>
      <c r="AI1" t="s">
        <v>131</v>
      </c>
      <c r="AJ1" t="s">
        <v>105</v>
      </c>
      <c r="AK1" t="s">
        <v>16</v>
      </c>
      <c r="AL1" t="s">
        <v>106</v>
      </c>
      <c r="AM1" t="s">
        <v>50</v>
      </c>
      <c r="AN1" t="s">
        <v>107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  <c r="AT1" t="s">
        <v>113</v>
      </c>
      <c r="AU1" t="s">
        <v>114</v>
      </c>
      <c r="AV1" t="s">
        <v>115</v>
      </c>
      <c r="AW1" t="s">
        <v>116</v>
      </c>
      <c r="AX1" t="s">
        <v>117</v>
      </c>
      <c r="AY1" t="s">
        <v>132</v>
      </c>
      <c r="AZ1" t="s">
        <v>51</v>
      </c>
      <c r="BA1" t="s">
        <v>52</v>
      </c>
      <c r="BB1" t="s">
        <v>53</v>
      </c>
      <c r="BC1" t="s">
        <v>54</v>
      </c>
      <c r="BD1" t="s">
        <v>60</v>
      </c>
      <c r="BE1" t="s">
        <v>55</v>
      </c>
      <c r="BF1" t="s">
        <v>56</v>
      </c>
      <c r="BG1" t="s">
        <v>57</v>
      </c>
      <c r="BH1" t="s">
        <v>58</v>
      </c>
      <c r="BI1" t="s">
        <v>133</v>
      </c>
      <c r="BJ1" t="s">
        <v>118</v>
      </c>
      <c r="BK1" t="s">
        <v>59</v>
      </c>
      <c r="BL1" t="s">
        <v>119</v>
      </c>
      <c r="BM1" t="s">
        <v>120</v>
      </c>
      <c r="BN1" t="s">
        <v>121</v>
      </c>
      <c r="BO1" t="s">
        <v>122</v>
      </c>
      <c r="BP1" t="s">
        <v>61</v>
      </c>
      <c r="BQ1" t="s">
        <v>62</v>
      </c>
      <c r="BR1" t="s">
        <v>63</v>
      </c>
      <c r="BS1" t="s">
        <v>123</v>
      </c>
      <c r="BT1" t="s">
        <v>64</v>
      </c>
      <c r="BU1" t="s">
        <v>65</v>
      </c>
      <c r="BV1" t="s">
        <v>66</v>
      </c>
      <c r="BW1" t="s">
        <v>124</v>
      </c>
      <c r="BX1" t="s">
        <v>67</v>
      </c>
      <c r="BY1" t="s">
        <v>68</v>
      </c>
      <c r="BZ1" t="s">
        <v>125</v>
      </c>
      <c r="CA1" t="s">
        <v>69</v>
      </c>
      <c r="CB1" t="s">
        <v>70</v>
      </c>
      <c r="CC1" t="s">
        <v>134</v>
      </c>
      <c r="CD1" t="s">
        <v>135</v>
      </c>
      <c r="CE1" t="s">
        <v>136</v>
      </c>
      <c r="CF1" t="s">
        <v>137</v>
      </c>
      <c r="CG1" s="1" t="s">
        <v>77</v>
      </c>
      <c r="CH1" s="1" t="s">
        <v>78</v>
      </c>
      <c r="CI1" s="1" t="s">
        <v>79</v>
      </c>
      <c r="CJ1" s="1" t="s">
        <v>80</v>
      </c>
      <c r="CK1" s="1" t="s">
        <v>81</v>
      </c>
      <c r="CL1" s="1" t="s">
        <v>82</v>
      </c>
      <c r="CM1" s="1" t="s">
        <v>83</v>
      </c>
      <c r="CN1" s="1" t="s">
        <v>84</v>
      </c>
      <c r="CO1" s="1" t="s">
        <v>85</v>
      </c>
      <c r="CP1" s="1" t="s">
        <v>86</v>
      </c>
      <c r="CQ1" s="1" t="s">
        <v>87</v>
      </c>
      <c r="CR1" s="1" t="s">
        <v>88</v>
      </c>
      <c r="CS1" s="1" t="s">
        <v>138</v>
      </c>
      <c r="CT1" s="1" t="s">
        <v>139</v>
      </c>
      <c r="CU1" s="1" t="s">
        <v>89</v>
      </c>
      <c r="CV1" s="1" t="s">
        <v>90</v>
      </c>
      <c r="CW1" s="1" t="s">
        <v>140</v>
      </c>
      <c r="CX1" s="1" t="s">
        <v>37</v>
      </c>
      <c r="CY1">
        <v>1</v>
      </c>
      <c r="CZ1" t="s">
        <v>142</v>
      </c>
      <c r="DA1" t="s">
        <v>143</v>
      </c>
      <c r="DB1">
        <v>3</v>
      </c>
      <c r="DC1" t="s">
        <v>144</v>
      </c>
      <c r="DD1" t="s">
        <v>145</v>
      </c>
      <c r="DE1">
        <v>6</v>
      </c>
      <c r="DF1" t="s">
        <v>146</v>
      </c>
      <c r="DG1" t="s">
        <v>147</v>
      </c>
      <c r="DH1">
        <v>10</v>
      </c>
      <c r="DI1" t="s">
        <v>148</v>
      </c>
      <c r="DJ1" t="s">
        <v>149</v>
      </c>
      <c r="DK1">
        <v>20</v>
      </c>
      <c r="DL1" t="s">
        <v>95</v>
      </c>
      <c r="DM1" t="s">
        <v>91</v>
      </c>
      <c r="DN1" t="s">
        <v>92</v>
      </c>
      <c r="DO1" s="2" t="s">
        <v>93</v>
      </c>
      <c r="DP1" t="s">
        <v>150</v>
      </c>
      <c r="DQ1" t="s">
        <v>151</v>
      </c>
      <c r="DR1" s="1" t="s">
        <v>96</v>
      </c>
      <c r="DS1" s="1" t="s">
        <v>152</v>
      </c>
      <c r="DT1" s="1" t="s">
        <v>153</v>
      </c>
      <c r="DU1" t="s">
        <v>154</v>
      </c>
      <c r="DV1" t="s">
        <v>155</v>
      </c>
      <c r="DW1" t="s">
        <v>156</v>
      </c>
      <c r="DX1" t="s">
        <v>97</v>
      </c>
      <c r="DY1" t="s">
        <v>157</v>
      </c>
      <c r="DZ1" t="s">
        <v>94</v>
      </c>
      <c r="EA1" t="s">
        <v>158</v>
      </c>
      <c r="EB1" t="s">
        <v>98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1" s="14" customFormat="1" ht="71.55" customHeight="1" x14ac:dyDescent="0.25">
      <c r="A2" s="22"/>
      <c r="B2" s="20"/>
      <c r="C2" s="21">
        <v>3</v>
      </c>
      <c r="D2" s="21">
        <v>12</v>
      </c>
      <c r="T2" s="16"/>
      <c r="U2" s="16"/>
      <c r="V2" s="16"/>
      <c r="AB2" s="17"/>
    </row>
    <row r="3" spans="1:141" x14ac:dyDescent="0.25">
      <c r="E3" t="s">
        <v>264</v>
      </c>
      <c r="F3" t="s">
        <v>265</v>
      </c>
      <c r="G3">
        <v>5.97</v>
      </c>
      <c r="H3">
        <v>0.34</v>
      </c>
      <c r="I3" t="s">
        <v>266</v>
      </c>
      <c r="J3">
        <v>57577333000</v>
      </c>
      <c r="K3">
        <v>5.23</v>
      </c>
      <c r="L3">
        <v>0.56499999999999995</v>
      </c>
      <c r="M3" t="s">
        <v>170</v>
      </c>
    </row>
    <row r="4" spans="1:141" x14ac:dyDescent="0.25">
      <c r="E4" t="s">
        <v>267</v>
      </c>
      <c r="F4" t="s">
        <v>268</v>
      </c>
      <c r="G4">
        <v>3.6</v>
      </c>
      <c r="H4">
        <v>0.28000000000000003</v>
      </c>
      <c r="I4" t="s">
        <v>269</v>
      </c>
      <c r="J4">
        <v>40885200000</v>
      </c>
      <c r="K4">
        <v>4.07</v>
      </c>
      <c r="L4">
        <v>0.38400000000000001</v>
      </c>
      <c r="M4" t="s">
        <v>170</v>
      </c>
    </row>
    <row r="5" spans="1:141" x14ac:dyDescent="0.25">
      <c r="E5" t="s">
        <v>270</v>
      </c>
      <c r="F5" t="s">
        <v>271</v>
      </c>
      <c r="G5">
        <v>7.43</v>
      </c>
      <c r="H5">
        <v>0.54</v>
      </c>
      <c r="I5" t="s">
        <v>272</v>
      </c>
      <c r="J5">
        <v>20364560000</v>
      </c>
      <c r="K5">
        <v>7.81</v>
      </c>
      <c r="L5">
        <v>0.90200000000000002</v>
      </c>
      <c r="M5" t="s">
        <v>170</v>
      </c>
    </row>
    <row r="6" spans="1:141" x14ac:dyDescent="0.25">
      <c r="E6" t="s">
        <v>273</v>
      </c>
      <c r="F6" t="s">
        <v>274</v>
      </c>
      <c r="G6">
        <v>2.97</v>
      </c>
      <c r="H6">
        <v>0</v>
      </c>
      <c r="I6" t="s">
        <v>275</v>
      </c>
      <c r="J6">
        <v>16500163000</v>
      </c>
      <c r="K6">
        <v>5.27</v>
      </c>
      <c r="L6">
        <v>0.52800000000000002</v>
      </c>
      <c r="M6" t="s">
        <v>170</v>
      </c>
    </row>
    <row r="7" spans="1:141" x14ac:dyDescent="0.25">
      <c r="E7" t="s">
        <v>276</v>
      </c>
      <c r="F7" t="s">
        <v>277</v>
      </c>
      <c r="G7">
        <v>7.42</v>
      </c>
      <c r="H7">
        <v>0.13</v>
      </c>
      <c r="I7" t="s">
        <v>278</v>
      </c>
      <c r="J7">
        <v>11199413500</v>
      </c>
      <c r="K7">
        <v>7.67</v>
      </c>
      <c r="L7">
        <v>0.75</v>
      </c>
      <c r="M7" t="s">
        <v>170</v>
      </c>
    </row>
    <row r="8" spans="1:141" x14ac:dyDescent="0.25">
      <c r="E8" t="s">
        <v>279</v>
      </c>
      <c r="F8" t="s">
        <v>280</v>
      </c>
      <c r="G8">
        <v>5.77</v>
      </c>
      <c r="H8">
        <v>-1.2</v>
      </c>
      <c r="I8" t="s">
        <v>281</v>
      </c>
      <c r="J8">
        <v>10741888600</v>
      </c>
      <c r="K8">
        <v>5.88</v>
      </c>
      <c r="L8">
        <v>0.64</v>
      </c>
      <c r="M8" t="s">
        <v>170</v>
      </c>
    </row>
    <row r="9" spans="1:141" x14ac:dyDescent="0.25">
      <c r="E9" t="s">
        <v>282</v>
      </c>
      <c r="F9" t="s">
        <v>283</v>
      </c>
      <c r="G9">
        <v>4.82</v>
      </c>
      <c r="H9">
        <v>-0.41</v>
      </c>
      <c r="I9" t="s">
        <v>284</v>
      </c>
      <c r="J9">
        <v>10457710700</v>
      </c>
      <c r="K9">
        <v>6.55</v>
      </c>
      <c r="L9">
        <v>0.76500000000000001</v>
      </c>
      <c r="M9" t="s">
        <v>170</v>
      </c>
    </row>
    <row r="10" spans="1:141" x14ac:dyDescent="0.25">
      <c r="E10" t="s">
        <v>285</v>
      </c>
      <c r="F10" t="s">
        <v>286</v>
      </c>
      <c r="G10">
        <v>2.67</v>
      </c>
      <c r="H10">
        <v>0.38</v>
      </c>
      <c r="I10" t="s">
        <v>287</v>
      </c>
      <c r="J10">
        <v>9774806300</v>
      </c>
      <c r="K10">
        <v>6.1</v>
      </c>
      <c r="L10">
        <v>0.59199999999999997</v>
      </c>
      <c r="M10" t="s">
        <v>170</v>
      </c>
    </row>
    <row r="11" spans="1:141" x14ac:dyDescent="0.25">
      <c r="E11" t="s">
        <v>288</v>
      </c>
      <c r="F11" t="s">
        <v>289</v>
      </c>
      <c r="G11">
        <v>4.2300000000000004</v>
      </c>
      <c r="H11">
        <v>-0.24</v>
      </c>
      <c r="I11" t="s">
        <v>290</v>
      </c>
      <c r="J11">
        <v>9187776600</v>
      </c>
      <c r="K11">
        <v>6.37</v>
      </c>
      <c r="L11">
        <v>0.64600000000000002</v>
      </c>
      <c r="M11" t="s">
        <v>170</v>
      </c>
    </row>
    <row r="12" spans="1:141" x14ac:dyDescent="0.25">
      <c r="E12" t="s">
        <v>291</v>
      </c>
      <c r="F12" t="s">
        <v>292</v>
      </c>
      <c r="G12">
        <v>4.87</v>
      </c>
      <c r="H12">
        <v>0</v>
      </c>
      <c r="I12" t="s">
        <v>293</v>
      </c>
      <c r="J12">
        <v>8780966000</v>
      </c>
      <c r="K12">
        <v>6.39</v>
      </c>
      <c r="L12">
        <v>0.61</v>
      </c>
      <c r="M12" t="s">
        <v>170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5" customFormat="1" ht="57.6" x14ac:dyDescent="0.25">
      <c r="A1" s="4" t="s">
        <v>17</v>
      </c>
      <c r="B1" s="5" t="s">
        <v>21</v>
      </c>
      <c r="C1" s="5" t="s">
        <v>18</v>
      </c>
      <c r="D1" s="5" t="s">
        <v>22</v>
      </c>
      <c r="E1" s="6" t="s">
        <v>19</v>
      </c>
      <c r="F1" s="6" t="s">
        <v>20</v>
      </c>
      <c r="G1" s="6" t="s">
        <v>28</v>
      </c>
      <c r="H1" s="6" t="s">
        <v>23</v>
      </c>
      <c r="I1" s="6" t="s">
        <v>24</v>
      </c>
      <c r="J1" s="6" t="s">
        <v>25</v>
      </c>
      <c r="K1" s="6" t="s">
        <v>26</v>
      </c>
      <c r="L1" s="5" t="s">
        <v>27</v>
      </c>
      <c r="M1" s="5" t="s">
        <v>29</v>
      </c>
      <c r="N1" s="5" t="s">
        <v>30</v>
      </c>
      <c r="O1" s="5" t="s">
        <v>31</v>
      </c>
      <c r="P1" s="5" t="s">
        <v>32</v>
      </c>
      <c r="Q1" s="5" t="s">
        <v>33</v>
      </c>
      <c r="R1" s="9" t="s">
        <v>34</v>
      </c>
      <c r="S1" s="5" t="s">
        <v>35</v>
      </c>
      <c r="T1" s="5" t="s">
        <v>36</v>
      </c>
      <c r="U1" s="5" t="s">
        <v>37</v>
      </c>
      <c r="V1" s="5" t="s">
        <v>38</v>
      </c>
      <c r="W1" s="5" t="s">
        <v>39</v>
      </c>
      <c r="X1" s="5" t="s">
        <v>40</v>
      </c>
      <c r="Y1" s="5" t="s">
        <v>41</v>
      </c>
      <c r="Z1" s="5" t="s">
        <v>42</v>
      </c>
      <c r="AA1" s="5" t="s">
        <v>43</v>
      </c>
      <c r="AB1" s="5" t="s">
        <v>44</v>
      </c>
      <c r="AC1" s="5" t="s">
        <v>45</v>
      </c>
      <c r="AD1" s="13" t="s">
        <v>46</v>
      </c>
      <c r="AE1" s="5" t="s">
        <v>47</v>
      </c>
      <c r="AF1" s="5" t="s">
        <v>48</v>
      </c>
    </row>
    <row r="2" spans="1:32" x14ac:dyDescent="0.25">
      <c r="A2" s="2">
        <v>1</v>
      </c>
      <c r="B2">
        <v>1</v>
      </c>
      <c r="C2" s="3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7">
        <v>7.06</v>
      </c>
      <c r="I2" s="8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3">
        <v>0.37</v>
      </c>
      <c r="U2" s="3">
        <v>0.06</v>
      </c>
      <c r="V2">
        <f>SUM($R$2:R2)</f>
        <v>7.06</v>
      </c>
      <c r="W2" s="2">
        <f>X2-Y2</f>
        <v>474.26</v>
      </c>
      <c r="X2" s="12">
        <f>579-579*10%</f>
        <v>521.1</v>
      </c>
      <c r="Y2" s="12">
        <f>57.79-10.95</f>
        <v>46.84</v>
      </c>
      <c r="Z2">
        <f>$W$2/S2</f>
        <v>67.175637393767701</v>
      </c>
      <c r="AA2" s="3">
        <v>0.3</v>
      </c>
      <c r="AB2">
        <f>S2/AA2</f>
        <v>23.533333333333331</v>
      </c>
      <c r="AC2">
        <f>AC3*(1-$U$2)</f>
        <v>222.37291878719995</v>
      </c>
      <c r="AD2" s="3">
        <v>0</v>
      </c>
      <c r="AE2">
        <f>AC2*AD2</f>
        <v>0</v>
      </c>
      <c r="AF2">
        <f>IF(AB2&gt;AE2, 1, 0)</f>
        <v>1</v>
      </c>
    </row>
    <row r="3" spans="1:32" x14ac:dyDescent="0.25">
      <c r="A3" s="2">
        <v>2</v>
      </c>
      <c r="B3">
        <f>B2+B2*C2</f>
        <v>1.08</v>
      </c>
      <c r="C3" s="3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3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3">
        <v>0.3</v>
      </c>
      <c r="AB3">
        <f t="shared" ref="AB3:AB66" si="1">S3/AA3</f>
        <v>32.240666666666669</v>
      </c>
      <c r="AC3">
        <f>AC4*(1-$U$2)</f>
        <v>236.56693487999996</v>
      </c>
      <c r="AD3" s="3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x14ac:dyDescent="0.25">
      <c r="A4" s="2">
        <v>3</v>
      </c>
      <c r="B4">
        <f t="shared" ref="B4:B51" si="4">B3+B3*C3</f>
        <v>1.1664000000000001</v>
      </c>
      <c r="C4" s="3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3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3">
        <v>0.3</v>
      </c>
      <c r="AB4">
        <f t="shared" si="1"/>
        <v>44.169713333333341</v>
      </c>
      <c r="AC4">
        <f>AC5*(1-$U$2)</f>
        <v>251.66695199999998</v>
      </c>
      <c r="AD4" s="3">
        <v>0.15</v>
      </c>
      <c r="AE4">
        <f t="shared" si="2"/>
        <v>37.750042799999996</v>
      </c>
      <c r="AF4">
        <f t="shared" si="3"/>
        <v>1</v>
      </c>
    </row>
    <row r="5" spans="1:32" x14ac:dyDescent="0.25">
      <c r="A5" s="2">
        <v>4</v>
      </c>
      <c r="B5">
        <f t="shared" si="4"/>
        <v>1.2597120000000002</v>
      </c>
      <c r="C5" s="3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3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3">
        <v>0.3</v>
      </c>
      <c r="AB5">
        <f t="shared" si="1"/>
        <v>60.512507266666688</v>
      </c>
      <c r="AC5">
        <f>AC6*(1-$U$2)</f>
        <v>267.73079999999999</v>
      </c>
      <c r="AD5" s="3">
        <v>0.15</v>
      </c>
      <c r="AE5">
        <f t="shared" si="2"/>
        <v>40.159619999999997</v>
      </c>
      <c r="AF5">
        <f t="shared" si="3"/>
        <v>1</v>
      </c>
    </row>
    <row r="6" spans="1:32" x14ac:dyDescent="0.25">
      <c r="A6" s="2">
        <v>5</v>
      </c>
      <c r="B6">
        <f t="shared" si="4"/>
        <v>1.3604889600000001</v>
      </c>
      <c r="C6" s="3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3">
        <v>0.37</v>
      </c>
      <c r="V6">
        <f>SUM($R$2:R6)</f>
        <v>62.920100387891438</v>
      </c>
      <c r="W6" s="10">
        <f t="shared" si="8"/>
        <v>0.13267005521842754</v>
      </c>
      <c r="Z6">
        <f t="shared" si="0"/>
        <v>19.06907062789659</v>
      </c>
      <c r="AA6" s="3">
        <v>0.3</v>
      </c>
      <c r="AB6">
        <f t="shared" si="1"/>
        <v>82.902134955333366</v>
      </c>
      <c r="AC6">
        <f>AC7*(1-$U$2)</f>
        <v>284.82</v>
      </c>
      <c r="AD6" s="3">
        <v>0.2</v>
      </c>
      <c r="AE6">
        <f t="shared" si="2"/>
        <v>56.963999999999999</v>
      </c>
      <c r="AF6">
        <f t="shared" si="3"/>
        <v>1</v>
      </c>
    </row>
    <row r="7" spans="1:32" x14ac:dyDescent="0.25">
      <c r="A7" s="2">
        <v>6</v>
      </c>
      <c r="B7">
        <f t="shared" si="4"/>
        <v>1.4693280768000001</v>
      </c>
      <c r="C7" s="3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3">
        <v>0.37</v>
      </c>
      <c r="V7">
        <f>SUM($R$2:R7)</f>
        <v>88.381261822086103</v>
      </c>
      <c r="W7" s="11">
        <f t="shared" si="8"/>
        <v>0.18635613760824465</v>
      </c>
      <c r="Z7">
        <f t="shared" si="0"/>
        <v>13.919029655398969</v>
      </c>
      <c r="AA7" s="3">
        <v>0.3</v>
      </c>
      <c r="AB7">
        <f t="shared" si="1"/>
        <v>113.57592488880672</v>
      </c>
      <c r="AC7">
        <v>303</v>
      </c>
      <c r="AD7" s="3">
        <v>0.2</v>
      </c>
      <c r="AE7">
        <f t="shared" si="2"/>
        <v>60.6</v>
      </c>
      <c r="AF7">
        <f t="shared" si="3"/>
        <v>1</v>
      </c>
    </row>
    <row r="8" spans="1:32" x14ac:dyDescent="0.25">
      <c r="A8" s="2">
        <v>7</v>
      </c>
      <c r="B8">
        <f t="shared" si="4"/>
        <v>1.5868743229440001</v>
      </c>
      <c r="C8" s="3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3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3">
        <v>0.3</v>
      </c>
      <c r="AB8">
        <f t="shared" si="1"/>
        <v>155.59901709766521</v>
      </c>
      <c r="AC8">
        <f t="shared" ref="AC8:AC67" si="10">AC7*(1+$U$2)</f>
        <v>321.18</v>
      </c>
      <c r="AD8" s="3">
        <v>0.2</v>
      </c>
      <c r="AE8">
        <f t="shared" si="2"/>
        <v>64.236000000000004</v>
      </c>
      <c r="AF8">
        <f t="shared" si="3"/>
        <v>1</v>
      </c>
    </row>
    <row r="9" spans="1:32" x14ac:dyDescent="0.25">
      <c r="A9" s="2">
        <v>8</v>
      </c>
      <c r="B9">
        <f t="shared" si="4"/>
        <v>1.7138242687795202</v>
      </c>
      <c r="C9" s="3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3">
        <v>0.1</v>
      </c>
      <c r="V9">
        <f>SUM($R$2:R9)</f>
        <v>163.81980982010805</v>
      </c>
      <c r="W9" s="10">
        <f t="shared" si="8"/>
        <v>0.34542194117173713</v>
      </c>
      <c r="Z9">
        <f t="shared" si="0"/>
        <v>7.4159676356752984</v>
      </c>
      <c r="AA9" s="3">
        <v>0.3</v>
      </c>
      <c r="AB9">
        <f t="shared" si="1"/>
        <v>213.17065342380135</v>
      </c>
      <c r="AC9">
        <f t="shared" si="10"/>
        <v>340.45080000000002</v>
      </c>
      <c r="AD9" s="3">
        <v>0.2</v>
      </c>
      <c r="AE9">
        <f t="shared" si="2"/>
        <v>68.090160000000012</v>
      </c>
      <c r="AF9" s="2">
        <f t="shared" si="3"/>
        <v>1</v>
      </c>
    </row>
    <row r="10" spans="1:32" x14ac:dyDescent="0.25">
      <c r="A10" s="2">
        <v>9</v>
      </c>
      <c r="B10">
        <f t="shared" si="4"/>
        <v>1.8509302102818819</v>
      </c>
      <c r="C10" s="3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3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3">
        <v>0.3</v>
      </c>
      <c r="AB10">
        <f t="shared" si="1"/>
        <v>234.4877187661815</v>
      </c>
      <c r="AC10">
        <f t="shared" si="10"/>
        <v>360.87784800000003</v>
      </c>
      <c r="AD10" s="3">
        <v>0.2</v>
      </c>
      <c r="AE10">
        <f t="shared" si="2"/>
        <v>72.175569600000003</v>
      </c>
      <c r="AF10" s="1">
        <f t="shared" si="3"/>
        <v>1</v>
      </c>
    </row>
    <row r="11" spans="1:32" x14ac:dyDescent="0.25">
      <c r="A11" s="2">
        <v>10</v>
      </c>
      <c r="B11">
        <f t="shared" si="4"/>
        <v>1.9990046271044324</v>
      </c>
      <c r="C11" s="3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3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3">
        <v>0.3</v>
      </c>
      <c r="AB11">
        <f t="shared" si="1"/>
        <v>257.9364906427997</v>
      </c>
      <c r="AC11">
        <f t="shared" si="10"/>
        <v>382.53051888000005</v>
      </c>
      <c r="AD11" s="3">
        <v>0.2</v>
      </c>
      <c r="AE11">
        <f t="shared" si="2"/>
        <v>76.506103776000018</v>
      </c>
      <c r="AF11">
        <f t="shared" si="3"/>
        <v>1</v>
      </c>
    </row>
    <row r="12" spans="1:32" x14ac:dyDescent="0.25">
      <c r="A12" s="2">
        <v>11</v>
      </c>
      <c r="B12">
        <f t="shared" si="4"/>
        <v>2.1589249972727869</v>
      </c>
      <c r="C12" s="3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3">
        <v>0.08</v>
      </c>
      <c r="V12">
        <f>SUM($R$2:R12)</f>
        <v>301.28765069428454</v>
      </c>
      <c r="W12" s="11">
        <f t="shared" si="8"/>
        <v>0.6352794895084648</v>
      </c>
      <c r="Z12">
        <f t="shared" si="0"/>
        <v>5.5717262476899307</v>
      </c>
      <c r="AA12" s="3">
        <v>0.3</v>
      </c>
      <c r="AB12">
        <f t="shared" si="1"/>
        <v>283.73013970707967</v>
      </c>
      <c r="AC12">
        <f t="shared" si="10"/>
        <v>405.48235001280005</v>
      </c>
      <c r="AD12" s="3">
        <v>0.2</v>
      </c>
      <c r="AE12">
        <f t="shared" si="2"/>
        <v>81.096470002560011</v>
      </c>
      <c r="AF12" s="1">
        <f t="shared" si="3"/>
        <v>1</v>
      </c>
    </row>
    <row r="13" spans="1:32" x14ac:dyDescent="0.25">
      <c r="A13" s="2">
        <v>12</v>
      </c>
      <c r="B13">
        <f t="shared" si="4"/>
        <v>2.3316389970546099</v>
      </c>
      <c r="C13" s="3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3">
        <v>0.08</v>
      </c>
      <c r="V13">
        <f>SUM($R$2:R13)</f>
        <v>349.71447210308537</v>
      </c>
      <c r="W13" s="11">
        <f t="shared" si="8"/>
        <v>0.73738976954220337</v>
      </c>
      <c r="Z13">
        <f t="shared" si="0"/>
        <v>5.1590057848980839</v>
      </c>
      <c r="AA13" s="3">
        <v>0.3</v>
      </c>
      <c r="AB13">
        <f t="shared" si="1"/>
        <v>306.42855088364604</v>
      </c>
      <c r="AC13">
        <f t="shared" si="10"/>
        <v>429.81129101356805</v>
      </c>
      <c r="AD13" s="3">
        <v>0.2</v>
      </c>
      <c r="AE13">
        <f t="shared" si="2"/>
        <v>85.962258202713613</v>
      </c>
      <c r="AF13">
        <f t="shared" si="3"/>
        <v>1</v>
      </c>
    </row>
    <row r="14" spans="1:32" x14ac:dyDescent="0.25">
      <c r="A14" s="2">
        <v>13</v>
      </c>
      <c r="B14">
        <f t="shared" si="4"/>
        <v>2.5181701168189785</v>
      </c>
      <c r="C14" s="3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3">
        <v>0.08</v>
      </c>
      <c r="V14">
        <f>SUM($R$2:R14)</f>
        <v>399.055007123373</v>
      </c>
      <c r="W14" s="11">
        <f t="shared" si="8"/>
        <v>0.84142665863318222</v>
      </c>
      <c r="Z14">
        <f>$W$2/S14</f>
        <v>4.7768572082389662</v>
      </c>
      <c r="AA14" s="3">
        <v>0.3</v>
      </c>
      <c r="AB14">
        <f>S14/AA14</f>
        <v>330.94283495433774</v>
      </c>
      <c r="AC14">
        <f t="shared" si="10"/>
        <v>455.59996847438214</v>
      </c>
      <c r="AD14" s="3">
        <v>0.2</v>
      </c>
      <c r="AE14">
        <f t="shared" si="2"/>
        <v>91.119993694876428</v>
      </c>
      <c r="AF14">
        <f t="shared" si="3"/>
        <v>1</v>
      </c>
    </row>
    <row r="15" spans="1:32" x14ac:dyDescent="0.25">
      <c r="A15" s="2">
        <v>14</v>
      </c>
      <c r="B15">
        <f t="shared" si="4"/>
        <v>2.7196237261644969</v>
      </c>
      <c r="C15" s="3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3">
        <v>0.08</v>
      </c>
      <c r="V15">
        <f>SUM($R$2:R15)</f>
        <v>449.3264956346095</v>
      </c>
      <c r="W15" s="11">
        <f t="shared" si="8"/>
        <v>0.94742650789568905</v>
      </c>
      <c r="Z15">
        <f t="shared" ref="Z15:Z78" si="11">$W$2/S15</f>
        <v>4.4230159335545975</v>
      </c>
      <c r="AA15" s="3">
        <v>0.3</v>
      </c>
      <c r="AB15">
        <f t="shared" si="1"/>
        <v>357.41826175068479</v>
      </c>
      <c r="AC15">
        <f t="shared" si="10"/>
        <v>482.93596658284508</v>
      </c>
      <c r="AD15" s="3">
        <v>0.2</v>
      </c>
      <c r="AE15">
        <f t="shared" si="2"/>
        <v>96.587193316569028</v>
      </c>
      <c r="AF15">
        <f t="shared" si="3"/>
        <v>1</v>
      </c>
    </row>
    <row r="16" spans="1:32" x14ac:dyDescent="0.25">
      <c r="A16" s="2">
        <v>15</v>
      </c>
      <c r="B16">
        <f t="shared" si="4"/>
        <v>2.9371936242576568</v>
      </c>
      <c r="C16" s="3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3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3">
        <v>0.3</v>
      </c>
      <c r="AB16">
        <f t="shared" si="1"/>
        <v>386.01172269073959</v>
      </c>
      <c r="AC16">
        <f t="shared" si="10"/>
        <v>511.9121245778158</v>
      </c>
      <c r="AD16" s="3">
        <v>0.2</v>
      </c>
      <c r="AE16">
        <f t="shared" si="2"/>
        <v>102.38242491556316</v>
      </c>
      <c r="AF16">
        <f t="shared" si="3"/>
        <v>1</v>
      </c>
    </row>
    <row r="17" spans="1:32" x14ac:dyDescent="0.25">
      <c r="A17" s="2">
        <v>16</v>
      </c>
      <c r="B17">
        <f t="shared" si="4"/>
        <v>3.1721691141982693</v>
      </c>
      <c r="C17" s="3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3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3">
        <v>0.3</v>
      </c>
      <c r="AB17">
        <f t="shared" si="1"/>
        <v>416.89266050599878</v>
      </c>
      <c r="AC17">
        <f t="shared" si="10"/>
        <v>542.62685205248476</v>
      </c>
      <c r="AD17" s="3">
        <v>0.2</v>
      </c>
      <c r="AE17">
        <f t="shared" si="2"/>
        <v>108.52537041049696</v>
      </c>
      <c r="AF17">
        <f t="shared" si="3"/>
        <v>1</v>
      </c>
    </row>
    <row r="18" spans="1:32" x14ac:dyDescent="0.25">
      <c r="A18" s="2">
        <v>17</v>
      </c>
      <c r="B18">
        <f t="shared" si="4"/>
        <v>3.4259426433341309</v>
      </c>
      <c r="C18" s="3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3">
        <v>0.08</v>
      </c>
      <c r="V18">
        <f>SUM($R$2:R18)</f>
        <v>605.90399705983532</v>
      </c>
      <c r="W18" s="11">
        <f t="shared" si="8"/>
        <v>1.2775776937963044</v>
      </c>
      <c r="Z18">
        <f t="shared" si="11"/>
        <v>3.5111326506015637</v>
      </c>
      <c r="AA18" s="3">
        <v>0.3</v>
      </c>
      <c r="AB18">
        <f t="shared" si="1"/>
        <v>450.24407334647873</v>
      </c>
      <c r="AC18">
        <f t="shared" si="10"/>
        <v>575.18446317563382</v>
      </c>
      <c r="AD18" s="3">
        <v>0.2</v>
      </c>
      <c r="AE18">
        <f t="shared" si="2"/>
        <v>115.03689263512678</v>
      </c>
      <c r="AF18">
        <f t="shared" si="3"/>
        <v>1</v>
      </c>
    </row>
    <row r="19" spans="1:32" x14ac:dyDescent="0.25">
      <c r="A19" s="2">
        <v>18</v>
      </c>
      <c r="B19">
        <f t="shared" si="4"/>
        <v>3.7000180548008612</v>
      </c>
      <c r="C19" s="3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3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3">
        <v>0.3</v>
      </c>
      <c r="AB19">
        <f t="shared" si="1"/>
        <v>486.26359921419703</v>
      </c>
      <c r="AC19">
        <f t="shared" si="10"/>
        <v>609.69553096617187</v>
      </c>
      <c r="AD19" s="3">
        <v>0.2</v>
      </c>
      <c r="AE19">
        <f t="shared" si="2"/>
        <v>121.93910619323438</v>
      </c>
      <c r="AF19">
        <f t="shared" si="3"/>
        <v>1</v>
      </c>
    </row>
    <row r="20" spans="1:32" x14ac:dyDescent="0.25">
      <c r="A20" s="2">
        <v>19</v>
      </c>
      <c r="B20">
        <f t="shared" si="4"/>
        <v>3.9960194991849303</v>
      </c>
      <c r="C20" s="3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3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3">
        <v>0.3</v>
      </c>
      <c r="AB20">
        <f t="shared" si="1"/>
        <v>525.16468715133283</v>
      </c>
      <c r="AC20">
        <f t="shared" si="10"/>
        <v>646.27726282414221</v>
      </c>
      <c r="AD20" s="3">
        <v>0.2</v>
      </c>
      <c r="AE20">
        <f t="shared" si="2"/>
        <v>129.25545256482846</v>
      </c>
      <c r="AF20">
        <f t="shared" si="3"/>
        <v>1</v>
      </c>
    </row>
    <row r="21" spans="1:32" x14ac:dyDescent="0.25">
      <c r="A21" s="2">
        <v>20</v>
      </c>
      <c r="B21">
        <f t="shared" si="4"/>
        <v>4.3157010591197249</v>
      </c>
      <c r="C21" s="3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3">
        <v>0.08</v>
      </c>
      <c r="V21">
        <f>SUM($R$2:R21)</f>
        <v>771.51265175076651</v>
      </c>
      <c r="W21" s="10">
        <f t="shared" si="8"/>
        <v>1.626771500338984</v>
      </c>
      <c r="Z21">
        <f t="shared" si="11"/>
        <v>2.7872503005461273</v>
      </c>
      <c r="AA21" s="3">
        <v>0.3</v>
      </c>
      <c r="AB21">
        <f t="shared" si="1"/>
        <v>567.17786212343947</v>
      </c>
      <c r="AC21">
        <f t="shared" si="10"/>
        <v>685.05389859359082</v>
      </c>
      <c r="AD21" s="3">
        <v>0.2</v>
      </c>
      <c r="AE21">
        <f t="shared" si="2"/>
        <v>137.01077971871817</v>
      </c>
      <c r="AF21">
        <f t="shared" si="3"/>
        <v>1</v>
      </c>
    </row>
    <row r="22" spans="1:32" x14ac:dyDescent="0.25">
      <c r="A22" s="2">
        <v>21</v>
      </c>
      <c r="B22">
        <f t="shared" si="4"/>
        <v>4.6609571438493029</v>
      </c>
      <c r="C22" s="3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3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3">
        <v>0.3</v>
      </c>
      <c r="AB22">
        <f t="shared" si="1"/>
        <v>612.55209109331463</v>
      </c>
      <c r="AC22">
        <f t="shared" si="10"/>
        <v>726.15713250920635</v>
      </c>
      <c r="AD22" s="3">
        <v>0.2</v>
      </c>
      <c r="AE22">
        <f t="shared" si="2"/>
        <v>145.23142650184127</v>
      </c>
      <c r="AF22">
        <f t="shared" si="3"/>
        <v>1</v>
      </c>
    </row>
    <row r="23" spans="1:32" x14ac:dyDescent="0.25">
      <c r="A23" s="2">
        <v>22</v>
      </c>
      <c r="B23">
        <f t="shared" si="4"/>
        <v>5.0338337153572468</v>
      </c>
      <c r="C23" s="3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3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3">
        <v>0.3</v>
      </c>
      <c r="AB23">
        <f t="shared" si="1"/>
        <v>661.55625838077992</v>
      </c>
      <c r="AC23">
        <f t="shared" si="10"/>
        <v>769.72656045975873</v>
      </c>
      <c r="AD23" s="3">
        <v>0.2</v>
      </c>
      <c r="AE23">
        <f t="shared" si="2"/>
        <v>153.94531209195176</v>
      </c>
      <c r="AF23">
        <f t="shared" si="3"/>
        <v>1</v>
      </c>
    </row>
    <row r="24" spans="1:32" x14ac:dyDescent="0.25">
      <c r="A24" s="2">
        <v>23</v>
      </c>
      <c r="B24">
        <f t="shared" si="4"/>
        <v>5.4365404125858268</v>
      </c>
      <c r="C24" s="3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3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3">
        <v>0.3</v>
      </c>
      <c r="AB24">
        <f t="shared" si="1"/>
        <v>714.48075905124244</v>
      </c>
      <c r="AC24">
        <f t="shared" si="10"/>
        <v>815.91015408734427</v>
      </c>
      <c r="AD24" s="3">
        <v>0.2</v>
      </c>
      <c r="AE24">
        <f t="shared" si="2"/>
        <v>163.18203081746887</v>
      </c>
      <c r="AF24">
        <f t="shared" si="3"/>
        <v>1</v>
      </c>
    </row>
    <row r="25" spans="1:32" x14ac:dyDescent="0.25">
      <c r="A25" s="2">
        <v>24</v>
      </c>
      <c r="B25">
        <f t="shared" si="4"/>
        <v>5.8714636455926925</v>
      </c>
      <c r="C25" s="3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3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3">
        <v>0.3</v>
      </c>
      <c r="AB25">
        <f t="shared" si="1"/>
        <v>771.63921977534176</v>
      </c>
      <c r="AC25">
        <f t="shared" si="10"/>
        <v>864.86476333258497</v>
      </c>
      <c r="AD25" s="3">
        <v>0.2</v>
      </c>
      <c r="AE25">
        <f t="shared" si="2"/>
        <v>172.97295266651702</v>
      </c>
      <c r="AF25">
        <f t="shared" si="3"/>
        <v>1</v>
      </c>
    </row>
    <row r="26" spans="1:32" x14ac:dyDescent="0.25">
      <c r="A26" s="2">
        <v>25</v>
      </c>
      <c r="B26">
        <f t="shared" si="4"/>
        <v>6.3411807372401077</v>
      </c>
      <c r="C26" s="3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3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3">
        <v>0.3</v>
      </c>
      <c r="AB26">
        <f t="shared" si="1"/>
        <v>833.37035735736924</v>
      </c>
      <c r="AC26">
        <f t="shared" si="10"/>
        <v>916.75664913254013</v>
      </c>
      <c r="AD26" s="3">
        <v>0.2</v>
      </c>
      <c r="AE26">
        <f t="shared" si="2"/>
        <v>183.35132982650805</v>
      </c>
      <c r="AF26">
        <f t="shared" si="3"/>
        <v>1</v>
      </c>
    </row>
    <row r="27" spans="1:32" x14ac:dyDescent="0.25">
      <c r="A27" s="2">
        <v>26</v>
      </c>
      <c r="B27">
        <f t="shared" si="4"/>
        <v>6.848475196219316</v>
      </c>
      <c r="C27" s="3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3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3">
        <v>0.3</v>
      </c>
      <c r="AB27">
        <f t="shared" si="1"/>
        <v>900.03998594595885</v>
      </c>
      <c r="AC27">
        <f t="shared" si="10"/>
        <v>971.7620480804926</v>
      </c>
      <c r="AD27" s="3">
        <v>0.2</v>
      </c>
      <c r="AE27">
        <f t="shared" si="2"/>
        <v>194.35240961609853</v>
      </c>
      <c r="AF27">
        <f t="shared" si="3"/>
        <v>1</v>
      </c>
    </row>
    <row r="28" spans="1:32" x14ac:dyDescent="0.25">
      <c r="A28" s="2">
        <v>27</v>
      </c>
      <c r="B28">
        <f t="shared" si="4"/>
        <v>7.3963532119168613</v>
      </c>
      <c r="C28" s="3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3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3">
        <v>0.3</v>
      </c>
      <c r="AB28">
        <f t="shared" si="1"/>
        <v>972.04318482163558</v>
      </c>
      <c r="AC28">
        <f t="shared" si="10"/>
        <v>1030.0677709653223</v>
      </c>
      <c r="AD28" s="3">
        <v>0.2</v>
      </c>
      <c r="AE28">
        <f t="shared" si="2"/>
        <v>206.01355419306446</v>
      </c>
      <c r="AF28">
        <f t="shared" si="3"/>
        <v>1</v>
      </c>
    </row>
    <row r="29" spans="1:32" x14ac:dyDescent="0.25">
      <c r="A29" s="2">
        <v>28</v>
      </c>
      <c r="B29">
        <f t="shared" si="4"/>
        <v>7.9880614688702103</v>
      </c>
      <c r="C29" s="3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3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3">
        <v>0.3</v>
      </c>
      <c r="AB29">
        <f t="shared" si="1"/>
        <v>1049.8066396073666</v>
      </c>
      <c r="AC29">
        <f t="shared" si="10"/>
        <v>1091.8718372232418</v>
      </c>
      <c r="AD29" s="3">
        <v>0.2</v>
      </c>
      <c r="AE29">
        <f t="shared" si="2"/>
        <v>218.37436744464836</v>
      </c>
      <c r="AF29">
        <f t="shared" si="3"/>
        <v>1</v>
      </c>
    </row>
    <row r="30" spans="1:32" x14ac:dyDescent="0.25">
      <c r="A30" s="2">
        <v>29</v>
      </c>
      <c r="B30">
        <f t="shared" si="4"/>
        <v>8.6271063863798272</v>
      </c>
      <c r="C30" s="3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3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3">
        <v>0.3</v>
      </c>
      <c r="AB30">
        <f t="shared" si="1"/>
        <v>1133.7911707759561</v>
      </c>
      <c r="AC30">
        <f t="shared" si="10"/>
        <v>1157.3841474566364</v>
      </c>
      <c r="AD30" s="3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3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3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3">
        <v>0.3</v>
      </c>
      <c r="AB31">
        <f t="shared" si="1"/>
        <v>1224.4944644380325</v>
      </c>
      <c r="AC31">
        <f t="shared" si="10"/>
        <v>1226.8271963040345</v>
      </c>
      <c r="AD31" s="3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3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3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3">
        <v>0.3</v>
      </c>
      <c r="AB32">
        <f t="shared" si="1"/>
        <v>1322.4540215930754</v>
      </c>
      <c r="AC32">
        <f t="shared" si="10"/>
        <v>1300.4368280822766</v>
      </c>
      <c r="AD32" s="3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3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3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3">
        <v>0.3</v>
      </c>
      <c r="AB33">
        <f t="shared" si="1"/>
        <v>1428.2503433205213</v>
      </c>
      <c r="AC33">
        <f t="shared" si="10"/>
        <v>1378.4630377672133</v>
      </c>
      <c r="AD33" s="3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3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3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3">
        <v>0.3</v>
      </c>
      <c r="AB34">
        <f t="shared" si="1"/>
        <v>1542.5103707861633</v>
      </c>
      <c r="AC34">
        <f t="shared" si="10"/>
        <v>1461.1708200332462</v>
      </c>
      <c r="AD34" s="3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3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3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3">
        <v>0.3</v>
      </c>
      <c r="AB35">
        <f t="shared" si="1"/>
        <v>1665.9112004490564</v>
      </c>
      <c r="AC35">
        <f t="shared" si="10"/>
        <v>1548.8410692352411</v>
      </c>
      <c r="AD35" s="3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3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3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3">
        <v>0.3</v>
      </c>
      <c r="AB36">
        <f t="shared" si="1"/>
        <v>1799.1840964849812</v>
      </c>
      <c r="AC36">
        <f t="shared" si="10"/>
        <v>1641.7715333893557</v>
      </c>
      <c r="AD36" s="3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3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3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3">
        <v>0.3</v>
      </c>
      <c r="AB37">
        <f t="shared" si="1"/>
        <v>1943.1188242037797</v>
      </c>
      <c r="AC37">
        <f t="shared" si="10"/>
        <v>1740.2778253927172</v>
      </c>
      <c r="AD37" s="3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3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3">
        <v>0.08</v>
      </c>
      <c r="V38">
        <f>SUM($R$2:R38)</f>
        <v>1907.4604458080742</v>
      </c>
      <c r="W38" s="11">
        <f t="shared" si="8"/>
        <v>4.0219720107284491</v>
      </c>
      <c r="Z38">
        <f t="shared" si="11"/>
        <v>0.75330721614441876</v>
      </c>
      <c r="AA38" s="3">
        <v>0.3</v>
      </c>
      <c r="AB38">
        <f t="shared" si="1"/>
        <v>2098.5683301400823</v>
      </c>
      <c r="AC38">
        <f t="shared" si="10"/>
        <v>1844.6944949162803</v>
      </c>
      <c r="AD38" s="3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3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3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3">
        <v>0.3</v>
      </c>
      <c r="AB39">
        <f t="shared" si="1"/>
        <v>2266.4537965512886</v>
      </c>
      <c r="AC39">
        <f t="shared" si="10"/>
        <v>1955.3761646112573</v>
      </c>
      <c r="AD39" s="3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3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3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3">
        <v>0.3</v>
      </c>
      <c r="AB40">
        <f t="shared" si="1"/>
        <v>2447.770100275392</v>
      </c>
      <c r="AC40">
        <f t="shared" si="10"/>
        <v>2072.6987344879331</v>
      </c>
      <c r="AD40" s="3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3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3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3">
        <v>0.3</v>
      </c>
      <c r="AB41">
        <f t="shared" si="1"/>
        <v>2643.5917082974233</v>
      </c>
      <c r="AC41">
        <f t="shared" si="10"/>
        <v>2197.0606585572091</v>
      </c>
      <c r="AD41" s="3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3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3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3">
        <v>0.3</v>
      </c>
      <c r="AB42">
        <f t="shared" si="1"/>
        <v>2855.0790449612173</v>
      </c>
      <c r="AC42">
        <f t="shared" si="10"/>
        <v>2328.8842980706418</v>
      </c>
      <c r="AD42" s="3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3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3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3">
        <v>0.3</v>
      </c>
      <c r="AB43">
        <f t="shared" si="1"/>
        <v>3083.4853685581147</v>
      </c>
      <c r="AC43">
        <f t="shared" si="10"/>
        <v>2468.6173559548802</v>
      </c>
      <c r="AD43" s="3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3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3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3">
        <v>0.3</v>
      </c>
      <c r="AB44">
        <f t="shared" si="1"/>
        <v>3330.1641980427639</v>
      </c>
      <c r="AC44">
        <f t="shared" si="10"/>
        <v>2616.7343973121733</v>
      </c>
      <c r="AD44" s="3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3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3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3">
        <v>0.3</v>
      </c>
      <c r="AB45">
        <f t="shared" si="1"/>
        <v>3596.5773338861854</v>
      </c>
      <c r="AC45">
        <f t="shared" si="10"/>
        <v>2773.7384611509037</v>
      </c>
      <c r="AD45" s="3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3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3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3">
        <v>0.3</v>
      </c>
      <c r="AB46">
        <f t="shared" si="1"/>
        <v>3884.3035205970805</v>
      </c>
      <c r="AC46">
        <f t="shared" si="10"/>
        <v>2940.1627688199583</v>
      </c>
      <c r="AD46" s="3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3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3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3">
        <v>0.3</v>
      </c>
      <c r="AB47">
        <f t="shared" si="1"/>
        <v>4195.0478022448478</v>
      </c>
      <c r="AC47">
        <f t="shared" si="10"/>
        <v>3116.5725349491559</v>
      </c>
      <c r="AD47" s="3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3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3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3">
        <v>0.3</v>
      </c>
      <c r="AB48">
        <f t="shared" si="1"/>
        <v>4530.6516264244356</v>
      </c>
      <c r="AC48">
        <f t="shared" si="10"/>
        <v>3303.5668870461054</v>
      </c>
      <c r="AD48" s="3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3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3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3">
        <v>0.3</v>
      </c>
      <c r="AB49">
        <f t="shared" si="1"/>
        <v>4893.1037565383904</v>
      </c>
      <c r="AC49">
        <f t="shared" si="10"/>
        <v>3501.7809002688718</v>
      </c>
      <c r="AD49" s="3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3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3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3">
        <v>0.3</v>
      </c>
      <c r="AB50">
        <f t="shared" si="1"/>
        <v>5284.5520570614617</v>
      </c>
      <c r="AC50">
        <f t="shared" si="10"/>
        <v>3711.8877542850041</v>
      </c>
      <c r="AD50" s="3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3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3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3">
        <v>0.3</v>
      </c>
      <c r="AB51">
        <f t="shared" si="1"/>
        <v>5707.316221626379</v>
      </c>
      <c r="AC51">
        <f t="shared" si="10"/>
        <v>3934.6010195421045</v>
      </c>
      <c r="AD51" s="3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3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3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3">
        <v>0.3</v>
      </c>
      <c r="AB52">
        <f t="shared" si="1"/>
        <v>6163.9015193564901</v>
      </c>
      <c r="AC52">
        <f t="shared" si="10"/>
        <v>4170.6770807146313</v>
      </c>
      <c r="AD52" s="3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3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3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3">
        <v>0.3</v>
      </c>
      <c r="AB53">
        <f t="shared" si="1"/>
        <v>6657.0136409050092</v>
      </c>
      <c r="AC53">
        <f t="shared" si="10"/>
        <v>4420.9177055575092</v>
      </c>
      <c r="AD53" s="3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3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3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3">
        <v>0.3</v>
      </c>
      <c r="AB54">
        <f t="shared" si="1"/>
        <v>7189.5747321774106</v>
      </c>
      <c r="AC54">
        <f t="shared" si="10"/>
        <v>4686.1727678909601</v>
      </c>
      <c r="AD54" s="3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3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3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3">
        <v>0.3</v>
      </c>
      <c r="AB55">
        <f t="shared" si="1"/>
        <v>7764.7407107516028</v>
      </c>
      <c r="AC55">
        <f t="shared" si="10"/>
        <v>4967.3431339644176</v>
      </c>
      <c r="AD55" s="3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3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3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3">
        <v>0.3</v>
      </c>
      <c r="AB56">
        <f t="shared" si="1"/>
        <v>8385.9199676117332</v>
      </c>
      <c r="AC56">
        <f t="shared" si="10"/>
        <v>5265.3837220022833</v>
      </c>
      <c r="AD56" s="3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3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3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3">
        <v>0.3</v>
      </c>
      <c r="AB57">
        <f t="shared" si="1"/>
        <v>9056.7935650206709</v>
      </c>
      <c r="AC57">
        <f t="shared" si="10"/>
        <v>5581.3067453224203</v>
      </c>
      <c r="AD57" s="3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3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3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3">
        <v>0.3</v>
      </c>
      <c r="AB58">
        <f t="shared" si="1"/>
        <v>9781.3370502223261</v>
      </c>
      <c r="AC58">
        <f t="shared" si="10"/>
        <v>5916.1851500417661</v>
      </c>
      <c r="AD58" s="3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3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3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3">
        <v>0.3</v>
      </c>
      <c r="AB59">
        <f t="shared" si="1"/>
        <v>10563.84401424011</v>
      </c>
      <c r="AC59">
        <f t="shared" si="10"/>
        <v>6271.1562590442727</v>
      </c>
      <c r="AD59" s="3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3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3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3">
        <v>0.3</v>
      </c>
      <c r="AB60">
        <f t="shared" si="1"/>
        <v>11408.951535379321</v>
      </c>
      <c r="AC60">
        <f t="shared" si="10"/>
        <v>6647.4256345869298</v>
      </c>
      <c r="AD60" s="3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3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3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3">
        <v>0.3</v>
      </c>
      <c r="AB61">
        <f t="shared" si="1"/>
        <v>12321.667658209668</v>
      </c>
      <c r="AC61">
        <f t="shared" si="10"/>
        <v>7046.2711726621455</v>
      </c>
      <c r="AD61" s="3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3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3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3">
        <v>0.3</v>
      </c>
      <c r="AB62">
        <f t="shared" si="1"/>
        <v>13307.401070866443</v>
      </c>
      <c r="AC62">
        <f t="shared" si="10"/>
        <v>7469.0474430218746</v>
      </c>
      <c r="AD62" s="3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3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3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3">
        <v>0.3</v>
      </c>
      <c r="AB63">
        <f t="shared" si="1"/>
        <v>14371.993156535758</v>
      </c>
      <c r="AC63">
        <f t="shared" si="10"/>
        <v>7917.1902896031879</v>
      </c>
      <c r="AD63" s="3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3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3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3">
        <v>0.3</v>
      </c>
      <c r="AB64">
        <f t="shared" si="1"/>
        <v>15521.75260905862</v>
      </c>
      <c r="AC64">
        <f t="shared" si="10"/>
        <v>8392.2217069793787</v>
      </c>
      <c r="AD64" s="3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3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3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3">
        <v>0.3</v>
      </c>
      <c r="AB65">
        <f t="shared" si="1"/>
        <v>16763.49281778331</v>
      </c>
      <c r="AC65">
        <f t="shared" si="10"/>
        <v>8895.7550093981426</v>
      </c>
      <c r="AD65" s="3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3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3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3">
        <v>0.3</v>
      </c>
      <c r="AB66">
        <f t="shared" si="1"/>
        <v>18104.572243205974</v>
      </c>
      <c r="AC66">
        <f t="shared" si="10"/>
        <v>9429.5003099620317</v>
      </c>
      <c r="AD66" s="3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3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3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3">
        <v>0.3</v>
      </c>
      <c r="AB67">
        <f t="shared" ref="AB67:AB130" si="15">S67/AA67</f>
        <v>19552.938022662453</v>
      </c>
      <c r="AC67">
        <f t="shared" si="10"/>
        <v>9995.2703285597545</v>
      </c>
      <c r="AD67" s="3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3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3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3">
        <v>0.3</v>
      </c>
      <c r="AB68">
        <f t="shared" si="15"/>
        <v>21117.173064475453</v>
      </c>
      <c r="AC68">
        <f t="shared" ref="AC68:AC131" si="21">AC67*(1+$U$2)</f>
        <v>10594.98654827334</v>
      </c>
      <c r="AD68" s="3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3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3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3">
        <v>0.3</v>
      </c>
      <c r="AB69">
        <f t="shared" si="15"/>
        <v>22806.546909633489</v>
      </c>
      <c r="AC69">
        <f t="shared" si="21"/>
        <v>11230.685741169742</v>
      </c>
      <c r="AD69" s="3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3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3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3">
        <v>0.3</v>
      </c>
      <c r="AB70">
        <f t="shared" si="15"/>
        <v>24631.07066240417</v>
      </c>
      <c r="AC70">
        <f t="shared" si="21"/>
        <v>11904.526885639927</v>
      </c>
      <c r="AD70" s="3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3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3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3">
        <v>0.3</v>
      </c>
      <c r="AB71">
        <f t="shared" si="15"/>
        <v>26601.556315396505</v>
      </c>
      <c r="AC71">
        <f t="shared" si="21"/>
        <v>12618.798498778324</v>
      </c>
      <c r="AD71" s="3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3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3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3">
        <v>0.3</v>
      </c>
      <c r="AB72">
        <f t="shared" si="15"/>
        <v>28729.680820628226</v>
      </c>
      <c r="AC72">
        <f t="shared" si="21"/>
        <v>13375.926408705023</v>
      </c>
      <c r="AD72" s="3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3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3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3">
        <v>0.3</v>
      </c>
      <c r="AB73">
        <f t="shared" si="15"/>
        <v>31028.055286278486</v>
      </c>
      <c r="AC73">
        <f t="shared" si="21"/>
        <v>14178.481993227326</v>
      </c>
      <c r="AD73" s="3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3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3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3">
        <v>0.3</v>
      </c>
      <c r="AB74">
        <f t="shared" si="15"/>
        <v>33510.29970918077</v>
      </c>
      <c r="AC74">
        <f t="shared" si="21"/>
        <v>15029.190912820966</v>
      </c>
      <c r="AD74" s="3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3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3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3">
        <v>0.3</v>
      </c>
      <c r="AB75">
        <f t="shared" si="15"/>
        <v>36191.123685915234</v>
      </c>
      <c r="AC75">
        <f t="shared" si="21"/>
        <v>15930.942367590225</v>
      </c>
      <c r="AD75" s="3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3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3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3">
        <v>0.3</v>
      </c>
      <c r="AB76">
        <f t="shared" si="15"/>
        <v>39086.41358078846</v>
      </c>
      <c r="AC76">
        <f t="shared" si="21"/>
        <v>16886.79890964564</v>
      </c>
      <c r="AD76" s="3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3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3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3">
        <v>0.3</v>
      </c>
      <c r="AB77">
        <f t="shared" si="15"/>
        <v>42213.326667251531</v>
      </c>
      <c r="AC77">
        <f t="shared" si="21"/>
        <v>17900.006844224379</v>
      </c>
      <c r="AD77" s="3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3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3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3">
        <v>0.3</v>
      </c>
      <c r="AB78">
        <f t="shared" si="15"/>
        <v>45590.392800631664</v>
      </c>
      <c r="AC78">
        <f t="shared" si="21"/>
        <v>18974.007254877844</v>
      </c>
      <c r="AD78" s="3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3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3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3">
        <v>0.3</v>
      </c>
      <c r="AB79">
        <f t="shared" si="15"/>
        <v>49237.624224682193</v>
      </c>
      <c r="AC79">
        <f t="shared" si="21"/>
        <v>20112.447690170517</v>
      </c>
      <c r="AD79" s="3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3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3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3">
        <v>0.3</v>
      </c>
      <c r="AB80">
        <f t="shared" si="15"/>
        <v>53176.634162656766</v>
      </c>
      <c r="AC80">
        <f t="shared" si="21"/>
        <v>21319.194551580749</v>
      </c>
      <c r="AD80" s="3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3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3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3">
        <v>0.3</v>
      </c>
      <c r="AB81">
        <f t="shared" si="15"/>
        <v>57430.764895669308</v>
      </c>
      <c r="AC81">
        <f t="shared" si="21"/>
        <v>22598.346224675595</v>
      </c>
      <c r="AD81" s="3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3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3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3">
        <v>0.3</v>
      </c>
      <c r="AB82">
        <f t="shared" si="15"/>
        <v>62025.226087322859</v>
      </c>
      <c r="AC82">
        <f t="shared" si="21"/>
        <v>23954.246998156133</v>
      </c>
      <c r="AD82" s="3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3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3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3">
        <v>0.3</v>
      </c>
      <c r="AB83">
        <f t="shared" si="15"/>
        <v>66987.244174308697</v>
      </c>
      <c r="AC83">
        <f t="shared" si="21"/>
        <v>25391.501818045504</v>
      </c>
      <c r="AD83" s="3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3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3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3">
        <v>0.3</v>
      </c>
      <c r="AB84">
        <f t="shared" si="15"/>
        <v>72346.223708253397</v>
      </c>
      <c r="AC84">
        <f t="shared" si="21"/>
        <v>26914.991927128238</v>
      </c>
      <c r="AD84" s="3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3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3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3">
        <v>0.3</v>
      </c>
      <c r="AB85">
        <f t="shared" si="15"/>
        <v>78133.921604913674</v>
      </c>
      <c r="AC85">
        <f t="shared" si="21"/>
        <v>28529.891442755932</v>
      </c>
      <c r="AD85" s="3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3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3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3">
        <v>0.3</v>
      </c>
      <c r="AB86">
        <f t="shared" si="15"/>
        <v>84384.635333306767</v>
      </c>
      <c r="AC86">
        <f t="shared" si="21"/>
        <v>30241.684929321291</v>
      </c>
      <c r="AD86" s="3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3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3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3">
        <v>0.3</v>
      </c>
      <c r="AB87">
        <f t="shared" si="15"/>
        <v>91135.406159971302</v>
      </c>
      <c r="AC87">
        <f t="shared" si="21"/>
        <v>32056.186025080569</v>
      </c>
      <c r="AD87" s="3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3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3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3">
        <v>0.3</v>
      </c>
      <c r="AB88">
        <f t="shared" si="15"/>
        <v>98426.238652769011</v>
      </c>
      <c r="AC88">
        <f t="shared" si="21"/>
        <v>33979.557186585407</v>
      </c>
      <c r="AD88" s="3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3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3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3">
        <v>0.3</v>
      </c>
      <c r="AB89">
        <f t="shared" si="15"/>
        <v>106300.33774499054</v>
      </c>
      <c r="AC89">
        <f t="shared" si="21"/>
        <v>36018.330617780535</v>
      </c>
      <c r="AD89" s="3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3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3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3">
        <v>0.3</v>
      </c>
      <c r="AB90">
        <f t="shared" si="15"/>
        <v>114804.3647645898</v>
      </c>
      <c r="AC90">
        <f t="shared" si="21"/>
        <v>38179.430454847366</v>
      </c>
      <c r="AD90" s="3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3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3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3">
        <v>0.3</v>
      </c>
      <c r="AB91">
        <f t="shared" si="15"/>
        <v>123988.713945757</v>
      </c>
      <c r="AC91">
        <f t="shared" si="21"/>
        <v>40470.196282138211</v>
      </c>
      <c r="AD91" s="3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3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3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3">
        <v>0.3</v>
      </c>
      <c r="AB92">
        <f t="shared" si="15"/>
        <v>133907.81106141757</v>
      </c>
      <c r="AC92">
        <f t="shared" si="21"/>
        <v>42898.408059066503</v>
      </c>
      <c r="AD92" s="3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3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3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3">
        <v>0.3</v>
      </c>
      <c r="AB93">
        <f t="shared" si="15"/>
        <v>144620.43594633098</v>
      </c>
      <c r="AC93">
        <f t="shared" si="21"/>
        <v>45472.312542610496</v>
      </c>
      <c r="AD93" s="3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3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3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3">
        <v>0.3</v>
      </c>
      <c r="AB94">
        <f t="shared" si="15"/>
        <v>156190.07082203749</v>
      </c>
      <c r="AC94">
        <f t="shared" si="21"/>
        <v>48200.651295167125</v>
      </c>
      <c r="AD94" s="3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3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3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3">
        <v>0.3</v>
      </c>
      <c r="AB95">
        <f t="shared" si="15"/>
        <v>168685.2764878005</v>
      </c>
      <c r="AC95">
        <f t="shared" si="21"/>
        <v>51092.690372877158</v>
      </c>
      <c r="AD95" s="3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3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3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3">
        <v>0.3</v>
      </c>
      <c r="AB96">
        <f t="shared" si="15"/>
        <v>182180.09860682455</v>
      </c>
      <c r="AC96">
        <f t="shared" si="21"/>
        <v>54158.251795249787</v>
      </c>
      <c r="AD96" s="3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3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3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3">
        <v>0.3</v>
      </c>
      <c r="AB97">
        <f t="shared" si="15"/>
        <v>196754.50649537053</v>
      </c>
      <c r="AC97">
        <f t="shared" si="21"/>
        <v>57407.746902964776</v>
      </c>
      <c r="AD97" s="3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3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3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3">
        <v>0.3</v>
      </c>
      <c r="AB98">
        <f t="shared" si="15"/>
        <v>212494.86701500017</v>
      </c>
      <c r="AC98">
        <f t="shared" si="21"/>
        <v>60852.211717142665</v>
      </c>
      <c r="AD98" s="3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3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3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3">
        <v>0.3</v>
      </c>
      <c r="AB99">
        <f t="shared" si="15"/>
        <v>229494.45637620022</v>
      </c>
      <c r="AC99">
        <f t="shared" si="21"/>
        <v>64503.344420171226</v>
      </c>
      <c r="AD99" s="3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3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3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3">
        <v>0.3</v>
      </c>
      <c r="AB100">
        <f t="shared" si="15"/>
        <v>247854.01288629623</v>
      </c>
      <c r="AC100">
        <f t="shared" si="21"/>
        <v>68373.545085381498</v>
      </c>
      <c r="AD100" s="3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3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3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3">
        <v>0.3</v>
      </c>
      <c r="AB101">
        <f t="shared" si="15"/>
        <v>267682.33391719993</v>
      </c>
      <c r="AC101">
        <f t="shared" si="21"/>
        <v>72475.957790504399</v>
      </c>
      <c r="AD101" s="3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3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3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3">
        <v>0.3</v>
      </c>
      <c r="AB102">
        <f t="shared" si="15"/>
        <v>289096.92063057591</v>
      </c>
      <c r="AC102">
        <f t="shared" si="21"/>
        <v>76824.515257934661</v>
      </c>
      <c r="AD102" s="3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3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3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3">
        <v>0.3</v>
      </c>
      <c r="AB103">
        <f t="shared" si="15"/>
        <v>312224.67428102205</v>
      </c>
      <c r="AC103">
        <f t="shared" si="21"/>
        <v>81433.98617341074</v>
      </c>
      <c r="AD103" s="3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3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3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3">
        <v>0.3</v>
      </c>
      <c r="AB104">
        <f t="shared" si="15"/>
        <v>337202.64822350378</v>
      </c>
      <c r="AC104">
        <f t="shared" si="21"/>
        <v>86320.025343815389</v>
      </c>
      <c r="AD104" s="3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3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3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3">
        <v>0.3</v>
      </c>
      <c r="AB105">
        <f t="shared" si="15"/>
        <v>364178.86008138413</v>
      </c>
      <c r="AC105">
        <f t="shared" si="21"/>
        <v>91499.22686444431</v>
      </c>
      <c r="AD105" s="3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3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3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3">
        <v>0.3</v>
      </c>
      <c r="AB106">
        <f t="shared" si="15"/>
        <v>393313.16888789489</v>
      </c>
      <c r="AC106">
        <f t="shared" si="21"/>
        <v>96989.180476310969</v>
      </c>
      <c r="AD106" s="3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3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3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3">
        <v>0.3</v>
      </c>
      <c r="AB107">
        <f t="shared" si="15"/>
        <v>424778.2223989265</v>
      </c>
      <c r="AC107">
        <f t="shared" si="21"/>
        <v>102808.53130488964</v>
      </c>
      <c r="AD107" s="3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3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3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3">
        <v>0.3</v>
      </c>
      <c r="AB108">
        <f t="shared" si="15"/>
        <v>458760.48019084061</v>
      </c>
      <c r="AC108">
        <f t="shared" si="21"/>
        <v>108977.04318318302</v>
      </c>
      <c r="AD108" s="3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3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3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3">
        <v>0.3</v>
      </c>
      <c r="AB109">
        <f t="shared" si="15"/>
        <v>495461.3186061079</v>
      </c>
      <c r="AC109">
        <f t="shared" si="21"/>
        <v>115515.66577417401</v>
      </c>
      <c r="AD109" s="3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3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3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3">
        <v>0.3</v>
      </c>
      <c r="AB110">
        <f t="shared" si="15"/>
        <v>535098.22409459658</v>
      </c>
      <c r="AC110">
        <f t="shared" si="21"/>
        <v>122446.60572062446</v>
      </c>
      <c r="AD110" s="3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3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3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3">
        <v>0.3</v>
      </c>
      <c r="AB111">
        <f t="shared" si="15"/>
        <v>577906.08202216437</v>
      </c>
      <c r="AC111">
        <f t="shared" si="21"/>
        <v>129793.40206386193</v>
      </c>
      <c r="AD111" s="3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3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3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3">
        <v>0.3</v>
      </c>
      <c r="AB112">
        <f t="shared" si="15"/>
        <v>624138.56858393748</v>
      </c>
      <c r="AC112">
        <f t="shared" si="21"/>
        <v>137581.00618769365</v>
      </c>
      <c r="AD112" s="3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3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3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3">
        <v>0.3</v>
      </c>
      <c r="AB113">
        <f t="shared" si="15"/>
        <v>674069.65407065256</v>
      </c>
      <c r="AC113">
        <f t="shared" si="21"/>
        <v>145835.86655895528</v>
      </c>
      <c r="AD113" s="3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3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3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3">
        <v>0.3</v>
      </c>
      <c r="AB114">
        <f t="shared" si="15"/>
        <v>727995.22639630479</v>
      </c>
      <c r="AC114">
        <f t="shared" si="21"/>
        <v>154586.01855249261</v>
      </c>
      <c r="AD114" s="3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3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3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3">
        <v>0.3</v>
      </c>
      <c r="AB115">
        <f t="shared" si="15"/>
        <v>786234.84450800926</v>
      </c>
      <c r="AC115">
        <f t="shared" si="21"/>
        <v>163861.17966564218</v>
      </c>
      <c r="AD115" s="3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3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3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3">
        <v>0.3</v>
      </c>
      <c r="AB116">
        <f t="shared" si="15"/>
        <v>849133.6320686501</v>
      </c>
      <c r="AC116">
        <f t="shared" si="21"/>
        <v>173692.85044558073</v>
      </c>
      <c r="AD116" s="3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3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3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3">
        <v>0.3</v>
      </c>
      <c r="AB117">
        <f t="shared" si="15"/>
        <v>917064.32263414201</v>
      </c>
      <c r="AC117">
        <f t="shared" si="21"/>
        <v>184114.42147231559</v>
      </c>
      <c r="AD117" s="3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3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3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3">
        <v>0.3</v>
      </c>
      <c r="AB118">
        <f t="shared" si="15"/>
        <v>990429.46844487335</v>
      </c>
      <c r="AC118">
        <f t="shared" si="21"/>
        <v>195161.28676065453</v>
      </c>
      <c r="AD118" s="3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3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3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3">
        <v>0.3</v>
      </c>
      <c r="AB119">
        <f t="shared" si="15"/>
        <v>1069663.8259204633</v>
      </c>
      <c r="AC119">
        <f t="shared" si="21"/>
        <v>206870.96396629381</v>
      </c>
      <c r="AD119" s="3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3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3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3">
        <v>0.3</v>
      </c>
      <c r="AB120">
        <f t="shared" si="15"/>
        <v>1155236.9319941006</v>
      </c>
      <c r="AC120">
        <f t="shared" si="21"/>
        <v>219283.22180427145</v>
      </c>
      <c r="AD120" s="3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3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3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3">
        <v>0.3</v>
      </c>
      <c r="AB121">
        <f t="shared" si="15"/>
        <v>1247655.8865536286</v>
      </c>
      <c r="AC121">
        <f t="shared" si="21"/>
        <v>232440.21511252775</v>
      </c>
      <c r="AD121" s="3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3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3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3">
        <v>0.3</v>
      </c>
      <c r="AB122">
        <f t="shared" si="15"/>
        <v>1347468.357477919</v>
      </c>
      <c r="AC122">
        <f t="shared" si="21"/>
        <v>246386.62801927942</v>
      </c>
      <c r="AD122" s="3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3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3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3">
        <v>0.3</v>
      </c>
      <c r="AB123">
        <f t="shared" si="15"/>
        <v>1455265.8260761525</v>
      </c>
      <c r="AC123">
        <f t="shared" si="21"/>
        <v>261169.82570043619</v>
      </c>
      <c r="AD123" s="3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3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3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3">
        <v>0.3</v>
      </c>
      <c r="AB124">
        <f t="shared" si="15"/>
        <v>1571687.0921622447</v>
      </c>
      <c r="AC124">
        <f t="shared" si="21"/>
        <v>276840.0152424624</v>
      </c>
      <c r="AD124" s="3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3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3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3">
        <v>0.3</v>
      </c>
      <c r="AB125">
        <f t="shared" si="15"/>
        <v>1697422.0595352245</v>
      </c>
      <c r="AC125">
        <f t="shared" si="21"/>
        <v>293450.41615701013</v>
      </c>
      <c r="AD125" s="3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3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3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3">
        <v>0.3</v>
      </c>
      <c r="AB126">
        <f t="shared" si="15"/>
        <v>1833215.8242980426</v>
      </c>
      <c r="AC126">
        <f t="shared" si="21"/>
        <v>311057.44112643076</v>
      </c>
      <c r="AD126" s="3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3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3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3">
        <v>0.3</v>
      </c>
      <c r="AB127">
        <f t="shared" si="15"/>
        <v>1979873.0902418864</v>
      </c>
      <c r="AC127">
        <f t="shared" si="21"/>
        <v>329720.88759401662</v>
      </c>
      <c r="AD127" s="3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3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3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3">
        <v>0.3</v>
      </c>
      <c r="AB128">
        <f t="shared" si="15"/>
        <v>2138262.9374612374</v>
      </c>
      <c r="AC128">
        <f t="shared" si="21"/>
        <v>349504.14084965765</v>
      </c>
      <c r="AD128" s="3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3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3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3">
        <v>0.3</v>
      </c>
      <c r="AB129">
        <f t="shared" si="15"/>
        <v>2309323.9724581367</v>
      </c>
      <c r="AC129">
        <f t="shared" si="21"/>
        <v>370474.38930063712</v>
      </c>
      <c r="AD129" s="3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3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3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3">
        <v>0.3</v>
      </c>
      <c r="AB130">
        <f t="shared" si="15"/>
        <v>2494069.8902547881</v>
      </c>
      <c r="AC130">
        <f t="shared" si="21"/>
        <v>392702.85265867534</v>
      </c>
      <c r="AD130" s="3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3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3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3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3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3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3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3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3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3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3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3">
        <v>0.3</v>
      </c>
      <c r="AB133">
        <f t="shared" si="29"/>
        <v>3141809.76959264</v>
      </c>
      <c r="AC133">
        <f t="shared" si="32"/>
        <v>467715.3807621249</v>
      </c>
      <c r="AD133" s="3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3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3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3">
        <v>0.3</v>
      </c>
      <c r="AB134">
        <f t="shared" si="29"/>
        <v>3393154.551160051</v>
      </c>
      <c r="AC134">
        <f t="shared" si="32"/>
        <v>495778.30360785243</v>
      </c>
      <c r="AD134" s="3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3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3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3">
        <v>0.3</v>
      </c>
      <c r="AB135">
        <f t="shared" si="29"/>
        <v>3664606.9152528555</v>
      </c>
      <c r="AC135">
        <f t="shared" si="32"/>
        <v>525525.00182432355</v>
      </c>
      <c r="AD135" s="3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3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3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3">
        <v>0.3</v>
      </c>
      <c r="AB136">
        <f t="shared" si="29"/>
        <v>3957775.4684730838</v>
      </c>
      <c r="AC136">
        <f t="shared" si="32"/>
        <v>557056.50193378294</v>
      </c>
      <c r="AD136" s="3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3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3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3">
        <v>0.3</v>
      </c>
      <c r="AB137">
        <f t="shared" si="29"/>
        <v>4274397.5059509315</v>
      </c>
      <c r="AC137">
        <f t="shared" si="32"/>
        <v>590479.89204980992</v>
      </c>
      <c r="AD137" s="3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3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3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3">
        <v>0.3</v>
      </c>
      <c r="AB138">
        <f t="shared" si="29"/>
        <v>4616349.3064270066</v>
      </c>
      <c r="AC138">
        <f t="shared" si="32"/>
        <v>625908.6855727986</v>
      </c>
      <c r="AD138" s="3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3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3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3">
        <v>0.3</v>
      </c>
      <c r="AB139">
        <f t="shared" si="29"/>
        <v>4985657.2509411667</v>
      </c>
      <c r="AC139">
        <f t="shared" si="32"/>
        <v>663463.20670716651</v>
      </c>
      <c r="AD139" s="3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3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3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3">
        <v>0.3</v>
      </c>
      <c r="AB140">
        <f t="shared" si="29"/>
        <v>5384509.8310164604</v>
      </c>
      <c r="AC140">
        <f t="shared" si="32"/>
        <v>703270.99910959648</v>
      </c>
      <c r="AD140" s="3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3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3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3">
        <v>0.3</v>
      </c>
      <c r="AB141">
        <f t="shared" si="29"/>
        <v>5815270.6174977776</v>
      </c>
      <c r="AC141">
        <f t="shared" si="32"/>
        <v>745467.25905617233</v>
      </c>
      <c r="AD141" s="3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3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3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3">
        <v>0.3</v>
      </c>
      <c r="AB142">
        <f t="shared" si="29"/>
        <v>6280492.2668976001</v>
      </c>
      <c r="AC142">
        <f t="shared" si="32"/>
        <v>790195.29459954274</v>
      </c>
      <c r="AD142" s="3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3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3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3">
        <v>0.3</v>
      </c>
      <c r="AB143">
        <f t="shared" si="29"/>
        <v>6782931.6482494092</v>
      </c>
      <c r="AC143">
        <f t="shared" si="32"/>
        <v>837607.01227551536</v>
      </c>
      <c r="AD143" s="3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3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3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3">
        <v>0.3</v>
      </c>
      <c r="AB144">
        <f t="shared" si="29"/>
        <v>7325566.1801093621</v>
      </c>
      <c r="AC144">
        <f t="shared" si="32"/>
        <v>887863.43301204627</v>
      </c>
      <c r="AD144" s="3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3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3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3">
        <v>0.3</v>
      </c>
      <c r="AB145">
        <f t="shared" si="29"/>
        <v>7911611.4745181119</v>
      </c>
      <c r="AC145">
        <f t="shared" si="32"/>
        <v>941135.23899276904</v>
      </c>
      <c r="AD145" s="3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3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3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3">
        <v>0.3</v>
      </c>
      <c r="AB146">
        <f t="shared" si="29"/>
        <v>8544540.3924795613</v>
      </c>
      <c r="AC146">
        <f t="shared" si="32"/>
        <v>997603.35333233525</v>
      </c>
      <c r="AD146" s="3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3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3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3">
        <v>0.3</v>
      </c>
      <c r="AB147">
        <f t="shared" si="29"/>
        <v>9228103.6238779277</v>
      </c>
      <c r="AC147">
        <f t="shared" si="32"/>
        <v>1057459.5545322753</v>
      </c>
      <c r="AD147" s="3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3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3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3">
        <v>0.3</v>
      </c>
      <c r="AB148">
        <f t="shared" si="29"/>
        <v>9966351.9137881622</v>
      </c>
      <c r="AC148">
        <f t="shared" si="32"/>
        <v>1120907.1278042118</v>
      </c>
      <c r="AD148" s="3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3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3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3">
        <v>0.3</v>
      </c>
      <c r="AB149">
        <f t="shared" si="29"/>
        <v>10763660.066891216</v>
      </c>
      <c r="AC149">
        <f t="shared" si="32"/>
        <v>1188161.5554724645</v>
      </c>
      <c r="AD149" s="3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3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3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3">
        <v>0.3</v>
      </c>
      <c r="AB150">
        <f t="shared" si="29"/>
        <v>11624752.872242514</v>
      </c>
      <c r="AC150">
        <f t="shared" si="32"/>
        <v>1259451.2488008125</v>
      </c>
      <c r="AD150" s="3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3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3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3">
        <v>0.3</v>
      </c>
      <c r="AB151">
        <f t="shared" si="29"/>
        <v>12554733.102021914</v>
      </c>
      <c r="AC151">
        <f t="shared" si="32"/>
        <v>1335018.3237288613</v>
      </c>
      <c r="AD151" s="3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3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3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3">
        <v>0.3</v>
      </c>
      <c r="AB152">
        <f t="shared" si="29"/>
        <v>13559111.75018367</v>
      </c>
      <c r="AC152">
        <f t="shared" si="32"/>
        <v>1415119.423152593</v>
      </c>
      <c r="AD152" s="3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3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3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3">
        <v>0.3</v>
      </c>
      <c r="AB153">
        <f t="shared" si="29"/>
        <v>14643840.690198364</v>
      </c>
      <c r="AC153">
        <f t="shared" si="32"/>
        <v>1500026.5885417487</v>
      </c>
      <c r="AD153" s="3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3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3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3">
        <v>0.3</v>
      </c>
      <c r="AB154">
        <f t="shared" si="29"/>
        <v>15815347.945414236</v>
      </c>
      <c r="AC154">
        <f t="shared" si="32"/>
        <v>1590028.1838542537</v>
      </c>
      <c r="AD154" s="3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3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3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3">
        <v>0.3</v>
      </c>
      <c r="AB155">
        <f t="shared" si="29"/>
        <v>17080575.781047378</v>
      </c>
      <c r="AC155">
        <f t="shared" si="32"/>
        <v>1685429.874885509</v>
      </c>
      <c r="AD155" s="3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3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3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3">
        <v>0.3</v>
      </c>
      <c r="AB156">
        <f t="shared" si="29"/>
        <v>18447021.843531165</v>
      </c>
      <c r="AC156">
        <f t="shared" si="32"/>
        <v>1786555.6673786396</v>
      </c>
      <c r="AD156" s="3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3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3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3">
        <v>0.3</v>
      </c>
      <c r="AB157">
        <f t="shared" si="29"/>
        <v>19922783.591013659</v>
      </c>
      <c r="AC157">
        <f t="shared" si="32"/>
        <v>1893749.007421358</v>
      </c>
      <c r="AD157" s="3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3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3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3">
        <v>0.3</v>
      </c>
      <c r="AB158">
        <f t="shared" si="29"/>
        <v>21516606.278294753</v>
      </c>
      <c r="AC158">
        <f t="shared" si="32"/>
        <v>2007373.9478666396</v>
      </c>
      <c r="AD158" s="3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3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3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3">
        <v>0.3</v>
      </c>
      <c r="AB159">
        <f t="shared" si="29"/>
        <v>23237934.780558337</v>
      </c>
      <c r="AC159">
        <f t="shared" si="32"/>
        <v>2127816.3847386381</v>
      </c>
      <c r="AD159" s="3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3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3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3">
        <v>0.3</v>
      </c>
      <c r="AB160">
        <f t="shared" si="29"/>
        <v>25096969.563003004</v>
      </c>
      <c r="AC160">
        <f t="shared" si="32"/>
        <v>2255485.3678229563</v>
      </c>
      <c r="AD160" s="3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3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3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3">
        <v>0.3</v>
      </c>
      <c r="AB161">
        <f t="shared" si="29"/>
        <v>27104727.128043246</v>
      </c>
      <c r="AC161">
        <f t="shared" si="32"/>
        <v>2390814.4898923337</v>
      </c>
      <c r="AD161" s="3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3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3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3">
        <v>0.3</v>
      </c>
      <c r="AB162">
        <f t="shared" si="29"/>
        <v>29273105.29828671</v>
      </c>
      <c r="AC162">
        <f t="shared" si="32"/>
        <v>2534263.3592858738</v>
      </c>
      <c r="AD162" s="3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3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3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3">
        <v>0.3</v>
      </c>
      <c r="AB163">
        <f t="shared" si="29"/>
        <v>31614953.722149651</v>
      </c>
      <c r="AC163">
        <f t="shared" si="32"/>
        <v>2686319.1608430264</v>
      </c>
      <c r="AD163" s="3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3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3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3">
        <v>0.3</v>
      </c>
      <c r="AB164">
        <f t="shared" si="29"/>
        <v>34144150.019921623</v>
      </c>
      <c r="AC164">
        <f t="shared" si="32"/>
        <v>2847498.310493608</v>
      </c>
      <c r="AD164" s="3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3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3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3">
        <v>0.3</v>
      </c>
      <c r="AB165">
        <f t="shared" si="29"/>
        <v>36875682.021515362</v>
      </c>
      <c r="AC165">
        <f t="shared" si="32"/>
        <v>3018348.2091232245</v>
      </c>
      <c r="AD165" s="3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3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3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3">
        <v>0.3</v>
      </c>
      <c r="AB166">
        <f t="shared" si="29"/>
        <v>39825736.58323659</v>
      </c>
      <c r="AC166">
        <f t="shared" si="32"/>
        <v>3199449.1016706182</v>
      </c>
      <c r="AD166" s="3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3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3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3">
        <v>0.3</v>
      </c>
      <c r="AB167">
        <f t="shared" si="29"/>
        <v>43011795.509895518</v>
      </c>
      <c r="AC167">
        <f t="shared" si="32"/>
        <v>3391416.0477708555</v>
      </c>
      <c r="AD167" s="3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3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3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3">
        <v>0.3</v>
      </c>
      <c r="AB168">
        <f t="shared" si="29"/>
        <v>46452739.150687158</v>
      </c>
      <c r="AC168">
        <f t="shared" si="32"/>
        <v>3594901.0106371068</v>
      </c>
      <c r="AD168" s="3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3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3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3">
        <v>0.3</v>
      </c>
      <c r="AB169">
        <f t="shared" si="29"/>
        <v>50168958.282742135</v>
      </c>
      <c r="AC169">
        <f t="shared" si="32"/>
        <v>3810595.0712753334</v>
      </c>
      <c r="AD169" s="3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3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3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3">
        <v>0.3</v>
      </c>
      <c r="AB170">
        <f t="shared" si="29"/>
        <v>54182474.94536151</v>
      </c>
      <c r="AC170">
        <f t="shared" si="32"/>
        <v>4039230.7755518537</v>
      </c>
      <c r="AD170" s="3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3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3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3">
        <v>0.3</v>
      </c>
      <c r="AB171">
        <f t="shared" si="29"/>
        <v>58517072.940990433</v>
      </c>
      <c r="AC171">
        <f t="shared" si="32"/>
        <v>4281584.622084965</v>
      </c>
      <c r="AD171" s="3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3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3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3">
        <v>0.3</v>
      </c>
      <c r="AB172">
        <f t="shared" si="29"/>
        <v>63198438.776269667</v>
      </c>
      <c r="AC172">
        <f t="shared" si="32"/>
        <v>4538479.6994100632</v>
      </c>
      <c r="AD172" s="3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3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3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3">
        <v>0.3</v>
      </c>
      <c r="AB173">
        <f t="shared" si="29"/>
        <v>68254313.878371254</v>
      </c>
      <c r="AC173">
        <f t="shared" si="32"/>
        <v>4810788.481374667</v>
      </c>
      <c r="AD173" s="3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3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3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3">
        <v>0.3</v>
      </c>
      <c r="AB174">
        <f t="shared" si="29"/>
        <v>73714658.988640964</v>
      </c>
      <c r="AC174">
        <f t="shared" si="32"/>
        <v>5099435.7902571475</v>
      </c>
      <c r="AD174" s="3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3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3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3">
        <v>0.3</v>
      </c>
      <c r="AB175">
        <f t="shared" si="29"/>
        <v>79611831.70773223</v>
      </c>
      <c r="AC175">
        <f t="shared" si="32"/>
        <v>5405401.9376725769</v>
      </c>
      <c r="AD175" s="3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3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3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3">
        <v>0.3</v>
      </c>
      <c r="AB176">
        <f t="shared" si="29"/>
        <v>85980778.244350821</v>
      </c>
      <c r="AC176">
        <f t="shared" si="32"/>
        <v>5729726.0539329322</v>
      </c>
      <c r="AD176" s="3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3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3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3">
        <v>0.3</v>
      </c>
      <c r="AB177">
        <f t="shared" si="29"/>
        <v>92859240.503898889</v>
      </c>
      <c r="AC177">
        <f t="shared" si="32"/>
        <v>6073509.617168908</v>
      </c>
      <c r="AD177" s="3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3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3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3">
        <v>0.3</v>
      </c>
      <c r="AB178">
        <f t="shared" si="29"/>
        <v>100287979.74421081</v>
      </c>
      <c r="AC178">
        <f t="shared" si="32"/>
        <v>6437920.1941990424</v>
      </c>
      <c r="AD178" s="3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3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3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3">
        <v>0.3</v>
      </c>
      <c r="AB179">
        <f t="shared" si="29"/>
        <v>108311018.12374768</v>
      </c>
      <c r="AC179">
        <f t="shared" si="32"/>
        <v>6824195.4058509851</v>
      </c>
      <c r="AD179" s="3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3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3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3">
        <v>0.3</v>
      </c>
      <c r="AB180">
        <f t="shared" si="29"/>
        <v>116975899.57364748</v>
      </c>
      <c r="AC180">
        <f t="shared" si="32"/>
        <v>7233647.1302020447</v>
      </c>
      <c r="AD180" s="3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3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3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3">
        <v>0.3</v>
      </c>
      <c r="AB181">
        <f t="shared" si="29"/>
        <v>126333971.53953931</v>
      </c>
      <c r="AC181">
        <f t="shared" si="32"/>
        <v>7667665.9580141678</v>
      </c>
      <c r="AD181" s="3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3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3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3">
        <v>0.3</v>
      </c>
      <c r="AB182">
        <f t="shared" si="29"/>
        <v>136440689.26270244</v>
      </c>
      <c r="AC182">
        <f t="shared" si="32"/>
        <v>8127725.9154950185</v>
      </c>
      <c r="AD182" s="3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3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3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3">
        <v>0.3</v>
      </c>
      <c r="AB183">
        <f t="shared" si="29"/>
        <v>147355944.40371865</v>
      </c>
      <c r="AC183">
        <f t="shared" si="32"/>
        <v>8615389.4704247192</v>
      </c>
      <c r="AD183" s="3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3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3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3">
        <v>0.3</v>
      </c>
      <c r="AB184">
        <f t="shared" si="29"/>
        <v>159144419.95601615</v>
      </c>
      <c r="AC184">
        <f t="shared" si="32"/>
        <v>9132312.8386502024</v>
      </c>
      <c r="AD184" s="3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3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3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3">
        <v>0.3</v>
      </c>
      <c r="AB185">
        <f t="shared" si="29"/>
        <v>171875973.55249745</v>
      </c>
      <c r="AC185">
        <f t="shared" si="32"/>
        <v>9680251.6089692153</v>
      </c>
      <c r="AD185" s="3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3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3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3">
        <v>0.3</v>
      </c>
      <c r="AB186">
        <f t="shared" si="29"/>
        <v>185626051.43669727</v>
      </c>
      <c r="AC186">
        <f t="shared" si="32"/>
        <v>10261066.705507368</v>
      </c>
      <c r="AD186" s="3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3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3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3">
        <v>0.3</v>
      </c>
      <c r="AB187">
        <f t="shared" si="29"/>
        <v>200476135.55163306</v>
      </c>
      <c r="AC187">
        <f t="shared" si="32"/>
        <v>10876730.707837811</v>
      </c>
      <c r="AD187" s="3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3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3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3">
        <v>0.3</v>
      </c>
      <c r="AB188">
        <f t="shared" si="29"/>
        <v>216514226.39576373</v>
      </c>
      <c r="AC188">
        <f t="shared" si="32"/>
        <v>11529334.55030808</v>
      </c>
      <c r="AD188" s="3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3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3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3">
        <v>0.3</v>
      </c>
      <c r="AB189">
        <f t="shared" si="29"/>
        <v>233835364.50742483</v>
      </c>
      <c r="AC189">
        <f t="shared" si="32"/>
        <v>12221094.623326566</v>
      </c>
      <c r="AD189" s="3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3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3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3">
        <v>0.3</v>
      </c>
      <c r="AB190">
        <f t="shared" si="29"/>
        <v>252542193.66801885</v>
      </c>
      <c r="AC190">
        <f t="shared" si="32"/>
        <v>12954360.30072616</v>
      </c>
      <c r="AD190" s="3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3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3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3">
        <v>0.3</v>
      </c>
      <c r="AB191">
        <f t="shared" si="29"/>
        <v>272745569.16146034</v>
      </c>
      <c r="AC191">
        <f t="shared" si="32"/>
        <v>13731621.91876973</v>
      </c>
      <c r="AD191" s="3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3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3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3">
        <v>0.3</v>
      </c>
      <c r="AB192">
        <f t="shared" si="29"/>
        <v>294565214.69437718</v>
      </c>
      <c r="AC192">
        <f t="shared" si="32"/>
        <v>14555519.233895915</v>
      </c>
      <c r="AD192" s="3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3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3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3">
        <v>0.3</v>
      </c>
      <c r="AB193">
        <f t="shared" si="29"/>
        <v>318130431.86992741</v>
      </c>
      <c r="AC193">
        <f t="shared" si="32"/>
        <v>15428850.387929671</v>
      </c>
      <c r="AD193" s="3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3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3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3">
        <v>0.3</v>
      </c>
      <c r="AB194">
        <f t="shared" si="29"/>
        <v>343580866.41952163</v>
      </c>
      <c r="AC194">
        <f t="shared" si="32"/>
        <v>16354581.411205452</v>
      </c>
      <c r="AD194" s="3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3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3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3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3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3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3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3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3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3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3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3">
        <v>0.3</v>
      </c>
      <c r="AB197">
        <f t="shared" si="40"/>
        <v>432812940.39906853</v>
      </c>
      <c r="AC197">
        <f t="shared" si="43"/>
        <v>19478568.134048279</v>
      </c>
      <c r="AD197" s="3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3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3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3">
        <v>0.3</v>
      </c>
      <c r="AB198">
        <f t="shared" si="40"/>
        <v>467437975.63099408</v>
      </c>
      <c r="AC198">
        <f t="shared" si="43"/>
        <v>20647282.222091176</v>
      </c>
      <c r="AD198" s="3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3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3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3">
        <v>0.3</v>
      </c>
      <c r="AB199">
        <f t="shared" si="40"/>
        <v>504833013.68147367</v>
      </c>
      <c r="AC199">
        <f t="shared" si="43"/>
        <v>21886119.155416649</v>
      </c>
      <c r="AD199" s="3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3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3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3">
        <v>0.3</v>
      </c>
      <c r="AB200">
        <f t="shared" si="40"/>
        <v>545219654.77599156</v>
      </c>
      <c r="AC200">
        <f t="shared" si="43"/>
        <v>23199286.304741647</v>
      </c>
      <c r="AD200" s="3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3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3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3">
        <v>0.3</v>
      </c>
      <c r="AB201">
        <f t="shared" si="40"/>
        <v>588837227.15807092</v>
      </c>
      <c r="AC201">
        <f t="shared" si="43"/>
        <v>24591243.483026147</v>
      </c>
      <c r="AD201" s="3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国有大型银行</vt:lpstr>
      <vt:lpstr>股份制银行</vt:lpstr>
      <vt:lpstr>城商行</vt:lpstr>
      <vt:lpstr>农商行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