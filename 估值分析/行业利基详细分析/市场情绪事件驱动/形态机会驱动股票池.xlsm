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市场情绪事件驱动\"/>
    </mc:Choice>
  </mc:AlternateContent>
  <bookViews>
    <workbookView xWindow="-108" yWindow="-108" windowWidth="20268" windowHeight="9132"/>
  </bookViews>
  <sheets>
    <sheet name="电控办公设备" sheetId="45" r:id="rId1"/>
    <sheet name="公司价值折现" sheetId="42" r:id="rId2"/>
    <sheet name="基本面模型" sheetId="23" r:id="rId3"/>
  </sheets>
  <functionGroups builtInGroupCount="18"/>
  <definedNames>
    <definedName name="_xlnm._FilterDatabase" localSheetId="0" hidden="1">电控办公设备!$E$1:$E$2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<sst xmlns="http://schemas.openxmlformats.org/spreadsheetml/2006/main" count="321" uniqueCount="306">
  <si>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</si>
  <si>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</si>
  <si>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</si>
  <si>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</si>
  <si>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</si>
  <si>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</si>
  <si>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</si>
  <si>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</si>
  <si>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</si>
  <si>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</si>
  <si>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</si>
  <si>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</si>
  <si>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</si>
  <si>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当季营业收入(同比增长率) %</t>
  </si>
  <si>
    <t>去年营业总收入</t>
  </si>
  <si>
    <t>净利润？</t>
  </si>
  <si>
    <t>净利润增长率</t>
  </si>
  <si>
    <t>去年净利润</t>
  </si>
  <si>
    <t>销售毛利率同比增长率</t>
  </si>
  <si>
    <t>总股本</t>
  </si>
  <si>
    <t>权益乘数</t>
  </si>
  <si>
    <t>总资产周转率</t>
  </si>
  <si>
    <t>净利润／营业总收入</t>
  </si>
  <si>
    <t>营业总成本</t>
  </si>
  <si>
    <t>营业成本</t>
  </si>
  <si>
    <t>管理费用</t>
  </si>
  <si>
    <t>研发费用总额</t>
  </si>
  <si>
    <t>财务费用</t>
  </si>
  <si>
    <t>投资收益</t>
  </si>
  <si>
    <t>应收账款</t>
  </si>
  <si>
    <t>1.08亿</t>
  </si>
  <si>
    <t>1.72亿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</si>
  <si>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</si>
  <si>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</si>
  <si>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</si>
  <si>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</si>
  <si>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</si>
  <si>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</si>
  <si>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</si>
  <si>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</si>
  <si>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</si>
  <si>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</si>
  <si>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</si>
  <si>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</si>
  <si>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</si>
  <si>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</si>
  <si>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</si>
  <si>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</si>
  <si>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</si>
  <si>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</si>
  <si>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</si>
  <si>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</si>
  <si>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</si>
  <si>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</si>
  <si>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</si>
  <si>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</si>
  <si>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</si>
  <si>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</si>
  <si>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</si>
  <si>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</si>
  <si>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</si>
  <si>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</si>
  <si>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</si>
  <si>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</si>
  <si>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</si>
  <si>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</si>
  <si>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</si>
  <si>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</si>
  <si>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</si>
  <si>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</si>
  <si>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营业收入[20151231]</t>
  </si>
  <si>
    <t>净利润[20191231]</t>
  </si>
  <si>
    <t>净利润[20181231]</t>
  </si>
  <si>
    <t>净利润[20171231]</t>
  </si>
  <si>
    <t>净利润[20161231]</t>
  </si>
  <si>
    <t>净利润[20151231]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</si>
  <si>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</si>
  <si>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</si>
  <si>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</si>
  <si>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</si>
  <si>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</si>
  <si>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</si>
  <si>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</si>
  <si>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</si>
  <si>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</si>
  <si>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</si>
  <si>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</si>
  <si>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</si>
  <si>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</si>
  <si>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</si>
  <si>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</si>
  <si>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</si>
  <si>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</si>
  <si>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</si>
  <si>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</si>
  <si>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</si>
  <si>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市销率</t>
    <phoneticPr fontId="1" type="noConversion"/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</si>
  <si>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</si>
  <si>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</si>
  <si>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</si>
  <si>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</si>
  <si>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</si>
  <si>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</si>
  <si>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</si>
  <si>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</si>
  <si>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20增速</t>
  </si>
  <si>
    <t>当期自由现金流估计值</t>
  </si>
  <si>
    <t>自由现金流估计增速</t>
  </si>
  <si>
    <t>清算价格</t>
    <phoneticPr fontId="1" type="noConversion"/>
  </si>
  <si>
    <t>利润成长策略</t>
    <phoneticPr fontId="1" type="noConversion"/>
  </si>
  <si>
    <t>营收和利润加权</t>
    <phoneticPr fontId="1" type="noConversion"/>
  </si>
  <si>
    <t>综合策略</t>
    <phoneticPr fontId="1" type="noConversion"/>
  </si>
  <si>
    <t>机会区域号</t>
    <phoneticPr fontId="1" type="noConversion"/>
  </si>
  <si>
    <t>已知和基本信息</t>
    <phoneticPr fontId="1" type="noConversion"/>
  </si>
  <si>
    <t>近期roe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</si>
  <si>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</si>
  <si>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</si>
  <si>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</si>
  <si>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</si>
  <si>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</si>
  <si>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</si>
  <si>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</si>
  <si>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</si>
  <si>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</si>
  <si>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价格变动策略</t>
    <phoneticPr fontId="1" type="noConversion"/>
  </si>
  <si>
    <t>成交量变动策略</t>
    <phoneticPr fontId="1" type="noConversion"/>
  </si>
  <si>
    <t>量价齐升策略</t>
    <phoneticPr fontId="1" type="noConversion"/>
  </si>
  <si>
    <t>基本面排序</t>
    <phoneticPr fontId="1" type="noConversion"/>
  </si>
  <si>
    <t>CYLQ营业收入[20210331]</t>
  </si>
  <si>
    <t>LYCQ营业收入[20200630]</t>
  </si>
  <si>
    <t>LYLQ营业收入[20200331]</t>
  </si>
  <si>
    <t>CYLQ净利润[20210331]</t>
  </si>
  <si>
    <t>LYCQ净利润[20200630]</t>
  </si>
  <si>
    <t>LYLQ净利润[20200331]</t>
  </si>
  <si>
    <t>涨幅%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</si>
  <si>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</si>
  <si>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</si>
  <si>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</si>
  <si>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</si>
  <si>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</si>
  <si>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</si>
  <si>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</si>
  <si>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</si>
  <si>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</si>
  <si>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</si>
  <si>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</si>
  <si>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</si>
  <si>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</si>
  <si>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</si>
  <si>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</si>
  <si>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投入资本回报率roic%[20211231]</t>
  </si>
  <si>
    <t>净资产收益率%[20211231]</t>
  </si>
  <si>
    <t/>
  </si>
  <si>
    <t>量比</t>
  </si>
  <si>
    <t>扣除非经常性损益后的净利润[20220331]</t>
  </si>
  <si>
    <t>区间涨跌幅:前复权%[20220613-20220617]</t>
  </si>
  <si>
    <t>区间涨跌幅:前复权%[20220506-20220617]</t>
  </si>
  <si>
    <t>区间成交量[20220613-20220617]</t>
  </si>
  <si>
    <t>指数@区间成交量[20220506-20220617]</t>
  </si>
  <si>
    <t>3.65亿</t>
  </si>
  <si>
    <t>2.61亿</t>
  </si>
  <si>
    <t>13.97亿</t>
  </si>
  <si>
    <t>12.22亿</t>
  </si>
  <si>
    <t>1.29亿</t>
  </si>
  <si>
    <t>1.17亿</t>
  </si>
  <si>
    <t>2.08亿</t>
  </si>
  <si>
    <t>1.05亿</t>
  </si>
  <si>
    <t>1.54亿</t>
  </si>
  <si>
    <t>1.12亿</t>
  </si>
  <si>
    <t>4.05亿</t>
  </si>
  <si>
    <t>4.73亿</t>
  </si>
  <si>
    <t>12.72亿</t>
  </si>
  <si>
    <t>10.08亿</t>
  </si>
  <si>
    <t>2.54亿</t>
  </si>
  <si>
    <t>2.05亿</t>
  </si>
  <si>
    <t>14.08亿</t>
  </si>
  <si>
    <t>5.06亿</t>
  </si>
  <si>
    <t>1.45亿</t>
  </si>
  <si>
    <t>1.57亿</t>
  </si>
  <si>
    <t>1.30亿</t>
  </si>
  <si>
    <t>1.09亿</t>
  </si>
  <si>
    <t>1.73亿</t>
  </si>
  <si>
    <t>7.16亿</t>
  </si>
  <si>
    <t>5.35亿</t>
  </si>
  <si>
    <t>17.38亿</t>
  </si>
  <si>
    <t>1.24亿</t>
  </si>
  <si>
    <t>4.91亿</t>
  </si>
  <si>
    <t>1.47亿</t>
  </si>
  <si>
    <t>2.52亿</t>
  </si>
  <si>
    <t>10派2元(含税)</t>
  </si>
  <si>
    <t>4.43亿</t>
  </si>
  <si>
    <t>1.41亿</t>
  </si>
  <si>
    <t>6.41亿</t>
  </si>
  <si>
    <t>2.16亿</t>
  </si>
  <si>
    <t>SH603583</t>
  </si>
  <si>
    <t>捷昌驱动</t>
  </si>
  <si>
    <t>自动化设备</t>
  </si>
  <si>
    <t>SZ300729</t>
  </si>
  <si>
    <t>乐歌股份</t>
  </si>
  <si>
    <t>家用轻工</t>
  </si>
  <si>
    <t>28.45亿</t>
  </si>
  <si>
    <t>38.72亿</t>
  </si>
  <si>
    <t>2134255800亿</t>
  </si>
  <si>
    <t>26.37亿</t>
  </si>
  <si>
    <t>2.70亿</t>
  </si>
  <si>
    <t>18.82亿</t>
  </si>
  <si>
    <t>15.84亿</t>
  </si>
  <si>
    <t>24493178亿</t>
  </si>
  <si>
    <t>67.94万</t>
  </si>
  <si>
    <t>232815320亿</t>
  </si>
  <si>
    <t>24.13亿</t>
  </si>
  <si>
    <t>345737220亿</t>
  </si>
  <si>
    <t>3824730800亿</t>
  </si>
  <si>
    <t>2.87亿</t>
  </si>
  <si>
    <t>13.34亿</t>
  </si>
  <si>
    <t>3.19亿</t>
  </si>
  <si>
    <t>21.24亿</t>
  </si>
  <si>
    <t>-3.37亿</t>
  </si>
  <si>
    <t>4.67亿</t>
  </si>
  <si>
    <t>18.68亿</t>
  </si>
  <si>
    <t>11.16亿</t>
  </si>
  <si>
    <t>6.95亿</t>
  </si>
  <si>
    <t>2.84亿</t>
  </si>
  <si>
    <t>1.58亿</t>
  </si>
  <si>
    <t>14.40亿</t>
  </si>
  <si>
    <t>17.65亿</t>
  </si>
  <si>
    <t>1.88亿</t>
  </si>
  <si>
    <t>10派2.2元(含税)</t>
  </si>
  <si>
    <t>工控设备</t>
  </si>
  <si>
    <t>32.57亿</t>
  </si>
  <si>
    <t>21.20亿</t>
  </si>
  <si>
    <t>2312156300亿</t>
  </si>
  <si>
    <t>28.71亿</t>
  </si>
  <si>
    <t>1.85亿</t>
  </si>
  <si>
    <t>22.27亿</t>
  </si>
  <si>
    <t>14.13亿</t>
  </si>
  <si>
    <t>5.84亿</t>
  </si>
  <si>
    <t>6530.86万</t>
  </si>
  <si>
    <t>9636063亿</t>
  </si>
  <si>
    <t>652.80万</t>
  </si>
  <si>
    <t>65883140亿</t>
  </si>
  <si>
    <t>16.69亿</t>
  </si>
  <si>
    <t>167596200亿</t>
  </si>
  <si>
    <t>18.48万</t>
  </si>
  <si>
    <t>2768884500亿</t>
  </si>
  <si>
    <t>10.35亿</t>
  </si>
  <si>
    <t>-5.45亿</t>
  </si>
  <si>
    <t>19.41亿</t>
  </si>
  <si>
    <t>9.78亿</t>
  </si>
  <si>
    <t>9.47亿</t>
  </si>
  <si>
    <t>7.48亿</t>
  </si>
  <si>
    <t>4.88亿</t>
  </si>
  <si>
    <t>2.17亿</t>
  </si>
  <si>
    <t>6298.05万</t>
  </si>
  <si>
    <t>5759.09万</t>
  </si>
  <si>
    <t>6282.78万</t>
  </si>
  <si>
    <t>6008.43万</t>
  </si>
  <si>
    <t>15.48亿</t>
  </si>
  <si>
    <t>21.00亿</t>
  </si>
  <si>
    <t>8400.27万</t>
  </si>
  <si>
    <t>其他家用轻工</t>
  </si>
  <si>
    <t>SH605288</t>
  </si>
  <si>
    <t>凯迪股份</t>
  </si>
  <si>
    <t>20.73亿</t>
  </si>
  <si>
    <t>883712230亿</t>
  </si>
  <si>
    <t>17.18亿</t>
  </si>
  <si>
    <t>8.53亿</t>
  </si>
  <si>
    <t>4385.73万</t>
  </si>
  <si>
    <t>5356.33万</t>
  </si>
  <si>
    <t>3115.96万</t>
  </si>
  <si>
    <t>12919389亿</t>
  </si>
  <si>
    <t>32438439亿</t>
  </si>
  <si>
    <t>7.52亿</t>
  </si>
  <si>
    <t>248087350亿</t>
  </si>
  <si>
    <t>1593508600亿</t>
  </si>
  <si>
    <t>2.06亿</t>
  </si>
  <si>
    <t>1.56亿</t>
  </si>
  <si>
    <t>8136.98万</t>
  </si>
  <si>
    <t>-4699.76万</t>
  </si>
  <si>
    <t>11.39亿</t>
  </si>
  <si>
    <t>8.33亿</t>
  </si>
  <si>
    <t>5.65亿</t>
  </si>
  <si>
    <t>1.63亿</t>
  </si>
  <si>
    <t>6.17亿</t>
  </si>
  <si>
    <t>11.90亿</t>
  </si>
  <si>
    <t>7.71亿</t>
  </si>
  <si>
    <t>3386.49万</t>
  </si>
  <si>
    <t>8886.20万</t>
  </si>
  <si>
    <t>6038.63万</t>
  </si>
  <si>
    <t>10派4.96元(含税)</t>
  </si>
  <si>
    <t>1.生产所需原材料主要系钣金件、电子元器件、线
路板、钢材、电机及其他配件等。原材料价格的变化对公司产品成本影响较大；</t>
    <phoneticPr fontId="1" type="noConversion"/>
  </si>
  <si>
    <r>
      <t>1.原理是通过控制系统将指令传达至机械结构，使电动机的圆周运动，转换为推杆的直线运动，从而达到推拉、升降重物的效果。2.近年来，公司在欧洲的业务拓展不断深入，欧洲智慧办公和医疗康护板块的收入均保持较高的增速，预计未来几年也将保持比较高的增速。3.</t>
    </r>
    <r>
      <rPr>
        <sz val="9"/>
        <color rgb="FFFF0000"/>
        <rFont val="宋体"/>
        <family val="3"/>
        <charset val="134"/>
        <scheme val="minor"/>
      </rPr>
      <t>国内市场是公司将来重要的目标市场</t>
    </r>
    <r>
      <rPr>
        <sz val="9"/>
        <color theme="1"/>
        <rFont val="宋体"/>
        <family val="3"/>
        <charset val="134"/>
        <scheme val="minor"/>
      </rPr>
      <t>，公司将借鉴在国外市场的成功经验，集中公司的整体资源加快国内市场发展。4.公司产品在</t>
    </r>
    <r>
      <rPr>
        <sz val="9"/>
        <color rgb="FFFF0000"/>
        <rFont val="宋体"/>
        <family val="3"/>
        <charset val="134"/>
        <scheme val="minor"/>
      </rPr>
      <t>光伏、光热电站的追踪支架</t>
    </r>
    <r>
      <rPr>
        <sz val="9"/>
        <color theme="1"/>
        <rFont val="宋体"/>
        <family val="3"/>
        <charset val="134"/>
        <scheme val="minor"/>
      </rPr>
      <t>中有使用，目前属于新的应用场景，相比其他方式，在成本、安装等方面有一定的优势。</t>
    </r>
    <phoneticPr fontId="1" type="noConversion"/>
  </si>
  <si>
    <t>460.58万</t>
  </si>
  <si>
    <t>2098.09万</t>
  </si>
  <si>
    <t>1.14亿</t>
  </si>
  <si>
    <t>公司主要从事线性驱动系统的研发、生产和销售业务。公司主要产品按应用领域可分为医疗康护驱动系统、智慧办公驱动系统及智能家居控制系统等。
市值94.635106亿, 利润2.70亿; PE26.85, PB2.44; ROIC11.5767%; ROE14.0333%; 股利率0.8932%; 毛利33.5933%; 净利18.2367%; 上一年度营收增41.17%, 利润增-33.33%; 当季营收增-8.29%, 利润增93.13%; 过往5年营收增39.59%, 利润增20.86%
Income profile:
(海外占比78%）
线性驱动产品 26.33亿 99.84% 99.95% 26.98%
其他业务 422.73万 0.16% 0.05% 8.38%</t>
  </si>
  <si>
    <r>
      <t>1.公司董事长正全力推进“乐歌项董说营销”抖音号运营，粉丝持续快速增加中；2.报告期内，海外仓业务稳步增长，仓库利用率提升，品牌产品的销售系数持续提升，特别是国内市场，外部因素也明显改善，海运价格大幅回落，美元兑人民币中间价显著回升。所以，我们预计未来公司盈利能力会逐步改善。展望</t>
    </r>
    <r>
      <rPr>
        <sz val="9"/>
        <color rgb="FFFF0000"/>
        <rFont val="宋体"/>
        <family val="3"/>
        <charset val="134"/>
        <scheme val="minor"/>
      </rPr>
      <t>未来三年国内业务的占比，预计会在15-20%</t>
    </r>
    <r>
      <rPr>
        <sz val="9"/>
        <color theme="1"/>
        <rFont val="宋体"/>
        <family val="2"/>
        <charset val="134"/>
        <scheme val="minor"/>
      </rPr>
      <t>。目前线上占比72%，线下不到30%，线上线下会同步发展;3.20年营收开始大幅增长的原因，一是公司产品结构转型，多年的线性驱动技术储备成功落地，二是20年开始</t>
    </r>
    <r>
      <rPr>
        <sz val="9"/>
        <color rgb="FFFF0000"/>
        <rFont val="宋体"/>
        <family val="3"/>
        <charset val="134"/>
        <scheme val="minor"/>
      </rPr>
      <t>疫情催化居家办公需求</t>
    </r>
    <r>
      <rPr>
        <sz val="9"/>
        <color theme="1"/>
        <rFont val="宋体"/>
        <family val="2"/>
        <charset val="134"/>
        <scheme val="minor"/>
      </rPr>
      <t>，因为我们做自主品牌，能及时洞察到消费者需求的变化，产品结构转型成功后，敏锐地抓住了消费者居家办公需求上升的时机，因此20年出现了爆发式增长。</t>
    </r>
    <phoneticPr fontId="1" type="noConversion"/>
  </si>
  <si>
    <t>1.问：目前欧美国家的消费者信心如何？答：在欧美经济下行的趋势下，总体上大家相对消极悲观。我们这边也看到，大盘的搜索指数也有所下降，但可喜的一面是由于我们过去的两年在品牌投入上比较大，持续不断的保持比较强有力的品牌层面的一些营销相关的活动，所以去年到今年，我们整个的品牌力的提升这块非常好，尽管美国这边在整个大盘下行的趋势下，我们欧美品牌搜索指数都有质量的同比提升。另外，根据第三方的调研显示，高收入人群表示还是愿意在类似升降桌等非刚需产品上进行投入，而低收入人群会选择减少在非必要消费上的投入。因此，未来我们会持续提升中高端产品的占比，提升健康办公升降桌产品在高收入人群当中的渗透率。</t>
    <phoneticPr fontId="1" type="noConversion"/>
  </si>
  <si>
    <t>868.02万</t>
  </si>
  <si>
    <t>2586.88万</t>
  </si>
  <si>
    <t>7472.68万</t>
  </si>
  <si>
    <t>公司从事人体工学产品的研发、生产及销售。主要产品为人体工学大屏支架、人体工学工作站系列产品。2019年，公司智慧健康升降工作站荣获了上格设计奖。
市值45.177651亿, 利润1.85亿; PE20.59, PB1.9; ROIC8.39%; ROE14.3333%; 股利率1.0588%; 毛利43.7767%; 净利8.6667%; 上一年度营收增47.91%, 利润增-14.75%; 当季营收增8.7%, 利润增-29.17%; 过往5年营收增45.91%, 利润增47.08%
Income profile:
（境外占比94%）
人体工学工作站 11.20亿 72.34% 80.59% 42.47%
仓储物流服务 1.81亿 11.67% 1.11% 3.63%
其他自产销售 1.17亿 7.54% 12.36% 62.47%
人体工学大屏支架 8076.95万 5.22% 3.26% 23.84%
外购产品销售 3358.11万 2.17% 2.83% 49.68%</t>
  </si>
  <si>
    <t>47.44万</t>
  </si>
  <si>
    <t>243.12万</t>
  </si>
  <si>
    <t>2243.41万</t>
  </si>
  <si>
    <t>公司的主营业务是从事线性驱动系统的研发、生产与销售。历经多年发展，公司已形成集技术研发、产品开发、生产制造、国内外营销于一体的全流程服务体系，主要为智能家居、智慧办公、医疗康护、汽车零部件等领域提供配套线性驱动系统产品。
市值26.184194亿, 利润1.17亿; PE36.43, PB1.27; ROIC15.8733%; ROE17.9733%; 股利率1.3298%; 毛利29.2667%; 净利12.24%; 上一年度营收增35.06%, 利润增-32.37%; 当季营收增-36.35%, 利润增-31.75%; 过往5年营收增26.12%, 利润增-0.36%
Income profile:
（境外占比48%）
线性驱动产品 16.93亿 98.50% 96.64% 20.53%
其他业务 2576.77万 1.50% 3.36% 46.88%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</si>
</sst>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9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NumberFormat="1" applyFill="1" applyBorder="1" applyAlignment="1">
      <alignment vertical="center" wrapText="1"/>
    </xf>
    <xf numFmtId="0" fontId="0" fillId="0" borderId="0" xfId="0" applyNumberFormat="1">
      <alignment vertical="center"/>
    </xf>
    <xf numFmtId="0" fontId="9" fillId="0" borderId="0" xfId="2" applyBorder="1" applyAlignment="1">
      <alignment vertical="center" wrapText="1"/>
    </xf>
    <xf numFmtId="0" fontId="11" fillId="0" borderId="0" xfId="0" applyFont="1" applyAlignment="1">
      <alignment vertical="center" wrapText="1"/>
    </xf>
    <xf numFmtId="14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Q5"/>
  <sheetViews>
    <sheetView tabSelected="1" workbookViewId="0">
      <pane xSplit="6" ySplit="2" topLeftCell="CT3" activePane="bottomRight" state="frozen"/>
      <selection pane="topRight" activeCell="G1" sqref="G1"/>
      <selection pane="bottomLeft" activeCell="A3" sqref="A3"/>
      <selection pane="bottomRight" activeCell="D3" sqref="D3"/>
    </sheetView>
  </sheetViews>
  <sheetFormatPr defaultRowHeight="14.4" x14ac:dyDescent="0.25"/>
  <cols>
    <col min="1" max="1" width="11.109375" customWidth="1"/>
    <col min="2" max="2" width="33" customWidth="1"/>
    <col min="3" max="3" width="36.5546875" customWidth="1"/>
    <col min="4" max="4" width="48.33203125" customWidth="1"/>
    <col min="5" max="5" width="8.77734375" style="25"/>
    <col min="10" max="10" width="10.5546875" customWidth="1"/>
  </cols>
  <sheetData>
    <row r="1" spans="1:147" x14ac:dyDescent="0.25">
      <c r="A1" s="16" t="s">
        <v>64</v>
      </c>
      <c r="B1" s="17" t="s">
        <v>8</v>
      </c>
      <c r="C1" s="18" t="s">
        <v>9</v>
      </c>
      <c r="D1" s="17" t="s">
        <v>113</v>
      </c>
      <c r="E1" s="25" t="s">
        <v>2</v>
      </c>
      <c r="F1" t="s">
        <v>3</v>
      </c>
      <c r="G1" t="s">
        <v>0</v>
      </c>
      <c r="H1" t="s">
        <v>134</v>
      </c>
      <c r="I1" t="s">
        <v>153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135</v>
      </c>
      <c r="AD1" t="s">
        <v>25</v>
      </c>
      <c r="AE1" t="s">
        <v>26</v>
      </c>
      <c r="AF1" t="s">
        <v>27</v>
      </c>
      <c r="AG1" t="s">
        <v>28</v>
      </c>
      <c r="AH1" t="s">
        <v>136</v>
      </c>
      <c r="AI1" t="s">
        <v>154</v>
      </c>
      <c r="AJ1" t="s">
        <v>137</v>
      </c>
      <c r="AK1" t="s">
        <v>29</v>
      </c>
      <c r="AL1" t="s">
        <v>138</v>
      </c>
      <c r="AM1" t="s">
        <v>65</v>
      </c>
      <c r="AN1" t="s">
        <v>139</v>
      </c>
      <c r="AO1" t="s">
        <v>140</v>
      </c>
      <c r="AP1" t="s">
        <v>141</v>
      </c>
      <c r="AQ1" t="s">
        <v>142</v>
      </c>
      <c r="AR1" t="s">
        <v>143</v>
      </c>
      <c r="AS1" t="s">
        <v>144</v>
      </c>
      <c r="AT1" t="s">
        <v>145</v>
      </c>
      <c r="AU1" t="s">
        <v>146</v>
      </c>
      <c r="AV1" t="s">
        <v>147</v>
      </c>
      <c r="AW1" t="s">
        <v>148</v>
      </c>
      <c r="AX1" t="s">
        <v>149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128</v>
      </c>
      <c r="BJ1" t="s">
        <v>129</v>
      </c>
      <c r="BK1" t="s">
        <v>130</v>
      </c>
      <c r="BL1" t="s">
        <v>131</v>
      </c>
      <c r="BM1" t="s">
        <v>132</v>
      </c>
      <c r="BN1" t="s">
        <v>133</v>
      </c>
      <c r="BO1" t="s">
        <v>150</v>
      </c>
      <c r="BP1" t="s">
        <v>76</v>
      </c>
      <c r="BQ1" t="s">
        <v>77</v>
      </c>
      <c r="BR1" t="s">
        <v>78</v>
      </c>
      <c r="BS1" t="s">
        <v>151</v>
      </c>
      <c r="BT1" t="s">
        <v>79</v>
      </c>
      <c r="BU1" t="s">
        <v>80</v>
      </c>
      <c r="BV1" t="s">
        <v>81</v>
      </c>
      <c r="BW1" t="s">
        <v>82</v>
      </c>
      <c r="BX1" t="s">
        <v>82</v>
      </c>
      <c r="BY1" t="s">
        <v>83</v>
      </c>
      <c r="BZ1" t="s">
        <v>84</v>
      </c>
      <c r="CA1" t="s">
        <v>84</v>
      </c>
      <c r="CB1" t="s">
        <v>85</v>
      </c>
      <c r="CC1" t="s">
        <v>155</v>
      </c>
      <c r="CD1" t="s">
        <v>156</v>
      </c>
      <c r="CE1" t="s">
        <v>157</v>
      </c>
      <c r="CF1" t="s">
        <v>158</v>
      </c>
      <c r="CG1" s="1" t="s">
        <v>86</v>
      </c>
      <c r="CH1" s="1" t="s">
        <v>87</v>
      </c>
      <c r="CI1" s="1" t="s">
        <v>88</v>
      </c>
      <c r="CJ1" s="1" t="s">
        <v>89</v>
      </c>
      <c r="CK1" s="1" t="s">
        <v>90</v>
      </c>
      <c r="CL1" s="1" t="s">
        <v>91</v>
      </c>
      <c r="CM1" s="1" t="s">
        <v>92</v>
      </c>
      <c r="CN1" s="1" t="s">
        <v>93</v>
      </c>
      <c r="CO1" s="1" t="s">
        <v>94</v>
      </c>
      <c r="CP1" s="1" t="s">
        <v>95</v>
      </c>
      <c r="CQ1" s="1" t="s">
        <v>96</v>
      </c>
      <c r="CR1" s="1" t="s">
        <v>97</v>
      </c>
      <c r="CS1" s="1" t="s">
        <v>114</v>
      </c>
      <c r="CT1" s="1" t="s">
        <v>98</v>
      </c>
      <c r="CU1" s="1" t="s">
        <v>99</v>
      </c>
      <c r="CV1" s="1" t="s">
        <v>52</v>
      </c>
      <c r="CW1">
        <v>1</v>
      </c>
      <c r="CX1" t="s">
        <v>100</v>
      </c>
      <c r="CY1" t="s">
        <v>115</v>
      </c>
      <c r="CZ1">
        <v>3</v>
      </c>
      <c r="DA1" t="s">
        <v>116</v>
      </c>
      <c r="DB1" t="s">
        <v>117</v>
      </c>
      <c r="DC1">
        <v>6</v>
      </c>
      <c r="DD1" t="s">
        <v>101</v>
      </c>
      <c r="DE1" t="s">
        <v>102</v>
      </c>
      <c r="DF1">
        <v>10</v>
      </c>
      <c r="DG1" t="s">
        <v>103</v>
      </c>
      <c r="DH1" t="s">
        <v>104</v>
      </c>
      <c r="DI1">
        <v>20</v>
      </c>
      <c r="DJ1" t="s">
        <v>118</v>
      </c>
      <c r="DK1" t="s">
        <v>105</v>
      </c>
      <c r="DL1" t="s">
        <v>106</v>
      </c>
      <c r="DM1" s="2" t="s">
        <v>107</v>
      </c>
      <c r="DN1" t="s">
        <v>119</v>
      </c>
      <c r="DO1" t="s">
        <v>108</v>
      </c>
      <c r="DP1" s="1" t="s">
        <v>120</v>
      </c>
      <c r="DQ1" s="1" t="s">
        <v>121</v>
      </c>
      <c r="DR1" s="1" t="s">
        <v>122</v>
      </c>
      <c r="DS1" t="s">
        <v>123</v>
      </c>
      <c r="DT1" t="s">
        <v>109</v>
      </c>
      <c r="DU1" t="s">
        <v>110</v>
      </c>
      <c r="DV1" t="s">
        <v>124</v>
      </c>
      <c r="DW1" t="s">
        <v>125</v>
      </c>
      <c r="DX1" t="s">
        <v>126</v>
      </c>
      <c r="DY1" t="s">
        <v>127</v>
      </c>
      <c r="DZ1" t="s">
        <v>111</v>
      </c>
      <c r="EA1" t="s">
        <v>112</v>
      </c>
    </row>
    <row r="2" spans="1:147" ht="53.55" customHeight="1" x14ac:dyDescent="0.25">
      <c r="A2" s="26"/>
      <c r="B2" s="23"/>
      <c r="C2" s="24">
        <v>3</v>
      </c>
      <c r="D2" s="24">
        <v>5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140.4" x14ac:dyDescent="0.25">
      <c r="B3" s="27" t="s">
        <v>291</v>
      </c>
      <c r="C3" s="27" t="s">
        <v>290</v>
      </c>
      <c r="D3" s="27" t="s">
        <v>295</v>
      </c>
      <c r="E3" t="s">
        <v>194</v>
      </c>
      <c r="F3" t="s">
        <v>195</v>
      </c>
      <c r="G3">
        <v>24.63</v>
      </c>
      <c r="H3">
        <v>3.7000000000000002E-3</v>
      </c>
      <c r="I3" t="s">
        <v>292</v>
      </c>
      <c r="J3">
        <v>9463510600</v>
      </c>
      <c r="K3">
        <v>26.85</v>
      </c>
      <c r="L3">
        <v>2.44</v>
      </c>
      <c r="M3" t="s">
        <v>196</v>
      </c>
      <c r="N3" t="s">
        <v>200</v>
      </c>
      <c r="O3" t="s">
        <v>201</v>
      </c>
      <c r="P3" t="s">
        <v>202</v>
      </c>
      <c r="Q3">
        <v>20.92</v>
      </c>
      <c r="R3" t="s">
        <v>203</v>
      </c>
      <c r="S3">
        <v>286498590</v>
      </c>
      <c r="T3" s="4">
        <v>0.40060000000000001</v>
      </c>
      <c r="U3" t="s">
        <v>204</v>
      </c>
      <c r="V3">
        <v>380359170</v>
      </c>
      <c r="W3">
        <v>384226990</v>
      </c>
      <c r="X3">
        <v>1.73</v>
      </c>
      <c r="Y3">
        <v>0.32</v>
      </c>
      <c r="Z3">
        <v>13.29</v>
      </c>
      <c r="AA3" t="s">
        <v>205</v>
      </c>
      <c r="AB3" t="s">
        <v>206</v>
      </c>
      <c r="AC3" t="s">
        <v>30</v>
      </c>
      <c r="AD3" t="s">
        <v>177</v>
      </c>
      <c r="AE3" t="s">
        <v>166</v>
      </c>
      <c r="AF3">
        <v>-126430868</v>
      </c>
      <c r="AG3" t="s">
        <v>207</v>
      </c>
      <c r="AH3" t="s">
        <v>208</v>
      </c>
      <c r="AI3" t="s">
        <v>209</v>
      </c>
      <c r="AJ3" t="s">
        <v>210</v>
      </c>
      <c r="AK3" t="s">
        <v>211</v>
      </c>
      <c r="AL3" t="s">
        <v>7</v>
      </c>
      <c r="AM3" t="s">
        <v>212</v>
      </c>
      <c r="AN3" t="s">
        <v>7</v>
      </c>
      <c r="AO3" t="s">
        <v>213</v>
      </c>
      <c r="AP3" t="s">
        <v>214</v>
      </c>
      <c r="AQ3" t="s">
        <v>187</v>
      </c>
      <c r="AR3" t="s">
        <v>215</v>
      </c>
      <c r="AS3" t="s">
        <v>7</v>
      </c>
      <c r="AT3" t="s">
        <v>216</v>
      </c>
      <c r="AU3" t="s">
        <v>183</v>
      </c>
      <c r="AV3" t="s">
        <v>31</v>
      </c>
      <c r="AW3" t="s">
        <v>217</v>
      </c>
      <c r="AX3" t="s">
        <v>218</v>
      </c>
      <c r="AY3" t="s">
        <v>219</v>
      </c>
      <c r="AZ3" t="s">
        <v>175</v>
      </c>
      <c r="BA3" t="s">
        <v>220</v>
      </c>
      <c r="BB3" t="s">
        <v>221</v>
      </c>
      <c r="BC3" t="s">
        <v>176</v>
      </c>
      <c r="BD3" t="s">
        <v>169</v>
      </c>
      <c r="BE3" t="s">
        <v>222</v>
      </c>
      <c r="BF3" t="s">
        <v>173</v>
      </c>
      <c r="BG3" t="s">
        <v>223</v>
      </c>
      <c r="BH3" t="s">
        <v>163</v>
      </c>
      <c r="BI3" t="s">
        <v>224</v>
      </c>
      <c r="BJ3" t="s">
        <v>225</v>
      </c>
      <c r="BK3" t="s">
        <v>172</v>
      </c>
      <c r="BL3" t="s">
        <v>226</v>
      </c>
      <c r="BM3" t="s">
        <v>174</v>
      </c>
      <c r="BN3" t="s">
        <v>167</v>
      </c>
      <c r="BO3">
        <v>4.7</v>
      </c>
      <c r="BP3">
        <v>13.85</v>
      </c>
      <c r="BQ3">
        <v>16.18</v>
      </c>
      <c r="BR3">
        <v>7.43</v>
      </c>
      <c r="BS3">
        <v>17.64</v>
      </c>
      <c r="BT3">
        <v>17.03</v>
      </c>
      <c r="BU3" t="s">
        <v>227</v>
      </c>
      <c r="BV3" t="s">
        <v>228</v>
      </c>
      <c r="BW3">
        <v>25.84</v>
      </c>
      <c r="BX3">
        <v>39.31</v>
      </c>
      <c r="BY3">
        <v>35.630000000000003</v>
      </c>
      <c r="BZ3">
        <v>12.94</v>
      </c>
      <c r="CA3">
        <v>21.62</v>
      </c>
      <c r="CB3">
        <v>20.149999999999999</v>
      </c>
      <c r="CC3">
        <v>3.14</v>
      </c>
      <c r="CD3">
        <v>-20.48</v>
      </c>
      <c r="CE3" t="s">
        <v>293</v>
      </c>
      <c r="CF3" t="s">
        <v>294</v>
      </c>
      <c r="CG3" s="20">
        <v>-8.288533685601028E-2</v>
      </c>
      <c r="CH3" s="21">
        <v>0.93134490196078545</v>
      </c>
      <c r="CI3" s="20">
        <v>0.41167020797729492</v>
      </c>
      <c r="CJ3" s="20">
        <v>0.32670453190803528</v>
      </c>
      <c r="CK3" s="20">
        <v>0.2616487443447113</v>
      </c>
      <c r="CL3" s="20">
        <v>0.60575538873672485</v>
      </c>
      <c r="CM3" s="20">
        <v>0.37351778149604797</v>
      </c>
      <c r="CN3" s="21">
        <v>-0.3333333432674408</v>
      </c>
      <c r="CO3" s="21">
        <v>0.42605632543563843</v>
      </c>
      <c r="CP3" s="21">
        <v>0.11811023950576782</v>
      </c>
      <c r="CQ3" s="21">
        <v>0.60759490728378296</v>
      </c>
      <c r="CR3" s="21">
        <v>0.22480620443820953</v>
      </c>
      <c r="CS3">
        <v>3.5887412210845659</v>
      </c>
      <c r="CT3">
        <v>0.67827124194496136</v>
      </c>
      <c r="CU3">
        <v>0.89321965083231847</v>
      </c>
      <c r="CV3" s="20">
        <v>0.39585933089256287</v>
      </c>
      <c r="CW3" s="21">
        <v>0.20864686667919158</v>
      </c>
      <c r="CX3">
        <v>0.06</v>
      </c>
      <c r="CY3">
        <v>23.728118554546651</v>
      </c>
      <c r="CZ3">
        <v>355549074.84999239</v>
      </c>
      <c r="DA3">
        <v>0.39585933089256287</v>
      </c>
      <c r="DB3">
        <v>6.0423754282501498</v>
      </c>
      <c r="DC3">
        <v>1396224167.1638703</v>
      </c>
      <c r="DD3">
        <v>0.37606636434793472</v>
      </c>
      <c r="DE3">
        <v>2.0647487547026691</v>
      </c>
      <c r="DF3">
        <v>4085974422.207552</v>
      </c>
      <c r="DG3">
        <v>0.34835621118545534</v>
      </c>
      <c r="DH3">
        <v>0.78648416608074179</v>
      </c>
      <c r="DI3">
        <v>10726866431.451963</v>
      </c>
      <c r="DJ3">
        <v>0.31668746471405029</v>
      </c>
      <c r="DK3">
        <v>0.13104786483136494</v>
      </c>
      <c r="DL3">
        <v>64377322063.631279</v>
      </c>
      <c r="DM3">
        <v>0.27710153162479401</v>
      </c>
      <c r="DN3">
        <v>270000000</v>
      </c>
      <c r="DO3">
        <v>0.39585933089256287</v>
      </c>
      <c r="DP3">
        <v>8436510600</v>
      </c>
      <c r="DQ3">
        <v>1700730800.0000002</v>
      </c>
      <c r="DR3">
        <v>4105</v>
      </c>
      <c r="DS3">
        <v>-0.47874466774857316</v>
      </c>
      <c r="DT3">
        <v>0.72269803528159393</v>
      </c>
      <c r="DU3" s="22">
        <v>1.0033333333333332</v>
      </c>
      <c r="DV3">
        <v>0.53666666666666663</v>
      </c>
      <c r="DW3">
        <v>1.5399999999999998</v>
      </c>
      <c r="DX3">
        <v>6.1329381879762916</v>
      </c>
      <c r="DY3">
        <v>0.46404298245614117</v>
      </c>
      <c r="DZ3">
        <v>6.0244663405974714</v>
      </c>
      <c r="EA3">
        <v>827</v>
      </c>
      <c r="EB3">
        <v>6.0203919016779972</v>
      </c>
      <c r="EC3">
        <v>6</v>
      </c>
      <c r="ED3">
        <v>5.460548203550198E-2</v>
      </c>
      <c r="EE3">
        <v>0.2966996149854022</v>
      </c>
      <c r="EF3" s="19">
        <v>2.4209999999999999E-2</v>
      </c>
      <c r="EG3">
        <v>2.4173E-2</v>
      </c>
      <c r="EH3">
        <v>28.184042982456141</v>
      </c>
      <c r="EI3" t="s">
        <v>152</v>
      </c>
      <c r="EJ3">
        <v>0</v>
      </c>
      <c r="EK3">
        <v>1</v>
      </c>
      <c r="EL3" s="28">
        <v>45012</v>
      </c>
      <c r="EM3" s="25">
        <v>3.6400000000000002E-2</v>
      </c>
      <c r="EN3" s="25">
        <v>-1.0500000000000001E-2</v>
      </c>
      <c r="EO3" s="25">
        <v>-0.78</v>
      </c>
      <c r="EP3" s="25">
        <v>0.99</v>
      </c>
      <c r="EQ3" s="25">
        <v>3.7000000000000002E-3</v>
      </c>
    </row>
    <row r="4" spans="1:147" ht="183.6" x14ac:dyDescent="0.25">
      <c r="B4" s="3" t="s">
        <v>296</v>
      </c>
      <c r="C4" s="3" t="s">
        <v>297</v>
      </c>
      <c r="D4" s="3" t="s">
        <v>301</v>
      </c>
      <c r="E4" t="s">
        <v>197</v>
      </c>
      <c r="F4" t="s">
        <v>198</v>
      </c>
      <c r="G4">
        <v>18.89</v>
      </c>
      <c r="H4">
        <v>3.9600000000000003E-2</v>
      </c>
      <c r="I4" t="s">
        <v>298</v>
      </c>
      <c r="J4">
        <v>4517765100</v>
      </c>
      <c r="K4">
        <v>20.59</v>
      </c>
      <c r="L4">
        <v>1.9</v>
      </c>
      <c r="M4" t="s">
        <v>199</v>
      </c>
      <c r="N4" t="s">
        <v>229</v>
      </c>
      <c r="O4" t="s">
        <v>230</v>
      </c>
      <c r="P4" t="s">
        <v>231</v>
      </c>
      <c r="Q4">
        <v>10.1</v>
      </c>
      <c r="R4" t="s">
        <v>232</v>
      </c>
      <c r="S4">
        <v>158331080</v>
      </c>
      <c r="T4" s="4">
        <v>0.28120000000000001</v>
      </c>
      <c r="U4" t="s">
        <v>233</v>
      </c>
      <c r="V4">
        <v>207323490</v>
      </c>
      <c r="W4">
        <v>221171320</v>
      </c>
      <c r="X4">
        <v>2.54</v>
      </c>
      <c r="Y4">
        <v>0.49</v>
      </c>
      <c r="Z4">
        <v>6.85</v>
      </c>
      <c r="AA4" t="s">
        <v>234</v>
      </c>
      <c r="AB4" t="s">
        <v>235</v>
      </c>
      <c r="AC4" t="s">
        <v>236</v>
      </c>
      <c r="AD4" t="s">
        <v>180</v>
      </c>
      <c r="AE4" t="s">
        <v>237</v>
      </c>
      <c r="AF4">
        <v>9728210</v>
      </c>
      <c r="AG4" t="s">
        <v>238</v>
      </c>
      <c r="AH4" t="s">
        <v>239</v>
      </c>
      <c r="AI4" t="s">
        <v>240</v>
      </c>
      <c r="AJ4" t="s">
        <v>241</v>
      </c>
      <c r="AK4" t="s">
        <v>242</v>
      </c>
      <c r="AL4" t="s">
        <v>243</v>
      </c>
      <c r="AM4" t="s">
        <v>244</v>
      </c>
      <c r="AN4" t="s">
        <v>7</v>
      </c>
      <c r="AO4" t="s">
        <v>165</v>
      </c>
      <c r="AP4" t="s">
        <v>245</v>
      </c>
      <c r="AQ4" t="s">
        <v>191</v>
      </c>
      <c r="AR4" t="s">
        <v>188</v>
      </c>
      <c r="AS4" t="s">
        <v>7</v>
      </c>
      <c r="AT4" t="s">
        <v>184</v>
      </c>
      <c r="AU4" t="s">
        <v>192</v>
      </c>
      <c r="AV4" t="s">
        <v>168</v>
      </c>
      <c r="AW4" t="s">
        <v>246</v>
      </c>
      <c r="AX4" t="s">
        <v>170</v>
      </c>
      <c r="AY4" t="s">
        <v>247</v>
      </c>
      <c r="AZ4" t="s">
        <v>248</v>
      </c>
      <c r="BA4" t="s">
        <v>249</v>
      </c>
      <c r="BB4" t="s">
        <v>250</v>
      </c>
      <c r="BC4" t="s">
        <v>251</v>
      </c>
      <c r="BD4" t="s">
        <v>252</v>
      </c>
      <c r="BE4" t="s">
        <v>253</v>
      </c>
      <c r="BF4" t="s">
        <v>254</v>
      </c>
      <c r="BG4" t="s">
        <v>255</v>
      </c>
      <c r="BH4" t="s">
        <v>256</v>
      </c>
      <c r="BI4" t="s">
        <v>257</v>
      </c>
      <c r="BJ4" t="s">
        <v>258</v>
      </c>
      <c r="BK4" t="s">
        <v>161</v>
      </c>
      <c r="BL4" t="s">
        <v>179</v>
      </c>
      <c r="BM4" t="s">
        <v>185</v>
      </c>
      <c r="BN4" t="s">
        <v>259</v>
      </c>
      <c r="BO4">
        <v>7.56</v>
      </c>
      <c r="BP4">
        <v>12.18</v>
      </c>
      <c r="BQ4">
        <v>5.43</v>
      </c>
      <c r="BR4">
        <v>10.6</v>
      </c>
      <c r="BS4">
        <v>24.17</v>
      </c>
      <c r="BT4">
        <v>8.23</v>
      </c>
      <c r="BU4" t="s">
        <v>189</v>
      </c>
      <c r="BV4" t="s">
        <v>260</v>
      </c>
      <c r="BW4">
        <v>38.119999999999997</v>
      </c>
      <c r="BX4">
        <v>46.74</v>
      </c>
      <c r="BY4">
        <v>46.47</v>
      </c>
      <c r="BZ4">
        <v>8.42</v>
      </c>
      <c r="CA4">
        <v>11.16</v>
      </c>
      <c r="CB4">
        <v>6.42</v>
      </c>
      <c r="CC4">
        <v>11.97</v>
      </c>
      <c r="CD4">
        <v>-0.16</v>
      </c>
      <c r="CE4" t="s">
        <v>299</v>
      </c>
      <c r="CF4" t="s">
        <v>300</v>
      </c>
      <c r="CG4" s="20">
        <v>8.6993314366998573E-2</v>
      </c>
      <c r="CH4" s="21">
        <v>-0.2916751880751951</v>
      </c>
      <c r="CI4" s="20">
        <v>0.47913455963134766</v>
      </c>
      <c r="CJ4" s="20">
        <v>0.98466253280639648</v>
      </c>
      <c r="CK4" s="20">
        <v>3.2734952867031097E-2</v>
      </c>
      <c r="CL4" s="20">
        <v>0.26604276895523071</v>
      </c>
      <c r="CM4" s="20">
        <v>0.53278690576553345</v>
      </c>
      <c r="CN4" s="21">
        <v>-0.14746543765068054</v>
      </c>
      <c r="CO4" s="21">
        <v>2.4455108642578125</v>
      </c>
      <c r="CP4" s="21">
        <v>9.3584232032299042E-2</v>
      </c>
      <c r="CQ4" s="21">
        <v>-8.3353228867053986E-2</v>
      </c>
      <c r="CR4" s="21">
        <v>4.5660845935344696E-2</v>
      </c>
      <c r="CS4">
        <v>1.573585893416928</v>
      </c>
      <c r="CT4">
        <v>0.44851318684034919</v>
      </c>
      <c r="CU4">
        <v>1.0587612493382741</v>
      </c>
      <c r="CV4" s="20">
        <v>0.45907234400510788</v>
      </c>
      <c r="CW4" s="21">
        <v>0.47078745514154435</v>
      </c>
      <c r="CX4">
        <v>0.06</v>
      </c>
      <c r="CY4">
        <v>22.206078979723767</v>
      </c>
      <c r="CZ4">
        <v>254649418.52919334</v>
      </c>
      <c r="DA4">
        <v>0.45907234400510788</v>
      </c>
      <c r="DB4">
        <v>5.383985187396128</v>
      </c>
      <c r="DC4">
        <v>1050293584.2464362</v>
      </c>
      <c r="DD4">
        <v>0.43611872680485247</v>
      </c>
      <c r="DE4">
        <v>1.7022973502938423</v>
      </c>
      <c r="DF4">
        <v>3321843330.7341409</v>
      </c>
      <c r="DG4">
        <v>0.40398366272449493</v>
      </c>
      <c r="DH4">
        <v>0.58469254366318835</v>
      </c>
      <c r="DI4">
        <v>9671348063.6712589</v>
      </c>
      <c r="DJ4">
        <v>0.36725787520408631</v>
      </c>
      <c r="DK4">
        <v>7.4563719577377452E-2</v>
      </c>
      <c r="DL4">
        <v>75838023264.542847</v>
      </c>
      <c r="DM4">
        <v>0.3213506408035755</v>
      </c>
      <c r="DN4">
        <v>185000000</v>
      </c>
      <c r="DO4">
        <v>0.45907234400510788</v>
      </c>
      <c r="DP4">
        <v>5654765100</v>
      </c>
      <c r="DQ4">
        <v>1030884500</v>
      </c>
      <c r="DR4">
        <v>2219</v>
      </c>
      <c r="DS4">
        <v>-0.37207902963810929</v>
      </c>
      <c r="DT4">
        <v>-0.7624626432167394</v>
      </c>
      <c r="DU4" s="22">
        <v>0.68333333333333324</v>
      </c>
      <c r="DV4">
        <v>0.56999999999999995</v>
      </c>
      <c r="DW4">
        <v>1.2533333333333332</v>
      </c>
      <c r="DX4">
        <v>5.0133667502088555</v>
      </c>
      <c r="DY4">
        <v>0.84617834565376882</v>
      </c>
      <c r="DZ4">
        <v>5.0046272794740689</v>
      </c>
      <c r="EA4">
        <v>1302</v>
      </c>
      <c r="EB4">
        <v>5.0034140861846534</v>
      </c>
      <c r="EC4">
        <v>5</v>
      </c>
      <c r="ED4">
        <v>0.11696272373832195</v>
      </c>
      <c r="EE4">
        <v>0.33786839993539852</v>
      </c>
      <c r="EF4" s="19">
        <v>7.6309999999999989E-2</v>
      </c>
      <c r="EG4">
        <v>7.5914000000000009E-2</v>
      </c>
      <c r="EH4">
        <v>50.346178345653769</v>
      </c>
      <c r="EI4">
        <v>-1</v>
      </c>
      <c r="EJ4">
        <v>1</v>
      </c>
      <c r="EK4">
        <v>1</v>
      </c>
      <c r="EL4" s="28">
        <v>45012</v>
      </c>
      <c r="EM4" s="25">
        <v>4.3299999999999998E-2</v>
      </c>
      <c r="EN4" s="25">
        <v>9.1000000000000004E-3</v>
      </c>
      <c r="EO4" s="25">
        <v>0.17</v>
      </c>
      <c r="EP4" s="25">
        <v>2.14</v>
      </c>
      <c r="EQ4" s="25">
        <v>3.9600000000000003E-2</v>
      </c>
    </row>
    <row r="5" spans="1:147" ht="140.4" x14ac:dyDescent="0.25">
      <c r="B5" s="3"/>
      <c r="C5" s="3"/>
      <c r="D5" s="27" t="s">
        <v>305</v>
      </c>
      <c r="E5" t="s">
        <v>261</v>
      </c>
      <c r="F5" t="s">
        <v>262</v>
      </c>
      <c r="G5">
        <v>37.299999999999997</v>
      </c>
      <c r="H5">
        <v>-1.2999999999999999E-2</v>
      </c>
      <c r="I5" t="s">
        <v>302</v>
      </c>
      <c r="J5">
        <v>2618419400</v>
      </c>
      <c r="K5">
        <v>36.43</v>
      </c>
      <c r="L5">
        <v>1.27</v>
      </c>
      <c r="M5" t="s">
        <v>196</v>
      </c>
      <c r="N5" t="s">
        <v>186</v>
      </c>
      <c r="O5" t="s">
        <v>263</v>
      </c>
      <c r="P5" t="s">
        <v>264</v>
      </c>
      <c r="Q5">
        <v>-25.74</v>
      </c>
      <c r="R5" t="s">
        <v>265</v>
      </c>
      <c r="S5">
        <v>53300000</v>
      </c>
      <c r="T5" s="4">
        <v>-0.50309999999999999</v>
      </c>
      <c r="U5" t="s">
        <v>164</v>
      </c>
      <c r="V5">
        <v>17698912</v>
      </c>
      <c r="W5">
        <v>70565530</v>
      </c>
      <c r="X5">
        <v>1.24</v>
      </c>
      <c r="Y5">
        <v>0.32</v>
      </c>
      <c r="Z5">
        <v>5</v>
      </c>
      <c r="AA5" t="s">
        <v>266</v>
      </c>
      <c r="AB5" t="s">
        <v>182</v>
      </c>
      <c r="AC5" t="s">
        <v>267</v>
      </c>
      <c r="AD5" t="s">
        <v>268</v>
      </c>
      <c r="AE5" t="s">
        <v>269</v>
      </c>
      <c r="AF5">
        <v>-12756140</v>
      </c>
      <c r="AG5" t="s">
        <v>270</v>
      </c>
      <c r="AH5">
        <v>2267.4299999999998</v>
      </c>
      <c r="AI5" t="s">
        <v>271</v>
      </c>
      <c r="AJ5" t="s">
        <v>272</v>
      </c>
      <c r="AK5" t="s">
        <v>273</v>
      </c>
      <c r="AL5" t="s">
        <v>7</v>
      </c>
      <c r="AM5" t="s">
        <v>274</v>
      </c>
      <c r="AN5" t="s">
        <v>7</v>
      </c>
      <c r="AO5" t="s">
        <v>159</v>
      </c>
      <c r="AP5" t="s">
        <v>7</v>
      </c>
      <c r="AQ5" t="s">
        <v>275</v>
      </c>
      <c r="AR5" t="s">
        <v>276</v>
      </c>
      <c r="AS5" t="s">
        <v>7</v>
      </c>
      <c r="AT5" t="s">
        <v>190</v>
      </c>
      <c r="AU5" t="s">
        <v>7</v>
      </c>
      <c r="AV5" t="s">
        <v>277</v>
      </c>
      <c r="AW5" t="s">
        <v>178</v>
      </c>
      <c r="AX5" t="s">
        <v>278</v>
      </c>
      <c r="AY5" t="s">
        <v>171</v>
      </c>
      <c r="AZ5" t="s">
        <v>162</v>
      </c>
      <c r="BA5" t="s">
        <v>279</v>
      </c>
      <c r="BB5" t="s">
        <v>280</v>
      </c>
      <c r="BC5" t="s">
        <v>281</v>
      </c>
      <c r="BD5" t="s">
        <v>181</v>
      </c>
      <c r="BE5" t="s">
        <v>193</v>
      </c>
      <c r="BF5" t="s">
        <v>160</v>
      </c>
      <c r="BG5" t="s">
        <v>187</v>
      </c>
      <c r="BH5" t="s">
        <v>282</v>
      </c>
      <c r="BI5" t="s">
        <v>283</v>
      </c>
      <c r="BJ5" t="s">
        <v>284</v>
      </c>
      <c r="BK5" t="s">
        <v>285</v>
      </c>
      <c r="BL5" t="s">
        <v>286</v>
      </c>
      <c r="BM5" t="s">
        <v>287</v>
      </c>
      <c r="BN5" t="s">
        <v>288</v>
      </c>
      <c r="BO5">
        <v>5.55</v>
      </c>
      <c r="BP5">
        <v>12.03</v>
      </c>
      <c r="BQ5">
        <v>30.04</v>
      </c>
      <c r="BR5">
        <v>5.82</v>
      </c>
      <c r="BS5">
        <v>12.83</v>
      </c>
      <c r="BT5">
        <v>35.270000000000003</v>
      </c>
      <c r="BU5" t="s">
        <v>289</v>
      </c>
      <c r="BV5" t="s">
        <v>228</v>
      </c>
      <c r="BW5">
        <v>19.16</v>
      </c>
      <c r="BX5">
        <v>31.64</v>
      </c>
      <c r="BY5">
        <v>37</v>
      </c>
      <c r="BZ5">
        <v>5.49</v>
      </c>
      <c r="CA5">
        <v>13.56</v>
      </c>
      <c r="CB5">
        <v>17.670000000000002</v>
      </c>
      <c r="CC5">
        <v>0.46</v>
      </c>
      <c r="CD5">
        <v>-7.93</v>
      </c>
      <c r="CE5" t="s">
        <v>303</v>
      </c>
      <c r="CF5" t="s">
        <v>304</v>
      </c>
      <c r="CG5" s="20">
        <v>-0.36345529832935564</v>
      </c>
      <c r="CH5" s="21">
        <v>-0.31748473259656479</v>
      </c>
      <c r="CI5" s="20">
        <v>0.35062894225120544</v>
      </c>
      <c r="CJ5" s="20">
        <v>4.0916528552770615E-2</v>
      </c>
      <c r="CK5" s="20">
        <v>7.2870880365371704E-2</v>
      </c>
      <c r="CL5" s="20">
        <v>0.36734700202941895</v>
      </c>
      <c r="CM5" s="20">
        <v>0.47433629631996155</v>
      </c>
      <c r="CN5" s="21">
        <v>-0.32369941473007202</v>
      </c>
      <c r="CO5" s="21">
        <v>-0.19907407462596893</v>
      </c>
      <c r="CP5" s="21">
        <v>-0.17241379618644714</v>
      </c>
      <c r="CQ5" s="21">
        <v>0.77551019191741943</v>
      </c>
      <c r="CR5" s="21">
        <v>-9.8159506916999817E-2</v>
      </c>
      <c r="CS5">
        <v>1.5241090803259605</v>
      </c>
      <c r="CT5">
        <v>1.3946102815900658</v>
      </c>
      <c r="CU5">
        <v>1.3297587131367292</v>
      </c>
      <c r="CV5" s="20">
        <v>0.26121992990374565</v>
      </c>
      <c r="CW5" s="21">
        <v>-3.5673201084136961E-3</v>
      </c>
      <c r="CX5">
        <v>0.06</v>
      </c>
      <c r="CY5">
        <v>7.4450001745589391</v>
      </c>
      <c r="CZ5">
        <v>139210124.33843228</v>
      </c>
      <c r="DA5">
        <v>0.26121992990374565</v>
      </c>
      <c r="DB5">
        <v>2.1107837655852282</v>
      </c>
      <c r="DC5">
        <v>491011640.74598908</v>
      </c>
      <c r="DD5">
        <v>0.24815893340855835</v>
      </c>
      <c r="DE5">
        <v>0.84988072408330906</v>
      </c>
      <c r="DF5">
        <v>1219488065.3610466</v>
      </c>
      <c r="DG5">
        <v>0.22987353831529617</v>
      </c>
      <c r="DH5">
        <v>0.40058349048603958</v>
      </c>
      <c r="DI5">
        <v>2587274375.0434704</v>
      </c>
      <c r="DJ5">
        <v>0.20897594392299654</v>
      </c>
      <c r="DK5">
        <v>0.11552411766281229</v>
      </c>
      <c r="DL5">
        <v>8971454800.676897</v>
      </c>
      <c r="DM5">
        <v>0.18285395093262194</v>
      </c>
      <c r="DN5">
        <v>117000000</v>
      </c>
      <c r="DO5">
        <v>0.26121992990374565</v>
      </c>
      <c r="DP5">
        <v>1036419400</v>
      </c>
      <c r="DQ5">
        <v>1150508600</v>
      </c>
      <c r="DR5">
        <v>4413</v>
      </c>
      <c r="DS5">
        <v>-0.62467522823310129</v>
      </c>
      <c r="DT5">
        <v>-0.31391741248815108</v>
      </c>
      <c r="DU5" s="22">
        <v>0.1633333333333333</v>
      </c>
      <c r="DV5">
        <v>-0.4366666666666667</v>
      </c>
      <c r="DW5">
        <v>-0.27333333333333343</v>
      </c>
      <c r="DX5">
        <v>-2.0792999999999999</v>
      </c>
      <c r="DY5">
        <v>0.34837073918721884</v>
      </c>
      <c r="DZ5">
        <v>-2.0085937996175467</v>
      </c>
      <c r="EA5">
        <v>3672</v>
      </c>
      <c r="EB5">
        <v>-2.0022393025986922</v>
      </c>
      <c r="EC5">
        <v>2</v>
      </c>
      <c r="ED5">
        <v>3.4453082120973227E-2</v>
      </c>
      <c r="EE5">
        <v>0.31791867785872224</v>
      </c>
      <c r="EF5" s="19">
        <v>0.11500999999999999</v>
      </c>
      <c r="EG5">
        <v>0.11514000000000001</v>
      </c>
      <c r="EH5">
        <v>24.108370739187219</v>
      </c>
      <c r="EI5">
        <v>-1</v>
      </c>
      <c r="EJ5">
        <v>0</v>
      </c>
      <c r="EK5">
        <v>0</v>
      </c>
      <c r="EL5" s="28">
        <v>45012</v>
      </c>
      <c r="EM5" s="25">
        <v>1.5599999999999999E-2</v>
      </c>
      <c r="EN5" s="25">
        <v>1.38E-2</v>
      </c>
      <c r="EO5" s="25">
        <v>-0.78</v>
      </c>
      <c r="EP5" s="25">
        <v>-0.37</v>
      </c>
      <c r="EQ5" s="25">
        <v>-1.2999999999999999E-2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5546875" customWidth="1"/>
    <col min="19" max="19" width="12.88671875" customWidth="1"/>
  </cols>
  <sheetData>
    <row r="1" spans="1:32" s="7" customFormat="1" ht="57.6" x14ac:dyDescent="0.25">
      <c r="A1" s="6" t="s">
        <v>32</v>
      </c>
      <c r="B1" s="7" t="s">
        <v>36</v>
      </c>
      <c r="C1" s="7" t="s">
        <v>33</v>
      </c>
      <c r="D1" s="7" t="s">
        <v>37</v>
      </c>
      <c r="E1" s="8" t="s">
        <v>34</v>
      </c>
      <c r="F1" s="8" t="s">
        <v>35</v>
      </c>
      <c r="G1" s="8" t="s">
        <v>43</v>
      </c>
      <c r="H1" s="8" t="s">
        <v>38</v>
      </c>
      <c r="I1" s="8" t="s">
        <v>39</v>
      </c>
      <c r="J1" s="8" t="s">
        <v>40</v>
      </c>
      <c r="K1" s="8" t="s">
        <v>41</v>
      </c>
      <c r="L1" s="7" t="s">
        <v>42</v>
      </c>
      <c r="M1" s="7" t="s">
        <v>44</v>
      </c>
      <c r="N1" s="7" t="s">
        <v>45</v>
      </c>
      <c r="O1" s="7" t="s">
        <v>46</v>
      </c>
      <c r="P1" s="7" t="s">
        <v>47</v>
      </c>
      <c r="Q1" s="7" t="s">
        <v>48</v>
      </c>
      <c r="R1" s="11" t="s">
        <v>49</v>
      </c>
      <c r="S1" s="7" t="s">
        <v>50</v>
      </c>
      <c r="T1" s="7" t="s">
        <v>51</v>
      </c>
      <c r="U1" s="7" t="s">
        <v>52</v>
      </c>
      <c r="V1" s="7" t="s">
        <v>53</v>
      </c>
      <c r="W1" s="7" t="s">
        <v>54</v>
      </c>
      <c r="X1" s="7" t="s">
        <v>55</v>
      </c>
      <c r="Y1" s="7" t="s">
        <v>56</v>
      </c>
      <c r="Z1" s="7" t="s">
        <v>57</v>
      </c>
      <c r="AA1" s="7" t="s">
        <v>58</v>
      </c>
      <c r="AB1" s="7" t="s">
        <v>59</v>
      </c>
      <c r="AC1" s="7" t="s">
        <v>60</v>
      </c>
      <c r="AD1" s="15" t="s">
        <v>61</v>
      </c>
      <c r="AE1" s="7" t="s">
        <v>62</v>
      </c>
      <c r="AF1" s="7" t="s">
        <v>63</v>
      </c>
    </row>
    <row r="2" spans="1:32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电控办公设备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