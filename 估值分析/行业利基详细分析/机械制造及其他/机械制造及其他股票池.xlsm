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embeddings/oleObject1.bin" ContentType="application/vnd.openxmlformats-officedocument.oleObject"/>
  <Override PartName="/xl/embeddings/oleObject2.bin" ContentType="application/vnd.openxmlformats-officedocument.oleObject"/>
  <Override PartName="/xl/embeddings/oleObject3.bin" ContentType="application/vnd.openxmlformats-officedocument.oleObject"/>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saveExternalLinkValues="0" codeName="ThisWorkbook"/>
  <mc:AlternateContent xmlns:mc="http://schemas.openxmlformats.org/markup-compatibility/2006">
    <mc:Choice Requires="x15">
      <x15ac:absPath xmlns:x15ac="http://schemas.microsoft.com/office/spreadsheetml/2010/11/ac" url="D:\88 HXF\value-investment\估值分析\行业利基详细分析\机械制造及其他\"/>
    </mc:Choice>
  </mc:AlternateContent>
  <bookViews>
    <workbookView xWindow="-108" yWindow="-108" windowWidth="20268" windowHeight="9132"/>
  </bookViews>
  <sheets>
    <sheet name="自行车及电动车" sheetId="45" r:id="rId1"/>
    <sheet name="公司价值折现" sheetId="42" r:id="rId2"/>
    <sheet name="基本面模型" sheetId="23" r:id="rId3"/>
  </sheets>
  <functionGroups builtInGroupCount="18"/>
  <calcPr calcId="15251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X2" i="42" l="1"/>
  <c r="Y2" i="42"/>
  <c r="AC5" i="42" l="1"/>
  <c r="AE5" i="42" s="1"/>
  <c r="AC6" i="42"/>
  <c r="AE6" i="42" s="1"/>
  <c r="AE7" i="42"/>
  <c r="AC8" i="42"/>
  <c r="W2" i="42"/>
  <c r="AC4" i="42" l="1"/>
  <c r="AC9" i="42"/>
  <c r="AE8" i="42"/>
  <c r="AC3" i="42" l="1"/>
  <c r="AE4" i="42"/>
  <c r="AC10" i="42"/>
  <c r="AE9" i="42"/>
  <c r="D2" i="42"/>
  <c r="AC2" i="42" l="1"/>
  <c r="AE2" i="42" s="1"/>
  <c r="AE3" i="42"/>
  <c r="AC11" i="42"/>
  <c r="AE10" i="42"/>
  <c r="Q201" i="42"/>
  <c r="Q106" i="42"/>
  <c r="Q110" i="42"/>
  <c r="Q114" i="42"/>
  <c r="Q118" i="42"/>
  <c r="Q122" i="42"/>
  <c r="Q126" i="42"/>
  <c r="Q130" i="42"/>
  <c r="Q134" i="42"/>
  <c r="Q138" i="42"/>
  <c r="Q142" i="42"/>
  <c r="Q146" i="42"/>
  <c r="Q150" i="42"/>
  <c r="Q154" i="42"/>
  <c r="Q158" i="42"/>
  <c r="Q162" i="42"/>
  <c r="Q166" i="42"/>
  <c r="Q170" i="42"/>
  <c r="Q174" i="42"/>
  <c r="Q178" i="42"/>
  <c r="Q182" i="42"/>
  <c r="Q186" i="42"/>
  <c r="Q190" i="42"/>
  <c r="Q194" i="42"/>
  <c r="Q198" i="42"/>
  <c r="Q131" i="42"/>
  <c r="Q143" i="42"/>
  <c r="Q155" i="42"/>
  <c r="Q163" i="42"/>
  <c r="Q175" i="42"/>
  <c r="Q187" i="42"/>
  <c r="Q195" i="42"/>
  <c r="Q102" i="42"/>
  <c r="Q103" i="42"/>
  <c r="Q108" i="42"/>
  <c r="Q112" i="42"/>
  <c r="Q116" i="42"/>
  <c r="Q120" i="42"/>
  <c r="Q124" i="42"/>
  <c r="Q128" i="42"/>
  <c r="Q132" i="42"/>
  <c r="Q136" i="42"/>
  <c r="Q140" i="42"/>
  <c r="Q144" i="42"/>
  <c r="Q148" i="42"/>
  <c r="Q152" i="42"/>
  <c r="Q156" i="42"/>
  <c r="Q160" i="42"/>
  <c r="Q164" i="42"/>
  <c r="Q168" i="42"/>
  <c r="Q172" i="42"/>
  <c r="Q176" i="42"/>
  <c r="Q180" i="42"/>
  <c r="Q184" i="42"/>
  <c r="Q188" i="42"/>
  <c r="Q192" i="42"/>
  <c r="Q196" i="42"/>
  <c r="Q200" i="42"/>
  <c r="Q123" i="42"/>
  <c r="Q135" i="42"/>
  <c r="Q147" i="42"/>
  <c r="Q159" i="42"/>
  <c r="Q171" i="42"/>
  <c r="Q183" i="42"/>
  <c r="Q191" i="42"/>
  <c r="Q105" i="42"/>
  <c r="Q109" i="42"/>
  <c r="Q113" i="42"/>
  <c r="Q117" i="42"/>
  <c r="Q121" i="42"/>
  <c r="Q125" i="42"/>
  <c r="Q129" i="42"/>
  <c r="Q133" i="42"/>
  <c r="Q137" i="42"/>
  <c r="Q141" i="42"/>
  <c r="Q145" i="42"/>
  <c r="Q149" i="42"/>
  <c r="Q153" i="42"/>
  <c r="Q157" i="42"/>
  <c r="Q161" i="42"/>
  <c r="Q165" i="42"/>
  <c r="Q169" i="42"/>
  <c r="Q173" i="42"/>
  <c r="Q177" i="42"/>
  <c r="Q181" i="42"/>
  <c r="Q185" i="42"/>
  <c r="Q189" i="42"/>
  <c r="Q193" i="42"/>
  <c r="Q197" i="42"/>
  <c r="Q104" i="42"/>
  <c r="Q107" i="42"/>
  <c r="Q111" i="42"/>
  <c r="Q115" i="42"/>
  <c r="Q119" i="42"/>
  <c r="Q127" i="42"/>
  <c r="Q139" i="42"/>
  <c r="Q151" i="42"/>
  <c r="Q167" i="42"/>
  <c r="Q179" i="42"/>
  <c r="Q199" i="42"/>
  <c r="AC12" i="42" l="1"/>
  <c r="AE11" i="42"/>
  <c r="S2" i="42"/>
  <c r="AB2" i="42" l="1"/>
  <c r="AF2" i="42" s="1"/>
  <c r="Z2" i="42"/>
  <c r="AC13" i="42"/>
  <c r="AE12" i="42"/>
  <c r="S3" i="42"/>
  <c r="Z3" i="42" s="1"/>
  <c r="R2" i="42"/>
  <c r="G2" i="42"/>
  <c r="L2" i="42"/>
  <c r="V2" i="42" l="1"/>
  <c r="AC14" i="42"/>
  <c r="AE13" i="42"/>
  <c r="S4" i="42"/>
  <c r="AB3" i="42"/>
  <c r="AF3" i="42" s="1"/>
  <c r="R3" i="42"/>
  <c r="V3" i="42" s="1"/>
  <c r="W3" i="42" s="1"/>
  <c r="Q55" i="42"/>
  <c r="Q59" i="42"/>
  <c r="Q63" i="42"/>
  <c r="Q66" i="42"/>
  <c r="Q73" i="42"/>
  <c r="Q77" i="42"/>
  <c r="Q81" i="42"/>
  <c r="Q85" i="42"/>
  <c r="Q89" i="42"/>
  <c r="Q93" i="42"/>
  <c r="Q97" i="42"/>
  <c r="Q101" i="42"/>
  <c r="Q58" i="42"/>
  <c r="Q76" i="42"/>
  <c r="Q88" i="42"/>
  <c r="Q100" i="42"/>
  <c r="Q56" i="42"/>
  <c r="Q60" i="42"/>
  <c r="Q64" i="42"/>
  <c r="Q67" i="42"/>
  <c r="Q70" i="42"/>
  <c r="Q74" i="42"/>
  <c r="Q78" i="42"/>
  <c r="Q82" i="42"/>
  <c r="Q86" i="42"/>
  <c r="Q90" i="42"/>
  <c r="Q94" i="42"/>
  <c r="Q98" i="42"/>
  <c r="Q54" i="42"/>
  <c r="Q62" i="42"/>
  <c r="Q69" i="42"/>
  <c r="Q80" i="42"/>
  <c r="Q92" i="42"/>
  <c r="Q53" i="42"/>
  <c r="Q57" i="42"/>
  <c r="Q61" i="42"/>
  <c r="Q65" i="42"/>
  <c r="Q68" i="42"/>
  <c r="Q71" i="42"/>
  <c r="Q75" i="42"/>
  <c r="Q79" i="42"/>
  <c r="Q83" i="42"/>
  <c r="Q87" i="42"/>
  <c r="Q91" i="42"/>
  <c r="Q95" i="42"/>
  <c r="Q99" i="42"/>
  <c r="Q52" i="42"/>
  <c r="Q72" i="42"/>
  <c r="Q84" i="42"/>
  <c r="Q96" i="42"/>
  <c r="B3" i="42"/>
  <c r="Q13" i="42"/>
  <c r="Q25" i="42"/>
  <c r="Q37" i="42"/>
  <c r="Q49" i="42"/>
  <c r="Q26" i="42"/>
  <c r="Q38" i="42"/>
  <c r="Q50" i="42"/>
  <c r="Q15" i="42"/>
  <c r="Q39" i="42"/>
  <c r="Q28" i="42"/>
  <c r="Q40" i="42"/>
  <c r="Q5" i="42"/>
  <c r="Q29" i="42"/>
  <c r="Q6" i="42"/>
  <c r="Q30" i="42"/>
  <c r="Q43" i="42"/>
  <c r="Q8" i="42"/>
  <c r="Q44" i="42"/>
  <c r="Q21" i="42"/>
  <c r="Q45" i="42"/>
  <c r="Q22" i="42"/>
  <c r="Q35" i="42"/>
  <c r="Q36" i="42"/>
  <c r="Q14" i="42"/>
  <c r="Q27" i="42"/>
  <c r="Q51" i="42"/>
  <c r="Q4" i="42"/>
  <c r="Q17" i="42"/>
  <c r="Q3" i="42"/>
  <c r="Q18" i="42"/>
  <c r="Q42" i="42"/>
  <c r="Q7" i="42"/>
  <c r="Q19" i="42"/>
  <c r="Q31" i="42"/>
  <c r="Q32" i="42"/>
  <c r="Q9" i="42"/>
  <c r="Q33" i="42"/>
  <c r="Q10" i="42"/>
  <c r="Q46" i="42"/>
  <c r="Q23" i="42"/>
  <c r="Q24" i="42"/>
  <c r="Q16" i="42"/>
  <c r="Q41" i="42"/>
  <c r="Q20" i="42"/>
  <c r="Q34" i="42"/>
  <c r="Q11" i="42"/>
  <c r="Q47" i="42"/>
  <c r="Q12" i="42"/>
  <c r="Q48" i="42"/>
  <c r="D3" i="42"/>
  <c r="R4" i="42" l="1"/>
  <c r="V4" i="42" s="1"/>
  <c r="W4" i="42" s="1"/>
  <c r="Z4" i="42"/>
  <c r="AC15" i="42"/>
  <c r="AE14" i="42"/>
  <c r="S5" i="42"/>
  <c r="AB4" i="42"/>
  <c r="AF4" i="42" s="1"/>
  <c r="D4" i="42"/>
  <c r="B4" i="42"/>
  <c r="AB5" i="42" l="1"/>
  <c r="AF5" i="42" s="1"/>
  <c r="Z5" i="42"/>
  <c r="AC16" i="42"/>
  <c r="AE15" i="42"/>
  <c r="S6" i="42"/>
  <c r="R5" i="42"/>
  <c r="D5" i="42"/>
  <c r="D6" i="42" s="1"/>
  <c r="D7" i="42" s="1"/>
  <c r="D8" i="42" s="1"/>
  <c r="D9" i="42" s="1"/>
  <c r="D10" i="42" s="1"/>
  <c r="D11" i="42" s="1"/>
  <c r="D12" i="42" s="1"/>
  <c r="D13" i="42" s="1"/>
  <c r="D14" i="42" s="1"/>
  <c r="D15" i="42" s="1"/>
  <c r="D16" i="42" s="1"/>
  <c r="D17" i="42" s="1"/>
  <c r="D18" i="42" s="1"/>
  <c r="D19" i="42" s="1"/>
  <c r="D20" i="42" s="1"/>
  <c r="D21" i="42" s="1"/>
  <c r="D22" i="42" s="1"/>
  <c r="D23" i="42" s="1"/>
  <c r="D24" i="42" s="1"/>
  <c r="D25" i="42" s="1"/>
  <c r="D26" i="42" s="1"/>
  <c r="D27" i="42" s="1"/>
  <c r="D28" i="42" s="1"/>
  <c r="D29" i="42" s="1"/>
  <c r="D30" i="42" s="1"/>
  <c r="D31" i="42" s="1"/>
  <c r="D32" i="42" s="1"/>
  <c r="D33" i="42" s="1"/>
  <c r="D34" i="42" s="1"/>
  <c r="D35" i="42" s="1"/>
  <c r="D36" i="42" s="1"/>
  <c r="D37" i="42" s="1"/>
  <c r="D38" i="42" s="1"/>
  <c r="D39" i="42" s="1"/>
  <c r="D40" i="42" s="1"/>
  <c r="D41" i="42" s="1"/>
  <c r="D42" i="42" s="1"/>
  <c r="D43" i="42" s="1"/>
  <c r="D44" i="42" s="1"/>
  <c r="D45" i="42" s="1"/>
  <c r="D46" i="42" s="1"/>
  <c r="D47" i="42" s="1"/>
  <c r="D48" i="42" s="1"/>
  <c r="D49" i="42" s="1"/>
  <c r="D50" i="42" s="1"/>
  <c r="D51" i="42" s="1"/>
  <c r="D52" i="42" s="1"/>
  <c r="D53" i="42" s="1"/>
  <c r="D54" i="42" s="1"/>
  <c r="D55" i="42" s="1"/>
  <c r="D56" i="42" s="1"/>
  <c r="D57" i="42" s="1"/>
  <c r="D58" i="42" s="1"/>
  <c r="D59" i="42" s="1"/>
  <c r="D60" i="42" s="1"/>
  <c r="D61" i="42" s="1"/>
  <c r="D62" i="42" s="1"/>
  <c r="D63" i="42" s="1"/>
  <c r="D64" i="42" s="1"/>
  <c r="D65" i="42" s="1"/>
  <c r="D66" i="42" s="1"/>
  <c r="D67" i="42" s="1"/>
  <c r="D68" i="42" s="1"/>
  <c r="D69" i="42" s="1"/>
  <c r="D70" i="42" s="1"/>
  <c r="D71" i="42" s="1"/>
  <c r="D72" i="42" s="1"/>
  <c r="D73" i="42" s="1"/>
  <c r="D74" i="42" s="1"/>
  <c r="D75" i="42" s="1"/>
  <c r="D76" i="42" s="1"/>
  <c r="D77" i="42" s="1"/>
  <c r="D78" i="42" s="1"/>
  <c r="D79" i="42" s="1"/>
  <c r="D80" i="42" s="1"/>
  <c r="D81" i="42" s="1"/>
  <c r="D82" i="42" s="1"/>
  <c r="D83" i="42" s="1"/>
  <c r="D84" i="42" s="1"/>
  <c r="D85" i="42" s="1"/>
  <c r="D86" i="42" s="1"/>
  <c r="D87" i="42" s="1"/>
  <c r="D88" i="42" s="1"/>
  <c r="D89" i="42" s="1"/>
  <c r="D90" i="42" s="1"/>
  <c r="D91" i="42" s="1"/>
  <c r="D92" i="42" s="1"/>
  <c r="D93" i="42" s="1"/>
  <c r="D94" i="42" s="1"/>
  <c r="D95" i="42" s="1"/>
  <c r="D96" i="42" s="1"/>
  <c r="D97" i="42" s="1"/>
  <c r="D98" i="42" s="1"/>
  <c r="D99" i="42" s="1"/>
  <c r="D100" i="42" s="1"/>
  <c r="D101" i="42" s="1"/>
  <c r="D102" i="42" s="1"/>
  <c r="D103" i="42" s="1"/>
  <c r="D104" i="42" s="1"/>
  <c r="D105" i="42" s="1"/>
  <c r="D106" i="42" s="1"/>
  <c r="D107" i="42" s="1"/>
  <c r="D108" i="42" s="1"/>
  <c r="D109" i="42" s="1"/>
  <c r="D110" i="42" s="1"/>
  <c r="D111" i="42" s="1"/>
  <c r="D112" i="42" s="1"/>
  <c r="D113" i="42" s="1"/>
  <c r="D114" i="42" s="1"/>
  <c r="D115" i="42" s="1"/>
  <c r="D116" i="42" s="1"/>
  <c r="D117" i="42" s="1"/>
  <c r="D118" i="42" s="1"/>
  <c r="D119" i="42" s="1"/>
  <c r="D120" i="42" s="1"/>
  <c r="D121" i="42" s="1"/>
  <c r="D122" i="42" s="1"/>
  <c r="D123" i="42" s="1"/>
  <c r="D124" i="42" s="1"/>
  <c r="D125" i="42" s="1"/>
  <c r="D126" i="42" s="1"/>
  <c r="D127" i="42" s="1"/>
  <c r="D128" i="42" s="1"/>
  <c r="D129" i="42" s="1"/>
  <c r="D130" i="42" s="1"/>
  <c r="D131" i="42" s="1"/>
  <c r="D132" i="42" s="1"/>
  <c r="D133" i="42" s="1"/>
  <c r="D134" i="42" s="1"/>
  <c r="D135" i="42" s="1"/>
  <c r="D136" i="42" s="1"/>
  <c r="D137" i="42" s="1"/>
  <c r="D138" i="42" s="1"/>
  <c r="D139" i="42" s="1"/>
  <c r="D140" i="42" s="1"/>
  <c r="D141" i="42" s="1"/>
  <c r="D142" i="42" s="1"/>
  <c r="D143" i="42" s="1"/>
  <c r="D144" i="42" s="1"/>
  <c r="D145" i="42" s="1"/>
  <c r="D146" i="42" s="1"/>
  <c r="D147" i="42" s="1"/>
  <c r="D148" i="42" s="1"/>
  <c r="D149" i="42" s="1"/>
  <c r="D150" i="42" s="1"/>
  <c r="D151" i="42" s="1"/>
  <c r="D152" i="42" s="1"/>
  <c r="D153" i="42" s="1"/>
  <c r="D154" i="42" s="1"/>
  <c r="D155" i="42" s="1"/>
  <c r="D156" i="42" s="1"/>
  <c r="D157" i="42" s="1"/>
  <c r="D158" i="42" s="1"/>
  <c r="D159" i="42" s="1"/>
  <c r="D160" i="42" s="1"/>
  <c r="D161" i="42" s="1"/>
  <c r="D162" i="42" s="1"/>
  <c r="D163" i="42" s="1"/>
  <c r="D164" i="42" s="1"/>
  <c r="D165" i="42" s="1"/>
  <c r="D166" i="42" s="1"/>
  <c r="D167" i="42" s="1"/>
  <c r="D168" i="42" s="1"/>
  <c r="D169" i="42" s="1"/>
  <c r="D170" i="42" s="1"/>
  <c r="D171" i="42" s="1"/>
  <c r="D172" i="42" s="1"/>
  <c r="D173" i="42" s="1"/>
  <c r="D174" i="42" s="1"/>
  <c r="D175" i="42" s="1"/>
  <c r="D176" i="42" s="1"/>
  <c r="D177" i="42" s="1"/>
  <c r="D178" i="42" s="1"/>
  <c r="D179" i="42" s="1"/>
  <c r="D180" i="42" s="1"/>
  <c r="D181" i="42" s="1"/>
  <c r="D182" i="42" s="1"/>
  <c r="D183" i="42" s="1"/>
  <c r="D184" i="42" s="1"/>
  <c r="D185" i="42" s="1"/>
  <c r="D186" i="42" s="1"/>
  <c r="D187" i="42" s="1"/>
  <c r="D188" i="42" s="1"/>
  <c r="D189" i="42" s="1"/>
  <c r="D190" i="42" s="1"/>
  <c r="D191" i="42" s="1"/>
  <c r="D192" i="42" s="1"/>
  <c r="D193" i="42" s="1"/>
  <c r="D194" i="42" s="1"/>
  <c r="D195" i="42" s="1"/>
  <c r="D196" i="42" s="1"/>
  <c r="D197" i="42" s="1"/>
  <c r="D198" i="42" s="1"/>
  <c r="D199" i="42" s="1"/>
  <c r="D200" i="42" s="1"/>
  <c r="D201" i="42" s="1"/>
  <c r="B5" i="42"/>
  <c r="B6" i="42" s="1"/>
  <c r="B7" i="42" s="1"/>
  <c r="B8" i="42" s="1"/>
  <c r="B9" i="42" s="1"/>
  <c r="B10" i="42" s="1"/>
  <c r="B11" i="42" s="1"/>
  <c r="B12" i="42" s="1"/>
  <c r="B13" i="42" s="1"/>
  <c r="B14" i="42" s="1"/>
  <c r="B15" i="42" s="1"/>
  <c r="B16" i="42" s="1"/>
  <c r="B17" i="42" s="1"/>
  <c r="B18" i="42" s="1"/>
  <c r="B19" i="42" s="1"/>
  <c r="B20" i="42" s="1"/>
  <c r="B21" i="42" s="1"/>
  <c r="B22" i="42" s="1"/>
  <c r="B23" i="42" s="1"/>
  <c r="B24" i="42" s="1"/>
  <c r="B25" i="42" s="1"/>
  <c r="B26" i="42" s="1"/>
  <c r="B27" i="42" s="1"/>
  <c r="B28" i="42" s="1"/>
  <c r="B29" i="42" s="1"/>
  <c r="B30" i="42" s="1"/>
  <c r="B31" i="42" s="1"/>
  <c r="B32" i="42" s="1"/>
  <c r="B33" i="42" s="1"/>
  <c r="B34" i="42" s="1"/>
  <c r="B35" i="42" s="1"/>
  <c r="B36" i="42" s="1"/>
  <c r="B37" i="42" s="1"/>
  <c r="B38" i="42" s="1"/>
  <c r="B39" i="42" s="1"/>
  <c r="B40" i="42" s="1"/>
  <c r="B41" i="42" s="1"/>
  <c r="B42" i="42" s="1"/>
  <c r="B43" i="42" s="1"/>
  <c r="B44" i="42" s="1"/>
  <c r="B45" i="42" s="1"/>
  <c r="B46" i="42" s="1"/>
  <c r="B47" i="42" s="1"/>
  <c r="B48" i="42" s="1"/>
  <c r="B49" i="42" s="1"/>
  <c r="B50" i="42" s="1"/>
  <c r="B51" i="42" s="1"/>
  <c r="B52" i="42" s="1"/>
  <c r="B53" i="42" s="1"/>
  <c r="B54" i="42" s="1"/>
  <c r="B55" i="42" s="1"/>
  <c r="B56" i="42" s="1"/>
  <c r="B57" i="42" s="1"/>
  <c r="B58" i="42" s="1"/>
  <c r="B59" i="42" s="1"/>
  <c r="B60" i="42" s="1"/>
  <c r="B61" i="42" s="1"/>
  <c r="B62" i="42" s="1"/>
  <c r="B63" i="42" s="1"/>
  <c r="B64" i="42" s="1"/>
  <c r="B65" i="42" s="1"/>
  <c r="B66" i="42" s="1"/>
  <c r="B67" i="42" s="1"/>
  <c r="B68" i="42" s="1"/>
  <c r="B69" i="42" s="1"/>
  <c r="B70" i="42" s="1"/>
  <c r="B71" i="42" s="1"/>
  <c r="B72" i="42" s="1"/>
  <c r="B73" i="42" s="1"/>
  <c r="B74" i="42" s="1"/>
  <c r="B75" i="42" s="1"/>
  <c r="B76" i="42" s="1"/>
  <c r="B77" i="42" s="1"/>
  <c r="B78" i="42" s="1"/>
  <c r="B79" i="42" s="1"/>
  <c r="B80" i="42" s="1"/>
  <c r="B81" i="42" s="1"/>
  <c r="B82" i="42" s="1"/>
  <c r="B83" i="42" s="1"/>
  <c r="B84" i="42" s="1"/>
  <c r="B85" i="42" s="1"/>
  <c r="B86" i="42" s="1"/>
  <c r="B87" i="42" s="1"/>
  <c r="B88" i="42" s="1"/>
  <c r="B89" i="42" s="1"/>
  <c r="B90" i="42" s="1"/>
  <c r="B91" i="42" s="1"/>
  <c r="B92" i="42" s="1"/>
  <c r="B93" i="42" s="1"/>
  <c r="B94" i="42" s="1"/>
  <c r="B95" i="42" s="1"/>
  <c r="B96" i="42" s="1"/>
  <c r="B97" i="42" s="1"/>
  <c r="B98" i="42" s="1"/>
  <c r="B99" i="42" s="1"/>
  <c r="B100" i="42" s="1"/>
  <c r="B101" i="42" s="1"/>
  <c r="B102" i="42" s="1"/>
  <c r="B103" i="42" s="1"/>
  <c r="B104" i="42" s="1"/>
  <c r="B105" i="42" s="1"/>
  <c r="B106" i="42" s="1"/>
  <c r="B107" i="42" s="1"/>
  <c r="B108" i="42" s="1"/>
  <c r="B109" i="42" s="1"/>
  <c r="B110" i="42" s="1"/>
  <c r="B111" i="42" s="1"/>
  <c r="B112" i="42" s="1"/>
  <c r="B113" i="42" s="1"/>
  <c r="B114" i="42" s="1"/>
  <c r="B115" i="42" s="1"/>
  <c r="B116" i="42" s="1"/>
  <c r="B117" i="42" s="1"/>
  <c r="B118" i="42" s="1"/>
  <c r="B119" i="42" s="1"/>
  <c r="B120" i="42" s="1"/>
  <c r="B121" i="42" s="1"/>
  <c r="B122" i="42" s="1"/>
  <c r="B123" i="42" s="1"/>
  <c r="B124" i="42" s="1"/>
  <c r="B125" i="42" s="1"/>
  <c r="B126" i="42" s="1"/>
  <c r="B127" i="42" s="1"/>
  <c r="B128" i="42" s="1"/>
  <c r="B129" i="42" s="1"/>
  <c r="B130" i="42" s="1"/>
  <c r="B131" i="42" s="1"/>
  <c r="B132" i="42" s="1"/>
  <c r="B133" i="42" s="1"/>
  <c r="B134" i="42" s="1"/>
  <c r="B135" i="42" s="1"/>
  <c r="B136" i="42" s="1"/>
  <c r="B137" i="42" s="1"/>
  <c r="B138" i="42" s="1"/>
  <c r="B139" i="42" s="1"/>
  <c r="B140" i="42" s="1"/>
  <c r="B141" i="42" s="1"/>
  <c r="B142" i="42" s="1"/>
  <c r="B143" i="42" s="1"/>
  <c r="B144" i="42" s="1"/>
  <c r="B145" i="42" s="1"/>
  <c r="B146" i="42" s="1"/>
  <c r="B147" i="42" s="1"/>
  <c r="B148" i="42" s="1"/>
  <c r="B149" i="42" s="1"/>
  <c r="B150" i="42" s="1"/>
  <c r="B151" i="42" s="1"/>
  <c r="B152" i="42" s="1"/>
  <c r="B153" i="42" s="1"/>
  <c r="B154" i="42" s="1"/>
  <c r="B155" i="42" s="1"/>
  <c r="B156" i="42" s="1"/>
  <c r="B157" i="42" s="1"/>
  <c r="B158" i="42" s="1"/>
  <c r="B159" i="42" s="1"/>
  <c r="B160" i="42" s="1"/>
  <c r="B161" i="42" s="1"/>
  <c r="B162" i="42" s="1"/>
  <c r="B163" i="42" s="1"/>
  <c r="B164" i="42" s="1"/>
  <c r="B165" i="42" s="1"/>
  <c r="B166" i="42" s="1"/>
  <c r="B167" i="42" s="1"/>
  <c r="B168" i="42" s="1"/>
  <c r="B169" i="42" s="1"/>
  <c r="B170" i="42" s="1"/>
  <c r="B171" i="42" s="1"/>
  <c r="B172" i="42" s="1"/>
  <c r="B173" i="42" s="1"/>
  <c r="B174" i="42" s="1"/>
  <c r="B175" i="42" s="1"/>
  <c r="B176" i="42" s="1"/>
  <c r="B177" i="42" s="1"/>
  <c r="B178" i="42" s="1"/>
  <c r="B179" i="42" s="1"/>
  <c r="B180" i="42" s="1"/>
  <c r="B181" i="42" s="1"/>
  <c r="B182" i="42" s="1"/>
  <c r="B183" i="42" s="1"/>
  <c r="B184" i="42" s="1"/>
  <c r="B185" i="42" s="1"/>
  <c r="B186" i="42" s="1"/>
  <c r="B187" i="42" s="1"/>
  <c r="B188" i="42" s="1"/>
  <c r="B189" i="42" s="1"/>
  <c r="B190" i="42" s="1"/>
  <c r="B191" i="42" s="1"/>
  <c r="B192" i="42" s="1"/>
  <c r="B193" i="42" s="1"/>
  <c r="B194" i="42" s="1"/>
  <c r="B195" i="42" s="1"/>
  <c r="B196" i="42" s="1"/>
  <c r="B197" i="42" s="1"/>
  <c r="B198" i="42" s="1"/>
  <c r="B199" i="42" s="1"/>
  <c r="B200" i="42" s="1"/>
  <c r="B201" i="42" s="1"/>
  <c r="V5" i="42" l="1"/>
  <c r="W5" i="42" s="1"/>
  <c r="AB6" i="42"/>
  <c r="AF6" i="42" s="1"/>
  <c r="Z6" i="42"/>
  <c r="AC17" i="42"/>
  <c r="AE16" i="42"/>
  <c r="R6" i="42"/>
  <c r="V6" i="42" s="1"/>
  <c r="W6" i="42" s="1"/>
  <c r="S7" i="42"/>
  <c r="R7" i="42" s="1"/>
  <c r="M2" i="42"/>
  <c r="O2" i="42" s="1"/>
  <c r="S8" i="42" l="1"/>
  <c r="S9" i="42" s="1"/>
  <c r="Z7" i="42"/>
  <c r="AC18" i="42"/>
  <c r="AE17" i="42"/>
  <c r="AB7" i="42"/>
  <c r="AF7" i="42" s="1"/>
  <c r="V7" i="42"/>
  <c r="W7" i="42" s="1"/>
  <c r="R8" i="42" l="1"/>
  <c r="V8" i="42" s="1"/>
  <c r="W8" i="42" s="1"/>
  <c r="AB9" i="42"/>
  <c r="AF9" i="42" s="1"/>
  <c r="Z9" i="42"/>
  <c r="AB8" i="42"/>
  <c r="AF8" i="42" s="1"/>
  <c r="Z8" i="42"/>
  <c r="AC19" i="42"/>
  <c r="AE18" i="42"/>
  <c r="S10" i="42"/>
  <c r="R9" i="42"/>
  <c r="AB10" i="42" l="1"/>
  <c r="AF10" i="42" s="1"/>
  <c r="Z10" i="42"/>
  <c r="AC20" i="42"/>
  <c r="AE19" i="42"/>
  <c r="V9" i="42"/>
  <c r="W9" i="42" s="1"/>
  <c r="S11" i="42"/>
  <c r="R10" i="42"/>
  <c r="V10" i="42" s="1"/>
  <c r="W10" i="42" s="1"/>
  <c r="AB11" i="42" l="1"/>
  <c r="AF11" i="42" s="1"/>
  <c r="Z11" i="42"/>
  <c r="AC21" i="42"/>
  <c r="AE20" i="42"/>
  <c r="S12" i="42"/>
  <c r="R11" i="42"/>
  <c r="V11" i="42" s="1"/>
  <c r="W11" i="42" s="1"/>
  <c r="AB12" i="42" l="1"/>
  <c r="AF12" i="42" s="1"/>
  <c r="Z12" i="42"/>
  <c r="AC22" i="42"/>
  <c r="AE21" i="42"/>
  <c r="S13" i="42"/>
  <c r="R12" i="42"/>
  <c r="V12" i="42" s="1"/>
  <c r="W12" i="42" s="1"/>
  <c r="AB13" i="42" l="1"/>
  <c r="AF13" i="42" s="1"/>
  <c r="Z13" i="42"/>
  <c r="AC23" i="42"/>
  <c r="AE22" i="42"/>
  <c r="S14" i="42"/>
  <c r="R13" i="42"/>
  <c r="AB14" i="42" l="1"/>
  <c r="AF14" i="42" s="1"/>
  <c r="Z14" i="42"/>
  <c r="AC24" i="42"/>
  <c r="AE23" i="42"/>
  <c r="V13" i="42"/>
  <c r="W13" i="42" s="1"/>
  <c r="S15" i="42"/>
  <c r="R14" i="42"/>
  <c r="V14" i="42" s="1"/>
  <c r="W14" i="42" s="1"/>
  <c r="AB15" i="42" l="1"/>
  <c r="AF15" i="42" s="1"/>
  <c r="Z15" i="42"/>
  <c r="AC25" i="42"/>
  <c r="AE24" i="42"/>
  <c r="S16" i="42"/>
  <c r="R15" i="42"/>
  <c r="V15" i="42" s="1"/>
  <c r="W15" i="42" s="1"/>
  <c r="AB16" i="42" l="1"/>
  <c r="AF16" i="42" s="1"/>
  <c r="Z16" i="42"/>
  <c r="AC26" i="42"/>
  <c r="AE25" i="42"/>
  <c r="S17" i="42"/>
  <c r="R16" i="42"/>
  <c r="V16" i="42" s="1"/>
  <c r="W16" i="42" s="1"/>
  <c r="AB17" i="42" l="1"/>
  <c r="AF17" i="42" s="1"/>
  <c r="Z17" i="42"/>
  <c r="AC27" i="42"/>
  <c r="AE26" i="42"/>
  <c r="S18" i="42"/>
  <c r="R17" i="42"/>
  <c r="V17" i="42" s="1"/>
  <c r="W17" i="42" s="1"/>
  <c r="AB18" i="42" l="1"/>
  <c r="AF18" i="42" s="1"/>
  <c r="Z18" i="42"/>
  <c r="AC28" i="42"/>
  <c r="AE27" i="42"/>
  <c r="S19" i="42"/>
  <c r="R18" i="42"/>
  <c r="V18" i="42" s="1"/>
  <c r="W18" i="42" s="1"/>
  <c r="AB19" i="42" l="1"/>
  <c r="AF19" i="42" s="1"/>
  <c r="Z19" i="42"/>
  <c r="AC29" i="42"/>
  <c r="AE28" i="42"/>
  <c r="S20" i="42"/>
  <c r="R19" i="42"/>
  <c r="V19" i="42" s="1"/>
  <c r="W19" i="42" s="1"/>
  <c r="AB20" i="42" l="1"/>
  <c r="AF20" i="42" s="1"/>
  <c r="Z20" i="42"/>
  <c r="AC30" i="42"/>
  <c r="AE29" i="42"/>
  <c r="S21" i="42"/>
  <c r="R20" i="42"/>
  <c r="V20" i="42" s="1"/>
  <c r="W20" i="42" s="1"/>
  <c r="AB21" i="42" l="1"/>
  <c r="AF21" i="42" s="1"/>
  <c r="Z21" i="42"/>
  <c r="AC31" i="42"/>
  <c r="AE30" i="42"/>
  <c r="S22" i="42"/>
  <c r="R21" i="42"/>
  <c r="V21" i="42" s="1"/>
  <c r="W21" i="42" s="1"/>
  <c r="AB22" i="42" l="1"/>
  <c r="AF22" i="42" s="1"/>
  <c r="Z22" i="42"/>
  <c r="AC32" i="42"/>
  <c r="AE31" i="42"/>
  <c r="S23" i="42"/>
  <c r="R22" i="42"/>
  <c r="V22" i="42" s="1"/>
  <c r="W22" i="42" s="1"/>
  <c r="AB23" i="42" l="1"/>
  <c r="AF23" i="42" s="1"/>
  <c r="Z23" i="42"/>
  <c r="AC33" i="42"/>
  <c r="AE32" i="42"/>
  <c r="S24" i="42"/>
  <c r="R23" i="42"/>
  <c r="V23" i="42" s="1"/>
  <c r="W23" i="42" s="1"/>
  <c r="AB24" i="42" l="1"/>
  <c r="AF24" i="42" s="1"/>
  <c r="Z24" i="42"/>
  <c r="AC34" i="42"/>
  <c r="AE33" i="42"/>
  <c r="S25" i="42"/>
  <c r="R24" i="42"/>
  <c r="V24" i="42" s="1"/>
  <c r="W24" i="42" s="1"/>
  <c r="AB25" i="42" l="1"/>
  <c r="AF25" i="42" s="1"/>
  <c r="Z25" i="42"/>
  <c r="AC35" i="42"/>
  <c r="AE34" i="42"/>
  <c r="S26" i="42"/>
  <c r="R25" i="42"/>
  <c r="V25" i="42" s="1"/>
  <c r="W25" i="42" s="1"/>
  <c r="AB26" i="42" l="1"/>
  <c r="AF26" i="42" s="1"/>
  <c r="Z26" i="42"/>
  <c r="AC36" i="42"/>
  <c r="AE35" i="42"/>
  <c r="S27" i="42"/>
  <c r="R26" i="42"/>
  <c r="V26" i="42" s="1"/>
  <c r="W26" i="42" s="1"/>
  <c r="AB27" i="42" l="1"/>
  <c r="AF27" i="42" s="1"/>
  <c r="Z27" i="42"/>
  <c r="AC37" i="42"/>
  <c r="AE36" i="42"/>
  <c r="S28" i="42"/>
  <c r="R27" i="42"/>
  <c r="V27" i="42" s="1"/>
  <c r="W27" i="42" s="1"/>
  <c r="AB28" i="42" l="1"/>
  <c r="AF28" i="42" s="1"/>
  <c r="Z28" i="42"/>
  <c r="AC38" i="42"/>
  <c r="AE37" i="42"/>
  <c r="S29" i="42"/>
  <c r="R28" i="42"/>
  <c r="V28" i="42" s="1"/>
  <c r="W28" i="42" s="1"/>
  <c r="AB29" i="42" l="1"/>
  <c r="AF29" i="42" s="1"/>
  <c r="Z29" i="42"/>
  <c r="AC39" i="42"/>
  <c r="AE38" i="42"/>
  <c r="S30" i="42"/>
  <c r="R29" i="42"/>
  <c r="V29" i="42" s="1"/>
  <c r="W29" i="42" s="1"/>
  <c r="AB30" i="42" l="1"/>
  <c r="AF30" i="42" s="1"/>
  <c r="Z30" i="42"/>
  <c r="AC40" i="42"/>
  <c r="AE39" i="42"/>
  <c r="S31" i="42"/>
  <c r="R30" i="42"/>
  <c r="V30" i="42" s="1"/>
  <c r="W30" i="42" s="1"/>
  <c r="AB31" i="42" l="1"/>
  <c r="AF31" i="42" s="1"/>
  <c r="Z31" i="42"/>
  <c r="AC41" i="42"/>
  <c r="AE40" i="42"/>
  <c r="S32" i="42"/>
  <c r="R31" i="42"/>
  <c r="V31" i="42" s="1"/>
  <c r="W31" i="42" s="1"/>
  <c r="AB32" i="42" l="1"/>
  <c r="AF32" i="42" s="1"/>
  <c r="Z32" i="42"/>
  <c r="AC42" i="42"/>
  <c r="AE41" i="42"/>
  <c r="S33" i="42"/>
  <c r="R32" i="42"/>
  <c r="V32" i="42" s="1"/>
  <c r="W32" i="42" s="1"/>
  <c r="AB33" i="42" l="1"/>
  <c r="AF33" i="42" s="1"/>
  <c r="Z33" i="42"/>
  <c r="AC43" i="42"/>
  <c r="AE42" i="42"/>
  <c r="S34" i="42"/>
  <c r="R33" i="42"/>
  <c r="V33" i="42" s="1"/>
  <c r="W33" i="42" s="1"/>
  <c r="AB34" i="42" l="1"/>
  <c r="AF34" i="42" s="1"/>
  <c r="Z34" i="42"/>
  <c r="AC44" i="42"/>
  <c r="AE43" i="42"/>
  <c r="S35" i="42"/>
  <c r="R34" i="42"/>
  <c r="V34" i="42" s="1"/>
  <c r="W34" i="42" s="1"/>
  <c r="AB35" i="42" l="1"/>
  <c r="AF35" i="42" s="1"/>
  <c r="Z35" i="42"/>
  <c r="AC45" i="42"/>
  <c r="AE44" i="42"/>
  <c r="S36" i="42"/>
  <c r="R35" i="42"/>
  <c r="V35" i="42" s="1"/>
  <c r="W35" i="42" s="1"/>
  <c r="AB36" i="42" l="1"/>
  <c r="AF36" i="42" s="1"/>
  <c r="Z36" i="42"/>
  <c r="AC46" i="42"/>
  <c r="AE45" i="42"/>
  <c r="S37" i="42"/>
  <c r="R36" i="42"/>
  <c r="V36" i="42" s="1"/>
  <c r="W36" i="42" s="1"/>
  <c r="AB37" i="42" l="1"/>
  <c r="AF37" i="42" s="1"/>
  <c r="Z37" i="42"/>
  <c r="AC47" i="42"/>
  <c r="AE46" i="42"/>
  <c r="S38" i="42"/>
  <c r="R37" i="42"/>
  <c r="V37" i="42" s="1"/>
  <c r="W37" i="42" s="1"/>
  <c r="AB38" i="42" l="1"/>
  <c r="AF38" i="42" s="1"/>
  <c r="Z38" i="42"/>
  <c r="AC48" i="42"/>
  <c r="AE47" i="42"/>
  <c r="S39" i="42"/>
  <c r="R38" i="42"/>
  <c r="V38" i="42" s="1"/>
  <c r="W38" i="42" s="1"/>
  <c r="AB39" i="42" l="1"/>
  <c r="AF39" i="42" s="1"/>
  <c r="Z39" i="42"/>
  <c r="AC49" i="42"/>
  <c r="AE48" i="42"/>
  <c r="S40" i="42"/>
  <c r="R39" i="42"/>
  <c r="V39" i="42" s="1"/>
  <c r="W39" i="42" s="1"/>
  <c r="AB40" i="42" l="1"/>
  <c r="AF40" i="42" s="1"/>
  <c r="Z40" i="42"/>
  <c r="AC50" i="42"/>
  <c r="AE49" i="42"/>
  <c r="S41" i="42"/>
  <c r="R40" i="42"/>
  <c r="V40" i="42" s="1"/>
  <c r="W40" i="42" s="1"/>
  <c r="AB41" i="42" l="1"/>
  <c r="AF41" i="42" s="1"/>
  <c r="Z41" i="42"/>
  <c r="AC51" i="42"/>
  <c r="AE50" i="42"/>
  <c r="S42" i="42"/>
  <c r="R41" i="42"/>
  <c r="V41" i="42" s="1"/>
  <c r="W41" i="42" s="1"/>
  <c r="AB42" i="42" l="1"/>
  <c r="AF42" i="42" s="1"/>
  <c r="Z42" i="42"/>
  <c r="AC52" i="42"/>
  <c r="AE51" i="42"/>
  <c r="S43" i="42"/>
  <c r="R42" i="42"/>
  <c r="V42" i="42" s="1"/>
  <c r="W42" i="42" s="1"/>
  <c r="AB43" i="42" l="1"/>
  <c r="AF43" i="42" s="1"/>
  <c r="Z43" i="42"/>
  <c r="AC53" i="42"/>
  <c r="AE52" i="42"/>
  <c r="S44" i="42"/>
  <c r="R43" i="42"/>
  <c r="V43" i="42" s="1"/>
  <c r="W43" i="42" s="1"/>
  <c r="AB44" i="42" l="1"/>
  <c r="AF44" i="42" s="1"/>
  <c r="Z44" i="42"/>
  <c r="AC54" i="42"/>
  <c r="AE53" i="42"/>
  <c r="S45" i="42"/>
  <c r="R44" i="42"/>
  <c r="AB45" i="42" l="1"/>
  <c r="AF45" i="42" s="1"/>
  <c r="Z45" i="42"/>
  <c r="AC55" i="42"/>
  <c r="AE54" i="42"/>
  <c r="V44" i="42"/>
  <c r="W44" i="42" s="1"/>
  <c r="S46" i="42"/>
  <c r="R45" i="42"/>
  <c r="AB46" i="42" l="1"/>
  <c r="AF46" i="42" s="1"/>
  <c r="Z46" i="42"/>
  <c r="AC56" i="42"/>
  <c r="AE55" i="42"/>
  <c r="S47" i="42"/>
  <c r="R46" i="42"/>
  <c r="V46" i="42" s="1"/>
  <c r="W46" i="42" s="1"/>
  <c r="V45" i="42"/>
  <c r="W45" i="42" s="1"/>
  <c r="AB47" i="42" l="1"/>
  <c r="AF47" i="42" s="1"/>
  <c r="Z47" i="42"/>
  <c r="AC57" i="42"/>
  <c r="AE56" i="42"/>
  <c r="S48" i="42"/>
  <c r="R47" i="42"/>
  <c r="AB48" i="42" l="1"/>
  <c r="AF48" i="42" s="1"/>
  <c r="Z48" i="42"/>
  <c r="AC58" i="42"/>
  <c r="AE57" i="42"/>
  <c r="V47" i="42"/>
  <c r="W47" i="42" s="1"/>
  <c r="S49" i="42"/>
  <c r="R48" i="42"/>
  <c r="V48" i="42" s="1"/>
  <c r="W48" i="42" s="1"/>
  <c r="AB49" i="42" l="1"/>
  <c r="AF49" i="42" s="1"/>
  <c r="Z49" i="42"/>
  <c r="AC59" i="42"/>
  <c r="AE58" i="42"/>
  <c r="S50" i="42"/>
  <c r="R49" i="42"/>
  <c r="V49" i="42" s="1"/>
  <c r="W49" i="42" s="1"/>
  <c r="AB50" i="42" l="1"/>
  <c r="AF50" i="42" s="1"/>
  <c r="Z50" i="42"/>
  <c r="AC60" i="42"/>
  <c r="AE59" i="42"/>
  <c r="S51" i="42"/>
  <c r="R50" i="42"/>
  <c r="V50" i="42" s="1"/>
  <c r="W50" i="42" s="1"/>
  <c r="AB51" i="42" l="1"/>
  <c r="AF51" i="42" s="1"/>
  <c r="Z51" i="42"/>
  <c r="AC61" i="42"/>
  <c r="AE60" i="42"/>
  <c r="S52" i="42"/>
  <c r="R51" i="42"/>
  <c r="AB52" i="42" l="1"/>
  <c r="AF52" i="42" s="1"/>
  <c r="Z52" i="42"/>
  <c r="AC62" i="42"/>
  <c r="AE61" i="42"/>
  <c r="S53" i="42"/>
  <c r="R52" i="42"/>
  <c r="V51" i="42"/>
  <c r="W51" i="42" s="1"/>
  <c r="AB53" i="42" l="1"/>
  <c r="AF53" i="42" s="1"/>
  <c r="Z53" i="42"/>
  <c r="AC63" i="42"/>
  <c r="AE62" i="42"/>
  <c r="S54" i="42"/>
  <c r="R53" i="42"/>
  <c r="V52" i="42"/>
  <c r="W52" i="42" s="1"/>
  <c r="AB54" i="42" l="1"/>
  <c r="AF54" i="42" s="1"/>
  <c r="Z54" i="42"/>
  <c r="AC64" i="42"/>
  <c r="AE63" i="42"/>
  <c r="S55" i="42"/>
  <c r="R54" i="42"/>
  <c r="V53" i="42"/>
  <c r="W53" i="42" s="1"/>
  <c r="AB55" i="42" l="1"/>
  <c r="AF55" i="42" s="1"/>
  <c r="Z55" i="42"/>
  <c r="AC65" i="42"/>
  <c r="AE64" i="42"/>
  <c r="S56" i="42"/>
  <c r="R55" i="42"/>
  <c r="V54" i="42"/>
  <c r="W54" i="42" s="1"/>
  <c r="AB56" i="42" l="1"/>
  <c r="AF56" i="42" s="1"/>
  <c r="Z56" i="42"/>
  <c r="AC66" i="42"/>
  <c r="AE65" i="42"/>
  <c r="V55" i="42"/>
  <c r="W55" i="42" s="1"/>
  <c r="S57" i="42"/>
  <c r="R56" i="42"/>
  <c r="V56" i="42" s="1"/>
  <c r="W56" i="42" s="1"/>
  <c r="AB57" i="42" l="1"/>
  <c r="AF57" i="42" s="1"/>
  <c r="Z57" i="42"/>
  <c r="AC67" i="42"/>
  <c r="AE66" i="42"/>
  <c r="S58" i="42"/>
  <c r="R57" i="42"/>
  <c r="V57" i="42" s="1"/>
  <c r="W57" i="42" s="1"/>
  <c r="AB58" i="42" l="1"/>
  <c r="AF58" i="42" s="1"/>
  <c r="Z58" i="42"/>
  <c r="AC68" i="42"/>
  <c r="AE67" i="42"/>
  <c r="S59" i="42"/>
  <c r="R58" i="42"/>
  <c r="AB59" i="42" l="1"/>
  <c r="AF59" i="42" s="1"/>
  <c r="Z59" i="42"/>
  <c r="AC69" i="42"/>
  <c r="AE68" i="42"/>
  <c r="S60" i="42"/>
  <c r="R59" i="42"/>
  <c r="V58" i="42"/>
  <c r="W58" i="42" s="1"/>
  <c r="AB60" i="42" l="1"/>
  <c r="AF60" i="42" s="1"/>
  <c r="Z60" i="42"/>
  <c r="AC70" i="42"/>
  <c r="AE69" i="42"/>
  <c r="V59" i="42"/>
  <c r="W59" i="42" s="1"/>
  <c r="S61" i="42"/>
  <c r="R60" i="42"/>
  <c r="AB61" i="42" l="1"/>
  <c r="AF61" i="42" s="1"/>
  <c r="Z61" i="42"/>
  <c r="AC71" i="42"/>
  <c r="AE70" i="42"/>
  <c r="S62" i="42"/>
  <c r="R61" i="42"/>
  <c r="V60" i="42"/>
  <c r="W60" i="42" s="1"/>
  <c r="AB62" i="42" l="1"/>
  <c r="AF62" i="42" s="1"/>
  <c r="Z62" i="42"/>
  <c r="AC72" i="42"/>
  <c r="AE71" i="42"/>
  <c r="V61" i="42"/>
  <c r="W61" i="42" s="1"/>
  <c r="S63" i="42"/>
  <c r="R62" i="42"/>
  <c r="AB63" i="42" l="1"/>
  <c r="AF63" i="42" s="1"/>
  <c r="Z63" i="42"/>
  <c r="AC73" i="42"/>
  <c r="AE72" i="42"/>
  <c r="S64" i="42"/>
  <c r="R63" i="42"/>
  <c r="V62" i="42"/>
  <c r="W62" i="42" s="1"/>
  <c r="AB64" i="42" l="1"/>
  <c r="AF64" i="42" s="1"/>
  <c r="Z64" i="42"/>
  <c r="AC74" i="42"/>
  <c r="AE73" i="42"/>
  <c r="V63" i="42"/>
  <c r="W63" i="42" s="1"/>
  <c r="S65" i="42"/>
  <c r="R64" i="42"/>
  <c r="AB65" i="42" l="1"/>
  <c r="AF65" i="42" s="1"/>
  <c r="Z65" i="42"/>
  <c r="AC75" i="42"/>
  <c r="AE74" i="42"/>
  <c r="S66" i="42"/>
  <c r="R65" i="42"/>
  <c r="V64" i="42"/>
  <c r="W64" i="42" s="1"/>
  <c r="AB66" i="42" l="1"/>
  <c r="AF66" i="42" s="1"/>
  <c r="Z66" i="42"/>
  <c r="AC76" i="42"/>
  <c r="AE75" i="42"/>
  <c r="S67" i="42"/>
  <c r="R66" i="42"/>
  <c r="V65" i="42"/>
  <c r="W65" i="42" s="1"/>
  <c r="AB67" i="42" l="1"/>
  <c r="AF67" i="42" s="1"/>
  <c r="Z67" i="42"/>
  <c r="AC77" i="42"/>
  <c r="AE76" i="42"/>
  <c r="S68" i="42"/>
  <c r="R67" i="42"/>
  <c r="V66" i="42"/>
  <c r="W66" i="42" s="1"/>
  <c r="AB68" i="42" l="1"/>
  <c r="AF68" i="42" s="1"/>
  <c r="Z68" i="42"/>
  <c r="AC78" i="42"/>
  <c r="AE77" i="42"/>
  <c r="V67" i="42"/>
  <c r="W67" i="42" s="1"/>
  <c r="S69" i="42"/>
  <c r="R68" i="42"/>
  <c r="V68" i="42" s="1"/>
  <c r="W68" i="42" s="1"/>
  <c r="AB69" i="42" l="1"/>
  <c r="AF69" i="42" s="1"/>
  <c r="Z69" i="42"/>
  <c r="AC79" i="42"/>
  <c r="AE78" i="42"/>
  <c r="S70" i="42"/>
  <c r="R69" i="42"/>
  <c r="AB70" i="42" l="1"/>
  <c r="AF70" i="42" s="1"/>
  <c r="Z70" i="42"/>
  <c r="AC80" i="42"/>
  <c r="AE79" i="42"/>
  <c r="S71" i="42"/>
  <c r="R70" i="42"/>
  <c r="V70" i="42" s="1"/>
  <c r="W70" i="42" s="1"/>
  <c r="V69" i="42"/>
  <c r="W69" i="42" s="1"/>
  <c r="AB71" i="42" l="1"/>
  <c r="AF71" i="42" s="1"/>
  <c r="Z71" i="42"/>
  <c r="AC81" i="42"/>
  <c r="AE80" i="42"/>
  <c r="S72" i="42"/>
  <c r="R71" i="42"/>
  <c r="AB72" i="42" l="1"/>
  <c r="AF72" i="42" s="1"/>
  <c r="Z72" i="42"/>
  <c r="AC82" i="42"/>
  <c r="AE81" i="42"/>
  <c r="S73" i="42"/>
  <c r="R72" i="42"/>
  <c r="V72" i="42" s="1"/>
  <c r="W72" i="42" s="1"/>
  <c r="V71" i="42"/>
  <c r="W71" i="42" s="1"/>
  <c r="AB73" i="42" l="1"/>
  <c r="AF73" i="42" s="1"/>
  <c r="Z73" i="42"/>
  <c r="AC83" i="42"/>
  <c r="AE82" i="42"/>
  <c r="S74" i="42"/>
  <c r="R73" i="42"/>
  <c r="AB74" i="42" l="1"/>
  <c r="AF74" i="42" s="1"/>
  <c r="Z74" i="42"/>
  <c r="AC84" i="42"/>
  <c r="AE83" i="42"/>
  <c r="S75" i="42"/>
  <c r="R74" i="42"/>
  <c r="V73" i="42"/>
  <c r="W73" i="42" s="1"/>
  <c r="AB75" i="42" l="1"/>
  <c r="AF75" i="42" s="1"/>
  <c r="Z75" i="42"/>
  <c r="AC85" i="42"/>
  <c r="AE84" i="42"/>
  <c r="S76" i="42"/>
  <c r="R75" i="42"/>
  <c r="V75" i="42" s="1"/>
  <c r="W75" i="42" s="1"/>
  <c r="V74" i="42"/>
  <c r="W74" i="42" s="1"/>
  <c r="AB76" i="42" l="1"/>
  <c r="AF76" i="42" s="1"/>
  <c r="Z76" i="42"/>
  <c r="AC86" i="42"/>
  <c r="AE85" i="42"/>
  <c r="S77" i="42"/>
  <c r="R76" i="42"/>
  <c r="AB77" i="42" l="1"/>
  <c r="AF77" i="42" s="1"/>
  <c r="Z77" i="42"/>
  <c r="AC87" i="42"/>
  <c r="AE86" i="42"/>
  <c r="V76" i="42"/>
  <c r="W76" i="42" s="1"/>
  <c r="S78" i="42"/>
  <c r="R77" i="42"/>
  <c r="V77" i="42" s="1"/>
  <c r="W77" i="42" s="1"/>
  <c r="AB78" i="42" l="1"/>
  <c r="AF78" i="42" s="1"/>
  <c r="Z78" i="42"/>
  <c r="AC88" i="42"/>
  <c r="AE87" i="42"/>
  <c r="S79" i="42"/>
  <c r="R78" i="42"/>
  <c r="AB79" i="42" l="1"/>
  <c r="AF79" i="42" s="1"/>
  <c r="Z79" i="42"/>
  <c r="AC89" i="42"/>
  <c r="AE88" i="42"/>
  <c r="V78" i="42"/>
  <c r="W78" i="42" s="1"/>
  <c r="S80" i="42"/>
  <c r="R79" i="42"/>
  <c r="AB80" i="42" l="1"/>
  <c r="AF80" i="42" s="1"/>
  <c r="Z80" i="42"/>
  <c r="AC90" i="42"/>
  <c r="AE89" i="42"/>
  <c r="V79" i="42"/>
  <c r="W79" i="42" s="1"/>
  <c r="S81" i="42"/>
  <c r="R80" i="42"/>
  <c r="V80" i="42" s="1"/>
  <c r="W80" i="42" s="1"/>
  <c r="AB81" i="42" l="1"/>
  <c r="AF81" i="42" s="1"/>
  <c r="Z81" i="42"/>
  <c r="AC91" i="42"/>
  <c r="AE90" i="42"/>
  <c r="S82" i="42"/>
  <c r="R81" i="42"/>
  <c r="AB82" i="42" l="1"/>
  <c r="AF82" i="42" s="1"/>
  <c r="Z82" i="42"/>
  <c r="AC92" i="42"/>
  <c r="AE91" i="42"/>
  <c r="S83" i="42"/>
  <c r="R82" i="42"/>
  <c r="V81" i="42"/>
  <c r="W81" i="42" s="1"/>
  <c r="AB83" i="42" l="1"/>
  <c r="AF83" i="42" s="1"/>
  <c r="Z83" i="42"/>
  <c r="AC93" i="42"/>
  <c r="AE92" i="42"/>
  <c r="V82" i="42"/>
  <c r="W82" i="42" s="1"/>
  <c r="S84" i="42"/>
  <c r="R83" i="42"/>
  <c r="V83" i="42" s="1"/>
  <c r="W83" i="42" s="1"/>
  <c r="AB84" i="42" l="1"/>
  <c r="AF84" i="42" s="1"/>
  <c r="Z84" i="42"/>
  <c r="AC94" i="42"/>
  <c r="AE93" i="42"/>
  <c r="S85" i="42"/>
  <c r="R84" i="42"/>
  <c r="V84" i="42" s="1"/>
  <c r="W84" i="42" s="1"/>
  <c r="AB85" i="42" l="1"/>
  <c r="AF85" i="42" s="1"/>
  <c r="Z85" i="42"/>
  <c r="AC95" i="42"/>
  <c r="AE94" i="42"/>
  <c r="S86" i="42"/>
  <c r="R85" i="42"/>
  <c r="V85" i="42" s="1"/>
  <c r="W85" i="42" s="1"/>
  <c r="AB86" i="42" l="1"/>
  <c r="AF86" i="42" s="1"/>
  <c r="Z86" i="42"/>
  <c r="AC96" i="42"/>
  <c r="AE95" i="42"/>
  <c r="S87" i="42"/>
  <c r="R86" i="42"/>
  <c r="AB87" i="42" l="1"/>
  <c r="AF87" i="42" s="1"/>
  <c r="Z87" i="42"/>
  <c r="AC97" i="42"/>
  <c r="AE96" i="42"/>
  <c r="S88" i="42"/>
  <c r="R87" i="42"/>
  <c r="V87" i="42" s="1"/>
  <c r="W87" i="42" s="1"/>
  <c r="V86" i="42"/>
  <c r="W86" i="42" s="1"/>
  <c r="AB88" i="42" l="1"/>
  <c r="AF88" i="42" s="1"/>
  <c r="Z88" i="42"/>
  <c r="AC98" i="42"/>
  <c r="AE97" i="42"/>
  <c r="S89" i="42"/>
  <c r="R88" i="42"/>
  <c r="V88" i="42" s="1"/>
  <c r="W88" i="42" s="1"/>
  <c r="AB89" i="42" l="1"/>
  <c r="AF89" i="42" s="1"/>
  <c r="Z89" i="42"/>
  <c r="AC99" i="42"/>
  <c r="AE98" i="42"/>
  <c r="S90" i="42"/>
  <c r="R89" i="42"/>
  <c r="AB90" i="42" l="1"/>
  <c r="AF90" i="42" s="1"/>
  <c r="Z90" i="42"/>
  <c r="AC100" i="42"/>
  <c r="AE99" i="42"/>
  <c r="S91" i="42"/>
  <c r="R90" i="42"/>
  <c r="V89" i="42"/>
  <c r="W89" i="42" s="1"/>
  <c r="AB91" i="42" l="1"/>
  <c r="AF91" i="42" s="1"/>
  <c r="Z91" i="42"/>
  <c r="AC101" i="42"/>
  <c r="AE100" i="42"/>
  <c r="V90" i="42"/>
  <c r="W90" i="42" s="1"/>
  <c r="S92" i="42"/>
  <c r="R91" i="42"/>
  <c r="AB92" i="42" l="1"/>
  <c r="AF92" i="42" s="1"/>
  <c r="Z92" i="42"/>
  <c r="AC102" i="42"/>
  <c r="AE101" i="42"/>
  <c r="S93" i="42"/>
  <c r="R92" i="42"/>
  <c r="V91" i="42"/>
  <c r="W91" i="42" s="1"/>
  <c r="AB93" i="42" l="1"/>
  <c r="AF93" i="42" s="1"/>
  <c r="Z93" i="42"/>
  <c r="AC103" i="42"/>
  <c r="AE102" i="42"/>
  <c r="V92" i="42"/>
  <c r="W92" i="42" s="1"/>
  <c r="S94" i="42"/>
  <c r="R93" i="42"/>
  <c r="AB94" i="42" l="1"/>
  <c r="AF94" i="42" s="1"/>
  <c r="Z94" i="42"/>
  <c r="AC104" i="42"/>
  <c r="AE103" i="42"/>
  <c r="S95" i="42"/>
  <c r="R94" i="42"/>
  <c r="V93" i="42"/>
  <c r="W93" i="42" s="1"/>
  <c r="AB95" i="42" l="1"/>
  <c r="AF95" i="42" s="1"/>
  <c r="Z95" i="42"/>
  <c r="AC105" i="42"/>
  <c r="AE104" i="42"/>
  <c r="V94" i="42"/>
  <c r="W94" i="42" s="1"/>
  <c r="S96" i="42"/>
  <c r="R95" i="42"/>
  <c r="AB96" i="42" l="1"/>
  <c r="AF96" i="42" s="1"/>
  <c r="Z96" i="42"/>
  <c r="AC106" i="42"/>
  <c r="AE105" i="42"/>
  <c r="S97" i="42"/>
  <c r="R96" i="42"/>
  <c r="V95" i="42"/>
  <c r="W95" i="42" s="1"/>
  <c r="AB97" i="42" l="1"/>
  <c r="AF97" i="42" s="1"/>
  <c r="Z97" i="42"/>
  <c r="AC107" i="42"/>
  <c r="AE106" i="42"/>
  <c r="S98" i="42"/>
  <c r="R97" i="42"/>
  <c r="V96" i="42"/>
  <c r="W96" i="42" s="1"/>
  <c r="AB98" i="42" l="1"/>
  <c r="AF98" i="42" s="1"/>
  <c r="Z98" i="42"/>
  <c r="AC108" i="42"/>
  <c r="AE107" i="42"/>
  <c r="V97" i="42"/>
  <c r="W97" i="42" s="1"/>
  <c r="S99" i="42"/>
  <c r="R98" i="42"/>
  <c r="AB99" i="42" l="1"/>
  <c r="AF99" i="42" s="1"/>
  <c r="Z99" i="42"/>
  <c r="AC109" i="42"/>
  <c r="AE108" i="42"/>
  <c r="S100" i="42"/>
  <c r="R99" i="42"/>
  <c r="V99" i="42" s="1"/>
  <c r="W99" i="42" s="1"/>
  <c r="V98" i="42"/>
  <c r="W98" i="42" s="1"/>
  <c r="AB100" i="42" l="1"/>
  <c r="AF100" i="42" s="1"/>
  <c r="Z100" i="42"/>
  <c r="AC110" i="42"/>
  <c r="AE109" i="42"/>
  <c r="S101" i="42"/>
  <c r="R100" i="42"/>
  <c r="V100" i="42" s="1"/>
  <c r="W100" i="42" s="1"/>
  <c r="AB101" i="42" l="1"/>
  <c r="AF101" i="42" s="1"/>
  <c r="Z101" i="42"/>
  <c r="AC111" i="42"/>
  <c r="AE110" i="42"/>
  <c r="R101" i="42"/>
  <c r="V101" i="42" s="1"/>
  <c r="W101" i="42" s="1"/>
  <c r="S102" i="42"/>
  <c r="AB102" i="42" l="1"/>
  <c r="AF102" i="42" s="1"/>
  <c r="Z102" i="42"/>
  <c r="AC112" i="42"/>
  <c r="AE111" i="42"/>
  <c r="R102" i="42"/>
  <c r="V102" i="42" s="1"/>
  <c r="W102" i="42" s="1"/>
  <c r="S103" i="42"/>
  <c r="AB103" i="42" l="1"/>
  <c r="AF103" i="42" s="1"/>
  <c r="Z103" i="42"/>
  <c r="AC113" i="42"/>
  <c r="AE112" i="42"/>
  <c r="R103" i="42"/>
  <c r="V103" i="42" s="1"/>
  <c r="W103" i="42" s="1"/>
  <c r="S104" i="42"/>
  <c r="AB104" i="42" l="1"/>
  <c r="AF104" i="42" s="1"/>
  <c r="Z104" i="42"/>
  <c r="AC114" i="42"/>
  <c r="AE113" i="42"/>
  <c r="R104" i="42"/>
  <c r="V104" i="42" s="1"/>
  <c r="W104" i="42" s="1"/>
  <c r="S105" i="42"/>
  <c r="AB105" i="42" l="1"/>
  <c r="AF105" i="42" s="1"/>
  <c r="Z105" i="42"/>
  <c r="AC115" i="42"/>
  <c r="AE114" i="42"/>
  <c r="R105" i="42"/>
  <c r="V105" i="42" s="1"/>
  <c r="W105" i="42" s="1"/>
  <c r="S106" i="42"/>
  <c r="AB106" i="42" l="1"/>
  <c r="AF106" i="42" s="1"/>
  <c r="Z106" i="42"/>
  <c r="AC116" i="42"/>
  <c r="AE115" i="42"/>
  <c r="R106" i="42"/>
  <c r="V106" i="42" s="1"/>
  <c r="W106" i="42" s="1"/>
  <c r="S107" i="42"/>
  <c r="AB107" i="42" l="1"/>
  <c r="AF107" i="42" s="1"/>
  <c r="Z107" i="42"/>
  <c r="AC117" i="42"/>
  <c r="AE116" i="42"/>
  <c r="R107" i="42"/>
  <c r="V107" i="42" s="1"/>
  <c r="W107" i="42" s="1"/>
  <c r="S108" i="42"/>
  <c r="AB108" i="42" l="1"/>
  <c r="AF108" i="42" s="1"/>
  <c r="Z108" i="42"/>
  <c r="AC118" i="42"/>
  <c r="AE117" i="42"/>
  <c r="R108" i="42"/>
  <c r="V108" i="42" s="1"/>
  <c r="W108" i="42" s="1"/>
  <c r="S109" i="42"/>
  <c r="AB109" i="42" l="1"/>
  <c r="AF109" i="42" s="1"/>
  <c r="Z109" i="42"/>
  <c r="AC119" i="42"/>
  <c r="AE118" i="42"/>
  <c r="R109" i="42"/>
  <c r="V109" i="42" s="1"/>
  <c r="W109" i="42" s="1"/>
  <c r="S110" i="42"/>
  <c r="AB110" i="42" l="1"/>
  <c r="AF110" i="42" s="1"/>
  <c r="Z110" i="42"/>
  <c r="AC120" i="42"/>
  <c r="AE119" i="42"/>
  <c r="R110" i="42"/>
  <c r="V110" i="42" s="1"/>
  <c r="W110" i="42" s="1"/>
  <c r="S111" i="42"/>
  <c r="AB111" i="42" l="1"/>
  <c r="AF111" i="42" s="1"/>
  <c r="Z111" i="42"/>
  <c r="AC121" i="42"/>
  <c r="AE120" i="42"/>
  <c r="R111" i="42"/>
  <c r="V111" i="42" s="1"/>
  <c r="W111" i="42" s="1"/>
  <c r="S112" i="42"/>
  <c r="AB112" i="42" l="1"/>
  <c r="AF112" i="42" s="1"/>
  <c r="Z112" i="42"/>
  <c r="AC122" i="42"/>
  <c r="AE121" i="42"/>
  <c r="R112" i="42"/>
  <c r="V112" i="42" s="1"/>
  <c r="W112" i="42" s="1"/>
  <c r="S113" i="42"/>
  <c r="AB113" i="42" l="1"/>
  <c r="AF113" i="42" s="1"/>
  <c r="Z113" i="42"/>
  <c r="AC123" i="42"/>
  <c r="AE122" i="42"/>
  <c r="R113" i="42"/>
  <c r="V113" i="42" s="1"/>
  <c r="W113" i="42" s="1"/>
  <c r="S114" i="42"/>
  <c r="AB114" i="42" l="1"/>
  <c r="AF114" i="42" s="1"/>
  <c r="Z114" i="42"/>
  <c r="AC124" i="42"/>
  <c r="AE123" i="42"/>
  <c r="S115" i="42"/>
  <c r="R114" i="42"/>
  <c r="V114" i="42" s="1"/>
  <c r="W114" i="42" s="1"/>
  <c r="AB115" i="42" l="1"/>
  <c r="AF115" i="42" s="1"/>
  <c r="Z115" i="42"/>
  <c r="AC125" i="42"/>
  <c r="AE124" i="42"/>
  <c r="R115" i="42"/>
  <c r="V115" i="42" s="1"/>
  <c r="W115" i="42" s="1"/>
  <c r="S116" i="42"/>
  <c r="AB116" i="42" l="1"/>
  <c r="AF116" i="42" s="1"/>
  <c r="Z116" i="42"/>
  <c r="AC126" i="42"/>
  <c r="AE125" i="42"/>
  <c r="R116" i="42"/>
  <c r="V116" i="42" s="1"/>
  <c r="W116" i="42" s="1"/>
  <c r="S117" i="42"/>
  <c r="AB117" i="42" l="1"/>
  <c r="AF117" i="42" s="1"/>
  <c r="Z117" i="42"/>
  <c r="AC127" i="42"/>
  <c r="AE126" i="42"/>
  <c r="S118" i="42"/>
  <c r="R117" i="42"/>
  <c r="V117" i="42" s="1"/>
  <c r="W117" i="42" s="1"/>
  <c r="AB118" i="42" l="1"/>
  <c r="AF118" i="42" s="1"/>
  <c r="Z118" i="42"/>
  <c r="AC128" i="42"/>
  <c r="AE127" i="42"/>
  <c r="R118" i="42"/>
  <c r="V118" i="42" s="1"/>
  <c r="W118" i="42" s="1"/>
  <c r="S119" i="42"/>
  <c r="AB119" i="42" l="1"/>
  <c r="AF119" i="42" s="1"/>
  <c r="Z119" i="42"/>
  <c r="AC129" i="42"/>
  <c r="AE128" i="42"/>
  <c r="R119" i="42"/>
  <c r="V119" i="42" s="1"/>
  <c r="W119" i="42" s="1"/>
  <c r="S120" i="42"/>
  <c r="AB120" i="42" l="1"/>
  <c r="AF120" i="42" s="1"/>
  <c r="Z120" i="42"/>
  <c r="AC130" i="42"/>
  <c r="AE129" i="42"/>
  <c r="R120" i="42"/>
  <c r="V120" i="42" s="1"/>
  <c r="W120" i="42" s="1"/>
  <c r="S121" i="42"/>
  <c r="AB121" i="42" l="1"/>
  <c r="AF121" i="42" s="1"/>
  <c r="Z121" i="42"/>
  <c r="AC131" i="42"/>
  <c r="AE130" i="42"/>
  <c r="R121" i="42"/>
  <c r="V121" i="42" s="1"/>
  <c r="W121" i="42" s="1"/>
  <c r="S122" i="42"/>
  <c r="AB122" i="42" l="1"/>
  <c r="AF122" i="42" s="1"/>
  <c r="Z122" i="42"/>
  <c r="AC132" i="42"/>
  <c r="AE131" i="42"/>
  <c r="R122" i="42"/>
  <c r="V122" i="42" s="1"/>
  <c r="W122" i="42" s="1"/>
  <c r="S123" i="42"/>
  <c r="AB123" i="42" l="1"/>
  <c r="AF123" i="42" s="1"/>
  <c r="Z123" i="42"/>
  <c r="AC133" i="42"/>
  <c r="AE132" i="42"/>
  <c r="R123" i="42"/>
  <c r="V123" i="42" s="1"/>
  <c r="W123" i="42" s="1"/>
  <c r="S124" i="42"/>
  <c r="AB124" i="42" l="1"/>
  <c r="AF124" i="42" s="1"/>
  <c r="Z124" i="42"/>
  <c r="AC134" i="42"/>
  <c r="AE133" i="42"/>
  <c r="R124" i="42"/>
  <c r="V124" i="42" s="1"/>
  <c r="W124" i="42" s="1"/>
  <c r="S125" i="42"/>
  <c r="AB125" i="42" l="1"/>
  <c r="AF125" i="42" s="1"/>
  <c r="Z125" i="42"/>
  <c r="AC135" i="42"/>
  <c r="AE134" i="42"/>
  <c r="R125" i="42"/>
  <c r="V125" i="42" s="1"/>
  <c r="W125" i="42" s="1"/>
  <c r="S126" i="42"/>
  <c r="AB126" i="42" l="1"/>
  <c r="AF126" i="42" s="1"/>
  <c r="Z126" i="42"/>
  <c r="AC136" i="42"/>
  <c r="AE135" i="42"/>
  <c r="R126" i="42"/>
  <c r="V126" i="42" s="1"/>
  <c r="W126" i="42" s="1"/>
  <c r="S127" i="42"/>
  <c r="AB127" i="42" l="1"/>
  <c r="AF127" i="42" s="1"/>
  <c r="Z127" i="42"/>
  <c r="AC137" i="42"/>
  <c r="AE136" i="42"/>
  <c r="R127" i="42"/>
  <c r="V127" i="42" s="1"/>
  <c r="W127" i="42" s="1"/>
  <c r="S128" i="42"/>
  <c r="AB128" i="42" l="1"/>
  <c r="AF128" i="42" s="1"/>
  <c r="Z128" i="42"/>
  <c r="AC138" i="42"/>
  <c r="AE137" i="42"/>
  <c r="R128" i="42"/>
  <c r="V128" i="42" s="1"/>
  <c r="W128" i="42" s="1"/>
  <c r="S129" i="42"/>
  <c r="AB129" i="42" l="1"/>
  <c r="AF129" i="42" s="1"/>
  <c r="Z129" i="42"/>
  <c r="AC139" i="42"/>
  <c r="AE138" i="42"/>
  <c r="R129" i="42"/>
  <c r="V129" i="42" s="1"/>
  <c r="W129" i="42" s="1"/>
  <c r="S130" i="42"/>
  <c r="AB130" i="42" l="1"/>
  <c r="AF130" i="42" s="1"/>
  <c r="Z130" i="42"/>
  <c r="AC140" i="42"/>
  <c r="AE139" i="42"/>
  <c r="R130" i="42"/>
  <c r="V130" i="42" s="1"/>
  <c r="W130" i="42" s="1"/>
  <c r="S131" i="42"/>
  <c r="AB131" i="42" l="1"/>
  <c r="AF131" i="42" s="1"/>
  <c r="Z131" i="42"/>
  <c r="AC141" i="42"/>
  <c r="AE140" i="42"/>
  <c r="R131" i="42"/>
  <c r="V131" i="42" s="1"/>
  <c r="W131" i="42" s="1"/>
  <c r="S132" i="42"/>
  <c r="AB132" i="42" l="1"/>
  <c r="AF132" i="42" s="1"/>
  <c r="Z132" i="42"/>
  <c r="AC142" i="42"/>
  <c r="AE141" i="42"/>
  <c r="R132" i="42"/>
  <c r="V132" i="42" s="1"/>
  <c r="W132" i="42" s="1"/>
  <c r="S133" i="42"/>
  <c r="AB133" i="42" l="1"/>
  <c r="AF133" i="42" s="1"/>
  <c r="Z133" i="42"/>
  <c r="AC143" i="42"/>
  <c r="AE142" i="42"/>
  <c r="R133" i="42"/>
  <c r="V133" i="42" s="1"/>
  <c r="W133" i="42" s="1"/>
  <c r="S134" i="42"/>
  <c r="AB134" i="42" l="1"/>
  <c r="AF134" i="42" s="1"/>
  <c r="Z134" i="42"/>
  <c r="AC144" i="42"/>
  <c r="AE143" i="42"/>
  <c r="R134" i="42"/>
  <c r="V134" i="42" s="1"/>
  <c r="W134" i="42" s="1"/>
  <c r="S135" i="42"/>
  <c r="AB135" i="42" l="1"/>
  <c r="AF135" i="42" s="1"/>
  <c r="Z135" i="42"/>
  <c r="AC145" i="42"/>
  <c r="AE144" i="42"/>
  <c r="R135" i="42"/>
  <c r="V135" i="42" s="1"/>
  <c r="W135" i="42" s="1"/>
  <c r="S136" i="42"/>
  <c r="AB136" i="42" l="1"/>
  <c r="AF136" i="42" s="1"/>
  <c r="Z136" i="42"/>
  <c r="AC146" i="42"/>
  <c r="AE145" i="42"/>
  <c r="R136" i="42"/>
  <c r="V136" i="42" s="1"/>
  <c r="W136" i="42" s="1"/>
  <c r="S137" i="42"/>
  <c r="AB137" i="42" l="1"/>
  <c r="AF137" i="42" s="1"/>
  <c r="Z137" i="42"/>
  <c r="AC147" i="42"/>
  <c r="AE146" i="42"/>
  <c r="R137" i="42"/>
  <c r="V137" i="42" s="1"/>
  <c r="W137" i="42" s="1"/>
  <c r="S138" i="42"/>
  <c r="AB138" i="42" l="1"/>
  <c r="AF138" i="42" s="1"/>
  <c r="Z138" i="42"/>
  <c r="AC148" i="42"/>
  <c r="AE147" i="42"/>
  <c r="R138" i="42"/>
  <c r="V138" i="42" s="1"/>
  <c r="W138" i="42" s="1"/>
  <c r="S139" i="42"/>
  <c r="AB139" i="42" l="1"/>
  <c r="AF139" i="42" s="1"/>
  <c r="Z139" i="42"/>
  <c r="AC149" i="42"/>
  <c r="AE148" i="42"/>
  <c r="R139" i="42"/>
  <c r="V139" i="42" s="1"/>
  <c r="W139" i="42" s="1"/>
  <c r="S140" i="42"/>
  <c r="AB140" i="42" l="1"/>
  <c r="AF140" i="42" s="1"/>
  <c r="Z140" i="42"/>
  <c r="AC150" i="42"/>
  <c r="AE149" i="42"/>
  <c r="R140" i="42"/>
  <c r="V140" i="42" s="1"/>
  <c r="W140" i="42" s="1"/>
  <c r="S141" i="42"/>
  <c r="AB141" i="42" l="1"/>
  <c r="AF141" i="42" s="1"/>
  <c r="Z141" i="42"/>
  <c r="AC151" i="42"/>
  <c r="AE150" i="42"/>
  <c r="R141" i="42"/>
  <c r="V141" i="42" s="1"/>
  <c r="W141" i="42" s="1"/>
  <c r="S142" i="42"/>
  <c r="AB142" i="42" l="1"/>
  <c r="AF142" i="42" s="1"/>
  <c r="Z142" i="42"/>
  <c r="AC152" i="42"/>
  <c r="AE151" i="42"/>
  <c r="R142" i="42"/>
  <c r="V142" i="42" s="1"/>
  <c r="W142" i="42" s="1"/>
  <c r="S143" i="42"/>
  <c r="AB143" i="42" l="1"/>
  <c r="AF143" i="42" s="1"/>
  <c r="Z143" i="42"/>
  <c r="AC153" i="42"/>
  <c r="AE152" i="42"/>
  <c r="R143" i="42"/>
  <c r="V143" i="42" s="1"/>
  <c r="W143" i="42" s="1"/>
  <c r="S144" i="42"/>
  <c r="AB144" i="42" l="1"/>
  <c r="AF144" i="42" s="1"/>
  <c r="Z144" i="42"/>
  <c r="AC154" i="42"/>
  <c r="AE153" i="42"/>
  <c r="R144" i="42"/>
  <c r="V144" i="42" s="1"/>
  <c r="W144" i="42" s="1"/>
  <c r="S145" i="42"/>
  <c r="AB145" i="42" l="1"/>
  <c r="AF145" i="42" s="1"/>
  <c r="Z145" i="42"/>
  <c r="AC155" i="42"/>
  <c r="AE154" i="42"/>
  <c r="S146" i="42"/>
  <c r="R145" i="42"/>
  <c r="V145" i="42" s="1"/>
  <c r="W145" i="42" s="1"/>
  <c r="AB146" i="42" l="1"/>
  <c r="AF146" i="42" s="1"/>
  <c r="Z146" i="42"/>
  <c r="AC156" i="42"/>
  <c r="AE155" i="42"/>
  <c r="S147" i="42"/>
  <c r="R146" i="42"/>
  <c r="V146" i="42" s="1"/>
  <c r="W146" i="42" s="1"/>
  <c r="AB147" i="42" l="1"/>
  <c r="AF147" i="42" s="1"/>
  <c r="Z147" i="42"/>
  <c r="AC157" i="42"/>
  <c r="AE156" i="42"/>
  <c r="S148" i="42"/>
  <c r="R147" i="42"/>
  <c r="V147" i="42" s="1"/>
  <c r="W147" i="42" s="1"/>
  <c r="AB148" i="42" l="1"/>
  <c r="AF148" i="42" s="1"/>
  <c r="Z148" i="42"/>
  <c r="AC158" i="42"/>
  <c r="AE157" i="42"/>
  <c r="S149" i="42"/>
  <c r="R148" i="42"/>
  <c r="V148" i="42" s="1"/>
  <c r="W148" i="42" s="1"/>
  <c r="AB149" i="42" l="1"/>
  <c r="AF149" i="42" s="1"/>
  <c r="Z149" i="42"/>
  <c r="AC159" i="42"/>
  <c r="AE158" i="42"/>
  <c r="S150" i="42"/>
  <c r="R149" i="42"/>
  <c r="V149" i="42" s="1"/>
  <c r="W149" i="42" s="1"/>
  <c r="AB150" i="42" l="1"/>
  <c r="AF150" i="42" s="1"/>
  <c r="Z150" i="42"/>
  <c r="AC160" i="42"/>
  <c r="AE159" i="42"/>
  <c r="S151" i="42"/>
  <c r="R150" i="42"/>
  <c r="V150" i="42" s="1"/>
  <c r="W150" i="42" s="1"/>
  <c r="AB151" i="42" l="1"/>
  <c r="AF151" i="42" s="1"/>
  <c r="Z151" i="42"/>
  <c r="AC161" i="42"/>
  <c r="AE160" i="42"/>
  <c r="S152" i="42"/>
  <c r="R151" i="42"/>
  <c r="V151" i="42" s="1"/>
  <c r="W151" i="42" s="1"/>
  <c r="AB152" i="42" l="1"/>
  <c r="AF152" i="42" s="1"/>
  <c r="Z152" i="42"/>
  <c r="AC162" i="42"/>
  <c r="AE161" i="42"/>
  <c r="S153" i="42"/>
  <c r="R152" i="42"/>
  <c r="V152" i="42" s="1"/>
  <c r="W152" i="42" s="1"/>
  <c r="AB153" i="42" l="1"/>
  <c r="AF153" i="42" s="1"/>
  <c r="Z153" i="42"/>
  <c r="AC163" i="42"/>
  <c r="AE162" i="42"/>
  <c r="S154" i="42"/>
  <c r="R153" i="42"/>
  <c r="V153" i="42" s="1"/>
  <c r="W153" i="42" s="1"/>
  <c r="AB154" i="42" l="1"/>
  <c r="AF154" i="42" s="1"/>
  <c r="Z154" i="42"/>
  <c r="AC164" i="42"/>
  <c r="AE163" i="42"/>
  <c r="S155" i="42"/>
  <c r="R154" i="42"/>
  <c r="V154" i="42" s="1"/>
  <c r="W154" i="42" s="1"/>
  <c r="AB155" i="42" l="1"/>
  <c r="AF155" i="42" s="1"/>
  <c r="Z155" i="42"/>
  <c r="AC165" i="42"/>
  <c r="AE164" i="42"/>
  <c r="S156" i="42"/>
  <c r="R155" i="42"/>
  <c r="V155" i="42" s="1"/>
  <c r="W155" i="42" s="1"/>
  <c r="AB156" i="42" l="1"/>
  <c r="AF156" i="42" s="1"/>
  <c r="Z156" i="42"/>
  <c r="AC166" i="42"/>
  <c r="AE165" i="42"/>
  <c r="S157" i="42"/>
  <c r="R156" i="42"/>
  <c r="V156" i="42" s="1"/>
  <c r="W156" i="42" s="1"/>
  <c r="AB157" i="42" l="1"/>
  <c r="AF157" i="42" s="1"/>
  <c r="Z157" i="42"/>
  <c r="AC167" i="42"/>
  <c r="AE166" i="42"/>
  <c r="S158" i="42"/>
  <c r="R157" i="42"/>
  <c r="V157" i="42" s="1"/>
  <c r="W157" i="42" s="1"/>
  <c r="AB158" i="42" l="1"/>
  <c r="AF158" i="42" s="1"/>
  <c r="Z158" i="42"/>
  <c r="AC168" i="42"/>
  <c r="AE167" i="42"/>
  <c r="S159" i="42"/>
  <c r="R158" i="42"/>
  <c r="V158" i="42" s="1"/>
  <c r="W158" i="42" s="1"/>
  <c r="AB159" i="42" l="1"/>
  <c r="AF159" i="42" s="1"/>
  <c r="Z159" i="42"/>
  <c r="AC169" i="42"/>
  <c r="AE168" i="42"/>
  <c r="S160" i="42"/>
  <c r="R159" i="42"/>
  <c r="V159" i="42" s="1"/>
  <c r="W159" i="42" s="1"/>
  <c r="AB160" i="42" l="1"/>
  <c r="AF160" i="42" s="1"/>
  <c r="Z160" i="42"/>
  <c r="AC170" i="42"/>
  <c r="AE169" i="42"/>
  <c r="S161" i="42"/>
  <c r="R160" i="42"/>
  <c r="V160" i="42" s="1"/>
  <c r="W160" i="42" s="1"/>
  <c r="AB161" i="42" l="1"/>
  <c r="AF161" i="42" s="1"/>
  <c r="Z161" i="42"/>
  <c r="AC171" i="42"/>
  <c r="AE170" i="42"/>
  <c r="S162" i="42"/>
  <c r="R161" i="42"/>
  <c r="V161" i="42" s="1"/>
  <c r="W161" i="42" s="1"/>
  <c r="AB162" i="42" l="1"/>
  <c r="AF162" i="42" s="1"/>
  <c r="Z162" i="42"/>
  <c r="AC172" i="42"/>
  <c r="AE171" i="42"/>
  <c r="S163" i="42"/>
  <c r="R162" i="42"/>
  <c r="V162" i="42" s="1"/>
  <c r="W162" i="42" s="1"/>
  <c r="AB163" i="42" l="1"/>
  <c r="AF163" i="42" s="1"/>
  <c r="Z163" i="42"/>
  <c r="AC173" i="42"/>
  <c r="AE172" i="42"/>
  <c r="S164" i="42"/>
  <c r="R163" i="42"/>
  <c r="V163" i="42" s="1"/>
  <c r="W163" i="42" s="1"/>
  <c r="AB164" i="42" l="1"/>
  <c r="AF164" i="42" s="1"/>
  <c r="Z164" i="42"/>
  <c r="AC174" i="42"/>
  <c r="AE173" i="42"/>
  <c r="S165" i="42"/>
  <c r="R164" i="42"/>
  <c r="V164" i="42" s="1"/>
  <c r="W164" i="42" s="1"/>
  <c r="AB165" i="42" l="1"/>
  <c r="AF165" i="42" s="1"/>
  <c r="Z165" i="42"/>
  <c r="AC175" i="42"/>
  <c r="AE174" i="42"/>
  <c r="S166" i="42"/>
  <c r="R165" i="42"/>
  <c r="V165" i="42" s="1"/>
  <c r="W165" i="42" s="1"/>
  <c r="AB166" i="42" l="1"/>
  <c r="AF166" i="42" s="1"/>
  <c r="Z166" i="42"/>
  <c r="AC176" i="42"/>
  <c r="AE175" i="42"/>
  <c r="S167" i="42"/>
  <c r="R166" i="42"/>
  <c r="V166" i="42" s="1"/>
  <c r="W166" i="42" s="1"/>
  <c r="AB167" i="42" l="1"/>
  <c r="AF167" i="42" s="1"/>
  <c r="Z167" i="42"/>
  <c r="AC177" i="42"/>
  <c r="AE176" i="42"/>
  <c r="S168" i="42"/>
  <c r="R167" i="42"/>
  <c r="V167" i="42" s="1"/>
  <c r="W167" i="42" s="1"/>
  <c r="AB168" i="42" l="1"/>
  <c r="AF168" i="42" s="1"/>
  <c r="Z168" i="42"/>
  <c r="AC178" i="42"/>
  <c r="AE177" i="42"/>
  <c r="S169" i="42"/>
  <c r="R168" i="42"/>
  <c r="V168" i="42" s="1"/>
  <c r="W168" i="42" s="1"/>
  <c r="AB169" i="42" l="1"/>
  <c r="AF169" i="42" s="1"/>
  <c r="Z169" i="42"/>
  <c r="AC179" i="42"/>
  <c r="AE178" i="42"/>
  <c r="S170" i="42"/>
  <c r="R169" i="42"/>
  <c r="V169" i="42" s="1"/>
  <c r="W169" i="42" s="1"/>
  <c r="AB170" i="42" l="1"/>
  <c r="AF170" i="42" s="1"/>
  <c r="Z170" i="42"/>
  <c r="AC180" i="42"/>
  <c r="AE179" i="42"/>
  <c r="S171" i="42"/>
  <c r="R170" i="42"/>
  <c r="V170" i="42" s="1"/>
  <c r="W170" i="42" s="1"/>
  <c r="AB171" i="42" l="1"/>
  <c r="AF171" i="42" s="1"/>
  <c r="Z171" i="42"/>
  <c r="AC181" i="42"/>
  <c r="AE180" i="42"/>
  <c r="S172" i="42"/>
  <c r="R171" i="42"/>
  <c r="V171" i="42" s="1"/>
  <c r="W171" i="42" s="1"/>
  <c r="AB172" i="42" l="1"/>
  <c r="AF172" i="42" s="1"/>
  <c r="Z172" i="42"/>
  <c r="AC182" i="42"/>
  <c r="AE181" i="42"/>
  <c r="S173" i="42"/>
  <c r="R172" i="42"/>
  <c r="V172" i="42" s="1"/>
  <c r="W172" i="42" s="1"/>
  <c r="AB173" i="42" l="1"/>
  <c r="AF173" i="42" s="1"/>
  <c r="Z173" i="42"/>
  <c r="AC183" i="42"/>
  <c r="AE182" i="42"/>
  <c r="S174" i="42"/>
  <c r="R173" i="42"/>
  <c r="V173" i="42" s="1"/>
  <c r="W173" i="42" s="1"/>
  <c r="AB174" i="42" l="1"/>
  <c r="AF174" i="42" s="1"/>
  <c r="Z174" i="42"/>
  <c r="AC184" i="42"/>
  <c r="AE183" i="42"/>
  <c r="S175" i="42"/>
  <c r="R174" i="42"/>
  <c r="V174" i="42" s="1"/>
  <c r="W174" i="42" s="1"/>
  <c r="AB175" i="42" l="1"/>
  <c r="AF175" i="42" s="1"/>
  <c r="Z175" i="42"/>
  <c r="AC185" i="42"/>
  <c r="AE184" i="42"/>
  <c r="S176" i="42"/>
  <c r="R175" i="42"/>
  <c r="V175" i="42" s="1"/>
  <c r="W175" i="42" s="1"/>
  <c r="AB176" i="42" l="1"/>
  <c r="AF176" i="42" s="1"/>
  <c r="Z176" i="42"/>
  <c r="AC186" i="42"/>
  <c r="AE185" i="42"/>
  <c r="R176" i="42"/>
  <c r="V176" i="42" s="1"/>
  <c r="W176" i="42" s="1"/>
  <c r="S177" i="42"/>
  <c r="AB177" i="42" l="1"/>
  <c r="AF177" i="42" s="1"/>
  <c r="Z177" i="42"/>
  <c r="AC187" i="42"/>
  <c r="AE186" i="42"/>
  <c r="S178" i="42"/>
  <c r="R177" i="42"/>
  <c r="V177" i="42" s="1"/>
  <c r="W177" i="42" s="1"/>
  <c r="AB178" i="42" l="1"/>
  <c r="AF178" i="42" s="1"/>
  <c r="Z178" i="42"/>
  <c r="AC188" i="42"/>
  <c r="AE187" i="42"/>
  <c r="S179" i="42"/>
  <c r="R178" i="42"/>
  <c r="V178" i="42" s="1"/>
  <c r="W178" i="42" s="1"/>
  <c r="AB179" i="42" l="1"/>
  <c r="AF179" i="42" s="1"/>
  <c r="Z179" i="42"/>
  <c r="AC189" i="42"/>
  <c r="AE188" i="42"/>
  <c r="S180" i="42"/>
  <c r="R179" i="42"/>
  <c r="V179" i="42" s="1"/>
  <c r="W179" i="42" s="1"/>
  <c r="AB180" i="42" l="1"/>
  <c r="AF180" i="42" s="1"/>
  <c r="Z180" i="42"/>
  <c r="AC190" i="42"/>
  <c r="AE189" i="42"/>
  <c r="S181" i="42"/>
  <c r="R180" i="42"/>
  <c r="V180" i="42" s="1"/>
  <c r="W180" i="42" s="1"/>
  <c r="AB181" i="42" l="1"/>
  <c r="AF181" i="42" s="1"/>
  <c r="Z181" i="42"/>
  <c r="AC191" i="42"/>
  <c r="AE190" i="42"/>
  <c r="S182" i="42"/>
  <c r="R181" i="42"/>
  <c r="V181" i="42" s="1"/>
  <c r="W181" i="42" s="1"/>
  <c r="AB182" i="42" l="1"/>
  <c r="AF182" i="42" s="1"/>
  <c r="Z182" i="42"/>
  <c r="AC192" i="42"/>
  <c r="AE191" i="42"/>
  <c r="S183" i="42"/>
  <c r="R182" i="42"/>
  <c r="V182" i="42" s="1"/>
  <c r="W182" i="42" s="1"/>
  <c r="AB183" i="42" l="1"/>
  <c r="AF183" i="42" s="1"/>
  <c r="Z183" i="42"/>
  <c r="AC193" i="42"/>
  <c r="AE192" i="42"/>
  <c r="S184" i="42"/>
  <c r="R183" i="42"/>
  <c r="V183" i="42" s="1"/>
  <c r="W183" i="42" s="1"/>
  <c r="AB184" i="42" l="1"/>
  <c r="AF184" i="42" s="1"/>
  <c r="Z184" i="42"/>
  <c r="AC194" i="42"/>
  <c r="AE193" i="42"/>
  <c r="S185" i="42"/>
  <c r="R184" i="42"/>
  <c r="V184" i="42" s="1"/>
  <c r="W184" i="42" s="1"/>
  <c r="AB185" i="42" l="1"/>
  <c r="AF185" i="42" s="1"/>
  <c r="Z185" i="42"/>
  <c r="AC195" i="42"/>
  <c r="AE194" i="42"/>
  <c r="S186" i="42"/>
  <c r="R185" i="42"/>
  <c r="V185" i="42" s="1"/>
  <c r="W185" i="42" s="1"/>
  <c r="AB186" i="42" l="1"/>
  <c r="AF186" i="42" s="1"/>
  <c r="Z186" i="42"/>
  <c r="AC196" i="42"/>
  <c r="AE195" i="42"/>
  <c r="S187" i="42"/>
  <c r="R186" i="42"/>
  <c r="V186" i="42" s="1"/>
  <c r="W186" i="42" s="1"/>
  <c r="AB187" i="42" l="1"/>
  <c r="AF187" i="42" s="1"/>
  <c r="Z187" i="42"/>
  <c r="AC197" i="42"/>
  <c r="AE196" i="42"/>
  <c r="S188" i="42"/>
  <c r="R187" i="42"/>
  <c r="V187" i="42" s="1"/>
  <c r="W187" i="42" s="1"/>
  <c r="AB188" i="42" l="1"/>
  <c r="AF188" i="42" s="1"/>
  <c r="Z188" i="42"/>
  <c r="AC198" i="42"/>
  <c r="AE197" i="42"/>
  <c r="S189" i="42"/>
  <c r="R188" i="42"/>
  <c r="V188" i="42" s="1"/>
  <c r="W188" i="42" s="1"/>
  <c r="AB189" i="42" l="1"/>
  <c r="AF189" i="42" s="1"/>
  <c r="Z189" i="42"/>
  <c r="AC199" i="42"/>
  <c r="AE198" i="42"/>
  <c r="S190" i="42"/>
  <c r="R189" i="42"/>
  <c r="V189" i="42" s="1"/>
  <c r="W189" i="42" s="1"/>
  <c r="AB190" i="42" l="1"/>
  <c r="AF190" i="42" s="1"/>
  <c r="Z190" i="42"/>
  <c r="AC200" i="42"/>
  <c r="AE199" i="42"/>
  <c r="S191" i="42"/>
  <c r="R190" i="42"/>
  <c r="V190" i="42" s="1"/>
  <c r="W190" i="42" s="1"/>
  <c r="AB191" i="42" l="1"/>
  <c r="AF191" i="42" s="1"/>
  <c r="Z191" i="42"/>
  <c r="AC201" i="42"/>
  <c r="AE201" i="42" s="1"/>
  <c r="AE200" i="42"/>
  <c r="S192" i="42"/>
  <c r="R191" i="42"/>
  <c r="V191" i="42" s="1"/>
  <c r="W191" i="42" s="1"/>
  <c r="AB192" i="42" l="1"/>
  <c r="AF192" i="42" s="1"/>
  <c r="Z192" i="42"/>
  <c r="S193" i="42"/>
  <c r="R192" i="42"/>
  <c r="V192" i="42" s="1"/>
  <c r="W192" i="42" s="1"/>
  <c r="AB193" i="42" l="1"/>
  <c r="AF193" i="42" s="1"/>
  <c r="Z193" i="42"/>
  <c r="S194" i="42"/>
  <c r="R193" i="42"/>
  <c r="V193" i="42" s="1"/>
  <c r="W193" i="42" s="1"/>
  <c r="AB194" i="42" l="1"/>
  <c r="AF194" i="42" s="1"/>
  <c r="Z194" i="42"/>
  <c r="S195" i="42"/>
  <c r="R194" i="42"/>
  <c r="V194" i="42" s="1"/>
  <c r="W194" i="42" s="1"/>
  <c r="AB195" i="42" l="1"/>
  <c r="AF195" i="42" s="1"/>
  <c r="Z195" i="42"/>
  <c r="S196" i="42"/>
  <c r="R195" i="42"/>
  <c r="V195" i="42" s="1"/>
  <c r="W195" i="42" s="1"/>
  <c r="AB196" i="42" l="1"/>
  <c r="AF196" i="42" s="1"/>
  <c r="Z196" i="42"/>
  <c r="S197" i="42"/>
  <c r="R196" i="42"/>
  <c r="V196" i="42" s="1"/>
  <c r="W196" i="42" s="1"/>
  <c r="AB197" i="42" l="1"/>
  <c r="AF197" i="42" s="1"/>
  <c r="Z197" i="42"/>
  <c r="S198" i="42"/>
  <c r="R197" i="42"/>
  <c r="V197" i="42" s="1"/>
  <c r="W197" i="42" s="1"/>
  <c r="AB198" i="42" l="1"/>
  <c r="AF198" i="42" s="1"/>
  <c r="Z198" i="42"/>
  <c r="S199" i="42"/>
  <c r="R198" i="42"/>
  <c r="V198" i="42" s="1"/>
  <c r="W198" i="42" s="1"/>
  <c r="AB199" i="42" l="1"/>
  <c r="AF199" i="42" s="1"/>
  <c r="Z199" i="42"/>
  <c r="S200" i="42"/>
  <c r="R199" i="42"/>
  <c r="V199" i="42" s="1"/>
  <c r="W199" i="42" s="1"/>
  <c r="AB200" i="42" l="1"/>
  <c r="AF200" i="42" s="1"/>
  <c r="Z200" i="42"/>
  <c r="R200" i="42"/>
  <c r="V200" i="42" s="1"/>
  <c r="W200" i="42" s="1"/>
  <c r="S201" i="42"/>
  <c r="Z201" i="42" s="1"/>
  <c r="R201" i="42" l="1"/>
  <c r="V201" i="42" s="1"/>
  <c r="W201" i="42" s="1"/>
  <c r="AB201" i="42"/>
  <c r="AF201" i="42" s="1"/>
</calcChain>
</file>

<file path=xl/sharedStrings.xml><?xml version="1.0" encoding="utf-8"?>
<sst xmlns="http://schemas.openxmlformats.org/spreadsheetml/2006/main" count="592" uniqueCount="534">
  <si>
    <t>现价</t>
  </si>
  <si>
    <t>市净率</t>
  </si>
  <si>
    <t>代码</t>
  </si>
  <si>
    <t xml:space="preserve">    名称</t>
  </si>
  <si>
    <t>总市值</t>
  </si>
  <si>
    <t>TTM市盈率</t>
  </si>
  <si>
    <t>所属行业</t>
  </si>
  <si>
    <t>--</t>
  </si>
  <si>
    <t>预期多</t>
    <phoneticPr fontId="1" type="noConversion"/>
  </si>
  <si>
    <t>预期空</t>
    <phoneticPr fontId="1" type="noConversion"/>
  </si>
  <si>
    <t>负债合计</t>
  </si>
  <si>
    <t>所有者权益合计</t>
  </si>
  <si>
    <t>主营业务收入</t>
  </si>
  <si>
    <t>当季营业收入(同比增长率) %</t>
  </si>
  <si>
    <t>去年营业总收入</t>
  </si>
  <si>
    <t>净利润？</t>
  </si>
  <si>
    <t>净利润增长率</t>
  </si>
  <si>
    <t>去年净利润</t>
  </si>
  <si>
    <t>销售毛利率同比增长率</t>
  </si>
  <si>
    <t>总股本</t>
  </si>
  <si>
    <t>权益乘数</t>
  </si>
  <si>
    <t>总资产周转率</t>
  </si>
  <si>
    <t>净利润／营业总收入</t>
  </si>
  <si>
    <t>营业总成本</t>
  </si>
  <si>
    <t>营业成本</t>
  </si>
  <si>
    <t>管理费用</t>
  </si>
  <si>
    <t>研发费用总额</t>
  </si>
  <si>
    <t>财务费用</t>
  </si>
  <si>
    <t>投资收益</t>
  </si>
  <si>
    <t>应收账款</t>
  </si>
  <si>
    <t>年份</t>
    <phoneticPr fontId="1" type="noConversion"/>
  </si>
  <si>
    <t>增速</t>
    <phoneticPr fontId="1" type="noConversion"/>
  </si>
  <si>
    <t>现期负债</t>
    <phoneticPr fontId="1" type="noConversion"/>
  </si>
  <si>
    <t>现期净资产</t>
    <phoneticPr fontId="1" type="noConversion"/>
  </si>
  <si>
    <t>收益基准</t>
    <phoneticPr fontId="1" type="noConversion"/>
  </si>
  <si>
    <t>估计收益</t>
    <phoneticPr fontId="1" type="noConversion"/>
  </si>
  <si>
    <t>现期利润</t>
    <phoneticPr fontId="1" type="noConversion"/>
  </si>
  <si>
    <t>现期利润增速</t>
    <phoneticPr fontId="1" type="noConversion"/>
  </si>
  <si>
    <t>期限时长</t>
    <phoneticPr fontId="1" type="noConversion"/>
  </si>
  <si>
    <t>现期市值</t>
    <phoneticPr fontId="1" type="noConversion"/>
  </si>
  <si>
    <t>现期溢价</t>
    <phoneticPr fontId="1" type="noConversion"/>
  </si>
  <si>
    <t>现期静现金</t>
    <phoneticPr fontId="1" type="noConversion"/>
  </si>
  <si>
    <t>未来静现金流总和</t>
    <phoneticPr fontId="1" type="noConversion"/>
  </si>
  <si>
    <t>折现率</t>
    <phoneticPr fontId="1" type="noConversion"/>
  </si>
  <si>
    <t>倍率</t>
    <phoneticPr fontId="1" type="noConversion"/>
  </si>
  <si>
    <t>回本时长</t>
    <phoneticPr fontId="1" type="noConversion"/>
  </si>
  <si>
    <t>复利公式</t>
    <phoneticPr fontId="1" type="noConversion"/>
  </si>
  <si>
    <t>折现计算</t>
    <phoneticPr fontId="1" type="noConversion"/>
  </si>
  <si>
    <t>未来盈利估算</t>
    <phoneticPr fontId="1" type="noConversion"/>
  </si>
  <si>
    <t>未来盈利增速估计</t>
    <phoneticPr fontId="1" type="noConversion"/>
  </si>
  <si>
    <t>折现率</t>
    <phoneticPr fontId="1" type="noConversion"/>
  </si>
  <si>
    <t>存续年限现金流求和</t>
    <phoneticPr fontId="1" type="noConversion"/>
  </si>
  <si>
    <t>折算溢价回本比例</t>
    <phoneticPr fontId="1" type="noConversion"/>
  </si>
  <si>
    <t>市值</t>
    <phoneticPr fontId="1" type="noConversion"/>
  </si>
  <si>
    <t>净资产含量</t>
    <phoneticPr fontId="1" type="noConversion"/>
  </si>
  <si>
    <t>当期pe</t>
    <phoneticPr fontId="1" type="noConversion"/>
  </si>
  <si>
    <t>净利率估算</t>
    <phoneticPr fontId="1" type="noConversion"/>
  </si>
  <si>
    <t>未来营收估算</t>
    <phoneticPr fontId="1" type="noConversion"/>
  </si>
  <si>
    <t>潜在市场容量</t>
    <phoneticPr fontId="1" type="noConversion"/>
  </si>
  <si>
    <t>市占率</t>
    <phoneticPr fontId="1" type="noConversion"/>
  </si>
  <si>
    <t>对应市场份额</t>
    <phoneticPr fontId="1" type="noConversion"/>
  </si>
  <si>
    <t>市场份额小于营收估算警戒</t>
    <phoneticPr fontId="1" type="noConversion"/>
  </si>
  <si>
    <t>事件触发</t>
    <phoneticPr fontId="1" type="noConversion"/>
  </si>
  <si>
    <t>流动资产</t>
  </si>
  <si>
    <t>营业收入[20191231]</t>
  </si>
  <si>
    <t>营业收入[20181231]</t>
  </si>
  <si>
    <t>营业收入[20171231]</t>
  </si>
  <si>
    <t>营业收入[20161231]</t>
  </si>
  <si>
    <t>营业收入[20151231]</t>
  </si>
  <si>
    <t>净利润[20191231]</t>
  </si>
  <si>
    <t>净利润[20181231]</t>
  </si>
  <si>
    <t>净利润[20171231]</t>
  </si>
  <si>
    <t>净利润[20161231]</t>
  </si>
  <si>
    <t>净利润[20151231]</t>
  </si>
  <si>
    <t>投入资本回报率roic%[20201231]</t>
  </si>
  <si>
    <t>投入资本回报率roic%[20191231]</t>
  </si>
  <si>
    <t>投入资本回报率roic%[20181231]</t>
  </si>
  <si>
    <t>净资产收益率%[20201231]</t>
  </si>
  <si>
    <t>净资产收益率%[20191231]</t>
  </si>
  <si>
    <t>净资产收益率%[20181231]</t>
  </si>
  <si>
    <t>销售毛利率%[20201231]</t>
  </si>
  <si>
    <t>销售毛利率%[20191231]</t>
  </si>
  <si>
    <t>销售净利率%[20201231]</t>
  </si>
  <si>
    <t>销售净利率%[20191231]</t>
  </si>
  <si>
    <t>N-1年营收增速</t>
  </si>
  <si>
    <t>N-2年营收增速</t>
  </si>
  <si>
    <t>N-3年营收增速</t>
  </si>
  <si>
    <t>N-4年营收增速</t>
  </si>
  <si>
    <t>N-5年营收增速</t>
  </si>
  <si>
    <t>N-1年利润增速</t>
  </si>
  <si>
    <t>N-2年利润增速</t>
  </si>
  <si>
    <t>N-3年利润增速</t>
  </si>
  <si>
    <t>N-4年利润增速</t>
  </si>
  <si>
    <t>N-5年利润增速</t>
  </si>
  <si>
    <t>市销率</t>
    <phoneticPr fontId="1" type="noConversion"/>
  </si>
  <si>
    <t>扣非对比净利润</t>
    <phoneticPr fontId="1" type="noConversion"/>
  </si>
  <si>
    <t>过往营收增速均值</t>
    <phoneticPr fontId="1" type="noConversion"/>
  </si>
  <si>
    <t>过往利润增速均值</t>
    <phoneticPr fontId="1" type="noConversion"/>
  </si>
  <si>
    <t>1年自由现金流折现</t>
    <phoneticPr fontId="1" type="noConversion"/>
  </si>
  <si>
    <t>6年自由现金流折现</t>
    <phoneticPr fontId="1" type="noConversion"/>
  </si>
  <si>
    <t>6增速</t>
    <phoneticPr fontId="1" type="noConversion"/>
  </si>
  <si>
    <t>10年自由现金流折现</t>
    <phoneticPr fontId="1" type="noConversion"/>
  </si>
  <si>
    <t>10增速</t>
    <phoneticPr fontId="1" type="noConversion"/>
  </si>
  <si>
    <t>20增速</t>
  </si>
  <si>
    <t>当期自由现金流估计值</t>
  </si>
  <si>
    <t>自由现金流估计增速</t>
  </si>
  <si>
    <t>清算价格</t>
    <phoneticPr fontId="1" type="noConversion"/>
  </si>
  <si>
    <t>利润成长策略</t>
    <phoneticPr fontId="1" type="noConversion"/>
  </si>
  <si>
    <t>营收和利润加权</t>
    <phoneticPr fontId="1" type="noConversion"/>
  </si>
  <si>
    <t>综合策略</t>
    <phoneticPr fontId="1" type="noConversion"/>
  </si>
  <si>
    <t>机会区域号</t>
    <phoneticPr fontId="1" type="noConversion"/>
  </si>
  <si>
    <t>已知和基本信息</t>
    <phoneticPr fontId="1" type="noConversion"/>
  </si>
  <si>
    <t>近期roe</t>
    <phoneticPr fontId="1" type="noConversion"/>
  </si>
  <si>
    <t>1增速</t>
    <phoneticPr fontId="1" type="noConversion"/>
  </si>
  <si>
    <t>3年自由现金流折现</t>
    <phoneticPr fontId="1" type="noConversion"/>
  </si>
  <si>
    <t>3增速</t>
    <phoneticPr fontId="1" type="noConversion"/>
  </si>
  <si>
    <t>20年自由现金流折现</t>
    <phoneticPr fontId="1" type="noConversion"/>
  </si>
  <si>
    <t>承担负债现期溢价</t>
    <phoneticPr fontId="1" type="noConversion"/>
  </si>
  <si>
    <t>原始排序</t>
    <phoneticPr fontId="1" type="noConversion"/>
  </si>
  <si>
    <t>策略1营收单季最佳增速</t>
    <phoneticPr fontId="1" type="noConversion"/>
  </si>
  <si>
    <t>策略1利润单季最佳增速</t>
    <phoneticPr fontId="1" type="noConversion"/>
  </si>
  <si>
    <t>营收成长策略</t>
    <phoneticPr fontId="1" type="noConversion"/>
  </si>
  <si>
    <t>价格变动策略</t>
    <phoneticPr fontId="1" type="noConversion"/>
  </si>
  <si>
    <t>成交量变动策略</t>
    <phoneticPr fontId="1" type="noConversion"/>
  </si>
  <si>
    <t>量价齐升策略</t>
    <phoneticPr fontId="1" type="noConversion"/>
  </si>
  <si>
    <t>基本面排序</t>
    <phoneticPr fontId="1" type="noConversion"/>
  </si>
  <si>
    <t>CYLQ营业收入[20210331]</t>
  </si>
  <si>
    <t>LYCQ营业收入[20200630]</t>
  </si>
  <si>
    <t>LYLQ营业收入[20200331]</t>
  </si>
  <si>
    <t>CYLQ净利润[20210331]</t>
  </si>
  <si>
    <t>LYCQ净利润[20200630]</t>
  </si>
  <si>
    <t>LYLQ净利润[20200331]</t>
  </si>
  <si>
    <t>涨幅%</t>
  </si>
  <si>
    <t>销售费用[20220331]</t>
  </si>
  <si>
    <t>其他收入[20220331]</t>
  </si>
  <si>
    <t>货币资金[20220331]</t>
  </si>
  <si>
    <t>应收票据[20220331]</t>
  </si>
  <si>
    <t>固定资产[20220331]</t>
  </si>
  <si>
    <t>在建工程[20220331]</t>
  </si>
  <si>
    <t>短期借款[20220331]</t>
  </si>
  <si>
    <t>应付票据[20220331]</t>
  </si>
  <si>
    <t>应付账款[20220331]</t>
  </si>
  <si>
    <t>预收款项[20220331]</t>
  </si>
  <si>
    <t>流动负债[20220331]</t>
  </si>
  <si>
    <t>长期借款[20220331]</t>
  </si>
  <si>
    <t>经营活动产生的现金流量净额[20220331]</t>
  </si>
  <si>
    <t>投资活动产生的现金流量净额[20220331]</t>
  </si>
  <si>
    <t>筹资活动产生的现金流量净额[20220331]</t>
  </si>
  <si>
    <t>投入资本回报率roic%[20211231]</t>
  </si>
  <si>
    <t>净资产收益率%[20211231]</t>
  </si>
  <si>
    <t>量比</t>
  </si>
  <si>
    <t>扣除非经常性损益后的净利润[20220331]</t>
  </si>
  <si>
    <t>区间涨跌幅:前复权%[20220613-20220617]</t>
  </si>
  <si>
    <t>区间涨跌幅:前复权%[20220506-20220617]</t>
  </si>
  <si>
    <t>区间成交量[20220613-20220617]</t>
  </si>
  <si>
    <t>指数@区间成交量[20220506-20220617]</t>
  </si>
  <si>
    <t>1.07亿</t>
  </si>
  <si>
    <t>扭亏</t>
  </si>
  <si>
    <t>2.05亿</t>
  </si>
  <si>
    <t>4.02亿</t>
  </si>
  <si>
    <t>1.20亿</t>
  </si>
  <si>
    <t>1.42亿</t>
  </si>
  <si>
    <t>0亿</t>
  </si>
  <si>
    <t>6.15亿</t>
  </si>
  <si>
    <t>4.38亿</t>
  </si>
  <si>
    <t>5.85亿</t>
  </si>
  <si>
    <t>11.66亿</t>
  </si>
  <si>
    <t>-1.62亿</t>
  </si>
  <si>
    <t>7.47亿</t>
  </si>
  <si>
    <t>8.00亿</t>
  </si>
  <si>
    <t>-1.85亿</t>
  </si>
  <si>
    <t>5.22亿</t>
  </si>
  <si>
    <t>1.08亿</t>
  </si>
  <si>
    <t>10.25亿</t>
  </si>
  <si>
    <t>1.23亿</t>
  </si>
  <si>
    <t>-1-0</t>
  </si>
  <si>
    <t>SH603529</t>
  </si>
  <si>
    <t>爱玛科技</t>
  </si>
  <si>
    <t>419.62万</t>
  </si>
  <si>
    <t>非汽车交运</t>
  </si>
  <si>
    <t>SH603489</t>
  </si>
  <si>
    <t>八方股份</t>
  </si>
  <si>
    <t>电力设备</t>
  </si>
  <si>
    <t>SH600818</t>
  </si>
  <si>
    <t>中路股份</t>
  </si>
  <si>
    <t>709.84万</t>
  </si>
  <si>
    <t>SH600679</t>
  </si>
  <si>
    <t>上海凤凰</t>
  </si>
  <si>
    <t>179.76万</t>
  </si>
  <si>
    <t>SZ300994</t>
  </si>
  <si>
    <t>久祺股份</t>
  </si>
  <si>
    <t>605.55万</t>
  </si>
  <si>
    <t>SH603787</t>
  </si>
  <si>
    <t>新日股份</t>
  </si>
  <si>
    <t>165.69万</t>
  </si>
  <si>
    <t>SZ000017</t>
  </si>
  <si>
    <t>深中华A</t>
  </si>
  <si>
    <t>家用轻工</t>
  </si>
  <si>
    <t>SZ002105</t>
  </si>
  <si>
    <t>信隆健康</t>
  </si>
  <si>
    <t>682.93万</t>
  </si>
  <si>
    <t>136.21亿</t>
  </si>
  <si>
    <t>62.12亿</t>
  </si>
  <si>
    <t>17228264000亿</t>
  </si>
  <si>
    <t>153.99亿</t>
  </si>
  <si>
    <t>6.64亿</t>
  </si>
  <si>
    <t>155.84亿</t>
  </si>
  <si>
    <t>145.91亿</t>
  </si>
  <si>
    <t>4.75亿</t>
  </si>
  <si>
    <t>3.18亿</t>
  </si>
  <si>
    <t>2.13亿</t>
  </si>
  <si>
    <t>15551151亿</t>
  </si>
  <si>
    <t>2027.92万</t>
  </si>
  <si>
    <t>1364298500亿</t>
  </si>
  <si>
    <t>97.48亿</t>
  </si>
  <si>
    <t>391612340亿</t>
  </si>
  <si>
    <t>13859547000亿</t>
  </si>
  <si>
    <t>1.58亿</t>
  </si>
  <si>
    <t>61.45亿</t>
  </si>
  <si>
    <t>53.71亿</t>
  </si>
  <si>
    <t>905.02万</t>
  </si>
  <si>
    <t>134.32亿</t>
  </si>
  <si>
    <t>63.83亿</t>
  </si>
  <si>
    <t>1.45亿</t>
  </si>
  <si>
    <t>129.05亿</t>
  </si>
  <si>
    <t>104.24亿</t>
  </si>
  <si>
    <t>89.90亿</t>
  </si>
  <si>
    <t>77.94亿</t>
  </si>
  <si>
    <t>64.44亿</t>
  </si>
  <si>
    <t>5.99亿</t>
  </si>
  <si>
    <t>4.28亿</t>
  </si>
  <si>
    <t>2.63亿</t>
  </si>
  <si>
    <t>4.49亿</t>
  </si>
  <si>
    <t>94.38亿</t>
  </si>
  <si>
    <t>125.13亿</t>
  </si>
  <si>
    <t>73.12亿</t>
  </si>
  <si>
    <t>6.90亿</t>
  </si>
  <si>
    <t>5.78亿</t>
  </si>
  <si>
    <t>3.14亿</t>
  </si>
  <si>
    <t>其他交运设备</t>
  </si>
  <si>
    <t>1932.89万</t>
  </si>
  <si>
    <t>1.34亿</t>
  </si>
  <si>
    <t>2-0</t>
  </si>
  <si>
    <t>31.42万</t>
  </si>
  <si>
    <t>7.35亿</t>
  </si>
  <si>
    <t>28.47亿</t>
  </si>
  <si>
    <t>2379393800亿</t>
  </si>
  <si>
    <t>26.47亿</t>
  </si>
  <si>
    <t>6.07亿</t>
  </si>
  <si>
    <t>18.21亿</t>
  </si>
  <si>
    <t>16.31亿</t>
  </si>
  <si>
    <t>7071.20万</t>
  </si>
  <si>
    <t>7674.29万</t>
  </si>
  <si>
    <t>4167.92万</t>
  </si>
  <si>
    <t>723121亿</t>
  </si>
  <si>
    <t>367.41万</t>
  </si>
  <si>
    <t>475071220亿</t>
  </si>
  <si>
    <t>13.57亿</t>
  </si>
  <si>
    <t>714576830亿</t>
  </si>
  <si>
    <t>2931038400亿</t>
  </si>
  <si>
    <t>8851.12万</t>
  </si>
  <si>
    <t>5.65亿</t>
  </si>
  <si>
    <t>7.23亿</t>
  </si>
  <si>
    <t>1.74亿</t>
  </si>
  <si>
    <t>-3.07亿</t>
  </si>
  <si>
    <t>-3.17亿</t>
  </si>
  <si>
    <t>13.97亿</t>
  </si>
  <si>
    <t>11.97亿</t>
  </si>
  <si>
    <t>9.42亿</t>
  </si>
  <si>
    <t>3.92亿</t>
  </si>
  <si>
    <t>3.24亿</t>
  </si>
  <si>
    <t>2.32亿</t>
  </si>
  <si>
    <t>5332.97万</t>
  </si>
  <si>
    <t>8933.91万</t>
  </si>
  <si>
    <t>15.42亿</t>
  </si>
  <si>
    <t>18.98亿</t>
  </si>
  <si>
    <t>12.32亿</t>
  </si>
  <si>
    <t>3.50亿</t>
  </si>
  <si>
    <t>4.34亿</t>
  </si>
  <si>
    <t>3.09亿</t>
  </si>
  <si>
    <t>电机</t>
  </si>
  <si>
    <t>180.35万</t>
  </si>
  <si>
    <t>1902.70万</t>
  </si>
  <si>
    <t>-3-0</t>
  </si>
  <si>
    <t xml:space="preserve">
市值134.54032亿, 利润6.07亿; PE20.8, PB4.73; 毛利39.8633%; 净利26.19%; 上一年度营收增89.48%, 利润增51%; 当季营收增25.73%, 利润增-0.53%; 过往5年营收增48.66%, 利润增81.89%
Income profile:
</t>
  </si>
  <si>
    <t>3.51亿</t>
  </si>
  <si>
    <t>6.89亿</t>
  </si>
  <si>
    <t>704537410亿</t>
  </si>
  <si>
    <t>7.22亿</t>
  </si>
  <si>
    <t>3712.13万</t>
  </si>
  <si>
    <t>5.97亿</t>
  </si>
  <si>
    <t>2936.05万</t>
  </si>
  <si>
    <t>4271.11万</t>
  </si>
  <si>
    <t>1448.49万</t>
  </si>
  <si>
    <t>40965489亿</t>
  </si>
  <si>
    <t>58.91万</t>
  </si>
  <si>
    <t>11340819亿</t>
  </si>
  <si>
    <t>64152807亿</t>
  </si>
  <si>
    <t>30.00万</t>
  </si>
  <si>
    <t>380327710亿</t>
  </si>
  <si>
    <t>478.87万</t>
  </si>
  <si>
    <t>1700.72万</t>
  </si>
  <si>
    <t>7854.96万</t>
  </si>
  <si>
    <t>93.25万</t>
  </si>
  <si>
    <t>2.55亿</t>
  </si>
  <si>
    <t>3706.48万</t>
  </si>
  <si>
    <t>9088.89万</t>
  </si>
  <si>
    <t>1797.77万</t>
  </si>
  <si>
    <t>-2715.43万</t>
  </si>
  <si>
    <t>7.34亿</t>
  </si>
  <si>
    <t>5.29亿</t>
  </si>
  <si>
    <t>6.04亿</t>
  </si>
  <si>
    <t>6.81亿</t>
  </si>
  <si>
    <t>9613.36万</t>
  </si>
  <si>
    <t>-6303.35万</t>
  </si>
  <si>
    <t>506.79万</t>
  </si>
  <si>
    <t>3127.48万</t>
  </si>
  <si>
    <t>9036.50万</t>
  </si>
  <si>
    <t>3.91亿</t>
  </si>
  <si>
    <t>5.49亿</t>
  </si>
  <si>
    <t>3.48亿</t>
  </si>
  <si>
    <t>1115.93万</t>
  </si>
  <si>
    <t>2321.04万</t>
  </si>
  <si>
    <t>2046.49万</t>
  </si>
  <si>
    <t>2350.18万</t>
  </si>
  <si>
    <t>1.48亿</t>
  </si>
  <si>
    <t>6-0</t>
  </si>
  <si>
    <t>8.62亿</t>
  </si>
  <si>
    <t>25.10亿</t>
  </si>
  <si>
    <t>1103031700亿</t>
  </si>
  <si>
    <t>20.58亿</t>
  </si>
  <si>
    <t>1.04亿</t>
  </si>
  <si>
    <t>8.85亿</t>
  </si>
  <si>
    <t>3868.86万</t>
  </si>
  <si>
    <t>9614.66万</t>
  </si>
  <si>
    <t>906.85万</t>
  </si>
  <si>
    <t>13407913亿</t>
  </si>
  <si>
    <t>22.25万</t>
  </si>
  <si>
    <t>52521857亿</t>
  </si>
  <si>
    <t>370422920亿</t>
  </si>
  <si>
    <t>3509.36万</t>
  </si>
  <si>
    <t>1673853800亿</t>
  </si>
  <si>
    <t>632.61万</t>
  </si>
  <si>
    <t>8572.14万</t>
  </si>
  <si>
    <t>1.54亿</t>
  </si>
  <si>
    <t>1.51亿</t>
  </si>
  <si>
    <t>119.73万</t>
  </si>
  <si>
    <t>7.20亿</t>
  </si>
  <si>
    <t>2014.66万</t>
  </si>
  <si>
    <t>1025.34万</t>
  </si>
  <si>
    <t>-1.17亿</t>
  </si>
  <si>
    <t>13.76亿</t>
  </si>
  <si>
    <t>9.75亿</t>
  </si>
  <si>
    <t>7.62亿</t>
  </si>
  <si>
    <t>14.28亿</t>
  </si>
  <si>
    <t>6.30亿</t>
  </si>
  <si>
    <t>6072.23万</t>
  </si>
  <si>
    <t>2691.90万</t>
  </si>
  <si>
    <t>2018.02万</t>
  </si>
  <si>
    <t>7682.41万</t>
  </si>
  <si>
    <t>5288.61万</t>
  </si>
  <si>
    <t>7.67亿</t>
  </si>
  <si>
    <t>16.18亿</t>
  </si>
  <si>
    <t>11.77亿</t>
  </si>
  <si>
    <t>5317.11万</t>
  </si>
  <si>
    <t>8936.90万</t>
  </si>
  <si>
    <t>6219.50万</t>
  </si>
  <si>
    <t>777.40万</t>
  </si>
  <si>
    <t>3399.51万</t>
  </si>
  <si>
    <t>1870690800亿</t>
  </si>
  <si>
    <t>37.10亿</t>
  </si>
  <si>
    <t>16.93亿</t>
  </si>
  <si>
    <t>16.20亿</t>
  </si>
  <si>
    <t>2103.78万</t>
  </si>
  <si>
    <t>1043.15万</t>
  </si>
  <si>
    <t>4476887亿</t>
  </si>
  <si>
    <t>12.56万</t>
  </si>
  <si>
    <t>145726310亿</t>
  </si>
  <si>
    <t>479540020亿</t>
  </si>
  <si>
    <t>1702389000亿</t>
  </si>
  <si>
    <t>2650.98万</t>
  </si>
  <si>
    <t>3.06亿</t>
  </si>
  <si>
    <t>2.66亿</t>
  </si>
  <si>
    <t>1596.96万</t>
  </si>
  <si>
    <t>7.46亿</t>
  </si>
  <si>
    <t>2.49亿</t>
  </si>
  <si>
    <t>-3.57亿</t>
  </si>
  <si>
    <t>-1.25亿</t>
  </si>
  <si>
    <t>22.86亿</t>
  </si>
  <si>
    <t>17.95亿</t>
  </si>
  <si>
    <t>18.20亿</t>
  </si>
  <si>
    <t>17.56亿</t>
  </si>
  <si>
    <t>1.57亿</t>
  </si>
  <si>
    <t>1.02亿</t>
  </si>
  <si>
    <t>5162.19万</t>
  </si>
  <si>
    <t>3254.59万</t>
  </si>
  <si>
    <t>13.61亿</t>
  </si>
  <si>
    <t>25.93亿</t>
  </si>
  <si>
    <t>15.79亿</t>
  </si>
  <si>
    <t>1.01亿</t>
  </si>
  <si>
    <t>1.47亿</t>
  </si>
  <si>
    <t>8545.39万</t>
  </si>
  <si>
    <t>2170.29万</t>
  </si>
  <si>
    <t>7528.12万</t>
  </si>
  <si>
    <t>公司主要从事自行车整车及其零部件和相关衍生产品的设计、研发、生产和销售。公司主要产品包括儿童自行车、成人自行车、助力电动自行车等整车及相关配件产品。
市值42.82992亿, 利润2.05亿; PE20.22, PB3.84; 毛利16.8867%; 净利6.6633%; 上一年度营收增62.29%, 利润增30.57%; 当季营收增-49.73%, 利润增-14.21%; 过往5年营收增22.98%, 利润增60.17%
Income profile:
整车类 23.29亿 62.77% 82.33% 28.13%
配件 12.40亿 33.43% 16.87% 10.82%
按地区：
境外 36.63亿 98.73% 98.99% 12.67%
境内 4715.57万 1.27% 1.01% 10.01%</t>
  </si>
  <si>
    <t>28.89亿</t>
  </si>
  <si>
    <t>11.40亿</t>
  </si>
  <si>
    <t>4100197200亿</t>
  </si>
  <si>
    <t>42.81亿</t>
  </si>
  <si>
    <t>1137.07万</t>
  </si>
  <si>
    <t>39.30亿</t>
  </si>
  <si>
    <t>35.66亿</t>
  </si>
  <si>
    <t>2.17亿</t>
  </si>
  <si>
    <t>8990.26万</t>
  </si>
  <si>
    <t>4439.72万</t>
  </si>
  <si>
    <t>1589850亿</t>
  </si>
  <si>
    <t>331.24万</t>
  </si>
  <si>
    <t>146588710亿</t>
  </si>
  <si>
    <t>22.49亿</t>
  </si>
  <si>
    <t>220353470亿</t>
  </si>
  <si>
    <t>2834743300亿</t>
  </si>
  <si>
    <t>1.56亿</t>
  </si>
  <si>
    <t>13.65亿</t>
  </si>
  <si>
    <t>10.07亿</t>
  </si>
  <si>
    <t>534.38万</t>
  </si>
  <si>
    <t>28.73亿</t>
  </si>
  <si>
    <t>8.67亿</t>
  </si>
  <si>
    <t>-1.90亿</t>
  </si>
  <si>
    <t>-1359.74万</t>
  </si>
  <si>
    <t>50.68亿</t>
  </si>
  <si>
    <t>30.56亿</t>
  </si>
  <si>
    <t>30.50亿</t>
  </si>
  <si>
    <t>26.96亿</t>
  </si>
  <si>
    <t>20.55亿</t>
  </si>
  <si>
    <t>7052.71万</t>
  </si>
  <si>
    <t>8865.44万</t>
  </si>
  <si>
    <t>7325.15万</t>
  </si>
  <si>
    <t>7620.55万</t>
  </si>
  <si>
    <t>23.78亿</t>
  </si>
  <si>
    <t>33.98亿</t>
  </si>
  <si>
    <t>20.30亿</t>
  </si>
  <si>
    <t>6523.74万</t>
  </si>
  <si>
    <t>3310.13万</t>
  </si>
  <si>
    <t>1219.46万</t>
  </si>
  <si>
    <t>1182.89万</t>
  </si>
  <si>
    <t>6833.13万</t>
  </si>
  <si>
    <t>5-1</t>
  </si>
  <si>
    <t xml:space="preserve">
市值39.8412亿, 利润1137.07万; PE30.75, PB3.5; 毛利12.8%; 净利2.3667%; 上一年度营收增-15.53%, 利润增-88.85%; 当季营收增25.89%, 利润增311.69%; 过往5年营收增18.97%, 利润增-9.5%
Income profile:
</t>
  </si>
  <si>
    <t>2508.22万</t>
  </si>
  <si>
    <t>7556.41万</t>
  </si>
  <si>
    <t>2618.60万</t>
  </si>
  <si>
    <t>149163330亿</t>
  </si>
  <si>
    <t>1.65亿</t>
  </si>
  <si>
    <t>-198.67万</t>
  </si>
  <si>
    <t>1.38亿</t>
  </si>
  <si>
    <t>336.53万</t>
  </si>
  <si>
    <t>561.57万</t>
  </si>
  <si>
    <t>69.42万</t>
  </si>
  <si>
    <t>182.94万</t>
  </si>
  <si>
    <t>51913亿</t>
  </si>
  <si>
    <t>2064.59万</t>
  </si>
  <si>
    <t>58521346亿</t>
  </si>
  <si>
    <t>65.00万</t>
  </si>
  <si>
    <t>96953947亿</t>
  </si>
  <si>
    <t>1437.77万</t>
  </si>
  <si>
    <t>7552.51万</t>
  </si>
  <si>
    <t>-1519.77万</t>
  </si>
  <si>
    <t>-4.31万</t>
  </si>
  <si>
    <t>-33.63万</t>
  </si>
  <si>
    <t>1.18亿</t>
  </si>
  <si>
    <t>7602.27万</t>
  </si>
  <si>
    <t>1.37亿</t>
  </si>
  <si>
    <t>378.58万</t>
  </si>
  <si>
    <t>-718.69万</t>
  </si>
  <si>
    <t>-159.20万</t>
  </si>
  <si>
    <t>152.96万</t>
  </si>
  <si>
    <t>260.36万</t>
  </si>
  <si>
    <t>8324.37万</t>
  </si>
  <si>
    <t>5413.03万</t>
  </si>
  <si>
    <t>-148.34万</t>
  </si>
  <si>
    <t>194.13万</t>
  </si>
  <si>
    <t>136.55万</t>
  </si>
  <si>
    <t>饰品</t>
  </si>
  <si>
    <t>8359.43万</t>
  </si>
  <si>
    <t>3.97亿</t>
  </si>
  <si>
    <t xml:space="preserve">
市值32.116018亿, 利润-198.67万; PE, PB10.75; 毛利9.3767%; 净利-2.5733%; 上一年度营收增39.83%, 利润增-152.48%; 当季营收增44.82%, 利润增368.08%; 过往5年营收增8.49%, 利润增-119.31%
Income profile:
</t>
  </si>
  <si>
    <t>9.07亿</t>
  </si>
  <si>
    <t>10.63亿</t>
  </si>
  <si>
    <t>1470017000亿</t>
  </si>
  <si>
    <t>26.34亿</t>
  </si>
  <si>
    <t>2.73亿</t>
  </si>
  <si>
    <t>12.42亿</t>
  </si>
  <si>
    <t>11.24亿</t>
  </si>
  <si>
    <t>2448.02万</t>
  </si>
  <si>
    <t>6244.85万</t>
  </si>
  <si>
    <t>2964.06万</t>
  </si>
  <si>
    <t>-2786987亿</t>
  </si>
  <si>
    <t>1354.68万</t>
  </si>
  <si>
    <t>169435360亿</t>
  </si>
  <si>
    <t>4.32亿</t>
  </si>
  <si>
    <t>456237670亿</t>
  </si>
  <si>
    <t>48.88万</t>
  </si>
  <si>
    <t>1325392630亿</t>
  </si>
  <si>
    <t>2236.06万</t>
  </si>
  <si>
    <t>1296.40万</t>
  </si>
  <si>
    <t>5843.85万</t>
  </si>
  <si>
    <t>2.06亿</t>
  </si>
  <si>
    <t>-4072.34万</t>
  </si>
  <si>
    <t>-2.01亿</t>
  </si>
  <si>
    <t>18.67亿</t>
  </si>
  <si>
    <t>19.67亿</t>
  </si>
  <si>
    <t>14.84亿</t>
  </si>
  <si>
    <t>17.46亿</t>
  </si>
  <si>
    <t>13.82亿</t>
  </si>
  <si>
    <t>4193.86万</t>
  </si>
  <si>
    <t>1092.51万</t>
  </si>
  <si>
    <t>4579.10万</t>
  </si>
  <si>
    <t>2855.17万</t>
  </si>
  <si>
    <t>10.55亿</t>
  </si>
  <si>
    <t>19.12亿</t>
  </si>
  <si>
    <t>12.70亿</t>
  </si>
  <si>
    <t>1.25亿</t>
  </si>
  <si>
    <t>2.03亿</t>
  </si>
  <si>
    <t>4010.23万</t>
  </si>
  <si>
    <t>1.96亿</t>
  </si>
  <si>
    <t>-2-1</t>
  </si>
  <si>
    <t xml:space="preserve">
市值27.1953亿, 利润2.73亿; PE10.55, PB2.85; 毛利20.88%; 净利7.9433%; 上一年度营收增41.08%, 利润增65.45%; 当季营收增-35.36%, 利润增-19.23%; 过往5年营收增15.98%, 利润增125.4%
Income profile:
</t>
  </si>
  <si>
    <r>
      <t>1.公司认为行业有很大的发展空间。一方面是人们对日常中</t>
    </r>
    <r>
      <rPr>
        <b/>
        <sz val="9"/>
        <color rgb="FFFF0000"/>
        <rFont val="宋体"/>
        <family val="3"/>
        <charset val="134"/>
        <scheme val="minor"/>
      </rPr>
      <t>短途出行便利、减少密闭空间聚集和低碳出行的需求及消费习惯改变</t>
    </r>
    <r>
      <rPr>
        <sz val="9"/>
        <color theme="1"/>
        <rFont val="宋体"/>
        <family val="3"/>
        <charset val="134"/>
        <scheme val="minor"/>
      </rPr>
      <t>所带来的行业容量自然增长；另一方面是2019年新国标实施后，电动两轮车行业市场份额呈现出向规模企业和品牌企业集中的趋势，爱玛主动地向市场需求靠近，持续推出更加符合细分人群的产品</t>
    </r>
    <phoneticPr fontId="1" type="noConversion"/>
  </si>
  <si>
    <t>公司主营业务为电动自行车的研发、生产及销售，公司的主要产品为电动自行车。公司自2012年起连续七年荣获工信部发布的C-BPI（中国品牌力指数）电动自行车行业品牌力第一名
市值284.70638亿, 利润6.64亿; PE19.46, PB4.59; 毛利13.2533%; 净利5.67%; 上一年度营收增19.33%, 利润增10.85%; 当季营收增49.78%, 利润增160.03%; 过往5年营收增19.07%, 利润增13.78%
Income profile:
电动自行车 71.60亿 46.49% 45.61% 11.50%
电动两轮摩托车 67.66亿 43.94% 42.63% 11.37%
电动三轮车 6.55亿 4.25% 4.89% 13.47%
配件销售 6.37亿 4.13% 4.97% 14.08%</t>
  </si>
  <si>
    <t>1.永久牌自行车；</t>
    <phoneticPr fontId="1" type="noConversion"/>
  </si>
  <si>
    <r>
      <t>1.在2022年初到现在已经</t>
    </r>
    <r>
      <rPr>
        <b/>
        <sz val="9"/>
        <color rgb="FFFF0000"/>
        <rFont val="宋体"/>
        <family val="3"/>
        <charset val="134"/>
        <scheme val="minor"/>
      </rPr>
      <t>3倍涨幅</t>
    </r>
    <r>
      <rPr>
        <sz val="9"/>
        <color theme="1"/>
        <rFont val="宋体"/>
        <family val="3"/>
        <charset val="134"/>
        <scheme val="minor"/>
      </rPr>
      <t>；</t>
    </r>
    <phoneticPr fontId="1" type="noConversion"/>
  </si>
  <si>
    <t>公司的主营业务为生产销售自行车及零部件、助力车等各类特种车辆和与自行车相关的其他配套产品。公司的主要产品为自行车、电动自行车、保龄业务、自行车租赁业务、提供劳务、其他商品贸易。公司拥有的“永久”自行车商标曾获首届“中国驰名商标”等多项荣誉。
市值104.792019亿, 利润3712.13万; PE261.6, PB15.22; 毛利14.4433%; 净利.01%; 上一年度营收增-1.63%, 利润增-61.39%; 当季营收增55.99%, 利润增446.04%; 过往5年营收增2.14%, 利润增-260.37%
Income profile:
自行车和童车 5.42亿 75.03% 63.61% 11.72%
电动自行车 1.22亿 16.92% 13.85% 11.32%
房屋租赁及仓储 1685.56万 2.33% 3.53% 20.88%
其他业务收入 1603.19万 2.22% 9.84% 61.27%
自行车租赁业务 1601.32万 2.22% 7.01% 43.71%</t>
  </si>
  <si>
    <t>公司主要从事自行车整车和自行车零部件的生产与销售。公司主要产品包括助动车、两轮摩托车、童车等。自创立以来，公司荣获中国驰名商标、中国名牌、中华老字号等诸多荣誉。
市值47.922366亿, 利润1.04亿; PE59.5, PB1.92; 毛利16.8333%; 净利6.2867%; 上一年度营收增49.56%, 利润增71.27%; 当季营收增-23.8%, 利润增-53.1%; 过往5年营收增39.73%, 利润增40.35%
Income profile:
自行车生产与销售业务 5.90亿 76.98% 76.64% 18.02%
辐条制造与销售业务 5401.51万 7.05% 9.62% 24.72%</t>
  </si>
  <si>
    <r>
      <t>1.公司</t>
    </r>
    <r>
      <rPr>
        <b/>
        <sz val="9"/>
        <color rgb="FFFF0000"/>
        <rFont val="宋体"/>
        <family val="3"/>
        <charset val="134"/>
        <scheme val="minor"/>
      </rPr>
      <t>自产产品主要为童车</t>
    </r>
    <r>
      <rPr>
        <sz val="9"/>
        <color theme="1"/>
        <rFont val="宋体"/>
        <family val="3"/>
        <charset val="134"/>
        <scheme val="minor"/>
      </rPr>
      <t>。公司子公司德清久胜车业建造初期主要是为生产童车所建并配套了完善的童车生产流水线。因此自产主要以童车为主，成人车产品也有自产，相对数量较少。2.公司经营范围拟新增电动车产品即电动助力车。为了区别于国内电瓶车，我们称之为</t>
    </r>
    <r>
      <rPr>
        <sz val="9"/>
        <color rgb="FFFF0000"/>
        <rFont val="宋体"/>
        <family val="3"/>
        <charset val="134"/>
        <scheme val="minor"/>
      </rPr>
      <t>E-BIKE</t>
    </r>
    <r>
      <rPr>
        <sz val="9"/>
        <color theme="1"/>
        <rFont val="宋体"/>
        <family val="3"/>
        <charset val="134"/>
        <scheme val="minor"/>
      </rPr>
      <t>。电动助力自行车产品英文就是E-Bike。3.公司</t>
    </r>
    <r>
      <rPr>
        <b/>
        <sz val="9"/>
        <color theme="1"/>
        <rFont val="宋体"/>
        <family val="3"/>
        <charset val="134"/>
        <scheme val="minor"/>
      </rPr>
      <t>自主品牌童车有joystar、cycmoto</t>
    </r>
    <r>
      <rPr>
        <sz val="9"/>
        <color theme="1"/>
        <rFont val="宋体"/>
        <family val="3"/>
        <charset val="134"/>
        <scheme val="minor"/>
      </rPr>
      <t>，成人车有hiland。这些都是在亚马逊上销量名列前茅的自主品牌。亚马逊线上自行车产品占比较小，有较大的市场空间，市场前景良好。</t>
    </r>
    <phoneticPr fontId="1" type="noConversion"/>
  </si>
</sst>
</file>

<file path=xl/styles.xml><?xml version="1.0" encoding="utf-8"?>
<styleSheet xmlns="http://schemas.openxmlformats.org/spreadsheetml/2006/main" xmlns:mc="http://schemas.openxmlformats.org/markup-compatibility/2006" xmlns:x14ac="http://schemas.microsoft.com/office/spreadsheetml/2009/9/ac" mc:Ignorable="x14ac">
  <fonts count="14" x14ac:knownFonts="1">
    <font>
      <sz val="11"/>
      <color theme="1"/>
      <name val="宋体"/>
      <family val="2"/>
      <charset val="134"/>
      <scheme val="minor"/>
    </font>
    <font>
      <sz val="9"/>
      <name val="宋体"/>
      <family val="2"/>
      <charset val="134"/>
      <scheme val="minor"/>
    </font>
    <font>
      <sz val="11"/>
      <color indexed="8"/>
      <name val="Calibri"/>
      <family val="2"/>
    </font>
    <font>
      <sz val="11"/>
      <color rgb="FFFF0000"/>
      <name val="宋体"/>
      <family val="2"/>
      <charset val="134"/>
      <scheme val="minor"/>
    </font>
    <font>
      <sz val="11"/>
      <name val="宋体"/>
      <family val="2"/>
      <charset val="134"/>
      <scheme val="minor"/>
    </font>
    <font>
      <u/>
      <sz val="11"/>
      <color theme="10"/>
      <name val="宋体"/>
      <family val="2"/>
      <charset val="134"/>
      <scheme val="minor"/>
    </font>
    <font>
      <sz val="9"/>
      <color theme="1"/>
      <name val="宋体"/>
      <family val="2"/>
      <charset val="134"/>
      <scheme val="minor"/>
    </font>
    <font>
      <b/>
      <sz val="11"/>
      <color theme="1"/>
      <name val="宋体"/>
      <family val="3"/>
      <charset val="134"/>
      <scheme val="minor"/>
    </font>
    <font>
      <b/>
      <sz val="11"/>
      <color rgb="FFFF0000"/>
      <name val="宋体"/>
      <family val="3"/>
      <charset val="134"/>
      <scheme val="minor"/>
    </font>
    <font>
      <b/>
      <i/>
      <sz val="11"/>
      <color rgb="FFFF0000"/>
      <name val="宋体"/>
      <family val="3"/>
      <charset val="134"/>
    </font>
    <font>
      <sz val="9"/>
      <color rgb="FFFF0000"/>
      <name val="宋体"/>
      <family val="3"/>
      <charset val="134"/>
      <scheme val="minor"/>
    </font>
    <font>
      <sz val="9"/>
      <color theme="1"/>
      <name val="宋体"/>
      <family val="3"/>
      <charset val="134"/>
      <scheme val="minor"/>
    </font>
    <font>
      <b/>
      <sz val="9"/>
      <color rgb="FFFF0000"/>
      <name val="宋体"/>
      <family val="3"/>
      <charset val="134"/>
      <scheme val="minor"/>
    </font>
    <font>
      <b/>
      <sz val="9"/>
      <color theme="1"/>
      <name val="宋体"/>
      <family val="3"/>
      <charset val="134"/>
      <scheme val="minor"/>
    </font>
  </fonts>
  <fills count="8">
    <fill>
      <patternFill patternType="none"/>
    </fill>
    <fill>
      <patternFill patternType="gray125"/>
    </fill>
    <fill>
      <patternFill patternType="solid">
        <fgColor rgb="FFFFFF00"/>
        <bgColor indexed="64"/>
      </patternFill>
    </fill>
    <fill>
      <patternFill patternType="solid">
        <fgColor theme="9" tint="0.59999389629810485"/>
        <bgColor indexed="64"/>
      </patternFill>
    </fill>
    <fill>
      <patternFill patternType="solid">
        <fgColor rgb="FFFF0000"/>
        <bgColor indexed="64"/>
      </patternFill>
    </fill>
    <fill>
      <patternFill patternType="solid">
        <fgColor theme="5" tint="0.39997558519241921"/>
        <bgColor indexed="64"/>
      </patternFill>
    </fill>
    <fill>
      <patternFill patternType="solid">
        <fgColor theme="9" tint="0.79998168889431442"/>
        <bgColor indexed="64"/>
      </patternFill>
    </fill>
    <fill>
      <patternFill patternType="solid">
        <fgColor theme="5" tint="0.79998168889431442"/>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3">
    <xf numFmtId="0" fontId="0" fillId="0" borderId="0">
      <alignment vertical="center"/>
    </xf>
    <xf numFmtId="0" fontId="2" fillId="0" borderId="0" applyFill="0" applyProtection="0"/>
    <xf numFmtId="0" fontId="5" fillId="0" borderId="0" applyNumberFormat="0" applyFill="0" applyBorder="0" applyAlignment="0" applyProtection="0">
      <alignment vertical="center"/>
    </xf>
  </cellStyleXfs>
  <cellXfs count="29">
    <xf numFmtId="0" fontId="0" fillId="0" borderId="0" xfId="0">
      <alignment vertical="center"/>
    </xf>
    <xf numFmtId="0" fontId="0" fillId="0" borderId="0" xfId="0" applyFill="1">
      <alignment vertical="center"/>
    </xf>
    <xf numFmtId="0" fontId="0" fillId="2" borderId="0" xfId="0" applyFill="1">
      <alignment vertical="center"/>
    </xf>
    <xf numFmtId="0" fontId="6" fillId="0" borderId="0" xfId="0" applyFont="1" applyAlignment="1">
      <alignment vertical="center" wrapText="1"/>
    </xf>
    <xf numFmtId="10" fontId="0" fillId="0" borderId="0" xfId="0" applyNumberFormat="1">
      <alignment vertical="center"/>
    </xf>
    <xf numFmtId="9" fontId="0" fillId="0" borderId="0" xfId="0" applyNumberFormat="1">
      <alignment vertical="center"/>
    </xf>
    <xf numFmtId="0" fontId="7" fillId="0" borderId="0" xfId="0" applyFont="1" applyFill="1" applyAlignment="1">
      <alignment vertical="center" wrapText="1"/>
    </xf>
    <xf numFmtId="0" fontId="7" fillId="0" borderId="0" xfId="0" applyFont="1" applyAlignment="1">
      <alignment vertical="center" wrapText="1"/>
    </xf>
    <xf numFmtId="0" fontId="8" fillId="2" borderId="0" xfId="0" applyFont="1" applyFill="1" applyAlignment="1">
      <alignment vertical="center" wrapText="1"/>
    </xf>
    <xf numFmtId="0" fontId="0" fillId="0" borderId="0" xfId="0" applyAlignment="1">
      <alignment vertical="center"/>
    </xf>
    <xf numFmtId="9" fontId="0" fillId="0" borderId="0" xfId="0" applyNumberFormat="1" applyAlignment="1">
      <alignment vertical="center"/>
    </xf>
    <xf numFmtId="0" fontId="8" fillId="5" borderId="0" xfId="0" applyFont="1" applyFill="1" applyAlignment="1">
      <alignment vertical="center" wrapText="1"/>
    </xf>
    <xf numFmtId="0" fontId="3" fillId="2" borderId="0" xfId="0" applyFont="1" applyFill="1">
      <alignment vertical="center"/>
    </xf>
    <xf numFmtId="0" fontId="4" fillId="0" borderId="0" xfId="0" applyFont="1" applyFill="1">
      <alignment vertical="center"/>
    </xf>
    <xf numFmtId="0" fontId="3" fillId="3" borderId="0" xfId="0" applyFont="1" applyFill="1">
      <alignment vertical="center"/>
    </xf>
    <xf numFmtId="9" fontId="7" fillId="0" borderId="0" xfId="0" applyNumberFormat="1" applyFont="1" applyAlignment="1">
      <alignment vertical="center" wrapText="1"/>
    </xf>
    <xf numFmtId="0" fontId="0" fillId="0" borderId="0" xfId="0" applyBorder="1" applyAlignment="1">
      <alignment vertical="center" wrapText="1"/>
    </xf>
    <xf numFmtId="0" fontId="0" fillId="0" borderId="1" xfId="0" applyNumberFormat="1" applyFill="1" applyBorder="1" applyAlignment="1">
      <alignment vertical="center" wrapText="1"/>
    </xf>
    <xf numFmtId="0" fontId="0" fillId="4" borderId="1" xfId="0" applyNumberFormat="1" applyFill="1" applyBorder="1" applyAlignment="1">
      <alignment vertical="center" wrapText="1"/>
    </xf>
    <xf numFmtId="0" fontId="3" fillId="0" borderId="0" xfId="0" applyFont="1">
      <alignment vertical="center"/>
    </xf>
    <xf numFmtId="0" fontId="0" fillId="6" borderId="0" xfId="0" applyFill="1">
      <alignment vertical="center"/>
    </xf>
    <xf numFmtId="0" fontId="0" fillId="7" borderId="0" xfId="0" applyFill="1">
      <alignment vertical="center"/>
    </xf>
    <xf numFmtId="0" fontId="4" fillId="0" borderId="0" xfId="0" applyFont="1">
      <alignment vertical="center"/>
    </xf>
    <xf numFmtId="14" fontId="4" fillId="2" borderId="0" xfId="0" applyNumberFormat="1" applyFont="1" applyFill="1" applyBorder="1">
      <alignment vertical="center"/>
    </xf>
    <xf numFmtId="0" fontId="0" fillId="2" borderId="0" xfId="0" applyNumberFormat="1" applyFill="1" applyBorder="1" applyAlignment="1">
      <alignment vertical="center" wrapText="1"/>
    </xf>
    <xf numFmtId="0" fontId="5" fillId="0" borderId="0" xfId="2" applyAlignment="1">
      <alignment vertical="center" wrapText="1"/>
    </xf>
    <xf numFmtId="14" fontId="0" fillId="0" borderId="0" xfId="0" applyNumberFormat="1">
      <alignment vertical="center"/>
    </xf>
    <xf numFmtId="0" fontId="0" fillId="0" borderId="0" xfId="0" applyNumberFormat="1">
      <alignment vertical="center"/>
    </xf>
    <xf numFmtId="0" fontId="11" fillId="0" borderId="0" xfId="0" applyFont="1" applyAlignment="1">
      <alignment vertical="center" wrapText="1"/>
    </xf>
  </cellXfs>
  <cellStyles count="3">
    <cellStyle name="常规" xfId="0" builtinId="0"/>
    <cellStyle name="常规 2" xfId="1"/>
    <cellStyle name="超链接" xfId="2" builtinId="8"/>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image" Target="../media/image4.png"/></Relationships>
</file>

<file path=xl/drawings/_rels/vmlDrawing2.v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2.emf"/><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60960</xdr:colOff>
          <xdr:row>1</xdr:row>
          <xdr:rowOff>259080</xdr:rowOff>
        </xdr:from>
        <xdr:to>
          <xdr:col>1</xdr:col>
          <xdr:colOff>1089660</xdr:colOff>
          <xdr:row>1</xdr:row>
          <xdr:rowOff>708660</xdr:rowOff>
        </xdr:to>
        <xdr:sp macro="" textlink="">
          <xdr:nvSpPr>
            <xdr:cNvPr id="24577" name="Button 1" hidden="1">
              <a:extLst>
                <a:ext uri="{63B3BB69-23CF-44E3-9099-C40C66FF867C}">
                  <a14:compatExt spid="_x0000_s24577"/>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100" b="1" i="1" u="none" strike="noStrike" baseline="0">
                  <a:solidFill>
                    <a:srgbClr val="FF0000"/>
                  </a:solidFill>
                  <a:latin typeface="宋体"/>
                  <a:ea typeface="宋体"/>
                </a:rPr>
                <a:t>利基添加</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17</xdr:col>
      <xdr:colOff>12700</xdr:colOff>
      <xdr:row>40</xdr:row>
      <xdr:rowOff>25400</xdr:rowOff>
    </xdr:from>
    <xdr:to>
      <xdr:col>25</xdr:col>
      <xdr:colOff>412090</xdr:colOff>
      <xdr:row>55</xdr:row>
      <xdr:rowOff>101257</xdr:rowOff>
    </xdr:to>
    <xdr:pic>
      <xdr:nvPicPr>
        <xdr:cNvPr id="3" name="图片 2"/>
        <xdr:cNvPicPr>
          <a:picLocks noChangeAspect="1"/>
        </xdr:cNvPicPr>
      </xdr:nvPicPr>
      <xdr:blipFill>
        <a:blip xmlns:r="http://schemas.openxmlformats.org/officeDocument/2006/relationships" r:embed="rId1"/>
        <a:stretch>
          <a:fillRect/>
        </a:stretch>
      </xdr:blipFill>
      <xdr:spPr>
        <a:xfrm>
          <a:off x="10375900" y="7137400"/>
          <a:ext cx="5276190" cy="2742857"/>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0</xdr:col>
          <xdr:colOff>53340</xdr:colOff>
          <xdr:row>37</xdr:row>
          <xdr:rowOff>53340</xdr:rowOff>
        </xdr:from>
        <xdr:to>
          <xdr:col>15</xdr:col>
          <xdr:colOff>548640</xdr:colOff>
          <xdr:row>59</xdr:row>
          <xdr:rowOff>91440</xdr:rowOff>
        </xdr:to>
        <xdr:sp macro="" textlink="">
          <xdr:nvSpPr>
            <xdr:cNvPr id="8205" name="Object 13" hidden="1">
              <a:extLst>
                <a:ext uri="{63B3BB69-23CF-44E3-9099-C40C66FF867C}">
                  <a14:compatExt spid="_x0000_s8205"/>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99060</xdr:colOff>
          <xdr:row>1</xdr:row>
          <xdr:rowOff>38100</xdr:rowOff>
        </xdr:from>
        <xdr:to>
          <xdr:col>25</xdr:col>
          <xdr:colOff>464820</xdr:colOff>
          <xdr:row>36</xdr:row>
          <xdr:rowOff>99060</xdr:rowOff>
        </xdr:to>
        <xdr:sp macro="" textlink="">
          <xdr:nvSpPr>
            <xdr:cNvPr id="8206" name="Object 14" hidden="1">
              <a:extLst>
                <a:ext uri="{63B3BB69-23CF-44E3-9099-C40C66FF867C}">
                  <a14:compatExt spid="_x0000_s8206"/>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62</xdr:row>
          <xdr:rowOff>0</xdr:rowOff>
        </xdr:from>
        <xdr:to>
          <xdr:col>14</xdr:col>
          <xdr:colOff>167640</xdr:colOff>
          <xdr:row>86</xdr:row>
          <xdr:rowOff>0</xdr:rowOff>
        </xdr:to>
        <xdr:sp macro="" textlink="">
          <xdr:nvSpPr>
            <xdr:cNvPr id="8207" name="Object 15" hidden="1">
              <a:extLst>
                <a:ext uri="{63B3BB69-23CF-44E3-9099-C40C66FF867C}">
                  <a14:compatExt spid="_x0000_s8207"/>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xdr:wsDr>
</file>

<file path=xl/theme/theme1.xml><?xml version="1.0" encoding="utf-8"?>
<a:theme xmlns:a="http://schemas.openxmlformats.org/drawingml/2006/main" name="Office 主题">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8" Type="http://schemas.openxmlformats.org/officeDocument/2006/relationships/oleObject" Target="../embeddings/oleObject3.bin"/><Relationship Id="rId3" Type="http://schemas.openxmlformats.org/officeDocument/2006/relationships/vmlDrawing" Target="../drawings/vmlDrawing2.vml"/><Relationship Id="rId7" Type="http://schemas.openxmlformats.org/officeDocument/2006/relationships/image" Target="../media/image2.emf"/><Relationship Id="rId2" Type="http://schemas.openxmlformats.org/officeDocument/2006/relationships/drawing" Target="../drawings/drawing2.xml"/><Relationship Id="rId1" Type="http://schemas.openxmlformats.org/officeDocument/2006/relationships/printerSettings" Target="../printerSettings/printerSettings3.bin"/><Relationship Id="rId6" Type="http://schemas.openxmlformats.org/officeDocument/2006/relationships/oleObject" Target="../embeddings/oleObject2.bin"/><Relationship Id="rId5" Type="http://schemas.openxmlformats.org/officeDocument/2006/relationships/image" Target="../media/image1.emf"/><Relationship Id="rId4" Type="http://schemas.openxmlformats.org/officeDocument/2006/relationships/oleObject" Target="../embeddings/oleObject1.bin"/><Relationship Id="rId9" Type="http://schemas.openxmlformats.org/officeDocument/2006/relationships/image" Target="../media/image3.emf"/></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EQ10"/>
  <sheetViews>
    <sheetView tabSelected="1" workbookViewId="0">
      <selection activeCell="D5" sqref="D5"/>
    </sheetView>
  </sheetViews>
  <sheetFormatPr defaultRowHeight="14.4" x14ac:dyDescent="0.25"/>
  <cols>
    <col min="1" max="1" width="20.5546875" customWidth="1"/>
    <col min="2" max="2" width="38.77734375" customWidth="1"/>
    <col min="3" max="3" width="42.21875" customWidth="1"/>
    <col min="4" max="4" width="52.5546875" customWidth="1"/>
    <col min="10" max="10" width="10.5546875" customWidth="1"/>
  </cols>
  <sheetData>
    <row r="1" spans="1:147" x14ac:dyDescent="0.25">
      <c r="A1" s="16" t="s">
        <v>62</v>
      </c>
      <c r="B1" s="17" t="s">
        <v>8</v>
      </c>
      <c r="C1" s="18" t="s">
        <v>9</v>
      </c>
      <c r="D1" s="17" t="s">
        <v>111</v>
      </c>
      <c r="E1" t="s">
        <v>2</v>
      </c>
      <c r="F1" t="s">
        <v>3</v>
      </c>
      <c r="G1" t="s">
        <v>0</v>
      </c>
      <c r="H1" t="s">
        <v>132</v>
      </c>
      <c r="I1" t="s">
        <v>150</v>
      </c>
      <c r="J1" t="s">
        <v>4</v>
      </c>
      <c r="K1" t="s">
        <v>5</v>
      </c>
      <c r="L1" t="s">
        <v>1</v>
      </c>
      <c r="M1" t="s">
        <v>6</v>
      </c>
      <c r="N1" t="s">
        <v>10</v>
      </c>
      <c r="O1" t="s">
        <v>11</v>
      </c>
      <c r="P1" t="s">
        <v>12</v>
      </c>
      <c r="Q1" t="s">
        <v>13</v>
      </c>
      <c r="R1" t="s">
        <v>14</v>
      </c>
      <c r="S1" t="s">
        <v>15</v>
      </c>
      <c r="T1" t="s">
        <v>16</v>
      </c>
      <c r="U1" t="s">
        <v>17</v>
      </c>
      <c r="V1" t="s">
        <v>18</v>
      </c>
      <c r="W1" t="s">
        <v>19</v>
      </c>
      <c r="X1" t="s">
        <v>20</v>
      </c>
      <c r="Y1" t="s">
        <v>21</v>
      </c>
      <c r="Z1" t="s">
        <v>22</v>
      </c>
      <c r="AA1" t="s">
        <v>23</v>
      </c>
      <c r="AB1" t="s">
        <v>24</v>
      </c>
      <c r="AC1" t="s">
        <v>133</v>
      </c>
      <c r="AD1" t="s">
        <v>25</v>
      </c>
      <c r="AE1" t="s">
        <v>26</v>
      </c>
      <c r="AF1" t="s">
        <v>27</v>
      </c>
      <c r="AG1" t="s">
        <v>28</v>
      </c>
      <c r="AH1" t="s">
        <v>134</v>
      </c>
      <c r="AI1" t="s">
        <v>151</v>
      </c>
      <c r="AJ1" t="s">
        <v>135</v>
      </c>
      <c r="AK1" t="s">
        <v>29</v>
      </c>
      <c r="AL1" t="s">
        <v>136</v>
      </c>
      <c r="AM1" t="s">
        <v>63</v>
      </c>
      <c r="AN1" t="s">
        <v>137</v>
      </c>
      <c r="AO1" t="s">
        <v>138</v>
      </c>
      <c r="AP1" t="s">
        <v>139</v>
      </c>
      <c r="AQ1" t="s">
        <v>140</v>
      </c>
      <c r="AR1" t="s">
        <v>141</v>
      </c>
      <c r="AS1" t="s">
        <v>142</v>
      </c>
      <c r="AT1" t="s">
        <v>143</v>
      </c>
      <c r="AU1" t="s">
        <v>144</v>
      </c>
      <c r="AV1" t="s">
        <v>145</v>
      </c>
      <c r="AW1" t="s">
        <v>146</v>
      </c>
      <c r="AX1" t="s">
        <v>147</v>
      </c>
      <c r="AY1" t="s">
        <v>64</v>
      </c>
      <c r="AZ1" t="s">
        <v>65</v>
      </c>
      <c r="BA1" t="s">
        <v>66</v>
      </c>
      <c r="BB1" t="s">
        <v>67</v>
      </c>
      <c r="BC1" t="s">
        <v>68</v>
      </c>
      <c r="BD1" t="s">
        <v>69</v>
      </c>
      <c r="BE1" t="s">
        <v>70</v>
      </c>
      <c r="BF1" t="s">
        <v>71</v>
      </c>
      <c r="BG1" t="s">
        <v>72</v>
      </c>
      <c r="BH1" t="s">
        <v>73</v>
      </c>
      <c r="BI1" t="s">
        <v>126</v>
      </c>
      <c r="BJ1" t="s">
        <v>127</v>
      </c>
      <c r="BK1" t="s">
        <v>128</v>
      </c>
      <c r="BL1" t="s">
        <v>129</v>
      </c>
      <c r="BM1" t="s">
        <v>130</v>
      </c>
      <c r="BN1" t="s">
        <v>131</v>
      </c>
      <c r="BO1" t="s">
        <v>148</v>
      </c>
      <c r="BP1" t="s">
        <v>74</v>
      </c>
      <c r="BQ1" t="s">
        <v>75</v>
      </c>
      <c r="BR1" t="s">
        <v>76</v>
      </c>
      <c r="BS1" t="s">
        <v>149</v>
      </c>
      <c r="BT1" t="s">
        <v>77</v>
      </c>
      <c r="BU1" t="s">
        <v>78</v>
      </c>
      <c r="BV1" t="s">
        <v>79</v>
      </c>
      <c r="BW1" t="s">
        <v>80</v>
      </c>
      <c r="BX1" t="s">
        <v>80</v>
      </c>
      <c r="BY1" t="s">
        <v>81</v>
      </c>
      <c r="BZ1" t="s">
        <v>82</v>
      </c>
      <c r="CA1" t="s">
        <v>82</v>
      </c>
      <c r="CB1" t="s">
        <v>83</v>
      </c>
      <c r="CC1" t="s">
        <v>152</v>
      </c>
      <c r="CD1" t="s">
        <v>153</v>
      </c>
      <c r="CE1" t="s">
        <v>154</v>
      </c>
      <c r="CF1" t="s">
        <v>155</v>
      </c>
      <c r="CG1" s="1" t="s">
        <v>84</v>
      </c>
      <c r="CH1" s="1" t="s">
        <v>85</v>
      </c>
      <c r="CI1" s="1" t="s">
        <v>86</v>
      </c>
      <c r="CJ1" s="1" t="s">
        <v>87</v>
      </c>
      <c r="CK1" s="1" t="s">
        <v>88</v>
      </c>
      <c r="CL1" s="1" t="s">
        <v>89</v>
      </c>
      <c r="CM1" s="1" t="s">
        <v>90</v>
      </c>
      <c r="CN1" s="1" t="s">
        <v>91</v>
      </c>
      <c r="CO1" s="1" t="s">
        <v>92</v>
      </c>
      <c r="CP1" s="1" t="s">
        <v>93</v>
      </c>
      <c r="CQ1" s="1" t="s">
        <v>94</v>
      </c>
      <c r="CR1" s="1" t="s">
        <v>95</v>
      </c>
      <c r="CS1" s="1" t="s">
        <v>112</v>
      </c>
      <c r="CT1" s="1" t="s">
        <v>96</v>
      </c>
      <c r="CU1" s="1" t="s">
        <v>97</v>
      </c>
      <c r="CV1" s="1" t="s">
        <v>50</v>
      </c>
      <c r="CW1">
        <v>1</v>
      </c>
      <c r="CX1" t="s">
        <v>98</v>
      </c>
      <c r="CY1" t="s">
        <v>113</v>
      </c>
      <c r="CZ1">
        <v>3</v>
      </c>
      <c r="DA1" t="s">
        <v>114</v>
      </c>
      <c r="DB1" t="s">
        <v>115</v>
      </c>
      <c r="DC1">
        <v>6</v>
      </c>
      <c r="DD1" t="s">
        <v>99</v>
      </c>
      <c r="DE1" t="s">
        <v>100</v>
      </c>
      <c r="DF1">
        <v>10</v>
      </c>
      <c r="DG1" t="s">
        <v>101</v>
      </c>
      <c r="DH1" t="s">
        <v>102</v>
      </c>
      <c r="DI1">
        <v>20</v>
      </c>
      <c r="DJ1" t="s">
        <v>116</v>
      </c>
      <c r="DK1" t="s">
        <v>103</v>
      </c>
      <c r="DL1" t="s">
        <v>104</v>
      </c>
      <c r="DM1" s="2" t="s">
        <v>105</v>
      </c>
      <c r="DN1" t="s">
        <v>117</v>
      </c>
      <c r="DO1" t="s">
        <v>106</v>
      </c>
      <c r="DP1" s="1" t="s">
        <v>118</v>
      </c>
      <c r="DQ1" s="1" t="s">
        <v>119</v>
      </c>
      <c r="DR1" s="1" t="s">
        <v>120</v>
      </c>
      <c r="DS1" t="s">
        <v>121</v>
      </c>
      <c r="DT1" t="s">
        <v>107</v>
      </c>
      <c r="DU1" t="s">
        <v>108</v>
      </c>
      <c r="DV1" t="s">
        <v>122</v>
      </c>
      <c r="DW1" t="s">
        <v>123</v>
      </c>
      <c r="DX1" t="s">
        <v>124</v>
      </c>
      <c r="DY1" t="s">
        <v>125</v>
      </c>
      <c r="DZ1" t="s">
        <v>109</v>
      </c>
      <c r="EA1" t="s">
        <v>110</v>
      </c>
    </row>
    <row r="2" spans="1:147" ht="53.55" customHeight="1" x14ac:dyDescent="0.25">
      <c r="A2" s="25"/>
      <c r="B2" s="23"/>
      <c r="C2" s="24">
        <v>3</v>
      </c>
      <c r="D2" s="24">
        <v>10</v>
      </c>
      <c r="T2" s="4"/>
      <c r="CG2" s="1"/>
      <c r="CH2" s="1"/>
      <c r="CI2" s="1"/>
      <c r="CJ2" s="1"/>
      <c r="CK2" s="1"/>
      <c r="CL2" s="1"/>
      <c r="CM2" s="1"/>
      <c r="CN2" s="1"/>
      <c r="CO2" s="1"/>
      <c r="CP2" s="1"/>
      <c r="CQ2" s="1"/>
      <c r="CR2" s="1"/>
      <c r="CS2" s="1"/>
      <c r="CT2" s="1"/>
      <c r="CU2" s="1"/>
      <c r="CV2" s="1"/>
      <c r="DM2" s="2"/>
      <c r="DP2" s="1"/>
      <c r="DQ2" s="1"/>
      <c r="DR2" s="1"/>
    </row>
    <row r="3" spans="1:147" ht="118.8" x14ac:dyDescent="0.25">
      <c r="B3" s="28" t="s">
        <v>527</v>
      </c>
      <c r="C3" s="28"/>
      <c r="D3" s="28" t="s">
        <v>528</v>
      </c>
      <c r="E3" t="s">
        <v>176</v>
      </c>
      <c r="F3" t="s">
        <v>177</v>
      </c>
      <c r="G3">
        <v>49.54</v>
      </c>
      <c r="H3">
        <v>0.08</v>
      </c>
      <c r="I3" t="s">
        <v>178</v>
      </c>
      <c r="J3">
        <v>28470638000</v>
      </c>
      <c r="K3">
        <v>19.46</v>
      </c>
      <c r="L3">
        <v>4.59</v>
      </c>
      <c r="M3" t="s">
        <v>179</v>
      </c>
      <c r="N3" t="s">
        <v>201</v>
      </c>
      <c r="O3" t="s">
        <v>202</v>
      </c>
      <c r="P3" t="s">
        <v>203</v>
      </c>
      <c r="Q3">
        <v>37.69</v>
      </c>
      <c r="R3" t="s">
        <v>204</v>
      </c>
      <c r="S3">
        <v>1376484000</v>
      </c>
      <c r="T3" s="4">
        <v>1.383</v>
      </c>
      <c r="U3" t="s">
        <v>205</v>
      </c>
      <c r="V3">
        <v>146174000</v>
      </c>
      <c r="W3">
        <v>574700000</v>
      </c>
      <c r="X3">
        <v>3.19</v>
      </c>
      <c r="Y3">
        <v>1.04</v>
      </c>
      <c r="Z3">
        <v>7.98</v>
      </c>
      <c r="AA3" t="s">
        <v>206</v>
      </c>
      <c r="AB3" t="s">
        <v>207</v>
      </c>
      <c r="AC3" t="s">
        <v>208</v>
      </c>
      <c r="AD3" t="s">
        <v>209</v>
      </c>
      <c r="AE3" t="s">
        <v>210</v>
      </c>
      <c r="AF3">
        <v>-264097180</v>
      </c>
      <c r="AG3" t="s">
        <v>211</v>
      </c>
      <c r="AH3" t="s">
        <v>212</v>
      </c>
      <c r="AI3" t="s">
        <v>213</v>
      </c>
      <c r="AJ3" t="s">
        <v>214</v>
      </c>
      <c r="AK3" t="s">
        <v>215</v>
      </c>
      <c r="AL3" t="s">
        <v>7</v>
      </c>
      <c r="AM3" t="s">
        <v>216</v>
      </c>
      <c r="AN3" t="s">
        <v>7</v>
      </c>
      <c r="AO3" t="s">
        <v>217</v>
      </c>
      <c r="AP3" t="s">
        <v>7</v>
      </c>
      <c r="AQ3" t="s">
        <v>218</v>
      </c>
      <c r="AR3" t="s">
        <v>219</v>
      </c>
      <c r="AS3" t="s">
        <v>220</v>
      </c>
      <c r="AT3" t="s">
        <v>221</v>
      </c>
      <c r="AU3" t="s">
        <v>7</v>
      </c>
      <c r="AV3" t="s">
        <v>222</v>
      </c>
      <c r="AW3" t="s">
        <v>223</v>
      </c>
      <c r="AX3" t="s">
        <v>170</v>
      </c>
      <c r="AY3" t="s">
        <v>224</v>
      </c>
      <c r="AZ3" t="s">
        <v>225</v>
      </c>
      <c r="BA3" t="s">
        <v>226</v>
      </c>
      <c r="BB3" t="s">
        <v>227</v>
      </c>
      <c r="BC3" t="s">
        <v>228</v>
      </c>
      <c r="BD3" t="s">
        <v>229</v>
      </c>
      <c r="BE3" t="s">
        <v>171</v>
      </c>
      <c r="BF3" t="s">
        <v>230</v>
      </c>
      <c r="BG3" t="s">
        <v>231</v>
      </c>
      <c r="BH3" t="s">
        <v>232</v>
      </c>
      <c r="BI3" t="s">
        <v>233</v>
      </c>
      <c r="BJ3" t="s">
        <v>234</v>
      </c>
      <c r="BK3" t="s">
        <v>235</v>
      </c>
      <c r="BL3" t="s">
        <v>236</v>
      </c>
      <c r="BM3" t="s">
        <v>237</v>
      </c>
      <c r="BN3" t="s">
        <v>238</v>
      </c>
      <c r="BO3">
        <v>11.4</v>
      </c>
      <c r="BP3">
        <v>3.05</v>
      </c>
      <c r="BQ3">
        <v>20.440000000000001</v>
      </c>
      <c r="BR3">
        <v>21.69</v>
      </c>
      <c r="BS3">
        <v>6.17</v>
      </c>
      <c r="BT3">
        <v>25.65</v>
      </c>
      <c r="BU3" t="s">
        <v>7</v>
      </c>
      <c r="BV3" t="s">
        <v>239</v>
      </c>
      <c r="BW3">
        <v>14.66</v>
      </c>
      <c r="BX3">
        <v>11.42</v>
      </c>
      <c r="BY3">
        <v>13.68</v>
      </c>
      <c r="BZ3">
        <v>7.29</v>
      </c>
      <c r="CA3">
        <v>4.7300000000000004</v>
      </c>
      <c r="CB3">
        <v>4.99</v>
      </c>
      <c r="CC3">
        <v>-2.86</v>
      </c>
      <c r="CD3">
        <v>-19.43</v>
      </c>
      <c r="CE3" t="s">
        <v>240</v>
      </c>
      <c r="CF3" t="s">
        <v>241</v>
      </c>
      <c r="CG3" s="20">
        <v>0.49783964622188043</v>
      </c>
      <c r="CH3" s="21">
        <v>1.6003181818181818</v>
      </c>
      <c r="CI3" s="20">
        <v>0.19325843453407288</v>
      </c>
      <c r="CJ3" s="20">
        <v>0.23800837993621826</v>
      </c>
      <c r="CK3" s="20">
        <v>0.15951061248779297</v>
      </c>
      <c r="CL3" s="20">
        <v>0.15345141291618347</v>
      </c>
      <c r="CM3" s="20">
        <v>0.20949713885784149</v>
      </c>
      <c r="CN3" s="21">
        <v>0.10851418972015381</v>
      </c>
      <c r="CO3" s="21">
        <v>0.14750957489013672</v>
      </c>
      <c r="CP3" s="21">
        <v>0.21962617337703705</v>
      </c>
      <c r="CQ3" s="21">
        <v>0.62737643718719482</v>
      </c>
      <c r="CR3" s="21">
        <v>-0.41425389051437378</v>
      </c>
      <c r="CS3">
        <v>1.8488627832976168</v>
      </c>
      <c r="CT3">
        <v>205466641.56626505</v>
      </c>
      <c r="CU3">
        <v>26.474448000000002</v>
      </c>
      <c r="CV3" s="20">
        <v>0.19074519574642182</v>
      </c>
      <c r="CW3" s="21">
        <v>0.13775449693202974</v>
      </c>
      <c r="CX3">
        <v>0.06</v>
      </c>
      <c r="CY3">
        <v>48.102428265974304</v>
      </c>
      <c r="CZ3">
        <v>745900764.12794721</v>
      </c>
      <c r="DA3">
        <v>0.19074519574642182</v>
      </c>
      <c r="DB3">
        <v>14.44848937415218</v>
      </c>
      <c r="DC3">
        <v>2483279536.7650933</v>
      </c>
      <c r="DD3">
        <v>0.18120793595910073</v>
      </c>
      <c r="DE3">
        <v>6.3285935370030986</v>
      </c>
      <c r="DF3">
        <v>5669448952.6326542</v>
      </c>
      <c r="DG3">
        <v>0.16785577225685119</v>
      </c>
      <c r="DH3">
        <v>3.3124270358380592</v>
      </c>
      <c r="DI3">
        <v>10831827421.950228</v>
      </c>
      <c r="DJ3">
        <v>0.15259615659713746</v>
      </c>
      <c r="DK3">
        <v>1.2412329878579016</v>
      </c>
      <c r="DL3">
        <v>28906448951.151756</v>
      </c>
      <c r="DM3">
        <v>0.13352163702249525</v>
      </c>
      <c r="DN3">
        <v>664000000</v>
      </c>
      <c r="DO3">
        <v>0.19074519574642182</v>
      </c>
      <c r="DP3">
        <v>35879638000</v>
      </c>
      <c r="DQ3">
        <v>427547000</v>
      </c>
      <c r="DR3">
        <v>4036</v>
      </c>
      <c r="DS3">
        <v>0.30709445047545858</v>
      </c>
      <c r="DT3">
        <v>1.4625636848861521</v>
      </c>
      <c r="DU3" s="22">
        <v>0.8866666666666666</v>
      </c>
      <c r="DV3">
        <v>0.8666666666666667</v>
      </c>
      <c r="DW3">
        <v>1.7533333333333334</v>
      </c>
      <c r="DX3">
        <v>-8.1471950591868243</v>
      </c>
      <c r="DY3">
        <v>0.41424552238806145</v>
      </c>
      <c r="DZ3">
        <v>-8.0212322282053456</v>
      </c>
      <c r="EA3">
        <v>497</v>
      </c>
      <c r="EB3">
        <v>-8.0190804302000327</v>
      </c>
      <c r="EC3">
        <v>8</v>
      </c>
      <c r="ED3">
        <v>3.3633025926570387E-2</v>
      </c>
      <c r="EE3">
        <v>0.23316512963285194</v>
      </c>
      <c r="EF3" s="19">
        <v>2.0104000000000002</v>
      </c>
      <c r="EG3">
        <v>2.0112000000000001</v>
      </c>
      <c r="EH3">
        <v>27.144245522388061</v>
      </c>
      <c r="EI3" t="s">
        <v>242</v>
      </c>
      <c r="EJ3">
        <v>0</v>
      </c>
      <c r="EK3">
        <v>1</v>
      </c>
      <c r="EL3" s="26">
        <v>44904</v>
      </c>
      <c r="EM3" s="27">
        <v>-6.3E-3</v>
      </c>
      <c r="EN3" s="27">
        <v>5.8999999999999999E-3</v>
      </c>
      <c r="EO3" s="27">
        <v>-1.77E-2</v>
      </c>
      <c r="EP3" s="27">
        <v>-1.1599999999999999</v>
      </c>
      <c r="EQ3" s="27">
        <v>0.08</v>
      </c>
    </row>
    <row r="4" spans="1:147" ht="64.8" x14ac:dyDescent="0.25">
      <c r="B4" s="3"/>
      <c r="C4" s="3"/>
      <c r="D4" s="3" t="s">
        <v>284</v>
      </c>
      <c r="E4" t="s">
        <v>180</v>
      </c>
      <c r="F4" t="s">
        <v>181</v>
      </c>
      <c r="G4">
        <v>111.84</v>
      </c>
      <c r="H4">
        <v>-9.7999999999999997E-3</v>
      </c>
      <c r="I4" t="s">
        <v>243</v>
      </c>
      <c r="J4">
        <v>13454032000</v>
      </c>
      <c r="K4">
        <v>20.8</v>
      </c>
      <c r="L4">
        <v>4.7300000000000004</v>
      </c>
      <c r="M4" t="s">
        <v>182</v>
      </c>
      <c r="N4" t="s">
        <v>244</v>
      </c>
      <c r="O4" t="s">
        <v>245</v>
      </c>
      <c r="P4" t="s">
        <v>246</v>
      </c>
      <c r="Q4">
        <v>25.34</v>
      </c>
      <c r="R4" t="s">
        <v>247</v>
      </c>
      <c r="S4">
        <v>474337000</v>
      </c>
      <c r="T4" s="4">
        <v>9.2799999999999994E-2</v>
      </c>
      <c r="U4" t="s">
        <v>248</v>
      </c>
      <c r="V4">
        <v>120098075</v>
      </c>
      <c r="W4">
        <v>120297135</v>
      </c>
      <c r="X4">
        <v>1.26</v>
      </c>
      <c r="Y4">
        <v>0.67</v>
      </c>
      <c r="Z4">
        <v>19.940000000000001</v>
      </c>
      <c r="AA4" t="s">
        <v>249</v>
      </c>
      <c r="AB4" t="s">
        <v>250</v>
      </c>
      <c r="AC4" t="s">
        <v>251</v>
      </c>
      <c r="AD4" t="s">
        <v>252</v>
      </c>
      <c r="AE4" t="s">
        <v>253</v>
      </c>
      <c r="AF4">
        <v>-39635116</v>
      </c>
      <c r="AG4" t="s">
        <v>254</v>
      </c>
      <c r="AH4" t="s">
        <v>255</v>
      </c>
      <c r="AI4" t="s">
        <v>256</v>
      </c>
      <c r="AJ4" t="s">
        <v>257</v>
      </c>
      <c r="AK4" t="s">
        <v>258</v>
      </c>
      <c r="AL4" t="s">
        <v>174</v>
      </c>
      <c r="AM4" t="s">
        <v>259</v>
      </c>
      <c r="AN4" t="s">
        <v>7</v>
      </c>
      <c r="AO4" t="s">
        <v>260</v>
      </c>
      <c r="AP4" t="s">
        <v>7</v>
      </c>
      <c r="AQ4" t="s">
        <v>7</v>
      </c>
      <c r="AR4" t="s">
        <v>261</v>
      </c>
      <c r="AS4" t="s">
        <v>7</v>
      </c>
      <c r="AT4" t="s">
        <v>262</v>
      </c>
      <c r="AU4" t="s">
        <v>7</v>
      </c>
      <c r="AV4" t="s">
        <v>263</v>
      </c>
      <c r="AW4" t="s">
        <v>264</v>
      </c>
      <c r="AX4" t="s">
        <v>265</v>
      </c>
      <c r="AY4" t="s">
        <v>266</v>
      </c>
      <c r="AZ4" t="s">
        <v>267</v>
      </c>
      <c r="BA4" t="s">
        <v>268</v>
      </c>
      <c r="BB4" t="s">
        <v>163</v>
      </c>
      <c r="BC4" t="s">
        <v>269</v>
      </c>
      <c r="BD4" t="s">
        <v>159</v>
      </c>
      <c r="BE4" t="s">
        <v>270</v>
      </c>
      <c r="BF4" t="s">
        <v>271</v>
      </c>
      <c r="BG4" t="s">
        <v>272</v>
      </c>
      <c r="BH4" t="s">
        <v>273</v>
      </c>
      <c r="BI4" t="s">
        <v>274</v>
      </c>
      <c r="BJ4" t="s">
        <v>275</v>
      </c>
      <c r="BK4" t="s">
        <v>276</v>
      </c>
      <c r="BL4" t="s">
        <v>277</v>
      </c>
      <c r="BM4" t="s">
        <v>278</v>
      </c>
      <c r="BN4" t="s">
        <v>279</v>
      </c>
      <c r="BO4">
        <v>16.77</v>
      </c>
      <c r="BP4">
        <v>6.31</v>
      </c>
      <c r="BQ4">
        <v>18.579999999999998</v>
      </c>
      <c r="BR4">
        <v>26.31</v>
      </c>
      <c r="BS4">
        <v>6.49</v>
      </c>
      <c r="BT4">
        <v>19.04</v>
      </c>
      <c r="BU4">
        <v>46.95</v>
      </c>
      <c r="BV4" t="s">
        <v>280</v>
      </c>
      <c r="BW4">
        <v>33.56</v>
      </c>
      <c r="BX4">
        <v>43.27</v>
      </c>
      <c r="BY4">
        <v>42.76</v>
      </c>
      <c r="BZ4">
        <v>22.72</v>
      </c>
      <c r="CA4">
        <v>28.79</v>
      </c>
      <c r="CB4">
        <v>27.06</v>
      </c>
      <c r="CC4">
        <v>-6.75</v>
      </c>
      <c r="CD4">
        <v>-10.5</v>
      </c>
      <c r="CE4" t="s">
        <v>281</v>
      </c>
      <c r="CF4" t="s">
        <v>282</v>
      </c>
      <c r="CG4" s="20">
        <v>0.25734804804804806</v>
      </c>
      <c r="CH4" s="21">
        <v>-5.3039999999999997E-3</v>
      </c>
      <c r="CI4" s="20">
        <v>0.8947746753692627</v>
      </c>
      <c r="CJ4" s="20">
        <v>0.16708438098430634</v>
      </c>
      <c r="CK4" s="20">
        <v>0.27070057392120361</v>
      </c>
      <c r="CL4" s="20">
        <v>0.53170734643936157</v>
      </c>
      <c r="CM4" s="20">
        <v>0.56887757778167725</v>
      </c>
      <c r="CN4" s="21">
        <v>0.50995022058486938</v>
      </c>
      <c r="CO4" s="21">
        <v>0.24074074625968933</v>
      </c>
      <c r="CP4" s="21">
        <v>0.39655172824859619</v>
      </c>
      <c r="CQ4" s="21">
        <v>3.3502964973449707</v>
      </c>
      <c r="CR4" s="21">
        <v>-0.4030643105506897</v>
      </c>
      <c r="CS4">
        <v>5.0827472610502458</v>
      </c>
      <c r="CT4">
        <v>78265439.868204281</v>
      </c>
      <c r="CU4">
        <v>16.833348000000001</v>
      </c>
      <c r="CV4" s="20">
        <v>0.48662891089916227</v>
      </c>
      <c r="CW4" s="21">
        <v>0.8188949763774872</v>
      </c>
      <c r="CX4">
        <v>0.06</v>
      </c>
      <c r="CY4">
        <v>13.323105535139597</v>
      </c>
      <c r="CZ4">
        <v>851305423.5054636</v>
      </c>
      <c r="DA4">
        <v>0.48662891089916227</v>
      </c>
      <c r="DB4">
        <v>3.1627365156541249</v>
      </c>
      <c r="DC4">
        <v>3586145081.5969138</v>
      </c>
      <c r="DD4">
        <v>0.46229746535420413</v>
      </c>
      <c r="DE4">
        <v>0.96668749704576584</v>
      </c>
      <c r="DF4">
        <v>11732883723.707699</v>
      </c>
      <c r="DG4">
        <v>0.42823344159126281</v>
      </c>
      <c r="DH4">
        <v>0.31727594863560493</v>
      </c>
      <c r="DI4">
        <v>35748161966.813484</v>
      </c>
      <c r="DJ4">
        <v>0.38930312871932982</v>
      </c>
      <c r="DK4">
        <v>3.5990674052392833E-2</v>
      </c>
      <c r="DL4">
        <v>315138082256.78192</v>
      </c>
      <c r="DM4">
        <v>0.34064023762941359</v>
      </c>
      <c r="DN4">
        <v>607000000</v>
      </c>
      <c r="DO4">
        <v>0.48662891089916227</v>
      </c>
      <c r="DP4">
        <v>11342032000</v>
      </c>
      <c r="DQ4">
        <v>2208038400</v>
      </c>
      <c r="DR4">
        <v>4014</v>
      </c>
      <c r="DS4">
        <v>-0.22928086285111421</v>
      </c>
      <c r="DT4">
        <v>-0.82419897637748718</v>
      </c>
      <c r="DU4" s="22">
        <v>0.6</v>
      </c>
      <c r="DV4">
        <v>0.6</v>
      </c>
      <c r="DW4">
        <v>1.2</v>
      </c>
      <c r="DX4">
        <v>-9.6428571428571423</v>
      </c>
      <c r="DY4">
        <v>0.304786356230621</v>
      </c>
      <c r="DZ4">
        <v>-9.0609340861482561</v>
      </c>
      <c r="EA4">
        <v>360</v>
      </c>
      <c r="EB4">
        <v>-9.0564508915818607</v>
      </c>
      <c r="EC4">
        <v>9</v>
      </c>
      <c r="ED4">
        <v>1.4992044490502621E-2</v>
      </c>
      <c r="EE4">
        <v>0.15816669283104706</v>
      </c>
      <c r="EF4" s="19">
        <v>-3.0409999999999999</v>
      </c>
      <c r="EG4">
        <v>-3.040902</v>
      </c>
      <c r="EH4">
        <v>21.094786356230621</v>
      </c>
      <c r="EI4" t="s">
        <v>283</v>
      </c>
      <c r="EJ4">
        <v>0</v>
      </c>
      <c r="EK4">
        <v>1</v>
      </c>
      <c r="EL4" s="26">
        <v>44893</v>
      </c>
      <c r="EM4" s="27">
        <v>-1.7600000000000001E-2</v>
      </c>
      <c r="EN4" s="27">
        <v>-1.29E-2</v>
      </c>
      <c r="EO4" s="27">
        <v>-4.7000000000000002E-3</v>
      </c>
      <c r="EP4" s="27">
        <v>-2.42</v>
      </c>
      <c r="EQ4" s="27">
        <v>-9.7999999999999997E-3</v>
      </c>
    </row>
    <row r="5" spans="1:147" ht="151.19999999999999" x14ac:dyDescent="0.25">
      <c r="B5" s="28" t="s">
        <v>529</v>
      </c>
      <c r="C5" s="28" t="s">
        <v>530</v>
      </c>
      <c r="D5" s="28" t="s">
        <v>531</v>
      </c>
      <c r="E5" t="s">
        <v>183</v>
      </c>
      <c r="F5" t="s">
        <v>184</v>
      </c>
      <c r="G5">
        <v>32.6</v>
      </c>
      <c r="H5">
        <v>8.09</v>
      </c>
      <c r="I5" t="s">
        <v>185</v>
      </c>
      <c r="J5">
        <v>10479201900</v>
      </c>
      <c r="K5">
        <v>261.60000000000002</v>
      </c>
      <c r="L5">
        <v>15.22</v>
      </c>
      <c r="M5" t="s">
        <v>179</v>
      </c>
      <c r="N5" t="s">
        <v>285</v>
      </c>
      <c r="O5" t="s">
        <v>286</v>
      </c>
      <c r="P5" t="s">
        <v>287</v>
      </c>
      <c r="Q5">
        <v>28.38</v>
      </c>
      <c r="R5" t="s">
        <v>288</v>
      </c>
      <c r="S5">
        <v>26150925</v>
      </c>
      <c r="T5" s="4">
        <v>0.12670000000000001</v>
      </c>
      <c r="U5" t="s">
        <v>289</v>
      </c>
      <c r="V5">
        <v>237957910</v>
      </c>
      <c r="W5">
        <v>321447910</v>
      </c>
      <c r="X5">
        <v>1.51</v>
      </c>
      <c r="Y5">
        <v>0.72</v>
      </c>
      <c r="Z5">
        <v>2.89</v>
      </c>
      <c r="AA5" t="s">
        <v>236</v>
      </c>
      <c r="AB5" t="s">
        <v>290</v>
      </c>
      <c r="AC5" t="s">
        <v>291</v>
      </c>
      <c r="AD5" t="s">
        <v>292</v>
      </c>
      <c r="AE5" t="s">
        <v>293</v>
      </c>
      <c r="AF5">
        <v>-1560268</v>
      </c>
      <c r="AG5" t="s">
        <v>294</v>
      </c>
      <c r="AH5" t="s">
        <v>295</v>
      </c>
      <c r="AI5" t="s">
        <v>296</v>
      </c>
      <c r="AJ5" t="s">
        <v>263</v>
      </c>
      <c r="AK5" t="s">
        <v>297</v>
      </c>
      <c r="AL5" t="s">
        <v>298</v>
      </c>
      <c r="AM5" t="s">
        <v>299</v>
      </c>
      <c r="AN5" t="s">
        <v>7</v>
      </c>
      <c r="AO5" t="s">
        <v>300</v>
      </c>
      <c r="AP5" t="s">
        <v>301</v>
      </c>
      <c r="AQ5" t="s">
        <v>7</v>
      </c>
      <c r="AR5" t="s">
        <v>302</v>
      </c>
      <c r="AS5" t="s">
        <v>303</v>
      </c>
      <c r="AT5" t="s">
        <v>304</v>
      </c>
      <c r="AU5" t="s">
        <v>305</v>
      </c>
      <c r="AV5" t="s">
        <v>306</v>
      </c>
      <c r="AW5" t="s">
        <v>307</v>
      </c>
      <c r="AX5" t="s">
        <v>308</v>
      </c>
      <c r="AY5" t="s">
        <v>309</v>
      </c>
      <c r="AZ5" t="s">
        <v>165</v>
      </c>
      <c r="BA5" t="s">
        <v>310</v>
      </c>
      <c r="BB5" t="s">
        <v>311</v>
      </c>
      <c r="BC5" t="s">
        <v>312</v>
      </c>
      <c r="BD5" t="s">
        <v>313</v>
      </c>
      <c r="BE5" t="s">
        <v>314</v>
      </c>
      <c r="BF5" t="s">
        <v>315</v>
      </c>
      <c r="BG5" t="s">
        <v>316</v>
      </c>
      <c r="BH5" t="s">
        <v>317</v>
      </c>
      <c r="BI5" t="s">
        <v>318</v>
      </c>
      <c r="BJ5" t="s">
        <v>319</v>
      </c>
      <c r="BK5" t="s">
        <v>320</v>
      </c>
      <c r="BL5" t="s">
        <v>321</v>
      </c>
      <c r="BM5" t="s">
        <v>322</v>
      </c>
      <c r="BN5" t="s">
        <v>323</v>
      </c>
      <c r="BO5">
        <v>3.19</v>
      </c>
      <c r="BP5">
        <v>0.09</v>
      </c>
      <c r="BQ5">
        <v>12.77</v>
      </c>
      <c r="BR5">
        <v>-5.63</v>
      </c>
      <c r="BS5">
        <v>0.11</v>
      </c>
      <c r="BT5">
        <v>16.05</v>
      </c>
      <c r="BU5">
        <v>-10.63</v>
      </c>
      <c r="BV5" t="s">
        <v>239</v>
      </c>
      <c r="BW5">
        <v>15.74</v>
      </c>
      <c r="BX5">
        <v>14.58</v>
      </c>
      <c r="BY5">
        <v>13.01</v>
      </c>
      <c r="BZ5">
        <v>1.63</v>
      </c>
      <c r="CA5">
        <v>11.36</v>
      </c>
      <c r="CB5">
        <v>-12.96</v>
      </c>
      <c r="CC5">
        <v>1.72</v>
      </c>
      <c r="CD5">
        <v>-2.2799999999999998</v>
      </c>
      <c r="CE5" t="s">
        <v>324</v>
      </c>
      <c r="CF5" t="s">
        <v>325</v>
      </c>
      <c r="CG5" s="20">
        <v>0.55988761194029846</v>
      </c>
      <c r="CH5" s="21">
        <v>4.4604352576944093</v>
      </c>
      <c r="CI5" s="20">
        <v>-1.6348773613572121E-2</v>
      </c>
      <c r="CJ5" s="20">
        <v>0.25470086932182312</v>
      </c>
      <c r="CK5" s="20">
        <v>0.10586011409759521</v>
      </c>
      <c r="CL5" s="20">
        <v>-0.12417218834161758</v>
      </c>
      <c r="CM5" s="20">
        <v>-0.11306901276111603</v>
      </c>
      <c r="CN5" s="21">
        <v>-0.61385715007781982</v>
      </c>
      <c r="CO5" s="21">
        <v>2.5251193046569824</v>
      </c>
      <c r="CP5" s="21">
        <v>-13.43779468536377</v>
      </c>
      <c r="CQ5" s="21">
        <v>-0.8379557728767395</v>
      </c>
      <c r="CR5" s="21">
        <v>-0.65390580892562866</v>
      </c>
      <c r="CS5">
        <v>14.514130055401662</v>
      </c>
      <c r="CT5">
        <v>30550705.39016683</v>
      </c>
      <c r="CU5">
        <v>3.1420080000000001</v>
      </c>
      <c r="CV5" s="20">
        <v>2.139420174062252E-2</v>
      </c>
      <c r="CW5" s="21">
        <v>-2.603678822517395</v>
      </c>
      <c r="CX5">
        <v>0.06</v>
      </c>
      <c r="CY5">
        <v>283.51675487836991</v>
      </c>
      <c r="CZ5">
        <v>35769321.302900158</v>
      </c>
      <c r="DA5">
        <v>2.139420174062252E-2</v>
      </c>
      <c r="DB5">
        <v>98.235725392416256</v>
      </c>
      <c r="DC5">
        <v>103233338.57911223</v>
      </c>
      <c r="DD5">
        <v>2.0324491653591393E-2</v>
      </c>
      <c r="DE5">
        <v>52.184383915461147</v>
      </c>
      <c r="DF5">
        <v>194334035.18624991</v>
      </c>
      <c r="DG5">
        <v>1.8826897531747818E-2</v>
      </c>
      <c r="DH5">
        <v>34.045621755384502</v>
      </c>
      <c r="DI5">
        <v>297870956.00320804</v>
      </c>
      <c r="DJ5">
        <v>1.7115361392498016E-2</v>
      </c>
      <c r="DK5">
        <v>20.885507111232588</v>
      </c>
      <c r="DL5">
        <v>485561679.01452988</v>
      </c>
      <c r="DM5">
        <v>1.4975941218435762E-2</v>
      </c>
      <c r="DN5">
        <v>37121300</v>
      </c>
      <c r="DO5">
        <v>2.139420174062252E-2</v>
      </c>
      <c r="DP5">
        <v>10141201900</v>
      </c>
      <c r="DQ5">
        <v>125327710.00000003</v>
      </c>
      <c r="DR5">
        <v>3395</v>
      </c>
      <c r="DS5">
        <v>0.53849341019967589</v>
      </c>
      <c r="DT5">
        <v>7.0641140802118043</v>
      </c>
      <c r="DU5" s="22">
        <v>0.75</v>
      </c>
      <c r="DV5">
        <v>-1.1333333333333333</v>
      </c>
      <c r="DW5">
        <v>-0.3833333333333333</v>
      </c>
      <c r="DX5">
        <v>-2.2799999999999997E-2</v>
      </c>
      <c r="DY5">
        <v>0.58879594594594686</v>
      </c>
      <c r="DZ5">
        <v>-3.6205475675675672E-3</v>
      </c>
      <c r="EA5">
        <v>3814</v>
      </c>
      <c r="EB5">
        <v>-8.0473018936554823E-4</v>
      </c>
      <c r="EC5">
        <v>0</v>
      </c>
      <c r="ED5">
        <v>7.311231234945656E-2</v>
      </c>
      <c r="EE5">
        <v>0.46041674372684521</v>
      </c>
      <c r="EF5" s="19">
        <v>6.0001100000000003</v>
      </c>
      <c r="EG5">
        <v>6.0808</v>
      </c>
      <c r="EH5">
        <v>43.158795945945947</v>
      </c>
      <c r="EI5" t="s">
        <v>326</v>
      </c>
      <c r="EJ5">
        <v>0</v>
      </c>
      <c r="EK5">
        <v>0</v>
      </c>
      <c r="EL5" s="26">
        <v>44904</v>
      </c>
      <c r="EM5" s="27">
        <v>-6.4299999999999996E-2</v>
      </c>
      <c r="EN5" s="27">
        <v>-6.3E-3</v>
      </c>
      <c r="EO5" s="27">
        <v>-1.04E-2</v>
      </c>
      <c r="EP5" s="27">
        <v>2.27</v>
      </c>
      <c r="EQ5" s="27">
        <v>8.09</v>
      </c>
    </row>
    <row r="6" spans="1:147" ht="97.2" x14ac:dyDescent="0.25">
      <c r="B6" s="3"/>
      <c r="C6" s="3"/>
      <c r="D6" s="28" t="s">
        <v>532</v>
      </c>
      <c r="E6" t="s">
        <v>186</v>
      </c>
      <c r="F6" t="s">
        <v>187</v>
      </c>
      <c r="G6">
        <v>9.3000000000000007</v>
      </c>
      <c r="H6">
        <v>-1.06</v>
      </c>
      <c r="I6" t="s">
        <v>188</v>
      </c>
      <c r="J6">
        <v>4792236600</v>
      </c>
      <c r="K6">
        <v>59.5</v>
      </c>
      <c r="L6">
        <v>1.92</v>
      </c>
      <c r="M6" t="s">
        <v>179</v>
      </c>
      <c r="N6" t="s">
        <v>327</v>
      </c>
      <c r="O6" t="s">
        <v>328</v>
      </c>
      <c r="P6" t="s">
        <v>329</v>
      </c>
      <c r="Q6">
        <v>-31.83</v>
      </c>
      <c r="R6" t="s">
        <v>330</v>
      </c>
      <c r="S6">
        <v>65916902</v>
      </c>
      <c r="T6" s="4">
        <v>-0.26240000000000002</v>
      </c>
      <c r="U6" t="s">
        <v>331</v>
      </c>
      <c r="V6">
        <v>286873170</v>
      </c>
      <c r="W6">
        <v>515294260</v>
      </c>
      <c r="X6">
        <v>1.34</v>
      </c>
      <c r="Y6">
        <v>0.32</v>
      </c>
      <c r="Z6">
        <v>5.99</v>
      </c>
      <c r="AA6" t="s">
        <v>173</v>
      </c>
      <c r="AB6" t="s">
        <v>332</v>
      </c>
      <c r="AC6" t="s">
        <v>333</v>
      </c>
      <c r="AD6" t="s">
        <v>334</v>
      </c>
      <c r="AE6" t="s">
        <v>335</v>
      </c>
      <c r="AF6">
        <v>-16616991</v>
      </c>
      <c r="AG6" t="s">
        <v>336</v>
      </c>
      <c r="AH6" t="s">
        <v>337</v>
      </c>
      <c r="AI6" t="s">
        <v>338</v>
      </c>
      <c r="AJ6" t="s">
        <v>229</v>
      </c>
      <c r="AK6" t="s">
        <v>339</v>
      </c>
      <c r="AL6" t="s">
        <v>340</v>
      </c>
      <c r="AM6" t="s">
        <v>341</v>
      </c>
      <c r="AN6" t="s">
        <v>7</v>
      </c>
      <c r="AO6" t="s">
        <v>342</v>
      </c>
      <c r="AP6" t="s">
        <v>343</v>
      </c>
      <c r="AQ6" t="s">
        <v>344</v>
      </c>
      <c r="AR6" t="s">
        <v>345</v>
      </c>
      <c r="AS6" t="s">
        <v>346</v>
      </c>
      <c r="AT6" t="s">
        <v>347</v>
      </c>
      <c r="AU6" t="s">
        <v>348</v>
      </c>
      <c r="AV6" t="s">
        <v>349</v>
      </c>
      <c r="AW6" t="s">
        <v>167</v>
      </c>
      <c r="AX6" t="s">
        <v>350</v>
      </c>
      <c r="AY6" t="s">
        <v>351</v>
      </c>
      <c r="AZ6" t="s">
        <v>352</v>
      </c>
      <c r="BA6" t="s">
        <v>353</v>
      </c>
      <c r="BB6" t="s">
        <v>354</v>
      </c>
      <c r="BC6" t="s">
        <v>355</v>
      </c>
      <c r="BD6" t="s">
        <v>356</v>
      </c>
      <c r="BE6" t="s">
        <v>357</v>
      </c>
      <c r="BF6" t="s">
        <v>358</v>
      </c>
      <c r="BG6" t="s">
        <v>359</v>
      </c>
      <c r="BH6" t="s">
        <v>360</v>
      </c>
      <c r="BI6" t="s">
        <v>361</v>
      </c>
      <c r="BJ6" t="s">
        <v>362</v>
      </c>
      <c r="BK6" t="s">
        <v>363</v>
      </c>
      <c r="BL6" t="s">
        <v>364</v>
      </c>
      <c r="BM6" t="s">
        <v>365</v>
      </c>
      <c r="BN6" t="s">
        <v>366</v>
      </c>
      <c r="BO6">
        <v>2.2200000000000002</v>
      </c>
      <c r="BP6">
        <v>0.82</v>
      </c>
      <c r="BQ6">
        <v>6.04</v>
      </c>
      <c r="BR6">
        <v>2.76</v>
      </c>
      <c r="BS6">
        <v>0.98</v>
      </c>
      <c r="BT6">
        <v>4.3499999999999996</v>
      </c>
      <c r="BU6">
        <v>1.98</v>
      </c>
      <c r="BV6" t="s">
        <v>239</v>
      </c>
      <c r="BW6">
        <v>18.100000000000001</v>
      </c>
      <c r="BX6">
        <v>14.77</v>
      </c>
      <c r="BY6">
        <v>17.63</v>
      </c>
      <c r="BZ6">
        <v>6.89</v>
      </c>
      <c r="CA6">
        <v>7.81</v>
      </c>
      <c r="CB6">
        <v>4.16</v>
      </c>
      <c r="CC6">
        <v>0.76</v>
      </c>
      <c r="CD6">
        <v>7.27</v>
      </c>
      <c r="CE6" t="s">
        <v>367</v>
      </c>
      <c r="CF6" t="s">
        <v>368</v>
      </c>
      <c r="CG6" s="20">
        <v>-0.23802335600907029</v>
      </c>
      <c r="CH6" s="21">
        <v>-0.53095598734084049</v>
      </c>
      <c r="CI6" s="20">
        <v>0.49563953280448914</v>
      </c>
      <c r="CJ6" s="20">
        <v>0.41128206253051758</v>
      </c>
      <c r="CK6" s="20">
        <v>0.27952754497528076</v>
      </c>
      <c r="CL6" s="20">
        <v>-0.46638655662536621</v>
      </c>
      <c r="CM6" s="20">
        <v>1.2666666507720947</v>
      </c>
      <c r="CN6" s="21">
        <v>0.71271508932113647</v>
      </c>
      <c r="CO6" s="21">
        <v>1.2557412385940552</v>
      </c>
      <c r="CP6" s="21">
        <v>0.33393126726150513</v>
      </c>
      <c r="CQ6" s="21">
        <v>-0.73731940984725952</v>
      </c>
      <c r="CR6" s="21">
        <v>0.45263302326202393</v>
      </c>
      <c r="CS6">
        <v>2.3285892128279886</v>
      </c>
      <c r="CT6">
        <v>50501785.57692308</v>
      </c>
      <c r="CU6">
        <v>2.5685120000000001</v>
      </c>
      <c r="CV6" s="20">
        <v>0.39734584689140318</v>
      </c>
      <c r="CW6" s="21">
        <v>0.40354024171829223</v>
      </c>
      <c r="CX6">
        <v>0.06</v>
      </c>
      <c r="CY6">
        <v>22.934212711841244</v>
      </c>
      <c r="CZ6">
        <v>137098083.091232</v>
      </c>
      <c r="DA6">
        <v>0.39734584689140318</v>
      </c>
      <c r="DB6">
        <v>5.8334137267075805</v>
      </c>
      <c r="DC6">
        <v>539004560.16080129</v>
      </c>
      <c r="DD6">
        <v>0.37747855454683299</v>
      </c>
      <c r="DE6">
        <v>1.9897109595586329</v>
      </c>
      <c r="DF6">
        <v>1580247917.3645751</v>
      </c>
      <c r="DG6">
        <v>0.34966434526443479</v>
      </c>
      <c r="DH6">
        <v>0.75607303175575258</v>
      </c>
      <c r="DI6">
        <v>4158641385.0768552</v>
      </c>
      <c r="DJ6">
        <v>0.31787667751312254</v>
      </c>
      <c r="DK6">
        <v>0.12519537694274341</v>
      </c>
      <c r="DL6">
        <v>25114638230.115944</v>
      </c>
      <c r="DM6">
        <v>0.27814209282398222</v>
      </c>
      <c r="DN6">
        <v>104000000</v>
      </c>
      <c r="DO6">
        <v>0.39734584689140318</v>
      </c>
      <c r="DP6">
        <v>3144236600</v>
      </c>
      <c r="DQ6">
        <v>953853800</v>
      </c>
      <c r="DR6">
        <v>3272</v>
      </c>
      <c r="DS6">
        <v>-0.6353692029004735</v>
      </c>
      <c r="DT6">
        <v>-0.93449622905913277</v>
      </c>
      <c r="DU6" s="22">
        <v>0.31333333333333335</v>
      </c>
      <c r="DV6">
        <v>0.41333333333333339</v>
      </c>
      <c r="DW6">
        <v>0.72666666666666679</v>
      </c>
      <c r="DX6">
        <v>2.0727000000000002</v>
      </c>
      <c r="DY6">
        <v>0.52868001564931366</v>
      </c>
      <c r="DZ6">
        <v>2.0166250371377052</v>
      </c>
      <c r="EA6">
        <v>2108</v>
      </c>
      <c r="EB6">
        <v>2.0094787120385447</v>
      </c>
      <c r="EC6">
        <v>2</v>
      </c>
      <c r="ED6">
        <v>1.5086525512626514E-2</v>
      </c>
      <c r="EE6">
        <v>6.5972207802198299E-2</v>
      </c>
      <c r="EF6" s="19">
        <v>-1.0369999999999999</v>
      </c>
      <c r="EG6">
        <v>-1.0264</v>
      </c>
      <c r="EH6">
        <v>30.228680015649314</v>
      </c>
      <c r="EI6" t="s">
        <v>175</v>
      </c>
      <c r="EJ6">
        <v>1</v>
      </c>
      <c r="EK6">
        <v>0</v>
      </c>
      <c r="EL6" s="26">
        <v>44904</v>
      </c>
      <c r="EM6" s="27">
        <v>8.6999999999999994E-3</v>
      </c>
      <c r="EN6" s="27">
        <v>-9.7000000000000003E-3</v>
      </c>
      <c r="EO6" s="27">
        <v>3.3E-3</v>
      </c>
      <c r="EP6" s="27">
        <v>1.62</v>
      </c>
      <c r="EQ6" s="27">
        <v>-1.06</v>
      </c>
    </row>
    <row r="7" spans="1:147" ht="129.6" x14ac:dyDescent="0.25">
      <c r="B7" s="28" t="s">
        <v>533</v>
      </c>
      <c r="C7" s="28"/>
      <c r="D7" s="28" t="s">
        <v>404</v>
      </c>
      <c r="E7" t="s">
        <v>189</v>
      </c>
      <c r="F7" t="s">
        <v>190</v>
      </c>
      <c r="G7">
        <v>22.05</v>
      </c>
      <c r="H7">
        <v>-3.84</v>
      </c>
      <c r="I7" t="s">
        <v>191</v>
      </c>
      <c r="J7">
        <v>4282992000</v>
      </c>
      <c r="K7">
        <v>20.22</v>
      </c>
      <c r="L7">
        <v>3.84</v>
      </c>
      <c r="M7" t="s">
        <v>179</v>
      </c>
      <c r="N7" t="s">
        <v>168</v>
      </c>
      <c r="O7" t="s">
        <v>166</v>
      </c>
      <c r="P7" t="s">
        <v>369</v>
      </c>
      <c r="Q7">
        <v>-27.87</v>
      </c>
      <c r="R7" t="s">
        <v>370</v>
      </c>
      <c r="S7">
        <v>153801630</v>
      </c>
      <c r="T7" s="4">
        <v>4.5100000000000001E-2</v>
      </c>
      <c r="U7" t="s">
        <v>158</v>
      </c>
      <c r="V7">
        <v>64880000</v>
      </c>
      <c r="W7">
        <v>194240000</v>
      </c>
      <c r="X7">
        <v>1.64</v>
      </c>
      <c r="Y7">
        <v>0.97</v>
      </c>
      <c r="Z7">
        <v>8.2100000000000009</v>
      </c>
      <c r="AA7" t="s">
        <v>371</v>
      </c>
      <c r="AB7" t="s">
        <v>372</v>
      </c>
      <c r="AC7" t="s">
        <v>172</v>
      </c>
      <c r="AD7" t="s">
        <v>373</v>
      </c>
      <c r="AE7" t="s">
        <v>374</v>
      </c>
      <c r="AF7">
        <v>-74423888</v>
      </c>
      <c r="AG7" t="s">
        <v>375</v>
      </c>
      <c r="AH7" t="s">
        <v>376</v>
      </c>
      <c r="AI7" t="s">
        <v>377</v>
      </c>
      <c r="AJ7" t="s">
        <v>208</v>
      </c>
      <c r="AK7" t="s">
        <v>378</v>
      </c>
      <c r="AL7" t="s">
        <v>7</v>
      </c>
      <c r="AM7" t="s">
        <v>379</v>
      </c>
      <c r="AN7" t="s">
        <v>7</v>
      </c>
      <c r="AO7" t="s">
        <v>380</v>
      </c>
      <c r="AP7" t="s">
        <v>7</v>
      </c>
      <c r="AQ7" t="s">
        <v>381</v>
      </c>
      <c r="AR7" t="s">
        <v>382</v>
      </c>
      <c r="AS7" t="s">
        <v>383</v>
      </c>
      <c r="AT7" t="s">
        <v>384</v>
      </c>
      <c r="AU7" t="s">
        <v>7</v>
      </c>
      <c r="AV7" t="s">
        <v>385</v>
      </c>
      <c r="AW7" t="s">
        <v>386</v>
      </c>
      <c r="AX7" t="s">
        <v>387</v>
      </c>
      <c r="AY7" t="s">
        <v>388</v>
      </c>
      <c r="AZ7" t="s">
        <v>389</v>
      </c>
      <c r="BA7" t="s">
        <v>390</v>
      </c>
      <c r="BB7" t="s">
        <v>391</v>
      </c>
      <c r="BC7" t="s">
        <v>7</v>
      </c>
      <c r="BD7" t="s">
        <v>392</v>
      </c>
      <c r="BE7" t="s">
        <v>393</v>
      </c>
      <c r="BF7" t="s">
        <v>394</v>
      </c>
      <c r="BG7" t="s">
        <v>395</v>
      </c>
      <c r="BH7" t="s">
        <v>7</v>
      </c>
      <c r="BI7" t="s">
        <v>396</v>
      </c>
      <c r="BJ7" t="s">
        <v>397</v>
      </c>
      <c r="BK7" t="s">
        <v>398</v>
      </c>
      <c r="BL7" t="s">
        <v>399</v>
      </c>
      <c r="BM7" t="s">
        <v>400</v>
      </c>
      <c r="BN7" t="s">
        <v>401</v>
      </c>
      <c r="BO7">
        <v>10.79</v>
      </c>
      <c r="BP7">
        <v>3.07</v>
      </c>
      <c r="BQ7">
        <v>35.71</v>
      </c>
      <c r="BR7">
        <v>37.15</v>
      </c>
      <c r="BS7">
        <v>3.87</v>
      </c>
      <c r="BT7">
        <v>40.840000000000003</v>
      </c>
      <c r="BU7" t="s">
        <v>7</v>
      </c>
      <c r="BV7" t="s">
        <v>239</v>
      </c>
      <c r="BW7">
        <v>13.13</v>
      </c>
      <c r="BX7">
        <v>20.18</v>
      </c>
      <c r="BY7">
        <v>17.350000000000001</v>
      </c>
      <c r="BZ7">
        <v>7.45</v>
      </c>
      <c r="CA7">
        <v>6.86</v>
      </c>
      <c r="CB7">
        <v>5.68</v>
      </c>
      <c r="CC7">
        <v>7.4</v>
      </c>
      <c r="CD7">
        <v>16.98</v>
      </c>
      <c r="CE7" t="s">
        <v>402</v>
      </c>
      <c r="CF7" t="s">
        <v>403</v>
      </c>
      <c r="CG7" s="20">
        <v>-0.49734635108481262</v>
      </c>
      <c r="CH7" s="21">
        <v>-0.14208000181977412</v>
      </c>
      <c r="CI7" s="20">
        <v>0.62292212247848511</v>
      </c>
      <c r="CJ7" s="20">
        <v>0.27353763580322266</v>
      </c>
      <c r="CK7" s="20">
        <v>-1.3736228458583355E-2</v>
      </c>
      <c r="CL7" s="20">
        <v>3.6446470767259598E-2</v>
      </c>
      <c r="CM7" s="20" t="e">
        <v>#VALUE!</v>
      </c>
      <c r="CN7" s="21">
        <v>0.30573248863220215</v>
      </c>
      <c r="CO7" s="21">
        <v>0.53921568393707275</v>
      </c>
      <c r="CP7" s="21">
        <v>0.97590559720993042</v>
      </c>
      <c r="CQ7" s="21">
        <v>0.58612602949142456</v>
      </c>
      <c r="CR7" s="21" t="e">
        <v>#VALUE!</v>
      </c>
      <c r="CS7">
        <v>1.1544452830188678</v>
      </c>
      <c r="CT7">
        <v>71086004.878048792</v>
      </c>
      <c r="CU7">
        <v>13.060468</v>
      </c>
      <c r="CV7" s="20">
        <v>0.229792500147596</v>
      </c>
      <c r="CW7" s="21">
        <v>0.60174494981765747</v>
      </c>
      <c r="CX7">
        <v>0.06</v>
      </c>
      <c r="CY7">
        <v>16.246371602381391</v>
      </c>
      <c r="CZ7">
        <v>237837228.80212936</v>
      </c>
      <c r="DA7">
        <v>0.229792500147596</v>
      </c>
      <c r="DB7">
        <v>4.7256566246777334</v>
      </c>
      <c r="DC7">
        <v>817662455.58806443</v>
      </c>
      <c r="DD7">
        <v>0.21830287514021618</v>
      </c>
      <c r="DE7">
        <v>1.9759268879226435</v>
      </c>
      <c r="DF7">
        <v>1955533893.2921455</v>
      </c>
      <c r="DG7">
        <v>0.20221740012988448</v>
      </c>
      <c r="DH7">
        <v>0.97659744181202468</v>
      </c>
      <c r="DI7">
        <v>3956586239.7003293</v>
      </c>
      <c r="DJ7">
        <v>0.18383400011807682</v>
      </c>
      <c r="DK7">
        <v>0.31748170139725956</v>
      </c>
      <c r="DL7">
        <v>12170754985.230003</v>
      </c>
      <c r="DM7">
        <v>0.16085475010331718</v>
      </c>
      <c r="DN7">
        <v>204999999.99999997</v>
      </c>
      <c r="DO7">
        <v>0.229792500147596</v>
      </c>
      <c r="DP7">
        <v>3863992000</v>
      </c>
      <c r="DQ7">
        <v>956389000</v>
      </c>
      <c r="DR7">
        <v>2458</v>
      </c>
      <c r="DS7">
        <v>-0.72713885123240862</v>
      </c>
      <c r="DT7">
        <v>-0.74382495163743156</v>
      </c>
      <c r="DU7" s="22">
        <v>0.31599999999999995</v>
      </c>
      <c r="DV7">
        <v>0.83999999999999986</v>
      </c>
      <c r="DW7">
        <v>1.1559999999999997</v>
      </c>
      <c r="DX7">
        <v>9.4358068315665484</v>
      </c>
      <c r="DY7">
        <v>0.66829110056694419</v>
      </c>
      <c r="DZ7">
        <v>9.125639231106911</v>
      </c>
      <c r="EA7">
        <v>1326</v>
      </c>
      <c r="EB7">
        <v>9.0916674487970077</v>
      </c>
      <c r="EC7">
        <v>9</v>
      </c>
      <c r="ED7">
        <v>0.11173239291598024</v>
      </c>
      <c r="EE7">
        <v>0.38756795716639209</v>
      </c>
      <c r="EF7" s="19">
        <v>-1.0811999999999999</v>
      </c>
      <c r="EG7">
        <v>-1.0427999999999999</v>
      </c>
      <c r="EH7">
        <v>38.288291100566944</v>
      </c>
      <c r="EI7" t="s">
        <v>175</v>
      </c>
      <c r="EJ7">
        <v>1</v>
      </c>
      <c r="EK7">
        <v>1</v>
      </c>
      <c r="EL7" s="26">
        <v>44904</v>
      </c>
      <c r="EM7" s="27">
        <v>5.4000000000000003E-3</v>
      </c>
      <c r="EN7" s="27">
        <v>7.3000000000000001E-3</v>
      </c>
      <c r="EO7" s="27">
        <v>3.8E-3</v>
      </c>
      <c r="EP7" s="27">
        <v>9.8699999999999992</v>
      </c>
      <c r="EQ7" s="27">
        <v>-3.84</v>
      </c>
    </row>
    <row r="8" spans="1:147" ht="64.8" x14ac:dyDescent="0.25">
      <c r="B8" s="28"/>
      <c r="C8" s="28"/>
      <c r="D8" s="28" t="s">
        <v>447</v>
      </c>
      <c r="E8" t="s">
        <v>192</v>
      </c>
      <c r="F8" t="s">
        <v>193</v>
      </c>
      <c r="G8">
        <v>19.53</v>
      </c>
      <c r="H8">
        <v>-0.51</v>
      </c>
      <c r="I8" t="s">
        <v>194</v>
      </c>
      <c r="J8">
        <v>3984120000</v>
      </c>
      <c r="K8">
        <v>30.75</v>
      </c>
      <c r="L8">
        <v>3.5</v>
      </c>
      <c r="M8" t="s">
        <v>179</v>
      </c>
      <c r="N8" t="s">
        <v>405</v>
      </c>
      <c r="O8" t="s">
        <v>406</v>
      </c>
      <c r="P8" t="s">
        <v>407</v>
      </c>
      <c r="Q8">
        <v>20.67</v>
      </c>
      <c r="R8" t="s">
        <v>408</v>
      </c>
      <c r="S8">
        <v>151307200</v>
      </c>
      <c r="T8" s="4">
        <v>3.5710000000000002</v>
      </c>
      <c r="U8" t="s">
        <v>409</v>
      </c>
      <c r="V8">
        <v>204000000</v>
      </c>
      <c r="W8">
        <v>204000000</v>
      </c>
      <c r="X8">
        <v>3.54</v>
      </c>
      <c r="Y8">
        <v>1.2</v>
      </c>
      <c r="Z8">
        <v>3.68</v>
      </c>
      <c r="AA8" t="s">
        <v>410</v>
      </c>
      <c r="AB8" t="s">
        <v>411</v>
      </c>
      <c r="AC8" t="s">
        <v>412</v>
      </c>
      <c r="AD8" t="s">
        <v>413</v>
      </c>
      <c r="AE8" t="s">
        <v>414</v>
      </c>
      <c r="AF8">
        <v>-26926145</v>
      </c>
      <c r="AG8" t="s">
        <v>415</v>
      </c>
      <c r="AH8" t="s">
        <v>416</v>
      </c>
      <c r="AI8" t="s">
        <v>417</v>
      </c>
      <c r="AJ8" t="s">
        <v>418</v>
      </c>
      <c r="AK8" t="s">
        <v>419</v>
      </c>
      <c r="AL8" t="s">
        <v>7</v>
      </c>
      <c r="AM8" t="s">
        <v>420</v>
      </c>
      <c r="AN8" t="s">
        <v>7</v>
      </c>
      <c r="AO8" t="s">
        <v>421</v>
      </c>
      <c r="AP8" t="s">
        <v>7</v>
      </c>
      <c r="AQ8" t="s">
        <v>422</v>
      </c>
      <c r="AR8" t="s">
        <v>423</v>
      </c>
      <c r="AS8" t="s">
        <v>424</v>
      </c>
      <c r="AT8" t="s">
        <v>425</v>
      </c>
      <c r="AU8" t="s">
        <v>7</v>
      </c>
      <c r="AV8" t="s">
        <v>426</v>
      </c>
      <c r="AW8" t="s">
        <v>427</v>
      </c>
      <c r="AX8" t="s">
        <v>428</v>
      </c>
      <c r="AY8" t="s">
        <v>429</v>
      </c>
      <c r="AZ8" t="s">
        <v>430</v>
      </c>
      <c r="BA8" t="s">
        <v>431</v>
      </c>
      <c r="BB8" t="s">
        <v>432</v>
      </c>
      <c r="BC8" t="s">
        <v>433</v>
      </c>
      <c r="BD8" t="s">
        <v>393</v>
      </c>
      <c r="BE8" t="s">
        <v>434</v>
      </c>
      <c r="BF8" t="s">
        <v>435</v>
      </c>
      <c r="BG8" t="s">
        <v>436</v>
      </c>
      <c r="BH8" t="s">
        <v>437</v>
      </c>
      <c r="BI8" t="s">
        <v>438</v>
      </c>
      <c r="BJ8" t="s">
        <v>439</v>
      </c>
      <c r="BK8" t="s">
        <v>440</v>
      </c>
      <c r="BL8" t="s">
        <v>441</v>
      </c>
      <c r="BM8" t="s">
        <v>442</v>
      </c>
      <c r="BN8" t="s">
        <v>443</v>
      </c>
      <c r="BO8">
        <v>5.98</v>
      </c>
      <c r="BP8">
        <v>0.95</v>
      </c>
      <c r="BQ8">
        <v>6.14</v>
      </c>
      <c r="BR8">
        <v>5.17</v>
      </c>
      <c r="BS8">
        <v>2.12</v>
      </c>
      <c r="BT8">
        <v>10.19</v>
      </c>
      <c r="BU8">
        <v>7.4</v>
      </c>
      <c r="BV8" t="s">
        <v>239</v>
      </c>
      <c r="BW8">
        <v>13.41</v>
      </c>
      <c r="BX8">
        <v>10.39</v>
      </c>
      <c r="BY8">
        <v>14.6</v>
      </c>
      <c r="BZ8">
        <v>2.73</v>
      </c>
      <c r="CA8">
        <v>2.06</v>
      </c>
      <c r="CB8">
        <v>2.31</v>
      </c>
      <c r="CC8">
        <v>-4.3099999999999996</v>
      </c>
      <c r="CD8">
        <v>-12.3</v>
      </c>
      <c r="CE8" t="s">
        <v>444</v>
      </c>
      <c r="CF8" t="s">
        <v>445</v>
      </c>
      <c r="CG8" s="20">
        <v>0.25891608187134546</v>
      </c>
      <c r="CH8" s="21">
        <v>3.1168524922632459</v>
      </c>
      <c r="CI8" s="20">
        <v>-0.15528813004493713</v>
      </c>
      <c r="CJ8" s="20">
        <v>0.65837705135345459</v>
      </c>
      <c r="CK8" s="20">
        <v>1.9672552589327097E-3</v>
      </c>
      <c r="CL8" s="20">
        <v>0.13130559027194977</v>
      </c>
      <c r="CM8" s="20">
        <v>0.3119221031665802</v>
      </c>
      <c r="CN8" s="21">
        <v>-0.88852250576019287</v>
      </c>
      <c r="CO8" s="21">
        <v>0.4462524950504303</v>
      </c>
      <c r="CP8" s="21">
        <v>-0.20447146892547607</v>
      </c>
      <c r="CQ8" s="21">
        <v>0.21027413010597229</v>
      </c>
      <c r="CR8" s="21">
        <v>-3.8763605058193207E-2</v>
      </c>
      <c r="CS8">
        <v>0.9306517168885774</v>
      </c>
      <c r="CT8">
        <v>1289179294.1507559</v>
      </c>
      <c r="CU8">
        <v>15.632640000000002</v>
      </c>
      <c r="CV8" s="20">
        <v>0.18965677400119602</v>
      </c>
      <c r="CW8" s="21">
        <v>-9.5046190917491918E-2</v>
      </c>
      <c r="CX8">
        <v>0.06</v>
      </c>
      <c r="CY8">
        <v>449.24992582732705</v>
      </c>
      <c r="CZ8">
        <v>12761538.000127735</v>
      </c>
      <c r="DA8">
        <v>0.18965677400119602</v>
      </c>
      <c r="DB8">
        <v>135.06233802213094</v>
      </c>
      <c r="DC8">
        <v>42447954.6552836</v>
      </c>
      <c r="DD8">
        <v>0.18017393530113621</v>
      </c>
      <c r="DE8">
        <v>59.23493670888363</v>
      </c>
      <c r="DF8">
        <v>96786125.191219926</v>
      </c>
      <c r="DG8">
        <v>0.16689796112105248</v>
      </c>
      <c r="DH8">
        <v>31.052638659752489</v>
      </c>
      <c r="DI8">
        <v>184625856.20560262</v>
      </c>
      <c r="DJ8">
        <v>0.15172541920095683</v>
      </c>
      <c r="DK8">
        <v>11.680800522492419</v>
      </c>
      <c r="DL8">
        <v>490815675.60034674</v>
      </c>
      <c r="DM8">
        <v>0.13275974180083719</v>
      </c>
      <c r="DN8">
        <v>11370700</v>
      </c>
      <c r="DO8">
        <v>0.18965677400119602</v>
      </c>
      <c r="DP8">
        <v>5733120000</v>
      </c>
      <c r="DQ8">
        <v>-38256700</v>
      </c>
      <c r="DR8">
        <v>4169</v>
      </c>
      <c r="DS8">
        <v>6.9259307870149445E-2</v>
      </c>
      <c r="DT8">
        <v>3.2118986831807379</v>
      </c>
      <c r="DU8" s="22">
        <v>0.45333333333333331</v>
      </c>
      <c r="DV8">
        <v>0.39999999999999991</v>
      </c>
      <c r="DW8">
        <v>0.85333333333333328</v>
      </c>
      <c r="DX8">
        <v>-8.3504065040650399</v>
      </c>
      <c r="DY8">
        <v>0.33311101490011186</v>
      </c>
      <c r="DZ8">
        <v>-8.0606592255462992</v>
      </c>
      <c r="EA8">
        <v>1860</v>
      </c>
      <c r="EB8">
        <v>-8.0376522599027194</v>
      </c>
      <c r="EC8">
        <v>8</v>
      </c>
      <c r="ED8">
        <v>5.7984803921568635E-2</v>
      </c>
      <c r="EE8">
        <v>0.33495735294117646</v>
      </c>
      <c r="EF8" s="19">
        <v>5.0777099999999997</v>
      </c>
      <c r="EG8">
        <v>5.0828100000000003</v>
      </c>
      <c r="EH8">
        <v>16.173111014900112</v>
      </c>
      <c r="EI8" t="s">
        <v>446</v>
      </c>
      <c r="EJ8">
        <v>0</v>
      </c>
      <c r="EK8">
        <v>0</v>
      </c>
      <c r="EL8" s="26">
        <v>44904</v>
      </c>
      <c r="EM8" s="27">
        <v>1.1299999999999999E-2</v>
      </c>
      <c r="EN8" s="27">
        <v>-1.89E-2</v>
      </c>
      <c r="EO8" s="27">
        <v>-2.7699999999999999E-2</v>
      </c>
      <c r="EP8" s="27">
        <v>-0.3</v>
      </c>
      <c r="EQ8" s="27">
        <v>-0.51</v>
      </c>
    </row>
    <row r="9" spans="1:147" ht="64.8" x14ac:dyDescent="0.25">
      <c r="B9" s="3"/>
      <c r="C9" s="3"/>
      <c r="D9" s="3" t="s">
        <v>485</v>
      </c>
      <c r="E9" t="s">
        <v>195</v>
      </c>
      <c r="F9" t="s">
        <v>196</v>
      </c>
      <c r="G9">
        <v>4.66</v>
      </c>
      <c r="H9">
        <v>1.3</v>
      </c>
      <c r="I9" t="s">
        <v>448</v>
      </c>
      <c r="J9">
        <v>3211601800</v>
      </c>
      <c r="L9">
        <v>10.75</v>
      </c>
      <c r="M9" t="s">
        <v>197</v>
      </c>
      <c r="N9" t="s">
        <v>449</v>
      </c>
      <c r="O9" t="s">
        <v>450</v>
      </c>
      <c r="P9" t="s">
        <v>451</v>
      </c>
      <c r="Q9">
        <v>79.19</v>
      </c>
      <c r="R9" t="s">
        <v>452</v>
      </c>
      <c r="S9">
        <v>1211814</v>
      </c>
      <c r="T9" s="4">
        <v>-0.37580000000000002</v>
      </c>
      <c r="U9" t="s">
        <v>453</v>
      </c>
      <c r="V9">
        <v>302981010</v>
      </c>
      <c r="W9">
        <v>689184930</v>
      </c>
      <c r="X9">
        <v>3.89</v>
      </c>
      <c r="Y9">
        <v>1.5</v>
      </c>
      <c r="Z9">
        <v>1.46</v>
      </c>
      <c r="AA9" t="s">
        <v>325</v>
      </c>
      <c r="AB9" t="s">
        <v>454</v>
      </c>
      <c r="AC9" t="s">
        <v>455</v>
      </c>
      <c r="AD9" t="s">
        <v>456</v>
      </c>
      <c r="AE9" t="s">
        <v>457</v>
      </c>
      <c r="AF9">
        <v>-49415</v>
      </c>
      <c r="AG9" t="s">
        <v>162</v>
      </c>
      <c r="AH9" t="s">
        <v>458</v>
      </c>
      <c r="AI9" t="s">
        <v>459</v>
      </c>
      <c r="AJ9" t="s">
        <v>460</v>
      </c>
      <c r="AK9" t="s">
        <v>461</v>
      </c>
      <c r="AL9" t="s">
        <v>462</v>
      </c>
      <c r="AM9" t="s">
        <v>463</v>
      </c>
      <c r="AN9" t="s">
        <v>7</v>
      </c>
      <c r="AO9">
        <v>0</v>
      </c>
      <c r="AP9" t="s">
        <v>7</v>
      </c>
      <c r="AQ9" t="s">
        <v>7</v>
      </c>
      <c r="AR9" t="s">
        <v>464</v>
      </c>
      <c r="AS9" t="s">
        <v>7</v>
      </c>
      <c r="AT9" t="s">
        <v>465</v>
      </c>
      <c r="AU9" t="s">
        <v>7</v>
      </c>
      <c r="AV9" t="s">
        <v>466</v>
      </c>
      <c r="AW9" t="s">
        <v>467</v>
      </c>
      <c r="AX9" t="s">
        <v>468</v>
      </c>
      <c r="AY9" t="s">
        <v>469</v>
      </c>
      <c r="AZ9" t="s">
        <v>470</v>
      </c>
      <c r="BA9" t="s">
        <v>160</v>
      </c>
      <c r="BB9" t="s">
        <v>471</v>
      </c>
      <c r="BC9" t="s">
        <v>161</v>
      </c>
      <c r="BD9" t="s">
        <v>472</v>
      </c>
      <c r="BE9" t="s">
        <v>473</v>
      </c>
      <c r="BF9" t="s">
        <v>474</v>
      </c>
      <c r="BG9" t="s">
        <v>475</v>
      </c>
      <c r="BH9" t="s">
        <v>476</v>
      </c>
      <c r="BI9" t="s">
        <v>156</v>
      </c>
      <c r="BJ9" t="s">
        <v>477</v>
      </c>
      <c r="BK9" t="s">
        <v>478</v>
      </c>
      <c r="BL9" t="s">
        <v>479</v>
      </c>
      <c r="BM9" t="s">
        <v>480</v>
      </c>
      <c r="BN9" t="s">
        <v>481</v>
      </c>
      <c r="BO9">
        <v>3.04</v>
      </c>
      <c r="BP9">
        <v>-2.23</v>
      </c>
      <c r="BQ9">
        <v>22.75</v>
      </c>
      <c r="BR9">
        <v>-61.36</v>
      </c>
      <c r="BS9">
        <v>-10.68</v>
      </c>
      <c r="BT9">
        <v>42.01</v>
      </c>
      <c r="BU9">
        <v>-53.69</v>
      </c>
      <c r="BV9" t="s">
        <v>482</v>
      </c>
      <c r="BW9">
        <v>6.05</v>
      </c>
      <c r="BX9">
        <v>12.42</v>
      </c>
      <c r="BY9">
        <v>9.66</v>
      </c>
      <c r="BZ9">
        <v>-1.1499999999999999</v>
      </c>
      <c r="CA9">
        <v>3.71</v>
      </c>
      <c r="CB9">
        <v>-10.28</v>
      </c>
      <c r="CC9">
        <v>2.64</v>
      </c>
      <c r="CD9">
        <v>7.13</v>
      </c>
      <c r="CE9" t="s">
        <v>483</v>
      </c>
      <c r="CF9" t="s">
        <v>484</v>
      </c>
      <c r="CG9" s="20">
        <v>0.44824479449325666</v>
      </c>
      <c r="CH9" s="21">
        <v>3.6808162556443209</v>
      </c>
      <c r="CI9" s="20">
        <v>0.39830508828163147</v>
      </c>
      <c r="CJ9" s="20">
        <v>0.55216789245605469</v>
      </c>
      <c r="CK9" s="20">
        <v>-0.36647745966911316</v>
      </c>
      <c r="CL9" s="20">
        <v>-0.12408759444952011</v>
      </c>
      <c r="CM9" s="20">
        <v>-3.5211268812417984E-2</v>
      </c>
      <c r="CN9" s="21">
        <v>-1.524776816368103</v>
      </c>
      <c r="CO9" s="21">
        <v>1.526763916015625</v>
      </c>
      <c r="CP9" s="21">
        <v>-3.5143845081329346</v>
      </c>
      <c r="CQ9" s="21">
        <v>-2.0407950878143311</v>
      </c>
      <c r="CR9" s="21">
        <v>-0.41250577569007874</v>
      </c>
      <c r="CS9">
        <v>19.464253333333332</v>
      </c>
      <c r="CT9">
        <v>-2613026.6270700158</v>
      </c>
      <c r="CU9">
        <v>8.5190999999999999</v>
      </c>
      <c r="CV9" s="20">
        <v>8.4939331561326978E-2</v>
      </c>
      <c r="CW9" s="21">
        <v>-1.1931396543979644</v>
      </c>
      <c r="CX9">
        <v>0.06</v>
      </c>
      <c r="CY9" t="e">
        <v>#VALUE!</v>
      </c>
      <c r="CZ9" t="s">
        <v>157</v>
      </c>
      <c r="DA9">
        <v>8.4939331561326978E-2</v>
      </c>
      <c r="DB9" t="e">
        <v>#VALUE!</v>
      </c>
      <c r="DC9" t="s">
        <v>157</v>
      </c>
      <c r="DD9">
        <v>8.0692364983260628E-2</v>
      </c>
      <c r="DE9" t="e">
        <v>#VALUE!</v>
      </c>
      <c r="DF9" t="s">
        <v>157</v>
      </c>
      <c r="DG9">
        <v>7.4746611773967742E-2</v>
      </c>
      <c r="DH9" t="e">
        <v>#VALUE!</v>
      </c>
      <c r="DI9" t="s">
        <v>157</v>
      </c>
      <c r="DJ9">
        <v>6.7951465249061579E-2</v>
      </c>
      <c r="DK9" t="e">
        <v>#VALUE!</v>
      </c>
      <c r="DL9" t="s">
        <v>157</v>
      </c>
      <c r="DM9">
        <v>5.945753209292888E-2</v>
      </c>
      <c r="DN9">
        <v>-1986699.9999999998</v>
      </c>
      <c r="DO9">
        <v>8.4939331561326978E-2</v>
      </c>
      <c r="DP9">
        <v>3260979900</v>
      </c>
      <c r="DQ9">
        <v>21428847</v>
      </c>
      <c r="DR9">
        <v>14</v>
      </c>
      <c r="DS9">
        <v>0.36330546293192967</v>
      </c>
      <c r="DT9">
        <v>4.8739559100422856</v>
      </c>
      <c r="DU9" s="22">
        <v>0.6</v>
      </c>
      <c r="DV9" t="e">
        <v>#VALUE!</v>
      </c>
      <c r="DW9" t="e">
        <v>#VALUE!</v>
      </c>
      <c r="DX9">
        <v>8.3702664796633943</v>
      </c>
      <c r="DY9">
        <v>0.63056499748110717</v>
      </c>
      <c r="DZ9">
        <v>8.0779651603576621</v>
      </c>
      <c r="EA9">
        <v>4436</v>
      </c>
      <c r="EB9">
        <v>8.0071080713704479</v>
      </c>
      <c r="EC9">
        <v>8</v>
      </c>
      <c r="ED9">
        <v>0.12129443979571637</v>
      </c>
      <c r="EE9">
        <v>0.57604277563062789</v>
      </c>
      <c r="EF9" s="19">
        <v>2.1179999999999999</v>
      </c>
      <c r="EG9">
        <v>2.1310000000000002</v>
      </c>
      <c r="EH9">
        <v>42.210564997481107</v>
      </c>
      <c r="EI9" t="s">
        <v>242</v>
      </c>
      <c r="EJ9">
        <v>0</v>
      </c>
      <c r="EK9">
        <v>0</v>
      </c>
      <c r="EL9" s="26">
        <v>44876</v>
      </c>
      <c r="EM9" s="27">
        <v>1.54</v>
      </c>
      <c r="EN9" s="27">
        <v>-0.87</v>
      </c>
      <c r="EO9" s="27">
        <v>2.84</v>
      </c>
      <c r="EP9" s="27">
        <v>-2.13</v>
      </c>
      <c r="EQ9" s="27">
        <v>1.3</v>
      </c>
    </row>
    <row r="10" spans="1:147" ht="64.8" x14ac:dyDescent="0.25">
      <c r="B10" s="28"/>
      <c r="C10" s="28"/>
      <c r="D10" s="28" t="s">
        <v>526</v>
      </c>
      <c r="E10" t="s">
        <v>198</v>
      </c>
      <c r="F10" t="s">
        <v>199</v>
      </c>
      <c r="G10">
        <v>7.38</v>
      </c>
      <c r="H10">
        <v>0.68</v>
      </c>
      <c r="I10" t="s">
        <v>200</v>
      </c>
      <c r="J10">
        <v>2719530000</v>
      </c>
      <c r="K10">
        <v>10.55</v>
      </c>
      <c r="L10">
        <v>2.85</v>
      </c>
      <c r="M10" t="s">
        <v>179</v>
      </c>
      <c r="N10" t="s">
        <v>486</v>
      </c>
      <c r="O10" t="s">
        <v>487</v>
      </c>
      <c r="P10" t="s">
        <v>488</v>
      </c>
      <c r="Q10">
        <v>-23.13</v>
      </c>
      <c r="R10" t="s">
        <v>489</v>
      </c>
      <c r="S10">
        <v>188003410</v>
      </c>
      <c r="T10" s="4">
        <v>-7.2599999999999998E-2</v>
      </c>
      <c r="U10" t="s">
        <v>490</v>
      </c>
      <c r="V10">
        <v>368500000</v>
      </c>
      <c r="W10">
        <v>368500000</v>
      </c>
      <c r="X10">
        <v>1.85</v>
      </c>
      <c r="Y10">
        <v>0.69</v>
      </c>
      <c r="Z10">
        <v>14.01</v>
      </c>
      <c r="AA10" t="s">
        <v>491</v>
      </c>
      <c r="AB10" t="s">
        <v>492</v>
      </c>
      <c r="AC10" t="s">
        <v>493</v>
      </c>
      <c r="AD10" t="s">
        <v>494</v>
      </c>
      <c r="AE10" t="s">
        <v>495</v>
      </c>
      <c r="AF10">
        <v>-25346893</v>
      </c>
      <c r="AG10" t="s">
        <v>496</v>
      </c>
      <c r="AH10" t="s">
        <v>497</v>
      </c>
      <c r="AI10" t="s">
        <v>498</v>
      </c>
      <c r="AJ10" t="s">
        <v>499</v>
      </c>
      <c r="AK10" t="s">
        <v>500</v>
      </c>
      <c r="AL10" t="s">
        <v>501</v>
      </c>
      <c r="AM10" t="s">
        <v>502</v>
      </c>
      <c r="AN10" t="s">
        <v>7</v>
      </c>
      <c r="AO10" t="s">
        <v>503</v>
      </c>
      <c r="AP10" t="s">
        <v>164</v>
      </c>
      <c r="AQ10" t="s">
        <v>504</v>
      </c>
      <c r="AR10" t="s">
        <v>271</v>
      </c>
      <c r="AS10" t="s">
        <v>7</v>
      </c>
      <c r="AT10" t="s">
        <v>169</v>
      </c>
      <c r="AU10" t="s">
        <v>505</v>
      </c>
      <c r="AV10" t="s">
        <v>506</v>
      </c>
      <c r="AW10" t="s">
        <v>507</v>
      </c>
      <c r="AX10" t="s">
        <v>508</v>
      </c>
      <c r="AY10" t="s">
        <v>509</v>
      </c>
      <c r="AZ10" t="s">
        <v>510</v>
      </c>
      <c r="BA10" t="s">
        <v>511</v>
      </c>
      <c r="BB10" t="s">
        <v>512</v>
      </c>
      <c r="BC10" t="s">
        <v>513</v>
      </c>
      <c r="BD10" t="s">
        <v>452</v>
      </c>
      <c r="BE10" t="s">
        <v>514</v>
      </c>
      <c r="BF10" t="s">
        <v>515</v>
      </c>
      <c r="BG10" t="s">
        <v>516</v>
      </c>
      <c r="BH10" t="s">
        <v>517</v>
      </c>
      <c r="BI10" t="s">
        <v>518</v>
      </c>
      <c r="BJ10" t="s">
        <v>519</v>
      </c>
      <c r="BK10" t="s">
        <v>520</v>
      </c>
      <c r="BL10" t="s">
        <v>521</v>
      </c>
      <c r="BM10" t="s">
        <v>522</v>
      </c>
      <c r="BN10" t="s">
        <v>521</v>
      </c>
      <c r="BO10">
        <v>12.44</v>
      </c>
      <c r="BP10">
        <v>2.96</v>
      </c>
      <c r="BQ10">
        <v>16.53</v>
      </c>
      <c r="BR10">
        <v>5.46</v>
      </c>
      <c r="BS10">
        <v>5.18</v>
      </c>
      <c r="BT10">
        <v>26.72</v>
      </c>
      <c r="BU10">
        <v>7.9</v>
      </c>
      <c r="BV10" t="s">
        <v>239</v>
      </c>
      <c r="BW10">
        <v>23.32</v>
      </c>
      <c r="BX10">
        <v>21.78</v>
      </c>
      <c r="BY10">
        <v>17.54</v>
      </c>
      <c r="BZ10">
        <v>13.04</v>
      </c>
      <c r="CA10">
        <v>9.58</v>
      </c>
      <c r="CB10">
        <v>1.21</v>
      </c>
      <c r="CC10">
        <v>1.79</v>
      </c>
      <c r="CD10">
        <v>11.14</v>
      </c>
      <c r="CE10" t="s">
        <v>523</v>
      </c>
      <c r="CF10" t="s">
        <v>524</v>
      </c>
      <c r="CG10" s="20">
        <v>-0.35355607476635531</v>
      </c>
      <c r="CH10" s="21">
        <v>-0.19226397435897405</v>
      </c>
      <c r="CI10" s="20">
        <v>0.41081938147544861</v>
      </c>
      <c r="CJ10" s="20">
        <v>-5.0838839262723923E-2</v>
      </c>
      <c r="CK10" s="20">
        <v>0.32547172904014587</v>
      </c>
      <c r="CL10" s="20">
        <v>-0.15005727112293243</v>
      </c>
      <c r="CM10" s="20">
        <v>0.26338639855384827</v>
      </c>
      <c r="CN10" s="21">
        <v>0.65454542636871338</v>
      </c>
      <c r="CO10" s="21">
        <v>2.9343230724334717</v>
      </c>
      <c r="CP10" s="21">
        <v>2.8387382030487061</v>
      </c>
      <c r="CQ10" s="21">
        <v>-0.7614138126373291</v>
      </c>
      <c r="CR10" s="21">
        <v>0.60379242897033691</v>
      </c>
      <c r="CS10">
        <v>1.0324715261958999</v>
      </c>
      <c r="CT10">
        <v>62064234.432234429</v>
      </c>
      <c r="CU10">
        <v>17.883765</v>
      </c>
      <c r="CV10" s="20">
        <v>0.15975627973675727</v>
      </c>
      <c r="CW10" s="21">
        <v>1.2539970636367799</v>
      </c>
      <c r="CX10">
        <v>0.06</v>
      </c>
      <c r="CY10">
        <v>8.5825212942949118</v>
      </c>
      <c r="CZ10">
        <v>298691947.51710826</v>
      </c>
      <c r="DA10">
        <v>0.15975627973675727</v>
      </c>
      <c r="DB10">
        <v>2.6450777394412461</v>
      </c>
      <c r="DC10">
        <v>969170002.74688625</v>
      </c>
      <c r="DD10">
        <v>0.1517684657499194</v>
      </c>
      <c r="DE10">
        <v>1.2015802255680506</v>
      </c>
      <c r="DF10">
        <v>2133465536.009536</v>
      </c>
      <c r="DG10">
        <v>0.14058552616834641</v>
      </c>
      <c r="DH10">
        <v>0.6572122770619232</v>
      </c>
      <c r="DI10">
        <v>3900611856.2792182</v>
      </c>
      <c r="DJ10">
        <v>0.12780502378940581</v>
      </c>
      <c r="DK10">
        <v>0.27392158640349623</v>
      </c>
      <c r="DL10">
        <v>9358627166.4761353</v>
      </c>
      <c r="DM10">
        <v>0.11182939581573008</v>
      </c>
      <c r="DN10">
        <v>273000000</v>
      </c>
      <c r="DO10">
        <v>0.15975627973675727</v>
      </c>
      <c r="DP10">
        <v>2563530000</v>
      </c>
      <c r="DQ10">
        <v>525392630</v>
      </c>
      <c r="DR10">
        <v>613</v>
      </c>
      <c r="DS10">
        <v>-0.51331235450311263</v>
      </c>
      <c r="DT10">
        <v>-1.4462610379957539</v>
      </c>
      <c r="DU10" s="22">
        <v>6.3333333333333353E-2</v>
      </c>
      <c r="DV10">
        <v>1.1200000000000001</v>
      </c>
      <c r="DW10">
        <v>1.1833333333333336</v>
      </c>
      <c r="DX10">
        <v>2.1114000000000002</v>
      </c>
      <c r="DY10">
        <v>0.40460357142857079</v>
      </c>
      <c r="DZ10">
        <v>2.0227928378571427</v>
      </c>
      <c r="EA10">
        <v>1275</v>
      </c>
      <c r="EB10">
        <v>2.0168668859265031</v>
      </c>
      <c r="EC10">
        <v>2</v>
      </c>
      <c r="ED10">
        <v>0.1088257801899593</v>
      </c>
      <c r="EE10">
        <v>0.53188602442333788</v>
      </c>
      <c r="EF10" s="19">
        <v>-2.0557099999999999</v>
      </c>
      <c r="EG10">
        <v>-2.0489099999999998</v>
      </c>
      <c r="EH10">
        <v>20.204603571428571</v>
      </c>
      <c r="EI10" t="s">
        <v>525</v>
      </c>
      <c r="EJ10">
        <v>1</v>
      </c>
      <c r="EK10">
        <v>1</v>
      </c>
      <c r="EL10" s="26">
        <v>44904</v>
      </c>
      <c r="EM10" s="27">
        <v>6.8999999999999999E-3</v>
      </c>
      <c r="EN10" s="27">
        <v>0</v>
      </c>
      <c r="EO10" s="27">
        <v>-2.7000000000000001E-3</v>
      </c>
      <c r="EP10" s="27">
        <v>0.69</v>
      </c>
      <c r="EQ10" s="27">
        <v>0.68</v>
      </c>
    </row>
  </sheetData>
  <phoneticPr fontId="1" type="noConversion"/>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4577" r:id="rId4" name="Button 1">
              <controlPr defaultSize="0" print="0" autoFill="0" autoPict="0" macro="[0]!'Industry_copy_call_buttom [c2],[d2]'">
                <anchor moveWithCells="1" sizeWithCells="1">
                  <from>
                    <xdr:col>1</xdr:col>
                    <xdr:colOff>60960</xdr:colOff>
                    <xdr:row>1</xdr:row>
                    <xdr:rowOff>259080</xdr:rowOff>
                  </from>
                  <to>
                    <xdr:col>1</xdr:col>
                    <xdr:colOff>1089660</xdr:colOff>
                    <xdr:row>1</xdr:row>
                    <xdr:rowOff>708660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AF201"/>
  <sheetViews>
    <sheetView zoomScale="85" zoomScaleNormal="85" workbookViewId="0">
      <selection activeCell="Z2" sqref="Z2"/>
    </sheetView>
  </sheetViews>
  <sheetFormatPr defaultRowHeight="14.4" x14ac:dyDescent="0.25"/>
  <cols>
    <col min="1" max="1" width="8.88671875" style="1"/>
    <col min="2" max="2" width="12.5546875" customWidth="1"/>
    <col min="4" max="4" width="13.88671875" bestFit="1" customWidth="1"/>
    <col min="5" max="12" width="8.77734375" customWidth="1"/>
    <col min="13" max="13" width="15.88671875" customWidth="1"/>
    <col min="14" max="17" width="8.77734375" customWidth="1"/>
    <col min="18" max="18" width="13.6640625" customWidth="1"/>
    <col min="19" max="19" width="12.88671875" customWidth="1"/>
  </cols>
  <sheetData>
    <row r="1" spans="1:32" s="7" customFormat="1" ht="57.6" x14ac:dyDescent="0.25">
      <c r="A1" s="6" t="s">
        <v>30</v>
      </c>
      <c r="B1" s="7" t="s">
        <v>34</v>
      </c>
      <c r="C1" s="7" t="s">
        <v>31</v>
      </c>
      <c r="D1" s="7" t="s">
        <v>35</v>
      </c>
      <c r="E1" s="8" t="s">
        <v>32</v>
      </c>
      <c r="F1" s="8" t="s">
        <v>33</v>
      </c>
      <c r="G1" s="8" t="s">
        <v>41</v>
      </c>
      <c r="H1" s="8" t="s">
        <v>36</v>
      </c>
      <c r="I1" s="8" t="s">
        <v>37</v>
      </c>
      <c r="J1" s="8" t="s">
        <v>38</v>
      </c>
      <c r="K1" s="8" t="s">
        <v>39</v>
      </c>
      <c r="L1" s="7" t="s">
        <v>40</v>
      </c>
      <c r="M1" s="7" t="s">
        <v>42</v>
      </c>
      <c r="N1" s="7" t="s">
        <v>43</v>
      </c>
      <c r="O1" s="7" t="s">
        <v>44</v>
      </c>
      <c r="P1" s="7" t="s">
        <v>45</v>
      </c>
      <c r="Q1" s="7" t="s">
        <v>46</v>
      </c>
      <c r="R1" s="11" t="s">
        <v>47</v>
      </c>
      <c r="S1" s="7" t="s">
        <v>48</v>
      </c>
      <c r="T1" s="7" t="s">
        <v>49</v>
      </c>
      <c r="U1" s="7" t="s">
        <v>50</v>
      </c>
      <c r="V1" s="7" t="s">
        <v>51</v>
      </c>
      <c r="W1" s="7" t="s">
        <v>52</v>
      </c>
      <c r="X1" s="7" t="s">
        <v>53</v>
      </c>
      <c r="Y1" s="7" t="s">
        <v>54</v>
      </c>
      <c r="Z1" s="7" t="s">
        <v>55</v>
      </c>
      <c r="AA1" s="7" t="s">
        <v>56</v>
      </c>
      <c r="AB1" s="7" t="s">
        <v>57</v>
      </c>
      <c r="AC1" s="7" t="s">
        <v>58</v>
      </c>
      <c r="AD1" s="15" t="s">
        <v>59</v>
      </c>
      <c r="AE1" s="7" t="s">
        <v>60</v>
      </c>
      <c r="AF1" s="7" t="s">
        <v>61</v>
      </c>
    </row>
    <row r="2" spans="1:32" ht="13.95" x14ac:dyDescent="0.25">
      <c r="A2" s="2">
        <v>1</v>
      </c>
      <c r="B2">
        <v>1</v>
      </c>
      <c r="C2" s="5">
        <v>0.08</v>
      </c>
      <c r="D2">
        <f>H2</f>
        <v>7.06</v>
      </c>
      <c r="E2">
        <v>11.56</v>
      </c>
      <c r="F2">
        <v>20.440000000000001</v>
      </c>
      <c r="G2">
        <f>F2</f>
        <v>20.440000000000001</v>
      </c>
      <c r="H2" s="9">
        <v>7.06</v>
      </c>
      <c r="I2" s="10">
        <v>0.37</v>
      </c>
      <c r="J2">
        <v>9</v>
      </c>
      <c r="K2">
        <v>85</v>
      </c>
      <c r="L2">
        <f>K2-F2+E2</f>
        <v>76.12</v>
      </c>
      <c r="M2">
        <f>SUMIF(A2:A51,"&lt;"&amp;J2+1,D2:D51)</f>
        <v>88.162158341966133</v>
      </c>
      <c r="O2">
        <f>M2/L2</f>
        <v>1.1581996629265126</v>
      </c>
      <c r="R2">
        <f>S2</f>
        <v>7.06</v>
      </c>
      <c r="S2">
        <f>$H$2</f>
        <v>7.06</v>
      </c>
      <c r="T2" s="5">
        <v>0.37</v>
      </c>
      <c r="U2" s="5">
        <v>0.06</v>
      </c>
      <c r="V2">
        <f>SUM($R$2:R2)</f>
        <v>7.06</v>
      </c>
      <c r="W2" s="2">
        <f>X2-Y2</f>
        <v>474.26</v>
      </c>
      <c r="X2" s="14">
        <f>579-579*10%</f>
        <v>521.1</v>
      </c>
      <c r="Y2" s="14">
        <f>57.79-10.95</f>
        <v>46.84</v>
      </c>
      <c r="Z2">
        <f>$W$2/S2</f>
        <v>67.175637393767701</v>
      </c>
      <c r="AA2" s="5">
        <v>0.3</v>
      </c>
      <c r="AB2">
        <f>S2/AA2</f>
        <v>23.533333333333331</v>
      </c>
      <c r="AC2">
        <f>AC3*(1-$U$2)</f>
        <v>222.37291878719995</v>
      </c>
      <c r="AD2" s="5">
        <v>0</v>
      </c>
      <c r="AE2">
        <f>AC2*AD2</f>
        <v>0</v>
      </c>
      <c r="AF2">
        <f>IF(AB2&gt;AE2, 1, 0)</f>
        <v>1</v>
      </c>
    </row>
    <row r="3" spans="1:32" ht="13.95" x14ac:dyDescent="0.25">
      <c r="A3" s="2">
        <v>2</v>
      </c>
      <c r="B3">
        <f>B2+B2*C2</f>
        <v>1.08</v>
      </c>
      <c r="C3" s="5">
        <v>0.08</v>
      </c>
      <c r="D3">
        <f>D2+D2*C2</f>
        <v>7.6247999999999996</v>
      </c>
      <c r="Q3">
        <f>$D$2*((1+$C$2)^A2)</f>
        <v>7.6248000000000005</v>
      </c>
      <c r="R3">
        <f>S3/((1+$U$2)^A2)</f>
        <v>9.1247169811320745</v>
      </c>
      <c r="S3">
        <f>S2*(1+T2)</f>
        <v>9.6722000000000001</v>
      </c>
      <c r="T3" s="5">
        <v>0.37</v>
      </c>
      <c r="V3">
        <f>SUM($R$2:R3)</f>
        <v>16.184716981132073</v>
      </c>
      <c r="W3">
        <f>V3/$W$2</f>
        <v>3.4126253492034062E-2</v>
      </c>
      <c r="Z3">
        <f t="shared" ref="Z3:Z13" si="0">$W$2/S3</f>
        <v>49.033311966253798</v>
      </c>
      <c r="AA3" s="5">
        <v>0.3</v>
      </c>
      <c r="AB3">
        <f t="shared" ref="AB3:AB66" si="1">S3/AA3</f>
        <v>32.240666666666669</v>
      </c>
      <c r="AC3">
        <f>AC4*(1-$U$2)</f>
        <v>236.56693487999996</v>
      </c>
      <c r="AD3" s="5">
        <v>0.1</v>
      </c>
      <c r="AE3">
        <f t="shared" ref="AE3:AE66" si="2">AC3*AD3</f>
        <v>23.656693487999998</v>
      </c>
      <c r="AF3">
        <f t="shared" ref="AF3:AF66" si="3">IF(AB3&gt;AE3, 1, 0)</f>
        <v>1</v>
      </c>
    </row>
    <row r="4" spans="1:32" ht="13.95" x14ac:dyDescent="0.25">
      <c r="A4" s="2">
        <v>3</v>
      </c>
      <c r="B4">
        <f t="shared" ref="B4:B51" si="4">B3+B3*C3</f>
        <v>1.1664000000000001</v>
      </c>
      <c r="C4" s="5">
        <v>0.08</v>
      </c>
      <c r="D4">
        <f t="shared" ref="D4:D51" si="5">D3+D3*C3</f>
        <v>8.2347839999999994</v>
      </c>
      <c r="Q4">
        <f>$D$2*((1+$C$2)^A3)</f>
        <v>8.2347839999999994</v>
      </c>
      <c r="R4">
        <f t="shared" ref="R4:R67" si="6">S4/((1+$U$2)^A3)</f>
        <v>11.793266286934852</v>
      </c>
      <c r="S4">
        <f t="shared" ref="S4:S67" si="7">S3*(1+T3)</f>
        <v>13.250914000000002</v>
      </c>
      <c r="T4" s="5">
        <v>0.37</v>
      </c>
      <c r="V4">
        <f>SUM($R$2:R4)</f>
        <v>27.977983268066925</v>
      </c>
      <c r="W4">
        <f t="shared" ref="W4:W67" si="8">V4/$W$2</f>
        <v>5.8992922169415353E-2</v>
      </c>
      <c r="Z4">
        <f t="shared" si="0"/>
        <v>35.79073866149912</v>
      </c>
      <c r="AA4" s="5">
        <v>0.3</v>
      </c>
      <c r="AB4">
        <f t="shared" si="1"/>
        <v>44.169713333333341</v>
      </c>
      <c r="AC4">
        <f>AC5*(1-$U$2)</f>
        <v>251.66695199999998</v>
      </c>
      <c r="AD4" s="5">
        <v>0.15</v>
      </c>
      <c r="AE4">
        <f t="shared" si="2"/>
        <v>37.750042799999996</v>
      </c>
      <c r="AF4">
        <f t="shared" si="3"/>
        <v>1</v>
      </c>
    </row>
    <row r="5" spans="1:32" ht="13.95" x14ac:dyDescent="0.25">
      <c r="A5" s="2">
        <v>4</v>
      </c>
      <c r="B5">
        <f t="shared" si="4"/>
        <v>1.2597120000000002</v>
      </c>
      <c r="C5" s="5">
        <v>0.08</v>
      </c>
      <c r="D5">
        <f t="shared" si="5"/>
        <v>8.893566719999999</v>
      </c>
      <c r="Q5">
        <f t="shared" ref="Q5:Q51" si="9">$D$2*((1+$C$2)^A4)</f>
        <v>8.8935667200000008</v>
      </c>
      <c r="R5">
        <f t="shared" si="6"/>
        <v>15.242240389717686</v>
      </c>
      <c r="S5">
        <f>S4*(1+T4)</f>
        <v>18.153752180000005</v>
      </c>
      <c r="T5" s="5">
        <v>0.37</v>
      </c>
      <c r="V5">
        <f>SUM($R$2:R5)</f>
        <v>43.220223657784615</v>
      </c>
      <c r="W5">
        <f t="shared" si="8"/>
        <v>9.1131918478860999E-2</v>
      </c>
      <c r="Z5">
        <f t="shared" si="0"/>
        <v>26.12462676021833</v>
      </c>
      <c r="AA5" s="5">
        <v>0.3</v>
      </c>
      <c r="AB5">
        <f t="shared" si="1"/>
        <v>60.512507266666688</v>
      </c>
      <c r="AC5">
        <f>AC6*(1-$U$2)</f>
        <v>267.73079999999999</v>
      </c>
      <c r="AD5" s="5">
        <v>0.15</v>
      </c>
      <c r="AE5">
        <f t="shared" si="2"/>
        <v>40.159619999999997</v>
      </c>
      <c r="AF5">
        <f t="shared" si="3"/>
        <v>1</v>
      </c>
    </row>
    <row r="6" spans="1:32" ht="13.95" x14ac:dyDescent="0.25">
      <c r="A6" s="2">
        <v>5</v>
      </c>
      <c r="B6">
        <f t="shared" si="4"/>
        <v>1.3604889600000001</v>
      </c>
      <c r="C6" s="5">
        <v>0.08</v>
      </c>
      <c r="D6">
        <f t="shared" si="5"/>
        <v>9.6050520575999982</v>
      </c>
      <c r="Q6">
        <f t="shared" si="9"/>
        <v>9.6050520576000018</v>
      </c>
      <c r="R6">
        <f t="shared" si="6"/>
        <v>19.699876730106823</v>
      </c>
      <c r="S6">
        <f>S5*(1+T5)</f>
        <v>24.87064048660001</v>
      </c>
      <c r="T6" s="5">
        <v>0.37</v>
      </c>
      <c r="V6">
        <f>SUM($R$2:R6)</f>
        <v>62.920100387891438</v>
      </c>
      <c r="W6" s="12">
        <f t="shared" si="8"/>
        <v>0.13267005521842754</v>
      </c>
      <c r="Z6">
        <f t="shared" si="0"/>
        <v>19.06907062789659</v>
      </c>
      <c r="AA6" s="5">
        <v>0.3</v>
      </c>
      <c r="AB6">
        <f t="shared" si="1"/>
        <v>82.902134955333366</v>
      </c>
      <c r="AC6">
        <f>AC7*(1-$U$2)</f>
        <v>284.82</v>
      </c>
      <c r="AD6" s="5">
        <v>0.2</v>
      </c>
      <c r="AE6">
        <f t="shared" si="2"/>
        <v>56.963999999999999</v>
      </c>
      <c r="AF6">
        <f t="shared" si="3"/>
        <v>1</v>
      </c>
    </row>
    <row r="7" spans="1:32" ht="13.95" x14ac:dyDescent="0.25">
      <c r="A7" s="2">
        <v>6</v>
      </c>
      <c r="B7">
        <f t="shared" si="4"/>
        <v>1.4693280768000001</v>
      </c>
      <c r="C7" s="5">
        <v>0.08</v>
      </c>
      <c r="D7">
        <f t="shared" si="5"/>
        <v>10.373456222207999</v>
      </c>
      <c r="Q7">
        <f t="shared" si="9"/>
        <v>10.373456222208002</v>
      </c>
      <c r="R7">
        <f t="shared" si="6"/>
        <v>25.461161434194668</v>
      </c>
      <c r="S7">
        <f t="shared" si="7"/>
        <v>34.072777466642016</v>
      </c>
      <c r="T7" s="5">
        <v>0.37</v>
      </c>
      <c r="V7">
        <f>SUM($R$2:R7)</f>
        <v>88.381261822086103</v>
      </c>
      <c r="W7" s="13">
        <f t="shared" si="8"/>
        <v>0.18635613760824465</v>
      </c>
      <c r="Z7">
        <f t="shared" si="0"/>
        <v>13.919029655398969</v>
      </c>
      <c r="AA7" s="5">
        <v>0.3</v>
      </c>
      <c r="AB7">
        <f t="shared" si="1"/>
        <v>113.57592488880672</v>
      </c>
      <c r="AC7">
        <v>303</v>
      </c>
      <c r="AD7" s="5">
        <v>0.2</v>
      </c>
      <c r="AE7">
        <f t="shared" si="2"/>
        <v>60.6</v>
      </c>
      <c r="AF7">
        <f t="shared" si="3"/>
        <v>1</v>
      </c>
    </row>
    <row r="8" spans="1:32" ht="13.95" x14ac:dyDescent="0.25">
      <c r="A8" s="2">
        <v>7</v>
      </c>
      <c r="B8">
        <f t="shared" si="4"/>
        <v>1.5868743229440001</v>
      </c>
      <c r="C8" s="5">
        <v>0.08</v>
      </c>
      <c r="D8">
        <f t="shared" si="5"/>
        <v>11.203332719984639</v>
      </c>
      <c r="Q8">
        <f t="shared" si="9"/>
        <v>11.203332719984644</v>
      </c>
      <c r="R8">
        <f t="shared" si="6"/>
        <v>32.907350155515751</v>
      </c>
      <c r="S8">
        <f>S7*(1+T7)</f>
        <v>46.679705129299563</v>
      </c>
      <c r="T8" s="5">
        <v>0.37</v>
      </c>
      <c r="V8">
        <f>SUM($R$2:R8)</f>
        <v>121.28861197760185</v>
      </c>
      <c r="W8">
        <f t="shared" si="8"/>
        <v>0.25574286673470636</v>
      </c>
      <c r="Z8">
        <f t="shared" si="0"/>
        <v>10.15987566087516</v>
      </c>
      <c r="AA8" s="5">
        <v>0.3</v>
      </c>
      <c r="AB8">
        <f t="shared" si="1"/>
        <v>155.59901709766521</v>
      </c>
      <c r="AC8">
        <f t="shared" ref="AC8:AC67" si="10">AC7*(1+$U$2)</f>
        <v>321.18</v>
      </c>
      <c r="AD8" s="5">
        <v>0.2</v>
      </c>
      <c r="AE8">
        <f t="shared" si="2"/>
        <v>64.236000000000004</v>
      </c>
      <c r="AF8">
        <f t="shared" si="3"/>
        <v>1</v>
      </c>
    </row>
    <row r="9" spans="1:32" ht="13.95" x14ac:dyDescent="0.25">
      <c r="A9" s="2">
        <v>8</v>
      </c>
      <c r="B9">
        <f t="shared" si="4"/>
        <v>1.7138242687795202</v>
      </c>
      <c r="C9" s="5">
        <v>0.08</v>
      </c>
      <c r="D9">
        <f t="shared" si="5"/>
        <v>12.09959933758341</v>
      </c>
      <c r="Q9">
        <f t="shared" si="9"/>
        <v>12.099599337583415</v>
      </c>
      <c r="R9">
        <f t="shared" si="6"/>
        <v>42.531197842506202</v>
      </c>
      <c r="S9">
        <f t="shared" si="7"/>
        <v>63.951196027140405</v>
      </c>
      <c r="T9" s="5">
        <v>0.1</v>
      </c>
      <c r="V9">
        <f>SUM($R$2:R9)</f>
        <v>163.81980982010805</v>
      </c>
      <c r="W9" s="12">
        <f t="shared" si="8"/>
        <v>0.34542194117173713</v>
      </c>
      <c r="Z9">
        <f t="shared" si="0"/>
        <v>7.4159676356752984</v>
      </c>
      <c r="AA9" s="5">
        <v>0.3</v>
      </c>
      <c r="AB9">
        <f t="shared" si="1"/>
        <v>213.17065342380135</v>
      </c>
      <c r="AC9">
        <f t="shared" si="10"/>
        <v>340.45080000000002</v>
      </c>
      <c r="AD9" s="5">
        <v>0.2</v>
      </c>
      <c r="AE9">
        <f t="shared" si="2"/>
        <v>68.090160000000012</v>
      </c>
      <c r="AF9" s="2">
        <f t="shared" si="3"/>
        <v>1</v>
      </c>
    </row>
    <row r="10" spans="1:32" ht="13.95" x14ac:dyDescent="0.25">
      <c r="A10" s="2">
        <v>9</v>
      </c>
      <c r="B10">
        <f t="shared" si="4"/>
        <v>1.8509302102818819</v>
      </c>
      <c r="C10" s="5">
        <v>0.08</v>
      </c>
      <c r="D10">
        <f t="shared" si="5"/>
        <v>13.067567284590082</v>
      </c>
      <c r="Q10">
        <f t="shared" si="9"/>
        <v>13.067567284590089</v>
      </c>
      <c r="R10">
        <f t="shared" si="6"/>
        <v>44.136148704487567</v>
      </c>
      <c r="S10">
        <f t="shared" si="7"/>
        <v>70.346315629854445</v>
      </c>
      <c r="T10" s="5">
        <v>0.1</v>
      </c>
      <c r="V10">
        <f>SUM($R$2:R10)</f>
        <v>207.95595852459562</v>
      </c>
      <c r="W10">
        <f t="shared" si="8"/>
        <v>0.43848513162525959</v>
      </c>
      <c r="Z10">
        <f t="shared" si="0"/>
        <v>6.7417887597048169</v>
      </c>
      <c r="AA10" s="5">
        <v>0.3</v>
      </c>
      <c r="AB10">
        <f t="shared" si="1"/>
        <v>234.4877187661815</v>
      </c>
      <c r="AC10">
        <f t="shared" si="10"/>
        <v>360.87784800000003</v>
      </c>
      <c r="AD10" s="5">
        <v>0.2</v>
      </c>
      <c r="AE10">
        <f t="shared" si="2"/>
        <v>72.175569600000003</v>
      </c>
      <c r="AF10" s="1">
        <f t="shared" si="3"/>
        <v>1</v>
      </c>
    </row>
    <row r="11" spans="1:32" ht="13.95" x14ac:dyDescent="0.25">
      <c r="A11" s="2">
        <v>10</v>
      </c>
      <c r="B11">
        <f t="shared" si="4"/>
        <v>1.9990046271044324</v>
      </c>
      <c r="C11" s="5">
        <v>0.08</v>
      </c>
      <c r="D11">
        <f t="shared" si="5"/>
        <v>14.112972667357289</v>
      </c>
      <c r="Q11">
        <f t="shared" si="9"/>
        <v>14.112972667357296</v>
      </c>
      <c r="R11">
        <f t="shared" si="6"/>
        <v>45.801663749939934</v>
      </c>
      <c r="S11">
        <f t="shared" si="7"/>
        <v>77.380947192839898</v>
      </c>
      <c r="T11" s="5">
        <v>0.1</v>
      </c>
      <c r="V11">
        <f>SUM($R$2:R11)</f>
        <v>253.75762227453555</v>
      </c>
      <c r="W11">
        <f t="shared" si="8"/>
        <v>0.53506014058646223</v>
      </c>
      <c r="Z11">
        <f t="shared" si="0"/>
        <v>6.1288988724589242</v>
      </c>
      <c r="AA11" s="5">
        <v>0.3</v>
      </c>
      <c r="AB11">
        <f t="shared" si="1"/>
        <v>257.9364906427997</v>
      </c>
      <c r="AC11">
        <f t="shared" si="10"/>
        <v>382.53051888000005</v>
      </c>
      <c r="AD11" s="5">
        <v>0.2</v>
      </c>
      <c r="AE11">
        <f t="shared" si="2"/>
        <v>76.506103776000018</v>
      </c>
      <c r="AF11">
        <f t="shared" si="3"/>
        <v>1</v>
      </c>
    </row>
    <row r="12" spans="1:32" ht="13.95" x14ac:dyDescent="0.25">
      <c r="A12" s="2">
        <v>11</v>
      </c>
      <c r="B12">
        <f t="shared" si="4"/>
        <v>2.1589249972727869</v>
      </c>
      <c r="C12" s="5">
        <v>0.08</v>
      </c>
      <c r="D12">
        <f t="shared" si="5"/>
        <v>15.242010480745872</v>
      </c>
      <c r="Q12">
        <f t="shared" si="9"/>
        <v>15.242010480745881</v>
      </c>
      <c r="R12">
        <f t="shared" si="6"/>
        <v>47.530028419748987</v>
      </c>
      <c r="S12">
        <f t="shared" si="7"/>
        <v>85.11904191212389</v>
      </c>
      <c r="T12" s="5">
        <v>0.08</v>
      </c>
      <c r="V12">
        <f>SUM($R$2:R12)</f>
        <v>301.28765069428454</v>
      </c>
      <c r="W12" s="13">
        <f t="shared" si="8"/>
        <v>0.6352794895084648</v>
      </c>
      <c r="Z12">
        <f t="shared" si="0"/>
        <v>5.5717262476899307</v>
      </c>
      <c r="AA12" s="5">
        <v>0.3</v>
      </c>
      <c r="AB12">
        <f t="shared" si="1"/>
        <v>283.73013970707967</v>
      </c>
      <c r="AC12">
        <f t="shared" si="10"/>
        <v>405.48235001280005</v>
      </c>
      <c r="AD12" s="5">
        <v>0.2</v>
      </c>
      <c r="AE12">
        <f t="shared" si="2"/>
        <v>81.096470002560011</v>
      </c>
      <c r="AF12" s="1">
        <f t="shared" si="3"/>
        <v>1</v>
      </c>
    </row>
    <row r="13" spans="1:32" ht="13.95" x14ac:dyDescent="0.25">
      <c r="A13" s="2">
        <v>12</v>
      </c>
      <c r="B13">
        <f t="shared" si="4"/>
        <v>2.3316389970546099</v>
      </c>
      <c r="C13" s="5">
        <v>0.08</v>
      </c>
      <c r="D13">
        <f t="shared" si="5"/>
        <v>16.46137131920554</v>
      </c>
      <c r="Q13">
        <f t="shared" si="9"/>
        <v>16.461371319205551</v>
      </c>
      <c r="R13">
        <f t="shared" si="6"/>
        <v>48.426821408800855</v>
      </c>
      <c r="S13">
        <f t="shared" si="7"/>
        <v>91.928565265093809</v>
      </c>
      <c r="T13" s="5">
        <v>0.08</v>
      </c>
      <c r="V13">
        <f>SUM($R$2:R13)</f>
        <v>349.71447210308537</v>
      </c>
      <c r="W13" s="13">
        <f t="shared" si="8"/>
        <v>0.73738976954220337</v>
      </c>
      <c r="Z13">
        <f t="shared" si="0"/>
        <v>5.1590057848980839</v>
      </c>
      <c r="AA13" s="5">
        <v>0.3</v>
      </c>
      <c r="AB13">
        <f t="shared" si="1"/>
        <v>306.42855088364604</v>
      </c>
      <c r="AC13">
        <f t="shared" si="10"/>
        <v>429.81129101356805</v>
      </c>
      <c r="AD13" s="5">
        <v>0.2</v>
      </c>
      <c r="AE13">
        <f t="shared" si="2"/>
        <v>85.962258202713613</v>
      </c>
      <c r="AF13">
        <f t="shared" si="3"/>
        <v>1</v>
      </c>
    </row>
    <row r="14" spans="1:32" ht="13.95" x14ac:dyDescent="0.25">
      <c r="A14" s="2">
        <v>13</v>
      </c>
      <c r="B14">
        <f t="shared" si="4"/>
        <v>2.5181701168189785</v>
      </c>
      <c r="C14" s="5">
        <v>0.08</v>
      </c>
      <c r="D14">
        <f t="shared" si="5"/>
        <v>17.778281024741982</v>
      </c>
      <c r="Q14">
        <f t="shared" si="9"/>
        <v>17.778281024741997</v>
      </c>
      <c r="R14">
        <f t="shared" si="6"/>
        <v>49.34053502028766</v>
      </c>
      <c r="S14">
        <f t="shared" si="7"/>
        <v>99.282850486301314</v>
      </c>
      <c r="T14" s="5">
        <v>0.08</v>
      </c>
      <c r="V14">
        <f>SUM($R$2:R14)</f>
        <v>399.055007123373</v>
      </c>
      <c r="W14" s="13">
        <f t="shared" si="8"/>
        <v>0.84142665863318222</v>
      </c>
      <c r="Z14">
        <f>$W$2/S14</f>
        <v>4.7768572082389662</v>
      </c>
      <c r="AA14" s="5">
        <v>0.3</v>
      </c>
      <c r="AB14">
        <f>S14/AA14</f>
        <v>330.94283495433774</v>
      </c>
      <c r="AC14">
        <f t="shared" si="10"/>
        <v>455.59996847438214</v>
      </c>
      <c r="AD14" s="5">
        <v>0.2</v>
      </c>
      <c r="AE14">
        <f t="shared" si="2"/>
        <v>91.119993694876428</v>
      </c>
      <c r="AF14">
        <f t="shared" si="3"/>
        <v>1</v>
      </c>
    </row>
    <row r="15" spans="1:32" ht="13.95" x14ac:dyDescent="0.25">
      <c r="A15" s="2">
        <v>14</v>
      </c>
      <c r="B15">
        <f t="shared" si="4"/>
        <v>2.7196237261644969</v>
      </c>
      <c r="C15" s="5">
        <v>0.08</v>
      </c>
      <c r="D15">
        <f t="shared" si="5"/>
        <v>19.200543506721342</v>
      </c>
      <c r="Q15">
        <f t="shared" si="9"/>
        <v>19.200543506721356</v>
      </c>
      <c r="R15">
        <f t="shared" si="6"/>
        <v>50.271488511236484</v>
      </c>
      <c r="S15">
        <f t="shared" si="7"/>
        <v>107.22547852520543</v>
      </c>
      <c r="T15" s="5">
        <v>0.08</v>
      </c>
      <c r="V15">
        <f>SUM($R$2:R15)</f>
        <v>449.3264956346095</v>
      </c>
      <c r="W15" s="13">
        <f t="shared" si="8"/>
        <v>0.94742650789568905</v>
      </c>
      <c r="Z15">
        <f t="shared" ref="Z15:Z78" si="11">$W$2/S15</f>
        <v>4.4230159335545975</v>
      </c>
      <c r="AA15" s="5">
        <v>0.3</v>
      </c>
      <c r="AB15">
        <f t="shared" si="1"/>
        <v>357.41826175068479</v>
      </c>
      <c r="AC15">
        <f t="shared" si="10"/>
        <v>482.93596658284508</v>
      </c>
      <c r="AD15" s="5">
        <v>0.2</v>
      </c>
      <c r="AE15">
        <f t="shared" si="2"/>
        <v>96.587193316569028</v>
      </c>
      <c r="AF15">
        <f t="shared" si="3"/>
        <v>1</v>
      </c>
    </row>
    <row r="16" spans="1:32" ht="13.95" x14ac:dyDescent="0.25">
      <c r="A16" s="2">
        <v>15</v>
      </c>
      <c r="B16">
        <f t="shared" si="4"/>
        <v>2.9371936242576568</v>
      </c>
      <c r="C16" s="5">
        <v>0.08</v>
      </c>
      <c r="D16">
        <f t="shared" si="5"/>
        <v>20.736586987259049</v>
      </c>
      <c r="Q16">
        <f t="shared" si="9"/>
        <v>20.73658698725907</v>
      </c>
      <c r="R16">
        <f t="shared" si="6"/>
        <v>51.220007162391894</v>
      </c>
      <c r="S16">
        <f t="shared" si="7"/>
        <v>115.80351680722187</v>
      </c>
      <c r="T16" s="5">
        <v>0.08</v>
      </c>
      <c r="V16">
        <f>SUM($R$2:R16)</f>
        <v>500.54650279700138</v>
      </c>
      <c r="W16">
        <f t="shared" si="8"/>
        <v>1.0554263543140923</v>
      </c>
      <c r="Z16">
        <f t="shared" si="11"/>
        <v>4.0953851236616643</v>
      </c>
      <c r="AA16" s="5">
        <v>0.3</v>
      </c>
      <c r="AB16">
        <f t="shared" si="1"/>
        <v>386.01172269073959</v>
      </c>
      <c r="AC16">
        <f t="shared" si="10"/>
        <v>511.9121245778158</v>
      </c>
      <c r="AD16" s="5">
        <v>0.2</v>
      </c>
      <c r="AE16">
        <f t="shared" si="2"/>
        <v>102.38242491556316</v>
      </c>
      <c r="AF16">
        <f t="shared" si="3"/>
        <v>1</v>
      </c>
    </row>
    <row r="17" spans="1:32" ht="13.95" x14ac:dyDescent="0.25">
      <c r="A17" s="2">
        <v>16</v>
      </c>
      <c r="B17">
        <f t="shared" si="4"/>
        <v>3.1721691141982693</v>
      </c>
      <c r="C17" s="5">
        <v>0.08</v>
      </c>
      <c r="D17">
        <f t="shared" si="5"/>
        <v>22.395513946239774</v>
      </c>
      <c r="Q17">
        <f t="shared" si="9"/>
        <v>22.395513946239795</v>
      </c>
      <c r="R17">
        <f t="shared" si="6"/>
        <v>52.18642239187097</v>
      </c>
      <c r="S17">
        <f t="shared" si="7"/>
        <v>125.06779815179962</v>
      </c>
      <c r="T17" s="5">
        <v>0.08</v>
      </c>
      <c r="V17">
        <f>SUM($R$2:R17)</f>
        <v>552.7329251888724</v>
      </c>
      <c r="W17">
        <f t="shared" si="8"/>
        <v>1.1654639336837862</v>
      </c>
      <c r="Z17">
        <f t="shared" si="11"/>
        <v>3.7920232626496895</v>
      </c>
      <c r="AA17" s="5">
        <v>0.3</v>
      </c>
      <c r="AB17">
        <f t="shared" si="1"/>
        <v>416.89266050599878</v>
      </c>
      <c r="AC17">
        <f t="shared" si="10"/>
        <v>542.62685205248476</v>
      </c>
      <c r="AD17" s="5">
        <v>0.2</v>
      </c>
      <c r="AE17">
        <f t="shared" si="2"/>
        <v>108.52537041049696</v>
      </c>
      <c r="AF17">
        <f t="shared" si="3"/>
        <v>1</v>
      </c>
    </row>
    <row r="18" spans="1:32" ht="13.95" x14ac:dyDescent="0.25">
      <c r="A18" s="2">
        <v>17</v>
      </c>
      <c r="B18">
        <f t="shared" si="4"/>
        <v>3.4259426433341309</v>
      </c>
      <c r="C18" s="5">
        <v>0.08</v>
      </c>
      <c r="D18">
        <f t="shared" si="5"/>
        <v>24.187155061938956</v>
      </c>
      <c r="Q18">
        <f t="shared" si="9"/>
        <v>24.187155061938977</v>
      </c>
      <c r="R18">
        <f t="shared" si="6"/>
        <v>53.171071870962898</v>
      </c>
      <c r="S18">
        <f t="shared" si="7"/>
        <v>135.07322200394361</v>
      </c>
      <c r="T18" s="5">
        <v>0.08</v>
      </c>
      <c r="V18">
        <f>SUM($R$2:R18)</f>
        <v>605.90399705983532</v>
      </c>
      <c r="W18" s="13">
        <f t="shared" si="8"/>
        <v>1.2775776937963044</v>
      </c>
      <c r="Z18">
        <f t="shared" si="11"/>
        <v>3.5111326506015637</v>
      </c>
      <c r="AA18" s="5">
        <v>0.3</v>
      </c>
      <c r="AB18">
        <f t="shared" si="1"/>
        <v>450.24407334647873</v>
      </c>
      <c r="AC18">
        <f t="shared" si="10"/>
        <v>575.18446317563382</v>
      </c>
      <c r="AD18" s="5">
        <v>0.2</v>
      </c>
      <c r="AE18">
        <f t="shared" si="2"/>
        <v>115.03689263512678</v>
      </c>
      <c r="AF18">
        <f t="shared" si="3"/>
        <v>1</v>
      </c>
    </row>
    <row r="19" spans="1:32" ht="13.95" x14ac:dyDescent="0.25">
      <c r="A19" s="2">
        <v>18</v>
      </c>
      <c r="B19">
        <f t="shared" si="4"/>
        <v>3.7000180548008612</v>
      </c>
      <c r="C19" s="5">
        <v>0.08</v>
      </c>
      <c r="D19">
        <f t="shared" si="5"/>
        <v>26.122127466894071</v>
      </c>
      <c r="Q19">
        <f t="shared" si="9"/>
        <v>26.122127466894099</v>
      </c>
      <c r="R19">
        <f t="shared" si="6"/>
        <v>54.174299642113134</v>
      </c>
      <c r="S19">
        <f t="shared" si="7"/>
        <v>145.8790797642591</v>
      </c>
      <c r="T19" s="5">
        <v>0.08</v>
      </c>
      <c r="V19">
        <f>SUM($R$2:R19)</f>
        <v>660.07829670194849</v>
      </c>
      <c r="W19">
        <f t="shared" si="8"/>
        <v>1.3918068078732098</v>
      </c>
      <c r="Z19">
        <f t="shared" si="11"/>
        <v>3.2510487505570032</v>
      </c>
      <c r="AA19" s="5">
        <v>0.3</v>
      </c>
      <c r="AB19">
        <f t="shared" si="1"/>
        <v>486.26359921419703</v>
      </c>
      <c r="AC19">
        <f t="shared" si="10"/>
        <v>609.69553096617187</v>
      </c>
      <c r="AD19" s="5">
        <v>0.2</v>
      </c>
      <c r="AE19">
        <f t="shared" si="2"/>
        <v>121.93910619323438</v>
      </c>
      <c r="AF19">
        <f t="shared" si="3"/>
        <v>1</v>
      </c>
    </row>
    <row r="20" spans="1:32" ht="13.95" x14ac:dyDescent="0.25">
      <c r="A20" s="2">
        <v>19</v>
      </c>
      <c r="B20">
        <f t="shared" si="4"/>
        <v>3.9960194991849303</v>
      </c>
      <c r="C20" s="5">
        <v>0.08</v>
      </c>
      <c r="D20">
        <f t="shared" si="5"/>
        <v>28.211897664245598</v>
      </c>
      <c r="Q20">
        <f t="shared" si="9"/>
        <v>28.21189766424563</v>
      </c>
      <c r="R20">
        <f t="shared" si="6"/>
        <v>55.196456239134143</v>
      </c>
      <c r="S20">
        <f t="shared" si="7"/>
        <v>157.54940614539984</v>
      </c>
      <c r="T20" s="5">
        <v>0.08</v>
      </c>
      <c r="V20">
        <f>SUM($R$2:R20)</f>
        <v>715.27475294108262</v>
      </c>
      <c r="W20">
        <f t="shared" si="8"/>
        <v>1.5081911882534531</v>
      </c>
      <c r="Z20">
        <f t="shared" si="11"/>
        <v>3.0102303245898177</v>
      </c>
      <c r="AA20" s="5">
        <v>0.3</v>
      </c>
      <c r="AB20">
        <f t="shared" si="1"/>
        <v>525.16468715133283</v>
      </c>
      <c r="AC20">
        <f t="shared" si="10"/>
        <v>646.27726282414221</v>
      </c>
      <c r="AD20" s="5">
        <v>0.2</v>
      </c>
      <c r="AE20">
        <f t="shared" si="2"/>
        <v>129.25545256482846</v>
      </c>
      <c r="AF20">
        <f t="shared" si="3"/>
        <v>1</v>
      </c>
    </row>
    <row r="21" spans="1:32" ht="13.95" x14ac:dyDescent="0.25">
      <c r="A21" s="2">
        <v>20</v>
      </c>
      <c r="B21">
        <f t="shared" si="4"/>
        <v>4.3157010591197249</v>
      </c>
      <c r="C21" s="5">
        <v>0.08</v>
      </c>
      <c r="D21">
        <f t="shared" si="5"/>
        <v>30.468849477385245</v>
      </c>
      <c r="Q21">
        <f t="shared" si="9"/>
        <v>30.46884947738528</v>
      </c>
      <c r="R21">
        <f t="shared" si="6"/>
        <v>56.237898809683834</v>
      </c>
      <c r="S21">
        <f t="shared" si="7"/>
        <v>170.15335863703183</v>
      </c>
      <c r="T21" s="5">
        <v>0.08</v>
      </c>
      <c r="V21">
        <f>SUM($R$2:R21)</f>
        <v>771.51265175076651</v>
      </c>
      <c r="W21" s="12">
        <f t="shared" si="8"/>
        <v>1.626771500338984</v>
      </c>
      <c r="Z21">
        <f t="shared" si="11"/>
        <v>2.7872503005461273</v>
      </c>
      <c r="AA21" s="5">
        <v>0.3</v>
      </c>
      <c r="AB21">
        <f t="shared" si="1"/>
        <v>567.17786212343947</v>
      </c>
      <c r="AC21">
        <f t="shared" si="10"/>
        <v>685.05389859359082</v>
      </c>
      <c r="AD21" s="5">
        <v>0.2</v>
      </c>
      <c r="AE21">
        <f t="shared" si="2"/>
        <v>137.01077971871817</v>
      </c>
      <c r="AF21">
        <f t="shared" si="3"/>
        <v>1</v>
      </c>
    </row>
    <row r="22" spans="1:32" ht="13.95" x14ac:dyDescent="0.25">
      <c r="A22" s="2">
        <v>21</v>
      </c>
      <c r="B22">
        <f t="shared" si="4"/>
        <v>4.6609571438493029</v>
      </c>
      <c r="C22" s="5">
        <v>0.08</v>
      </c>
      <c r="D22">
        <f t="shared" si="5"/>
        <v>32.906357435576062</v>
      </c>
      <c r="Q22">
        <f t="shared" si="9"/>
        <v>32.906357435576105</v>
      </c>
      <c r="R22">
        <f t="shared" si="6"/>
        <v>57.298991240055237</v>
      </c>
      <c r="S22">
        <f t="shared" si="7"/>
        <v>183.76562732799439</v>
      </c>
      <c r="T22" s="5">
        <v>0.08</v>
      </c>
      <c r="V22">
        <f>SUM($R$2:R22)</f>
        <v>828.81164299082172</v>
      </c>
      <c r="W22">
        <f t="shared" si="8"/>
        <v>1.747589176803487</v>
      </c>
      <c r="Z22">
        <f t="shared" si="11"/>
        <v>2.5807873153204883</v>
      </c>
      <c r="AA22" s="5">
        <v>0.3</v>
      </c>
      <c r="AB22">
        <f t="shared" si="1"/>
        <v>612.55209109331463</v>
      </c>
      <c r="AC22">
        <f t="shared" si="10"/>
        <v>726.15713250920635</v>
      </c>
      <c r="AD22" s="5">
        <v>0.2</v>
      </c>
      <c r="AE22">
        <f t="shared" si="2"/>
        <v>145.23142650184127</v>
      </c>
      <c r="AF22">
        <f t="shared" si="3"/>
        <v>1</v>
      </c>
    </row>
    <row r="23" spans="1:32" ht="13.95" x14ac:dyDescent="0.25">
      <c r="A23" s="2">
        <v>22</v>
      </c>
      <c r="B23">
        <f t="shared" si="4"/>
        <v>5.0338337153572468</v>
      </c>
      <c r="C23" s="5">
        <v>0.08</v>
      </c>
      <c r="D23">
        <f t="shared" si="5"/>
        <v>35.538866030422149</v>
      </c>
      <c r="Q23">
        <f t="shared" si="9"/>
        <v>35.538866030422191</v>
      </c>
      <c r="R23">
        <f t="shared" si="6"/>
        <v>58.380104282320424</v>
      </c>
      <c r="S23">
        <f t="shared" si="7"/>
        <v>198.46687751423397</v>
      </c>
      <c r="T23" s="5">
        <v>0.08</v>
      </c>
      <c r="V23">
        <f>SUM($R$2:R23)</f>
        <v>887.19174727314214</v>
      </c>
      <c r="W23">
        <f t="shared" si="8"/>
        <v>1.8706864320692072</v>
      </c>
      <c r="Z23">
        <f t="shared" si="11"/>
        <v>2.3896178845560074</v>
      </c>
      <c r="AA23" s="5">
        <v>0.3</v>
      </c>
      <c r="AB23">
        <f t="shared" si="1"/>
        <v>661.55625838077992</v>
      </c>
      <c r="AC23">
        <f t="shared" si="10"/>
        <v>769.72656045975873</v>
      </c>
      <c r="AD23" s="5">
        <v>0.2</v>
      </c>
      <c r="AE23">
        <f t="shared" si="2"/>
        <v>153.94531209195176</v>
      </c>
      <c r="AF23">
        <f t="shared" si="3"/>
        <v>1</v>
      </c>
    </row>
    <row r="24" spans="1:32" ht="13.95" x14ac:dyDescent="0.25">
      <c r="A24" s="2">
        <v>23</v>
      </c>
      <c r="B24">
        <f t="shared" si="4"/>
        <v>5.4365404125858268</v>
      </c>
      <c r="C24" s="5">
        <v>0.08</v>
      </c>
      <c r="D24">
        <f t="shared" si="5"/>
        <v>38.381975312855921</v>
      </c>
      <c r="Q24">
        <f t="shared" si="9"/>
        <v>38.381975312855971</v>
      </c>
      <c r="R24">
        <f t="shared" si="6"/>
        <v>59.481615683873642</v>
      </c>
      <c r="S24">
        <f t="shared" si="7"/>
        <v>214.34422771537271</v>
      </c>
      <c r="T24" s="5">
        <v>0.08</v>
      </c>
      <c r="V24">
        <f>SUM($R$2:R24)</f>
        <v>946.6733629570158</v>
      </c>
      <c r="W24">
        <f t="shared" si="8"/>
        <v>1.996106277056922</v>
      </c>
      <c r="Z24">
        <f t="shared" si="11"/>
        <v>2.2126091523666731</v>
      </c>
      <c r="AA24" s="5">
        <v>0.3</v>
      </c>
      <c r="AB24">
        <f t="shared" si="1"/>
        <v>714.48075905124244</v>
      </c>
      <c r="AC24">
        <f t="shared" si="10"/>
        <v>815.91015408734427</v>
      </c>
      <c r="AD24" s="5">
        <v>0.2</v>
      </c>
      <c r="AE24">
        <f t="shared" si="2"/>
        <v>163.18203081746887</v>
      </c>
      <c r="AF24">
        <f t="shared" si="3"/>
        <v>1</v>
      </c>
    </row>
    <row r="25" spans="1:32" ht="13.95" x14ac:dyDescent="0.25">
      <c r="A25" s="2">
        <v>24</v>
      </c>
      <c r="B25">
        <f t="shared" si="4"/>
        <v>5.8714636455926925</v>
      </c>
      <c r="C25" s="5">
        <v>0.08</v>
      </c>
      <c r="D25">
        <f t="shared" si="5"/>
        <v>41.452533337884397</v>
      </c>
      <c r="Q25">
        <f t="shared" si="9"/>
        <v>41.452533337884454</v>
      </c>
      <c r="R25">
        <f t="shared" si="6"/>
        <v>60.603910319418425</v>
      </c>
      <c r="S25">
        <f t="shared" si="7"/>
        <v>231.49176593260253</v>
      </c>
      <c r="T25" s="5">
        <v>0.08</v>
      </c>
      <c r="V25">
        <f>SUM($R$2:R25)</f>
        <v>1007.2772732764342</v>
      </c>
      <c r="W25">
        <f t="shared" si="8"/>
        <v>2.1238925342142165</v>
      </c>
      <c r="Z25">
        <f t="shared" si="11"/>
        <v>2.0487121781172899</v>
      </c>
      <c r="AA25" s="5">
        <v>0.3</v>
      </c>
      <c r="AB25">
        <f t="shared" si="1"/>
        <v>771.63921977534176</v>
      </c>
      <c r="AC25">
        <f t="shared" si="10"/>
        <v>864.86476333258497</v>
      </c>
      <c r="AD25" s="5">
        <v>0.2</v>
      </c>
      <c r="AE25">
        <f t="shared" si="2"/>
        <v>172.97295266651702</v>
      </c>
      <c r="AF25">
        <f t="shared" si="3"/>
        <v>1</v>
      </c>
    </row>
    <row r="26" spans="1:32" ht="13.95" x14ac:dyDescent="0.25">
      <c r="A26" s="2">
        <v>25</v>
      </c>
      <c r="B26">
        <f t="shared" si="4"/>
        <v>6.3411807372401077</v>
      </c>
      <c r="C26" s="5">
        <v>0.08</v>
      </c>
      <c r="D26">
        <f t="shared" si="5"/>
        <v>44.768736004915148</v>
      </c>
      <c r="Q26">
        <f t="shared" si="9"/>
        <v>44.768736004915205</v>
      </c>
      <c r="R26">
        <f t="shared" si="6"/>
        <v>61.747380325445199</v>
      </c>
      <c r="S26">
        <f t="shared" si="7"/>
        <v>250.01110720721076</v>
      </c>
      <c r="T26" s="5">
        <v>0.08</v>
      </c>
      <c r="V26">
        <f>SUM($R$2:R26)</f>
        <v>1069.0246536018794</v>
      </c>
      <c r="W26">
        <f t="shared" si="8"/>
        <v>2.2540898528273088</v>
      </c>
      <c r="Z26">
        <f t="shared" si="11"/>
        <v>1.896955720478972</v>
      </c>
      <c r="AA26" s="5">
        <v>0.3</v>
      </c>
      <c r="AB26">
        <f t="shared" si="1"/>
        <v>833.37035735736924</v>
      </c>
      <c r="AC26">
        <f t="shared" si="10"/>
        <v>916.75664913254013</v>
      </c>
      <c r="AD26" s="5">
        <v>0.2</v>
      </c>
      <c r="AE26">
        <f t="shared" si="2"/>
        <v>183.35132982650805</v>
      </c>
      <c r="AF26">
        <f t="shared" si="3"/>
        <v>1</v>
      </c>
    </row>
    <row r="27" spans="1:32" ht="13.95" x14ac:dyDescent="0.25">
      <c r="A27" s="2">
        <v>26</v>
      </c>
      <c r="B27">
        <f t="shared" si="4"/>
        <v>6.848475196219316</v>
      </c>
      <c r="C27" s="5">
        <v>0.08</v>
      </c>
      <c r="D27">
        <f t="shared" si="5"/>
        <v>48.35023488530836</v>
      </c>
      <c r="Q27">
        <f t="shared" si="9"/>
        <v>48.350234885308431</v>
      </c>
      <c r="R27">
        <f t="shared" si="6"/>
        <v>62.912425237246062</v>
      </c>
      <c r="S27">
        <f t="shared" si="7"/>
        <v>270.01199578378765</v>
      </c>
      <c r="T27" s="5">
        <v>0.08</v>
      </c>
      <c r="V27">
        <f>SUM($R$2:R27)</f>
        <v>1131.9370788391254</v>
      </c>
      <c r="W27">
        <f t="shared" si="8"/>
        <v>2.38674372462178</v>
      </c>
      <c r="Z27">
        <f t="shared" si="11"/>
        <v>1.7564404819249739</v>
      </c>
      <c r="AA27" s="5">
        <v>0.3</v>
      </c>
      <c r="AB27">
        <f t="shared" si="1"/>
        <v>900.03998594595885</v>
      </c>
      <c r="AC27">
        <f t="shared" si="10"/>
        <v>971.7620480804926</v>
      </c>
      <c r="AD27" s="5">
        <v>0.2</v>
      </c>
      <c r="AE27">
        <f t="shared" si="2"/>
        <v>194.35240961609853</v>
      </c>
      <c r="AF27">
        <f t="shared" si="3"/>
        <v>1</v>
      </c>
    </row>
    <row r="28" spans="1:32" ht="13.95" x14ac:dyDescent="0.25">
      <c r="A28" s="2">
        <v>27</v>
      </c>
      <c r="B28">
        <f t="shared" si="4"/>
        <v>7.3963532119168613</v>
      </c>
      <c r="C28" s="5">
        <v>0.08</v>
      </c>
      <c r="D28">
        <f t="shared" si="5"/>
        <v>52.218253676133031</v>
      </c>
      <c r="Q28">
        <f t="shared" si="9"/>
        <v>52.218253676133102</v>
      </c>
      <c r="R28">
        <f t="shared" si="6"/>
        <v>64.099452128514855</v>
      </c>
      <c r="S28">
        <f t="shared" si="7"/>
        <v>291.61295544649067</v>
      </c>
      <c r="T28" s="5">
        <v>0.08</v>
      </c>
      <c r="V28">
        <f>SUM($R$2:R28)</f>
        <v>1196.0365309676404</v>
      </c>
      <c r="W28">
        <f t="shared" si="8"/>
        <v>2.5219004996576571</v>
      </c>
      <c r="Z28">
        <f t="shared" si="11"/>
        <v>1.6263337795601609</v>
      </c>
      <c r="AA28" s="5">
        <v>0.3</v>
      </c>
      <c r="AB28">
        <f t="shared" si="1"/>
        <v>972.04318482163558</v>
      </c>
      <c r="AC28">
        <f t="shared" si="10"/>
        <v>1030.0677709653223</v>
      </c>
      <c r="AD28" s="5">
        <v>0.2</v>
      </c>
      <c r="AE28">
        <f t="shared" si="2"/>
        <v>206.01355419306446</v>
      </c>
      <c r="AF28">
        <f t="shared" si="3"/>
        <v>1</v>
      </c>
    </row>
    <row r="29" spans="1:32" ht="13.95" x14ac:dyDescent="0.25">
      <c r="A29" s="2">
        <v>28</v>
      </c>
      <c r="B29">
        <f t="shared" si="4"/>
        <v>7.9880614688702103</v>
      </c>
      <c r="C29" s="5">
        <v>0.08</v>
      </c>
      <c r="D29">
        <f t="shared" si="5"/>
        <v>56.395713970223674</v>
      </c>
      <c r="Q29">
        <f t="shared" si="9"/>
        <v>56.395713970223753</v>
      </c>
      <c r="R29">
        <f t="shared" si="6"/>
        <v>65.308875753581162</v>
      </c>
      <c r="S29">
        <f t="shared" si="7"/>
        <v>314.94199188220995</v>
      </c>
      <c r="T29" s="5">
        <v>0.08</v>
      </c>
      <c r="V29">
        <f>SUM($R$2:R29)</f>
        <v>1261.3454067212215</v>
      </c>
      <c r="W29">
        <f t="shared" si="8"/>
        <v>2.659607402524399</v>
      </c>
      <c r="Z29">
        <f t="shared" si="11"/>
        <v>1.5058646107038527</v>
      </c>
      <c r="AA29" s="5">
        <v>0.3</v>
      </c>
      <c r="AB29">
        <f t="shared" si="1"/>
        <v>1049.8066396073666</v>
      </c>
      <c r="AC29">
        <f t="shared" si="10"/>
        <v>1091.8718372232418</v>
      </c>
      <c r="AD29" s="5">
        <v>0.2</v>
      </c>
      <c r="AE29">
        <f t="shared" si="2"/>
        <v>218.37436744464836</v>
      </c>
      <c r="AF29">
        <f t="shared" si="3"/>
        <v>1</v>
      </c>
    </row>
    <row r="30" spans="1:32" ht="13.95" x14ac:dyDescent="0.25">
      <c r="A30" s="2">
        <v>29</v>
      </c>
      <c r="B30">
        <f t="shared" si="4"/>
        <v>8.6271063863798272</v>
      </c>
      <c r="C30" s="5">
        <v>0.08</v>
      </c>
      <c r="D30">
        <f t="shared" si="5"/>
        <v>60.907371087841568</v>
      </c>
      <c r="Q30">
        <f t="shared" si="9"/>
        <v>60.907371087841653</v>
      </c>
      <c r="R30">
        <f t="shared" si="6"/>
        <v>66.541118692327984</v>
      </c>
      <c r="S30">
        <f t="shared" si="7"/>
        <v>340.13735123278678</v>
      </c>
      <c r="T30" s="5">
        <v>0.08</v>
      </c>
      <c r="V30">
        <f>SUM($R$2:R30)</f>
        <v>1327.8865254135494</v>
      </c>
      <c r="W30">
        <f t="shared" si="8"/>
        <v>2.7999125488414571</v>
      </c>
      <c r="Z30">
        <f t="shared" si="11"/>
        <v>1.3943190839850486</v>
      </c>
      <c r="AA30" s="5">
        <v>0.3</v>
      </c>
      <c r="AB30">
        <f t="shared" si="1"/>
        <v>1133.7911707759561</v>
      </c>
      <c r="AC30">
        <f t="shared" si="10"/>
        <v>1157.3841474566364</v>
      </c>
      <c r="AD30" s="5">
        <v>0.2</v>
      </c>
      <c r="AE30">
        <f t="shared" si="2"/>
        <v>231.47682949132729</v>
      </c>
      <c r="AF30">
        <f t="shared" si="3"/>
        <v>1</v>
      </c>
    </row>
    <row r="31" spans="1:32" x14ac:dyDescent="0.25">
      <c r="A31" s="2">
        <v>30</v>
      </c>
      <c r="B31">
        <f t="shared" si="4"/>
        <v>9.3172748972902131</v>
      </c>
      <c r="C31" s="5">
        <v>0.08</v>
      </c>
      <c r="D31">
        <f t="shared" si="5"/>
        <v>65.779960774868897</v>
      </c>
      <c r="Q31">
        <f t="shared" si="9"/>
        <v>65.779960774868982</v>
      </c>
      <c r="R31">
        <f t="shared" si="6"/>
        <v>67.796611497843614</v>
      </c>
      <c r="S31">
        <f t="shared" si="7"/>
        <v>367.34833933140976</v>
      </c>
      <c r="T31" s="5">
        <v>0.08</v>
      </c>
      <c r="V31">
        <f>SUM($R$2:R31)</f>
        <v>1395.6831369113929</v>
      </c>
      <c r="W31">
        <f t="shared" si="8"/>
        <v>2.9428649620701575</v>
      </c>
      <c r="Z31">
        <f t="shared" si="11"/>
        <v>1.2910361888750448</v>
      </c>
      <c r="AA31" s="5">
        <v>0.3</v>
      </c>
      <c r="AB31">
        <f t="shared" si="1"/>
        <v>1224.4944644380325</v>
      </c>
      <c r="AC31">
        <f t="shared" si="10"/>
        <v>1226.8271963040345</v>
      </c>
      <c r="AD31" s="5">
        <v>0.2</v>
      </c>
      <c r="AE31">
        <f t="shared" si="2"/>
        <v>245.36543926080691</v>
      </c>
      <c r="AF31">
        <f t="shared" si="3"/>
        <v>1</v>
      </c>
    </row>
    <row r="32" spans="1:32" x14ac:dyDescent="0.25">
      <c r="A32" s="2">
        <v>31</v>
      </c>
      <c r="B32">
        <f t="shared" si="4"/>
        <v>10.06265688907343</v>
      </c>
      <c r="C32" s="5">
        <v>0.08</v>
      </c>
      <c r="D32">
        <f t="shared" si="5"/>
        <v>71.042357636858412</v>
      </c>
      <c r="Q32">
        <f t="shared" si="9"/>
        <v>71.042357636858512</v>
      </c>
      <c r="R32">
        <f t="shared" si="6"/>
        <v>69.075792846859528</v>
      </c>
      <c r="S32">
        <f t="shared" si="7"/>
        <v>396.73620647792256</v>
      </c>
      <c r="T32" s="5">
        <v>0.08</v>
      </c>
      <c r="V32">
        <f>SUM($R$2:R32)</f>
        <v>1464.7589297582524</v>
      </c>
      <c r="W32">
        <f t="shared" si="8"/>
        <v>3.088514590642796</v>
      </c>
      <c r="Z32">
        <f t="shared" si="11"/>
        <v>1.1954038785880043</v>
      </c>
      <c r="AA32" s="5">
        <v>0.3</v>
      </c>
      <c r="AB32">
        <f t="shared" si="1"/>
        <v>1322.4540215930754</v>
      </c>
      <c r="AC32">
        <f t="shared" si="10"/>
        <v>1300.4368280822766</v>
      </c>
      <c r="AD32" s="5">
        <v>0.2</v>
      </c>
      <c r="AE32">
        <f t="shared" si="2"/>
        <v>260.08736561645532</v>
      </c>
      <c r="AF32">
        <f t="shared" si="3"/>
        <v>1</v>
      </c>
    </row>
    <row r="33" spans="1:32" x14ac:dyDescent="0.25">
      <c r="A33" s="2">
        <v>32</v>
      </c>
      <c r="B33">
        <f t="shared" si="4"/>
        <v>10.867669440199306</v>
      </c>
      <c r="C33" s="5">
        <v>0.08</v>
      </c>
      <c r="D33">
        <f t="shared" si="5"/>
        <v>76.725746247807081</v>
      </c>
      <c r="Q33">
        <f t="shared" si="9"/>
        <v>76.725746247807209</v>
      </c>
      <c r="R33">
        <f t="shared" si="6"/>
        <v>70.379109693026678</v>
      </c>
      <c r="S33">
        <f t="shared" si="7"/>
        <v>428.47510299615641</v>
      </c>
      <c r="T33" s="5">
        <v>0.08</v>
      </c>
      <c r="V33">
        <f>SUM($R$2:R33)</f>
        <v>1535.1380394512792</v>
      </c>
      <c r="W33">
        <f t="shared" si="8"/>
        <v>3.2369123254149184</v>
      </c>
      <c r="Z33">
        <f t="shared" si="11"/>
        <v>1.106855443137041</v>
      </c>
      <c r="AA33" s="5">
        <v>0.3</v>
      </c>
      <c r="AB33">
        <f t="shared" si="1"/>
        <v>1428.2503433205213</v>
      </c>
      <c r="AC33">
        <f t="shared" si="10"/>
        <v>1378.4630377672133</v>
      </c>
      <c r="AD33" s="5">
        <v>0.2</v>
      </c>
      <c r="AE33">
        <f t="shared" si="2"/>
        <v>275.69260755344266</v>
      </c>
      <c r="AF33">
        <f t="shared" si="3"/>
        <v>1</v>
      </c>
    </row>
    <row r="34" spans="1:32" x14ac:dyDescent="0.25">
      <c r="A34" s="2">
        <v>33</v>
      </c>
      <c r="B34">
        <f t="shared" si="4"/>
        <v>11.73708299541525</v>
      </c>
      <c r="C34" s="5">
        <v>0.08</v>
      </c>
      <c r="D34">
        <f t="shared" si="5"/>
        <v>82.863805947631647</v>
      </c>
      <c r="Q34">
        <f t="shared" si="9"/>
        <v>82.863805947631789</v>
      </c>
      <c r="R34">
        <f t="shared" si="6"/>
        <v>71.707017423083812</v>
      </c>
      <c r="S34">
        <f t="shared" si="7"/>
        <v>462.75311123584896</v>
      </c>
      <c r="T34" s="5">
        <v>0.08</v>
      </c>
      <c r="V34">
        <f>SUM($R$2:R34)</f>
        <v>1606.8450568743629</v>
      </c>
      <c r="W34">
        <f t="shared" si="8"/>
        <v>3.3881100174468917</v>
      </c>
      <c r="Z34">
        <f t="shared" si="11"/>
        <v>1.0248661510528156</v>
      </c>
      <c r="AA34" s="5">
        <v>0.3</v>
      </c>
      <c r="AB34">
        <f t="shared" si="1"/>
        <v>1542.5103707861633</v>
      </c>
      <c r="AC34">
        <f t="shared" si="10"/>
        <v>1461.1708200332462</v>
      </c>
      <c r="AD34" s="5">
        <v>0.2</v>
      </c>
      <c r="AE34">
        <f t="shared" si="2"/>
        <v>292.23416400664922</v>
      </c>
      <c r="AF34">
        <f t="shared" si="3"/>
        <v>1</v>
      </c>
    </row>
    <row r="35" spans="1:32" x14ac:dyDescent="0.25">
      <c r="A35" s="2">
        <v>34</v>
      </c>
      <c r="B35">
        <f t="shared" si="4"/>
        <v>12.67604963504847</v>
      </c>
      <c r="C35" s="5">
        <v>0.08</v>
      </c>
      <c r="D35">
        <f t="shared" si="5"/>
        <v>89.492910423442183</v>
      </c>
      <c r="Q35">
        <f t="shared" si="9"/>
        <v>89.492910423442325</v>
      </c>
      <c r="R35">
        <f t="shared" si="6"/>
        <v>73.059980015972187</v>
      </c>
      <c r="S35">
        <f t="shared" si="7"/>
        <v>499.77336013471694</v>
      </c>
      <c r="T35" s="5">
        <v>0.08</v>
      </c>
      <c r="V35">
        <f>SUM($R$2:R35)</f>
        <v>1679.9050368903349</v>
      </c>
      <c r="W35">
        <f t="shared" si="8"/>
        <v>3.5421604961209781</v>
      </c>
      <c r="Z35">
        <f t="shared" si="11"/>
        <v>0.94895013986371812</v>
      </c>
      <c r="AA35" s="5">
        <v>0.3</v>
      </c>
      <c r="AB35">
        <f t="shared" si="1"/>
        <v>1665.9112004490564</v>
      </c>
      <c r="AC35">
        <f t="shared" si="10"/>
        <v>1548.8410692352411</v>
      </c>
      <c r="AD35" s="5">
        <v>0.2</v>
      </c>
      <c r="AE35">
        <f t="shared" si="2"/>
        <v>309.76821384704823</v>
      </c>
      <c r="AF35">
        <f t="shared" si="3"/>
        <v>1</v>
      </c>
    </row>
    <row r="36" spans="1:32" x14ac:dyDescent="0.25">
      <c r="A36" s="2">
        <v>35</v>
      </c>
      <c r="B36">
        <f t="shared" si="4"/>
        <v>13.690133605852347</v>
      </c>
      <c r="C36" s="5">
        <v>0.08</v>
      </c>
      <c r="D36">
        <f t="shared" si="5"/>
        <v>96.652343257317554</v>
      </c>
      <c r="Q36">
        <f t="shared" si="9"/>
        <v>96.65234325731771</v>
      </c>
      <c r="R36">
        <f t="shared" si="6"/>
        <v>74.438470204952793</v>
      </c>
      <c r="S36">
        <f t="shared" si="7"/>
        <v>539.75522894549431</v>
      </c>
      <c r="T36" s="5">
        <v>0.08</v>
      </c>
      <c r="V36">
        <f>SUM($R$2:R36)</f>
        <v>1754.3435070952878</v>
      </c>
      <c r="W36">
        <f t="shared" si="8"/>
        <v>3.6991175876002358</v>
      </c>
      <c r="Z36">
        <f t="shared" si="11"/>
        <v>0.87865753691085002</v>
      </c>
      <c r="AA36" s="5">
        <v>0.3</v>
      </c>
      <c r="AB36">
        <f t="shared" si="1"/>
        <v>1799.1840964849812</v>
      </c>
      <c r="AC36">
        <f t="shared" si="10"/>
        <v>1641.7715333893557</v>
      </c>
      <c r="AD36" s="5">
        <v>0.2</v>
      </c>
      <c r="AE36">
        <f t="shared" si="2"/>
        <v>328.35430667787114</v>
      </c>
      <c r="AF36">
        <f t="shared" si="3"/>
        <v>1</v>
      </c>
    </row>
    <row r="37" spans="1:32" x14ac:dyDescent="0.25">
      <c r="A37" s="2">
        <v>36</v>
      </c>
      <c r="B37">
        <f t="shared" si="4"/>
        <v>14.785344294320534</v>
      </c>
      <c r="C37" s="5">
        <v>0.08</v>
      </c>
      <c r="D37">
        <f t="shared" si="5"/>
        <v>104.38453071790296</v>
      </c>
      <c r="Q37">
        <f t="shared" si="9"/>
        <v>104.38453071790315</v>
      </c>
      <c r="R37">
        <f t="shared" si="6"/>
        <v>75.84296964278208</v>
      </c>
      <c r="S37">
        <f t="shared" si="7"/>
        <v>582.93564726113391</v>
      </c>
      <c r="T37" s="5">
        <v>0.08</v>
      </c>
      <c r="V37">
        <f>SUM($R$2:R37)</f>
        <v>1830.1864767380698</v>
      </c>
      <c r="W37">
        <f t="shared" si="8"/>
        <v>3.8590361336357057</v>
      </c>
      <c r="Z37">
        <f t="shared" si="11"/>
        <v>0.81357179343597219</v>
      </c>
      <c r="AA37" s="5">
        <v>0.3</v>
      </c>
      <c r="AB37">
        <f t="shared" si="1"/>
        <v>1943.1188242037797</v>
      </c>
      <c r="AC37">
        <f t="shared" si="10"/>
        <v>1740.2778253927172</v>
      </c>
      <c r="AD37" s="5">
        <v>0.2</v>
      </c>
      <c r="AE37">
        <f t="shared" si="2"/>
        <v>348.05556507854345</v>
      </c>
      <c r="AF37">
        <f t="shared" si="3"/>
        <v>1</v>
      </c>
    </row>
    <row r="38" spans="1:32" x14ac:dyDescent="0.25">
      <c r="A38" s="2">
        <v>37</v>
      </c>
      <c r="B38">
        <f t="shared" si="4"/>
        <v>15.968171837866176</v>
      </c>
      <c r="C38" s="5">
        <v>0.08</v>
      </c>
      <c r="D38">
        <f t="shared" si="5"/>
        <v>112.7352931753352</v>
      </c>
      <c r="Q38">
        <f t="shared" si="9"/>
        <v>112.73529317533541</v>
      </c>
      <c r="R38">
        <f t="shared" si="6"/>
        <v>77.273969070004384</v>
      </c>
      <c r="S38">
        <f t="shared" si="7"/>
        <v>629.57049904202461</v>
      </c>
      <c r="T38" s="5">
        <v>0.08</v>
      </c>
      <c r="V38">
        <f>SUM($R$2:R38)</f>
        <v>1907.4604458080742</v>
      </c>
      <c r="W38" s="13">
        <f t="shared" si="8"/>
        <v>4.0219720107284491</v>
      </c>
      <c r="Z38">
        <f t="shared" si="11"/>
        <v>0.75330721614441876</v>
      </c>
      <c r="AA38" s="5">
        <v>0.3</v>
      </c>
      <c r="AB38">
        <f t="shared" si="1"/>
        <v>2098.5683301400823</v>
      </c>
      <c r="AC38">
        <f t="shared" si="10"/>
        <v>1844.6944949162803</v>
      </c>
      <c r="AD38" s="5">
        <v>0.2</v>
      </c>
      <c r="AE38">
        <f t="shared" si="2"/>
        <v>368.93889898325608</v>
      </c>
      <c r="AF38">
        <f t="shared" si="3"/>
        <v>1</v>
      </c>
    </row>
    <row r="39" spans="1:32" x14ac:dyDescent="0.25">
      <c r="A39" s="2">
        <v>38</v>
      </c>
      <c r="B39">
        <f t="shared" si="4"/>
        <v>17.245625584895471</v>
      </c>
      <c r="C39" s="5">
        <v>0.08</v>
      </c>
      <c r="D39">
        <f t="shared" si="5"/>
        <v>121.75411662936202</v>
      </c>
      <c r="Q39">
        <f t="shared" si="9"/>
        <v>121.75411662936224</v>
      </c>
      <c r="R39">
        <f t="shared" si="6"/>
        <v>78.731968486419561</v>
      </c>
      <c r="S39">
        <f t="shared" si="7"/>
        <v>679.93613896538659</v>
      </c>
      <c r="T39" s="5">
        <v>0.08</v>
      </c>
      <c r="V39">
        <f>SUM($R$2:R39)</f>
        <v>1986.1924142944938</v>
      </c>
      <c r="W39">
        <f t="shared" si="8"/>
        <v>4.1879821496531306</v>
      </c>
      <c r="Z39">
        <f t="shared" si="11"/>
        <v>0.69750668161520246</v>
      </c>
      <c r="AA39" s="5">
        <v>0.3</v>
      </c>
      <c r="AB39">
        <f t="shared" si="1"/>
        <v>2266.4537965512886</v>
      </c>
      <c r="AC39">
        <f t="shared" si="10"/>
        <v>1955.3761646112573</v>
      </c>
      <c r="AD39" s="5">
        <v>0.2</v>
      </c>
      <c r="AE39">
        <f t="shared" si="2"/>
        <v>391.07523292225147</v>
      </c>
      <c r="AF39">
        <f t="shared" si="3"/>
        <v>1</v>
      </c>
    </row>
    <row r="40" spans="1:32" x14ac:dyDescent="0.25">
      <c r="A40" s="2">
        <v>39</v>
      </c>
      <c r="B40">
        <f t="shared" si="4"/>
        <v>18.62527563168711</v>
      </c>
      <c r="C40" s="5">
        <v>0.08</v>
      </c>
      <c r="D40">
        <f t="shared" si="5"/>
        <v>131.49444595971099</v>
      </c>
      <c r="Q40">
        <f t="shared" si="9"/>
        <v>131.49444595971124</v>
      </c>
      <c r="R40">
        <f t="shared" si="6"/>
        <v>80.21747732578595</v>
      </c>
      <c r="S40">
        <f t="shared" si="7"/>
        <v>734.33103008261753</v>
      </c>
      <c r="T40" s="5">
        <v>0.08</v>
      </c>
      <c r="V40">
        <f>SUM($R$2:R40)</f>
        <v>2066.4098916202797</v>
      </c>
      <c r="W40">
        <f t="shared" si="8"/>
        <v>4.3571245553499764</v>
      </c>
      <c r="Z40">
        <f t="shared" si="11"/>
        <v>0.64583952001407641</v>
      </c>
      <c r="AA40" s="5">
        <v>0.3</v>
      </c>
      <c r="AB40">
        <f t="shared" si="1"/>
        <v>2447.770100275392</v>
      </c>
      <c r="AC40">
        <f t="shared" si="10"/>
        <v>2072.6987344879331</v>
      </c>
      <c r="AD40" s="5">
        <v>0.2</v>
      </c>
      <c r="AE40">
        <f t="shared" si="2"/>
        <v>414.53974689758661</v>
      </c>
      <c r="AF40">
        <f t="shared" si="3"/>
        <v>1</v>
      </c>
    </row>
    <row r="41" spans="1:32" x14ac:dyDescent="0.25">
      <c r="A41" s="2">
        <v>40</v>
      </c>
      <c r="B41">
        <f t="shared" si="4"/>
        <v>20.115297682222078</v>
      </c>
      <c r="C41" s="5">
        <v>0.08</v>
      </c>
      <c r="D41">
        <f t="shared" si="5"/>
        <v>142.01400163648788</v>
      </c>
      <c r="Q41">
        <f t="shared" si="9"/>
        <v>142.01400163648813</v>
      </c>
      <c r="R41">
        <f t="shared" si="6"/>
        <v>81.73101463381964</v>
      </c>
      <c r="S41">
        <f t="shared" si="7"/>
        <v>793.07751248922693</v>
      </c>
      <c r="T41" s="5">
        <v>0.08</v>
      </c>
      <c r="V41">
        <f>SUM($R$2:R41)</f>
        <v>2148.1409062540993</v>
      </c>
      <c r="W41">
        <f t="shared" si="8"/>
        <v>4.529458327192045</v>
      </c>
      <c r="Z41">
        <f t="shared" si="11"/>
        <v>0.59799955556858919</v>
      </c>
      <c r="AA41" s="5">
        <v>0.3</v>
      </c>
      <c r="AB41">
        <f t="shared" si="1"/>
        <v>2643.5917082974233</v>
      </c>
      <c r="AC41">
        <f t="shared" si="10"/>
        <v>2197.0606585572091</v>
      </c>
      <c r="AD41" s="5">
        <v>0.2</v>
      </c>
      <c r="AE41">
        <f t="shared" si="2"/>
        <v>439.41213171144182</v>
      </c>
      <c r="AF41">
        <f t="shared" si="3"/>
        <v>1</v>
      </c>
    </row>
    <row r="42" spans="1:32" x14ac:dyDescent="0.25">
      <c r="A42" s="2">
        <v>41</v>
      </c>
      <c r="B42">
        <f t="shared" si="4"/>
        <v>21.724521496799845</v>
      </c>
      <c r="C42" s="5">
        <v>0.08</v>
      </c>
      <c r="D42">
        <f t="shared" si="5"/>
        <v>153.37512176740691</v>
      </c>
      <c r="Q42">
        <f t="shared" si="9"/>
        <v>153.37512176740719</v>
      </c>
      <c r="R42">
        <f t="shared" si="6"/>
        <v>83.273109249552107</v>
      </c>
      <c r="S42">
        <f t="shared" si="7"/>
        <v>856.52371348836516</v>
      </c>
      <c r="T42" s="5">
        <v>0.08</v>
      </c>
      <c r="V42" s="1">
        <f>SUM($R$2:R42)</f>
        <v>2231.4140155036512</v>
      </c>
      <c r="W42">
        <f t="shared" si="8"/>
        <v>4.7050436796349073</v>
      </c>
      <c r="Z42">
        <f t="shared" si="11"/>
        <v>0.55370329219313819</v>
      </c>
      <c r="AA42" s="5">
        <v>0.3</v>
      </c>
      <c r="AB42">
        <f t="shared" si="1"/>
        <v>2855.0790449612173</v>
      </c>
      <c r="AC42">
        <f t="shared" si="10"/>
        <v>2328.8842980706418</v>
      </c>
      <c r="AD42" s="5">
        <v>0.2</v>
      </c>
      <c r="AE42">
        <f t="shared" si="2"/>
        <v>465.7768596141284</v>
      </c>
      <c r="AF42">
        <f t="shared" si="3"/>
        <v>1</v>
      </c>
    </row>
    <row r="43" spans="1:32" x14ac:dyDescent="0.25">
      <c r="A43" s="2">
        <v>42</v>
      </c>
      <c r="B43">
        <f t="shared" si="4"/>
        <v>23.462483216543834</v>
      </c>
      <c r="C43" s="5">
        <v>0.08</v>
      </c>
      <c r="D43">
        <f t="shared" si="5"/>
        <v>165.64513150879947</v>
      </c>
      <c r="Q43">
        <f t="shared" si="9"/>
        <v>165.64513150879978</v>
      </c>
      <c r="R43">
        <f t="shared" si="6"/>
        <v>84.844299990109704</v>
      </c>
      <c r="S43">
        <f t="shared" si="7"/>
        <v>925.04561056743444</v>
      </c>
      <c r="T43" s="5">
        <v>0.08</v>
      </c>
      <c r="V43">
        <f>SUM($R$2:R43)</f>
        <v>2316.2583154937611</v>
      </c>
      <c r="W43">
        <f t="shared" si="8"/>
        <v>4.8839419632559382</v>
      </c>
      <c r="Z43">
        <f t="shared" si="11"/>
        <v>0.51268823351216486</v>
      </c>
      <c r="AA43" s="5">
        <v>0.3</v>
      </c>
      <c r="AB43">
        <f t="shared" si="1"/>
        <v>3083.4853685581147</v>
      </c>
      <c r="AC43">
        <f t="shared" si="10"/>
        <v>2468.6173559548802</v>
      </c>
      <c r="AD43" s="5">
        <v>0.2</v>
      </c>
      <c r="AE43">
        <f t="shared" si="2"/>
        <v>493.72347119097606</v>
      </c>
      <c r="AF43">
        <f t="shared" si="3"/>
        <v>1</v>
      </c>
    </row>
    <row r="44" spans="1:32" x14ac:dyDescent="0.25">
      <c r="A44" s="2">
        <v>43</v>
      </c>
      <c r="B44">
        <f t="shared" si="4"/>
        <v>25.339481873867342</v>
      </c>
      <c r="C44" s="5">
        <v>0.08</v>
      </c>
      <c r="D44">
        <f t="shared" si="5"/>
        <v>178.89674202950343</v>
      </c>
      <c r="Q44">
        <f t="shared" si="9"/>
        <v>178.89674202950374</v>
      </c>
      <c r="R44">
        <f t="shared" si="6"/>
        <v>86.445135838979681</v>
      </c>
      <c r="S44">
        <f t="shared" si="7"/>
        <v>999.0492594128292</v>
      </c>
      <c r="T44" s="5">
        <v>0.08</v>
      </c>
      <c r="V44">
        <f>SUM($R$2:R44)</f>
        <v>2402.7034513327408</v>
      </c>
      <c r="W44">
        <f t="shared" si="8"/>
        <v>5.0662156861905725</v>
      </c>
      <c r="Z44">
        <f t="shared" si="11"/>
        <v>0.47471132732607862</v>
      </c>
      <c r="AA44" s="5">
        <v>0.3</v>
      </c>
      <c r="AB44">
        <f t="shared" si="1"/>
        <v>3330.1641980427639</v>
      </c>
      <c r="AC44">
        <f t="shared" si="10"/>
        <v>2616.7343973121733</v>
      </c>
      <c r="AD44" s="5">
        <v>0.2</v>
      </c>
      <c r="AE44">
        <f t="shared" si="2"/>
        <v>523.34687946243469</v>
      </c>
      <c r="AF44">
        <f t="shared" si="3"/>
        <v>1</v>
      </c>
    </row>
    <row r="45" spans="1:32" x14ac:dyDescent="0.25">
      <c r="A45" s="2">
        <v>44</v>
      </c>
      <c r="B45">
        <f t="shared" si="4"/>
        <v>27.36664042377673</v>
      </c>
      <c r="C45" s="5">
        <v>0.08</v>
      </c>
      <c r="D45">
        <f t="shared" si="5"/>
        <v>193.2084813918637</v>
      </c>
      <c r="Q45">
        <f t="shared" si="9"/>
        <v>193.20848139186404</v>
      </c>
      <c r="R45">
        <f t="shared" si="6"/>
        <v>88.076176137828355</v>
      </c>
      <c r="S45">
        <f t="shared" si="7"/>
        <v>1078.9732001658556</v>
      </c>
      <c r="T45" s="5">
        <v>0.08</v>
      </c>
      <c r="V45">
        <f>SUM($R$2:R45)</f>
        <v>2490.7796274705693</v>
      </c>
      <c r="W45">
        <f t="shared" si="8"/>
        <v>5.2519285359730299</v>
      </c>
      <c r="Z45">
        <f t="shared" si="11"/>
        <v>0.43954752530192465</v>
      </c>
      <c r="AA45" s="5">
        <v>0.3</v>
      </c>
      <c r="AB45">
        <f t="shared" si="1"/>
        <v>3596.5773338861854</v>
      </c>
      <c r="AC45">
        <f t="shared" si="10"/>
        <v>2773.7384611509037</v>
      </c>
      <c r="AD45" s="5">
        <v>0.2</v>
      </c>
      <c r="AE45">
        <f t="shared" si="2"/>
        <v>554.74769223018075</v>
      </c>
      <c r="AF45">
        <f t="shared" si="3"/>
        <v>1</v>
      </c>
    </row>
    <row r="46" spans="1:32" x14ac:dyDescent="0.25">
      <c r="A46" s="2">
        <v>45</v>
      </c>
      <c r="B46">
        <f t="shared" si="4"/>
        <v>29.555971657678867</v>
      </c>
      <c r="C46" s="5">
        <v>0.08</v>
      </c>
      <c r="D46">
        <f t="shared" si="5"/>
        <v>208.66515990321278</v>
      </c>
      <c r="Q46">
        <f t="shared" si="9"/>
        <v>208.66515990321321</v>
      </c>
      <c r="R46">
        <f t="shared" si="6"/>
        <v>89.737990781938322</v>
      </c>
      <c r="S46">
        <f t="shared" si="7"/>
        <v>1165.2910561791241</v>
      </c>
      <c r="T46" s="5">
        <v>0.08</v>
      </c>
      <c r="V46">
        <f>SUM($R$2:R46)</f>
        <v>2580.5176182525074</v>
      </c>
      <c r="W46">
        <f t="shared" si="8"/>
        <v>5.441145401789119</v>
      </c>
      <c r="Z46">
        <f t="shared" si="11"/>
        <v>0.40698844935363387</v>
      </c>
      <c r="AA46" s="5">
        <v>0.3</v>
      </c>
      <c r="AB46">
        <f t="shared" si="1"/>
        <v>3884.3035205970805</v>
      </c>
      <c r="AC46">
        <f t="shared" si="10"/>
        <v>2940.1627688199583</v>
      </c>
      <c r="AD46" s="5">
        <v>0.2</v>
      </c>
      <c r="AE46">
        <f t="shared" si="2"/>
        <v>588.0325537639917</v>
      </c>
      <c r="AF46">
        <f t="shared" si="3"/>
        <v>1</v>
      </c>
    </row>
    <row r="47" spans="1:32" x14ac:dyDescent="0.25">
      <c r="A47" s="2">
        <v>46</v>
      </c>
      <c r="B47">
        <f t="shared" si="4"/>
        <v>31.920449390293179</v>
      </c>
      <c r="C47" s="5">
        <v>0.08</v>
      </c>
      <c r="D47">
        <f t="shared" si="5"/>
        <v>225.3583726954698</v>
      </c>
      <c r="Q47">
        <f t="shared" si="9"/>
        <v>225.35837269547025</v>
      </c>
      <c r="R47">
        <f t="shared" si="6"/>
        <v>91.431160419333395</v>
      </c>
      <c r="S47">
        <f t="shared" si="7"/>
        <v>1258.5143406734542</v>
      </c>
      <c r="T47" s="5">
        <v>0.08</v>
      </c>
      <c r="V47">
        <f>SUM($R$2:R47)</f>
        <v>2671.948778671841</v>
      </c>
      <c r="W47">
        <f t="shared" si="8"/>
        <v>5.6339323971489081</v>
      </c>
      <c r="Z47">
        <f t="shared" si="11"/>
        <v>0.37684115680892022</v>
      </c>
      <c r="AA47" s="5">
        <v>0.3</v>
      </c>
      <c r="AB47">
        <f t="shared" si="1"/>
        <v>4195.0478022448478</v>
      </c>
      <c r="AC47">
        <f t="shared" si="10"/>
        <v>3116.5725349491559</v>
      </c>
      <c r="AD47" s="5">
        <v>0.2</v>
      </c>
      <c r="AE47">
        <f t="shared" si="2"/>
        <v>623.31450698983122</v>
      </c>
      <c r="AF47">
        <f t="shared" si="3"/>
        <v>1</v>
      </c>
    </row>
    <row r="48" spans="1:32" x14ac:dyDescent="0.25">
      <c r="A48" s="2">
        <v>47</v>
      </c>
      <c r="B48">
        <f t="shared" si="4"/>
        <v>34.474085341516634</v>
      </c>
      <c r="C48" s="5">
        <v>0.08</v>
      </c>
      <c r="D48">
        <f t="shared" si="5"/>
        <v>243.38704251110738</v>
      </c>
      <c r="Q48">
        <f t="shared" si="9"/>
        <v>243.38704251110792</v>
      </c>
      <c r="R48">
        <f t="shared" si="6"/>
        <v>93.156276653660441</v>
      </c>
      <c r="S48">
        <f t="shared" si="7"/>
        <v>1359.1954879273305</v>
      </c>
      <c r="T48" s="5">
        <v>0.08</v>
      </c>
      <c r="V48">
        <f>SUM($R$2:R48)</f>
        <v>2765.1050553255013</v>
      </c>
      <c r="W48">
        <f t="shared" si="8"/>
        <v>5.830356882987183</v>
      </c>
      <c r="Z48">
        <f t="shared" si="11"/>
        <v>0.34892699704529651</v>
      </c>
      <c r="AA48" s="5">
        <v>0.3</v>
      </c>
      <c r="AB48">
        <f t="shared" si="1"/>
        <v>4530.6516264244356</v>
      </c>
      <c r="AC48">
        <f t="shared" si="10"/>
        <v>3303.5668870461054</v>
      </c>
      <c r="AD48" s="5">
        <v>0.2</v>
      </c>
      <c r="AE48">
        <f t="shared" si="2"/>
        <v>660.71337740922115</v>
      </c>
      <c r="AF48">
        <f t="shared" si="3"/>
        <v>1</v>
      </c>
    </row>
    <row r="49" spans="1:32" x14ac:dyDescent="0.25">
      <c r="A49" s="2">
        <v>48</v>
      </c>
      <c r="B49">
        <f t="shared" si="4"/>
        <v>37.232012168837969</v>
      </c>
      <c r="C49" s="5">
        <v>0.08</v>
      </c>
      <c r="D49">
        <f t="shared" si="5"/>
        <v>262.85800591199597</v>
      </c>
      <c r="Q49">
        <f t="shared" si="9"/>
        <v>262.8580059119966</v>
      </c>
      <c r="R49">
        <f t="shared" si="6"/>
        <v>94.913942250899282</v>
      </c>
      <c r="S49">
        <f t="shared" si="7"/>
        <v>1467.9311269615171</v>
      </c>
      <c r="T49" s="5">
        <v>0.08</v>
      </c>
      <c r="V49" s="1">
        <f>SUM($R$2:R49)</f>
        <v>2860.0189975764006</v>
      </c>
      <c r="W49">
        <f t="shared" si="8"/>
        <v>6.0304874911997652</v>
      </c>
      <c r="Z49">
        <f t="shared" si="11"/>
        <v>0.32308055281971898</v>
      </c>
      <c r="AA49" s="5">
        <v>0.3</v>
      </c>
      <c r="AB49">
        <f t="shared" si="1"/>
        <v>4893.1037565383904</v>
      </c>
      <c r="AC49">
        <f t="shared" si="10"/>
        <v>3501.7809002688718</v>
      </c>
      <c r="AD49" s="5">
        <v>0.2</v>
      </c>
      <c r="AE49">
        <f t="shared" si="2"/>
        <v>700.35618005377444</v>
      </c>
      <c r="AF49">
        <f t="shared" si="3"/>
        <v>1</v>
      </c>
    </row>
    <row r="50" spans="1:32" x14ac:dyDescent="0.25">
      <c r="A50" s="2">
        <v>49</v>
      </c>
      <c r="B50">
        <f t="shared" si="4"/>
        <v>40.210573142345005</v>
      </c>
      <c r="C50" s="5">
        <v>0.08</v>
      </c>
      <c r="D50">
        <f t="shared" si="5"/>
        <v>283.88664638495567</v>
      </c>
      <c r="Q50">
        <f t="shared" si="9"/>
        <v>283.88664638495629</v>
      </c>
      <c r="R50">
        <f t="shared" si="6"/>
        <v>96.704771349972873</v>
      </c>
      <c r="S50">
        <f t="shared" si="7"/>
        <v>1585.3656171184384</v>
      </c>
      <c r="T50" s="5">
        <v>0.08</v>
      </c>
      <c r="V50">
        <f>SUM($R$2:R50)</f>
        <v>2956.7237689263734</v>
      </c>
      <c r="W50">
        <f t="shared" si="8"/>
        <v>6.2343941486239052</v>
      </c>
      <c r="Z50">
        <f t="shared" si="11"/>
        <v>0.29914866001825829</v>
      </c>
      <c r="AA50" s="5">
        <v>0.3</v>
      </c>
      <c r="AB50">
        <f t="shared" si="1"/>
        <v>5284.5520570614617</v>
      </c>
      <c r="AC50">
        <f t="shared" si="10"/>
        <v>3711.8877542850041</v>
      </c>
      <c r="AD50" s="5">
        <v>0.2</v>
      </c>
      <c r="AE50">
        <f t="shared" si="2"/>
        <v>742.37755085700087</v>
      </c>
      <c r="AF50">
        <f t="shared" si="3"/>
        <v>1</v>
      </c>
    </row>
    <row r="51" spans="1:32" x14ac:dyDescent="0.25">
      <c r="A51" s="2">
        <v>50</v>
      </c>
      <c r="B51">
        <f t="shared" si="4"/>
        <v>43.427418993732608</v>
      </c>
      <c r="C51" s="5">
        <v>0.08</v>
      </c>
      <c r="D51">
        <f t="shared" si="5"/>
        <v>306.59757809575211</v>
      </c>
      <c r="Q51">
        <f t="shared" si="9"/>
        <v>306.59757809575279</v>
      </c>
      <c r="R51">
        <f t="shared" si="6"/>
        <v>98.529389677330869</v>
      </c>
      <c r="S51">
        <f t="shared" si="7"/>
        <v>1712.1948664879137</v>
      </c>
      <c r="T51" s="5">
        <v>0.08</v>
      </c>
      <c r="V51">
        <f>SUM($R$2:R51)</f>
        <v>3055.2531586037044</v>
      </c>
      <c r="W51">
        <f t="shared" si="8"/>
        <v>6.442148101471143</v>
      </c>
      <c r="Z51">
        <f t="shared" si="11"/>
        <v>0.27698950001690581</v>
      </c>
      <c r="AA51" s="5">
        <v>0.3</v>
      </c>
      <c r="AB51">
        <f t="shared" si="1"/>
        <v>5707.316221626379</v>
      </c>
      <c r="AC51">
        <f t="shared" si="10"/>
        <v>3934.6010195421045</v>
      </c>
      <c r="AD51" s="5">
        <v>0.2</v>
      </c>
      <c r="AE51">
        <f t="shared" si="2"/>
        <v>786.92020390842094</v>
      </c>
      <c r="AF51">
        <f t="shared" si="3"/>
        <v>1</v>
      </c>
    </row>
    <row r="52" spans="1:32" x14ac:dyDescent="0.25">
      <c r="A52" s="2">
        <v>51</v>
      </c>
      <c r="B52">
        <f t="shared" ref="B52:B101" si="12">B51+B51*C51</f>
        <v>46.901612513231214</v>
      </c>
      <c r="C52" s="5">
        <v>0.08</v>
      </c>
      <c r="D52">
        <f t="shared" ref="D52:D101" si="13">D51+D51*C51</f>
        <v>331.12538434341229</v>
      </c>
      <c r="Q52">
        <f t="shared" ref="Q52:Q101" si="14">$D$2*((1+$C$2)^A51)</f>
        <v>331.12538434341303</v>
      </c>
      <c r="R52">
        <f t="shared" si="6"/>
        <v>100.3884347655824</v>
      </c>
      <c r="S52">
        <f t="shared" si="7"/>
        <v>1849.1704558069468</v>
      </c>
      <c r="T52" s="5">
        <v>0.08</v>
      </c>
      <c r="V52">
        <f>SUM($R$2:R52)</f>
        <v>3155.641593369287</v>
      </c>
      <c r="W52">
        <f t="shared" si="8"/>
        <v>6.6538219402211594</v>
      </c>
      <c r="Z52">
        <f t="shared" si="11"/>
        <v>0.25647175927491278</v>
      </c>
      <c r="AA52" s="5">
        <v>0.3</v>
      </c>
      <c r="AB52">
        <f t="shared" si="1"/>
        <v>6163.9015193564901</v>
      </c>
      <c r="AC52">
        <f t="shared" si="10"/>
        <v>4170.6770807146313</v>
      </c>
      <c r="AD52" s="5">
        <v>0.2</v>
      </c>
      <c r="AE52">
        <f t="shared" si="2"/>
        <v>834.13541614292626</v>
      </c>
      <c r="AF52">
        <f t="shared" si="3"/>
        <v>1</v>
      </c>
    </row>
    <row r="53" spans="1:32" x14ac:dyDescent="0.25">
      <c r="A53" s="2">
        <v>52</v>
      </c>
      <c r="B53">
        <f t="shared" si="12"/>
        <v>50.653741514289713</v>
      </c>
      <c r="C53" s="5">
        <v>0.08</v>
      </c>
      <c r="D53">
        <f t="shared" si="13"/>
        <v>357.61541509088528</v>
      </c>
      <c r="Q53">
        <f t="shared" si="14"/>
        <v>357.61541509088613</v>
      </c>
      <c r="R53">
        <f t="shared" si="6"/>
        <v>102.28255617625375</v>
      </c>
      <c r="S53">
        <f t="shared" si="7"/>
        <v>1997.1040922715026</v>
      </c>
      <c r="T53" s="5">
        <v>0.08</v>
      </c>
      <c r="V53">
        <f>SUM($R$2:R53)</f>
        <v>3257.9241495455408</v>
      </c>
      <c r="W53">
        <f t="shared" si="8"/>
        <v>6.8694896249853263</v>
      </c>
      <c r="Z53">
        <f t="shared" si="11"/>
        <v>0.23747385118047479</v>
      </c>
      <c r="AA53" s="5">
        <v>0.3</v>
      </c>
      <c r="AB53">
        <f t="shared" si="1"/>
        <v>6657.0136409050092</v>
      </c>
      <c r="AC53">
        <f t="shared" si="10"/>
        <v>4420.9177055575092</v>
      </c>
      <c r="AD53" s="5">
        <v>0.2</v>
      </c>
      <c r="AE53">
        <f t="shared" si="2"/>
        <v>884.18354111150188</v>
      </c>
      <c r="AF53">
        <f t="shared" si="3"/>
        <v>1</v>
      </c>
    </row>
    <row r="54" spans="1:32" x14ac:dyDescent="0.25">
      <c r="A54" s="2">
        <v>53</v>
      </c>
      <c r="B54">
        <f t="shared" si="12"/>
        <v>54.706040835432887</v>
      </c>
      <c r="C54" s="5">
        <v>0.08</v>
      </c>
      <c r="D54">
        <f t="shared" si="13"/>
        <v>386.22464829815613</v>
      </c>
      <c r="Q54">
        <f t="shared" si="14"/>
        <v>386.22464829815704</v>
      </c>
      <c r="R54">
        <f t="shared" si="6"/>
        <v>104.21241572674911</v>
      </c>
      <c r="S54">
        <f t="shared" si="7"/>
        <v>2156.872419653223</v>
      </c>
      <c r="T54" s="5">
        <v>0.08</v>
      </c>
      <c r="V54">
        <f>SUM($R$2:R54)</f>
        <v>3362.1365652722898</v>
      </c>
      <c r="W54">
        <f t="shared" si="8"/>
        <v>7.0892265113488167</v>
      </c>
      <c r="Z54">
        <f t="shared" si="11"/>
        <v>0.21988319553747662</v>
      </c>
      <c r="AA54" s="5">
        <v>0.3</v>
      </c>
      <c r="AB54">
        <f t="shared" si="1"/>
        <v>7189.5747321774106</v>
      </c>
      <c r="AC54">
        <f t="shared" si="10"/>
        <v>4686.1727678909601</v>
      </c>
      <c r="AD54" s="5">
        <v>0.2</v>
      </c>
      <c r="AE54">
        <f t="shared" si="2"/>
        <v>937.23455357819205</v>
      </c>
      <c r="AF54">
        <f t="shared" si="3"/>
        <v>1</v>
      </c>
    </row>
    <row r="55" spans="1:32" x14ac:dyDescent="0.25">
      <c r="A55" s="2">
        <v>54</v>
      </c>
      <c r="B55">
        <f t="shared" si="12"/>
        <v>59.08252410226752</v>
      </c>
      <c r="C55" s="5">
        <v>0.08</v>
      </c>
      <c r="D55">
        <f t="shared" si="13"/>
        <v>417.12262016200862</v>
      </c>
      <c r="Q55">
        <f t="shared" si="14"/>
        <v>417.12262016200958</v>
      </c>
      <c r="R55">
        <f t="shared" si="6"/>
        <v>106.17868772159341</v>
      </c>
      <c r="S55">
        <f t="shared" si="7"/>
        <v>2329.4222132254808</v>
      </c>
      <c r="T55" s="5">
        <v>0.08</v>
      </c>
      <c r="V55">
        <f>SUM($R$2:R55)</f>
        <v>3468.3152529938834</v>
      </c>
      <c r="W55">
        <f t="shared" si="8"/>
        <v>7.3131093767002984</v>
      </c>
      <c r="Z55">
        <f t="shared" si="11"/>
        <v>0.20359555142358948</v>
      </c>
      <c r="AA55" s="5">
        <v>0.3</v>
      </c>
      <c r="AB55">
        <f t="shared" si="1"/>
        <v>7764.7407107516028</v>
      </c>
      <c r="AC55">
        <f t="shared" si="10"/>
        <v>4967.3431339644176</v>
      </c>
      <c r="AD55" s="5">
        <v>0.2</v>
      </c>
      <c r="AE55">
        <f t="shared" si="2"/>
        <v>993.46862679288358</v>
      </c>
      <c r="AF55">
        <f t="shared" si="3"/>
        <v>1</v>
      </c>
    </row>
    <row r="56" spans="1:32" x14ac:dyDescent="0.25">
      <c r="A56" s="2">
        <v>55</v>
      </c>
      <c r="B56">
        <f t="shared" si="12"/>
        <v>63.809126030448923</v>
      </c>
      <c r="C56" s="5">
        <v>0.08</v>
      </c>
      <c r="D56">
        <f t="shared" si="13"/>
        <v>450.49242977496931</v>
      </c>
      <c r="Q56">
        <f t="shared" si="14"/>
        <v>450.49242977497045</v>
      </c>
      <c r="R56">
        <f t="shared" si="6"/>
        <v>108.18205918803858</v>
      </c>
      <c r="S56">
        <f t="shared" si="7"/>
        <v>2515.7759902835196</v>
      </c>
      <c r="T56" s="5">
        <v>0.08</v>
      </c>
      <c r="V56">
        <f>SUM($R$2:R56)</f>
        <v>3576.4973121819221</v>
      </c>
      <c r="W56">
        <f t="shared" si="8"/>
        <v>7.5412164470584111</v>
      </c>
      <c r="Z56">
        <f t="shared" si="11"/>
        <v>0.18851439946628654</v>
      </c>
      <c r="AA56" s="5">
        <v>0.3</v>
      </c>
      <c r="AB56">
        <f t="shared" si="1"/>
        <v>8385.9199676117332</v>
      </c>
      <c r="AC56">
        <f t="shared" si="10"/>
        <v>5265.3837220022833</v>
      </c>
      <c r="AD56" s="5">
        <v>0.2</v>
      </c>
      <c r="AE56">
        <f t="shared" si="2"/>
        <v>1053.0767444004566</v>
      </c>
      <c r="AF56">
        <f t="shared" si="3"/>
        <v>1</v>
      </c>
    </row>
    <row r="57" spans="1:32" x14ac:dyDescent="0.25">
      <c r="A57" s="2">
        <v>56</v>
      </c>
      <c r="B57">
        <f t="shared" si="12"/>
        <v>68.913856112884844</v>
      </c>
      <c r="C57" s="5">
        <v>0.08</v>
      </c>
      <c r="D57">
        <f t="shared" si="13"/>
        <v>486.53182415696688</v>
      </c>
      <c r="Q57">
        <f t="shared" si="14"/>
        <v>486.53182415696807</v>
      </c>
      <c r="R57">
        <f t="shared" si="6"/>
        <v>110.22323011611476</v>
      </c>
      <c r="S57">
        <f t="shared" si="7"/>
        <v>2717.0380695062013</v>
      </c>
      <c r="T57" s="5">
        <v>0.08</v>
      </c>
      <c r="V57">
        <f>SUM($R$2:R57)</f>
        <v>3686.7205422980369</v>
      </c>
      <c r="W57">
        <f t="shared" si="8"/>
        <v>7.7736274244044132</v>
      </c>
      <c r="Z57">
        <f t="shared" si="11"/>
        <v>0.17455036987619121</v>
      </c>
      <c r="AA57" s="5">
        <v>0.3</v>
      </c>
      <c r="AB57">
        <f t="shared" si="1"/>
        <v>9056.7935650206709</v>
      </c>
      <c r="AC57">
        <f t="shared" si="10"/>
        <v>5581.3067453224203</v>
      </c>
      <c r="AD57" s="5">
        <v>0.2</v>
      </c>
      <c r="AE57">
        <f t="shared" si="2"/>
        <v>1116.2613490644842</v>
      </c>
      <c r="AF57">
        <f t="shared" si="3"/>
        <v>1</v>
      </c>
    </row>
    <row r="58" spans="1:32" x14ac:dyDescent="0.25">
      <c r="A58" s="2">
        <v>57</v>
      </c>
      <c r="B58">
        <f t="shared" si="12"/>
        <v>74.426964601915628</v>
      </c>
      <c r="C58" s="5">
        <v>0.08</v>
      </c>
      <c r="D58">
        <f t="shared" si="13"/>
        <v>525.45437008952422</v>
      </c>
      <c r="Q58">
        <f t="shared" si="14"/>
        <v>525.45437008952547</v>
      </c>
      <c r="R58">
        <f t="shared" si="6"/>
        <v>112.3029137032113</v>
      </c>
      <c r="S58">
        <f t="shared" si="7"/>
        <v>2934.4011150666975</v>
      </c>
      <c r="T58" s="5">
        <v>0.08</v>
      </c>
      <c r="V58">
        <f>SUM($R$2:R58)</f>
        <v>3799.0234560012482</v>
      </c>
      <c r="W58">
        <f t="shared" si="8"/>
        <v>8.0104235145305278</v>
      </c>
      <c r="Z58">
        <f t="shared" si="11"/>
        <v>0.16162071284832522</v>
      </c>
      <c r="AA58" s="5">
        <v>0.3</v>
      </c>
      <c r="AB58">
        <f t="shared" si="1"/>
        <v>9781.3370502223261</v>
      </c>
      <c r="AC58">
        <f t="shared" si="10"/>
        <v>5916.1851500417661</v>
      </c>
      <c r="AD58" s="5">
        <v>0.2</v>
      </c>
      <c r="AE58">
        <f t="shared" si="2"/>
        <v>1183.2370300083533</v>
      </c>
      <c r="AF58">
        <f t="shared" si="3"/>
        <v>1</v>
      </c>
    </row>
    <row r="59" spans="1:32" x14ac:dyDescent="0.25">
      <c r="A59" s="2">
        <v>58</v>
      </c>
      <c r="B59">
        <f t="shared" si="12"/>
        <v>80.381121770068873</v>
      </c>
      <c r="C59" s="5">
        <v>0.08</v>
      </c>
      <c r="D59">
        <f t="shared" si="13"/>
        <v>567.49071969668614</v>
      </c>
      <c r="Q59">
        <f t="shared" si="14"/>
        <v>567.49071969668762</v>
      </c>
      <c r="R59">
        <f t="shared" si="6"/>
        <v>114.42183660327188</v>
      </c>
      <c r="S59">
        <f t="shared" si="7"/>
        <v>3169.1532042720332</v>
      </c>
      <c r="T59" s="5">
        <v>0.08</v>
      </c>
      <c r="V59">
        <f>SUM($R$2:R59)</f>
        <v>3913.4452926045201</v>
      </c>
      <c r="W59">
        <f t="shared" si="8"/>
        <v>8.2516874554137392</v>
      </c>
      <c r="Z59">
        <f t="shared" si="11"/>
        <v>0.1496488081928937</v>
      </c>
      <c r="AA59" s="5">
        <v>0.3</v>
      </c>
      <c r="AB59">
        <f t="shared" si="1"/>
        <v>10563.84401424011</v>
      </c>
      <c r="AC59">
        <f t="shared" si="10"/>
        <v>6271.1562590442727</v>
      </c>
      <c r="AD59" s="5">
        <v>0.2</v>
      </c>
      <c r="AE59">
        <f t="shared" si="2"/>
        <v>1254.2312518088547</v>
      </c>
      <c r="AF59">
        <f t="shared" si="3"/>
        <v>1</v>
      </c>
    </row>
    <row r="60" spans="1:32" x14ac:dyDescent="0.25">
      <c r="A60" s="2">
        <v>59</v>
      </c>
      <c r="B60">
        <f t="shared" si="12"/>
        <v>86.811611511674386</v>
      </c>
      <c r="C60" s="5">
        <v>0.08</v>
      </c>
      <c r="D60">
        <f t="shared" si="13"/>
        <v>612.88997727242099</v>
      </c>
      <c r="Q60">
        <f t="shared" si="14"/>
        <v>612.88997727242258</v>
      </c>
      <c r="R60">
        <f t="shared" si="6"/>
        <v>116.58073918069212</v>
      </c>
      <c r="S60">
        <f t="shared" si="7"/>
        <v>3422.6854606137963</v>
      </c>
      <c r="T60" s="5">
        <v>0.08</v>
      </c>
      <c r="V60">
        <f>SUM($R$2:R60)</f>
        <v>4030.0260317852121</v>
      </c>
      <c r="W60">
        <f t="shared" si="8"/>
        <v>8.4975035461249355</v>
      </c>
      <c r="Z60">
        <f t="shared" si="11"/>
        <v>0.13856371128971637</v>
      </c>
      <c r="AA60" s="5">
        <v>0.3</v>
      </c>
      <c r="AB60">
        <f t="shared" si="1"/>
        <v>11408.951535379321</v>
      </c>
      <c r="AC60">
        <f t="shared" si="10"/>
        <v>6647.4256345869298</v>
      </c>
      <c r="AD60" s="5">
        <v>0.2</v>
      </c>
      <c r="AE60">
        <f t="shared" si="2"/>
        <v>1329.485126917386</v>
      </c>
      <c r="AF60">
        <f t="shared" si="3"/>
        <v>1</v>
      </c>
    </row>
    <row r="61" spans="1:32" x14ac:dyDescent="0.25">
      <c r="A61" s="2">
        <v>60</v>
      </c>
      <c r="B61">
        <f t="shared" si="12"/>
        <v>93.756540432608332</v>
      </c>
      <c r="C61" s="5">
        <v>0.08</v>
      </c>
      <c r="D61">
        <f t="shared" si="13"/>
        <v>661.92117545421468</v>
      </c>
      <c r="Q61">
        <f t="shared" si="14"/>
        <v>661.92117545421638</v>
      </c>
      <c r="R61">
        <f t="shared" si="6"/>
        <v>118.78037576900705</v>
      </c>
      <c r="S61">
        <f t="shared" si="7"/>
        <v>3696.5002974629001</v>
      </c>
      <c r="T61" s="5">
        <v>0.08</v>
      </c>
      <c r="V61">
        <f>SUM($R$2:R61)</f>
        <v>4148.8064075542188</v>
      </c>
      <c r="W61">
        <f t="shared" si="8"/>
        <v>8.7479576762835123</v>
      </c>
      <c r="Z61">
        <f t="shared" si="11"/>
        <v>0.1282997326756633</v>
      </c>
      <c r="AA61" s="5">
        <v>0.3</v>
      </c>
      <c r="AB61">
        <f t="shared" si="1"/>
        <v>12321.667658209668</v>
      </c>
      <c r="AC61">
        <f t="shared" si="10"/>
        <v>7046.2711726621455</v>
      </c>
      <c r="AD61" s="5">
        <v>0.2</v>
      </c>
      <c r="AE61">
        <f t="shared" si="2"/>
        <v>1409.2542345324291</v>
      </c>
      <c r="AF61">
        <f t="shared" si="3"/>
        <v>1</v>
      </c>
    </row>
    <row r="62" spans="1:32" x14ac:dyDescent="0.25">
      <c r="A62" s="2">
        <v>61</v>
      </c>
      <c r="B62">
        <f t="shared" si="12"/>
        <v>101.257063667217</v>
      </c>
      <c r="C62" s="5">
        <v>0.08</v>
      </c>
      <c r="D62">
        <f t="shared" si="13"/>
        <v>714.87486949055187</v>
      </c>
      <c r="Q62">
        <f t="shared" si="14"/>
        <v>714.87486949055381</v>
      </c>
      <c r="R62">
        <f t="shared" si="6"/>
        <v>121.02151493446003</v>
      </c>
      <c r="S62">
        <f t="shared" si="7"/>
        <v>3992.2203212599325</v>
      </c>
      <c r="T62" s="5">
        <v>0.08</v>
      </c>
      <c r="V62">
        <f>SUM($R$2:R62)</f>
        <v>4269.8279224886792</v>
      </c>
      <c r="W62">
        <f t="shared" si="8"/>
        <v>9.0031373560677252</v>
      </c>
      <c r="Z62">
        <f t="shared" si="11"/>
        <v>0.11879604877376232</v>
      </c>
      <c r="AA62" s="5">
        <v>0.3</v>
      </c>
      <c r="AB62">
        <f t="shared" si="1"/>
        <v>13307.401070866443</v>
      </c>
      <c r="AC62">
        <f t="shared" si="10"/>
        <v>7469.0474430218746</v>
      </c>
      <c r="AD62" s="5">
        <v>0.2</v>
      </c>
      <c r="AE62">
        <f t="shared" si="2"/>
        <v>1493.809488604375</v>
      </c>
      <c r="AF62">
        <f t="shared" si="3"/>
        <v>1</v>
      </c>
    </row>
    <row r="63" spans="1:32" x14ac:dyDescent="0.25">
      <c r="A63" s="2">
        <v>62</v>
      </c>
      <c r="B63">
        <f t="shared" si="12"/>
        <v>109.35762876059435</v>
      </c>
      <c r="C63" s="5">
        <v>0.08</v>
      </c>
      <c r="D63">
        <f t="shared" si="13"/>
        <v>772.06485904979604</v>
      </c>
      <c r="Q63">
        <f t="shared" si="14"/>
        <v>772.06485904979809</v>
      </c>
      <c r="R63">
        <f t="shared" si="6"/>
        <v>123.30493974454416</v>
      </c>
      <c r="S63">
        <f t="shared" si="7"/>
        <v>4311.5979469607273</v>
      </c>
      <c r="T63" s="5">
        <v>0.08</v>
      </c>
      <c r="V63">
        <f>SUM($R$2:R63)</f>
        <v>4393.132862233223</v>
      </c>
      <c r="W63">
        <f t="shared" si="8"/>
        <v>9.2631317467912595</v>
      </c>
      <c r="Z63">
        <f t="shared" si="11"/>
        <v>0.10999634145718733</v>
      </c>
      <c r="AA63" s="5">
        <v>0.3</v>
      </c>
      <c r="AB63">
        <f t="shared" si="1"/>
        <v>14371.993156535758</v>
      </c>
      <c r="AC63">
        <f t="shared" si="10"/>
        <v>7917.1902896031879</v>
      </c>
      <c r="AD63" s="5">
        <v>0.2</v>
      </c>
      <c r="AE63">
        <f t="shared" si="2"/>
        <v>1583.4380579206377</v>
      </c>
      <c r="AF63">
        <f t="shared" si="3"/>
        <v>1</v>
      </c>
    </row>
    <row r="64" spans="1:32" x14ac:dyDescent="0.25">
      <c r="A64" s="2">
        <v>63</v>
      </c>
      <c r="B64">
        <f t="shared" si="12"/>
        <v>118.1062390614419</v>
      </c>
      <c r="C64" s="5">
        <v>0.08</v>
      </c>
      <c r="D64">
        <f t="shared" si="13"/>
        <v>833.83004777377971</v>
      </c>
      <c r="Q64">
        <f t="shared" si="14"/>
        <v>833.8300477737821</v>
      </c>
      <c r="R64">
        <f t="shared" si="6"/>
        <v>125.63144804161102</v>
      </c>
      <c r="S64">
        <f t="shared" si="7"/>
        <v>4656.5257827175856</v>
      </c>
      <c r="T64" s="5">
        <v>0.08</v>
      </c>
      <c r="V64">
        <f>SUM($R$2:R64)</f>
        <v>4518.7643102748343</v>
      </c>
      <c r="W64">
        <f t="shared" si="8"/>
        <v>9.52803169205675</v>
      </c>
      <c r="Z64">
        <f t="shared" si="11"/>
        <v>0.10184846431221048</v>
      </c>
      <c r="AA64" s="5">
        <v>0.3</v>
      </c>
      <c r="AB64">
        <f t="shared" si="1"/>
        <v>15521.75260905862</v>
      </c>
      <c r="AC64">
        <f t="shared" si="10"/>
        <v>8392.2217069793787</v>
      </c>
      <c r="AD64" s="5">
        <v>0.2</v>
      </c>
      <c r="AE64">
        <f t="shared" si="2"/>
        <v>1678.4443413958759</v>
      </c>
      <c r="AF64">
        <f t="shared" si="3"/>
        <v>1</v>
      </c>
    </row>
    <row r="65" spans="1:32" x14ac:dyDescent="0.25">
      <c r="A65" s="2">
        <v>64</v>
      </c>
      <c r="B65">
        <f t="shared" si="12"/>
        <v>127.55473818635726</v>
      </c>
      <c r="C65" s="5">
        <v>0.08</v>
      </c>
      <c r="D65">
        <f t="shared" si="13"/>
        <v>900.53645159568214</v>
      </c>
      <c r="Q65">
        <f t="shared" si="14"/>
        <v>900.53645159568475</v>
      </c>
      <c r="R65">
        <f t="shared" si="6"/>
        <v>128.0018527216414</v>
      </c>
      <c r="S65">
        <f t="shared" si="7"/>
        <v>5029.0478453349924</v>
      </c>
      <c r="T65" s="5">
        <v>0.08</v>
      </c>
      <c r="V65">
        <f>SUM($R$2:R65)</f>
        <v>4646.7661629964759</v>
      </c>
      <c r="W65">
        <f t="shared" si="8"/>
        <v>9.7979297494970616</v>
      </c>
      <c r="Z65">
        <f t="shared" si="11"/>
        <v>9.4304133622417116E-2</v>
      </c>
      <c r="AA65" s="5">
        <v>0.3</v>
      </c>
      <c r="AB65">
        <f t="shared" si="1"/>
        <v>16763.49281778331</v>
      </c>
      <c r="AC65">
        <f t="shared" si="10"/>
        <v>8895.7550093981426</v>
      </c>
      <c r="AD65" s="5">
        <v>0.2</v>
      </c>
      <c r="AE65">
        <f t="shared" si="2"/>
        <v>1779.1510018796287</v>
      </c>
      <c r="AF65">
        <f t="shared" si="3"/>
        <v>1</v>
      </c>
    </row>
    <row r="66" spans="1:32" x14ac:dyDescent="0.25">
      <c r="A66" s="2">
        <v>65</v>
      </c>
      <c r="B66">
        <f t="shared" si="12"/>
        <v>137.75911724126584</v>
      </c>
      <c r="C66" s="5">
        <v>0.08</v>
      </c>
      <c r="D66">
        <f t="shared" si="13"/>
        <v>972.57936772333676</v>
      </c>
      <c r="Q66">
        <f t="shared" si="14"/>
        <v>972.5793677233396</v>
      </c>
      <c r="R66">
        <f t="shared" si="6"/>
        <v>130.41698201827617</v>
      </c>
      <c r="S66">
        <f t="shared" si="7"/>
        <v>5431.3716729617918</v>
      </c>
      <c r="T66" s="5">
        <v>0.08</v>
      </c>
      <c r="V66">
        <f>SUM($R$2:R66)</f>
        <v>4777.183145014752</v>
      </c>
      <c r="W66">
        <f t="shared" si="8"/>
        <v>10.07292022311549</v>
      </c>
      <c r="Z66">
        <f t="shared" si="11"/>
        <v>8.7318642242978806E-2</v>
      </c>
      <c r="AA66" s="5">
        <v>0.3</v>
      </c>
      <c r="AB66">
        <f t="shared" si="1"/>
        <v>18104.572243205974</v>
      </c>
      <c r="AC66">
        <f t="shared" si="10"/>
        <v>9429.5003099620317</v>
      </c>
      <c r="AD66" s="5">
        <v>0.2</v>
      </c>
      <c r="AE66">
        <f t="shared" si="2"/>
        <v>1885.9000619924063</v>
      </c>
      <c r="AF66">
        <f t="shared" si="3"/>
        <v>1</v>
      </c>
    </row>
    <row r="67" spans="1:32" x14ac:dyDescent="0.25">
      <c r="A67" s="2">
        <v>66</v>
      </c>
      <c r="B67">
        <f t="shared" si="12"/>
        <v>148.7798466205671</v>
      </c>
      <c r="C67" s="5">
        <v>0.08</v>
      </c>
      <c r="D67">
        <f t="shared" si="13"/>
        <v>1050.3857171412037</v>
      </c>
      <c r="Q67">
        <f t="shared" si="14"/>
        <v>1050.3857171412069</v>
      </c>
      <c r="R67">
        <f t="shared" si="6"/>
        <v>132.87767979220592</v>
      </c>
      <c r="S67">
        <f t="shared" si="7"/>
        <v>5865.881406798736</v>
      </c>
      <c r="T67" s="5">
        <v>0.08</v>
      </c>
      <c r="V67">
        <f>SUM($R$2:R67)</f>
        <v>4910.0608248069575</v>
      </c>
      <c r="W67">
        <f t="shared" si="8"/>
        <v>10.353099196236153</v>
      </c>
      <c r="Z67">
        <f t="shared" si="11"/>
        <v>8.0850594669424805E-2</v>
      </c>
      <c r="AA67" s="5">
        <v>0.3</v>
      </c>
      <c r="AB67">
        <f t="shared" ref="AB67:AB130" si="15">S67/AA67</f>
        <v>19552.938022662453</v>
      </c>
      <c r="AC67">
        <f t="shared" si="10"/>
        <v>9995.2703285597545</v>
      </c>
      <c r="AD67" s="5">
        <v>0.2</v>
      </c>
      <c r="AE67">
        <f t="shared" ref="AE67:AE130" si="16">AC67*AD67</f>
        <v>1999.0540657119509</v>
      </c>
      <c r="AF67">
        <f t="shared" ref="AF67:AF130" si="17">IF(AB67&gt;AE67, 1, 0)</f>
        <v>1</v>
      </c>
    </row>
    <row r="68" spans="1:32" x14ac:dyDescent="0.25">
      <c r="A68" s="2">
        <v>67</v>
      </c>
      <c r="B68">
        <f t="shared" si="12"/>
        <v>160.68223435021247</v>
      </c>
      <c r="C68" s="5">
        <v>0.08</v>
      </c>
      <c r="D68">
        <f t="shared" si="13"/>
        <v>1134.4165745125001</v>
      </c>
      <c r="Q68">
        <f t="shared" si="14"/>
        <v>1134.4165745125033</v>
      </c>
      <c r="R68">
        <f t="shared" ref="R68:R101" si="18">S68/((1+$U$2)^A67)</f>
        <v>135.38480582602116</v>
      </c>
      <c r="S68">
        <f t="shared" ref="S68:S101" si="19">S67*(1+T67)</f>
        <v>6335.1519193426357</v>
      </c>
      <c r="T68" s="5">
        <v>0.08</v>
      </c>
      <c r="V68">
        <f>SUM($R$2:R68)</f>
        <v>5045.4456306329785</v>
      </c>
      <c r="W68">
        <f t="shared" ref="W68:W101" si="20">V68/$W$2</f>
        <v>10.638564565076074</v>
      </c>
      <c r="Z68">
        <f t="shared" si="11"/>
        <v>7.4861661730948895E-2</v>
      </c>
      <c r="AA68" s="5">
        <v>0.3</v>
      </c>
      <c r="AB68">
        <f t="shared" si="15"/>
        <v>21117.173064475453</v>
      </c>
      <c r="AC68">
        <f t="shared" ref="AC68:AC131" si="21">AC67*(1+$U$2)</f>
        <v>10594.98654827334</v>
      </c>
      <c r="AD68" s="5">
        <v>0.2</v>
      </c>
      <c r="AE68">
        <f t="shared" si="16"/>
        <v>2118.9973096546682</v>
      </c>
      <c r="AF68">
        <f t="shared" si="17"/>
        <v>1</v>
      </c>
    </row>
    <row r="69" spans="1:32" x14ac:dyDescent="0.25">
      <c r="A69" s="2">
        <v>68</v>
      </c>
      <c r="B69">
        <f t="shared" si="12"/>
        <v>173.53681309822946</v>
      </c>
      <c r="C69" s="5">
        <v>0.08</v>
      </c>
      <c r="D69">
        <f t="shared" si="13"/>
        <v>1225.1699004735001</v>
      </c>
      <c r="Q69">
        <f t="shared" si="14"/>
        <v>1225.1699004735037</v>
      </c>
      <c r="R69">
        <f t="shared" si="18"/>
        <v>137.93923612462532</v>
      </c>
      <c r="S69">
        <f t="shared" si="19"/>
        <v>6841.9640728900467</v>
      </c>
      <c r="T69" s="5">
        <v>0.08</v>
      </c>
      <c r="V69">
        <f>SUM($R$2:R69)</f>
        <v>5183.384866757604</v>
      </c>
      <c r="W69">
        <f t="shared" si="20"/>
        <v>10.92941607295071</v>
      </c>
      <c r="Z69">
        <f t="shared" si="11"/>
        <v>6.93163534545823E-2</v>
      </c>
      <c r="AA69" s="5">
        <v>0.3</v>
      </c>
      <c r="AB69">
        <f t="shared" si="15"/>
        <v>22806.546909633489</v>
      </c>
      <c r="AC69">
        <f t="shared" si="21"/>
        <v>11230.685741169742</v>
      </c>
      <c r="AD69" s="5">
        <v>0.2</v>
      </c>
      <c r="AE69">
        <f t="shared" si="16"/>
        <v>2246.1371482339487</v>
      </c>
      <c r="AF69">
        <f t="shared" si="17"/>
        <v>1</v>
      </c>
    </row>
    <row r="70" spans="1:32" x14ac:dyDescent="0.25">
      <c r="A70" s="2">
        <v>69</v>
      </c>
      <c r="B70">
        <f t="shared" si="12"/>
        <v>187.41975814608782</v>
      </c>
      <c r="C70" s="5">
        <v>0.08</v>
      </c>
      <c r="D70">
        <f t="shared" si="13"/>
        <v>1323.1834925113801</v>
      </c>
      <c r="Q70">
        <f t="shared" si="14"/>
        <v>1323.1834925113842</v>
      </c>
      <c r="R70">
        <f t="shared" si="18"/>
        <v>140.54186322131633</v>
      </c>
      <c r="S70">
        <f t="shared" si="19"/>
        <v>7389.3211987212508</v>
      </c>
      <c r="T70" s="5">
        <v>0.08</v>
      </c>
      <c r="V70">
        <f>SUM($R$2:R70)</f>
        <v>5323.9267299789199</v>
      </c>
      <c r="W70">
        <f t="shared" si="20"/>
        <v>11.225755345124869</v>
      </c>
      <c r="Z70">
        <f t="shared" si="11"/>
        <v>6.4181808754242869E-2</v>
      </c>
      <c r="AA70" s="5">
        <v>0.3</v>
      </c>
      <c r="AB70">
        <f t="shared" si="15"/>
        <v>24631.07066240417</v>
      </c>
      <c r="AC70">
        <f t="shared" si="21"/>
        <v>11904.526885639927</v>
      </c>
      <c r="AD70" s="5">
        <v>0.2</v>
      </c>
      <c r="AE70">
        <f t="shared" si="16"/>
        <v>2380.9053771279855</v>
      </c>
      <c r="AF70">
        <f t="shared" si="17"/>
        <v>1</v>
      </c>
    </row>
    <row r="71" spans="1:32" x14ac:dyDescent="0.25">
      <c r="A71" s="2">
        <v>70</v>
      </c>
      <c r="B71">
        <f t="shared" si="12"/>
        <v>202.41333879777483</v>
      </c>
      <c r="C71" s="5">
        <v>0.08</v>
      </c>
      <c r="D71">
        <f t="shared" si="13"/>
        <v>1429.0381719122906</v>
      </c>
      <c r="Q71">
        <f t="shared" si="14"/>
        <v>1429.0381719122947</v>
      </c>
      <c r="R71">
        <f t="shared" si="18"/>
        <v>143.19359648964306</v>
      </c>
      <c r="S71">
        <f t="shared" si="19"/>
        <v>7980.4668946189513</v>
      </c>
      <c r="T71" s="5">
        <v>0.08</v>
      </c>
      <c r="V71">
        <f>SUM($R$2:R71)</f>
        <v>5467.1203264685628</v>
      </c>
      <c r="W71">
        <f t="shared" si="20"/>
        <v>11.52768592432118</v>
      </c>
      <c r="Z71">
        <f t="shared" si="11"/>
        <v>5.9427600698373023E-2</v>
      </c>
      <c r="AA71" s="5">
        <v>0.3</v>
      </c>
      <c r="AB71">
        <f t="shared" si="15"/>
        <v>26601.556315396505</v>
      </c>
      <c r="AC71">
        <f t="shared" si="21"/>
        <v>12618.798498778324</v>
      </c>
      <c r="AD71" s="5">
        <v>0.2</v>
      </c>
      <c r="AE71">
        <f t="shared" si="16"/>
        <v>2523.7596997556648</v>
      </c>
      <c r="AF71">
        <f t="shared" si="17"/>
        <v>1</v>
      </c>
    </row>
    <row r="72" spans="1:32" x14ac:dyDescent="0.25">
      <c r="A72" s="2">
        <v>71</v>
      </c>
      <c r="B72">
        <f t="shared" si="12"/>
        <v>218.60640590159682</v>
      </c>
      <c r="C72" s="5">
        <v>0.08</v>
      </c>
      <c r="D72">
        <f t="shared" si="13"/>
        <v>1543.3612256652739</v>
      </c>
      <c r="Q72">
        <f t="shared" si="14"/>
        <v>1543.3612256652787</v>
      </c>
      <c r="R72">
        <f t="shared" si="18"/>
        <v>145.89536246114577</v>
      </c>
      <c r="S72">
        <f t="shared" si="19"/>
        <v>8618.9042461884674</v>
      </c>
      <c r="T72" s="5">
        <v>0.08</v>
      </c>
      <c r="V72">
        <f>SUM($R$2:R72)</f>
        <v>5613.0156889297086</v>
      </c>
      <c r="W72">
        <f t="shared" si="20"/>
        <v>11.835313306898556</v>
      </c>
      <c r="Z72">
        <f t="shared" si="11"/>
        <v>5.5025556202197248E-2</v>
      </c>
      <c r="AA72" s="5">
        <v>0.3</v>
      </c>
      <c r="AB72">
        <f t="shared" si="15"/>
        <v>28729.680820628226</v>
      </c>
      <c r="AC72">
        <f t="shared" si="21"/>
        <v>13375.926408705023</v>
      </c>
      <c r="AD72" s="5">
        <v>0.2</v>
      </c>
      <c r="AE72">
        <f t="shared" si="16"/>
        <v>2675.1852817410049</v>
      </c>
      <c r="AF72">
        <f t="shared" si="17"/>
        <v>1</v>
      </c>
    </row>
    <row r="73" spans="1:32" x14ac:dyDescent="0.25">
      <c r="A73" s="2">
        <v>72</v>
      </c>
      <c r="B73">
        <f t="shared" si="12"/>
        <v>236.09491837372457</v>
      </c>
      <c r="C73" s="5">
        <v>0.08</v>
      </c>
      <c r="D73">
        <f t="shared" si="13"/>
        <v>1666.8301237184958</v>
      </c>
      <c r="Q73">
        <f t="shared" si="14"/>
        <v>1666.830123718501</v>
      </c>
      <c r="R73">
        <f t="shared" si="18"/>
        <v>148.64810514909189</v>
      </c>
      <c r="S73">
        <f t="shared" si="19"/>
        <v>9308.4165858835458</v>
      </c>
      <c r="T73" s="5">
        <v>0.08</v>
      </c>
      <c r="V73">
        <f>SUM($R$2:R73)</f>
        <v>5761.6637940788005</v>
      </c>
      <c r="W73">
        <f t="shared" si="20"/>
        <v>12.148744979713239</v>
      </c>
      <c r="Z73">
        <f t="shared" si="11"/>
        <v>5.0949589076108553E-2</v>
      </c>
      <c r="AA73" s="5">
        <v>0.3</v>
      </c>
      <c r="AB73">
        <f t="shared" si="15"/>
        <v>31028.055286278486</v>
      </c>
      <c r="AC73">
        <f t="shared" si="21"/>
        <v>14178.481993227326</v>
      </c>
      <c r="AD73" s="5">
        <v>0.2</v>
      </c>
      <c r="AE73">
        <f t="shared" si="16"/>
        <v>2835.6963986454653</v>
      </c>
      <c r="AF73">
        <f t="shared" si="17"/>
        <v>1</v>
      </c>
    </row>
    <row r="74" spans="1:32" x14ac:dyDescent="0.25">
      <c r="A74" s="2">
        <v>73</v>
      </c>
      <c r="B74">
        <f t="shared" si="12"/>
        <v>254.98251184362255</v>
      </c>
      <c r="C74" s="5">
        <v>0.08</v>
      </c>
      <c r="D74">
        <f t="shared" si="13"/>
        <v>1800.1765336159754</v>
      </c>
      <c r="Q74">
        <f t="shared" si="14"/>
        <v>1800.176533615981</v>
      </c>
      <c r="R74">
        <f t="shared" si="18"/>
        <v>151.45278637832007</v>
      </c>
      <c r="S74">
        <f t="shared" si="19"/>
        <v>10053.089912754231</v>
      </c>
      <c r="T74" s="5">
        <v>0.08</v>
      </c>
      <c r="V74">
        <f>SUM($R$2:R74)</f>
        <v>5913.116580457121</v>
      </c>
      <c r="W74">
        <f t="shared" si="20"/>
        <v>12.46809045767537</v>
      </c>
      <c r="Z74">
        <f t="shared" si="11"/>
        <v>4.7175545440841252E-2</v>
      </c>
      <c r="AA74" s="5">
        <v>0.3</v>
      </c>
      <c r="AB74">
        <f t="shared" si="15"/>
        <v>33510.29970918077</v>
      </c>
      <c r="AC74">
        <f t="shared" si="21"/>
        <v>15029.190912820966</v>
      </c>
      <c r="AD74" s="5">
        <v>0.2</v>
      </c>
      <c r="AE74">
        <f t="shared" si="16"/>
        <v>3005.8381825641936</v>
      </c>
      <c r="AF74">
        <f t="shared" si="17"/>
        <v>1</v>
      </c>
    </row>
    <row r="75" spans="1:32" x14ac:dyDescent="0.25">
      <c r="A75" s="2">
        <v>74</v>
      </c>
      <c r="B75">
        <f t="shared" si="12"/>
        <v>275.38111279111234</v>
      </c>
      <c r="C75" s="5">
        <v>0.08</v>
      </c>
      <c r="D75">
        <f t="shared" si="13"/>
        <v>1944.1906563052535</v>
      </c>
      <c r="Q75">
        <f t="shared" si="14"/>
        <v>1944.1906563052598</v>
      </c>
      <c r="R75">
        <f t="shared" si="18"/>
        <v>154.31038612130729</v>
      </c>
      <c r="S75">
        <f t="shared" si="19"/>
        <v>10857.33710577457</v>
      </c>
      <c r="T75" s="5">
        <v>0.08</v>
      </c>
      <c r="V75">
        <f>SUM($R$2:R75)</f>
        <v>6067.4269665784286</v>
      </c>
      <c r="W75">
        <f t="shared" si="20"/>
        <v>12.793461322014146</v>
      </c>
      <c r="Z75">
        <f t="shared" si="11"/>
        <v>4.3681060593371526E-2</v>
      </c>
      <c r="AA75" s="5">
        <v>0.3</v>
      </c>
      <c r="AB75">
        <f t="shared" si="15"/>
        <v>36191.123685915234</v>
      </c>
      <c r="AC75">
        <f t="shared" si="21"/>
        <v>15930.942367590225</v>
      </c>
      <c r="AD75" s="5">
        <v>0.2</v>
      </c>
      <c r="AE75">
        <f t="shared" si="16"/>
        <v>3186.1884735180452</v>
      </c>
      <c r="AF75">
        <f t="shared" si="17"/>
        <v>1</v>
      </c>
    </row>
    <row r="76" spans="1:32" x14ac:dyDescent="0.25">
      <c r="A76" s="2">
        <v>75</v>
      </c>
      <c r="B76">
        <f t="shared" si="12"/>
        <v>297.41160181440131</v>
      </c>
      <c r="C76" s="5">
        <v>0.08</v>
      </c>
      <c r="D76">
        <f t="shared" si="13"/>
        <v>2099.7259088096739</v>
      </c>
      <c r="Q76">
        <f t="shared" si="14"/>
        <v>2099.7259088096807</v>
      </c>
      <c r="R76">
        <f t="shared" si="18"/>
        <v>157.22190284057723</v>
      </c>
      <c r="S76">
        <f t="shared" si="19"/>
        <v>11725.924074236536</v>
      </c>
      <c r="T76" s="5">
        <v>0.08</v>
      </c>
      <c r="V76">
        <f>SUM($R$2:R76)</f>
        <v>6224.6488694190057</v>
      </c>
      <c r="W76">
        <f t="shared" si="20"/>
        <v>13.124971259264973</v>
      </c>
      <c r="Z76">
        <f t="shared" si="11"/>
        <v>4.0445426475344E-2</v>
      </c>
      <c r="AA76" s="5">
        <v>0.3</v>
      </c>
      <c r="AB76">
        <f t="shared" si="15"/>
        <v>39086.41358078846</v>
      </c>
      <c r="AC76">
        <f t="shared" si="21"/>
        <v>16886.79890964564</v>
      </c>
      <c r="AD76" s="5">
        <v>0.2</v>
      </c>
      <c r="AE76">
        <f t="shared" si="16"/>
        <v>3377.3597819291281</v>
      </c>
      <c r="AF76">
        <f t="shared" si="17"/>
        <v>1</v>
      </c>
    </row>
    <row r="77" spans="1:32" x14ac:dyDescent="0.25">
      <c r="A77" s="2">
        <v>76</v>
      </c>
      <c r="B77">
        <f t="shared" si="12"/>
        <v>321.20452995955338</v>
      </c>
      <c r="C77" s="5">
        <v>0.08</v>
      </c>
      <c r="D77">
        <f t="shared" si="13"/>
        <v>2267.7039815144481</v>
      </c>
      <c r="Q77">
        <f t="shared" si="14"/>
        <v>2267.7039815144553</v>
      </c>
      <c r="R77">
        <f t="shared" si="18"/>
        <v>160.18835383756922</v>
      </c>
      <c r="S77">
        <f t="shared" si="19"/>
        <v>12663.998000175459</v>
      </c>
      <c r="T77" s="5">
        <v>0.08</v>
      </c>
      <c r="V77">
        <f>SUM($R$2:R77)</f>
        <v>6384.8372232565753</v>
      </c>
      <c r="W77">
        <f t="shared" si="20"/>
        <v>13.462736100992231</v>
      </c>
      <c r="Z77">
        <f t="shared" si="11"/>
        <v>3.7449468958651852E-2</v>
      </c>
      <c r="AA77" s="5">
        <v>0.3</v>
      </c>
      <c r="AB77">
        <f t="shared" si="15"/>
        <v>42213.326667251531</v>
      </c>
      <c r="AC77">
        <f t="shared" si="21"/>
        <v>17900.006844224379</v>
      </c>
      <c r="AD77" s="5">
        <v>0.2</v>
      </c>
      <c r="AE77">
        <f t="shared" si="16"/>
        <v>3580.0013688448762</v>
      </c>
      <c r="AF77">
        <f t="shared" si="17"/>
        <v>1</v>
      </c>
    </row>
    <row r="78" spans="1:32" x14ac:dyDescent="0.25">
      <c r="A78" s="2">
        <v>77</v>
      </c>
      <c r="B78">
        <f t="shared" si="12"/>
        <v>346.90089235631763</v>
      </c>
      <c r="C78" s="5">
        <v>0.08</v>
      </c>
      <c r="D78">
        <f t="shared" si="13"/>
        <v>2449.120300035604</v>
      </c>
      <c r="Q78">
        <f t="shared" si="14"/>
        <v>2449.1203000356118</v>
      </c>
      <c r="R78">
        <f t="shared" si="18"/>
        <v>163.21077560808939</v>
      </c>
      <c r="S78">
        <f t="shared" si="19"/>
        <v>13677.117840189498</v>
      </c>
      <c r="T78" s="5">
        <v>0.08</v>
      </c>
      <c r="V78">
        <f>SUM($R$2:R78)</f>
        <v>6548.0479988646648</v>
      </c>
      <c r="W78">
        <f t="shared" si="20"/>
        <v>13.806873864261512</v>
      </c>
      <c r="Z78">
        <f t="shared" si="11"/>
        <v>3.4675434220973932E-2</v>
      </c>
      <c r="AA78" s="5">
        <v>0.3</v>
      </c>
      <c r="AB78">
        <f t="shared" si="15"/>
        <v>45590.392800631664</v>
      </c>
      <c r="AC78">
        <f t="shared" si="21"/>
        <v>18974.007254877844</v>
      </c>
      <c r="AD78" s="5">
        <v>0.2</v>
      </c>
      <c r="AE78">
        <f t="shared" si="16"/>
        <v>3794.801450975569</v>
      </c>
      <c r="AF78">
        <f t="shared" si="17"/>
        <v>1</v>
      </c>
    </row>
    <row r="79" spans="1:32" x14ac:dyDescent="0.25">
      <c r="A79" s="2">
        <v>78</v>
      </c>
      <c r="B79">
        <f t="shared" si="12"/>
        <v>374.65296374482301</v>
      </c>
      <c r="C79" s="5">
        <v>0.08</v>
      </c>
      <c r="D79">
        <f t="shared" si="13"/>
        <v>2645.0499240384524</v>
      </c>
      <c r="Q79">
        <f t="shared" si="14"/>
        <v>2645.0499240384602</v>
      </c>
      <c r="R79">
        <f t="shared" si="18"/>
        <v>166.29022420446842</v>
      </c>
      <c r="S79">
        <f t="shared" si="19"/>
        <v>14771.287267404658</v>
      </c>
      <c r="T79" s="5">
        <v>0.08</v>
      </c>
      <c r="V79">
        <f>SUM($R$2:R79)</f>
        <v>6714.3382230691332</v>
      </c>
      <c r="W79">
        <f t="shared" si="20"/>
        <v>14.157504792875498</v>
      </c>
      <c r="Z79">
        <f t="shared" ref="Z79:Z142" si="22">$W$2/S79</f>
        <v>3.2106883537938828E-2</v>
      </c>
      <c r="AA79" s="5">
        <v>0.3</v>
      </c>
      <c r="AB79">
        <f t="shared" si="15"/>
        <v>49237.624224682193</v>
      </c>
      <c r="AC79">
        <f t="shared" si="21"/>
        <v>20112.447690170517</v>
      </c>
      <c r="AD79" s="5">
        <v>0.2</v>
      </c>
      <c r="AE79">
        <f t="shared" si="16"/>
        <v>4022.4895380341036</v>
      </c>
      <c r="AF79">
        <f t="shared" si="17"/>
        <v>1</v>
      </c>
    </row>
    <row r="80" spans="1:32" x14ac:dyDescent="0.25">
      <c r="A80" s="2">
        <v>79</v>
      </c>
      <c r="B80">
        <f t="shared" si="12"/>
        <v>404.62520084440882</v>
      </c>
      <c r="C80" s="5">
        <v>0.08</v>
      </c>
      <c r="D80">
        <f t="shared" si="13"/>
        <v>2856.6539179615288</v>
      </c>
      <c r="Q80">
        <f t="shared" si="14"/>
        <v>2856.6539179615379</v>
      </c>
      <c r="R80">
        <f t="shared" si="18"/>
        <v>169.42777560455275</v>
      </c>
      <c r="S80">
        <f t="shared" si="19"/>
        <v>15952.99024879703</v>
      </c>
      <c r="T80" s="5">
        <v>0.08</v>
      </c>
      <c r="V80">
        <f>SUM($R$2:R80)</f>
        <v>6883.7659986736862</v>
      </c>
      <c r="W80">
        <f t="shared" si="20"/>
        <v>14.51475139938786</v>
      </c>
      <c r="Z80">
        <f t="shared" si="22"/>
        <v>2.9728595868461875E-2</v>
      </c>
      <c r="AA80" s="5">
        <v>0.3</v>
      </c>
      <c r="AB80">
        <f t="shared" si="15"/>
        <v>53176.634162656766</v>
      </c>
      <c r="AC80">
        <f t="shared" si="21"/>
        <v>21319.194551580749</v>
      </c>
      <c r="AD80" s="5">
        <v>0.2</v>
      </c>
      <c r="AE80">
        <f t="shared" si="16"/>
        <v>4263.8389103161498</v>
      </c>
      <c r="AF80">
        <f t="shared" si="17"/>
        <v>1</v>
      </c>
    </row>
    <row r="81" spans="1:32" x14ac:dyDescent="0.25">
      <c r="A81" s="2">
        <v>80</v>
      </c>
      <c r="B81">
        <f t="shared" si="12"/>
        <v>436.99521691196151</v>
      </c>
      <c r="C81" s="5">
        <v>0.08</v>
      </c>
      <c r="D81">
        <f t="shared" si="13"/>
        <v>3085.1862313984511</v>
      </c>
      <c r="Q81">
        <f t="shared" si="14"/>
        <v>3085.1862313984611</v>
      </c>
      <c r="R81">
        <f t="shared" si="18"/>
        <v>172.62452608765747</v>
      </c>
      <c r="S81">
        <f t="shared" si="19"/>
        <v>17229.229468700792</v>
      </c>
      <c r="T81" s="5">
        <v>0.08</v>
      </c>
      <c r="V81">
        <f>SUM($R$2:R81)</f>
        <v>7056.3905247613438</v>
      </c>
      <c r="W81">
        <f t="shared" si="20"/>
        <v>14.878738507909889</v>
      </c>
      <c r="Z81">
        <f t="shared" si="22"/>
        <v>2.752647765598322E-2</v>
      </c>
      <c r="AA81" s="5">
        <v>0.3</v>
      </c>
      <c r="AB81">
        <f t="shared" si="15"/>
        <v>57430.764895669308</v>
      </c>
      <c r="AC81">
        <f t="shared" si="21"/>
        <v>22598.346224675595</v>
      </c>
      <c r="AD81" s="5">
        <v>0.2</v>
      </c>
      <c r="AE81">
        <f t="shared" si="16"/>
        <v>4519.6692449351194</v>
      </c>
      <c r="AF81">
        <f t="shared" si="17"/>
        <v>1</v>
      </c>
    </row>
    <row r="82" spans="1:32" x14ac:dyDescent="0.25">
      <c r="A82" s="2">
        <v>81</v>
      </c>
      <c r="B82">
        <f t="shared" si="12"/>
        <v>471.95483426491842</v>
      </c>
      <c r="C82" s="5">
        <v>0.08</v>
      </c>
      <c r="D82">
        <f t="shared" si="13"/>
        <v>3332.0011299103271</v>
      </c>
      <c r="Q82">
        <f t="shared" si="14"/>
        <v>3332.001129910338</v>
      </c>
      <c r="R82">
        <f t="shared" si="18"/>
        <v>175.88159261761334</v>
      </c>
      <c r="S82">
        <f t="shared" si="19"/>
        <v>18607.567826196857</v>
      </c>
      <c r="T82" s="5">
        <v>0.08</v>
      </c>
      <c r="V82">
        <f>SUM($R$2:R82)</f>
        <v>7232.2721173789569</v>
      </c>
      <c r="W82">
        <f t="shared" si="20"/>
        <v>15.249593297724786</v>
      </c>
      <c r="Z82">
        <f t="shared" si="22"/>
        <v>2.5487479311095573E-2</v>
      </c>
      <c r="AA82" s="5">
        <v>0.3</v>
      </c>
      <c r="AB82">
        <f t="shared" si="15"/>
        <v>62025.226087322859</v>
      </c>
      <c r="AC82">
        <f t="shared" si="21"/>
        <v>23954.246998156133</v>
      </c>
      <c r="AD82" s="5">
        <v>0.2</v>
      </c>
      <c r="AE82">
        <f t="shared" si="16"/>
        <v>4790.8493996312272</v>
      </c>
      <c r="AF82">
        <f t="shared" si="17"/>
        <v>1</v>
      </c>
    </row>
    <row r="83" spans="1:32" x14ac:dyDescent="0.25">
      <c r="A83" s="2">
        <v>82</v>
      </c>
      <c r="B83">
        <f t="shared" si="12"/>
        <v>509.71122100611188</v>
      </c>
      <c r="C83" s="5">
        <v>0.08</v>
      </c>
      <c r="D83">
        <f t="shared" si="13"/>
        <v>3598.5612203031533</v>
      </c>
      <c r="Q83">
        <f t="shared" si="14"/>
        <v>3598.5612203031651</v>
      </c>
      <c r="R83">
        <f t="shared" si="18"/>
        <v>179.20011323303999</v>
      </c>
      <c r="S83">
        <f t="shared" si="19"/>
        <v>20096.173252292607</v>
      </c>
      <c r="T83" s="5">
        <v>0.08</v>
      </c>
      <c r="V83">
        <f>SUM($R$2:R83)</f>
        <v>7411.4722306119966</v>
      </c>
      <c r="W83">
        <f t="shared" si="20"/>
        <v>15.627445347724869</v>
      </c>
      <c r="Z83">
        <f t="shared" si="22"/>
        <v>2.3599517880644048E-2</v>
      </c>
      <c r="AA83" s="5">
        <v>0.3</v>
      </c>
      <c r="AB83">
        <f t="shared" si="15"/>
        <v>66987.244174308697</v>
      </c>
      <c r="AC83">
        <f t="shared" si="21"/>
        <v>25391.501818045504</v>
      </c>
      <c r="AD83" s="5">
        <v>0.2</v>
      </c>
      <c r="AE83">
        <f t="shared" si="16"/>
        <v>5078.3003636091016</v>
      </c>
      <c r="AF83">
        <f t="shared" si="17"/>
        <v>1</v>
      </c>
    </row>
    <row r="84" spans="1:32" x14ac:dyDescent="0.25">
      <c r="A84" s="2">
        <v>83</v>
      </c>
      <c r="B84">
        <f t="shared" si="12"/>
        <v>550.48811868660084</v>
      </c>
      <c r="C84" s="5">
        <v>0.08</v>
      </c>
      <c r="D84">
        <f t="shared" si="13"/>
        <v>3886.4461179274058</v>
      </c>
      <c r="Q84">
        <f t="shared" si="14"/>
        <v>3886.4461179274185</v>
      </c>
      <c r="R84">
        <f t="shared" si="18"/>
        <v>182.58124744498417</v>
      </c>
      <c r="S84">
        <f t="shared" si="19"/>
        <v>21703.867112476019</v>
      </c>
      <c r="T84" s="5">
        <v>0.08</v>
      </c>
      <c r="V84">
        <f>SUM($R$2:R84)</f>
        <v>7594.0534780569806</v>
      </c>
      <c r="W84">
        <f t="shared" si="20"/>
        <v>16.01242668168722</v>
      </c>
      <c r="Z84">
        <f t="shared" si="22"/>
        <v>2.1851405445040779E-2</v>
      </c>
      <c r="AA84" s="5">
        <v>0.3</v>
      </c>
      <c r="AB84">
        <f t="shared" si="15"/>
        <v>72346.223708253397</v>
      </c>
      <c r="AC84">
        <f t="shared" si="21"/>
        <v>26914.991927128238</v>
      </c>
      <c r="AD84" s="5">
        <v>0.2</v>
      </c>
      <c r="AE84">
        <f t="shared" si="16"/>
        <v>5382.9983854256479</v>
      </c>
      <c r="AF84">
        <f t="shared" si="17"/>
        <v>1</v>
      </c>
    </row>
    <row r="85" spans="1:32" x14ac:dyDescent="0.25">
      <c r="A85" s="2">
        <v>84</v>
      </c>
      <c r="B85">
        <f t="shared" si="12"/>
        <v>594.52716818152885</v>
      </c>
      <c r="C85" s="5">
        <v>0.08</v>
      </c>
      <c r="D85">
        <f t="shared" si="13"/>
        <v>4197.361807361598</v>
      </c>
      <c r="Q85">
        <f t="shared" si="14"/>
        <v>4197.3618073616126</v>
      </c>
      <c r="R85">
        <f t="shared" si="18"/>
        <v>186.02617664205931</v>
      </c>
      <c r="S85">
        <f t="shared" si="19"/>
        <v>23440.1764814741</v>
      </c>
      <c r="T85" s="5">
        <v>0.08</v>
      </c>
      <c r="V85">
        <f>SUM($R$2:R85)</f>
        <v>7780.0796546990396</v>
      </c>
      <c r="W85">
        <f t="shared" si="20"/>
        <v>16.404671814403574</v>
      </c>
      <c r="Z85">
        <f t="shared" si="22"/>
        <v>2.0232782819482206E-2</v>
      </c>
      <c r="AA85" s="5">
        <v>0.3</v>
      </c>
      <c r="AB85">
        <f t="shared" si="15"/>
        <v>78133.921604913674</v>
      </c>
      <c r="AC85">
        <f t="shared" si="21"/>
        <v>28529.891442755932</v>
      </c>
      <c r="AD85" s="5">
        <v>0.2</v>
      </c>
      <c r="AE85">
        <f t="shared" si="16"/>
        <v>5705.9782885511868</v>
      </c>
      <c r="AF85">
        <f t="shared" si="17"/>
        <v>1</v>
      </c>
    </row>
    <row r="86" spans="1:32" x14ac:dyDescent="0.25">
      <c r="A86" s="2">
        <v>85</v>
      </c>
      <c r="B86">
        <f t="shared" si="12"/>
        <v>642.08934163605113</v>
      </c>
      <c r="C86" s="5">
        <v>0.08</v>
      </c>
      <c r="D86">
        <f t="shared" si="13"/>
        <v>4533.1507519505258</v>
      </c>
      <c r="Q86">
        <f t="shared" si="14"/>
        <v>4533.1507519505412</v>
      </c>
      <c r="R86">
        <f t="shared" si="18"/>
        <v>189.53610450323023</v>
      </c>
      <c r="S86">
        <f t="shared" si="19"/>
        <v>25315.390599992028</v>
      </c>
      <c r="T86" s="5">
        <v>0.08</v>
      </c>
      <c r="V86">
        <f>SUM($R$2:R86)</f>
        <v>7969.6157592022701</v>
      </c>
      <c r="W86">
        <f t="shared" si="20"/>
        <v>16.804317798680618</v>
      </c>
      <c r="Z86">
        <f t="shared" si="22"/>
        <v>1.8734058166187225E-2</v>
      </c>
      <c r="AA86" s="5">
        <v>0.3</v>
      </c>
      <c r="AB86">
        <f t="shared" si="15"/>
        <v>84384.635333306767</v>
      </c>
      <c r="AC86">
        <f t="shared" si="21"/>
        <v>30241.684929321291</v>
      </c>
      <c r="AD86" s="5">
        <v>0.2</v>
      </c>
      <c r="AE86">
        <f t="shared" si="16"/>
        <v>6048.3369858642582</v>
      </c>
      <c r="AF86">
        <f t="shared" si="17"/>
        <v>1</v>
      </c>
    </row>
    <row r="87" spans="1:32" x14ac:dyDescent="0.25">
      <c r="A87" s="2">
        <v>86</v>
      </c>
      <c r="B87">
        <f t="shared" si="12"/>
        <v>693.45648896693524</v>
      </c>
      <c r="C87" s="5">
        <v>0.08</v>
      </c>
      <c r="D87">
        <f t="shared" si="13"/>
        <v>4895.8028121065681</v>
      </c>
      <c r="Q87">
        <f t="shared" si="14"/>
        <v>4895.8028121065854</v>
      </c>
      <c r="R87">
        <f t="shared" si="18"/>
        <v>193.1122574183855</v>
      </c>
      <c r="S87">
        <f t="shared" si="19"/>
        <v>27340.621847991391</v>
      </c>
      <c r="T87" s="5">
        <v>0.08</v>
      </c>
      <c r="V87">
        <f>SUM($R$2:R87)</f>
        <v>8162.7280166206556</v>
      </c>
      <c r="W87">
        <f t="shared" si="20"/>
        <v>17.211504273227039</v>
      </c>
      <c r="Z87">
        <f t="shared" si="22"/>
        <v>1.734635015387706E-2</v>
      </c>
      <c r="AA87" s="5">
        <v>0.3</v>
      </c>
      <c r="AB87">
        <f t="shared" si="15"/>
        <v>91135.406159971302</v>
      </c>
      <c r="AC87">
        <f t="shared" si="21"/>
        <v>32056.186025080569</v>
      </c>
      <c r="AD87" s="5">
        <v>0.2</v>
      </c>
      <c r="AE87">
        <f t="shared" si="16"/>
        <v>6411.2372050161139</v>
      </c>
      <c r="AF87">
        <f t="shared" si="17"/>
        <v>1</v>
      </c>
    </row>
    <row r="88" spans="1:32" x14ac:dyDescent="0.25">
      <c r="A88" s="2">
        <v>87</v>
      </c>
      <c r="B88">
        <f t="shared" si="12"/>
        <v>748.93300808429001</v>
      </c>
      <c r="C88" s="5">
        <v>0.08</v>
      </c>
      <c r="D88">
        <f t="shared" si="13"/>
        <v>5287.4670370750937</v>
      </c>
      <c r="Q88">
        <f t="shared" si="14"/>
        <v>5287.4670370751119</v>
      </c>
      <c r="R88">
        <f t="shared" si="18"/>
        <v>196.75588491684559</v>
      </c>
      <c r="S88">
        <f t="shared" si="19"/>
        <v>29527.871595830704</v>
      </c>
      <c r="T88" s="5">
        <v>0.08</v>
      </c>
      <c r="V88">
        <f>SUM($R$2:R88)</f>
        <v>8359.4839015375019</v>
      </c>
      <c r="W88">
        <f t="shared" si="20"/>
        <v>17.62637351144415</v>
      </c>
      <c r="Z88">
        <f t="shared" si="22"/>
        <v>1.6061435327663943E-2</v>
      </c>
      <c r="AA88" s="5">
        <v>0.3</v>
      </c>
      <c r="AB88">
        <f t="shared" si="15"/>
        <v>98426.238652769011</v>
      </c>
      <c r="AC88">
        <f t="shared" si="21"/>
        <v>33979.557186585407</v>
      </c>
      <c r="AD88" s="5">
        <v>0.2</v>
      </c>
      <c r="AE88">
        <f t="shared" si="16"/>
        <v>6795.9114373170814</v>
      </c>
      <c r="AF88">
        <f t="shared" si="17"/>
        <v>1</v>
      </c>
    </row>
    <row r="89" spans="1:32" x14ac:dyDescent="0.25">
      <c r="A89" s="2">
        <v>88</v>
      </c>
      <c r="B89">
        <f t="shared" si="12"/>
        <v>808.84764873103325</v>
      </c>
      <c r="C89" s="5">
        <v>0.08</v>
      </c>
      <c r="D89">
        <f t="shared" si="13"/>
        <v>5710.4644000411008</v>
      </c>
      <c r="Q89">
        <f t="shared" si="14"/>
        <v>5710.4644000411217</v>
      </c>
      <c r="R89">
        <f t="shared" si="18"/>
        <v>200.46826010395588</v>
      </c>
      <c r="S89">
        <f t="shared" si="19"/>
        <v>31890.101323497162</v>
      </c>
      <c r="T89" s="5">
        <v>0.08</v>
      </c>
      <c r="V89">
        <f>SUM($R$2:R89)</f>
        <v>8559.9521616414586</v>
      </c>
      <c r="W89">
        <f t="shared" si="20"/>
        <v>18.049070471137053</v>
      </c>
      <c r="Z89">
        <f t="shared" si="22"/>
        <v>1.4871699377466614E-2</v>
      </c>
      <c r="AA89" s="5">
        <v>0.3</v>
      </c>
      <c r="AB89">
        <f t="shared" si="15"/>
        <v>106300.33774499054</v>
      </c>
      <c r="AC89">
        <f t="shared" si="21"/>
        <v>36018.330617780535</v>
      </c>
      <c r="AD89" s="5">
        <v>0.2</v>
      </c>
      <c r="AE89">
        <f t="shared" si="16"/>
        <v>7203.6661235561078</v>
      </c>
      <c r="AF89">
        <f t="shared" si="17"/>
        <v>1</v>
      </c>
    </row>
    <row r="90" spans="1:32" x14ac:dyDescent="0.25">
      <c r="A90" s="2">
        <v>89</v>
      </c>
      <c r="B90">
        <f t="shared" si="12"/>
        <v>873.55546062951589</v>
      </c>
      <c r="C90" s="5">
        <v>0.08</v>
      </c>
      <c r="D90">
        <f t="shared" si="13"/>
        <v>6167.3015520443887</v>
      </c>
      <c r="Q90">
        <f t="shared" si="14"/>
        <v>6167.3015520444114</v>
      </c>
      <c r="R90">
        <f t="shared" si="18"/>
        <v>204.25068010591735</v>
      </c>
      <c r="S90">
        <f t="shared" si="19"/>
        <v>34441.309429376939</v>
      </c>
      <c r="T90" s="5">
        <v>0.08</v>
      </c>
      <c r="V90">
        <f>SUM($R$2:R90)</f>
        <v>8764.2028417473757</v>
      </c>
      <c r="W90">
        <f t="shared" si="20"/>
        <v>18.479742845163784</v>
      </c>
      <c r="Z90">
        <f t="shared" si="22"/>
        <v>1.377009201617279E-2</v>
      </c>
      <c r="AA90" s="5">
        <v>0.3</v>
      </c>
      <c r="AB90">
        <f t="shared" si="15"/>
        <v>114804.3647645898</v>
      </c>
      <c r="AC90">
        <f t="shared" si="21"/>
        <v>38179.430454847366</v>
      </c>
      <c r="AD90" s="5">
        <v>0.2</v>
      </c>
      <c r="AE90">
        <f t="shared" si="16"/>
        <v>7635.886090969474</v>
      </c>
      <c r="AF90">
        <f t="shared" si="17"/>
        <v>1</v>
      </c>
    </row>
    <row r="91" spans="1:32" x14ac:dyDescent="0.25">
      <c r="A91" s="2">
        <v>90</v>
      </c>
      <c r="B91">
        <f t="shared" si="12"/>
        <v>943.43989747987712</v>
      </c>
      <c r="C91" s="5">
        <v>0.08</v>
      </c>
      <c r="D91">
        <f t="shared" si="13"/>
        <v>6660.6856762079397</v>
      </c>
      <c r="Q91">
        <f t="shared" si="14"/>
        <v>6660.6856762079651</v>
      </c>
      <c r="R91">
        <f t="shared" si="18"/>
        <v>208.10446652301019</v>
      </c>
      <c r="S91">
        <f t="shared" si="19"/>
        <v>37196.614183727099</v>
      </c>
      <c r="T91" s="5">
        <v>0.08</v>
      </c>
      <c r="V91">
        <f>SUM($R$2:R91)</f>
        <v>8972.3073082703868</v>
      </c>
      <c r="W91">
        <f t="shared" si="20"/>
        <v>18.918541113040078</v>
      </c>
      <c r="Z91">
        <f t="shared" si="22"/>
        <v>1.2750085200159989E-2</v>
      </c>
      <c r="AA91" s="5">
        <v>0.3</v>
      </c>
      <c r="AB91">
        <f t="shared" si="15"/>
        <v>123988.713945757</v>
      </c>
      <c r="AC91">
        <f t="shared" si="21"/>
        <v>40470.196282138211</v>
      </c>
      <c r="AD91" s="5">
        <v>0.2</v>
      </c>
      <c r="AE91">
        <f t="shared" si="16"/>
        <v>8094.0392564276426</v>
      </c>
      <c r="AF91">
        <f t="shared" si="17"/>
        <v>1</v>
      </c>
    </row>
    <row r="92" spans="1:32" x14ac:dyDescent="0.25">
      <c r="A92" s="2">
        <v>91</v>
      </c>
      <c r="B92">
        <f t="shared" si="12"/>
        <v>1018.9150892782673</v>
      </c>
      <c r="C92" s="5">
        <v>0.08</v>
      </c>
      <c r="D92">
        <f t="shared" si="13"/>
        <v>7193.5405303045745</v>
      </c>
      <c r="Q92">
        <f t="shared" si="14"/>
        <v>7193.5405303046018</v>
      </c>
      <c r="R92">
        <f t="shared" si="18"/>
        <v>212.03096589136888</v>
      </c>
      <c r="S92">
        <f t="shared" si="19"/>
        <v>40172.343318425272</v>
      </c>
      <c r="T92" s="5">
        <v>0.08</v>
      </c>
      <c r="V92">
        <f>SUM($R$2:R92)</f>
        <v>9184.3382741617552</v>
      </c>
      <c r="W92">
        <f t="shared" si="20"/>
        <v>19.365618593517809</v>
      </c>
      <c r="Z92">
        <f t="shared" si="22"/>
        <v>1.180563444459258E-2</v>
      </c>
      <c r="AA92" s="5">
        <v>0.3</v>
      </c>
      <c r="AB92">
        <f t="shared" si="15"/>
        <v>133907.81106141757</v>
      </c>
      <c r="AC92">
        <f t="shared" si="21"/>
        <v>42898.408059066503</v>
      </c>
      <c r="AD92" s="5">
        <v>0.2</v>
      </c>
      <c r="AE92">
        <f t="shared" si="16"/>
        <v>8579.6816118133011</v>
      </c>
      <c r="AF92">
        <f t="shared" si="17"/>
        <v>1</v>
      </c>
    </row>
    <row r="93" spans="1:32" x14ac:dyDescent="0.25">
      <c r="A93" s="2">
        <v>92</v>
      </c>
      <c r="B93">
        <f t="shared" si="12"/>
        <v>1100.4282964205286</v>
      </c>
      <c r="C93" s="5">
        <v>0.08</v>
      </c>
      <c r="D93">
        <f t="shared" si="13"/>
        <v>7769.0237727289405</v>
      </c>
      <c r="Q93">
        <f t="shared" si="14"/>
        <v>7769.0237727289696</v>
      </c>
      <c r="R93">
        <f t="shared" si="18"/>
        <v>216.03155015347014</v>
      </c>
      <c r="S93">
        <f t="shared" si="19"/>
        <v>43386.130783899294</v>
      </c>
      <c r="T93" s="5">
        <v>0.08</v>
      </c>
      <c r="V93">
        <f>SUM($R$2:R93)</f>
        <v>9400.3698243152248</v>
      </c>
      <c r="W93">
        <f t="shared" si="20"/>
        <v>19.821131498155495</v>
      </c>
      <c r="Z93">
        <f t="shared" si="22"/>
        <v>1.0931143004252389E-2</v>
      </c>
      <c r="AA93" s="5">
        <v>0.3</v>
      </c>
      <c r="AB93">
        <f t="shared" si="15"/>
        <v>144620.43594633098</v>
      </c>
      <c r="AC93">
        <f t="shared" si="21"/>
        <v>45472.312542610496</v>
      </c>
      <c r="AD93" s="5">
        <v>0.2</v>
      </c>
      <c r="AE93">
        <f t="shared" si="16"/>
        <v>9094.4625085220996</v>
      </c>
      <c r="AF93">
        <f t="shared" si="17"/>
        <v>1</v>
      </c>
    </row>
    <row r="94" spans="1:32" x14ac:dyDescent="0.25">
      <c r="A94" s="2">
        <v>93</v>
      </c>
      <c r="B94">
        <f t="shared" si="12"/>
        <v>1188.4625601341709</v>
      </c>
      <c r="C94" s="5">
        <v>0.08</v>
      </c>
      <c r="D94">
        <f t="shared" si="13"/>
        <v>8390.5456745472547</v>
      </c>
      <c r="Q94">
        <f t="shared" si="14"/>
        <v>8390.5456745472875</v>
      </c>
      <c r="R94">
        <f t="shared" si="18"/>
        <v>220.1076171374979</v>
      </c>
      <c r="S94">
        <f t="shared" si="19"/>
        <v>46857.021246611243</v>
      </c>
      <c r="T94" s="5">
        <v>0.08</v>
      </c>
      <c r="V94">
        <f>SUM($R$2:R94)</f>
        <v>9620.4774414527219</v>
      </c>
      <c r="W94">
        <f t="shared" si="20"/>
        <v>20.285238985899554</v>
      </c>
      <c r="Z94">
        <f t="shared" si="22"/>
        <v>1.01214287076411E-2</v>
      </c>
      <c r="AA94" s="5">
        <v>0.3</v>
      </c>
      <c r="AB94">
        <f t="shared" si="15"/>
        <v>156190.07082203749</v>
      </c>
      <c r="AC94">
        <f t="shared" si="21"/>
        <v>48200.651295167125</v>
      </c>
      <c r="AD94" s="5">
        <v>0.2</v>
      </c>
      <c r="AE94">
        <f t="shared" si="16"/>
        <v>9640.1302590334253</v>
      </c>
      <c r="AF94">
        <f t="shared" si="17"/>
        <v>1</v>
      </c>
    </row>
    <row r="95" spans="1:32" x14ac:dyDescent="0.25">
      <c r="A95" s="2">
        <v>94</v>
      </c>
      <c r="B95">
        <f t="shared" si="12"/>
        <v>1283.5395649449044</v>
      </c>
      <c r="C95" s="5">
        <v>0.08</v>
      </c>
      <c r="D95">
        <f t="shared" si="13"/>
        <v>9061.7893285110349</v>
      </c>
      <c r="Q95">
        <f t="shared" si="14"/>
        <v>9061.7893285110713</v>
      </c>
      <c r="R95">
        <f t="shared" si="18"/>
        <v>224.26059104575256</v>
      </c>
      <c r="S95">
        <f t="shared" si="19"/>
        <v>50605.582946340146</v>
      </c>
      <c r="T95" s="5">
        <v>0.08</v>
      </c>
      <c r="V95">
        <f>SUM($R$2:R95)</f>
        <v>9844.7380324984751</v>
      </c>
      <c r="W95">
        <f t="shared" si="20"/>
        <v>20.758103218695389</v>
      </c>
      <c r="Z95">
        <f t="shared" si="22"/>
        <v>9.3716932478158325E-3</v>
      </c>
      <c r="AA95" s="5">
        <v>0.3</v>
      </c>
      <c r="AB95">
        <f t="shared" si="15"/>
        <v>168685.2764878005</v>
      </c>
      <c r="AC95">
        <f t="shared" si="21"/>
        <v>51092.690372877158</v>
      </c>
      <c r="AD95" s="5">
        <v>0.2</v>
      </c>
      <c r="AE95">
        <f t="shared" si="16"/>
        <v>10218.538074575432</v>
      </c>
      <c r="AF95">
        <f t="shared" si="17"/>
        <v>1</v>
      </c>
    </row>
    <row r="96" spans="1:32" x14ac:dyDescent="0.25">
      <c r="A96" s="2">
        <v>95</v>
      </c>
      <c r="B96">
        <f t="shared" si="12"/>
        <v>1386.2227301404969</v>
      </c>
      <c r="C96" s="5">
        <v>0.08</v>
      </c>
      <c r="D96">
        <f t="shared" si="13"/>
        <v>9786.7324747919174</v>
      </c>
      <c r="Q96">
        <f t="shared" si="14"/>
        <v>9786.7324747919592</v>
      </c>
      <c r="R96">
        <f t="shared" si="18"/>
        <v>228.49192295227621</v>
      </c>
      <c r="S96">
        <f t="shared" si="19"/>
        <v>54654.029582047362</v>
      </c>
      <c r="T96" s="5">
        <v>0.08</v>
      </c>
      <c r="V96">
        <f>SUM($R$2:R96)</f>
        <v>10073.229955450752</v>
      </c>
      <c r="W96">
        <f t="shared" si="20"/>
        <v>21.239889418147751</v>
      </c>
      <c r="Z96">
        <f t="shared" si="22"/>
        <v>8.6774937479776222E-3</v>
      </c>
      <c r="AA96" s="5">
        <v>0.3</v>
      </c>
      <c r="AB96">
        <f t="shared" si="15"/>
        <v>182180.09860682455</v>
      </c>
      <c r="AC96">
        <f t="shared" si="21"/>
        <v>54158.251795249787</v>
      </c>
      <c r="AD96" s="5">
        <v>0.2</v>
      </c>
      <c r="AE96">
        <f t="shared" si="16"/>
        <v>10831.650359049958</v>
      </c>
      <c r="AF96">
        <f t="shared" si="17"/>
        <v>1</v>
      </c>
    </row>
    <row r="97" spans="1:32" x14ac:dyDescent="0.25">
      <c r="A97" s="2">
        <v>96</v>
      </c>
      <c r="B97">
        <f t="shared" si="12"/>
        <v>1497.1205485517366</v>
      </c>
      <c r="C97" s="5">
        <v>0.08</v>
      </c>
      <c r="D97">
        <f t="shared" si="13"/>
        <v>10569.671072775271</v>
      </c>
      <c r="Q97">
        <f t="shared" si="14"/>
        <v>10569.671072775316</v>
      </c>
      <c r="R97">
        <f t="shared" si="18"/>
        <v>232.80309130986629</v>
      </c>
      <c r="S97">
        <f t="shared" si="19"/>
        <v>59026.351948611155</v>
      </c>
      <c r="T97" s="5">
        <v>0.08</v>
      </c>
      <c r="V97">
        <f>SUM($R$2:R97)</f>
        <v>10306.033046760618</v>
      </c>
      <c r="W97">
        <f t="shared" si="20"/>
        <v>21.730765923250154</v>
      </c>
      <c r="Z97">
        <f t="shared" si="22"/>
        <v>8.0347164333126123E-3</v>
      </c>
      <c r="AA97" s="5">
        <v>0.3</v>
      </c>
      <c r="AB97">
        <f t="shared" si="15"/>
        <v>196754.50649537053</v>
      </c>
      <c r="AC97">
        <f t="shared" si="21"/>
        <v>57407.746902964776</v>
      </c>
      <c r="AD97" s="5">
        <v>0.2</v>
      </c>
      <c r="AE97">
        <f t="shared" si="16"/>
        <v>11481.549380592956</v>
      </c>
      <c r="AF97">
        <f t="shared" si="17"/>
        <v>1</v>
      </c>
    </row>
    <row r="98" spans="1:32" x14ac:dyDescent="0.25">
      <c r="A98" s="2">
        <v>97</v>
      </c>
      <c r="B98">
        <f t="shared" si="12"/>
        <v>1616.8901924358756</v>
      </c>
      <c r="C98" s="5">
        <v>0.08</v>
      </c>
      <c r="D98">
        <f t="shared" si="13"/>
        <v>11415.244758597291</v>
      </c>
      <c r="Q98">
        <f t="shared" si="14"/>
        <v>11415.244758597342</v>
      </c>
      <c r="R98">
        <f t="shared" si="18"/>
        <v>237.19560246665628</v>
      </c>
      <c r="S98">
        <f t="shared" si="19"/>
        <v>63748.460104500053</v>
      </c>
      <c r="T98" s="5">
        <v>0.08</v>
      </c>
      <c r="V98">
        <f>SUM($R$2:R98)</f>
        <v>10543.228649227274</v>
      </c>
      <c r="W98">
        <f t="shared" si="20"/>
        <v>22.230904249203547</v>
      </c>
      <c r="Z98">
        <f t="shared" si="22"/>
        <v>7.4395522530672333E-3</v>
      </c>
      <c r="AA98" s="5">
        <v>0.3</v>
      </c>
      <c r="AB98">
        <f t="shared" si="15"/>
        <v>212494.86701500017</v>
      </c>
      <c r="AC98">
        <f t="shared" si="21"/>
        <v>60852.211717142665</v>
      </c>
      <c r="AD98" s="5">
        <v>0.2</v>
      </c>
      <c r="AE98">
        <f t="shared" si="16"/>
        <v>12170.442343428535</v>
      </c>
      <c r="AF98">
        <f t="shared" si="17"/>
        <v>1</v>
      </c>
    </row>
    <row r="99" spans="1:32" x14ac:dyDescent="0.25">
      <c r="A99" s="2">
        <v>98</v>
      </c>
      <c r="B99">
        <f t="shared" si="12"/>
        <v>1746.2414078307456</v>
      </c>
      <c r="C99" s="5">
        <v>0.08</v>
      </c>
      <c r="D99">
        <f t="shared" si="13"/>
        <v>12328.464339285074</v>
      </c>
      <c r="Q99">
        <f t="shared" si="14"/>
        <v>12328.464339285129</v>
      </c>
      <c r="R99">
        <f t="shared" si="18"/>
        <v>241.67099119244227</v>
      </c>
      <c r="S99">
        <f t="shared" si="19"/>
        <v>68848.336912860061</v>
      </c>
      <c r="T99" s="5">
        <v>0.08</v>
      </c>
      <c r="V99">
        <f>SUM($R$2:R99)</f>
        <v>10784.899640419717</v>
      </c>
      <c r="W99">
        <f t="shared" si="20"/>
        <v>22.740479147344743</v>
      </c>
      <c r="Z99">
        <f t="shared" si="22"/>
        <v>6.8884743083955854E-3</v>
      </c>
      <c r="AA99" s="5">
        <v>0.3</v>
      </c>
      <c r="AB99">
        <f t="shared" si="15"/>
        <v>229494.45637620022</v>
      </c>
      <c r="AC99">
        <f t="shared" si="21"/>
        <v>64503.344420171226</v>
      </c>
      <c r="AD99" s="5">
        <v>0.2</v>
      </c>
      <c r="AE99">
        <f t="shared" si="16"/>
        <v>12900.668884034247</v>
      </c>
      <c r="AF99">
        <f t="shared" si="17"/>
        <v>1</v>
      </c>
    </row>
    <row r="100" spans="1:32" x14ac:dyDescent="0.25">
      <c r="A100" s="2">
        <v>99</v>
      </c>
      <c r="B100">
        <f t="shared" si="12"/>
        <v>1885.9407204572053</v>
      </c>
      <c r="C100" s="5">
        <v>0.08</v>
      </c>
      <c r="D100">
        <f t="shared" si="13"/>
        <v>13314.74148642788</v>
      </c>
      <c r="Q100">
        <f t="shared" si="14"/>
        <v>13314.74148642794</v>
      </c>
      <c r="R100">
        <f t="shared" si="18"/>
        <v>246.23082121494116</v>
      </c>
      <c r="S100">
        <f t="shared" si="19"/>
        <v>74356.203865888863</v>
      </c>
      <c r="T100" s="5">
        <v>0.08</v>
      </c>
      <c r="V100">
        <f>SUM($R$2:R100)</f>
        <v>11031.130461634659</v>
      </c>
      <c r="W100">
        <f t="shared" si="20"/>
        <v>23.259668666205581</v>
      </c>
      <c r="Z100">
        <f t="shared" si="22"/>
        <v>6.378216952218135E-3</v>
      </c>
      <c r="AA100" s="5">
        <v>0.3</v>
      </c>
      <c r="AB100">
        <f t="shared" si="15"/>
        <v>247854.01288629623</v>
      </c>
      <c r="AC100">
        <f t="shared" si="21"/>
        <v>68373.545085381498</v>
      </c>
      <c r="AD100" s="5">
        <v>0.2</v>
      </c>
      <c r="AE100">
        <f t="shared" si="16"/>
        <v>13674.7090170763</v>
      </c>
      <c r="AF100">
        <f t="shared" si="17"/>
        <v>1</v>
      </c>
    </row>
    <row r="101" spans="1:32" x14ac:dyDescent="0.25">
      <c r="A101" s="2">
        <v>100</v>
      </c>
      <c r="B101">
        <f t="shared" si="12"/>
        <v>2036.8159780937817</v>
      </c>
      <c r="C101" s="5">
        <v>0.08</v>
      </c>
      <c r="D101">
        <f t="shared" si="13"/>
        <v>14379.92080534211</v>
      </c>
      <c r="Q101">
        <f t="shared" si="14"/>
        <v>14379.920805342177</v>
      </c>
      <c r="R101">
        <f t="shared" si="18"/>
        <v>250.87668576616642</v>
      </c>
      <c r="S101">
        <f t="shared" si="19"/>
        <v>80304.700175159975</v>
      </c>
      <c r="T101" s="5">
        <v>0.08</v>
      </c>
      <c r="V101">
        <f>SUM($R$2:R101)</f>
        <v>11282.007147400825</v>
      </c>
      <c r="W101">
        <f t="shared" si="20"/>
        <v>23.788654213724172</v>
      </c>
      <c r="Z101">
        <f t="shared" si="22"/>
        <v>5.9057564372390139E-3</v>
      </c>
      <c r="AA101" s="5">
        <v>0.3</v>
      </c>
      <c r="AB101">
        <f t="shared" si="15"/>
        <v>267682.33391719993</v>
      </c>
      <c r="AC101">
        <f t="shared" si="21"/>
        <v>72475.957790504399</v>
      </c>
      <c r="AD101" s="5">
        <v>0.2</v>
      </c>
      <c r="AE101">
        <f t="shared" si="16"/>
        <v>14495.19155810088</v>
      </c>
      <c r="AF101">
        <f t="shared" si="17"/>
        <v>1</v>
      </c>
    </row>
    <row r="102" spans="1:32" x14ac:dyDescent="0.25">
      <c r="A102" s="2">
        <v>101</v>
      </c>
      <c r="B102">
        <f t="shared" ref="B102:B165" si="23">B101+B101*C101</f>
        <v>2199.761256341284</v>
      </c>
      <c r="C102" s="5">
        <v>0.08</v>
      </c>
      <c r="D102">
        <f t="shared" ref="D102:D165" si="24">D101+D101*C101</f>
        <v>15530.314469769479</v>
      </c>
      <c r="Q102">
        <f t="shared" ref="Q102:Q165" si="25">$D$2*((1+$C$2)^A101)</f>
        <v>15530.314469769553</v>
      </c>
      <c r="R102">
        <f t="shared" ref="R102:R165" si="26">S102/((1+$U$2)^A101)</f>
        <v>255.61020813911296</v>
      </c>
      <c r="S102">
        <f t="shared" ref="S102:S165" si="27">S101*(1+T101)</f>
        <v>86729.076189172774</v>
      </c>
      <c r="T102" s="5">
        <v>0.08</v>
      </c>
      <c r="V102">
        <f>SUM($R$2:R102)</f>
        <v>11537.617355539938</v>
      </c>
      <c r="W102">
        <f t="shared" ref="W102:W165" si="28">V102/$W$2</f>
        <v>24.327620620629904</v>
      </c>
      <c r="Z102">
        <f t="shared" si="22"/>
        <v>5.468292997443531E-3</v>
      </c>
      <c r="AA102" s="5">
        <v>0.3</v>
      </c>
      <c r="AB102">
        <f t="shared" si="15"/>
        <v>289096.92063057591</v>
      </c>
      <c r="AC102">
        <f t="shared" si="21"/>
        <v>76824.515257934661</v>
      </c>
      <c r="AD102" s="5">
        <v>0.2</v>
      </c>
      <c r="AE102">
        <f t="shared" si="16"/>
        <v>15364.903051586933</v>
      </c>
      <c r="AF102">
        <f t="shared" si="17"/>
        <v>1</v>
      </c>
    </row>
    <row r="103" spans="1:32" x14ac:dyDescent="0.25">
      <c r="A103" s="2">
        <v>102</v>
      </c>
      <c r="B103">
        <f t="shared" si="23"/>
        <v>2375.7421568485865</v>
      </c>
      <c r="C103" s="5">
        <v>0.08</v>
      </c>
      <c r="D103">
        <f t="shared" si="24"/>
        <v>16772.739627351039</v>
      </c>
      <c r="Q103">
        <f t="shared" si="25"/>
        <v>16772.739627351115</v>
      </c>
      <c r="R103">
        <f t="shared" si="26"/>
        <v>260.43304225494529</v>
      </c>
      <c r="S103">
        <f t="shared" si="27"/>
        <v>93667.402284306605</v>
      </c>
      <c r="T103" s="5">
        <v>0.08</v>
      </c>
      <c r="V103">
        <f>SUM($R$2:R103)</f>
        <v>11798.050397794883</v>
      </c>
      <c r="W103">
        <f t="shared" si="28"/>
        <v>24.876756205024424</v>
      </c>
      <c r="Z103">
        <f t="shared" si="22"/>
        <v>5.0632342568921584E-3</v>
      </c>
      <c r="AA103" s="5">
        <v>0.3</v>
      </c>
      <c r="AB103">
        <f t="shared" si="15"/>
        <v>312224.67428102205</v>
      </c>
      <c r="AC103">
        <f t="shared" si="21"/>
        <v>81433.98617341074</v>
      </c>
      <c r="AD103" s="5">
        <v>0.2</v>
      </c>
      <c r="AE103">
        <f t="shared" si="16"/>
        <v>16286.797234682148</v>
      </c>
      <c r="AF103">
        <f t="shared" si="17"/>
        <v>1</v>
      </c>
    </row>
    <row r="104" spans="1:32" x14ac:dyDescent="0.25">
      <c r="A104" s="2">
        <v>103</v>
      </c>
      <c r="B104">
        <f t="shared" si="23"/>
        <v>2565.8015293964736</v>
      </c>
      <c r="C104" s="5">
        <v>0.08</v>
      </c>
      <c r="D104">
        <f t="shared" si="24"/>
        <v>18114.558797539121</v>
      </c>
      <c r="Q104">
        <f t="shared" si="25"/>
        <v>18114.558797539208</v>
      </c>
      <c r="R104">
        <f t="shared" si="26"/>
        <v>265.34687324088759</v>
      </c>
      <c r="S104">
        <f t="shared" si="27"/>
        <v>101160.79446705114</v>
      </c>
      <c r="T104" s="5">
        <v>0.08</v>
      </c>
      <c r="V104">
        <f>SUM($R$2:R104)</f>
        <v>12063.39727103577</v>
      </c>
      <c r="W104">
        <f t="shared" si="28"/>
        <v>25.436252838181105</v>
      </c>
      <c r="Z104">
        <f t="shared" si="22"/>
        <v>4.6881798674927389E-3</v>
      </c>
      <c r="AA104" s="5">
        <v>0.3</v>
      </c>
      <c r="AB104">
        <f t="shared" si="15"/>
        <v>337202.64822350378</v>
      </c>
      <c r="AC104">
        <f t="shared" si="21"/>
        <v>86320.025343815389</v>
      </c>
      <c r="AD104" s="5">
        <v>0.2</v>
      </c>
      <c r="AE104">
        <f t="shared" si="16"/>
        <v>17264.005068763079</v>
      </c>
      <c r="AF104">
        <f t="shared" si="17"/>
        <v>1</v>
      </c>
    </row>
    <row r="105" spans="1:32" x14ac:dyDescent="0.25">
      <c r="A105" s="2">
        <v>104</v>
      </c>
      <c r="B105">
        <f t="shared" si="23"/>
        <v>2771.0656517481916</v>
      </c>
      <c r="C105" s="5">
        <v>0.08</v>
      </c>
      <c r="D105">
        <f t="shared" si="24"/>
        <v>19563.723501342251</v>
      </c>
      <c r="Q105">
        <f t="shared" si="25"/>
        <v>19563.723501342345</v>
      </c>
      <c r="R105">
        <f t="shared" si="26"/>
        <v>270.35341801901751</v>
      </c>
      <c r="S105">
        <f t="shared" si="27"/>
        <v>109253.65802441523</v>
      </c>
      <c r="T105" s="5">
        <v>0.08</v>
      </c>
      <c r="V105">
        <f>SUM($R$2:R105)</f>
        <v>12333.750689054788</v>
      </c>
      <c r="W105">
        <f t="shared" si="28"/>
        <v>26.006306011586027</v>
      </c>
      <c r="Z105">
        <f t="shared" si="22"/>
        <v>4.3409072847154992E-3</v>
      </c>
      <c r="AA105" s="5">
        <v>0.3</v>
      </c>
      <c r="AB105">
        <f t="shared" si="15"/>
        <v>364178.86008138413</v>
      </c>
      <c r="AC105">
        <f t="shared" si="21"/>
        <v>91499.22686444431</v>
      </c>
      <c r="AD105" s="5">
        <v>0.2</v>
      </c>
      <c r="AE105">
        <f t="shared" si="16"/>
        <v>18299.845372888863</v>
      </c>
      <c r="AF105">
        <f t="shared" si="17"/>
        <v>1</v>
      </c>
    </row>
    <row r="106" spans="1:32" x14ac:dyDescent="0.25">
      <c r="A106" s="2">
        <v>105</v>
      </c>
      <c r="B106">
        <f t="shared" si="23"/>
        <v>2992.7509038880471</v>
      </c>
      <c r="C106" s="5">
        <v>0.08</v>
      </c>
      <c r="D106">
        <f t="shared" si="24"/>
        <v>21128.82138144963</v>
      </c>
      <c r="Q106">
        <f t="shared" si="25"/>
        <v>21128.821381449732</v>
      </c>
      <c r="R106">
        <f t="shared" si="26"/>
        <v>275.45442590616886</v>
      </c>
      <c r="S106">
        <f t="shared" si="27"/>
        <v>117993.95066636846</v>
      </c>
      <c r="T106" s="5">
        <v>0.08</v>
      </c>
      <c r="V106">
        <f>SUM($R$2:R106)</f>
        <v>12609.205114960958</v>
      </c>
      <c r="W106">
        <f t="shared" si="28"/>
        <v>26.587114905243872</v>
      </c>
      <c r="Z106">
        <f t="shared" si="22"/>
        <v>4.0193585969587947E-3</v>
      </c>
      <c r="AA106" s="5">
        <v>0.3</v>
      </c>
      <c r="AB106">
        <f t="shared" si="15"/>
        <v>393313.16888789489</v>
      </c>
      <c r="AC106">
        <f t="shared" si="21"/>
        <v>96989.180476310969</v>
      </c>
      <c r="AD106" s="5">
        <v>0.2</v>
      </c>
      <c r="AE106">
        <f t="shared" si="16"/>
        <v>19397.836095262195</v>
      </c>
      <c r="AF106">
        <f t="shared" si="17"/>
        <v>1</v>
      </c>
    </row>
    <row r="107" spans="1:32" x14ac:dyDescent="0.25">
      <c r="A107" s="2">
        <v>106</v>
      </c>
      <c r="B107">
        <f t="shared" si="23"/>
        <v>3232.170976199091</v>
      </c>
      <c r="C107" s="5">
        <v>0.08</v>
      </c>
      <c r="D107">
        <f t="shared" si="24"/>
        <v>22819.127091965602</v>
      </c>
      <c r="Q107">
        <f t="shared" si="25"/>
        <v>22819.127091965714</v>
      </c>
      <c r="R107">
        <f t="shared" si="26"/>
        <v>280.65167922515326</v>
      </c>
      <c r="S107">
        <f t="shared" si="27"/>
        <v>127433.46671967795</v>
      </c>
      <c r="T107" s="5">
        <v>0.08</v>
      </c>
      <c r="V107">
        <f>SUM($R$2:R107)</f>
        <v>12889.856794186111</v>
      </c>
      <c r="W107">
        <f t="shared" si="28"/>
        <v>27.178882457272618</v>
      </c>
      <c r="Z107">
        <f t="shared" si="22"/>
        <v>3.7216283305174023E-3</v>
      </c>
      <c r="AA107" s="5">
        <v>0.3</v>
      </c>
      <c r="AB107">
        <f t="shared" si="15"/>
        <v>424778.2223989265</v>
      </c>
      <c r="AC107">
        <f t="shared" si="21"/>
        <v>102808.53130488964</v>
      </c>
      <c r="AD107" s="5">
        <v>0.2</v>
      </c>
      <c r="AE107">
        <f t="shared" si="16"/>
        <v>20561.706260977928</v>
      </c>
      <c r="AF107">
        <f t="shared" si="17"/>
        <v>1</v>
      </c>
    </row>
    <row r="108" spans="1:32" x14ac:dyDescent="0.25">
      <c r="A108" s="2">
        <v>107</v>
      </c>
      <c r="B108">
        <f t="shared" si="23"/>
        <v>3490.7446542950183</v>
      </c>
      <c r="C108" s="5">
        <v>0.08</v>
      </c>
      <c r="D108">
        <f t="shared" si="24"/>
        <v>24644.657259322848</v>
      </c>
      <c r="Q108">
        <f t="shared" si="25"/>
        <v>24644.657259322968</v>
      </c>
      <c r="R108">
        <f t="shared" si="26"/>
        <v>285.9469939275146</v>
      </c>
      <c r="S108">
        <f t="shared" si="27"/>
        <v>137628.14405725218</v>
      </c>
      <c r="T108" s="5">
        <v>0.08</v>
      </c>
      <c r="V108">
        <f>SUM($R$2:R108)</f>
        <v>13175.803788113626</v>
      </c>
      <c r="W108">
        <f t="shared" si="28"/>
        <v>27.781815434811339</v>
      </c>
      <c r="Z108">
        <f t="shared" si="22"/>
        <v>3.4459521578864838E-3</v>
      </c>
      <c r="AA108" s="5">
        <v>0.3</v>
      </c>
      <c r="AB108">
        <f t="shared" si="15"/>
        <v>458760.48019084061</v>
      </c>
      <c r="AC108">
        <f t="shared" si="21"/>
        <v>108977.04318318302</v>
      </c>
      <c r="AD108" s="5">
        <v>0.2</v>
      </c>
      <c r="AE108">
        <f t="shared" si="16"/>
        <v>21795.408636636606</v>
      </c>
      <c r="AF108">
        <f t="shared" si="17"/>
        <v>1</v>
      </c>
    </row>
    <row r="109" spans="1:32" x14ac:dyDescent="0.25">
      <c r="A109" s="2">
        <v>108</v>
      </c>
      <c r="B109">
        <f t="shared" si="23"/>
        <v>3770.0042266386199</v>
      </c>
      <c r="C109" s="5">
        <v>0.08</v>
      </c>
      <c r="D109">
        <f t="shared" si="24"/>
        <v>26616.229840068678</v>
      </c>
      <c r="Q109">
        <f t="shared" si="25"/>
        <v>26616.229840068805</v>
      </c>
      <c r="R109">
        <f t="shared" si="26"/>
        <v>291.34222022803368</v>
      </c>
      <c r="S109">
        <f t="shared" si="27"/>
        <v>148638.39558183236</v>
      </c>
      <c r="T109" s="5">
        <v>0.08</v>
      </c>
      <c r="V109">
        <f>SUM($R$2:R109)</f>
        <v>13467.14600834166</v>
      </c>
      <c r="W109">
        <f t="shared" si="28"/>
        <v>28.396124506265888</v>
      </c>
      <c r="Z109">
        <f t="shared" si="22"/>
        <v>3.1906964424874848E-3</v>
      </c>
      <c r="AA109" s="5">
        <v>0.3</v>
      </c>
      <c r="AB109">
        <f t="shared" si="15"/>
        <v>495461.3186061079</v>
      </c>
      <c r="AC109">
        <f t="shared" si="21"/>
        <v>115515.66577417401</v>
      </c>
      <c r="AD109" s="5">
        <v>0.2</v>
      </c>
      <c r="AE109">
        <f t="shared" si="16"/>
        <v>23103.133154834803</v>
      </c>
      <c r="AF109">
        <f t="shared" si="17"/>
        <v>1</v>
      </c>
    </row>
    <row r="110" spans="1:32" x14ac:dyDescent="0.25">
      <c r="A110" s="2">
        <v>109</v>
      </c>
      <c r="B110">
        <f t="shared" si="23"/>
        <v>4071.6045647697097</v>
      </c>
      <c r="C110" s="5">
        <v>0.08</v>
      </c>
      <c r="D110">
        <f t="shared" si="24"/>
        <v>28745.528227274172</v>
      </c>
      <c r="Q110">
        <f t="shared" si="25"/>
        <v>28745.528227274317</v>
      </c>
      <c r="R110">
        <f t="shared" si="26"/>
        <v>296.83924325120415</v>
      </c>
      <c r="S110">
        <f t="shared" si="27"/>
        <v>160529.46722837896</v>
      </c>
      <c r="T110" s="5">
        <v>0.08</v>
      </c>
      <c r="V110">
        <f>SUM($R$2:R110)</f>
        <v>13763.985251592865</v>
      </c>
      <c r="W110">
        <f t="shared" si="28"/>
        <v>29.022024314917694</v>
      </c>
      <c r="Z110">
        <f t="shared" si="22"/>
        <v>2.954348557858782E-3</v>
      </c>
      <c r="AA110" s="5">
        <v>0.3</v>
      </c>
      <c r="AB110">
        <f t="shared" si="15"/>
        <v>535098.22409459658</v>
      </c>
      <c r="AC110">
        <f t="shared" si="21"/>
        <v>122446.60572062446</v>
      </c>
      <c r="AD110" s="5">
        <v>0.2</v>
      </c>
      <c r="AE110">
        <f t="shared" si="16"/>
        <v>24489.321144124893</v>
      </c>
      <c r="AF110">
        <f t="shared" si="17"/>
        <v>1</v>
      </c>
    </row>
    <row r="111" spans="1:32" x14ac:dyDescent="0.25">
      <c r="A111" s="2">
        <v>110</v>
      </c>
      <c r="B111">
        <f t="shared" si="23"/>
        <v>4397.3329299512861</v>
      </c>
      <c r="C111" s="5">
        <v>0.08</v>
      </c>
      <c r="D111">
        <f t="shared" si="24"/>
        <v>31045.170485456107</v>
      </c>
      <c r="Q111">
        <f t="shared" si="25"/>
        <v>31045.170485456259</v>
      </c>
      <c r="R111">
        <f t="shared" si="26"/>
        <v>302.43998368990606</v>
      </c>
      <c r="S111">
        <f t="shared" si="27"/>
        <v>173371.82460664929</v>
      </c>
      <c r="T111" s="5">
        <v>0.08</v>
      </c>
      <c r="V111">
        <f>SUM($R$2:R111)</f>
        <v>14066.425235282772</v>
      </c>
      <c r="W111">
        <f t="shared" si="28"/>
        <v>29.65973355392142</v>
      </c>
      <c r="Z111">
        <f t="shared" si="22"/>
        <v>2.7355079239433167E-3</v>
      </c>
      <c r="AA111" s="5">
        <v>0.3</v>
      </c>
      <c r="AB111">
        <f t="shared" si="15"/>
        <v>577906.08202216437</v>
      </c>
      <c r="AC111">
        <f t="shared" si="21"/>
        <v>129793.40206386193</v>
      </c>
      <c r="AD111" s="5">
        <v>0.2</v>
      </c>
      <c r="AE111">
        <f t="shared" si="16"/>
        <v>25958.680412772388</v>
      </c>
      <c r="AF111">
        <f t="shared" si="17"/>
        <v>1</v>
      </c>
    </row>
    <row r="112" spans="1:32" x14ac:dyDescent="0.25">
      <c r="A112" s="2">
        <v>111</v>
      </c>
      <c r="B112">
        <f t="shared" si="23"/>
        <v>4749.1195643473893</v>
      </c>
      <c r="C112" s="5">
        <v>0.08</v>
      </c>
      <c r="D112">
        <f t="shared" si="24"/>
        <v>33528.784124292593</v>
      </c>
      <c r="Q112">
        <f t="shared" si="25"/>
        <v>33528.784124292768</v>
      </c>
      <c r="R112">
        <f t="shared" si="26"/>
        <v>308.14639847650812</v>
      </c>
      <c r="S112">
        <f t="shared" si="27"/>
        <v>187241.57057518125</v>
      </c>
      <c r="T112" s="5">
        <v>0.08</v>
      </c>
      <c r="V112">
        <f>SUM($R$2:R112)</f>
        <v>14374.57163375928</v>
      </c>
      <c r="W112">
        <f t="shared" si="28"/>
        <v>30.309475042717665</v>
      </c>
      <c r="Z112">
        <f t="shared" si="22"/>
        <v>2.5328777073549223E-3</v>
      </c>
      <c r="AA112" s="5">
        <v>0.3</v>
      </c>
      <c r="AB112">
        <f t="shared" si="15"/>
        <v>624138.56858393748</v>
      </c>
      <c r="AC112">
        <f t="shared" si="21"/>
        <v>137581.00618769365</v>
      </c>
      <c r="AD112" s="5">
        <v>0.2</v>
      </c>
      <c r="AE112">
        <f t="shared" si="16"/>
        <v>27516.201237538731</v>
      </c>
      <c r="AF112">
        <f t="shared" si="17"/>
        <v>1</v>
      </c>
    </row>
    <row r="113" spans="1:32" x14ac:dyDescent="0.25">
      <c r="A113" s="2">
        <v>112</v>
      </c>
      <c r="B113">
        <f t="shared" si="23"/>
        <v>5129.0491294951808</v>
      </c>
      <c r="C113" s="5">
        <v>0.08</v>
      </c>
      <c r="D113">
        <f t="shared" si="24"/>
        <v>36211.086854236004</v>
      </c>
      <c r="Q113">
        <f t="shared" si="25"/>
        <v>36211.086854236193</v>
      </c>
      <c r="R113">
        <f t="shared" si="26"/>
        <v>313.96048146663088</v>
      </c>
      <c r="S113">
        <f t="shared" si="27"/>
        <v>202220.89622119576</v>
      </c>
      <c r="T113" s="5">
        <v>0.08</v>
      </c>
      <c r="V113">
        <f>SUM($R$2:R113)</f>
        <v>14688.532115225911</v>
      </c>
      <c r="W113">
        <f t="shared" si="28"/>
        <v>30.971475804887429</v>
      </c>
      <c r="Z113">
        <f t="shared" si="22"/>
        <v>2.3452571364397431E-3</v>
      </c>
      <c r="AA113" s="5">
        <v>0.3</v>
      </c>
      <c r="AB113">
        <f t="shared" si="15"/>
        <v>674069.65407065256</v>
      </c>
      <c r="AC113">
        <f t="shared" si="21"/>
        <v>145835.86655895528</v>
      </c>
      <c r="AD113" s="5">
        <v>0.2</v>
      </c>
      <c r="AE113">
        <f t="shared" si="16"/>
        <v>29167.173311791059</v>
      </c>
      <c r="AF113">
        <f t="shared" si="17"/>
        <v>1</v>
      </c>
    </row>
    <row r="114" spans="1:32" x14ac:dyDescent="0.25">
      <c r="A114" s="2">
        <v>113</v>
      </c>
      <c r="B114">
        <f t="shared" si="23"/>
        <v>5539.3730598547954</v>
      </c>
      <c r="C114" s="5">
        <v>0.08</v>
      </c>
      <c r="D114">
        <f t="shared" si="24"/>
        <v>39107.973802574881</v>
      </c>
      <c r="Q114">
        <f t="shared" si="25"/>
        <v>39107.973802575085</v>
      </c>
      <c r="R114">
        <f t="shared" si="26"/>
        <v>319.88426413581266</v>
      </c>
      <c r="S114">
        <f t="shared" si="27"/>
        <v>218398.56791889144</v>
      </c>
      <c r="T114" s="5">
        <v>0.08</v>
      </c>
      <c r="V114">
        <f>SUM($R$2:R114)</f>
        <v>15008.416379361724</v>
      </c>
      <c r="W114">
        <f t="shared" si="28"/>
        <v>31.645967147475488</v>
      </c>
      <c r="Z114">
        <f t="shared" si="22"/>
        <v>2.1715343855923542E-3</v>
      </c>
      <c r="AA114" s="5">
        <v>0.3</v>
      </c>
      <c r="AB114">
        <f t="shared" si="15"/>
        <v>727995.22639630479</v>
      </c>
      <c r="AC114">
        <f t="shared" si="21"/>
        <v>154586.01855249261</v>
      </c>
      <c r="AD114" s="5">
        <v>0.2</v>
      </c>
      <c r="AE114">
        <f t="shared" si="16"/>
        <v>30917.203710498521</v>
      </c>
      <c r="AF114">
        <f t="shared" si="17"/>
        <v>1</v>
      </c>
    </row>
    <row r="115" spans="1:32" x14ac:dyDescent="0.25">
      <c r="A115" s="2">
        <v>114</v>
      </c>
      <c r="B115">
        <f t="shared" si="23"/>
        <v>5982.5229046431787</v>
      </c>
      <c r="C115" s="5">
        <v>0.08</v>
      </c>
      <c r="D115">
        <f t="shared" si="24"/>
        <v>42236.611706780874</v>
      </c>
      <c r="Q115">
        <f t="shared" si="25"/>
        <v>42236.611706781092</v>
      </c>
      <c r="R115">
        <f t="shared" si="26"/>
        <v>325.91981628931853</v>
      </c>
      <c r="S115">
        <f t="shared" si="27"/>
        <v>235870.45335240278</v>
      </c>
      <c r="T115" s="5">
        <v>0.08</v>
      </c>
      <c r="V115">
        <f>SUM($R$2:R115)</f>
        <v>15334.336195651043</v>
      </c>
      <c r="W115">
        <f t="shared" si="28"/>
        <v>32.333184741810491</v>
      </c>
      <c r="Z115">
        <f t="shared" si="22"/>
        <v>2.010679986659587E-3</v>
      </c>
      <c r="AA115" s="5">
        <v>0.3</v>
      </c>
      <c r="AB115">
        <f t="shared" si="15"/>
        <v>786234.84450800926</v>
      </c>
      <c r="AC115">
        <f t="shared" si="21"/>
        <v>163861.17966564218</v>
      </c>
      <c r="AD115" s="5">
        <v>0.2</v>
      </c>
      <c r="AE115">
        <f t="shared" si="16"/>
        <v>32772.235933128439</v>
      </c>
      <c r="AF115">
        <f t="shared" si="17"/>
        <v>1</v>
      </c>
    </row>
    <row r="116" spans="1:32" x14ac:dyDescent="0.25">
      <c r="A116" s="2">
        <v>115</v>
      </c>
      <c r="B116">
        <f t="shared" si="23"/>
        <v>6461.124737014633</v>
      </c>
      <c r="C116" s="5">
        <v>0.08</v>
      </c>
      <c r="D116">
        <f t="shared" si="24"/>
        <v>45615.540643323344</v>
      </c>
      <c r="Q116">
        <f t="shared" si="25"/>
        <v>45615.540643323584</v>
      </c>
      <c r="R116">
        <f t="shared" si="26"/>
        <v>332.06924678534347</v>
      </c>
      <c r="S116">
        <f t="shared" si="27"/>
        <v>254740.08962059501</v>
      </c>
      <c r="T116" s="5">
        <v>0.08</v>
      </c>
      <c r="V116">
        <f>SUM($R$2:R116)</f>
        <v>15666.405442436388</v>
      </c>
      <c r="W116">
        <f t="shared" si="28"/>
        <v>33.033368705849931</v>
      </c>
      <c r="Z116">
        <f t="shared" si="22"/>
        <v>1.8617407283885066E-3</v>
      </c>
      <c r="AA116" s="5">
        <v>0.3</v>
      </c>
      <c r="AB116">
        <f t="shared" si="15"/>
        <v>849133.6320686501</v>
      </c>
      <c r="AC116">
        <f t="shared" si="21"/>
        <v>173692.85044558073</v>
      </c>
      <c r="AD116" s="5">
        <v>0.2</v>
      </c>
      <c r="AE116">
        <f t="shared" si="16"/>
        <v>34738.570089116147</v>
      </c>
      <c r="AF116">
        <f t="shared" si="17"/>
        <v>1</v>
      </c>
    </row>
    <row r="117" spans="1:32" x14ac:dyDescent="0.25">
      <c r="A117" s="2">
        <v>116</v>
      </c>
      <c r="B117">
        <f t="shared" si="23"/>
        <v>6978.0147159758035</v>
      </c>
      <c r="C117" s="5">
        <v>0.08</v>
      </c>
      <c r="D117">
        <f t="shared" si="24"/>
        <v>49264.783894789209</v>
      </c>
      <c r="Q117">
        <f t="shared" si="25"/>
        <v>49264.783894789478</v>
      </c>
      <c r="R117">
        <f t="shared" si="26"/>
        <v>338.33470427185938</v>
      </c>
      <c r="S117">
        <f t="shared" si="27"/>
        <v>275119.2967902426</v>
      </c>
      <c r="T117" s="5">
        <v>0.08</v>
      </c>
      <c r="V117">
        <f>SUM($R$2:R117)</f>
        <v>16004.740146708247</v>
      </c>
      <c r="W117">
        <f t="shared" si="28"/>
        <v>33.746763688078794</v>
      </c>
      <c r="Z117">
        <f t="shared" si="22"/>
        <v>1.7238340077671357E-3</v>
      </c>
      <c r="AA117" s="5">
        <v>0.3</v>
      </c>
      <c r="AB117">
        <f t="shared" si="15"/>
        <v>917064.32263414201</v>
      </c>
      <c r="AC117">
        <f t="shared" si="21"/>
        <v>184114.42147231559</v>
      </c>
      <c r="AD117" s="5">
        <v>0.2</v>
      </c>
      <c r="AE117">
        <f t="shared" si="16"/>
        <v>36822.884294463118</v>
      </c>
      <c r="AF117">
        <f t="shared" si="17"/>
        <v>1</v>
      </c>
    </row>
    <row r="118" spans="1:32" x14ac:dyDescent="0.25">
      <c r="A118" s="2">
        <v>117</v>
      </c>
      <c r="B118">
        <f t="shared" si="23"/>
        <v>7536.2558932538677</v>
      </c>
      <c r="C118" s="5">
        <v>0.08</v>
      </c>
      <c r="D118">
        <f t="shared" si="24"/>
        <v>53205.966606372349</v>
      </c>
      <c r="Q118">
        <f t="shared" si="25"/>
        <v>53205.966606372633</v>
      </c>
      <c r="R118">
        <f t="shared" si="26"/>
        <v>344.71837793736609</v>
      </c>
      <c r="S118">
        <f t="shared" si="27"/>
        <v>297128.840533462</v>
      </c>
      <c r="T118" s="5">
        <v>0.08</v>
      </c>
      <c r="V118">
        <f>SUM($R$2:R118)</f>
        <v>16349.458524645614</v>
      </c>
      <c r="W118">
        <f t="shared" si="28"/>
        <v>34.473618952991217</v>
      </c>
      <c r="Z118">
        <f t="shared" si="22"/>
        <v>1.596142599784385E-3</v>
      </c>
      <c r="AA118" s="5">
        <v>0.3</v>
      </c>
      <c r="AB118">
        <f t="shared" si="15"/>
        <v>990429.46844487335</v>
      </c>
      <c r="AC118">
        <f t="shared" si="21"/>
        <v>195161.28676065453</v>
      </c>
      <c r="AD118" s="5">
        <v>0.2</v>
      </c>
      <c r="AE118">
        <f t="shared" si="16"/>
        <v>39032.25735213091</v>
      </c>
      <c r="AF118">
        <f t="shared" si="17"/>
        <v>1</v>
      </c>
    </row>
    <row r="119" spans="1:32" x14ac:dyDescent="0.25">
      <c r="A119" s="2">
        <v>118</v>
      </c>
      <c r="B119">
        <f t="shared" si="23"/>
        <v>8139.1563647141775</v>
      </c>
      <c r="C119" s="5">
        <v>0.08</v>
      </c>
      <c r="D119">
        <f t="shared" si="24"/>
        <v>57462.44393488214</v>
      </c>
      <c r="Q119">
        <f t="shared" si="25"/>
        <v>57462.443934882445</v>
      </c>
      <c r="R119">
        <f t="shared" si="26"/>
        <v>351.22249827580691</v>
      </c>
      <c r="S119">
        <f t="shared" si="27"/>
        <v>320899.14777613897</v>
      </c>
      <c r="T119" s="5">
        <v>0.08</v>
      </c>
      <c r="V119">
        <f>SUM($R$2:R119)</f>
        <v>16700.681022921421</v>
      </c>
      <c r="W119">
        <f t="shared" si="28"/>
        <v>35.214188468185007</v>
      </c>
      <c r="Z119">
        <f t="shared" si="22"/>
        <v>1.4779098146151712E-3</v>
      </c>
      <c r="AA119" s="5">
        <v>0.3</v>
      </c>
      <c r="AB119">
        <f t="shared" si="15"/>
        <v>1069663.8259204633</v>
      </c>
      <c r="AC119">
        <f t="shared" si="21"/>
        <v>206870.96396629381</v>
      </c>
      <c r="AD119" s="5">
        <v>0.2</v>
      </c>
      <c r="AE119">
        <f t="shared" si="16"/>
        <v>41374.192793258764</v>
      </c>
      <c r="AF119">
        <f t="shared" si="17"/>
        <v>1</v>
      </c>
    </row>
    <row r="120" spans="1:32" x14ac:dyDescent="0.25">
      <c r="A120" s="2">
        <v>119</v>
      </c>
      <c r="B120">
        <f t="shared" si="23"/>
        <v>8790.2888738913116</v>
      </c>
      <c r="C120" s="5">
        <v>0.08</v>
      </c>
      <c r="D120">
        <f t="shared" si="24"/>
        <v>62059.439449672711</v>
      </c>
      <c r="Q120">
        <f t="shared" si="25"/>
        <v>62059.439449673038</v>
      </c>
      <c r="R120">
        <f t="shared" si="26"/>
        <v>357.84933786591654</v>
      </c>
      <c r="S120">
        <f t="shared" si="27"/>
        <v>346571.07959823014</v>
      </c>
      <c r="T120" s="5">
        <v>0.08</v>
      </c>
      <c r="V120">
        <f>SUM($R$2:R120)</f>
        <v>17058.530360787336</v>
      </c>
      <c r="W120">
        <f t="shared" si="28"/>
        <v>35.968730993099427</v>
      </c>
      <c r="Z120">
        <f t="shared" si="22"/>
        <v>1.3684350135325658E-3</v>
      </c>
      <c r="AA120" s="5">
        <v>0.3</v>
      </c>
      <c r="AB120">
        <f t="shared" si="15"/>
        <v>1155236.9319941006</v>
      </c>
      <c r="AC120">
        <f t="shared" si="21"/>
        <v>219283.22180427145</v>
      </c>
      <c r="AD120" s="5">
        <v>0.2</v>
      </c>
      <c r="AE120">
        <f t="shared" si="16"/>
        <v>43856.64436085429</v>
      </c>
      <c r="AF120">
        <f t="shared" si="17"/>
        <v>1</v>
      </c>
    </row>
    <row r="121" spans="1:32" x14ac:dyDescent="0.25">
      <c r="A121" s="2">
        <v>120</v>
      </c>
      <c r="B121">
        <f t="shared" si="23"/>
        <v>9493.5119838026167</v>
      </c>
      <c r="C121" s="5">
        <v>0.08</v>
      </c>
      <c r="D121">
        <f t="shared" si="24"/>
        <v>67024.194605646524</v>
      </c>
      <c r="Q121">
        <f t="shared" si="25"/>
        <v>67024.194605646888</v>
      </c>
      <c r="R121">
        <f t="shared" si="26"/>
        <v>364.60121216527341</v>
      </c>
      <c r="S121">
        <f t="shared" si="27"/>
        <v>374296.76596608857</v>
      </c>
      <c r="T121" s="5">
        <v>0.08</v>
      </c>
      <c r="V121">
        <f>SUM($R$2:R121)</f>
        <v>17423.13157295261</v>
      </c>
      <c r="W121">
        <f t="shared" si="28"/>
        <v>36.737510169427338</v>
      </c>
      <c r="Z121">
        <f t="shared" si="22"/>
        <v>1.2670694569745979E-3</v>
      </c>
      <c r="AA121" s="5">
        <v>0.3</v>
      </c>
      <c r="AB121">
        <f t="shared" si="15"/>
        <v>1247655.8865536286</v>
      </c>
      <c r="AC121">
        <f t="shared" si="21"/>
        <v>232440.21511252775</v>
      </c>
      <c r="AD121" s="5">
        <v>0.2</v>
      </c>
      <c r="AE121">
        <f t="shared" si="16"/>
        <v>46488.043022505553</v>
      </c>
      <c r="AF121">
        <f t="shared" si="17"/>
        <v>1</v>
      </c>
    </row>
    <row r="122" spans="1:32" x14ac:dyDescent="0.25">
      <c r="A122" s="2">
        <v>121</v>
      </c>
      <c r="B122">
        <f t="shared" si="23"/>
        <v>10252.992942506826</v>
      </c>
      <c r="C122" s="5">
        <v>0.08</v>
      </c>
      <c r="D122">
        <f t="shared" si="24"/>
        <v>72386.130174098245</v>
      </c>
      <c r="Q122">
        <f t="shared" si="25"/>
        <v>72386.130174098653</v>
      </c>
      <c r="R122">
        <f t="shared" si="26"/>
        <v>371.4804803193353</v>
      </c>
      <c r="S122">
        <f t="shared" si="27"/>
        <v>404240.5072433757</v>
      </c>
      <c r="T122" s="5">
        <v>0.08</v>
      </c>
      <c r="V122">
        <f>SUM($R$2:R122)</f>
        <v>17794.612053271947</v>
      </c>
      <c r="W122">
        <f t="shared" si="28"/>
        <v>37.520794613233136</v>
      </c>
      <c r="Z122">
        <f t="shared" si="22"/>
        <v>1.1732124601616645E-3</v>
      </c>
      <c r="AA122" s="5">
        <v>0.3</v>
      </c>
      <c r="AB122">
        <f t="shared" si="15"/>
        <v>1347468.357477919</v>
      </c>
      <c r="AC122">
        <f t="shared" si="21"/>
        <v>246386.62801927942</v>
      </c>
      <c r="AD122" s="5">
        <v>0.2</v>
      </c>
      <c r="AE122">
        <f t="shared" si="16"/>
        <v>49277.32560385589</v>
      </c>
      <c r="AF122">
        <f t="shared" si="17"/>
        <v>1</v>
      </c>
    </row>
    <row r="123" spans="1:32" x14ac:dyDescent="0.25">
      <c r="A123" s="2">
        <v>122</v>
      </c>
      <c r="B123">
        <f t="shared" si="23"/>
        <v>11073.232377907372</v>
      </c>
      <c r="C123" s="5">
        <v>0.08</v>
      </c>
      <c r="D123">
        <f t="shared" si="24"/>
        <v>78177.020588026106</v>
      </c>
      <c r="Q123">
        <f t="shared" si="25"/>
        <v>78177.020588026542</v>
      </c>
      <c r="R123">
        <f t="shared" si="26"/>
        <v>378.48954598573783</v>
      </c>
      <c r="S123">
        <f t="shared" si="27"/>
        <v>436579.74782284576</v>
      </c>
      <c r="T123" s="5">
        <v>0.08</v>
      </c>
      <c r="V123">
        <f>SUM($R$2:R123)</f>
        <v>18173.101599257683</v>
      </c>
      <c r="W123">
        <f t="shared" si="28"/>
        <v>38.318858008808846</v>
      </c>
      <c r="Z123">
        <f t="shared" si="22"/>
        <v>1.0863078334830227E-3</v>
      </c>
      <c r="AA123" s="5">
        <v>0.3</v>
      </c>
      <c r="AB123">
        <f t="shared" si="15"/>
        <v>1455265.8260761525</v>
      </c>
      <c r="AC123">
        <f t="shared" si="21"/>
        <v>261169.82570043619</v>
      </c>
      <c r="AD123" s="5">
        <v>0.2</v>
      </c>
      <c r="AE123">
        <f t="shared" si="16"/>
        <v>52233.965140087239</v>
      </c>
      <c r="AF123">
        <f t="shared" si="17"/>
        <v>1</v>
      </c>
    </row>
    <row r="124" spans="1:32" x14ac:dyDescent="0.25">
      <c r="A124" s="2">
        <v>123</v>
      </c>
      <c r="B124">
        <f t="shared" si="23"/>
        <v>11959.090968139963</v>
      </c>
      <c r="C124" s="5">
        <v>0.08</v>
      </c>
      <c r="D124">
        <f t="shared" si="24"/>
        <v>84431.18223506819</v>
      </c>
      <c r="Q124">
        <f t="shared" si="25"/>
        <v>84431.182235068671</v>
      </c>
      <c r="R124">
        <f t="shared" si="26"/>
        <v>385.63085817414793</v>
      </c>
      <c r="S124">
        <f t="shared" si="27"/>
        <v>471506.12764867343</v>
      </c>
      <c r="T124" s="5">
        <v>0.08</v>
      </c>
      <c r="V124">
        <f>SUM($R$2:R124)</f>
        <v>18558.73245743183</v>
      </c>
      <c r="W124">
        <f t="shared" si="28"/>
        <v>39.131979204301082</v>
      </c>
      <c r="Z124">
        <f t="shared" si="22"/>
        <v>1.0058405865583544E-3</v>
      </c>
      <c r="AA124" s="5">
        <v>0.3</v>
      </c>
      <c r="AB124">
        <f t="shared" si="15"/>
        <v>1571687.0921622447</v>
      </c>
      <c r="AC124">
        <f t="shared" si="21"/>
        <v>276840.0152424624</v>
      </c>
      <c r="AD124" s="5">
        <v>0.2</v>
      </c>
      <c r="AE124">
        <f t="shared" si="16"/>
        <v>55368.003048492479</v>
      </c>
      <c r="AF124">
        <f t="shared" si="17"/>
        <v>1</v>
      </c>
    </row>
    <row r="125" spans="1:32" x14ac:dyDescent="0.25">
      <c r="A125" s="2">
        <v>124</v>
      </c>
      <c r="B125">
        <f t="shared" si="23"/>
        <v>12915.818245591159</v>
      </c>
      <c r="C125" s="5">
        <v>0.08</v>
      </c>
      <c r="D125">
        <f t="shared" si="24"/>
        <v>91185.676813873652</v>
      </c>
      <c r="Q125">
        <f t="shared" si="25"/>
        <v>91185.676813874161</v>
      </c>
      <c r="R125">
        <f t="shared" si="26"/>
        <v>392.90691210196206</v>
      </c>
      <c r="S125">
        <f t="shared" si="27"/>
        <v>509226.61786056735</v>
      </c>
      <c r="T125" s="5">
        <v>0.08</v>
      </c>
      <c r="V125">
        <f>SUM($R$2:R125)</f>
        <v>18951.639369533794</v>
      </c>
      <c r="W125">
        <f t="shared" si="28"/>
        <v>39.96044230914223</v>
      </c>
      <c r="Z125">
        <f t="shared" si="22"/>
        <v>9.3133387644292063E-4</v>
      </c>
      <c r="AA125" s="5">
        <v>0.3</v>
      </c>
      <c r="AB125">
        <f t="shared" si="15"/>
        <v>1697422.0595352245</v>
      </c>
      <c r="AC125">
        <f t="shared" si="21"/>
        <v>293450.41615701013</v>
      </c>
      <c r="AD125" s="5">
        <v>0.2</v>
      </c>
      <c r="AE125">
        <f t="shared" si="16"/>
        <v>58690.08323140203</v>
      </c>
      <c r="AF125">
        <f t="shared" si="17"/>
        <v>1</v>
      </c>
    </row>
    <row r="126" spans="1:32" x14ac:dyDescent="0.25">
      <c r="A126" s="2">
        <v>125</v>
      </c>
      <c r="B126">
        <f t="shared" si="23"/>
        <v>13949.083705238452</v>
      </c>
      <c r="C126" s="5">
        <v>0.08</v>
      </c>
      <c r="D126">
        <f t="shared" si="24"/>
        <v>98480.530958983538</v>
      </c>
      <c r="Q126">
        <f t="shared" si="25"/>
        <v>98480.530958984091</v>
      </c>
      <c r="R126">
        <f t="shared" si="26"/>
        <v>400.32025006615009</v>
      </c>
      <c r="S126">
        <f t="shared" si="27"/>
        <v>549964.74728941277</v>
      </c>
      <c r="T126" s="5">
        <v>0.08</v>
      </c>
      <c r="V126">
        <f>SUM($R$2:R126)</f>
        <v>19351.959619599944</v>
      </c>
      <c r="W126">
        <f t="shared" si="28"/>
        <v>40.804536793320004</v>
      </c>
      <c r="Z126">
        <f t="shared" si="22"/>
        <v>8.623461818915931E-4</v>
      </c>
      <c r="AA126" s="5">
        <v>0.3</v>
      </c>
      <c r="AB126">
        <f t="shared" si="15"/>
        <v>1833215.8242980426</v>
      </c>
      <c r="AC126">
        <f t="shared" si="21"/>
        <v>311057.44112643076</v>
      </c>
      <c r="AD126" s="5">
        <v>0.2</v>
      </c>
      <c r="AE126">
        <f t="shared" si="16"/>
        <v>62211.488225286157</v>
      </c>
      <c r="AF126">
        <f t="shared" si="17"/>
        <v>1</v>
      </c>
    </row>
    <row r="127" spans="1:32" x14ac:dyDescent="0.25">
      <c r="A127" s="2">
        <v>126</v>
      </c>
      <c r="B127">
        <f t="shared" si="23"/>
        <v>15065.010401657528</v>
      </c>
      <c r="C127" s="5">
        <v>0.08</v>
      </c>
      <c r="D127">
        <f t="shared" si="24"/>
        <v>106358.97343570222</v>
      </c>
      <c r="Q127">
        <f t="shared" si="25"/>
        <v>106358.97343570284</v>
      </c>
      <c r="R127">
        <f t="shared" si="26"/>
        <v>407.87346233154904</v>
      </c>
      <c r="S127">
        <f t="shared" si="27"/>
        <v>593961.92707256589</v>
      </c>
      <c r="T127" s="5">
        <v>0.08</v>
      </c>
      <c r="V127">
        <f>SUM($R$2:R127)</f>
        <v>19759.833081931494</v>
      </c>
      <c r="W127">
        <f t="shared" si="28"/>
        <v>41.664557588519997</v>
      </c>
      <c r="Z127">
        <f t="shared" si="22"/>
        <v>7.9846868693666021E-4</v>
      </c>
      <c r="AA127" s="5">
        <v>0.3</v>
      </c>
      <c r="AB127">
        <f t="shared" si="15"/>
        <v>1979873.0902418864</v>
      </c>
      <c r="AC127">
        <f t="shared" si="21"/>
        <v>329720.88759401662</v>
      </c>
      <c r="AD127" s="5">
        <v>0.2</v>
      </c>
      <c r="AE127">
        <f t="shared" si="16"/>
        <v>65944.177518803321</v>
      </c>
      <c r="AF127">
        <f t="shared" si="17"/>
        <v>1</v>
      </c>
    </row>
    <row r="128" spans="1:32" x14ac:dyDescent="0.25">
      <c r="A128" s="2">
        <v>127</v>
      </c>
      <c r="B128">
        <f t="shared" si="23"/>
        <v>16270.211233790131</v>
      </c>
      <c r="C128" s="5">
        <v>0.08</v>
      </c>
      <c r="D128">
        <f t="shared" si="24"/>
        <v>114867.69131055841</v>
      </c>
      <c r="Q128">
        <f t="shared" si="25"/>
        <v>114867.69131055908</v>
      </c>
      <c r="R128">
        <f t="shared" si="26"/>
        <v>415.56918803591799</v>
      </c>
      <c r="S128">
        <f t="shared" si="27"/>
        <v>641478.88123837125</v>
      </c>
      <c r="T128" s="5">
        <v>0.08</v>
      </c>
      <c r="V128">
        <f>SUM($R$2:R128)</f>
        <v>20175.402269967413</v>
      </c>
      <c r="W128">
        <f t="shared" si="28"/>
        <v>42.540805191176595</v>
      </c>
      <c r="Z128">
        <f t="shared" si="22"/>
        <v>7.393228582746852E-4</v>
      </c>
      <c r="AA128" s="5">
        <v>0.3</v>
      </c>
      <c r="AB128">
        <f t="shared" si="15"/>
        <v>2138262.9374612374</v>
      </c>
      <c r="AC128">
        <f t="shared" si="21"/>
        <v>349504.14084965765</v>
      </c>
      <c r="AD128" s="5">
        <v>0.2</v>
      </c>
      <c r="AE128">
        <f t="shared" si="16"/>
        <v>69900.828169931527</v>
      </c>
      <c r="AF128">
        <f t="shared" si="17"/>
        <v>1</v>
      </c>
    </row>
    <row r="129" spans="1:32" x14ac:dyDescent="0.25">
      <c r="A129" s="2">
        <v>128</v>
      </c>
      <c r="B129">
        <f t="shared" si="23"/>
        <v>17571.828132493341</v>
      </c>
      <c r="C129" s="5">
        <v>0.08</v>
      </c>
      <c r="D129">
        <f t="shared" si="24"/>
        <v>124057.10661540309</v>
      </c>
      <c r="Q129">
        <f t="shared" si="25"/>
        <v>124057.10661540383</v>
      </c>
      <c r="R129">
        <f t="shared" si="26"/>
        <v>423.41011611206733</v>
      </c>
      <c r="S129">
        <f t="shared" si="27"/>
        <v>692797.191737441</v>
      </c>
      <c r="T129" s="5">
        <v>0.08</v>
      </c>
      <c r="V129">
        <f>SUM($R$2:R129)</f>
        <v>20598.81238607948</v>
      </c>
      <c r="W129">
        <f t="shared" si="28"/>
        <v>43.433585767468223</v>
      </c>
      <c r="Z129">
        <f t="shared" si="22"/>
        <v>6.8455820210619001E-4</v>
      </c>
      <c r="AA129" s="5">
        <v>0.3</v>
      </c>
      <c r="AB129">
        <f t="shared" si="15"/>
        <v>2309323.9724581367</v>
      </c>
      <c r="AC129">
        <f t="shared" si="21"/>
        <v>370474.38930063712</v>
      </c>
      <c r="AD129" s="5">
        <v>0.2</v>
      </c>
      <c r="AE129">
        <f t="shared" si="16"/>
        <v>74094.877860127424</v>
      </c>
      <c r="AF129">
        <f t="shared" si="17"/>
        <v>1</v>
      </c>
    </row>
    <row r="130" spans="1:32" x14ac:dyDescent="0.25">
      <c r="A130" s="2">
        <v>129</v>
      </c>
      <c r="B130">
        <f t="shared" si="23"/>
        <v>18977.574383092808</v>
      </c>
      <c r="C130" s="5">
        <v>0.08</v>
      </c>
      <c r="D130">
        <f t="shared" si="24"/>
        <v>133981.67514463534</v>
      </c>
      <c r="Q130">
        <f t="shared" si="25"/>
        <v>133981.67514463613</v>
      </c>
      <c r="R130">
        <f t="shared" si="26"/>
        <v>431.39898622738957</v>
      </c>
      <c r="S130">
        <f t="shared" si="27"/>
        <v>748220.96707643638</v>
      </c>
      <c r="T130" s="5">
        <v>0.08</v>
      </c>
      <c r="V130">
        <f>SUM($R$2:R130)</f>
        <v>21030.211372306869</v>
      </c>
      <c r="W130">
        <f t="shared" si="28"/>
        <v>44.343211260293657</v>
      </c>
      <c r="Z130">
        <f t="shared" si="22"/>
        <v>6.3385018713536096E-4</v>
      </c>
      <c r="AA130" s="5">
        <v>0.3</v>
      </c>
      <c r="AB130">
        <f t="shared" si="15"/>
        <v>2494069.8902547881</v>
      </c>
      <c r="AC130">
        <f t="shared" si="21"/>
        <v>392702.85265867534</v>
      </c>
      <c r="AD130" s="5">
        <v>0.2</v>
      </c>
      <c r="AE130">
        <f t="shared" si="16"/>
        <v>78540.570531735066</v>
      </c>
      <c r="AF130">
        <f t="shared" si="17"/>
        <v>1</v>
      </c>
    </row>
    <row r="131" spans="1:32" x14ac:dyDescent="0.25">
      <c r="A131" s="2">
        <v>130</v>
      </c>
      <c r="B131">
        <f t="shared" si="23"/>
        <v>20495.780333740233</v>
      </c>
      <c r="C131" s="5">
        <v>0.08</v>
      </c>
      <c r="D131">
        <f t="shared" si="24"/>
        <v>144700.20915620617</v>
      </c>
      <c r="Q131">
        <f t="shared" si="25"/>
        <v>144700.20915620704</v>
      </c>
      <c r="R131">
        <f t="shared" si="26"/>
        <v>439.53858974111381</v>
      </c>
      <c r="S131">
        <f t="shared" si="27"/>
        <v>808078.6444425513</v>
      </c>
      <c r="T131" s="5">
        <v>0.08</v>
      </c>
      <c r="V131">
        <f>SUM($R$2:R131)</f>
        <v>21469.749962047983</v>
      </c>
      <c r="W131">
        <f t="shared" si="28"/>
        <v>45.269999498266742</v>
      </c>
      <c r="Z131">
        <f t="shared" si="22"/>
        <v>5.8689832142163061E-4</v>
      </c>
      <c r="AA131" s="5">
        <v>0.3</v>
      </c>
      <c r="AB131">
        <f t="shared" ref="AB131:AB194" si="29">S131/AA131</f>
        <v>2693595.4814751712</v>
      </c>
      <c r="AC131">
        <f t="shared" si="21"/>
        <v>416265.02381819586</v>
      </c>
      <c r="AD131" s="5">
        <v>0.2</v>
      </c>
      <c r="AE131">
        <f t="shared" ref="AE131:AE194" si="30">AC131*AD131</f>
        <v>83253.004763639183</v>
      </c>
      <c r="AF131">
        <f t="shared" ref="AF131:AF194" si="31">IF(AB131&gt;AE131, 1, 0)</f>
        <v>1</v>
      </c>
    </row>
    <row r="132" spans="1:32" x14ac:dyDescent="0.25">
      <c r="A132" s="2">
        <v>131</v>
      </c>
      <c r="B132">
        <f t="shared" si="23"/>
        <v>22135.442760439451</v>
      </c>
      <c r="C132" s="5">
        <v>0.08</v>
      </c>
      <c r="D132">
        <f t="shared" si="24"/>
        <v>156276.22588870267</v>
      </c>
      <c r="Q132">
        <f t="shared" si="25"/>
        <v>156276.2258887036</v>
      </c>
      <c r="R132">
        <f t="shared" si="26"/>
        <v>447.83177067962544</v>
      </c>
      <c r="S132">
        <f t="shared" si="27"/>
        <v>872724.9359979555</v>
      </c>
      <c r="T132" s="5">
        <v>0.08</v>
      </c>
      <c r="V132">
        <f>SUM($R$2:R132)</f>
        <v>21917.581732727609</v>
      </c>
      <c r="W132">
        <f t="shared" si="28"/>
        <v>46.214274306767614</v>
      </c>
      <c r="Z132">
        <f t="shared" si="22"/>
        <v>5.4342437168669491E-4</v>
      </c>
      <c r="AA132" s="5">
        <v>0.3</v>
      </c>
      <c r="AB132">
        <f t="shared" si="29"/>
        <v>2909083.1199931852</v>
      </c>
      <c r="AC132">
        <f t="shared" ref="AC132:AC195" si="32">AC131*(1+$U$2)</f>
        <v>441240.92524728761</v>
      </c>
      <c r="AD132" s="5">
        <v>0.2</v>
      </c>
      <c r="AE132">
        <f t="shared" si="30"/>
        <v>88248.185049457534</v>
      </c>
      <c r="AF132">
        <f t="shared" si="31"/>
        <v>1</v>
      </c>
    </row>
    <row r="133" spans="1:32" x14ac:dyDescent="0.25">
      <c r="A133" s="2">
        <v>132</v>
      </c>
      <c r="B133">
        <f t="shared" si="23"/>
        <v>23906.278181274607</v>
      </c>
      <c r="C133" s="5">
        <v>0.08</v>
      </c>
      <c r="D133">
        <f t="shared" si="24"/>
        <v>168778.32395979887</v>
      </c>
      <c r="Q133">
        <f t="shared" si="25"/>
        <v>168778.32395979989</v>
      </c>
      <c r="R133">
        <f t="shared" si="26"/>
        <v>456.28142673018436</v>
      </c>
      <c r="S133">
        <f t="shared" si="27"/>
        <v>942542.93087779195</v>
      </c>
      <c r="T133" s="5">
        <v>0.08</v>
      </c>
      <c r="V133">
        <f>SUM($R$2:R133)</f>
        <v>22373.863159457793</v>
      </c>
      <c r="W133">
        <f t="shared" si="28"/>
        <v>47.176365621089261</v>
      </c>
      <c r="Z133">
        <f t="shared" si="22"/>
        <v>5.0317071452471755E-4</v>
      </c>
      <c r="AA133" s="5">
        <v>0.3</v>
      </c>
      <c r="AB133">
        <f t="shared" si="29"/>
        <v>3141809.76959264</v>
      </c>
      <c r="AC133">
        <f t="shared" si="32"/>
        <v>467715.3807621249</v>
      </c>
      <c r="AD133" s="5">
        <v>0.2</v>
      </c>
      <c r="AE133">
        <f t="shared" si="30"/>
        <v>93543.076152424983</v>
      </c>
      <c r="AF133">
        <f t="shared" si="31"/>
        <v>1</v>
      </c>
    </row>
    <row r="134" spans="1:32" x14ac:dyDescent="0.25">
      <c r="A134" s="2">
        <v>133</v>
      </c>
      <c r="B134">
        <f t="shared" si="23"/>
        <v>25818.780435776574</v>
      </c>
      <c r="C134" s="5">
        <v>0.08</v>
      </c>
      <c r="D134">
        <f t="shared" si="24"/>
        <v>182280.58987658279</v>
      </c>
      <c r="Q134">
        <f t="shared" si="25"/>
        <v>182280.58987658392</v>
      </c>
      <c r="R134">
        <f t="shared" si="26"/>
        <v>464.89051025339541</v>
      </c>
      <c r="S134">
        <f t="shared" si="27"/>
        <v>1017946.3653480153</v>
      </c>
      <c r="T134" s="5">
        <v>0.08</v>
      </c>
      <c r="V134">
        <f>SUM($R$2:R134)</f>
        <v>22838.753669711186</v>
      </c>
      <c r="W134">
        <f t="shared" si="28"/>
        <v>48.156609601718863</v>
      </c>
      <c r="Z134">
        <f t="shared" si="22"/>
        <v>4.6589880974510876E-4</v>
      </c>
      <c r="AA134" s="5">
        <v>0.3</v>
      </c>
      <c r="AB134">
        <f t="shared" si="29"/>
        <v>3393154.551160051</v>
      </c>
      <c r="AC134">
        <f t="shared" si="32"/>
        <v>495778.30360785243</v>
      </c>
      <c r="AD134" s="5">
        <v>0.2</v>
      </c>
      <c r="AE134">
        <f t="shared" si="30"/>
        <v>99155.660721570486</v>
      </c>
      <c r="AF134">
        <f t="shared" si="31"/>
        <v>1</v>
      </c>
    </row>
    <row r="135" spans="1:32" x14ac:dyDescent="0.25">
      <c r="A135" s="2">
        <v>134</v>
      </c>
      <c r="B135">
        <f t="shared" si="23"/>
        <v>27884.282870638701</v>
      </c>
      <c r="C135" s="5">
        <v>0.08</v>
      </c>
      <c r="D135">
        <f t="shared" si="24"/>
        <v>196863.03706670942</v>
      </c>
      <c r="Q135">
        <f t="shared" si="25"/>
        <v>196863.03706671062</v>
      </c>
      <c r="R135">
        <f t="shared" si="26"/>
        <v>473.66202931478023</v>
      </c>
      <c r="S135">
        <f t="shared" si="27"/>
        <v>1099382.0745758566</v>
      </c>
      <c r="T135" s="5">
        <v>0.08</v>
      </c>
      <c r="V135">
        <f>SUM($R$2:R135)</f>
        <v>23312.415699025965</v>
      </c>
      <c r="W135">
        <f t="shared" si="28"/>
        <v>49.1553487517943</v>
      </c>
      <c r="Z135">
        <f t="shared" si="22"/>
        <v>4.3138778680102666E-4</v>
      </c>
      <c r="AA135" s="5">
        <v>0.3</v>
      </c>
      <c r="AB135">
        <f t="shared" si="29"/>
        <v>3664606.9152528555</v>
      </c>
      <c r="AC135">
        <f t="shared" si="32"/>
        <v>525525.00182432355</v>
      </c>
      <c r="AD135" s="5">
        <v>0.2</v>
      </c>
      <c r="AE135">
        <f t="shared" si="30"/>
        <v>105105.00036486471</v>
      </c>
      <c r="AF135">
        <f t="shared" si="31"/>
        <v>1</v>
      </c>
    </row>
    <row r="136" spans="1:32" x14ac:dyDescent="0.25">
      <c r="A136" s="2">
        <v>135</v>
      </c>
      <c r="B136">
        <f t="shared" si="23"/>
        <v>30115.025500289797</v>
      </c>
      <c r="C136" s="5">
        <v>0.08</v>
      </c>
      <c r="D136">
        <f t="shared" si="24"/>
        <v>212612.08003204619</v>
      </c>
      <c r="Q136">
        <f t="shared" si="25"/>
        <v>212612.0800320475</v>
      </c>
      <c r="R136">
        <f t="shared" si="26"/>
        <v>482.59904873581371</v>
      </c>
      <c r="S136">
        <f t="shared" si="27"/>
        <v>1187332.6405419251</v>
      </c>
      <c r="T136" s="5">
        <v>0.08</v>
      </c>
      <c r="V136">
        <f>SUM($R$2:R136)</f>
        <v>23795.014747761779</v>
      </c>
      <c r="W136">
        <f t="shared" si="28"/>
        <v>50.172932036776828</v>
      </c>
      <c r="Z136">
        <f t="shared" si="22"/>
        <v>3.9943313592687651E-4</v>
      </c>
      <c r="AA136" s="5">
        <v>0.3</v>
      </c>
      <c r="AB136">
        <f t="shared" si="29"/>
        <v>3957775.4684730838</v>
      </c>
      <c r="AC136">
        <f t="shared" si="32"/>
        <v>557056.50193378294</v>
      </c>
      <c r="AD136" s="5">
        <v>0.2</v>
      </c>
      <c r="AE136">
        <f t="shared" si="30"/>
        <v>111411.3003867566</v>
      </c>
      <c r="AF136">
        <f t="shared" si="31"/>
        <v>1</v>
      </c>
    </row>
    <row r="137" spans="1:32" x14ac:dyDescent="0.25">
      <c r="A137" s="2">
        <v>136</v>
      </c>
      <c r="B137">
        <f t="shared" si="23"/>
        <v>32524.227540312982</v>
      </c>
      <c r="C137" s="5">
        <v>0.08</v>
      </c>
      <c r="D137">
        <f t="shared" si="24"/>
        <v>229621.04643460989</v>
      </c>
      <c r="Q137">
        <f t="shared" si="25"/>
        <v>229621.04643461131</v>
      </c>
      <c r="R137">
        <f t="shared" si="26"/>
        <v>491.70469116479137</v>
      </c>
      <c r="S137">
        <f t="shared" si="27"/>
        <v>1282319.2517852793</v>
      </c>
      <c r="T137" s="5">
        <v>0.08</v>
      </c>
      <c r="V137">
        <f>SUM($R$2:R137)</f>
        <v>24286.719438926571</v>
      </c>
      <c r="W137">
        <f t="shared" si="28"/>
        <v>51.209715006381671</v>
      </c>
      <c r="Z137">
        <f t="shared" si="22"/>
        <v>3.6984549622858935E-4</v>
      </c>
      <c r="AA137" s="5">
        <v>0.3</v>
      </c>
      <c r="AB137">
        <f t="shared" si="29"/>
        <v>4274397.5059509315</v>
      </c>
      <c r="AC137">
        <f t="shared" si="32"/>
        <v>590479.89204980992</v>
      </c>
      <c r="AD137" s="5">
        <v>0.2</v>
      </c>
      <c r="AE137">
        <f t="shared" si="30"/>
        <v>118095.97840996199</v>
      </c>
      <c r="AF137">
        <f t="shared" si="31"/>
        <v>1</v>
      </c>
    </row>
    <row r="138" spans="1:32" x14ac:dyDescent="0.25">
      <c r="A138" s="2">
        <v>137</v>
      </c>
      <c r="B138">
        <f t="shared" si="23"/>
        <v>35126.165743538018</v>
      </c>
      <c r="C138" s="5">
        <v>0.08</v>
      </c>
      <c r="D138">
        <f t="shared" si="24"/>
        <v>247990.73014937868</v>
      </c>
      <c r="Q138">
        <f t="shared" si="25"/>
        <v>247990.73014938019</v>
      </c>
      <c r="R138">
        <f t="shared" si="26"/>
        <v>500.98213816790076</v>
      </c>
      <c r="S138">
        <f t="shared" si="27"/>
        <v>1384904.7919281018</v>
      </c>
      <c r="T138" s="5">
        <v>0.08</v>
      </c>
      <c r="V138">
        <f>SUM($R$2:R138)</f>
        <v>24787.701577094471</v>
      </c>
      <c r="W138">
        <f t="shared" si="28"/>
        <v>52.266059918809241</v>
      </c>
      <c r="Z138">
        <f t="shared" si="22"/>
        <v>3.4244953354499008E-4</v>
      </c>
      <c r="AA138" s="5">
        <v>0.3</v>
      </c>
      <c r="AB138">
        <f t="shared" si="29"/>
        <v>4616349.3064270066</v>
      </c>
      <c r="AC138">
        <f t="shared" si="32"/>
        <v>625908.6855727986</v>
      </c>
      <c r="AD138" s="5">
        <v>0.2</v>
      </c>
      <c r="AE138">
        <f t="shared" si="30"/>
        <v>125181.73711455973</v>
      </c>
      <c r="AF138">
        <f t="shared" si="31"/>
        <v>1</v>
      </c>
    </row>
    <row r="139" spans="1:32" x14ac:dyDescent="0.25">
      <c r="A139" s="2">
        <v>138</v>
      </c>
      <c r="B139">
        <f t="shared" si="23"/>
        <v>37936.259003021063</v>
      </c>
      <c r="C139" s="5">
        <v>0.08</v>
      </c>
      <c r="D139">
        <f t="shared" si="24"/>
        <v>267829.98856132897</v>
      </c>
      <c r="Q139">
        <f t="shared" si="25"/>
        <v>267829.98856133065</v>
      </c>
      <c r="R139">
        <f t="shared" si="26"/>
        <v>510.43463134088006</v>
      </c>
      <c r="S139">
        <f t="shared" si="27"/>
        <v>1495697.17528235</v>
      </c>
      <c r="T139" s="5">
        <v>0.08</v>
      </c>
      <c r="V139">
        <f>SUM($R$2:R139)</f>
        <v>25298.13620843535</v>
      </c>
      <c r="W139">
        <f t="shared" si="28"/>
        <v>53.342335867320351</v>
      </c>
      <c r="Z139">
        <f t="shared" si="22"/>
        <v>3.1708290143054636E-4</v>
      </c>
      <c r="AA139" s="5">
        <v>0.3</v>
      </c>
      <c r="AB139">
        <f t="shared" si="29"/>
        <v>4985657.2509411667</v>
      </c>
      <c r="AC139">
        <f t="shared" si="32"/>
        <v>663463.20670716651</v>
      </c>
      <c r="AD139" s="5">
        <v>0.2</v>
      </c>
      <c r="AE139">
        <f t="shared" si="30"/>
        <v>132692.64134143331</v>
      </c>
      <c r="AF139">
        <f t="shared" si="31"/>
        <v>1</v>
      </c>
    </row>
    <row r="140" spans="1:32" x14ac:dyDescent="0.25">
      <c r="A140" s="2">
        <v>139</v>
      </c>
      <c r="B140">
        <f t="shared" si="23"/>
        <v>40971.159723262746</v>
      </c>
      <c r="C140" s="5">
        <v>0.08</v>
      </c>
      <c r="D140">
        <f t="shared" si="24"/>
        <v>289256.38764623529</v>
      </c>
      <c r="Q140">
        <f t="shared" si="25"/>
        <v>289256.38764623716</v>
      </c>
      <c r="R140">
        <f t="shared" si="26"/>
        <v>520.06547344165131</v>
      </c>
      <c r="S140">
        <f t="shared" si="27"/>
        <v>1615352.9493049381</v>
      </c>
      <c r="T140" s="5">
        <v>0.08</v>
      </c>
      <c r="V140">
        <f>SUM($R$2:R140)</f>
        <v>25818.201681877003</v>
      </c>
      <c r="W140">
        <f t="shared" si="28"/>
        <v>54.4389189091996</v>
      </c>
      <c r="Z140">
        <f t="shared" si="22"/>
        <v>2.9359527910235772E-4</v>
      </c>
      <c r="AA140" s="5">
        <v>0.3</v>
      </c>
      <c r="AB140">
        <f t="shared" si="29"/>
        <v>5384509.8310164604</v>
      </c>
      <c r="AC140">
        <f t="shared" si="32"/>
        <v>703270.99910959648</v>
      </c>
      <c r="AD140" s="5">
        <v>0.2</v>
      </c>
      <c r="AE140">
        <f t="shared" si="30"/>
        <v>140654.19982191929</v>
      </c>
      <c r="AF140">
        <f t="shared" si="31"/>
        <v>1</v>
      </c>
    </row>
    <row r="141" spans="1:32" x14ac:dyDescent="0.25">
      <c r="A141" s="2">
        <v>140</v>
      </c>
      <c r="B141">
        <f t="shared" si="23"/>
        <v>44248.852501123765</v>
      </c>
      <c r="C141" s="5">
        <v>0.08</v>
      </c>
      <c r="D141">
        <f t="shared" si="24"/>
        <v>312396.8986579341</v>
      </c>
      <c r="Q141">
        <f t="shared" si="25"/>
        <v>312396.89865793608</v>
      </c>
      <c r="R141">
        <f t="shared" si="26"/>
        <v>529.87802954432402</v>
      </c>
      <c r="S141">
        <f t="shared" si="27"/>
        <v>1744581.1852493333</v>
      </c>
      <c r="T141" s="5">
        <v>0.08</v>
      </c>
      <c r="V141">
        <f>SUM($R$2:R141)</f>
        <v>26348.079711421327</v>
      </c>
      <c r="W141">
        <f t="shared" si="28"/>
        <v>55.556192197152043</v>
      </c>
      <c r="Z141">
        <f t="shared" si="22"/>
        <v>2.718474806503312E-4</v>
      </c>
      <c r="AA141" s="5">
        <v>0.3</v>
      </c>
      <c r="AB141">
        <f t="shared" si="29"/>
        <v>5815270.6174977776</v>
      </c>
      <c r="AC141">
        <f t="shared" si="32"/>
        <v>745467.25905617233</v>
      </c>
      <c r="AD141" s="5">
        <v>0.2</v>
      </c>
      <c r="AE141">
        <f t="shared" si="30"/>
        <v>149093.45181123447</v>
      </c>
      <c r="AF141">
        <f t="shared" si="31"/>
        <v>1</v>
      </c>
    </row>
    <row r="142" spans="1:32" x14ac:dyDescent="0.25">
      <c r="A142" s="2">
        <v>141</v>
      </c>
      <c r="B142">
        <f t="shared" si="23"/>
        <v>47788.760701213665</v>
      </c>
      <c r="C142" s="5">
        <v>0.08</v>
      </c>
      <c r="D142">
        <f t="shared" si="24"/>
        <v>337388.65055056883</v>
      </c>
      <c r="Q142">
        <f t="shared" si="25"/>
        <v>337388.65055057098</v>
      </c>
      <c r="R142">
        <f t="shared" si="26"/>
        <v>539.87572821497156</v>
      </c>
      <c r="S142">
        <f t="shared" si="27"/>
        <v>1884147.6800692801</v>
      </c>
      <c r="T142" s="5">
        <v>0.08</v>
      </c>
      <c r="V142">
        <f>SUM($R$2:R142)</f>
        <v>26887.955439636298</v>
      </c>
      <c r="W142">
        <f t="shared" si="28"/>
        <v>56.694546113179058</v>
      </c>
      <c r="Z142">
        <f t="shared" si="22"/>
        <v>2.5171063023178813E-4</v>
      </c>
      <c r="AA142" s="5">
        <v>0.3</v>
      </c>
      <c r="AB142">
        <f t="shared" si="29"/>
        <v>6280492.2668976001</v>
      </c>
      <c r="AC142">
        <f t="shared" si="32"/>
        <v>790195.29459954274</v>
      </c>
      <c r="AD142" s="5">
        <v>0.2</v>
      </c>
      <c r="AE142">
        <f t="shared" si="30"/>
        <v>158039.05891990857</v>
      </c>
      <c r="AF142">
        <f t="shared" si="31"/>
        <v>1</v>
      </c>
    </row>
    <row r="143" spans="1:32" x14ac:dyDescent="0.25">
      <c r="A143" s="2">
        <v>142</v>
      </c>
      <c r="B143">
        <f t="shared" si="23"/>
        <v>51611.86155731076</v>
      </c>
      <c r="C143" s="5">
        <v>0.08</v>
      </c>
      <c r="D143">
        <f t="shared" si="24"/>
        <v>364379.74259461433</v>
      </c>
      <c r="Q143">
        <f t="shared" si="25"/>
        <v>364379.74259461666</v>
      </c>
      <c r="R143">
        <f t="shared" si="26"/>
        <v>550.06206270959376</v>
      </c>
      <c r="S143">
        <f t="shared" si="27"/>
        <v>2034879.4944748227</v>
      </c>
      <c r="T143" s="5">
        <v>0.08</v>
      </c>
      <c r="V143">
        <f>SUM($R$2:R143)</f>
        <v>27438.017502345891</v>
      </c>
      <c r="W143">
        <f t="shared" si="28"/>
        <v>57.85437840498016</v>
      </c>
      <c r="Z143">
        <f t="shared" ref="Z143:Z201" si="33">$W$2/S143</f>
        <v>2.3306539836276676E-4</v>
      </c>
      <c r="AA143" s="5">
        <v>0.3</v>
      </c>
      <c r="AB143">
        <f t="shared" si="29"/>
        <v>6782931.6482494092</v>
      </c>
      <c r="AC143">
        <f t="shared" si="32"/>
        <v>837607.01227551536</v>
      </c>
      <c r="AD143" s="5">
        <v>0.2</v>
      </c>
      <c r="AE143">
        <f t="shared" si="30"/>
        <v>167521.40245510309</v>
      </c>
      <c r="AF143">
        <f t="shared" si="31"/>
        <v>1</v>
      </c>
    </row>
    <row r="144" spans="1:32" x14ac:dyDescent="0.25">
      <c r="A144" s="2">
        <v>143</v>
      </c>
      <c r="B144">
        <f t="shared" si="23"/>
        <v>55740.81048189562</v>
      </c>
      <c r="C144" s="5">
        <v>0.08</v>
      </c>
      <c r="D144">
        <f t="shared" si="24"/>
        <v>393530.12200218346</v>
      </c>
      <c r="Q144">
        <f t="shared" si="25"/>
        <v>393530.12200218608</v>
      </c>
      <c r="R144">
        <f t="shared" si="26"/>
        <v>560.44059219468033</v>
      </c>
      <c r="S144">
        <f t="shared" si="27"/>
        <v>2197669.8540328084</v>
      </c>
      <c r="T144" s="5">
        <v>0.08</v>
      </c>
      <c r="V144">
        <f>SUM($R$2:R144)</f>
        <v>27998.458094540572</v>
      </c>
      <c r="W144">
        <f t="shared" si="28"/>
        <v>59.036094324928463</v>
      </c>
      <c r="Z144">
        <f t="shared" si="33"/>
        <v>2.158012947803396E-4</v>
      </c>
      <c r="AA144" s="5">
        <v>0.3</v>
      </c>
      <c r="AB144">
        <f t="shared" si="29"/>
        <v>7325566.1801093621</v>
      </c>
      <c r="AC144">
        <f t="shared" si="32"/>
        <v>887863.43301204627</v>
      </c>
      <c r="AD144" s="5">
        <v>0.2</v>
      </c>
      <c r="AE144">
        <f t="shared" si="30"/>
        <v>177572.68660240926</v>
      </c>
      <c r="AF144">
        <f t="shared" si="31"/>
        <v>1</v>
      </c>
    </row>
    <row r="145" spans="1:32" x14ac:dyDescent="0.25">
      <c r="A145" s="2">
        <v>144</v>
      </c>
      <c r="B145">
        <f t="shared" si="23"/>
        <v>60200.075320447271</v>
      </c>
      <c r="C145" s="5">
        <v>0.08</v>
      </c>
      <c r="D145">
        <f t="shared" si="24"/>
        <v>425012.53176235815</v>
      </c>
      <c r="Q145">
        <f t="shared" si="25"/>
        <v>425012.531762361</v>
      </c>
      <c r="R145">
        <f t="shared" si="26"/>
        <v>571.01494299080628</v>
      </c>
      <c r="S145">
        <f t="shared" si="27"/>
        <v>2373483.4423554335</v>
      </c>
      <c r="T145" s="5">
        <v>0.08</v>
      </c>
      <c r="V145">
        <f>SUM($R$2:R145)</f>
        <v>28569.473037531377</v>
      </c>
      <c r="W145">
        <f t="shared" si="28"/>
        <v>60.240106771668238</v>
      </c>
      <c r="Z145">
        <f t="shared" si="33"/>
        <v>1.9981601368549961E-4</v>
      </c>
      <c r="AA145" s="5">
        <v>0.3</v>
      </c>
      <c r="AB145">
        <f t="shared" si="29"/>
        <v>7911611.4745181119</v>
      </c>
      <c r="AC145">
        <f t="shared" si="32"/>
        <v>941135.23899276904</v>
      </c>
      <c r="AD145" s="5">
        <v>0.2</v>
      </c>
      <c r="AE145">
        <f t="shared" si="30"/>
        <v>188227.04779855383</v>
      </c>
      <c r="AF145">
        <f t="shared" si="31"/>
        <v>1</v>
      </c>
    </row>
    <row r="146" spans="1:32" x14ac:dyDescent="0.25">
      <c r="A146" s="2">
        <v>145</v>
      </c>
      <c r="B146">
        <f t="shared" si="23"/>
        <v>65016.081346083054</v>
      </c>
      <c r="C146" s="5">
        <v>0.08</v>
      </c>
      <c r="D146">
        <f t="shared" si="24"/>
        <v>459013.53430334682</v>
      </c>
      <c r="Q146">
        <f t="shared" si="25"/>
        <v>459013.53430334991</v>
      </c>
      <c r="R146">
        <f t="shared" si="26"/>
        <v>581.78880983968975</v>
      </c>
      <c r="S146">
        <f t="shared" si="27"/>
        <v>2563362.1177438684</v>
      </c>
      <c r="T146" s="5">
        <v>0.08</v>
      </c>
      <c r="V146">
        <f>SUM($R$2:R146)</f>
        <v>29151.261847371068</v>
      </c>
      <c r="W146">
        <f t="shared" si="28"/>
        <v>61.466836434384241</v>
      </c>
      <c r="Z146">
        <f t="shared" si="33"/>
        <v>1.8501482748657368E-4</v>
      </c>
      <c r="AA146" s="5">
        <v>0.3</v>
      </c>
      <c r="AB146">
        <f t="shared" si="29"/>
        <v>8544540.3924795613</v>
      </c>
      <c r="AC146">
        <f t="shared" si="32"/>
        <v>997603.35333233525</v>
      </c>
      <c r="AD146" s="5">
        <v>0.2</v>
      </c>
      <c r="AE146">
        <f t="shared" si="30"/>
        <v>199520.67066646705</v>
      </c>
      <c r="AF146">
        <f t="shared" si="31"/>
        <v>1</v>
      </c>
    </row>
    <row r="147" spans="1:32" x14ac:dyDescent="0.25">
      <c r="A147" s="2">
        <v>146</v>
      </c>
      <c r="B147">
        <f t="shared" si="23"/>
        <v>70217.367853769698</v>
      </c>
      <c r="C147" s="5">
        <v>0.08</v>
      </c>
      <c r="D147">
        <f t="shared" si="24"/>
        <v>495734.61704761459</v>
      </c>
      <c r="Q147">
        <f t="shared" si="25"/>
        <v>495734.61704761785</v>
      </c>
      <c r="R147">
        <f t="shared" si="26"/>
        <v>592.76595719515547</v>
      </c>
      <c r="S147">
        <f t="shared" si="27"/>
        <v>2768431.087163378</v>
      </c>
      <c r="T147" s="5">
        <v>0.08</v>
      </c>
      <c r="V147">
        <f>SUM($R$2:R147)</f>
        <v>29744.027804566223</v>
      </c>
      <c r="W147">
        <f t="shared" si="28"/>
        <v>62.716711939792994</v>
      </c>
      <c r="Z147">
        <f t="shared" si="33"/>
        <v>1.7131002545053118E-4</v>
      </c>
      <c r="AA147" s="5">
        <v>0.3</v>
      </c>
      <c r="AB147">
        <f t="shared" si="29"/>
        <v>9228103.6238779277</v>
      </c>
      <c r="AC147">
        <f t="shared" si="32"/>
        <v>1057459.5545322753</v>
      </c>
      <c r="AD147" s="5">
        <v>0.2</v>
      </c>
      <c r="AE147">
        <f t="shared" si="30"/>
        <v>211491.91090645507</v>
      </c>
      <c r="AF147">
        <f t="shared" si="31"/>
        <v>1</v>
      </c>
    </row>
    <row r="148" spans="1:32" x14ac:dyDescent="0.25">
      <c r="A148" s="2">
        <v>147</v>
      </c>
      <c r="B148">
        <f t="shared" si="23"/>
        <v>75834.757282071281</v>
      </c>
      <c r="C148" s="5">
        <v>0.08</v>
      </c>
      <c r="D148">
        <f t="shared" si="24"/>
        <v>535393.38641142379</v>
      </c>
      <c r="Q148">
        <f t="shared" si="25"/>
        <v>535393.38641142729</v>
      </c>
      <c r="R148">
        <f t="shared" si="26"/>
        <v>603.95022053846037</v>
      </c>
      <c r="S148">
        <f t="shared" si="27"/>
        <v>2989905.5741364486</v>
      </c>
      <c r="T148" s="5">
        <v>0.08</v>
      </c>
      <c r="V148">
        <f>SUM($R$2:R148)</f>
        <v>30347.978025104683</v>
      </c>
      <c r="W148">
        <f t="shared" si="28"/>
        <v>63.990170001907572</v>
      </c>
      <c r="Z148">
        <f t="shared" si="33"/>
        <v>1.5862039393567699E-4</v>
      </c>
      <c r="AA148" s="5">
        <v>0.3</v>
      </c>
      <c r="AB148">
        <f t="shared" si="29"/>
        <v>9966351.9137881622</v>
      </c>
      <c r="AC148">
        <f t="shared" si="32"/>
        <v>1120907.1278042118</v>
      </c>
      <c r="AD148" s="5">
        <v>0.2</v>
      </c>
      <c r="AE148">
        <f t="shared" si="30"/>
        <v>224181.42556084238</v>
      </c>
      <c r="AF148">
        <f t="shared" si="31"/>
        <v>1</v>
      </c>
    </row>
    <row r="149" spans="1:32" x14ac:dyDescent="0.25">
      <c r="A149" s="2">
        <v>148</v>
      </c>
      <c r="B149">
        <f t="shared" si="23"/>
        <v>81901.537864636979</v>
      </c>
      <c r="C149" s="5">
        <v>0.08</v>
      </c>
      <c r="D149">
        <f t="shared" si="24"/>
        <v>578224.8573243377</v>
      </c>
      <c r="Q149">
        <f t="shared" si="25"/>
        <v>578224.85732434154</v>
      </c>
      <c r="R149">
        <f t="shared" si="26"/>
        <v>615.34550771843124</v>
      </c>
      <c r="S149">
        <f t="shared" si="27"/>
        <v>3229098.0200673644</v>
      </c>
      <c r="T149" s="5">
        <v>0.08</v>
      </c>
      <c r="V149">
        <f>SUM($R$2:R149)</f>
        <v>30963.323532823113</v>
      </c>
      <c r="W149">
        <f t="shared" si="28"/>
        <v>65.287655574628076</v>
      </c>
      <c r="Z149">
        <f t="shared" si="33"/>
        <v>1.4687073512562686E-4</v>
      </c>
      <c r="AA149" s="5">
        <v>0.3</v>
      </c>
      <c r="AB149">
        <f t="shared" si="29"/>
        <v>10763660.066891216</v>
      </c>
      <c r="AC149">
        <f t="shared" si="32"/>
        <v>1188161.5554724645</v>
      </c>
      <c r="AD149" s="5">
        <v>0.2</v>
      </c>
      <c r="AE149">
        <f t="shared" si="30"/>
        <v>237632.31109449291</v>
      </c>
      <c r="AF149">
        <f t="shared" si="31"/>
        <v>1</v>
      </c>
    </row>
    <row r="150" spans="1:32" x14ac:dyDescent="0.25">
      <c r="A150" s="2">
        <v>149</v>
      </c>
      <c r="B150">
        <f t="shared" si="23"/>
        <v>88453.660893807944</v>
      </c>
      <c r="C150" s="5">
        <v>0.08</v>
      </c>
      <c r="D150">
        <f t="shared" si="24"/>
        <v>624482.84591028467</v>
      </c>
      <c r="Q150">
        <f t="shared" si="25"/>
        <v>624482.84591028886</v>
      </c>
      <c r="R150">
        <f t="shared" si="26"/>
        <v>626.95580031689224</v>
      </c>
      <c r="S150">
        <f t="shared" si="27"/>
        <v>3487425.8616727539</v>
      </c>
      <c r="T150" s="5">
        <v>0.08</v>
      </c>
      <c r="V150">
        <f>SUM($R$2:R150)</f>
        <v>31590.279333140006</v>
      </c>
      <c r="W150">
        <f t="shared" si="28"/>
        <v>66.609622007211243</v>
      </c>
      <c r="Z150">
        <f t="shared" si="33"/>
        <v>1.3599142141261744E-4</v>
      </c>
      <c r="AA150" s="5">
        <v>0.3</v>
      </c>
      <c r="AB150">
        <f t="shared" si="29"/>
        <v>11624752.872242514</v>
      </c>
      <c r="AC150">
        <f t="shared" si="32"/>
        <v>1259451.2488008125</v>
      </c>
      <c r="AD150" s="5">
        <v>0.2</v>
      </c>
      <c r="AE150">
        <f t="shared" si="30"/>
        <v>251890.24976016252</v>
      </c>
      <c r="AF150">
        <f t="shared" si="31"/>
        <v>1</v>
      </c>
    </row>
    <row r="151" spans="1:32" x14ac:dyDescent="0.25">
      <c r="A151" s="2">
        <v>150</v>
      </c>
      <c r="B151">
        <f t="shared" si="23"/>
        <v>95529.953765312574</v>
      </c>
      <c r="C151" s="5">
        <v>0.08</v>
      </c>
      <c r="D151">
        <f t="shared" si="24"/>
        <v>674441.47358310746</v>
      </c>
      <c r="Q151">
        <f t="shared" si="25"/>
        <v>674441.47358311201</v>
      </c>
      <c r="R151">
        <f t="shared" si="26"/>
        <v>638.78515503985238</v>
      </c>
      <c r="S151">
        <f t="shared" si="27"/>
        <v>3766419.9306065743</v>
      </c>
      <c r="T151" s="5">
        <v>0.08</v>
      </c>
      <c r="V151">
        <f>SUM($R$2:R151)</f>
        <v>32229.064488179858</v>
      </c>
      <c r="W151">
        <f t="shared" si="28"/>
        <v>67.956531202673347</v>
      </c>
      <c r="Z151">
        <f t="shared" si="33"/>
        <v>1.2591798278946059E-4</v>
      </c>
      <c r="AA151" s="5">
        <v>0.3</v>
      </c>
      <c r="AB151">
        <f t="shared" si="29"/>
        <v>12554733.102021914</v>
      </c>
      <c r="AC151">
        <f t="shared" si="32"/>
        <v>1335018.3237288613</v>
      </c>
      <c r="AD151" s="5">
        <v>0.2</v>
      </c>
      <c r="AE151">
        <f t="shared" si="30"/>
        <v>267003.66474577226</v>
      </c>
      <c r="AF151">
        <f t="shared" si="31"/>
        <v>1</v>
      </c>
    </row>
    <row r="152" spans="1:32" x14ac:dyDescent="0.25">
      <c r="A152" s="2">
        <v>151</v>
      </c>
      <c r="B152">
        <f t="shared" si="23"/>
        <v>103172.35006653758</v>
      </c>
      <c r="C152" s="5">
        <v>0.08</v>
      </c>
      <c r="D152">
        <f t="shared" si="24"/>
        <v>728396.79146975605</v>
      </c>
      <c r="Q152">
        <f t="shared" si="25"/>
        <v>728396.79146976105</v>
      </c>
      <c r="R152">
        <f t="shared" si="26"/>
        <v>650.83770513494403</v>
      </c>
      <c r="S152">
        <f t="shared" si="27"/>
        <v>4067733.5250551007</v>
      </c>
      <c r="T152" s="5">
        <v>0.08</v>
      </c>
      <c r="V152">
        <f>SUM($R$2:R152)</f>
        <v>32879.902193314803</v>
      </c>
      <c r="W152">
        <f t="shared" si="28"/>
        <v>69.328853779181898</v>
      </c>
      <c r="Z152">
        <f t="shared" si="33"/>
        <v>1.165907248050561E-4</v>
      </c>
      <c r="AA152" s="5">
        <v>0.3</v>
      </c>
      <c r="AB152">
        <f t="shared" si="29"/>
        <v>13559111.75018367</v>
      </c>
      <c r="AC152">
        <f t="shared" si="32"/>
        <v>1415119.423152593</v>
      </c>
      <c r="AD152" s="5">
        <v>0.2</v>
      </c>
      <c r="AE152">
        <f t="shared" si="30"/>
        <v>283023.88463051862</v>
      </c>
      <c r="AF152">
        <f t="shared" si="31"/>
        <v>1</v>
      </c>
    </row>
    <row r="153" spans="1:32" x14ac:dyDescent="0.25">
      <c r="A153" s="2">
        <v>152</v>
      </c>
      <c r="B153">
        <f t="shared" si="23"/>
        <v>111426.13807186058</v>
      </c>
      <c r="C153" s="5">
        <v>0.08</v>
      </c>
      <c r="D153">
        <f t="shared" si="24"/>
        <v>786668.53478733648</v>
      </c>
      <c r="Q153">
        <f t="shared" si="25"/>
        <v>786668.53478734207</v>
      </c>
      <c r="R153">
        <f t="shared" si="26"/>
        <v>663.11766183560326</v>
      </c>
      <c r="S153">
        <f t="shared" si="27"/>
        <v>4393152.2070595091</v>
      </c>
      <c r="T153" s="5">
        <v>0.08</v>
      </c>
      <c r="V153">
        <f>SUM($R$2:R153)</f>
        <v>33543.019855150407</v>
      </c>
      <c r="W153">
        <f t="shared" si="28"/>
        <v>70.72706923449249</v>
      </c>
      <c r="Z153">
        <f t="shared" si="33"/>
        <v>1.0795437481949638E-4</v>
      </c>
      <c r="AA153" s="5">
        <v>0.3</v>
      </c>
      <c r="AB153">
        <f t="shared" si="29"/>
        <v>14643840.690198364</v>
      </c>
      <c r="AC153">
        <f t="shared" si="32"/>
        <v>1500026.5885417487</v>
      </c>
      <c r="AD153" s="5">
        <v>0.2</v>
      </c>
      <c r="AE153">
        <f t="shared" si="30"/>
        <v>300005.31770834973</v>
      </c>
      <c r="AF153">
        <f t="shared" si="31"/>
        <v>1</v>
      </c>
    </row>
    <row r="154" spans="1:32" x14ac:dyDescent="0.25">
      <c r="A154" s="2">
        <v>153</v>
      </c>
      <c r="B154">
        <f t="shared" si="23"/>
        <v>120340.22911760943</v>
      </c>
      <c r="C154" s="5">
        <v>0.08</v>
      </c>
      <c r="D154">
        <f t="shared" si="24"/>
        <v>849602.01757032343</v>
      </c>
      <c r="Q154">
        <f t="shared" si="25"/>
        <v>849602.01757032925</v>
      </c>
      <c r="R154">
        <f t="shared" si="26"/>
        <v>675.62931583250167</v>
      </c>
      <c r="S154">
        <f t="shared" si="27"/>
        <v>4744604.3836242706</v>
      </c>
      <c r="T154" s="5">
        <v>0.08</v>
      </c>
      <c r="V154">
        <f>SUM($R$2:R154)</f>
        <v>34218.649170982906</v>
      </c>
      <c r="W154">
        <f t="shared" si="28"/>
        <v>72.15166611348819</v>
      </c>
      <c r="Z154">
        <f t="shared" si="33"/>
        <v>9.9957754462496633E-5</v>
      </c>
      <c r="AA154" s="5">
        <v>0.3</v>
      </c>
      <c r="AB154">
        <f t="shared" si="29"/>
        <v>15815347.945414236</v>
      </c>
      <c r="AC154">
        <f t="shared" si="32"/>
        <v>1590028.1838542537</v>
      </c>
      <c r="AD154" s="5">
        <v>0.2</v>
      </c>
      <c r="AE154">
        <f t="shared" si="30"/>
        <v>318005.63677085075</v>
      </c>
      <c r="AF154">
        <f t="shared" si="31"/>
        <v>1</v>
      </c>
    </row>
    <row r="155" spans="1:32" x14ac:dyDescent="0.25">
      <c r="A155" s="2">
        <v>154</v>
      </c>
      <c r="B155">
        <f t="shared" si="23"/>
        <v>129967.44744701819</v>
      </c>
      <c r="C155" s="5">
        <v>0.08</v>
      </c>
      <c r="D155">
        <f t="shared" si="24"/>
        <v>917570.1789759493</v>
      </c>
      <c r="Q155">
        <f t="shared" si="25"/>
        <v>917570.17897595582</v>
      </c>
      <c r="R155">
        <f t="shared" si="26"/>
        <v>688.37703877273759</v>
      </c>
      <c r="S155">
        <f t="shared" si="27"/>
        <v>5124172.7343142126</v>
      </c>
      <c r="T155" s="5">
        <v>0.08</v>
      </c>
      <c r="V155">
        <f>SUM($R$2:R155)</f>
        <v>34907.026209755641</v>
      </c>
      <c r="W155">
        <f t="shared" si="28"/>
        <v>73.60314217888002</v>
      </c>
      <c r="Z155">
        <f t="shared" si="33"/>
        <v>9.2553476354163532E-5</v>
      </c>
      <c r="AA155" s="5">
        <v>0.3</v>
      </c>
      <c r="AB155">
        <f t="shared" si="29"/>
        <v>17080575.781047378</v>
      </c>
      <c r="AC155">
        <f t="shared" si="32"/>
        <v>1685429.874885509</v>
      </c>
      <c r="AD155" s="5">
        <v>0.2</v>
      </c>
      <c r="AE155">
        <f t="shared" si="30"/>
        <v>337085.97497710184</v>
      </c>
      <c r="AF155">
        <f t="shared" si="31"/>
        <v>1</v>
      </c>
    </row>
    <row r="156" spans="1:32" x14ac:dyDescent="0.25">
      <c r="A156" s="2">
        <v>155</v>
      </c>
      <c r="B156">
        <f t="shared" si="23"/>
        <v>140364.84324277964</v>
      </c>
      <c r="C156" s="5">
        <v>0.08</v>
      </c>
      <c r="D156">
        <f t="shared" si="24"/>
        <v>990975.79329402524</v>
      </c>
      <c r="Q156">
        <f t="shared" si="25"/>
        <v>990975.79329403222</v>
      </c>
      <c r="R156">
        <f t="shared" si="26"/>
        <v>701.36528478731759</v>
      </c>
      <c r="S156">
        <f t="shared" si="27"/>
        <v>5534106.5530593498</v>
      </c>
      <c r="T156" s="5">
        <v>0.08</v>
      </c>
      <c r="V156">
        <f>SUM($R$2:R156)</f>
        <v>35608.391494542957</v>
      </c>
      <c r="W156">
        <f t="shared" si="28"/>
        <v>75.082004585128317</v>
      </c>
      <c r="Z156">
        <f t="shared" si="33"/>
        <v>8.5697663290892158E-5</v>
      </c>
      <c r="AA156" s="5">
        <v>0.3</v>
      </c>
      <c r="AB156">
        <f t="shared" si="29"/>
        <v>18447021.843531165</v>
      </c>
      <c r="AC156">
        <f t="shared" si="32"/>
        <v>1786555.6673786396</v>
      </c>
      <c r="AD156" s="5">
        <v>0.2</v>
      </c>
      <c r="AE156">
        <f t="shared" si="30"/>
        <v>357311.13347572793</v>
      </c>
      <c r="AF156">
        <f t="shared" si="31"/>
        <v>1</v>
      </c>
    </row>
    <row r="157" spans="1:32" x14ac:dyDescent="0.25">
      <c r="A157" s="2">
        <v>156</v>
      </c>
      <c r="B157">
        <f t="shared" si="23"/>
        <v>151594.030702202</v>
      </c>
      <c r="C157" s="5">
        <v>0.08</v>
      </c>
      <c r="D157">
        <f t="shared" si="24"/>
        <v>1070253.8567575472</v>
      </c>
      <c r="Q157">
        <f t="shared" si="25"/>
        <v>1070253.8567575549</v>
      </c>
      <c r="R157">
        <f t="shared" si="26"/>
        <v>714.59859204745555</v>
      </c>
      <c r="S157">
        <f t="shared" si="27"/>
        <v>5976835.0773040978</v>
      </c>
      <c r="T157" s="5">
        <v>0.08</v>
      </c>
      <c r="V157">
        <f>SUM($R$2:R157)</f>
        <v>36322.990086590413</v>
      </c>
      <c r="W157">
        <f t="shared" si="28"/>
        <v>76.588770055645455</v>
      </c>
      <c r="Z157">
        <f t="shared" si="33"/>
        <v>7.9349688232307558E-5</v>
      </c>
      <c r="AA157" s="5">
        <v>0.3</v>
      </c>
      <c r="AB157">
        <f t="shared" si="29"/>
        <v>19922783.591013659</v>
      </c>
      <c r="AC157">
        <f t="shared" si="32"/>
        <v>1893749.007421358</v>
      </c>
      <c r="AD157" s="5">
        <v>0.2</v>
      </c>
      <c r="AE157">
        <f t="shared" si="30"/>
        <v>378749.80148427165</v>
      </c>
      <c r="AF157">
        <f t="shared" si="31"/>
        <v>1</v>
      </c>
    </row>
    <row r="158" spans="1:32" x14ac:dyDescent="0.25">
      <c r="A158" s="2">
        <v>157</v>
      </c>
      <c r="B158">
        <f t="shared" si="23"/>
        <v>163721.55315837817</v>
      </c>
      <c r="C158" s="5">
        <v>0.08</v>
      </c>
      <c r="D158">
        <f t="shared" si="24"/>
        <v>1155874.1652981511</v>
      </c>
      <c r="Q158">
        <f t="shared" si="25"/>
        <v>1155874.1652981592</v>
      </c>
      <c r="R158">
        <f t="shared" si="26"/>
        <v>728.08158435023768</v>
      </c>
      <c r="S158">
        <f t="shared" si="27"/>
        <v>6454981.883488426</v>
      </c>
      <c r="T158" s="5">
        <v>0.08</v>
      </c>
      <c r="V158">
        <f>SUM($R$2:R158)</f>
        <v>37051.071670940648</v>
      </c>
      <c r="W158">
        <f t="shared" si="28"/>
        <v>78.123965063342155</v>
      </c>
      <c r="Z158">
        <f t="shared" si="33"/>
        <v>7.3471933548432922E-5</v>
      </c>
      <c r="AA158" s="5">
        <v>0.3</v>
      </c>
      <c r="AB158">
        <f t="shared" si="29"/>
        <v>21516606.278294753</v>
      </c>
      <c r="AC158">
        <f t="shared" si="32"/>
        <v>2007373.9478666396</v>
      </c>
      <c r="AD158" s="5">
        <v>0.2</v>
      </c>
      <c r="AE158">
        <f t="shared" si="30"/>
        <v>401474.78957332793</v>
      </c>
      <c r="AF158">
        <f t="shared" si="31"/>
        <v>1</v>
      </c>
    </row>
    <row r="159" spans="1:32" x14ac:dyDescent="0.25">
      <c r="A159" s="2">
        <v>158</v>
      </c>
      <c r="B159">
        <f t="shared" si="23"/>
        <v>176819.27741104842</v>
      </c>
      <c r="C159" s="5">
        <v>0.08</v>
      </c>
      <c r="D159">
        <f t="shared" si="24"/>
        <v>1248344.0985220033</v>
      </c>
      <c r="Q159">
        <f t="shared" si="25"/>
        <v>1248344.0985220121</v>
      </c>
      <c r="R159">
        <f t="shared" si="26"/>
        <v>741.81897273420441</v>
      </c>
      <c r="S159">
        <f t="shared" si="27"/>
        <v>6971380.4341675006</v>
      </c>
      <c r="T159" s="5">
        <v>0.08</v>
      </c>
      <c r="V159">
        <f>SUM($R$2:R159)</f>
        <v>37792.890643674851</v>
      </c>
      <c r="W159">
        <f t="shared" si="28"/>
        <v>79.688126014580291</v>
      </c>
      <c r="Z159">
        <f t="shared" si="33"/>
        <v>6.8029568100400851E-5</v>
      </c>
      <c r="AA159" s="5">
        <v>0.3</v>
      </c>
      <c r="AB159">
        <f t="shared" si="29"/>
        <v>23237934.780558337</v>
      </c>
      <c r="AC159">
        <f t="shared" si="32"/>
        <v>2127816.3847386381</v>
      </c>
      <c r="AD159" s="5">
        <v>0.2</v>
      </c>
      <c r="AE159">
        <f t="shared" si="30"/>
        <v>425563.27694772766</v>
      </c>
      <c r="AF159">
        <f t="shared" si="31"/>
        <v>1</v>
      </c>
    </row>
    <row r="160" spans="1:32" x14ac:dyDescent="0.25">
      <c r="A160" s="2">
        <v>159</v>
      </c>
      <c r="B160">
        <f t="shared" si="23"/>
        <v>190964.81960393229</v>
      </c>
      <c r="C160" s="5">
        <v>0.08</v>
      </c>
      <c r="D160">
        <f t="shared" si="24"/>
        <v>1348211.6264037634</v>
      </c>
      <c r="Q160">
        <f t="shared" si="25"/>
        <v>1348211.6264037732</v>
      </c>
      <c r="R160">
        <f t="shared" si="26"/>
        <v>755.81555712541581</v>
      </c>
      <c r="S160">
        <f t="shared" si="27"/>
        <v>7529090.8689009007</v>
      </c>
      <c r="T160" s="5">
        <v>0.08</v>
      </c>
      <c r="V160">
        <f>SUM($R$2:R160)</f>
        <v>38548.706200800269</v>
      </c>
      <c r="W160">
        <f t="shared" si="28"/>
        <v>81.281799436596529</v>
      </c>
      <c r="Z160">
        <f t="shared" si="33"/>
        <v>6.2990340833704486E-5</v>
      </c>
      <c r="AA160" s="5">
        <v>0.3</v>
      </c>
      <c r="AB160">
        <f t="shared" si="29"/>
        <v>25096969.563003004</v>
      </c>
      <c r="AC160">
        <f t="shared" si="32"/>
        <v>2255485.3678229563</v>
      </c>
      <c r="AD160" s="5">
        <v>0.2</v>
      </c>
      <c r="AE160">
        <f t="shared" si="30"/>
        <v>451097.07356459129</v>
      </c>
      <c r="AF160">
        <f t="shared" si="31"/>
        <v>1</v>
      </c>
    </row>
    <row r="161" spans="1:32" x14ac:dyDescent="0.25">
      <c r="A161" s="2">
        <v>160</v>
      </c>
      <c r="B161">
        <f t="shared" si="23"/>
        <v>206242.00517224689</v>
      </c>
      <c r="C161" s="5">
        <v>0.08</v>
      </c>
      <c r="D161">
        <f t="shared" si="24"/>
        <v>1456068.5565160646</v>
      </c>
      <c r="Q161">
        <f t="shared" si="25"/>
        <v>1456068.5565160753</v>
      </c>
      <c r="R161">
        <f t="shared" si="26"/>
        <v>770.07622801457444</v>
      </c>
      <c r="S161">
        <f t="shared" si="27"/>
        <v>8131418.1384129729</v>
      </c>
      <c r="T161" s="5">
        <v>0.08</v>
      </c>
      <c r="V161">
        <f>SUM($R$2:R161)</f>
        <v>39318.78242881484</v>
      </c>
      <c r="W161">
        <f t="shared" si="28"/>
        <v>82.905542168462105</v>
      </c>
      <c r="Z161">
        <f t="shared" si="33"/>
        <v>5.8324389660837484E-5</v>
      </c>
      <c r="AA161" s="5">
        <v>0.3</v>
      </c>
      <c r="AB161">
        <f t="shared" si="29"/>
        <v>27104727.128043246</v>
      </c>
      <c r="AC161">
        <f t="shared" si="32"/>
        <v>2390814.4898923337</v>
      </c>
      <c r="AD161" s="5">
        <v>0.2</v>
      </c>
      <c r="AE161">
        <f t="shared" si="30"/>
        <v>478162.89797846676</v>
      </c>
      <c r="AF161">
        <f t="shared" si="31"/>
        <v>1</v>
      </c>
    </row>
    <row r="162" spans="1:32" x14ac:dyDescent="0.25">
      <c r="A162" s="2">
        <v>161</v>
      </c>
      <c r="B162">
        <f t="shared" si="23"/>
        <v>222741.36558602663</v>
      </c>
      <c r="C162" s="5">
        <v>0.08</v>
      </c>
      <c r="D162">
        <f t="shared" si="24"/>
        <v>1572554.0410373497</v>
      </c>
      <c r="Q162">
        <f t="shared" si="25"/>
        <v>1572554.0410373614</v>
      </c>
      <c r="R162">
        <f t="shared" si="26"/>
        <v>784.60596816579323</v>
      </c>
      <c r="S162">
        <f t="shared" si="27"/>
        <v>8781931.5894860122</v>
      </c>
      <c r="T162" s="5">
        <v>0.08</v>
      </c>
      <c r="V162">
        <f>SUM($R$2:R162)</f>
        <v>40103.388396980634</v>
      </c>
      <c r="W162">
        <f t="shared" si="28"/>
        <v>84.559921555645914</v>
      </c>
      <c r="Z162">
        <f t="shared" si="33"/>
        <v>5.4004064500775441E-5</v>
      </c>
      <c r="AA162" s="5">
        <v>0.3</v>
      </c>
      <c r="AB162">
        <f t="shared" si="29"/>
        <v>29273105.29828671</v>
      </c>
      <c r="AC162">
        <f t="shared" si="32"/>
        <v>2534263.3592858738</v>
      </c>
      <c r="AD162" s="5">
        <v>0.2</v>
      </c>
      <c r="AE162">
        <f t="shared" si="30"/>
        <v>506852.67185717478</v>
      </c>
      <c r="AF162">
        <f t="shared" si="31"/>
        <v>1</v>
      </c>
    </row>
    <row r="163" spans="1:32" x14ac:dyDescent="0.25">
      <c r="A163" s="2">
        <v>162</v>
      </c>
      <c r="B163">
        <f t="shared" si="23"/>
        <v>240560.67483290876</v>
      </c>
      <c r="C163" s="5">
        <v>0.08</v>
      </c>
      <c r="D163">
        <f t="shared" si="24"/>
        <v>1698358.3643203378</v>
      </c>
      <c r="Q163">
        <f t="shared" si="25"/>
        <v>1698358.3643203501</v>
      </c>
      <c r="R163">
        <f t="shared" si="26"/>
        <v>799.40985435760069</v>
      </c>
      <c r="S163">
        <f t="shared" si="27"/>
        <v>9484486.1166448947</v>
      </c>
      <c r="T163" s="5">
        <v>0.08</v>
      </c>
      <c r="V163">
        <f>SUM($R$2:R163)</f>
        <v>40902.798251338238</v>
      </c>
      <c r="W163">
        <f t="shared" si="28"/>
        <v>86.245515648248301</v>
      </c>
      <c r="Z163">
        <f t="shared" si="33"/>
        <v>5.0003763426643918E-5</v>
      </c>
      <c r="AA163" s="5">
        <v>0.3</v>
      </c>
      <c r="AB163">
        <f t="shared" si="29"/>
        <v>31614953.722149651</v>
      </c>
      <c r="AC163">
        <f t="shared" si="32"/>
        <v>2686319.1608430264</v>
      </c>
      <c r="AD163" s="5">
        <v>0.2</v>
      </c>
      <c r="AE163">
        <f t="shared" si="30"/>
        <v>537263.8321686053</v>
      </c>
      <c r="AF163">
        <f t="shared" si="31"/>
        <v>1</v>
      </c>
    </row>
    <row r="164" spans="1:32" x14ac:dyDescent="0.25">
      <c r="A164" s="2">
        <v>163</v>
      </c>
      <c r="B164">
        <f t="shared" si="23"/>
        <v>259805.52881954145</v>
      </c>
      <c r="C164" s="5">
        <v>0.08</v>
      </c>
      <c r="D164">
        <f t="shared" si="24"/>
        <v>1834227.0334659647</v>
      </c>
      <c r="Q164">
        <f t="shared" si="25"/>
        <v>1834227.0334659782</v>
      </c>
      <c r="R164">
        <f t="shared" si="26"/>
        <v>814.49305915680065</v>
      </c>
      <c r="S164">
        <f t="shared" si="27"/>
        <v>10243245.005976487</v>
      </c>
      <c r="T164" s="5">
        <v>0.08</v>
      </c>
      <c r="V164">
        <f>SUM($R$2:R164)</f>
        <v>41717.291310495035</v>
      </c>
      <c r="W164">
        <f t="shared" si="28"/>
        <v>87.962913402975232</v>
      </c>
      <c r="Z164">
        <f t="shared" si="33"/>
        <v>4.6299780950596215E-5</v>
      </c>
      <c r="AA164" s="5">
        <v>0.3</v>
      </c>
      <c r="AB164">
        <f t="shared" si="29"/>
        <v>34144150.019921623</v>
      </c>
      <c r="AC164">
        <f t="shared" si="32"/>
        <v>2847498.310493608</v>
      </c>
      <c r="AD164" s="5">
        <v>0.2</v>
      </c>
      <c r="AE164">
        <f t="shared" si="30"/>
        <v>569499.6620987216</v>
      </c>
      <c r="AF164">
        <f t="shared" si="31"/>
        <v>1</v>
      </c>
    </row>
    <row r="165" spans="1:32" x14ac:dyDescent="0.25">
      <c r="A165" s="2">
        <v>164</v>
      </c>
      <c r="B165">
        <f t="shared" si="23"/>
        <v>280589.97112510476</v>
      </c>
      <c r="C165" s="5">
        <v>0.08</v>
      </c>
      <c r="D165">
        <f t="shared" si="24"/>
        <v>1980965.1961432418</v>
      </c>
      <c r="Q165">
        <f t="shared" si="25"/>
        <v>1980965.1961432567</v>
      </c>
      <c r="R165">
        <f t="shared" si="26"/>
        <v>829.8608527257968</v>
      </c>
      <c r="S165">
        <f t="shared" si="27"/>
        <v>11062704.606454607</v>
      </c>
      <c r="T165" s="5">
        <v>0.08</v>
      </c>
      <c r="V165">
        <f>SUM($R$2:R165)</f>
        <v>42547.152163220831</v>
      </c>
      <c r="W165">
        <f t="shared" si="28"/>
        <v>89.712714888923443</v>
      </c>
      <c r="Z165">
        <f t="shared" si="33"/>
        <v>4.2870167546848345E-5</v>
      </c>
      <c r="AA165" s="5">
        <v>0.3</v>
      </c>
      <c r="AB165">
        <f t="shared" si="29"/>
        <v>36875682.021515362</v>
      </c>
      <c r="AC165">
        <f t="shared" si="32"/>
        <v>3018348.2091232245</v>
      </c>
      <c r="AD165" s="5">
        <v>0.2</v>
      </c>
      <c r="AE165">
        <f t="shared" si="30"/>
        <v>603669.64182464487</v>
      </c>
      <c r="AF165">
        <f t="shared" si="31"/>
        <v>1</v>
      </c>
    </row>
    <row r="166" spans="1:32" x14ac:dyDescent="0.25">
      <c r="A166" s="2">
        <v>165</v>
      </c>
      <c r="B166">
        <f t="shared" ref="B166:B200" si="34">B165+B165*C165</f>
        <v>303037.16881511314</v>
      </c>
      <c r="C166" s="5">
        <v>0.08</v>
      </c>
      <c r="D166">
        <f t="shared" ref="D166:D200" si="35">D165+D165*C165</f>
        <v>2139442.411834701</v>
      </c>
      <c r="Q166">
        <f t="shared" ref="Q166:Q200" si="36">$D$2*((1+$C$2)^A165)</f>
        <v>2139442.4118347177</v>
      </c>
      <c r="R166">
        <f t="shared" ref="R166:R200" si="37">S166/((1+$U$2)^A165)</f>
        <v>845.51860466401945</v>
      </c>
      <c r="S166">
        <f t="shared" ref="S166:S200" si="38">S165*(1+T165)</f>
        <v>11947720.974970976</v>
      </c>
      <c r="T166" s="5">
        <v>0.08</v>
      </c>
      <c r="V166">
        <f>SUM($R$2:R166)</f>
        <v>43392.670767884854</v>
      </c>
      <c r="W166">
        <f t="shared" ref="W166:W200" si="39">V166/$W$2</f>
        <v>91.495531497248038</v>
      </c>
      <c r="Z166">
        <f t="shared" si="33"/>
        <v>3.9694599580415133E-5</v>
      </c>
      <c r="AA166" s="5">
        <v>0.3</v>
      </c>
      <c r="AB166">
        <f t="shared" si="29"/>
        <v>39825736.58323659</v>
      </c>
      <c r="AC166">
        <f t="shared" si="32"/>
        <v>3199449.1016706182</v>
      </c>
      <c r="AD166" s="5">
        <v>0.2</v>
      </c>
      <c r="AE166">
        <f t="shared" si="30"/>
        <v>639889.82033412368</v>
      </c>
      <c r="AF166">
        <f t="shared" si="31"/>
        <v>1</v>
      </c>
    </row>
    <row r="167" spans="1:32" x14ac:dyDescent="0.25">
      <c r="A167" s="2">
        <v>166</v>
      </c>
      <c r="B167">
        <f t="shared" si="34"/>
        <v>327280.14232032216</v>
      </c>
      <c r="C167" s="5">
        <v>0.08</v>
      </c>
      <c r="D167">
        <f t="shared" si="35"/>
        <v>2310597.804781477</v>
      </c>
      <c r="Q167">
        <f t="shared" si="36"/>
        <v>2310597.8047814951</v>
      </c>
      <c r="R167">
        <f t="shared" si="37"/>
        <v>861.47178588409531</v>
      </c>
      <c r="S167">
        <f t="shared" si="38"/>
        <v>12903538.652968654</v>
      </c>
      <c r="T167" s="5">
        <v>0.08</v>
      </c>
      <c r="V167">
        <f>SUM($R$2:R167)</f>
        <v>44254.14255376895</v>
      </c>
      <c r="W167">
        <f t="shared" si="39"/>
        <v>93.311986154786297</v>
      </c>
      <c r="Z167">
        <f t="shared" si="33"/>
        <v>3.6754258870754755E-5</v>
      </c>
      <c r="AA167" s="5">
        <v>0.3</v>
      </c>
      <c r="AB167">
        <f t="shared" si="29"/>
        <v>43011795.509895518</v>
      </c>
      <c r="AC167">
        <f t="shared" si="32"/>
        <v>3391416.0477708555</v>
      </c>
      <c r="AD167" s="5">
        <v>0.2</v>
      </c>
      <c r="AE167">
        <f t="shared" si="30"/>
        <v>678283.20955417119</v>
      </c>
      <c r="AF167">
        <f t="shared" si="31"/>
        <v>1</v>
      </c>
    </row>
    <row r="168" spans="1:32" x14ac:dyDescent="0.25">
      <c r="A168" s="2">
        <v>167</v>
      </c>
      <c r="B168">
        <f t="shared" si="34"/>
        <v>353462.55370594794</v>
      </c>
      <c r="C168" s="5">
        <v>0.08</v>
      </c>
      <c r="D168">
        <f t="shared" si="35"/>
        <v>2495445.6291639949</v>
      </c>
      <c r="Q168">
        <f t="shared" si="36"/>
        <v>2495445.6291640149</v>
      </c>
      <c r="R168">
        <f t="shared" si="37"/>
        <v>877.72597052341769</v>
      </c>
      <c r="S168">
        <f t="shared" si="38"/>
        <v>13935821.745206147</v>
      </c>
      <c r="T168" s="5">
        <v>0.08</v>
      </c>
      <c r="V168">
        <f>SUM($R$2:R168)</f>
        <v>45131.868524292368</v>
      </c>
      <c r="W168">
        <f t="shared" si="39"/>
        <v>95.16271354171208</v>
      </c>
      <c r="Z168">
        <f t="shared" si="33"/>
        <v>3.4031721176624766E-5</v>
      </c>
      <c r="AA168" s="5">
        <v>0.3</v>
      </c>
      <c r="AB168">
        <f t="shared" si="29"/>
        <v>46452739.150687158</v>
      </c>
      <c r="AC168">
        <f t="shared" si="32"/>
        <v>3594901.0106371068</v>
      </c>
      <c r="AD168" s="5">
        <v>0.2</v>
      </c>
      <c r="AE168">
        <f t="shared" si="30"/>
        <v>718980.20212742139</v>
      </c>
      <c r="AF168">
        <f t="shared" si="31"/>
        <v>1</v>
      </c>
    </row>
    <row r="169" spans="1:32" x14ac:dyDescent="0.25">
      <c r="A169" s="2">
        <v>168</v>
      </c>
      <c r="B169">
        <f t="shared" si="34"/>
        <v>381739.55800242379</v>
      </c>
      <c r="C169" s="5">
        <v>0.08</v>
      </c>
      <c r="D169">
        <f t="shared" si="35"/>
        <v>2695081.2794971145</v>
      </c>
      <c r="Q169">
        <f t="shared" si="36"/>
        <v>2695081.2794971359</v>
      </c>
      <c r="R169">
        <f t="shared" si="37"/>
        <v>894.28683789178399</v>
      </c>
      <c r="S169">
        <f t="shared" si="38"/>
        <v>15050687.48482264</v>
      </c>
      <c r="T169" s="5">
        <v>0.08</v>
      </c>
      <c r="V169">
        <f>SUM($R$2:R169)</f>
        <v>46026.155362184152</v>
      </c>
      <c r="W169">
        <f t="shared" si="39"/>
        <v>97.048360313296826</v>
      </c>
      <c r="Z169">
        <f t="shared" si="33"/>
        <v>3.1510852941319226E-5</v>
      </c>
      <c r="AA169" s="5">
        <v>0.3</v>
      </c>
      <c r="AB169">
        <f t="shared" si="29"/>
        <v>50168958.282742135</v>
      </c>
      <c r="AC169">
        <f t="shared" si="32"/>
        <v>3810595.0712753334</v>
      </c>
      <c r="AD169" s="5">
        <v>0.2</v>
      </c>
      <c r="AE169">
        <f t="shared" si="30"/>
        <v>762119.01425506675</v>
      </c>
      <c r="AF169">
        <f t="shared" si="31"/>
        <v>1</v>
      </c>
    </row>
    <row r="170" spans="1:32" x14ac:dyDescent="0.25">
      <c r="A170" s="2">
        <v>169</v>
      </c>
      <c r="B170">
        <f t="shared" si="34"/>
        <v>412278.72264261771</v>
      </c>
      <c r="C170" s="5">
        <v>0.08</v>
      </c>
      <c r="D170">
        <f t="shared" si="35"/>
        <v>2910687.7818568838</v>
      </c>
      <c r="Q170">
        <f t="shared" si="36"/>
        <v>2910687.7818569071</v>
      </c>
      <c r="R170">
        <f t="shared" si="37"/>
        <v>911.16017445578018</v>
      </c>
      <c r="S170">
        <f t="shared" si="38"/>
        <v>16254742.483608453</v>
      </c>
      <c r="T170" s="5">
        <v>0.08</v>
      </c>
      <c r="V170">
        <f>SUM($R$2:R170)</f>
        <v>46937.31553663993</v>
      </c>
      <c r="W170">
        <f t="shared" si="39"/>
        <v>98.969585325854865</v>
      </c>
      <c r="Z170">
        <f t="shared" si="33"/>
        <v>2.917671568640669E-5</v>
      </c>
      <c r="AA170" s="5">
        <v>0.3</v>
      </c>
      <c r="AB170">
        <f t="shared" si="29"/>
        <v>54182474.94536151</v>
      </c>
      <c r="AC170">
        <f t="shared" si="32"/>
        <v>4039230.7755518537</v>
      </c>
      <c r="AD170" s="5">
        <v>0.2</v>
      </c>
      <c r="AE170">
        <f t="shared" si="30"/>
        <v>807846.15511037083</v>
      </c>
      <c r="AF170">
        <f t="shared" si="31"/>
        <v>1</v>
      </c>
    </row>
    <row r="171" spans="1:32" x14ac:dyDescent="0.25">
      <c r="A171" s="2">
        <v>170</v>
      </c>
      <c r="B171">
        <f t="shared" si="34"/>
        <v>445261.02045402711</v>
      </c>
      <c r="C171" s="5">
        <v>0.08</v>
      </c>
      <c r="D171">
        <f t="shared" si="35"/>
        <v>3143542.8044054345</v>
      </c>
      <c r="Q171">
        <f t="shared" si="36"/>
        <v>3143542.8044054601</v>
      </c>
      <c r="R171">
        <f t="shared" si="37"/>
        <v>928.35187586060624</v>
      </c>
      <c r="S171">
        <f t="shared" si="38"/>
        <v>17555121.882297128</v>
      </c>
      <c r="T171" s="5">
        <v>0.08</v>
      </c>
      <c r="V171">
        <f>SUM($R$2:R171)</f>
        <v>47865.667412500537</v>
      </c>
      <c r="W171">
        <f t="shared" si="39"/>
        <v>100.92705986695175</v>
      </c>
      <c r="Z171">
        <f t="shared" si="33"/>
        <v>2.7015477487413603E-5</v>
      </c>
      <c r="AA171" s="5">
        <v>0.3</v>
      </c>
      <c r="AB171">
        <f t="shared" si="29"/>
        <v>58517072.940990433</v>
      </c>
      <c r="AC171">
        <f t="shared" si="32"/>
        <v>4281584.622084965</v>
      </c>
      <c r="AD171" s="5">
        <v>0.2</v>
      </c>
      <c r="AE171">
        <f t="shared" si="30"/>
        <v>856316.92441699305</v>
      </c>
      <c r="AF171">
        <f t="shared" si="31"/>
        <v>1</v>
      </c>
    </row>
    <row r="172" spans="1:32" x14ac:dyDescent="0.25">
      <c r="A172" s="2">
        <v>171</v>
      </c>
      <c r="B172">
        <f t="shared" si="34"/>
        <v>480881.90209034929</v>
      </c>
      <c r="C172" s="5">
        <v>0.08</v>
      </c>
      <c r="D172">
        <f t="shared" si="35"/>
        <v>3395026.2287578695</v>
      </c>
      <c r="Q172">
        <f t="shared" si="36"/>
        <v>3395026.2287578965</v>
      </c>
      <c r="R172">
        <f t="shared" si="37"/>
        <v>945.86794899005145</v>
      </c>
      <c r="S172">
        <f t="shared" si="38"/>
        <v>18959531.6328809</v>
      </c>
      <c r="T172" s="5">
        <v>0.08</v>
      </c>
      <c r="V172">
        <f>SUM($R$2:R172)</f>
        <v>48811.535361490591</v>
      </c>
      <c r="W172">
        <f t="shared" si="39"/>
        <v>102.92146788995612</v>
      </c>
      <c r="Z172">
        <f t="shared" si="33"/>
        <v>2.5014331006864447E-5</v>
      </c>
      <c r="AA172" s="5">
        <v>0.3</v>
      </c>
      <c r="AB172">
        <f t="shared" si="29"/>
        <v>63198438.776269667</v>
      </c>
      <c r="AC172">
        <f t="shared" si="32"/>
        <v>4538479.6994100632</v>
      </c>
      <c r="AD172" s="5">
        <v>0.2</v>
      </c>
      <c r="AE172">
        <f t="shared" si="30"/>
        <v>907695.93988201267</v>
      </c>
      <c r="AF172">
        <f t="shared" si="31"/>
        <v>1</v>
      </c>
    </row>
    <row r="173" spans="1:32" x14ac:dyDescent="0.25">
      <c r="A173" s="2">
        <v>172</v>
      </c>
      <c r="B173">
        <f t="shared" si="34"/>
        <v>519352.45425757725</v>
      </c>
      <c r="C173" s="5">
        <v>0.08</v>
      </c>
      <c r="D173">
        <f t="shared" si="35"/>
        <v>3666628.3270584992</v>
      </c>
      <c r="Q173">
        <f t="shared" si="36"/>
        <v>3666628.3270585281</v>
      </c>
      <c r="R173">
        <f t="shared" si="37"/>
        <v>963.71451406533538</v>
      </c>
      <c r="S173">
        <f t="shared" si="38"/>
        <v>20476294.163511373</v>
      </c>
      <c r="T173" s="5">
        <v>0.08</v>
      </c>
      <c r="V173">
        <f>SUM($R$2:R173)</f>
        <v>49775.249875555928</v>
      </c>
      <c r="W173">
        <f t="shared" si="39"/>
        <v>104.95350625301718</v>
      </c>
      <c r="Z173">
        <f t="shared" si="33"/>
        <v>2.3161417598948559E-5</v>
      </c>
      <c r="AA173" s="5">
        <v>0.3</v>
      </c>
      <c r="AB173">
        <f t="shared" si="29"/>
        <v>68254313.878371254</v>
      </c>
      <c r="AC173">
        <f t="shared" si="32"/>
        <v>4810788.481374667</v>
      </c>
      <c r="AD173" s="5">
        <v>0.2</v>
      </c>
      <c r="AE173">
        <f t="shared" si="30"/>
        <v>962157.69627493341</v>
      </c>
      <c r="AF173">
        <f t="shared" si="31"/>
        <v>1</v>
      </c>
    </row>
    <row r="174" spans="1:32" x14ac:dyDescent="0.25">
      <c r="A174" s="2">
        <v>173</v>
      </c>
      <c r="B174">
        <f t="shared" si="34"/>
        <v>560900.65059818339</v>
      </c>
      <c r="C174" s="5">
        <v>0.08</v>
      </c>
      <c r="D174">
        <f t="shared" si="35"/>
        <v>3959958.5932231792</v>
      </c>
      <c r="Q174">
        <f t="shared" si="36"/>
        <v>3959958.5932232109</v>
      </c>
      <c r="R174">
        <f t="shared" si="37"/>
        <v>981.89780678354941</v>
      </c>
      <c r="S174">
        <f t="shared" si="38"/>
        <v>22114397.696592286</v>
      </c>
      <c r="T174" s="5">
        <v>0.08</v>
      </c>
      <c r="V174">
        <f>SUM($R$2:R174)</f>
        <v>50757.147682339477</v>
      </c>
      <c r="W174">
        <f t="shared" si="39"/>
        <v>107.02388496255108</v>
      </c>
      <c r="Z174">
        <f t="shared" si="33"/>
        <v>2.1445757036063478E-5</v>
      </c>
      <c r="AA174" s="5">
        <v>0.3</v>
      </c>
      <c r="AB174">
        <f t="shared" si="29"/>
        <v>73714658.988640964</v>
      </c>
      <c r="AC174">
        <f t="shared" si="32"/>
        <v>5099435.7902571475</v>
      </c>
      <c r="AD174" s="5">
        <v>0.2</v>
      </c>
      <c r="AE174">
        <f t="shared" si="30"/>
        <v>1019887.1580514295</v>
      </c>
      <c r="AF174">
        <f t="shared" si="31"/>
        <v>1</v>
      </c>
    </row>
    <row r="175" spans="1:32" x14ac:dyDescent="0.25">
      <c r="A175" s="2">
        <v>174</v>
      </c>
      <c r="B175">
        <f t="shared" si="34"/>
        <v>605772.70264603803</v>
      </c>
      <c r="C175" s="5">
        <v>0.08</v>
      </c>
      <c r="D175">
        <f t="shared" si="35"/>
        <v>4276755.2806810336</v>
      </c>
      <c r="Q175">
        <f t="shared" si="36"/>
        <v>4276755.2806810681</v>
      </c>
      <c r="R175">
        <f t="shared" si="37"/>
        <v>1000.4241804964466</v>
      </c>
      <c r="S175">
        <f t="shared" si="38"/>
        <v>23883549.512319669</v>
      </c>
      <c r="T175" s="5">
        <v>0.08</v>
      </c>
      <c r="V175">
        <f>SUM($R$2:R175)</f>
        <v>51757.571862835925</v>
      </c>
      <c r="W175">
        <f t="shared" si="39"/>
        <v>109.13332742132148</v>
      </c>
      <c r="Z175">
        <f t="shared" si="33"/>
        <v>1.9857182440799518E-5</v>
      </c>
      <c r="AA175" s="5">
        <v>0.3</v>
      </c>
      <c r="AB175">
        <f t="shared" si="29"/>
        <v>79611831.70773223</v>
      </c>
      <c r="AC175">
        <f t="shared" si="32"/>
        <v>5405401.9376725769</v>
      </c>
      <c r="AD175" s="5">
        <v>0.2</v>
      </c>
      <c r="AE175">
        <f t="shared" si="30"/>
        <v>1081080.3875345155</v>
      </c>
      <c r="AF175">
        <f t="shared" si="31"/>
        <v>1</v>
      </c>
    </row>
    <row r="176" spans="1:32" x14ac:dyDescent="0.25">
      <c r="A176" s="2">
        <v>175</v>
      </c>
      <c r="B176">
        <f t="shared" si="34"/>
        <v>654234.51885772112</v>
      </c>
      <c r="C176" s="5">
        <v>0.08</v>
      </c>
      <c r="D176">
        <f t="shared" si="35"/>
        <v>4618895.7031355165</v>
      </c>
      <c r="Q176">
        <f t="shared" si="36"/>
        <v>4618895.7031355537</v>
      </c>
      <c r="R176">
        <f t="shared" si="37"/>
        <v>1019.3001084303418</v>
      </c>
      <c r="S176">
        <f t="shared" si="38"/>
        <v>25794233.473305244</v>
      </c>
      <c r="T176" s="5">
        <v>0.08</v>
      </c>
      <c r="V176">
        <f>SUM($R$2:R176)</f>
        <v>52776.871971266264</v>
      </c>
      <c r="W176">
        <f t="shared" si="39"/>
        <v>111.28257068120074</v>
      </c>
      <c r="Z176">
        <f t="shared" si="33"/>
        <v>1.838628003777733E-5</v>
      </c>
      <c r="AA176" s="5">
        <v>0.3</v>
      </c>
      <c r="AB176">
        <f t="shared" si="29"/>
        <v>85980778.244350821</v>
      </c>
      <c r="AC176">
        <f t="shared" si="32"/>
        <v>5729726.0539329322</v>
      </c>
      <c r="AD176" s="5">
        <v>0.2</v>
      </c>
      <c r="AE176">
        <f t="shared" si="30"/>
        <v>1145945.2107865864</v>
      </c>
      <c r="AF176">
        <f t="shared" si="31"/>
        <v>1</v>
      </c>
    </row>
    <row r="177" spans="1:32" x14ac:dyDescent="0.25">
      <c r="A177" s="2">
        <v>176</v>
      </c>
      <c r="B177">
        <f t="shared" si="34"/>
        <v>706573.28036633879</v>
      </c>
      <c r="C177" s="5">
        <v>0.08</v>
      </c>
      <c r="D177">
        <f t="shared" si="35"/>
        <v>4988407.3593863575</v>
      </c>
      <c r="Q177">
        <f t="shared" si="36"/>
        <v>4988407.3593863985</v>
      </c>
      <c r="R177">
        <f t="shared" si="37"/>
        <v>1038.5321859478952</v>
      </c>
      <c r="S177">
        <f t="shared" si="38"/>
        <v>27857772.151169665</v>
      </c>
      <c r="T177" s="5">
        <v>0.08</v>
      </c>
      <c r="V177">
        <f>SUM($R$2:R177)</f>
        <v>53815.404157214158</v>
      </c>
      <c r="W177">
        <f t="shared" si="39"/>
        <v>113.47236570070038</v>
      </c>
      <c r="Z177">
        <f t="shared" si="33"/>
        <v>1.7024333368312341E-5</v>
      </c>
      <c r="AA177" s="5">
        <v>0.3</v>
      </c>
      <c r="AB177">
        <f t="shared" si="29"/>
        <v>92859240.503898889</v>
      </c>
      <c r="AC177">
        <f t="shared" si="32"/>
        <v>6073509.617168908</v>
      </c>
      <c r="AD177" s="5">
        <v>0.2</v>
      </c>
      <c r="AE177">
        <f t="shared" si="30"/>
        <v>1214701.9234337816</v>
      </c>
      <c r="AF177">
        <f t="shared" si="31"/>
        <v>1</v>
      </c>
    </row>
    <row r="178" spans="1:32" x14ac:dyDescent="0.25">
      <c r="A178" s="2">
        <v>177</v>
      </c>
      <c r="B178">
        <f t="shared" si="34"/>
        <v>763099.14279564586</v>
      </c>
      <c r="C178" s="5">
        <v>0.08</v>
      </c>
      <c r="D178">
        <f t="shared" si="35"/>
        <v>5387479.9481372666</v>
      </c>
      <c r="Q178">
        <f t="shared" si="36"/>
        <v>5387479.9481373094</v>
      </c>
      <c r="R178">
        <f t="shared" si="37"/>
        <v>1058.1271328525727</v>
      </c>
      <c r="S178">
        <f t="shared" si="38"/>
        <v>30086393.923263241</v>
      </c>
      <c r="T178" s="5">
        <v>0.08</v>
      </c>
      <c r="V178">
        <f>SUM($R$2:R178)</f>
        <v>54873.531290066734</v>
      </c>
      <c r="W178">
        <f t="shared" si="39"/>
        <v>115.70347760736038</v>
      </c>
      <c r="Z178">
        <f t="shared" si="33"/>
        <v>1.5763271637326241E-5</v>
      </c>
      <c r="AA178" s="5">
        <v>0.3</v>
      </c>
      <c r="AB178">
        <f t="shared" si="29"/>
        <v>100287979.74421081</v>
      </c>
      <c r="AC178">
        <f t="shared" si="32"/>
        <v>6437920.1941990424</v>
      </c>
      <c r="AD178" s="5">
        <v>0.2</v>
      </c>
      <c r="AE178">
        <f t="shared" si="30"/>
        <v>1287584.0388398087</v>
      </c>
      <c r="AF178">
        <f t="shared" si="31"/>
        <v>1</v>
      </c>
    </row>
    <row r="179" spans="1:32" x14ac:dyDescent="0.25">
      <c r="A179" s="2">
        <v>178</v>
      </c>
      <c r="B179">
        <f t="shared" si="34"/>
        <v>824147.0742192975</v>
      </c>
      <c r="C179" s="5">
        <v>0.08</v>
      </c>
      <c r="D179">
        <f t="shared" si="35"/>
        <v>5818478.3439882481</v>
      </c>
      <c r="Q179">
        <f t="shared" si="36"/>
        <v>5818478.3439882947</v>
      </c>
      <c r="R179">
        <f t="shared" si="37"/>
        <v>1078.0917957365834</v>
      </c>
      <c r="S179">
        <f t="shared" si="38"/>
        <v>32493305.437124301</v>
      </c>
      <c r="T179" s="5">
        <v>0.08</v>
      </c>
      <c r="V179">
        <f>SUM($R$2:R179)</f>
        <v>55951.623085803316</v>
      </c>
      <c r="W179">
        <f t="shared" si="39"/>
        <v>117.97668596508944</v>
      </c>
      <c r="Z179">
        <f t="shared" si="33"/>
        <v>1.4595621886413185E-5</v>
      </c>
      <c r="AA179" s="5">
        <v>0.3</v>
      </c>
      <c r="AB179">
        <f t="shared" si="29"/>
        <v>108311018.12374768</v>
      </c>
      <c r="AC179">
        <f t="shared" si="32"/>
        <v>6824195.4058509851</v>
      </c>
      <c r="AD179" s="5">
        <v>0.2</v>
      </c>
      <c r="AE179">
        <f t="shared" si="30"/>
        <v>1364839.0811701971</v>
      </c>
      <c r="AF179">
        <f t="shared" si="31"/>
        <v>1</v>
      </c>
    </row>
    <row r="180" spans="1:32" x14ac:dyDescent="0.25">
      <c r="A180" s="2">
        <v>179</v>
      </c>
      <c r="B180">
        <f t="shared" si="34"/>
        <v>890078.84015684132</v>
      </c>
      <c r="C180" s="5">
        <v>0.08</v>
      </c>
      <c r="D180">
        <f t="shared" si="35"/>
        <v>6283956.6115073077</v>
      </c>
      <c r="Q180">
        <f t="shared" si="36"/>
        <v>6283956.611507359</v>
      </c>
      <c r="R180">
        <f t="shared" si="37"/>
        <v>1098.433150373123</v>
      </c>
      <c r="S180">
        <f t="shared" si="38"/>
        <v>35092769.872094244</v>
      </c>
      <c r="T180" s="5">
        <v>0.08</v>
      </c>
      <c r="V180">
        <f>SUM($R$2:R180)</f>
        <v>57050.056236176439</v>
      </c>
      <c r="W180">
        <f t="shared" si="39"/>
        <v>120.29278504654924</v>
      </c>
      <c r="Z180">
        <f t="shared" si="33"/>
        <v>1.3514464709641839E-5</v>
      </c>
      <c r="AA180" s="5">
        <v>0.3</v>
      </c>
      <c r="AB180">
        <f t="shared" si="29"/>
        <v>116975899.57364748</v>
      </c>
      <c r="AC180">
        <f t="shared" si="32"/>
        <v>7233647.1302020447</v>
      </c>
      <c r="AD180" s="5">
        <v>0.2</v>
      </c>
      <c r="AE180">
        <f t="shared" si="30"/>
        <v>1446729.4260404091</v>
      </c>
      <c r="AF180">
        <f t="shared" si="31"/>
        <v>1</v>
      </c>
    </row>
    <row r="181" spans="1:32" x14ac:dyDescent="0.25">
      <c r="A181" s="2">
        <v>180</v>
      </c>
      <c r="B181">
        <f t="shared" si="34"/>
        <v>961285.14736938861</v>
      </c>
      <c r="C181" s="5">
        <v>0.08</v>
      </c>
      <c r="D181">
        <f t="shared" si="35"/>
        <v>6786673.1404278921</v>
      </c>
      <c r="Q181">
        <f t="shared" si="36"/>
        <v>6786673.1404279489</v>
      </c>
      <c r="R181">
        <f t="shared" si="37"/>
        <v>1119.1583041537478</v>
      </c>
      <c r="S181">
        <f t="shared" si="38"/>
        <v>37900191.461861789</v>
      </c>
      <c r="T181" s="5">
        <v>0.08</v>
      </c>
      <c r="V181">
        <f>SUM($R$2:R181)</f>
        <v>58169.214540330184</v>
      </c>
      <c r="W181">
        <f t="shared" si="39"/>
        <v>122.65258411067808</v>
      </c>
      <c r="Z181">
        <f t="shared" si="33"/>
        <v>1.2513393249668367E-5</v>
      </c>
      <c r="AA181" s="5">
        <v>0.3</v>
      </c>
      <c r="AB181">
        <f t="shared" si="29"/>
        <v>126333971.53953931</v>
      </c>
      <c r="AC181">
        <f t="shared" si="32"/>
        <v>7667665.9580141678</v>
      </c>
      <c r="AD181" s="5">
        <v>0.2</v>
      </c>
      <c r="AE181">
        <f t="shared" si="30"/>
        <v>1533533.1916028336</v>
      </c>
      <c r="AF181">
        <f t="shared" si="31"/>
        <v>1</v>
      </c>
    </row>
    <row r="182" spans="1:32" x14ac:dyDescent="0.25">
      <c r="A182" s="2">
        <v>181</v>
      </c>
      <c r="B182">
        <f t="shared" si="34"/>
        <v>1038187.9591589397</v>
      </c>
      <c r="C182" s="5">
        <v>0.08</v>
      </c>
      <c r="D182">
        <f t="shared" si="35"/>
        <v>7329606.9916621232</v>
      </c>
      <c r="Q182">
        <f t="shared" si="36"/>
        <v>7329606.9916621847</v>
      </c>
      <c r="R182">
        <f t="shared" si="37"/>
        <v>1140.2744985717432</v>
      </c>
      <c r="S182">
        <f t="shared" si="38"/>
        <v>40932206.778810732</v>
      </c>
      <c r="T182" s="5">
        <v>0.08</v>
      </c>
      <c r="V182">
        <f>SUM($R$2:R182)</f>
        <v>59309.489038901927</v>
      </c>
      <c r="W182">
        <f t="shared" si="39"/>
        <v>125.05690768545087</v>
      </c>
      <c r="Z182">
        <f t="shared" si="33"/>
        <v>1.1586475231174414E-5</v>
      </c>
      <c r="AA182" s="5">
        <v>0.3</v>
      </c>
      <c r="AB182">
        <f t="shared" si="29"/>
        <v>136440689.26270244</v>
      </c>
      <c r="AC182">
        <f t="shared" si="32"/>
        <v>8127725.9154950185</v>
      </c>
      <c r="AD182" s="5">
        <v>0.2</v>
      </c>
      <c r="AE182">
        <f t="shared" si="30"/>
        <v>1625545.1830990037</v>
      </c>
      <c r="AF182">
        <f t="shared" si="31"/>
        <v>1</v>
      </c>
    </row>
    <row r="183" spans="1:32" x14ac:dyDescent="0.25">
      <c r="A183" s="2">
        <v>182</v>
      </c>
      <c r="B183">
        <f t="shared" si="34"/>
        <v>1121242.9958916549</v>
      </c>
      <c r="C183" s="5">
        <v>0.08</v>
      </c>
      <c r="D183">
        <f t="shared" si="35"/>
        <v>7915975.5509950928</v>
      </c>
      <c r="Q183">
        <f t="shared" si="36"/>
        <v>7915975.550995159</v>
      </c>
      <c r="R183">
        <f t="shared" si="37"/>
        <v>1161.7891117523416</v>
      </c>
      <c r="S183">
        <f t="shared" si="38"/>
        <v>44206783.321115591</v>
      </c>
      <c r="T183" s="5">
        <v>0.08</v>
      </c>
      <c r="V183">
        <f>SUM($R$2:R183)</f>
        <v>60471.278150654267</v>
      </c>
      <c r="W183">
        <f t="shared" si="39"/>
        <v>127.50659585597408</v>
      </c>
      <c r="Z183">
        <f t="shared" si="33"/>
        <v>1.0728217806642976E-5</v>
      </c>
      <c r="AA183" s="5">
        <v>0.3</v>
      </c>
      <c r="AB183">
        <f t="shared" si="29"/>
        <v>147355944.40371865</v>
      </c>
      <c r="AC183">
        <f t="shared" si="32"/>
        <v>8615389.4704247192</v>
      </c>
      <c r="AD183" s="5">
        <v>0.2</v>
      </c>
      <c r="AE183">
        <f t="shared" si="30"/>
        <v>1723077.8940849439</v>
      </c>
      <c r="AF183">
        <f t="shared" si="31"/>
        <v>1</v>
      </c>
    </row>
    <row r="184" spans="1:32" x14ac:dyDescent="0.25">
      <c r="A184" s="2">
        <v>183</v>
      </c>
      <c r="B184">
        <f t="shared" si="34"/>
        <v>1210942.4355629873</v>
      </c>
      <c r="C184" s="5">
        <v>0.08</v>
      </c>
      <c r="D184">
        <f t="shared" si="35"/>
        <v>8549253.5950747002</v>
      </c>
      <c r="Q184">
        <f t="shared" si="36"/>
        <v>8549253.5950747747</v>
      </c>
      <c r="R184">
        <f t="shared" si="37"/>
        <v>1183.7096610306878</v>
      </c>
      <c r="S184">
        <f t="shared" si="38"/>
        <v>47743325.986804843</v>
      </c>
      <c r="T184" s="5">
        <v>0.08</v>
      </c>
      <c r="V184">
        <f>SUM($R$2:R184)</f>
        <v>61654.987811684958</v>
      </c>
      <c r="W184">
        <f t="shared" si="39"/>
        <v>130.00250455801662</v>
      </c>
      <c r="Z184">
        <f t="shared" si="33"/>
        <v>9.9335350061509023E-6</v>
      </c>
      <c r="AA184" s="5">
        <v>0.3</v>
      </c>
      <c r="AB184">
        <f t="shared" si="29"/>
        <v>159144419.95601615</v>
      </c>
      <c r="AC184">
        <f t="shared" si="32"/>
        <v>9132312.8386502024</v>
      </c>
      <c r="AD184" s="5">
        <v>0.2</v>
      </c>
      <c r="AE184">
        <f t="shared" si="30"/>
        <v>1826462.5677300405</v>
      </c>
      <c r="AF184">
        <f t="shared" si="31"/>
        <v>1</v>
      </c>
    </row>
    <row r="185" spans="1:32" x14ac:dyDescent="0.25">
      <c r="A185" s="2">
        <v>184</v>
      </c>
      <c r="B185">
        <f t="shared" si="34"/>
        <v>1307817.8304080262</v>
      </c>
      <c r="C185" s="5">
        <v>0.08</v>
      </c>
      <c r="D185">
        <f t="shared" si="35"/>
        <v>9233193.8826806769</v>
      </c>
      <c r="Q185">
        <f t="shared" si="36"/>
        <v>9233193.8826807551</v>
      </c>
      <c r="R185">
        <f t="shared" si="37"/>
        <v>1206.0438055784366</v>
      </c>
      <c r="S185">
        <f t="shared" si="38"/>
        <v>51562792.065749235</v>
      </c>
      <c r="T185" s="5">
        <v>0.08</v>
      </c>
      <c r="V185">
        <f>SUM($R$2:R185)</f>
        <v>62861.031617263397</v>
      </c>
      <c r="W185">
        <f t="shared" si="39"/>
        <v>132.54550587707882</v>
      </c>
      <c r="Z185">
        <f t="shared" si="33"/>
        <v>9.1977175982878715E-6</v>
      </c>
      <c r="AA185" s="5">
        <v>0.3</v>
      </c>
      <c r="AB185">
        <f t="shared" si="29"/>
        <v>171875973.55249745</v>
      </c>
      <c r="AC185">
        <f t="shared" si="32"/>
        <v>9680251.6089692153</v>
      </c>
      <c r="AD185" s="5">
        <v>0.2</v>
      </c>
      <c r="AE185">
        <f t="shared" si="30"/>
        <v>1936050.3217938431</v>
      </c>
      <c r="AF185">
        <f t="shared" si="31"/>
        <v>1</v>
      </c>
    </row>
    <row r="186" spans="1:32" x14ac:dyDescent="0.25">
      <c r="A186" s="2">
        <v>185</v>
      </c>
      <c r="B186">
        <f t="shared" si="34"/>
        <v>1412443.2568406684</v>
      </c>
      <c r="C186" s="5">
        <v>0.08</v>
      </c>
      <c r="D186">
        <f t="shared" si="35"/>
        <v>9971849.3932951316</v>
      </c>
      <c r="Q186">
        <f t="shared" si="36"/>
        <v>9971849.3932952154</v>
      </c>
      <c r="R186">
        <f t="shared" si="37"/>
        <v>1228.799349079917</v>
      </c>
      <c r="S186">
        <f t="shared" si="38"/>
        <v>55687815.431009181</v>
      </c>
      <c r="T186" s="5">
        <v>0.08</v>
      </c>
      <c r="V186">
        <f>SUM($R$2:R186)</f>
        <v>64089.830966343317</v>
      </c>
      <c r="W186">
        <f t="shared" si="39"/>
        <v>135.13648835310445</v>
      </c>
      <c r="Z186">
        <f t="shared" si="33"/>
        <v>8.5164051835998808E-6</v>
      </c>
      <c r="AA186" s="5">
        <v>0.3</v>
      </c>
      <c r="AB186">
        <f t="shared" si="29"/>
        <v>185626051.43669727</v>
      </c>
      <c r="AC186">
        <f t="shared" si="32"/>
        <v>10261066.705507368</v>
      </c>
      <c r="AD186" s="5">
        <v>0.2</v>
      </c>
      <c r="AE186">
        <f t="shared" si="30"/>
        <v>2052213.3411014737</v>
      </c>
      <c r="AF186">
        <f t="shared" si="31"/>
        <v>1</v>
      </c>
    </row>
    <row r="187" spans="1:32" x14ac:dyDescent="0.25">
      <c r="A187" s="2">
        <v>186</v>
      </c>
      <c r="B187">
        <f t="shared" si="34"/>
        <v>1525438.7173879219</v>
      </c>
      <c r="C187" s="5">
        <v>0.08</v>
      </c>
      <c r="D187">
        <f t="shared" si="35"/>
        <v>10769597.344758742</v>
      </c>
      <c r="Q187">
        <f t="shared" si="36"/>
        <v>10769597.344758835</v>
      </c>
      <c r="R187">
        <f t="shared" si="37"/>
        <v>1251.9842424587835</v>
      </c>
      <c r="S187">
        <f t="shared" si="38"/>
        <v>60142840.665489919</v>
      </c>
      <c r="T187" s="5">
        <v>0.08</v>
      </c>
      <c r="V187">
        <f>SUM($R$2:R187)</f>
        <v>65341.815208802102</v>
      </c>
      <c r="W187">
        <f t="shared" si="39"/>
        <v>137.77635729094189</v>
      </c>
      <c r="Z187">
        <f t="shared" si="33"/>
        <v>7.885560355185074E-6</v>
      </c>
      <c r="AA187" s="5">
        <v>0.3</v>
      </c>
      <c r="AB187">
        <f t="shared" si="29"/>
        <v>200476135.55163306</v>
      </c>
      <c r="AC187">
        <f t="shared" si="32"/>
        <v>10876730.707837811</v>
      </c>
      <c r="AD187" s="5">
        <v>0.2</v>
      </c>
      <c r="AE187">
        <f t="shared" si="30"/>
        <v>2175346.1415675622</v>
      </c>
      <c r="AF187">
        <f t="shared" si="31"/>
        <v>1</v>
      </c>
    </row>
    <row r="188" spans="1:32" x14ac:dyDescent="0.25">
      <c r="A188" s="2">
        <v>187</v>
      </c>
      <c r="B188">
        <f t="shared" si="34"/>
        <v>1647473.8147789557</v>
      </c>
      <c r="C188" s="5">
        <v>0.08</v>
      </c>
      <c r="D188">
        <f t="shared" si="35"/>
        <v>11631165.13233944</v>
      </c>
      <c r="Q188">
        <f t="shared" si="36"/>
        <v>11631165.132339541</v>
      </c>
      <c r="R188">
        <f t="shared" si="37"/>
        <v>1275.6065866561191</v>
      </c>
      <c r="S188">
        <f t="shared" si="38"/>
        <v>64954267.918729119</v>
      </c>
      <c r="T188" s="5">
        <v>0.08</v>
      </c>
      <c r="V188">
        <f>SUM($R$2:R188)</f>
        <v>66617.421795458227</v>
      </c>
      <c r="W188">
        <f t="shared" si="39"/>
        <v>140.46603507666308</v>
      </c>
      <c r="Z188">
        <f t="shared" si="33"/>
        <v>7.3014447733195125E-6</v>
      </c>
      <c r="AA188" s="5">
        <v>0.3</v>
      </c>
      <c r="AB188">
        <f t="shared" si="29"/>
        <v>216514226.39576373</v>
      </c>
      <c r="AC188">
        <f t="shared" si="32"/>
        <v>11529334.55030808</v>
      </c>
      <c r="AD188" s="5">
        <v>0.2</v>
      </c>
      <c r="AE188">
        <f t="shared" si="30"/>
        <v>2305866.910061616</v>
      </c>
      <c r="AF188">
        <f t="shared" si="31"/>
        <v>1</v>
      </c>
    </row>
    <row r="189" spans="1:32" x14ac:dyDescent="0.25">
      <c r="A189" s="2">
        <v>188</v>
      </c>
      <c r="B189">
        <f t="shared" si="34"/>
        <v>1779271.7199612721</v>
      </c>
      <c r="C189" s="5">
        <v>0.08</v>
      </c>
      <c r="D189">
        <f t="shared" si="35"/>
        <v>12561658.342926595</v>
      </c>
      <c r="Q189">
        <f t="shared" si="36"/>
        <v>12561658.342926703</v>
      </c>
      <c r="R189">
        <f t="shared" si="37"/>
        <v>1299.6746354609513</v>
      </c>
      <c r="S189">
        <f t="shared" si="38"/>
        <v>70150609.352227449</v>
      </c>
      <c r="T189" s="5">
        <v>0.08</v>
      </c>
      <c r="V189">
        <f>SUM($R$2:R189)</f>
        <v>67917.096430919177</v>
      </c>
      <c r="W189">
        <f t="shared" si="39"/>
        <v>143.20646149985066</v>
      </c>
      <c r="Z189">
        <f t="shared" si="33"/>
        <v>6.7605970123328813E-6</v>
      </c>
      <c r="AA189" s="5">
        <v>0.3</v>
      </c>
      <c r="AB189">
        <f t="shared" si="29"/>
        <v>233835364.50742483</v>
      </c>
      <c r="AC189">
        <f t="shared" si="32"/>
        <v>12221094.623326566</v>
      </c>
      <c r="AD189" s="5">
        <v>0.2</v>
      </c>
      <c r="AE189">
        <f t="shared" si="30"/>
        <v>2444218.9246653132</v>
      </c>
      <c r="AF189">
        <f t="shared" si="31"/>
        <v>1</v>
      </c>
    </row>
    <row r="190" spans="1:32" x14ac:dyDescent="0.25">
      <c r="A190" s="2">
        <v>189</v>
      </c>
      <c r="B190">
        <f t="shared" si="34"/>
        <v>1921613.4575581739</v>
      </c>
      <c r="C190" s="5">
        <v>0.08</v>
      </c>
      <c r="D190">
        <f t="shared" si="35"/>
        <v>13566591.010360723</v>
      </c>
      <c r="Q190">
        <f t="shared" si="36"/>
        <v>13566591.010360841</v>
      </c>
      <c r="R190">
        <f t="shared" si="37"/>
        <v>1324.1967983941768</v>
      </c>
      <c r="S190">
        <f t="shared" si="38"/>
        <v>75762658.100405648</v>
      </c>
      <c r="T190" s="5">
        <v>0.08</v>
      </c>
      <c r="V190">
        <f>SUM($R$2:R190)</f>
        <v>69241.293229313349</v>
      </c>
      <c r="W190">
        <f t="shared" si="39"/>
        <v>145.99859408196633</v>
      </c>
      <c r="Z190">
        <f t="shared" si="33"/>
        <v>6.2598120484563715E-6</v>
      </c>
      <c r="AA190" s="5">
        <v>0.3</v>
      </c>
      <c r="AB190">
        <f t="shared" si="29"/>
        <v>252542193.66801885</v>
      </c>
      <c r="AC190">
        <f t="shared" si="32"/>
        <v>12954360.30072616</v>
      </c>
      <c r="AD190" s="5">
        <v>0.2</v>
      </c>
      <c r="AE190">
        <f t="shared" si="30"/>
        <v>2590872.0601452324</v>
      </c>
      <c r="AF190">
        <f t="shared" si="31"/>
        <v>1</v>
      </c>
    </row>
    <row r="191" spans="1:32" x14ac:dyDescent="0.25">
      <c r="A191" s="2">
        <v>190</v>
      </c>
      <c r="B191">
        <f t="shared" si="34"/>
        <v>2075342.5341628278</v>
      </c>
      <c r="C191" s="5">
        <v>0.08</v>
      </c>
      <c r="D191">
        <f t="shared" si="35"/>
        <v>14651918.291189581</v>
      </c>
      <c r="Q191">
        <f t="shared" si="36"/>
        <v>14651918.291189708</v>
      </c>
      <c r="R191">
        <f t="shared" si="37"/>
        <v>1349.1816436468969</v>
      </c>
      <c r="S191">
        <f t="shared" si="38"/>
        <v>81823670.748438105</v>
      </c>
      <c r="T191" s="5">
        <v>0.08</v>
      </c>
      <c r="V191">
        <f>SUM($R$2:R191)</f>
        <v>70590.474872960243</v>
      </c>
      <c r="W191">
        <f t="shared" si="39"/>
        <v>148.84340841091435</v>
      </c>
      <c r="Z191">
        <f t="shared" si="33"/>
        <v>5.7961222670892322E-6</v>
      </c>
      <c r="AA191" s="5">
        <v>0.3</v>
      </c>
      <c r="AB191">
        <f t="shared" si="29"/>
        <v>272745569.16146034</v>
      </c>
      <c r="AC191">
        <f t="shared" si="32"/>
        <v>13731621.91876973</v>
      </c>
      <c r="AD191" s="5">
        <v>0.2</v>
      </c>
      <c r="AE191">
        <f t="shared" si="30"/>
        <v>2746324.3837539461</v>
      </c>
      <c r="AF191">
        <f t="shared" si="31"/>
        <v>1</v>
      </c>
    </row>
    <row r="192" spans="1:32" x14ac:dyDescent="0.25">
      <c r="A192" s="2">
        <v>191</v>
      </c>
      <c r="B192">
        <f t="shared" si="34"/>
        <v>2241369.9368958538</v>
      </c>
      <c r="C192" s="5">
        <v>0.08</v>
      </c>
      <c r="D192">
        <f t="shared" si="35"/>
        <v>15824071.754484748</v>
      </c>
      <c r="Q192">
        <f t="shared" si="36"/>
        <v>15824071.754484888</v>
      </c>
      <c r="R192">
        <f t="shared" si="37"/>
        <v>1374.6379010741969</v>
      </c>
      <c r="S192">
        <f t="shared" si="38"/>
        <v>88369564.408313155</v>
      </c>
      <c r="T192" s="5">
        <v>0.08</v>
      </c>
      <c r="V192">
        <f>SUM($R$2:R192)</f>
        <v>71965.112774034438</v>
      </c>
      <c r="W192">
        <f t="shared" si="39"/>
        <v>151.74189848191801</v>
      </c>
      <c r="Z192">
        <f t="shared" si="33"/>
        <v>5.3667798769344741E-6</v>
      </c>
      <c r="AA192" s="5">
        <v>0.3</v>
      </c>
      <c r="AB192">
        <f t="shared" si="29"/>
        <v>294565214.69437718</v>
      </c>
      <c r="AC192">
        <f t="shared" si="32"/>
        <v>14555519.233895915</v>
      </c>
      <c r="AD192" s="5">
        <v>0.2</v>
      </c>
      <c r="AE192">
        <f t="shared" si="30"/>
        <v>2911103.846779183</v>
      </c>
      <c r="AF192">
        <f t="shared" si="31"/>
        <v>1</v>
      </c>
    </row>
    <row r="193" spans="1:32" x14ac:dyDescent="0.25">
      <c r="A193" s="2">
        <v>192</v>
      </c>
      <c r="B193">
        <f t="shared" si="34"/>
        <v>2420679.5318475221</v>
      </c>
      <c r="C193" s="5">
        <v>0.08</v>
      </c>
      <c r="D193">
        <f t="shared" si="35"/>
        <v>17089997.494843528</v>
      </c>
      <c r="Q193">
        <f t="shared" si="36"/>
        <v>17089997.494843684</v>
      </c>
      <c r="R193">
        <f t="shared" si="37"/>
        <v>1400.574465245408</v>
      </c>
      <c r="S193">
        <f t="shared" si="38"/>
        <v>95439129.560978219</v>
      </c>
      <c r="T193" s="5">
        <v>0.08</v>
      </c>
      <c r="V193">
        <f>SUM($R$2:R193)</f>
        <v>73365.68723927984</v>
      </c>
      <c r="W193">
        <f t="shared" si="39"/>
        <v>154.6950770448274</v>
      </c>
      <c r="Z193">
        <f t="shared" si="33"/>
        <v>4.9692406267911792E-6</v>
      </c>
      <c r="AA193" s="5">
        <v>0.3</v>
      </c>
      <c r="AB193">
        <f t="shared" si="29"/>
        <v>318130431.86992741</v>
      </c>
      <c r="AC193">
        <f t="shared" si="32"/>
        <v>15428850.387929671</v>
      </c>
      <c r="AD193" s="5">
        <v>0.2</v>
      </c>
      <c r="AE193">
        <f t="shared" si="30"/>
        <v>3085770.0775859342</v>
      </c>
      <c r="AF193">
        <f t="shared" si="31"/>
        <v>1</v>
      </c>
    </row>
    <row r="194" spans="1:32" x14ac:dyDescent="0.25">
      <c r="A194" s="2">
        <v>193</v>
      </c>
      <c r="B194">
        <f t="shared" si="34"/>
        <v>2614333.8943953239</v>
      </c>
      <c r="C194" s="5">
        <v>0.08</v>
      </c>
      <c r="D194">
        <f t="shared" si="35"/>
        <v>18457197.294431008</v>
      </c>
      <c r="Q194">
        <f t="shared" si="36"/>
        <v>18457197.294431176</v>
      </c>
      <c r="R194">
        <f t="shared" si="37"/>
        <v>1427.0003985519259</v>
      </c>
      <c r="S194">
        <f t="shared" si="38"/>
        <v>103074259.92585649</v>
      </c>
      <c r="T194" s="5">
        <v>0.08</v>
      </c>
      <c r="V194">
        <f>SUM($R$2:R194)</f>
        <v>74792.687637831768</v>
      </c>
      <c r="W194">
        <f t="shared" si="39"/>
        <v>157.70397595798036</v>
      </c>
      <c r="Z194">
        <f t="shared" si="33"/>
        <v>4.6011487285103514E-6</v>
      </c>
      <c r="AA194" s="5">
        <v>0.3</v>
      </c>
      <c r="AB194">
        <f t="shared" si="29"/>
        <v>343580866.41952163</v>
      </c>
      <c r="AC194">
        <f t="shared" si="32"/>
        <v>16354581.411205452</v>
      </c>
      <c r="AD194" s="5">
        <v>0.2</v>
      </c>
      <c r="AE194">
        <f t="shared" si="30"/>
        <v>3270916.2822410907</v>
      </c>
      <c r="AF194">
        <f t="shared" si="31"/>
        <v>1</v>
      </c>
    </row>
    <row r="195" spans="1:32" x14ac:dyDescent="0.25">
      <c r="A195" s="2">
        <v>194</v>
      </c>
      <c r="B195">
        <f t="shared" si="34"/>
        <v>2823480.6059469497</v>
      </c>
      <c r="C195" s="5">
        <v>0.08</v>
      </c>
      <c r="D195">
        <f t="shared" si="35"/>
        <v>19933773.077985488</v>
      </c>
      <c r="Q195">
        <f t="shared" si="36"/>
        <v>19933773.077985674</v>
      </c>
      <c r="R195">
        <f t="shared" si="37"/>
        <v>1453.9249343736603</v>
      </c>
      <c r="S195">
        <f t="shared" si="38"/>
        <v>111320200.71992502</v>
      </c>
      <c r="T195" s="5">
        <v>0.08</v>
      </c>
      <c r="V195">
        <f>SUM($R$2:R195)</f>
        <v>76246.612572205428</v>
      </c>
      <c r="W195">
        <f t="shared" si="39"/>
        <v>160.76964654873998</v>
      </c>
      <c r="Z195">
        <f t="shared" si="33"/>
        <v>4.2603228967688431E-6</v>
      </c>
      <c r="AA195" s="5">
        <v>0.3</v>
      </c>
      <c r="AB195">
        <f t="shared" ref="AB195:AB201" si="40">S195/AA195</f>
        <v>371067335.73308343</v>
      </c>
      <c r="AC195">
        <f t="shared" si="32"/>
        <v>17335856.295877781</v>
      </c>
      <c r="AD195" s="5">
        <v>0.2</v>
      </c>
      <c r="AE195">
        <f t="shared" ref="AE195:AE201" si="41">AC195*AD195</f>
        <v>3467171.2591755562</v>
      </c>
      <c r="AF195">
        <f t="shared" ref="AF195:AF201" si="42">IF(AB195&gt;AE195, 1, 0)</f>
        <v>1</v>
      </c>
    </row>
    <row r="196" spans="1:32" x14ac:dyDescent="0.25">
      <c r="A196" s="2">
        <v>195</v>
      </c>
      <c r="B196">
        <f t="shared" si="34"/>
        <v>3049359.0544227054</v>
      </c>
      <c r="C196" s="5">
        <v>0.08</v>
      </c>
      <c r="D196">
        <f t="shared" si="35"/>
        <v>21528474.924224328</v>
      </c>
      <c r="Q196">
        <f t="shared" si="36"/>
        <v>21528474.924224526</v>
      </c>
      <c r="R196">
        <f t="shared" si="37"/>
        <v>1481.3574803052388</v>
      </c>
      <c r="S196">
        <f t="shared" si="38"/>
        <v>120225816.77751903</v>
      </c>
      <c r="T196" s="5">
        <v>0.08</v>
      </c>
      <c r="V196">
        <f>SUM($R$2:R196)</f>
        <v>77727.97005251066</v>
      </c>
      <c r="W196">
        <f t="shared" si="39"/>
        <v>163.8931599808347</v>
      </c>
      <c r="Z196">
        <f t="shared" si="33"/>
        <v>3.9447434229341137E-6</v>
      </c>
      <c r="AA196" s="5">
        <v>0.3</v>
      </c>
      <c r="AB196">
        <f t="shared" si="40"/>
        <v>400752722.59173012</v>
      </c>
      <c r="AC196">
        <f t="shared" ref="AC196:AC201" si="43">AC195*(1+$U$2)</f>
        <v>18376007.67363045</v>
      </c>
      <c r="AD196" s="5">
        <v>0.2</v>
      </c>
      <c r="AE196">
        <f t="shared" si="41"/>
        <v>3675201.5347260903</v>
      </c>
      <c r="AF196">
        <f t="shared" si="42"/>
        <v>1</v>
      </c>
    </row>
    <row r="197" spans="1:32" x14ac:dyDescent="0.25">
      <c r="A197" s="2">
        <v>196</v>
      </c>
      <c r="B197">
        <f t="shared" si="34"/>
        <v>3293307.7787765218</v>
      </c>
      <c r="C197" s="5">
        <v>0.08</v>
      </c>
      <c r="D197">
        <f t="shared" si="35"/>
        <v>23250752.918162275</v>
      </c>
      <c r="Q197">
        <f t="shared" si="36"/>
        <v>23250752.918162487</v>
      </c>
      <c r="R197">
        <f t="shared" si="37"/>
        <v>1509.3076214430735</v>
      </c>
      <c r="S197">
        <f t="shared" si="38"/>
        <v>129843882.11972056</v>
      </c>
      <c r="T197" s="5">
        <v>0.08</v>
      </c>
      <c r="V197">
        <f>SUM($R$2:R197)</f>
        <v>79237.277673953737</v>
      </c>
      <c r="W197">
        <f t="shared" si="39"/>
        <v>167.07560762862931</v>
      </c>
      <c r="Z197">
        <f t="shared" si="33"/>
        <v>3.6525402064204753E-6</v>
      </c>
      <c r="AA197" s="5">
        <v>0.3</v>
      </c>
      <c r="AB197">
        <f t="shared" si="40"/>
        <v>432812940.39906853</v>
      </c>
      <c r="AC197">
        <f t="shared" si="43"/>
        <v>19478568.134048279</v>
      </c>
      <c r="AD197" s="5">
        <v>0.2</v>
      </c>
      <c r="AE197">
        <f t="shared" si="41"/>
        <v>3895713.6268096562</v>
      </c>
      <c r="AF197">
        <f t="shared" si="42"/>
        <v>1</v>
      </c>
    </row>
    <row r="198" spans="1:32" x14ac:dyDescent="0.25">
      <c r="A198" s="2">
        <v>197</v>
      </c>
      <c r="B198">
        <f t="shared" si="34"/>
        <v>3556772.4010786437</v>
      </c>
      <c r="C198" s="5">
        <v>0.08</v>
      </c>
      <c r="D198">
        <f t="shared" si="35"/>
        <v>25110813.151615258</v>
      </c>
      <c r="Q198">
        <f t="shared" si="36"/>
        <v>25110813.151615489</v>
      </c>
      <c r="R198">
        <f t="shared" si="37"/>
        <v>1537.7851237344521</v>
      </c>
      <c r="S198">
        <f t="shared" si="38"/>
        <v>140231392.68929821</v>
      </c>
      <c r="T198" s="5">
        <v>0.08</v>
      </c>
      <c r="V198">
        <f>SUM($R$2:R198)</f>
        <v>80775.062797688195</v>
      </c>
      <c r="W198">
        <f t="shared" si="39"/>
        <v>170.31810145845779</v>
      </c>
      <c r="Z198">
        <f t="shared" si="33"/>
        <v>3.381981672611551E-6</v>
      </c>
      <c r="AA198" s="5">
        <v>0.3</v>
      </c>
      <c r="AB198">
        <f t="shared" si="40"/>
        <v>467437975.63099408</v>
      </c>
      <c r="AC198">
        <f t="shared" si="43"/>
        <v>20647282.222091176</v>
      </c>
      <c r="AD198" s="5">
        <v>0.2</v>
      </c>
      <c r="AE198">
        <f t="shared" si="41"/>
        <v>4129456.4444182352</v>
      </c>
      <c r="AF198">
        <f t="shared" si="42"/>
        <v>1</v>
      </c>
    </row>
    <row r="199" spans="1:32" x14ac:dyDescent="0.25">
      <c r="A199" s="2">
        <v>198</v>
      </c>
      <c r="B199">
        <f t="shared" si="34"/>
        <v>3841314.1931649353</v>
      </c>
      <c r="C199" s="5">
        <v>0.08</v>
      </c>
      <c r="D199">
        <f t="shared" si="35"/>
        <v>27119678.203744479</v>
      </c>
      <c r="Q199">
        <f t="shared" si="36"/>
        <v>27119678.203744728</v>
      </c>
      <c r="R199">
        <f t="shared" si="37"/>
        <v>1566.7999373898194</v>
      </c>
      <c r="S199">
        <f t="shared" si="38"/>
        <v>151449904.10444209</v>
      </c>
      <c r="T199" s="5">
        <v>0.08</v>
      </c>
      <c r="V199">
        <f>SUM($R$2:R199)</f>
        <v>82341.862735078015</v>
      </c>
      <c r="W199">
        <f t="shared" si="39"/>
        <v>173.62177441715096</v>
      </c>
      <c r="Z199">
        <f t="shared" si="33"/>
        <v>3.1314645116773618E-6</v>
      </c>
      <c r="AA199" s="5">
        <v>0.3</v>
      </c>
      <c r="AB199">
        <f t="shared" si="40"/>
        <v>504833013.68147367</v>
      </c>
      <c r="AC199">
        <f t="shared" si="43"/>
        <v>21886119.155416649</v>
      </c>
      <c r="AD199" s="5">
        <v>0.2</v>
      </c>
      <c r="AE199">
        <f t="shared" si="41"/>
        <v>4377223.8310833303</v>
      </c>
      <c r="AF199">
        <f t="shared" si="42"/>
        <v>1</v>
      </c>
    </row>
    <row r="200" spans="1:32" x14ac:dyDescent="0.25">
      <c r="A200" s="2">
        <v>199</v>
      </c>
      <c r="B200">
        <f t="shared" si="34"/>
        <v>4148619.3286181302</v>
      </c>
      <c r="C200" s="5">
        <v>0.08</v>
      </c>
      <c r="D200">
        <f t="shared" si="35"/>
        <v>29289252.460044038</v>
      </c>
      <c r="Q200">
        <f t="shared" si="36"/>
        <v>29289252.460044313</v>
      </c>
      <c r="R200">
        <f t="shared" si="37"/>
        <v>1596.3622003594385</v>
      </c>
      <c r="S200">
        <f t="shared" si="38"/>
        <v>163565896.43279746</v>
      </c>
      <c r="T200" s="5">
        <v>0.08</v>
      </c>
      <c r="V200">
        <f>SUM($R$2:R200)</f>
        <v>83938.224935437451</v>
      </c>
      <c r="W200">
        <f t="shared" si="39"/>
        <v>176.98778082789494</v>
      </c>
      <c r="Z200">
        <f t="shared" si="33"/>
        <v>2.8995041774790384E-6</v>
      </c>
      <c r="AA200" s="5">
        <v>0.3</v>
      </c>
      <c r="AB200">
        <f t="shared" si="40"/>
        <v>545219654.77599156</v>
      </c>
      <c r="AC200">
        <f t="shared" si="43"/>
        <v>23199286.304741647</v>
      </c>
      <c r="AD200" s="5">
        <v>0.2</v>
      </c>
      <c r="AE200">
        <f t="shared" si="41"/>
        <v>4639857.2609483292</v>
      </c>
      <c r="AF200">
        <f t="shared" si="42"/>
        <v>1</v>
      </c>
    </row>
    <row r="201" spans="1:32" x14ac:dyDescent="0.25">
      <c r="A201" s="2">
        <v>200</v>
      </c>
      <c r="B201">
        <f>B200+B200*C200</f>
        <v>4480508.8749075802</v>
      </c>
      <c r="C201" s="5">
        <v>0.08</v>
      </c>
      <c r="D201">
        <f>D200+D200*C200</f>
        <v>31632392.656847559</v>
      </c>
      <c r="Q201">
        <f>$D$2*((1+$C$2)^A200)</f>
        <v>31632392.656847857</v>
      </c>
      <c r="R201">
        <f>S201/((1+$U$2)^A200)</f>
        <v>1626.4822418756539</v>
      </c>
      <c r="S201">
        <f>S200*(1+T200)</f>
        <v>176651168.14742127</v>
      </c>
      <c r="T201" s="5">
        <v>0.08</v>
      </c>
      <c r="V201">
        <f>SUM($R$2:R201)</f>
        <v>85564.707177313103</v>
      </c>
      <c r="W201">
        <f>V201/$W$2</f>
        <v>180.41729679355862</v>
      </c>
      <c r="Z201">
        <f t="shared" si="33"/>
        <v>2.6847260902583686E-6</v>
      </c>
      <c r="AA201" s="5">
        <v>0.3</v>
      </c>
      <c r="AB201">
        <f t="shared" si="40"/>
        <v>588837227.15807092</v>
      </c>
      <c r="AC201">
        <f t="shared" si="43"/>
        <v>24591243.483026147</v>
      </c>
      <c r="AD201" s="5">
        <v>0.2</v>
      </c>
      <c r="AE201">
        <f t="shared" si="41"/>
        <v>4918248.6966052298</v>
      </c>
      <c r="AF201">
        <f t="shared" si="42"/>
        <v>1</v>
      </c>
    </row>
  </sheetData>
  <dataConsolidate/>
  <phoneticPr fontId="1" type="noConversion"/>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dimension ref="C3"/>
  <sheetViews>
    <sheetView workbookViewId="0">
      <selection activeCell="A63" sqref="A63"/>
    </sheetView>
  </sheetViews>
  <sheetFormatPr defaultRowHeight="14.4" x14ac:dyDescent="0.25"/>
  <sheetData>
    <row r="3" spans="3:3" x14ac:dyDescent="0.25">
      <c r="C3">
        <v>55</v>
      </c>
    </row>
  </sheetData>
  <phoneticPr fontId="1" type="noConversion"/>
  <pageMargins left="0.7" right="0.7" top="0.75" bottom="0.75" header="0.3" footer="0.3"/>
  <pageSetup paperSize="9" orientation="portrait" horizontalDpi="0" verticalDpi="0" r:id="rId1"/>
  <drawing r:id="rId2"/>
  <legacyDrawing r:id="rId3"/>
  <oleObjects>
    <mc:AlternateContent xmlns:mc="http://schemas.openxmlformats.org/markup-compatibility/2006">
      <mc:Choice Requires="x14">
        <oleObject progId="Visio.Drawing.11" shapeId="8205" r:id="rId4">
          <objectPr defaultSize="0" autoPict="0" r:id="rId5">
            <anchor moveWithCells="1">
              <from>
                <xdr:col>0</xdr:col>
                <xdr:colOff>53340</xdr:colOff>
                <xdr:row>37</xdr:row>
                <xdr:rowOff>53340</xdr:rowOff>
              </from>
              <to>
                <xdr:col>15</xdr:col>
                <xdr:colOff>548640</xdr:colOff>
                <xdr:row>59</xdr:row>
                <xdr:rowOff>91440</xdr:rowOff>
              </to>
            </anchor>
          </objectPr>
        </oleObject>
      </mc:Choice>
      <mc:Fallback>
        <oleObject progId="Visio.Drawing.11" shapeId="8205" r:id="rId4"/>
      </mc:Fallback>
    </mc:AlternateContent>
    <mc:AlternateContent xmlns:mc="http://schemas.openxmlformats.org/markup-compatibility/2006">
      <mc:Choice Requires="x14">
        <oleObject progId="Visio.Drawing.11" shapeId="8206" r:id="rId6">
          <objectPr defaultSize="0" r:id="rId7">
            <anchor moveWithCells="1">
              <from>
                <xdr:col>0</xdr:col>
                <xdr:colOff>99060</xdr:colOff>
                <xdr:row>1</xdr:row>
                <xdr:rowOff>38100</xdr:rowOff>
              </from>
              <to>
                <xdr:col>25</xdr:col>
                <xdr:colOff>464820</xdr:colOff>
                <xdr:row>36</xdr:row>
                <xdr:rowOff>99060</xdr:rowOff>
              </to>
            </anchor>
          </objectPr>
        </oleObject>
      </mc:Choice>
      <mc:Fallback>
        <oleObject progId="Visio.Drawing.11" shapeId="8206" r:id="rId6"/>
      </mc:Fallback>
    </mc:AlternateContent>
    <mc:AlternateContent xmlns:mc="http://schemas.openxmlformats.org/markup-compatibility/2006">
      <mc:Choice Requires="x14">
        <oleObject progId="Visio.Drawing.11" shapeId="8207" r:id="rId8">
          <objectPr defaultSize="0" r:id="rId9">
            <anchor moveWithCells="1">
              <from>
                <xdr:col>0</xdr:col>
                <xdr:colOff>0</xdr:colOff>
                <xdr:row>62</xdr:row>
                <xdr:rowOff>0</xdr:rowOff>
              </from>
              <to>
                <xdr:col>14</xdr:col>
                <xdr:colOff>167640</xdr:colOff>
                <xdr:row>86</xdr:row>
                <xdr:rowOff>0</xdr:rowOff>
              </to>
            </anchor>
          </objectPr>
        </oleObject>
      </mc:Choice>
      <mc:Fallback>
        <oleObject progId="Visio.Drawing.11" shapeId="8207" r:id="rId8"/>
      </mc:Fallback>
    </mc:AlternateContent>
  </oleObjec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3</vt:i4>
      </vt:variant>
    </vt:vector>
  </HeadingPairs>
  <TitlesOfParts>
    <vt:vector size="3" baseType="lpstr">
      <vt:lpstr>自行车及电动车</vt:lpstr>
      <vt:lpstr>公司价值折现</vt:lpstr>
      <vt:lpstr>基本面模型</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dc:creator>
  <cp:keywords>CTPClassification=CTP_NT</cp:keywords>
  <cp:lastModifiedBy>Administrator</cp:lastModifiedBy>
  <dcterms:created xsi:type="dcterms:W3CDTF">2018-08-09T11:49:58Z</dcterms:created>
  <dcterms:modified xsi:type="dcterms:W3CDTF">2023-06-10T11:42:49Z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TitusGUID">
    <vt:lpwstr>88baec69-fb1e-4d63-9f3d-bd3ecbe7e71b</vt:lpwstr>
  </property>
  <property fmtid="{D5CDD505-2E9C-101B-9397-08002B2CF9AE}" pid="3" name="CTP_TimeStamp">
    <vt:lpwstr>2019-07-31 20:56:09Z</vt:lpwstr>
  </property>
  <property fmtid="{D5CDD505-2E9C-101B-9397-08002B2CF9AE}" pid="4" name="CTP_BU">
    <vt:lpwstr>NA</vt:lpwstr>
  </property>
  <property fmtid="{D5CDD505-2E9C-101B-9397-08002B2CF9AE}" pid="5" name="CTP_IDSID">
    <vt:lpwstr>NA</vt:lpwstr>
  </property>
  <property fmtid="{D5CDD505-2E9C-101B-9397-08002B2CF9AE}" pid="6" name="CTP_WWID">
    <vt:lpwstr>NA</vt:lpwstr>
  </property>
  <property fmtid="{D5CDD505-2E9C-101B-9397-08002B2CF9AE}" pid="7" name="CTPClassification">
    <vt:lpwstr>CTP_NT</vt:lpwstr>
  </property>
</Properties>
</file>