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D:\88 HXF\value-investment\估值分析\行业利基详细分析\消费电商包装\"/>
    </mc:Choice>
  </mc:AlternateContent>
  <bookViews>
    <workbookView xWindow="-108" yWindow="-108" windowWidth="20268" windowHeight="9132"/>
  </bookViews>
  <sheets>
    <sheet name="白酒" sheetId="36" r:id="rId1"/>
    <sheet name="啤酒" sheetId="57" r:id="rId2"/>
    <sheet name="软饮料" sheetId="58" r:id="rId3"/>
    <sheet name="其他酒类-葡萄酒" sheetId="59" r:id="rId4"/>
    <sheet name="其他酒类-黄酒" sheetId="61" r:id="rId5"/>
    <sheet name="其他酒类-其他" sheetId="62" r:id="rId6"/>
    <sheet name="公司价值折现" sheetId="42" r:id="rId7"/>
    <sheet name="基本面模型" sheetId="23" r:id="rId8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62" l="1"/>
  <c r="J2" i="61"/>
  <c r="J2" i="59"/>
  <c r="J2" i="58"/>
  <c r="J2" i="57"/>
  <c r="J2" i="36"/>
  <c r="X2" i="42" l="1"/>
  <c r="Y2" i="42"/>
  <c r="AC5" i="42" l="1"/>
  <c r="AE5" i="42" s="1"/>
  <c r="AC6" i="42"/>
  <c r="AE6" i="42" s="1"/>
  <c r="AE7" i="42"/>
  <c r="AC8" i="42"/>
  <c r="W2" i="42"/>
  <c r="AC4" i="42" l="1"/>
  <c r="AC9" i="42"/>
  <c r="AE8" i="42"/>
  <c r="AC3" i="42" l="1"/>
  <c r="AE4" i="42"/>
  <c r="AC10" i="42"/>
  <c r="AE9" i="42"/>
  <c r="D2" i="42"/>
  <c r="AC2" i="42" l="1"/>
  <c r="AE2" i="42" s="1"/>
  <c r="AE3" i="42"/>
  <c r="AC11" i="42"/>
  <c r="AE10" i="42"/>
  <c r="Q201" i="42"/>
  <c r="Q106" i="42"/>
  <c r="Q110" i="42"/>
  <c r="Q114" i="42"/>
  <c r="Q118" i="42"/>
  <c r="Q122" i="42"/>
  <c r="Q126" i="42"/>
  <c r="Q130" i="42"/>
  <c r="Q134" i="42"/>
  <c r="Q138" i="42"/>
  <c r="Q142" i="42"/>
  <c r="Q146" i="42"/>
  <c r="Q150" i="42"/>
  <c r="Q154" i="42"/>
  <c r="Q158" i="42"/>
  <c r="Q162" i="42"/>
  <c r="Q166" i="42"/>
  <c r="Q170" i="42"/>
  <c r="Q174" i="42"/>
  <c r="Q178" i="42"/>
  <c r="Q182" i="42"/>
  <c r="Q186" i="42"/>
  <c r="Q190" i="42"/>
  <c r="Q194" i="42"/>
  <c r="Q198" i="42"/>
  <c r="Q131" i="42"/>
  <c r="Q143" i="42"/>
  <c r="Q155" i="42"/>
  <c r="Q163" i="42"/>
  <c r="Q175" i="42"/>
  <c r="Q187" i="42"/>
  <c r="Q195" i="42"/>
  <c r="Q102" i="42"/>
  <c r="Q103" i="42"/>
  <c r="Q108" i="42"/>
  <c r="Q112" i="42"/>
  <c r="Q116" i="42"/>
  <c r="Q120" i="42"/>
  <c r="Q124" i="42"/>
  <c r="Q128" i="42"/>
  <c r="Q132" i="42"/>
  <c r="Q136" i="42"/>
  <c r="Q140" i="42"/>
  <c r="Q144" i="42"/>
  <c r="Q148" i="42"/>
  <c r="Q152" i="42"/>
  <c r="Q156" i="42"/>
  <c r="Q160" i="42"/>
  <c r="Q164" i="42"/>
  <c r="Q168" i="42"/>
  <c r="Q172" i="42"/>
  <c r="Q176" i="42"/>
  <c r="Q180" i="42"/>
  <c r="Q184" i="42"/>
  <c r="Q188" i="42"/>
  <c r="Q192" i="42"/>
  <c r="Q196" i="42"/>
  <c r="Q200" i="42"/>
  <c r="Q123" i="42"/>
  <c r="Q135" i="42"/>
  <c r="Q147" i="42"/>
  <c r="Q159" i="42"/>
  <c r="Q171" i="42"/>
  <c r="Q183" i="42"/>
  <c r="Q191" i="42"/>
  <c r="Q105" i="42"/>
  <c r="Q109" i="42"/>
  <c r="Q113" i="42"/>
  <c r="Q117" i="42"/>
  <c r="Q121" i="42"/>
  <c r="Q125" i="42"/>
  <c r="Q129" i="42"/>
  <c r="Q133" i="42"/>
  <c r="Q137" i="42"/>
  <c r="Q141" i="42"/>
  <c r="Q145" i="42"/>
  <c r="Q149" i="42"/>
  <c r="Q153" i="42"/>
  <c r="Q157" i="42"/>
  <c r="Q161" i="42"/>
  <c r="Q165" i="42"/>
  <c r="Q169" i="42"/>
  <c r="Q173" i="42"/>
  <c r="Q177" i="42"/>
  <c r="Q181" i="42"/>
  <c r="Q185" i="42"/>
  <c r="Q189" i="42"/>
  <c r="Q193" i="42"/>
  <c r="Q197" i="42"/>
  <c r="Q104" i="42"/>
  <c r="Q107" i="42"/>
  <c r="Q111" i="42"/>
  <c r="Q115" i="42"/>
  <c r="Q119" i="42"/>
  <c r="Q127" i="42"/>
  <c r="Q139" i="42"/>
  <c r="Q151" i="42"/>
  <c r="Q167" i="42"/>
  <c r="Q179" i="42"/>
  <c r="Q199" i="42"/>
  <c r="AC12" i="42" l="1"/>
  <c r="AE11" i="42"/>
  <c r="S2" i="42"/>
  <c r="AB2" i="42" l="1"/>
  <c r="AF2" i="42" s="1"/>
  <c r="Z2" i="42"/>
  <c r="AC13" i="42"/>
  <c r="AE12" i="42"/>
  <c r="S3" i="42"/>
  <c r="Z3" i="42" s="1"/>
  <c r="R2" i="42"/>
  <c r="G2" i="42"/>
  <c r="L2" i="42"/>
  <c r="V2" i="42" l="1"/>
  <c r="AC14" i="42"/>
  <c r="AE13" i="42"/>
  <c r="S4" i="42"/>
  <c r="AB3" i="42"/>
  <c r="AF3" i="42" s="1"/>
  <c r="R3" i="42"/>
  <c r="V3" i="42" s="1"/>
  <c r="W3" i="42" s="1"/>
  <c r="Q55" i="42"/>
  <c r="Q59" i="42"/>
  <c r="Q63" i="42"/>
  <c r="Q66" i="42"/>
  <c r="Q73" i="42"/>
  <c r="Q77" i="42"/>
  <c r="Q81" i="42"/>
  <c r="Q85" i="42"/>
  <c r="Q89" i="42"/>
  <c r="Q93" i="42"/>
  <c r="Q97" i="42"/>
  <c r="Q101" i="42"/>
  <c r="Q58" i="42"/>
  <c r="Q76" i="42"/>
  <c r="Q88" i="42"/>
  <c r="Q100" i="42"/>
  <c r="Q56" i="42"/>
  <c r="Q60" i="42"/>
  <c r="Q64" i="42"/>
  <c r="Q67" i="42"/>
  <c r="Q70" i="42"/>
  <c r="Q74" i="42"/>
  <c r="Q78" i="42"/>
  <c r="Q82" i="42"/>
  <c r="Q86" i="42"/>
  <c r="Q90" i="42"/>
  <c r="Q94" i="42"/>
  <c r="Q98" i="42"/>
  <c r="Q54" i="42"/>
  <c r="Q62" i="42"/>
  <c r="Q69" i="42"/>
  <c r="Q80" i="42"/>
  <c r="Q92" i="42"/>
  <c r="Q53" i="42"/>
  <c r="Q57" i="42"/>
  <c r="Q61" i="42"/>
  <c r="Q65" i="42"/>
  <c r="Q68" i="42"/>
  <c r="Q71" i="42"/>
  <c r="Q75" i="42"/>
  <c r="Q79" i="42"/>
  <c r="Q83" i="42"/>
  <c r="Q87" i="42"/>
  <c r="Q91" i="42"/>
  <c r="Q95" i="42"/>
  <c r="Q99" i="42"/>
  <c r="Q52" i="42"/>
  <c r="Q72" i="42"/>
  <c r="Q84" i="42"/>
  <c r="Q96" i="42"/>
  <c r="B3" i="42"/>
  <c r="Q13" i="42"/>
  <c r="Q25" i="42"/>
  <c r="Q37" i="42"/>
  <c r="Q49" i="42"/>
  <c r="Q26" i="42"/>
  <c r="Q38" i="42"/>
  <c r="Q50" i="42"/>
  <c r="Q15" i="42"/>
  <c r="Q39" i="42"/>
  <c r="Q28" i="42"/>
  <c r="Q40" i="42"/>
  <c r="Q5" i="42"/>
  <c r="Q29" i="42"/>
  <c r="Q6" i="42"/>
  <c r="Q30" i="42"/>
  <c r="Q43" i="42"/>
  <c r="Q8" i="42"/>
  <c r="Q44" i="42"/>
  <c r="Q21" i="42"/>
  <c r="Q45" i="42"/>
  <c r="Q22" i="42"/>
  <c r="Q35" i="42"/>
  <c r="Q36" i="42"/>
  <c r="Q14" i="42"/>
  <c r="Q27" i="42"/>
  <c r="Q51" i="42"/>
  <c r="Q4" i="42"/>
  <c r="Q17" i="42"/>
  <c r="Q3" i="42"/>
  <c r="Q18" i="42"/>
  <c r="Q42" i="42"/>
  <c r="Q7" i="42"/>
  <c r="Q19" i="42"/>
  <c r="Q31" i="42"/>
  <c r="Q32" i="42"/>
  <c r="Q9" i="42"/>
  <c r="Q33" i="42"/>
  <c r="Q10" i="42"/>
  <c r="Q46" i="42"/>
  <c r="Q23" i="42"/>
  <c r="Q24" i="42"/>
  <c r="Q16" i="42"/>
  <c r="Q41" i="42"/>
  <c r="Q20" i="42"/>
  <c r="Q34" i="42"/>
  <c r="Q11" i="42"/>
  <c r="Q47" i="42"/>
  <c r="Q12" i="42"/>
  <c r="Q48" i="42"/>
  <c r="D3" i="42"/>
  <c r="R4" i="42" l="1"/>
  <c r="V4" i="42" s="1"/>
  <c r="W4" i="42" s="1"/>
  <c r="Z4" i="42"/>
  <c r="AC15" i="42"/>
  <c r="AE14" i="42"/>
  <c r="S5" i="42"/>
  <c r="AB4" i="42"/>
  <c r="AF4" i="42" s="1"/>
  <c r="D4" i="42"/>
  <c r="B4" i="42"/>
  <c r="AB5" i="42" l="1"/>
  <c r="AF5" i="42" s="1"/>
  <c r="Z5" i="42"/>
  <c r="AC16" i="42"/>
  <c r="AE15" i="42"/>
  <c r="S6" i="42"/>
  <c r="R5" i="42"/>
  <c r="D5" i="42"/>
  <c r="D6" i="42" s="1"/>
  <c r="D7" i="42" s="1"/>
  <c r="D8" i="42" s="1"/>
  <c r="D9" i="42" s="1"/>
  <c r="D10" i="42" s="1"/>
  <c r="D11" i="42" s="1"/>
  <c r="D12" i="42" s="1"/>
  <c r="D13" i="42" s="1"/>
  <c r="D14" i="42" s="1"/>
  <c r="D15" i="42" s="1"/>
  <c r="D16" i="42" s="1"/>
  <c r="D17" i="42" s="1"/>
  <c r="D18" i="42" s="1"/>
  <c r="D19" i="42" s="1"/>
  <c r="D20" i="42" s="1"/>
  <c r="D21" i="42" s="1"/>
  <c r="D22" i="42" s="1"/>
  <c r="D23" i="42" s="1"/>
  <c r="D24" i="42" s="1"/>
  <c r="D25" i="42" s="1"/>
  <c r="D26" i="42" s="1"/>
  <c r="D27" i="42" s="1"/>
  <c r="D28" i="42" s="1"/>
  <c r="D29" i="42" s="1"/>
  <c r="D30" i="42" s="1"/>
  <c r="D31" i="42" s="1"/>
  <c r="D32" i="42" s="1"/>
  <c r="D33" i="42" s="1"/>
  <c r="D34" i="42" s="1"/>
  <c r="D35" i="42" s="1"/>
  <c r="D36" i="42" s="1"/>
  <c r="D37" i="42" s="1"/>
  <c r="D38" i="42" s="1"/>
  <c r="D39" i="42" s="1"/>
  <c r="D40" i="42" s="1"/>
  <c r="D41" i="42" s="1"/>
  <c r="D42" i="42" s="1"/>
  <c r="D43" i="42" s="1"/>
  <c r="D44" i="42" s="1"/>
  <c r="D45" i="42" s="1"/>
  <c r="D46" i="42" s="1"/>
  <c r="D47" i="42" s="1"/>
  <c r="D48" i="42" s="1"/>
  <c r="D49" i="42" s="1"/>
  <c r="D50" i="42" s="1"/>
  <c r="D51" i="42" s="1"/>
  <c r="D52" i="42" s="1"/>
  <c r="D53" i="42" s="1"/>
  <c r="D54" i="42" s="1"/>
  <c r="D55" i="42" s="1"/>
  <c r="D56" i="42" s="1"/>
  <c r="D57" i="42" s="1"/>
  <c r="D58" i="42" s="1"/>
  <c r="D59" i="42" s="1"/>
  <c r="D60" i="42" s="1"/>
  <c r="D61" i="42" s="1"/>
  <c r="D62" i="42" s="1"/>
  <c r="D63" i="42" s="1"/>
  <c r="D64" i="42" s="1"/>
  <c r="D65" i="42" s="1"/>
  <c r="D66" i="42" s="1"/>
  <c r="D67" i="42" s="1"/>
  <c r="D68" i="42" s="1"/>
  <c r="D69" i="42" s="1"/>
  <c r="D70" i="42" s="1"/>
  <c r="D71" i="42" s="1"/>
  <c r="D72" i="42" s="1"/>
  <c r="D73" i="42" s="1"/>
  <c r="D74" i="42" s="1"/>
  <c r="D75" i="42" s="1"/>
  <c r="D76" i="42" s="1"/>
  <c r="D77" i="42" s="1"/>
  <c r="D78" i="42" s="1"/>
  <c r="D79" i="42" s="1"/>
  <c r="D80" i="42" s="1"/>
  <c r="D81" i="42" s="1"/>
  <c r="D82" i="42" s="1"/>
  <c r="D83" i="42" s="1"/>
  <c r="D84" i="42" s="1"/>
  <c r="D85" i="42" s="1"/>
  <c r="D86" i="42" s="1"/>
  <c r="D87" i="42" s="1"/>
  <c r="D88" i="42" s="1"/>
  <c r="D89" i="42" s="1"/>
  <c r="D90" i="42" s="1"/>
  <c r="D91" i="42" s="1"/>
  <c r="D92" i="42" s="1"/>
  <c r="D93" i="42" s="1"/>
  <c r="D94" i="42" s="1"/>
  <c r="D95" i="42" s="1"/>
  <c r="D96" i="42" s="1"/>
  <c r="D97" i="42" s="1"/>
  <c r="D98" i="42" s="1"/>
  <c r="D99" i="42" s="1"/>
  <c r="D100" i="42" s="1"/>
  <c r="D101" i="42" s="1"/>
  <c r="D102" i="42" s="1"/>
  <c r="D103" i="42" s="1"/>
  <c r="D104" i="42" s="1"/>
  <c r="D105" i="42" s="1"/>
  <c r="D106" i="42" s="1"/>
  <c r="D107" i="42" s="1"/>
  <c r="D108" i="42" s="1"/>
  <c r="D109" i="42" s="1"/>
  <c r="D110" i="42" s="1"/>
  <c r="D111" i="42" s="1"/>
  <c r="D112" i="42" s="1"/>
  <c r="D113" i="42" s="1"/>
  <c r="D114" i="42" s="1"/>
  <c r="D115" i="42" s="1"/>
  <c r="D116" i="42" s="1"/>
  <c r="D117" i="42" s="1"/>
  <c r="D118" i="42" s="1"/>
  <c r="D119" i="42" s="1"/>
  <c r="D120" i="42" s="1"/>
  <c r="D121" i="42" s="1"/>
  <c r="D122" i="42" s="1"/>
  <c r="D123" i="42" s="1"/>
  <c r="D124" i="42" s="1"/>
  <c r="D125" i="42" s="1"/>
  <c r="D126" i="42" s="1"/>
  <c r="D127" i="42" s="1"/>
  <c r="D128" i="42" s="1"/>
  <c r="D129" i="42" s="1"/>
  <c r="D130" i="42" s="1"/>
  <c r="D131" i="42" s="1"/>
  <c r="D132" i="42" s="1"/>
  <c r="D133" i="42" s="1"/>
  <c r="D134" i="42" s="1"/>
  <c r="D135" i="42" s="1"/>
  <c r="D136" i="42" s="1"/>
  <c r="D137" i="42" s="1"/>
  <c r="D138" i="42" s="1"/>
  <c r="D139" i="42" s="1"/>
  <c r="D140" i="42" s="1"/>
  <c r="D141" i="42" s="1"/>
  <c r="D142" i="42" s="1"/>
  <c r="D143" i="42" s="1"/>
  <c r="D144" i="42" s="1"/>
  <c r="D145" i="42" s="1"/>
  <c r="D146" i="42" s="1"/>
  <c r="D147" i="42" s="1"/>
  <c r="D148" i="42" s="1"/>
  <c r="D149" i="42" s="1"/>
  <c r="D150" i="42" s="1"/>
  <c r="D151" i="42" s="1"/>
  <c r="D152" i="42" s="1"/>
  <c r="D153" i="42" s="1"/>
  <c r="D154" i="42" s="1"/>
  <c r="D155" i="42" s="1"/>
  <c r="D156" i="42" s="1"/>
  <c r="D157" i="42" s="1"/>
  <c r="D158" i="42" s="1"/>
  <c r="D159" i="42" s="1"/>
  <c r="D160" i="42" s="1"/>
  <c r="D161" i="42" s="1"/>
  <c r="D162" i="42" s="1"/>
  <c r="D163" i="42" s="1"/>
  <c r="D164" i="42" s="1"/>
  <c r="D165" i="42" s="1"/>
  <c r="D166" i="42" s="1"/>
  <c r="D167" i="42" s="1"/>
  <c r="D168" i="42" s="1"/>
  <c r="D169" i="42" s="1"/>
  <c r="D170" i="42" s="1"/>
  <c r="D171" i="42" s="1"/>
  <c r="D172" i="42" s="1"/>
  <c r="D173" i="42" s="1"/>
  <c r="D174" i="42" s="1"/>
  <c r="D175" i="42" s="1"/>
  <c r="D176" i="42" s="1"/>
  <c r="D177" i="42" s="1"/>
  <c r="D178" i="42" s="1"/>
  <c r="D179" i="42" s="1"/>
  <c r="D180" i="42" s="1"/>
  <c r="D181" i="42" s="1"/>
  <c r="D182" i="42" s="1"/>
  <c r="D183" i="42" s="1"/>
  <c r="D184" i="42" s="1"/>
  <c r="D185" i="42" s="1"/>
  <c r="D186" i="42" s="1"/>
  <c r="D187" i="42" s="1"/>
  <c r="D188" i="42" s="1"/>
  <c r="D189" i="42" s="1"/>
  <c r="D190" i="42" s="1"/>
  <c r="D191" i="42" s="1"/>
  <c r="D192" i="42" s="1"/>
  <c r="D193" i="42" s="1"/>
  <c r="D194" i="42" s="1"/>
  <c r="D195" i="42" s="1"/>
  <c r="D196" i="42" s="1"/>
  <c r="D197" i="42" s="1"/>
  <c r="D198" i="42" s="1"/>
  <c r="D199" i="42" s="1"/>
  <c r="D200" i="42" s="1"/>
  <c r="D201" i="42" s="1"/>
  <c r="B5" i="42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18" i="42" s="1"/>
  <c r="B19" i="42" s="1"/>
  <c r="B20" i="42" s="1"/>
  <c r="B21" i="42" s="1"/>
  <c r="B22" i="42" s="1"/>
  <c r="B23" i="42" s="1"/>
  <c r="B24" i="42" s="1"/>
  <c r="B25" i="42" s="1"/>
  <c r="B26" i="42" s="1"/>
  <c r="B27" i="42" s="1"/>
  <c r="B28" i="42" s="1"/>
  <c r="B29" i="42" s="1"/>
  <c r="B30" i="42" s="1"/>
  <c r="B31" i="42" s="1"/>
  <c r="B32" i="42" s="1"/>
  <c r="B33" i="42" s="1"/>
  <c r="B34" i="42" s="1"/>
  <c r="B35" i="42" s="1"/>
  <c r="B36" i="42" s="1"/>
  <c r="B37" i="42" s="1"/>
  <c r="B38" i="42" s="1"/>
  <c r="B39" i="42" s="1"/>
  <c r="B40" i="42" s="1"/>
  <c r="B41" i="42" s="1"/>
  <c r="B42" i="42" s="1"/>
  <c r="B43" i="42" s="1"/>
  <c r="B44" i="42" s="1"/>
  <c r="B45" i="42" s="1"/>
  <c r="B46" i="42" s="1"/>
  <c r="B47" i="42" s="1"/>
  <c r="B48" i="42" s="1"/>
  <c r="B49" i="42" s="1"/>
  <c r="B50" i="42" s="1"/>
  <c r="B51" i="42" s="1"/>
  <c r="B52" i="42" s="1"/>
  <c r="B53" i="42" s="1"/>
  <c r="B54" i="42" s="1"/>
  <c r="B55" i="42" s="1"/>
  <c r="B56" i="42" s="1"/>
  <c r="B57" i="42" s="1"/>
  <c r="B58" i="42" s="1"/>
  <c r="B59" i="42" s="1"/>
  <c r="B60" i="42" s="1"/>
  <c r="B61" i="42" s="1"/>
  <c r="B62" i="42" s="1"/>
  <c r="B63" i="42" s="1"/>
  <c r="B64" i="42" s="1"/>
  <c r="B65" i="42" s="1"/>
  <c r="B66" i="42" s="1"/>
  <c r="B67" i="42" s="1"/>
  <c r="B68" i="42" s="1"/>
  <c r="B69" i="42" s="1"/>
  <c r="B70" i="42" s="1"/>
  <c r="B71" i="42" s="1"/>
  <c r="B72" i="42" s="1"/>
  <c r="B73" i="42" s="1"/>
  <c r="B74" i="42" s="1"/>
  <c r="B75" i="42" s="1"/>
  <c r="B76" i="42" s="1"/>
  <c r="B77" i="42" s="1"/>
  <c r="B78" i="42" s="1"/>
  <c r="B79" i="42" s="1"/>
  <c r="B80" i="42" s="1"/>
  <c r="B81" i="42" s="1"/>
  <c r="B82" i="42" s="1"/>
  <c r="B83" i="42" s="1"/>
  <c r="B84" i="42" s="1"/>
  <c r="B85" i="42" s="1"/>
  <c r="B86" i="42" s="1"/>
  <c r="B87" i="42" s="1"/>
  <c r="B88" i="42" s="1"/>
  <c r="B89" i="42" s="1"/>
  <c r="B90" i="42" s="1"/>
  <c r="B91" i="42" s="1"/>
  <c r="B92" i="42" s="1"/>
  <c r="B93" i="42" s="1"/>
  <c r="B94" i="42" s="1"/>
  <c r="B95" i="42" s="1"/>
  <c r="B96" i="42" s="1"/>
  <c r="B97" i="42" s="1"/>
  <c r="B98" i="42" s="1"/>
  <c r="B99" i="42" s="1"/>
  <c r="B100" i="42" s="1"/>
  <c r="B101" i="42" s="1"/>
  <c r="B102" i="42" s="1"/>
  <c r="B103" i="42" s="1"/>
  <c r="B104" i="42" s="1"/>
  <c r="B105" i="42" s="1"/>
  <c r="B106" i="42" s="1"/>
  <c r="B107" i="42" s="1"/>
  <c r="B108" i="42" s="1"/>
  <c r="B109" i="42" s="1"/>
  <c r="B110" i="42" s="1"/>
  <c r="B111" i="42" s="1"/>
  <c r="B112" i="42" s="1"/>
  <c r="B113" i="42" s="1"/>
  <c r="B114" i="42" s="1"/>
  <c r="B115" i="42" s="1"/>
  <c r="B116" i="42" s="1"/>
  <c r="B117" i="42" s="1"/>
  <c r="B118" i="42" s="1"/>
  <c r="B119" i="42" s="1"/>
  <c r="B120" i="42" s="1"/>
  <c r="B121" i="42" s="1"/>
  <c r="B122" i="42" s="1"/>
  <c r="B123" i="42" s="1"/>
  <c r="B124" i="42" s="1"/>
  <c r="B125" i="42" s="1"/>
  <c r="B126" i="42" s="1"/>
  <c r="B127" i="42" s="1"/>
  <c r="B128" i="42" s="1"/>
  <c r="B129" i="42" s="1"/>
  <c r="B130" i="42" s="1"/>
  <c r="B131" i="42" s="1"/>
  <c r="B132" i="42" s="1"/>
  <c r="B133" i="42" s="1"/>
  <c r="B134" i="42" s="1"/>
  <c r="B135" i="42" s="1"/>
  <c r="B136" i="42" s="1"/>
  <c r="B137" i="42" s="1"/>
  <c r="B138" i="42" s="1"/>
  <c r="B139" i="42" s="1"/>
  <c r="B140" i="42" s="1"/>
  <c r="B141" i="42" s="1"/>
  <c r="B142" i="42" s="1"/>
  <c r="B143" i="42" s="1"/>
  <c r="B144" i="42" s="1"/>
  <c r="B145" i="42" s="1"/>
  <c r="B146" i="42" s="1"/>
  <c r="B147" i="42" s="1"/>
  <c r="B148" i="42" s="1"/>
  <c r="B149" i="42" s="1"/>
  <c r="B150" i="42" s="1"/>
  <c r="B151" i="42" s="1"/>
  <c r="B152" i="42" s="1"/>
  <c r="B153" i="42" s="1"/>
  <c r="B154" i="42" s="1"/>
  <c r="B155" i="42" s="1"/>
  <c r="B156" i="42" s="1"/>
  <c r="B157" i="42" s="1"/>
  <c r="B158" i="42" s="1"/>
  <c r="B159" i="42" s="1"/>
  <c r="B160" i="42" s="1"/>
  <c r="B161" i="42" s="1"/>
  <c r="B162" i="42" s="1"/>
  <c r="B163" i="42" s="1"/>
  <c r="B164" i="42" s="1"/>
  <c r="B165" i="42" s="1"/>
  <c r="B166" i="42" s="1"/>
  <c r="B167" i="42" s="1"/>
  <c r="B168" i="42" s="1"/>
  <c r="B169" i="42" s="1"/>
  <c r="B170" i="42" s="1"/>
  <c r="B171" i="42" s="1"/>
  <c r="B172" i="42" s="1"/>
  <c r="B173" i="42" s="1"/>
  <c r="B174" i="42" s="1"/>
  <c r="B175" i="42" s="1"/>
  <c r="B176" i="42" s="1"/>
  <c r="B177" i="42" s="1"/>
  <c r="B178" i="42" s="1"/>
  <c r="B179" i="42" s="1"/>
  <c r="B180" i="42" s="1"/>
  <c r="B181" i="42" s="1"/>
  <c r="B182" i="42" s="1"/>
  <c r="B183" i="42" s="1"/>
  <c r="B184" i="42" s="1"/>
  <c r="B185" i="42" s="1"/>
  <c r="B186" i="42" s="1"/>
  <c r="B187" i="42" s="1"/>
  <c r="B188" i="42" s="1"/>
  <c r="B189" i="42" s="1"/>
  <c r="B190" i="42" s="1"/>
  <c r="B191" i="42" s="1"/>
  <c r="B192" i="42" s="1"/>
  <c r="B193" i="42" s="1"/>
  <c r="B194" i="42" s="1"/>
  <c r="B195" i="42" s="1"/>
  <c r="B196" i="42" s="1"/>
  <c r="B197" i="42" s="1"/>
  <c r="B198" i="42" s="1"/>
  <c r="B199" i="42" s="1"/>
  <c r="B200" i="42" s="1"/>
  <c r="B201" i="42" s="1"/>
  <c r="V5" i="42" l="1"/>
  <c r="W5" i="42" s="1"/>
  <c r="AB6" i="42"/>
  <c r="AF6" i="42" s="1"/>
  <c r="Z6" i="42"/>
  <c r="AC17" i="42"/>
  <c r="AE16" i="42"/>
  <c r="R6" i="42"/>
  <c r="V6" i="42" s="1"/>
  <c r="W6" i="42" s="1"/>
  <c r="S7" i="42"/>
  <c r="R7" i="42" s="1"/>
  <c r="M2" i="42"/>
  <c r="O2" i="42" s="1"/>
  <c r="S8" i="42" l="1"/>
  <c r="S9" i="42" s="1"/>
  <c r="Z7" i="42"/>
  <c r="AC18" i="42"/>
  <c r="AE17" i="42"/>
  <c r="AB7" i="42"/>
  <c r="AF7" i="42" s="1"/>
  <c r="V7" i="42"/>
  <c r="W7" i="42" s="1"/>
  <c r="R8" i="42" l="1"/>
  <c r="V8" i="42" s="1"/>
  <c r="W8" i="42" s="1"/>
  <c r="AB9" i="42"/>
  <c r="AF9" i="42" s="1"/>
  <c r="Z9" i="42"/>
  <c r="AB8" i="42"/>
  <c r="AF8" i="42" s="1"/>
  <c r="Z8" i="42"/>
  <c r="AC19" i="42"/>
  <c r="AE18" i="42"/>
  <c r="S10" i="42"/>
  <c r="R9" i="42"/>
  <c r="AB10" i="42" l="1"/>
  <c r="AF10" i="42" s="1"/>
  <c r="Z10" i="42"/>
  <c r="AC20" i="42"/>
  <c r="AE19" i="42"/>
  <c r="V9" i="42"/>
  <c r="W9" i="42" s="1"/>
  <c r="S11" i="42"/>
  <c r="R10" i="42"/>
  <c r="V10" i="42" s="1"/>
  <c r="W10" i="42" s="1"/>
  <c r="AB11" i="42" l="1"/>
  <c r="AF11" i="42" s="1"/>
  <c r="Z11" i="42"/>
  <c r="AC21" i="42"/>
  <c r="AE20" i="42"/>
  <c r="S12" i="42"/>
  <c r="R11" i="42"/>
  <c r="V11" i="42" s="1"/>
  <c r="W11" i="42" s="1"/>
  <c r="AB12" i="42" l="1"/>
  <c r="AF12" i="42" s="1"/>
  <c r="Z12" i="42"/>
  <c r="AC22" i="42"/>
  <c r="AE21" i="42"/>
  <c r="S13" i="42"/>
  <c r="R12" i="42"/>
  <c r="V12" i="42" s="1"/>
  <c r="W12" i="42" s="1"/>
  <c r="AB13" i="42" l="1"/>
  <c r="AF13" i="42" s="1"/>
  <c r="Z13" i="42"/>
  <c r="AC23" i="42"/>
  <c r="AE22" i="42"/>
  <c r="S14" i="42"/>
  <c r="R13" i="42"/>
  <c r="AB14" i="42" l="1"/>
  <c r="AF14" i="42" s="1"/>
  <c r="Z14" i="42"/>
  <c r="AC24" i="42"/>
  <c r="AE23" i="42"/>
  <c r="V13" i="42"/>
  <c r="W13" i="42" s="1"/>
  <c r="S15" i="42"/>
  <c r="R14" i="42"/>
  <c r="V14" i="42" s="1"/>
  <c r="W14" i="42" s="1"/>
  <c r="AB15" i="42" l="1"/>
  <c r="AF15" i="42" s="1"/>
  <c r="Z15" i="42"/>
  <c r="AC25" i="42"/>
  <c r="AE24" i="42"/>
  <c r="S16" i="42"/>
  <c r="R15" i="42"/>
  <c r="V15" i="42" s="1"/>
  <c r="W15" i="42" s="1"/>
  <c r="AB16" i="42" l="1"/>
  <c r="AF16" i="42" s="1"/>
  <c r="Z16" i="42"/>
  <c r="AC26" i="42"/>
  <c r="AE25" i="42"/>
  <c r="S17" i="42"/>
  <c r="R16" i="42"/>
  <c r="V16" i="42" s="1"/>
  <c r="W16" i="42" s="1"/>
  <c r="AB17" i="42" l="1"/>
  <c r="AF17" i="42" s="1"/>
  <c r="Z17" i="42"/>
  <c r="AC27" i="42"/>
  <c r="AE26" i="42"/>
  <c r="S18" i="42"/>
  <c r="R17" i="42"/>
  <c r="V17" i="42" s="1"/>
  <c r="W17" i="42" s="1"/>
  <c r="AB18" i="42" l="1"/>
  <c r="AF18" i="42" s="1"/>
  <c r="Z18" i="42"/>
  <c r="AC28" i="42"/>
  <c r="AE27" i="42"/>
  <c r="S19" i="42"/>
  <c r="R18" i="42"/>
  <c r="V18" i="42" s="1"/>
  <c r="W18" i="42" s="1"/>
  <c r="AB19" i="42" l="1"/>
  <c r="AF19" i="42" s="1"/>
  <c r="Z19" i="42"/>
  <c r="AC29" i="42"/>
  <c r="AE28" i="42"/>
  <c r="S20" i="42"/>
  <c r="R19" i="42"/>
  <c r="V19" i="42" s="1"/>
  <c r="W19" i="42" s="1"/>
  <c r="AB20" i="42" l="1"/>
  <c r="AF20" i="42" s="1"/>
  <c r="Z20" i="42"/>
  <c r="AC30" i="42"/>
  <c r="AE29" i="42"/>
  <c r="S21" i="42"/>
  <c r="R20" i="42"/>
  <c r="V20" i="42" s="1"/>
  <c r="W20" i="42" s="1"/>
  <c r="AB21" i="42" l="1"/>
  <c r="AF21" i="42" s="1"/>
  <c r="Z21" i="42"/>
  <c r="AC31" i="42"/>
  <c r="AE30" i="42"/>
  <c r="S22" i="42"/>
  <c r="R21" i="42"/>
  <c r="V21" i="42" s="1"/>
  <c r="W21" i="42" s="1"/>
  <c r="AB22" i="42" l="1"/>
  <c r="AF22" i="42" s="1"/>
  <c r="Z22" i="42"/>
  <c r="AC32" i="42"/>
  <c r="AE31" i="42"/>
  <c r="S23" i="42"/>
  <c r="R22" i="42"/>
  <c r="V22" i="42" s="1"/>
  <c r="W22" i="42" s="1"/>
  <c r="AB23" i="42" l="1"/>
  <c r="AF23" i="42" s="1"/>
  <c r="Z23" i="42"/>
  <c r="AC33" i="42"/>
  <c r="AE32" i="42"/>
  <c r="S24" i="42"/>
  <c r="R23" i="42"/>
  <c r="V23" i="42" s="1"/>
  <c r="W23" i="42" s="1"/>
  <c r="AB24" i="42" l="1"/>
  <c r="AF24" i="42" s="1"/>
  <c r="Z24" i="42"/>
  <c r="AC34" i="42"/>
  <c r="AE33" i="42"/>
  <c r="S25" i="42"/>
  <c r="R24" i="42"/>
  <c r="V24" i="42" s="1"/>
  <c r="W24" i="42" s="1"/>
  <c r="AB25" i="42" l="1"/>
  <c r="AF25" i="42" s="1"/>
  <c r="Z25" i="42"/>
  <c r="AC35" i="42"/>
  <c r="AE34" i="42"/>
  <c r="S26" i="42"/>
  <c r="R25" i="42"/>
  <c r="V25" i="42" s="1"/>
  <c r="W25" i="42" s="1"/>
  <c r="AB26" i="42" l="1"/>
  <c r="AF26" i="42" s="1"/>
  <c r="Z26" i="42"/>
  <c r="AC36" i="42"/>
  <c r="AE35" i="42"/>
  <c r="S27" i="42"/>
  <c r="R26" i="42"/>
  <c r="V26" i="42" s="1"/>
  <c r="W26" i="42" s="1"/>
  <c r="AB27" i="42" l="1"/>
  <c r="AF27" i="42" s="1"/>
  <c r="Z27" i="42"/>
  <c r="AC37" i="42"/>
  <c r="AE36" i="42"/>
  <c r="S28" i="42"/>
  <c r="R27" i="42"/>
  <c r="V27" i="42" s="1"/>
  <c r="W27" i="42" s="1"/>
  <c r="AB28" i="42" l="1"/>
  <c r="AF28" i="42" s="1"/>
  <c r="Z28" i="42"/>
  <c r="AC38" i="42"/>
  <c r="AE37" i="42"/>
  <c r="S29" i="42"/>
  <c r="R28" i="42"/>
  <c r="V28" i="42" s="1"/>
  <c r="W28" i="42" s="1"/>
  <c r="AB29" i="42" l="1"/>
  <c r="AF29" i="42" s="1"/>
  <c r="Z29" i="42"/>
  <c r="AC39" i="42"/>
  <c r="AE38" i="42"/>
  <c r="S30" i="42"/>
  <c r="R29" i="42"/>
  <c r="V29" i="42" s="1"/>
  <c r="W29" i="42" s="1"/>
  <c r="AB30" i="42" l="1"/>
  <c r="AF30" i="42" s="1"/>
  <c r="Z30" i="42"/>
  <c r="AC40" i="42"/>
  <c r="AE39" i="42"/>
  <c r="S31" i="42"/>
  <c r="R30" i="42"/>
  <c r="V30" i="42" s="1"/>
  <c r="W30" i="42" s="1"/>
  <c r="AB31" i="42" l="1"/>
  <c r="AF31" i="42" s="1"/>
  <c r="Z31" i="42"/>
  <c r="AC41" i="42"/>
  <c r="AE40" i="42"/>
  <c r="S32" i="42"/>
  <c r="R31" i="42"/>
  <c r="V31" i="42" s="1"/>
  <c r="W31" i="42" s="1"/>
  <c r="AB32" i="42" l="1"/>
  <c r="AF32" i="42" s="1"/>
  <c r="Z32" i="42"/>
  <c r="AC42" i="42"/>
  <c r="AE41" i="42"/>
  <c r="S33" i="42"/>
  <c r="R32" i="42"/>
  <c r="V32" i="42" s="1"/>
  <c r="W32" i="42" s="1"/>
  <c r="AB33" i="42" l="1"/>
  <c r="AF33" i="42" s="1"/>
  <c r="Z33" i="42"/>
  <c r="AC43" i="42"/>
  <c r="AE42" i="42"/>
  <c r="S34" i="42"/>
  <c r="R33" i="42"/>
  <c r="V33" i="42" s="1"/>
  <c r="W33" i="42" s="1"/>
  <c r="AB34" i="42" l="1"/>
  <c r="AF34" i="42" s="1"/>
  <c r="Z34" i="42"/>
  <c r="AC44" i="42"/>
  <c r="AE43" i="42"/>
  <c r="S35" i="42"/>
  <c r="R34" i="42"/>
  <c r="V34" i="42" s="1"/>
  <c r="W34" i="42" s="1"/>
  <c r="AB35" i="42" l="1"/>
  <c r="AF35" i="42" s="1"/>
  <c r="Z35" i="42"/>
  <c r="AC45" i="42"/>
  <c r="AE44" i="42"/>
  <c r="S36" i="42"/>
  <c r="R35" i="42"/>
  <c r="V35" i="42" s="1"/>
  <c r="W35" i="42" s="1"/>
  <c r="AB36" i="42" l="1"/>
  <c r="AF36" i="42" s="1"/>
  <c r="Z36" i="42"/>
  <c r="AC46" i="42"/>
  <c r="AE45" i="42"/>
  <c r="S37" i="42"/>
  <c r="R36" i="42"/>
  <c r="V36" i="42" s="1"/>
  <c r="W36" i="42" s="1"/>
  <c r="AB37" i="42" l="1"/>
  <c r="AF37" i="42" s="1"/>
  <c r="Z37" i="42"/>
  <c r="AC47" i="42"/>
  <c r="AE46" i="42"/>
  <c r="S38" i="42"/>
  <c r="R37" i="42"/>
  <c r="V37" i="42" s="1"/>
  <c r="W37" i="42" s="1"/>
  <c r="AB38" i="42" l="1"/>
  <c r="AF38" i="42" s="1"/>
  <c r="Z38" i="42"/>
  <c r="AC48" i="42"/>
  <c r="AE47" i="42"/>
  <c r="S39" i="42"/>
  <c r="R38" i="42"/>
  <c r="V38" i="42" s="1"/>
  <c r="W38" i="42" s="1"/>
  <c r="AB39" i="42" l="1"/>
  <c r="AF39" i="42" s="1"/>
  <c r="Z39" i="42"/>
  <c r="AC49" i="42"/>
  <c r="AE48" i="42"/>
  <c r="S40" i="42"/>
  <c r="R39" i="42"/>
  <c r="V39" i="42" s="1"/>
  <c r="W39" i="42" s="1"/>
  <c r="AB40" i="42" l="1"/>
  <c r="AF40" i="42" s="1"/>
  <c r="Z40" i="42"/>
  <c r="AC50" i="42"/>
  <c r="AE49" i="42"/>
  <c r="S41" i="42"/>
  <c r="R40" i="42"/>
  <c r="V40" i="42" s="1"/>
  <c r="W40" i="42" s="1"/>
  <c r="AB41" i="42" l="1"/>
  <c r="AF41" i="42" s="1"/>
  <c r="Z41" i="42"/>
  <c r="AC51" i="42"/>
  <c r="AE50" i="42"/>
  <c r="S42" i="42"/>
  <c r="R41" i="42"/>
  <c r="V41" i="42" s="1"/>
  <c r="W41" i="42" s="1"/>
  <c r="AB42" i="42" l="1"/>
  <c r="AF42" i="42" s="1"/>
  <c r="Z42" i="42"/>
  <c r="AC52" i="42"/>
  <c r="AE51" i="42"/>
  <c r="S43" i="42"/>
  <c r="R42" i="42"/>
  <c r="V42" i="42" s="1"/>
  <c r="W42" i="42" s="1"/>
  <c r="AB43" i="42" l="1"/>
  <c r="AF43" i="42" s="1"/>
  <c r="Z43" i="42"/>
  <c r="AC53" i="42"/>
  <c r="AE52" i="42"/>
  <c r="S44" i="42"/>
  <c r="R43" i="42"/>
  <c r="V43" i="42" s="1"/>
  <c r="W43" i="42" s="1"/>
  <c r="AB44" i="42" l="1"/>
  <c r="AF44" i="42" s="1"/>
  <c r="Z44" i="42"/>
  <c r="AC54" i="42"/>
  <c r="AE53" i="42"/>
  <c r="S45" i="42"/>
  <c r="R44" i="42"/>
  <c r="AB45" i="42" l="1"/>
  <c r="AF45" i="42" s="1"/>
  <c r="Z45" i="42"/>
  <c r="AC55" i="42"/>
  <c r="AE54" i="42"/>
  <c r="V44" i="42"/>
  <c r="W44" i="42" s="1"/>
  <c r="S46" i="42"/>
  <c r="R45" i="42"/>
  <c r="AB46" i="42" l="1"/>
  <c r="AF46" i="42" s="1"/>
  <c r="Z46" i="42"/>
  <c r="AC56" i="42"/>
  <c r="AE55" i="42"/>
  <c r="S47" i="42"/>
  <c r="R46" i="42"/>
  <c r="V46" i="42" s="1"/>
  <c r="W46" i="42" s="1"/>
  <c r="V45" i="42"/>
  <c r="W45" i="42" s="1"/>
  <c r="AB47" i="42" l="1"/>
  <c r="AF47" i="42" s="1"/>
  <c r="Z47" i="42"/>
  <c r="AC57" i="42"/>
  <c r="AE56" i="42"/>
  <c r="S48" i="42"/>
  <c r="R47" i="42"/>
  <c r="AB48" i="42" l="1"/>
  <c r="AF48" i="42" s="1"/>
  <c r="Z48" i="42"/>
  <c r="AC58" i="42"/>
  <c r="AE57" i="42"/>
  <c r="V47" i="42"/>
  <c r="W47" i="42" s="1"/>
  <c r="S49" i="42"/>
  <c r="R48" i="42"/>
  <c r="V48" i="42" s="1"/>
  <c r="W48" i="42" s="1"/>
  <c r="AB49" i="42" l="1"/>
  <c r="AF49" i="42" s="1"/>
  <c r="Z49" i="42"/>
  <c r="AC59" i="42"/>
  <c r="AE58" i="42"/>
  <c r="S50" i="42"/>
  <c r="R49" i="42"/>
  <c r="V49" i="42" s="1"/>
  <c r="W49" i="42" s="1"/>
  <c r="AB50" i="42" l="1"/>
  <c r="AF50" i="42" s="1"/>
  <c r="Z50" i="42"/>
  <c r="AC60" i="42"/>
  <c r="AE59" i="42"/>
  <c r="S51" i="42"/>
  <c r="R50" i="42"/>
  <c r="V50" i="42" s="1"/>
  <c r="W50" i="42" s="1"/>
  <c r="AB51" i="42" l="1"/>
  <c r="AF51" i="42" s="1"/>
  <c r="Z51" i="42"/>
  <c r="AC61" i="42"/>
  <c r="AE60" i="42"/>
  <c r="S52" i="42"/>
  <c r="R51" i="42"/>
  <c r="AB52" i="42" l="1"/>
  <c r="AF52" i="42" s="1"/>
  <c r="Z52" i="42"/>
  <c r="AC62" i="42"/>
  <c r="AE61" i="42"/>
  <c r="S53" i="42"/>
  <c r="R52" i="42"/>
  <c r="V51" i="42"/>
  <c r="W51" i="42" s="1"/>
  <c r="AB53" i="42" l="1"/>
  <c r="AF53" i="42" s="1"/>
  <c r="Z53" i="42"/>
  <c r="AC63" i="42"/>
  <c r="AE62" i="42"/>
  <c r="S54" i="42"/>
  <c r="R53" i="42"/>
  <c r="V52" i="42"/>
  <c r="W52" i="42" s="1"/>
  <c r="AB54" i="42" l="1"/>
  <c r="AF54" i="42" s="1"/>
  <c r="Z54" i="42"/>
  <c r="AC64" i="42"/>
  <c r="AE63" i="42"/>
  <c r="S55" i="42"/>
  <c r="R54" i="42"/>
  <c r="V53" i="42"/>
  <c r="W53" i="42" s="1"/>
  <c r="AB55" i="42" l="1"/>
  <c r="AF55" i="42" s="1"/>
  <c r="Z55" i="42"/>
  <c r="AC65" i="42"/>
  <c r="AE64" i="42"/>
  <c r="S56" i="42"/>
  <c r="R55" i="42"/>
  <c r="V54" i="42"/>
  <c r="W54" i="42" s="1"/>
  <c r="AB56" i="42" l="1"/>
  <c r="AF56" i="42" s="1"/>
  <c r="Z56" i="42"/>
  <c r="AC66" i="42"/>
  <c r="AE65" i="42"/>
  <c r="V55" i="42"/>
  <c r="W55" i="42" s="1"/>
  <c r="S57" i="42"/>
  <c r="R56" i="42"/>
  <c r="V56" i="42" s="1"/>
  <c r="W56" i="42" s="1"/>
  <c r="AB57" i="42" l="1"/>
  <c r="AF57" i="42" s="1"/>
  <c r="Z57" i="42"/>
  <c r="AC67" i="42"/>
  <c r="AE66" i="42"/>
  <c r="S58" i="42"/>
  <c r="R57" i="42"/>
  <c r="V57" i="42" s="1"/>
  <c r="W57" i="42" s="1"/>
  <c r="AB58" i="42" l="1"/>
  <c r="AF58" i="42" s="1"/>
  <c r="Z58" i="42"/>
  <c r="AC68" i="42"/>
  <c r="AE67" i="42"/>
  <c r="S59" i="42"/>
  <c r="R58" i="42"/>
  <c r="AB59" i="42" l="1"/>
  <c r="AF59" i="42" s="1"/>
  <c r="Z59" i="42"/>
  <c r="AC69" i="42"/>
  <c r="AE68" i="42"/>
  <c r="S60" i="42"/>
  <c r="R59" i="42"/>
  <c r="V58" i="42"/>
  <c r="W58" i="42" s="1"/>
  <c r="AB60" i="42" l="1"/>
  <c r="AF60" i="42" s="1"/>
  <c r="Z60" i="42"/>
  <c r="AC70" i="42"/>
  <c r="AE69" i="42"/>
  <c r="V59" i="42"/>
  <c r="W59" i="42" s="1"/>
  <c r="S61" i="42"/>
  <c r="R60" i="42"/>
  <c r="AB61" i="42" l="1"/>
  <c r="AF61" i="42" s="1"/>
  <c r="Z61" i="42"/>
  <c r="AC71" i="42"/>
  <c r="AE70" i="42"/>
  <c r="S62" i="42"/>
  <c r="R61" i="42"/>
  <c r="V60" i="42"/>
  <c r="W60" i="42" s="1"/>
  <c r="AB62" i="42" l="1"/>
  <c r="AF62" i="42" s="1"/>
  <c r="Z62" i="42"/>
  <c r="AC72" i="42"/>
  <c r="AE71" i="42"/>
  <c r="V61" i="42"/>
  <c r="W61" i="42" s="1"/>
  <c r="S63" i="42"/>
  <c r="R62" i="42"/>
  <c r="AB63" i="42" l="1"/>
  <c r="AF63" i="42" s="1"/>
  <c r="Z63" i="42"/>
  <c r="AC73" i="42"/>
  <c r="AE72" i="42"/>
  <c r="S64" i="42"/>
  <c r="R63" i="42"/>
  <c r="V62" i="42"/>
  <c r="W62" i="42" s="1"/>
  <c r="AB64" i="42" l="1"/>
  <c r="AF64" i="42" s="1"/>
  <c r="Z64" i="42"/>
  <c r="AC74" i="42"/>
  <c r="AE73" i="42"/>
  <c r="V63" i="42"/>
  <c r="W63" i="42" s="1"/>
  <c r="S65" i="42"/>
  <c r="R64" i="42"/>
  <c r="AB65" i="42" l="1"/>
  <c r="AF65" i="42" s="1"/>
  <c r="Z65" i="42"/>
  <c r="AC75" i="42"/>
  <c r="AE74" i="42"/>
  <c r="S66" i="42"/>
  <c r="R65" i="42"/>
  <c r="V64" i="42"/>
  <c r="W64" i="42" s="1"/>
  <c r="AB66" i="42" l="1"/>
  <c r="AF66" i="42" s="1"/>
  <c r="Z66" i="42"/>
  <c r="AC76" i="42"/>
  <c r="AE75" i="42"/>
  <c r="S67" i="42"/>
  <c r="R66" i="42"/>
  <c r="V65" i="42"/>
  <c r="W65" i="42" s="1"/>
  <c r="AB67" i="42" l="1"/>
  <c r="AF67" i="42" s="1"/>
  <c r="Z67" i="42"/>
  <c r="AC77" i="42"/>
  <c r="AE76" i="42"/>
  <c r="S68" i="42"/>
  <c r="R67" i="42"/>
  <c r="V66" i="42"/>
  <c r="W66" i="42" s="1"/>
  <c r="AB68" i="42" l="1"/>
  <c r="AF68" i="42" s="1"/>
  <c r="Z68" i="42"/>
  <c r="AC78" i="42"/>
  <c r="AE77" i="42"/>
  <c r="V67" i="42"/>
  <c r="W67" i="42" s="1"/>
  <c r="S69" i="42"/>
  <c r="R68" i="42"/>
  <c r="V68" i="42" s="1"/>
  <c r="W68" i="42" s="1"/>
  <c r="AB69" i="42" l="1"/>
  <c r="AF69" i="42" s="1"/>
  <c r="Z69" i="42"/>
  <c r="AC79" i="42"/>
  <c r="AE78" i="42"/>
  <c r="S70" i="42"/>
  <c r="R69" i="42"/>
  <c r="AB70" i="42" l="1"/>
  <c r="AF70" i="42" s="1"/>
  <c r="Z70" i="42"/>
  <c r="AC80" i="42"/>
  <c r="AE79" i="42"/>
  <c r="S71" i="42"/>
  <c r="R70" i="42"/>
  <c r="V70" i="42" s="1"/>
  <c r="W70" i="42" s="1"/>
  <c r="V69" i="42"/>
  <c r="W69" i="42" s="1"/>
  <c r="AB71" i="42" l="1"/>
  <c r="AF71" i="42" s="1"/>
  <c r="Z71" i="42"/>
  <c r="AC81" i="42"/>
  <c r="AE80" i="42"/>
  <c r="S72" i="42"/>
  <c r="R71" i="42"/>
  <c r="AB72" i="42" l="1"/>
  <c r="AF72" i="42" s="1"/>
  <c r="Z72" i="42"/>
  <c r="AC82" i="42"/>
  <c r="AE81" i="42"/>
  <c r="S73" i="42"/>
  <c r="R72" i="42"/>
  <c r="V72" i="42" s="1"/>
  <c r="W72" i="42" s="1"/>
  <c r="V71" i="42"/>
  <c r="W71" i="42" s="1"/>
  <c r="AB73" i="42" l="1"/>
  <c r="AF73" i="42" s="1"/>
  <c r="Z73" i="42"/>
  <c r="AC83" i="42"/>
  <c r="AE82" i="42"/>
  <c r="S74" i="42"/>
  <c r="R73" i="42"/>
  <c r="AB74" i="42" l="1"/>
  <c r="AF74" i="42" s="1"/>
  <c r="Z74" i="42"/>
  <c r="AC84" i="42"/>
  <c r="AE83" i="42"/>
  <c r="S75" i="42"/>
  <c r="R74" i="42"/>
  <c r="V73" i="42"/>
  <c r="W73" i="42" s="1"/>
  <c r="AB75" i="42" l="1"/>
  <c r="AF75" i="42" s="1"/>
  <c r="Z75" i="42"/>
  <c r="AC85" i="42"/>
  <c r="AE84" i="42"/>
  <c r="S76" i="42"/>
  <c r="R75" i="42"/>
  <c r="V75" i="42" s="1"/>
  <c r="W75" i="42" s="1"/>
  <c r="V74" i="42"/>
  <c r="W74" i="42" s="1"/>
  <c r="AB76" i="42" l="1"/>
  <c r="AF76" i="42" s="1"/>
  <c r="Z76" i="42"/>
  <c r="AC86" i="42"/>
  <c r="AE85" i="42"/>
  <c r="S77" i="42"/>
  <c r="R76" i="42"/>
  <c r="AB77" i="42" l="1"/>
  <c r="AF77" i="42" s="1"/>
  <c r="Z77" i="42"/>
  <c r="AC87" i="42"/>
  <c r="AE86" i="42"/>
  <c r="V76" i="42"/>
  <c r="W76" i="42" s="1"/>
  <c r="S78" i="42"/>
  <c r="R77" i="42"/>
  <c r="V77" i="42" s="1"/>
  <c r="W77" i="42" s="1"/>
  <c r="AB78" i="42" l="1"/>
  <c r="AF78" i="42" s="1"/>
  <c r="Z78" i="42"/>
  <c r="AC88" i="42"/>
  <c r="AE87" i="42"/>
  <c r="S79" i="42"/>
  <c r="R78" i="42"/>
  <c r="AB79" i="42" l="1"/>
  <c r="AF79" i="42" s="1"/>
  <c r="Z79" i="42"/>
  <c r="AC89" i="42"/>
  <c r="AE88" i="42"/>
  <c r="V78" i="42"/>
  <c r="W78" i="42" s="1"/>
  <c r="S80" i="42"/>
  <c r="R79" i="42"/>
  <c r="AB80" i="42" l="1"/>
  <c r="AF80" i="42" s="1"/>
  <c r="Z80" i="42"/>
  <c r="AC90" i="42"/>
  <c r="AE89" i="42"/>
  <c r="V79" i="42"/>
  <c r="W79" i="42" s="1"/>
  <c r="S81" i="42"/>
  <c r="R80" i="42"/>
  <c r="V80" i="42" s="1"/>
  <c r="W80" i="42" s="1"/>
  <c r="AB81" i="42" l="1"/>
  <c r="AF81" i="42" s="1"/>
  <c r="Z81" i="42"/>
  <c r="AC91" i="42"/>
  <c r="AE90" i="42"/>
  <c r="S82" i="42"/>
  <c r="R81" i="42"/>
  <c r="AB82" i="42" l="1"/>
  <c r="AF82" i="42" s="1"/>
  <c r="Z82" i="42"/>
  <c r="AC92" i="42"/>
  <c r="AE91" i="42"/>
  <c r="S83" i="42"/>
  <c r="R82" i="42"/>
  <c r="V81" i="42"/>
  <c r="W81" i="42" s="1"/>
  <c r="AB83" i="42" l="1"/>
  <c r="AF83" i="42" s="1"/>
  <c r="Z83" i="42"/>
  <c r="AC93" i="42"/>
  <c r="AE92" i="42"/>
  <c r="V82" i="42"/>
  <c r="W82" i="42" s="1"/>
  <c r="S84" i="42"/>
  <c r="R83" i="42"/>
  <c r="V83" i="42" s="1"/>
  <c r="W83" i="42" s="1"/>
  <c r="AB84" i="42" l="1"/>
  <c r="AF84" i="42" s="1"/>
  <c r="Z84" i="42"/>
  <c r="AC94" i="42"/>
  <c r="AE93" i="42"/>
  <c r="S85" i="42"/>
  <c r="R84" i="42"/>
  <c r="V84" i="42" s="1"/>
  <c r="W84" i="42" s="1"/>
  <c r="AB85" i="42" l="1"/>
  <c r="AF85" i="42" s="1"/>
  <c r="Z85" i="42"/>
  <c r="AC95" i="42"/>
  <c r="AE94" i="42"/>
  <c r="S86" i="42"/>
  <c r="R85" i="42"/>
  <c r="V85" i="42" s="1"/>
  <c r="W85" i="42" s="1"/>
  <c r="AB86" i="42" l="1"/>
  <c r="AF86" i="42" s="1"/>
  <c r="Z86" i="42"/>
  <c r="AC96" i="42"/>
  <c r="AE95" i="42"/>
  <c r="S87" i="42"/>
  <c r="R86" i="42"/>
  <c r="AB87" i="42" l="1"/>
  <c r="AF87" i="42" s="1"/>
  <c r="Z87" i="42"/>
  <c r="AC97" i="42"/>
  <c r="AE96" i="42"/>
  <c r="S88" i="42"/>
  <c r="R87" i="42"/>
  <c r="V87" i="42" s="1"/>
  <c r="W87" i="42" s="1"/>
  <c r="V86" i="42"/>
  <c r="W86" i="42" s="1"/>
  <c r="AB88" i="42" l="1"/>
  <c r="AF88" i="42" s="1"/>
  <c r="Z88" i="42"/>
  <c r="AC98" i="42"/>
  <c r="AE97" i="42"/>
  <c r="S89" i="42"/>
  <c r="R88" i="42"/>
  <c r="V88" i="42" s="1"/>
  <c r="W88" i="42" s="1"/>
  <c r="AB89" i="42" l="1"/>
  <c r="AF89" i="42" s="1"/>
  <c r="Z89" i="42"/>
  <c r="AC99" i="42"/>
  <c r="AE98" i="42"/>
  <c r="S90" i="42"/>
  <c r="R89" i="42"/>
  <c r="AB90" i="42" l="1"/>
  <c r="AF90" i="42" s="1"/>
  <c r="Z90" i="42"/>
  <c r="AC100" i="42"/>
  <c r="AE99" i="42"/>
  <c r="S91" i="42"/>
  <c r="R90" i="42"/>
  <c r="V89" i="42"/>
  <c r="W89" i="42" s="1"/>
  <c r="AB91" i="42" l="1"/>
  <c r="AF91" i="42" s="1"/>
  <c r="Z91" i="42"/>
  <c r="AC101" i="42"/>
  <c r="AE100" i="42"/>
  <c r="V90" i="42"/>
  <c r="W90" i="42" s="1"/>
  <c r="S92" i="42"/>
  <c r="R91" i="42"/>
  <c r="AB92" i="42" l="1"/>
  <c r="AF92" i="42" s="1"/>
  <c r="Z92" i="42"/>
  <c r="AC102" i="42"/>
  <c r="AE101" i="42"/>
  <c r="S93" i="42"/>
  <c r="R92" i="42"/>
  <c r="V91" i="42"/>
  <c r="W91" i="42" s="1"/>
  <c r="AB93" i="42" l="1"/>
  <c r="AF93" i="42" s="1"/>
  <c r="Z93" i="42"/>
  <c r="AC103" i="42"/>
  <c r="AE102" i="42"/>
  <c r="V92" i="42"/>
  <c r="W92" i="42" s="1"/>
  <c r="S94" i="42"/>
  <c r="R93" i="42"/>
  <c r="AB94" i="42" l="1"/>
  <c r="AF94" i="42" s="1"/>
  <c r="Z94" i="42"/>
  <c r="AC104" i="42"/>
  <c r="AE103" i="42"/>
  <c r="S95" i="42"/>
  <c r="R94" i="42"/>
  <c r="V93" i="42"/>
  <c r="W93" i="42" s="1"/>
  <c r="AB95" i="42" l="1"/>
  <c r="AF95" i="42" s="1"/>
  <c r="Z95" i="42"/>
  <c r="AC105" i="42"/>
  <c r="AE104" i="42"/>
  <c r="V94" i="42"/>
  <c r="W94" i="42" s="1"/>
  <c r="S96" i="42"/>
  <c r="R95" i="42"/>
  <c r="AB96" i="42" l="1"/>
  <c r="AF96" i="42" s="1"/>
  <c r="Z96" i="42"/>
  <c r="AC106" i="42"/>
  <c r="AE105" i="42"/>
  <c r="S97" i="42"/>
  <c r="R96" i="42"/>
  <c r="V95" i="42"/>
  <c r="W95" i="42" s="1"/>
  <c r="AB97" i="42" l="1"/>
  <c r="AF97" i="42" s="1"/>
  <c r="Z97" i="42"/>
  <c r="AC107" i="42"/>
  <c r="AE106" i="42"/>
  <c r="S98" i="42"/>
  <c r="R97" i="42"/>
  <c r="V96" i="42"/>
  <c r="W96" i="42" s="1"/>
  <c r="AB98" i="42" l="1"/>
  <c r="AF98" i="42" s="1"/>
  <c r="Z98" i="42"/>
  <c r="AC108" i="42"/>
  <c r="AE107" i="42"/>
  <c r="V97" i="42"/>
  <c r="W97" i="42" s="1"/>
  <c r="S99" i="42"/>
  <c r="R98" i="42"/>
  <c r="AB99" i="42" l="1"/>
  <c r="AF99" i="42" s="1"/>
  <c r="Z99" i="42"/>
  <c r="AC109" i="42"/>
  <c r="AE108" i="42"/>
  <c r="S100" i="42"/>
  <c r="R99" i="42"/>
  <c r="V99" i="42" s="1"/>
  <c r="W99" i="42" s="1"/>
  <c r="V98" i="42"/>
  <c r="W98" i="42" s="1"/>
  <c r="AB100" i="42" l="1"/>
  <c r="AF100" i="42" s="1"/>
  <c r="Z100" i="42"/>
  <c r="AC110" i="42"/>
  <c r="AE109" i="42"/>
  <c r="S101" i="42"/>
  <c r="R100" i="42"/>
  <c r="V100" i="42" s="1"/>
  <c r="W100" i="42" s="1"/>
  <c r="AB101" i="42" l="1"/>
  <c r="AF101" i="42" s="1"/>
  <c r="Z101" i="42"/>
  <c r="AC111" i="42"/>
  <c r="AE110" i="42"/>
  <c r="R101" i="42"/>
  <c r="V101" i="42" s="1"/>
  <c r="W101" i="42" s="1"/>
  <c r="S102" i="42"/>
  <c r="AB102" i="42" l="1"/>
  <c r="AF102" i="42" s="1"/>
  <c r="Z102" i="42"/>
  <c r="AC112" i="42"/>
  <c r="AE111" i="42"/>
  <c r="R102" i="42"/>
  <c r="V102" i="42" s="1"/>
  <c r="W102" i="42" s="1"/>
  <c r="S103" i="42"/>
  <c r="AB103" i="42" l="1"/>
  <c r="AF103" i="42" s="1"/>
  <c r="Z103" i="42"/>
  <c r="AC113" i="42"/>
  <c r="AE112" i="42"/>
  <c r="R103" i="42"/>
  <c r="V103" i="42" s="1"/>
  <c r="W103" i="42" s="1"/>
  <c r="S104" i="42"/>
  <c r="AB104" i="42" l="1"/>
  <c r="AF104" i="42" s="1"/>
  <c r="Z104" i="42"/>
  <c r="AC114" i="42"/>
  <c r="AE113" i="42"/>
  <c r="R104" i="42"/>
  <c r="V104" i="42" s="1"/>
  <c r="W104" i="42" s="1"/>
  <c r="S105" i="42"/>
  <c r="AB105" i="42" l="1"/>
  <c r="AF105" i="42" s="1"/>
  <c r="Z105" i="42"/>
  <c r="AC115" i="42"/>
  <c r="AE114" i="42"/>
  <c r="R105" i="42"/>
  <c r="V105" i="42" s="1"/>
  <c r="W105" i="42" s="1"/>
  <c r="S106" i="42"/>
  <c r="AB106" i="42" l="1"/>
  <c r="AF106" i="42" s="1"/>
  <c r="Z106" i="42"/>
  <c r="AC116" i="42"/>
  <c r="AE115" i="42"/>
  <c r="R106" i="42"/>
  <c r="V106" i="42" s="1"/>
  <c r="W106" i="42" s="1"/>
  <c r="S107" i="42"/>
  <c r="AB107" i="42" l="1"/>
  <c r="AF107" i="42" s="1"/>
  <c r="Z107" i="42"/>
  <c r="AC117" i="42"/>
  <c r="AE116" i="42"/>
  <c r="R107" i="42"/>
  <c r="V107" i="42" s="1"/>
  <c r="W107" i="42" s="1"/>
  <c r="S108" i="42"/>
  <c r="AB108" i="42" l="1"/>
  <c r="AF108" i="42" s="1"/>
  <c r="Z108" i="42"/>
  <c r="AC118" i="42"/>
  <c r="AE117" i="42"/>
  <c r="R108" i="42"/>
  <c r="V108" i="42" s="1"/>
  <c r="W108" i="42" s="1"/>
  <c r="S109" i="42"/>
  <c r="AB109" i="42" l="1"/>
  <c r="AF109" i="42" s="1"/>
  <c r="Z109" i="42"/>
  <c r="AC119" i="42"/>
  <c r="AE118" i="42"/>
  <c r="R109" i="42"/>
  <c r="V109" i="42" s="1"/>
  <c r="W109" i="42" s="1"/>
  <c r="S110" i="42"/>
  <c r="AB110" i="42" l="1"/>
  <c r="AF110" i="42" s="1"/>
  <c r="Z110" i="42"/>
  <c r="AC120" i="42"/>
  <c r="AE119" i="42"/>
  <c r="R110" i="42"/>
  <c r="V110" i="42" s="1"/>
  <c r="W110" i="42" s="1"/>
  <c r="S111" i="42"/>
  <c r="AB111" i="42" l="1"/>
  <c r="AF111" i="42" s="1"/>
  <c r="Z111" i="42"/>
  <c r="AC121" i="42"/>
  <c r="AE120" i="42"/>
  <c r="R111" i="42"/>
  <c r="V111" i="42" s="1"/>
  <c r="W111" i="42" s="1"/>
  <c r="S112" i="42"/>
  <c r="AB112" i="42" l="1"/>
  <c r="AF112" i="42" s="1"/>
  <c r="Z112" i="42"/>
  <c r="AC122" i="42"/>
  <c r="AE121" i="42"/>
  <c r="R112" i="42"/>
  <c r="V112" i="42" s="1"/>
  <c r="W112" i="42" s="1"/>
  <c r="S113" i="42"/>
  <c r="AB113" i="42" l="1"/>
  <c r="AF113" i="42" s="1"/>
  <c r="Z113" i="42"/>
  <c r="AC123" i="42"/>
  <c r="AE122" i="42"/>
  <c r="R113" i="42"/>
  <c r="V113" i="42" s="1"/>
  <c r="W113" i="42" s="1"/>
  <c r="S114" i="42"/>
  <c r="AB114" i="42" l="1"/>
  <c r="AF114" i="42" s="1"/>
  <c r="Z114" i="42"/>
  <c r="AC124" i="42"/>
  <c r="AE123" i="42"/>
  <c r="S115" i="42"/>
  <c r="R114" i="42"/>
  <c r="V114" i="42" s="1"/>
  <c r="W114" i="42" s="1"/>
  <c r="AB115" i="42" l="1"/>
  <c r="AF115" i="42" s="1"/>
  <c r="Z115" i="42"/>
  <c r="AC125" i="42"/>
  <c r="AE124" i="42"/>
  <c r="R115" i="42"/>
  <c r="V115" i="42" s="1"/>
  <c r="W115" i="42" s="1"/>
  <c r="S116" i="42"/>
  <c r="AB116" i="42" l="1"/>
  <c r="AF116" i="42" s="1"/>
  <c r="Z116" i="42"/>
  <c r="AC126" i="42"/>
  <c r="AE125" i="42"/>
  <c r="R116" i="42"/>
  <c r="V116" i="42" s="1"/>
  <c r="W116" i="42" s="1"/>
  <c r="S117" i="42"/>
  <c r="AB117" i="42" l="1"/>
  <c r="AF117" i="42" s="1"/>
  <c r="Z117" i="42"/>
  <c r="AC127" i="42"/>
  <c r="AE126" i="42"/>
  <c r="S118" i="42"/>
  <c r="R117" i="42"/>
  <c r="V117" i="42" s="1"/>
  <c r="W117" i="42" s="1"/>
  <c r="AB118" i="42" l="1"/>
  <c r="AF118" i="42" s="1"/>
  <c r="Z118" i="42"/>
  <c r="AC128" i="42"/>
  <c r="AE127" i="42"/>
  <c r="R118" i="42"/>
  <c r="V118" i="42" s="1"/>
  <c r="W118" i="42" s="1"/>
  <c r="S119" i="42"/>
  <c r="AB119" i="42" l="1"/>
  <c r="AF119" i="42" s="1"/>
  <c r="Z119" i="42"/>
  <c r="AC129" i="42"/>
  <c r="AE128" i="42"/>
  <c r="R119" i="42"/>
  <c r="V119" i="42" s="1"/>
  <c r="W119" i="42" s="1"/>
  <c r="S120" i="42"/>
  <c r="AB120" i="42" l="1"/>
  <c r="AF120" i="42" s="1"/>
  <c r="Z120" i="42"/>
  <c r="AC130" i="42"/>
  <c r="AE129" i="42"/>
  <c r="R120" i="42"/>
  <c r="V120" i="42" s="1"/>
  <c r="W120" i="42" s="1"/>
  <c r="S121" i="42"/>
  <c r="AB121" i="42" l="1"/>
  <c r="AF121" i="42" s="1"/>
  <c r="Z121" i="42"/>
  <c r="AC131" i="42"/>
  <c r="AE130" i="42"/>
  <c r="R121" i="42"/>
  <c r="V121" i="42" s="1"/>
  <c r="W121" i="42" s="1"/>
  <c r="S122" i="42"/>
  <c r="AB122" i="42" l="1"/>
  <c r="AF122" i="42" s="1"/>
  <c r="Z122" i="42"/>
  <c r="AC132" i="42"/>
  <c r="AE131" i="42"/>
  <c r="R122" i="42"/>
  <c r="V122" i="42" s="1"/>
  <c r="W122" i="42" s="1"/>
  <c r="S123" i="42"/>
  <c r="AB123" i="42" l="1"/>
  <c r="AF123" i="42" s="1"/>
  <c r="Z123" i="42"/>
  <c r="AC133" i="42"/>
  <c r="AE132" i="42"/>
  <c r="R123" i="42"/>
  <c r="V123" i="42" s="1"/>
  <c r="W123" i="42" s="1"/>
  <c r="S124" i="42"/>
  <c r="AB124" i="42" l="1"/>
  <c r="AF124" i="42" s="1"/>
  <c r="Z124" i="42"/>
  <c r="AC134" i="42"/>
  <c r="AE133" i="42"/>
  <c r="R124" i="42"/>
  <c r="V124" i="42" s="1"/>
  <c r="W124" i="42" s="1"/>
  <c r="S125" i="42"/>
  <c r="AB125" i="42" l="1"/>
  <c r="AF125" i="42" s="1"/>
  <c r="Z125" i="42"/>
  <c r="AC135" i="42"/>
  <c r="AE134" i="42"/>
  <c r="R125" i="42"/>
  <c r="V125" i="42" s="1"/>
  <c r="W125" i="42" s="1"/>
  <c r="S126" i="42"/>
  <c r="AB126" i="42" l="1"/>
  <c r="AF126" i="42" s="1"/>
  <c r="Z126" i="42"/>
  <c r="AC136" i="42"/>
  <c r="AE135" i="42"/>
  <c r="R126" i="42"/>
  <c r="V126" i="42" s="1"/>
  <c r="W126" i="42" s="1"/>
  <c r="S127" i="42"/>
  <c r="AB127" i="42" l="1"/>
  <c r="AF127" i="42" s="1"/>
  <c r="Z127" i="42"/>
  <c r="AC137" i="42"/>
  <c r="AE136" i="42"/>
  <c r="R127" i="42"/>
  <c r="V127" i="42" s="1"/>
  <c r="W127" i="42" s="1"/>
  <c r="S128" i="42"/>
  <c r="AB128" i="42" l="1"/>
  <c r="AF128" i="42" s="1"/>
  <c r="Z128" i="42"/>
  <c r="AC138" i="42"/>
  <c r="AE137" i="42"/>
  <c r="R128" i="42"/>
  <c r="V128" i="42" s="1"/>
  <c r="W128" i="42" s="1"/>
  <c r="S129" i="42"/>
  <c r="AB129" i="42" l="1"/>
  <c r="AF129" i="42" s="1"/>
  <c r="Z129" i="42"/>
  <c r="AC139" i="42"/>
  <c r="AE138" i="42"/>
  <c r="R129" i="42"/>
  <c r="V129" i="42" s="1"/>
  <c r="W129" i="42" s="1"/>
  <c r="S130" i="42"/>
  <c r="AB130" i="42" l="1"/>
  <c r="AF130" i="42" s="1"/>
  <c r="Z130" i="42"/>
  <c r="AC140" i="42"/>
  <c r="AE139" i="42"/>
  <c r="R130" i="42"/>
  <c r="V130" i="42" s="1"/>
  <c r="W130" i="42" s="1"/>
  <c r="S131" i="42"/>
  <c r="AB131" i="42" l="1"/>
  <c r="AF131" i="42" s="1"/>
  <c r="Z131" i="42"/>
  <c r="AC141" i="42"/>
  <c r="AE140" i="42"/>
  <c r="R131" i="42"/>
  <c r="V131" i="42" s="1"/>
  <c r="W131" i="42" s="1"/>
  <c r="S132" i="42"/>
  <c r="AB132" i="42" l="1"/>
  <c r="AF132" i="42" s="1"/>
  <c r="Z132" i="42"/>
  <c r="AC142" i="42"/>
  <c r="AE141" i="42"/>
  <c r="R132" i="42"/>
  <c r="V132" i="42" s="1"/>
  <c r="W132" i="42" s="1"/>
  <c r="S133" i="42"/>
  <c r="AB133" i="42" l="1"/>
  <c r="AF133" i="42" s="1"/>
  <c r="Z133" i="42"/>
  <c r="AC143" i="42"/>
  <c r="AE142" i="42"/>
  <c r="R133" i="42"/>
  <c r="V133" i="42" s="1"/>
  <c r="W133" i="42" s="1"/>
  <c r="S134" i="42"/>
  <c r="AB134" i="42" l="1"/>
  <c r="AF134" i="42" s="1"/>
  <c r="Z134" i="42"/>
  <c r="AC144" i="42"/>
  <c r="AE143" i="42"/>
  <c r="R134" i="42"/>
  <c r="V134" i="42" s="1"/>
  <c r="W134" i="42" s="1"/>
  <c r="S135" i="42"/>
  <c r="AB135" i="42" l="1"/>
  <c r="AF135" i="42" s="1"/>
  <c r="Z135" i="42"/>
  <c r="AC145" i="42"/>
  <c r="AE144" i="42"/>
  <c r="R135" i="42"/>
  <c r="V135" i="42" s="1"/>
  <c r="W135" i="42" s="1"/>
  <c r="S136" i="42"/>
  <c r="AB136" i="42" l="1"/>
  <c r="AF136" i="42" s="1"/>
  <c r="Z136" i="42"/>
  <c r="AC146" i="42"/>
  <c r="AE145" i="42"/>
  <c r="R136" i="42"/>
  <c r="V136" i="42" s="1"/>
  <c r="W136" i="42" s="1"/>
  <c r="S137" i="42"/>
  <c r="AB137" i="42" l="1"/>
  <c r="AF137" i="42" s="1"/>
  <c r="Z137" i="42"/>
  <c r="AC147" i="42"/>
  <c r="AE146" i="42"/>
  <c r="R137" i="42"/>
  <c r="V137" i="42" s="1"/>
  <c r="W137" i="42" s="1"/>
  <c r="S138" i="42"/>
  <c r="AB138" i="42" l="1"/>
  <c r="AF138" i="42" s="1"/>
  <c r="Z138" i="42"/>
  <c r="AC148" i="42"/>
  <c r="AE147" i="42"/>
  <c r="R138" i="42"/>
  <c r="V138" i="42" s="1"/>
  <c r="W138" i="42" s="1"/>
  <c r="S139" i="42"/>
  <c r="AB139" i="42" l="1"/>
  <c r="AF139" i="42" s="1"/>
  <c r="Z139" i="42"/>
  <c r="AC149" i="42"/>
  <c r="AE148" i="42"/>
  <c r="R139" i="42"/>
  <c r="V139" i="42" s="1"/>
  <c r="W139" i="42" s="1"/>
  <c r="S140" i="42"/>
  <c r="AB140" i="42" l="1"/>
  <c r="AF140" i="42" s="1"/>
  <c r="Z140" i="42"/>
  <c r="AC150" i="42"/>
  <c r="AE149" i="42"/>
  <c r="R140" i="42"/>
  <c r="V140" i="42" s="1"/>
  <c r="W140" i="42" s="1"/>
  <c r="S141" i="42"/>
  <c r="AB141" i="42" l="1"/>
  <c r="AF141" i="42" s="1"/>
  <c r="Z141" i="42"/>
  <c r="AC151" i="42"/>
  <c r="AE150" i="42"/>
  <c r="R141" i="42"/>
  <c r="V141" i="42" s="1"/>
  <c r="W141" i="42" s="1"/>
  <c r="S142" i="42"/>
  <c r="AB142" i="42" l="1"/>
  <c r="AF142" i="42" s="1"/>
  <c r="Z142" i="42"/>
  <c r="AC152" i="42"/>
  <c r="AE151" i="42"/>
  <c r="R142" i="42"/>
  <c r="V142" i="42" s="1"/>
  <c r="W142" i="42" s="1"/>
  <c r="S143" i="42"/>
  <c r="AB143" i="42" l="1"/>
  <c r="AF143" i="42" s="1"/>
  <c r="Z143" i="42"/>
  <c r="AC153" i="42"/>
  <c r="AE152" i="42"/>
  <c r="R143" i="42"/>
  <c r="V143" i="42" s="1"/>
  <c r="W143" i="42" s="1"/>
  <c r="S144" i="42"/>
  <c r="AB144" i="42" l="1"/>
  <c r="AF144" i="42" s="1"/>
  <c r="Z144" i="42"/>
  <c r="AC154" i="42"/>
  <c r="AE153" i="42"/>
  <c r="R144" i="42"/>
  <c r="V144" i="42" s="1"/>
  <c r="W144" i="42" s="1"/>
  <c r="S145" i="42"/>
  <c r="AB145" i="42" l="1"/>
  <c r="AF145" i="42" s="1"/>
  <c r="Z145" i="42"/>
  <c r="AC155" i="42"/>
  <c r="AE154" i="42"/>
  <c r="S146" i="42"/>
  <c r="R145" i="42"/>
  <c r="V145" i="42" s="1"/>
  <c r="W145" i="42" s="1"/>
  <c r="AB146" i="42" l="1"/>
  <c r="AF146" i="42" s="1"/>
  <c r="Z146" i="42"/>
  <c r="AC156" i="42"/>
  <c r="AE155" i="42"/>
  <c r="S147" i="42"/>
  <c r="R146" i="42"/>
  <c r="V146" i="42" s="1"/>
  <c r="W146" i="42" s="1"/>
  <c r="AB147" i="42" l="1"/>
  <c r="AF147" i="42" s="1"/>
  <c r="Z147" i="42"/>
  <c r="AC157" i="42"/>
  <c r="AE156" i="42"/>
  <c r="S148" i="42"/>
  <c r="R147" i="42"/>
  <c r="V147" i="42" s="1"/>
  <c r="W147" i="42" s="1"/>
  <c r="AB148" i="42" l="1"/>
  <c r="AF148" i="42" s="1"/>
  <c r="Z148" i="42"/>
  <c r="AC158" i="42"/>
  <c r="AE157" i="42"/>
  <c r="S149" i="42"/>
  <c r="R148" i="42"/>
  <c r="V148" i="42" s="1"/>
  <c r="W148" i="42" s="1"/>
  <c r="AB149" i="42" l="1"/>
  <c r="AF149" i="42" s="1"/>
  <c r="Z149" i="42"/>
  <c r="AC159" i="42"/>
  <c r="AE158" i="42"/>
  <c r="S150" i="42"/>
  <c r="R149" i="42"/>
  <c r="V149" i="42" s="1"/>
  <c r="W149" i="42" s="1"/>
  <c r="AB150" i="42" l="1"/>
  <c r="AF150" i="42" s="1"/>
  <c r="Z150" i="42"/>
  <c r="AC160" i="42"/>
  <c r="AE159" i="42"/>
  <c r="S151" i="42"/>
  <c r="R150" i="42"/>
  <c r="V150" i="42" s="1"/>
  <c r="W150" i="42" s="1"/>
  <c r="AB151" i="42" l="1"/>
  <c r="AF151" i="42" s="1"/>
  <c r="Z151" i="42"/>
  <c r="AC161" i="42"/>
  <c r="AE160" i="42"/>
  <c r="S152" i="42"/>
  <c r="R151" i="42"/>
  <c r="V151" i="42" s="1"/>
  <c r="W151" i="42" s="1"/>
  <c r="AB152" i="42" l="1"/>
  <c r="AF152" i="42" s="1"/>
  <c r="Z152" i="42"/>
  <c r="AC162" i="42"/>
  <c r="AE161" i="42"/>
  <c r="S153" i="42"/>
  <c r="R152" i="42"/>
  <c r="V152" i="42" s="1"/>
  <c r="W152" i="42" s="1"/>
  <c r="AB153" i="42" l="1"/>
  <c r="AF153" i="42" s="1"/>
  <c r="Z153" i="42"/>
  <c r="AC163" i="42"/>
  <c r="AE162" i="42"/>
  <c r="S154" i="42"/>
  <c r="R153" i="42"/>
  <c r="V153" i="42" s="1"/>
  <c r="W153" i="42" s="1"/>
  <c r="AB154" i="42" l="1"/>
  <c r="AF154" i="42" s="1"/>
  <c r="Z154" i="42"/>
  <c r="AC164" i="42"/>
  <c r="AE163" i="42"/>
  <c r="S155" i="42"/>
  <c r="R154" i="42"/>
  <c r="V154" i="42" s="1"/>
  <c r="W154" i="42" s="1"/>
  <c r="AB155" i="42" l="1"/>
  <c r="AF155" i="42" s="1"/>
  <c r="Z155" i="42"/>
  <c r="AC165" i="42"/>
  <c r="AE164" i="42"/>
  <c r="S156" i="42"/>
  <c r="R155" i="42"/>
  <c r="V155" i="42" s="1"/>
  <c r="W155" i="42" s="1"/>
  <c r="AB156" i="42" l="1"/>
  <c r="AF156" i="42" s="1"/>
  <c r="Z156" i="42"/>
  <c r="AC166" i="42"/>
  <c r="AE165" i="42"/>
  <c r="S157" i="42"/>
  <c r="R156" i="42"/>
  <c r="V156" i="42" s="1"/>
  <c r="W156" i="42" s="1"/>
  <c r="AB157" i="42" l="1"/>
  <c r="AF157" i="42" s="1"/>
  <c r="Z157" i="42"/>
  <c r="AC167" i="42"/>
  <c r="AE166" i="42"/>
  <c r="S158" i="42"/>
  <c r="R157" i="42"/>
  <c r="V157" i="42" s="1"/>
  <c r="W157" i="42" s="1"/>
  <c r="AB158" i="42" l="1"/>
  <c r="AF158" i="42" s="1"/>
  <c r="Z158" i="42"/>
  <c r="AC168" i="42"/>
  <c r="AE167" i="42"/>
  <c r="S159" i="42"/>
  <c r="R158" i="42"/>
  <c r="V158" i="42" s="1"/>
  <c r="W158" i="42" s="1"/>
  <c r="AB159" i="42" l="1"/>
  <c r="AF159" i="42" s="1"/>
  <c r="Z159" i="42"/>
  <c r="AC169" i="42"/>
  <c r="AE168" i="42"/>
  <c r="S160" i="42"/>
  <c r="R159" i="42"/>
  <c r="V159" i="42" s="1"/>
  <c r="W159" i="42" s="1"/>
  <c r="AB160" i="42" l="1"/>
  <c r="AF160" i="42" s="1"/>
  <c r="Z160" i="42"/>
  <c r="AC170" i="42"/>
  <c r="AE169" i="42"/>
  <c r="S161" i="42"/>
  <c r="R160" i="42"/>
  <c r="V160" i="42" s="1"/>
  <c r="W160" i="42" s="1"/>
  <c r="AB161" i="42" l="1"/>
  <c r="AF161" i="42" s="1"/>
  <c r="Z161" i="42"/>
  <c r="AC171" i="42"/>
  <c r="AE170" i="42"/>
  <c r="S162" i="42"/>
  <c r="R161" i="42"/>
  <c r="V161" i="42" s="1"/>
  <c r="W161" i="42" s="1"/>
  <c r="AB162" i="42" l="1"/>
  <c r="AF162" i="42" s="1"/>
  <c r="Z162" i="42"/>
  <c r="AC172" i="42"/>
  <c r="AE171" i="42"/>
  <c r="S163" i="42"/>
  <c r="R162" i="42"/>
  <c r="V162" i="42" s="1"/>
  <c r="W162" i="42" s="1"/>
  <c r="AB163" i="42" l="1"/>
  <c r="AF163" i="42" s="1"/>
  <c r="Z163" i="42"/>
  <c r="AC173" i="42"/>
  <c r="AE172" i="42"/>
  <c r="S164" i="42"/>
  <c r="R163" i="42"/>
  <c r="V163" i="42" s="1"/>
  <c r="W163" i="42" s="1"/>
  <c r="AB164" i="42" l="1"/>
  <c r="AF164" i="42" s="1"/>
  <c r="Z164" i="42"/>
  <c r="AC174" i="42"/>
  <c r="AE173" i="42"/>
  <c r="S165" i="42"/>
  <c r="R164" i="42"/>
  <c r="V164" i="42" s="1"/>
  <c r="W164" i="42" s="1"/>
  <c r="AB165" i="42" l="1"/>
  <c r="AF165" i="42" s="1"/>
  <c r="Z165" i="42"/>
  <c r="AC175" i="42"/>
  <c r="AE174" i="42"/>
  <c r="S166" i="42"/>
  <c r="R165" i="42"/>
  <c r="V165" i="42" s="1"/>
  <c r="W165" i="42" s="1"/>
  <c r="AB166" i="42" l="1"/>
  <c r="AF166" i="42" s="1"/>
  <c r="Z166" i="42"/>
  <c r="AC176" i="42"/>
  <c r="AE175" i="42"/>
  <c r="S167" i="42"/>
  <c r="R166" i="42"/>
  <c r="V166" i="42" s="1"/>
  <c r="W166" i="42" s="1"/>
  <c r="AB167" i="42" l="1"/>
  <c r="AF167" i="42" s="1"/>
  <c r="Z167" i="42"/>
  <c r="AC177" i="42"/>
  <c r="AE176" i="42"/>
  <c r="S168" i="42"/>
  <c r="R167" i="42"/>
  <c r="V167" i="42" s="1"/>
  <c r="W167" i="42" s="1"/>
  <c r="AB168" i="42" l="1"/>
  <c r="AF168" i="42" s="1"/>
  <c r="Z168" i="42"/>
  <c r="AC178" i="42"/>
  <c r="AE177" i="42"/>
  <c r="S169" i="42"/>
  <c r="R168" i="42"/>
  <c r="V168" i="42" s="1"/>
  <c r="W168" i="42" s="1"/>
  <c r="AB169" i="42" l="1"/>
  <c r="AF169" i="42" s="1"/>
  <c r="Z169" i="42"/>
  <c r="AC179" i="42"/>
  <c r="AE178" i="42"/>
  <c r="S170" i="42"/>
  <c r="R169" i="42"/>
  <c r="V169" i="42" s="1"/>
  <c r="W169" i="42" s="1"/>
  <c r="AB170" i="42" l="1"/>
  <c r="AF170" i="42" s="1"/>
  <c r="Z170" i="42"/>
  <c r="AC180" i="42"/>
  <c r="AE179" i="42"/>
  <c r="S171" i="42"/>
  <c r="R170" i="42"/>
  <c r="V170" i="42" s="1"/>
  <c r="W170" i="42" s="1"/>
  <c r="AB171" i="42" l="1"/>
  <c r="AF171" i="42" s="1"/>
  <c r="Z171" i="42"/>
  <c r="AC181" i="42"/>
  <c r="AE180" i="42"/>
  <c r="S172" i="42"/>
  <c r="R171" i="42"/>
  <c r="V171" i="42" s="1"/>
  <c r="W171" i="42" s="1"/>
  <c r="AB172" i="42" l="1"/>
  <c r="AF172" i="42" s="1"/>
  <c r="Z172" i="42"/>
  <c r="AC182" i="42"/>
  <c r="AE181" i="42"/>
  <c r="S173" i="42"/>
  <c r="R172" i="42"/>
  <c r="V172" i="42" s="1"/>
  <c r="W172" i="42" s="1"/>
  <c r="AB173" i="42" l="1"/>
  <c r="AF173" i="42" s="1"/>
  <c r="Z173" i="42"/>
  <c r="AC183" i="42"/>
  <c r="AE182" i="42"/>
  <c r="S174" i="42"/>
  <c r="R173" i="42"/>
  <c r="V173" i="42" s="1"/>
  <c r="W173" i="42" s="1"/>
  <c r="AB174" i="42" l="1"/>
  <c r="AF174" i="42" s="1"/>
  <c r="Z174" i="42"/>
  <c r="AC184" i="42"/>
  <c r="AE183" i="42"/>
  <c r="S175" i="42"/>
  <c r="R174" i="42"/>
  <c r="V174" i="42" s="1"/>
  <c r="W174" i="42" s="1"/>
  <c r="AB175" i="42" l="1"/>
  <c r="AF175" i="42" s="1"/>
  <c r="Z175" i="42"/>
  <c r="AC185" i="42"/>
  <c r="AE184" i="42"/>
  <c r="S176" i="42"/>
  <c r="R175" i="42"/>
  <c r="V175" i="42" s="1"/>
  <c r="W175" i="42" s="1"/>
  <c r="AB176" i="42" l="1"/>
  <c r="AF176" i="42" s="1"/>
  <c r="Z176" i="42"/>
  <c r="AC186" i="42"/>
  <c r="AE185" i="42"/>
  <c r="R176" i="42"/>
  <c r="V176" i="42" s="1"/>
  <c r="W176" i="42" s="1"/>
  <c r="S177" i="42"/>
  <c r="AB177" i="42" l="1"/>
  <c r="AF177" i="42" s="1"/>
  <c r="Z177" i="42"/>
  <c r="AC187" i="42"/>
  <c r="AE186" i="42"/>
  <c r="S178" i="42"/>
  <c r="R177" i="42"/>
  <c r="V177" i="42" s="1"/>
  <c r="W177" i="42" s="1"/>
  <c r="AB178" i="42" l="1"/>
  <c r="AF178" i="42" s="1"/>
  <c r="Z178" i="42"/>
  <c r="AC188" i="42"/>
  <c r="AE187" i="42"/>
  <c r="S179" i="42"/>
  <c r="R178" i="42"/>
  <c r="V178" i="42" s="1"/>
  <c r="W178" i="42" s="1"/>
  <c r="AB179" i="42" l="1"/>
  <c r="AF179" i="42" s="1"/>
  <c r="Z179" i="42"/>
  <c r="AC189" i="42"/>
  <c r="AE188" i="42"/>
  <c r="S180" i="42"/>
  <c r="R179" i="42"/>
  <c r="V179" i="42" s="1"/>
  <c r="W179" i="42" s="1"/>
  <c r="AB180" i="42" l="1"/>
  <c r="AF180" i="42" s="1"/>
  <c r="Z180" i="42"/>
  <c r="AC190" i="42"/>
  <c r="AE189" i="42"/>
  <c r="S181" i="42"/>
  <c r="R180" i="42"/>
  <c r="V180" i="42" s="1"/>
  <c r="W180" i="42" s="1"/>
  <c r="AB181" i="42" l="1"/>
  <c r="AF181" i="42" s="1"/>
  <c r="Z181" i="42"/>
  <c r="AC191" i="42"/>
  <c r="AE190" i="42"/>
  <c r="S182" i="42"/>
  <c r="R181" i="42"/>
  <c r="V181" i="42" s="1"/>
  <c r="W181" i="42" s="1"/>
  <c r="AB182" i="42" l="1"/>
  <c r="AF182" i="42" s="1"/>
  <c r="Z182" i="42"/>
  <c r="AC192" i="42"/>
  <c r="AE191" i="42"/>
  <c r="S183" i="42"/>
  <c r="R182" i="42"/>
  <c r="V182" i="42" s="1"/>
  <c r="W182" i="42" s="1"/>
  <c r="AB183" i="42" l="1"/>
  <c r="AF183" i="42" s="1"/>
  <c r="Z183" i="42"/>
  <c r="AC193" i="42"/>
  <c r="AE192" i="42"/>
  <c r="S184" i="42"/>
  <c r="R183" i="42"/>
  <c r="V183" i="42" s="1"/>
  <c r="W183" i="42" s="1"/>
  <c r="AB184" i="42" l="1"/>
  <c r="AF184" i="42" s="1"/>
  <c r="Z184" i="42"/>
  <c r="AC194" i="42"/>
  <c r="AE193" i="42"/>
  <c r="S185" i="42"/>
  <c r="R184" i="42"/>
  <c r="V184" i="42" s="1"/>
  <c r="W184" i="42" s="1"/>
  <c r="AB185" i="42" l="1"/>
  <c r="AF185" i="42" s="1"/>
  <c r="Z185" i="42"/>
  <c r="AC195" i="42"/>
  <c r="AE194" i="42"/>
  <c r="S186" i="42"/>
  <c r="R185" i="42"/>
  <c r="V185" i="42" s="1"/>
  <c r="W185" i="42" s="1"/>
  <c r="AB186" i="42" l="1"/>
  <c r="AF186" i="42" s="1"/>
  <c r="Z186" i="42"/>
  <c r="AC196" i="42"/>
  <c r="AE195" i="42"/>
  <c r="S187" i="42"/>
  <c r="R186" i="42"/>
  <c r="V186" i="42" s="1"/>
  <c r="W186" i="42" s="1"/>
  <c r="AB187" i="42" l="1"/>
  <c r="AF187" i="42" s="1"/>
  <c r="Z187" i="42"/>
  <c r="AC197" i="42"/>
  <c r="AE196" i="42"/>
  <c r="S188" i="42"/>
  <c r="R187" i="42"/>
  <c r="V187" i="42" s="1"/>
  <c r="W187" i="42" s="1"/>
  <c r="AB188" i="42" l="1"/>
  <c r="AF188" i="42" s="1"/>
  <c r="Z188" i="42"/>
  <c r="AC198" i="42"/>
  <c r="AE197" i="42"/>
  <c r="S189" i="42"/>
  <c r="R188" i="42"/>
  <c r="V188" i="42" s="1"/>
  <c r="W188" i="42" s="1"/>
  <c r="AB189" i="42" l="1"/>
  <c r="AF189" i="42" s="1"/>
  <c r="Z189" i="42"/>
  <c r="AC199" i="42"/>
  <c r="AE198" i="42"/>
  <c r="S190" i="42"/>
  <c r="R189" i="42"/>
  <c r="V189" i="42" s="1"/>
  <c r="W189" i="42" s="1"/>
  <c r="AB190" i="42" l="1"/>
  <c r="AF190" i="42" s="1"/>
  <c r="Z190" i="42"/>
  <c r="AC200" i="42"/>
  <c r="AE199" i="42"/>
  <c r="S191" i="42"/>
  <c r="R190" i="42"/>
  <c r="V190" i="42" s="1"/>
  <c r="W190" i="42" s="1"/>
  <c r="AB191" i="42" l="1"/>
  <c r="AF191" i="42" s="1"/>
  <c r="Z191" i="42"/>
  <c r="AC201" i="42"/>
  <c r="AE201" i="42" s="1"/>
  <c r="AE200" i="42"/>
  <c r="S192" i="42"/>
  <c r="R191" i="42"/>
  <c r="V191" i="42" s="1"/>
  <c r="W191" i="42" s="1"/>
  <c r="AB192" i="42" l="1"/>
  <c r="AF192" i="42" s="1"/>
  <c r="Z192" i="42"/>
  <c r="S193" i="42"/>
  <c r="R192" i="42"/>
  <c r="V192" i="42" s="1"/>
  <c r="W192" i="42" s="1"/>
  <c r="AB193" i="42" l="1"/>
  <c r="AF193" i="42" s="1"/>
  <c r="Z193" i="42"/>
  <c r="S194" i="42"/>
  <c r="R193" i="42"/>
  <c r="V193" i="42" s="1"/>
  <c r="W193" i="42" s="1"/>
  <c r="AB194" i="42" l="1"/>
  <c r="AF194" i="42" s="1"/>
  <c r="Z194" i="42"/>
  <c r="S195" i="42"/>
  <c r="R194" i="42"/>
  <c r="V194" i="42" s="1"/>
  <c r="W194" i="42" s="1"/>
  <c r="AB195" i="42" l="1"/>
  <c r="AF195" i="42" s="1"/>
  <c r="Z195" i="42"/>
  <c r="S196" i="42"/>
  <c r="R195" i="42"/>
  <c r="V195" i="42" s="1"/>
  <c r="W195" i="42" s="1"/>
  <c r="AB196" i="42" l="1"/>
  <c r="AF196" i="42" s="1"/>
  <c r="Z196" i="42"/>
  <c r="S197" i="42"/>
  <c r="R196" i="42"/>
  <c r="V196" i="42" s="1"/>
  <c r="W196" i="42" s="1"/>
  <c r="AB197" i="42" l="1"/>
  <c r="AF197" i="42" s="1"/>
  <c r="Z197" i="42"/>
  <c r="S198" i="42"/>
  <c r="R197" i="42"/>
  <c r="V197" i="42" s="1"/>
  <c r="W197" i="42" s="1"/>
  <c r="AB198" i="42" l="1"/>
  <c r="AF198" i="42" s="1"/>
  <c r="Z198" i="42"/>
  <c r="S199" i="42"/>
  <c r="R198" i="42"/>
  <c r="V198" i="42" s="1"/>
  <c r="W198" i="42" s="1"/>
  <c r="AB199" i="42" l="1"/>
  <c r="AF199" i="42" s="1"/>
  <c r="Z199" i="42"/>
  <c r="S200" i="42"/>
  <c r="R199" i="42"/>
  <c r="V199" i="42" s="1"/>
  <c r="W199" i="42" s="1"/>
  <c r="AB200" i="42" l="1"/>
  <c r="AF200" i="42" s="1"/>
  <c r="Z200" i="42"/>
  <c r="R200" i="42"/>
  <c r="V200" i="42" s="1"/>
  <c r="W200" i="42" s="1"/>
  <c r="S201" i="42"/>
  <c r="Z201" i="42" s="1"/>
  <c r="R201" i="42" l="1"/>
  <c r="V201" i="42" s="1"/>
  <c r="W201" i="42" s="1"/>
  <c r="AB201" i="42"/>
  <c r="AF201" i="42" s="1"/>
</calcChain>
</file>

<file path=xl/sharedStrings.xml><?xml version="1.0" encoding="utf-8"?>
<sst xmlns="http://schemas.openxmlformats.org/spreadsheetml/2006/main" count="3456" uniqueCount="2178">
  <si>
    <t>现价</t>
  </si>
  <si>
    <t>市净率</t>
  </si>
  <si>
    <t>代码</t>
  </si>
  <si>
    <t xml:space="preserve">    名称</t>
  </si>
  <si>
    <t>总市值</t>
  </si>
  <si>
    <t>TTM市盈率</t>
  </si>
  <si>
    <t>所属行业</t>
  </si>
  <si>
    <t>--</t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</si>
  <si>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</si>
  <si>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</si>
  <si>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</si>
  <si>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</si>
  <si>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</si>
  <si>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</si>
  <si>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</si>
  <si>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</si>
  <si>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7.24亿</t>
  </si>
  <si>
    <t>3.47亿</t>
  </si>
  <si>
    <t>3.26亿</t>
  </si>
  <si>
    <t>3.04亿</t>
  </si>
  <si>
    <t>5.58亿</t>
  </si>
  <si>
    <t>4.65亿</t>
  </si>
  <si>
    <t>2.02亿</t>
  </si>
  <si>
    <t>1.79亿</t>
  </si>
  <si>
    <t>3.44亿</t>
  </si>
  <si>
    <t>1.45亿</t>
  </si>
  <si>
    <t>7.48亿</t>
  </si>
  <si>
    <t>1.76亿</t>
  </si>
  <si>
    <t>1.94亿</t>
  </si>
  <si>
    <t>0亿</t>
  </si>
  <si>
    <t>1.03亿</t>
  </si>
  <si>
    <t>1.83亿</t>
  </si>
  <si>
    <t>1.65亿</t>
  </si>
  <si>
    <t>2.19亿</t>
  </si>
  <si>
    <t>1.50亿</t>
  </si>
  <si>
    <t>3.27亿</t>
  </si>
  <si>
    <t>2.22亿</t>
  </si>
  <si>
    <t>11.46亿</t>
  </si>
  <si>
    <t>2.83亿</t>
  </si>
  <si>
    <t>5.86亿</t>
  </si>
  <si>
    <t>1.92亿</t>
  </si>
  <si>
    <t>1.28亿</t>
  </si>
  <si>
    <t>6.83亿</t>
  </si>
  <si>
    <t>1.66亿</t>
  </si>
  <si>
    <t>3.25亿</t>
  </si>
  <si>
    <t>1.41亿</t>
  </si>
  <si>
    <t>1.88亿</t>
  </si>
  <si>
    <t>1.34亿</t>
  </si>
  <si>
    <t>4.66亿</t>
  </si>
  <si>
    <t>6.55亿</t>
  </si>
  <si>
    <t>2.43亿</t>
  </si>
  <si>
    <t>1.97亿</t>
  </si>
  <si>
    <t>1.81亿</t>
  </si>
  <si>
    <t>11.43亿</t>
  </si>
  <si>
    <t>1.31亿</t>
  </si>
  <si>
    <t>10000.00万</t>
  </si>
  <si>
    <t>4.32亿</t>
  </si>
  <si>
    <t>1.78亿</t>
  </si>
  <si>
    <t>2.68亿</t>
  </si>
  <si>
    <t>2.09亿</t>
  </si>
  <si>
    <t>4.05亿</t>
  </si>
  <si>
    <t>1.33亿</t>
  </si>
  <si>
    <t>1.87亿</t>
  </si>
  <si>
    <t>1.46亿</t>
  </si>
  <si>
    <t>1.73亿</t>
  </si>
  <si>
    <t>1.26亿</t>
  </si>
  <si>
    <t>11.49亿</t>
  </si>
  <si>
    <t>7.88亿</t>
  </si>
  <si>
    <t>1.86亿</t>
  </si>
  <si>
    <t>1.14亿</t>
  </si>
  <si>
    <t>6.66亿</t>
  </si>
  <si>
    <t>6.11亿</t>
  </si>
  <si>
    <t>1.05亿</t>
  </si>
  <si>
    <t>3.48亿</t>
  </si>
  <si>
    <t>1.24亿</t>
  </si>
  <si>
    <t>2.82亿</t>
  </si>
  <si>
    <t>3.28亿</t>
  </si>
  <si>
    <t>1.98亿</t>
  </si>
  <si>
    <t>3.72亿</t>
  </si>
  <si>
    <t>5.15亿</t>
  </si>
  <si>
    <t>3.01亿</t>
  </si>
  <si>
    <t>3.89亿</t>
  </si>
  <si>
    <t>2.26亿</t>
  </si>
  <si>
    <t>4.08亿</t>
  </si>
  <si>
    <t>2.95亿</t>
  </si>
  <si>
    <t>6.08亿</t>
  </si>
  <si>
    <t>1.77亿</t>
  </si>
  <si>
    <t>1.08亿</t>
  </si>
  <si>
    <t>4.21亿</t>
  </si>
  <si>
    <t>5.71亿</t>
  </si>
  <si>
    <t>1.40亿</t>
  </si>
  <si>
    <t>2.23亿</t>
  </si>
  <si>
    <t>1.80亿</t>
  </si>
  <si>
    <t>2.10亿</t>
  </si>
  <si>
    <t>1.30亿</t>
  </si>
  <si>
    <t>1.22亿</t>
  </si>
  <si>
    <t>3.63亿</t>
  </si>
  <si>
    <t>4.38亿</t>
  </si>
  <si>
    <t>1.75亿</t>
  </si>
  <si>
    <t>1.02亿</t>
  </si>
  <si>
    <t>2.88亿</t>
  </si>
  <si>
    <t>6.84亿</t>
  </si>
  <si>
    <t>1.95亿</t>
  </si>
  <si>
    <t>2.48亿</t>
  </si>
  <si>
    <t>14.71亿</t>
  </si>
  <si>
    <t>3.66亿</t>
  </si>
  <si>
    <t>3.15亿</t>
  </si>
  <si>
    <t>3.57亿</t>
  </si>
  <si>
    <t>1.29亿</t>
  </si>
  <si>
    <t>1.01亿</t>
  </si>
  <si>
    <t>2.55亿</t>
  </si>
  <si>
    <t>1.27亿</t>
  </si>
  <si>
    <t>2.01亿</t>
  </si>
  <si>
    <t>1.57亿</t>
  </si>
  <si>
    <t>2.15亿</t>
  </si>
  <si>
    <t>3.39亿</t>
  </si>
  <si>
    <t>1.72亿</t>
  </si>
  <si>
    <t>2.44亿</t>
  </si>
  <si>
    <t>2.94亿</t>
  </si>
  <si>
    <t>4.11亿</t>
  </si>
  <si>
    <t>5.80亿</t>
  </si>
  <si>
    <t>3.92亿</t>
  </si>
  <si>
    <t>2.78亿</t>
  </si>
  <si>
    <t>12.47亿</t>
  </si>
  <si>
    <t>2.14亿</t>
  </si>
  <si>
    <t>1.18亿</t>
  </si>
  <si>
    <t>3.97亿</t>
  </si>
  <si>
    <t>3.29亿</t>
  </si>
  <si>
    <t>4.60亿</t>
  </si>
  <si>
    <t>1.49亿</t>
  </si>
  <si>
    <t>14.50亿</t>
  </si>
  <si>
    <t>14.62亿</t>
  </si>
  <si>
    <t>7.01亿</t>
  </si>
  <si>
    <t>5.35亿</t>
  </si>
  <si>
    <t>2.21亿</t>
  </si>
  <si>
    <t>3.09亿</t>
  </si>
  <si>
    <t>2.07亿</t>
  </si>
  <si>
    <t>2.05亿</t>
  </si>
  <si>
    <t>11.01亿</t>
  </si>
  <si>
    <t>3.08亿</t>
  </si>
  <si>
    <t>1.38亿</t>
  </si>
  <si>
    <t>3.35亿</t>
  </si>
  <si>
    <t>3.42亿</t>
  </si>
  <si>
    <t>1.61亿</t>
  </si>
  <si>
    <t>1.12亿</t>
  </si>
  <si>
    <t>1.23亿</t>
  </si>
  <si>
    <t>8.05亿</t>
  </si>
  <si>
    <t>2.25亿</t>
  </si>
  <si>
    <t>9.13亿</t>
  </si>
  <si>
    <t>4.15亿</t>
  </si>
  <si>
    <t>1.37亿</t>
  </si>
  <si>
    <t>3.16亿</t>
  </si>
  <si>
    <t>1.89亿</t>
  </si>
  <si>
    <t>3.33亿</t>
  </si>
  <si>
    <t>2.31亿</t>
  </si>
  <si>
    <t>3.69亿</t>
  </si>
  <si>
    <t>2.90亿</t>
  </si>
  <si>
    <t>2.71亿</t>
  </si>
  <si>
    <t>1.19亿</t>
  </si>
  <si>
    <t>4.41亿</t>
  </si>
  <si>
    <t>6.02亿</t>
  </si>
  <si>
    <t>1.74亿</t>
  </si>
  <si>
    <t>8.75亿</t>
  </si>
  <si>
    <t>11.33亿</t>
  </si>
  <si>
    <t>7.39亿</t>
  </si>
  <si>
    <t>1.47亿</t>
  </si>
  <si>
    <t>2.49亿</t>
  </si>
  <si>
    <t>2.17亿</t>
  </si>
  <si>
    <t>12.99亿</t>
  </si>
  <si>
    <t>1.85亿</t>
  </si>
  <si>
    <t>8.09亿</t>
  </si>
  <si>
    <t>4.80亿</t>
  </si>
  <si>
    <t>1.17亿</t>
  </si>
  <si>
    <t>9.82亿</t>
  </si>
  <si>
    <t>2.79亿</t>
  </si>
  <si>
    <t>3.19亿</t>
  </si>
  <si>
    <t>5.63亿</t>
  </si>
  <si>
    <t>3.58亿</t>
  </si>
  <si>
    <t>2.47亿</t>
  </si>
  <si>
    <t>3.18亿</t>
  </si>
  <si>
    <t>5.41亿</t>
  </si>
  <si>
    <t>2.52亿</t>
  </si>
  <si>
    <t>1.64亿</t>
  </si>
  <si>
    <t>-1.03亿</t>
  </si>
  <si>
    <t>6.71亿</t>
  </si>
  <si>
    <t>2.16亿</t>
  </si>
  <si>
    <t>5.70亿</t>
  </si>
  <si>
    <t>5.20亿</t>
  </si>
  <si>
    <t>2.39亿</t>
  </si>
  <si>
    <t>5.22亿</t>
  </si>
  <si>
    <t>25.94亿</t>
  </si>
  <si>
    <t>年份</t>
    <phoneticPr fontId="1" type="noConversion"/>
  </si>
  <si>
    <t>增速</t>
    <phoneticPr fontId="1" type="noConversion"/>
  </si>
  <si>
    <t>现期负债</t>
    <phoneticPr fontId="1" type="noConversion"/>
  </si>
  <si>
    <t>现期净资产</t>
    <phoneticPr fontId="1" type="noConversion"/>
  </si>
  <si>
    <t>收益基准</t>
    <phoneticPr fontId="1" type="noConversion"/>
  </si>
  <si>
    <t>估计收益</t>
    <phoneticPr fontId="1" type="noConversion"/>
  </si>
  <si>
    <t>现期利润</t>
    <phoneticPr fontId="1" type="noConversion"/>
  </si>
  <si>
    <t>现期利润增速</t>
    <phoneticPr fontId="1" type="noConversion"/>
  </si>
  <si>
    <t>期限时长</t>
    <phoneticPr fontId="1" type="noConversion"/>
  </si>
  <si>
    <t>现期市值</t>
    <phoneticPr fontId="1" type="noConversion"/>
  </si>
  <si>
    <t>现期溢价</t>
    <phoneticPr fontId="1" type="noConversion"/>
  </si>
  <si>
    <t>现期静现金</t>
    <phoneticPr fontId="1" type="noConversion"/>
  </si>
  <si>
    <t>未来静现金流总和</t>
    <phoneticPr fontId="1" type="noConversion"/>
  </si>
  <si>
    <t>折现率</t>
    <phoneticPr fontId="1" type="noConversion"/>
  </si>
  <si>
    <t>倍率</t>
    <phoneticPr fontId="1" type="noConversion"/>
  </si>
  <si>
    <t>回本时长</t>
    <phoneticPr fontId="1" type="noConversion"/>
  </si>
  <si>
    <t>复利公式</t>
    <phoneticPr fontId="1" type="noConversion"/>
  </si>
  <si>
    <t>折现计算</t>
    <phoneticPr fontId="1" type="noConversion"/>
  </si>
  <si>
    <t>未来盈利估算</t>
    <phoneticPr fontId="1" type="noConversion"/>
  </si>
  <si>
    <t>未来盈利增速估计</t>
    <phoneticPr fontId="1" type="noConversion"/>
  </si>
  <si>
    <t>折现率</t>
    <phoneticPr fontId="1" type="noConversion"/>
  </si>
  <si>
    <t>存续年限现金流求和</t>
    <phoneticPr fontId="1" type="noConversion"/>
  </si>
  <si>
    <t>折算溢价回本比例</t>
    <phoneticPr fontId="1" type="noConversion"/>
  </si>
  <si>
    <t>市值</t>
    <phoneticPr fontId="1" type="noConversion"/>
  </si>
  <si>
    <t>净资产含量</t>
    <phoneticPr fontId="1" type="noConversion"/>
  </si>
  <si>
    <t>当期pe</t>
    <phoneticPr fontId="1" type="noConversion"/>
  </si>
  <si>
    <t>净利率估算</t>
    <phoneticPr fontId="1" type="noConversion"/>
  </si>
  <si>
    <t>未来营收估算</t>
    <phoneticPr fontId="1" type="noConversion"/>
  </si>
  <si>
    <t>潜在市场容量</t>
    <phoneticPr fontId="1" type="noConversion"/>
  </si>
  <si>
    <t>市占率</t>
    <phoneticPr fontId="1" type="noConversion"/>
  </si>
  <si>
    <t>对应市场份额</t>
    <phoneticPr fontId="1" type="noConversion"/>
  </si>
  <si>
    <t>市场份额小于营收估算警戒</t>
    <phoneticPr fontId="1" type="noConversion"/>
  </si>
  <si>
    <t>事件触发</t>
    <phoneticPr fontId="1" type="noConversion"/>
  </si>
  <si>
    <t>流动资产</t>
  </si>
  <si>
    <t>营业收入[20191231]</t>
  </si>
  <si>
    <t>营业收入[20181231]</t>
  </si>
  <si>
    <t>营业收入[20171231]</t>
  </si>
  <si>
    <t>营业收入[20161231]</t>
  </si>
  <si>
    <t>净利润[20191231]</t>
  </si>
  <si>
    <t>净利润[20181231]</t>
  </si>
  <si>
    <t>净利润[20171231]</t>
  </si>
  <si>
    <t>净利润[20161231]</t>
  </si>
  <si>
    <t>营业收入[20201231]</t>
  </si>
  <si>
    <t>净利润[20201231]</t>
  </si>
  <si>
    <t>投入资本回报率roic%[20201231]</t>
  </si>
  <si>
    <t>投入资本回报率roic%[20191231]</t>
  </si>
  <si>
    <t>投入资本回报率roic%[20181231]</t>
  </si>
  <si>
    <t>净资产收益率%[20201231]</t>
  </si>
  <si>
    <t>净资产收益率%[20191231]</t>
  </si>
  <si>
    <t>净资产收益率%[20181231]</t>
  </si>
  <si>
    <t>销售毛利率%[20201231]</t>
  </si>
  <si>
    <t>销售毛利率%[20191231]</t>
  </si>
  <si>
    <t>销售净利率%[20201231]</t>
  </si>
  <si>
    <t>销售净利率%[20191231]</t>
  </si>
  <si>
    <t>11.72亿</t>
  </si>
  <si>
    <t>7.58亿</t>
  </si>
  <si>
    <t>5.59亿</t>
  </si>
  <si>
    <t>6.58亿</t>
  </si>
  <si>
    <t>3.07亿</t>
  </si>
  <si>
    <t>4.86亿</t>
  </si>
  <si>
    <t>7.40亿</t>
  </si>
  <si>
    <t>5.45亿</t>
  </si>
  <si>
    <t>1.99亿</t>
  </si>
  <si>
    <t>18.72亿</t>
  </si>
  <si>
    <t>6.67亿</t>
  </si>
  <si>
    <t>19.53亿</t>
  </si>
  <si>
    <t>16.37亿</t>
  </si>
  <si>
    <t>3.75亿</t>
  </si>
  <si>
    <t>9.09亿</t>
  </si>
  <si>
    <t>12.26亿</t>
  </si>
  <si>
    <t>46.32亿</t>
  </si>
  <si>
    <t>5.27亿</t>
  </si>
  <si>
    <t>9.86亿</t>
  </si>
  <si>
    <t>-1.47亿</t>
  </si>
  <si>
    <t>9.62亿</t>
  </si>
  <si>
    <t>5.07亿</t>
  </si>
  <si>
    <t>11.00亿</t>
  </si>
  <si>
    <t>6.65亿</t>
  </si>
  <si>
    <t>12.10亿</t>
  </si>
  <si>
    <t>20.98亿</t>
  </si>
  <si>
    <t>8.19亿</t>
  </si>
  <si>
    <t>5.67亿</t>
  </si>
  <si>
    <t>权益乘数[20210331]</t>
  </si>
  <si>
    <t>总资产周转率[20210331]</t>
  </si>
  <si>
    <t>净利润／营业总收入%[20210331]</t>
  </si>
  <si>
    <t>营业总成本[20210331]</t>
  </si>
  <si>
    <t>营业成本[20210331]</t>
  </si>
  <si>
    <t>管理费用[20210331]</t>
  </si>
  <si>
    <t>单季营收增速</t>
  </si>
  <si>
    <t>单季利润增速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</si>
  <si>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</si>
  <si>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</si>
  <si>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</si>
  <si>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</si>
  <si>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</si>
  <si>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</si>
  <si>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</si>
  <si>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</si>
  <si>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</si>
  <si>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</si>
  <si>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近期roe</t>
    <phoneticPr fontId="1" type="noConversion"/>
  </si>
  <si>
    <t>过往利润增速均值</t>
    <phoneticPr fontId="1" type="noConversion"/>
  </si>
  <si>
    <t>1年自由现金流折现</t>
    <phoneticPr fontId="1" type="noConversion"/>
  </si>
  <si>
    <t>1增速</t>
    <phoneticPr fontId="1" type="noConversion"/>
  </si>
  <si>
    <t>6增速</t>
    <phoneticPr fontId="1" type="noConversion"/>
  </si>
  <si>
    <t>20年自由现金流折现</t>
    <phoneticPr fontId="1" type="noConversion"/>
  </si>
  <si>
    <t>20增速</t>
  </si>
  <si>
    <t>当期自由现金流估计值</t>
  </si>
  <si>
    <t>自由现金流估计增速</t>
  </si>
  <si>
    <t>清算价格</t>
    <phoneticPr fontId="1" type="noConversion"/>
  </si>
  <si>
    <t>策略1营收单季最佳增速</t>
    <phoneticPr fontId="1" type="noConversion"/>
  </si>
  <si>
    <t>已知和基本信息</t>
    <phoneticPr fontId="1" type="noConversion"/>
  </si>
  <si>
    <t>3年自由现金流折现</t>
    <phoneticPr fontId="1" type="noConversion"/>
  </si>
  <si>
    <t>策略1利润单季最佳增速</t>
    <phoneticPr fontId="1" type="noConversion"/>
  </si>
  <si>
    <t>基本面排序</t>
    <phoneticPr fontId="1" type="noConversion"/>
  </si>
  <si>
    <t>36.71亿</t>
  </si>
  <si>
    <t>1.68亿</t>
  </si>
  <si>
    <t>11.08亿</t>
  </si>
  <si>
    <t>36.03亿</t>
  </si>
  <si>
    <t>13.79亿</t>
  </si>
  <si>
    <t>扣非对比净利润</t>
    <phoneticPr fontId="1" type="noConversion"/>
  </si>
  <si>
    <t>过往营收增速均值</t>
    <phoneticPr fontId="1" type="noConversion"/>
  </si>
  <si>
    <t>折现率</t>
    <phoneticPr fontId="1" type="noConversion"/>
  </si>
  <si>
    <t>3增速</t>
    <phoneticPr fontId="1" type="noConversion"/>
  </si>
  <si>
    <t>6年自由现金流折现</t>
    <phoneticPr fontId="1" type="noConversion"/>
  </si>
  <si>
    <t>10年自由现金流折现</t>
    <phoneticPr fontId="1" type="noConversion"/>
  </si>
  <si>
    <t>原始排序</t>
    <phoneticPr fontId="1" type="noConversion"/>
  </si>
  <si>
    <t>营收和利润加权</t>
    <phoneticPr fontId="1" type="noConversion"/>
  </si>
  <si>
    <t>量价齐升策略</t>
    <phoneticPr fontId="1" type="noConversion"/>
  </si>
  <si>
    <t>综合策略</t>
    <phoneticPr fontId="1" type="noConversion"/>
  </si>
  <si>
    <t>机会区域号</t>
    <phoneticPr fontId="1" type="noConversion"/>
  </si>
  <si>
    <t>30日成交换手率</t>
    <phoneticPr fontId="1" type="noConversion"/>
  </si>
  <si>
    <t>涨幅%</t>
  </si>
  <si>
    <t>LYear营业总收入[20211231]</t>
  </si>
  <si>
    <t>LYear净利润[20211231]</t>
  </si>
  <si>
    <t>流通股本</t>
  </si>
  <si>
    <t>销售费用[20220331]</t>
  </si>
  <si>
    <t>其他收入[20220331]</t>
  </si>
  <si>
    <t>货币资金[20220331]</t>
  </si>
  <si>
    <t>应收票据[20220331]</t>
  </si>
  <si>
    <t>固定资产[20220331]</t>
  </si>
  <si>
    <t>在建工程[20220331]</t>
  </si>
  <si>
    <t>短期借款[20220331]</t>
  </si>
  <si>
    <t>应付票据[20220331]</t>
  </si>
  <si>
    <t>应付账款[20220331]</t>
  </si>
  <si>
    <t>预收款项[20220331]</t>
  </si>
  <si>
    <t>流动负债[20220331]</t>
  </si>
  <si>
    <t>长期借款[20220331]</t>
  </si>
  <si>
    <t>经营活动产生的现金流量净额[20220331]</t>
  </si>
  <si>
    <t>投资活动产生的现金流量净额[20220331]</t>
  </si>
  <si>
    <t>筹资活动产生的现金流量净额[20220331]</t>
  </si>
  <si>
    <t>LYCQ营业收入[20210331]</t>
  </si>
  <si>
    <t>CYLQ净利润[20211231]</t>
  </si>
  <si>
    <t>LYCQ净利润[20210331]</t>
  </si>
  <si>
    <t>LYLQ净利润[20201231]</t>
  </si>
  <si>
    <t>投入资本回报率roic%[20211231]</t>
  </si>
  <si>
    <t>净资产收益率%[20211231]</t>
  </si>
  <si>
    <t>销售毛利率%[20211231]</t>
  </si>
  <si>
    <t>销售净利率%[20211231]</t>
  </si>
  <si>
    <t>预期多</t>
    <phoneticPr fontId="1" type="noConversion"/>
  </si>
  <si>
    <t>预期空</t>
    <phoneticPr fontId="1" type="noConversion"/>
  </si>
  <si>
    <t>成交量[20220517]</t>
  </si>
  <si>
    <t>营业收入(同比增长率) %[20220331]</t>
  </si>
  <si>
    <t>净利润?</t>
  </si>
  <si>
    <t>研发费用总额[20211231]</t>
  </si>
  <si>
    <t>扣非净利润</t>
  </si>
  <si>
    <t>营业总收入[20201231]</t>
  </si>
  <si>
    <t>营业收入[20220331]</t>
  </si>
  <si>
    <t>区间涨跌幅:前复权%[20220511-20220517]</t>
  </si>
  <si>
    <t>区间涨跌幅:前复权%[20220330-20220517]</t>
  </si>
  <si>
    <t>区间成交量[20220511-20220517]</t>
  </si>
  <si>
    <t>指数@区间成交量[20220330-20220517]</t>
  </si>
  <si>
    <t>市销率</t>
    <phoneticPr fontId="1" type="noConversion"/>
  </si>
  <si>
    <t>10增速</t>
    <phoneticPr fontId="1" type="noConversion"/>
  </si>
  <si>
    <t>承担负债现期溢价</t>
    <phoneticPr fontId="1" type="noConversion"/>
  </si>
  <si>
    <t>营收成长策略</t>
    <phoneticPr fontId="1" type="noConversion"/>
  </si>
  <si>
    <t>利润成长策略</t>
    <phoneticPr fontId="1" type="noConversion"/>
  </si>
  <si>
    <t>价格变动策略</t>
    <phoneticPr fontId="1" type="noConversion"/>
  </si>
  <si>
    <t>成交量综合策略</t>
    <phoneticPr fontId="1" type="noConversion"/>
  </si>
  <si>
    <t>5日成交换手率</t>
    <phoneticPr fontId="1" type="noConversion"/>
  </si>
  <si>
    <t>昨日价格累计指数</t>
    <phoneticPr fontId="1" type="noConversion"/>
  </si>
  <si>
    <t>今日价格累积指数</t>
    <phoneticPr fontId="1" type="noConversion"/>
  </si>
  <si>
    <t>成交量异动策略</t>
    <phoneticPr fontId="1" type="noConversion"/>
  </si>
  <si>
    <t>价格箱体形态过滤</t>
    <phoneticPr fontId="1" type="noConversion"/>
  </si>
  <si>
    <t>价格右侧初期策略</t>
    <phoneticPr fontId="1" type="noConversion"/>
  </si>
  <si>
    <t>2.28亿</t>
  </si>
  <si>
    <t>-1-0</t>
  </si>
  <si>
    <t>4.54亿</t>
  </si>
  <si>
    <t>7.87亿</t>
  </si>
  <si>
    <t>2.53亿</t>
  </si>
  <si>
    <t>22.58亿</t>
  </si>
  <si>
    <t>18.54亿</t>
  </si>
  <si>
    <t>12.24亿</t>
  </si>
  <si>
    <t>16.52亿</t>
  </si>
  <si>
    <t>3.12亿</t>
  </si>
  <si>
    <t>4.50亿</t>
  </si>
  <si>
    <t>10.31亿</t>
  </si>
  <si>
    <t>8.78亿</t>
  </si>
  <si>
    <t>9.90亿</t>
  </si>
  <si>
    <t>9.63亿</t>
  </si>
  <si>
    <t>3.53亿</t>
  </si>
  <si>
    <t>2.89亿</t>
  </si>
  <si>
    <t>1.91亿</t>
  </si>
  <si>
    <t>13.55亿</t>
  </si>
  <si>
    <t>-1.81亿</t>
  </si>
  <si>
    <t>5.65亿</t>
  </si>
  <si>
    <t>扭亏</t>
  </si>
  <si>
    <t/>
  </si>
  <si>
    <t>3.46亿</t>
  </si>
  <si>
    <t>4.77亿</t>
  </si>
  <si>
    <t>8.38亿</t>
  </si>
  <si>
    <t>23.17亿</t>
  </si>
  <si>
    <t>1.00亿</t>
  </si>
  <si>
    <t>1-0</t>
  </si>
  <si>
    <t>7.09亿</t>
  </si>
  <si>
    <t>4.13亿</t>
  </si>
  <si>
    <t>2.56亿</t>
  </si>
  <si>
    <t>-1.32亿</t>
  </si>
  <si>
    <t>12.86亿</t>
  </si>
  <si>
    <t>3.31亿</t>
  </si>
  <si>
    <t>14.64亿</t>
  </si>
  <si>
    <t>4.74亿</t>
  </si>
  <si>
    <t>5.00万</t>
  </si>
  <si>
    <t>开始亏损</t>
  </si>
  <si>
    <t>1.69亿</t>
  </si>
  <si>
    <t>11.09亿</t>
  </si>
  <si>
    <t>2.59亿</t>
  </si>
  <si>
    <t>3.77亿</t>
  </si>
  <si>
    <t>4.59亿</t>
  </si>
  <si>
    <t>13.15亿</t>
  </si>
  <si>
    <t>3.55亿</t>
  </si>
  <si>
    <t>SZ002568</t>
  </si>
  <si>
    <t>百润股份</t>
  </si>
  <si>
    <t>饮料制造</t>
  </si>
  <si>
    <t>26.95亿</t>
  </si>
  <si>
    <t>SH600519</t>
  </si>
  <si>
    <t>贵州茅台</t>
  </si>
  <si>
    <t>1094.64亿</t>
  </si>
  <si>
    <t>524.60亿</t>
  </si>
  <si>
    <t>5.61亿</t>
  </si>
  <si>
    <t>19.15亿</t>
  </si>
  <si>
    <t>3.14亿</t>
  </si>
  <si>
    <t>3.30亿</t>
  </si>
  <si>
    <t>-3.39亿</t>
  </si>
  <si>
    <t>6.05亿</t>
  </si>
  <si>
    <t>4.14亿</t>
  </si>
  <si>
    <t>23.07亿</t>
  </si>
  <si>
    <t>19.27亿</t>
  </si>
  <si>
    <t>14.68亿</t>
  </si>
  <si>
    <t>12.30亿</t>
  </si>
  <si>
    <t>9.25亿</t>
  </si>
  <si>
    <t>5.36亿</t>
  </si>
  <si>
    <t>3.00亿</t>
  </si>
  <si>
    <t>4.75亿</t>
  </si>
  <si>
    <t>13.72亿</t>
  </si>
  <si>
    <t>979.93亿</t>
  </si>
  <si>
    <t>854.30亿</t>
  </si>
  <si>
    <t>736.39亿</t>
  </si>
  <si>
    <t>582.18亿</t>
  </si>
  <si>
    <t>388.62亿</t>
  </si>
  <si>
    <t>466.97亿</t>
  </si>
  <si>
    <t>412.06亿</t>
  </si>
  <si>
    <t>352.04亿</t>
  </si>
  <si>
    <t>270.79亿</t>
  </si>
  <si>
    <t>167.18亿</t>
  </si>
  <si>
    <t>58.80亿</t>
  </si>
  <si>
    <t>2.65亿</t>
  </si>
  <si>
    <t>2.84亿</t>
  </si>
  <si>
    <t>1.48亿</t>
  </si>
  <si>
    <t>9.75亿</t>
  </si>
  <si>
    <t>7.20亿</t>
  </si>
  <si>
    <t>27.65亿</t>
  </si>
  <si>
    <t>13.60亿</t>
  </si>
  <si>
    <t>11.99亿</t>
  </si>
  <si>
    <t>2.75亿</t>
  </si>
  <si>
    <t>3.13亿</t>
  </si>
  <si>
    <t>5.00亿</t>
  </si>
  <si>
    <t>3.11亿</t>
  </si>
  <si>
    <t>5.11亿</t>
  </si>
  <si>
    <t>1.84亿</t>
  </si>
  <si>
    <t>2.27亿</t>
  </si>
  <si>
    <t>7.28亿</t>
  </si>
  <si>
    <t>8.06亿</t>
  </si>
  <si>
    <t>16.50亿</t>
  </si>
  <si>
    <t>4.52亿</t>
  </si>
  <si>
    <t>1.82亿</t>
  </si>
  <si>
    <t>3.05亿</t>
  </si>
  <si>
    <t>22.17亿</t>
  </si>
  <si>
    <t>5.95亿</t>
  </si>
  <si>
    <t>5.14亿</t>
  </si>
  <si>
    <t>8.26亿</t>
  </si>
  <si>
    <t>4.47亿</t>
  </si>
  <si>
    <t>3.23亿</t>
  </si>
  <si>
    <t>10.44亿</t>
  </si>
  <si>
    <t>10.87亿</t>
  </si>
  <si>
    <t>6.46亿</t>
  </si>
  <si>
    <t>3.62亿</t>
  </si>
  <si>
    <t>2.77亿</t>
  </si>
  <si>
    <t>4.04亿</t>
  </si>
  <si>
    <t>13.30亿</t>
  </si>
  <si>
    <t>5.08亿</t>
  </si>
  <si>
    <t>2.66亿</t>
  </si>
  <si>
    <t>2.18亿</t>
  </si>
  <si>
    <t>1.44亿</t>
  </si>
  <si>
    <t>6.77亿</t>
  </si>
  <si>
    <t>26.59亿</t>
  </si>
  <si>
    <t>6.97亿</t>
  </si>
  <si>
    <t>1.60亿</t>
  </si>
  <si>
    <t>25.58亿</t>
  </si>
  <si>
    <t>70.82亿</t>
  </si>
  <si>
    <t>7.56亿</t>
  </si>
  <si>
    <t>1.70亿</t>
  </si>
  <si>
    <t>11.51亿</t>
  </si>
  <si>
    <t>12.54亿</t>
  </si>
  <si>
    <t>21.11亿</t>
  </si>
  <si>
    <t>34.52亿</t>
  </si>
  <si>
    <t>6.99亿</t>
  </si>
  <si>
    <t>6.34亿</t>
  </si>
  <si>
    <t>7.03亿</t>
  </si>
  <si>
    <t>3.34万</t>
  </si>
  <si>
    <t>69.68亿</t>
  </si>
  <si>
    <t>18.53亿</t>
  </si>
  <si>
    <t>2.96亿</t>
  </si>
  <si>
    <t>23.90亿</t>
  </si>
  <si>
    <t>11.95亿</t>
  </si>
  <si>
    <t>亏损</t>
  </si>
  <si>
    <t>7.85亿</t>
  </si>
  <si>
    <t>3.87亿</t>
  </si>
  <si>
    <t>2000.00万</t>
  </si>
  <si>
    <t>5.57亿</t>
  </si>
  <si>
    <t>4.26亿</t>
  </si>
  <si>
    <t>4.36亿</t>
  </si>
  <si>
    <t>13.67亿</t>
  </si>
  <si>
    <t>7.83亿</t>
  </si>
  <si>
    <t>2.63亿</t>
  </si>
  <si>
    <t>5.72亿</t>
  </si>
  <si>
    <t>4.20亿</t>
  </si>
  <si>
    <t>3.93亿</t>
  </si>
  <si>
    <t>14.70亿</t>
  </si>
  <si>
    <t>19.69亿</t>
  </si>
  <si>
    <t>18.03亿</t>
  </si>
  <si>
    <t>3.70亿</t>
  </si>
  <si>
    <t>5.24亿</t>
  </si>
  <si>
    <t>1.25亿</t>
  </si>
  <si>
    <t>3000.00万</t>
  </si>
  <si>
    <t>10.43亿</t>
  </si>
  <si>
    <t>20.12亿</t>
  </si>
  <si>
    <t>8.46亿</t>
  </si>
  <si>
    <t>7.11亿</t>
  </si>
  <si>
    <t>9.03亿</t>
  </si>
  <si>
    <t>7.31亿</t>
  </si>
  <si>
    <t>9.44亿</t>
  </si>
  <si>
    <t>5.73亿</t>
  </si>
  <si>
    <t>5.81亿</t>
  </si>
  <si>
    <t>10.55亿</t>
  </si>
  <si>
    <t>25.37亿</t>
  </si>
  <si>
    <t>56.79亿</t>
  </si>
  <si>
    <t>4.18亿</t>
  </si>
  <si>
    <t>-3.36亿</t>
  </si>
  <si>
    <t>12.77亿</t>
  </si>
  <si>
    <t>6.29亿</t>
  </si>
  <si>
    <t>-1.08亿</t>
  </si>
  <si>
    <t>7.44亿</t>
  </si>
  <si>
    <t>4.93亿</t>
  </si>
  <si>
    <t>8.93亿</t>
  </si>
  <si>
    <t>3.64亿</t>
  </si>
  <si>
    <t>3.51亿</t>
  </si>
  <si>
    <t>12.80亿</t>
  </si>
  <si>
    <t>4.92亿</t>
  </si>
  <si>
    <t>5.91亿</t>
  </si>
  <si>
    <t>10.38亿</t>
  </si>
  <si>
    <t>6.15亿</t>
  </si>
  <si>
    <t>11.13亿</t>
  </si>
  <si>
    <t>2.00亿</t>
  </si>
  <si>
    <t>7.55亿</t>
  </si>
  <si>
    <t>6.26亿</t>
  </si>
  <si>
    <t>1.09亿</t>
  </si>
  <si>
    <t>7.27亿</t>
  </si>
  <si>
    <t>319.40万</t>
  </si>
  <si>
    <t>SZ000858</t>
  </si>
  <si>
    <t>五 粮 液</t>
  </si>
  <si>
    <t>2450.64万</t>
  </si>
  <si>
    <t>SH600809</t>
  </si>
  <si>
    <t>山西汾酒</t>
  </si>
  <si>
    <t>667.58万</t>
  </si>
  <si>
    <t>SZ000568</t>
  </si>
  <si>
    <t>泸州老窖</t>
  </si>
  <si>
    <t>1207.22万</t>
  </si>
  <si>
    <t>SZ002304</t>
  </si>
  <si>
    <t>洋河股份</t>
  </si>
  <si>
    <t>1041.53万</t>
  </si>
  <si>
    <t>SZ000596</t>
  </si>
  <si>
    <t>古井贡酒</t>
  </si>
  <si>
    <t>219.03万</t>
  </si>
  <si>
    <t>SH603369</t>
  </si>
  <si>
    <t>今世缘</t>
  </si>
  <si>
    <t>912.71万</t>
  </si>
  <si>
    <t>SH600702</t>
  </si>
  <si>
    <t>舍得酒业</t>
  </si>
  <si>
    <t>552.28万</t>
  </si>
  <si>
    <t>SH603198</t>
  </si>
  <si>
    <t>迎驾贡酒</t>
  </si>
  <si>
    <t>837.79万</t>
  </si>
  <si>
    <t>SZ000799</t>
  </si>
  <si>
    <t>酒鬼酒</t>
  </si>
  <si>
    <t>763.76万</t>
  </si>
  <si>
    <t>SH600779</t>
  </si>
  <si>
    <t>水井坊</t>
  </si>
  <si>
    <t>768.31万</t>
  </si>
  <si>
    <t>SH603589</t>
  </si>
  <si>
    <t>口子窖</t>
  </si>
  <si>
    <t>1069.54万</t>
  </si>
  <si>
    <t>SH600559</t>
  </si>
  <si>
    <t>老白干酒</t>
  </si>
  <si>
    <t>1666.68万</t>
  </si>
  <si>
    <t>SZ000860</t>
  </si>
  <si>
    <t>顺鑫农业</t>
  </si>
  <si>
    <t>1630.77万</t>
  </si>
  <si>
    <t>SH600199</t>
  </si>
  <si>
    <t>金种子酒</t>
  </si>
  <si>
    <t>1604.98万</t>
  </si>
  <si>
    <t>SH603919</t>
  </si>
  <si>
    <t>金徽酒</t>
  </si>
  <si>
    <t>780.50万</t>
  </si>
  <si>
    <t>SH600197</t>
  </si>
  <si>
    <t>伊力特</t>
  </si>
  <si>
    <t>1474.58万</t>
  </si>
  <si>
    <t>SH600696</t>
  </si>
  <si>
    <t>岩石股份</t>
  </si>
  <si>
    <t>182.47万</t>
  </si>
  <si>
    <t>SZ002646</t>
  </si>
  <si>
    <t>天佑德酒</t>
  </si>
  <si>
    <t>2558.10万</t>
  </si>
  <si>
    <t>SZ000995</t>
  </si>
  <si>
    <t>*ST皇台</t>
  </si>
  <si>
    <t>225.15万</t>
  </si>
  <si>
    <t>343.10亿</t>
  </si>
  <si>
    <t>2134.47亿</t>
  </si>
  <si>
    <t>87160233000亿</t>
  </si>
  <si>
    <t>278.91亿</t>
  </si>
  <si>
    <t>24.06亿</t>
  </si>
  <si>
    <t>55.69亿</t>
  </si>
  <si>
    <t>47880000亿</t>
  </si>
  <si>
    <t>4907.85万</t>
  </si>
  <si>
    <t>44393232000亿</t>
  </si>
  <si>
    <t>581.45亿</t>
  </si>
  <si>
    <t>210606790000亿</t>
  </si>
  <si>
    <t>31.59亿</t>
  </si>
  <si>
    <t>15.00亿</t>
  </si>
  <si>
    <t>340.01亿</t>
  </si>
  <si>
    <t>94.05亿</t>
  </si>
  <si>
    <t>-26.71亿</t>
  </si>
  <si>
    <t>-298.65亿</t>
  </si>
  <si>
    <t>576.17亿</t>
  </si>
  <si>
    <t>746.42亿</t>
  </si>
  <si>
    <t>490.87亿</t>
  </si>
  <si>
    <t>297.94亿</t>
  </si>
  <si>
    <t>372.66亿</t>
  </si>
  <si>
    <t>246.54亿</t>
  </si>
  <si>
    <t>10派216.75元(含税)</t>
  </si>
  <si>
    <t>白酒</t>
  </si>
  <si>
    <t>1255.62万</t>
  </si>
  <si>
    <t>8356.38万</t>
  </si>
  <si>
    <t>公司主要业务是茅台酒及系列酒的生产与销售。主导产品“贵州茅台酒”是世界三大蒸馏名酒之一，也是集国家地理标志产品、有机食品和国家非物质文化遗产于一身的白酒品牌。
市值23704.452亿, 利润524.60亿; PE39.78, PB11.47; ROIC29.46%; ROE31.4667%; 股利率1.1486%; 毛利91.6067%; 净利52.5467%; 上一年度营收增11.71%, 利润增12.34%; 当季营收增15.61%, 利润增15.81%; 过往5年营收增23.74%, 利润增26.94%
Income profile:
茅台酒 934.65亿 88.02% 90.41% 94.03%
其他系列酒 125.95亿 11.86% 9.55% 73.69%</t>
  </si>
  <si>
    <t>249.97亿</t>
  </si>
  <si>
    <t>1096.88亿</t>
  </si>
  <si>
    <t>55779687000亿</t>
  </si>
  <si>
    <t>662.09亿</t>
  </si>
  <si>
    <t>233.77亿</t>
  </si>
  <si>
    <t>280.22亿</t>
  </si>
  <si>
    <t>134.02亿</t>
  </si>
  <si>
    <t>22.31亿</t>
  </si>
  <si>
    <t>43946946亿</t>
  </si>
  <si>
    <t>2844.43万</t>
  </si>
  <si>
    <t>20019304000亿</t>
  </si>
  <si>
    <t>793.26亿</t>
  </si>
  <si>
    <t>127395739亿</t>
  </si>
  <si>
    <t>252.61亿</t>
  </si>
  <si>
    <t>120127783000亿</t>
  </si>
  <si>
    <t>35.61亿</t>
  </si>
  <si>
    <t>8.58亿</t>
  </si>
  <si>
    <t>76.12亿</t>
  </si>
  <si>
    <t>1654.94万</t>
  </si>
  <si>
    <t>246.26亿</t>
  </si>
  <si>
    <t>107.85亿</t>
  </si>
  <si>
    <t>-14.90亿</t>
  </si>
  <si>
    <t>-129.36亿</t>
  </si>
  <si>
    <t>573.21亿</t>
  </si>
  <si>
    <t>501.18亿</t>
  </si>
  <si>
    <t>400.30亿</t>
  </si>
  <si>
    <t>301.87亿</t>
  </si>
  <si>
    <t>245.44亿</t>
  </si>
  <si>
    <t>199.55亿</t>
  </si>
  <si>
    <t>174.02亿</t>
  </si>
  <si>
    <t>133.84亿</t>
  </si>
  <si>
    <t>96.74亿</t>
  </si>
  <si>
    <t>67.85亿</t>
  </si>
  <si>
    <t>412.22亿</t>
  </si>
  <si>
    <t>497.21亿</t>
  </si>
  <si>
    <t>367.52亿</t>
  </si>
  <si>
    <t>150.99亿</t>
  </si>
  <si>
    <t>173.27亿</t>
  </si>
  <si>
    <t>132.00亿</t>
  </si>
  <si>
    <t>10派30.23元(含税)</t>
  </si>
  <si>
    <t>6.90亿</t>
  </si>
  <si>
    <t>公司是以五粮液及其系列酒的生产、销售为主要产业,同时生产经营精密塑胶制品、大中小高精尖注射和冲压模具现代制造产业,以及生物工程为发展产业,药业工业、印刷业、电子器件产业、物流运输和相关的服务业的具有深厚企业文化的现代化企业集团。
市值7708.0972亿, 利润233.77亿; PE29.6, PB7.18; ROIC24.13%; ROE25.1667%; 股利率1.5223%; 毛利75.18%; 净利37.1%; 上一年度营收增15.51%, 利润增17.15%; 当季营收增12.25%, 利润增18.5%; 过往5年营收增22.14%, 利润增28.55%
Income profile:
酒类 617.32亿 93.24% 99.35% 80.29%
塑料制品 25.09亿 3.79% 0.23% 4.59%
其他 12.38亿 1.87% 0.21% 8.32%</t>
  </si>
  <si>
    <t>128.38亿</t>
  </si>
  <si>
    <t>206.12亿</t>
  </si>
  <si>
    <t>22144006000亿</t>
  </si>
  <si>
    <t>199.71亿</t>
  </si>
  <si>
    <t>53.14亿</t>
  </si>
  <si>
    <t>127.45亿</t>
  </si>
  <si>
    <t>52.00亿</t>
  </si>
  <si>
    <t>30.55亿</t>
  </si>
  <si>
    <t>8.07亿</t>
  </si>
  <si>
    <t>2403.73万</t>
  </si>
  <si>
    <t>149726090亿</t>
  </si>
  <si>
    <t>451.76万</t>
  </si>
  <si>
    <t>7102001500亿</t>
  </si>
  <si>
    <t>41.32亿</t>
  </si>
  <si>
    <t>2076680亿</t>
  </si>
  <si>
    <t>27793538000亿</t>
  </si>
  <si>
    <t>7.81亿</t>
  </si>
  <si>
    <t>20.35亿</t>
  </si>
  <si>
    <t>127.36亿</t>
  </si>
  <si>
    <t>81.41亿</t>
  </si>
  <si>
    <t>-78.14亿</t>
  </si>
  <si>
    <t>-21.87亿</t>
  </si>
  <si>
    <t>139.90亿</t>
  </si>
  <si>
    <t>118.93亿</t>
  </si>
  <si>
    <t>94.44亿</t>
  </si>
  <si>
    <t>63.61亿</t>
  </si>
  <si>
    <t>44.05亿</t>
  </si>
  <si>
    <t>30.79亿</t>
  </si>
  <si>
    <t>15.07亿</t>
  </si>
  <si>
    <t>9.52亿</t>
  </si>
  <si>
    <t>153.34亿</t>
  </si>
  <si>
    <t>172.57亿</t>
  </si>
  <si>
    <t>121.19亿</t>
  </si>
  <si>
    <t>50.13亿</t>
  </si>
  <si>
    <t>48.79亿</t>
  </si>
  <si>
    <t>35.44亿</t>
  </si>
  <si>
    <t>10派18元(含税)</t>
  </si>
  <si>
    <t>2578.19万</t>
  </si>
  <si>
    <t>114.97亿</t>
  </si>
  <si>
    <t>319.76亿</t>
  </si>
  <si>
    <t>17524835000亿</t>
  </si>
  <si>
    <t>206.42亿</t>
  </si>
  <si>
    <t>79.56亿</t>
  </si>
  <si>
    <t>66.72亿</t>
  </si>
  <si>
    <t>8.31亿</t>
  </si>
  <si>
    <t>9389.23万</t>
  </si>
  <si>
    <t>65877711亿</t>
  </si>
  <si>
    <t>1609.27万</t>
  </si>
  <si>
    <t>8167241100亿</t>
  </si>
  <si>
    <t>136.84亿</t>
  </si>
  <si>
    <t>2635635亿</t>
  </si>
  <si>
    <t>26784348000亿</t>
  </si>
  <si>
    <t>6.47亿</t>
  </si>
  <si>
    <t>73.66亿</t>
  </si>
  <si>
    <t>24.80亿</t>
  </si>
  <si>
    <t>63.12亿</t>
  </si>
  <si>
    <t>-18.19亿</t>
  </si>
  <si>
    <t>-42.56亿</t>
  </si>
  <si>
    <t>166.53亿</t>
  </si>
  <si>
    <t>158.17亿</t>
  </si>
  <si>
    <t>130.55亿</t>
  </si>
  <si>
    <t>103.95亿</t>
  </si>
  <si>
    <t>86.27亿</t>
  </si>
  <si>
    <t>60.06亿</t>
  </si>
  <si>
    <t>46.42亿</t>
  </si>
  <si>
    <t>34.86亿</t>
  </si>
  <si>
    <t>19.57亿</t>
  </si>
  <si>
    <t>116.64亿</t>
  </si>
  <si>
    <t>141.10亿</t>
  </si>
  <si>
    <t>93.17亿</t>
  </si>
  <si>
    <t>55.32亿</t>
  </si>
  <si>
    <t>62.76亿</t>
  </si>
  <si>
    <t>42.26亿</t>
  </si>
  <si>
    <t>10派32.44元(含税)</t>
  </si>
  <si>
    <t>4264.91万</t>
  </si>
  <si>
    <t>2.97亿</t>
  </si>
  <si>
    <t>141.15亿</t>
  </si>
  <si>
    <t>471.53亿</t>
  </si>
  <si>
    <t>26482625000亿</t>
  </si>
  <si>
    <t>253.50亿</t>
  </si>
  <si>
    <t>75.08亿</t>
  </si>
  <si>
    <t>146.06亿</t>
  </si>
  <si>
    <t>67.43亿</t>
  </si>
  <si>
    <t>25.43亿</t>
  </si>
  <si>
    <t>15.55亿</t>
  </si>
  <si>
    <t>1.52亿</t>
  </si>
  <si>
    <t>371855320亿</t>
  </si>
  <si>
    <t>1566.96万</t>
  </si>
  <si>
    <t>8843227100亿</t>
  </si>
  <si>
    <t>188.78亿</t>
  </si>
  <si>
    <t>788252亿</t>
  </si>
  <si>
    <t>44790253000亿</t>
  </si>
  <si>
    <t>13.45亿</t>
  </si>
  <si>
    <t>135.58亿</t>
  </si>
  <si>
    <t>-9.56亿</t>
  </si>
  <si>
    <t>32.13亿</t>
  </si>
  <si>
    <t>-45.07亿</t>
  </si>
  <si>
    <t>211.01亿</t>
  </si>
  <si>
    <t>231.26亿</t>
  </si>
  <si>
    <t>241.60亿</t>
  </si>
  <si>
    <t>199.18亿</t>
  </si>
  <si>
    <t>171.83亿</t>
  </si>
  <si>
    <t>74.82亿</t>
  </si>
  <si>
    <t>73.83亿</t>
  </si>
  <si>
    <t>81.15亿</t>
  </si>
  <si>
    <t>66.27亿</t>
  </si>
  <si>
    <t>58.27亿</t>
  </si>
  <si>
    <t>189.08亿</t>
  </si>
  <si>
    <t>219.42亿</t>
  </si>
  <si>
    <t>155.43亿</t>
  </si>
  <si>
    <t>68.93亿</t>
  </si>
  <si>
    <t>72.13亿</t>
  </si>
  <si>
    <t>56.61亿</t>
  </si>
  <si>
    <t>10派30元(含税)</t>
  </si>
  <si>
    <t>3955.16万</t>
  </si>
  <si>
    <t>120.04亿</t>
  </si>
  <si>
    <t>188.05亿</t>
  </si>
  <si>
    <t>12764649500亿</t>
  </si>
  <si>
    <t>132.70亿</t>
  </si>
  <si>
    <t>22.98亿</t>
  </si>
  <si>
    <t>91.54亿</t>
  </si>
  <si>
    <t>30.12亿</t>
  </si>
  <si>
    <t>36.24亿</t>
  </si>
  <si>
    <t>7.34亿</t>
  </si>
  <si>
    <t>2783.74万</t>
  </si>
  <si>
    <t>-21522470亿</t>
  </si>
  <si>
    <t>3932.19万</t>
  </si>
  <si>
    <t>2578161000亿</t>
  </si>
  <si>
    <t>170.34亿</t>
  </si>
  <si>
    <t>61078319亿</t>
  </si>
  <si>
    <t>24294922000亿</t>
  </si>
  <si>
    <t>20.68亿</t>
  </si>
  <si>
    <t>3002.90万</t>
  </si>
  <si>
    <t>3860.00万</t>
  </si>
  <si>
    <t>13.33亿</t>
  </si>
  <si>
    <t>116.17亿</t>
  </si>
  <si>
    <t>8384.99万</t>
  </si>
  <si>
    <t>50.63亿</t>
  </si>
  <si>
    <t>44.21亿</t>
  </si>
  <si>
    <t>-12.44亿</t>
  </si>
  <si>
    <t>102.92亿</t>
  </si>
  <si>
    <t>104.17亿</t>
  </si>
  <si>
    <t>86.86亿</t>
  </si>
  <si>
    <t>60.17亿</t>
  </si>
  <si>
    <t>18.55亿</t>
  </si>
  <si>
    <t>16.95亿</t>
  </si>
  <si>
    <t>8.30亿</t>
  </si>
  <si>
    <t>90.02亿</t>
  </si>
  <si>
    <t>101.02亿</t>
  </si>
  <si>
    <t>70.07亿</t>
  </si>
  <si>
    <t>19.19亿</t>
  </si>
  <si>
    <t>10派22元(含税)</t>
  </si>
  <si>
    <t>863.19万</t>
  </si>
  <si>
    <t>5521.39万</t>
  </si>
  <si>
    <t>57.07亿</t>
  </si>
  <si>
    <t>106.43亿</t>
  </si>
  <si>
    <t>6516195800亿</t>
  </si>
  <si>
    <t>64.08亿</t>
  </si>
  <si>
    <t>20.29亿</t>
  </si>
  <si>
    <t>38.12亿</t>
  </si>
  <si>
    <t>16.60亿</t>
  </si>
  <si>
    <t>9.31亿</t>
  </si>
  <si>
    <t>1.96亿</t>
  </si>
  <si>
    <t>1550.02万</t>
  </si>
  <si>
    <t>62057990亿</t>
  </si>
  <si>
    <t>136.56万</t>
  </si>
  <si>
    <t>2072100900亿</t>
  </si>
  <si>
    <t>43.74亿</t>
  </si>
  <si>
    <t>64274905亿</t>
  </si>
  <si>
    <t>10176551500亿</t>
  </si>
  <si>
    <t>12.76亿</t>
  </si>
  <si>
    <t>4.00亿</t>
  </si>
  <si>
    <t>5.84亿</t>
  </si>
  <si>
    <t>55.63亿</t>
  </si>
  <si>
    <t>22.00亿</t>
  </si>
  <si>
    <t>-13.31亿</t>
  </si>
  <si>
    <t>51.22亿</t>
  </si>
  <si>
    <t>48.70亿</t>
  </si>
  <si>
    <t>37.36亿</t>
  </si>
  <si>
    <t>29.52亿</t>
  </si>
  <si>
    <t>25.54亿</t>
  </si>
  <si>
    <t>15.67亿</t>
  </si>
  <si>
    <t>14.58亿</t>
  </si>
  <si>
    <t>8.96亿</t>
  </si>
  <si>
    <t>46.46亿</t>
  </si>
  <si>
    <t>53.33亿</t>
  </si>
  <si>
    <t>38.51亿</t>
  </si>
  <si>
    <t>16.18亿</t>
  </si>
  <si>
    <t>16.99亿</t>
  </si>
  <si>
    <t>13.35亿</t>
  </si>
  <si>
    <t>10派5.9元(含税)</t>
  </si>
  <si>
    <t>5742.30万</t>
  </si>
  <si>
    <t>32.85亿</t>
  </si>
  <si>
    <t>59.64亿</t>
  </si>
  <si>
    <t>4616656000亿</t>
  </si>
  <si>
    <t>49.69亿</t>
  </si>
  <si>
    <t>12.46亿</t>
  </si>
  <si>
    <t>30.54亿</t>
  </si>
  <si>
    <t>10.00亿</t>
  </si>
  <si>
    <t>8.22亿</t>
  </si>
  <si>
    <t>2356.22万</t>
  </si>
  <si>
    <t>39445219亿</t>
  </si>
  <si>
    <t>1109.82万</t>
  </si>
  <si>
    <t>1158676270亿</t>
  </si>
  <si>
    <t>24.29亿</t>
  </si>
  <si>
    <t>123056677亿</t>
  </si>
  <si>
    <t>5162.47万</t>
  </si>
  <si>
    <t>7410850900亿</t>
  </si>
  <si>
    <t>2.86亿</t>
  </si>
  <si>
    <t>269.38万</t>
  </si>
  <si>
    <t>31.69亿</t>
  </si>
  <si>
    <t>10.57亿</t>
  </si>
  <si>
    <t>-3.01亿</t>
  </si>
  <si>
    <t>-2.71亿</t>
  </si>
  <si>
    <t>27.04亿</t>
  </si>
  <si>
    <t>26.50亿</t>
  </si>
  <si>
    <t>22.12亿</t>
  </si>
  <si>
    <t>16.38亿</t>
  </si>
  <si>
    <t>8019.90万</t>
  </si>
  <si>
    <t>30.25亿</t>
  </si>
  <si>
    <t>36.07亿</t>
  </si>
  <si>
    <t>23.91亿</t>
  </si>
  <si>
    <t>8.36亿</t>
  </si>
  <si>
    <t>9.70亿</t>
  </si>
  <si>
    <t>7.35亿</t>
  </si>
  <si>
    <t>10派8元(含税)</t>
  </si>
  <si>
    <t>3331.82万</t>
  </si>
  <si>
    <t>64.82亿</t>
  </si>
  <si>
    <t>3892269000亿</t>
  </si>
  <si>
    <t>45.77亿</t>
  </si>
  <si>
    <t>13.82亿</t>
  </si>
  <si>
    <t>23.28亿</t>
  </si>
  <si>
    <t>2930.35万</t>
  </si>
  <si>
    <t>58220130亿</t>
  </si>
  <si>
    <t>189.46万</t>
  </si>
  <si>
    <t>1172444250亿</t>
  </si>
  <si>
    <t>49099235亿</t>
  </si>
  <si>
    <t>6709997200亿</t>
  </si>
  <si>
    <t>5.53亿</t>
  </si>
  <si>
    <t>23.03亿</t>
  </si>
  <si>
    <t>8.34亿</t>
  </si>
  <si>
    <t>-8140.35万</t>
  </si>
  <si>
    <t>-8.03亿</t>
  </si>
  <si>
    <t>37.77亿</t>
  </si>
  <si>
    <t>34.89亿</t>
  </si>
  <si>
    <t>31.38亿</t>
  </si>
  <si>
    <t>30.38亿</t>
  </si>
  <si>
    <t>9.53亿</t>
  </si>
  <si>
    <t>9.30亿</t>
  </si>
  <si>
    <t>7.79亿</t>
  </si>
  <si>
    <t>25.30亿</t>
  </si>
  <si>
    <t>32.06亿</t>
  </si>
  <si>
    <t>21.01亿</t>
  </si>
  <si>
    <t>5.89亿</t>
  </si>
  <si>
    <t>10派9元(含税)</t>
  </si>
  <si>
    <t>4425.04万</t>
  </si>
  <si>
    <t>40.75亿</t>
  </si>
  <si>
    <t>3485834100亿</t>
  </si>
  <si>
    <t>34.14亿</t>
  </si>
  <si>
    <t>21.87亿</t>
  </si>
  <si>
    <t>8.49亿</t>
  </si>
  <si>
    <t>457.36万</t>
  </si>
  <si>
    <t>247001亿</t>
  </si>
  <si>
    <t>333.33万</t>
  </si>
  <si>
    <t>970027440亿</t>
  </si>
  <si>
    <t>33.10亿</t>
  </si>
  <si>
    <t>87129亿</t>
  </si>
  <si>
    <t>4756976500亿</t>
  </si>
  <si>
    <t>1085.80万</t>
  </si>
  <si>
    <t>2.50亿</t>
  </si>
  <si>
    <t>14.46万</t>
  </si>
  <si>
    <t>16.24亿</t>
  </si>
  <si>
    <t>-1.69亿</t>
  </si>
  <si>
    <t>-4.22亿</t>
  </si>
  <si>
    <t>18.26亿</t>
  </si>
  <si>
    <t>15.12亿</t>
  </si>
  <si>
    <t>11.87亿</t>
  </si>
  <si>
    <t>2.99亿</t>
  </si>
  <si>
    <t>26.40亿</t>
  </si>
  <si>
    <t>17.14亿</t>
  </si>
  <si>
    <t>7.18亿</t>
  </si>
  <si>
    <t>5.10亿</t>
  </si>
  <si>
    <t>10派13元(含税)</t>
  </si>
  <si>
    <t>4960.46万</t>
  </si>
  <si>
    <t>33.04亿</t>
  </si>
  <si>
    <t>32.91亿</t>
  </si>
  <si>
    <t>3770769800亿</t>
  </si>
  <si>
    <t>23.83亿</t>
  </si>
  <si>
    <t>5.79亿</t>
  </si>
  <si>
    <t>9.21亿</t>
  </si>
  <si>
    <t>2.61亿</t>
  </si>
  <si>
    <t>1696.40万</t>
  </si>
  <si>
    <t>123.88万</t>
  </si>
  <si>
    <t>1025112930亿</t>
  </si>
  <si>
    <t>19.38亿</t>
  </si>
  <si>
    <t>8263146亿</t>
  </si>
  <si>
    <t>4241392600亿</t>
  </si>
  <si>
    <t>12.87亿</t>
  </si>
  <si>
    <t>4775.26万</t>
  </si>
  <si>
    <t>32.77亿</t>
  </si>
  <si>
    <t>-7.25亿</t>
  </si>
  <si>
    <t>30.06亿</t>
  </si>
  <si>
    <t>35.39亿</t>
  </si>
  <si>
    <t>28.19亿</t>
  </si>
  <si>
    <t>20.48亿</t>
  </si>
  <si>
    <t>11.76亿</t>
  </si>
  <si>
    <t>20.74亿</t>
  </si>
  <si>
    <t>34.23亿</t>
  </si>
  <si>
    <t>18.37亿</t>
  </si>
  <si>
    <t>10派7.5元(含税)</t>
  </si>
  <si>
    <t>4371.24万</t>
  </si>
  <si>
    <t>21.53亿</t>
  </si>
  <si>
    <t>85.56亿</t>
  </si>
  <si>
    <t>3761830900亿</t>
  </si>
  <si>
    <t>50.29亿</t>
  </si>
  <si>
    <t>17.27亿</t>
  </si>
  <si>
    <t>1160.80万</t>
  </si>
  <si>
    <t>23567490亿</t>
  </si>
  <si>
    <t>106.96万</t>
  </si>
  <si>
    <t>1180962910亿</t>
  </si>
  <si>
    <t>3093846亿</t>
  </si>
  <si>
    <t>6027916100亿</t>
  </si>
  <si>
    <t>14.87亿</t>
  </si>
  <si>
    <t>19.95亿</t>
  </si>
  <si>
    <t>5090.24万</t>
  </si>
  <si>
    <t>-9455.40万</t>
  </si>
  <si>
    <t>-8.95亿</t>
  </si>
  <si>
    <t>40.11亿</t>
  </si>
  <si>
    <t>46.72亿</t>
  </si>
  <si>
    <t>42.69亿</t>
  </si>
  <si>
    <t>28.30亿</t>
  </si>
  <si>
    <t>17.20亿</t>
  </si>
  <si>
    <t>15.33亿</t>
  </si>
  <si>
    <t>11.14亿</t>
  </si>
  <si>
    <t>22.97亿</t>
  </si>
  <si>
    <t>36.29亿</t>
  </si>
  <si>
    <t>22.43亿</t>
  </si>
  <si>
    <t>11.50亿</t>
  </si>
  <si>
    <t>6.87亿</t>
  </si>
  <si>
    <t>10派15元(含税)</t>
  </si>
  <si>
    <t>6025.53万</t>
  </si>
  <si>
    <t>48.53亿</t>
  </si>
  <si>
    <t>41.53亿</t>
  </si>
  <si>
    <t>3455330700亿</t>
  </si>
  <si>
    <t>40.27亿</t>
  </si>
  <si>
    <t>30.41亿</t>
  </si>
  <si>
    <t>10.60亿</t>
  </si>
  <si>
    <t>767.45万</t>
  </si>
  <si>
    <t>19794904亿</t>
  </si>
  <si>
    <t>757.70万</t>
  </si>
  <si>
    <t>316059730亿</t>
  </si>
  <si>
    <t>15.32亿</t>
  </si>
  <si>
    <t>26358433亿</t>
  </si>
  <si>
    <t>5451184900亿</t>
  </si>
  <si>
    <t>46.96亿</t>
  </si>
  <si>
    <t>7.45亿</t>
  </si>
  <si>
    <t>-4420.13万</t>
  </si>
  <si>
    <t>-1.75亿</t>
  </si>
  <si>
    <t>35.98亿</t>
  </si>
  <si>
    <t>40.30亿</t>
  </si>
  <si>
    <t>35.83亿</t>
  </si>
  <si>
    <t>25.35亿</t>
  </si>
  <si>
    <t>24.38亿</t>
  </si>
  <si>
    <t>3.50亿</t>
  </si>
  <si>
    <t>1.11亿</t>
  </si>
  <si>
    <t>20.26亿</t>
  </si>
  <si>
    <t>27.69亿</t>
  </si>
  <si>
    <t>10派1.5元(含税)</t>
  </si>
  <si>
    <t>9394.99万</t>
  </si>
  <si>
    <t>105.71亿</t>
  </si>
  <si>
    <t>77.85亿</t>
  </si>
  <si>
    <t>9106435800亿</t>
  </si>
  <si>
    <t>148.69亿</t>
  </si>
  <si>
    <t>88.58亿</t>
  </si>
  <si>
    <t>62.99亿</t>
  </si>
  <si>
    <t>7.71亿</t>
  </si>
  <si>
    <t>6.31亿</t>
  </si>
  <si>
    <t>1656.09万</t>
  </si>
  <si>
    <t>32.63万</t>
  </si>
  <si>
    <t>29522799亿</t>
  </si>
  <si>
    <t>69.39亿</t>
  </si>
  <si>
    <t>25954757亿</t>
  </si>
  <si>
    <t>13300548100亿</t>
  </si>
  <si>
    <t>4.76亿</t>
  </si>
  <si>
    <t>12.09亿</t>
  </si>
  <si>
    <t>5426.57万</t>
  </si>
  <si>
    <t>69.86亿</t>
  </si>
  <si>
    <t>30.57亿</t>
  </si>
  <si>
    <t>-7.01亿</t>
  </si>
  <si>
    <t>5574.90万</t>
  </si>
  <si>
    <t>155.11亿</t>
  </si>
  <si>
    <t>149.00亿</t>
  </si>
  <si>
    <t>120.74亿</t>
  </si>
  <si>
    <t>117.34亿</t>
  </si>
  <si>
    <t>111.97亿</t>
  </si>
  <si>
    <t>65.19亿</t>
  </si>
  <si>
    <t>116.11亿</t>
  </si>
  <si>
    <t>91.91亿</t>
  </si>
  <si>
    <t>3997.78万</t>
  </si>
  <si>
    <t>10派0.25元(含税)</t>
  </si>
  <si>
    <t>5408.24万</t>
  </si>
  <si>
    <t>26.11亿</t>
  </si>
  <si>
    <t>814610410亿</t>
  </si>
  <si>
    <t>12.11亿</t>
  </si>
  <si>
    <t>-1.66亿</t>
  </si>
  <si>
    <t>9.64亿</t>
  </si>
  <si>
    <t>8788.18万</t>
  </si>
  <si>
    <t>1236.52万</t>
  </si>
  <si>
    <t>2492411亿</t>
  </si>
  <si>
    <t>362.56万</t>
  </si>
  <si>
    <t>-153619350亿</t>
  </si>
  <si>
    <t>4.89亿</t>
  </si>
  <si>
    <t>150964550亿</t>
  </si>
  <si>
    <t>2092156900亿</t>
  </si>
  <si>
    <t>104.47万</t>
  </si>
  <si>
    <t>-4.51亿</t>
  </si>
  <si>
    <t>5249.47万</t>
  </si>
  <si>
    <t>4290.04万</t>
  </si>
  <si>
    <t>9.14亿</t>
  </si>
  <si>
    <t>12.90亿</t>
  </si>
  <si>
    <t>14.36亿</t>
  </si>
  <si>
    <t>6940.61万</t>
  </si>
  <si>
    <t>-2.04亿</t>
  </si>
  <si>
    <t>818.98万</t>
  </si>
  <si>
    <t>1701.93万</t>
  </si>
  <si>
    <t>-5508.02万</t>
  </si>
  <si>
    <t>-1.44亿</t>
  </si>
  <si>
    <t>-9771.96万</t>
  </si>
  <si>
    <t>不分配不转增</t>
  </si>
  <si>
    <t>8376.72万</t>
  </si>
  <si>
    <t>30.84亿</t>
  </si>
  <si>
    <t>1561278000亿</t>
  </si>
  <si>
    <t>17.88亿</t>
  </si>
  <si>
    <t>12.92亿</t>
  </si>
  <si>
    <t>2790.42万</t>
  </si>
  <si>
    <t>-434915亿</t>
  </si>
  <si>
    <t>130.26万</t>
  </si>
  <si>
    <t>215863130亿</t>
  </si>
  <si>
    <t>9990295亿</t>
  </si>
  <si>
    <t>61.09万</t>
  </si>
  <si>
    <t>2108063100亿</t>
  </si>
  <si>
    <t>1665.08万</t>
  </si>
  <si>
    <t>5705.67万</t>
  </si>
  <si>
    <t>3671.61万</t>
  </si>
  <si>
    <t>-3708.15万</t>
  </si>
  <si>
    <t>-5454.05万</t>
  </si>
  <si>
    <t>17.31亿</t>
  </si>
  <si>
    <t>16.34亿</t>
  </si>
  <si>
    <t>13.41亿</t>
  </si>
  <si>
    <t>9.72亿</t>
  </si>
  <si>
    <t>2.12亿</t>
  </si>
  <si>
    <t>10派2.2元(含税)</t>
  </si>
  <si>
    <t>5625.70万</t>
  </si>
  <si>
    <t>37.62亿</t>
  </si>
  <si>
    <t>1306534820亿</t>
  </si>
  <si>
    <t>10.90亿</t>
  </si>
  <si>
    <t>5100.81万</t>
  </si>
  <si>
    <t>874.36万</t>
  </si>
  <si>
    <t>1870722亿</t>
  </si>
  <si>
    <t>149.49万</t>
  </si>
  <si>
    <t>141817700亿</t>
  </si>
  <si>
    <t>186031920亿</t>
  </si>
  <si>
    <t>3186.40万</t>
  </si>
  <si>
    <t>2774583700亿</t>
  </si>
  <si>
    <t>7186.54万</t>
  </si>
  <si>
    <t>200.00万</t>
  </si>
  <si>
    <t>8.99亿</t>
  </si>
  <si>
    <t>-1.42亿</t>
  </si>
  <si>
    <t>7491.92万</t>
  </si>
  <si>
    <t>18.02亿</t>
  </si>
  <si>
    <t>23.02亿</t>
  </si>
  <si>
    <t>21.24亿</t>
  </si>
  <si>
    <t>16.93亿</t>
  </si>
  <si>
    <t>4.28亿</t>
  </si>
  <si>
    <t>10派4.1元(含税)</t>
  </si>
  <si>
    <t>8149.54万</t>
  </si>
  <si>
    <t>786545530亿</t>
  </si>
  <si>
    <t>6.03亿</t>
  </si>
  <si>
    <t>6192.82万</t>
  </si>
  <si>
    <t>6.92亿</t>
  </si>
  <si>
    <t>6456.22万</t>
  </si>
  <si>
    <t>-3682565亿</t>
  </si>
  <si>
    <t>543.32万</t>
  </si>
  <si>
    <t>43657457亿</t>
  </si>
  <si>
    <t>25284224亿</t>
  </si>
  <si>
    <t>743000180亿</t>
  </si>
  <si>
    <t>8900.24万</t>
  </si>
  <si>
    <t>3200.00万</t>
  </si>
  <si>
    <t>6708.72万</t>
  </si>
  <si>
    <t>6.61亿</t>
  </si>
  <si>
    <t>370.84万</t>
  </si>
  <si>
    <t>-7536.49万</t>
  </si>
  <si>
    <t>7971.77万</t>
  </si>
  <si>
    <t>5045.86万</t>
  </si>
  <si>
    <t>802.19万</t>
  </si>
  <si>
    <t>1238.56万</t>
  </si>
  <si>
    <t>1922.03万</t>
  </si>
  <si>
    <t>1803.47万</t>
  </si>
  <si>
    <t>-2.46亿</t>
  </si>
  <si>
    <t>4.96亿</t>
  </si>
  <si>
    <t>3659.84万</t>
  </si>
  <si>
    <t>8255.03万</t>
  </si>
  <si>
    <t>3483.01万</t>
  </si>
  <si>
    <t>1127.37万</t>
  </si>
  <si>
    <t>7073.66万</t>
  </si>
  <si>
    <t>790288990亿</t>
  </si>
  <si>
    <t>10.54亿</t>
  </si>
  <si>
    <t>6322.48万</t>
  </si>
  <si>
    <t>6.72亿</t>
  </si>
  <si>
    <t>980.90万</t>
  </si>
  <si>
    <t>2384999亿</t>
  </si>
  <si>
    <t>7.13万</t>
  </si>
  <si>
    <t>87571967亿</t>
  </si>
  <si>
    <t>16316448亿</t>
  </si>
  <si>
    <t>1733122100亿</t>
  </si>
  <si>
    <t>3622.37万</t>
  </si>
  <si>
    <t>6065.78万</t>
  </si>
  <si>
    <t>869.23万</t>
  </si>
  <si>
    <t>297.34万</t>
  </si>
  <si>
    <t>5225.48万</t>
  </si>
  <si>
    <t>-7921.20万</t>
  </si>
  <si>
    <t>7.64亿</t>
  </si>
  <si>
    <t>13.49亿</t>
  </si>
  <si>
    <t>13.18亿</t>
  </si>
  <si>
    <t>14.37亿</t>
  </si>
  <si>
    <t>-1.15亿</t>
  </si>
  <si>
    <t>3611.83万</t>
  </si>
  <si>
    <t>-9416.43万</t>
  </si>
  <si>
    <t>8.33亿</t>
  </si>
  <si>
    <t>9948.35万</t>
  </si>
  <si>
    <t>8536.61万</t>
  </si>
  <si>
    <t>7521.22万</t>
  </si>
  <si>
    <t>10派0.5元(含税)</t>
  </si>
  <si>
    <t>063224800</t>
  </si>
  <si>
    <t>0189674400</t>
  </si>
  <si>
    <t>0379348800</t>
  </si>
  <si>
    <t>0632248000</t>
  </si>
  <si>
    <t>01264496000</t>
  </si>
  <si>
    <t>103938943亿</t>
  </si>
  <si>
    <t>9108.81万</t>
  </si>
  <si>
    <t>-1355.48万</t>
  </si>
  <si>
    <t>9973.05万</t>
  </si>
  <si>
    <t>3698.66万</t>
  </si>
  <si>
    <t>2161.11万</t>
  </si>
  <si>
    <t>1656.75万</t>
  </si>
  <si>
    <t>39.95万</t>
  </si>
  <si>
    <t>3549649亿</t>
  </si>
  <si>
    <t>520.51万</t>
  </si>
  <si>
    <t>6740826亿</t>
  </si>
  <si>
    <t>213659680亿</t>
  </si>
  <si>
    <t>46.00万</t>
  </si>
  <si>
    <t>7104.27万</t>
  </si>
  <si>
    <t>-105.98万</t>
  </si>
  <si>
    <t>-498.79万</t>
  </si>
  <si>
    <t>61.18万</t>
  </si>
  <si>
    <t>9904.63万</t>
  </si>
  <si>
    <t>2548.34万</t>
  </si>
  <si>
    <t>4760.51万</t>
  </si>
  <si>
    <t>3348.38万</t>
  </si>
  <si>
    <t>6821.37万</t>
  </si>
  <si>
    <t>-9548.15万</t>
  </si>
  <si>
    <t>-1.18亿</t>
  </si>
  <si>
    <t>7059.82万</t>
  </si>
  <si>
    <t>3660.04万</t>
  </si>
  <si>
    <t>2524.94万</t>
  </si>
  <si>
    <t>297.31万</t>
  </si>
  <si>
    <t>-1649.58万</t>
  </si>
  <si>
    <t>-1207.39万</t>
  </si>
  <si>
    <t>1172.49万</t>
  </si>
  <si>
    <t>7296.40万</t>
  </si>
  <si>
    <t>1.酱香型白酒；</t>
    <phoneticPr fontId="1" type="noConversion"/>
  </si>
  <si>
    <t>1.浓香型白酒；</t>
    <phoneticPr fontId="1" type="noConversion"/>
  </si>
  <si>
    <t>1.清香型白酒；</t>
    <phoneticPr fontId="1" type="noConversion"/>
  </si>
  <si>
    <t>公司主要经营生产及销售汾酒、竹叶青酒及其系列酒并提供广告服务。主导产品为汾酒、竹叶青酒、玫瑰汾酒、白玉汾酒等系列。公司清香型白酒国家标准的制订者之一,主要产品汾酒是我国清香型白酒的典型代表
市值3740.2571亿, 利润53.14亿; PE49.59, PB18.51; ROIC39.11%; ROE34.85%; 股利率.5872%; 毛利73.32%; 净利24.1767%; 上一年度营收增42.75%, 利润增72.59%; 当季营收增32.54%, 利润增56.95%; 过往5年营收增35.84%, 利润增55.05%
Income profile:
汾酒 179.20亿 89.73% 91.70% 76.55%
配制酒 12.50亿 6.26% 5.32% 63.71%
系列酒 6.38亿 3.19% 2.26% 53.10%</t>
  </si>
  <si>
    <t>1.浓香型白酒；</t>
    <phoneticPr fontId="1" type="noConversion"/>
  </si>
  <si>
    <t>公司是一家以酒精及饮料酒制造为主的企业。公司产品主要有:国窖1573系列酒、泸州老窖精品特曲系列酒、百年老窖系列酒等。
市值3595.8397亿, 利润79.56亿; PE36.33, PB11.3; ROIC24.1233%; ROE28.3067%; 股利率1.3279%; 毛利83.1967%; 净利37.64%; 上一年度营收增23.95%, 利润增32.47%; 当季营收增22.28%, 利润增30.99%; 过往5年营收增19.3%, 利润增32.4%
Income profile:
中高档酒类 103.72亿 88.92% 93.53% 90.37%
其他酒类 11.77亿 10.09% 5.79% 49.31%</t>
  </si>
  <si>
    <t>公司是一家大型酿酒企业,主要从事白酒的生产与销售,公司主导产品梦之蓝、天之蓝、海之蓝、苏酒、珍宝坊、洋河大曲、双沟大曲等系列白酒，在全国享有较高的品牌知名度和美誉度。
市值2752.9657亿, 利润75.08亿; PE29.39, PB5.84; ROIC19.23%; ROE19.9867%; 股利率1.6422%; 毛利72.52%; 净利34.6333%; 上一年度营收增20.14%, 利润增.35%; 当季营收增18.37%, 利润增40.39%; 过往5年营收增8.86%, 利润增5.77%
Income profile:
白酒 184.14亿 97.39% 98.91% 75.10%
其他 3.91亿 2.07% 0.70% 24.97%
红酒 1.04亿 0.55% 0.40% 53.33%</t>
  </si>
  <si>
    <t>公司主要从事白酒的生产和销售。主要产品为公司古井贡酒、年份原浆、黄鹤楼等。是中国老八大名酒企业。
市值1560.6915亿, 利润22.98亿; PE52.88, PB8.67; ROIC18.76%; ROE22.11%; 股利率.7451%; 毛利76.49%; 净利20.19%; 上一年度营收增28.94%, 利润增23.88%; 当季营收增21.57%, 利润增19.27%; 过往5年营收增17.62%, 利润增24.41%
Income profile:
白酒业务 86.97亿 96.61% 99.27% 79.66%
其他 2.80亿 3.11% 0.60% 15.04%
酒店业务 2524.97万 0.28% 0.13% 34.64%</t>
  </si>
  <si>
    <t>公司主营业务为白酒生产和销售,现有“国缘”“今世缘”和“高沟”三大白酒品牌,其中,“国缘”“今世缘”是“中国驰名商标”,“高沟”是“中华老字号”。
市值736.51695亿, 利润20.29亿; PE30.54, PB6.92; ROIC20.8967%; ROE21.6067%; 股利率1.0049%; 毛利72.13%; 净利31.79%; 上一年度营收增25.11%, 利润增29.48%; 当季营收增26.19%, 利润增27.29%; 过往5年营收增20.56%, 利润增22.06%
Income profile:
特A+类 43.45亿 66.68%
特A类 17.06亿 26.18%
A类 2.56亿 3.92%
B类 1.18亿 1.81%
C类 6384.94万 0.98%</t>
  </si>
  <si>
    <t>公司主要从事白酒产品的生产和销售。公司主要产品为高端产品品味舍得、智慧舍得、水晶舍得、藏品舍得、藏品沱牌；中端产品沱牌天曲、沱牌特曲、沱牌优曲、陶醉；大众光瓶酒沱牌特级T68、沱牌六粮等；超高端产品天子呼、吞之乎。
市值585.25874亿, 利润12.46亿; PE39.65, PB10.14; ROIC18.6633%; ROE21.5833%; 股利率.4555%; 毛利76.7467%; 净利23.5633%; 上一年度营收增83.76%, 利润增114.46%; 当季营收增30.89%, 利润增54.91%; 过往5年营收增30.54%, 利润增78.88%
Income profile:
酒类 28.21亿 93.24% 96.91% 81.25%
玻瓶 1.83亿 6.05% 2.25% 29.09%</t>
  </si>
  <si>
    <t>公司，主要从事白酒的研发、生产和销售。主要白酒产品包括洞藏系列、金银星系列、百年迎驾系列等，洞藏系列是目前中国生态白酒的主要代表产品。
市值577.6亿, 利润13.82亿; PE35.61, PB8.98; ROIC21.2267%; ROE21.58%; 股利率1.2465%; 毛利66.5867%; 净利27.7767%; 上一年度营收增32.59%, 利润增45.02%; 当季营收增23.28%, 利润增13.35%; 过往5年营收增9.34%, 利润增16.26%
Income profile:
中高档白酒 12.38亿 78.56%
普通白酒 2.65亿 16.85%</t>
  </si>
  <si>
    <t>1.馥郁香型白酒；</t>
    <phoneticPr fontId="1" type="noConversion"/>
  </si>
  <si>
    <t>公司主要从事生产和销售白酒系列产品。公司拥有“内参”、“酒鬼”、“湘泉”三大系列产品。公司是中国白酒文化营销的先行者、中国文化酒的引领者、中国洞藏文化酒的首创者、中国馥郁香型工艺白酒的始创者、中国白酒陶瓷包装时代的开创者。
市值476.60583亿, 利润8.93亿; PE41.61, PB11.69; ROIC19.2167%; ROE19.8833%; 股利率.8863%; 毛利78.5767%; 净利25.01%; 上一年度营收增86.97%, 利润增81.5%; 当季营收增2.47%, 利润增20.95%; 过往5年营收增40.87%, 利润增53.66%
Income profile:
酒鬼系列 14.70亿 57.96% 58.28% 79.55%
内参系列 6.46亿 25.47% 29.75% 92.40%
其他系列 2.58亿 10.18% 8.76% 68.04%
湘泉系列 1.55亿 6.09% 3.01% 39.02%</t>
  </si>
  <si>
    <t>公司主营业务为白酒产品的生产与销售。公司生产的白酒产品主要有水井坊元明清、水井坊菁翠、水井坊典藏大师版、水井坊井台、水井坊臻酿八号、水井坊鸿运、水井坊梅兰竹菊、小水井、天号陈等。
市值419.01408亿, 利润11.99亿; PE33.42, PB12.73; ROIC41.29%; ROE41.9633%; 股利率.8741%; 毛利83.96%; 净利21.8367%; 上一年度营收增54.09%, 利润增64.02%; 当季营收增6.98%, 利润增9.96%; 过往5年营收增35.27%, 利润增43.38%
Income profile:
高档 19.84亿 95.67% 96.14% 85.23%
中档 6116.98万 2.95% 2.32% 66.84%
其他业务 2858.35万 1.38% 1.54% 94.71%</t>
  </si>
  <si>
    <t>1.兼香型白酒；</t>
    <phoneticPr fontId="1" type="noConversion"/>
  </si>
  <si>
    <t>公司主要从事白酒的生产和销售。公司生产的口子系列白酒是目前国内兼香型白酒的代表品牌。公司生产和销售口子窖、老口子、口子坊、口子酒等系列品牌产品。
市值370.8亿, 利润17.27亿; PE20.85, PB4.33; ROIC21.9667%; ROE22.3133%; 股利率2.4272%; 毛利75.2033%; 净利33.6033%; 上一年度营收增25.38%, 利润增35.34%; 当季营收增5.69%, 利润增-.3%; 过往5年营收增13.29%, 利润增20.32%
Income profile:
高档白酒 47.77亿 95.00% 96.65% 75.18%
中档白酒 1.01亿 2.01% 1.22% 44.78%
低档白酒 8833.68万 1.76% 0.66% 27.85%</t>
  </si>
  <si>
    <t>公司的主营业务为白酒的生产与销售。公司的主要产品为衡水老白干系列酒、承德乾隆醉系列酒、文王贡系列酒、武陵系列酒、孔府家系列酒。公司是国内白酒生产骨干企业和老白干香型中生产规模最大的企业,在华北地区具有较高的知名度、美誉度和市场占有率,生产规模和销售收入在河北省白酒行业内处于领先地位。
市值263.08136亿, 利润3.89亿; PE39.08, PB6.34; ROIC9.7333%; ROE11.0233%; 股利率.5216%; 毛利64.8033%; 净利12.2133%; 上一年度营收增11.92%, 利润增24.28%; 当季营收增27.96%, 利润增36.31%; 过往5年营收增11.8%, 利润增35.67%
Income profile:
高档酒 15.90亿 46.01%
中档酒 8.88亿 25.71%
低档酒 7.01亿 20.29%</t>
  </si>
  <si>
    <t>公司从事的主要业务为白酒酿造与销售；种猪繁育、生猪养殖、屠宰及肉制品加工；房地产开发。公司现已形成了以白酒、猪肉为主的两大产业。公司白酒产业拥有“牛栏山”和“宁诚”两大品牌
市值234.84343亿, 利润1.02亿; PE, PB3.02; ROIC6.8133%; ROE6.1067%; 股利率.079%; 毛利31.84%; 净利2.89%; 上一年度营收增-4.14%, 利润增-75.71%; 当季营收增6.92%, 利润增88.09%; 过往5年营收增6.21%, 利润增-7.83%
Income profile:
白酒 49.10亿 75.32% 100.44% 40.96%
猪肉 10.64亿 16.32% -0.59% -1.11%</t>
  </si>
  <si>
    <t>公司主要从事白酒生产；普通货运（按许可证有效期限经营）；包装材料加工、制造与销售；生产白酒所需原辅材料收购；自营和代理各种商品和技术进出口业务。
市值173.32946亿, 利润-1.66亿; PE, PB6.66; ROIC-3.1467%; ROE-4.0567%; 股利率0%; 毛利32.9467%; 净利-8.1533%; 上一年度营收增16.67%, 利润增-339.17%; 当季营收增-18.85%, 利润增-74.12%; 过往5年营收增-1.7%, 利润增117.68%
Income profile:
酒业 3.76亿 62.43% 87.69% 46.70%
药业 2.26亿 37.57% 12.31% 10.89%</t>
  </si>
  <si>
    <t>公司主要从事白酒生产及销售。本公司及旗下产品近年来先后被评为“中华老字号”、“中国驰名商标”、“中国酒文化百强企业”、“中国优质酒产品”、“中国白酒行业最具竞争力品牌”、“甘肃省数字企业建设示范单位”、“全国轻工行业先进集体”、“省级认定企业技术中心”等称号。
市值133.409379亿, 利润3.25亿; PE45.15, PB4.33; ROIC10.7033%; ROE11.8967%; 股利率.8365%; 毛利62.12%; 净利17.6633%; 上一年度营收增3.29%, 利润增-1.81%; 当季营收增-9.14%, 利润增-96.94%; 过往5年营收增7.01%, 利润增8.26%
Income profile:
高档 10.31亿 66.03%
中档 4.89亿 31.29%
其他业务 2190.98万 1.40%
低档 1981.59万 1.27%</t>
  </si>
  <si>
    <t>公司的主营业务为白酒的生产、研发和销售。公司的主要产品为高档酒系列、中档酒系列、低档酒系列。《改造和优化酿酒关键微生物提升酒质绵柔风格的研究》和《白酒储存、勾兑控制系统的自动化、信息化研究与应用》，荣获中国第二届白酒科学技术大会优秀科技成果奖。
市值121.671783亿, 利润3.13亿; PE65.42, PB3.39; ROIC10.6833%; ROE12.0833%; 股利率1.5904%; 毛利48.7733%; 净利16.8767%; 上一年度营收增7.55%, 利润增-8.48%; 当季营收增-59.92%, 利润增-78.29%; 过往5年营收增3.65%, 利润增4.23%
Income profile:
高档酒产品 7.40亿 65.34%
中档酒产品 3.24亿 28.57%
低档酒产品 5444.20万 4.80%</t>
  </si>
  <si>
    <t>上海贵酒股份有限公司是一家产供销一体化、融合经典与创新的酒业管理集团。公司聚焦酱香型白酒赛道，通过多品牌、多模式，切入多个细分市场，满足消费者需求。公司旗下品牌系列包括：定位超高端创新型酱香白酒的天青贵酿系列，为新财智人群带来全方位、高品质白酒文化体验；定位高端新势力酱香白酒的君道贵酿系列
市值84.553872亿, 利润6192.82万; PE316.9, PB16.27; ROIC6.32%; ROE7.0767%; 股利率0%; 毛利51.7567%; 净利9.9733%; 上一年度营收增656.42%, 利润增671.99%; 当季营收增29.13%, 利润增-77.57%; 过往5年营收增263.08%, 利润增143.02%
Income profile:
酱香 4.68亿 77.53% 82.22% 64.71%
果酒 6682.43万 11.08% 11.78% 64.88%
浓香 4188.31万 6.94% 5.14% 45.15%</t>
  </si>
  <si>
    <t>公司是一家以青稞为原料的酒类、葡萄酒的研发、生产和销售为主要业务的公司。其主要产品含互助、天佑德、八大作坊、永庆和等系列.公司生产的青稞酒属清香型白酒
市值79.532349亿, 利润6322.48万; PE102.4, PB2.85; ROIC.2467%; ROE-.2933%; 股利率.2971%; 毛利64.7233%; 净利.6367%; 上一年度营收增37.96%, 利润增154.98%; 当季营收增-23.11%, 利润增-96.67%; 过往5年营收增-2.82%, 利润增-51.78%
Income profile:
中高档青稞白酒 4.13亿 69.29% 80.73% 74.61%
普通青稞白酒 1.19亿 20.06% 18.17% 58.03%
其他品牌酒类产品 4541.74万 7.63%
自有品牌葡萄酒 1118.20万 1.88%</t>
  </si>
  <si>
    <t>公司的主营业务为白酒酿造与销售；葡萄酒酿造与销售；酿酒葡萄种植.公司主要产品有粮食白酒、葡萄酒等。 　　公司是武威第一家上市公司，也是甘肃省唯一一家集名优白酒、名优葡萄酒一身的上市公司
市值30.851251亿, 利润-1355.48万; PE466.1, PB23.91; ROIC40.7267%; ROE17.9767%; 股利率0%; 毛利69.3067%; 净利35.37%; 上一年度营收增-10.7%, 利润增-140.48%; 当季营收增193.73%, 利润增115.94%; 过往5年营收增32.25%, 利润增5.61%
Income profile:
粮食白酒 6695.63万 94.84% 94.29% 65.75%
葡萄酒 241.51万 3.42% 4.06% 78.46%</t>
  </si>
  <si>
    <t>SH600600</t>
  </si>
  <si>
    <t>青岛啤酒</t>
  </si>
  <si>
    <t>571.58万</t>
  </si>
  <si>
    <t>SH600132</t>
  </si>
  <si>
    <t>重庆啤酒</t>
  </si>
  <si>
    <t>537.52万</t>
  </si>
  <si>
    <t>SZ000729</t>
  </si>
  <si>
    <t>燕京啤酒</t>
  </si>
  <si>
    <t>3635.60万</t>
  </si>
  <si>
    <t>SZ002461</t>
  </si>
  <si>
    <t>珠江啤酒</t>
  </si>
  <si>
    <t>1051.86万</t>
  </si>
  <si>
    <t>SH600573</t>
  </si>
  <si>
    <t>惠泉啤酒</t>
  </si>
  <si>
    <t>911.41万</t>
  </si>
  <si>
    <t>SZ000929</t>
  </si>
  <si>
    <t>兰州黄河</t>
  </si>
  <si>
    <t>2848.09万</t>
  </si>
  <si>
    <t>SZ000752</t>
  </si>
  <si>
    <t>*ST西发</t>
  </si>
  <si>
    <t>105.36万</t>
  </si>
  <si>
    <t>224.42亿</t>
  </si>
  <si>
    <t>268.76亿</t>
  </si>
  <si>
    <t>29109843000亿</t>
  </si>
  <si>
    <t>301.67亿</t>
  </si>
  <si>
    <t>31.55亿</t>
  </si>
  <si>
    <t>241.21亿</t>
  </si>
  <si>
    <t>180.29亿</t>
  </si>
  <si>
    <t>32.24亿</t>
  </si>
  <si>
    <t>10.89亿</t>
  </si>
  <si>
    <t>1700.20万</t>
  </si>
  <si>
    <t>142726790亿</t>
  </si>
  <si>
    <t>1625.99万</t>
  </si>
  <si>
    <t>3859922700亿</t>
  </si>
  <si>
    <t>170.46亿</t>
  </si>
  <si>
    <t>130670715亿</t>
  </si>
  <si>
    <t>1040.00万</t>
  </si>
  <si>
    <t>31167553000亿</t>
  </si>
  <si>
    <t>42.74亿</t>
  </si>
  <si>
    <t>180.72亿</t>
  </si>
  <si>
    <t>59.91亿</t>
  </si>
  <si>
    <t>-42.96亿</t>
  </si>
  <si>
    <t>-16.14亿</t>
  </si>
  <si>
    <t>277.60亿</t>
  </si>
  <si>
    <t>279.84亿</t>
  </si>
  <si>
    <t>265.75亿</t>
  </si>
  <si>
    <t>262.77亿</t>
  </si>
  <si>
    <t>261.06亿</t>
  </si>
  <si>
    <t>22.01亿</t>
  </si>
  <si>
    <t>18.52亿</t>
  </si>
  <si>
    <t>14.22亿</t>
  </si>
  <si>
    <t>12.63亿</t>
  </si>
  <si>
    <t>192.73亿</t>
  </si>
  <si>
    <t>267.71亿</t>
  </si>
  <si>
    <t>182.91亿</t>
  </si>
  <si>
    <t>28.52亿</t>
  </si>
  <si>
    <t>36.11亿</t>
  </si>
  <si>
    <t>24.16亿</t>
  </si>
  <si>
    <t>10派11.0元(含税)</t>
  </si>
  <si>
    <t>啤酒</t>
  </si>
  <si>
    <t>2154.71万</t>
  </si>
  <si>
    <t>公司的主营业务为啤酒制造、销售以及与之相关的业务。公司主要产品为啤酒，公司拥有的“青岛啤酒”品牌是我国首批十大驰名商标之一，在国内外市场具有强大的品牌影响力和较高的知名度
市值1490.0151亿, 利润31.55亿; PE39.09, PB5.72; ROIC10.5167%; ROE11.8567%; 股利率1.0071%; 毛利39.16%; 净利10.12%; 上一年度营收增8.67%, 利润增43.34%; 当季营收增16%, 利润增18.41%; 过往5年营收增2.99%, 利润增25.22%
Income profile:
销售啤酒等 190.68亿 98.94% 98.88% 38.07%
其他 6536.17万 0.34% 0.42% 47.65%
餐饮相关 6055.16万 0.31% 0.33% 40.15%
销售包装物 5453.00万 0.28% 0.27% 36.28%</t>
  </si>
  <si>
    <t>91.10亿</t>
  </si>
  <si>
    <t>45.23亿</t>
  </si>
  <si>
    <t>12183116000亿</t>
  </si>
  <si>
    <t>131.19亿</t>
  </si>
  <si>
    <t>11.66亿</t>
  </si>
  <si>
    <t>91.87亿</t>
  </si>
  <si>
    <t>61.28亿</t>
  </si>
  <si>
    <t>5784.16万</t>
  </si>
  <si>
    <t>65797874亿</t>
  </si>
  <si>
    <t>184.86万</t>
  </si>
  <si>
    <t>1161030910亿</t>
  </si>
  <si>
    <t>53.55亿</t>
  </si>
  <si>
    <t>134107867亿</t>
  </si>
  <si>
    <t>7109602600亿</t>
  </si>
  <si>
    <t>26.69亿</t>
  </si>
  <si>
    <t>85.34亿</t>
  </si>
  <si>
    <t>42.03亿</t>
  </si>
  <si>
    <t>1402.43万</t>
  </si>
  <si>
    <t>-10.28亿</t>
  </si>
  <si>
    <t>109.42亿</t>
  </si>
  <si>
    <t>102.12亿</t>
  </si>
  <si>
    <t>34.67亿</t>
  </si>
  <si>
    <t>31.76亿</t>
  </si>
  <si>
    <t>31.96亿</t>
  </si>
  <si>
    <t>10.77亿</t>
  </si>
  <si>
    <t>79.36亿</t>
  </si>
  <si>
    <t>111.87亿</t>
  </si>
  <si>
    <t>71.39亿</t>
  </si>
  <si>
    <t>6.22亿</t>
  </si>
  <si>
    <t>10派20元(含税)</t>
  </si>
  <si>
    <t>2054.43万</t>
  </si>
  <si>
    <t>公司的主营业务是啤酒产品的制造与销售。主要产品山城啤酒、重庆啤酒等。在品牌组合方面，公司“国际高端品牌+本地强势品牌”的品牌组合更加强大。国际高端品牌有嘉士伯、乐堡、1664、格林堡、布鲁克林、夏日纷等，本地强势品牌有乌苏、重庆、山城、乌苏、西夏、大理、风花雪月、天目湖、京A等
市值629.93691亿, 利润11.66亿; PE48.28, PB31.97; ROIC58.75%; ROE65.91%; 股利率1.5366%; 毛利46.99%; 净利18.33%; 上一年度营收增19.9%, 利润增8.26%; 当季营收增4.92%, 利润增7.65%; 过往5年营收增46.03%, 利润增54.85%
Income profile:
啤酒 128.35亿 97.84% 98.63% 51.35%
其他业务 2.84亿 2.16% 1.37% 32.25%</t>
  </si>
  <si>
    <t>80.09亿</t>
  </si>
  <si>
    <t>145.32亿</t>
  </si>
  <si>
    <t>11321984200亿</t>
  </si>
  <si>
    <t>119.61亿</t>
  </si>
  <si>
    <t>64.59亿</t>
  </si>
  <si>
    <t>14.97亿</t>
  </si>
  <si>
    <t>13.01亿</t>
  </si>
  <si>
    <t>1348928亿</t>
  </si>
  <si>
    <t>325.41万</t>
  </si>
  <si>
    <t>629278970亿</t>
  </si>
  <si>
    <t>77.91亿</t>
  </si>
  <si>
    <t>333917200亿</t>
  </si>
  <si>
    <t>12590710400亿</t>
  </si>
  <si>
    <t>19.05亿</t>
  </si>
  <si>
    <t>79.40亿</t>
  </si>
  <si>
    <t>-32.49亿</t>
  </si>
  <si>
    <t>109.28亿</t>
  </si>
  <si>
    <t>114.68亿</t>
  </si>
  <si>
    <t>113.44亿</t>
  </si>
  <si>
    <t>111.96亿</t>
  </si>
  <si>
    <t>115.73亿</t>
  </si>
  <si>
    <t>2.30亿</t>
  </si>
  <si>
    <t>69.08亿</t>
  </si>
  <si>
    <t>103.86亿</t>
  </si>
  <si>
    <t>63.17亿</t>
  </si>
  <si>
    <t>10派0.4元(含税)</t>
  </si>
  <si>
    <t>公司主营业务为啤酒、饮用水、啤酒原料、茶饮料、酵母、饲料等产品的制造和销售。公司啤酒的生产及销售业务占公司主营业务的90%以上。公司主要产品为啤酒、桶装饮用水、瓶装饮用水、九龙斋酸梅汤、燕京纳豆、饲料。
市值322.15905亿, 利润2.28亿; PE95.55, PB2.31; ROIC2.23%; ROE1.6533%; 股利率.35%; 毛利39.3833%; 净利3.63%; 上一年度营收增9.45%, 利润增15.74%; 当季营收增8.48%, 利润增16.91%; 过往5年营收增.78%, 利润增-1.49%
Income profile:
啤酒 64.48亿 93.35% 38.01亿 91.56% 96.05% 41.05%
其他行业 4.59亿 6.65% 3.51亿 8.44% 3.95% 23.70%</t>
  </si>
  <si>
    <t>45.43亿</t>
  </si>
  <si>
    <t>96.41亿</t>
  </si>
  <si>
    <t>4110877900亿</t>
  </si>
  <si>
    <t>45.38亿</t>
  </si>
  <si>
    <t>34.48亿</t>
  </si>
  <si>
    <t>8035.95万</t>
  </si>
  <si>
    <t>1555603亿</t>
  </si>
  <si>
    <t>134.88万</t>
  </si>
  <si>
    <t>525943430亿</t>
  </si>
  <si>
    <t>70.49亿</t>
  </si>
  <si>
    <t>29493109亿</t>
  </si>
  <si>
    <t>9235922800亿</t>
  </si>
  <si>
    <t>3.37亿</t>
  </si>
  <si>
    <t>4.91亿</t>
  </si>
  <si>
    <t>30.66亿</t>
  </si>
  <si>
    <t>9.59亿</t>
  </si>
  <si>
    <t>-9.05亿</t>
  </si>
  <si>
    <t>-2.18亿</t>
  </si>
  <si>
    <t>42.49亿</t>
  </si>
  <si>
    <t>42.44亿</t>
  </si>
  <si>
    <t>40.39亿</t>
  </si>
  <si>
    <t>37.64亿</t>
  </si>
  <si>
    <t>35.43亿</t>
  </si>
  <si>
    <t>5.69亿</t>
  </si>
  <si>
    <t>4.97亿</t>
  </si>
  <si>
    <t>24.32亿</t>
  </si>
  <si>
    <t>37.18亿</t>
  </si>
  <si>
    <t>22.18亿</t>
  </si>
  <si>
    <t>10派1.2元(含税)</t>
  </si>
  <si>
    <t>3621.11万</t>
  </si>
  <si>
    <t>公司是一家主要生产啤酒的企业。其主要产品是啤酒、酵母饲料、包装材料、租赁餐饮服务。公司是中国制造业500强企业之一，也是全国知名的啤酒制造企业，拥有中国最大的啤酒酿造中心，珠江牌啤酒商标被认定为中国驰名商标。
市值179.27961亿, 利润6.11亿; PE30.54, PB1.87; ROIC3.4833%; ROE6.4167%; 股利率1.4815%; 毛利46.73%; 净利13.04%; 上一年度营收增6.8%, 利润增7.38%; 当季营收增11.93%, 利润增-9.67%; 过往5年营收增5.11%, 利润增43.56%
Income profile:
啤酒销售 23.08亿 94.90% 93.17% 41.76%
其他 5810.37万 2.39% 3.89% 69.19%
租赁餐饮服务等 3826.53万 1.57% 2.58% 69.81%
酵母饲料销售 1525.07万 0.63%
白酒销售 863.45万 0.36% 0.33% 39.59%</t>
  </si>
  <si>
    <t>548865570亿</t>
  </si>
  <si>
    <t>5.82亿</t>
  </si>
  <si>
    <t>3103.18万</t>
  </si>
  <si>
    <t>2726.91万</t>
  </si>
  <si>
    <t>3067.87万</t>
  </si>
  <si>
    <t>1187.91万</t>
  </si>
  <si>
    <t>47647256亿</t>
  </si>
  <si>
    <t>1080678530亿</t>
  </si>
  <si>
    <t>9542.85万</t>
  </si>
  <si>
    <t>-2.30亿</t>
  </si>
  <si>
    <t>-950.00万</t>
  </si>
  <si>
    <t>6.14亿</t>
  </si>
  <si>
    <t>5.52亿</t>
  </si>
  <si>
    <t>6.18亿</t>
  </si>
  <si>
    <t>2867.08万</t>
  </si>
  <si>
    <t>1981.90万</t>
  </si>
  <si>
    <t>1849.73万</t>
  </si>
  <si>
    <t>2418.17万</t>
  </si>
  <si>
    <t>167.95万</t>
  </si>
  <si>
    <t>3.17亿</t>
  </si>
  <si>
    <t>1609.21万</t>
  </si>
  <si>
    <t>4057.59万</t>
  </si>
  <si>
    <t>1160.82万</t>
  </si>
  <si>
    <t>10派0.38元(含税)</t>
  </si>
  <si>
    <t>3433.83万</t>
  </si>
  <si>
    <t>2.24亿</t>
  </si>
  <si>
    <t>031031800</t>
  </si>
  <si>
    <t>093095400</t>
  </si>
  <si>
    <t>0186190800</t>
  </si>
  <si>
    <t>0310318000</t>
  </si>
  <si>
    <t>0620636000</t>
  </si>
  <si>
    <t>公司为生产销售啤酒。主要产品是惠泉一麦、惠泉纯生、惠泉欧骑士和惠泉鲜啤系列产品等,主要市场是福建、江西等地。
市值26.2亿, 利润3103.18万; PE66.36, PB2.15; ROIC1.3333%; ROE2.3033%; 股利率.3626%; 毛利27.43%; 净利4.41%; 上一年度营收增-5.21%, 利润增8.23%; 当季营收增14.57%, 利润增13.69%; 过往5年营收增-1.02%, 利润增275.27%
Income profile:
啤酒 3.10亿 98.65% 96.28% 29.33%
其他业务 424.01万 1.35% 3.72% 82.79%</t>
  </si>
  <si>
    <t>10.46亿</t>
  </si>
  <si>
    <t>218165070亿</t>
  </si>
  <si>
    <t>1911.39万</t>
  </si>
  <si>
    <t>3255.37万</t>
  </si>
  <si>
    <t>2496.67万</t>
  </si>
  <si>
    <t>113.07万</t>
  </si>
  <si>
    <t>12137165亿</t>
  </si>
  <si>
    <t>43.89万</t>
  </si>
  <si>
    <t>-3012965亿</t>
  </si>
  <si>
    <t>4901974亿</t>
  </si>
  <si>
    <t>150.00万</t>
  </si>
  <si>
    <t>996819320亿</t>
  </si>
  <si>
    <t>377.10万</t>
  </si>
  <si>
    <t>2500.00万</t>
  </si>
  <si>
    <t>4176.00万</t>
  </si>
  <si>
    <t>4017.42万</t>
  </si>
  <si>
    <t>2303.83万</t>
  </si>
  <si>
    <t>-3004.90万</t>
  </si>
  <si>
    <t>4.55亿</t>
  </si>
  <si>
    <t>5.09亿</t>
  </si>
  <si>
    <t>5.96亿</t>
  </si>
  <si>
    <t>-2988.57万</t>
  </si>
  <si>
    <t>1563.23万</t>
  </si>
  <si>
    <t>-6755.04万</t>
  </si>
  <si>
    <t>1623.60万</t>
  </si>
  <si>
    <t>-2509.36万</t>
  </si>
  <si>
    <t>2288.77万</t>
  </si>
  <si>
    <t>3956.53万</t>
  </si>
  <si>
    <t>120.36万</t>
  </si>
  <si>
    <t>10.16亿</t>
  </si>
  <si>
    <t>057341700</t>
  </si>
  <si>
    <t>0114683400</t>
  </si>
  <si>
    <t>0191139000</t>
  </si>
  <si>
    <t>0382278000</t>
  </si>
  <si>
    <t>公司是西北地区最大的啤酒及啤酒原料生产企业。公司主营业务为啤酒、麦芽、饮料的生产与销售，主要产品包括“黄河”、“青海湖”系列啤酒和“黄河”系列麦芽等。
市值21.195901亿, 利润1911.39万; PE, PB3.26; ROIC-1.65%; ROE.24%; 股利率0%; 毛利21.3467%; 净利-.11%; 上一年度营收增.65%, 利润增163.96%; 当季营收增-7.29%, 利润增-209.98%; 过往5年营收增-13.81%, 利润增-71.09%
Income profile:
啤酒销售 1.06亿 73.87% 75.66% 22.39%
饮料销售 1604.26万 11.13% 5.25% 10.31%
麦芽销售 1562.50万 10.84% 9.72% 19.59%</t>
  </si>
  <si>
    <t>214811170亿</t>
  </si>
  <si>
    <t>-1437.30万</t>
  </si>
  <si>
    <t>683.94万</t>
  </si>
  <si>
    <t>1838.79万</t>
  </si>
  <si>
    <t>-7079583亿</t>
  </si>
  <si>
    <t>15.55万</t>
  </si>
  <si>
    <t>-19397954亿</t>
  </si>
  <si>
    <t>1543.81万</t>
  </si>
  <si>
    <t>36751596亿</t>
  </si>
  <si>
    <t>557535550亿</t>
  </si>
  <si>
    <t>860.80万</t>
  </si>
  <si>
    <t>430.00万</t>
  </si>
  <si>
    <t>457.85万</t>
  </si>
  <si>
    <t>-1045.10万</t>
  </si>
  <si>
    <t>-700.55万</t>
  </si>
  <si>
    <t>1405.30万</t>
  </si>
  <si>
    <t>-3.33亿</t>
  </si>
  <si>
    <t>-4.17亿</t>
  </si>
  <si>
    <t>952.37万</t>
  </si>
  <si>
    <t>797.43万</t>
  </si>
  <si>
    <t>3.06亿</t>
  </si>
  <si>
    <t>-1783.37万</t>
  </si>
  <si>
    <t>-1319.66万</t>
  </si>
  <si>
    <t>-1019.37万</t>
  </si>
  <si>
    <t>902.90万</t>
  </si>
  <si>
    <t xml:space="preserve">
市值10.0228227亿, 利润-1437.30万; PE, PB; ROIC-5.18%; ROE-55.2533%; 股利率0%; 毛利23.5367%; 净利-29.0367%; 上一年度营收增-2.96%, 利润增-202.28%; 当季营收增-74.52%, 利润增-731.43%; 过往5年营收增2.69%, 利润增-907.41%
Income profile:
</t>
  </si>
  <si>
    <t>SH605499</t>
  </si>
  <si>
    <t>东鹏饮料</t>
  </si>
  <si>
    <t>85.73万</t>
  </si>
  <si>
    <t>SH603156</t>
  </si>
  <si>
    <t>养元饮品</t>
  </si>
  <si>
    <t>150.90万</t>
  </si>
  <si>
    <t>SZ000848</t>
  </si>
  <si>
    <t>承德露露</t>
  </si>
  <si>
    <t>2253.39万</t>
  </si>
  <si>
    <t>SH605337</t>
  </si>
  <si>
    <t>李子园</t>
  </si>
  <si>
    <t>614.93万</t>
  </si>
  <si>
    <t>SH605198</t>
  </si>
  <si>
    <t>安德利</t>
  </si>
  <si>
    <t>187.56万</t>
  </si>
  <si>
    <t>SH603711</t>
  </si>
  <si>
    <t>香飘飘</t>
  </si>
  <si>
    <t>425.77万</t>
  </si>
  <si>
    <t>SH605388</t>
  </si>
  <si>
    <t>均瑶健康</t>
  </si>
  <si>
    <t>253.52万</t>
  </si>
  <si>
    <t>SZ300997</t>
  </si>
  <si>
    <t>欢乐家</t>
  </si>
  <si>
    <t>285.16万</t>
  </si>
  <si>
    <t>SH600300</t>
  </si>
  <si>
    <t>维维股份</t>
  </si>
  <si>
    <t>1167.19万</t>
  </si>
  <si>
    <t>SH600189</t>
  </si>
  <si>
    <t>泉阳泉</t>
  </si>
  <si>
    <t>5267.99万</t>
  </si>
  <si>
    <t>SH600962</t>
  </si>
  <si>
    <t>国投中鲁</t>
  </si>
  <si>
    <t>553.14万</t>
  </si>
  <si>
    <t>1.2021年6月上市；</t>
    <phoneticPr fontId="1" type="noConversion"/>
  </si>
  <si>
    <t>48.04亿</t>
  </si>
  <si>
    <t>6644347800亿</t>
  </si>
  <si>
    <t>69.78亿</t>
  </si>
  <si>
    <t>11.93亿</t>
  </si>
  <si>
    <t>52.95亿</t>
  </si>
  <si>
    <t>38.70亿</t>
  </si>
  <si>
    <t>10.86亿</t>
  </si>
  <si>
    <t>2047.61万</t>
  </si>
  <si>
    <t>47335365亿</t>
  </si>
  <si>
    <t>200.73万</t>
  </si>
  <si>
    <t>1064216820亿</t>
  </si>
  <si>
    <t>9.41亿</t>
  </si>
  <si>
    <t>35083860亿</t>
  </si>
  <si>
    <t>5786966600亿</t>
  </si>
  <si>
    <t>2400.00万</t>
  </si>
  <si>
    <t>4.99亿</t>
  </si>
  <si>
    <t>55.79亿</t>
  </si>
  <si>
    <t>306.25万</t>
  </si>
  <si>
    <t>-26.62亿</t>
  </si>
  <si>
    <t>10.62亿</t>
  </si>
  <si>
    <t>49.59亿</t>
  </si>
  <si>
    <t>42.09亿</t>
  </si>
  <si>
    <t>28.44亿</t>
  </si>
  <si>
    <t>8.12亿</t>
  </si>
  <si>
    <t>42.91亿</t>
  </si>
  <si>
    <t>55.60亿</t>
  </si>
  <si>
    <t>36.82亿</t>
  </si>
  <si>
    <t>9.96亿</t>
  </si>
  <si>
    <t>6.76亿</t>
  </si>
  <si>
    <t>软饮料</t>
  </si>
  <si>
    <t>348.26万</t>
  </si>
  <si>
    <t>2030.80万</t>
  </si>
  <si>
    <t xml:space="preserve">公司主营业务为饮料的研发、生产和销售，主要产品包括东鹏特饮、东鹏大咖、东鹏0糖特饮、东鹏加気、风味饮料、茶饮料、清凉饮料、包装饮用水，其中东鹏特饮是公司的主导产品。
市值735.9384亿, 利润11.93亿; PE54.02, PB15.32; ROIC33.4567%; ROE41.15%; 股利率.8153%; 毛利45.34%; 净利15.8433%; 上一年度营收增40.71%, 利润增46.92%; 当季营收增25.31%, 利润增28.28%; 过往5年营收增25.97%, 利润增56.61%
Income profile:
东鹏特饮 63.92亿 96.20%
其他饮料 2.41亿 3.63% </t>
  </si>
  <si>
    <t>109.70亿</t>
  </si>
  <si>
    <t>4184987900亿</t>
  </si>
  <si>
    <t>69.06亿</t>
  </si>
  <si>
    <t>30.14亿</t>
  </si>
  <si>
    <t>22.90亿</t>
  </si>
  <si>
    <t>8786.69万</t>
  </si>
  <si>
    <t>1412.98万</t>
  </si>
  <si>
    <t>46408528亿</t>
  </si>
  <si>
    <t>272.98万</t>
  </si>
  <si>
    <t>811117410亿</t>
  </si>
  <si>
    <t>24547980亿</t>
  </si>
  <si>
    <t>8698466700亿</t>
  </si>
  <si>
    <t>1.53亿</t>
  </si>
  <si>
    <t>14.89亿</t>
  </si>
  <si>
    <t>-5.84亿</t>
  </si>
  <si>
    <t>29.28亿</t>
  </si>
  <si>
    <t>-22.95亿</t>
  </si>
  <si>
    <t>44.27亿</t>
  </si>
  <si>
    <t>74.59亿</t>
  </si>
  <si>
    <t>81.44亿</t>
  </si>
  <si>
    <t>77.41亿</t>
  </si>
  <si>
    <t>89.00亿</t>
  </si>
  <si>
    <t>15.78亿</t>
  </si>
  <si>
    <t>28.37亿</t>
  </si>
  <si>
    <t>23.10亿</t>
  </si>
  <si>
    <t>27.41亿</t>
  </si>
  <si>
    <t>27.50亿</t>
  </si>
  <si>
    <t>50.12亿</t>
  </si>
  <si>
    <t>34.11亿</t>
  </si>
  <si>
    <t>6.94亿</t>
  </si>
  <si>
    <t>16.30亿</t>
  </si>
  <si>
    <t>11.59亿</t>
  </si>
  <si>
    <t>701.15万</t>
  </si>
  <si>
    <t>8023.38万</t>
  </si>
  <si>
    <t>02111000000</t>
  </si>
  <si>
    <t>06333000000</t>
  </si>
  <si>
    <t>012666000000</t>
  </si>
  <si>
    <t>021110000000</t>
  </si>
  <si>
    <t>042220000000</t>
  </si>
  <si>
    <t>公司的主营业务是以核桃仁为原料的植物蛋白饮料的研发、生产和销售。公司的主要产品为核桃露(乳)饮料,杏仁露(乳)饮料,花生露(乳)饮料,椰子汁(乳)饮料,豆奶(乳)饮料等品种。公司与其“养元.六个核桃”核桃乳是我国核桃乳产销量最大的企业和品牌
市值273.47317亿, 利润21.11亿; PE18.38, PB2.49; ROIC16.3267%; ROE17.8467%; 股利率9.255%; 毛利49.0767%; 净利32.3333%; 上一年度营收增56%, 利润增33.78%; 当季营收增-10.37%, 利润增-33.43%; 过往5年营收增-.18%, 利润增-1.12%
Income profile:
核桃乳 67.06亿 97.11% 97.99% 49.56%
功能性饮料 1.94亿 2.80% 1.86% 32.60%</t>
  </si>
  <si>
    <t>5.19亿</t>
  </si>
  <si>
    <t>26.12亿</t>
  </si>
  <si>
    <t>1971112400亿</t>
  </si>
  <si>
    <t>25.24亿</t>
  </si>
  <si>
    <t>14.14亿</t>
  </si>
  <si>
    <t>11.06亿</t>
  </si>
  <si>
    <t>2456.09万</t>
  </si>
  <si>
    <t>1020.59万</t>
  </si>
  <si>
    <t>6.51万</t>
  </si>
  <si>
    <t>420910940亿</t>
  </si>
  <si>
    <t>24.70亿</t>
  </si>
  <si>
    <t>670686亿</t>
  </si>
  <si>
    <t>2603641600亿</t>
  </si>
  <si>
    <t>3231.81万</t>
  </si>
  <si>
    <t>7640.42万</t>
  </si>
  <si>
    <t>-1267.93万</t>
  </si>
  <si>
    <t>-2.00亿</t>
  </si>
  <si>
    <t>18.61亿</t>
  </si>
  <si>
    <t>22.55亿</t>
  </si>
  <si>
    <t>21.22亿</t>
  </si>
  <si>
    <t>21.12亿</t>
  </si>
  <si>
    <t>25.21亿</t>
  </si>
  <si>
    <t>2.98亿</t>
  </si>
  <si>
    <t>6.68亿</t>
  </si>
  <si>
    <t>公司的主营业务为植物蛋白饮料的生产和销售。公司主要产品为露露杏仁露。是全国最大的杏仁露生产企业,年生产能力30余万吨,市场占有率90%.继露露杏仁露以后,又开发出纯净水、矿泉水、果汁饮料、米奥渴酸奶系列等八大门类,40多个品种规格的优质系列产品
市值98.922906亿, 利润5.70亿; PE16.77, PB3.84; ROIC21.6367%; ROE23.76%; 股利率0%; 毛利49.2533%; 净利21.4367%; 上一年度营收增35.63%, 利润增31.94%; 当季营收增3.06%, 利润增5.69%; 过往5年营收增1.73%, 利润增5.84%
Income profile:
杏仁露系列 14.35亿 98.15% 98.86% 45.34%
果仁核桃系列 2529.96万 1.73% 1.08% 28.13%</t>
  </si>
  <si>
    <t>6.45亿</t>
  </si>
  <si>
    <t>16.63亿</t>
  </si>
  <si>
    <t>1061493490亿</t>
  </si>
  <si>
    <t>2.62亿</t>
  </si>
  <si>
    <t>4200.84万</t>
  </si>
  <si>
    <t>754.58万</t>
  </si>
  <si>
    <t>1079117亿</t>
  </si>
  <si>
    <t>307.75万</t>
  </si>
  <si>
    <t>131996253亿</t>
  </si>
  <si>
    <t>5.33亿</t>
  </si>
  <si>
    <t>1192133亿</t>
  </si>
  <si>
    <t>1000209210亿</t>
  </si>
  <si>
    <t>8500.00万</t>
  </si>
  <si>
    <t>7973.28万</t>
  </si>
  <si>
    <t>25.29万</t>
  </si>
  <si>
    <t>5.62亿</t>
  </si>
  <si>
    <t>-1495.63万</t>
  </si>
  <si>
    <t>10.88亿</t>
  </si>
  <si>
    <t>4.53亿</t>
  </si>
  <si>
    <t>9017.85万</t>
  </si>
  <si>
    <t>6.80亿</t>
  </si>
  <si>
    <t>10转4股派4.5元(含税)</t>
  </si>
  <si>
    <t>1695.97万</t>
  </si>
  <si>
    <t>公司的主营业务为甜牛奶乳饮料系列等含乳饮料和其他饮料的研发、生产与销售。公司的主要产品包括配制型含乳饮料,发酵型含乳饮料,复合蛋白饮料,乳味风味饮料等，其中甜牛奶乳饮料系列是公司畅销二十余年的经典产品。
市值69.450091亿, 利润2.62亿; PE31.19, PB4.18; ROIC29.14%; ROE26.3%; 股利率1.9659%; 毛利36.4433%; 净利17.6933%; 上一年度营收增35.11%, 利润增21.86%; 当季营收增-3.87%, 利润增-21.02%; 过往5年营收增26.84%, 利润增22.54%
Income profile:
含乳饮料 10.29亿 96.91%
其他 2860.65万 2.69%</t>
  </si>
  <si>
    <t>23.56亿</t>
  </si>
  <si>
    <t>810519340亿</t>
  </si>
  <si>
    <t>8.72亿</t>
  </si>
  <si>
    <t>6.07亿</t>
  </si>
  <si>
    <t>317.26万</t>
  </si>
  <si>
    <t>2781.85万</t>
  </si>
  <si>
    <t>212.27万</t>
  </si>
  <si>
    <t>44790370亿</t>
  </si>
  <si>
    <t>190301700亿</t>
  </si>
  <si>
    <t>192301460亿</t>
  </si>
  <si>
    <t>398.27万</t>
  </si>
  <si>
    <t>1770182600亿</t>
  </si>
  <si>
    <t>237.99万</t>
  </si>
  <si>
    <t>9000.00万</t>
  </si>
  <si>
    <t>8682.25万</t>
  </si>
  <si>
    <t>-4.96亿</t>
  </si>
  <si>
    <t>-7160.64万</t>
  </si>
  <si>
    <t>8.42亿</t>
  </si>
  <si>
    <t>10.68亿</t>
  </si>
  <si>
    <t>9.01亿</t>
  </si>
  <si>
    <t>8642.52万</t>
  </si>
  <si>
    <t>9764.00万</t>
  </si>
  <si>
    <t>5183.79万</t>
  </si>
  <si>
    <t>551.81万</t>
  </si>
  <si>
    <t>6443.96万</t>
  </si>
  <si>
    <t>公司主要从事浓缩果汁的加工生产及销售。主要产品有果汁、香精、果渣。公司在中国、北美洲、亚洲（中国以外）、欧洲、大洋洲和非洲运营业务。
市值67.56953亿, 利润1.60亿; PE27.72, PB2.87; ROIC5.76%; ROE7.9967%; 股利率.2647%; 毛利26.9867%; 净利20.42%; 上一年度营收增3.56%, 利润增5.26%; 当季营收增20.76%, 利润增10%; 过往5年营收增.8%, 利润增9.47%
Income profile:
果汁、香精 7.83亿 96.66%
饲料 1979.18万 2.44%</t>
  </si>
  <si>
    <t>1.问:公司的研发机制是怎样的？答:公司今年成立了品牌创新中心,采用自下而上的驱动研发机制,产品立项、口味、包装测试、定价等全流程都让用户参与进来,使得产品的调性更加契合当下年轻消费者的喜好,同时公司的技术研发部门更加关注当下流行的趋势和方向,从健康化的角度去做基础性的研究;</t>
    <phoneticPr fontId="1" type="noConversion"/>
  </si>
  <si>
    <t>1.问:公司提价情况:答:公司提价的时点选择充分考虑到了冲泡产品的销售节奏,二月份是公司冲泡产品从销售旺季向淡季转换的时节,因此公司选择在这一时点进行了提价。</t>
    <phoneticPr fontId="1" type="noConversion"/>
  </si>
  <si>
    <t>13.73亿</t>
  </si>
  <si>
    <t>28.35亿</t>
  </si>
  <si>
    <t>1530187200亿</t>
  </si>
  <si>
    <t>34.66亿</t>
  </si>
  <si>
    <t>16.81亿</t>
  </si>
  <si>
    <t>11.24亿</t>
  </si>
  <si>
    <t>1245.43万</t>
  </si>
  <si>
    <t>13660004亿</t>
  </si>
  <si>
    <t>75.71万</t>
  </si>
  <si>
    <t>-103835561亿</t>
  </si>
  <si>
    <t>16338195亿</t>
  </si>
  <si>
    <t>2058353300亿</t>
  </si>
  <si>
    <t>8892.47万</t>
  </si>
  <si>
    <t>2.81亿</t>
  </si>
  <si>
    <t>2367.18万</t>
  </si>
  <si>
    <t>-7.32亿</t>
  </si>
  <si>
    <t>37.61亿</t>
  </si>
  <si>
    <t>39.78亿</t>
  </si>
  <si>
    <t>32.51亿</t>
  </si>
  <si>
    <t>8.59亿</t>
  </si>
  <si>
    <t>19.74亿</t>
  </si>
  <si>
    <t>-1.29亿</t>
  </si>
  <si>
    <t>3939.55万</t>
  </si>
  <si>
    <t>-6225.64万</t>
  </si>
  <si>
    <t>10派1.7元(含税)</t>
  </si>
  <si>
    <t>1188.30万</t>
  </si>
  <si>
    <t>7672.10万</t>
  </si>
  <si>
    <t>公司主营业务为奶茶产品的研发、生产和销售,主要产品为“香飘飘”品牌杯装奶茶、“MECO蜜谷”品牌果汁茶、“MECO牛乳茶”和“兰芳园”系列液体奶茶。目前公司产品按性态可分为固体冲泡奶茶、果汁茶类及液体奶茶。
市值62.022616亿, 利润2.23亿; PE57.37, PB2.19; ROIC10.0567%; ROE11.89%; 股利率1.1258%; 毛利32.7%; 净利1.0733%; 上一年度营收增-7.84%, 利润增-37.71%; 当季营收增-24.25%, 利润增-46.92%; 过往5年营收增8.53%, 利润增-1.22%
Income profile:
冲泡类 4.53亿 52.76%
即饮类 3.88亿 45.14%</t>
  </si>
  <si>
    <t>19.31亿</t>
  </si>
  <si>
    <t>844841560亿</t>
  </si>
  <si>
    <t>7.68亿</t>
  </si>
  <si>
    <t>5976.84万</t>
  </si>
  <si>
    <t>946.45万</t>
  </si>
  <si>
    <t>15829180亿</t>
  </si>
  <si>
    <t>71.81万</t>
  </si>
  <si>
    <t>57161524亿</t>
  </si>
  <si>
    <t>100582357亿</t>
  </si>
  <si>
    <t>1417443100亿</t>
  </si>
  <si>
    <t>9668.80万</t>
  </si>
  <si>
    <t>-2.98亿</t>
  </si>
  <si>
    <t>-1.04亿</t>
  </si>
  <si>
    <t>-9566.71万</t>
  </si>
  <si>
    <t>8.52亿</t>
  </si>
  <si>
    <t>2.54亿</t>
  </si>
  <si>
    <t>7.00亿</t>
  </si>
  <si>
    <t>4542.17万</t>
  </si>
  <si>
    <t>1309.68万</t>
  </si>
  <si>
    <t>0147000000</t>
  </si>
  <si>
    <t>0441000000</t>
  </si>
  <si>
    <t>0882000000</t>
  </si>
  <si>
    <t>01470000000</t>
  </si>
  <si>
    <t>02940000000</t>
  </si>
  <si>
    <t>公司的主营业务是常温乳酸菌系列饮品的研发、生产和销售；公司目前主要产品为“味动力”系列常温乳酸菌饮品。2011年起,本公司进入含乳饮品中的常温乳酸菌市场,并以此为主营业务
市值59.856亿, 利润1.47亿; PE73.1, PB3.11; ROIC17.8433%; ROE20.07%; 股利率1.5805%; 毛利43.79%; 净利18.9867%; 上一年度营收增7.28%, 利润增-31.31%; 当季营收增36.25%, 利润增67.45%; 过往5年营收增-2.23%, 利润增-.22%
Income profile:
乳酸菌饮品 5.16亿 61.08%
其他饮品 2.68亿 31.70%
益生菌食品 3700.44万 4.38%
益生菌饮品 2273.82万 2.69%</t>
  </si>
  <si>
    <t>4.24亿</t>
  </si>
  <si>
    <t>12.59亿</t>
  </si>
  <si>
    <t>1062400190亿</t>
  </si>
  <si>
    <t>14.73亿</t>
  </si>
  <si>
    <t>6861.29万</t>
  </si>
  <si>
    <t>61.77万</t>
  </si>
  <si>
    <t>1624956亿</t>
  </si>
  <si>
    <t>22.47万</t>
  </si>
  <si>
    <t>112778091亿</t>
  </si>
  <si>
    <t>153899450亿</t>
  </si>
  <si>
    <t>825585240亿</t>
  </si>
  <si>
    <t>2793.97万</t>
  </si>
  <si>
    <t>6513.00万</t>
  </si>
  <si>
    <t>4.02亿</t>
  </si>
  <si>
    <t>616.77万</t>
  </si>
  <si>
    <t>-4166.64万</t>
  </si>
  <si>
    <t>-8699.00万</t>
  </si>
  <si>
    <t>14.24亿</t>
  </si>
  <si>
    <t>8339.18万</t>
  </si>
  <si>
    <t>9.79亿</t>
  </si>
  <si>
    <t>6.64亿</t>
  </si>
  <si>
    <t>8291.81万</t>
  </si>
  <si>
    <t>9637.31万</t>
  </si>
  <si>
    <t>10派1元(含税)</t>
  </si>
  <si>
    <t>1522.96万</t>
  </si>
  <si>
    <t>公司的主营业务为水果罐头、植物蛋白饮料、果汁饮料、乳酸菌饮料等食品饮料产品的研发、生产和销售。公司的产品主要分为两大类：第一类是椰子汁植物蛋白饮料、果汁饮料、乳酸菌饮料等饮料产品；第二类是水果罐头、八宝粥罐头等罐头食品。
市值55.17亿, 利润1.84亿; PE31.18, PB4.38; ROIC23.31%; ROE22.215%; 股利率.8157%; 毛利36.6533%; 净利13.5833%; 上一年度营收增18.12%, 利润增2.79%; 当季营收增16%, 利润增21.34%; 过往5年营收增6.04%, 利润增27.73%
Income profile:
椰子饮料 3.27亿 46.97% 60.82% 43.68%
罐头产品 2.82亿 40.47% 28.13% 23.45%
其他业务 8753.03万 12.56% 11.05% 29.67%</t>
  </si>
  <si>
    <t>19.17亿</t>
  </si>
  <si>
    <t>31.36亿</t>
  </si>
  <si>
    <t>3345352100亿</t>
  </si>
  <si>
    <t>45.68亿</t>
  </si>
  <si>
    <t>32.25亿</t>
  </si>
  <si>
    <t>27.78亿</t>
  </si>
  <si>
    <t>254.09万</t>
  </si>
  <si>
    <t>20643346亿</t>
  </si>
  <si>
    <t>149.02万</t>
  </si>
  <si>
    <t>80036101亿</t>
  </si>
  <si>
    <t>79419825亿</t>
  </si>
  <si>
    <t>1773124100亿</t>
  </si>
  <si>
    <t>5933.53万</t>
  </si>
  <si>
    <t>500.00万</t>
  </si>
  <si>
    <t>458.98万</t>
  </si>
  <si>
    <t>5.23亿</t>
  </si>
  <si>
    <t>-4791.75万</t>
  </si>
  <si>
    <t>47.99亿</t>
  </si>
  <si>
    <t>50.39亿</t>
  </si>
  <si>
    <t>50.33亿</t>
  </si>
  <si>
    <t>46.47亿</t>
  </si>
  <si>
    <t>44.64亿</t>
  </si>
  <si>
    <t>7292.60万</t>
  </si>
  <si>
    <t>5966.98万</t>
  </si>
  <si>
    <t>9151.17万</t>
  </si>
  <si>
    <t>7012.53万</t>
  </si>
  <si>
    <t>20.90亿</t>
  </si>
  <si>
    <t>32.58亿</t>
  </si>
  <si>
    <t>4968.59万</t>
  </si>
  <si>
    <t>9080.28万</t>
  </si>
  <si>
    <t>10派0.3元(含税)</t>
  </si>
  <si>
    <t>7323.29万</t>
  </si>
  <si>
    <t>公司的主营业务为从事豆奶粉、植物蛋白饮料（液态豆奶）、乳品、茶叶等系列产品的研发、生产和销售，以及粮食收购、仓储、贸易、加工业务。公司主要产品为固态冲调饮料、动植物蛋白液体饮料、茶类、粮食初加工产品。
市值54.012549亿, 利润2.23亿; PE37.02, PB1.76; ROIC5.54%; ROE8.83%; 股利率.8982%; 毛利20.2933%; 净利4.1167%; 上一年度营收增-4.81%, 利润增-48.85%; 当季营收增2.65%, 利润增-42.79%; 过往5年营收增.59%, 利润增93.39%
Income profile:
粮食初加工产品 21.38亿 46.81% 7.80% 3.30%
固态冲调饮料（豆奶粉、豆浆粉等） 17.08亿 37.38% 79.13% 41.98%
动植物蛋白液体饮料（牛奶、谷动等） 4.90亿 10.73% 6.03% 11.13%
茶类 6101.39万 1.34% 2.14% 31.75%</t>
  </si>
  <si>
    <t>31.79亿</t>
  </si>
  <si>
    <t>18.46亿</t>
  </si>
  <si>
    <t>931411300亿</t>
  </si>
  <si>
    <t>8.56亿</t>
  </si>
  <si>
    <t>5.50亿</t>
  </si>
  <si>
    <t>9297.61万</t>
  </si>
  <si>
    <t>629.64万</t>
  </si>
  <si>
    <t>13964049亿</t>
  </si>
  <si>
    <t>72.25万</t>
  </si>
  <si>
    <t>57230084亿</t>
  </si>
  <si>
    <t>3.94亿</t>
  </si>
  <si>
    <t>470313610亿</t>
  </si>
  <si>
    <t>407.96万</t>
  </si>
  <si>
    <t>3061293200亿</t>
  </si>
  <si>
    <t>1025.70万</t>
  </si>
  <si>
    <t>177.40万</t>
  </si>
  <si>
    <t>22.72亿</t>
  </si>
  <si>
    <t>-2.39亿</t>
  </si>
  <si>
    <t>16.02亿</t>
  </si>
  <si>
    <t>15.46亿</t>
  </si>
  <si>
    <t>10.26亿</t>
  </si>
  <si>
    <t>7.95亿</t>
  </si>
  <si>
    <t>8294.39万</t>
  </si>
  <si>
    <t>-14.85亿</t>
  </si>
  <si>
    <t>4197.83万</t>
  </si>
  <si>
    <t>1198.24万</t>
  </si>
  <si>
    <t>5021.64万</t>
  </si>
  <si>
    <t>6.21亿</t>
  </si>
  <si>
    <t>7.47亿</t>
  </si>
  <si>
    <t>6818.30万</t>
  </si>
  <si>
    <t>8611.17万</t>
  </si>
  <si>
    <t>6282.43万</t>
  </si>
  <si>
    <t>公司的主要业务是长白山天然饮用矿泉水的生产、销售以及园林景观规划设计、园林工程施工、园林养护和苗木种植销售、木材产品业务、进口木材贸易及定制家居业务等。
市值52.28096亿, 利润1.05亿; PE49.5, PB3.11; ROIC-5.2933%; ROE-18.73%; 股利率0%; 毛利41.06%; 净利-23.9567%; 上一年度营收增7.22%, 利润增26.59%; 当季营收增-25.92%, 利润增-21.64%; 过往5年营收增15.24%, 利润增-666.23%
Income profile:
矿泉水分部 3.54亿 57.06% 66.79% 49.33%
门业产品分部 1.50亿 24.15% 17.55% 30.62%
园林绿化分部 1.35亿 21.70% 17.61% 34.19%</t>
  </si>
  <si>
    <t>1179115260亿</t>
  </si>
  <si>
    <t>-1947.22万</t>
  </si>
  <si>
    <t>11.28亿</t>
  </si>
  <si>
    <t>6370.16万</t>
  </si>
  <si>
    <t>291.45万</t>
  </si>
  <si>
    <t>-3796185亿</t>
  </si>
  <si>
    <t>314.97万</t>
  </si>
  <si>
    <t>24807939亿</t>
  </si>
  <si>
    <t>373669890亿</t>
  </si>
  <si>
    <t>1248303440亿</t>
  </si>
  <si>
    <t>1948.84万</t>
  </si>
  <si>
    <t>8.21亿</t>
  </si>
  <si>
    <t>11.67亿</t>
  </si>
  <si>
    <t>3370.68万</t>
  </si>
  <si>
    <t>-2646.60万</t>
  </si>
  <si>
    <t>-4.65亿</t>
  </si>
  <si>
    <t>11.48亿</t>
  </si>
  <si>
    <t>359.73万</t>
  </si>
  <si>
    <t>532.38万</t>
  </si>
  <si>
    <t>831.59万</t>
  </si>
  <si>
    <t>90.00万</t>
  </si>
  <si>
    <t>9.58亿</t>
  </si>
  <si>
    <t>1046.78万</t>
  </si>
  <si>
    <t>293.69万</t>
  </si>
  <si>
    <t>571.47万</t>
  </si>
  <si>
    <t>2051.62万</t>
  </si>
  <si>
    <t>公司是一家主要从事浓缩果蔬汁、饮料生产和销售的公司,主导产品为浓缩苹果汁。截至2019年底，公司在全球共建有18家分、子公司，其中，生产型企业13家，非生产型企业5家。
市值36.420969亿, 利润-1947.22万; PE, PB5.31; ROIC.0133%; ROE-5.86%; 股利率0%; 毛利18.1833%; 净利-2.1733%; 上一年度营收增26.31%, 利润增83.5%; 当季营收增28.96%, 利润增361.55%; 过往5年营收增10.14%, 利润增-508.23%
Income profile:
果汁、香料及果糖等 11.70亿 99.26%-
其他业务 759.90万 0.64%</t>
  </si>
  <si>
    <t>993.20万</t>
  </si>
  <si>
    <t>SZ000869</t>
  </si>
  <si>
    <t>张  裕Ａ</t>
  </si>
  <si>
    <t>125.62万</t>
  </si>
  <si>
    <t>SH600059</t>
  </si>
  <si>
    <t>古越龙山</t>
  </si>
  <si>
    <t>1833.22万</t>
  </si>
  <si>
    <t>SH600084</t>
  </si>
  <si>
    <t>中葡股份</t>
  </si>
  <si>
    <t>561.45万</t>
  </si>
  <si>
    <t>SH601579</t>
  </si>
  <si>
    <t>会稽山</t>
  </si>
  <si>
    <t>1896.51万</t>
  </si>
  <si>
    <t>SH600238</t>
  </si>
  <si>
    <t>海南椰岛</t>
  </si>
  <si>
    <t>2821.59万</t>
  </si>
  <si>
    <t>SH600616</t>
  </si>
  <si>
    <t>金枫酒业</t>
  </si>
  <si>
    <t>862.04万</t>
  </si>
  <si>
    <t>SH603779</t>
  </si>
  <si>
    <t>威龙股份</t>
  </si>
  <si>
    <t>226.57万</t>
  </si>
  <si>
    <t>SH600543</t>
  </si>
  <si>
    <t>莫高股份</t>
  </si>
  <si>
    <t>600.62万</t>
  </si>
  <si>
    <t>21.07亿</t>
  </si>
  <si>
    <t>36.17亿</t>
  </si>
  <si>
    <t>1645115200亿</t>
  </si>
  <si>
    <t>3718.37万</t>
  </si>
  <si>
    <t>100.43万</t>
  </si>
  <si>
    <t>281778330亿</t>
  </si>
  <si>
    <t>19.47亿</t>
  </si>
  <si>
    <t>181018380亿</t>
  </si>
  <si>
    <t>2623938500亿</t>
  </si>
  <si>
    <t>4.29亿</t>
  </si>
  <si>
    <t>-4.92亿</t>
  </si>
  <si>
    <t>-1.85亿</t>
  </si>
  <si>
    <t>10.37亿</t>
  </si>
  <si>
    <t>12.12亿</t>
  </si>
  <si>
    <t>10转4股派5元(含税)</t>
  </si>
  <si>
    <t>其他酒类</t>
  </si>
  <si>
    <t>5957.18万</t>
  </si>
  <si>
    <t>公司主营业务为预调鸡尾酒和香精香料的研发、生产和销售业务。主要产品为食用香精、预调鸡尾酒等。
市值411.97775亿, 利润6.66亿; PE101, PB11.98; ROIC18.4733%; ROE19.3833%; 股利率1.2745%; 毛利65.21%; 净利23.1467%; 上一年度营收增34.61%, 利润增24.25%; 当季营收增-13.5%, 利润增-56.76%; 过往5年营收增23.38%, 利润增87.42%
Income profile:
预调鸡尾酒(含气泡水等) 8.66亿 83.55% 84.26% 62.39%
食用香精 1.38亿 13.29% 13.51% 62.90%</t>
  </si>
  <si>
    <t>23.04亿</t>
  </si>
  <si>
    <t>107.91亿</t>
  </si>
  <si>
    <t>2811023000亿</t>
  </si>
  <si>
    <t>39.53亿</t>
  </si>
  <si>
    <t>550.97万</t>
  </si>
  <si>
    <t>-3053513亿</t>
  </si>
  <si>
    <t>299.80万</t>
  </si>
  <si>
    <t>412390730亿</t>
  </si>
  <si>
    <t>16.80亿</t>
  </si>
  <si>
    <t>153416540亿</t>
  </si>
  <si>
    <t>5222753000亿</t>
  </si>
  <si>
    <t>4.90亿</t>
  </si>
  <si>
    <t>4.85亿</t>
  </si>
  <si>
    <t>19.82亿</t>
  </si>
  <si>
    <t>-5.00亿</t>
  </si>
  <si>
    <t>33.95亿</t>
  </si>
  <si>
    <t>50.74亿</t>
  </si>
  <si>
    <t>51.42亿</t>
  </si>
  <si>
    <t>49.33亿</t>
  </si>
  <si>
    <t>47.18亿</t>
  </si>
  <si>
    <t>4.71亿</t>
  </si>
  <si>
    <t>11.41亿</t>
  </si>
  <si>
    <t>10.32亿</t>
  </si>
  <si>
    <t>26.71亿</t>
  </si>
  <si>
    <t>18.74亿</t>
  </si>
  <si>
    <t>10派4.5元(含税)</t>
  </si>
  <si>
    <t>620.77万</t>
  </si>
  <si>
    <t>4147.93万</t>
  </si>
  <si>
    <t>0500000000</t>
  </si>
  <si>
    <t>01500000000</t>
  </si>
  <si>
    <t>03000000000</t>
  </si>
  <si>
    <t>05000000000</t>
  </si>
  <si>
    <t>010000000000</t>
  </si>
  <si>
    <t>公司从事的主要业务为生产经营葡萄酒和白兰地，从而为国内外消费者提供健康、时尚的酒类饮品。经过过去10余年的快速发展，公司已居国内葡萄酒行业龙头地位，这在未来的竞争中，具有一定的比较优势。
市值207.83268亿, 利润5.00亿; PE43.04, PB1.97; ROIC6.4%; ROE6.9033%; 股利率1.4842%; 毛利58.7033%; 净利18.05%; 上一年度营收增16.44%, 利润增6.16%; 当季营收增7.66%, 利润增-4.56%; 过往5年营收增-1.84%, 利润增-7.4%
Income profile:
葡萄酒 13.97亿 71.51% 71.89% 58.23%
白兰地 5.12亿 26.22% 25.41% 56.14%
旅游业务 2984.78万 1.53% 1.78% 67.47%</t>
  </si>
  <si>
    <t>5.25亿</t>
  </si>
  <si>
    <t>54.59亿</t>
  </si>
  <si>
    <t>1121356850亿</t>
  </si>
  <si>
    <t>15.77亿</t>
  </si>
  <si>
    <t>7.15亿</t>
  </si>
  <si>
    <t>7615.21万</t>
  </si>
  <si>
    <t>622.58万</t>
  </si>
  <si>
    <t>6457000亿</t>
  </si>
  <si>
    <t>65.42万</t>
  </si>
  <si>
    <t>119492892亿</t>
  </si>
  <si>
    <t>146399000亿</t>
  </si>
  <si>
    <t>4003989800亿</t>
  </si>
  <si>
    <t>45.38万</t>
  </si>
  <si>
    <t>-6661.36万</t>
  </si>
  <si>
    <t>9445.56万</t>
  </si>
  <si>
    <t>-7487.42万</t>
  </si>
  <si>
    <t>17.59亿</t>
  </si>
  <si>
    <t>17.17亿</t>
  </si>
  <si>
    <t>15.35亿</t>
  </si>
  <si>
    <t>10.98亿</t>
  </si>
  <si>
    <t>8987.84万</t>
  </si>
  <si>
    <t>8810.81万</t>
  </si>
  <si>
    <t>10派0.80元(含税)</t>
  </si>
  <si>
    <t>公司所从事的主要业务是黄酒的制造、销售及研发。公司的主要产品为中高档酒、普通酒、玻璃制品。主要产品古越龙山、女儿红、状元红、沈永和、鉴湖牌等绍兴黄酒是中国首批国家地理标志产品。
市值87.872689亿, 利润2.00亿; PE43.2, PB1.62; ROIC3.99%; ROE4.2267%; 股利率.8299%; 毛利37.8733%; 净利11.56%; 上一年度营收增21.21%, 利润增33.33%; 当季营收增.71%, 利润增1.75%; 过往5年营收增1.83%, 利润增13.23%
Income profile:
酒及酒原料生产与销售 7.48亿 95.33% 94.02% 35.73%
其他业务 2080.37万 2.65% 6.28% 85.82%</t>
  </si>
  <si>
    <t>21.39亿</t>
  </si>
  <si>
    <t>132440609亿</t>
  </si>
  <si>
    <t>1690.50万</t>
  </si>
  <si>
    <t>5478.48万</t>
  </si>
  <si>
    <t>4265.27万</t>
  </si>
  <si>
    <t>3572.68万</t>
  </si>
  <si>
    <t>4000000亿</t>
  </si>
  <si>
    <t>62.08万</t>
  </si>
  <si>
    <t>-10879766亿</t>
  </si>
  <si>
    <t>1.39亿</t>
  </si>
  <si>
    <t>30339028亿</t>
  </si>
  <si>
    <t>609.40万</t>
  </si>
  <si>
    <t>1843109800亿</t>
  </si>
  <si>
    <t>2.34万</t>
  </si>
  <si>
    <t>2569.99万</t>
  </si>
  <si>
    <t>55.91万</t>
  </si>
  <si>
    <t>1605.25万</t>
  </si>
  <si>
    <t>769.52万</t>
  </si>
  <si>
    <t>-2939.07万</t>
  </si>
  <si>
    <t>9461.49万</t>
  </si>
  <si>
    <t>-5640.32万</t>
  </si>
  <si>
    <t>1491.94万</t>
  </si>
  <si>
    <t>-1.57亿</t>
  </si>
  <si>
    <t>-8988.02万</t>
  </si>
  <si>
    <t>1272.52万</t>
  </si>
  <si>
    <t>9619.45万</t>
  </si>
  <si>
    <t>28.69万</t>
  </si>
  <si>
    <t>783.26万</t>
  </si>
  <si>
    <t>1124.45万</t>
  </si>
  <si>
    <t>2938.24万</t>
  </si>
  <si>
    <t>公司主营业务为葡萄酒的销售，葡萄种植、生产、销售。其主要产品包括高档酒、中低档酒、原酒。 　　在国内领域，公司尼雅品牌斩获“第十届亚洲葡萄酒质量大赛”金奖等多个奖项
市值77.200033亿, 利润1690.50万; PE2788, PB3.59; ROIC-.3%; ROE-.3767%; 股利率0%; 毛利54.27%; 净利-18.03%; 上一年度营收增129.35%, 利润增129.97%; 当季营收增3.56%, 利润增-93.16%; 过往5年营收增15.36%, 利润增-223.91%
Income profile:
中低档酒 9472.22万 43.60% 32.15% 40.09%
高档酒 9362.21万 43.10% 58.95% 74.37%
原酒 1269.96万 5.85% 1.91% 17.75%</t>
  </si>
  <si>
    <t>815061640亿</t>
  </si>
  <si>
    <t>12.50亿</t>
  </si>
  <si>
    <t>4.88亿</t>
  </si>
  <si>
    <t>8064.72万</t>
  </si>
  <si>
    <t>8819.42万</t>
  </si>
  <si>
    <t>660.85万</t>
  </si>
  <si>
    <t>6757亿</t>
  </si>
  <si>
    <t>92.46万</t>
  </si>
  <si>
    <t>87359403亿</t>
  </si>
  <si>
    <t>150523220亿</t>
  </si>
  <si>
    <t>1852964200亿</t>
  </si>
  <si>
    <t>1797.55万</t>
  </si>
  <si>
    <t>4501.81万</t>
  </si>
  <si>
    <t>8742.79万</t>
  </si>
  <si>
    <t>29.05万</t>
  </si>
  <si>
    <t>4869.08万</t>
  </si>
  <si>
    <t>-1144.97万</t>
  </si>
  <si>
    <t>11.71亿</t>
  </si>
  <si>
    <t>12.89亿</t>
  </si>
  <si>
    <t>10.49亿</t>
  </si>
  <si>
    <t>7751.22万</t>
  </si>
  <si>
    <t>9800.45万</t>
  </si>
  <si>
    <t>8818.04万</t>
  </si>
  <si>
    <t>10派1.8元(含税)</t>
  </si>
  <si>
    <t>9231.47万</t>
  </si>
  <si>
    <t>公司主要从事黄酒的生产、销售和研发等业务，公司的主要产品为中高档黄酒、普通黄酒。公司获得了“中国驰名商标”、“中华老字号”、“国家地理标志保护产品”等多项荣誉。
市值65.65152亿, 利润2.84亿; PE23.01, PB1.8; ROIC7.2733%; ROE7.42%; 股利率1.3636%; 毛利44.0967%; 净利18.2733%; 上一年度营收增12.82%, 利润增-1.73%; 当季营收增15.91%, 利润增124.34%; 过往5年营收增4.2%, 利润增18.49%
Income profile:
中高档酒 7.72亿 61.78% 71.78% 48.14%
普通黄酒及其他酒 4.59亿 36.68% 25.61% 28.93%
其他业务 1928.80万 1.54% 2.62% 70.29%</t>
  </si>
  <si>
    <t>573712740亿</t>
  </si>
  <si>
    <t>-6014.09万</t>
  </si>
  <si>
    <t>6457.32万</t>
  </si>
  <si>
    <t>5632.82万</t>
  </si>
  <si>
    <t>302.44万</t>
  </si>
  <si>
    <t>19010285亿</t>
  </si>
  <si>
    <t>16.97万</t>
  </si>
  <si>
    <t>-48510592亿</t>
  </si>
  <si>
    <t>5992.35万</t>
  </si>
  <si>
    <t>144225880亿</t>
  </si>
  <si>
    <t>697069970亿</t>
  </si>
  <si>
    <t>2048.42万</t>
  </si>
  <si>
    <t>8697.71万</t>
  </si>
  <si>
    <t>6447.01万</t>
  </si>
  <si>
    <t>-132.45万</t>
  </si>
  <si>
    <t>960.27万</t>
  </si>
  <si>
    <t>-3808.48万</t>
  </si>
  <si>
    <t>8.08亿</t>
  </si>
  <si>
    <t>6.25亿</t>
  </si>
  <si>
    <t>7.06亿</t>
  </si>
  <si>
    <t>2430.88万</t>
  </si>
  <si>
    <t>-2.68亿</t>
  </si>
  <si>
    <t>4051.33万</t>
  </si>
  <si>
    <t>-1.06亿</t>
  </si>
  <si>
    <t>-3525.01万</t>
  </si>
  <si>
    <t>6.79亿</t>
  </si>
  <si>
    <t>1113.28万</t>
  </si>
  <si>
    <t>-1276.51万</t>
  </si>
  <si>
    <t>1585.57万</t>
  </si>
  <si>
    <t>19.62亿</t>
  </si>
  <si>
    <t>公司主营业务为酒类产品的生产和销售,主要产品有健康保健酒“椰岛鹿龟酒”与“椰岛海王酒”,白酒“海口大曲”与“椰岛原浆”等,同时公司布局椰汁类生态饮品和软饮料(非碳酸),并开展商品贸易与供应链业务协同发展。
市值61.00002亿, 利润-6014.09万; PE, PB12.69; ROIC-7.89%; ROE-15.7467%; 股利率0%; 毛利22.5467%; 净利-11.8533%; 上一年度营收增3.09%, 利润增-347.4%; 当季营收增-28.57%, 利润增12.8%; 过往5年营收增3.55%, 利润增-212.47%
Income profile:
贸易 4.03亿 48.41% 0.32% 0.13%
酒类 3.37亿 40.41% 94.34% 46.13%
食品饮料 6633.80万 7.96% 2.16% 5.36%
其他 2682.33万 3.22% 3.18% 19.53%</t>
  </si>
  <si>
    <t>416434690亿</t>
  </si>
  <si>
    <t>6.49亿</t>
  </si>
  <si>
    <t>-1284.58万</t>
  </si>
  <si>
    <t>7787.10万</t>
  </si>
  <si>
    <t>9211.99万</t>
  </si>
  <si>
    <t>133.65万</t>
  </si>
  <si>
    <t>1203598亿</t>
  </si>
  <si>
    <t>29.44万</t>
  </si>
  <si>
    <t>-19509879亿</t>
  </si>
  <si>
    <t>83390856亿</t>
  </si>
  <si>
    <t>300.00万</t>
  </si>
  <si>
    <t>1531744400亿</t>
  </si>
  <si>
    <t>614.42万</t>
  </si>
  <si>
    <t>68.38万</t>
  </si>
  <si>
    <t>1042.64万</t>
  </si>
  <si>
    <t>5668.09万</t>
  </si>
  <si>
    <t>3100.00万</t>
  </si>
  <si>
    <t>3507.59万</t>
  </si>
  <si>
    <t>-2643.51万</t>
  </si>
  <si>
    <t>-2198.40万</t>
  </si>
  <si>
    <t>8.98亿</t>
  </si>
  <si>
    <t>9.87亿</t>
  </si>
  <si>
    <t>10.75亿</t>
  </si>
  <si>
    <t>1223.97万</t>
  </si>
  <si>
    <t>2944.72万</t>
  </si>
  <si>
    <t>-6888.02万</t>
  </si>
  <si>
    <t>5518.46万</t>
  </si>
  <si>
    <t>6729.55万</t>
  </si>
  <si>
    <t>2.32亿</t>
  </si>
  <si>
    <t>-1990.36万</t>
  </si>
  <si>
    <t>-2308.20万</t>
  </si>
  <si>
    <t>-2280.94万</t>
  </si>
  <si>
    <t>5725.83万</t>
  </si>
  <si>
    <t>公司主营业务是从事以黄酒为核心的酒类生产经营业务。主要产品是黄酒、葡萄酒。
市值44.154327亿, 利润-1284.58万; PE, PB2.34; ROIC.51%; ROE.4933%; 股利率.4545%; 毛利42.3133%; 净利-1.2433%; 上一年度营收增6.74%, 利润增-204.95%; 当季营收增13.85%, 利润增1159.82%; 过往5年营收增-8.19%, 利润增-72.69%
Income profile:
黄酒 6.31亿 97.63% 99.06% 43.35%
其他业务 1068.89万 1.65% 0.66% 16.99%
葡萄酒 462.34万 0.72% 0.29% 17.17%</t>
  </si>
  <si>
    <t>7.12亿</t>
  </si>
  <si>
    <t>6.95亿</t>
  </si>
  <si>
    <t>329826500亿</t>
  </si>
  <si>
    <t>-4.14亿</t>
  </si>
  <si>
    <t>8180.54万</t>
  </si>
  <si>
    <t>2819.95万</t>
  </si>
  <si>
    <t>174.71万</t>
  </si>
  <si>
    <t>10.36万</t>
  </si>
  <si>
    <t>3174029亿</t>
  </si>
  <si>
    <t>3138.07万</t>
  </si>
  <si>
    <t>25515276亿</t>
  </si>
  <si>
    <t>4951.59万</t>
  </si>
  <si>
    <t>699270760亿</t>
  </si>
  <si>
    <t>117.50万</t>
  </si>
  <si>
    <t>7913.79万</t>
  </si>
  <si>
    <t>3471.27万</t>
  </si>
  <si>
    <t>-634.76万</t>
  </si>
  <si>
    <t>-3342.31万</t>
  </si>
  <si>
    <t>7.82亿</t>
  </si>
  <si>
    <t>-2.20亿</t>
  </si>
  <si>
    <t>-2586.51万</t>
  </si>
  <si>
    <t>5164.03万</t>
  </si>
  <si>
    <t>6346.72万</t>
  </si>
  <si>
    <t>5878.99万</t>
  </si>
  <si>
    <t>12.82万</t>
  </si>
  <si>
    <t>299.23万</t>
  </si>
  <si>
    <t>-121.25万</t>
  </si>
  <si>
    <t>2322.13万</t>
  </si>
  <si>
    <t>公司的主营业务是酿酒葡萄种植、葡萄酒生产及销售。公司主要产品有有机葡萄酒、传统葡萄酒、 葡萄蒸馏酒、白兰地等系列产品。威龙甘肃武威有机酒庄获“2019葡萄酒行业十大中国精品酒庄”；澳洲威龙单蔓有机葡萄酒·A30获“2019葡萄酒行业十大影响力品牌”。
市值20.530623亿, 利润-4.14亿; PE, PB2.96; ROIC-10.8867%; ROE-14.82%; 股利率0%; 毛利44.0067%; 净利-19.9367%; 上一年度营收增20.92%, 利润增-88.18%; 当季营收增17.59%, 利润增-10.57%; 过往5年营收增-6.91%, 利润增-199.9%
Income profile:
酒类生产与销售分部 2.12亿 94.41% 100.86% 53.69%
农牧业生产分部 1253.64万 5.59% -0.86% -7.74%</t>
  </si>
  <si>
    <t>10.05亿</t>
  </si>
  <si>
    <t>74812199亿</t>
  </si>
  <si>
    <t>-9869.57万</t>
  </si>
  <si>
    <t>5416.86万</t>
  </si>
  <si>
    <t>3329.64万</t>
  </si>
  <si>
    <t>3060.08万</t>
  </si>
  <si>
    <t>81.88万</t>
  </si>
  <si>
    <t>12.38万</t>
  </si>
  <si>
    <t>-43872828亿</t>
  </si>
  <si>
    <t>48505584亿</t>
  </si>
  <si>
    <t>422836080亿</t>
  </si>
  <si>
    <t>3629.16万</t>
  </si>
  <si>
    <t>122.27万</t>
  </si>
  <si>
    <t>9553.85万</t>
  </si>
  <si>
    <t>649.57万</t>
  </si>
  <si>
    <t>-1816.61万</t>
  </si>
  <si>
    <t>-409.11万</t>
  </si>
  <si>
    <t>185.96万</t>
  </si>
  <si>
    <t>2742.74万</t>
  </si>
  <si>
    <t>2724.64万</t>
  </si>
  <si>
    <t>2409.19万</t>
  </si>
  <si>
    <t>2032.86万</t>
  </si>
  <si>
    <t>4755.55万</t>
  </si>
  <si>
    <t>6310.45万</t>
  </si>
  <si>
    <t>-2775.37万</t>
  </si>
  <si>
    <t>-2755.12万</t>
  </si>
  <si>
    <t>-1569.96万</t>
  </si>
  <si>
    <t>3872.90万</t>
  </si>
  <si>
    <t xml:space="preserve">公司是一家主要从事莫高系列葡萄酒类生产、批发;葡萄原料、脱毒苗木、种条的繁育、销售的公司。公司的主要产品为为大麦芽、葡萄及葡萄酒、甘草系列产品。2009年“莫高”牌葡萄酒被国家工商总局商标评审委认定为“中国驰名商标”。
市值18.560736亿, 利润-9869.57万; PE, PB1.8; ROIC-2.24%; ROE-2.0933%; 股利率0%; 毛利51.92%; 净利-18.1867%; 上一年度营收增5.26%, 利润增-5407.36%; 当季营收增-31.68%, 利润增-21.66%; 过往5年营收增-6.83%, 利润增-1093.66%
Income profile:
中高档 1641.63万 51.99%
普通 1516.18万 48.01% </t>
  </si>
  <si>
    <t>1.鸡尾酒；</t>
    <phoneticPr fontId="1" type="noConversion"/>
  </si>
  <si>
    <t>1.葡萄酒；</t>
    <phoneticPr fontId="1" type="noConversion"/>
  </si>
  <si>
    <t>1.葡萄酒；</t>
    <phoneticPr fontId="1" type="noConversion"/>
  </si>
  <si>
    <t>1.黄酒；</t>
    <phoneticPr fontId="1" type="noConversion"/>
  </si>
  <si>
    <t>1.黄酒；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</si>
</sst>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u/>
      <sz val="11"/>
      <color theme="1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</font>
    <font>
      <sz val="9"/>
      <color theme="1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 applyFill="0" applyProtection="0"/>
    <xf numFmtId="0" fontId="5" fillId="0" borderId="0" applyNumberForma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6" fillId="0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2" borderId="0" xfId="0" applyFont="1" applyFill="1" applyAlignment="1">
      <alignment vertical="center" wrapText="1"/>
    </xf>
    <xf numFmtId="0" fontId="0" fillId="0" borderId="0" xfId="0" applyAlignment="1">
      <alignment vertical="center"/>
    </xf>
    <xf numFmtId="9" fontId="0" fillId="0" borderId="0" xfId="0" applyNumberFormat="1" applyAlignment="1">
      <alignment vertical="center"/>
    </xf>
    <xf numFmtId="0" fontId="7" fillId="5" borderId="0" xfId="0" applyFont="1" applyFill="1" applyAlignment="1">
      <alignment vertical="center" wrapText="1"/>
    </xf>
    <xf numFmtId="0" fontId="3" fillId="2" borderId="0" xfId="0" applyFont="1" applyFill="1">
      <alignment vertical="center"/>
    </xf>
    <xf numFmtId="0" fontId="4" fillId="0" borderId="0" xfId="0" applyFont="1" applyFill="1">
      <alignment vertical="center"/>
    </xf>
    <xf numFmtId="0" fontId="3" fillId="3" borderId="0" xfId="0" applyFont="1" applyFill="1">
      <alignment vertical="center"/>
    </xf>
    <xf numFmtId="9" fontId="6" fillId="0" borderId="0" xfId="0" applyNumberFormat="1" applyFont="1" applyAlignment="1">
      <alignment vertical="center" wrapText="1"/>
    </xf>
    <xf numFmtId="0" fontId="0" fillId="0" borderId="0" xfId="0" applyBorder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Fill="1" applyBorder="1">
      <alignment vertical="center"/>
    </xf>
    <xf numFmtId="0" fontId="0" fillId="0" borderId="0" xfId="0" applyFill="1" applyBorder="1" applyAlignment="1" applyProtection="1">
      <alignment horizontal="left"/>
    </xf>
    <xf numFmtId="0" fontId="0" fillId="0" borderId="1" xfId="0" applyNumberFormat="1" applyFill="1" applyBorder="1" applyAlignment="1">
      <alignment vertical="center" wrapText="1"/>
    </xf>
    <xf numFmtId="0" fontId="0" fillId="4" borderId="1" xfId="0" applyNumberFormat="1" applyFill="1" applyBorder="1" applyAlignment="1">
      <alignment vertical="center" wrapText="1"/>
    </xf>
    <xf numFmtId="14" fontId="4" fillId="2" borderId="0" xfId="0" applyNumberFormat="1" applyFont="1" applyFill="1" applyBorder="1">
      <alignment vertical="center"/>
    </xf>
    <xf numFmtId="0" fontId="0" fillId="2" borderId="0" xfId="0" applyFill="1" applyBorder="1">
      <alignment vertical="center"/>
    </xf>
    <xf numFmtId="14" fontId="5" fillId="0" borderId="0" xfId="2" applyNumberFormat="1" applyBorder="1" applyAlignment="1">
      <alignment vertical="center" wrapText="1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0" fontId="9" fillId="0" borderId="0" xfId="0" applyFont="1" applyAlignment="1">
      <alignment vertical="center" wrapText="1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3">
    <cellStyle name="常规" xfId="0" builtinId="0"/>
    <cellStyle name="常规 2" xfId="1"/>
    <cellStyle name="超链接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12700</xdr:colOff>
      <xdr:row>40</xdr:row>
      <xdr:rowOff>25400</xdr:rowOff>
    </xdr:from>
    <xdr:to>
      <xdr:col>25</xdr:col>
      <xdr:colOff>412090</xdr:colOff>
      <xdr:row>55</xdr:row>
      <xdr:rowOff>101257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75900" y="7137400"/>
          <a:ext cx="5276190" cy="27428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37</xdr:row>
          <xdr:rowOff>53340</xdr:rowOff>
        </xdr:from>
        <xdr:to>
          <xdr:col>15</xdr:col>
          <xdr:colOff>548640</xdr:colOff>
          <xdr:row>59</xdr:row>
          <xdr:rowOff>91440</xdr:rowOff>
        </xdr:to>
        <xdr:sp macro="" textlink="">
          <xdr:nvSpPr>
            <xdr:cNvPr id="8205" name="Object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1</xdr:row>
          <xdr:rowOff>38100</xdr:rowOff>
        </xdr:from>
        <xdr:to>
          <xdr:col>25</xdr:col>
          <xdr:colOff>464820</xdr:colOff>
          <xdr:row>36</xdr:row>
          <xdr:rowOff>99060</xdr:rowOff>
        </xdr:to>
        <xdr:sp macro="" textlink="">
          <xdr:nvSpPr>
            <xdr:cNvPr id="8206" name="Object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14</xdr:col>
          <xdr:colOff>167640</xdr:colOff>
          <xdr:row>86</xdr:row>
          <xdr:rowOff>0</xdr:rowOff>
        </xdr:to>
        <xdr:sp macro="" textlink="">
          <xdr:nvSpPr>
            <xdr:cNvPr id="8207" name="Object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7.vml"/><Relationship Id="rId7" Type="http://schemas.openxmlformats.org/officeDocument/2006/relationships/image" Target="../media/image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EQ22"/>
  <sheetViews>
    <sheetView tabSelected="1" zoomScaleNormal="100" workbookViewId="0">
      <selection activeCell="J2" sqref="J2"/>
    </sheetView>
  </sheetViews>
  <sheetFormatPr defaultRowHeight="14.4" x14ac:dyDescent="0.25"/>
  <cols>
    <col min="2" max="2" width="35.88671875" customWidth="1"/>
    <col min="3" max="3" width="37.33203125" customWidth="1"/>
    <col min="4" max="4" width="52.6640625" customWidth="1"/>
    <col min="10" max="10" width="12.44140625" bestFit="1" customWidth="1"/>
  </cols>
  <sheetData>
    <row r="1" spans="1:147" s="15" customFormat="1" x14ac:dyDescent="0.25">
      <c r="A1" s="16" t="s">
        <v>223</v>
      </c>
      <c r="B1" s="19" t="s">
        <v>350</v>
      </c>
      <c r="C1" s="20" t="s">
        <v>351</v>
      </c>
      <c r="D1" s="19" t="s">
        <v>302</v>
      </c>
      <c r="E1" t="s">
        <v>2</v>
      </c>
      <c r="F1" t="s">
        <v>3</v>
      </c>
      <c r="G1" t="s">
        <v>0</v>
      </c>
      <c r="H1" t="s">
        <v>323</v>
      </c>
      <c r="I1" t="s">
        <v>352</v>
      </c>
      <c r="J1" t="s">
        <v>4</v>
      </c>
      <c r="K1" t="s">
        <v>5</v>
      </c>
      <c r="L1" t="s">
        <v>1</v>
      </c>
      <c r="M1" t="s">
        <v>6</v>
      </c>
      <c r="N1" t="s">
        <v>8</v>
      </c>
      <c r="O1" t="s">
        <v>9</v>
      </c>
      <c r="P1" t="s">
        <v>10</v>
      </c>
      <c r="Q1" t="s">
        <v>353</v>
      </c>
      <c r="R1" t="s">
        <v>324</v>
      </c>
      <c r="S1" t="s">
        <v>354</v>
      </c>
      <c r="T1" t="s">
        <v>11</v>
      </c>
      <c r="U1" t="s">
        <v>325</v>
      </c>
      <c r="V1" t="s">
        <v>326</v>
      </c>
      <c r="W1" t="s">
        <v>12</v>
      </c>
      <c r="X1" t="s">
        <v>273</v>
      </c>
      <c r="Y1" t="s">
        <v>274</v>
      </c>
      <c r="Z1" t="s">
        <v>275</v>
      </c>
      <c r="AA1" t="s">
        <v>276</v>
      </c>
      <c r="AB1" t="s">
        <v>277</v>
      </c>
      <c r="AC1" t="s">
        <v>327</v>
      </c>
      <c r="AD1" t="s">
        <v>278</v>
      </c>
      <c r="AE1" t="s">
        <v>355</v>
      </c>
      <c r="AF1" t="s">
        <v>13</v>
      </c>
      <c r="AG1" t="s">
        <v>14</v>
      </c>
      <c r="AH1" t="s">
        <v>328</v>
      </c>
      <c r="AI1" t="s">
        <v>356</v>
      </c>
      <c r="AJ1" t="s">
        <v>329</v>
      </c>
      <c r="AK1" t="s">
        <v>15</v>
      </c>
      <c r="AL1" t="s">
        <v>330</v>
      </c>
      <c r="AM1" t="s">
        <v>224</v>
      </c>
      <c r="AN1" t="s">
        <v>331</v>
      </c>
      <c r="AO1" t="s">
        <v>332</v>
      </c>
      <c r="AP1" t="s">
        <v>333</v>
      </c>
      <c r="AQ1" t="s">
        <v>334</v>
      </c>
      <c r="AR1" t="s">
        <v>335</v>
      </c>
      <c r="AS1" t="s">
        <v>336</v>
      </c>
      <c r="AT1" t="s">
        <v>337</v>
      </c>
      <c r="AU1" t="s">
        <v>338</v>
      </c>
      <c r="AV1" t="s">
        <v>339</v>
      </c>
      <c r="AW1" t="s">
        <v>340</v>
      </c>
      <c r="AX1" t="s">
        <v>341</v>
      </c>
      <c r="AY1" t="s">
        <v>357</v>
      </c>
      <c r="AZ1" t="s">
        <v>225</v>
      </c>
      <c r="BA1" t="s">
        <v>226</v>
      </c>
      <c r="BB1" t="s">
        <v>227</v>
      </c>
      <c r="BC1" t="s">
        <v>228</v>
      </c>
      <c r="BD1" t="s">
        <v>234</v>
      </c>
      <c r="BE1" t="s">
        <v>229</v>
      </c>
      <c r="BF1" t="s">
        <v>230</v>
      </c>
      <c r="BG1" t="s">
        <v>231</v>
      </c>
      <c r="BH1" t="s">
        <v>232</v>
      </c>
      <c r="BI1" t="s">
        <v>358</v>
      </c>
      <c r="BJ1" t="s">
        <v>342</v>
      </c>
      <c r="BK1" t="s">
        <v>233</v>
      </c>
      <c r="BL1" t="s">
        <v>343</v>
      </c>
      <c r="BM1" t="s">
        <v>344</v>
      </c>
      <c r="BN1" t="s">
        <v>345</v>
      </c>
      <c r="BO1" t="s">
        <v>346</v>
      </c>
      <c r="BP1" t="s">
        <v>235</v>
      </c>
      <c r="BQ1" t="s">
        <v>236</v>
      </c>
      <c r="BR1" t="s">
        <v>237</v>
      </c>
      <c r="BS1" t="s">
        <v>347</v>
      </c>
      <c r="BT1" t="s">
        <v>238</v>
      </c>
      <c r="BU1" t="s">
        <v>239</v>
      </c>
      <c r="BV1" t="s">
        <v>240</v>
      </c>
      <c r="BW1" t="s">
        <v>348</v>
      </c>
      <c r="BX1" t="s">
        <v>241</v>
      </c>
      <c r="BY1" t="s">
        <v>242</v>
      </c>
      <c r="BZ1" t="s">
        <v>349</v>
      </c>
      <c r="CA1" t="s">
        <v>243</v>
      </c>
      <c r="CB1" t="s">
        <v>244</v>
      </c>
      <c r="CC1" t="s">
        <v>359</v>
      </c>
      <c r="CD1" t="s">
        <v>360</v>
      </c>
      <c r="CE1" t="s">
        <v>361</v>
      </c>
      <c r="CF1" t="s">
        <v>362</v>
      </c>
      <c r="CG1" s="1" t="s">
        <v>279</v>
      </c>
      <c r="CH1" s="1" t="s">
        <v>280</v>
      </c>
      <c r="CI1" s="1" t="s">
        <v>281</v>
      </c>
      <c r="CJ1" s="1" t="s">
        <v>282</v>
      </c>
      <c r="CK1" s="1" t="s">
        <v>283</v>
      </c>
      <c r="CL1" s="1" t="s">
        <v>284</v>
      </c>
      <c r="CM1" s="1" t="s">
        <v>285</v>
      </c>
      <c r="CN1" s="1" t="s">
        <v>286</v>
      </c>
      <c r="CO1" s="1" t="s">
        <v>287</v>
      </c>
      <c r="CP1" s="1" t="s">
        <v>288</v>
      </c>
      <c r="CQ1" s="1" t="s">
        <v>289</v>
      </c>
      <c r="CR1" s="1" t="s">
        <v>290</v>
      </c>
      <c r="CS1" s="1" t="s">
        <v>363</v>
      </c>
      <c r="CT1" s="1" t="s">
        <v>311</v>
      </c>
      <c r="CU1" s="1" t="s">
        <v>291</v>
      </c>
      <c r="CV1" s="1" t="s">
        <v>312</v>
      </c>
      <c r="CW1" s="1" t="s">
        <v>292</v>
      </c>
      <c r="CX1" s="1" t="s">
        <v>313</v>
      </c>
      <c r="CY1">
        <v>1</v>
      </c>
      <c r="CZ1" t="s">
        <v>293</v>
      </c>
      <c r="DA1" t="s">
        <v>294</v>
      </c>
      <c r="DB1">
        <v>3</v>
      </c>
      <c r="DC1" t="s">
        <v>303</v>
      </c>
      <c r="DD1" t="s">
        <v>314</v>
      </c>
      <c r="DE1">
        <v>6</v>
      </c>
      <c r="DF1" t="s">
        <v>315</v>
      </c>
      <c r="DG1" t="s">
        <v>295</v>
      </c>
      <c r="DH1">
        <v>10</v>
      </c>
      <c r="DI1" t="s">
        <v>316</v>
      </c>
      <c r="DJ1" t="s">
        <v>364</v>
      </c>
      <c r="DK1">
        <v>20</v>
      </c>
      <c r="DL1" t="s">
        <v>296</v>
      </c>
      <c r="DM1" t="s">
        <v>297</v>
      </c>
      <c r="DN1" t="s">
        <v>298</v>
      </c>
      <c r="DO1" s="2" t="s">
        <v>299</v>
      </c>
      <c r="DP1" t="s">
        <v>365</v>
      </c>
      <c r="DQ1" t="s">
        <v>300</v>
      </c>
      <c r="DR1" s="1" t="s">
        <v>317</v>
      </c>
      <c r="DS1" s="1" t="s">
        <v>301</v>
      </c>
      <c r="DT1" s="1" t="s">
        <v>304</v>
      </c>
      <c r="DU1" t="s">
        <v>366</v>
      </c>
      <c r="DV1" t="s">
        <v>367</v>
      </c>
      <c r="DW1" t="s">
        <v>318</v>
      </c>
      <c r="DX1" t="s">
        <v>368</v>
      </c>
      <c r="DY1" t="s">
        <v>369</v>
      </c>
      <c r="DZ1" t="s">
        <v>319</v>
      </c>
      <c r="EA1" t="s">
        <v>305</v>
      </c>
      <c r="EB1" t="s">
        <v>320</v>
      </c>
      <c r="EC1" t="s">
        <v>321</v>
      </c>
      <c r="ED1" t="s">
        <v>370</v>
      </c>
      <c r="EE1" t="s">
        <v>322</v>
      </c>
      <c r="EF1" t="s">
        <v>371</v>
      </c>
      <c r="EG1" t="s">
        <v>372</v>
      </c>
      <c r="EH1" t="s">
        <v>373</v>
      </c>
      <c r="EI1" t="s">
        <v>374</v>
      </c>
      <c r="EJ1" t="s">
        <v>375</v>
      </c>
      <c r="EK1"/>
    </row>
    <row r="2" spans="1:147" s="15" customFormat="1" ht="71.55" customHeight="1" x14ac:dyDescent="0.25">
      <c r="A2" s="23"/>
      <c r="B2" s="21"/>
      <c r="C2" s="22">
        <v>3</v>
      </c>
      <c r="D2" s="22">
        <v>22</v>
      </c>
      <c r="J2" s="22">
        <f>SUM(J3:J22)</f>
        <v>4734937168400</v>
      </c>
      <c r="T2" s="17"/>
      <c r="U2" s="17"/>
      <c r="V2" s="17"/>
      <c r="AB2" s="18"/>
    </row>
    <row r="3" spans="1:147" ht="108" x14ac:dyDescent="0.25">
      <c r="B3" s="28" t="s">
        <v>1267</v>
      </c>
      <c r="C3" s="28"/>
      <c r="D3" s="28" t="s">
        <v>654</v>
      </c>
      <c r="E3" t="s">
        <v>426</v>
      </c>
      <c r="F3" t="s">
        <v>427</v>
      </c>
      <c r="G3">
        <v>1887</v>
      </c>
      <c r="H3">
        <v>2.89</v>
      </c>
      <c r="I3" t="s">
        <v>569</v>
      </c>
      <c r="J3">
        <v>2370445200000</v>
      </c>
      <c r="K3">
        <v>39.78</v>
      </c>
      <c r="L3">
        <v>11.47</v>
      </c>
      <c r="M3" t="s">
        <v>424</v>
      </c>
      <c r="N3" t="s">
        <v>627</v>
      </c>
      <c r="O3" t="s">
        <v>628</v>
      </c>
      <c r="P3" t="s">
        <v>629</v>
      </c>
      <c r="Q3">
        <v>16.77</v>
      </c>
      <c r="R3" t="s">
        <v>428</v>
      </c>
      <c r="S3">
        <v>44399816000</v>
      </c>
      <c r="T3" s="3">
        <v>0.19139999999999999</v>
      </c>
      <c r="U3" t="s">
        <v>429</v>
      </c>
      <c r="V3">
        <v>1256197800</v>
      </c>
      <c r="W3">
        <v>1256197800</v>
      </c>
      <c r="X3">
        <v>1.1599999999999999</v>
      </c>
      <c r="Y3">
        <v>0.35</v>
      </c>
      <c r="Z3">
        <v>51.58</v>
      </c>
      <c r="AA3" t="s">
        <v>630</v>
      </c>
      <c r="AB3" t="s">
        <v>500</v>
      </c>
      <c r="AC3" t="s">
        <v>631</v>
      </c>
      <c r="AD3" t="s">
        <v>632</v>
      </c>
      <c r="AE3" t="s">
        <v>139</v>
      </c>
      <c r="AF3">
        <v>-1005471180</v>
      </c>
      <c r="AG3" t="s">
        <v>633</v>
      </c>
      <c r="AH3" t="s">
        <v>634</v>
      </c>
      <c r="AI3" t="s">
        <v>635</v>
      </c>
      <c r="AJ3" t="s">
        <v>636</v>
      </c>
      <c r="AK3" t="s">
        <v>29</v>
      </c>
      <c r="AL3" t="s">
        <v>63</v>
      </c>
      <c r="AM3" t="s">
        <v>637</v>
      </c>
      <c r="AN3" t="s">
        <v>7</v>
      </c>
      <c r="AO3" t="s">
        <v>638</v>
      </c>
      <c r="AP3" t="s">
        <v>7</v>
      </c>
      <c r="AQ3" t="s">
        <v>7</v>
      </c>
      <c r="AR3" t="s">
        <v>639</v>
      </c>
      <c r="AS3" t="s">
        <v>7</v>
      </c>
      <c r="AT3" t="s">
        <v>640</v>
      </c>
      <c r="AU3" t="s">
        <v>7</v>
      </c>
      <c r="AV3" t="s">
        <v>641</v>
      </c>
      <c r="AW3" t="s">
        <v>642</v>
      </c>
      <c r="AX3" t="s">
        <v>643</v>
      </c>
      <c r="AY3" t="s">
        <v>446</v>
      </c>
      <c r="AZ3" t="s">
        <v>447</v>
      </c>
      <c r="BA3" t="s">
        <v>448</v>
      </c>
      <c r="BB3" t="s">
        <v>449</v>
      </c>
      <c r="BC3" t="s">
        <v>450</v>
      </c>
      <c r="BD3" t="s">
        <v>451</v>
      </c>
      <c r="BE3" t="s">
        <v>452</v>
      </c>
      <c r="BF3" t="s">
        <v>453</v>
      </c>
      <c r="BG3" t="s">
        <v>454</v>
      </c>
      <c r="BH3" t="s">
        <v>455</v>
      </c>
      <c r="BI3" t="s">
        <v>644</v>
      </c>
      <c r="BJ3" t="s">
        <v>645</v>
      </c>
      <c r="BK3" t="s">
        <v>646</v>
      </c>
      <c r="BL3" t="s">
        <v>647</v>
      </c>
      <c r="BM3" t="s">
        <v>648</v>
      </c>
      <c r="BN3" t="s">
        <v>649</v>
      </c>
      <c r="BO3">
        <v>27.54</v>
      </c>
      <c r="BP3">
        <v>29.55</v>
      </c>
      <c r="BQ3">
        <v>31.29</v>
      </c>
      <c r="BR3">
        <v>29.9</v>
      </c>
      <c r="BS3">
        <v>31.41</v>
      </c>
      <c r="BT3">
        <v>33.090000000000003</v>
      </c>
      <c r="BU3" t="s">
        <v>650</v>
      </c>
      <c r="BV3" t="s">
        <v>651</v>
      </c>
      <c r="BW3">
        <v>92.11</v>
      </c>
      <c r="BX3">
        <v>91.41</v>
      </c>
      <c r="BY3">
        <v>91.3</v>
      </c>
      <c r="BZ3">
        <v>53.99</v>
      </c>
      <c r="CA3">
        <v>52.18</v>
      </c>
      <c r="CB3">
        <v>51.47</v>
      </c>
      <c r="CC3">
        <v>4.6100000000000003</v>
      </c>
      <c r="CD3">
        <v>17.29</v>
      </c>
      <c r="CE3" t="s">
        <v>652</v>
      </c>
      <c r="CF3" t="s">
        <v>653</v>
      </c>
      <c r="CG3" s="24">
        <v>0.1560646840148702</v>
      </c>
      <c r="CH3" s="25">
        <v>0.15808880431335237</v>
      </c>
      <c r="CI3" s="24">
        <v>0.11705941706895828</v>
      </c>
      <c r="CJ3" s="24">
        <v>0.14705602824687958</v>
      </c>
      <c r="CK3" s="24">
        <v>0.1601189523935318</v>
      </c>
      <c r="CL3" s="24">
        <v>0.26488372683525085</v>
      </c>
      <c r="CM3" s="24">
        <v>0.49807009100914001</v>
      </c>
      <c r="CN3" s="25">
        <v>0.1234126016497612</v>
      </c>
      <c r="CO3" s="25">
        <v>0.13325726985931396</v>
      </c>
      <c r="CP3" s="25">
        <v>0.17049197852611542</v>
      </c>
      <c r="CQ3" s="25">
        <v>0.30004808306694031</v>
      </c>
      <c r="CR3" s="25">
        <v>0.61975115537643433</v>
      </c>
      <c r="CS3">
        <v>21.655020828765618</v>
      </c>
      <c r="CT3">
        <v>84623011.818528399</v>
      </c>
      <c r="CU3">
        <v>1.1486486486486487</v>
      </c>
      <c r="CV3" s="24">
        <v>0.23743764311075211</v>
      </c>
      <c r="CW3" s="25">
        <v>0.26939221769571303</v>
      </c>
      <c r="CX3">
        <v>0.06</v>
      </c>
      <c r="CY3">
        <v>35.781432190582464</v>
      </c>
      <c r="CZ3">
        <v>61241489393.952873</v>
      </c>
      <c r="DA3">
        <v>0.23743764311075211</v>
      </c>
      <c r="DB3">
        <v>10.343045991907246</v>
      </c>
      <c r="DC3">
        <v>211862946535.72601</v>
      </c>
      <c r="DD3">
        <v>0.22556576095521449</v>
      </c>
      <c r="DE3">
        <v>4.2852943113022706</v>
      </c>
      <c r="DF3">
        <v>511355356438.53528</v>
      </c>
      <c r="DG3">
        <v>0.20894512593746187</v>
      </c>
      <c r="DH3">
        <v>2.0938992157452714</v>
      </c>
      <c r="DI3">
        <v>1046520378594.2764</v>
      </c>
      <c r="DJ3">
        <v>0.18995011448860169</v>
      </c>
      <c r="DK3">
        <v>0.66142458583327191</v>
      </c>
      <c r="DL3">
        <v>3313012922311.2554</v>
      </c>
      <c r="DM3">
        <v>0.16620635017752647</v>
      </c>
      <c r="DN3">
        <v>52460000000</v>
      </c>
      <c r="DO3">
        <v>0.23743764311075211</v>
      </c>
      <c r="DP3">
        <v>2191308200000</v>
      </c>
      <c r="DQ3">
        <v>176605790000</v>
      </c>
      <c r="DR3">
        <v>3144</v>
      </c>
      <c r="DS3">
        <v>-8.1372959095881908E-2</v>
      </c>
      <c r="DT3">
        <v>-0.11130341338236066</v>
      </c>
      <c r="DU3" s="26">
        <v>0.56999999999999995</v>
      </c>
      <c r="DV3">
        <v>0.67</v>
      </c>
      <c r="DW3">
        <v>1.24</v>
      </c>
      <c r="DX3">
        <v>8.2666281087333715</v>
      </c>
      <c r="DY3">
        <v>0.49025884414064452</v>
      </c>
      <c r="DZ3">
        <v>8.0400632314336828</v>
      </c>
      <c r="EA3">
        <v>1180</v>
      </c>
      <c r="EB3">
        <v>8.0304526168592272</v>
      </c>
      <c r="EC3">
        <v>8</v>
      </c>
      <c r="ED3">
        <v>9.9954004058914903E-3</v>
      </c>
      <c r="EE3">
        <v>6.6521211866475152E-2</v>
      </c>
      <c r="EF3" s="27">
        <v>1.8068999999999998E-2</v>
      </c>
      <c r="EG3">
        <v>4.7E-2</v>
      </c>
      <c r="EH3">
        <v>34.150258844140644</v>
      </c>
      <c r="EI3" t="s">
        <v>398</v>
      </c>
      <c r="EJ3">
        <v>0</v>
      </c>
      <c r="EK3">
        <v>1</v>
      </c>
      <c r="EL3" s="29">
        <v>44939</v>
      </c>
      <c r="EM3" s="30">
        <v>2.0799999999999999E-2</v>
      </c>
      <c r="EN3" s="30">
        <v>7.1999999999999998E-3</v>
      </c>
      <c r="EO3" s="30">
        <v>-5.1000000000000004E-3</v>
      </c>
      <c r="EP3" s="30">
        <v>-5.8999999999999999E-3</v>
      </c>
      <c r="EQ3" s="30">
        <v>2.89</v>
      </c>
    </row>
    <row r="4" spans="1:147" ht="129.6" x14ac:dyDescent="0.25">
      <c r="B4" s="28" t="s">
        <v>1268</v>
      </c>
      <c r="C4" s="28"/>
      <c r="D4" s="28" t="s">
        <v>696</v>
      </c>
      <c r="E4" t="s">
        <v>570</v>
      </c>
      <c r="F4" t="s">
        <v>571</v>
      </c>
      <c r="G4">
        <v>198.58</v>
      </c>
      <c r="H4">
        <v>2.68</v>
      </c>
      <c r="I4" t="s">
        <v>572</v>
      </c>
      <c r="J4">
        <v>770809720000</v>
      </c>
      <c r="K4">
        <v>29.6</v>
      </c>
      <c r="L4">
        <v>7.18</v>
      </c>
      <c r="M4" t="s">
        <v>424</v>
      </c>
      <c r="N4" t="s">
        <v>655</v>
      </c>
      <c r="O4" t="s">
        <v>656</v>
      </c>
      <c r="P4" t="s">
        <v>657</v>
      </c>
      <c r="Q4">
        <v>12.19</v>
      </c>
      <c r="R4" t="s">
        <v>658</v>
      </c>
      <c r="S4">
        <v>19989335000</v>
      </c>
      <c r="T4" s="3">
        <v>0.15359999999999999</v>
      </c>
      <c r="U4" t="s">
        <v>659</v>
      </c>
      <c r="V4">
        <v>3881445200</v>
      </c>
      <c r="W4">
        <v>3881608000</v>
      </c>
      <c r="X4">
        <v>1.23</v>
      </c>
      <c r="Y4">
        <v>0.41</v>
      </c>
      <c r="Z4">
        <v>37.58</v>
      </c>
      <c r="AA4" t="s">
        <v>660</v>
      </c>
      <c r="AB4" t="s">
        <v>661</v>
      </c>
      <c r="AC4" t="s">
        <v>456</v>
      </c>
      <c r="AD4" t="s">
        <v>662</v>
      </c>
      <c r="AE4" t="s">
        <v>99</v>
      </c>
      <c r="AF4">
        <v>-1493820200</v>
      </c>
      <c r="AG4" t="s">
        <v>663</v>
      </c>
      <c r="AH4" t="s">
        <v>664</v>
      </c>
      <c r="AI4" t="s">
        <v>665</v>
      </c>
      <c r="AJ4" t="s">
        <v>666</v>
      </c>
      <c r="AK4" t="s">
        <v>667</v>
      </c>
      <c r="AL4" t="s">
        <v>668</v>
      </c>
      <c r="AM4" t="s">
        <v>669</v>
      </c>
      <c r="AN4" t="s">
        <v>7</v>
      </c>
      <c r="AO4" t="s">
        <v>670</v>
      </c>
      <c r="AP4" t="s">
        <v>7</v>
      </c>
      <c r="AQ4" t="s">
        <v>671</v>
      </c>
      <c r="AR4" t="s">
        <v>672</v>
      </c>
      <c r="AS4" t="s">
        <v>673</v>
      </c>
      <c r="AT4" t="s">
        <v>674</v>
      </c>
      <c r="AU4" t="s">
        <v>7</v>
      </c>
      <c r="AV4" t="s">
        <v>675</v>
      </c>
      <c r="AW4" t="s">
        <v>676</v>
      </c>
      <c r="AX4" t="s">
        <v>677</v>
      </c>
      <c r="AY4" t="s">
        <v>678</v>
      </c>
      <c r="AZ4" t="s">
        <v>679</v>
      </c>
      <c r="BA4" t="s">
        <v>680</v>
      </c>
      <c r="BB4" t="s">
        <v>681</v>
      </c>
      <c r="BC4" t="s">
        <v>682</v>
      </c>
      <c r="BD4" t="s">
        <v>683</v>
      </c>
      <c r="BE4" t="s">
        <v>684</v>
      </c>
      <c r="BF4" t="s">
        <v>685</v>
      </c>
      <c r="BG4" t="s">
        <v>686</v>
      </c>
      <c r="BH4" t="s">
        <v>687</v>
      </c>
      <c r="BI4" t="s">
        <v>688</v>
      </c>
      <c r="BJ4" t="s">
        <v>689</v>
      </c>
      <c r="BK4" t="s">
        <v>690</v>
      </c>
      <c r="BL4" t="s">
        <v>691</v>
      </c>
      <c r="BM4" t="s">
        <v>692</v>
      </c>
      <c r="BN4" t="s">
        <v>693</v>
      </c>
      <c r="BO4">
        <v>24.31</v>
      </c>
      <c r="BP4">
        <v>23.98</v>
      </c>
      <c r="BQ4">
        <v>24.1</v>
      </c>
      <c r="BR4">
        <v>25.3</v>
      </c>
      <c r="BS4">
        <v>24.94</v>
      </c>
      <c r="BT4">
        <v>25.26</v>
      </c>
      <c r="BU4" t="s">
        <v>694</v>
      </c>
      <c r="BV4" t="s">
        <v>651</v>
      </c>
      <c r="BW4">
        <v>76.92</v>
      </c>
      <c r="BX4">
        <v>74.16</v>
      </c>
      <c r="BY4">
        <v>74.459999999999994</v>
      </c>
      <c r="BZ4">
        <v>38.450000000000003</v>
      </c>
      <c r="CA4">
        <v>36.479999999999997</v>
      </c>
      <c r="CB4">
        <v>36.369999999999997</v>
      </c>
      <c r="CC4">
        <v>4.26</v>
      </c>
      <c r="CD4">
        <v>20.65</v>
      </c>
      <c r="CE4" t="s">
        <v>30</v>
      </c>
      <c r="CF4" t="s">
        <v>695</v>
      </c>
      <c r="CG4" s="24">
        <v>0.12249880484231629</v>
      </c>
      <c r="CH4" s="25">
        <v>0.18496123091834263</v>
      </c>
      <c r="CI4" s="24">
        <v>0.15505661070346832</v>
      </c>
      <c r="CJ4" s="24">
        <v>0.14372082054615021</v>
      </c>
      <c r="CK4" s="24">
        <v>0.25201103091239929</v>
      </c>
      <c r="CL4" s="24">
        <v>0.3260674774646759</v>
      </c>
      <c r="CM4" s="24">
        <v>0.2299136221408844</v>
      </c>
      <c r="CN4" s="25">
        <v>0.17148590087890625</v>
      </c>
      <c r="CO4" s="25">
        <v>0.14670728147029877</v>
      </c>
      <c r="CP4" s="25">
        <v>0.30020919442176819</v>
      </c>
      <c r="CQ4" s="25">
        <v>0.38350206613540649</v>
      </c>
      <c r="CR4" s="25">
        <v>0.42579224705696106</v>
      </c>
      <c r="CS4">
        <v>11.642068600945491</v>
      </c>
      <c r="CT4">
        <v>85636754.074517682</v>
      </c>
      <c r="CU4">
        <v>1.522308389565918</v>
      </c>
      <c r="CV4" s="24">
        <v>0.22135391235351562</v>
      </c>
      <c r="CW4" s="25">
        <v>0.28553933799266817</v>
      </c>
      <c r="CX4">
        <v>0.06</v>
      </c>
      <c r="CY4">
        <v>25.472691110352329</v>
      </c>
      <c r="CZ4">
        <v>26935462650.083141</v>
      </c>
      <c r="DA4">
        <v>0.22135391235351562</v>
      </c>
      <c r="DB4">
        <v>7.4607692553313942</v>
      </c>
      <c r="DC4">
        <v>91963535731.882629</v>
      </c>
      <c r="DD4">
        <v>0.21028621673583983</v>
      </c>
      <c r="DE4">
        <v>3.1511720872804858</v>
      </c>
      <c r="DF4">
        <v>217734449594.00232</v>
      </c>
      <c r="DG4">
        <v>0.19479144287109373</v>
      </c>
      <c r="DH4">
        <v>1.5771297082512972</v>
      </c>
      <c r="DI4">
        <v>435042670498.39569</v>
      </c>
      <c r="DJ4">
        <v>0.1770831298828125</v>
      </c>
      <c r="DK4">
        <v>0.52905572421420766</v>
      </c>
      <c r="DL4">
        <v>1296874201709.2317</v>
      </c>
      <c r="DM4">
        <v>0.15494773864746092</v>
      </c>
      <c r="DN4">
        <v>23377000000</v>
      </c>
      <c r="DO4">
        <v>0.22135391235351562</v>
      </c>
      <c r="DP4">
        <v>686118720000</v>
      </c>
      <c r="DQ4">
        <v>95501783000</v>
      </c>
      <c r="DR4">
        <v>341</v>
      </c>
      <c r="DS4">
        <v>-9.885510751119933E-2</v>
      </c>
      <c r="DT4">
        <v>-0.10057810707432555</v>
      </c>
      <c r="DU4" s="26">
        <v>0.51666666666666661</v>
      </c>
      <c r="DV4">
        <v>0.73666666666666669</v>
      </c>
      <c r="DW4">
        <v>1.2533333333333334</v>
      </c>
      <c r="DX4">
        <v>8.2062953995157386</v>
      </c>
      <c r="DY4">
        <v>0.4592753623188392</v>
      </c>
      <c r="DZ4">
        <v>8.0307948205074222</v>
      </c>
      <c r="EA4">
        <v>1150</v>
      </c>
      <c r="EB4">
        <v>8.0235953808685654</v>
      </c>
      <c r="EC4">
        <v>8</v>
      </c>
      <c r="ED4">
        <v>2.6535394609656617E-2</v>
      </c>
      <c r="EE4">
        <v>0.17776138136566083</v>
      </c>
      <c r="EF4" s="27">
        <v>2.3046999999999998E-2</v>
      </c>
      <c r="EG4">
        <v>3.8000000000000013E-3</v>
      </c>
      <c r="EH4">
        <v>31.149275362318839</v>
      </c>
      <c r="EI4" t="s">
        <v>398</v>
      </c>
      <c r="EJ4">
        <v>0</v>
      </c>
      <c r="EK4">
        <v>1</v>
      </c>
      <c r="EL4" s="29">
        <v>44939</v>
      </c>
      <c r="EM4" s="30">
        <v>2.8500000000000001E-2</v>
      </c>
      <c r="EN4" s="30">
        <v>-3.3E-3</v>
      </c>
      <c r="EO4" s="30">
        <v>-5.7999999999999996E-3</v>
      </c>
      <c r="EP4" s="30">
        <v>-3.7000000000000002E-3</v>
      </c>
      <c r="EQ4" s="30">
        <v>2.68</v>
      </c>
    </row>
    <row r="5" spans="1:147" ht="129.6" x14ac:dyDescent="0.25">
      <c r="B5" s="28" t="s">
        <v>1269</v>
      </c>
      <c r="C5" s="28"/>
      <c r="D5" s="28" t="s">
        <v>1270</v>
      </c>
      <c r="E5" t="s">
        <v>573</v>
      </c>
      <c r="F5" t="s">
        <v>574</v>
      </c>
      <c r="G5">
        <v>306.56</v>
      </c>
      <c r="H5">
        <v>3.11</v>
      </c>
      <c r="I5" t="s">
        <v>575</v>
      </c>
      <c r="J5">
        <v>374025710000</v>
      </c>
      <c r="K5">
        <v>49.59</v>
      </c>
      <c r="L5">
        <v>18.510000000000002</v>
      </c>
      <c r="M5" t="s">
        <v>424</v>
      </c>
      <c r="N5" t="s">
        <v>697</v>
      </c>
      <c r="O5" t="s">
        <v>698</v>
      </c>
      <c r="P5" t="s">
        <v>699</v>
      </c>
      <c r="Q5">
        <v>28.32</v>
      </c>
      <c r="R5" t="s">
        <v>700</v>
      </c>
      <c r="S5">
        <v>7108266100</v>
      </c>
      <c r="T5" s="3">
        <v>0.45700000000000002</v>
      </c>
      <c r="U5" t="s">
        <v>701</v>
      </c>
      <c r="V5">
        <v>1217713020</v>
      </c>
      <c r="W5">
        <v>1220073420</v>
      </c>
      <c r="X5">
        <v>1.62</v>
      </c>
      <c r="Y5">
        <v>0.7</v>
      </c>
      <c r="Z5">
        <v>32.299999999999997</v>
      </c>
      <c r="AA5" t="s">
        <v>702</v>
      </c>
      <c r="AB5" t="s">
        <v>703</v>
      </c>
      <c r="AC5" t="s">
        <v>704</v>
      </c>
      <c r="AD5" t="s">
        <v>705</v>
      </c>
      <c r="AE5" t="s">
        <v>706</v>
      </c>
      <c r="AF5">
        <v>-26320370</v>
      </c>
      <c r="AG5" t="s">
        <v>707</v>
      </c>
      <c r="AH5" t="s">
        <v>708</v>
      </c>
      <c r="AI5" t="s">
        <v>709</v>
      </c>
      <c r="AJ5" t="s">
        <v>710</v>
      </c>
      <c r="AK5" t="s">
        <v>711</v>
      </c>
      <c r="AL5" t="s">
        <v>7</v>
      </c>
      <c r="AM5" t="s">
        <v>712</v>
      </c>
      <c r="AN5" t="s">
        <v>7</v>
      </c>
      <c r="AO5" t="s">
        <v>19</v>
      </c>
      <c r="AP5" t="s">
        <v>7</v>
      </c>
      <c r="AQ5" t="s">
        <v>713</v>
      </c>
      <c r="AR5" t="s">
        <v>714</v>
      </c>
      <c r="AS5" t="s">
        <v>7</v>
      </c>
      <c r="AT5" t="s">
        <v>715</v>
      </c>
      <c r="AU5" t="s">
        <v>7</v>
      </c>
      <c r="AV5" t="s">
        <v>716</v>
      </c>
      <c r="AW5" t="s">
        <v>717</v>
      </c>
      <c r="AX5" t="s">
        <v>718</v>
      </c>
      <c r="AY5" t="s">
        <v>719</v>
      </c>
      <c r="AZ5" t="s">
        <v>720</v>
      </c>
      <c r="BA5" t="s">
        <v>721</v>
      </c>
      <c r="BB5" t="s">
        <v>722</v>
      </c>
      <c r="BC5" t="s">
        <v>723</v>
      </c>
      <c r="BD5" t="s">
        <v>724</v>
      </c>
      <c r="BE5" t="s">
        <v>530</v>
      </c>
      <c r="BF5" t="s">
        <v>725</v>
      </c>
      <c r="BG5" t="s">
        <v>726</v>
      </c>
      <c r="BH5" t="s">
        <v>435</v>
      </c>
      <c r="BI5" t="s">
        <v>727</v>
      </c>
      <c r="BJ5" t="s">
        <v>728</v>
      </c>
      <c r="BK5" t="s">
        <v>729</v>
      </c>
      <c r="BL5" t="s">
        <v>730</v>
      </c>
      <c r="BM5" t="s">
        <v>731</v>
      </c>
      <c r="BN5" t="s">
        <v>732</v>
      </c>
      <c r="BO5">
        <v>41.21</v>
      </c>
      <c r="BP5">
        <v>41.31</v>
      </c>
      <c r="BQ5">
        <v>34.81</v>
      </c>
      <c r="BR5">
        <v>42.04</v>
      </c>
      <c r="BS5">
        <v>35.090000000000003</v>
      </c>
      <c r="BT5">
        <v>27.42</v>
      </c>
      <c r="BU5" t="s">
        <v>733</v>
      </c>
      <c r="BV5" t="s">
        <v>651</v>
      </c>
      <c r="BW5">
        <v>75.89</v>
      </c>
      <c r="BX5">
        <v>72.150000000000006</v>
      </c>
      <c r="BY5">
        <v>71.92</v>
      </c>
      <c r="BZ5">
        <v>32.97</v>
      </c>
      <c r="CA5">
        <v>22.27</v>
      </c>
      <c r="CB5">
        <v>17.29</v>
      </c>
      <c r="CC5">
        <v>6.63</v>
      </c>
      <c r="CD5">
        <v>17.63</v>
      </c>
      <c r="CE5" t="s">
        <v>734</v>
      </c>
      <c r="CF5" t="s">
        <v>459</v>
      </c>
      <c r="CG5" s="24">
        <v>0.32541961852861034</v>
      </c>
      <c r="CH5" s="25">
        <v>0.56948771535580522</v>
      </c>
      <c r="CI5" s="24">
        <v>0.42751970887184143</v>
      </c>
      <c r="CJ5" s="24">
        <v>0.17632216215133667</v>
      </c>
      <c r="CK5" s="24">
        <v>0.25931814312934875</v>
      </c>
      <c r="CL5" s="24">
        <v>0.4846721887588501</v>
      </c>
      <c r="CM5" s="24">
        <v>0.44404077529907227</v>
      </c>
      <c r="CN5" s="25">
        <v>0.72588497400283813</v>
      </c>
      <c r="CO5" s="25">
        <v>0.56373792886734009</v>
      </c>
      <c r="CP5" s="25">
        <v>0.30656933784484863</v>
      </c>
      <c r="CQ5" s="25">
        <v>0.58298325538635254</v>
      </c>
      <c r="CR5" s="25">
        <v>0.57355374097824097</v>
      </c>
      <c r="CS5">
        <v>18.72844174052376</v>
      </c>
      <c r="CT5">
        <v>133646998.49454272</v>
      </c>
      <c r="CU5">
        <v>0.58716075156576197</v>
      </c>
      <c r="CV5" s="24">
        <v>0.35837459564208984</v>
      </c>
      <c r="CW5" s="25">
        <v>0.55054584741592405</v>
      </c>
      <c r="CX5">
        <v>0.06</v>
      </c>
      <c r="CY5">
        <v>53.782925952786023</v>
      </c>
      <c r="CZ5">
        <v>6809813774.7566652</v>
      </c>
      <c r="DA5">
        <v>0.35837459564208984</v>
      </c>
      <c r="DB5">
        <v>14.10596734719878</v>
      </c>
      <c r="DC5">
        <v>25964310067.16684</v>
      </c>
      <c r="DD5">
        <v>0.34045586585998533</v>
      </c>
      <c r="DE5">
        <v>5.046786543926264</v>
      </c>
      <c r="DF5">
        <v>72571270215.654099</v>
      </c>
      <c r="DG5">
        <v>0.31536964416503904</v>
      </c>
      <c r="DH5">
        <v>2.0423588281415208</v>
      </c>
      <c r="DI5">
        <v>179327797326.03452</v>
      </c>
      <c r="DJ5">
        <v>0.2866996765136719</v>
      </c>
      <c r="DK5">
        <v>0.39804380749468166</v>
      </c>
      <c r="DL5">
        <v>920129149364.78076</v>
      </c>
      <c r="DM5">
        <v>0.25086221694946287</v>
      </c>
      <c r="DN5">
        <v>5314000000</v>
      </c>
      <c r="DO5">
        <v>0.35837459564208984</v>
      </c>
      <c r="DP5">
        <v>366251710000</v>
      </c>
      <c r="DQ5">
        <v>15057538000</v>
      </c>
      <c r="DR5">
        <v>3393</v>
      </c>
      <c r="DS5">
        <v>-3.29549771134795E-2</v>
      </c>
      <c r="DT5">
        <v>1.8941867939881174E-2</v>
      </c>
      <c r="DU5" s="26">
        <v>0.8866666666666666</v>
      </c>
      <c r="DV5">
        <v>1.0533333333333335</v>
      </c>
      <c r="DW5">
        <v>1.94</v>
      </c>
      <c r="DX5">
        <v>9.3760635280771414</v>
      </c>
      <c r="DY5">
        <v>0.51420202702702889</v>
      </c>
      <c r="DZ5">
        <v>9.0655110288819731</v>
      </c>
      <c r="EA5">
        <v>325</v>
      </c>
      <c r="EB5">
        <v>9.0611826929627544</v>
      </c>
      <c r="EC5">
        <v>9</v>
      </c>
      <c r="ED5">
        <v>2.113143322145318E-2</v>
      </c>
      <c r="EE5">
        <v>0.12130417528479556</v>
      </c>
      <c r="EF5" s="27">
        <v>3.7111999999999999E-2</v>
      </c>
      <c r="EG5">
        <v>6.0100000000000015E-3</v>
      </c>
      <c r="EH5">
        <v>34.174202027027029</v>
      </c>
      <c r="EI5">
        <v>-1</v>
      </c>
      <c r="EJ5">
        <v>1</v>
      </c>
      <c r="EK5">
        <v>1</v>
      </c>
      <c r="EL5" s="29">
        <v>44939</v>
      </c>
      <c r="EM5" s="30">
        <v>8.6E-3</v>
      </c>
      <c r="EN5" s="30">
        <v>1.3899999999999999E-2</v>
      </c>
      <c r="EO5" s="30">
        <v>0</v>
      </c>
      <c r="EP5" s="30">
        <v>1.12E-2</v>
      </c>
      <c r="EQ5" s="30">
        <v>3.11</v>
      </c>
    </row>
    <row r="6" spans="1:147" ht="97.2" x14ac:dyDescent="0.25">
      <c r="B6" s="28" t="s">
        <v>1271</v>
      </c>
      <c r="C6" s="28"/>
      <c r="D6" s="28" t="s">
        <v>1272</v>
      </c>
      <c r="E6" t="s">
        <v>576</v>
      </c>
      <c r="F6" t="s">
        <v>577</v>
      </c>
      <c r="G6">
        <v>244.3</v>
      </c>
      <c r="H6">
        <v>3.23</v>
      </c>
      <c r="I6" t="s">
        <v>578</v>
      </c>
      <c r="J6">
        <v>359583970000</v>
      </c>
      <c r="K6">
        <v>36.33</v>
      </c>
      <c r="L6">
        <v>11.3</v>
      </c>
      <c r="M6" t="s">
        <v>424</v>
      </c>
      <c r="N6" t="s">
        <v>735</v>
      </c>
      <c r="O6" t="s">
        <v>736</v>
      </c>
      <c r="P6" t="s">
        <v>737</v>
      </c>
      <c r="Q6">
        <v>24.2</v>
      </c>
      <c r="R6" t="s">
        <v>738</v>
      </c>
      <c r="S6">
        <v>8217303900</v>
      </c>
      <c r="T6" s="3">
        <v>0.30940000000000001</v>
      </c>
      <c r="U6" t="s">
        <v>739</v>
      </c>
      <c r="V6">
        <v>1464504600</v>
      </c>
      <c r="W6">
        <v>1471895100</v>
      </c>
      <c r="X6">
        <v>1.36</v>
      </c>
      <c r="Y6">
        <v>0.4</v>
      </c>
      <c r="Z6">
        <v>47.19</v>
      </c>
      <c r="AA6" t="s">
        <v>740</v>
      </c>
      <c r="AB6" t="s">
        <v>402</v>
      </c>
      <c r="AC6" t="s">
        <v>537</v>
      </c>
      <c r="AD6" t="s">
        <v>741</v>
      </c>
      <c r="AE6" t="s">
        <v>742</v>
      </c>
      <c r="AF6">
        <v>-209404400</v>
      </c>
      <c r="AG6" t="s">
        <v>743</v>
      </c>
      <c r="AH6" t="s">
        <v>744</v>
      </c>
      <c r="AI6" t="s">
        <v>745</v>
      </c>
      <c r="AJ6" t="s">
        <v>746</v>
      </c>
      <c r="AK6" t="s">
        <v>747</v>
      </c>
      <c r="AL6" t="s">
        <v>7</v>
      </c>
      <c r="AM6" t="s">
        <v>748</v>
      </c>
      <c r="AN6" t="s">
        <v>7</v>
      </c>
      <c r="AO6" t="s">
        <v>749</v>
      </c>
      <c r="AP6" t="s">
        <v>7</v>
      </c>
      <c r="AQ6" t="s">
        <v>7</v>
      </c>
      <c r="AR6" t="s">
        <v>512</v>
      </c>
      <c r="AS6" t="s">
        <v>7</v>
      </c>
      <c r="AT6" t="s">
        <v>750</v>
      </c>
      <c r="AU6" t="s">
        <v>751</v>
      </c>
      <c r="AV6" t="s">
        <v>752</v>
      </c>
      <c r="AW6" t="s">
        <v>753</v>
      </c>
      <c r="AX6" t="s">
        <v>754</v>
      </c>
      <c r="AY6" t="s">
        <v>755</v>
      </c>
      <c r="AZ6" t="s">
        <v>756</v>
      </c>
      <c r="BA6" t="s">
        <v>757</v>
      </c>
      <c r="BB6" t="s">
        <v>758</v>
      </c>
      <c r="BC6" t="s">
        <v>759</v>
      </c>
      <c r="BD6" t="s">
        <v>760</v>
      </c>
      <c r="BE6" t="s">
        <v>761</v>
      </c>
      <c r="BF6" t="s">
        <v>762</v>
      </c>
      <c r="BG6" t="s">
        <v>499</v>
      </c>
      <c r="BH6" t="s">
        <v>763</v>
      </c>
      <c r="BI6" t="s">
        <v>764</v>
      </c>
      <c r="BJ6" t="s">
        <v>765</v>
      </c>
      <c r="BK6" t="s">
        <v>766</v>
      </c>
      <c r="BL6" t="s">
        <v>767</v>
      </c>
      <c r="BM6" t="s">
        <v>768</v>
      </c>
      <c r="BN6" t="s">
        <v>769</v>
      </c>
      <c r="BO6">
        <v>26.05</v>
      </c>
      <c r="BP6">
        <v>23.73</v>
      </c>
      <c r="BQ6">
        <v>22.59</v>
      </c>
      <c r="BR6">
        <v>31.15</v>
      </c>
      <c r="BS6">
        <v>28.27</v>
      </c>
      <c r="BT6">
        <v>25.5</v>
      </c>
      <c r="BU6" t="s">
        <v>770</v>
      </c>
      <c r="BV6" t="s">
        <v>651</v>
      </c>
      <c r="BW6">
        <v>85.92</v>
      </c>
      <c r="BX6">
        <v>83.05</v>
      </c>
      <c r="BY6">
        <v>80.62</v>
      </c>
      <c r="BZ6">
        <v>47.79</v>
      </c>
      <c r="CA6">
        <v>35.78</v>
      </c>
      <c r="CB6">
        <v>29.35</v>
      </c>
      <c r="CC6">
        <v>4.1500000000000004</v>
      </c>
      <c r="CD6">
        <v>25.03</v>
      </c>
      <c r="CE6" t="s">
        <v>771</v>
      </c>
      <c r="CF6" t="s">
        <v>772</v>
      </c>
      <c r="CG6" s="24">
        <v>0.22279052785311912</v>
      </c>
      <c r="CH6" s="25">
        <v>0.30990434146341461</v>
      </c>
      <c r="CI6" s="24">
        <v>0.23953649401664734</v>
      </c>
      <c r="CJ6" s="24">
        <v>5.28545081615448E-2</v>
      </c>
      <c r="CK6" s="24">
        <v>0.2115664929151535</v>
      </c>
      <c r="CL6" s="24">
        <v>0.25589224696159363</v>
      </c>
      <c r="CM6" s="24">
        <v>0.20493791997432709</v>
      </c>
      <c r="CN6" s="25">
        <v>0.32467526197433472</v>
      </c>
      <c r="CO6" s="25">
        <v>0.29383891820907593</v>
      </c>
      <c r="CP6" s="25">
        <v>0.33161208033561707</v>
      </c>
      <c r="CQ6" s="25">
        <v>0.36278340220451355</v>
      </c>
      <c r="CR6" s="25">
        <v>0.30710282921791077</v>
      </c>
      <c r="CS6">
        <v>17.420015986822982</v>
      </c>
      <c r="CT6">
        <v>102655116.89291102</v>
      </c>
      <c r="CU6">
        <v>1.3278755628325827</v>
      </c>
      <c r="CV6" s="24">
        <v>0.19295753240585328</v>
      </c>
      <c r="CW6" s="25">
        <v>0.32400249838829043</v>
      </c>
      <c r="CX6">
        <v>0.06</v>
      </c>
      <c r="CY6">
        <v>37.872176281653552</v>
      </c>
      <c r="CZ6">
        <v>8953934082.8499699</v>
      </c>
      <c r="DA6">
        <v>0.19295753240585328</v>
      </c>
      <c r="DB6">
        <v>11.354857107650574</v>
      </c>
      <c r="DC6">
        <v>29864309764.983383</v>
      </c>
      <c r="DD6">
        <v>0.1833096557855606</v>
      </c>
      <c r="DE6">
        <v>4.9605493803526786</v>
      </c>
      <c r="DF6">
        <v>68360365757.691689</v>
      </c>
      <c r="DG6">
        <v>0.16980262851715089</v>
      </c>
      <c r="DH6">
        <v>2.5881030391486228</v>
      </c>
      <c r="DI6">
        <v>131024524476.25551</v>
      </c>
      <c r="DJ6">
        <v>0.15436602592468263</v>
      </c>
      <c r="DK6">
        <v>0.96225591793042753</v>
      </c>
      <c r="DL6">
        <v>352406219261.63904</v>
      </c>
      <c r="DM6">
        <v>0.1350702726840973</v>
      </c>
      <c r="DN6">
        <v>7956000000</v>
      </c>
      <c r="DO6">
        <v>0.19295753240585328</v>
      </c>
      <c r="DP6">
        <v>339104970000</v>
      </c>
      <c r="DQ6">
        <v>19418348000</v>
      </c>
      <c r="DR6">
        <v>153</v>
      </c>
      <c r="DS6">
        <v>2.9832995447265837E-2</v>
      </c>
      <c r="DT6">
        <v>-1.4098156924875815E-2</v>
      </c>
      <c r="DU6" s="26">
        <v>0.73666666666666669</v>
      </c>
      <c r="DV6">
        <v>0.8866666666666666</v>
      </c>
      <c r="DW6">
        <v>1.6233333333333333</v>
      </c>
      <c r="DX6">
        <v>8.1658010387534965</v>
      </c>
      <c r="DY6">
        <v>0.53359966329966058</v>
      </c>
      <c r="DZ6">
        <v>8.0238089733397366</v>
      </c>
      <c r="EA6">
        <v>609</v>
      </c>
      <c r="EB6">
        <v>8.0208612878825498</v>
      </c>
      <c r="EC6">
        <v>8</v>
      </c>
      <c r="ED6">
        <v>2.8975638277483225E-2</v>
      </c>
      <c r="EE6">
        <v>0.20178068396314383</v>
      </c>
      <c r="EF6" s="27">
        <v>1.1323999999999999E-2</v>
      </c>
      <c r="EG6">
        <v>2.1000000000000005E-2</v>
      </c>
      <c r="EH6">
        <v>39.143599663299661</v>
      </c>
      <c r="EI6" t="s">
        <v>398</v>
      </c>
      <c r="EJ6">
        <v>0</v>
      </c>
      <c r="EK6">
        <v>1</v>
      </c>
      <c r="EL6" s="29">
        <v>44939</v>
      </c>
      <c r="EM6" s="30">
        <v>1.66E-2</v>
      </c>
      <c r="EN6" s="30">
        <v>2.3E-3</v>
      </c>
      <c r="EO6" s="30">
        <v>-8.3999999999999995E-3</v>
      </c>
      <c r="EP6" s="30">
        <v>-1.4E-3</v>
      </c>
      <c r="EQ6" s="30">
        <v>3.23</v>
      </c>
    </row>
    <row r="7" spans="1:147" ht="118.8" x14ac:dyDescent="0.25">
      <c r="B7" s="28" t="s">
        <v>1268</v>
      </c>
      <c r="C7" s="28"/>
      <c r="D7" s="28" t="s">
        <v>1273</v>
      </c>
      <c r="E7" t="s">
        <v>579</v>
      </c>
      <c r="F7" t="s">
        <v>580</v>
      </c>
      <c r="G7">
        <v>182.68</v>
      </c>
      <c r="H7">
        <v>4.3899999999999997</v>
      </c>
      <c r="I7" t="s">
        <v>581</v>
      </c>
      <c r="J7">
        <v>275296570000</v>
      </c>
      <c r="K7">
        <v>29.39</v>
      </c>
      <c r="L7">
        <v>5.84</v>
      </c>
      <c r="M7" t="s">
        <v>424</v>
      </c>
      <c r="N7" t="s">
        <v>773</v>
      </c>
      <c r="O7" t="s">
        <v>774</v>
      </c>
      <c r="P7" t="s">
        <v>775</v>
      </c>
      <c r="Q7">
        <v>20.69</v>
      </c>
      <c r="R7" t="s">
        <v>776</v>
      </c>
      <c r="S7">
        <v>9071843200</v>
      </c>
      <c r="T7" s="3">
        <v>0.25779999999999997</v>
      </c>
      <c r="U7" t="s">
        <v>777</v>
      </c>
      <c r="V7">
        <v>1502710000</v>
      </c>
      <c r="W7">
        <v>1506988000</v>
      </c>
      <c r="X7">
        <v>1.3</v>
      </c>
      <c r="Y7">
        <v>0.41</v>
      </c>
      <c r="Z7">
        <v>34.28</v>
      </c>
      <c r="AA7" t="s">
        <v>778</v>
      </c>
      <c r="AB7" t="s">
        <v>779</v>
      </c>
      <c r="AC7" t="s">
        <v>780</v>
      </c>
      <c r="AD7" t="s">
        <v>781</v>
      </c>
      <c r="AE7" t="s">
        <v>782</v>
      </c>
      <c r="AF7">
        <v>-440844130</v>
      </c>
      <c r="AG7" t="s">
        <v>783</v>
      </c>
      <c r="AH7" t="s">
        <v>784</v>
      </c>
      <c r="AI7" t="s">
        <v>785</v>
      </c>
      <c r="AJ7" t="s">
        <v>786</v>
      </c>
      <c r="AK7" t="s">
        <v>787</v>
      </c>
      <c r="AL7" t="s">
        <v>22</v>
      </c>
      <c r="AM7" t="s">
        <v>788</v>
      </c>
      <c r="AN7" t="s">
        <v>7</v>
      </c>
      <c r="AO7" t="s">
        <v>26</v>
      </c>
      <c r="AP7" t="s">
        <v>7</v>
      </c>
      <c r="AQ7" t="s">
        <v>535</v>
      </c>
      <c r="AR7" t="s">
        <v>789</v>
      </c>
      <c r="AS7" t="s">
        <v>7</v>
      </c>
      <c r="AT7" t="s">
        <v>790</v>
      </c>
      <c r="AU7" t="s">
        <v>7</v>
      </c>
      <c r="AV7" t="s">
        <v>791</v>
      </c>
      <c r="AW7" t="s">
        <v>792</v>
      </c>
      <c r="AX7" t="s">
        <v>793</v>
      </c>
      <c r="AY7" t="s">
        <v>794</v>
      </c>
      <c r="AZ7" t="s">
        <v>795</v>
      </c>
      <c r="BA7" t="s">
        <v>796</v>
      </c>
      <c r="BB7" t="s">
        <v>797</v>
      </c>
      <c r="BC7" t="s">
        <v>798</v>
      </c>
      <c r="BD7" t="s">
        <v>799</v>
      </c>
      <c r="BE7" t="s">
        <v>800</v>
      </c>
      <c r="BF7" t="s">
        <v>801</v>
      </c>
      <c r="BG7" t="s">
        <v>802</v>
      </c>
      <c r="BH7" t="s">
        <v>803</v>
      </c>
      <c r="BI7" t="s">
        <v>804</v>
      </c>
      <c r="BJ7" t="s">
        <v>805</v>
      </c>
      <c r="BK7" t="s">
        <v>806</v>
      </c>
      <c r="BL7" t="s">
        <v>807</v>
      </c>
      <c r="BM7" t="s">
        <v>808</v>
      </c>
      <c r="BN7" t="s">
        <v>809</v>
      </c>
      <c r="BO7">
        <v>17.59</v>
      </c>
      <c r="BP7">
        <v>19.48</v>
      </c>
      <c r="BQ7">
        <v>20.62</v>
      </c>
      <c r="BR7">
        <v>18.55</v>
      </c>
      <c r="BS7">
        <v>20.2</v>
      </c>
      <c r="BT7">
        <v>21.21</v>
      </c>
      <c r="BU7" t="s">
        <v>810</v>
      </c>
      <c r="BV7" t="s">
        <v>651</v>
      </c>
      <c r="BW7">
        <v>73.94</v>
      </c>
      <c r="BX7">
        <v>72.27</v>
      </c>
      <c r="BY7">
        <v>71.349999999999994</v>
      </c>
      <c r="BZ7">
        <v>36.49</v>
      </c>
      <c r="CA7">
        <v>35.47</v>
      </c>
      <c r="CB7">
        <v>31.94</v>
      </c>
      <c r="CC7">
        <v>9.6300000000000008</v>
      </c>
      <c r="CD7">
        <v>25.66</v>
      </c>
      <c r="CE7" t="s">
        <v>811</v>
      </c>
      <c r="CF7" t="s">
        <v>40</v>
      </c>
      <c r="CG7" s="24">
        <v>0.18372011251758089</v>
      </c>
      <c r="CH7" s="25">
        <v>0.40389381443298905</v>
      </c>
      <c r="CI7" s="24">
        <v>0.20136485993862152</v>
      </c>
      <c r="CJ7" s="24">
        <v>-8.7563738226890564E-2</v>
      </c>
      <c r="CK7" s="24">
        <v>-4.2798027396202087E-2</v>
      </c>
      <c r="CL7" s="24">
        <v>0.21297317743301392</v>
      </c>
      <c r="CM7" s="24">
        <v>0.15916891396045685</v>
      </c>
      <c r="CN7" s="25">
        <v>3.4749896731227636E-3</v>
      </c>
      <c r="CO7" s="25">
        <v>1.3409157283604145E-2</v>
      </c>
      <c r="CP7" s="25">
        <v>-9.020330011844635E-2</v>
      </c>
      <c r="CQ7" s="25">
        <v>0.22453600168228149</v>
      </c>
      <c r="CR7" s="25">
        <v>0.13729192316532135</v>
      </c>
      <c r="CS7">
        <v>10.859825246548324</v>
      </c>
      <c r="CT7">
        <v>117784058.33777304</v>
      </c>
      <c r="CU7">
        <v>1.6422158966498794</v>
      </c>
      <c r="CV7" s="24">
        <v>8.8629037141799927E-2</v>
      </c>
      <c r="CW7" s="25">
        <v>5.7701754337176683E-2</v>
      </c>
      <c r="CX7">
        <v>0.06</v>
      </c>
      <c r="CY7">
        <v>31.418166473183419</v>
      </c>
      <c r="CZ7">
        <v>7710780010.2458801</v>
      </c>
      <c r="DA7">
        <v>8.8629037141799927E-2</v>
      </c>
      <c r="DB7">
        <v>10.279091710315639</v>
      </c>
      <c r="DC7">
        <v>23568091114.206139</v>
      </c>
      <c r="DD7">
        <v>8.4197585284709928E-2</v>
      </c>
      <c r="DE7">
        <v>5.0680181029066835</v>
      </c>
      <c r="DF7">
        <v>47801441328.920341</v>
      </c>
      <c r="DG7">
        <v>7.7993552684783932E-2</v>
      </c>
      <c r="DH7">
        <v>3.0487603929717411</v>
      </c>
      <c r="DI7">
        <v>79461334698.021805</v>
      </c>
      <c r="DJ7">
        <v>7.0903229713439944E-2</v>
      </c>
      <c r="DK7">
        <v>1.5809902765648027</v>
      </c>
      <c r="DL7">
        <v>153232169476.95764</v>
      </c>
      <c r="DM7">
        <v>6.2040325999259946E-2</v>
      </c>
      <c r="DN7">
        <v>7508000000</v>
      </c>
      <c r="DO7">
        <v>8.8629037141799927E-2</v>
      </c>
      <c r="DP7">
        <v>242258570000</v>
      </c>
      <c r="DQ7">
        <v>31232253000</v>
      </c>
      <c r="DR7">
        <v>807</v>
      </c>
      <c r="DS7">
        <v>9.5091075375780959E-2</v>
      </c>
      <c r="DT7">
        <v>0.34619206009581238</v>
      </c>
      <c r="DU7" s="26">
        <v>0.98333333333333328</v>
      </c>
      <c r="DV7">
        <v>0.71666666666666667</v>
      </c>
      <c r="DW7">
        <v>1.7</v>
      </c>
      <c r="DX7">
        <v>9.3752922837100545</v>
      </c>
      <c r="DY7">
        <v>0.55599791666666787</v>
      </c>
      <c r="DZ7">
        <v>9.0773094285853464</v>
      </c>
      <c r="EA7">
        <v>549</v>
      </c>
      <c r="EB7">
        <v>9.068681073982102</v>
      </c>
      <c r="EC7">
        <v>9</v>
      </c>
      <c r="ED7">
        <v>2.624546446288889E-2</v>
      </c>
      <c r="EE7">
        <v>0.12740645579128698</v>
      </c>
      <c r="EF7" s="27">
        <v>6.3910999999999996E-2</v>
      </c>
      <c r="EG7">
        <v>2.0010000000000003E-2</v>
      </c>
      <c r="EH7">
        <v>35.205997916666668</v>
      </c>
      <c r="EI7">
        <v>-1</v>
      </c>
      <c r="EJ7">
        <v>1</v>
      </c>
      <c r="EK7">
        <v>1</v>
      </c>
      <c r="EL7" s="29">
        <v>44939</v>
      </c>
      <c r="EM7" s="30">
        <v>6.1400000000000003E-2</v>
      </c>
      <c r="EN7" s="30">
        <v>-4.0000000000000002E-4</v>
      </c>
      <c r="EO7" s="30">
        <v>-1.01E-2</v>
      </c>
      <c r="EP7" s="30">
        <v>-1E-4</v>
      </c>
      <c r="EQ7" s="30">
        <v>4.3899999999999997</v>
      </c>
    </row>
    <row r="8" spans="1:147" ht="108" x14ac:dyDescent="0.25">
      <c r="B8" s="28"/>
      <c r="C8" s="28"/>
      <c r="D8" s="28" t="s">
        <v>1274</v>
      </c>
      <c r="E8" t="s">
        <v>582</v>
      </c>
      <c r="F8" t="s">
        <v>583</v>
      </c>
      <c r="G8">
        <v>295.25</v>
      </c>
      <c r="H8">
        <v>0.6</v>
      </c>
      <c r="I8" t="s">
        <v>584</v>
      </c>
      <c r="J8">
        <v>156069150000</v>
      </c>
      <c r="K8">
        <v>52.88</v>
      </c>
      <c r="L8">
        <v>8.67</v>
      </c>
      <c r="M8" t="s">
        <v>424</v>
      </c>
      <c r="N8" t="s">
        <v>812</v>
      </c>
      <c r="O8" t="s">
        <v>813</v>
      </c>
      <c r="P8" t="s">
        <v>814</v>
      </c>
      <c r="Q8">
        <v>26.35</v>
      </c>
      <c r="R8" t="s">
        <v>815</v>
      </c>
      <c r="S8">
        <v>2622689700</v>
      </c>
      <c r="T8" s="3">
        <v>0.33200000000000002</v>
      </c>
      <c r="U8" t="s">
        <v>816</v>
      </c>
      <c r="V8">
        <v>408600000</v>
      </c>
      <c r="W8">
        <v>528600000</v>
      </c>
      <c r="X8">
        <v>1.64</v>
      </c>
      <c r="Y8">
        <v>0.45</v>
      </c>
      <c r="Z8">
        <v>21.22</v>
      </c>
      <c r="AA8" t="s">
        <v>817</v>
      </c>
      <c r="AB8" t="s">
        <v>818</v>
      </c>
      <c r="AC8" t="s">
        <v>819</v>
      </c>
      <c r="AD8" t="s">
        <v>820</v>
      </c>
      <c r="AE8" t="s">
        <v>821</v>
      </c>
      <c r="AF8">
        <v>-218116810</v>
      </c>
      <c r="AG8" t="s">
        <v>822</v>
      </c>
      <c r="AH8" t="s">
        <v>823</v>
      </c>
      <c r="AI8" t="s">
        <v>824</v>
      </c>
      <c r="AJ8" t="s">
        <v>825</v>
      </c>
      <c r="AK8" t="s">
        <v>826</v>
      </c>
      <c r="AL8" t="s">
        <v>7</v>
      </c>
      <c r="AM8" t="s">
        <v>827</v>
      </c>
      <c r="AN8" t="s">
        <v>7</v>
      </c>
      <c r="AO8" t="s">
        <v>828</v>
      </c>
      <c r="AP8" t="s">
        <v>829</v>
      </c>
      <c r="AQ8" t="s">
        <v>830</v>
      </c>
      <c r="AR8" t="s">
        <v>831</v>
      </c>
      <c r="AS8" t="s">
        <v>7</v>
      </c>
      <c r="AT8" t="s">
        <v>832</v>
      </c>
      <c r="AU8" t="s">
        <v>833</v>
      </c>
      <c r="AV8" t="s">
        <v>834</v>
      </c>
      <c r="AW8" t="s">
        <v>835</v>
      </c>
      <c r="AX8" t="s">
        <v>836</v>
      </c>
      <c r="AY8" t="s">
        <v>837</v>
      </c>
      <c r="AZ8" t="s">
        <v>838</v>
      </c>
      <c r="BA8" t="s">
        <v>839</v>
      </c>
      <c r="BB8" t="s">
        <v>511</v>
      </c>
      <c r="BC8" t="s">
        <v>840</v>
      </c>
      <c r="BD8" t="s">
        <v>841</v>
      </c>
      <c r="BE8" t="s">
        <v>270</v>
      </c>
      <c r="BF8" t="s">
        <v>842</v>
      </c>
      <c r="BG8" t="s">
        <v>66</v>
      </c>
      <c r="BH8" t="s">
        <v>843</v>
      </c>
      <c r="BI8" t="s">
        <v>844</v>
      </c>
      <c r="BJ8" t="s">
        <v>845</v>
      </c>
      <c r="BK8" t="s">
        <v>846</v>
      </c>
      <c r="BL8" t="s">
        <v>847</v>
      </c>
      <c r="BM8" t="s">
        <v>530</v>
      </c>
      <c r="BN8" t="s">
        <v>310</v>
      </c>
      <c r="BO8">
        <v>15.87</v>
      </c>
      <c r="BP8">
        <v>16.59</v>
      </c>
      <c r="BQ8">
        <v>23.82</v>
      </c>
      <c r="BR8">
        <v>21.25</v>
      </c>
      <c r="BS8">
        <v>19.53</v>
      </c>
      <c r="BT8">
        <v>25.55</v>
      </c>
      <c r="BU8" t="s">
        <v>848</v>
      </c>
      <c r="BV8" t="s">
        <v>651</v>
      </c>
      <c r="BW8">
        <v>77.53</v>
      </c>
      <c r="BX8">
        <v>75.23</v>
      </c>
      <c r="BY8">
        <v>76.709999999999994</v>
      </c>
      <c r="BZ8">
        <v>21.91</v>
      </c>
      <c r="CA8">
        <v>17.95</v>
      </c>
      <c r="CB8">
        <v>20.71</v>
      </c>
      <c r="CC8">
        <v>1.3</v>
      </c>
      <c r="CD8">
        <v>21.06</v>
      </c>
      <c r="CE8" t="s">
        <v>849</v>
      </c>
      <c r="CF8" t="s">
        <v>850</v>
      </c>
      <c r="CG8" s="24">
        <v>0.21571873990306908</v>
      </c>
      <c r="CH8" s="25">
        <v>0.19269440677966013</v>
      </c>
      <c r="CI8" s="24">
        <v>0.2893509566783905</v>
      </c>
      <c r="CJ8" s="24">
        <v>-1.1999683454632759E-2</v>
      </c>
      <c r="CK8" s="24">
        <v>0.19928623735904694</v>
      </c>
      <c r="CL8" s="24">
        <v>0.24655570089817047</v>
      </c>
      <c r="CM8" s="24">
        <v>0.15805219113826752</v>
      </c>
      <c r="CN8" s="25">
        <v>0.23881390690803528</v>
      </c>
      <c r="CO8" s="25">
        <v>-0.11582456529140472</v>
      </c>
      <c r="CP8" s="25">
        <v>0.23775807023048401</v>
      </c>
      <c r="CQ8" s="25">
        <v>0.47519597411155701</v>
      </c>
      <c r="CR8" s="25">
        <v>0.38433727622032166</v>
      </c>
      <c r="CS8">
        <v>11.761051243406181</v>
      </c>
      <c r="CT8">
        <v>112191514.36031331</v>
      </c>
      <c r="CU8">
        <v>0.74513124470787473</v>
      </c>
      <c r="CV8" s="24">
        <v>0.17624908052384852</v>
      </c>
      <c r="CW8" s="25">
        <v>0.24405613243579866</v>
      </c>
      <c r="CX8">
        <v>0.06</v>
      </c>
      <c r="CY8">
        <v>58.536087910548162</v>
      </c>
      <c r="CZ8">
        <v>2550019233.0601921</v>
      </c>
      <c r="DA8">
        <v>0.17624908052384852</v>
      </c>
      <c r="DB8">
        <v>17.794786130594318</v>
      </c>
      <c r="DC8">
        <v>8388308176.5936728</v>
      </c>
      <c r="DD8">
        <v>0.16743662649765609</v>
      </c>
      <c r="DE8">
        <v>7.9287421984126167</v>
      </c>
      <c r="DF8">
        <v>18826208024.506638</v>
      </c>
      <c r="DG8">
        <v>0.1550991908609867</v>
      </c>
      <c r="DH8">
        <v>4.2370166578358885</v>
      </c>
      <c r="DI8">
        <v>35229540512.649445</v>
      </c>
      <c r="DJ8">
        <v>0.14099926441907881</v>
      </c>
      <c r="DK8">
        <v>1.6699919770045453</v>
      </c>
      <c r="DL8">
        <v>89382555159.1819</v>
      </c>
      <c r="DM8">
        <v>0.12337435636669396</v>
      </c>
      <c r="DN8">
        <v>2298000000</v>
      </c>
      <c r="DO8">
        <v>0.17624908052384852</v>
      </c>
      <c r="DP8">
        <v>149268150000</v>
      </c>
      <c r="DQ8">
        <v>12677922000</v>
      </c>
      <c r="DR8">
        <v>170</v>
      </c>
      <c r="DS8">
        <v>3.9469659379220562E-2</v>
      </c>
      <c r="DT8">
        <v>-5.1361725656138529E-2</v>
      </c>
      <c r="DU8" s="26">
        <v>0.73666666666666669</v>
      </c>
      <c r="DV8">
        <v>0.73666666666666669</v>
      </c>
      <c r="DW8">
        <v>1.4733333333333334</v>
      </c>
      <c r="DX8">
        <v>3.0572261904761904</v>
      </c>
      <c r="DY8">
        <v>0.49633563287505583</v>
      </c>
      <c r="DZ8">
        <v>3.0089464927051237</v>
      </c>
      <c r="EA8">
        <v>810</v>
      </c>
      <c r="EB8">
        <v>3.0074732950854552</v>
      </c>
      <c r="EC8">
        <v>3</v>
      </c>
      <c r="ED8">
        <v>1.6329738933030646E-2</v>
      </c>
      <c r="EE8">
        <v>0.10445308361710177</v>
      </c>
      <c r="EF8" s="27">
        <v>3.6617000000000004E-2</v>
      </c>
      <c r="EG8">
        <v>3.0610000000000002E-2</v>
      </c>
      <c r="EH8">
        <v>34.156335632875056</v>
      </c>
      <c r="EI8">
        <v>-1</v>
      </c>
      <c r="EJ8">
        <v>0</v>
      </c>
      <c r="EK8">
        <v>1</v>
      </c>
      <c r="EL8" s="29">
        <v>44939</v>
      </c>
      <c r="EM8" s="30">
        <v>1.5599999999999999E-2</v>
      </c>
      <c r="EN8" s="30">
        <v>-8.0000000000000004E-4</v>
      </c>
      <c r="EO8" s="30">
        <v>-6.8999999999999999E-3</v>
      </c>
      <c r="EP8" s="30">
        <v>-6.9999999999999999E-4</v>
      </c>
      <c r="EQ8" s="30">
        <v>0.6</v>
      </c>
    </row>
    <row r="9" spans="1:147" ht="140.4" x14ac:dyDescent="0.25">
      <c r="B9" s="28"/>
      <c r="C9" s="28"/>
      <c r="D9" s="28" t="s">
        <v>1275</v>
      </c>
      <c r="E9" t="s">
        <v>585</v>
      </c>
      <c r="F9" t="s">
        <v>586</v>
      </c>
      <c r="G9">
        <v>58.71</v>
      </c>
      <c r="H9">
        <v>2.34</v>
      </c>
      <c r="I9" t="s">
        <v>587</v>
      </c>
      <c r="J9">
        <v>73651695000</v>
      </c>
      <c r="K9">
        <v>30.54</v>
      </c>
      <c r="L9">
        <v>6.92</v>
      </c>
      <c r="M9" t="s">
        <v>424</v>
      </c>
      <c r="N9" t="s">
        <v>851</v>
      </c>
      <c r="O9" t="s">
        <v>852</v>
      </c>
      <c r="P9" t="s">
        <v>853</v>
      </c>
      <c r="Q9">
        <v>22.19</v>
      </c>
      <c r="R9" t="s">
        <v>854</v>
      </c>
      <c r="S9">
        <v>2081342400</v>
      </c>
      <c r="T9" s="3">
        <v>0.2253</v>
      </c>
      <c r="U9" t="s">
        <v>855</v>
      </c>
      <c r="V9">
        <v>1254500000</v>
      </c>
      <c r="W9">
        <v>1254500000</v>
      </c>
      <c r="X9">
        <v>1.54</v>
      </c>
      <c r="Y9">
        <v>0.42</v>
      </c>
      <c r="Z9">
        <v>31.93</v>
      </c>
      <c r="AA9" t="s">
        <v>856</v>
      </c>
      <c r="AB9" t="s">
        <v>857</v>
      </c>
      <c r="AC9" t="s">
        <v>858</v>
      </c>
      <c r="AD9" t="s">
        <v>859</v>
      </c>
      <c r="AE9" t="s">
        <v>860</v>
      </c>
      <c r="AF9">
        <v>-62314935</v>
      </c>
      <c r="AG9" t="s">
        <v>861</v>
      </c>
      <c r="AH9" t="s">
        <v>862</v>
      </c>
      <c r="AI9" t="s">
        <v>863</v>
      </c>
      <c r="AJ9" t="s">
        <v>864</v>
      </c>
      <c r="AK9" t="s">
        <v>865</v>
      </c>
      <c r="AL9" t="s">
        <v>7</v>
      </c>
      <c r="AM9" t="s">
        <v>866</v>
      </c>
      <c r="AN9" t="s">
        <v>7</v>
      </c>
      <c r="AO9" t="s">
        <v>867</v>
      </c>
      <c r="AP9" t="s">
        <v>868</v>
      </c>
      <c r="AQ9" t="s">
        <v>393</v>
      </c>
      <c r="AR9" t="s">
        <v>869</v>
      </c>
      <c r="AS9" t="s">
        <v>7</v>
      </c>
      <c r="AT9" t="s">
        <v>870</v>
      </c>
      <c r="AU9" t="s">
        <v>7</v>
      </c>
      <c r="AV9" t="s">
        <v>871</v>
      </c>
      <c r="AW9" t="s">
        <v>872</v>
      </c>
      <c r="AX9" t="s">
        <v>434</v>
      </c>
      <c r="AY9" t="s">
        <v>873</v>
      </c>
      <c r="AZ9" t="s">
        <v>874</v>
      </c>
      <c r="BA9" t="s">
        <v>875</v>
      </c>
      <c r="BB9" t="s">
        <v>876</v>
      </c>
      <c r="BC9" t="s">
        <v>877</v>
      </c>
      <c r="BD9" t="s">
        <v>878</v>
      </c>
      <c r="BE9" t="s">
        <v>879</v>
      </c>
      <c r="BF9" t="s">
        <v>503</v>
      </c>
      <c r="BG9" t="s">
        <v>880</v>
      </c>
      <c r="BH9" t="s">
        <v>246</v>
      </c>
      <c r="BI9" t="s">
        <v>881</v>
      </c>
      <c r="BJ9" t="s">
        <v>882</v>
      </c>
      <c r="BK9" t="s">
        <v>883</v>
      </c>
      <c r="BL9" t="s">
        <v>884</v>
      </c>
      <c r="BM9" t="s">
        <v>885</v>
      </c>
      <c r="BN9" t="s">
        <v>886</v>
      </c>
      <c r="BO9">
        <v>21.99</v>
      </c>
      <c r="BP9">
        <v>19.47</v>
      </c>
      <c r="BQ9">
        <v>21.23</v>
      </c>
      <c r="BR9">
        <v>22.64</v>
      </c>
      <c r="BS9">
        <v>20.25</v>
      </c>
      <c r="BT9">
        <v>21.93</v>
      </c>
      <c r="BU9" t="s">
        <v>887</v>
      </c>
      <c r="BV9" t="s">
        <v>651</v>
      </c>
      <c r="BW9">
        <v>72.48</v>
      </c>
      <c r="BX9">
        <v>71.12</v>
      </c>
      <c r="BY9">
        <v>72.790000000000006</v>
      </c>
      <c r="BZ9">
        <v>34.82</v>
      </c>
      <c r="CA9">
        <v>30.61</v>
      </c>
      <c r="CB9">
        <v>29.94</v>
      </c>
      <c r="CC9">
        <v>7.1</v>
      </c>
      <c r="CD9">
        <v>34.22</v>
      </c>
      <c r="CE9" t="s">
        <v>888</v>
      </c>
      <c r="CF9" t="s">
        <v>468</v>
      </c>
      <c r="CG9" s="24">
        <v>0.26194048582995949</v>
      </c>
      <c r="CH9" s="25">
        <v>0.27291868131868213</v>
      </c>
      <c r="CI9" s="24">
        <v>0.25107383728027344</v>
      </c>
      <c r="CJ9" s="24">
        <v>5.1745325326919556E-2</v>
      </c>
      <c r="CK9" s="24">
        <v>0.30353322625160217</v>
      </c>
      <c r="CL9" s="24">
        <v>0.26558265089988708</v>
      </c>
      <c r="CM9" s="24">
        <v>0.15583404898643494</v>
      </c>
      <c r="CN9" s="25">
        <v>0.2948307991027832</v>
      </c>
      <c r="CO9" s="25">
        <v>7.4759989976882935E-2</v>
      </c>
      <c r="CP9" s="25">
        <v>0.26672452688217163</v>
      </c>
      <c r="CQ9" s="25">
        <v>0.28459829092025757</v>
      </c>
      <c r="CR9" s="25">
        <v>0.18205805122852325</v>
      </c>
      <c r="CS9">
        <v>11.493710205992508</v>
      </c>
      <c r="CT9">
        <v>102124243.4696895</v>
      </c>
      <c r="CU9">
        <v>1.0049395332992677</v>
      </c>
      <c r="CV9" s="24">
        <v>0.20555381774902343</v>
      </c>
      <c r="CW9" s="25">
        <v>0.22059433162212372</v>
      </c>
      <c r="CX9">
        <v>0.06</v>
      </c>
      <c r="CY9">
        <v>29.777837724989311</v>
      </c>
      <c r="CZ9">
        <v>2307611977.5592155</v>
      </c>
      <c r="DA9">
        <v>0.20555381774902343</v>
      </c>
      <c r="DB9">
        <v>8.8357212847648032</v>
      </c>
      <c r="DC9">
        <v>7777032885.6439409</v>
      </c>
      <c r="DD9">
        <v>0.19527612686157225</v>
      </c>
      <c r="DE9">
        <v>3.802795160675231</v>
      </c>
      <c r="DF9">
        <v>18069786064.36396</v>
      </c>
      <c r="DG9">
        <v>0.18088735961914063</v>
      </c>
      <c r="DH9">
        <v>1.9480544799558677</v>
      </c>
      <c r="DI9">
        <v>35274010920.65799</v>
      </c>
      <c r="DJ9">
        <v>0.16444305419921876</v>
      </c>
      <c r="DK9">
        <v>0.6923564294598662</v>
      </c>
      <c r="DL9">
        <v>99249016945.806</v>
      </c>
      <c r="DM9">
        <v>0.14388767242431638</v>
      </c>
      <c r="DN9">
        <v>2029000000</v>
      </c>
      <c r="DO9">
        <v>0.20555381774902343</v>
      </c>
      <c r="DP9">
        <v>68715695000</v>
      </c>
      <c r="DQ9">
        <v>4613551500</v>
      </c>
      <c r="DR9">
        <v>3999</v>
      </c>
      <c r="DS9">
        <v>5.6386668080936064E-2</v>
      </c>
      <c r="DT9">
        <v>5.2324349696558414E-2</v>
      </c>
      <c r="DU9" s="26">
        <v>0.73666666666666669</v>
      </c>
      <c r="DV9">
        <v>0.73666666666666669</v>
      </c>
      <c r="DW9">
        <v>1.4733333333333334</v>
      </c>
      <c r="DX9">
        <v>9.2074810052600817</v>
      </c>
      <c r="DY9">
        <v>0.36463987138263604</v>
      </c>
      <c r="DZ9">
        <v>9.0383092661255624</v>
      </c>
      <c r="EA9">
        <v>812</v>
      </c>
      <c r="EB9">
        <v>9.0319853945878599</v>
      </c>
      <c r="EC9">
        <v>9</v>
      </c>
      <c r="ED9">
        <v>4.5773614986050218E-2</v>
      </c>
      <c r="EE9">
        <v>0.24790753288162615</v>
      </c>
      <c r="EF9" s="27">
        <v>4.6739999999999993E-3</v>
      </c>
      <c r="EG9">
        <v>2.8099999999999997E-2</v>
      </c>
      <c r="EH9">
        <v>18.184639871382636</v>
      </c>
      <c r="EI9" t="s">
        <v>398</v>
      </c>
      <c r="EJ9">
        <v>1</v>
      </c>
      <c r="EK9">
        <v>1</v>
      </c>
      <c r="EL9" s="29">
        <v>44939</v>
      </c>
      <c r="EM9" s="30">
        <v>6.5299999999999997E-2</v>
      </c>
      <c r="EN9" s="30">
        <v>-8.9999999999999998E-4</v>
      </c>
      <c r="EO9" s="30">
        <v>-4.3E-3</v>
      </c>
      <c r="EP9" s="30">
        <v>-1.26E-2</v>
      </c>
      <c r="EQ9" s="30">
        <v>2.34</v>
      </c>
    </row>
    <row r="10" spans="1:147" ht="118.8" x14ac:dyDescent="0.25">
      <c r="B10" s="28"/>
      <c r="C10" s="28"/>
      <c r="D10" s="28" t="s">
        <v>1276</v>
      </c>
      <c r="E10" t="s">
        <v>588</v>
      </c>
      <c r="F10" t="s">
        <v>589</v>
      </c>
      <c r="G10">
        <v>175.65</v>
      </c>
      <c r="H10">
        <v>2.5099999999999998</v>
      </c>
      <c r="I10" t="s">
        <v>590</v>
      </c>
      <c r="J10">
        <v>58525874000</v>
      </c>
      <c r="K10">
        <v>39.65</v>
      </c>
      <c r="L10">
        <v>10.14</v>
      </c>
      <c r="M10" t="s">
        <v>424</v>
      </c>
      <c r="N10" t="s">
        <v>889</v>
      </c>
      <c r="O10" t="s">
        <v>890</v>
      </c>
      <c r="P10" t="s">
        <v>891</v>
      </c>
      <c r="Q10">
        <v>28</v>
      </c>
      <c r="R10" t="s">
        <v>892</v>
      </c>
      <c r="S10">
        <v>1200029730</v>
      </c>
      <c r="T10" s="3">
        <v>0.23760000000000001</v>
      </c>
      <c r="U10" t="s">
        <v>893</v>
      </c>
      <c r="V10">
        <v>330737560</v>
      </c>
      <c r="W10">
        <v>332036180</v>
      </c>
      <c r="X10">
        <v>1.55</v>
      </c>
      <c r="Y10">
        <v>0.53</v>
      </c>
      <c r="Z10">
        <v>26.26</v>
      </c>
      <c r="AA10" t="s">
        <v>894</v>
      </c>
      <c r="AB10" t="s">
        <v>895</v>
      </c>
      <c r="AC10" t="s">
        <v>896</v>
      </c>
      <c r="AD10" t="s">
        <v>480</v>
      </c>
      <c r="AE10" t="s">
        <v>897</v>
      </c>
      <c r="AF10">
        <v>-27512795</v>
      </c>
      <c r="AG10" t="s">
        <v>898</v>
      </c>
      <c r="AH10" t="s">
        <v>899</v>
      </c>
      <c r="AI10" t="s">
        <v>900</v>
      </c>
      <c r="AJ10" t="s">
        <v>901</v>
      </c>
      <c r="AK10" t="s">
        <v>902</v>
      </c>
      <c r="AL10" t="s">
        <v>903</v>
      </c>
      <c r="AM10" t="s">
        <v>904</v>
      </c>
      <c r="AN10" t="s">
        <v>7</v>
      </c>
      <c r="AO10" t="s">
        <v>18</v>
      </c>
      <c r="AP10" t="s">
        <v>7</v>
      </c>
      <c r="AQ10" t="s">
        <v>171</v>
      </c>
      <c r="AR10" t="s">
        <v>905</v>
      </c>
      <c r="AS10" t="s">
        <v>906</v>
      </c>
      <c r="AT10" t="s">
        <v>907</v>
      </c>
      <c r="AU10" t="s">
        <v>7</v>
      </c>
      <c r="AV10" t="s">
        <v>908</v>
      </c>
      <c r="AW10" t="s">
        <v>909</v>
      </c>
      <c r="AX10" t="s">
        <v>910</v>
      </c>
      <c r="AY10" t="s">
        <v>911</v>
      </c>
      <c r="AZ10" t="s">
        <v>912</v>
      </c>
      <c r="BA10" t="s">
        <v>913</v>
      </c>
      <c r="BB10" t="s">
        <v>914</v>
      </c>
      <c r="BC10" t="s">
        <v>131</v>
      </c>
      <c r="BD10" t="s">
        <v>544</v>
      </c>
      <c r="BE10" t="s">
        <v>491</v>
      </c>
      <c r="BF10" t="s">
        <v>142</v>
      </c>
      <c r="BG10" t="s">
        <v>494</v>
      </c>
      <c r="BH10" t="s">
        <v>915</v>
      </c>
      <c r="BI10" t="s">
        <v>916</v>
      </c>
      <c r="BJ10" t="s">
        <v>917</v>
      </c>
      <c r="BK10" t="s">
        <v>918</v>
      </c>
      <c r="BL10" t="s">
        <v>919</v>
      </c>
      <c r="BM10" t="s">
        <v>920</v>
      </c>
      <c r="BN10" t="s">
        <v>921</v>
      </c>
      <c r="BO10">
        <v>26.98</v>
      </c>
      <c r="BP10">
        <v>14.55</v>
      </c>
      <c r="BQ10">
        <v>14.46</v>
      </c>
      <c r="BR10">
        <v>29.32</v>
      </c>
      <c r="BS10">
        <v>17.36</v>
      </c>
      <c r="BT10">
        <v>18.07</v>
      </c>
      <c r="BU10" t="s">
        <v>922</v>
      </c>
      <c r="BV10" t="s">
        <v>651</v>
      </c>
      <c r="BW10">
        <v>78.17</v>
      </c>
      <c r="BX10">
        <v>75.87</v>
      </c>
      <c r="BY10">
        <v>76.2</v>
      </c>
      <c r="BZ10">
        <v>27.91</v>
      </c>
      <c r="CA10">
        <v>22.46</v>
      </c>
      <c r="CB10">
        <v>20.32</v>
      </c>
      <c r="CC10">
        <v>8.56</v>
      </c>
      <c r="CD10">
        <v>10.9</v>
      </c>
      <c r="CE10" t="s">
        <v>923</v>
      </c>
      <c r="CF10" t="s">
        <v>253</v>
      </c>
      <c r="CG10" s="24">
        <v>0.30892763157894737</v>
      </c>
      <c r="CH10" s="25">
        <v>0.54906268085106458</v>
      </c>
      <c r="CI10" s="24">
        <v>0.83764791488647461</v>
      </c>
      <c r="CJ10" s="24">
        <v>2.0377406850457191E-2</v>
      </c>
      <c r="CK10" s="24">
        <v>0.19801078736782074</v>
      </c>
      <c r="CL10" s="24">
        <v>0.35042735934257507</v>
      </c>
      <c r="CM10" s="24">
        <v>0.12038303911685944</v>
      </c>
      <c r="CN10" s="25">
        <v>1.1445783376693726</v>
      </c>
      <c r="CO10" s="25">
        <v>0.14370079338550568</v>
      </c>
      <c r="CP10" s="25">
        <v>0.48538011312484741</v>
      </c>
      <c r="CQ10" s="25">
        <v>1.375</v>
      </c>
      <c r="CR10" s="25">
        <v>0.79553359746932983</v>
      </c>
      <c r="CS10">
        <v>11.778199637754076</v>
      </c>
      <c r="CT10">
        <v>92991674.95987159</v>
      </c>
      <c r="CU10">
        <v>0.45545118132650153</v>
      </c>
      <c r="CV10" s="24">
        <v>0.30536930151283742</v>
      </c>
      <c r="CW10" s="25">
        <v>0.78883856832981114</v>
      </c>
      <c r="CX10">
        <v>0.06</v>
      </c>
      <c r="CY10">
        <v>36.39596984430856</v>
      </c>
      <c r="CZ10">
        <v>1534424669.5141463</v>
      </c>
      <c r="DA10">
        <v>0.30536930151283742</v>
      </c>
      <c r="DB10">
        <v>9.9576056252039002</v>
      </c>
      <c r="DC10">
        <v>5608464133.0486946</v>
      </c>
      <c r="DD10">
        <v>0.29010083643719553</v>
      </c>
      <c r="DE10">
        <v>3.8005989668890945</v>
      </c>
      <c r="DF10">
        <v>14694229642.890305</v>
      </c>
      <c r="DG10">
        <v>0.26872498533129691</v>
      </c>
      <c r="DH10">
        <v>1.6730413729316851</v>
      </c>
      <c r="DI10">
        <v>33380450061.518223</v>
      </c>
      <c r="DJ10">
        <v>0.24429544121026994</v>
      </c>
      <c r="DK10">
        <v>0.40512706198574305</v>
      </c>
      <c r="DL10">
        <v>137850267830.2081</v>
      </c>
      <c r="DM10">
        <v>0.21375851105898619</v>
      </c>
      <c r="DN10">
        <v>1246000000</v>
      </c>
      <c r="DO10">
        <v>0.30536930151283742</v>
      </c>
      <c r="DP10">
        <v>55846874000</v>
      </c>
      <c r="DQ10">
        <v>4241850900</v>
      </c>
      <c r="DR10">
        <v>3296</v>
      </c>
      <c r="DS10">
        <v>3.5583300661099493E-3</v>
      </c>
      <c r="DT10">
        <v>-0.23977588747874656</v>
      </c>
      <c r="DU10" s="26">
        <v>0.80333333333333334</v>
      </c>
      <c r="DV10">
        <v>1.1199999999999999</v>
      </c>
      <c r="DW10">
        <v>1.9233333333333333</v>
      </c>
      <c r="DX10">
        <v>9.7853211009174306</v>
      </c>
      <c r="DY10">
        <v>0.35742814070351742</v>
      </c>
      <c r="DZ10">
        <v>9.1314848517818454</v>
      </c>
      <c r="EA10">
        <v>344</v>
      </c>
      <c r="EB10">
        <v>9.1222897330558936</v>
      </c>
      <c r="EC10">
        <v>9</v>
      </c>
      <c r="ED10">
        <v>0.10034508889964942</v>
      </c>
      <c r="EE10">
        <v>0.59933227758493068</v>
      </c>
      <c r="EF10" s="27">
        <v>6.1364999999999996E-2</v>
      </c>
      <c r="EG10">
        <v>8.6499999999999994E-2</v>
      </c>
      <c r="EH10">
        <v>19.167428140703517</v>
      </c>
      <c r="EI10" t="s">
        <v>398</v>
      </c>
      <c r="EJ10">
        <v>1</v>
      </c>
      <c r="EK10">
        <v>1</v>
      </c>
      <c r="EL10" s="29">
        <v>44939</v>
      </c>
      <c r="EM10" s="30">
        <v>0.04</v>
      </c>
      <c r="EN10" s="30">
        <v>4.5900000000000003E-2</v>
      </c>
      <c r="EO10" s="30">
        <v>-1.3100000000000001E-2</v>
      </c>
      <c r="EP10" s="30">
        <v>-1.35E-2</v>
      </c>
      <c r="EQ10" s="30">
        <v>2.5099999999999998</v>
      </c>
    </row>
    <row r="11" spans="1:147" ht="108" x14ac:dyDescent="0.25">
      <c r="B11" s="28"/>
      <c r="C11" s="28"/>
      <c r="D11" s="28" t="s">
        <v>1277</v>
      </c>
      <c r="E11" t="s">
        <v>591</v>
      </c>
      <c r="F11" t="s">
        <v>592</v>
      </c>
      <c r="G11">
        <v>72.2</v>
      </c>
      <c r="H11">
        <v>2.94</v>
      </c>
      <c r="I11" t="s">
        <v>593</v>
      </c>
      <c r="J11">
        <v>57760000000</v>
      </c>
      <c r="K11">
        <v>35.61</v>
      </c>
      <c r="L11">
        <v>8.98</v>
      </c>
      <c r="M11" t="s">
        <v>424</v>
      </c>
      <c r="N11" t="s">
        <v>901</v>
      </c>
      <c r="O11" t="s">
        <v>924</v>
      </c>
      <c r="P11" t="s">
        <v>925</v>
      </c>
      <c r="Q11">
        <v>21.42</v>
      </c>
      <c r="R11" t="s">
        <v>926</v>
      </c>
      <c r="S11">
        <v>1202924900</v>
      </c>
      <c r="T11" s="3">
        <v>0.2492</v>
      </c>
      <c r="U11" t="s">
        <v>927</v>
      </c>
      <c r="V11">
        <v>800000000</v>
      </c>
      <c r="W11">
        <v>800000000</v>
      </c>
      <c r="X11">
        <v>1.37</v>
      </c>
      <c r="Y11">
        <v>0.44</v>
      </c>
      <c r="Z11">
        <v>31.07</v>
      </c>
      <c r="AA11" t="s">
        <v>928</v>
      </c>
      <c r="AB11" t="s">
        <v>383</v>
      </c>
      <c r="AC11" t="s">
        <v>421</v>
      </c>
      <c r="AD11" t="s">
        <v>45</v>
      </c>
      <c r="AE11" t="s">
        <v>929</v>
      </c>
      <c r="AF11">
        <v>-899866</v>
      </c>
      <c r="AG11" t="s">
        <v>930</v>
      </c>
      <c r="AH11" t="s">
        <v>931</v>
      </c>
      <c r="AI11" t="s">
        <v>932</v>
      </c>
      <c r="AJ11" t="s">
        <v>251</v>
      </c>
      <c r="AK11" t="s">
        <v>933</v>
      </c>
      <c r="AL11" t="s">
        <v>7</v>
      </c>
      <c r="AM11" t="s">
        <v>934</v>
      </c>
      <c r="AN11" t="s">
        <v>7</v>
      </c>
      <c r="AO11" t="s">
        <v>158</v>
      </c>
      <c r="AP11" t="s">
        <v>7</v>
      </c>
      <c r="AQ11" t="s">
        <v>151</v>
      </c>
      <c r="AR11" t="s">
        <v>935</v>
      </c>
      <c r="AS11" t="s">
        <v>7</v>
      </c>
      <c r="AT11" t="s">
        <v>936</v>
      </c>
      <c r="AU11" t="s">
        <v>7</v>
      </c>
      <c r="AV11" t="s">
        <v>937</v>
      </c>
      <c r="AW11" t="s">
        <v>938</v>
      </c>
      <c r="AX11" t="s">
        <v>939</v>
      </c>
      <c r="AY11" t="s">
        <v>506</v>
      </c>
      <c r="AZ11" t="s">
        <v>940</v>
      </c>
      <c r="BA11" t="s">
        <v>941</v>
      </c>
      <c r="BB11" t="s">
        <v>942</v>
      </c>
      <c r="BC11" t="s">
        <v>943</v>
      </c>
      <c r="BD11" t="s">
        <v>944</v>
      </c>
      <c r="BE11" t="s">
        <v>945</v>
      </c>
      <c r="BF11" t="s">
        <v>946</v>
      </c>
      <c r="BG11" t="s">
        <v>255</v>
      </c>
      <c r="BH11" t="s">
        <v>42</v>
      </c>
      <c r="BI11" t="s">
        <v>947</v>
      </c>
      <c r="BJ11" t="s">
        <v>948</v>
      </c>
      <c r="BK11" t="s">
        <v>949</v>
      </c>
      <c r="BL11" t="s">
        <v>946</v>
      </c>
      <c r="BM11" t="s">
        <v>390</v>
      </c>
      <c r="BN11" t="s">
        <v>950</v>
      </c>
      <c r="BO11">
        <v>24.24</v>
      </c>
      <c r="BP11">
        <v>18.97</v>
      </c>
      <c r="BQ11">
        <v>20.47</v>
      </c>
      <c r="BR11">
        <v>24.89</v>
      </c>
      <c r="BS11">
        <v>19.28</v>
      </c>
      <c r="BT11">
        <v>20.57</v>
      </c>
      <c r="BU11" t="s">
        <v>951</v>
      </c>
      <c r="BV11" t="s">
        <v>651</v>
      </c>
      <c r="BW11">
        <v>68.27</v>
      </c>
      <c r="BX11">
        <v>67.13</v>
      </c>
      <c r="BY11">
        <v>64.36</v>
      </c>
      <c r="BZ11">
        <v>30.95</v>
      </c>
      <c r="CA11">
        <v>27.72</v>
      </c>
      <c r="CB11">
        <v>24.66</v>
      </c>
      <c r="CC11">
        <v>6.3</v>
      </c>
      <c r="CD11">
        <v>42.52</v>
      </c>
      <c r="CE11" t="s">
        <v>952</v>
      </c>
      <c r="CF11" t="s">
        <v>75</v>
      </c>
      <c r="CG11" s="24">
        <v>0.23282262443438942</v>
      </c>
      <c r="CH11" s="25">
        <v>0.13348903743315471</v>
      </c>
      <c r="CI11" s="24">
        <v>0.32589802145957947</v>
      </c>
      <c r="CJ11" s="24">
        <v>-8.6047112941741943E-2</v>
      </c>
      <c r="CK11" s="24">
        <v>8.2545146346092224E-2</v>
      </c>
      <c r="CL11" s="24">
        <v>0.11185470968484879</v>
      </c>
      <c r="CM11" s="24">
        <v>3.291630744934082E-2</v>
      </c>
      <c r="CN11" s="25">
        <v>0.45015740394592285</v>
      </c>
      <c r="CO11" s="25">
        <v>2.4731183424592018E-2</v>
      </c>
      <c r="CP11" s="25">
        <v>0.19383825361728668</v>
      </c>
      <c r="CQ11" s="25">
        <v>0.16791604459285736</v>
      </c>
      <c r="CR11" s="25">
        <v>-2.3426061496138573E-2</v>
      </c>
      <c r="CS11">
        <v>12.619619838322045</v>
      </c>
      <c r="CT11">
        <v>84836776.410998553</v>
      </c>
      <c r="CU11">
        <v>1.2465373961218835</v>
      </c>
      <c r="CV11" s="24">
        <v>9.3433414399623868E-2</v>
      </c>
      <c r="CW11" s="25">
        <v>0.16264336481690406</v>
      </c>
      <c r="CX11">
        <v>0.06</v>
      </c>
      <c r="CY11">
        <v>37.673535149266769</v>
      </c>
      <c r="CZ11">
        <v>1425589602.5474341</v>
      </c>
      <c r="DA11">
        <v>9.3433414399623868E-2</v>
      </c>
      <c r="DB11">
        <v>12.27563221596796</v>
      </c>
      <c r="DC11">
        <v>4375090346.0710344</v>
      </c>
      <c r="DD11">
        <v>8.8761743679642666E-2</v>
      </c>
      <c r="DE11">
        <v>6.0195376392664706</v>
      </c>
      <c r="DF11">
        <v>8922113826.4274788</v>
      </c>
      <c r="DG11">
        <v>8.222140467166901E-2</v>
      </c>
      <c r="DH11">
        <v>3.5989802941230189</v>
      </c>
      <c r="DI11">
        <v>14922838029.344378</v>
      </c>
      <c r="DJ11">
        <v>7.47467315196991E-2</v>
      </c>
      <c r="DK11">
        <v>1.8412807512596483</v>
      </c>
      <c r="DL11">
        <v>29168284067.086575</v>
      </c>
      <c r="DM11">
        <v>6.5403390079736709E-2</v>
      </c>
      <c r="DN11">
        <v>1382000000</v>
      </c>
      <c r="DO11">
        <v>9.3433414399623868E-2</v>
      </c>
      <c r="DP11">
        <v>53707000000</v>
      </c>
      <c r="DQ11">
        <v>4406997200</v>
      </c>
      <c r="DR11">
        <v>3892</v>
      </c>
      <c r="DS11">
        <v>0.13938921003476556</v>
      </c>
      <c r="DT11">
        <v>-2.9154327383749346E-2</v>
      </c>
      <c r="DU11" s="26">
        <v>0.76666666666666661</v>
      </c>
      <c r="DV11">
        <v>0.6366666666666666</v>
      </c>
      <c r="DW11">
        <v>1.4033333333333333</v>
      </c>
      <c r="DX11">
        <v>9.1481655691439325</v>
      </c>
      <c r="DY11">
        <v>0.38691631205673671</v>
      </c>
      <c r="DZ11">
        <v>9.023249594683854</v>
      </c>
      <c r="EA11">
        <v>915</v>
      </c>
      <c r="EB11">
        <v>9.0189248581244463</v>
      </c>
      <c r="EC11">
        <v>9</v>
      </c>
      <c r="ED11">
        <v>5.5313000000000001E-2</v>
      </c>
      <c r="EE11">
        <v>0.35249999999999998</v>
      </c>
      <c r="EF11" s="27">
        <v>1.2719999999999999E-3</v>
      </c>
      <c r="EG11">
        <v>3.0699999999999998E-2</v>
      </c>
      <c r="EH11">
        <v>23.156916312056737</v>
      </c>
      <c r="EI11" t="s">
        <v>398</v>
      </c>
      <c r="EJ11">
        <v>1</v>
      </c>
      <c r="EK11">
        <v>1</v>
      </c>
      <c r="EL11" s="29">
        <v>44939</v>
      </c>
      <c r="EM11" s="30">
        <v>8.5999999999999993E-2</v>
      </c>
      <c r="EN11" s="30">
        <v>4.1999999999999997E-3</v>
      </c>
      <c r="EO11" s="30">
        <v>-4.0800000000000003E-2</v>
      </c>
      <c r="EP11" s="30">
        <v>-1.2800000000000001E-2</v>
      </c>
      <c r="EQ11" s="30">
        <v>2.94</v>
      </c>
    </row>
    <row r="12" spans="1:147" ht="140.4" x14ac:dyDescent="0.25">
      <c r="B12" s="28" t="s">
        <v>1278</v>
      </c>
      <c r="C12" s="28"/>
      <c r="D12" s="28" t="s">
        <v>1279</v>
      </c>
      <c r="E12" t="s">
        <v>594</v>
      </c>
      <c r="F12" t="s">
        <v>595</v>
      </c>
      <c r="G12">
        <v>146.68</v>
      </c>
      <c r="H12">
        <v>1.59</v>
      </c>
      <c r="I12" t="s">
        <v>596</v>
      </c>
      <c r="J12">
        <v>47660583000</v>
      </c>
      <c r="K12">
        <v>41.61</v>
      </c>
      <c r="L12">
        <v>11.69</v>
      </c>
      <c r="M12" t="s">
        <v>424</v>
      </c>
      <c r="N12" t="s">
        <v>474</v>
      </c>
      <c r="O12" t="s">
        <v>953</v>
      </c>
      <c r="P12" t="s">
        <v>954</v>
      </c>
      <c r="Q12">
        <v>32.049999999999997</v>
      </c>
      <c r="R12" t="s">
        <v>955</v>
      </c>
      <c r="S12">
        <v>971984520</v>
      </c>
      <c r="T12" s="3">
        <v>0.3498</v>
      </c>
      <c r="U12" t="s">
        <v>555</v>
      </c>
      <c r="V12">
        <v>324928980</v>
      </c>
      <c r="W12">
        <v>324928980</v>
      </c>
      <c r="X12">
        <v>1.4</v>
      </c>
      <c r="Y12">
        <v>0.59</v>
      </c>
      <c r="Z12">
        <v>27.88</v>
      </c>
      <c r="AA12" t="s">
        <v>956</v>
      </c>
      <c r="AB12" t="s">
        <v>509</v>
      </c>
      <c r="AC12" t="s">
        <v>957</v>
      </c>
      <c r="AD12" t="s">
        <v>125</v>
      </c>
      <c r="AE12" t="s">
        <v>958</v>
      </c>
      <c r="AF12">
        <v>-46796356</v>
      </c>
      <c r="AG12" t="s">
        <v>959</v>
      </c>
      <c r="AH12" t="s">
        <v>960</v>
      </c>
      <c r="AI12" t="s">
        <v>961</v>
      </c>
      <c r="AJ12" t="s">
        <v>962</v>
      </c>
      <c r="AK12" t="s">
        <v>963</v>
      </c>
      <c r="AL12" t="s">
        <v>112</v>
      </c>
      <c r="AM12" t="s">
        <v>964</v>
      </c>
      <c r="AN12" t="s">
        <v>7</v>
      </c>
      <c r="AO12" t="s">
        <v>124</v>
      </c>
      <c r="AP12" t="s">
        <v>7</v>
      </c>
      <c r="AQ12" t="s">
        <v>965</v>
      </c>
      <c r="AR12" t="s">
        <v>966</v>
      </c>
      <c r="AS12" t="s">
        <v>967</v>
      </c>
      <c r="AT12" t="s">
        <v>968</v>
      </c>
      <c r="AU12" t="s">
        <v>7</v>
      </c>
      <c r="AV12" t="s">
        <v>20</v>
      </c>
      <c r="AW12" t="s">
        <v>969</v>
      </c>
      <c r="AX12" t="s">
        <v>970</v>
      </c>
      <c r="AY12" t="s">
        <v>971</v>
      </c>
      <c r="AZ12" t="s">
        <v>972</v>
      </c>
      <c r="BA12" t="s">
        <v>973</v>
      </c>
      <c r="BB12" t="s">
        <v>388</v>
      </c>
      <c r="BC12" t="s">
        <v>49</v>
      </c>
      <c r="BD12" t="s">
        <v>559</v>
      </c>
      <c r="BE12" t="s">
        <v>974</v>
      </c>
      <c r="BF12" t="s">
        <v>91</v>
      </c>
      <c r="BG12" t="s">
        <v>27</v>
      </c>
      <c r="BH12" t="s">
        <v>567</v>
      </c>
      <c r="BI12" t="s">
        <v>546</v>
      </c>
      <c r="BJ12" t="s">
        <v>975</v>
      </c>
      <c r="BK12" t="s">
        <v>976</v>
      </c>
      <c r="BL12" t="s">
        <v>977</v>
      </c>
      <c r="BM12" t="s">
        <v>461</v>
      </c>
      <c r="BN12" t="s">
        <v>978</v>
      </c>
      <c r="BO12">
        <v>27.16</v>
      </c>
      <c r="BP12">
        <v>17.79</v>
      </c>
      <c r="BQ12">
        <v>12.7</v>
      </c>
      <c r="BR12">
        <v>28</v>
      </c>
      <c r="BS12">
        <v>18.63</v>
      </c>
      <c r="BT12">
        <v>13.02</v>
      </c>
      <c r="BU12" t="s">
        <v>979</v>
      </c>
      <c r="BV12" t="s">
        <v>651</v>
      </c>
      <c r="BW12">
        <v>79.11</v>
      </c>
      <c r="BX12">
        <v>78.87</v>
      </c>
      <c r="BY12">
        <v>77.75</v>
      </c>
      <c r="BZ12">
        <v>28.3</v>
      </c>
      <c r="CA12">
        <v>26.92</v>
      </c>
      <c r="CB12">
        <v>19.809999999999999</v>
      </c>
      <c r="CC12">
        <v>5.7</v>
      </c>
      <c r="CD12">
        <v>17.23</v>
      </c>
      <c r="CE12" t="s">
        <v>980</v>
      </c>
      <c r="CF12" t="s">
        <v>156</v>
      </c>
      <c r="CG12" s="24">
        <v>2.4658855291576673E-2</v>
      </c>
      <c r="CH12" s="25">
        <v>0.20945009523809491</v>
      </c>
      <c r="CI12" s="24">
        <v>0.86966055631637573</v>
      </c>
      <c r="CJ12" s="24">
        <v>0.20767195522785187</v>
      </c>
      <c r="CK12" s="24">
        <v>0.27379941940307617</v>
      </c>
      <c r="CL12" s="24">
        <v>0.35193628072738647</v>
      </c>
      <c r="CM12" s="24">
        <v>0.34045800566673279</v>
      </c>
      <c r="CN12" s="25">
        <v>0.81504064798355103</v>
      </c>
      <c r="CO12" s="25">
        <v>0.64548492431640625</v>
      </c>
      <c r="CP12" s="25">
        <v>0.34080716967582703</v>
      </c>
      <c r="CQ12" s="25">
        <v>0.26704546809196472</v>
      </c>
      <c r="CR12" s="25">
        <v>0.61467891931533813</v>
      </c>
      <c r="CS12">
        <v>13.960334797891036</v>
      </c>
      <c r="CT12">
        <v>108625693.16909294</v>
      </c>
      <c r="CU12">
        <v>0.88628306517589306</v>
      </c>
      <c r="CV12" s="24">
        <v>0.40870524346828463</v>
      </c>
      <c r="CW12" s="25">
        <v>0.53661142587661748</v>
      </c>
      <c r="CX12">
        <v>0.06</v>
      </c>
      <c r="CY12">
        <v>38.116627429122829</v>
      </c>
      <c r="CZ12">
        <v>1186767719.2614887</v>
      </c>
      <c r="DA12">
        <v>0.40870524346828463</v>
      </c>
      <c r="DB12">
        <v>9.6094313453660529</v>
      </c>
      <c r="DC12">
        <v>4707415181.4211063</v>
      </c>
      <c r="DD12">
        <v>0.38826998129487039</v>
      </c>
      <c r="DE12">
        <v>3.2322765672177849</v>
      </c>
      <c r="DF12">
        <v>13994960536.108143</v>
      </c>
      <c r="DG12">
        <v>0.35966061425209045</v>
      </c>
      <c r="DH12">
        <v>1.2057360135000927</v>
      </c>
      <c r="DI12">
        <v>37516987544.136681</v>
      </c>
      <c r="DJ12">
        <v>0.32696419477462774</v>
      </c>
      <c r="DK12">
        <v>0.19032413295220271</v>
      </c>
      <c r="DL12">
        <v>237676548414.17453</v>
      </c>
      <c r="DM12">
        <v>0.28609367042779921</v>
      </c>
      <c r="DN12">
        <v>893000000</v>
      </c>
      <c r="DO12">
        <v>0.40870524346828463</v>
      </c>
      <c r="DP12">
        <v>45235583000</v>
      </c>
      <c r="DQ12">
        <v>3132976500</v>
      </c>
      <c r="DR12">
        <v>305</v>
      </c>
      <c r="DS12">
        <v>-0.38404638817670794</v>
      </c>
      <c r="DT12">
        <v>-0.3271613306385226</v>
      </c>
      <c r="DU12" s="26">
        <v>1.0533333333333335</v>
      </c>
      <c r="DV12">
        <v>1.3033333333333335</v>
      </c>
      <c r="DW12">
        <v>2.3566666666666669</v>
      </c>
      <c r="DX12">
        <v>8.3308183401044698</v>
      </c>
      <c r="DY12">
        <v>0.35105034482758796</v>
      </c>
      <c r="DZ12">
        <v>8.0565865911501593</v>
      </c>
      <c r="EA12">
        <v>148</v>
      </c>
      <c r="EB12">
        <v>8.0548840468341965</v>
      </c>
      <c r="EC12">
        <v>8</v>
      </c>
      <c r="ED12">
        <v>0.15266289882792233</v>
      </c>
      <c r="EE12">
        <v>0.89250272474926673</v>
      </c>
      <c r="EF12" s="27">
        <v>3.3798000000000002E-2</v>
      </c>
      <c r="EG12">
        <v>4.9699999999999994E-2</v>
      </c>
      <c r="EH12">
        <v>18.171050344827588</v>
      </c>
      <c r="EI12" t="s">
        <v>398</v>
      </c>
      <c r="EJ12">
        <v>0</v>
      </c>
      <c r="EK12">
        <v>1</v>
      </c>
      <c r="EL12" s="29">
        <v>44939</v>
      </c>
      <c r="EM12" s="30">
        <v>3.1899999999999998E-2</v>
      </c>
      <c r="EN12" s="30">
        <v>4.4400000000000002E-2</v>
      </c>
      <c r="EO12" s="30">
        <v>-1.47E-2</v>
      </c>
      <c r="EP12" s="30">
        <v>-2.0199999999999999E-2</v>
      </c>
      <c r="EQ12" s="30">
        <v>1.59</v>
      </c>
    </row>
    <row r="13" spans="1:147" ht="118.8" x14ac:dyDescent="0.25">
      <c r="B13" s="28"/>
      <c r="C13" s="28"/>
      <c r="D13" s="28" t="s">
        <v>1280</v>
      </c>
      <c r="E13" t="s">
        <v>597</v>
      </c>
      <c r="F13" t="s">
        <v>598</v>
      </c>
      <c r="G13">
        <v>85.8</v>
      </c>
      <c r="H13">
        <v>2.36</v>
      </c>
      <c r="I13" t="s">
        <v>599</v>
      </c>
      <c r="J13">
        <v>41901408000</v>
      </c>
      <c r="K13">
        <v>33.42</v>
      </c>
      <c r="L13">
        <v>12.73</v>
      </c>
      <c r="M13" t="s">
        <v>424</v>
      </c>
      <c r="N13" t="s">
        <v>981</v>
      </c>
      <c r="O13" t="s">
        <v>982</v>
      </c>
      <c r="P13" t="s">
        <v>983</v>
      </c>
      <c r="Q13">
        <v>10.15</v>
      </c>
      <c r="R13" t="s">
        <v>261</v>
      </c>
      <c r="S13">
        <v>1055030030</v>
      </c>
      <c r="T13" s="3">
        <v>5.4600000000000003E-2</v>
      </c>
      <c r="U13" t="s">
        <v>464</v>
      </c>
      <c r="V13">
        <v>488361400</v>
      </c>
      <c r="W13">
        <v>488361400</v>
      </c>
      <c r="X13">
        <v>2</v>
      </c>
      <c r="Y13">
        <v>0.6</v>
      </c>
      <c r="Z13">
        <v>27.98</v>
      </c>
      <c r="AA13" t="s">
        <v>984</v>
      </c>
      <c r="AB13" t="s">
        <v>985</v>
      </c>
      <c r="AC13" t="s">
        <v>986</v>
      </c>
      <c r="AD13" t="s">
        <v>987</v>
      </c>
      <c r="AE13" t="s">
        <v>988</v>
      </c>
      <c r="AF13">
        <v>-25738770</v>
      </c>
      <c r="AG13" t="s">
        <v>29</v>
      </c>
      <c r="AH13" t="s">
        <v>989</v>
      </c>
      <c r="AI13" t="s">
        <v>990</v>
      </c>
      <c r="AJ13" t="s">
        <v>991</v>
      </c>
      <c r="AK13" t="s">
        <v>992</v>
      </c>
      <c r="AL13" t="s">
        <v>7</v>
      </c>
      <c r="AM13" t="s">
        <v>993</v>
      </c>
      <c r="AN13" t="s">
        <v>7</v>
      </c>
      <c r="AO13" t="s">
        <v>994</v>
      </c>
      <c r="AP13" t="s">
        <v>7</v>
      </c>
      <c r="AQ13" t="s">
        <v>995</v>
      </c>
      <c r="AR13" t="s">
        <v>473</v>
      </c>
      <c r="AS13" t="s">
        <v>7</v>
      </c>
      <c r="AT13" t="s">
        <v>996</v>
      </c>
      <c r="AU13" t="s">
        <v>7</v>
      </c>
      <c r="AV13" t="s">
        <v>416</v>
      </c>
      <c r="AW13" t="s">
        <v>997</v>
      </c>
      <c r="AX13" t="s">
        <v>549</v>
      </c>
      <c r="AY13" t="s">
        <v>998</v>
      </c>
      <c r="AZ13" t="s">
        <v>999</v>
      </c>
      <c r="BA13" t="s">
        <v>1000</v>
      </c>
      <c r="BB13" t="s">
        <v>1001</v>
      </c>
      <c r="BC13" t="s">
        <v>1002</v>
      </c>
      <c r="BD13" t="s">
        <v>541</v>
      </c>
      <c r="BE13" t="s">
        <v>481</v>
      </c>
      <c r="BF13" t="s">
        <v>985</v>
      </c>
      <c r="BG13" t="s">
        <v>141</v>
      </c>
      <c r="BH13" t="s">
        <v>147</v>
      </c>
      <c r="BI13" t="s">
        <v>1003</v>
      </c>
      <c r="BJ13" t="s">
        <v>1004</v>
      </c>
      <c r="BK13" t="s">
        <v>1005</v>
      </c>
      <c r="BL13" t="s">
        <v>532</v>
      </c>
      <c r="BM13" t="s">
        <v>895</v>
      </c>
      <c r="BN13" t="s">
        <v>418</v>
      </c>
      <c r="BO13">
        <v>50.24</v>
      </c>
      <c r="BP13">
        <v>32.979999999999997</v>
      </c>
      <c r="BQ13">
        <v>40.65</v>
      </c>
      <c r="BR13">
        <v>49.85</v>
      </c>
      <c r="BS13">
        <v>34.44</v>
      </c>
      <c r="BT13">
        <v>41.6</v>
      </c>
      <c r="BU13" t="s">
        <v>1006</v>
      </c>
      <c r="BV13" t="s">
        <v>651</v>
      </c>
      <c r="BW13">
        <v>84.82</v>
      </c>
      <c r="BX13">
        <v>84.19</v>
      </c>
      <c r="BY13">
        <v>82.87</v>
      </c>
      <c r="BZ13">
        <v>17.829999999999998</v>
      </c>
      <c r="CA13">
        <v>24.33</v>
      </c>
      <c r="CB13">
        <v>23.35</v>
      </c>
      <c r="CC13">
        <v>2.5099999999999998</v>
      </c>
      <c r="CD13">
        <v>31.39</v>
      </c>
      <c r="CE13" t="s">
        <v>1007</v>
      </c>
      <c r="CF13" t="s">
        <v>115</v>
      </c>
      <c r="CG13" s="24">
        <v>6.9842244640605775E-2</v>
      </c>
      <c r="CH13" s="25">
        <v>9.9566661316211877E-2</v>
      </c>
      <c r="CI13" s="24">
        <v>0.54091811180114746</v>
      </c>
      <c r="CJ13" s="24">
        <v>-0.15060749650001526</v>
      </c>
      <c r="CK13" s="24">
        <v>0.25540971755981445</v>
      </c>
      <c r="CL13" s="24">
        <v>0.37646487355232239</v>
      </c>
      <c r="CM13" s="24">
        <v>0.74149662256240845</v>
      </c>
      <c r="CN13" s="25">
        <v>0.64021897315979004</v>
      </c>
      <c r="CO13" s="25">
        <v>-0.11501210927963257</v>
      </c>
      <c r="CP13" s="25">
        <v>0.42659759521484375</v>
      </c>
      <c r="CQ13" s="25">
        <v>0.72835820913314819</v>
      </c>
      <c r="CR13" s="25">
        <v>0.48888888955116272</v>
      </c>
      <c r="CS13">
        <v>9.0460725388601038</v>
      </c>
      <c r="CT13">
        <v>85497325.271059215</v>
      </c>
      <c r="CU13">
        <v>0.87412587412587417</v>
      </c>
      <c r="CV13" s="24">
        <v>0.35273636579513551</v>
      </c>
      <c r="CW13" s="25">
        <v>0.43381031155586242</v>
      </c>
      <c r="CX13">
        <v>0.06</v>
      </c>
      <c r="CY13">
        <v>27.392826913339714</v>
      </c>
      <c r="CZ13">
        <v>1530123493.0078936</v>
      </c>
      <c r="DA13">
        <v>0.35273636579513551</v>
      </c>
      <c r="DB13">
        <v>7.2166235718808585</v>
      </c>
      <c r="DC13">
        <v>5808035791.6016264</v>
      </c>
      <c r="DD13">
        <v>0.33509954750537874</v>
      </c>
      <c r="DE13">
        <v>2.5998115254265026</v>
      </c>
      <c r="DF13">
        <v>16122094848.057837</v>
      </c>
      <c r="DG13">
        <v>0.31040800189971923</v>
      </c>
      <c r="DH13">
        <v>1.0616581871919208</v>
      </c>
      <c r="DI13">
        <v>39480134477.99366</v>
      </c>
      <c r="DJ13">
        <v>0.28218909263610842</v>
      </c>
      <c r="DK13">
        <v>0.21180576125262224</v>
      </c>
      <c r="DL13">
        <v>197890783291.81229</v>
      </c>
      <c r="DM13">
        <v>0.24691545605659485</v>
      </c>
      <c r="DN13">
        <v>1199000000</v>
      </c>
      <c r="DO13">
        <v>0.35273636579513551</v>
      </c>
      <c r="DP13">
        <v>41914408000</v>
      </c>
      <c r="DQ13">
        <v>964392599.99999952</v>
      </c>
      <c r="DR13">
        <v>3367</v>
      </c>
      <c r="DS13">
        <v>-0.28289412115452972</v>
      </c>
      <c r="DT13">
        <v>-0.33424365023965052</v>
      </c>
      <c r="DU13" s="26">
        <v>0.46666666666666673</v>
      </c>
      <c r="DV13">
        <v>0.79999999999999993</v>
      </c>
      <c r="DW13">
        <v>1.2666666666666666</v>
      </c>
      <c r="DX13">
        <v>8.0799617712647347</v>
      </c>
      <c r="DY13">
        <v>0.33894513274336102</v>
      </c>
      <c r="DZ13">
        <v>8.0103106812101252</v>
      </c>
      <c r="EA13">
        <v>1127</v>
      </c>
      <c r="EB13">
        <v>8.0079483844579791</v>
      </c>
      <c r="EC13">
        <v>8</v>
      </c>
      <c r="ED13">
        <v>8.9508302662741165E-2</v>
      </c>
      <c r="EE13">
        <v>0.69415805589876678</v>
      </c>
      <c r="EF13" s="27">
        <v>6.4215999999999995E-2</v>
      </c>
      <c r="EG13">
        <v>4.061E-2</v>
      </c>
      <c r="EH13">
        <v>21.128945132743361</v>
      </c>
      <c r="EI13">
        <v>-1</v>
      </c>
      <c r="EJ13">
        <v>0</v>
      </c>
      <c r="EK13">
        <v>1</v>
      </c>
      <c r="EL13" s="29">
        <v>44939</v>
      </c>
      <c r="EM13" s="30">
        <v>2.5000000000000001E-2</v>
      </c>
      <c r="EN13" s="30">
        <v>0</v>
      </c>
      <c r="EO13" s="30">
        <v>-2.3999999999999998E-3</v>
      </c>
      <c r="EP13" s="30">
        <v>-2.06E-2</v>
      </c>
      <c r="EQ13" s="30">
        <v>2.36</v>
      </c>
    </row>
    <row r="14" spans="1:147" ht="118.8" x14ac:dyDescent="0.25">
      <c r="B14" s="28" t="s">
        <v>1281</v>
      </c>
      <c r="C14" s="28"/>
      <c r="D14" s="28" t="s">
        <v>1282</v>
      </c>
      <c r="E14" t="s">
        <v>600</v>
      </c>
      <c r="F14" t="s">
        <v>601</v>
      </c>
      <c r="G14">
        <v>61.8</v>
      </c>
      <c r="H14">
        <v>3.02</v>
      </c>
      <c r="I14" t="s">
        <v>602</v>
      </c>
      <c r="J14">
        <v>37080000000</v>
      </c>
      <c r="K14">
        <v>20.85</v>
      </c>
      <c r="L14">
        <v>4.33</v>
      </c>
      <c r="M14" t="s">
        <v>424</v>
      </c>
      <c r="N14" t="s">
        <v>1008</v>
      </c>
      <c r="O14" t="s">
        <v>1009</v>
      </c>
      <c r="P14" t="s">
        <v>1010</v>
      </c>
      <c r="Q14">
        <v>3.67</v>
      </c>
      <c r="R14" t="s">
        <v>1011</v>
      </c>
      <c r="S14">
        <v>1201597400</v>
      </c>
      <c r="T14" s="3">
        <v>4.4699999999999997E-2</v>
      </c>
      <c r="U14" t="s">
        <v>1012</v>
      </c>
      <c r="V14">
        <v>600000000</v>
      </c>
      <c r="W14">
        <v>600000000</v>
      </c>
      <c r="X14">
        <v>1.25</v>
      </c>
      <c r="Y14">
        <v>0.35</v>
      </c>
      <c r="Z14">
        <v>31.94</v>
      </c>
      <c r="AA14" t="s">
        <v>478</v>
      </c>
      <c r="AB14" t="s">
        <v>265</v>
      </c>
      <c r="AC14" t="s">
        <v>187</v>
      </c>
      <c r="AD14" t="s">
        <v>62</v>
      </c>
      <c r="AE14" t="s">
        <v>1013</v>
      </c>
      <c r="AF14">
        <v>-40942411</v>
      </c>
      <c r="AG14" t="s">
        <v>1014</v>
      </c>
      <c r="AH14" t="s">
        <v>1015</v>
      </c>
      <c r="AI14" t="s">
        <v>1016</v>
      </c>
      <c r="AJ14" t="s">
        <v>148</v>
      </c>
      <c r="AK14" t="s">
        <v>1017</v>
      </c>
      <c r="AL14" t="s">
        <v>85</v>
      </c>
      <c r="AM14" t="s">
        <v>1018</v>
      </c>
      <c r="AN14" t="s">
        <v>7</v>
      </c>
      <c r="AO14" t="s">
        <v>1019</v>
      </c>
      <c r="AP14" t="s">
        <v>7</v>
      </c>
      <c r="AQ14" t="s">
        <v>378</v>
      </c>
      <c r="AR14" t="s">
        <v>513</v>
      </c>
      <c r="AS14" t="s">
        <v>7</v>
      </c>
      <c r="AT14" t="s">
        <v>1020</v>
      </c>
      <c r="AU14" t="s">
        <v>7</v>
      </c>
      <c r="AV14" t="s">
        <v>1021</v>
      </c>
      <c r="AW14" t="s">
        <v>1022</v>
      </c>
      <c r="AX14" t="s">
        <v>1023</v>
      </c>
      <c r="AY14" t="s">
        <v>1024</v>
      </c>
      <c r="AZ14" t="s">
        <v>1025</v>
      </c>
      <c r="BA14" t="s">
        <v>1026</v>
      </c>
      <c r="BB14" t="s">
        <v>309</v>
      </c>
      <c r="BC14" t="s">
        <v>1027</v>
      </c>
      <c r="BD14" t="s">
        <v>867</v>
      </c>
      <c r="BE14" t="s">
        <v>1028</v>
      </c>
      <c r="BF14" t="s">
        <v>1029</v>
      </c>
      <c r="BG14" t="s">
        <v>1030</v>
      </c>
      <c r="BH14" t="s">
        <v>524</v>
      </c>
      <c r="BI14" t="s">
        <v>1031</v>
      </c>
      <c r="BJ14" t="s">
        <v>1032</v>
      </c>
      <c r="BK14" t="s">
        <v>1033</v>
      </c>
      <c r="BL14" t="s">
        <v>251</v>
      </c>
      <c r="BM14" t="s">
        <v>1034</v>
      </c>
      <c r="BN14" t="s">
        <v>1035</v>
      </c>
      <c r="BO14">
        <v>22.79</v>
      </c>
      <c r="BP14">
        <v>17.399999999999999</v>
      </c>
      <c r="BQ14">
        <v>25.71</v>
      </c>
      <c r="BR14">
        <v>22.48</v>
      </c>
      <c r="BS14">
        <v>18.100000000000001</v>
      </c>
      <c r="BT14">
        <v>26.36</v>
      </c>
      <c r="BU14" t="s">
        <v>1036</v>
      </c>
      <c r="BV14" t="s">
        <v>651</v>
      </c>
      <c r="BW14">
        <v>75.47</v>
      </c>
      <c r="BX14">
        <v>75.17</v>
      </c>
      <c r="BY14">
        <v>74.97</v>
      </c>
      <c r="BZ14">
        <v>32.19</v>
      </c>
      <c r="CA14">
        <v>31.8</v>
      </c>
      <c r="CB14">
        <v>36.82</v>
      </c>
      <c r="CC14">
        <v>4.59</v>
      </c>
      <c r="CD14">
        <v>19.54</v>
      </c>
      <c r="CE14" t="s">
        <v>1037</v>
      </c>
      <c r="CF14" t="s">
        <v>149</v>
      </c>
      <c r="CG14" s="24">
        <v>5.6876551226551227E-2</v>
      </c>
      <c r="CH14" s="25">
        <v>-3.0293736501079914E-3</v>
      </c>
      <c r="CI14" s="24">
        <v>0.25380206108093262</v>
      </c>
      <c r="CJ14" s="24">
        <v>-0.14148114621639252</v>
      </c>
      <c r="CK14" s="24">
        <v>9.4401516020298004E-2</v>
      </c>
      <c r="CL14" s="24">
        <v>0.18484592437744141</v>
      </c>
      <c r="CM14" s="24">
        <v>0.27314484119415283</v>
      </c>
      <c r="CN14" s="25">
        <v>0.35344833135604858</v>
      </c>
      <c r="CO14" s="25">
        <v>-0.25813952088356018</v>
      </c>
      <c r="CP14" s="25">
        <v>0.12198308855295181</v>
      </c>
      <c r="CQ14" s="25">
        <v>0.37612202763557434</v>
      </c>
      <c r="CR14" s="25">
        <v>0.42273306846618652</v>
      </c>
      <c r="CS14">
        <v>7.3732352356333264</v>
      </c>
      <c r="CT14">
        <v>68382334.105385065</v>
      </c>
      <c r="CU14">
        <v>2.4271844660194177</v>
      </c>
      <c r="CV14" s="24">
        <v>0.13294263929128647</v>
      </c>
      <c r="CW14" s="25">
        <v>0.20322939902544021</v>
      </c>
      <c r="CX14">
        <v>0.06</v>
      </c>
      <c r="CY14">
        <v>16.619520589616396</v>
      </c>
      <c r="CZ14">
        <v>1845841450.9962752</v>
      </c>
      <c r="DA14">
        <v>0.13294263929128647</v>
      </c>
      <c r="DB14">
        <v>5.2380991438616631</v>
      </c>
      <c r="DC14">
        <v>5856513814.9302225</v>
      </c>
      <c r="DD14">
        <v>0.12629550732672215</v>
      </c>
      <c r="DE14">
        <v>2.4548928258810228</v>
      </c>
      <c r="DF14">
        <v>12496268544.428411</v>
      </c>
      <c r="DG14">
        <v>0.11698952257633209</v>
      </c>
      <c r="DH14">
        <v>1.3931829716190642</v>
      </c>
      <c r="DI14">
        <v>22019361867.701584</v>
      </c>
      <c r="DJ14">
        <v>0.10635411143302918</v>
      </c>
      <c r="DK14">
        <v>0.63336175216133728</v>
      </c>
      <c r="DL14">
        <v>48435195045.035805</v>
      </c>
      <c r="DM14">
        <v>9.305984750390052E-2</v>
      </c>
      <c r="DN14">
        <v>1727000000</v>
      </c>
      <c r="DO14">
        <v>0.13294263929128647</v>
      </c>
      <c r="DP14">
        <v>30677000000</v>
      </c>
      <c r="DQ14">
        <v>4032916100</v>
      </c>
      <c r="DR14">
        <v>4072</v>
      </c>
      <c r="DS14">
        <v>-7.6066088064735249E-2</v>
      </c>
      <c r="DT14">
        <v>-0.20625877267554821</v>
      </c>
      <c r="DU14" s="26">
        <v>0.3833333333333333</v>
      </c>
      <c r="DV14">
        <v>0.23333333333333331</v>
      </c>
      <c r="DW14">
        <v>0.61666666666666659</v>
      </c>
      <c r="DX14">
        <v>8.2349027635619247</v>
      </c>
      <c r="DY14">
        <v>0.35519349397590272</v>
      </c>
      <c r="DZ14">
        <v>8.0341063529861518</v>
      </c>
      <c r="EA14">
        <v>2317</v>
      </c>
      <c r="EB14">
        <v>8.0180412137568542</v>
      </c>
      <c r="EC14">
        <v>8</v>
      </c>
      <c r="ED14">
        <v>0.1004255</v>
      </c>
      <c r="EE14">
        <v>0.69166666666666676</v>
      </c>
      <c r="EF14" s="27">
        <v>9.7785999999999998E-2</v>
      </c>
      <c r="EG14">
        <v>0.128</v>
      </c>
      <c r="EH14">
        <v>21.145193493975903</v>
      </c>
      <c r="EI14" t="s">
        <v>398</v>
      </c>
      <c r="EJ14">
        <v>0</v>
      </c>
      <c r="EK14">
        <v>0</v>
      </c>
      <c r="EL14" s="29">
        <v>44939</v>
      </c>
      <c r="EM14" s="30">
        <v>4.7199999999999999E-2</v>
      </c>
      <c r="EN14" s="30">
        <v>-3.2000000000000002E-3</v>
      </c>
      <c r="EO14" s="30">
        <v>-6.1999999999999998E-3</v>
      </c>
      <c r="EP14" s="30">
        <v>-2.1399999999999999E-2</v>
      </c>
      <c r="EQ14" s="30">
        <v>3.02</v>
      </c>
    </row>
    <row r="15" spans="1:147" ht="140.4" x14ac:dyDescent="0.25">
      <c r="B15" s="28"/>
      <c r="C15" s="28"/>
      <c r="D15" s="28" t="s">
        <v>1283</v>
      </c>
      <c r="E15" t="s">
        <v>603</v>
      </c>
      <c r="F15" t="s">
        <v>604</v>
      </c>
      <c r="G15">
        <v>28.76</v>
      </c>
      <c r="H15">
        <v>1.81</v>
      </c>
      <c r="I15" t="s">
        <v>605</v>
      </c>
      <c r="J15">
        <v>26308136000</v>
      </c>
      <c r="K15">
        <v>39.08</v>
      </c>
      <c r="L15">
        <v>6.34</v>
      </c>
      <c r="M15" t="s">
        <v>424</v>
      </c>
      <c r="N15" t="s">
        <v>1038</v>
      </c>
      <c r="O15" t="s">
        <v>1039</v>
      </c>
      <c r="P15" t="s">
        <v>1040</v>
      </c>
      <c r="Q15">
        <v>24.78</v>
      </c>
      <c r="R15" t="s">
        <v>1041</v>
      </c>
      <c r="S15">
        <v>533390910</v>
      </c>
      <c r="T15" s="3">
        <v>1.1379999999999999</v>
      </c>
      <c r="U15" t="s">
        <v>81</v>
      </c>
      <c r="V15">
        <v>897287440</v>
      </c>
      <c r="W15">
        <v>914747440</v>
      </c>
      <c r="X15">
        <v>2.17</v>
      </c>
      <c r="Y15">
        <v>0.42</v>
      </c>
      <c r="Z15">
        <v>15.44</v>
      </c>
      <c r="AA15" t="s">
        <v>1042</v>
      </c>
      <c r="AB15" t="s">
        <v>563</v>
      </c>
      <c r="AC15" t="s">
        <v>1043</v>
      </c>
      <c r="AD15" t="s">
        <v>19</v>
      </c>
      <c r="AE15" t="s">
        <v>1044</v>
      </c>
      <c r="AF15">
        <v>-7271463</v>
      </c>
      <c r="AG15" t="s">
        <v>1045</v>
      </c>
      <c r="AH15" t="s">
        <v>1046</v>
      </c>
      <c r="AI15" t="s">
        <v>1047</v>
      </c>
      <c r="AJ15" t="s">
        <v>1048</v>
      </c>
      <c r="AK15" t="s">
        <v>1049</v>
      </c>
      <c r="AL15" t="s">
        <v>391</v>
      </c>
      <c r="AM15" t="s">
        <v>1050</v>
      </c>
      <c r="AN15" t="s">
        <v>7</v>
      </c>
      <c r="AO15" t="s">
        <v>38</v>
      </c>
      <c r="AP15" t="s">
        <v>519</v>
      </c>
      <c r="AQ15" t="s">
        <v>7</v>
      </c>
      <c r="AR15" t="s">
        <v>556</v>
      </c>
      <c r="AS15" t="s">
        <v>7</v>
      </c>
      <c r="AT15" t="s">
        <v>1051</v>
      </c>
      <c r="AU15" t="s">
        <v>7</v>
      </c>
      <c r="AV15" t="s">
        <v>1052</v>
      </c>
      <c r="AW15" t="s">
        <v>1053</v>
      </c>
      <c r="AX15" t="s">
        <v>1054</v>
      </c>
      <c r="AY15" t="s">
        <v>1055</v>
      </c>
      <c r="AZ15" t="s">
        <v>1056</v>
      </c>
      <c r="BA15" t="s">
        <v>1057</v>
      </c>
      <c r="BB15" t="s">
        <v>1058</v>
      </c>
      <c r="BC15" t="s">
        <v>1059</v>
      </c>
      <c r="BD15" t="s">
        <v>466</v>
      </c>
      <c r="BE15" t="s">
        <v>489</v>
      </c>
      <c r="BF15" t="s">
        <v>1060</v>
      </c>
      <c r="BG15" t="s">
        <v>182</v>
      </c>
      <c r="BH15" t="s">
        <v>1061</v>
      </c>
      <c r="BI15" t="s">
        <v>1062</v>
      </c>
      <c r="BJ15" t="s">
        <v>1063</v>
      </c>
      <c r="BK15" t="s">
        <v>384</v>
      </c>
      <c r="BL15" t="s">
        <v>96</v>
      </c>
      <c r="BM15" t="s">
        <v>166</v>
      </c>
      <c r="BN15" t="s">
        <v>74</v>
      </c>
      <c r="BO15">
        <v>9.83</v>
      </c>
      <c r="BP15">
        <v>8.64</v>
      </c>
      <c r="BQ15">
        <v>10.73</v>
      </c>
      <c r="BR15">
        <v>10.83</v>
      </c>
      <c r="BS15">
        <v>9.26</v>
      </c>
      <c r="BT15">
        <v>12.98</v>
      </c>
      <c r="BU15" t="s">
        <v>1064</v>
      </c>
      <c r="BV15" t="s">
        <v>651</v>
      </c>
      <c r="BW15">
        <v>68.2</v>
      </c>
      <c r="BX15">
        <v>64.739999999999995</v>
      </c>
      <c r="BY15">
        <v>61.47</v>
      </c>
      <c r="BZ15">
        <v>17.91</v>
      </c>
      <c r="CA15">
        <v>8.6999999999999993</v>
      </c>
      <c r="CB15">
        <v>10.029999999999999</v>
      </c>
      <c r="CC15">
        <v>1.84</v>
      </c>
      <c r="CD15">
        <v>19.09</v>
      </c>
      <c r="CE15" t="s">
        <v>1065</v>
      </c>
      <c r="CF15" t="s">
        <v>67</v>
      </c>
      <c r="CG15" s="24">
        <v>0.27961566696508483</v>
      </c>
      <c r="CH15" s="25">
        <v>0.36312727999999966</v>
      </c>
      <c r="CI15" s="24">
        <v>0.11923296749591827</v>
      </c>
      <c r="CJ15" s="24">
        <v>-0.10719603300094604</v>
      </c>
      <c r="CK15" s="24">
        <v>0.12475573271512985</v>
      </c>
      <c r="CL15" s="24">
        <v>0.41341221332550049</v>
      </c>
      <c r="CM15" s="24">
        <v>3.9786681532859802E-2</v>
      </c>
      <c r="CN15" s="25">
        <v>0.24281150102615356</v>
      </c>
      <c r="CO15" s="25">
        <v>-0.22524753212928772</v>
      </c>
      <c r="CP15" s="25">
        <v>0.15428571403026581</v>
      </c>
      <c r="CQ15" s="25">
        <v>1.1341463327407837</v>
      </c>
      <c r="CR15" s="25">
        <v>0.47747749090194702</v>
      </c>
      <c r="CS15">
        <v>6.5329366774273643</v>
      </c>
      <c r="CT15">
        <v>81249287.917737782</v>
      </c>
      <c r="CU15">
        <v>0.52155771905424197</v>
      </c>
      <c r="CV15" s="24">
        <v>0.11799831241369248</v>
      </c>
      <c r="CW15" s="25">
        <v>0.35669470131397246</v>
      </c>
      <c r="CX15">
        <v>0.06</v>
      </c>
      <c r="CY15">
        <v>65.827858630415662</v>
      </c>
      <c r="CZ15">
        <v>410284286.34804374</v>
      </c>
      <c r="DA15">
        <v>0.11799831241369248</v>
      </c>
      <c r="DB15">
        <v>21.009507109802826</v>
      </c>
      <c r="DC15">
        <v>1285519734.415772</v>
      </c>
      <c r="DD15">
        <v>0.11209839679300784</v>
      </c>
      <c r="DE15">
        <v>10.01740648239854</v>
      </c>
      <c r="DF15">
        <v>2696120602.4189653</v>
      </c>
      <c r="DG15">
        <v>0.10383851492404939</v>
      </c>
      <c r="DH15">
        <v>5.8001092529532015</v>
      </c>
      <c r="DI15">
        <v>4656487459.4816389</v>
      </c>
      <c r="DJ15">
        <v>9.4398649930953982E-2</v>
      </c>
      <c r="DK15">
        <v>2.7612706371284452</v>
      </c>
      <c r="DL15">
        <v>9781053561.6627674</v>
      </c>
      <c r="DM15">
        <v>8.2598818689584727E-2</v>
      </c>
      <c r="DN15">
        <v>389000000</v>
      </c>
      <c r="DO15">
        <v>0.11799831241369248</v>
      </c>
      <c r="DP15">
        <v>27008136000</v>
      </c>
      <c r="DQ15">
        <v>755184900</v>
      </c>
      <c r="DR15">
        <v>3176</v>
      </c>
      <c r="DS15">
        <v>0.16161735455139237</v>
      </c>
      <c r="DT15">
        <v>6.4325786860272016E-3</v>
      </c>
      <c r="DU15" s="26">
        <v>0.71666666666666667</v>
      </c>
      <c r="DV15">
        <v>1.0833333333333333</v>
      </c>
      <c r="DW15">
        <v>1.7999999999999998</v>
      </c>
      <c r="DX15">
        <v>3.0349464285714287</v>
      </c>
      <c r="DY15">
        <v>0.32922576649746116</v>
      </c>
      <c r="DZ15">
        <v>3.0041665147327774</v>
      </c>
      <c r="EA15">
        <v>454</v>
      </c>
      <c r="EB15">
        <v>3.0037819654974287</v>
      </c>
      <c r="EC15">
        <v>3</v>
      </c>
      <c r="ED15">
        <v>0.10270583539430293</v>
      </c>
      <c r="EE15">
        <v>0.86143996205116469</v>
      </c>
      <c r="EF15" s="27">
        <v>3.6452000000000005E-2</v>
      </c>
      <c r="EG15">
        <v>5.4599999999999996E-2</v>
      </c>
      <c r="EH15">
        <v>21.119225766497461</v>
      </c>
      <c r="EI15" t="s">
        <v>398</v>
      </c>
      <c r="EJ15">
        <v>0</v>
      </c>
      <c r="EK15">
        <v>1</v>
      </c>
      <c r="EL15" s="29">
        <v>44939</v>
      </c>
      <c r="EM15" s="30">
        <v>2.69E-2</v>
      </c>
      <c r="EN15" s="30">
        <v>-3.8E-3</v>
      </c>
      <c r="EO15" s="30">
        <v>-1.7999999999999999E-2</v>
      </c>
      <c r="EP15" s="30">
        <v>-4.1999999999999997E-3</v>
      </c>
      <c r="EQ15" s="30">
        <v>1.81</v>
      </c>
    </row>
    <row r="16" spans="1:147" ht="108" x14ac:dyDescent="0.25">
      <c r="B16" s="28"/>
      <c r="C16" s="28"/>
      <c r="D16" s="28" t="s">
        <v>1284</v>
      </c>
      <c r="E16" t="s">
        <v>606</v>
      </c>
      <c r="F16" t="s">
        <v>607</v>
      </c>
      <c r="G16">
        <v>31.66</v>
      </c>
      <c r="H16">
        <v>6.13</v>
      </c>
      <c r="I16" t="s">
        <v>608</v>
      </c>
      <c r="J16">
        <v>23484343000</v>
      </c>
      <c r="L16">
        <v>3.02</v>
      </c>
      <c r="M16" t="s">
        <v>424</v>
      </c>
      <c r="N16" t="s">
        <v>1066</v>
      </c>
      <c r="O16" t="s">
        <v>1067</v>
      </c>
      <c r="P16" t="s">
        <v>1068</v>
      </c>
      <c r="Q16">
        <v>-21.57</v>
      </c>
      <c r="R16" t="s">
        <v>1069</v>
      </c>
      <c r="S16">
        <v>27595064</v>
      </c>
      <c r="T16" s="3">
        <v>-0.92579999999999996</v>
      </c>
      <c r="U16" t="s">
        <v>99</v>
      </c>
      <c r="V16">
        <v>741766990</v>
      </c>
      <c r="W16">
        <v>741766990</v>
      </c>
      <c r="X16">
        <v>2.36</v>
      </c>
      <c r="Y16">
        <v>0.48</v>
      </c>
      <c r="Z16">
        <v>0.12</v>
      </c>
      <c r="AA16" t="s">
        <v>1070</v>
      </c>
      <c r="AB16" t="s">
        <v>1071</v>
      </c>
      <c r="AC16" t="s">
        <v>1072</v>
      </c>
      <c r="AD16" t="s">
        <v>1073</v>
      </c>
      <c r="AE16" t="s">
        <v>1074</v>
      </c>
      <c r="AF16">
        <v>126614840</v>
      </c>
      <c r="AG16" t="s">
        <v>29</v>
      </c>
      <c r="AH16" t="s">
        <v>1075</v>
      </c>
      <c r="AI16" t="s">
        <v>1076</v>
      </c>
      <c r="AJ16" t="s">
        <v>1077</v>
      </c>
      <c r="AK16" t="s">
        <v>1078</v>
      </c>
      <c r="AL16" t="s">
        <v>518</v>
      </c>
      <c r="AM16" t="s">
        <v>1079</v>
      </c>
      <c r="AN16" t="s">
        <v>7</v>
      </c>
      <c r="AO16" t="s">
        <v>1080</v>
      </c>
      <c r="AP16" t="s">
        <v>425</v>
      </c>
      <c r="AQ16" t="s">
        <v>7</v>
      </c>
      <c r="AR16" t="s">
        <v>1081</v>
      </c>
      <c r="AS16" t="s">
        <v>1082</v>
      </c>
      <c r="AT16" t="s">
        <v>1083</v>
      </c>
      <c r="AU16" t="s">
        <v>1084</v>
      </c>
      <c r="AV16" t="s">
        <v>1085</v>
      </c>
      <c r="AW16" t="s">
        <v>408</v>
      </c>
      <c r="AX16" t="s">
        <v>1086</v>
      </c>
      <c r="AY16" t="s">
        <v>1087</v>
      </c>
      <c r="AZ16" t="s">
        <v>1088</v>
      </c>
      <c r="BA16" t="s">
        <v>1089</v>
      </c>
      <c r="BB16" t="s">
        <v>1090</v>
      </c>
      <c r="BC16" t="s">
        <v>1091</v>
      </c>
      <c r="BD16" t="s">
        <v>527</v>
      </c>
      <c r="BE16" t="s">
        <v>170</v>
      </c>
      <c r="BF16" t="s">
        <v>553</v>
      </c>
      <c r="BG16" t="s">
        <v>97</v>
      </c>
      <c r="BH16" t="s">
        <v>406</v>
      </c>
      <c r="BI16" t="s">
        <v>1092</v>
      </c>
      <c r="BJ16" t="s">
        <v>1093</v>
      </c>
      <c r="BK16" t="s">
        <v>1094</v>
      </c>
      <c r="BL16" t="s">
        <v>1095</v>
      </c>
      <c r="BM16" t="s">
        <v>78</v>
      </c>
      <c r="BN16" t="s">
        <v>1080</v>
      </c>
      <c r="BO16">
        <v>4.91</v>
      </c>
      <c r="BP16">
        <v>6.26</v>
      </c>
      <c r="BQ16">
        <v>9.27</v>
      </c>
      <c r="BR16">
        <v>1.32</v>
      </c>
      <c r="BS16">
        <v>5.54</v>
      </c>
      <c r="BT16">
        <v>11.46</v>
      </c>
      <c r="BU16" t="s">
        <v>1096</v>
      </c>
      <c r="BV16" t="s">
        <v>651</v>
      </c>
      <c r="BW16">
        <v>30.96</v>
      </c>
      <c r="BX16">
        <v>28.36</v>
      </c>
      <c r="BY16">
        <v>36.200000000000003</v>
      </c>
      <c r="BZ16">
        <v>0.43</v>
      </c>
      <c r="CA16">
        <v>2.75</v>
      </c>
      <c r="CB16">
        <v>5.49</v>
      </c>
      <c r="CC16">
        <v>5.15</v>
      </c>
      <c r="CD16">
        <v>4.04</v>
      </c>
      <c r="CE16" t="s">
        <v>1097</v>
      </c>
      <c r="CF16" t="s">
        <v>179</v>
      </c>
      <c r="CG16" s="24">
        <v>6.9188347107438014E-2</v>
      </c>
      <c r="CH16" s="25">
        <v>0.88093523076923075</v>
      </c>
      <c r="CI16" s="24">
        <v>-4.1389971971511841E-2</v>
      </c>
      <c r="CJ16" s="24">
        <v>4.1006732732057571E-2</v>
      </c>
      <c r="CK16" s="24">
        <v>0.23405659198760986</v>
      </c>
      <c r="CL16" s="24">
        <v>2.8975693508982658E-2</v>
      </c>
      <c r="CM16" s="24">
        <v>4.7959271818399429E-2</v>
      </c>
      <c r="CN16" s="25">
        <v>-0.75714284181594849</v>
      </c>
      <c r="CO16" s="25">
        <v>-0.4808405339717865</v>
      </c>
      <c r="CP16" s="25">
        <v>8.7365590035915375E-2</v>
      </c>
      <c r="CQ16" s="25">
        <v>0.69863015413284302</v>
      </c>
      <c r="CR16" s="25">
        <v>6.0532689094543457E-2</v>
      </c>
      <c r="CS16">
        <v>1.5794164368821038</v>
      </c>
      <c r="CT16">
        <v>28943920.588235293</v>
      </c>
      <c r="CU16">
        <v>7.896399241945673E-2</v>
      </c>
      <c r="CV16" s="24">
        <v>6.2121663615107535E-2</v>
      </c>
      <c r="CW16" s="25">
        <v>-7.8290988504886624E-2</v>
      </c>
      <c r="CX16">
        <v>0.06</v>
      </c>
      <c r="CY16">
        <v>257.03790313898503</v>
      </c>
      <c r="CZ16">
        <v>102204160.0837179</v>
      </c>
      <c r="DA16">
        <v>6.2121663615107535E-2</v>
      </c>
      <c r="DB16">
        <v>86.010450646928263</v>
      </c>
      <c r="DC16">
        <v>305431988.81539875</v>
      </c>
      <c r="DD16">
        <v>5.9015580434352156E-2</v>
      </c>
      <c r="DE16">
        <v>43.688274727666581</v>
      </c>
      <c r="DF16">
        <v>601313353.84053779</v>
      </c>
      <c r="DG16">
        <v>5.4667063981294631E-2</v>
      </c>
      <c r="DH16">
        <v>27.165921173157436</v>
      </c>
      <c r="DI16">
        <v>967033027.61393738</v>
      </c>
      <c r="DJ16">
        <v>4.9697330892086028E-2</v>
      </c>
      <c r="DK16">
        <v>15.12385119111079</v>
      </c>
      <c r="DL16">
        <v>1737014115.5210972</v>
      </c>
      <c r="DM16">
        <v>4.3485164530575271E-2</v>
      </c>
      <c r="DN16">
        <v>102000000</v>
      </c>
      <c r="DO16">
        <v>6.2121663615107535E-2</v>
      </c>
      <c r="DP16">
        <v>26270343000</v>
      </c>
      <c r="DQ16">
        <v>6314548100</v>
      </c>
      <c r="DR16">
        <v>343</v>
      </c>
      <c r="DS16">
        <v>7.0666834923304792E-3</v>
      </c>
      <c r="DT16">
        <v>0.95922621927411733</v>
      </c>
      <c r="DU16" s="26">
        <v>-8.666666666666667E-2</v>
      </c>
      <c r="DV16">
        <v>-0.69</v>
      </c>
      <c r="DW16">
        <v>-0.77666666666666662</v>
      </c>
      <c r="DX16">
        <v>4.7844660194174757</v>
      </c>
      <c r="DY16">
        <v>0.60007044025157108</v>
      </c>
      <c r="DZ16">
        <v>4.1334144812847287</v>
      </c>
      <c r="EA16">
        <v>4068</v>
      </c>
      <c r="EB16">
        <v>4.0230810578518605</v>
      </c>
      <c r="EC16">
        <v>4</v>
      </c>
      <c r="ED16">
        <v>7.291022750958491E-2</v>
      </c>
      <c r="EE16">
        <v>0.42870605498365466</v>
      </c>
      <c r="EF16" s="27">
        <v>9.7797999999999996E-2</v>
      </c>
      <c r="EG16">
        <v>1.0091000000000001</v>
      </c>
      <c r="EH16">
        <v>43.170070440251571</v>
      </c>
      <c r="EI16" t="s">
        <v>404</v>
      </c>
      <c r="EJ16">
        <v>0</v>
      </c>
      <c r="EK16">
        <v>0</v>
      </c>
      <c r="EL16" s="29">
        <v>44939</v>
      </c>
      <c r="EM16" s="30">
        <v>2.1299999999999999E-2</v>
      </c>
      <c r="EN16" s="30">
        <v>2.5999999999999999E-3</v>
      </c>
      <c r="EO16" s="30">
        <v>-1.3899999999999999E-2</v>
      </c>
      <c r="EP16" s="30">
        <v>-1.8800000000000001E-2</v>
      </c>
      <c r="EQ16" s="30">
        <v>6.13</v>
      </c>
    </row>
    <row r="17" spans="2:147" ht="108" x14ac:dyDescent="0.25">
      <c r="B17" s="28"/>
      <c r="C17" s="28"/>
      <c r="D17" s="28" t="s">
        <v>1285</v>
      </c>
      <c r="E17" t="s">
        <v>609</v>
      </c>
      <c r="F17" t="s">
        <v>610</v>
      </c>
      <c r="G17">
        <v>26.35</v>
      </c>
      <c r="H17">
        <v>-0.64</v>
      </c>
      <c r="I17" t="s">
        <v>611</v>
      </c>
      <c r="J17">
        <v>17332946000</v>
      </c>
      <c r="L17">
        <v>6.66</v>
      </c>
      <c r="M17" t="s">
        <v>424</v>
      </c>
      <c r="N17" t="s">
        <v>541</v>
      </c>
      <c r="O17" t="s">
        <v>1098</v>
      </c>
      <c r="P17" t="s">
        <v>1099</v>
      </c>
      <c r="Q17">
        <v>0.99</v>
      </c>
      <c r="R17" t="s">
        <v>1100</v>
      </c>
      <c r="S17">
        <v>-135663980</v>
      </c>
      <c r="T17" s="3">
        <v>5.9499999999999997E-2</v>
      </c>
      <c r="U17" t="s">
        <v>1101</v>
      </c>
      <c r="V17">
        <v>657796820</v>
      </c>
      <c r="W17">
        <v>657796820</v>
      </c>
      <c r="X17">
        <v>1.28</v>
      </c>
      <c r="Y17">
        <v>0.23</v>
      </c>
      <c r="Z17">
        <v>-16.5</v>
      </c>
      <c r="AA17" t="s">
        <v>1102</v>
      </c>
      <c r="AB17" t="s">
        <v>526</v>
      </c>
      <c r="AC17" t="s">
        <v>124</v>
      </c>
      <c r="AD17" t="s">
        <v>1103</v>
      </c>
      <c r="AE17" t="s">
        <v>1104</v>
      </c>
      <c r="AF17">
        <v>-12221443</v>
      </c>
      <c r="AG17" t="s">
        <v>1105</v>
      </c>
      <c r="AH17" t="s">
        <v>1106</v>
      </c>
      <c r="AI17" t="s">
        <v>1107</v>
      </c>
      <c r="AJ17" t="s">
        <v>1108</v>
      </c>
      <c r="AK17" t="s">
        <v>1109</v>
      </c>
      <c r="AL17" t="s">
        <v>7</v>
      </c>
      <c r="AM17" t="s">
        <v>1110</v>
      </c>
      <c r="AN17" t="s">
        <v>7</v>
      </c>
      <c r="AO17" t="s">
        <v>94</v>
      </c>
      <c r="AP17" t="s">
        <v>7</v>
      </c>
      <c r="AQ17" t="s">
        <v>535</v>
      </c>
      <c r="AR17" t="s">
        <v>457</v>
      </c>
      <c r="AS17" t="s">
        <v>1111</v>
      </c>
      <c r="AT17" t="s">
        <v>272</v>
      </c>
      <c r="AU17" t="s">
        <v>7</v>
      </c>
      <c r="AV17" t="s">
        <v>1112</v>
      </c>
      <c r="AW17" t="s">
        <v>1113</v>
      </c>
      <c r="AX17" t="s">
        <v>1114</v>
      </c>
      <c r="AY17" t="s">
        <v>561</v>
      </c>
      <c r="AZ17" t="s">
        <v>1115</v>
      </c>
      <c r="BA17" t="s">
        <v>420</v>
      </c>
      <c r="BB17" t="s">
        <v>1116</v>
      </c>
      <c r="BC17" t="s">
        <v>1117</v>
      </c>
      <c r="BD17" t="s">
        <v>1118</v>
      </c>
      <c r="BE17" t="s">
        <v>1119</v>
      </c>
      <c r="BF17" t="s">
        <v>99</v>
      </c>
      <c r="BG17" t="s">
        <v>1120</v>
      </c>
      <c r="BH17" t="s">
        <v>1121</v>
      </c>
      <c r="BI17" t="s">
        <v>160</v>
      </c>
      <c r="BJ17" t="s">
        <v>705</v>
      </c>
      <c r="BK17" t="s">
        <v>252</v>
      </c>
      <c r="BL17" t="s">
        <v>1122</v>
      </c>
      <c r="BM17" t="s">
        <v>1123</v>
      </c>
      <c r="BN17" t="s">
        <v>1124</v>
      </c>
      <c r="BO17">
        <v>-4.95</v>
      </c>
      <c r="BP17">
        <v>0.48</v>
      </c>
      <c r="BQ17">
        <v>-4.97</v>
      </c>
      <c r="BR17">
        <v>-5.92</v>
      </c>
      <c r="BS17">
        <v>2.4300000000000002</v>
      </c>
      <c r="BT17">
        <v>-8.68</v>
      </c>
      <c r="BU17" t="s">
        <v>1125</v>
      </c>
      <c r="BV17" t="s">
        <v>651</v>
      </c>
      <c r="BW17">
        <v>33.25</v>
      </c>
      <c r="BX17">
        <v>27.72</v>
      </c>
      <c r="BY17">
        <v>37.869999999999997</v>
      </c>
      <c r="BZ17">
        <v>-8.9700000000000006</v>
      </c>
      <c r="CA17">
        <v>6.8</v>
      </c>
      <c r="CB17">
        <v>-22.29</v>
      </c>
      <c r="CC17">
        <v>-2.98</v>
      </c>
      <c r="CD17">
        <v>-1.9</v>
      </c>
      <c r="CE17" t="s">
        <v>1126</v>
      </c>
      <c r="CF17" t="s">
        <v>266</v>
      </c>
      <c r="CG17" s="24">
        <v>-0.18850988549618319</v>
      </c>
      <c r="CH17" s="25">
        <v>-0.7412075090102932</v>
      </c>
      <c r="CI17" s="24">
        <v>0.16666673123836517</v>
      </c>
      <c r="CJ17" s="24">
        <v>0.13566739857196808</v>
      </c>
      <c r="CK17" s="24">
        <v>-0.30494299530982971</v>
      </c>
      <c r="CL17" s="24">
        <v>1.9379895180463791E-2</v>
      </c>
      <c r="CM17" s="24">
        <v>-0.10167130827903748</v>
      </c>
      <c r="CN17" s="25">
        <v>-3.3917207717895508</v>
      </c>
      <c r="CO17" s="25">
        <v>1.3402259349822998</v>
      </c>
      <c r="CP17" s="25">
        <v>-3</v>
      </c>
      <c r="CQ17" s="25">
        <v>11.454516410827637</v>
      </c>
      <c r="CR17" s="25">
        <v>-0.51879334449768066</v>
      </c>
      <c r="CS17">
        <v>14.312919900908341</v>
      </c>
      <c r="CT17">
        <v>92541777.108433738</v>
      </c>
      <c r="CU17">
        <v>0</v>
      </c>
      <c r="CV17" s="24">
        <v>-1.6980055719614029E-2</v>
      </c>
      <c r="CW17" s="25">
        <v>1.1768456459045411</v>
      </c>
      <c r="CX17">
        <v>0.06</v>
      </c>
      <c r="CY17" t="e">
        <v>#VALUE!</v>
      </c>
      <c r="CZ17" t="s">
        <v>516</v>
      </c>
      <c r="DA17">
        <v>-1.6980055719614029E-2</v>
      </c>
      <c r="DB17" t="e">
        <v>#VALUE!</v>
      </c>
      <c r="DC17" t="s">
        <v>397</v>
      </c>
      <c r="DD17">
        <v>-1.6131052933633327E-2</v>
      </c>
      <c r="DE17" t="e">
        <v>#VALUE!</v>
      </c>
      <c r="DF17" t="s">
        <v>397</v>
      </c>
      <c r="DG17">
        <v>-1.4942449033260346E-2</v>
      </c>
      <c r="DH17" t="e">
        <v>#VALUE!</v>
      </c>
      <c r="DI17" t="s">
        <v>397</v>
      </c>
      <c r="DJ17">
        <v>-1.3584044575691224E-2</v>
      </c>
      <c r="DK17" t="e">
        <v>#VALUE!</v>
      </c>
      <c r="DL17" t="s">
        <v>397</v>
      </c>
      <c r="DM17">
        <v>-1.188603900372982E-2</v>
      </c>
      <c r="DN17">
        <v>-166000000</v>
      </c>
      <c r="DO17">
        <v>-1.6980055719614029E-2</v>
      </c>
      <c r="DP17">
        <v>15452946000</v>
      </c>
      <c r="DQ17">
        <v>1525156900</v>
      </c>
      <c r="DR17">
        <v>2899</v>
      </c>
      <c r="DS17">
        <v>-0.17152982977656916</v>
      </c>
      <c r="DT17">
        <v>-1.9180531549148343</v>
      </c>
      <c r="DU17" s="26">
        <v>0.47333333333333333</v>
      </c>
      <c r="DV17">
        <v>-1.3550000000000002</v>
      </c>
      <c r="DW17">
        <v>-0.88166666666666682</v>
      </c>
      <c r="DX17">
        <v>-4.6375838926174495</v>
      </c>
      <c r="DY17">
        <v>0.3952213017751478</v>
      </c>
      <c r="DZ17">
        <v>-4.105342440729121</v>
      </c>
      <c r="EA17">
        <v>4122</v>
      </c>
      <c r="EB17">
        <v>-4.0170680880791032</v>
      </c>
      <c r="EC17">
        <v>4</v>
      </c>
      <c r="ED17">
        <v>0.12734509722926299</v>
      </c>
      <c r="EE17">
        <v>0.77075471419883124</v>
      </c>
      <c r="EF17" s="27">
        <v>3.9746000000000004E-2</v>
      </c>
      <c r="EG17">
        <v>3.3399999999999999E-2</v>
      </c>
      <c r="EH17">
        <v>23.165221301775148</v>
      </c>
      <c r="EI17" t="s">
        <v>398</v>
      </c>
      <c r="EJ17">
        <v>0</v>
      </c>
      <c r="EK17">
        <v>0</v>
      </c>
      <c r="EL17" s="29">
        <v>44939</v>
      </c>
      <c r="EM17" s="30">
        <v>3.2800000000000003E-2</v>
      </c>
      <c r="EN17" s="30">
        <v>-9.5999999999999992E-3</v>
      </c>
      <c r="EO17" s="30">
        <v>-2.23E-2</v>
      </c>
      <c r="EP17" s="30">
        <v>-2.3599999999999999E-2</v>
      </c>
      <c r="EQ17" s="30">
        <v>-0.64</v>
      </c>
    </row>
    <row r="18" spans="2:147" ht="151.19999999999999" x14ac:dyDescent="0.25">
      <c r="D18" s="28" t="s">
        <v>1286</v>
      </c>
      <c r="E18" t="s">
        <v>612</v>
      </c>
      <c r="F18" t="s">
        <v>613</v>
      </c>
      <c r="G18">
        <v>26.3</v>
      </c>
      <c r="H18">
        <v>1</v>
      </c>
      <c r="I18" t="s">
        <v>614</v>
      </c>
      <c r="J18">
        <v>13340937900</v>
      </c>
      <c r="K18">
        <v>45.15</v>
      </c>
      <c r="L18">
        <v>4.33</v>
      </c>
      <c r="M18" t="s">
        <v>424</v>
      </c>
      <c r="N18" t="s">
        <v>16</v>
      </c>
      <c r="O18" t="s">
        <v>1127</v>
      </c>
      <c r="P18" t="s">
        <v>1128</v>
      </c>
      <c r="Q18">
        <v>16.420000000000002</v>
      </c>
      <c r="R18" t="s">
        <v>1129</v>
      </c>
      <c r="S18">
        <v>213716190</v>
      </c>
      <c r="T18" s="3">
        <v>-0.1208</v>
      </c>
      <c r="U18" t="s">
        <v>44</v>
      </c>
      <c r="V18">
        <v>507260000</v>
      </c>
      <c r="W18">
        <v>507260000</v>
      </c>
      <c r="X18">
        <v>1.23</v>
      </c>
      <c r="Y18">
        <v>0.41</v>
      </c>
      <c r="Z18">
        <v>13.68</v>
      </c>
      <c r="AA18" t="s">
        <v>1130</v>
      </c>
      <c r="AB18" t="s">
        <v>869</v>
      </c>
      <c r="AC18" t="s">
        <v>488</v>
      </c>
      <c r="AD18" t="s">
        <v>415</v>
      </c>
      <c r="AE18" t="s">
        <v>1131</v>
      </c>
      <c r="AF18">
        <v>-8832637</v>
      </c>
      <c r="AG18" t="s">
        <v>1132</v>
      </c>
      <c r="AH18" t="s">
        <v>1133</v>
      </c>
      <c r="AI18" t="s">
        <v>1134</v>
      </c>
      <c r="AJ18" t="s">
        <v>71</v>
      </c>
      <c r="AK18" t="s">
        <v>1135</v>
      </c>
      <c r="AL18" t="s">
        <v>1136</v>
      </c>
      <c r="AM18" t="s">
        <v>1137</v>
      </c>
      <c r="AN18" t="s">
        <v>7</v>
      </c>
      <c r="AO18" t="s">
        <v>1138</v>
      </c>
      <c r="AP18" t="s">
        <v>1139</v>
      </c>
      <c r="AQ18" t="s">
        <v>7</v>
      </c>
      <c r="AR18" t="s">
        <v>158</v>
      </c>
      <c r="AS18" t="s">
        <v>7</v>
      </c>
      <c r="AT18" t="s">
        <v>495</v>
      </c>
      <c r="AU18" t="s">
        <v>7</v>
      </c>
      <c r="AV18" t="s">
        <v>1140</v>
      </c>
      <c r="AW18" t="s">
        <v>1141</v>
      </c>
      <c r="AX18" t="s">
        <v>1142</v>
      </c>
      <c r="AY18" t="s">
        <v>1143</v>
      </c>
      <c r="AZ18" t="s">
        <v>1144</v>
      </c>
      <c r="BA18" t="s">
        <v>131</v>
      </c>
      <c r="BB18" t="s">
        <v>831</v>
      </c>
      <c r="BC18" t="s">
        <v>550</v>
      </c>
      <c r="BD18" t="s">
        <v>410</v>
      </c>
      <c r="BE18" t="s">
        <v>157</v>
      </c>
      <c r="BF18" t="s">
        <v>417</v>
      </c>
      <c r="BG18" t="s">
        <v>380</v>
      </c>
      <c r="BH18" t="s">
        <v>36</v>
      </c>
      <c r="BI18" t="s">
        <v>260</v>
      </c>
      <c r="BJ18" t="s">
        <v>1145</v>
      </c>
      <c r="BK18" t="s">
        <v>1146</v>
      </c>
      <c r="BL18" t="s">
        <v>1147</v>
      </c>
      <c r="BM18" t="s">
        <v>50</v>
      </c>
      <c r="BN18" t="s">
        <v>62</v>
      </c>
      <c r="BO18">
        <v>9.9</v>
      </c>
      <c r="BP18">
        <v>11.52</v>
      </c>
      <c r="BQ18">
        <v>10.69</v>
      </c>
      <c r="BR18">
        <v>11.32</v>
      </c>
      <c r="BS18">
        <v>12.53</v>
      </c>
      <c r="BT18">
        <v>11.84</v>
      </c>
      <c r="BU18" t="s">
        <v>1148</v>
      </c>
      <c r="BV18" t="s">
        <v>651</v>
      </c>
      <c r="BW18">
        <v>63.13</v>
      </c>
      <c r="BX18">
        <v>62.51</v>
      </c>
      <c r="BY18">
        <v>60.72</v>
      </c>
      <c r="BZ18">
        <v>17.29</v>
      </c>
      <c r="CA18">
        <v>19.14</v>
      </c>
      <c r="CB18">
        <v>16.559999999999999</v>
      </c>
      <c r="CC18">
        <v>-0.3</v>
      </c>
      <c r="CD18">
        <v>13.56</v>
      </c>
      <c r="CE18" t="s">
        <v>1149</v>
      </c>
      <c r="CF18" t="s">
        <v>159</v>
      </c>
      <c r="CG18" s="24">
        <v>-9.1387533875338461E-2</v>
      </c>
      <c r="CH18" s="25">
        <v>-0.96935375000000001</v>
      </c>
      <c r="CI18" s="24">
        <v>3.2928980886936188E-2</v>
      </c>
      <c r="CJ18" s="24">
        <v>5.9363484382629395E-2</v>
      </c>
      <c r="CK18" s="24">
        <v>0.11764705926179886</v>
      </c>
      <c r="CL18" s="24">
        <v>9.677424281835556E-2</v>
      </c>
      <c r="CM18" s="24">
        <v>4.3852783739566803E-2</v>
      </c>
      <c r="CN18" s="25">
        <v>-1.8126888200640678E-2</v>
      </c>
      <c r="CO18" s="25">
        <v>0.22140221297740936</v>
      </c>
      <c r="CP18" s="25">
        <v>4.6332046389579773E-2</v>
      </c>
      <c r="CQ18" s="25">
        <v>2.3715414106845856E-2</v>
      </c>
      <c r="CR18" s="25">
        <v>0.13963964581489563</v>
      </c>
      <c r="CS18">
        <v>7.4613746644295302</v>
      </c>
      <c r="CT18">
        <v>66419424.615384616</v>
      </c>
      <c r="CU18">
        <v>0.83650190114068446</v>
      </c>
      <c r="CV18" s="24">
        <v>7.0113310217857355E-2</v>
      </c>
      <c r="CW18" s="25">
        <v>8.2592486217617986E-2</v>
      </c>
      <c r="CX18">
        <v>0.06</v>
      </c>
      <c r="CY18">
        <v>33.468185997353963</v>
      </c>
      <c r="CZ18">
        <v>328100779.07622981</v>
      </c>
      <c r="DA18">
        <v>7.0113310217857355E-2</v>
      </c>
      <c r="DB18">
        <v>11.123246861965363</v>
      </c>
      <c r="DC18">
        <v>987206167.07231665</v>
      </c>
      <c r="DD18">
        <v>6.6607644706964481E-2</v>
      </c>
      <c r="DE18">
        <v>5.5997388911011061</v>
      </c>
      <c r="DF18">
        <v>1960973201.3488152</v>
      </c>
      <c r="DG18">
        <v>6.1699712991714471E-2</v>
      </c>
      <c r="DH18">
        <v>3.4479208955782044</v>
      </c>
      <c r="DI18">
        <v>3184799835.19417</v>
      </c>
      <c r="DJ18">
        <v>5.6090648174285884E-2</v>
      </c>
      <c r="DK18">
        <v>1.8800794289454064</v>
      </c>
      <c r="DL18">
        <v>5840677649.5392761</v>
      </c>
      <c r="DM18">
        <v>4.9079317152500149E-2</v>
      </c>
      <c r="DN18">
        <v>325000000</v>
      </c>
      <c r="DO18">
        <v>7.0113310217857355E-2</v>
      </c>
      <c r="DP18">
        <v>10980937900</v>
      </c>
      <c r="DQ18">
        <v>1431063100</v>
      </c>
      <c r="DR18">
        <v>4255</v>
      </c>
      <c r="DS18">
        <v>-0.16150084409319582</v>
      </c>
      <c r="DT18">
        <v>-1.051946236217618</v>
      </c>
      <c r="DU18" s="26">
        <v>0.6</v>
      </c>
      <c r="DV18">
        <v>0.15</v>
      </c>
      <c r="DW18">
        <v>0.75</v>
      </c>
      <c r="DX18">
        <v>2.1356000000000002</v>
      </c>
      <c r="DY18">
        <v>0.28756689342403507</v>
      </c>
      <c r="DZ18">
        <v>2.0172980707482995</v>
      </c>
      <c r="EA18">
        <v>2056</v>
      </c>
      <c r="EB18">
        <v>2.0100679765302667</v>
      </c>
      <c r="EC18">
        <v>2</v>
      </c>
      <c r="ED18">
        <v>0.11090367858691795</v>
      </c>
      <c r="EE18">
        <v>0.86937665102708672</v>
      </c>
      <c r="EF18" s="27">
        <v>3.1802000000000004E-2</v>
      </c>
      <c r="EG18">
        <v>4.1800000000000004E-2</v>
      </c>
      <c r="EH18">
        <v>16.127566893424035</v>
      </c>
      <c r="EI18" t="s">
        <v>398</v>
      </c>
      <c r="EJ18">
        <v>1</v>
      </c>
      <c r="EK18">
        <v>0</v>
      </c>
      <c r="EL18" s="29">
        <v>44939</v>
      </c>
      <c r="EM18" s="30">
        <v>4.36E-2</v>
      </c>
      <c r="EN18" s="30">
        <v>-8.6999999999999994E-3</v>
      </c>
      <c r="EO18" s="30">
        <v>-2.7099999999999999E-2</v>
      </c>
      <c r="EP18" s="30">
        <v>-1.9199999999999998E-2</v>
      </c>
      <c r="EQ18" s="30">
        <v>1</v>
      </c>
    </row>
    <row r="19" spans="2:147" ht="129.6" x14ac:dyDescent="0.25">
      <c r="B19" s="28"/>
      <c r="C19" s="28"/>
      <c r="D19" s="28" t="s">
        <v>1287</v>
      </c>
      <c r="E19" t="s">
        <v>615</v>
      </c>
      <c r="F19" t="s">
        <v>616</v>
      </c>
      <c r="G19">
        <v>25.78</v>
      </c>
      <c r="H19">
        <v>3.58</v>
      </c>
      <c r="I19" t="s">
        <v>617</v>
      </c>
      <c r="J19">
        <v>12167178300</v>
      </c>
      <c r="K19">
        <v>65.42</v>
      </c>
      <c r="L19">
        <v>3.39</v>
      </c>
      <c r="M19" t="s">
        <v>424</v>
      </c>
      <c r="N19" t="s">
        <v>138</v>
      </c>
      <c r="O19" t="s">
        <v>1150</v>
      </c>
      <c r="P19" t="s">
        <v>1151</v>
      </c>
      <c r="Q19">
        <v>-10.77</v>
      </c>
      <c r="R19" t="s">
        <v>991</v>
      </c>
      <c r="S19">
        <v>139723750</v>
      </c>
      <c r="T19" s="3">
        <v>-0.47570000000000001</v>
      </c>
      <c r="U19" t="s">
        <v>466</v>
      </c>
      <c r="V19">
        <v>471960050</v>
      </c>
      <c r="W19">
        <v>471960050</v>
      </c>
      <c r="X19">
        <v>1.29</v>
      </c>
      <c r="Y19">
        <v>0.27</v>
      </c>
      <c r="Z19">
        <v>11.29</v>
      </c>
      <c r="AA19" t="s">
        <v>1152</v>
      </c>
      <c r="AB19" t="s">
        <v>539</v>
      </c>
      <c r="AC19" t="s">
        <v>144</v>
      </c>
      <c r="AD19" t="s">
        <v>1153</v>
      </c>
      <c r="AE19" t="s">
        <v>1154</v>
      </c>
      <c r="AF19">
        <v>-2624384</v>
      </c>
      <c r="AG19" t="s">
        <v>1155</v>
      </c>
      <c r="AH19" t="s">
        <v>1156</v>
      </c>
      <c r="AI19" t="s">
        <v>1157</v>
      </c>
      <c r="AJ19" t="s">
        <v>501</v>
      </c>
      <c r="AK19" t="s">
        <v>1158</v>
      </c>
      <c r="AL19" t="s">
        <v>1159</v>
      </c>
      <c r="AM19" t="s">
        <v>1160</v>
      </c>
      <c r="AN19" t="s">
        <v>7</v>
      </c>
      <c r="AO19" t="s">
        <v>1161</v>
      </c>
      <c r="AP19" t="s">
        <v>7</v>
      </c>
      <c r="AQ19" t="s">
        <v>1162</v>
      </c>
      <c r="AR19" t="s">
        <v>520</v>
      </c>
      <c r="AS19" t="s">
        <v>7</v>
      </c>
      <c r="AT19" t="s">
        <v>1163</v>
      </c>
      <c r="AU19" t="s">
        <v>7</v>
      </c>
      <c r="AV19" t="s">
        <v>1164</v>
      </c>
      <c r="AW19" t="s">
        <v>1165</v>
      </c>
      <c r="AX19" t="s">
        <v>1119</v>
      </c>
      <c r="AY19" t="s">
        <v>1166</v>
      </c>
      <c r="AZ19" t="s">
        <v>1167</v>
      </c>
      <c r="BA19" t="s">
        <v>1168</v>
      </c>
      <c r="BB19" t="s">
        <v>847</v>
      </c>
      <c r="BC19" t="s">
        <v>1169</v>
      </c>
      <c r="BD19" t="s">
        <v>142</v>
      </c>
      <c r="BE19" t="s">
        <v>482</v>
      </c>
      <c r="BF19" t="s">
        <v>1170</v>
      </c>
      <c r="BG19" t="s">
        <v>391</v>
      </c>
      <c r="BH19" t="s">
        <v>488</v>
      </c>
      <c r="BI19" t="s">
        <v>163</v>
      </c>
      <c r="BJ19" t="s">
        <v>411</v>
      </c>
      <c r="BK19" t="s">
        <v>387</v>
      </c>
      <c r="BL19" t="s">
        <v>41</v>
      </c>
      <c r="BM19" t="s">
        <v>492</v>
      </c>
      <c r="BN19" t="s">
        <v>1147</v>
      </c>
      <c r="BO19">
        <v>8.64</v>
      </c>
      <c r="BP19">
        <v>8.93</v>
      </c>
      <c r="BQ19">
        <v>14.48</v>
      </c>
      <c r="BR19">
        <v>8.66</v>
      </c>
      <c r="BS19">
        <v>10.83</v>
      </c>
      <c r="BT19">
        <v>16.760000000000002</v>
      </c>
      <c r="BU19" t="s">
        <v>1171</v>
      </c>
      <c r="BV19" t="s">
        <v>651</v>
      </c>
      <c r="BW19">
        <v>46.26</v>
      </c>
      <c r="BX19">
        <v>48.61</v>
      </c>
      <c r="BY19">
        <v>51.45</v>
      </c>
      <c r="BZ19">
        <v>11.83</v>
      </c>
      <c r="CA19">
        <v>18.899999999999999</v>
      </c>
      <c r="CB19">
        <v>19.899999999999999</v>
      </c>
      <c r="CC19">
        <v>7.64</v>
      </c>
      <c r="CD19">
        <v>8.23</v>
      </c>
      <c r="CE19" t="s">
        <v>1172</v>
      </c>
      <c r="CF19" t="s">
        <v>118</v>
      </c>
      <c r="CG19" s="24">
        <v>-0.59922674364896078</v>
      </c>
      <c r="CH19" s="25">
        <v>-0.78289351851851852</v>
      </c>
      <c r="CI19" s="24">
        <v>7.5471699237823486E-2</v>
      </c>
      <c r="CJ19" s="24">
        <v>-0.21720246970653534</v>
      </c>
      <c r="CK19" s="24">
        <v>8.3804205060005188E-2</v>
      </c>
      <c r="CL19" s="24">
        <v>0.10682643204927444</v>
      </c>
      <c r="CM19" s="24">
        <v>0.1334909200668335</v>
      </c>
      <c r="CN19" s="25">
        <v>-8.479531854391098E-2</v>
      </c>
      <c r="CO19" s="25">
        <v>-0.23489932715892792</v>
      </c>
      <c r="CP19" s="25">
        <v>4.4392522424459457E-2</v>
      </c>
      <c r="CQ19" s="25">
        <v>0.2124645859003067</v>
      </c>
      <c r="CR19" s="25">
        <v>0.27436822652816772</v>
      </c>
      <c r="CS19">
        <v>6.2782137770897837</v>
      </c>
      <c r="CT19">
        <v>45309169.329073481</v>
      </c>
      <c r="CU19">
        <v>1.5903801396431341</v>
      </c>
      <c r="CV19" s="24">
        <v>3.6478157341480258E-2</v>
      </c>
      <c r="CW19" s="25">
        <v>4.2306137830018999E-2</v>
      </c>
      <c r="CX19">
        <v>0.06</v>
      </c>
      <c r="CY19">
        <v>31.060420376373404</v>
      </c>
      <c r="CZ19">
        <v>306054399.29045594</v>
      </c>
      <c r="DA19">
        <v>3.6478157341480258E-2</v>
      </c>
      <c r="DB19">
        <v>10.623724878849824</v>
      </c>
      <c r="DC19">
        <v>894806521.10309398</v>
      </c>
      <c r="DD19">
        <v>3.4654249474406242E-2</v>
      </c>
      <c r="DE19">
        <v>5.5514067067786632</v>
      </c>
      <c r="DF19">
        <v>1712390895.1567678</v>
      </c>
      <c r="DG19">
        <v>3.2100778460502626E-2</v>
      </c>
      <c r="DH19">
        <v>3.5594044811371131</v>
      </c>
      <c r="DI19">
        <v>2670721563.2214656</v>
      </c>
      <c r="DJ19">
        <v>2.9182525873184206E-2</v>
      </c>
      <c r="DK19">
        <v>2.1101053280818909</v>
      </c>
      <c r="DL19">
        <v>4505072885.9308748</v>
      </c>
      <c r="DM19">
        <v>2.5534710139036181E-2</v>
      </c>
      <c r="DN19">
        <v>313000000</v>
      </c>
      <c r="DO19">
        <v>3.6478157341480258E-2</v>
      </c>
      <c r="DP19">
        <v>9506178300</v>
      </c>
      <c r="DQ19">
        <v>1875583700</v>
      </c>
      <c r="DR19">
        <v>2897</v>
      </c>
      <c r="DS19">
        <v>-0.63570490099044108</v>
      </c>
      <c r="DT19">
        <v>-0.82519965634853754</v>
      </c>
      <c r="DU19" s="26">
        <v>-0.15</v>
      </c>
      <c r="DV19">
        <v>-0.15333333333333338</v>
      </c>
      <c r="DW19">
        <v>-0.30333333333333334</v>
      </c>
      <c r="DX19">
        <v>9.9283110571081412</v>
      </c>
      <c r="DY19">
        <v>0.49719523809523847</v>
      </c>
      <c r="DZ19">
        <v>9.257323404501534</v>
      </c>
      <c r="EA19">
        <v>3742</v>
      </c>
      <c r="EB19">
        <v>9.0615713858707672</v>
      </c>
      <c r="EC19">
        <v>9</v>
      </c>
      <c r="ED19">
        <v>0.17267436089135088</v>
      </c>
      <c r="EE19">
        <v>0.62293408096723446</v>
      </c>
      <c r="EF19" s="27">
        <v>3.2100999999999998E-2</v>
      </c>
      <c r="EG19">
        <v>6.7899999999999988E-2</v>
      </c>
      <c r="EH19">
        <v>22.277195238095238</v>
      </c>
      <c r="EI19" t="s">
        <v>398</v>
      </c>
      <c r="EJ19">
        <v>1</v>
      </c>
      <c r="EK19">
        <v>0</v>
      </c>
      <c r="EL19" s="29">
        <v>44939</v>
      </c>
      <c r="EM19" s="30">
        <v>0.1002</v>
      </c>
      <c r="EN19" s="30">
        <v>-1.4800000000000001E-2</v>
      </c>
      <c r="EO19" s="30">
        <v>-3.1600000000000003E-2</v>
      </c>
      <c r="EP19" s="30">
        <v>-9.9000000000000008E-3</v>
      </c>
      <c r="EQ19" s="30">
        <v>3.58</v>
      </c>
    </row>
    <row r="20" spans="2:147" ht="140.4" x14ac:dyDescent="0.25">
      <c r="B20" s="28"/>
      <c r="C20" s="28"/>
      <c r="D20" s="28" t="s">
        <v>1288</v>
      </c>
      <c r="E20" t="s">
        <v>618</v>
      </c>
      <c r="F20" t="s">
        <v>619</v>
      </c>
      <c r="G20">
        <v>25.28</v>
      </c>
      <c r="H20">
        <v>1.69</v>
      </c>
      <c r="I20" t="s">
        <v>620</v>
      </c>
      <c r="J20">
        <v>8455387200</v>
      </c>
      <c r="K20">
        <v>316.89999999999998</v>
      </c>
      <c r="L20">
        <v>16.27</v>
      </c>
      <c r="M20" t="s">
        <v>424</v>
      </c>
      <c r="N20" t="s">
        <v>507</v>
      </c>
      <c r="O20" t="s">
        <v>255</v>
      </c>
      <c r="P20" t="s">
        <v>1173</v>
      </c>
      <c r="Q20">
        <v>73.92</v>
      </c>
      <c r="R20" t="s">
        <v>1174</v>
      </c>
      <c r="S20">
        <v>47301582</v>
      </c>
      <c r="T20" s="3">
        <v>-0.42699999999999999</v>
      </c>
      <c r="U20" t="s">
        <v>1175</v>
      </c>
      <c r="V20">
        <v>334469430</v>
      </c>
      <c r="W20">
        <v>334469430</v>
      </c>
      <c r="X20">
        <v>2.0499999999999998</v>
      </c>
      <c r="Y20">
        <v>0.64</v>
      </c>
      <c r="Z20">
        <v>8</v>
      </c>
      <c r="AA20" t="s">
        <v>1176</v>
      </c>
      <c r="AB20" t="s">
        <v>122</v>
      </c>
      <c r="AC20" t="s">
        <v>443</v>
      </c>
      <c r="AD20" t="s">
        <v>1177</v>
      </c>
      <c r="AE20" t="s">
        <v>7</v>
      </c>
      <c r="AF20">
        <v>7450331</v>
      </c>
      <c r="AG20" t="s">
        <v>1178</v>
      </c>
      <c r="AH20" t="s">
        <v>1179</v>
      </c>
      <c r="AI20" t="s">
        <v>1180</v>
      </c>
      <c r="AJ20" t="s">
        <v>90</v>
      </c>
      <c r="AK20" t="s">
        <v>1181</v>
      </c>
      <c r="AL20" t="s">
        <v>7</v>
      </c>
      <c r="AM20" t="s">
        <v>1182</v>
      </c>
      <c r="AN20" t="s">
        <v>7</v>
      </c>
      <c r="AO20" t="s">
        <v>1183</v>
      </c>
      <c r="AP20" t="s">
        <v>1184</v>
      </c>
      <c r="AQ20" t="s">
        <v>7</v>
      </c>
      <c r="AR20" t="s">
        <v>1185</v>
      </c>
      <c r="AS20" t="s">
        <v>7</v>
      </c>
      <c r="AT20" t="s">
        <v>1186</v>
      </c>
      <c r="AU20" t="s">
        <v>7</v>
      </c>
      <c r="AV20" t="s">
        <v>1187</v>
      </c>
      <c r="AW20" t="s">
        <v>1188</v>
      </c>
      <c r="AX20" t="s">
        <v>25</v>
      </c>
      <c r="AY20" t="s">
        <v>1189</v>
      </c>
      <c r="AZ20" t="s">
        <v>567</v>
      </c>
      <c r="BA20" t="s">
        <v>138</v>
      </c>
      <c r="BB20" t="s">
        <v>98</v>
      </c>
      <c r="BC20" t="s">
        <v>1190</v>
      </c>
      <c r="BD20" t="s">
        <v>1191</v>
      </c>
      <c r="BE20" t="s">
        <v>1192</v>
      </c>
      <c r="BF20" t="s">
        <v>1193</v>
      </c>
      <c r="BG20" t="s">
        <v>1194</v>
      </c>
      <c r="BH20" t="s">
        <v>1195</v>
      </c>
      <c r="BI20" t="s">
        <v>1196</v>
      </c>
      <c r="BJ20" t="s">
        <v>475</v>
      </c>
      <c r="BK20" t="s">
        <v>471</v>
      </c>
      <c r="BL20" t="s">
        <v>1197</v>
      </c>
      <c r="BM20" t="s">
        <v>1198</v>
      </c>
      <c r="BN20" t="s">
        <v>1199</v>
      </c>
      <c r="BO20">
        <v>13.15</v>
      </c>
      <c r="BP20">
        <v>1.83</v>
      </c>
      <c r="BQ20">
        <v>3.98</v>
      </c>
      <c r="BR20">
        <v>13.78</v>
      </c>
      <c r="BS20">
        <v>3.1</v>
      </c>
      <c r="BT20">
        <v>4.3499999999999996</v>
      </c>
      <c r="BU20" t="s">
        <v>1125</v>
      </c>
      <c r="BV20" t="s">
        <v>651</v>
      </c>
      <c r="BW20">
        <v>64.650000000000006</v>
      </c>
      <c r="BX20">
        <v>54.41</v>
      </c>
      <c r="BY20">
        <v>36.21</v>
      </c>
      <c r="BZ20">
        <v>8.67</v>
      </c>
      <c r="CA20">
        <v>9.85</v>
      </c>
      <c r="CB20">
        <v>11.4</v>
      </c>
      <c r="CC20">
        <v>-0.98</v>
      </c>
      <c r="CD20">
        <v>5.47</v>
      </c>
      <c r="CE20" t="s">
        <v>1200</v>
      </c>
      <c r="CF20" t="s">
        <v>1201</v>
      </c>
      <c r="CG20" s="24">
        <v>0.29131346666666702</v>
      </c>
      <c r="CH20" s="25">
        <v>-0.77570961563446927</v>
      </c>
      <c r="CI20" s="24">
        <v>6.5641922950744629</v>
      </c>
      <c r="CJ20" s="24">
        <v>-0.26864498853683472</v>
      </c>
      <c r="CK20" s="24">
        <v>-0.90099906921386719</v>
      </c>
      <c r="CL20" s="24">
        <v>5.2914280891418457</v>
      </c>
      <c r="CM20" s="24">
        <v>2.4681897163391113</v>
      </c>
      <c r="CN20" s="25">
        <v>6.7198920249938965</v>
      </c>
      <c r="CO20" s="25">
        <v>-0.35232043266296387</v>
      </c>
      <c r="CP20" s="25">
        <v>-0.35559797286987305</v>
      </c>
      <c r="CQ20" s="25">
        <v>6.5739937126636505E-2</v>
      </c>
      <c r="CR20" s="25">
        <v>1.0733118057250977</v>
      </c>
      <c r="CS20">
        <v>14.022200995024876</v>
      </c>
      <c r="CT20">
        <v>70496893.176291257</v>
      </c>
      <c r="CU20">
        <v>0</v>
      </c>
      <c r="CV20" s="24">
        <v>2.6308332085609436</v>
      </c>
      <c r="CW20" s="25">
        <v>1.4302050724625588</v>
      </c>
      <c r="CX20">
        <v>0.06</v>
      </c>
      <c r="CY20">
        <v>40.01152686955389</v>
      </c>
      <c r="CZ20">
        <v>212123551.98717341</v>
      </c>
      <c r="DA20">
        <v>2.6308332085609436</v>
      </c>
      <c r="DB20">
        <v>2.7314220109178282</v>
      </c>
      <c r="DC20">
        <v>3107314492.625041</v>
      </c>
      <c r="DD20">
        <v>2.4992915481328963</v>
      </c>
      <c r="DE20">
        <v>9.9735645428219014E-2</v>
      </c>
      <c r="DF20">
        <v>85098834659.955933</v>
      </c>
      <c r="DG20">
        <v>2.3151332235336306</v>
      </c>
      <c r="DH20">
        <v>1.9427254979935483E-3</v>
      </c>
      <c r="DI20">
        <v>4368804140762.9614</v>
      </c>
      <c r="DJ20">
        <v>2.104666566848755</v>
      </c>
      <c r="DK20">
        <v>2.3390576792847983E-7</v>
      </c>
      <c r="DL20">
        <v>3.6285497682105664E+16</v>
      </c>
      <c r="DM20">
        <v>1.8415832459926604</v>
      </c>
      <c r="DN20">
        <v>61928200</v>
      </c>
      <c r="DO20">
        <v>2.6308332085609436</v>
      </c>
      <c r="DP20">
        <v>8487387200</v>
      </c>
      <c r="DQ20">
        <v>82000180</v>
      </c>
      <c r="DR20">
        <v>3292</v>
      </c>
      <c r="DS20">
        <v>-2.3395197418942768</v>
      </c>
      <c r="DT20">
        <v>-2.2059146880970282</v>
      </c>
      <c r="DU20" s="26">
        <v>1.1858333333333333</v>
      </c>
      <c r="DV20">
        <v>-3.3333333333333726E-3</v>
      </c>
      <c r="DW20">
        <v>1.1824999999999999</v>
      </c>
      <c r="DX20">
        <v>1.0547</v>
      </c>
      <c r="DY20">
        <v>0.34937576869682602</v>
      </c>
      <c r="DZ20">
        <v>1.0087178545477165</v>
      </c>
      <c r="EA20">
        <v>1285</v>
      </c>
      <c r="EB20">
        <v>1.0064404723371421</v>
      </c>
      <c r="EC20">
        <v>1</v>
      </c>
      <c r="ED20">
        <v>3.3706219429381026E-2</v>
      </c>
      <c r="EE20">
        <v>0.21148898421000686</v>
      </c>
      <c r="EF20" s="27">
        <v>4.2504E-2</v>
      </c>
      <c r="EG20">
        <v>5.9400000000000001E-2</v>
      </c>
      <c r="EH20">
        <v>19.159375768696826</v>
      </c>
      <c r="EI20" t="s">
        <v>398</v>
      </c>
      <c r="EJ20">
        <v>0</v>
      </c>
      <c r="EK20">
        <v>1</v>
      </c>
      <c r="EL20" s="29">
        <v>44939</v>
      </c>
      <c r="EM20" s="30">
        <v>1.7600000000000001E-2</v>
      </c>
      <c r="EN20" s="30">
        <v>-1.3899999999999999E-2</v>
      </c>
      <c r="EO20" s="30">
        <v>-2.0299999999999999E-2</v>
      </c>
      <c r="EP20" s="30">
        <v>-9.5999999999999992E-3</v>
      </c>
      <c r="EQ20" s="30">
        <v>1.69</v>
      </c>
    </row>
    <row r="21" spans="2:147" ht="129.6" x14ac:dyDescent="0.25">
      <c r="B21" s="28"/>
      <c r="C21" s="28"/>
      <c r="D21" s="28" t="s">
        <v>1289</v>
      </c>
      <c r="E21" t="s">
        <v>621</v>
      </c>
      <c r="F21" t="s">
        <v>622</v>
      </c>
      <c r="G21">
        <v>16.829999999999998</v>
      </c>
      <c r="H21">
        <v>10</v>
      </c>
      <c r="I21" t="s">
        <v>623</v>
      </c>
      <c r="J21">
        <v>7953234900</v>
      </c>
      <c r="K21">
        <v>102.4</v>
      </c>
      <c r="L21">
        <v>2.85</v>
      </c>
      <c r="M21" t="s">
        <v>424</v>
      </c>
      <c r="N21" t="s">
        <v>518</v>
      </c>
      <c r="O21" t="s">
        <v>462</v>
      </c>
      <c r="P21" t="s">
        <v>1202</v>
      </c>
      <c r="Q21">
        <v>-5.14</v>
      </c>
      <c r="R21" t="s">
        <v>1203</v>
      </c>
      <c r="S21">
        <v>99822082</v>
      </c>
      <c r="T21" s="3">
        <v>0.16930000000000001</v>
      </c>
      <c r="U21" t="s">
        <v>1204</v>
      </c>
      <c r="V21">
        <v>472512520</v>
      </c>
      <c r="W21">
        <v>472562970</v>
      </c>
      <c r="X21">
        <v>1.1399999999999999</v>
      </c>
      <c r="Y21">
        <v>0.25</v>
      </c>
      <c r="Z21">
        <v>12.45</v>
      </c>
      <c r="AA21" t="s">
        <v>1205</v>
      </c>
      <c r="AB21" t="s">
        <v>458</v>
      </c>
      <c r="AC21" t="s">
        <v>52</v>
      </c>
      <c r="AD21" t="s">
        <v>109</v>
      </c>
      <c r="AE21" t="s">
        <v>1206</v>
      </c>
      <c r="AF21">
        <v>-24591292</v>
      </c>
      <c r="AG21" t="s">
        <v>1207</v>
      </c>
      <c r="AH21" t="s">
        <v>1208</v>
      </c>
      <c r="AI21" t="s">
        <v>1209</v>
      </c>
      <c r="AJ21" t="s">
        <v>533</v>
      </c>
      <c r="AK21" t="s">
        <v>1210</v>
      </c>
      <c r="AL21" t="s">
        <v>7</v>
      </c>
      <c r="AM21" t="s">
        <v>1211</v>
      </c>
      <c r="AN21" t="s">
        <v>7</v>
      </c>
      <c r="AO21" t="s">
        <v>1212</v>
      </c>
      <c r="AP21" t="s">
        <v>403</v>
      </c>
      <c r="AQ21" t="s">
        <v>7</v>
      </c>
      <c r="AR21" t="s">
        <v>1213</v>
      </c>
      <c r="AS21" t="s">
        <v>7</v>
      </c>
      <c r="AT21" t="s">
        <v>433</v>
      </c>
      <c r="AU21" t="s">
        <v>1214</v>
      </c>
      <c r="AV21" t="s">
        <v>1215</v>
      </c>
      <c r="AW21" t="s">
        <v>1216</v>
      </c>
      <c r="AX21" t="s">
        <v>1217</v>
      </c>
      <c r="AY21" t="s">
        <v>1218</v>
      </c>
      <c r="AZ21" t="s">
        <v>504</v>
      </c>
      <c r="BA21" t="s">
        <v>1219</v>
      </c>
      <c r="BB21" t="s">
        <v>1220</v>
      </c>
      <c r="BC21" t="s">
        <v>1221</v>
      </c>
      <c r="BD21" t="s">
        <v>1222</v>
      </c>
      <c r="BE21" t="s">
        <v>1223</v>
      </c>
      <c r="BF21" t="s">
        <v>87</v>
      </c>
      <c r="BG21" t="s">
        <v>1224</v>
      </c>
      <c r="BH21" t="s">
        <v>185</v>
      </c>
      <c r="BI21" t="s">
        <v>479</v>
      </c>
      <c r="BJ21" t="s">
        <v>1225</v>
      </c>
      <c r="BK21" t="s">
        <v>985</v>
      </c>
      <c r="BL21" t="s">
        <v>1226</v>
      </c>
      <c r="BM21" t="s">
        <v>1227</v>
      </c>
      <c r="BN21" t="s">
        <v>1228</v>
      </c>
      <c r="BO21">
        <v>2.98</v>
      </c>
      <c r="BP21">
        <v>-3.95</v>
      </c>
      <c r="BQ21">
        <v>1.71</v>
      </c>
      <c r="BR21">
        <v>2.59</v>
      </c>
      <c r="BS21">
        <v>-4.99</v>
      </c>
      <c r="BT21">
        <v>1.52</v>
      </c>
      <c r="BU21" t="s">
        <v>1229</v>
      </c>
      <c r="BV21" t="s">
        <v>651</v>
      </c>
      <c r="BW21">
        <v>65.72</v>
      </c>
      <c r="BX21">
        <v>64.03</v>
      </c>
      <c r="BY21">
        <v>64.42</v>
      </c>
      <c r="BZ21">
        <v>16.53</v>
      </c>
      <c r="CA21">
        <v>-16.34</v>
      </c>
      <c r="CB21">
        <v>1.72</v>
      </c>
      <c r="CC21">
        <v>13.18</v>
      </c>
      <c r="CD21">
        <v>14.72</v>
      </c>
      <c r="CE21" t="s">
        <v>45</v>
      </c>
      <c r="CF21" t="s">
        <v>126</v>
      </c>
      <c r="CG21" s="24">
        <v>-0.23114570866141732</v>
      </c>
      <c r="CH21" s="25">
        <v>-0.9666549798599553</v>
      </c>
      <c r="CI21" s="24">
        <v>0.37958115339279175</v>
      </c>
      <c r="CJ21" s="24">
        <v>-0.39074960350990295</v>
      </c>
      <c r="CK21" s="24">
        <v>-7.0422492921352386E-2</v>
      </c>
      <c r="CL21" s="24">
        <v>2.3520436137914658E-2</v>
      </c>
      <c r="CM21" s="24">
        <v>-8.2811370491981506E-2</v>
      </c>
      <c r="CN21" s="25">
        <v>1.5497808456420898</v>
      </c>
      <c r="CO21" s="25">
        <v>-4.1839814186096191</v>
      </c>
      <c r="CP21" s="25">
        <v>-0.66557127237319946</v>
      </c>
      <c r="CQ21" s="25">
        <v>2.1469314098358154</v>
      </c>
      <c r="CR21" s="25">
        <v>-1.4359457492828369</v>
      </c>
      <c r="CS21">
        <v>7.5457636622390902</v>
      </c>
      <c r="CT21">
        <v>138508887.33534944</v>
      </c>
      <c r="CU21">
        <v>0.29708853238265004</v>
      </c>
      <c r="CV21" s="24">
        <v>-2.8176375478506089E-2</v>
      </c>
      <c r="CW21" s="25">
        <v>-0.51775723695755005</v>
      </c>
      <c r="CX21">
        <v>0.06</v>
      </c>
      <c r="CY21">
        <v>88.18113936303476</v>
      </c>
      <c r="CZ21" t="s">
        <v>1230</v>
      </c>
      <c r="DA21">
        <v>-2.8176375478506089E-2</v>
      </c>
      <c r="DB21">
        <v>29.393713121011587</v>
      </c>
      <c r="DC21" t="s">
        <v>1231</v>
      </c>
      <c r="DD21">
        <v>-2.6767556704580784E-2</v>
      </c>
      <c r="DE21">
        <v>14.696856560505793</v>
      </c>
      <c r="DF21" t="s">
        <v>1232</v>
      </c>
      <c r="DG21">
        <v>-2.4795210421085359E-2</v>
      </c>
      <c r="DH21">
        <v>8.818113936303476</v>
      </c>
      <c r="DI21" t="s">
        <v>1233</v>
      </c>
      <c r="DJ21">
        <v>-2.2541100382804873E-2</v>
      </c>
      <c r="DK21">
        <v>4.409056968151738</v>
      </c>
      <c r="DL21" t="s">
        <v>1234</v>
      </c>
      <c r="DM21">
        <v>-1.9723462834954263E-2</v>
      </c>
      <c r="DN21">
        <v>63224799.999999993</v>
      </c>
      <c r="DO21">
        <v>-2.8176375478506089E-2</v>
      </c>
      <c r="DP21">
        <v>5575234900</v>
      </c>
      <c r="DQ21">
        <v>1403122100</v>
      </c>
      <c r="DR21">
        <v>1138</v>
      </c>
      <c r="DS21">
        <v>-0.20296933318291122</v>
      </c>
      <c r="DT21">
        <v>-0.44889774290240525</v>
      </c>
      <c r="DU21" s="26">
        <v>1.6666666666666663E-2</v>
      </c>
      <c r="DV21">
        <v>-0.28166666666666684</v>
      </c>
      <c r="DW21">
        <v>-0.26500000000000018</v>
      </c>
      <c r="DX21">
        <v>9.8953804347826093</v>
      </c>
      <c r="DY21">
        <v>0.57516372795969883</v>
      </c>
      <c r="DZ21">
        <v>9.318006653159566</v>
      </c>
      <c r="EA21">
        <v>3687</v>
      </c>
      <c r="EB21">
        <v>9.0796471227266888</v>
      </c>
      <c r="EC21">
        <v>9</v>
      </c>
      <c r="ED21">
        <v>0.29837293429910516</v>
      </c>
      <c r="EE21">
        <v>0.840099680260601</v>
      </c>
      <c r="EF21" s="27">
        <v>1.7264999999999999E-2</v>
      </c>
      <c r="EG21">
        <v>0.1173</v>
      </c>
      <c r="EH21">
        <v>22.355163727959699</v>
      </c>
      <c r="EI21" t="s">
        <v>398</v>
      </c>
      <c r="EJ21">
        <v>1</v>
      </c>
      <c r="EK21">
        <v>0</v>
      </c>
      <c r="EL21" s="29">
        <v>44939</v>
      </c>
      <c r="EM21" s="30">
        <v>0.1002</v>
      </c>
      <c r="EN21" s="30">
        <v>-1.34E-2</v>
      </c>
      <c r="EO21" s="30">
        <v>-2.7300000000000001E-2</v>
      </c>
      <c r="EP21" s="30">
        <v>-2.5499999999999998E-2</v>
      </c>
      <c r="EQ21" s="30">
        <v>10</v>
      </c>
    </row>
    <row r="22" spans="2:147" ht="108" x14ac:dyDescent="0.25">
      <c r="B22" s="28"/>
      <c r="C22" s="28"/>
      <c r="D22" s="28" t="s">
        <v>1290</v>
      </c>
      <c r="E22" t="s">
        <v>624</v>
      </c>
      <c r="F22" t="s">
        <v>625</v>
      </c>
      <c r="G22">
        <v>17.39</v>
      </c>
      <c r="H22">
        <v>0.06</v>
      </c>
      <c r="I22" t="s">
        <v>626</v>
      </c>
      <c r="J22">
        <v>3085125100</v>
      </c>
      <c r="K22">
        <v>466.1</v>
      </c>
      <c r="L22">
        <v>23.91</v>
      </c>
      <c r="M22" t="s">
        <v>424</v>
      </c>
      <c r="N22" t="s">
        <v>24</v>
      </c>
      <c r="O22" t="s">
        <v>94</v>
      </c>
      <c r="P22" t="s">
        <v>1235</v>
      </c>
      <c r="Q22">
        <v>183.98</v>
      </c>
      <c r="R22" t="s">
        <v>1236</v>
      </c>
      <c r="S22">
        <v>3677944</v>
      </c>
      <c r="T22" s="3">
        <v>1.2230000000000001</v>
      </c>
      <c r="U22" t="s">
        <v>1237</v>
      </c>
      <c r="V22">
        <v>177408000</v>
      </c>
      <c r="W22">
        <v>177408000</v>
      </c>
      <c r="X22">
        <v>3.64</v>
      </c>
      <c r="Y22">
        <v>0.22</v>
      </c>
      <c r="Z22">
        <v>3.7</v>
      </c>
      <c r="AA22" t="s">
        <v>1238</v>
      </c>
      <c r="AB22" t="s">
        <v>1239</v>
      </c>
      <c r="AC22" t="s">
        <v>1240</v>
      </c>
      <c r="AD22" t="s">
        <v>1241</v>
      </c>
      <c r="AE22" t="s">
        <v>7</v>
      </c>
      <c r="AF22">
        <v>5035696</v>
      </c>
      <c r="AG22" t="s">
        <v>29</v>
      </c>
      <c r="AH22" t="s">
        <v>1242</v>
      </c>
      <c r="AI22" t="s">
        <v>1243</v>
      </c>
      <c r="AJ22" t="s">
        <v>1244</v>
      </c>
      <c r="AK22" t="s">
        <v>1245</v>
      </c>
      <c r="AL22" t="s">
        <v>7</v>
      </c>
      <c r="AM22" t="s">
        <v>1246</v>
      </c>
      <c r="AN22" t="s">
        <v>7</v>
      </c>
      <c r="AO22" t="s">
        <v>1247</v>
      </c>
      <c r="AP22" t="s">
        <v>7</v>
      </c>
      <c r="AQ22" t="s">
        <v>7</v>
      </c>
      <c r="AR22" t="s">
        <v>1248</v>
      </c>
      <c r="AS22" t="s">
        <v>7</v>
      </c>
      <c r="AT22" t="s">
        <v>35</v>
      </c>
      <c r="AU22" t="s">
        <v>7</v>
      </c>
      <c r="AV22" t="s">
        <v>1249</v>
      </c>
      <c r="AW22" t="s">
        <v>1250</v>
      </c>
      <c r="AX22" t="s">
        <v>1251</v>
      </c>
      <c r="AY22" t="s">
        <v>99</v>
      </c>
      <c r="AZ22" t="s">
        <v>1252</v>
      </c>
      <c r="BA22" t="s">
        <v>1253</v>
      </c>
      <c r="BB22" t="s">
        <v>1254</v>
      </c>
      <c r="BC22" t="s">
        <v>57</v>
      </c>
      <c r="BD22" t="s">
        <v>1255</v>
      </c>
      <c r="BE22" t="s">
        <v>1256</v>
      </c>
      <c r="BF22" t="s">
        <v>1257</v>
      </c>
      <c r="BG22" t="s">
        <v>1258</v>
      </c>
      <c r="BH22" t="s">
        <v>1101</v>
      </c>
      <c r="BI22" t="s">
        <v>1259</v>
      </c>
      <c r="BJ22" t="s">
        <v>1260</v>
      </c>
      <c r="BK22" t="s">
        <v>1261</v>
      </c>
      <c r="BL22" t="s">
        <v>1262</v>
      </c>
      <c r="BM22" t="s">
        <v>1263</v>
      </c>
      <c r="BN22" t="s">
        <v>1264</v>
      </c>
      <c r="BO22">
        <v>-3.08</v>
      </c>
      <c r="BP22">
        <v>17.78</v>
      </c>
      <c r="BQ22">
        <v>107.48</v>
      </c>
      <c r="BR22">
        <v>-10.67</v>
      </c>
      <c r="BS22">
        <v>29.86</v>
      </c>
      <c r="BT22">
        <v>34.74</v>
      </c>
      <c r="BU22" t="s">
        <v>1125</v>
      </c>
      <c r="BV22" t="s">
        <v>651</v>
      </c>
      <c r="BW22">
        <v>66.13</v>
      </c>
      <c r="BX22">
        <v>66.790000000000006</v>
      </c>
      <c r="BY22">
        <v>75</v>
      </c>
      <c r="BZ22">
        <v>4.34</v>
      </c>
      <c r="CA22">
        <v>32.93</v>
      </c>
      <c r="CB22">
        <v>68.84</v>
      </c>
      <c r="CC22">
        <v>3.64</v>
      </c>
      <c r="CD22">
        <v>1.58</v>
      </c>
      <c r="CE22" t="s">
        <v>1265</v>
      </c>
      <c r="CF22" t="s">
        <v>1266</v>
      </c>
      <c r="CG22" s="24">
        <v>1.9372516077878601</v>
      </c>
      <c r="CH22" s="25">
        <v>1.1593984486306792</v>
      </c>
      <c r="CI22" s="24">
        <v>-0.10697945207357407</v>
      </c>
      <c r="CJ22" s="24">
        <v>2.9821448028087616E-2</v>
      </c>
      <c r="CK22" s="24">
        <v>2.8866987228393555</v>
      </c>
      <c r="CL22" s="24">
        <v>-0.46469181776046753</v>
      </c>
      <c r="CM22" s="24">
        <v>-0.7325555682182312</v>
      </c>
      <c r="CN22" s="25">
        <v>-1.4048166275024414</v>
      </c>
      <c r="CO22" s="25">
        <v>-0.50913375616073608</v>
      </c>
      <c r="CP22" s="25">
        <v>1.7144179344177246</v>
      </c>
      <c r="CQ22" s="25">
        <v>0.19083471596240997</v>
      </c>
      <c r="CR22" s="25">
        <v>0.28915661573410034</v>
      </c>
      <c r="CS22">
        <v>33.869683306600969</v>
      </c>
      <c r="CT22">
        <v>-26187394.871189542</v>
      </c>
      <c r="CU22">
        <v>0</v>
      </c>
      <c r="CV22" s="24">
        <v>0.32245866656303407</v>
      </c>
      <c r="CW22" s="25">
        <v>5.6091776490211485E-2</v>
      </c>
      <c r="CX22">
        <v>0.06</v>
      </c>
      <c r="CY22" t="e">
        <v>#VALUE!</v>
      </c>
      <c r="CZ22" t="s">
        <v>397</v>
      </c>
      <c r="DA22">
        <v>0.32245866656303407</v>
      </c>
      <c r="DB22" t="e">
        <v>#VALUE!</v>
      </c>
      <c r="DC22" t="s">
        <v>397</v>
      </c>
      <c r="DD22">
        <v>0.30633573323488233</v>
      </c>
      <c r="DE22" t="e">
        <v>#VALUE!</v>
      </c>
      <c r="DF22" t="s">
        <v>397</v>
      </c>
      <c r="DG22">
        <v>0.28376362657547</v>
      </c>
      <c r="DH22" t="e">
        <v>#VALUE!</v>
      </c>
      <c r="DI22" t="s">
        <v>397</v>
      </c>
      <c r="DJ22">
        <v>0.25796693325042724</v>
      </c>
      <c r="DK22" t="e">
        <v>#VALUE!</v>
      </c>
      <c r="DL22" t="s">
        <v>397</v>
      </c>
      <c r="DM22">
        <v>0.22572106659412383</v>
      </c>
      <c r="DN22">
        <v>-13554800</v>
      </c>
      <c r="DO22">
        <v>0.32245866656303407</v>
      </c>
      <c r="DP22">
        <v>3299125100</v>
      </c>
      <c r="DQ22">
        <v>-113340320</v>
      </c>
      <c r="DR22">
        <v>439</v>
      </c>
      <c r="DS22">
        <v>1.6147929412248261</v>
      </c>
      <c r="DT22">
        <v>1.1033066721404676</v>
      </c>
      <c r="DU22" s="26">
        <v>0.68333333333333324</v>
      </c>
      <c r="DV22">
        <v>-1.25</v>
      </c>
      <c r="DW22">
        <v>-0.56666666666666676</v>
      </c>
      <c r="DX22">
        <v>4.4340659340659343</v>
      </c>
      <c r="DY22">
        <v>0.39069431500465823</v>
      </c>
      <c r="DZ22">
        <v>4.0697519279415832</v>
      </c>
      <c r="EA22">
        <v>3942</v>
      </c>
      <c r="EB22">
        <v>4.0138539608861405</v>
      </c>
      <c r="EC22">
        <v>4</v>
      </c>
      <c r="ED22">
        <v>6.6090029761904756E-2</v>
      </c>
      <c r="EE22">
        <v>0.41127795815295815</v>
      </c>
      <c r="EF22" s="27">
        <v>2.4813999999999999E-2</v>
      </c>
      <c r="EG22">
        <v>2.4209999999999999E-2</v>
      </c>
      <c r="EH22">
        <v>23.160694315004658</v>
      </c>
      <c r="EI22">
        <v>-1</v>
      </c>
      <c r="EJ22">
        <v>0</v>
      </c>
      <c r="EK22">
        <v>0</v>
      </c>
      <c r="EL22" s="29">
        <v>44939</v>
      </c>
      <c r="EM22" s="30">
        <v>2.0899999999999998E-2</v>
      </c>
      <c r="EN22" s="30">
        <v>4.1000000000000003E-3</v>
      </c>
      <c r="EO22" s="30">
        <v>-1.8599999999999998E-2</v>
      </c>
      <c r="EP22" s="30">
        <v>2.9600000000000001E-2</v>
      </c>
      <c r="EQ22" s="30">
        <v>0.06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Q9"/>
  <sheetViews>
    <sheetView workbookViewId="0">
      <selection activeCell="J2" sqref="J2"/>
    </sheetView>
  </sheetViews>
  <sheetFormatPr defaultRowHeight="14.4" x14ac:dyDescent="0.25"/>
  <cols>
    <col min="2" max="2" width="35.88671875" customWidth="1"/>
    <col min="3" max="3" width="37.33203125" customWidth="1"/>
    <col min="4" max="4" width="52.6640625" customWidth="1"/>
    <col min="10" max="10" width="12.44140625" bestFit="1" customWidth="1"/>
  </cols>
  <sheetData>
    <row r="1" spans="1:147" s="15" customFormat="1" x14ac:dyDescent="0.25">
      <c r="A1" s="16" t="s">
        <v>223</v>
      </c>
      <c r="B1" s="19" t="s">
        <v>350</v>
      </c>
      <c r="C1" s="20" t="s">
        <v>351</v>
      </c>
      <c r="D1" s="19" t="s">
        <v>302</v>
      </c>
      <c r="E1" t="s">
        <v>2</v>
      </c>
      <c r="F1" t="s">
        <v>3</v>
      </c>
      <c r="G1" t="s">
        <v>0</v>
      </c>
      <c r="H1" t="s">
        <v>323</v>
      </c>
      <c r="I1" t="s">
        <v>352</v>
      </c>
      <c r="J1" t="s">
        <v>4</v>
      </c>
      <c r="K1" t="s">
        <v>5</v>
      </c>
      <c r="L1" t="s">
        <v>1</v>
      </c>
      <c r="M1" t="s">
        <v>6</v>
      </c>
      <c r="N1" t="s">
        <v>8</v>
      </c>
      <c r="O1" t="s">
        <v>9</v>
      </c>
      <c r="P1" t="s">
        <v>10</v>
      </c>
      <c r="Q1" t="s">
        <v>353</v>
      </c>
      <c r="R1" t="s">
        <v>324</v>
      </c>
      <c r="S1" t="s">
        <v>354</v>
      </c>
      <c r="T1" t="s">
        <v>11</v>
      </c>
      <c r="U1" t="s">
        <v>325</v>
      </c>
      <c r="V1" t="s">
        <v>326</v>
      </c>
      <c r="W1" t="s">
        <v>12</v>
      </c>
      <c r="X1" t="s">
        <v>273</v>
      </c>
      <c r="Y1" t="s">
        <v>274</v>
      </c>
      <c r="Z1" t="s">
        <v>275</v>
      </c>
      <c r="AA1" t="s">
        <v>276</v>
      </c>
      <c r="AB1" t="s">
        <v>277</v>
      </c>
      <c r="AC1" t="s">
        <v>327</v>
      </c>
      <c r="AD1" t="s">
        <v>278</v>
      </c>
      <c r="AE1" t="s">
        <v>355</v>
      </c>
      <c r="AF1" t="s">
        <v>13</v>
      </c>
      <c r="AG1" t="s">
        <v>14</v>
      </c>
      <c r="AH1" t="s">
        <v>328</v>
      </c>
      <c r="AI1" t="s">
        <v>356</v>
      </c>
      <c r="AJ1" t="s">
        <v>329</v>
      </c>
      <c r="AK1" t="s">
        <v>15</v>
      </c>
      <c r="AL1" t="s">
        <v>330</v>
      </c>
      <c r="AM1" t="s">
        <v>224</v>
      </c>
      <c r="AN1" t="s">
        <v>331</v>
      </c>
      <c r="AO1" t="s">
        <v>332</v>
      </c>
      <c r="AP1" t="s">
        <v>333</v>
      </c>
      <c r="AQ1" t="s">
        <v>334</v>
      </c>
      <c r="AR1" t="s">
        <v>335</v>
      </c>
      <c r="AS1" t="s">
        <v>336</v>
      </c>
      <c r="AT1" t="s">
        <v>337</v>
      </c>
      <c r="AU1" t="s">
        <v>338</v>
      </c>
      <c r="AV1" t="s">
        <v>339</v>
      </c>
      <c r="AW1" t="s">
        <v>340</v>
      </c>
      <c r="AX1" t="s">
        <v>341</v>
      </c>
      <c r="AY1" t="s">
        <v>357</v>
      </c>
      <c r="AZ1" t="s">
        <v>225</v>
      </c>
      <c r="BA1" t="s">
        <v>226</v>
      </c>
      <c r="BB1" t="s">
        <v>227</v>
      </c>
      <c r="BC1" t="s">
        <v>228</v>
      </c>
      <c r="BD1" t="s">
        <v>234</v>
      </c>
      <c r="BE1" t="s">
        <v>229</v>
      </c>
      <c r="BF1" t="s">
        <v>230</v>
      </c>
      <c r="BG1" t="s">
        <v>231</v>
      </c>
      <c r="BH1" t="s">
        <v>232</v>
      </c>
      <c r="BI1" t="s">
        <v>358</v>
      </c>
      <c r="BJ1" t="s">
        <v>342</v>
      </c>
      <c r="BK1" t="s">
        <v>233</v>
      </c>
      <c r="BL1" t="s">
        <v>343</v>
      </c>
      <c r="BM1" t="s">
        <v>344</v>
      </c>
      <c r="BN1" t="s">
        <v>345</v>
      </c>
      <c r="BO1" t="s">
        <v>346</v>
      </c>
      <c r="BP1" t="s">
        <v>235</v>
      </c>
      <c r="BQ1" t="s">
        <v>236</v>
      </c>
      <c r="BR1" t="s">
        <v>237</v>
      </c>
      <c r="BS1" t="s">
        <v>347</v>
      </c>
      <c r="BT1" t="s">
        <v>238</v>
      </c>
      <c r="BU1" t="s">
        <v>239</v>
      </c>
      <c r="BV1" t="s">
        <v>240</v>
      </c>
      <c r="BW1" t="s">
        <v>348</v>
      </c>
      <c r="BX1" t="s">
        <v>241</v>
      </c>
      <c r="BY1" t="s">
        <v>242</v>
      </c>
      <c r="BZ1" t="s">
        <v>349</v>
      </c>
      <c r="CA1" t="s">
        <v>243</v>
      </c>
      <c r="CB1" t="s">
        <v>244</v>
      </c>
      <c r="CC1" t="s">
        <v>359</v>
      </c>
      <c r="CD1" t="s">
        <v>360</v>
      </c>
      <c r="CE1" t="s">
        <v>361</v>
      </c>
      <c r="CF1" t="s">
        <v>362</v>
      </c>
      <c r="CG1" s="1" t="s">
        <v>279</v>
      </c>
      <c r="CH1" s="1" t="s">
        <v>280</v>
      </c>
      <c r="CI1" s="1" t="s">
        <v>281</v>
      </c>
      <c r="CJ1" s="1" t="s">
        <v>282</v>
      </c>
      <c r="CK1" s="1" t="s">
        <v>283</v>
      </c>
      <c r="CL1" s="1" t="s">
        <v>284</v>
      </c>
      <c r="CM1" s="1" t="s">
        <v>285</v>
      </c>
      <c r="CN1" s="1" t="s">
        <v>286</v>
      </c>
      <c r="CO1" s="1" t="s">
        <v>287</v>
      </c>
      <c r="CP1" s="1" t="s">
        <v>288</v>
      </c>
      <c r="CQ1" s="1" t="s">
        <v>289</v>
      </c>
      <c r="CR1" s="1" t="s">
        <v>290</v>
      </c>
      <c r="CS1" s="1" t="s">
        <v>363</v>
      </c>
      <c r="CT1" s="1" t="s">
        <v>311</v>
      </c>
      <c r="CU1" s="1" t="s">
        <v>291</v>
      </c>
      <c r="CV1" s="1" t="s">
        <v>312</v>
      </c>
      <c r="CW1" s="1" t="s">
        <v>292</v>
      </c>
      <c r="CX1" s="1" t="s">
        <v>313</v>
      </c>
      <c r="CY1">
        <v>1</v>
      </c>
      <c r="CZ1" t="s">
        <v>293</v>
      </c>
      <c r="DA1" t="s">
        <v>294</v>
      </c>
      <c r="DB1">
        <v>3</v>
      </c>
      <c r="DC1" t="s">
        <v>303</v>
      </c>
      <c r="DD1" t="s">
        <v>314</v>
      </c>
      <c r="DE1">
        <v>6</v>
      </c>
      <c r="DF1" t="s">
        <v>315</v>
      </c>
      <c r="DG1" t="s">
        <v>295</v>
      </c>
      <c r="DH1">
        <v>10</v>
      </c>
      <c r="DI1" t="s">
        <v>316</v>
      </c>
      <c r="DJ1" t="s">
        <v>364</v>
      </c>
      <c r="DK1">
        <v>20</v>
      </c>
      <c r="DL1" t="s">
        <v>296</v>
      </c>
      <c r="DM1" t="s">
        <v>297</v>
      </c>
      <c r="DN1" t="s">
        <v>298</v>
      </c>
      <c r="DO1" s="2" t="s">
        <v>299</v>
      </c>
      <c r="DP1" t="s">
        <v>365</v>
      </c>
      <c r="DQ1" t="s">
        <v>300</v>
      </c>
      <c r="DR1" s="1" t="s">
        <v>317</v>
      </c>
      <c r="DS1" s="1" t="s">
        <v>301</v>
      </c>
      <c r="DT1" s="1" t="s">
        <v>304</v>
      </c>
      <c r="DU1" t="s">
        <v>366</v>
      </c>
      <c r="DV1" t="s">
        <v>367</v>
      </c>
      <c r="DW1" t="s">
        <v>318</v>
      </c>
      <c r="DX1" t="s">
        <v>368</v>
      </c>
      <c r="DY1" t="s">
        <v>369</v>
      </c>
      <c r="DZ1" t="s">
        <v>319</v>
      </c>
      <c r="EA1" t="s">
        <v>305</v>
      </c>
      <c r="EB1" t="s">
        <v>320</v>
      </c>
      <c r="EC1" t="s">
        <v>321</v>
      </c>
      <c r="ED1" t="s">
        <v>370</v>
      </c>
      <c r="EE1" t="s">
        <v>322</v>
      </c>
      <c r="EF1" t="s">
        <v>371</v>
      </c>
      <c r="EG1" t="s">
        <v>372</v>
      </c>
      <c r="EH1" t="s">
        <v>373</v>
      </c>
      <c r="EI1" t="s">
        <v>374</v>
      </c>
      <c r="EJ1" t="s">
        <v>375</v>
      </c>
      <c r="EK1"/>
    </row>
    <row r="2" spans="1:147" s="15" customFormat="1" ht="71.55" customHeight="1" x14ac:dyDescent="0.25">
      <c r="A2" s="23"/>
      <c r="B2" s="21"/>
      <c r="C2" s="22">
        <v>3</v>
      </c>
      <c r="D2" s="22">
        <v>9</v>
      </c>
      <c r="J2" s="22">
        <f>SUM(J3:J9)</f>
        <v>267880939370</v>
      </c>
      <c r="T2" s="17"/>
      <c r="U2" s="17"/>
      <c r="V2" s="17"/>
      <c r="AB2" s="18"/>
    </row>
    <row r="3" spans="1:147" ht="129.6" x14ac:dyDescent="0.25">
      <c r="B3" s="28"/>
      <c r="C3" s="28"/>
      <c r="D3" s="28" t="s">
        <v>1352</v>
      </c>
      <c r="E3" t="s">
        <v>1291</v>
      </c>
      <c r="F3" t="s">
        <v>1292</v>
      </c>
      <c r="G3">
        <v>109.22</v>
      </c>
      <c r="H3">
        <v>5.09</v>
      </c>
      <c r="I3" t="s">
        <v>1293</v>
      </c>
      <c r="J3">
        <v>149001510000</v>
      </c>
      <c r="K3">
        <v>39.090000000000003</v>
      </c>
      <c r="L3">
        <v>5.72</v>
      </c>
      <c r="M3" t="s">
        <v>424</v>
      </c>
      <c r="N3" t="s">
        <v>1312</v>
      </c>
      <c r="O3" t="s">
        <v>1313</v>
      </c>
      <c r="P3" t="s">
        <v>1314</v>
      </c>
      <c r="Q3">
        <v>8.73</v>
      </c>
      <c r="R3" t="s">
        <v>1315</v>
      </c>
      <c r="S3">
        <v>4266993100</v>
      </c>
      <c r="T3" s="3">
        <v>0.1817</v>
      </c>
      <c r="U3" t="s">
        <v>1316</v>
      </c>
      <c r="V3">
        <v>700273050</v>
      </c>
      <c r="W3">
        <v>1364232800</v>
      </c>
      <c r="X3">
        <v>1.84</v>
      </c>
      <c r="Y3">
        <v>0.61</v>
      </c>
      <c r="Z3">
        <v>15</v>
      </c>
      <c r="AA3" t="s">
        <v>1317</v>
      </c>
      <c r="AB3" t="s">
        <v>1318</v>
      </c>
      <c r="AC3" t="s">
        <v>1319</v>
      </c>
      <c r="AD3" t="s">
        <v>1320</v>
      </c>
      <c r="AE3" t="s">
        <v>1321</v>
      </c>
      <c r="AF3">
        <v>-319137190</v>
      </c>
      <c r="AG3" t="s">
        <v>1322</v>
      </c>
      <c r="AH3" t="s">
        <v>1323</v>
      </c>
      <c r="AI3" t="s">
        <v>1324</v>
      </c>
      <c r="AJ3" t="s">
        <v>1325</v>
      </c>
      <c r="AK3" t="s">
        <v>1326</v>
      </c>
      <c r="AL3" t="s">
        <v>1327</v>
      </c>
      <c r="AM3" t="s">
        <v>1328</v>
      </c>
      <c r="AN3" t="s">
        <v>7</v>
      </c>
      <c r="AO3" t="s">
        <v>189</v>
      </c>
      <c r="AP3" t="s">
        <v>110</v>
      </c>
      <c r="AQ3" t="s">
        <v>465</v>
      </c>
      <c r="AR3" t="s">
        <v>1329</v>
      </c>
      <c r="AS3" t="s">
        <v>7</v>
      </c>
      <c r="AT3" t="s">
        <v>1330</v>
      </c>
      <c r="AU3" t="s">
        <v>7</v>
      </c>
      <c r="AV3" t="s">
        <v>1331</v>
      </c>
      <c r="AW3" t="s">
        <v>1332</v>
      </c>
      <c r="AX3" t="s">
        <v>1333</v>
      </c>
      <c r="AY3" t="s">
        <v>1334</v>
      </c>
      <c r="AZ3" t="s">
        <v>1335</v>
      </c>
      <c r="BA3" t="s">
        <v>1336</v>
      </c>
      <c r="BB3" t="s">
        <v>1337</v>
      </c>
      <c r="BC3" t="s">
        <v>1338</v>
      </c>
      <c r="BD3" t="s">
        <v>1339</v>
      </c>
      <c r="BE3" t="s">
        <v>1340</v>
      </c>
      <c r="BF3" t="s">
        <v>1341</v>
      </c>
      <c r="BG3" t="s">
        <v>1342</v>
      </c>
      <c r="BH3" t="s">
        <v>536</v>
      </c>
      <c r="BI3" t="s">
        <v>1343</v>
      </c>
      <c r="BJ3" t="s">
        <v>1344</v>
      </c>
      <c r="BK3" t="s">
        <v>1345</v>
      </c>
      <c r="BL3" t="s">
        <v>1346</v>
      </c>
      <c r="BM3" t="s">
        <v>1347</v>
      </c>
      <c r="BN3" t="s">
        <v>1348</v>
      </c>
      <c r="BO3">
        <v>13.57</v>
      </c>
      <c r="BP3">
        <v>9.51</v>
      </c>
      <c r="BQ3">
        <v>8.4700000000000006</v>
      </c>
      <c r="BR3">
        <v>14.47</v>
      </c>
      <c r="BS3">
        <v>11.13</v>
      </c>
      <c r="BT3">
        <v>9.9700000000000006</v>
      </c>
      <c r="BU3" t="s">
        <v>1349</v>
      </c>
      <c r="BV3" t="s">
        <v>1350</v>
      </c>
      <c r="BW3">
        <v>38.1</v>
      </c>
      <c r="BX3">
        <v>40.42</v>
      </c>
      <c r="BY3">
        <v>38.96</v>
      </c>
      <c r="BZ3">
        <v>15.09</v>
      </c>
      <c r="CA3">
        <v>8.3800000000000008</v>
      </c>
      <c r="CB3">
        <v>6.89</v>
      </c>
      <c r="CC3">
        <v>2.75</v>
      </c>
      <c r="CD3">
        <v>4.42</v>
      </c>
      <c r="CE3" t="s">
        <v>1351</v>
      </c>
      <c r="CF3" t="s">
        <v>534</v>
      </c>
      <c r="CG3" s="24">
        <v>0.16000507075471751</v>
      </c>
      <c r="CH3" s="25">
        <v>0.18409464435146444</v>
      </c>
      <c r="CI3" s="24">
        <v>8.6707420647144318E-2</v>
      </c>
      <c r="CJ3" s="24">
        <v>-8.0045014619827271E-3</v>
      </c>
      <c r="CK3" s="24">
        <v>5.3019735962152481E-2</v>
      </c>
      <c r="CL3" s="24">
        <v>1.134073082357645E-2</v>
      </c>
      <c r="CM3" s="24">
        <v>6.5502109937369823E-3</v>
      </c>
      <c r="CN3" s="25">
        <v>0.43343940377235413</v>
      </c>
      <c r="CO3" s="25">
        <v>0.18844488263130188</v>
      </c>
      <c r="CP3" s="25">
        <v>0.30239099264144897</v>
      </c>
      <c r="CQ3" s="25">
        <v>0.12589067220687866</v>
      </c>
      <c r="CR3" s="25">
        <v>0.21093006432056427</v>
      </c>
      <c r="CS3">
        <v>4.9392219975469889</v>
      </c>
      <c r="CT3">
        <v>122343033.28050713</v>
      </c>
      <c r="CU3">
        <v>1.0071415491668192</v>
      </c>
      <c r="CV3" s="24">
        <v>2.9922719392925502E-2</v>
      </c>
      <c r="CW3" s="25">
        <v>0.25221920311450957</v>
      </c>
      <c r="CX3">
        <v>0.06</v>
      </c>
      <c r="CY3">
        <v>47.159866180494078</v>
      </c>
      <c r="CZ3">
        <v>3065477528.004415</v>
      </c>
      <c r="DA3">
        <v>2.9922719392925502E-2</v>
      </c>
      <c r="DB3">
        <v>16.221195697682226</v>
      </c>
      <c r="DC3">
        <v>8912259780.0023212</v>
      </c>
      <c r="DD3">
        <v>2.8426583423279226E-2</v>
      </c>
      <c r="DE3">
        <v>8.5373570251888875</v>
      </c>
      <c r="DF3">
        <v>16933520476.356262</v>
      </c>
      <c r="DG3">
        <v>2.6331993065774443E-2</v>
      </c>
      <c r="DH3">
        <v>5.5157422227269377</v>
      </c>
      <c r="DI3">
        <v>26209983019.932903</v>
      </c>
      <c r="DJ3">
        <v>2.3938175514340403E-2</v>
      </c>
      <c r="DK3">
        <v>3.3196866314122762</v>
      </c>
      <c r="DL3">
        <v>43548541188.207703</v>
      </c>
      <c r="DM3">
        <v>2.0945903575047851E-2</v>
      </c>
      <c r="DN3">
        <v>3155000000</v>
      </c>
      <c r="DO3">
        <v>2.9922719392925502E-2</v>
      </c>
      <c r="DP3">
        <v>144567510000</v>
      </c>
      <c r="DQ3">
        <v>13095553000</v>
      </c>
      <c r="DR3">
        <v>3214</v>
      </c>
      <c r="DS3">
        <v>0.130082351361792</v>
      </c>
      <c r="DT3">
        <v>-6.8124558763045129E-2</v>
      </c>
      <c r="DU3" s="26">
        <v>0.6</v>
      </c>
      <c r="DV3">
        <v>0.77</v>
      </c>
      <c r="DW3">
        <v>1.37</v>
      </c>
      <c r="DX3">
        <v>8.622171945701357</v>
      </c>
      <c r="DY3">
        <v>0.53237680000000209</v>
      </c>
      <c r="DZ3">
        <v>8.1072480090497745</v>
      </c>
      <c r="EA3">
        <v>966</v>
      </c>
      <c r="EB3">
        <v>8.0861864972095461</v>
      </c>
      <c r="EC3">
        <v>8</v>
      </c>
      <c r="ED3">
        <v>1.5794298451114797E-2</v>
      </c>
      <c r="EE3">
        <v>9.1626590417705836E-2</v>
      </c>
      <c r="EF3" s="27">
        <v>2.5201000000000001E-2</v>
      </c>
      <c r="EG3">
        <v>7.6100000000000001E-2</v>
      </c>
      <c r="EH3">
        <v>36.172376800000002</v>
      </c>
      <c r="EI3" t="s">
        <v>398</v>
      </c>
      <c r="EJ3">
        <v>0</v>
      </c>
      <c r="EK3">
        <v>1</v>
      </c>
      <c r="EL3" s="29">
        <v>44939</v>
      </c>
      <c r="EM3" s="30">
        <v>6.9999999999999999E-4</v>
      </c>
      <c r="EN3" s="30">
        <v>4.8999999999999998E-3</v>
      </c>
      <c r="EO3" s="30">
        <v>-8.8000000000000005E-3</v>
      </c>
      <c r="EP3" s="30">
        <v>-1.9099999999999999E-2</v>
      </c>
      <c r="EQ3" s="30">
        <v>5.09</v>
      </c>
    </row>
    <row r="4" spans="1:147" ht="129.6" x14ac:dyDescent="0.25">
      <c r="B4" s="28"/>
      <c r="C4" s="28"/>
      <c r="D4" s="28" t="s">
        <v>1384</v>
      </c>
      <c r="E4" t="s">
        <v>1294</v>
      </c>
      <c r="F4" t="s">
        <v>1295</v>
      </c>
      <c r="G4">
        <v>130.16</v>
      </c>
      <c r="H4">
        <v>5.58</v>
      </c>
      <c r="I4" t="s">
        <v>1296</v>
      </c>
      <c r="J4">
        <v>62993691000</v>
      </c>
      <c r="K4">
        <v>48.28</v>
      </c>
      <c r="L4">
        <v>31.97</v>
      </c>
      <c r="M4" t="s">
        <v>424</v>
      </c>
      <c r="N4" t="s">
        <v>1353</v>
      </c>
      <c r="O4" t="s">
        <v>1354</v>
      </c>
      <c r="P4" t="s">
        <v>1355</v>
      </c>
      <c r="Q4">
        <v>8.91</v>
      </c>
      <c r="R4" t="s">
        <v>1356</v>
      </c>
      <c r="S4">
        <v>1182303200</v>
      </c>
      <c r="T4" s="3">
        <v>0.13270000000000001</v>
      </c>
      <c r="U4" t="s">
        <v>1357</v>
      </c>
      <c r="V4">
        <v>483971200</v>
      </c>
      <c r="W4">
        <v>483971200</v>
      </c>
      <c r="X4">
        <v>3.01</v>
      </c>
      <c r="Y4">
        <v>0.97</v>
      </c>
      <c r="Z4">
        <v>19.71</v>
      </c>
      <c r="AA4" t="s">
        <v>1358</v>
      </c>
      <c r="AB4" t="s">
        <v>1359</v>
      </c>
      <c r="AC4" t="s">
        <v>531</v>
      </c>
      <c r="AD4" t="s">
        <v>119</v>
      </c>
      <c r="AE4" t="s">
        <v>1360</v>
      </c>
      <c r="AF4">
        <v>-37943468</v>
      </c>
      <c r="AG4" t="s">
        <v>1361</v>
      </c>
      <c r="AH4" t="s">
        <v>1362</v>
      </c>
      <c r="AI4" t="s">
        <v>1363</v>
      </c>
      <c r="AJ4" t="s">
        <v>1364</v>
      </c>
      <c r="AK4" t="s">
        <v>1365</v>
      </c>
      <c r="AL4" t="s">
        <v>7</v>
      </c>
      <c r="AM4" t="s">
        <v>1366</v>
      </c>
      <c r="AN4" t="s">
        <v>7</v>
      </c>
      <c r="AO4" t="s">
        <v>457</v>
      </c>
      <c r="AP4" t="s">
        <v>7</v>
      </c>
      <c r="AQ4" t="s">
        <v>7</v>
      </c>
      <c r="AR4" t="s">
        <v>1367</v>
      </c>
      <c r="AS4" t="s">
        <v>7</v>
      </c>
      <c r="AT4" t="s">
        <v>1368</v>
      </c>
      <c r="AU4" t="s">
        <v>7</v>
      </c>
      <c r="AV4" t="s">
        <v>1369</v>
      </c>
      <c r="AW4" t="s">
        <v>1370</v>
      </c>
      <c r="AX4" t="s">
        <v>1371</v>
      </c>
      <c r="AY4" t="s">
        <v>1372</v>
      </c>
      <c r="AZ4" t="s">
        <v>1373</v>
      </c>
      <c r="BA4" t="s">
        <v>1374</v>
      </c>
      <c r="BB4" t="s">
        <v>1375</v>
      </c>
      <c r="BC4" t="s">
        <v>1376</v>
      </c>
      <c r="BD4" t="s">
        <v>1377</v>
      </c>
      <c r="BE4" t="s">
        <v>536</v>
      </c>
      <c r="BF4" t="s">
        <v>489</v>
      </c>
      <c r="BG4" t="s">
        <v>127</v>
      </c>
      <c r="BH4" t="s">
        <v>52</v>
      </c>
      <c r="BI4" t="s">
        <v>1378</v>
      </c>
      <c r="BJ4" t="s">
        <v>1379</v>
      </c>
      <c r="BK4" t="s">
        <v>1380</v>
      </c>
      <c r="BL4" t="s">
        <v>472</v>
      </c>
      <c r="BM4" t="s">
        <v>484</v>
      </c>
      <c r="BN4" t="s">
        <v>1381</v>
      </c>
      <c r="BO4">
        <v>88.42</v>
      </c>
      <c r="BP4">
        <v>59.6</v>
      </c>
      <c r="BQ4">
        <v>28.23</v>
      </c>
      <c r="BR4">
        <v>99.69</v>
      </c>
      <c r="BS4">
        <v>45.55</v>
      </c>
      <c r="BT4">
        <v>52.49</v>
      </c>
      <c r="BU4" t="s">
        <v>1382</v>
      </c>
      <c r="BV4" t="s">
        <v>1350</v>
      </c>
      <c r="BW4">
        <v>48.67</v>
      </c>
      <c r="BX4">
        <v>50.61</v>
      </c>
      <c r="BY4">
        <v>41.69</v>
      </c>
      <c r="BZ4">
        <v>18.63</v>
      </c>
      <c r="CA4">
        <v>16.02</v>
      </c>
      <c r="CB4">
        <v>20.34</v>
      </c>
      <c r="CC4">
        <v>3.43</v>
      </c>
      <c r="CD4">
        <v>10.77</v>
      </c>
      <c r="CE4" t="s">
        <v>1383</v>
      </c>
      <c r="CF4" t="s">
        <v>172</v>
      </c>
      <c r="CG4" s="24">
        <v>4.9188735177865615E-2</v>
      </c>
      <c r="CH4" s="25">
        <v>7.6547867298578195E-2</v>
      </c>
      <c r="CI4" s="24">
        <v>0.19895808398723602</v>
      </c>
      <c r="CJ4" s="24">
        <v>7.1484565734863281E-2</v>
      </c>
      <c r="CK4" s="24">
        <v>1.9454859495162964</v>
      </c>
      <c r="CL4" s="24">
        <v>9.1624706983566284E-2</v>
      </c>
      <c r="CM4" s="24">
        <v>-6.2578222714364529E-3</v>
      </c>
      <c r="CN4" s="25">
        <v>8.2637019455432892E-2</v>
      </c>
      <c r="CO4" s="25">
        <v>3.2598212361335754E-2</v>
      </c>
      <c r="CP4" s="25">
        <v>1.5816831588745117</v>
      </c>
      <c r="CQ4" s="25">
        <v>0.22796352207660675</v>
      </c>
      <c r="CR4" s="25">
        <v>0.81767958402633667</v>
      </c>
      <c r="CS4">
        <v>4.801714383718271</v>
      </c>
      <c r="CT4">
        <v>99573834.476843908</v>
      </c>
      <c r="CU4">
        <v>1.5365703749231716</v>
      </c>
      <c r="CV4" s="24">
        <v>0.46025909679010513</v>
      </c>
      <c r="CW4" s="25">
        <v>0.54851229935884471</v>
      </c>
      <c r="CX4">
        <v>0.06</v>
      </c>
      <c r="CY4">
        <v>42.072665017619585</v>
      </c>
      <c r="CZ4">
        <v>1606285006.4691155</v>
      </c>
      <c r="DA4">
        <v>0.46025909679010513</v>
      </c>
      <c r="DB4">
        <v>10.191437358087363</v>
      </c>
      <c r="DC4">
        <v>6631124602.4950237</v>
      </c>
      <c r="DD4">
        <v>0.43724614195059985</v>
      </c>
      <c r="DE4">
        <v>3.2176105972814324</v>
      </c>
      <c r="DF4">
        <v>21003377803.733959</v>
      </c>
      <c r="DG4">
        <v>0.40502800517529253</v>
      </c>
      <c r="DH4">
        <v>1.1030035980930863</v>
      </c>
      <c r="DI4">
        <v>61269692244.736115</v>
      </c>
      <c r="DJ4">
        <v>0.36820727743208415</v>
      </c>
      <c r="DK4">
        <v>0.1399549102254142</v>
      </c>
      <c r="DL4">
        <v>482874740808.68738</v>
      </c>
      <c r="DM4">
        <v>0.32218136775307354</v>
      </c>
      <c r="DN4">
        <v>1166000000</v>
      </c>
      <c r="DO4">
        <v>0.46025909679010513</v>
      </c>
      <c r="DP4">
        <v>67580691000</v>
      </c>
      <c r="DQ4">
        <v>-1424397400</v>
      </c>
      <c r="DR4">
        <v>2845</v>
      </c>
      <c r="DS4">
        <v>-0.41107036161223953</v>
      </c>
      <c r="DT4">
        <v>-0.4719644320602665</v>
      </c>
      <c r="DU4" s="26">
        <v>0.58333333333333337</v>
      </c>
      <c r="DV4">
        <v>0.58333333333333337</v>
      </c>
      <c r="DW4">
        <v>1.1666666666666667</v>
      </c>
      <c r="DX4">
        <v>8.3184772516248842</v>
      </c>
      <c r="DY4">
        <v>0.52559230769230536</v>
      </c>
      <c r="DZ4">
        <v>8.0559221555603173</v>
      </c>
      <c r="EA4">
        <v>1309</v>
      </c>
      <c r="EB4">
        <v>8.0410406549243234</v>
      </c>
      <c r="EC4">
        <v>8</v>
      </c>
      <c r="ED4">
        <v>4.2449426742748327E-2</v>
      </c>
      <c r="EE4">
        <v>0.24174992230942668</v>
      </c>
      <c r="EF4" s="27">
        <v>3.7822000000000001E-2</v>
      </c>
      <c r="EG4">
        <v>1.8000000000000002E-2</v>
      </c>
      <c r="EH4">
        <v>35.175592307692305</v>
      </c>
      <c r="EI4" t="s">
        <v>398</v>
      </c>
      <c r="EJ4">
        <v>0</v>
      </c>
      <c r="EK4">
        <v>1</v>
      </c>
      <c r="EL4" s="29">
        <v>44939</v>
      </c>
      <c r="EM4" s="30">
        <v>7.6E-3</v>
      </c>
      <c r="EN4" s="30">
        <v>5.8999999999999999E-3</v>
      </c>
      <c r="EO4" s="30">
        <v>-5.8999999999999999E-3</v>
      </c>
      <c r="EP4" s="30">
        <v>-2.7799999999999998E-2</v>
      </c>
      <c r="EQ4" s="30">
        <v>5.58</v>
      </c>
    </row>
    <row r="5" spans="1:147" ht="118.8" x14ac:dyDescent="0.25">
      <c r="B5" s="28"/>
      <c r="C5" s="28"/>
      <c r="D5" s="28" t="s">
        <v>1411</v>
      </c>
      <c r="E5" t="s">
        <v>1297</v>
      </c>
      <c r="F5" t="s">
        <v>1298</v>
      </c>
      <c r="G5">
        <v>11.43</v>
      </c>
      <c r="H5">
        <v>5.74</v>
      </c>
      <c r="I5" t="s">
        <v>1299</v>
      </c>
      <c r="J5">
        <v>32215905000</v>
      </c>
      <c r="K5">
        <v>95.55</v>
      </c>
      <c r="L5">
        <v>2.31</v>
      </c>
      <c r="M5" t="s">
        <v>424</v>
      </c>
      <c r="N5" t="s">
        <v>1385</v>
      </c>
      <c r="O5" t="s">
        <v>1386</v>
      </c>
      <c r="P5" t="s">
        <v>1387</v>
      </c>
      <c r="Q5">
        <v>9.01</v>
      </c>
      <c r="R5" t="s">
        <v>1388</v>
      </c>
      <c r="S5">
        <v>672500210</v>
      </c>
      <c r="T5" s="3">
        <v>0.19370000000000001</v>
      </c>
      <c r="U5" t="s">
        <v>376</v>
      </c>
      <c r="V5">
        <v>2509560100</v>
      </c>
      <c r="W5">
        <v>2818539300</v>
      </c>
      <c r="X5">
        <v>1.55</v>
      </c>
      <c r="Y5">
        <v>0.54</v>
      </c>
      <c r="Z5">
        <v>7.21</v>
      </c>
      <c r="AA5" t="s">
        <v>838</v>
      </c>
      <c r="AB5" t="s">
        <v>1389</v>
      </c>
      <c r="AC5" t="s">
        <v>1390</v>
      </c>
      <c r="AD5" t="s">
        <v>1391</v>
      </c>
      <c r="AE5" t="s">
        <v>116</v>
      </c>
      <c r="AF5">
        <v>-122993075</v>
      </c>
      <c r="AG5" t="s">
        <v>1392</v>
      </c>
      <c r="AH5" t="s">
        <v>1393</v>
      </c>
      <c r="AI5" t="s">
        <v>1394</v>
      </c>
      <c r="AJ5" t="s">
        <v>1395</v>
      </c>
      <c r="AK5" t="s">
        <v>1396</v>
      </c>
      <c r="AL5" t="s">
        <v>7</v>
      </c>
      <c r="AM5" t="s">
        <v>1397</v>
      </c>
      <c r="AN5" t="s">
        <v>7</v>
      </c>
      <c r="AO5" t="s">
        <v>129</v>
      </c>
      <c r="AP5" t="s">
        <v>267</v>
      </c>
      <c r="AQ5" t="s">
        <v>7</v>
      </c>
      <c r="AR5" t="s">
        <v>1398</v>
      </c>
      <c r="AS5" t="s">
        <v>7</v>
      </c>
      <c r="AT5" t="s">
        <v>1399</v>
      </c>
      <c r="AU5" t="s">
        <v>7</v>
      </c>
      <c r="AV5" t="s">
        <v>496</v>
      </c>
      <c r="AW5" t="s">
        <v>1400</v>
      </c>
      <c r="AX5" t="s">
        <v>937</v>
      </c>
      <c r="AY5" t="s">
        <v>1401</v>
      </c>
      <c r="AZ5" t="s">
        <v>1402</v>
      </c>
      <c r="BA5" t="s">
        <v>1403</v>
      </c>
      <c r="BB5" t="s">
        <v>1404</v>
      </c>
      <c r="BC5" t="s">
        <v>1405</v>
      </c>
      <c r="BD5" t="s">
        <v>51</v>
      </c>
      <c r="BE5" t="s">
        <v>1406</v>
      </c>
      <c r="BF5" t="s">
        <v>92</v>
      </c>
      <c r="BG5" t="s">
        <v>143</v>
      </c>
      <c r="BH5" t="s">
        <v>385</v>
      </c>
      <c r="BI5" t="s">
        <v>1407</v>
      </c>
      <c r="BJ5" t="s">
        <v>1408</v>
      </c>
      <c r="BK5" t="s">
        <v>1409</v>
      </c>
      <c r="BL5" t="s">
        <v>557</v>
      </c>
      <c r="BM5" t="s">
        <v>176</v>
      </c>
      <c r="BN5" t="s">
        <v>100</v>
      </c>
      <c r="BO5">
        <v>1.97</v>
      </c>
      <c r="BP5">
        <v>2.31</v>
      </c>
      <c r="BQ5">
        <v>2.41</v>
      </c>
      <c r="BR5">
        <v>1.71</v>
      </c>
      <c r="BS5">
        <v>1.49</v>
      </c>
      <c r="BT5">
        <v>1.76</v>
      </c>
      <c r="BU5" t="s">
        <v>1410</v>
      </c>
      <c r="BV5" t="s">
        <v>1350</v>
      </c>
      <c r="BW5">
        <v>39.9</v>
      </c>
      <c r="BX5">
        <v>39.19</v>
      </c>
      <c r="BY5">
        <v>39.06</v>
      </c>
      <c r="BZ5">
        <v>5.98</v>
      </c>
      <c r="CA5">
        <v>2.61</v>
      </c>
      <c r="CB5">
        <v>2.2999999999999998</v>
      </c>
      <c r="CC5">
        <v>8.44</v>
      </c>
      <c r="CD5">
        <v>14.19</v>
      </c>
      <c r="CE5" t="s">
        <v>69</v>
      </c>
      <c r="CF5" t="s">
        <v>508</v>
      </c>
      <c r="CG5" s="24">
        <v>8.4783534037847136E-2</v>
      </c>
      <c r="CH5" s="25">
        <v>0.16909167272727274</v>
      </c>
      <c r="CI5" s="24">
        <v>9.452781081199646E-2</v>
      </c>
      <c r="CJ5" s="24">
        <v>-4.7087568789720535E-2</v>
      </c>
      <c r="CK5" s="24">
        <v>1.0930910706520081E-2</v>
      </c>
      <c r="CL5" s="24">
        <v>1.3218984007835388E-2</v>
      </c>
      <c r="CM5" s="24">
        <v>-3.2575815916061401E-2</v>
      </c>
      <c r="CN5" s="25">
        <v>0.15736040472984314</v>
      </c>
      <c r="CO5" s="25">
        <v>-0.14347825944423676</v>
      </c>
      <c r="CP5" s="25">
        <v>0.27777779102325439</v>
      </c>
      <c r="CQ5" s="25">
        <v>0.11801242083311081</v>
      </c>
      <c r="CR5" s="25">
        <v>-0.48397436738014221</v>
      </c>
      <c r="CS5">
        <v>2.6934123401053425</v>
      </c>
      <c r="CT5">
        <v>275999548.24561405</v>
      </c>
      <c r="CU5">
        <v>0.34995625546806652</v>
      </c>
      <c r="CV5" s="24">
        <v>7.8028641641139981E-3</v>
      </c>
      <c r="CW5" s="25">
        <v>-1.4860402047634124E-2</v>
      </c>
      <c r="CX5">
        <v>0.06</v>
      </c>
      <c r="CY5">
        <v>118.52463895615956</v>
      </c>
      <c r="CZ5">
        <v>216772691.53718671</v>
      </c>
      <c r="DA5">
        <v>7.8028641641139981E-3</v>
      </c>
      <c r="DB5">
        <v>41.550786060866393</v>
      </c>
      <c r="DC5">
        <v>618349432.96531868</v>
      </c>
      <c r="DD5">
        <v>7.4127209559082981E-3</v>
      </c>
      <c r="DE5">
        <v>22.39867849269999</v>
      </c>
      <c r="DF5">
        <v>1147072360.0222058</v>
      </c>
      <c r="DG5">
        <v>6.8665204644203183E-3</v>
      </c>
      <c r="DH5">
        <v>14.83729823267889</v>
      </c>
      <c r="DI5">
        <v>1731643092.7708809</v>
      </c>
      <c r="DJ5">
        <v>6.242291331291199E-3</v>
      </c>
      <c r="DK5">
        <v>9.3704369425234209</v>
      </c>
      <c r="DL5">
        <v>2741911093.1107769</v>
      </c>
      <c r="DM5">
        <v>5.4620049148797981E-3</v>
      </c>
      <c r="DN5">
        <v>227999999.99999997</v>
      </c>
      <c r="DO5">
        <v>7.8028641641139981E-3</v>
      </c>
      <c r="DP5">
        <v>25692905000</v>
      </c>
      <c r="DQ5">
        <v>4650710399.999999</v>
      </c>
      <c r="DR5">
        <v>264</v>
      </c>
      <c r="DS5">
        <v>7.6980669873733143E-2</v>
      </c>
      <c r="DT5">
        <v>0.18395207477490685</v>
      </c>
      <c r="DU5" s="26">
        <v>0.6</v>
      </c>
      <c r="DV5">
        <v>0.79999999999999993</v>
      </c>
      <c r="DW5">
        <v>1.4</v>
      </c>
      <c r="DX5">
        <v>9.5947850599013389</v>
      </c>
      <c r="DY5">
        <v>0.63981072555205198</v>
      </c>
      <c r="DZ5">
        <v>9.1069487331683803</v>
      </c>
      <c r="EA5">
        <v>922</v>
      </c>
      <c r="EB5">
        <v>9.0869026400638369</v>
      </c>
      <c r="EC5">
        <v>9</v>
      </c>
      <c r="ED5">
        <v>4.0446482332178228E-2</v>
      </c>
      <c r="EE5">
        <v>0.22493920875965789</v>
      </c>
      <c r="EF5" s="27">
        <v>4.4755999999999997E-2</v>
      </c>
      <c r="EG5">
        <v>0.1022</v>
      </c>
      <c r="EH5">
        <v>46.179810725552052</v>
      </c>
      <c r="EI5" t="s">
        <v>398</v>
      </c>
      <c r="EJ5">
        <v>1</v>
      </c>
      <c r="EK5">
        <v>1</v>
      </c>
      <c r="EL5" s="29">
        <v>44939</v>
      </c>
      <c r="EM5" s="30">
        <v>1.14E-2</v>
      </c>
      <c r="EN5" s="30">
        <v>1.5900000000000001E-2</v>
      </c>
      <c r="EO5" s="30">
        <v>2.3099999999999999E-2</v>
      </c>
      <c r="EP5" s="30">
        <v>-2.4400000000000002E-2</v>
      </c>
      <c r="EQ5" s="30">
        <v>5.74</v>
      </c>
    </row>
    <row r="6" spans="1:147" ht="151.19999999999999" x14ac:dyDescent="0.25">
      <c r="B6" s="28"/>
      <c r="C6" s="28"/>
      <c r="D6" s="28" t="s">
        <v>1442</v>
      </c>
      <c r="E6" t="s">
        <v>1300</v>
      </c>
      <c r="F6" t="s">
        <v>1301</v>
      </c>
      <c r="G6">
        <v>8.1</v>
      </c>
      <c r="H6">
        <v>3.32</v>
      </c>
      <c r="I6" t="s">
        <v>1302</v>
      </c>
      <c r="J6">
        <v>17927961000</v>
      </c>
      <c r="K6">
        <v>30.54</v>
      </c>
      <c r="L6">
        <v>1.87</v>
      </c>
      <c r="M6" t="s">
        <v>424</v>
      </c>
      <c r="N6" t="s">
        <v>1412</v>
      </c>
      <c r="O6" t="s">
        <v>1413</v>
      </c>
      <c r="P6" t="s">
        <v>1414</v>
      </c>
      <c r="Q6">
        <v>10.56</v>
      </c>
      <c r="R6" t="s">
        <v>1415</v>
      </c>
      <c r="S6">
        <v>570525670</v>
      </c>
      <c r="T6" s="3">
        <v>-4.0500000000000001E-2</v>
      </c>
      <c r="U6" t="s">
        <v>71</v>
      </c>
      <c r="V6">
        <v>2213328500</v>
      </c>
      <c r="W6">
        <v>2213328500</v>
      </c>
      <c r="X6">
        <v>1.47</v>
      </c>
      <c r="Y6">
        <v>0.3</v>
      </c>
      <c r="Z6">
        <v>14.12</v>
      </c>
      <c r="AA6" t="s">
        <v>1416</v>
      </c>
      <c r="AB6" t="s">
        <v>437</v>
      </c>
      <c r="AC6" t="s">
        <v>247</v>
      </c>
      <c r="AD6" t="s">
        <v>166</v>
      </c>
      <c r="AE6" t="s">
        <v>1417</v>
      </c>
      <c r="AF6">
        <v>-165538260</v>
      </c>
      <c r="AG6" t="s">
        <v>1418</v>
      </c>
      <c r="AH6" t="s">
        <v>1419</v>
      </c>
      <c r="AI6" t="s">
        <v>1420</v>
      </c>
      <c r="AJ6" t="s">
        <v>1421</v>
      </c>
      <c r="AK6" t="s">
        <v>1422</v>
      </c>
      <c r="AL6" t="s">
        <v>7</v>
      </c>
      <c r="AM6" t="s">
        <v>1423</v>
      </c>
      <c r="AN6" t="s">
        <v>7</v>
      </c>
      <c r="AO6" t="s">
        <v>1424</v>
      </c>
      <c r="AP6" t="s">
        <v>389</v>
      </c>
      <c r="AQ6" t="s">
        <v>46</v>
      </c>
      <c r="AR6" t="s">
        <v>1425</v>
      </c>
      <c r="AS6" t="s">
        <v>7</v>
      </c>
      <c r="AT6" t="s">
        <v>1426</v>
      </c>
      <c r="AU6" t="s">
        <v>467</v>
      </c>
      <c r="AV6" t="s">
        <v>1427</v>
      </c>
      <c r="AW6" t="s">
        <v>1428</v>
      </c>
      <c r="AX6" t="s">
        <v>1429</v>
      </c>
      <c r="AY6" t="s">
        <v>1430</v>
      </c>
      <c r="AZ6" t="s">
        <v>1431</v>
      </c>
      <c r="BA6" t="s">
        <v>1432</v>
      </c>
      <c r="BB6" t="s">
        <v>1433</v>
      </c>
      <c r="BC6" t="s">
        <v>1434</v>
      </c>
      <c r="BD6" t="s">
        <v>1435</v>
      </c>
      <c r="BE6" t="s">
        <v>1436</v>
      </c>
      <c r="BF6" t="s">
        <v>105</v>
      </c>
      <c r="BG6" t="s">
        <v>169</v>
      </c>
      <c r="BH6" t="s">
        <v>69</v>
      </c>
      <c r="BI6" t="s">
        <v>1437</v>
      </c>
      <c r="BJ6" t="s">
        <v>1438</v>
      </c>
      <c r="BK6" t="s">
        <v>1439</v>
      </c>
      <c r="BL6" t="s">
        <v>432</v>
      </c>
      <c r="BM6" t="s">
        <v>479</v>
      </c>
      <c r="BN6" t="s">
        <v>468</v>
      </c>
      <c r="BO6">
        <v>3.66</v>
      </c>
      <c r="BP6">
        <v>3.77</v>
      </c>
      <c r="BQ6">
        <v>3.02</v>
      </c>
      <c r="BR6">
        <v>6.75</v>
      </c>
      <c r="BS6">
        <v>6.53</v>
      </c>
      <c r="BT6">
        <v>5.97</v>
      </c>
      <c r="BU6" t="s">
        <v>1440</v>
      </c>
      <c r="BV6" t="s">
        <v>1350</v>
      </c>
      <c r="BW6">
        <v>43.16</v>
      </c>
      <c r="BX6">
        <v>50.19</v>
      </c>
      <c r="BY6">
        <v>46.84</v>
      </c>
      <c r="BZ6">
        <v>13.28</v>
      </c>
      <c r="CA6">
        <v>13.78</v>
      </c>
      <c r="CB6">
        <v>12.06</v>
      </c>
      <c r="CC6">
        <v>3.45</v>
      </c>
      <c r="CD6">
        <v>6.44</v>
      </c>
      <c r="CE6" t="s">
        <v>1441</v>
      </c>
      <c r="CF6" t="s">
        <v>174</v>
      </c>
      <c r="CG6" s="24">
        <v>0.11925193333333334</v>
      </c>
      <c r="CH6" s="25">
        <v>-9.6740598591549293E-2</v>
      </c>
      <c r="CI6" s="24">
        <v>6.8015992641448975E-2</v>
      </c>
      <c r="CJ6" s="24">
        <v>1.1781187495216727E-3</v>
      </c>
      <c r="CK6" s="24">
        <v>5.0755120813846588E-2</v>
      </c>
      <c r="CL6" s="24">
        <v>7.3060594499111176E-2</v>
      </c>
      <c r="CM6" s="24">
        <v>6.2376499176025391E-2</v>
      </c>
      <c r="CN6" s="25">
        <v>7.3813706636428833E-2</v>
      </c>
      <c r="CO6" s="25">
        <v>0.14486920833587646</v>
      </c>
      <c r="CP6" s="25">
        <v>0.35792350769042969</v>
      </c>
      <c r="CQ6" s="25">
        <v>0.97837835550308228</v>
      </c>
      <c r="CR6" s="25">
        <v>0.62280702590942383</v>
      </c>
      <c r="CS6">
        <v>3.950630453944469</v>
      </c>
      <c r="CT6">
        <v>86079121.112929627</v>
      </c>
      <c r="CU6">
        <v>1.4814814814814814</v>
      </c>
      <c r="CV6" s="24">
        <v>5.107726517599076E-2</v>
      </c>
      <c r="CW6" s="25">
        <v>0.43555836081504823</v>
      </c>
      <c r="CX6">
        <v>0.06</v>
      </c>
      <c r="CY6">
        <v>21.176556868837668</v>
      </c>
      <c r="CZ6">
        <v>605856800.96465123</v>
      </c>
      <c r="DA6">
        <v>5.107726517599076E-2</v>
      </c>
      <c r="DB6">
        <v>7.1532135535844565</v>
      </c>
      <c r="DC6">
        <v>1793594012.5219581</v>
      </c>
      <c r="DD6">
        <v>4.852340191719122E-2</v>
      </c>
      <c r="DE6">
        <v>3.6782606379699221</v>
      </c>
      <c r="DF6">
        <v>3488051082.5032277</v>
      </c>
      <c r="DG6">
        <v>4.4947993354871867E-2</v>
      </c>
      <c r="DH6">
        <v>2.3179813447968343</v>
      </c>
      <c r="DI6">
        <v>5534971637.6274443</v>
      </c>
      <c r="DJ6">
        <v>4.0861812140792611E-2</v>
      </c>
      <c r="DK6">
        <v>1.3268197097258039</v>
      </c>
      <c r="DL6">
        <v>9669709385.4984989</v>
      </c>
      <c r="DM6">
        <v>3.5754085623193529E-2</v>
      </c>
      <c r="DN6">
        <v>611000000</v>
      </c>
      <c r="DO6">
        <v>5.107726517599076E-2</v>
      </c>
      <c r="DP6">
        <v>12829961000</v>
      </c>
      <c r="DQ6">
        <v>6169922800</v>
      </c>
      <c r="DR6">
        <v>961</v>
      </c>
      <c r="DS6">
        <v>6.8174668157342577E-2</v>
      </c>
      <c r="DT6">
        <v>-0.53229895940659755</v>
      </c>
      <c r="DU6" s="26">
        <v>0.6</v>
      </c>
      <c r="DV6">
        <v>0.56666666666666654</v>
      </c>
      <c r="DW6">
        <v>1.1666666666666665</v>
      </c>
      <c r="DX6">
        <v>8.5357142857142865</v>
      </c>
      <c r="DY6">
        <v>0.5297888888888892</v>
      </c>
      <c r="DZ6">
        <v>8.0695297619047626</v>
      </c>
      <c r="EA6">
        <v>1316</v>
      </c>
      <c r="EB6">
        <v>8.0509281829930597</v>
      </c>
      <c r="EC6">
        <v>8</v>
      </c>
      <c r="ED6">
        <v>1.6360472473923325E-2</v>
      </c>
      <c r="EE6">
        <v>0.12605449213706868</v>
      </c>
      <c r="EF6" s="27">
        <v>4.2112000000000004E-2</v>
      </c>
      <c r="EG6">
        <v>8.9099999999999978E-3</v>
      </c>
      <c r="EH6">
        <v>40.129788888888889</v>
      </c>
      <c r="EI6">
        <v>-1</v>
      </c>
      <c r="EJ6">
        <v>0</v>
      </c>
      <c r="EK6">
        <v>1</v>
      </c>
      <c r="EL6" s="29">
        <v>44939</v>
      </c>
      <c r="EM6" s="30">
        <v>1.5299999999999999E-2</v>
      </c>
      <c r="EN6" s="30">
        <v>2.5000000000000001E-3</v>
      </c>
      <c r="EO6" s="30">
        <v>-7.4999999999999997E-3</v>
      </c>
      <c r="EP6" s="30">
        <v>-8.8000000000000005E-3</v>
      </c>
      <c r="EQ6" s="30">
        <v>3.32</v>
      </c>
    </row>
    <row r="7" spans="1:147" ht="97.2" x14ac:dyDescent="0.25">
      <c r="B7" s="28"/>
      <c r="C7" s="28"/>
      <c r="D7" s="28" t="s">
        <v>1474</v>
      </c>
      <c r="E7" t="s">
        <v>1303</v>
      </c>
      <c r="F7" t="s">
        <v>1304</v>
      </c>
      <c r="G7">
        <v>10.48</v>
      </c>
      <c r="H7">
        <v>3.76</v>
      </c>
      <c r="I7" t="s">
        <v>1305</v>
      </c>
      <c r="J7">
        <v>2620000000</v>
      </c>
      <c r="K7">
        <v>66.36</v>
      </c>
      <c r="L7">
        <v>2.15</v>
      </c>
      <c r="M7" t="s">
        <v>424</v>
      </c>
      <c r="N7" t="s">
        <v>33</v>
      </c>
      <c r="O7" t="s">
        <v>440</v>
      </c>
      <c r="P7" t="s">
        <v>1443</v>
      </c>
      <c r="Q7">
        <v>5.19</v>
      </c>
      <c r="R7" t="s">
        <v>1444</v>
      </c>
      <c r="S7">
        <v>49026764</v>
      </c>
      <c r="T7" s="3">
        <v>0.20830000000000001</v>
      </c>
      <c r="U7" t="s">
        <v>1445</v>
      </c>
      <c r="V7">
        <v>250000000</v>
      </c>
      <c r="W7">
        <v>250000000</v>
      </c>
      <c r="X7">
        <v>1.18</v>
      </c>
      <c r="Y7">
        <v>0.4</v>
      </c>
      <c r="Z7">
        <v>8.99</v>
      </c>
      <c r="AA7" t="s">
        <v>1108</v>
      </c>
      <c r="AB7" t="s">
        <v>258</v>
      </c>
      <c r="AC7" t="s">
        <v>1446</v>
      </c>
      <c r="AD7" t="s">
        <v>1447</v>
      </c>
      <c r="AE7" t="s">
        <v>1448</v>
      </c>
      <c r="AF7">
        <v>-20328049</v>
      </c>
      <c r="AG7" t="s">
        <v>1392</v>
      </c>
      <c r="AH7">
        <v>946.29</v>
      </c>
      <c r="AI7" t="s">
        <v>1449</v>
      </c>
      <c r="AJ7" t="s">
        <v>540</v>
      </c>
      <c r="AK7" t="s">
        <v>29</v>
      </c>
      <c r="AL7" t="s">
        <v>7</v>
      </c>
      <c r="AM7" t="s">
        <v>1450</v>
      </c>
      <c r="AN7" t="s">
        <v>7</v>
      </c>
      <c r="AO7">
        <v>0</v>
      </c>
      <c r="AP7" t="s">
        <v>7</v>
      </c>
      <c r="AQ7" t="s">
        <v>7</v>
      </c>
      <c r="AR7" t="s">
        <v>1451</v>
      </c>
      <c r="AS7" t="s">
        <v>7</v>
      </c>
      <c r="AT7" t="s">
        <v>124</v>
      </c>
      <c r="AU7" t="s">
        <v>7</v>
      </c>
      <c r="AV7" t="s">
        <v>62</v>
      </c>
      <c r="AW7" t="s">
        <v>1452</v>
      </c>
      <c r="AX7" t="s">
        <v>1453</v>
      </c>
      <c r="AY7" t="s">
        <v>1454</v>
      </c>
      <c r="AZ7" t="s">
        <v>176</v>
      </c>
      <c r="BA7" t="s">
        <v>1455</v>
      </c>
      <c r="BB7" t="s">
        <v>1435</v>
      </c>
      <c r="BC7" t="s">
        <v>1456</v>
      </c>
      <c r="BD7" t="s">
        <v>1457</v>
      </c>
      <c r="BE7" t="s">
        <v>1458</v>
      </c>
      <c r="BF7" t="s">
        <v>1459</v>
      </c>
      <c r="BG7" t="s">
        <v>1460</v>
      </c>
      <c r="BH7" t="s">
        <v>1461</v>
      </c>
      <c r="BI7" t="s">
        <v>432</v>
      </c>
      <c r="BJ7" t="s">
        <v>189</v>
      </c>
      <c r="BK7" t="s">
        <v>1462</v>
      </c>
      <c r="BL7" t="s">
        <v>1463</v>
      </c>
      <c r="BM7" t="s">
        <v>1464</v>
      </c>
      <c r="BN7" t="s">
        <v>1465</v>
      </c>
      <c r="BO7">
        <v>0.91</v>
      </c>
      <c r="BP7">
        <v>1.59</v>
      </c>
      <c r="BQ7">
        <v>1.5</v>
      </c>
      <c r="BR7">
        <v>2.65</v>
      </c>
      <c r="BS7">
        <v>2.4900000000000002</v>
      </c>
      <c r="BT7">
        <v>1.77</v>
      </c>
      <c r="BU7" t="s">
        <v>1466</v>
      </c>
      <c r="BV7" t="s">
        <v>1350</v>
      </c>
      <c r="BW7">
        <v>30.05</v>
      </c>
      <c r="BX7">
        <v>25.37</v>
      </c>
      <c r="BY7">
        <v>26.87</v>
      </c>
      <c r="BZ7">
        <v>5.04</v>
      </c>
      <c r="CA7">
        <v>4.72</v>
      </c>
      <c r="CB7">
        <v>3.47</v>
      </c>
      <c r="CC7">
        <v>0.57999999999999996</v>
      </c>
      <c r="CD7">
        <v>2.34</v>
      </c>
      <c r="CE7" t="s">
        <v>1467</v>
      </c>
      <c r="CF7" t="s">
        <v>1468</v>
      </c>
      <c r="CG7" s="24">
        <v>0.14568570731707317</v>
      </c>
      <c r="CH7" s="25">
        <v>0.13694438978586496</v>
      </c>
      <c r="CI7" s="24">
        <v>-5.2117262035608292E-2</v>
      </c>
      <c r="CJ7" s="24">
        <v>9.0586148202419281E-2</v>
      </c>
      <c r="CK7" s="24">
        <v>1.9927537068724632E-2</v>
      </c>
      <c r="CL7" s="24">
        <v>-2.9876977205276489E-2</v>
      </c>
      <c r="CM7" s="24">
        <v>-7.9288028180599213E-2</v>
      </c>
      <c r="CN7" s="25">
        <v>8.2348592579364777E-2</v>
      </c>
      <c r="CO7" s="25">
        <v>0.4466320276260376</v>
      </c>
      <c r="CP7" s="25">
        <v>7.1453668177127838E-2</v>
      </c>
      <c r="CQ7" s="25">
        <v>-0.23507031798362732</v>
      </c>
      <c r="CR7" s="25">
        <v>13.398154258728027</v>
      </c>
      <c r="CS7">
        <v>4.5017182130584192</v>
      </c>
      <c r="CT7">
        <v>153543320.07811341</v>
      </c>
      <c r="CU7">
        <v>0.36259541984732824</v>
      </c>
      <c r="CV7" s="24">
        <v>-1.0153716430068016E-2</v>
      </c>
      <c r="CW7" s="25">
        <v>2.752703645825386</v>
      </c>
      <c r="CX7">
        <v>0.06</v>
      </c>
      <c r="CY7">
        <v>51.85003770325924</v>
      </c>
      <c r="CZ7" t="s">
        <v>1469</v>
      </c>
      <c r="DA7">
        <v>-1.0153716430068016E-2</v>
      </c>
      <c r="DB7">
        <v>17.283345901086413</v>
      </c>
      <c r="DC7" t="s">
        <v>1470</v>
      </c>
      <c r="DD7">
        <v>-9.6460306085646152E-3</v>
      </c>
      <c r="DE7">
        <v>8.6416729505432066</v>
      </c>
      <c r="DF7" t="s">
        <v>1471</v>
      </c>
      <c r="DG7">
        <v>-8.9352704584598538E-3</v>
      </c>
      <c r="DH7">
        <v>5.185003770325924</v>
      </c>
      <c r="DI7" t="s">
        <v>1472</v>
      </c>
      <c r="DJ7">
        <v>-8.1229731440544128E-3</v>
      </c>
      <c r="DK7">
        <v>2.592501885162962</v>
      </c>
      <c r="DL7" t="s">
        <v>1473</v>
      </c>
      <c r="DM7">
        <v>-7.1076015010476104E-3</v>
      </c>
      <c r="DN7">
        <v>31031800</v>
      </c>
      <c r="DO7">
        <v>-1.0153716430068016E-2</v>
      </c>
      <c r="DP7">
        <v>1609000000</v>
      </c>
      <c r="DQ7">
        <v>866678530</v>
      </c>
      <c r="DR7">
        <v>3189</v>
      </c>
      <c r="DS7">
        <v>0.15583942374714119</v>
      </c>
      <c r="DT7">
        <v>-2.6157592560395209</v>
      </c>
      <c r="DU7" s="26">
        <v>0.6</v>
      </c>
      <c r="DV7">
        <v>0.75666666666666671</v>
      </c>
      <c r="DW7">
        <v>1.3566666666666667</v>
      </c>
      <c r="DX7">
        <v>2.3399999999999997E-2</v>
      </c>
      <c r="DY7">
        <v>0.51329598214285765</v>
      </c>
      <c r="DZ7">
        <v>3.5871259821428567E-3</v>
      </c>
      <c r="EA7">
        <v>987</v>
      </c>
      <c r="EB7">
        <v>2.8673672213428976E-3</v>
      </c>
      <c r="EC7">
        <v>0</v>
      </c>
      <c r="ED7">
        <v>0.13735320000000001</v>
      </c>
      <c r="EE7">
        <v>0.89600000000000013</v>
      </c>
      <c r="EF7" s="27">
        <v>5.7749000000000002E-2</v>
      </c>
      <c r="EG7">
        <v>9.5399999999999985E-2</v>
      </c>
      <c r="EH7">
        <v>36.153295982142858</v>
      </c>
      <c r="EI7" t="s">
        <v>398</v>
      </c>
      <c r="EJ7">
        <v>0</v>
      </c>
      <c r="EK7">
        <v>1</v>
      </c>
      <c r="EL7" s="29">
        <v>44939</v>
      </c>
      <c r="EM7" s="30">
        <v>1.34E-2</v>
      </c>
      <c r="EN7" s="30">
        <v>-1.23E-2</v>
      </c>
      <c r="EO7" s="30">
        <v>-6.7000000000000002E-3</v>
      </c>
      <c r="EP7" s="30">
        <v>-2.5100000000000001E-2</v>
      </c>
      <c r="EQ7" s="30">
        <v>3.76</v>
      </c>
    </row>
    <row r="8" spans="1:147" ht="118.8" x14ac:dyDescent="0.25">
      <c r="B8" s="28"/>
      <c r="C8" s="28"/>
      <c r="D8" s="28" t="s">
        <v>1509</v>
      </c>
      <c r="E8" t="s">
        <v>1306</v>
      </c>
      <c r="F8" t="s">
        <v>1307</v>
      </c>
      <c r="G8">
        <v>11.41</v>
      </c>
      <c r="H8">
        <v>3.73</v>
      </c>
      <c r="I8" t="s">
        <v>1308</v>
      </c>
      <c r="J8">
        <v>2119590100</v>
      </c>
      <c r="L8">
        <v>3.26</v>
      </c>
      <c r="M8" t="s">
        <v>424</v>
      </c>
      <c r="N8" t="s">
        <v>154</v>
      </c>
      <c r="O8" t="s">
        <v>1475</v>
      </c>
      <c r="P8" t="s">
        <v>1476</v>
      </c>
      <c r="Q8">
        <v>-17.920000000000002</v>
      </c>
      <c r="R8" t="s">
        <v>135</v>
      </c>
      <c r="S8">
        <v>-19302347</v>
      </c>
      <c r="T8" s="4">
        <v>-1.488</v>
      </c>
      <c r="U8" t="s">
        <v>1477</v>
      </c>
      <c r="V8">
        <v>185754220</v>
      </c>
      <c r="W8">
        <v>185766000</v>
      </c>
      <c r="X8">
        <v>1.22</v>
      </c>
      <c r="Y8">
        <v>0.17</v>
      </c>
      <c r="Z8">
        <v>-8.4</v>
      </c>
      <c r="AA8" t="s">
        <v>147</v>
      </c>
      <c r="AB8" t="s">
        <v>307</v>
      </c>
      <c r="AC8" t="s">
        <v>1478</v>
      </c>
      <c r="AD8" t="s">
        <v>1479</v>
      </c>
      <c r="AE8" t="s">
        <v>1480</v>
      </c>
      <c r="AF8">
        <v>-23881782</v>
      </c>
      <c r="AG8" t="s">
        <v>1481</v>
      </c>
      <c r="AH8" t="s">
        <v>1482</v>
      </c>
      <c r="AI8" t="s">
        <v>1483</v>
      </c>
      <c r="AJ8" t="s">
        <v>486</v>
      </c>
      <c r="AK8" t="s">
        <v>1484</v>
      </c>
      <c r="AL8" t="s">
        <v>1485</v>
      </c>
      <c r="AM8" t="s">
        <v>1486</v>
      </c>
      <c r="AN8" t="s">
        <v>7</v>
      </c>
      <c r="AO8" t="s">
        <v>1487</v>
      </c>
      <c r="AP8" t="s">
        <v>1488</v>
      </c>
      <c r="AQ8" t="s">
        <v>7</v>
      </c>
      <c r="AR8" t="s">
        <v>1489</v>
      </c>
      <c r="AS8" t="s">
        <v>7</v>
      </c>
      <c r="AT8" t="s">
        <v>376</v>
      </c>
      <c r="AU8" t="s">
        <v>7</v>
      </c>
      <c r="AV8" t="s">
        <v>1490</v>
      </c>
      <c r="AW8" t="s">
        <v>1491</v>
      </c>
      <c r="AX8" t="s">
        <v>1492</v>
      </c>
      <c r="AY8" t="s">
        <v>249</v>
      </c>
      <c r="AZ8" t="s">
        <v>1493</v>
      </c>
      <c r="BA8" t="s">
        <v>1494</v>
      </c>
      <c r="BB8" t="s">
        <v>1495</v>
      </c>
      <c r="BC8" t="s">
        <v>495</v>
      </c>
      <c r="BD8" t="s">
        <v>1496</v>
      </c>
      <c r="BE8" t="s">
        <v>1497</v>
      </c>
      <c r="BF8" t="s">
        <v>1498</v>
      </c>
      <c r="BG8" t="s">
        <v>1499</v>
      </c>
      <c r="BH8" t="s">
        <v>1500</v>
      </c>
      <c r="BI8" t="s">
        <v>494</v>
      </c>
      <c r="BJ8" t="s">
        <v>492</v>
      </c>
      <c r="BK8" t="s">
        <v>68</v>
      </c>
      <c r="BL8" t="s">
        <v>1501</v>
      </c>
      <c r="BM8" t="s">
        <v>1502</v>
      </c>
      <c r="BN8" t="s">
        <v>1503</v>
      </c>
      <c r="BO8">
        <v>0.71</v>
      </c>
      <c r="BP8">
        <v>-5.0599999999999996</v>
      </c>
      <c r="BQ8">
        <v>-0.6</v>
      </c>
      <c r="BR8">
        <v>2.89</v>
      </c>
      <c r="BS8">
        <v>-4.49</v>
      </c>
      <c r="BT8">
        <v>2.3199999999999998</v>
      </c>
      <c r="BU8" t="s">
        <v>1125</v>
      </c>
      <c r="BV8" t="s">
        <v>1350</v>
      </c>
      <c r="BW8">
        <v>21.85</v>
      </c>
      <c r="BX8">
        <v>16.29</v>
      </c>
      <c r="BY8">
        <v>25.9</v>
      </c>
      <c r="BZ8">
        <v>15.97</v>
      </c>
      <c r="CA8">
        <v>-16.86</v>
      </c>
      <c r="CB8">
        <v>0.56000000000000005</v>
      </c>
      <c r="CC8">
        <v>-10.58</v>
      </c>
      <c r="CD8">
        <v>23.09</v>
      </c>
      <c r="CE8" t="s">
        <v>113</v>
      </c>
      <c r="CF8" t="s">
        <v>1504</v>
      </c>
      <c r="CG8" s="24">
        <v>-7.2936625000000005E-2</v>
      </c>
      <c r="CH8" s="25">
        <v>-2.0997960726453728</v>
      </c>
      <c r="CI8" s="24">
        <v>6.5146577544510365E-3</v>
      </c>
      <c r="CJ8" s="24">
        <v>-0.32527473568916321</v>
      </c>
      <c r="CK8" s="24">
        <v>-0.10609037429094315</v>
      </c>
      <c r="CL8" s="24">
        <v>-0.14597316086292267</v>
      </c>
      <c r="CM8" s="24">
        <v>-0.11964549124240875</v>
      </c>
      <c r="CN8" s="25">
        <v>1.6395667791366577</v>
      </c>
      <c r="CO8" s="25">
        <v>-2.9117915630340576</v>
      </c>
      <c r="CP8" s="25">
        <v>1.2314169406890869</v>
      </c>
      <c r="CQ8" s="25">
        <v>-5.1605319976806641</v>
      </c>
      <c r="CR8" s="25">
        <v>1.6470175981521606</v>
      </c>
      <c r="CS8">
        <v>6.8595148867313913</v>
      </c>
      <c r="CT8">
        <v>-15763214.205368867</v>
      </c>
      <c r="CU8">
        <v>0</v>
      </c>
      <c r="CV8" s="24">
        <v>-0.13809382086619734</v>
      </c>
      <c r="CW8" s="25">
        <v>-0.7108644485473633</v>
      </c>
      <c r="CX8">
        <v>0.06</v>
      </c>
      <c r="CY8" t="e">
        <v>#VALUE!</v>
      </c>
      <c r="CZ8" t="s">
        <v>414</v>
      </c>
      <c r="DA8">
        <v>-0.13809382086619734</v>
      </c>
      <c r="DB8">
        <v>22.751158406534859</v>
      </c>
      <c r="DC8" t="s">
        <v>1505</v>
      </c>
      <c r="DD8">
        <v>-0.13118912982288747</v>
      </c>
      <c r="DE8">
        <v>11.37557920326743</v>
      </c>
      <c r="DF8" t="s">
        <v>1506</v>
      </c>
      <c r="DG8">
        <v>-0.12152256236225366</v>
      </c>
      <c r="DH8">
        <v>6.8253475219604578</v>
      </c>
      <c r="DI8" t="s">
        <v>1507</v>
      </c>
      <c r="DJ8">
        <v>-0.11047505669295787</v>
      </c>
      <c r="DK8">
        <v>3.4126737609802289</v>
      </c>
      <c r="DL8" t="s">
        <v>1508</v>
      </c>
      <c r="DM8">
        <v>-9.6665674606338139E-2</v>
      </c>
      <c r="DN8">
        <v>19113900</v>
      </c>
      <c r="DO8">
        <v>-0.13809382086619734</v>
      </c>
      <c r="DP8">
        <v>1304590100</v>
      </c>
      <c r="DQ8">
        <v>768819320</v>
      </c>
      <c r="DR8">
        <v>393</v>
      </c>
      <c r="DS8">
        <v>6.5157195866197337E-2</v>
      </c>
      <c r="DT8">
        <v>-1.3889316240980096</v>
      </c>
      <c r="DU8" s="26">
        <v>-0.15</v>
      </c>
      <c r="DV8">
        <v>-1.4650000000000001</v>
      </c>
      <c r="DW8">
        <v>-1.615</v>
      </c>
      <c r="DX8">
        <v>-7.314226314226314</v>
      </c>
      <c r="DY8">
        <v>0.37452755905511848</v>
      </c>
      <c r="DZ8">
        <v>-7.0485566253282785</v>
      </c>
      <c r="EA8">
        <v>4506</v>
      </c>
      <c r="EB8">
        <v>-7.0040768217647038</v>
      </c>
      <c r="EC8">
        <v>7</v>
      </c>
      <c r="ED8">
        <v>0.84514927381759852</v>
      </c>
      <c r="EE8">
        <v>5.4692462560425481</v>
      </c>
      <c r="EF8" s="27">
        <v>5.0921000000000001E-2</v>
      </c>
      <c r="EG8">
        <v>1.3610000000000001E-2</v>
      </c>
      <c r="EH8">
        <v>22.154527559055119</v>
      </c>
      <c r="EI8">
        <v>-1</v>
      </c>
      <c r="EJ8">
        <v>0</v>
      </c>
      <c r="EK8">
        <v>0</v>
      </c>
      <c r="EL8" s="29">
        <v>44939</v>
      </c>
      <c r="EM8" s="30">
        <v>3.2099999999999997E-2</v>
      </c>
      <c r="EN8" s="30">
        <v>-5.2400000000000002E-2</v>
      </c>
      <c r="EO8" s="30">
        <v>-3.3700000000000001E-2</v>
      </c>
      <c r="EP8" s="30">
        <v>-8.7900000000000006E-2</v>
      </c>
      <c r="EQ8" s="30">
        <v>3.73</v>
      </c>
    </row>
    <row r="9" spans="1:147" ht="75.599999999999994" x14ac:dyDescent="0.25">
      <c r="B9" s="28"/>
      <c r="C9" s="28"/>
      <c r="D9" s="28" t="s">
        <v>1535</v>
      </c>
      <c r="E9" t="s">
        <v>1309</v>
      </c>
      <c r="F9" t="s">
        <v>1310</v>
      </c>
      <c r="G9">
        <v>3.8</v>
      </c>
      <c r="H9">
        <v>0.8</v>
      </c>
      <c r="I9" t="s">
        <v>1311</v>
      </c>
      <c r="J9">
        <v>1002282270</v>
      </c>
      <c r="M9" t="s">
        <v>424</v>
      </c>
      <c r="N9" t="s">
        <v>176</v>
      </c>
      <c r="O9" t="s">
        <v>76</v>
      </c>
      <c r="P9" t="s">
        <v>1510</v>
      </c>
      <c r="Q9">
        <v>-29.75</v>
      </c>
      <c r="R9" t="s">
        <v>528</v>
      </c>
      <c r="S9">
        <v>-42800818</v>
      </c>
      <c r="T9" s="3">
        <v>-2.2429999999999999</v>
      </c>
      <c r="U9" t="s">
        <v>1511</v>
      </c>
      <c r="V9">
        <v>263758490</v>
      </c>
      <c r="W9">
        <v>263758490</v>
      </c>
      <c r="X9">
        <v>2.72</v>
      </c>
      <c r="Y9">
        <v>0.24</v>
      </c>
      <c r="Z9">
        <v>-18.829999999999998</v>
      </c>
      <c r="AA9" t="s">
        <v>147</v>
      </c>
      <c r="AB9" t="s">
        <v>92</v>
      </c>
      <c r="AC9" t="s">
        <v>1512</v>
      </c>
      <c r="AD9" t="s">
        <v>1513</v>
      </c>
      <c r="AE9" t="s">
        <v>7</v>
      </c>
      <c r="AF9">
        <v>18240250</v>
      </c>
      <c r="AG9" t="s">
        <v>1514</v>
      </c>
      <c r="AH9" t="s">
        <v>1515</v>
      </c>
      <c r="AI9" t="s">
        <v>1516</v>
      </c>
      <c r="AJ9" t="s">
        <v>1517</v>
      </c>
      <c r="AK9" t="s">
        <v>1518</v>
      </c>
      <c r="AL9" t="s">
        <v>7</v>
      </c>
      <c r="AM9" t="s">
        <v>1519</v>
      </c>
      <c r="AN9" t="s">
        <v>7</v>
      </c>
      <c r="AO9">
        <v>0</v>
      </c>
      <c r="AP9" t="s">
        <v>7</v>
      </c>
      <c r="AQ9" t="s">
        <v>7</v>
      </c>
      <c r="AR9" t="s">
        <v>1520</v>
      </c>
      <c r="AS9" t="s">
        <v>413</v>
      </c>
      <c r="AT9" t="s">
        <v>79</v>
      </c>
      <c r="AU9" t="s">
        <v>1521</v>
      </c>
      <c r="AV9" t="s">
        <v>1522</v>
      </c>
      <c r="AW9" t="s">
        <v>1523</v>
      </c>
      <c r="AX9" t="s">
        <v>1524</v>
      </c>
      <c r="AY9" t="s">
        <v>60</v>
      </c>
      <c r="AZ9" t="s">
        <v>179</v>
      </c>
      <c r="BA9" t="s">
        <v>483</v>
      </c>
      <c r="BB9" t="s">
        <v>487</v>
      </c>
      <c r="BC9" t="s">
        <v>107</v>
      </c>
      <c r="BD9" t="s">
        <v>1525</v>
      </c>
      <c r="BE9" t="s">
        <v>1526</v>
      </c>
      <c r="BF9" t="s">
        <v>1527</v>
      </c>
      <c r="BG9" t="s">
        <v>1528</v>
      </c>
      <c r="BH9" t="s">
        <v>1529</v>
      </c>
      <c r="BI9" t="s">
        <v>169</v>
      </c>
      <c r="BJ9" t="s">
        <v>1530</v>
      </c>
      <c r="BK9" t="s">
        <v>152</v>
      </c>
      <c r="BL9" t="s">
        <v>1531</v>
      </c>
      <c r="BM9" t="s">
        <v>1532</v>
      </c>
      <c r="BN9" t="s">
        <v>1533</v>
      </c>
      <c r="BO9">
        <v>8.73</v>
      </c>
      <c r="BP9">
        <v>18.329999999999998</v>
      </c>
      <c r="BQ9">
        <v>-42.6</v>
      </c>
      <c r="BR9">
        <v>-33.92</v>
      </c>
      <c r="BS9">
        <v>33.04</v>
      </c>
      <c r="BT9">
        <v>-164.88</v>
      </c>
      <c r="BU9" t="s">
        <v>1125</v>
      </c>
      <c r="BV9" t="s">
        <v>1350</v>
      </c>
      <c r="BW9">
        <v>19.440000000000001</v>
      </c>
      <c r="BX9">
        <v>23.8</v>
      </c>
      <c r="BY9">
        <v>27.37</v>
      </c>
      <c r="BZ9">
        <v>-2.5</v>
      </c>
      <c r="CA9">
        <v>11.09</v>
      </c>
      <c r="CB9">
        <v>-95.7</v>
      </c>
      <c r="CC9">
        <v>-5</v>
      </c>
      <c r="CD9">
        <v>-2.06</v>
      </c>
      <c r="CE9" t="s">
        <v>1534</v>
      </c>
      <c r="CF9" t="s">
        <v>54</v>
      </c>
      <c r="CG9" s="24">
        <v>-0.74520367521367525</v>
      </c>
      <c r="CH9" s="25">
        <v>-7.3143354757068169</v>
      </c>
      <c r="CI9" s="24">
        <v>-2.9629629105329514E-2</v>
      </c>
      <c r="CJ9" s="24">
        <v>0.27358490228652954</v>
      </c>
      <c r="CK9" s="24">
        <v>-1.5479875728487968E-2</v>
      </c>
      <c r="CL9" s="24">
        <v>-0.1077348068356514</v>
      </c>
      <c r="CM9" s="24">
        <v>1.4005602337419987E-2</v>
      </c>
      <c r="CN9" s="25">
        <v>-2.022770881652832</v>
      </c>
      <c r="CO9" s="25">
        <v>1.0422011613845825</v>
      </c>
      <c r="CP9" s="25">
        <v>0.20143884420394897</v>
      </c>
      <c r="CQ9" s="25">
        <v>-44.785503387451172</v>
      </c>
      <c r="CR9" s="25">
        <v>0.19429919123649597</v>
      </c>
      <c r="CS9">
        <v>2.5503365648854963</v>
      </c>
      <c r="CT9">
        <v>134961065.88742781</v>
      </c>
      <c r="CU9">
        <v>0</v>
      </c>
      <c r="CV9" s="24">
        <v>2.6949238590896131E-2</v>
      </c>
      <c r="CW9" s="25">
        <v>-9.074067014455796</v>
      </c>
      <c r="CX9">
        <v>0.06</v>
      </c>
      <c r="CY9" t="e">
        <v>#VALUE!</v>
      </c>
      <c r="CZ9" t="s">
        <v>516</v>
      </c>
      <c r="DA9">
        <v>2.6949238590896131E-2</v>
      </c>
      <c r="DB9" t="e">
        <v>#VALUE!</v>
      </c>
      <c r="DC9" t="s">
        <v>397</v>
      </c>
      <c r="DD9">
        <v>2.5601776661351324E-2</v>
      </c>
      <c r="DE9" t="e">
        <v>#VALUE!</v>
      </c>
      <c r="DF9" t="s">
        <v>397</v>
      </c>
      <c r="DG9">
        <v>2.3715329959988596E-2</v>
      </c>
      <c r="DH9" t="e">
        <v>#VALUE!</v>
      </c>
      <c r="DI9" t="s">
        <v>397</v>
      </c>
      <c r="DJ9">
        <v>2.1559390872716907E-2</v>
      </c>
      <c r="DK9" t="e">
        <v>#VALUE!</v>
      </c>
      <c r="DL9" t="s">
        <v>397</v>
      </c>
      <c r="DM9">
        <v>1.886446701362729E-2</v>
      </c>
      <c r="DN9">
        <v>-14373000</v>
      </c>
      <c r="DO9">
        <v>2.6949238590896131E-2</v>
      </c>
      <c r="DP9">
        <v>1237282270</v>
      </c>
      <c r="DQ9">
        <v>42535549.99999994</v>
      </c>
      <c r="DR9">
        <v>275</v>
      </c>
      <c r="DS9">
        <v>-0.77215291380457141</v>
      </c>
      <c r="DT9">
        <v>1.7597315387489791</v>
      </c>
      <c r="DU9" s="26">
        <v>-7.0000000000000007E-2</v>
      </c>
      <c r="DV9">
        <v>-2.1816666666666671</v>
      </c>
      <c r="DW9">
        <v>-2.2516666666666669</v>
      </c>
      <c r="DX9">
        <v>-4.4119999999999999</v>
      </c>
      <c r="DY9">
        <v>0.19892366412213669</v>
      </c>
      <c r="DZ9">
        <v>-4.0283965496183205</v>
      </c>
      <c r="EA9">
        <v>4718</v>
      </c>
      <c r="EB9">
        <v>-4.00116033878294</v>
      </c>
      <c r="EC9">
        <v>4</v>
      </c>
      <c r="ED9">
        <v>3.4232073439607574E-2</v>
      </c>
      <c r="EE9">
        <v>0.49666647697293081</v>
      </c>
      <c r="EF9" s="27">
        <v>0.12274700000000001</v>
      </c>
      <c r="EG9">
        <v>0.1308</v>
      </c>
      <c r="EH9">
        <v>13.068923664122137</v>
      </c>
      <c r="EI9" t="s">
        <v>398</v>
      </c>
      <c r="EJ9">
        <v>0</v>
      </c>
      <c r="EK9">
        <v>0</v>
      </c>
      <c r="EL9" s="29">
        <v>44939</v>
      </c>
      <c r="EM9" s="30">
        <v>2.5000000000000001E-3</v>
      </c>
      <c r="EN9" s="30">
        <v>-2.4899999999999999E-2</v>
      </c>
      <c r="EO9" s="30">
        <v>-3.0700000000000002E-2</v>
      </c>
      <c r="EP9" s="30">
        <v>-5.3E-3</v>
      </c>
      <c r="EQ9" s="30">
        <v>0.8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Q13"/>
  <sheetViews>
    <sheetView workbookViewId="0">
      <selection activeCell="J2" sqref="J2"/>
    </sheetView>
  </sheetViews>
  <sheetFormatPr defaultRowHeight="14.4" x14ac:dyDescent="0.25"/>
  <cols>
    <col min="2" max="2" width="35.88671875" customWidth="1"/>
    <col min="3" max="3" width="37.33203125" customWidth="1"/>
    <col min="4" max="4" width="52.6640625" customWidth="1"/>
    <col min="10" max="10" width="12.44140625" bestFit="1" customWidth="1"/>
  </cols>
  <sheetData>
    <row r="1" spans="1:147" s="15" customFormat="1" x14ac:dyDescent="0.25">
      <c r="A1" s="16" t="s">
        <v>223</v>
      </c>
      <c r="B1" s="19" t="s">
        <v>350</v>
      </c>
      <c r="C1" s="20" t="s">
        <v>351</v>
      </c>
      <c r="D1" s="19" t="s">
        <v>302</v>
      </c>
      <c r="E1" t="s">
        <v>2</v>
      </c>
      <c r="F1" t="s">
        <v>3</v>
      </c>
      <c r="G1" t="s">
        <v>0</v>
      </c>
      <c r="H1" t="s">
        <v>323</v>
      </c>
      <c r="I1" t="s">
        <v>352</v>
      </c>
      <c r="J1" t="s">
        <v>4</v>
      </c>
      <c r="K1" t="s">
        <v>5</v>
      </c>
      <c r="L1" t="s">
        <v>1</v>
      </c>
      <c r="M1" t="s">
        <v>6</v>
      </c>
      <c r="N1" t="s">
        <v>8</v>
      </c>
      <c r="O1" t="s">
        <v>9</v>
      </c>
      <c r="P1" t="s">
        <v>10</v>
      </c>
      <c r="Q1" t="s">
        <v>353</v>
      </c>
      <c r="R1" t="s">
        <v>324</v>
      </c>
      <c r="S1" t="s">
        <v>354</v>
      </c>
      <c r="T1" t="s">
        <v>11</v>
      </c>
      <c r="U1" t="s">
        <v>325</v>
      </c>
      <c r="V1" t="s">
        <v>326</v>
      </c>
      <c r="W1" t="s">
        <v>12</v>
      </c>
      <c r="X1" t="s">
        <v>273</v>
      </c>
      <c r="Y1" t="s">
        <v>274</v>
      </c>
      <c r="Z1" t="s">
        <v>275</v>
      </c>
      <c r="AA1" t="s">
        <v>276</v>
      </c>
      <c r="AB1" t="s">
        <v>277</v>
      </c>
      <c r="AC1" t="s">
        <v>327</v>
      </c>
      <c r="AD1" t="s">
        <v>278</v>
      </c>
      <c r="AE1" t="s">
        <v>355</v>
      </c>
      <c r="AF1" t="s">
        <v>13</v>
      </c>
      <c r="AG1" t="s">
        <v>14</v>
      </c>
      <c r="AH1" t="s">
        <v>328</v>
      </c>
      <c r="AI1" t="s">
        <v>356</v>
      </c>
      <c r="AJ1" t="s">
        <v>329</v>
      </c>
      <c r="AK1" t="s">
        <v>15</v>
      </c>
      <c r="AL1" t="s">
        <v>330</v>
      </c>
      <c r="AM1" t="s">
        <v>224</v>
      </c>
      <c r="AN1" t="s">
        <v>331</v>
      </c>
      <c r="AO1" t="s">
        <v>332</v>
      </c>
      <c r="AP1" t="s">
        <v>333</v>
      </c>
      <c r="AQ1" t="s">
        <v>334</v>
      </c>
      <c r="AR1" t="s">
        <v>335</v>
      </c>
      <c r="AS1" t="s">
        <v>336</v>
      </c>
      <c r="AT1" t="s">
        <v>337</v>
      </c>
      <c r="AU1" t="s">
        <v>338</v>
      </c>
      <c r="AV1" t="s">
        <v>339</v>
      </c>
      <c r="AW1" t="s">
        <v>340</v>
      </c>
      <c r="AX1" t="s">
        <v>341</v>
      </c>
      <c r="AY1" t="s">
        <v>357</v>
      </c>
      <c r="AZ1" t="s">
        <v>225</v>
      </c>
      <c r="BA1" t="s">
        <v>226</v>
      </c>
      <c r="BB1" t="s">
        <v>227</v>
      </c>
      <c r="BC1" t="s">
        <v>228</v>
      </c>
      <c r="BD1" t="s">
        <v>234</v>
      </c>
      <c r="BE1" t="s">
        <v>229</v>
      </c>
      <c r="BF1" t="s">
        <v>230</v>
      </c>
      <c r="BG1" t="s">
        <v>231</v>
      </c>
      <c r="BH1" t="s">
        <v>232</v>
      </c>
      <c r="BI1" t="s">
        <v>358</v>
      </c>
      <c r="BJ1" t="s">
        <v>342</v>
      </c>
      <c r="BK1" t="s">
        <v>233</v>
      </c>
      <c r="BL1" t="s">
        <v>343</v>
      </c>
      <c r="BM1" t="s">
        <v>344</v>
      </c>
      <c r="BN1" t="s">
        <v>345</v>
      </c>
      <c r="BO1" t="s">
        <v>346</v>
      </c>
      <c r="BP1" t="s">
        <v>235</v>
      </c>
      <c r="BQ1" t="s">
        <v>236</v>
      </c>
      <c r="BR1" t="s">
        <v>237</v>
      </c>
      <c r="BS1" t="s">
        <v>347</v>
      </c>
      <c r="BT1" t="s">
        <v>238</v>
      </c>
      <c r="BU1" t="s">
        <v>239</v>
      </c>
      <c r="BV1" t="s">
        <v>240</v>
      </c>
      <c r="BW1" t="s">
        <v>348</v>
      </c>
      <c r="BX1" t="s">
        <v>241</v>
      </c>
      <c r="BY1" t="s">
        <v>242</v>
      </c>
      <c r="BZ1" t="s">
        <v>349</v>
      </c>
      <c r="CA1" t="s">
        <v>243</v>
      </c>
      <c r="CB1" t="s">
        <v>244</v>
      </c>
      <c r="CC1" t="s">
        <v>359</v>
      </c>
      <c r="CD1" t="s">
        <v>360</v>
      </c>
      <c r="CE1" t="s">
        <v>361</v>
      </c>
      <c r="CF1" t="s">
        <v>362</v>
      </c>
      <c r="CG1" s="1" t="s">
        <v>279</v>
      </c>
      <c r="CH1" s="1" t="s">
        <v>280</v>
      </c>
      <c r="CI1" s="1" t="s">
        <v>281</v>
      </c>
      <c r="CJ1" s="1" t="s">
        <v>282</v>
      </c>
      <c r="CK1" s="1" t="s">
        <v>283</v>
      </c>
      <c r="CL1" s="1" t="s">
        <v>284</v>
      </c>
      <c r="CM1" s="1" t="s">
        <v>285</v>
      </c>
      <c r="CN1" s="1" t="s">
        <v>286</v>
      </c>
      <c r="CO1" s="1" t="s">
        <v>287</v>
      </c>
      <c r="CP1" s="1" t="s">
        <v>288</v>
      </c>
      <c r="CQ1" s="1" t="s">
        <v>289</v>
      </c>
      <c r="CR1" s="1" t="s">
        <v>290</v>
      </c>
      <c r="CS1" s="1" t="s">
        <v>363</v>
      </c>
      <c r="CT1" s="1" t="s">
        <v>311</v>
      </c>
      <c r="CU1" s="1" t="s">
        <v>291</v>
      </c>
      <c r="CV1" s="1" t="s">
        <v>312</v>
      </c>
      <c r="CW1" s="1" t="s">
        <v>292</v>
      </c>
      <c r="CX1" s="1" t="s">
        <v>313</v>
      </c>
      <c r="CY1">
        <v>1</v>
      </c>
      <c r="CZ1" t="s">
        <v>293</v>
      </c>
      <c r="DA1" t="s">
        <v>294</v>
      </c>
      <c r="DB1">
        <v>3</v>
      </c>
      <c r="DC1" t="s">
        <v>303</v>
      </c>
      <c r="DD1" t="s">
        <v>314</v>
      </c>
      <c r="DE1">
        <v>6</v>
      </c>
      <c r="DF1" t="s">
        <v>315</v>
      </c>
      <c r="DG1" t="s">
        <v>295</v>
      </c>
      <c r="DH1">
        <v>10</v>
      </c>
      <c r="DI1" t="s">
        <v>316</v>
      </c>
      <c r="DJ1" t="s">
        <v>364</v>
      </c>
      <c r="DK1">
        <v>20</v>
      </c>
      <c r="DL1" t="s">
        <v>296</v>
      </c>
      <c r="DM1" t="s">
        <v>297</v>
      </c>
      <c r="DN1" t="s">
        <v>298</v>
      </c>
      <c r="DO1" s="2" t="s">
        <v>299</v>
      </c>
      <c r="DP1" t="s">
        <v>365</v>
      </c>
      <c r="DQ1" t="s">
        <v>300</v>
      </c>
      <c r="DR1" s="1" t="s">
        <v>317</v>
      </c>
      <c r="DS1" s="1" t="s">
        <v>301</v>
      </c>
      <c r="DT1" s="1" t="s">
        <v>304</v>
      </c>
      <c r="DU1" t="s">
        <v>366</v>
      </c>
      <c r="DV1" t="s">
        <v>367</v>
      </c>
      <c r="DW1" t="s">
        <v>318</v>
      </c>
      <c r="DX1" t="s">
        <v>368</v>
      </c>
      <c r="DY1" t="s">
        <v>369</v>
      </c>
      <c r="DZ1" t="s">
        <v>319</v>
      </c>
      <c r="EA1" t="s">
        <v>305</v>
      </c>
      <c r="EB1" t="s">
        <v>320</v>
      </c>
      <c r="EC1" t="s">
        <v>321</v>
      </c>
      <c r="ED1" t="s">
        <v>370</v>
      </c>
      <c r="EE1" t="s">
        <v>322</v>
      </c>
      <c r="EF1" t="s">
        <v>371</v>
      </c>
      <c r="EG1" t="s">
        <v>372</v>
      </c>
      <c r="EH1" t="s">
        <v>373</v>
      </c>
      <c r="EI1" t="s">
        <v>374</v>
      </c>
      <c r="EJ1" t="s">
        <v>375</v>
      </c>
      <c r="EK1"/>
    </row>
    <row r="2" spans="1:147" s="15" customFormat="1" ht="71.55" customHeight="1" x14ac:dyDescent="0.25">
      <c r="A2" s="23"/>
      <c r="B2" s="21"/>
      <c r="C2" s="22">
        <v>3</v>
      </c>
      <c r="D2" s="22">
        <v>13</v>
      </c>
      <c r="J2" s="22">
        <f>SUM(J3:J13)</f>
        <v>156511719100</v>
      </c>
      <c r="T2" s="17"/>
      <c r="U2" s="17"/>
      <c r="V2" s="17"/>
      <c r="AB2" s="18"/>
    </row>
    <row r="3" spans="1:147" ht="108" x14ac:dyDescent="0.25">
      <c r="C3" t="s">
        <v>1569</v>
      </c>
      <c r="D3" s="28" t="s">
        <v>1602</v>
      </c>
      <c r="E3" t="s">
        <v>1536</v>
      </c>
      <c r="F3" t="s">
        <v>1537</v>
      </c>
      <c r="G3">
        <v>183.98</v>
      </c>
      <c r="H3">
        <v>5.5</v>
      </c>
      <c r="I3" t="s">
        <v>1538</v>
      </c>
      <c r="J3">
        <v>73593840000</v>
      </c>
      <c r="K3">
        <v>54.02</v>
      </c>
      <c r="L3">
        <v>15.32</v>
      </c>
      <c r="M3" t="s">
        <v>424</v>
      </c>
      <c r="N3" t="s">
        <v>547</v>
      </c>
      <c r="O3" t="s">
        <v>1570</v>
      </c>
      <c r="P3" t="s">
        <v>1571</v>
      </c>
      <c r="Q3">
        <v>19.5</v>
      </c>
      <c r="R3" t="s">
        <v>1572</v>
      </c>
      <c r="S3">
        <v>1165506050</v>
      </c>
      <c r="T3" s="3">
        <v>0.1701</v>
      </c>
      <c r="U3" t="s">
        <v>1573</v>
      </c>
      <c r="V3">
        <v>76010000</v>
      </c>
      <c r="W3">
        <v>400010000</v>
      </c>
      <c r="X3">
        <v>2.1800000000000002</v>
      </c>
      <c r="Y3">
        <v>0.73</v>
      </c>
      <c r="Z3">
        <v>17.54</v>
      </c>
      <c r="AA3" t="s">
        <v>1574</v>
      </c>
      <c r="AB3" t="s">
        <v>1575</v>
      </c>
      <c r="AC3" t="s">
        <v>1576</v>
      </c>
      <c r="AD3" t="s">
        <v>253</v>
      </c>
      <c r="AE3" t="s">
        <v>1577</v>
      </c>
      <c r="AF3">
        <v>34652693</v>
      </c>
      <c r="AG3" t="s">
        <v>1578</v>
      </c>
      <c r="AH3" t="s">
        <v>1579</v>
      </c>
      <c r="AI3" t="s">
        <v>1580</v>
      </c>
      <c r="AJ3" t="s">
        <v>1581</v>
      </c>
      <c r="AK3" t="s">
        <v>1582</v>
      </c>
      <c r="AL3" t="s">
        <v>7</v>
      </c>
      <c r="AM3" t="s">
        <v>1583</v>
      </c>
      <c r="AN3" t="s">
        <v>7</v>
      </c>
      <c r="AO3" t="s">
        <v>73</v>
      </c>
      <c r="AP3" t="s">
        <v>751</v>
      </c>
      <c r="AQ3" t="s">
        <v>1584</v>
      </c>
      <c r="AR3" t="s">
        <v>1585</v>
      </c>
      <c r="AS3" t="s">
        <v>7</v>
      </c>
      <c r="AT3" t="s">
        <v>1586</v>
      </c>
      <c r="AU3" t="s">
        <v>1587</v>
      </c>
      <c r="AV3" t="s">
        <v>1341</v>
      </c>
      <c r="AW3" t="s">
        <v>1588</v>
      </c>
      <c r="AX3" t="s">
        <v>1589</v>
      </c>
      <c r="AY3" t="s">
        <v>1590</v>
      </c>
      <c r="AZ3" t="s">
        <v>1591</v>
      </c>
      <c r="BA3" t="s">
        <v>943</v>
      </c>
      <c r="BB3" t="s">
        <v>1592</v>
      </c>
      <c r="BC3" t="s">
        <v>7</v>
      </c>
      <c r="BD3" t="s">
        <v>1593</v>
      </c>
      <c r="BE3" t="s">
        <v>89</v>
      </c>
      <c r="BF3" t="s">
        <v>185</v>
      </c>
      <c r="BG3" t="s">
        <v>513</v>
      </c>
      <c r="BH3" t="s">
        <v>7</v>
      </c>
      <c r="BI3" t="s">
        <v>1594</v>
      </c>
      <c r="BJ3" t="s">
        <v>1595</v>
      </c>
      <c r="BK3" t="s">
        <v>1596</v>
      </c>
      <c r="BL3" t="s">
        <v>565</v>
      </c>
      <c r="BM3" t="s">
        <v>1597</v>
      </c>
      <c r="BN3" t="s">
        <v>1598</v>
      </c>
      <c r="BO3">
        <v>30.71</v>
      </c>
      <c r="BP3">
        <v>35.6</v>
      </c>
      <c r="BQ3">
        <v>34.06</v>
      </c>
      <c r="BR3">
        <v>36.479999999999997</v>
      </c>
      <c r="BS3">
        <v>45.82</v>
      </c>
      <c r="BT3" t="s">
        <v>7</v>
      </c>
      <c r="BU3" t="s">
        <v>1036</v>
      </c>
      <c r="BV3" t="s">
        <v>1599</v>
      </c>
      <c r="BW3">
        <v>42.68</v>
      </c>
      <c r="BX3">
        <v>46.6</v>
      </c>
      <c r="BY3">
        <v>46.74</v>
      </c>
      <c r="BZ3">
        <v>17.59</v>
      </c>
      <c r="CA3">
        <v>16.38</v>
      </c>
      <c r="CB3">
        <v>13.56</v>
      </c>
      <c r="CC3">
        <v>4.53</v>
      </c>
      <c r="CD3">
        <v>4.99</v>
      </c>
      <c r="CE3" t="s">
        <v>1600</v>
      </c>
      <c r="CF3" t="s">
        <v>1601</v>
      </c>
      <c r="CG3" s="24">
        <v>0.25311384451544222</v>
      </c>
      <c r="CH3" s="25">
        <v>0.28283140624999953</v>
      </c>
      <c r="CI3" s="24">
        <v>0.40713849663734436</v>
      </c>
      <c r="CJ3" s="24">
        <v>0.17818962037563324</v>
      </c>
      <c r="CK3" s="24">
        <v>0.38545086979866028</v>
      </c>
      <c r="CL3" s="24">
        <v>6.8213827908039093E-2</v>
      </c>
      <c r="CM3" s="24" t="e">
        <v>#VALUE!</v>
      </c>
      <c r="CN3" s="25">
        <v>0.46921175718307495</v>
      </c>
      <c r="CO3" s="25">
        <v>0.42206653952598572</v>
      </c>
      <c r="CP3" s="25">
        <v>1.6435185670852661</v>
      </c>
      <c r="CQ3" s="25">
        <v>-0.27027025818824768</v>
      </c>
      <c r="CR3" s="25" t="e">
        <v>#VALUE!</v>
      </c>
      <c r="CS3">
        <v>10.546552020636286</v>
      </c>
      <c r="CT3">
        <v>89205098.072087169</v>
      </c>
      <c r="CU3">
        <v>0.81530601152299165</v>
      </c>
      <c r="CV3" s="24">
        <v>0.25974820367991924</v>
      </c>
      <c r="CW3" s="25">
        <v>0.56613165140151978</v>
      </c>
      <c r="CX3">
        <v>0.06</v>
      </c>
      <c r="CY3">
        <v>52.523814970175252</v>
      </c>
      <c r="CZ3">
        <v>1417810949.9907014</v>
      </c>
      <c r="DA3">
        <v>0.25974820367991924</v>
      </c>
      <c r="DB3">
        <v>14.90919976780231</v>
      </c>
      <c r="DC3">
        <v>4994824749.8046017</v>
      </c>
      <c r="DD3">
        <v>0.24676079349592328</v>
      </c>
      <c r="DE3">
        <v>6.0136619959003674</v>
      </c>
      <c r="DF3">
        <v>12383276620.928627</v>
      </c>
      <c r="DG3">
        <v>0.22857841923832894</v>
      </c>
      <c r="DH3">
        <v>2.8408580438627897</v>
      </c>
      <c r="DI3">
        <v>26213502698.903866</v>
      </c>
      <c r="DJ3">
        <v>0.20779856294393539</v>
      </c>
      <c r="DK3">
        <v>0.82396038851216258</v>
      </c>
      <c r="DL3">
        <v>90379150549.299438</v>
      </c>
      <c r="DM3">
        <v>0.18182374257594347</v>
      </c>
      <c r="DN3">
        <v>1193000000</v>
      </c>
      <c r="DO3">
        <v>0.25974820367991924</v>
      </c>
      <c r="DP3">
        <v>74468840000</v>
      </c>
      <c r="DQ3">
        <v>207966600</v>
      </c>
      <c r="DR3">
        <v>4403</v>
      </c>
      <c r="DS3">
        <v>-6.6343591644770217E-3</v>
      </c>
      <c r="DT3">
        <v>-0.28330024515152025</v>
      </c>
      <c r="DU3" s="26">
        <v>0.80400000000000005</v>
      </c>
      <c r="DV3">
        <v>0.82400000000000007</v>
      </c>
      <c r="DW3">
        <v>1.6280000000000001</v>
      </c>
      <c r="DX3">
        <v>8.9078156312625243</v>
      </c>
      <c r="DY3">
        <v>0.49148906834744793</v>
      </c>
      <c r="DZ3">
        <v>8.1556804568364623</v>
      </c>
      <c r="EA3">
        <v>605</v>
      </c>
      <c r="EB3">
        <v>8.1365329316512494</v>
      </c>
      <c r="EC3">
        <v>8</v>
      </c>
      <c r="ED3">
        <v>8.7062823429414262E-3</v>
      </c>
      <c r="EE3">
        <v>5.0768730781730456E-2</v>
      </c>
      <c r="EF3" s="27">
        <v>2.6423000000000002E-2</v>
      </c>
      <c r="EG3">
        <v>2.86E-2</v>
      </c>
      <c r="EH3">
        <v>32.171489068347448</v>
      </c>
      <c r="EI3" t="s">
        <v>398</v>
      </c>
      <c r="EJ3">
        <v>0</v>
      </c>
      <c r="EK3">
        <v>1</v>
      </c>
      <c r="EL3" s="29">
        <v>44939</v>
      </c>
      <c r="EM3" s="30">
        <v>-5.7000000000000002E-3</v>
      </c>
      <c r="EN3" s="30">
        <v>2.9899999999999999E-2</v>
      </c>
      <c r="EO3" s="30">
        <v>-1.14E-2</v>
      </c>
      <c r="EP3" s="30">
        <v>-2.1299999999999999E-2</v>
      </c>
      <c r="EQ3" s="30">
        <v>5.5</v>
      </c>
    </row>
    <row r="4" spans="1:147" ht="118.8" x14ac:dyDescent="0.25">
      <c r="B4" s="28"/>
      <c r="C4" s="28"/>
      <c r="D4" s="28" t="s">
        <v>1642</v>
      </c>
      <c r="E4" t="s">
        <v>1539</v>
      </c>
      <c r="F4" t="s">
        <v>1540</v>
      </c>
      <c r="G4">
        <v>21.61</v>
      </c>
      <c r="H4">
        <v>2.81</v>
      </c>
      <c r="I4" t="s">
        <v>1541</v>
      </c>
      <c r="J4">
        <v>27347317000</v>
      </c>
      <c r="K4">
        <v>18.38</v>
      </c>
      <c r="L4">
        <v>2.4900000000000002</v>
      </c>
      <c r="M4" t="s">
        <v>424</v>
      </c>
      <c r="N4" t="s">
        <v>857</v>
      </c>
      <c r="O4" t="s">
        <v>1603</v>
      </c>
      <c r="P4" t="s">
        <v>1604</v>
      </c>
      <c r="Q4">
        <v>-16.5</v>
      </c>
      <c r="R4" t="s">
        <v>1605</v>
      </c>
      <c r="S4">
        <v>1007545350</v>
      </c>
      <c r="T4" s="3">
        <v>-0.38200000000000001</v>
      </c>
      <c r="U4" t="s">
        <v>505</v>
      </c>
      <c r="V4">
        <v>1265493600</v>
      </c>
      <c r="W4">
        <v>1265493600</v>
      </c>
      <c r="X4">
        <v>1.1499999999999999</v>
      </c>
      <c r="Y4">
        <v>0.28999999999999998</v>
      </c>
      <c r="Z4">
        <v>24.07</v>
      </c>
      <c r="AA4" t="s">
        <v>1606</v>
      </c>
      <c r="AB4" t="s">
        <v>1607</v>
      </c>
      <c r="AC4" t="s">
        <v>551</v>
      </c>
      <c r="AD4" t="s">
        <v>1608</v>
      </c>
      <c r="AE4" t="s">
        <v>1609</v>
      </c>
      <c r="AF4">
        <v>-56369241</v>
      </c>
      <c r="AG4" t="s">
        <v>1610</v>
      </c>
      <c r="AH4" t="s">
        <v>1611</v>
      </c>
      <c r="AI4" t="s">
        <v>1612</v>
      </c>
      <c r="AJ4" t="s">
        <v>120</v>
      </c>
      <c r="AK4" t="s">
        <v>1613</v>
      </c>
      <c r="AL4" t="s">
        <v>7</v>
      </c>
      <c r="AM4" t="s">
        <v>1614</v>
      </c>
      <c r="AN4" t="s">
        <v>7</v>
      </c>
      <c r="AO4" t="s">
        <v>1615</v>
      </c>
      <c r="AP4" t="s">
        <v>443</v>
      </c>
      <c r="AQ4" t="s">
        <v>50</v>
      </c>
      <c r="AR4" t="s">
        <v>111</v>
      </c>
      <c r="AS4" t="s">
        <v>7</v>
      </c>
      <c r="AT4" t="s">
        <v>1616</v>
      </c>
      <c r="AU4" t="s">
        <v>7</v>
      </c>
      <c r="AV4" t="s">
        <v>1617</v>
      </c>
      <c r="AW4" t="s">
        <v>1618</v>
      </c>
      <c r="AX4" t="s">
        <v>1619</v>
      </c>
      <c r="AY4" t="s">
        <v>1620</v>
      </c>
      <c r="AZ4" t="s">
        <v>1621</v>
      </c>
      <c r="BA4" t="s">
        <v>1622</v>
      </c>
      <c r="BB4" t="s">
        <v>1623</v>
      </c>
      <c r="BC4" t="s">
        <v>1624</v>
      </c>
      <c r="BD4" t="s">
        <v>1625</v>
      </c>
      <c r="BE4" t="s">
        <v>425</v>
      </c>
      <c r="BF4" t="s">
        <v>1626</v>
      </c>
      <c r="BG4" t="s">
        <v>1627</v>
      </c>
      <c r="BH4" t="s">
        <v>1628</v>
      </c>
      <c r="BI4" t="s">
        <v>1629</v>
      </c>
      <c r="BJ4" t="s">
        <v>1630</v>
      </c>
      <c r="BK4" t="s">
        <v>1631</v>
      </c>
      <c r="BL4" t="s">
        <v>1632</v>
      </c>
      <c r="BM4" t="s">
        <v>1633</v>
      </c>
      <c r="BN4" t="s">
        <v>1634</v>
      </c>
      <c r="BO4">
        <v>16.71</v>
      </c>
      <c r="BP4">
        <v>12</v>
      </c>
      <c r="BQ4">
        <v>20.27</v>
      </c>
      <c r="BR4">
        <v>17.559999999999999</v>
      </c>
      <c r="BS4">
        <v>13.13</v>
      </c>
      <c r="BT4">
        <v>22.85</v>
      </c>
      <c r="BU4" t="s">
        <v>1382</v>
      </c>
      <c r="BV4" t="s">
        <v>1599</v>
      </c>
      <c r="BW4">
        <v>46.58</v>
      </c>
      <c r="BX4">
        <v>47.82</v>
      </c>
      <c r="BY4">
        <v>52.83</v>
      </c>
      <c r="BZ4">
        <v>25.23</v>
      </c>
      <c r="CA4">
        <v>35.64</v>
      </c>
      <c r="CB4">
        <v>36.130000000000003</v>
      </c>
      <c r="CC4">
        <v>0.51</v>
      </c>
      <c r="CD4">
        <v>6.24</v>
      </c>
      <c r="CE4" t="s">
        <v>1635</v>
      </c>
      <c r="CF4" t="s">
        <v>1636</v>
      </c>
      <c r="CG4" s="24">
        <v>-0.10369275452841974</v>
      </c>
      <c r="CH4" s="25">
        <v>-0.33429861995753718</v>
      </c>
      <c r="CI4" s="24">
        <v>0.55997294187545776</v>
      </c>
      <c r="CJ4" s="24">
        <v>-0.4064888060092926</v>
      </c>
      <c r="CK4" s="24">
        <v>-8.4111027419567108E-2</v>
      </c>
      <c r="CL4" s="24">
        <v>5.2060432732105255E-2</v>
      </c>
      <c r="CM4" s="24">
        <v>-0.13022467494010925</v>
      </c>
      <c r="CN4" s="25">
        <v>0.33776935935020447</v>
      </c>
      <c r="CO4" s="25">
        <v>-0.41447126865386963</v>
      </c>
      <c r="CP4" s="25">
        <v>-5.0052829086780548E-2</v>
      </c>
      <c r="CQ4" s="25">
        <v>0.22813843190670013</v>
      </c>
      <c r="CR4" s="25">
        <v>-0.1572418212890625</v>
      </c>
      <c r="CS4">
        <v>3.9599358528815523</v>
      </c>
      <c r="CT4">
        <v>38423373.282804355</v>
      </c>
      <c r="CU4">
        <v>9.254974548819991</v>
      </c>
      <c r="CV4" s="24">
        <v>-1.7582267522811891E-3</v>
      </c>
      <c r="CW4" s="25">
        <v>-1.1171625554561615E-2</v>
      </c>
      <c r="CX4">
        <v>0.06</v>
      </c>
      <c r="CY4">
        <v>8.5444419706300323</v>
      </c>
      <c r="CZ4" t="s">
        <v>1637</v>
      </c>
      <c r="DA4">
        <v>-1.7582267522811891E-3</v>
      </c>
      <c r="DB4">
        <v>2.8481473235433445</v>
      </c>
      <c r="DC4" t="s">
        <v>1638</v>
      </c>
      <c r="DD4">
        <v>-1.6703154146671295E-3</v>
      </c>
      <c r="DE4">
        <v>1.4240736617716723</v>
      </c>
      <c r="DF4" t="s">
        <v>1639</v>
      </c>
      <c r="DG4">
        <v>-1.5472395420074465E-3</v>
      </c>
      <c r="DH4">
        <v>0.85444419706300334</v>
      </c>
      <c r="DI4" t="s">
        <v>1640</v>
      </c>
      <c r="DJ4">
        <v>-1.4065814018249514E-3</v>
      </c>
      <c r="DK4">
        <v>0.42722209853150167</v>
      </c>
      <c r="DL4" t="s">
        <v>1641</v>
      </c>
      <c r="DM4">
        <v>-1.2307587265968322E-3</v>
      </c>
      <c r="DN4">
        <v>2111000000</v>
      </c>
      <c r="DO4">
        <v>-1.7582267522811891E-3</v>
      </c>
      <c r="DP4">
        <v>18037317000</v>
      </c>
      <c r="DQ4">
        <v>7209466700</v>
      </c>
      <c r="DR4">
        <v>3860</v>
      </c>
      <c r="DS4">
        <v>-0.10193452777613855</v>
      </c>
      <c r="DT4">
        <v>-0.32312699440297554</v>
      </c>
      <c r="DU4" s="26">
        <v>-0.20333333333333334</v>
      </c>
      <c r="DV4">
        <v>-0.18666666666666668</v>
      </c>
      <c r="DW4">
        <v>-0.39</v>
      </c>
      <c r="DX4">
        <v>2.0623999999999998</v>
      </c>
      <c r="DY4">
        <v>0.35738835752513198</v>
      </c>
      <c r="DZ4">
        <v>2.0054530335095682</v>
      </c>
      <c r="EA4">
        <v>3825</v>
      </c>
      <c r="EB4">
        <v>2.0012127706158704</v>
      </c>
      <c r="EC4">
        <v>2</v>
      </c>
      <c r="ED4">
        <v>5.5405258469896652E-3</v>
      </c>
      <c r="EE4">
        <v>6.340118985983019E-2</v>
      </c>
      <c r="EF4" s="27">
        <v>2.0839E-2</v>
      </c>
      <c r="EG4">
        <v>7.3000000000000009E-3</v>
      </c>
      <c r="EH4">
        <v>27.087388357525132</v>
      </c>
      <c r="EI4" t="s">
        <v>398</v>
      </c>
      <c r="EJ4">
        <v>1</v>
      </c>
      <c r="EK4">
        <v>0</v>
      </c>
      <c r="EL4" s="29">
        <v>44939</v>
      </c>
      <c r="EM4" s="30">
        <v>5.5999999999999999E-3</v>
      </c>
      <c r="EN4" s="30">
        <v>-6.4999999999999997E-3</v>
      </c>
      <c r="EO4" s="30">
        <v>-1.54E-2</v>
      </c>
      <c r="EP4" s="30">
        <v>-6.1000000000000004E-3</v>
      </c>
      <c r="EQ4" s="30">
        <v>2.81</v>
      </c>
    </row>
    <row r="5" spans="1:147" ht="118.8" x14ac:dyDescent="0.25">
      <c r="B5" s="28"/>
      <c r="C5" s="28"/>
      <c r="D5" s="28" t="s">
        <v>1667</v>
      </c>
      <c r="E5" t="s">
        <v>1542</v>
      </c>
      <c r="F5" t="s">
        <v>1543</v>
      </c>
      <c r="G5">
        <v>9.19</v>
      </c>
      <c r="H5">
        <v>3.49</v>
      </c>
      <c r="I5" t="s">
        <v>1544</v>
      </c>
      <c r="J5">
        <v>9892290600</v>
      </c>
      <c r="K5">
        <v>16.77</v>
      </c>
      <c r="L5">
        <v>3.84</v>
      </c>
      <c r="M5" t="s">
        <v>424</v>
      </c>
      <c r="N5" t="s">
        <v>1643</v>
      </c>
      <c r="O5" t="s">
        <v>1644</v>
      </c>
      <c r="P5" t="s">
        <v>1645</v>
      </c>
      <c r="Q5">
        <v>6.32</v>
      </c>
      <c r="R5" t="s">
        <v>1646</v>
      </c>
      <c r="S5">
        <v>420602540</v>
      </c>
      <c r="T5" s="3">
        <v>5.0599999999999999E-2</v>
      </c>
      <c r="U5" t="s">
        <v>186</v>
      </c>
      <c r="V5">
        <v>1076392500</v>
      </c>
      <c r="W5">
        <v>1076419000</v>
      </c>
      <c r="X5">
        <v>1.2</v>
      </c>
      <c r="Y5">
        <v>0.59</v>
      </c>
      <c r="Z5">
        <v>21.33</v>
      </c>
      <c r="AA5" t="s">
        <v>1647</v>
      </c>
      <c r="AB5" t="s">
        <v>1648</v>
      </c>
      <c r="AC5" t="s">
        <v>122</v>
      </c>
      <c r="AD5" t="s">
        <v>1649</v>
      </c>
      <c r="AE5" t="s">
        <v>1650</v>
      </c>
      <c r="AF5">
        <v>-28742547</v>
      </c>
      <c r="AG5" t="s">
        <v>29</v>
      </c>
      <c r="AH5" t="s">
        <v>1651</v>
      </c>
      <c r="AI5" t="s">
        <v>1652</v>
      </c>
      <c r="AJ5" t="s">
        <v>1653</v>
      </c>
      <c r="AK5" t="s">
        <v>1654</v>
      </c>
      <c r="AL5" t="s">
        <v>7</v>
      </c>
      <c r="AM5" t="s">
        <v>1655</v>
      </c>
      <c r="AN5" t="s">
        <v>7</v>
      </c>
      <c r="AO5" t="s">
        <v>1656</v>
      </c>
      <c r="AP5" t="s">
        <v>7</v>
      </c>
      <c r="AQ5" t="s">
        <v>7</v>
      </c>
      <c r="AR5" t="s">
        <v>51</v>
      </c>
      <c r="AS5" t="s">
        <v>7</v>
      </c>
      <c r="AT5" t="s">
        <v>48</v>
      </c>
      <c r="AU5" t="s">
        <v>7</v>
      </c>
      <c r="AV5" t="s">
        <v>1657</v>
      </c>
      <c r="AW5" t="s">
        <v>1658</v>
      </c>
      <c r="AX5" t="s">
        <v>1659</v>
      </c>
      <c r="AY5" t="s">
        <v>1660</v>
      </c>
      <c r="AZ5" t="s">
        <v>1661</v>
      </c>
      <c r="BA5" t="s">
        <v>1662</v>
      </c>
      <c r="BB5" t="s">
        <v>1663</v>
      </c>
      <c r="BC5" t="s">
        <v>1664</v>
      </c>
      <c r="BD5" t="s">
        <v>56</v>
      </c>
      <c r="BE5" t="s">
        <v>21</v>
      </c>
      <c r="BF5" t="s">
        <v>406</v>
      </c>
      <c r="BG5" t="s">
        <v>436</v>
      </c>
      <c r="BH5" t="s">
        <v>386</v>
      </c>
      <c r="BI5" t="s">
        <v>131</v>
      </c>
      <c r="BJ5" t="s">
        <v>382</v>
      </c>
      <c r="BK5" t="s">
        <v>463</v>
      </c>
      <c r="BL5" t="s">
        <v>1665</v>
      </c>
      <c r="BM5" t="s">
        <v>868</v>
      </c>
      <c r="BN5" t="s">
        <v>458</v>
      </c>
      <c r="BO5">
        <v>23.06</v>
      </c>
      <c r="BP5">
        <v>19.420000000000002</v>
      </c>
      <c r="BQ5">
        <v>22.43</v>
      </c>
      <c r="BR5">
        <v>25.83</v>
      </c>
      <c r="BS5">
        <v>20.9</v>
      </c>
      <c r="BT5">
        <v>24.55</v>
      </c>
      <c r="BU5" t="s">
        <v>1125</v>
      </c>
      <c r="BV5" t="s">
        <v>1599</v>
      </c>
      <c r="BW5">
        <v>45.01</v>
      </c>
      <c r="BX5">
        <v>50.13</v>
      </c>
      <c r="BY5">
        <v>52.62</v>
      </c>
      <c r="BZ5">
        <v>20.350000000000001</v>
      </c>
      <c r="CA5">
        <v>23.3</v>
      </c>
      <c r="CB5">
        <v>20.66</v>
      </c>
      <c r="CC5">
        <v>6</v>
      </c>
      <c r="CD5">
        <v>9.14</v>
      </c>
      <c r="CE5" t="s">
        <v>31</v>
      </c>
      <c r="CF5" t="s">
        <v>1666</v>
      </c>
      <c r="CG5" s="24">
        <v>3.0591902834008096E-2</v>
      </c>
      <c r="CH5" s="25">
        <v>5.6918448275862066E-2</v>
      </c>
      <c r="CI5" s="24">
        <v>0.35626012086868286</v>
      </c>
      <c r="CJ5" s="24">
        <v>-0.17472289502620697</v>
      </c>
      <c r="CK5" s="24">
        <v>6.2676750123500824E-2</v>
      </c>
      <c r="CL5" s="24">
        <v>4.7348486259579659E-3</v>
      </c>
      <c r="CM5" s="24">
        <v>-0.16223718225955963</v>
      </c>
      <c r="CN5" s="25">
        <v>0.3194444477558136</v>
      </c>
      <c r="CO5" s="25">
        <v>-7.0967741310596466E-2</v>
      </c>
      <c r="CP5" s="25">
        <v>0.12590798735618591</v>
      </c>
      <c r="CQ5" s="25">
        <v>-2.4154589045792818E-3</v>
      </c>
      <c r="CR5" s="25">
        <v>-7.9999998211860657E-2</v>
      </c>
      <c r="CS5">
        <v>3.9192910459587957</v>
      </c>
      <c r="CT5">
        <v>73844024.561403513</v>
      </c>
      <c r="CU5">
        <v>0</v>
      </c>
      <c r="CV5" s="24">
        <v>1.7342328466475009E-2</v>
      </c>
      <c r="CW5" s="25">
        <v>5.839384733699262E-2</v>
      </c>
      <c r="CX5">
        <v>0.06</v>
      </c>
      <c r="CY5">
        <v>14.256699556254601</v>
      </c>
      <c r="CZ5">
        <v>547061440.77914226</v>
      </c>
      <c r="DA5">
        <v>1.7342328466475009E-2</v>
      </c>
      <c r="DB5">
        <v>4.9570429918572962</v>
      </c>
      <c r="DC5">
        <v>1573375621.8801272</v>
      </c>
      <c r="DD5">
        <v>1.6475212043151256E-2</v>
      </c>
      <c r="DE5">
        <v>2.6448442415828639</v>
      </c>
      <c r="DF5">
        <v>2948865750.7227521</v>
      </c>
      <c r="DG5">
        <v>1.5261249050498008E-2</v>
      </c>
      <c r="DH5">
        <v>1.7334478321953488</v>
      </c>
      <c r="DI5">
        <v>4499293520.7761526</v>
      </c>
      <c r="DJ5">
        <v>1.3873862773180007E-2</v>
      </c>
      <c r="DK5">
        <v>1.0728357781276696</v>
      </c>
      <c r="DL5">
        <v>7269789802.8824587</v>
      </c>
      <c r="DM5">
        <v>1.2139629926532506E-2</v>
      </c>
      <c r="DN5">
        <v>570000000</v>
      </c>
      <c r="DO5">
        <v>1.7342328466475009E-2</v>
      </c>
      <c r="DP5">
        <v>7799290600</v>
      </c>
      <c r="DQ5">
        <v>2137641600</v>
      </c>
      <c r="DR5">
        <v>336</v>
      </c>
      <c r="DS5">
        <v>1.3249574367533087E-2</v>
      </c>
      <c r="DT5">
        <v>-1.4753990611305542E-3</v>
      </c>
      <c r="DU5" s="26">
        <v>0.51666666666666661</v>
      </c>
      <c r="DV5">
        <v>0.16666666666666666</v>
      </c>
      <c r="DW5">
        <v>0.68333333333333324</v>
      </c>
      <c r="DX5">
        <v>9.6564551422319482</v>
      </c>
      <c r="DY5">
        <v>0.41395209580838299</v>
      </c>
      <c r="DZ5">
        <v>9.1798372620186317</v>
      </c>
      <c r="EA5">
        <v>2194</v>
      </c>
      <c r="EB5">
        <v>9.099625236633619</v>
      </c>
      <c r="EC5">
        <v>9</v>
      </c>
      <c r="ED5">
        <v>0.17000814738498671</v>
      </c>
      <c r="EE5">
        <v>0.62057618826869465</v>
      </c>
      <c r="EF5" s="27">
        <v>1.7637E-2</v>
      </c>
      <c r="EG5">
        <v>1.7299999999999999E-2</v>
      </c>
      <c r="EH5">
        <v>14.273952095808383</v>
      </c>
      <c r="EI5" t="s">
        <v>398</v>
      </c>
      <c r="EJ5">
        <v>1</v>
      </c>
      <c r="EK5">
        <v>0</v>
      </c>
      <c r="EL5" s="29">
        <v>44939</v>
      </c>
      <c r="EM5" s="30">
        <v>6.1100000000000002E-2</v>
      </c>
      <c r="EN5" s="30">
        <v>4.3E-3</v>
      </c>
      <c r="EO5" s="30">
        <v>-6.4999999999999997E-3</v>
      </c>
      <c r="EP5" s="30">
        <v>-3.27E-2</v>
      </c>
      <c r="EQ5" s="30">
        <v>3.49</v>
      </c>
    </row>
    <row r="6" spans="1:147" ht="118.8" x14ac:dyDescent="0.25">
      <c r="D6" s="28" t="s">
        <v>1691</v>
      </c>
      <c r="E6" t="s">
        <v>1545</v>
      </c>
      <c r="F6" t="s">
        <v>1546</v>
      </c>
      <c r="G6">
        <v>22.89</v>
      </c>
      <c r="H6">
        <v>5.58</v>
      </c>
      <c r="I6" t="s">
        <v>1547</v>
      </c>
      <c r="J6">
        <v>6945009100</v>
      </c>
      <c r="K6">
        <v>31.19</v>
      </c>
      <c r="L6">
        <v>4.18</v>
      </c>
      <c r="M6" t="s">
        <v>424</v>
      </c>
      <c r="N6" t="s">
        <v>1668</v>
      </c>
      <c r="O6" t="s">
        <v>1669</v>
      </c>
      <c r="P6" t="s">
        <v>1670</v>
      </c>
      <c r="Q6">
        <v>0.59</v>
      </c>
      <c r="R6" t="s">
        <v>529</v>
      </c>
      <c r="S6">
        <v>155127350</v>
      </c>
      <c r="T6" s="3">
        <v>-0.2044</v>
      </c>
      <c r="U6" t="s">
        <v>1671</v>
      </c>
      <c r="V6">
        <v>118725432</v>
      </c>
      <c r="W6">
        <v>303408000</v>
      </c>
      <c r="X6">
        <v>1.39</v>
      </c>
      <c r="Y6">
        <v>0.48</v>
      </c>
      <c r="Z6">
        <v>14.61</v>
      </c>
      <c r="AA6" t="s">
        <v>259</v>
      </c>
      <c r="AB6" t="s">
        <v>568</v>
      </c>
      <c r="AC6" t="s">
        <v>140</v>
      </c>
      <c r="AD6" t="s">
        <v>1672</v>
      </c>
      <c r="AE6" t="s">
        <v>1673</v>
      </c>
      <c r="AF6">
        <v>-18002372</v>
      </c>
      <c r="AG6" t="s">
        <v>1674</v>
      </c>
      <c r="AH6" t="s">
        <v>1675</v>
      </c>
      <c r="AI6" t="s">
        <v>1676</v>
      </c>
      <c r="AJ6" t="s">
        <v>1677</v>
      </c>
      <c r="AK6" t="s">
        <v>1678</v>
      </c>
      <c r="AL6" t="s">
        <v>7</v>
      </c>
      <c r="AM6" t="s">
        <v>1679</v>
      </c>
      <c r="AN6" t="s">
        <v>7</v>
      </c>
      <c r="AO6" t="s">
        <v>117</v>
      </c>
      <c r="AP6" t="s">
        <v>1680</v>
      </c>
      <c r="AQ6" t="s">
        <v>1681</v>
      </c>
      <c r="AR6" t="s">
        <v>28</v>
      </c>
      <c r="AS6" t="s">
        <v>1682</v>
      </c>
      <c r="AT6" t="s">
        <v>1683</v>
      </c>
      <c r="AU6" t="s">
        <v>7</v>
      </c>
      <c r="AV6" t="s">
        <v>68</v>
      </c>
      <c r="AW6" t="s">
        <v>1101</v>
      </c>
      <c r="AX6" t="s">
        <v>1684</v>
      </c>
      <c r="AY6" t="s">
        <v>1685</v>
      </c>
      <c r="AZ6" t="s">
        <v>460</v>
      </c>
      <c r="BA6" t="s">
        <v>379</v>
      </c>
      <c r="BB6" t="s">
        <v>160</v>
      </c>
      <c r="BC6" t="s">
        <v>1686</v>
      </c>
      <c r="BD6" t="s">
        <v>114</v>
      </c>
      <c r="BE6" t="s">
        <v>476</v>
      </c>
      <c r="BF6" t="s">
        <v>74</v>
      </c>
      <c r="BG6" t="s">
        <v>1687</v>
      </c>
      <c r="BH6" t="s">
        <v>99</v>
      </c>
      <c r="BI6" t="s">
        <v>132</v>
      </c>
      <c r="BJ6" t="s">
        <v>545</v>
      </c>
      <c r="BK6" t="s">
        <v>1688</v>
      </c>
      <c r="BL6" t="s">
        <v>30</v>
      </c>
      <c r="BM6" t="s">
        <v>102</v>
      </c>
      <c r="BN6" t="s">
        <v>108</v>
      </c>
      <c r="BO6">
        <v>19.71</v>
      </c>
      <c r="BP6">
        <v>32.46</v>
      </c>
      <c r="BQ6">
        <v>35.25</v>
      </c>
      <c r="BR6">
        <v>18.12</v>
      </c>
      <c r="BS6">
        <v>34.479999999999997</v>
      </c>
      <c r="BT6" t="s">
        <v>7</v>
      </c>
      <c r="BU6" t="s">
        <v>1689</v>
      </c>
      <c r="BV6" t="s">
        <v>1599</v>
      </c>
      <c r="BW6">
        <v>31.25</v>
      </c>
      <c r="BX6">
        <v>37.18</v>
      </c>
      <c r="BY6">
        <v>40.9</v>
      </c>
      <c r="BZ6">
        <v>14.71</v>
      </c>
      <c r="CA6">
        <v>19.73</v>
      </c>
      <c r="CB6">
        <v>18.64</v>
      </c>
      <c r="CC6">
        <v>2.42</v>
      </c>
      <c r="CD6">
        <v>5.73</v>
      </c>
      <c r="CE6" t="s">
        <v>1690</v>
      </c>
      <c r="CF6" t="s">
        <v>470</v>
      </c>
      <c r="CG6" s="24">
        <v>-3.8684026666666975E-2</v>
      </c>
      <c r="CH6" s="25">
        <v>-0.21019166666666667</v>
      </c>
      <c r="CI6" s="24">
        <v>0.35110294818878174</v>
      </c>
      <c r="CJ6" s="24">
        <v>0.11589743942022324</v>
      </c>
      <c r="CK6" s="24">
        <v>0.23888182640075684</v>
      </c>
      <c r="CL6" s="24">
        <v>0.30730897188186646</v>
      </c>
      <c r="CM6" s="24">
        <v>0.32891830801963806</v>
      </c>
      <c r="CN6" s="25">
        <v>0.21860465407371521</v>
      </c>
      <c r="CO6" s="25">
        <v>0.18131868541240692</v>
      </c>
      <c r="CP6" s="25">
        <v>0.46774193644523621</v>
      </c>
      <c r="CQ6" s="25">
        <v>0.37505066394805908</v>
      </c>
      <c r="CR6" s="25">
        <v>-0.11589709669351578</v>
      </c>
      <c r="CS6">
        <v>4.7244959863945581</v>
      </c>
      <c r="CT6">
        <v>50380249.236641221</v>
      </c>
      <c r="CU6">
        <v>1.9659239842726082</v>
      </c>
      <c r="CV6" s="24">
        <v>0.26842189878225325</v>
      </c>
      <c r="CW6" s="25">
        <v>0.22536376863718033</v>
      </c>
      <c r="CX6">
        <v>0.06</v>
      </c>
      <c r="CY6">
        <v>18.904989332548062</v>
      </c>
      <c r="CZ6">
        <v>313515601.39712298</v>
      </c>
      <c r="DA6">
        <v>0.26842189878225325</v>
      </c>
      <c r="DB6">
        <v>5.3286648061004191</v>
      </c>
      <c r="DC6">
        <v>1112287846.1438553</v>
      </c>
      <c r="DD6">
        <v>0.25500080384314056</v>
      </c>
      <c r="DE6">
        <v>2.126957853954289</v>
      </c>
      <c r="DF6">
        <v>2786613326.1554408</v>
      </c>
      <c r="DG6">
        <v>0.23621127092838287</v>
      </c>
      <c r="DH6">
        <v>0.99153206525508242</v>
      </c>
      <c r="DI6">
        <v>5977627257.5463428</v>
      </c>
      <c r="DJ6">
        <v>0.21473751902580263</v>
      </c>
      <c r="DK6">
        <v>0.2780422214337207</v>
      </c>
      <c r="DL6">
        <v>21316939094.492424</v>
      </c>
      <c r="DM6">
        <v>0.18789532914757726</v>
      </c>
      <c r="DN6">
        <v>262000000</v>
      </c>
      <c r="DO6">
        <v>0.26842189878225325</v>
      </c>
      <c r="DP6">
        <v>5927009100</v>
      </c>
      <c r="DQ6">
        <v>438209210</v>
      </c>
      <c r="DR6">
        <v>4387</v>
      </c>
      <c r="DS6">
        <v>-0.30710592544892024</v>
      </c>
      <c r="DT6">
        <v>-0.43555543530384699</v>
      </c>
      <c r="DU6" s="26">
        <v>0.51666666666666661</v>
      </c>
      <c r="DV6">
        <v>0.34666666666666668</v>
      </c>
      <c r="DW6">
        <v>0.86333333333333329</v>
      </c>
      <c r="DX6">
        <v>1.0572999999999999</v>
      </c>
      <c r="DY6">
        <v>0.65217228260869353</v>
      </c>
      <c r="DZ6">
        <v>1.0052814717934782</v>
      </c>
      <c r="EA6">
        <v>1845</v>
      </c>
      <c r="EB6">
        <v>1.0033005172378842</v>
      </c>
      <c r="EC6">
        <v>1</v>
      </c>
      <c r="ED6">
        <v>5.5897339555977428E-2</v>
      </c>
      <c r="EE6">
        <v>0.60644412803881242</v>
      </c>
      <c r="EF6" s="27">
        <v>4.3277000000000003E-2</v>
      </c>
      <c r="EG6">
        <v>9.9099999999999994E-2</v>
      </c>
      <c r="EH6">
        <v>56.092172282608693</v>
      </c>
      <c r="EI6" t="s">
        <v>398</v>
      </c>
      <c r="EJ6">
        <v>0</v>
      </c>
      <c r="EK6">
        <v>0</v>
      </c>
      <c r="EL6" s="29">
        <v>44939</v>
      </c>
      <c r="EM6" s="30">
        <v>1.7899999999999999E-2</v>
      </c>
      <c r="EN6" s="30">
        <v>-2.1999999999999999E-2</v>
      </c>
      <c r="EO6" s="30">
        <v>-1.35E-2</v>
      </c>
      <c r="EP6" s="30">
        <v>-1.23E-2</v>
      </c>
      <c r="EQ6" s="30">
        <v>5.58</v>
      </c>
    </row>
    <row r="7" spans="1:147" ht="108" x14ac:dyDescent="0.25">
      <c r="D7" s="28" t="s">
        <v>1717</v>
      </c>
      <c r="E7" t="s">
        <v>1548</v>
      </c>
      <c r="F7" t="s">
        <v>1549</v>
      </c>
      <c r="G7">
        <v>18.89</v>
      </c>
      <c r="H7">
        <v>4.0199999999999996</v>
      </c>
      <c r="I7" t="s">
        <v>1550</v>
      </c>
      <c r="J7">
        <v>6756953000</v>
      </c>
      <c r="K7">
        <v>27.72</v>
      </c>
      <c r="L7">
        <v>2.87</v>
      </c>
      <c r="M7" t="s">
        <v>424</v>
      </c>
      <c r="N7" t="s">
        <v>1406</v>
      </c>
      <c r="O7" t="s">
        <v>1692</v>
      </c>
      <c r="P7" t="s">
        <v>1693</v>
      </c>
      <c r="Q7">
        <v>31.21</v>
      </c>
      <c r="R7" t="s">
        <v>1694</v>
      </c>
      <c r="S7">
        <v>181381300</v>
      </c>
      <c r="T7" s="3">
        <v>0.85770000000000002</v>
      </c>
      <c r="U7" t="s">
        <v>498</v>
      </c>
      <c r="V7">
        <v>83746040</v>
      </c>
      <c r="W7">
        <v>357700000</v>
      </c>
      <c r="X7">
        <v>1.1000000000000001</v>
      </c>
      <c r="Y7">
        <v>0.32</v>
      </c>
      <c r="Z7">
        <v>22.38</v>
      </c>
      <c r="AA7" t="s">
        <v>1695</v>
      </c>
      <c r="AB7" t="s">
        <v>85</v>
      </c>
      <c r="AC7" t="s">
        <v>1696</v>
      </c>
      <c r="AD7" t="s">
        <v>1697</v>
      </c>
      <c r="AE7" t="s">
        <v>1698</v>
      </c>
      <c r="AF7">
        <v>-49980222</v>
      </c>
      <c r="AG7" t="s">
        <v>1699</v>
      </c>
      <c r="AH7" t="s">
        <v>510</v>
      </c>
      <c r="AI7" t="s">
        <v>1700</v>
      </c>
      <c r="AJ7" t="s">
        <v>76</v>
      </c>
      <c r="AK7" t="s">
        <v>1701</v>
      </c>
      <c r="AL7" t="s">
        <v>1702</v>
      </c>
      <c r="AM7" t="s">
        <v>1703</v>
      </c>
      <c r="AN7" t="s">
        <v>7</v>
      </c>
      <c r="AO7" t="s">
        <v>1704</v>
      </c>
      <c r="AP7" t="s">
        <v>1705</v>
      </c>
      <c r="AQ7" t="s">
        <v>7</v>
      </c>
      <c r="AR7" t="s">
        <v>1706</v>
      </c>
      <c r="AS7" t="s">
        <v>7</v>
      </c>
      <c r="AT7" t="s">
        <v>134</v>
      </c>
      <c r="AU7" t="s">
        <v>7</v>
      </c>
      <c r="AV7" t="s">
        <v>554</v>
      </c>
      <c r="AW7" t="s">
        <v>1707</v>
      </c>
      <c r="AX7" t="s">
        <v>1708</v>
      </c>
      <c r="AY7" t="s">
        <v>1709</v>
      </c>
      <c r="AZ7" t="s">
        <v>401</v>
      </c>
      <c r="BA7" t="s">
        <v>1710</v>
      </c>
      <c r="BB7" t="s">
        <v>1711</v>
      </c>
      <c r="BC7" t="s">
        <v>162</v>
      </c>
      <c r="BD7" t="s">
        <v>782</v>
      </c>
      <c r="BE7" t="s">
        <v>415</v>
      </c>
      <c r="BF7" t="s">
        <v>150</v>
      </c>
      <c r="BG7" t="s">
        <v>1712</v>
      </c>
      <c r="BH7" t="s">
        <v>145</v>
      </c>
      <c r="BI7" t="s">
        <v>1435</v>
      </c>
      <c r="BJ7" t="s">
        <v>1456</v>
      </c>
      <c r="BK7" t="s">
        <v>548</v>
      </c>
      <c r="BL7" t="s">
        <v>54</v>
      </c>
      <c r="BM7" t="s">
        <v>1713</v>
      </c>
      <c r="BN7" t="s">
        <v>1714</v>
      </c>
      <c r="BO7">
        <v>5.28</v>
      </c>
      <c r="BP7">
        <v>5.43</v>
      </c>
      <c r="BQ7">
        <v>6.57</v>
      </c>
      <c r="BR7">
        <v>7.19</v>
      </c>
      <c r="BS7">
        <v>7.63</v>
      </c>
      <c r="BT7">
        <v>9.17</v>
      </c>
      <c r="BU7" t="s">
        <v>1229</v>
      </c>
      <c r="BV7" t="s">
        <v>1599</v>
      </c>
      <c r="BW7">
        <v>25.56</v>
      </c>
      <c r="BX7">
        <v>23.87</v>
      </c>
      <c r="BY7">
        <v>31.53</v>
      </c>
      <c r="BZ7">
        <v>23.03</v>
      </c>
      <c r="CA7">
        <v>18.03</v>
      </c>
      <c r="CB7">
        <v>20.2</v>
      </c>
      <c r="CC7">
        <v>0.37</v>
      </c>
      <c r="CD7">
        <v>-8.9600000000000009</v>
      </c>
      <c r="CE7" t="s">
        <v>1715</v>
      </c>
      <c r="CF7" t="s">
        <v>1716</v>
      </c>
      <c r="CG7" s="24">
        <v>0.2075967</v>
      </c>
      <c r="CH7" s="25">
        <v>9.997794860934324E-2</v>
      </c>
      <c r="CI7" s="24">
        <v>3.5629455000162125E-2</v>
      </c>
      <c r="CJ7" s="24">
        <v>4.7732698731124401E-3</v>
      </c>
      <c r="CK7" s="24">
        <v>-0.21535579860210419</v>
      </c>
      <c r="CL7" s="24">
        <v>0.18534961342811584</v>
      </c>
      <c r="CM7" s="24">
        <v>2.9714286327362061E-2</v>
      </c>
      <c r="CN7" s="25">
        <v>5.2631579339504242E-2</v>
      </c>
      <c r="CO7" s="25">
        <v>-0.10059171915054321</v>
      </c>
      <c r="CP7" s="25">
        <v>0.23357664048671722</v>
      </c>
      <c r="CQ7" s="25">
        <v>0.58518582582473755</v>
      </c>
      <c r="CR7" s="25">
        <v>-0.29735609889030457</v>
      </c>
      <c r="CS7">
        <v>7.7487993119266045</v>
      </c>
      <c r="CT7">
        <v>118938562.5</v>
      </c>
      <c r="CU7">
        <v>0.26469031233456852</v>
      </c>
      <c r="CV7" s="24">
        <v>8.0221652053296573E-3</v>
      </c>
      <c r="CW7" s="25">
        <v>9.468924552202225E-2</v>
      </c>
      <c r="CX7">
        <v>0.06</v>
      </c>
      <c r="CY7">
        <v>30.435901792646209</v>
      </c>
      <c r="CZ7">
        <v>152154289.08759689</v>
      </c>
      <c r="DA7">
        <v>8.0221652053296573E-3</v>
      </c>
      <c r="DB7">
        <v>10.667795983362803</v>
      </c>
      <c r="DC7">
        <v>434105883.4666791</v>
      </c>
      <c r="DD7">
        <v>7.6210569450631737E-3</v>
      </c>
      <c r="DE7">
        <v>5.7493076511904944</v>
      </c>
      <c r="DF7">
        <v>805480117.0782851</v>
      </c>
      <c r="DG7">
        <v>7.0595053806900981E-3</v>
      </c>
      <c r="DH7">
        <v>3.8075247604178259</v>
      </c>
      <c r="DI7">
        <v>1216263397.1924095</v>
      </c>
      <c r="DJ7">
        <v>6.4177321642637265E-3</v>
      </c>
      <c r="DK7">
        <v>2.4035318110135822</v>
      </c>
      <c r="DL7">
        <v>1926728399.7573147</v>
      </c>
      <c r="DM7">
        <v>5.6155156437307594E-3</v>
      </c>
      <c r="DN7">
        <v>160000000</v>
      </c>
      <c r="DO7">
        <v>8.0221652053296573E-3</v>
      </c>
      <c r="DP7">
        <v>4630953000</v>
      </c>
      <c r="DQ7">
        <v>1549182600</v>
      </c>
      <c r="DR7">
        <v>4361</v>
      </c>
      <c r="DS7">
        <v>0.19957453479467033</v>
      </c>
      <c r="DT7">
        <v>5.2887030873209895E-3</v>
      </c>
      <c r="DU7" s="26">
        <v>0.58333333333333337</v>
      </c>
      <c r="DV7">
        <v>0.75</v>
      </c>
      <c r="DW7">
        <v>1.3333333333333335</v>
      </c>
      <c r="DX7">
        <v>-2.0895999999999999</v>
      </c>
      <c r="DY7">
        <v>0.59563212682884115</v>
      </c>
      <c r="DZ7">
        <v>-2.0076726385638644</v>
      </c>
      <c r="EA7">
        <v>1021</v>
      </c>
      <c r="EB7">
        <v>-2.0060800864244648</v>
      </c>
      <c r="EC7">
        <v>2</v>
      </c>
      <c r="ED7">
        <v>1.5426614481408999E-2</v>
      </c>
      <c r="EE7">
        <v>0.1801498462398658</v>
      </c>
      <c r="EF7" s="27">
        <v>0.11948599999999999</v>
      </c>
      <c r="EG7">
        <v>1.0097</v>
      </c>
      <c r="EH7">
        <v>51.085632126828841</v>
      </c>
      <c r="EI7" t="s">
        <v>404</v>
      </c>
      <c r="EJ7">
        <v>0</v>
      </c>
      <c r="EK7">
        <v>1</v>
      </c>
      <c r="EL7" s="29">
        <v>44939</v>
      </c>
      <c r="EM7" s="30">
        <v>6.8999999999999999E-3</v>
      </c>
      <c r="EN7" s="30">
        <v>-8.3999999999999995E-3</v>
      </c>
      <c r="EO7" s="30">
        <v>-2.24E-2</v>
      </c>
      <c r="EP7" s="30">
        <v>-1.14E-2</v>
      </c>
      <c r="EQ7" s="30">
        <v>4.0199999999999996</v>
      </c>
    </row>
    <row r="8" spans="1:147" ht="118.8" x14ac:dyDescent="0.25">
      <c r="B8" s="28" t="s">
        <v>1718</v>
      </c>
      <c r="C8" s="28" t="s">
        <v>1719</v>
      </c>
      <c r="D8" s="28" t="s">
        <v>1747</v>
      </c>
      <c r="E8" t="s">
        <v>1551</v>
      </c>
      <c r="F8" t="s">
        <v>1552</v>
      </c>
      <c r="G8">
        <v>15.1</v>
      </c>
      <c r="H8">
        <v>9.98</v>
      </c>
      <c r="I8" t="s">
        <v>1553</v>
      </c>
      <c r="J8">
        <v>6202261600</v>
      </c>
      <c r="K8">
        <v>57.37</v>
      </c>
      <c r="L8">
        <v>2.19</v>
      </c>
      <c r="M8" t="s">
        <v>424</v>
      </c>
      <c r="N8" t="s">
        <v>1720</v>
      </c>
      <c r="O8" t="s">
        <v>1721</v>
      </c>
      <c r="P8" t="s">
        <v>1722</v>
      </c>
      <c r="Q8">
        <v>-22.48</v>
      </c>
      <c r="R8" t="s">
        <v>1723</v>
      </c>
      <c r="S8">
        <v>-75038091</v>
      </c>
      <c r="T8" s="3">
        <v>-2.9049999999999998</v>
      </c>
      <c r="U8" t="s">
        <v>91</v>
      </c>
      <c r="V8">
        <v>410745800</v>
      </c>
      <c r="W8">
        <v>410745800</v>
      </c>
      <c r="X8">
        <v>1.48</v>
      </c>
      <c r="Y8">
        <v>0.33</v>
      </c>
      <c r="Z8">
        <v>-4.9000000000000004</v>
      </c>
      <c r="AA8" t="s">
        <v>1724</v>
      </c>
      <c r="AB8" t="s">
        <v>1725</v>
      </c>
      <c r="AC8" t="s">
        <v>121</v>
      </c>
      <c r="AD8" t="s">
        <v>415</v>
      </c>
      <c r="AE8" t="s">
        <v>1726</v>
      </c>
      <c r="AF8">
        <v>-35257540</v>
      </c>
      <c r="AG8" t="s">
        <v>1727</v>
      </c>
      <c r="AH8" t="s">
        <v>1728</v>
      </c>
      <c r="AI8" t="s">
        <v>1729</v>
      </c>
      <c r="AJ8" t="s">
        <v>972</v>
      </c>
      <c r="AK8" t="s">
        <v>1730</v>
      </c>
      <c r="AL8" t="s">
        <v>7</v>
      </c>
      <c r="AM8" t="s">
        <v>1731</v>
      </c>
      <c r="AN8" t="s">
        <v>7</v>
      </c>
      <c r="AO8" t="s">
        <v>1732</v>
      </c>
      <c r="AP8" t="s">
        <v>396</v>
      </c>
      <c r="AQ8" t="s">
        <v>55</v>
      </c>
      <c r="AR8" t="s">
        <v>1733</v>
      </c>
      <c r="AS8" t="s">
        <v>7</v>
      </c>
      <c r="AT8" t="s">
        <v>558</v>
      </c>
      <c r="AU8" t="s">
        <v>7</v>
      </c>
      <c r="AV8" t="s">
        <v>513</v>
      </c>
      <c r="AW8" t="s">
        <v>1734</v>
      </c>
      <c r="AX8" t="s">
        <v>1735</v>
      </c>
      <c r="AY8" t="s">
        <v>1736</v>
      </c>
      <c r="AZ8" t="s">
        <v>1737</v>
      </c>
      <c r="BA8" t="s">
        <v>1738</v>
      </c>
      <c r="BB8" t="s">
        <v>975</v>
      </c>
      <c r="BC8" t="s">
        <v>514</v>
      </c>
      <c r="BD8" t="s">
        <v>177</v>
      </c>
      <c r="BE8" t="s">
        <v>17</v>
      </c>
      <c r="BF8" t="s">
        <v>106</v>
      </c>
      <c r="BG8" t="s">
        <v>58</v>
      </c>
      <c r="BH8" t="s">
        <v>492</v>
      </c>
      <c r="BI8" t="s">
        <v>1739</v>
      </c>
      <c r="BJ8" t="s">
        <v>1740</v>
      </c>
      <c r="BK8" t="s">
        <v>1685</v>
      </c>
      <c r="BL8" t="s">
        <v>1741</v>
      </c>
      <c r="BM8" t="s">
        <v>1742</v>
      </c>
      <c r="BN8" t="s">
        <v>1743</v>
      </c>
      <c r="BO8">
        <v>5.22</v>
      </c>
      <c r="BP8">
        <v>11.05</v>
      </c>
      <c r="BQ8">
        <v>13.9</v>
      </c>
      <c r="BR8">
        <v>7.64</v>
      </c>
      <c r="BS8">
        <v>13.33</v>
      </c>
      <c r="BT8">
        <v>14.7</v>
      </c>
      <c r="BU8" t="s">
        <v>1744</v>
      </c>
      <c r="BV8" t="s">
        <v>1599</v>
      </c>
      <c r="BW8">
        <v>20.7</v>
      </c>
      <c r="BX8">
        <v>36.200000000000003</v>
      </c>
      <c r="BY8">
        <v>41.2</v>
      </c>
      <c r="BZ8">
        <v>-15.04</v>
      </c>
      <c r="CA8">
        <v>9.5299999999999994</v>
      </c>
      <c r="CB8">
        <v>8.73</v>
      </c>
      <c r="CC8">
        <v>5.59</v>
      </c>
      <c r="CD8">
        <v>20.51</v>
      </c>
      <c r="CE8" t="s">
        <v>1745</v>
      </c>
      <c r="CF8" t="s">
        <v>1746</v>
      </c>
      <c r="CG8" s="24">
        <v>-0.24245237020316007</v>
      </c>
      <c r="CH8" s="25">
        <v>-0.46915002080630069</v>
      </c>
      <c r="CI8" s="24">
        <v>-7.8436605632305145E-2</v>
      </c>
      <c r="CJ8" s="24">
        <v>-5.4550010710954666E-2</v>
      </c>
      <c r="CK8" s="24">
        <v>0.22362343966960907</v>
      </c>
      <c r="CL8" s="24">
        <v>0.23143941164016724</v>
      </c>
      <c r="CM8" s="24">
        <v>0.10460244864225388</v>
      </c>
      <c r="CN8" s="25">
        <v>-0.37709498405456543</v>
      </c>
      <c r="CO8" s="25">
        <v>3.1700287014245987E-2</v>
      </c>
      <c r="CP8" s="25">
        <v>0.10158730298280716</v>
      </c>
      <c r="CQ8" s="25">
        <v>0.1753731369972229</v>
      </c>
      <c r="CR8" s="25">
        <v>7.5187971815466881E-3</v>
      </c>
      <c r="CS8">
        <v>1.7894580496249282</v>
      </c>
      <c r="CT8">
        <v>-46563031.838565022</v>
      </c>
      <c r="CU8">
        <v>1.1258278145695364</v>
      </c>
      <c r="CV8" s="24">
        <v>8.5335736721754069E-2</v>
      </c>
      <c r="CW8" s="25">
        <v>-1.2183091975748539E-2</v>
      </c>
      <c r="CX8">
        <v>0.06</v>
      </c>
      <c r="CY8">
        <v>20.760566911686471</v>
      </c>
      <c r="CZ8">
        <v>228330065.36693501</v>
      </c>
      <c r="DA8">
        <v>8.5335736721754069E-2</v>
      </c>
      <c r="DB8">
        <v>6.8112223939559611</v>
      </c>
      <c r="DC8">
        <v>695948733.69666231</v>
      </c>
      <c r="DD8">
        <v>8.1068949885666361E-2</v>
      </c>
      <c r="DE8">
        <v>3.3707419868646329</v>
      </c>
      <c r="DF8">
        <v>1406296185.9650536</v>
      </c>
      <c r="DG8">
        <v>7.5095448315143587E-2</v>
      </c>
      <c r="DH8">
        <v>2.036240275289575</v>
      </c>
      <c r="DI8">
        <v>2327948060.7100186</v>
      </c>
      <c r="DJ8">
        <v>6.8268589377403252E-2</v>
      </c>
      <c r="DK8">
        <v>1.0656316174527136</v>
      </c>
      <c r="DL8">
        <v>4448311707.6904345</v>
      </c>
      <c r="DM8">
        <v>5.9735015705227844E-2</v>
      </c>
      <c r="DN8">
        <v>223000000</v>
      </c>
      <c r="DO8">
        <v>8.5335736721754069E-2</v>
      </c>
      <c r="DP8">
        <v>4740261600</v>
      </c>
      <c r="DQ8">
        <v>778353300</v>
      </c>
      <c r="DR8">
        <v>4147</v>
      </c>
      <c r="DS8">
        <v>-0.32778810692491411</v>
      </c>
      <c r="DT8">
        <v>-0.45696692883055218</v>
      </c>
      <c r="DU8" s="26">
        <v>2.9999999999999988E-2</v>
      </c>
      <c r="DV8">
        <v>-0.94833333333333336</v>
      </c>
      <c r="DW8">
        <v>-0.91833333333333333</v>
      </c>
      <c r="DX8">
        <v>8.2725499756216472</v>
      </c>
      <c r="DY8">
        <v>0.70488588522047313</v>
      </c>
      <c r="DZ8">
        <v>8.0422141442409778</v>
      </c>
      <c r="EA8">
        <v>4147</v>
      </c>
      <c r="EB8">
        <v>8.0066251919808984</v>
      </c>
      <c r="EC8">
        <v>8</v>
      </c>
      <c r="ED8">
        <v>2.8930301904486911E-2</v>
      </c>
      <c r="EE8">
        <v>0.1867846244562939</v>
      </c>
      <c r="EF8" s="27">
        <v>6.8003999999999995E-2</v>
      </c>
      <c r="EG8">
        <v>1.0178</v>
      </c>
      <c r="EH8">
        <v>55.154885885220473</v>
      </c>
      <c r="EI8" t="s">
        <v>404</v>
      </c>
      <c r="EJ8">
        <v>0</v>
      </c>
      <c r="EK8">
        <v>0</v>
      </c>
      <c r="EL8" s="29">
        <v>44939</v>
      </c>
      <c r="EM8" s="30">
        <v>1.8200000000000001E-2</v>
      </c>
      <c r="EN8" s="30">
        <v>1.7899999999999999E-2</v>
      </c>
      <c r="EO8" s="30">
        <v>-1.4800000000000001E-2</v>
      </c>
      <c r="EP8" s="30">
        <v>-5.96E-2</v>
      </c>
      <c r="EQ8" s="30">
        <v>9.98</v>
      </c>
    </row>
    <row r="9" spans="1:147" ht="129.6" x14ac:dyDescent="0.25">
      <c r="D9" s="28" t="s">
        <v>1772</v>
      </c>
      <c r="E9" t="s">
        <v>1554</v>
      </c>
      <c r="F9" t="s">
        <v>1555</v>
      </c>
      <c r="G9">
        <v>13.92</v>
      </c>
      <c r="H9">
        <v>0.87</v>
      </c>
      <c r="I9" t="s">
        <v>1556</v>
      </c>
      <c r="J9">
        <v>5985600000</v>
      </c>
      <c r="K9">
        <v>73.099999999999994</v>
      </c>
      <c r="L9">
        <v>3.11</v>
      </c>
      <c r="M9" t="s">
        <v>424</v>
      </c>
      <c r="N9" t="s">
        <v>134</v>
      </c>
      <c r="O9" t="s">
        <v>1748</v>
      </c>
      <c r="P9" t="s">
        <v>1749</v>
      </c>
      <c r="Q9">
        <v>20.62</v>
      </c>
      <c r="R9" t="s">
        <v>1115</v>
      </c>
      <c r="S9">
        <v>78911122</v>
      </c>
      <c r="T9" s="3">
        <v>-0.4521</v>
      </c>
      <c r="U9" t="s">
        <v>165</v>
      </c>
      <c r="V9">
        <v>140858280</v>
      </c>
      <c r="W9">
        <v>430000000</v>
      </c>
      <c r="X9">
        <v>1.1100000000000001</v>
      </c>
      <c r="Y9">
        <v>0.38</v>
      </c>
      <c r="Z9">
        <v>9.2799999999999994</v>
      </c>
      <c r="AA9" t="s">
        <v>1750</v>
      </c>
      <c r="AB9" t="s">
        <v>176</v>
      </c>
      <c r="AC9" t="s">
        <v>47</v>
      </c>
      <c r="AD9" t="s">
        <v>1751</v>
      </c>
      <c r="AE9" t="s">
        <v>1752</v>
      </c>
      <c r="AF9">
        <v>-11993448</v>
      </c>
      <c r="AG9" t="s">
        <v>1753</v>
      </c>
      <c r="AH9" t="s">
        <v>1754</v>
      </c>
      <c r="AI9" t="s">
        <v>1755</v>
      </c>
      <c r="AJ9" t="s">
        <v>39</v>
      </c>
      <c r="AK9" t="s">
        <v>1756</v>
      </c>
      <c r="AL9" t="s">
        <v>7</v>
      </c>
      <c r="AM9" t="s">
        <v>1757</v>
      </c>
      <c r="AN9" t="s">
        <v>7</v>
      </c>
      <c r="AO9" t="s">
        <v>27</v>
      </c>
      <c r="AP9" t="s">
        <v>7</v>
      </c>
      <c r="AQ9" t="s">
        <v>7</v>
      </c>
      <c r="AR9" t="s">
        <v>1758</v>
      </c>
      <c r="AS9" t="s">
        <v>7</v>
      </c>
      <c r="AT9" t="s">
        <v>137</v>
      </c>
      <c r="AU9" t="s">
        <v>7</v>
      </c>
      <c r="AV9" t="s">
        <v>1759</v>
      </c>
      <c r="AW9" t="s">
        <v>1760</v>
      </c>
      <c r="AX9" t="s">
        <v>1761</v>
      </c>
      <c r="AY9" t="s">
        <v>1762</v>
      </c>
      <c r="AZ9" t="s">
        <v>893</v>
      </c>
      <c r="BA9" t="s">
        <v>994</v>
      </c>
      <c r="BB9" t="s">
        <v>37</v>
      </c>
      <c r="BC9" t="s">
        <v>138</v>
      </c>
      <c r="BD9" t="s">
        <v>124</v>
      </c>
      <c r="BE9" t="s">
        <v>84</v>
      </c>
      <c r="BF9" t="s">
        <v>1763</v>
      </c>
      <c r="BG9" t="s">
        <v>82</v>
      </c>
      <c r="BH9" t="s">
        <v>98</v>
      </c>
      <c r="BI9" t="s">
        <v>180</v>
      </c>
      <c r="BJ9" t="s">
        <v>1764</v>
      </c>
      <c r="BK9" t="s">
        <v>400</v>
      </c>
      <c r="BL9" t="s">
        <v>1765</v>
      </c>
      <c r="BM9" t="s">
        <v>494</v>
      </c>
      <c r="BN9" t="s">
        <v>74</v>
      </c>
      <c r="BO9">
        <v>6.84</v>
      </c>
      <c r="BP9">
        <v>13.43</v>
      </c>
      <c r="BQ9">
        <v>33.26</v>
      </c>
      <c r="BR9">
        <v>7.33</v>
      </c>
      <c r="BS9">
        <v>16.82</v>
      </c>
      <c r="BT9">
        <v>36.06</v>
      </c>
      <c r="BU9" t="s">
        <v>1148</v>
      </c>
      <c r="BV9" t="s">
        <v>1599</v>
      </c>
      <c r="BW9">
        <v>32.11</v>
      </c>
      <c r="BX9">
        <v>46.58</v>
      </c>
      <c r="BY9">
        <v>52.68</v>
      </c>
      <c r="BZ9">
        <v>8.23</v>
      </c>
      <c r="CA9">
        <v>25.07</v>
      </c>
      <c r="CB9">
        <v>23.66</v>
      </c>
      <c r="CC9">
        <v>-5.69</v>
      </c>
      <c r="CD9">
        <v>-13.27</v>
      </c>
      <c r="CE9" t="s">
        <v>1766</v>
      </c>
      <c r="CF9" t="s">
        <v>54</v>
      </c>
      <c r="CG9" s="24">
        <v>0.36251820627802656</v>
      </c>
      <c r="CH9" s="25">
        <v>0.67447109999999999</v>
      </c>
      <c r="CI9" s="24">
        <v>7.2769954800605774E-2</v>
      </c>
      <c r="CJ9" s="24">
        <v>-0.31621187925338745</v>
      </c>
      <c r="CK9" s="24">
        <v>-3.185708075761795E-2</v>
      </c>
      <c r="CL9" s="24">
        <v>0.1230367049574852</v>
      </c>
      <c r="CM9" s="24">
        <v>4.0871996432542801E-2</v>
      </c>
      <c r="CN9" s="25">
        <v>-0.31308412551879883</v>
      </c>
      <c r="CO9" s="25">
        <v>-0.27457627654075623</v>
      </c>
      <c r="CP9" s="25">
        <v>0.16141732037067413</v>
      </c>
      <c r="CQ9" s="25">
        <v>0.12389380484819412</v>
      </c>
      <c r="CR9" s="25">
        <v>0.29142856597900391</v>
      </c>
      <c r="CS9">
        <v>6.548796498905908</v>
      </c>
      <c r="CT9">
        <v>38885390.476190478</v>
      </c>
      <c r="CU9">
        <v>1.5804597701149428</v>
      </c>
      <c r="CV9" s="24">
        <v>-2.2278060764074327E-2</v>
      </c>
      <c r="CW9" s="25">
        <v>-2.1841421723365782E-3</v>
      </c>
      <c r="CX9">
        <v>0.06</v>
      </c>
      <c r="CY9">
        <v>29.085714285714285</v>
      </c>
      <c r="CZ9" t="s">
        <v>1767</v>
      </c>
      <c r="DA9">
        <v>-2.2278060764074327E-2</v>
      </c>
      <c r="DB9">
        <v>9.6952380952380945</v>
      </c>
      <c r="DC9" t="s">
        <v>1768</v>
      </c>
      <c r="DD9">
        <v>-2.116415772587061E-2</v>
      </c>
      <c r="DE9">
        <v>4.8476190476190473</v>
      </c>
      <c r="DF9" t="s">
        <v>1769</v>
      </c>
      <c r="DG9">
        <v>-1.9604693472385408E-2</v>
      </c>
      <c r="DH9">
        <v>2.9085714285714284</v>
      </c>
      <c r="DI9" t="s">
        <v>1770</v>
      </c>
      <c r="DJ9">
        <v>-1.7822448611259461E-2</v>
      </c>
      <c r="DK9">
        <v>1.4542857142857142</v>
      </c>
      <c r="DL9" t="s">
        <v>1771</v>
      </c>
      <c r="DM9">
        <v>-1.5594642534852028E-2</v>
      </c>
      <c r="DN9">
        <v>147000000</v>
      </c>
      <c r="DO9">
        <v>-2.2278060764074327E-2</v>
      </c>
      <c r="DP9">
        <v>4275600000</v>
      </c>
      <c r="DQ9">
        <v>1212443100</v>
      </c>
      <c r="DR9">
        <v>4398</v>
      </c>
      <c r="DS9">
        <v>0.3847962670421009</v>
      </c>
      <c r="DT9">
        <v>0.67665524217233652</v>
      </c>
      <c r="DU9" s="26">
        <v>0.44999999999999996</v>
      </c>
      <c r="DV9">
        <v>-0.30333333333333334</v>
      </c>
      <c r="DW9">
        <v>0.14666666666666661</v>
      </c>
      <c r="DX9">
        <v>-8.4287867370007543</v>
      </c>
      <c r="DY9">
        <v>0.33997557251908517</v>
      </c>
      <c r="DZ9">
        <v>-8.0428681995202407</v>
      </c>
      <c r="EA9">
        <v>3181</v>
      </c>
      <c r="EB9">
        <v>-8.0151463571388852</v>
      </c>
      <c r="EC9">
        <v>8</v>
      </c>
      <c r="ED9">
        <v>3.0457674418604651E-2</v>
      </c>
      <c r="EE9">
        <v>0.30465116279069765</v>
      </c>
      <c r="EF9" s="27">
        <v>3.0800999999999999E-2</v>
      </c>
      <c r="EG9">
        <v>3.95E-2</v>
      </c>
      <c r="EH9">
        <v>24.099975572519085</v>
      </c>
      <c r="EI9" t="s">
        <v>398</v>
      </c>
      <c r="EJ9">
        <v>0</v>
      </c>
      <c r="EK9">
        <v>0</v>
      </c>
      <c r="EL9" s="29">
        <v>44939</v>
      </c>
      <c r="EM9" s="30">
        <v>-8.8000000000000005E-3</v>
      </c>
      <c r="EN9" s="30">
        <v>-1.9800000000000002E-2</v>
      </c>
      <c r="EO9" s="30">
        <v>-1.8100000000000002E-2</v>
      </c>
      <c r="EP9" s="30">
        <v>-1.9900000000000001E-2</v>
      </c>
      <c r="EQ9" s="30">
        <v>0.87</v>
      </c>
    </row>
    <row r="10" spans="1:147" ht="129.6" x14ac:dyDescent="0.25">
      <c r="B10" s="28"/>
      <c r="C10" s="28"/>
      <c r="D10" s="28" t="s">
        <v>1798</v>
      </c>
      <c r="E10" t="s">
        <v>1557</v>
      </c>
      <c r="F10" t="s">
        <v>1558</v>
      </c>
      <c r="G10">
        <v>12.26</v>
      </c>
      <c r="H10">
        <v>1.74</v>
      </c>
      <c r="I10" t="s">
        <v>1559</v>
      </c>
      <c r="J10">
        <v>5517000000</v>
      </c>
      <c r="K10">
        <v>31.18</v>
      </c>
      <c r="L10">
        <v>4.38</v>
      </c>
      <c r="M10" t="s">
        <v>424</v>
      </c>
      <c r="N10" t="s">
        <v>1773</v>
      </c>
      <c r="O10" t="s">
        <v>1774</v>
      </c>
      <c r="P10" t="s">
        <v>1775</v>
      </c>
      <c r="Q10">
        <v>8.57</v>
      </c>
      <c r="R10" t="s">
        <v>1776</v>
      </c>
      <c r="S10">
        <v>117653274</v>
      </c>
      <c r="T10" s="3">
        <v>-5.5199999999999999E-2</v>
      </c>
      <c r="U10" t="s">
        <v>470</v>
      </c>
      <c r="V10">
        <v>90000000</v>
      </c>
      <c r="W10">
        <v>450000000</v>
      </c>
      <c r="X10">
        <v>1.34</v>
      </c>
      <c r="Y10">
        <v>0.59</v>
      </c>
      <c r="Z10">
        <v>11.07</v>
      </c>
      <c r="AA10" t="s">
        <v>1115</v>
      </c>
      <c r="AB10" t="s">
        <v>405</v>
      </c>
      <c r="AC10" t="s">
        <v>41</v>
      </c>
      <c r="AD10" t="s">
        <v>1777</v>
      </c>
      <c r="AE10" t="s">
        <v>1778</v>
      </c>
      <c r="AF10">
        <v>-3659853</v>
      </c>
      <c r="AG10" t="s">
        <v>1779</v>
      </c>
      <c r="AH10" t="s">
        <v>1780</v>
      </c>
      <c r="AI10" t="s">
        <v>1781</v>
      </c>
      <c r="AJ10" t="s">
        <v>419</v>
      </c>
      <c r="AK10" t="s">
        <v>1782</v>
      </c>
      <c r="AL10" t="s">
        <v>7</v>
      </c>
      <c r="AM10" t="s">
        <v>1783</v>
      </c>
      <c r="AN10" t="s">
        <v>7</v>
      </c>
      <c r="AO10" t="s">
        <v>1784</v>
      </c>
      <c r="AP10" t="s">
        <v>7</v>
      </c>
      <c r="AQ10" t="s">
        <v>1785</v>
      </c>
      <c r="AR10" t="s">
        <v>476</v>
      </c>
      <c r="AS10" t="s">
        <v>7</v>
      </c>
      <c r="AT10" t="s">
        <v>1786</v>
      </c>
      <c r="AU10" t="s">
        <v>7</v>
      </c>
      <c r="AV10" t="s">
        <v>1787</v>
      </c>
      <c r="AW10" t="s">
        <v>1788</v>
      </c>
      <c r="AX10" t="s">
        <v>1789</v>
      </c>
      <c r="AY10" t="s">
        <v>123</v>
      </c>
      <c r="AZ10" t="s">
        <v>1790</v>
      </c>
      <c r="BA10" t="s">
        <v>394</v>
      </c>
      <c r="BB10" t="s">
        <v>515</v>
      </c>
      <c r="BC10" t="s">
        <v>7</v>
      </c>
      <c r="BD10" t="s">
        <v>23</v>
      </c>
      <c r="BE10" t="s">
        <v>136</v>
      </c>
      <c r="BF10" t="s">
        <v>143</v>
      </c>
      <c r="BG10" t="s">
        <v>1791</v>
      </c>
      <c r="BH10" t="s">
        <v>7</v>
      </c>
      <c r="BI10" t="s">
        <v>497</v>
      </c>
      <c r="BJ10" t="s">
        <v>1792</v>
      </c>
      <c r="BK10" t="s">
        <v>1793</v>
      </c>
      <c r="BL10" t="s">
        <v>1794</v>
      </c>
      <c r="BM10" t="s">
        <v>534</v>
      </c>
      <c r="BN10" t="s">
        <v>1795</v>
      </c>
      <c r="BO10">
        <v>17.8</v>
      </c>
      <c r="BP10">
        <v>22.42</v>
      </c>
      <c r="BQ10">
        <v>29.71</v>
      </c>
      <c r="BR10">
        <v>17.829999999999998</v>
      </c>
      <c r="BS10">
        <v>26.6</v>
      </c>
      <c r="BT10" t="s">
        <v>7</v>
      </c>
      <c r="BU10" t="s">
        <v>1796</v>
      </c>
      <c r="BV10" t="s">
        <v>1599</v>
      </c>
      <c r="BW10">
        <v>33.729999999999997</v>
      </c>
      <c r="BX10">
        <v>39.409999999999997</v>
      </c>
      <c r="BY10">
        <v>36.82</v>
      </c>
      <c r="BZ10">
        <v>11.9</v>
      </c>
      <c r="CA10">
        <v>14.33</v>
      </c>
      <c r="CB10">
        <v>14.52</v>
      </c>
      <c r="CC10">
        <v>-2.15</v>
      </c>
      <c r="CD10">
        <v>5.0599999999999996</v>
      </c>
      <c r="CE10" t="s">
        <v>1797</v>
      </c>
      <c r="CF10" t="s">
        <v>188</v>
      </c>
      <c r="CG10" s="24">
        <v>0.1600006031746036</v>
      </c>
      <c r="CH10" s="25">
        <v>0.21337532181270064</v>
      </c>
      <c r="CI10" s="24">
        <v>0.18123485147953033</v>
      </c>
      <c r="CJ10" s="24">
        <v>-0.12429770827293396</v>
      </c>
      <c r="CK10" s="24">
        <v>5.0922460854053497E-2</v>
      </c>
      <c r="CL10" s="24">
        <v>0.13389120995998383</v>
      </c>
      <c r="CM10" s="24" t="e">
        <v>#VALUE!</v>
      </c>
      <c r="CN10" s="25">
        <v>2.7932960540056229E-2</v>
      </c>
      <c r="CO10" s="25">
        <v>-0.13526569306850433</v>
      </c>
      <c r="CP10" s="25">
        <v>0.28571429848670959</v>
      </c>
      <c r="CQ10" s="25">
        <v>0.93064546585083008</v>
      </c>
      <c r="CR10" s="25" t="e">
        <v>#VALUE!</v>
      </c>
      <c r="CS10">
        <v>3.7454175152749491</v>
      </c>
      <c r="CT10">
        <v>61292440.760869563</v>
      </c>
      <c r="CU10">
        <v>0.81566068515497558</v>
      </c>
      <c r="CV10" s="24">
        <v>6.0437703505158424E-2</v>
      </c>
      <c r="CW10" s="25">
        <v>0.27725675795227289</v>
      </c>
      <c r="CX10">
        <v>0.06</v>
      </c>
      <c r="CY10">
        <v>25.435149292781276</v>
      </c>
      <c r="CZ10">
        <v>184075978.72165012</v>
      </c>
      <c r="DA10">
        <v>6.0437703505158424E-2</v>
      </c>
      <c r="DB10">
        <v>8.5233749503952847</v>
      </c>
      <c r="DC10">
        <v>549312922.08174706</v>
      </c>
      <c r="DD10">
        <v>5.7415818329900503E-2</v>
      </c>
      <c r="DE10">
        <v>4.3375044288388143</v>
      </c>
      <c r="DF10">
        <v>1079422528.9709756</v>
      </c>
      <c r="DG10">
        <v>5.3185179084539416E-2</v>
      </c>
      <c r="DH10">
        <v>2.7026640043856611</v>
      </c>
      <c r="DI10">
        <v>1732364804.6529036</v>
      </c>
      <c r="DJ10">
        <v>4.835016280412674E-2</v>
      </c>
      <c r="DK10">
        <v>1.5111221687103684</v>
      </c>
      <c r="DL10">
        <v>3098359680.6046081</v>
      </c>
      <c r="DM10">
        <v>4.2306392453610897E-2</v>
      </c>
      <c r="DN10">
        <v>184000000</v>
      </c>
      <c r="DO10">
        <v>6.0437703505158424E-2</v>
      </c>
      <c r="DP10">
        <v>4682000000</v>
      </c>
      <c r="DQ10">
        <v>423585240.00000006</v>
      </c>
      <c r="DR10">
        <v>2461</v>
      </c>
      <c r="DS10">
        <v>9.9562899669445176E-2</v>
      </c>
      <c r="DT10">
        <v>-6.3881436139572256E-2</v>
      </c>
      <c r="DU10" s="26">
        <v>0.2</v>
      </c>
      <c r="DV10">
        <v>0.44000000000000006</v>
      </c>
      <c r="DW10">
        <v>0.64000000000000012</v>
      </c>
      <c r="DX10">
        <v>1.0506</v>
      </c>
      <c r="DY10">
        <v>0.29372217573221659</v>
      </c>
      <c r="DZ10">
        <v>1.0032243420920501</v>
      </c>
      <c r="EA10">
        <v>2260</v>
      </c>
      <c r="EB10">
        <v>1.0017429407649443</v>
      </c>
      <c r="EC10">
        <v>1</v>
      </c>
      <c r="ED10">
        <v>3.3843555555555557E-2</v>
      </c>
      <c r="EE10">
        <v>0.53111111111111109</v>
      </c>
      <c r="EF10" s="27">
        <v>6.2057000000000001E-2</v>
      </c>
      <c r="EG10">
        <v>7.9500000000000001E-2</v>
      </c>
      <c r="EH10">
        <v>23.063722175732217</v>
      </c>
      <c r="EI10" t="s">
        <v>398</v>
      </c>
      <c r="EJ10">
        <v>0</v>
      </c>
      <c r="EK10">
        <v>0</v>
      </c>
      <c r="EL10" s="29">
        <v>44939</v>
      </c>
      <c r="EM10" s="30">
        <v>1.12E-2</v>
      </c>
      <c r="EN10" s="30">
        <v>-5.4999999999999997E-3</v>
      </c>
      <c r="EO10" s="30">
        <v>-1.9800000000000002E-2</v>
      </c>
      <c r="EP10" s="30">
        <v>-2.4299999999999999E-2</v>
      </c>
      <c r="EQ10" s="30">
        <v>1.74</v>
      </c>
    </row>
    <row r="11" spans="1:147" ht="162" x14ac:dyDescent="0.25">
      <c r="B11" s="28"/>
      <c r="C11" s="28"/>
      <c r="D11" s="28" t="s">
        <v>1831</v>
      </c>
      <c r="E11" t="s">
        <v>1560</v>
      </c>
      <c r="F11" t="s">
        <v>1561</v>
      </c>
      <c r="G11">
        <v>3.34</v>
      </c>
      <c r="H11">
        <v>0.91</v>
      </c>
      <c r="I11" t="s">
        <v>1562</v>
      </c>
      <c r="J11">
        <v>5401254900</v>
      </c>
      <c r="K11">
        <v>37.020000000000003</v>
      </c>
      <c r="L11">
        <v>1.76</v>
      </c>
      <c r="M11" t="s">
        <v>424</v>
      </c>
      <c r="N11" t="s">
        <v>1799</v>
      </c>
      <c r="O11" t="s">
        <v>1800</v>
      </c>
      <c r="P11" t="s">
        <v>1801</v>
      </c>
      <c r="Q11">
        <v>2.68</v>
      </c>
      <c r="R11" t="s">
        <v>1802</v>
      </c>
      <c r="S11">
        <v>98425422</v>
      </c>
      <c r="T11" s="3">
        <v>-0.44030000000000002</v>
      </c>
      <c r="U11" t="s">
        <v>91</v>
      </c>
      <c r="V11">
        <v>1617142200</v>
      </c>
      <c r="W11">
        <v>1617142200</v>
      </c>
      <c r="X11">
        <v>1.61</v>
      </c>
      <c r="Y11">
        <v>0.66</v>
      </c>
      <c r="Z11">
        <v>2.89</v>
      </c>
      <c r="AA11" t="s">
        <v>1803</v>
      </c>
      <c r="AB11" t="s">
        <v>1804</v>
      </c>
      <c r="AC11" t="s">
        <v>102</v>
      </c>
      <c r="AD11" t="s">
        <v>27</v>
      </c>
      <c r="AE11" t="s">
        <v>1805</v>
      </c>
      <c r="AF11">
        <v>41335473</v>
      </c>
      <c r="AG11" t="s">
        <v>1806</v>
      </c>
      <c r="AH11" t="s">
        <v>1807</v>
      </c>
      <c r="AI11" t="s">
        <v>1808</v>
      </c>
      <c r="AJ11" t="s">
        <v>1683</v>
      </c>
      <c r="AK11" t="s">
        <v>1809</v>
      </c>
      <c r="AL11" t="s">
        <v>7</v>
      </c>
      <c r="AM11" t="s">
        <v>1810</v>
      </c>
      <c r="AN11" t="s">
        <v>7</v>
      </c>
      <c r="AO11" t="s">
        <v>1811</v>
      </c>
      <c r="AP11" t="s">
        <v>469</v>
      </c>
      <c r="AQ11" t="s">
        <v>1812</v>
      </c>
      <c r="AR11" t="s">
        <v>137</v>
      </c>
      <c r="AS11" t="s">
        <v>1813</v>
      </c>
      <c r="AT11" t="s">
        <v>409</v>
      </c>
      <c r="AU11" t="s">
        <v>1814</v>
      </c>
      <c r="AV11" t="s">
        <v>144</v>
      </c>
      <c r="AW11" t="s">
        <v>1815</v>
      </c>
      <c r="AX11" t="s">
        <v>395</v>
      </c>
      <c r="AY11" t="s">
        <v>1816</v>
      </c>
      <c r="AZ11" t="s">
        <v>1817</v>
      </c>
      <c r="BA11" t="s">
        <v>1818</v>
      </c>
      <c r="BB11" t="s">
        <v>1819</v>
      </c>
      <c r="BC11" t="s">
        <v>1820</v>
      </c>
      <c r="BD11" t="s">
        <v>522</v>
      </c>
      <c r="BE11" t="s">
        <v>1821</v>
      </c>
      <c r="BF11" t="s">
        <v>1822</v>
      </c>
      <c r="BG11" t="s">
        <v>1823</v>
      </c>
      <c r="BH11" t="s">
        <v>1824</v>
      </c>
      <c r="BI11" t="s">
        <v>1825</v>
      </c>
      <c r="BJ11" t="s">
        <v>1826</v>
      </c>
      <c r="BK11" t="s">
        <v>714</v>
      </c>
      <c r="BL11" t="s">
        <v>1827</v>
      </c>
      <c r="BM11" t="s">
        <v>27</v>
      </c>
      <c r="BN11" t="s">
        <v>1828</v>
      </c>
      <c r="BO11">
        <v>5.52</v>
      </c>
      <c r="BP11">
        <v>8.0500000000000007</v>
      </c>
      <c r="BQ11">
        <v>3.05</v>
      </c>
      <c r="BR11">
        <v>7.48</v>
      </c>
      <c r="BS11">
        <v>16.09</v>
      </c>
      <c r="BT11">
        <v>2.92</v>
      </c>
      <c r="BU11" t="s">
        <v>1829</v>
      </c>
      <c r="BV11" t="s">
        <v>1599</v>
      </c>
      <c r="BW11">
        <v>16.149999999999999</v>
      </c>
      <c r="BX11">
        <v>21.19</v>
      </c>
      <c r="BY11">
        <v>23.54</v>
      </c>
      <c r="BZ11">
        <v>2.31</v>
      </c>
      <c r="CA11">
        <v>9.15</v>
      </c>
      <c r="CB11">
        <v>0.89</v>
      </c>
      <c r="CC11">
        <v>-2.62</v>
      </c>
      <c r="CD11">
        <v>-2.0499999999999998</v>
      </c>
      <c r="CE11" t="s">
        <v>1830</v>
      </c>
      <c r="CF11" t="s">
        <v>1793</v>
      </c>
      <c r="CG11" s="24">
        <v>2.6453066230580934E-2</v>
      </c>
      <c r="CH11" s="25">
        <v>-0.4279210819134901</v>
      </c>
      <c r="CI11" s="24">
        <v>-4.8135042190551758E-2</v>
      </c>
      <c r="CJ11" s="24">
        <v>-4.7628495842218399E-2</v>
      </c>
      <c r="CK11" s="24">
        <v>1.1921573895961046E-3</v>
      </c>
      <c r="CL11" s="24">
        <v>8.3064310252666473E-2</v>
      </c>
      <c r="CM11" s="24">
        <v>4.0994636714458466E-2</v>
      </c>
      <c r="CN11" s="25">
        <v>-0.48853209614753723</v>
      </c>
      <c r="CO11" s="25">
        <v>4.9786629676818848</v>
      </c>
      <c r="CP11" s="25">
        <v>0.22215928137302399</v>
      </c>
      <c r="CQ11" s="25">
        <v>-0.3479543924331665</v>
      </c>
      <c r="CR11" s="25">
        <v>0.30497410893440247</v>
      </c>
      <c r="CS11">
        <v>1.1824113178633975</v>
      </c>
      <c r="CT11">
        <v>35890628.251121074</v>
      </c>
      <c r="CU11">
        <v>0.89820359281437123</v>
      </c>
      <c r="CV11" s="24">
        <v>5.8975132647901777E-3</v>
      </c>
      <c r="CW11" s="25">
        <v>0.93386197388172154</v>
      </c>
      <c r="CX11">
        <v>0.06</v>
      </c>
      <c r="CY11">
        <v>19.763222786172069</v>
      </c>
      <c r="CZ11">
        <v>211618061.75287566</v>
      </c>
      <c r="DA11">
        <v>5.8975132647901777E-3</v>
      </c>
      <c r="DB11">
        <v>6.93971473806387</v>
      </c>
      <c r="DC11">
        <v>602655160.60200751</v>
      </c>
      <c r="DD11">
        <v>5.6026376015506684E-3</v>
      </c>
      <c r="DE11">
        <v>3.7486328256217445</v>
      </c>
      <c r="DF11">
        <v>1115674725.8399029</v>
      </c>
      <c r="DG11">
        <v>5.189811673015356E-3</v>
      </c>
      <c r="DH11">
        <v>2.4883857589073131</v>
      </c>
      <c r="DI11">
        <v>1680710028.5915837</v>
      </c>
      <c r="DJ11">
        <v>4.7180106118321422E-3</v>
      </c>
      <c r="DK11">
        <v>1.5777347114355746</v>
      </c>
      <c r="DL11">
        <v>2650797291.6401024</v>
      </c>
      <c r="DM11">
        <v>4.1282592853531244E-3</v>
      </c>
      <c r="DN11">
        <v>223000000</v>
      </c>
      <c r="DO11">
        <v>5.8975132647901777E-3</v>
      </c>
      <c r="DP11">
        <v>4182254900</v>
      </c>
      <c r="DQ11">
        <v>487124100</v>
      </c>
      <c r="DR11">
        <v>2980</v>
      </c>
      <c r="DS11">
        <v>2.0555552965790758E-2</v>
      </c>
      <c r="DT11">
        <v>-1.3617830557952115</v>
      </c>
      <c r="DU11" s="26">
        <v>0.44</v>
      </c>
      <c r="DV11">
        <v>6.3333333333333283E-2</v>
      </c>
      <c r="DW11">
        <v>0.5033333333333333</v>
      </c>
      <c r="DX11">
        <v>-4.7824427480916025</v>
      </c>
      <c r="DY11">
        <v>0.2902905060240964</v>
      </c>
      <c r="DZ11">
        <v>-4.0862960066219074</v>
      </c>
      <c r="EA11">
        <v>2538</v>
      </c>
      <c r="EB11">
        <v>-4.0417708460595163</v>
      </c>
      <c r="EC11">
        <v>4</v>
      </c>
      <c r="ED11">
        <v>4.5285380592999178E-2</v>
      </c>
      <c r="EE11">
        <v>0.410600873565726</v>
      </c>
      <c r="EF11" s="27">
        <v>1.181E-3</v>
      </c>
      <c r="EG11">
        <v>1.03E-2</v>
      </c>
      <c r="EH11">
        <v>18.110290506024096</v>
      </c>
      <c r="EI11" t="s">
        <v>398</v>
      </c>
      <c r="EJ11">
        <v>0</v>
      </c>
      <c r="EK11">
        <v>0</v>
      </c>
      <c r="EL11" s="29">
        <v>44939</v>
      </c>
      <c r="EM11" s="30">
        <v>0</v>
      </c>
      <c r="EN11" s="30">
        <v>-8.6999999999999994E-3</v>
      </c>
      <c r="EO11" s="30">
        <v>-1.47E-2</v>
      </c>
      <c r="EP11" s="30">
        <v>-1.1900000000000001E-2</v>
      </c>
      <c r="EQ11" s="30">
        <v>0.91</v>
      </c>
    </row>
    <row r="12" spans="1:147" ht="118.8" x14ac:dyDescent="0.25">
      <c r="B12" s="28"/>
      <c r="C12" s="28"/>
      <c r="D12" s="28" t="s">
        <v>1864</v>
      </c>
      <c r="E12" t="s">
        <v>1563</v>
      </c>
      <c r="F12" t="s">
        <v>1564</v>
      </c>
      <c r="G12">
        <v>7.31</v>
      </c>
      <c r="H12">
        <v>7.03</v>
      </c>
      <c r="I12" t="s">
        <v>1565</v>
      </c>
      <c r="J12">
        <v>5228096000</v>
      </c>
      <c r="K12">
        <v>49.5</v>
      </c>
      <c r="L12">
        <v>3.11</v>
      </c>
      <c r="M12" t="s">
        <v>424</v>
      </c>
      <c r="N12" t="s">
        <v>1832</v>
      </c>
      <c r="O12" t="s">
        <v>1833</v>
      </c>
      <c r="P12" t="s">
        <v>1834</v>
      </c>
      <c r="Q12">
        <v>-20.100000000000001</v>
      </c>
      <c r="R12" t="s">
        <v>104</v>
      </c>
      <c r="S12">
        <v>86431056</v>
      </c>
      <c r="T12" s="3">
        <v>3.7100000000000002E-3</v>
      </c>
      <c r="U12" t="s">
        <v>72</v>
      </c>
      <c r="V12">
        <v>699817430</v>
      </c>
      <c r="W12">
        <v>715197810</v>
      </c>
      <c r="X12">
        <v>2.72</v>
      </c>
      <c r="Y12">
        <v>0.18</v>
      </c>
      <c r="Z12">
        <v>11.2</v>
      </c>
      <c r="AA12" t="s">
        <v>1835</v>
      </c>
      <c r="AB12" t="s">
        <v>1836</v>
      </c>
      <c r="AC12" t="s">
        <v>94</v>
      </c>
      <c r="AD12" t="s">
        <v>1837</v>
      </c>
      <c r="AE12" t="s">
        <v>1838</v>
      </c>
      <c r="AF12">
        <v>54612872</v>
      </c>
      <c r="AG12" t="s">
        <v>1839</v>
      </c>
      <c r="AH12" t="s">
        <v>1840</v>
      </c>
      <c r="AI12" t="s">
        <v>1841</v>
      </c>
      <c r="AJ12" t="s">
        <v>1842</v>
      </c>
      <c r="AK12" t="s">
        <v>1843</v>
      </c>
      <c r="AL12" t="s">
        <v>1844</v>
      </c>
      <c r="AM12" t="s">
        <v>1845</v>
      </c>
      <c r="AN12" t="s">
        <v>7</v>
      </c>
      <c r="AO12" t="s">
        <v>1846</v>
      </c>
      <c r="AP12" t="s">
        <v>441</v>
      </c>
      <c r="AQ12" t="s">
        <v>7</v>
      </c>
      <c r="AR12" t="s">
        <v>246</v>
      </c>
      <c r="AS12" t="s">
        <v>1847</v>
      </c>
      <c r="AT12" t="s">
        <v>1848</v>
      </c>
      <c r="AU12" t="s">
        <v>560</v>
      </c>
      <c r="AV12" t="s">
        <v>100</v>
      </c>
      <c r="AW12" t="s">
        <v>59</v>
      </c>
      <c r="AX12" t="s">
        <v>1849</v>
      </c>
      <c r="AY12" t="s">
        <v>445</v>
      </c>
      <c r="AZ12" t="s">
        <v>1850</v>
      </c>
      <c r="BA12" t="s">
        <v>1851</v>
      </c>
      <c r="BB12" t="s">
        <v>1852</v>
      </c>
      <c r="BC12" t="s">
        <v>1853</v>
      </c>
      <c r="BD12" t="s">
        <v>1854</v>
      </c>
      <c r="BE12" t="s">
        <v>1855</v>
      </c>
      <c r="BF12" t="s">
        <v>1856</v>
      </c>
      <c r="BG12" t="s">
        <v>1857</v>
      </c>
      <c r="BH12" t="s">
        <v>1858</v>
      </c>
      <c r="BI12" t="s">
        <v>1859</v>
      </c>
      <c r="BJ12" t="s">
        <v>1357</v>
      </c>
      <c r="BK12" t="s">
        <v>1860</v>
      </c>
      <c r="BL12" t="s">
        <v>1861</v>
      </c>
      <c r="BM12" t="s">
        <v>1862</v>
      </c>
      <c r="BN12" t="s">
        <v>1863</v>
      </c>
      <c r="BO12">
        <v>3.23</v>
      </c>
      <c r="BP12">
        <v>2.2200000000000002</v>
      </c>
      <c r="BQ12">
        <v>-21.33</v>
      </c>
      <c r="BR12">
        <v>6.84</v>
      </c>
      <c r="BS12">
        <v>5.74</v>
      </c>
      <c r="BT12">
        <v>-68.77</v>
      </c>
      <c r="BU12" t="s">
        <v>1125</v>
      </c>
      <c r="BV12" t="s">
        <v>1599</v>
      </c>
      <c r="BW12">
        <v>42.15</v>
      </c>
      <c r="BX12">
        <v>37.54</v>
      </c>
      <c r="BY12">
        <v>43.49</v>
      </c>
      <c r="BZ12">
        <v>12.98</v>
      </c>
      <c r="CA12">
        <v>6.85</v>
      </c>
      <c r="CB12">
        <v>-91.7</v>
      </c>
      <c r="CC12">
        <v>7.82</v>
      </c>
      <c r="CD12">
        <v>13.51</v>
      </c>
      <c r="CE12" t="s">
        <v>63</v>
      </c>
      <c r="CF12" t="s">
        <v>88</v>
      </c>
      <c r="CG12" s="24">
        <v>-0.25916157517899763</v>
      </c>
      <c r="CH12" s="25">
        <v>-0.21639788039884228</v>
      </c>
      <c r="CI12" s="24">
        <v>7.2157479822635651E-2</v>
      </c>
      <c r="CJ12" s="24">
        <v>-0.14357054233551025</v>
      </c>
      <c r="CK12" s="24">
        <v>3.6222510039806366E-2</v>
      </c>
      <c r="CL12" s="24">
        <v>0.50682258605957031</v>
      </c>
      <c r="CM12" s="24">
        <v>0.29056602716445923</v>
      </c>
      <c r="CN12" s="25">
        <v>0.26591581106185913</v>
      </c>
      <c r="CO12" s="25">
        <v>1.0558544397354126</v>
      </c>
      <c r="CP12" s="25">
        <v>-36.375415802001953</v>
      </c>
      <c r="CQ12" s="25">
        <v>2.5033299922943115</v>
      </c>
      <c r="CR12" s="25">
        <v>-0.76138472557067871</v>
      </c>
      <c r="CS12">
        <v>3.554110129163834</v>
      </c>
      <c r="CT12">
        <v>54504841.904761903</v>
      </c>
      <c r="CU12">
        <v>0</v>
      </c>
      <c r="CV12" s="24">
        <v>0.15243961215019225</v>
      </c>
      <c r="CW12" s="25">
        <v>-6.6623400568962099</v>
      </c>
      <c r="CX12">
        <v>0.06</v>
      </c>
      <c r="CY12">
        <v>57.47444428965192</v>
      </c>
      <c r="CZ12">
        <v>114156754.03374545</v>
      </c>
      <c r="DA12">
        <v>0.15243961215019225</v>
      </c>
      <c r="DB12">
        <v>17.821636764299679</v>
      </c>
      <c r="DC12">
        <v>368153390.55407047</v>
      </c>
      <c r="DD12">
        <v>0.14481763154268262</v>
      </c>
      <c r="DE12">
        <v>8.1653097054574406</v>
      </c>
      <c r="DF12">
        <v>803533024.05844641</v>
      </c>
      <c r="DG12">
        <v>0.13414685869216919</v>
      </c>
      <c r="DH12">
        <v>4.5117729675068485</v>
      </c>
      <c r="DI12">
        <v>1454216789.5530396</v>
      </c>
      <c r="DJ12">
        <v>0.1219516897201538</v>
      </c>
      <c r="DK12">
        <v>1.926549331641596</v>
      </c>
      <c r="DL12">
        <v>3405620552.8925371</v>
      </c>
      <c r="DM12">
        <v>0.10670772850513457</v>
      </c>
      <c r="DN12">
        <v>105000000</v>
      </c>
      <c r="DO12">
        <v>0.15243961215019225</v>
      </c>
      <c r="DP12">
        <v>6561096000</v>
      </c>
      <c r="DQ12">
        <v>789293200</v>
      </c>
      <c r="DR12">
        <v>2890</v>
      </c>
      <c r="DS12">
        <v>-0.41160118732918988</v>
      </c>
      <c r="DT12">
        <v>6.4459421764973674</v>
      </c>
      <c r="DU12" s="26">
        <v>-3.3333333333333726E-3</v>
      </c>
      <c r="DV12">
        <v>0.61166666666666658</v>
      </c>
      <c r="DW12">
        <v>0.60833333333333317</v>
      </c>
      <c r="DX12">
        <v>9.5788304959289423</v>
      </c>
      <c r="DY12">
        <v>0.90679334916864951</v>
      </c>
      <c r="DZ12">
        <v>9.2007345662841455</v>
      </c>
      <c r="EA12">
        <v>2329</v>
      </c>
      <c r="EB12">
        <v>9.1056927275210278</v>
      </c>
      <c r="EC12">
        <v>9</v>
      </c>
      <c r="ED12">
        <v>0.20413932755191183</v>
      </c>
      <c r="EE12">
        <v>0.58864833492708823</v>
      </c>
      <c r="EF12" s="27">
        <v>5.1168000000000005E-2</v>
      </c>
      <c r="EG12">
        <v>0.1215</v>
      </c>
      <c r="EH12">
        <v>56.346793349168649</v>
      </c>
      <c r="EI12" t="s">
        <v>398</v>
      </c>
      <c r="EJ12">
        <v>1</v>
      </c>
      <c r="EK12">
        <v>0</v>
      </c>
      <c r="EL12" s="29">
        <v>44939</v>
      </c>
      <c r="EM12" s="30">
        <v>-7.4000000000000003E-3</v>
      </c>
      <c r="EN12" s="30">
        <v>-1.6299999999999999E-2</v>
      </c>
      <c r="EO12" s="30">
        <v>3.78E-2</v>
      </c>
      <c r="EP12" s="30">
        <v>-5.7999999999999996E-3</v>
      </c>
      <c r="EQ12" s="30">
        <v>7.03</v>
      </c>
    </row>
    <row r="13" spans="1:147" ht="108" x14ac:dyDescent="0.25">
      <c r="B13" s="28"/>
      <c r="C13" s="28"/>
      <c r="D13" s="28" t="s">
        <v>1891</v>
      </c>
      <c r="E13" t="s">
        <v>1566</v>
      </c>
      <c r="F13" t="s">
        <v>1567</v>
      </c>
      <c r="G13">
        <v>13.89</v>
      </c>
      <c r="H13">
        <v>1.24</v>
      </c>
      <c r="I13" t="s">
        <v>1568</v>
      </c>
      <c r="J13">
        <v>3642096900</v>
      </c>
      <c r="L13">
        <v>5.31</v>
      </c>
      <c r="M13" t="s">
        <v>424</v>
      </c>
      <c r="N13" t="s">
        <v>269</v>
      </c>
      <c r="O13" t="s">
        <v>271</v>
      </c>
      <c r="P13" t="s">
        <v>1865</v>
      </c>
      <c r="Q13">
        <v>23.02</v>
      </c>
      <c r="R13" t="s">
        <v>130</v>
      </c>
      <c r="S13">
        <v>17733141</v>
      </c>
      <c r="T13" s="3">
        <v>5.0380000000000003</v>
      </c>
      <c r="U13" t="s">
        <v>1866</v>
      </c>
      <c r="V13">
        <v>262210000</v>
      </c>
      <c r="W13">
        <v>262210000</v>
      </c>
      <c r="X13">
        <v>2.48</v>
      </c>
      <c r="Y13">
        <v>0.54</v>
      </c>
      <c r="Z13">
        <v>3</v>
      </c>
      <c r="AA13" t="s">
        <v>1867</v>
      </c>
      <c r="AB13" t="s">
        <v>390</v>
      </c>
      <c r="AC13" t="s">
        <v>172</v>
      </c>
      <c r="AD13" t="s">
        <v>1868</v>
      </c>
      <c r="AE13" t="s">
        <v>1869</v>
      </c>
      <c r="AF13">
        <v>-27831605</v>
      </c>
      <c r="AG13" t="s">
        <v>1870</v>
      </c>
      <c r="AH13" t="s">
        <v>1871</v>
      </c>
      <c r="AI13" t="s">
        <v>1872</v>
      </c>
      <c r="AJ13" t="s">
        <v>140</v>
      </c>
      <c r="AK13" t="s">
        <v>1873</v>
      </c>
      <c r="AL13" t="s">
        <v>7</v>
      </c>
      <c r="AM13" t="s">
        <v>1874</v>
      </c>
      <c r="AN13" t="s">
        <v>7</v>
      </c>
      <c r="AO13" t="s">
        <v>1875</v>
      </c>
      <c r="AP13" t="s">
        <v>1876</v>
      </c>
      <c r="AQ13" t="s">
        <v>7</v>
      </c>
      <c r="AR13" t="s">
        <v>407</v>
      </c>
      <c r="AS13" t="s">
        <v>7</v>
      </c>
      <c r="AT13" t="s">
        <v>1877</v>
      </c>
      <c r="AU13" t="s">
        <v>1878</v>
      </c>
      <c r="AV13" t="s">
        <v>444</v>
      </c>
      <c r="AW13" t="s">
        <v>1879</v>
      </c>
      <c r="AX13" t="s">
        <v>1880</v>
      </c>
      <c r="AY13" t="s">
        <v>1881</v>
      </c>
      <c r="AZ13" t="s">
        <v>490</v>
      </c>
      <c r="BA13" t="s">
        <v>390</v>
      </c>
      <c r="BB13" t="s">
        <v>263</v>
      </c>
      <c r="BC13" t="s">
        <v>1102</v>
      </c>
      <c r="BD13" t="s">
        <v>1258</v>
      </c>
      <c r="BE13" t="s">
        <v>1882</v>
      </c>
      <c r="BF13" t="s">
        <v>1883</v>
      </c>
      <c r="BG13" t="s">
        <v>1884</v>
      </c>
      <c r="BH13" t="s">
        <v>1885</v>
      </c>
      <c r="BI13" t="s">
        <v>170</v>
      </c>
      <c r="BJ13" t="s">
        <v>1886</v>
      </c>
      <c r="BK13" t="s">
        <v>184</v>
      </c>
      <c r="BL13" t="s">
        <v>1887</v>
      </c>
      <c r="BM13" t="s">
        <v>1888</v>
      </c>
      <c r="BN13" t="s">
        <v>1889</v>
      </c>
      <c r="BO13">
        <v>0.93</v>
      </c>
      <c r="BP13">
        <v>-2.85</v>
      </c>
      <c r="BQ13">
        <v>1.96</v>
      </c>
      <c r="BR13">
        <v>-2.8</v>
      </c>
      <c r="BS13">
        <v>-15.21</v>
      </c>
      <c r="BT13">
        <v>0.43</v>
      </c>
      <c r="BU13" t="s">
        <v>1125</v>
      </c>
      <c r="BV13" t="s">
        <v>1599</v>
      </c>
      <c r="BW13">
        <v>17.690000000000001</v>
      </c>
      <c r="BX13">
        <v>16.87</v>
      </c>
      <c r="BY13">
        <v>19.989999999999998</v>
      </c>
      <c r="BZ13">
        <v>2.89</v>
      </c>
      <c r="CA13">
        <v>-10.57</v>
      </c>
      <c r="CB13">
        <v>1.1599999999999999</v>
      </c>
      <c r="CC13">
        <v>5.47</v>
      </c>
      <c r="CD13">
        <v>7.26</v>
      </c>
      <c r="CE13" t="s">
        <v>1890</v>
      </c>
      <c r="CF13" t="s">
        <v>393</v>
      </c>
      <c r="CG13" s="24">
        <v>0.28960020905923345</v>
      </c>
      <c r="CH13" s="25">
        <v>3.6155018359853122</v>
      </c>
      <c r="CI13" s="24">
        <v>0.26306620240211487</v>
      </c>
      <c r="CJ13" s="24">
        <v>-0.13684210181236267</v>
      </c>
      <c r="CK13" s="24">
        <v>0.38110071420669556</v>
      </c>
      <c r="CL13" s="24">
        <v>-2.33265720307827E-2</v>
      </c>
      <c r="CM13" s="24">
        <v>2.282157726585865E-2</v>
      </c>
      <c r="CN13" s="25">
        <v>0.83498138189315796</v>
      </c>
      <c r="CO13" s="25">
        <v>-33.802379608154297</v>
      </c>
      <c r="CP13" s="25">
        <v>-0.3242984414100647</v>
      </c>
      <c r="CQ13" s="25">
        <v>-0.35980471968650818</v>
      </c>
      <c r="CR13" s="25">
        <v>8.2398891448974609</v>
      </c>
      <c r="CS13">
        <v>2.5117909655172412</v>
      </c>
      <c r="CT13">
        <v>-127401829.27455552</v>
      </c>
      <c r="CU13">
        <v>0</v>
      </c>
      <c r="CV13" s="24">
        <v>0.10136396400630474</v>
      </c>
      <c r="CW13" s="25">
        <v>-5.0823224484920502</v>
      </c>
      <c r="CX13">
        <v>0.06</v>
      </c>
      <c r="CY13" t="e">
        <v>#VALUE!</v>
      </c>
      <c r="CZ13" t="s">
        <v>397</v>
      </c>
      <c r="DA13">
        <v>0.10136396400630474</v>
      </c>
      <c r="DB13" t="e">
        <v>#VALUE!</v>
      </c>
      <c r="DC13" t="s">
        <v>397</v>
      </c>
      <c r="DD13">
        <v>9.6295765805989489E-2</v>
      </c>
      <c r="DE13" t="e">
        <v>#VALUE!</v>
      </c>
      <c r="DF13" t="s">
        <v>397</v>
      </c>
      <c r="DG13">
        <v>8.9200288325548174E-2</v>
      </c>
      <c r="DH13" t="e">
        <v>#VALUE!</v>
      </c>
      <c r="DI13" t="s">
        <v>397</v>
      </c>
      <c r="DJ13">
        <v>8.1091171205043791E-2</v>
      </c>
      <c r="DK13" t="e">
        <v>#VALUE!</v>
      </c>
      <c r="DL13" t="s">
        <v>397</v>
      </c>
      <c r="DM13">
        <v>7.0954774804413312E-2</v>
      </c>
      <c r="DN13">
        <v>-19472200</v>
      </c>
      <c r="DO13">
        <v>0.10136396400630474</v>
      </c>
      <c r="DP13">
        <v>4033096900</v>
      </c>
      <c r="DQ13">
        <v>81303440</v>
      </c>
      <c r="DR13">
        <v>3498</v>
      </c>
      <c r="DS13">
        <v>0.18823624505292871</v>
      </c>
      <c r="DT13">
        <v>8.6978242844773632</v>
      </c>
      <c r="DU13" s="26">
        <v>0.9</v>
      </c>
      <c r="DV13">
        <v>-5.5000000000000125E-2</v>
      </c>
      <c r="DW13">
        <v>0.84499999999999986</v>
      </c>
      <c r="DX13">
        <v>8.7534435261707983</v>
      </c>
      <c r="DY13">
        <v>0.46741465968586537</v>
      </c>
      <c r="DZ13">
        <v>8.0809308799561528</v>
      </c>
      <c r="EA13">
        <v>1886</v>
      </c>
      <c r="EB13">
        <v>8.0499010691008355</v>
      </c>
      <c r="EC13">
        <v>8</v>
      </c>
      <c r="ED13">
        <v>7.824339270050723E-2</v>
      </c>
      <c r="EE13">
        <v>0.72842378246443695</v>
      </c>
      <c r="EF13" s="27">
        <v>9.1813000000000006E-2</v>
      </c>
      <c r="EG13">
        <v>7.9410000000000008E-2</v>
      </c>
      <c r="EH13">
        <v>36.107414659685865</v>
      </c>
      <c r="EI13">
        <v>-1</v>
      </c>
      <c r="EJ13">
        <v>0</v>
      </c>
      <c r="EK13">
        <v>0</v>
      </c>
      <c r="EL13" s="29">
        <v>44939</v>
      </c>
      <c r="EM13" s="30">
        <v>-1.44E-2</v>
      </c>
      <c r="EN13" s="30">
        <v>2.3E-3</v>
      </c>
      <c r="EO13" s="30">
        <v>3.0999999999999999E-3</v>
      </c>
      <c r="EP13" s="30">
        <v>5.1299999999999998E-2</v>
      </c>
      <c r="EQ13" s="30">
        <v>1.24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3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Q6"/>
  <sheetViews>
    <sheetView workbookViewId="0">
      <selection activeCell="J2" sqref="J2"/>
    </sheetView>
  </sheetViews>
  <sheetFormatPr defaultRowHeight="14.4" x14ac:dyDescent="0.25"/>
  <cols>
    <col min="2" max="2" width="35.88671875" customWidth="1"/>
    <col min="3" max="3" width="37.33203125" customWidth="1"/>
    <col min="4" max="4" width="52.6640625" customWidth="1"/>
    <col min="10" max="10" width="12.44140625" bestFit="1" customWidth="1"/>
  </cols>
  <sheetData>
    <row r="1" spans="1:147" s="15" customFormat="1" x14ac:dyDescent="0.25">
      <c r="A1" s="16" t="s">
        <v>223</v>
      </c>
      <c r="B1" s="19" t="s">
        <v>350</v>
      </c>
      <c r="C1" s="20" t="s">
        <v>351</v>
      </c>
      <c r="D1" s="19" t="s">
        <v>302</v>
      </c>
      <c r="E1" t="s">
        <v>2</v>
      </c>
      <c r="F1" t="s">
        <v>3</v>
      </c>
      <c r="G1" t="s">
        <v>0</v>
      </c>
      <c r="H1" t="s">
        <v>323</v>
      </c>
      <c r="I1" t="s">
        <v>352</v>
      </c>
      <c r="J1" t="s">
        <v>4</v>
      </c>
      <c r="K1" t="s">
        <v>5</v>
      </c>
      <c r="L1" t="s">
        <v>1</v>
      </c>
      <c r="M1" t="s">
        <v>6</v>
      </c>
      <c r="N1" t="s">
        <v>8</v>
      </c>
      <c r="O1" t="s">
        <v>9</v>
      </c>
      <c r="P1" t="s">
        <v>10</v>
      </c>
      <c r="Q1" t="s">
        <v>353</v>
      </c>
      <c r="R1" t="s">
        <v>324</v>
      </c>
      <c r="S1" t="s">
        <v>354</v>
      </c>
      <c r="T1" t="s">
        <v>11</v>
      </c>
      <c r="U1" t="s">
        <v>325</v>
      </c>
      <c r="V1" t="s">
        <v>326</v>
      </c>
      <c r="W1" t="s">
        <v>12</v>
      </c>
      <c r="X1" t="s">
        <v>273</v>
      </c>
      <c r="Y1" t="s">
        <v>274</v>
      </c>
      <c r="Z1" t="s">
        <v>275</v>
      </c>
      <c r="AA1" t="s">
        <v>276</v>
      </c>
      <c r="AB1" t="s">
        <v>277</v>
      </c>
      <c r="AC1" t="s">
        <v>327</v>
      </c>
      <c r="AD1" t="s">
        <v>278</v>
      </c>
      <c r="AE1" t="s">
        <v>355</v>
      </c>
      <c r="AF1" t="s">
        <v>13</v>
      </c>
      <c r="AG1" t="s">
        <v>14</v>
      </c>
      <c r="AH1" t="s">
        <v>328</v>
      </c>
      <c r="AI1" t="s">
        <v>356</v>
      </c>
      <c r="AJ1" t="s">
        <v>329</v>
      </c>
      <c r="AK1" t="s">
        <v>15</v>
      </c>
      <c r="AL1" t="s">
        <v>330</v>
      </c>
      <c r="AM1" t="s">
        <v>224</v>
      </c>
      <c r="AN1" t="s">
        <v>331</v>
      </c>
      <c r="AO1" t="s">
        <v>332</v>
      </c>
      <c r="AP1" t="s">
        <v>333</v>
      </c>
      <c r="AQ1" t="s">
        <v>334</v>
      </c>
      <c r="AR1" t="s">
        <v>335</v>
      </c>
      <c r="AS1" t="s">
        <v>336</v>
      </c>
      <c r="AT1" t="s">
        <v>337</v>
      </c>
      <c r="AU1" t="s">
        <v>338</v>
      </c>
      <c r="AV1" t="s">
        <v>339</v>
      </c>
      <c r="AW1" t="s">
        <v>340</v>
      </c>
      <c r="AX1" t="s">
        <v>341</v>
      </c>
      <c r="AY1" t="s">
        <v>357</v>
      </c>
      <c r="AZ1" t="s">
        <v>225</v>
      </c>
      <c r="BA1" t="s">
        <v>226</v>
      </c>
      <c r="BB1" t="s">
        <v>227</v>
      </c>
      <c r="BC1" t="s">
        <v>228</v>
      </c>
      <c r="BD1" t="s">
        <v>234</v>
      </c>
      <c r="BE1" t="s">
        <v>229</v>
      </c>
      <c r="BF1" t="s">
        <v>230</v>
      </c>
      <c r="BG1" t="s">
        <v>231</v>
      </c>
      <c r="BH1" t="s">
        <v>232</v>
      </c>
      <c r="BI1" t="s">
        <v>358</v>
      </c>
      <c r="BJ1" t="s">
        <v>342</v>
      </c>
      <c r="BK1" t="s">
        <v>233</v>
      </c>
      <c r="BL1" t="s">
        <v>343</v>
      </c>
      <c r="BM1" t="s">
        <v>344</v>
      </c>
      <c r="BN1" t="s">
        <v>345</v>
      </c>
      <c r="BO1" t="s">
        <v>346</v>
      </c>
      <c r="BP1" t="s">
        <v>235</v>
      </c>
      <c r="BQ1" t="s">
        <v>236</v>
      </c>
      <c r="BR1" t="s">
        <v>237</v>
      </c>
      <c r="BS1" t="s">
        <v>347</v>
      </c>
      <c r="BT1" t="s">
        <v>238</v>
      </c>
      <c r="BU1" t="s">
        <v>239</v>
      </c>
      <c r="BV1" t="s">
        <v>240</v>
      </c>
      <c r="BW1" t="s">
        <v>348</v>
      </c>
      <c r="BX1" t="s">
        <v>241</v>
      </c>
      <c r="BY1" t="s">
        <v>242</v>
      </c>
      <c r="BZ1" t="s">
        <v>349</v>
      </c>
      <c r="CA1" t="s">
        <v>243</v>
      </c>
      <c r="CB1" t="s">
        <v>244</v>
      </c>
      <c r="CC1" t="s">
        <v>359</v>
      </c>
      <c r="CD1" t="s">
        <v>360</v>
      </c>
      <c r="CE1" t="s">
        <v>361</v>
      </c>
      <c r="CF1" t="s">
        <v>362</v>
      </c>
      <c r="CG1" s="1" t="s">
        <v>279</v>
      </c>
      <c r="CH1" s="1" t="s">
        <v>280</v>
      </c>
      <c r="CI1" s="1" t="s">
        <v>281</v>
      </c>
      <c r="CJ1" s="1" t="s">
        <v>282</v>
      </c>
      <c r="CK1" s="1" t="s">
        <v>283</v>
      </c>
      <c r="CL1" s="1" t="s">
        <v>284</v>
      </c>
      <c r="CM1" s="1" t="s">
        <v>285</v>
      </c>
      <c r="CN1" s="1" t="s">
        <v>286</v>
      </c>
      <c r="CO1" s="1" t="s">
        <v>287</v>
      </c>
      <c r="CP1" s="1" t="s">
        <v>288</v>
      </c>
      <c r="CQ1" s="1" t="s">
        <v>289</v>
      </c>
      <c r="CR1" s="1" t="s">
        <v>290</v>
      </c>
      <c r="CS1" s="1" t="s">
        <v>363</v>
      </c>
      <c r="CT1" s="1" t="s">
        <v>311</v>
      </c>
      <c r="CU1" s="1" t="s">
        <v>291</v>
      </c>
      <c r="CV1" s="1" t="s">
        <v>312</v>
      </c>
      <c r="CW1" s="1" t="s">
        <v>292</v>
      </c>
      <c r="CX1" s="1" t="s">
        <v>313</v>
      </c>
      <c r="CY1">
        <v>1</v>
      </c>
      <c r="CZ1" t="s">
        <v>293</v>
      </c>
      <c r="DA1" t="s">
        <v>294</v>
      </c>
      <c r="DB1">
        <v>3</v>
      </c>
      <c r="DC1" t="s">
        <v>303</v>
      </c>
      <c r="DD1" t="s">
        <v>314</v>
      </c>
      <c r="DE1">
        <v>6</v>
      </c>
      <c r="DF1" t="s">
        <v>315</v>
      </c>
      <c r="DG1" t="s">
        <v>295</v>
      </c>
      <c r="DH1">
        <v>10</v>
      </c>
      <c r="DI1" t="s">
        <v>316</v>
      </c>
      <c r="DJ1" t="s">
        <v>364</v>
      </c>
      <c r="DK1">
        <v>20</v>
      </c>
      <c r="DL1" t="s">
        <v>296</v>
      </c>
      <c r="DM1" t="s">
        <v>297</v>
      </c>
      <c r="DN1" t="s">
        <v>298</v>
      </c>
      <c r="DO1" s="2" t="s">
        <v>299</v>
      </c>
      <c r="DP1" t="s">
        <v>365</v>
      </c>
      <c r="DQ1" t="s">
        <v>300</v>
      </c>
      <c r="DR1" s="1" t="s">
        <v>317</v>
      </c>
      <c r="DS1" s="1" t="s">
        <v>301</v>
      </c>
      <c r="DT1" s="1" t="s">
        <v>304</v>
      </c>
      <c r="DU1" t="s">
        <v>366</v>
      </c>
      <c r="DV1" t="s">
        <v>367</v>
      </c>
      <c r="DW1" t="s">
        <v>318</v>
      </c>
      <c r="DX1" t="s">
        <v>368</v>
      </c>
      <c r="DY1" t="s">
        <v>369</v>
      </c>
      <c r="DZ1" t="s">
        <v>319</v>
      </c>
      <c r="EA1" t="s">
        <v>305</v>
      </c>
      <c r="EB1" t="s">
        <v>320</v>
      </c>
      <c r="EC1" t="s">
        <v>321</v>
      </c>
      <c r="ED1" t="s">
        <v>370</v>
      </c>
      <c r="EE1" t="s">
        <v>322</v>
      </c>
      <c r="EF1" t="s">
        <v>371</v>
      </c>
      <c r="EG1" t="s">
        <v>372</v>
      </c>
      <c r="EH1" t="s">
        <v>373</v>
      </c>
      <c r="EI1" t="s">
        <v>374</v>
      </c>
      <c r="EJ1" t="s">
        <v>375</v>
      </c>
      <c r="EK1"/>
    </row>
    <row r="2" spans="1:147" s="15" customFormat="1" ht="71.55" customHeight="1" x14ac:dyDescent="0.25">
      <c r="A2" s="23"/>
      <c r="B2" s="21"/>
      <c r="C2" s="22">
        <v>3</v>
      </c>
      <c r="D2" s="22">
        <v>11</v>
      </c>
      <c r="J2" s="22">
        <f>SUM(J3:J6)</f>
        <v>32412407200</v>
      </c>
      <c r="T2" s="17"/>
      <c r="U2" s="17"/>
      <c r="V2" s="17"/>
      <c r="AB2" s="18"/>
    </row>
    <row r="3" spans="1:147" ht="118.8" x14ac:dyDescent="0.25">
      <c r="B3" s="28" t="s">
        <v>2175</v>
      </c>
      <c r="C3" s="28"/>
      <c r="D3" s="28" t="s">
        <v>1968</v>
      </c>
      <c r="E3" t="s">
        <v>1893</v>
      </c>
      <c r="F3" t="s">
        <v>1894</v>
      </c>
      <c r="G3">
        <v>30.32</v>
      </c>
      <c r="H3">
        <v>1.74</v>
      </c>
      <c r="I3" t="s">
        <v>1895</v>
      </c>
      <c r="J3">
        <v>20783268000</v>
      </c>
      <c r="K3">
        <v>43.04</v>
      </c>
      <c r="L3">
        <v>1.97</v>
      </c>
      <c r="M3" t="s">
        <v>424</v>
      </c>
      <c r="N3" t="s">
        <v>1935</v>
      </c>
      <c r="O3" t="s">
        <v>1936</v>
      </c>
      <c r="P3" t="s">
        <v>1937</v>
      </c>
      <c r="Q3">
        <v>5.23</v>
      </c>
      <c r="R3" t="s">
        <v>1938</v>
      </c>
      <c r="S3">
        <v>434349950</v>
      </c>
      <c r="T3" s="3">
        <v>-3.8100000000000002E-2</v>
      </c>
      <c r="U3" t="s">
        <v>467</v>
      </c>
      <c r="V3">
        <v>453460800</v>
      </c>
      <c r="W3">
        <v>685464000</v>
      </c>
      <c r="X3">
        <v>1.21</v>
      </c>
      <c r="Y3">
        <v>0.21</v>
      </c>
      <c r="Z3">
        <v>14.81</v>
      </c>
      <c r="AA3" t="s">
        <v>381</v>
      </c>
      <c r="AB3" t="s">
        <v>515</v>
      </c>
      <c r="AC3" t="s">
        <v>248</v>
      </c>
      <c r="AD3" t="s">
        <v>77</v>
      </c>
      <c r="AE3" t="s">
        <v>1939</v>
      </c>
      <c r="AF3">
        <v>10138080</v>
      </c>
      <c r="AG3" t="s">
        <v>1940</v>
      </c>
      <c r="AH3" t="s">
        <v>1941</v>
      </c>
      <c r="AI3" t="s">
        <v>1942</v>
      </c>
      <c r="AJ3" t="s">
        <v>1943</v>
      </c>
      <c r="AK3" t="s">
        <v>1944</v>
      </c>
      <c r="AL3" t="s">
        <v>7</v>
      </c>
      <c r="AM3" t="s">
        <v>1945</v>
      </c>
      <c r="AN3" t="s">
        <v>7</v>
      </c>
      <c r="AO3" t="s">
        <v>268</v>
      </c>
      <c r="AP3" t="s">
        <v>1946</v>
      </c>
      <c r="AQ3" t="s">
        <v>7</v>
      </c>
      <c r="AR3" t="s">
        <v>1947</v>
      </c>
      <c r="AS3" t="s">
        <v>7</v>
      </c>
      <c r="AT3" t="s">
        <v>1948</v>
      </c>
      <c r="AU3" t="s">
        <v>145</v>
      </c>
      <c r="AV3" t="s">
        <v>164</v>
      </c>
      <c r="AW3" t="s">
        <v>552</v>
      </c>
      <c r="AX3" t="s">
        <v>1949</v>
      </c>
      <c r="AY3" t="s">
        <v>1950</v>
      </c>
      <c r="AZ3" t="s">
        <v>1951</v>
      </c>
      <c r="BA3" t="s">
        <v>1952</v>
      </c>
      <c r="BB3" t="s">
        <v>1953</v>
      </c>
      <c r="BC3" t="s">
        <v>1954</v>
      </c>
      <c r="BD3" t="s">
        <v>1955</v>
      </c>
      <c r="BE3" t="s">
        <v>1956</v>
      </c>
      <c r="BF3" t="s">
        <v>536</v>
      </c>
      <c r="BG3" t="s">
        <v>1957</v>
      </c>
      <c r="BH3" t="s">
        <v>173</v>
      </c>
      <c r="BI3" t="s">
        <v>256</v>
      </c>
      <c r="BJ3" t="s">
        <v>1958</v>
      </c>
      <c r="BK3" t="s">
        <v>1959</v>
      </c>
      <c r="BL3" t="s">
        <v>177</v>
      </c>
      <c r="BM3" t="s">
        <v>475</v>
      </c>
      <c r="BN3" t="s">
        <v>78</v>
      </c>
      <c r="BO3">
        <v>4.67</v>
      </c>
      <c r="BP3">
        <v>4.3600000000000003</v>
      </c>
      <c r="BQ3">
        <v>10.17</v>
      </c>
      <c r="BR3">
        <v>4.84</v>
      </c>
      <c r="BS3">
        <v>4.57</v>
      </c>
      <c r="BT3">
        <v>11.3</v>
      </c>
      <c r="BU3" t="s">
        <v>1960</v>
      </c>
      <c r="BV3" t="s">
        <v>1932</v>
      </c>
      <c r="BW3">
        <v>57.92</v>
      </c>
      <c r="BX3">
        <v>55.71</v>
      </c>
      <c r="BY3">
        <v>62.48</v>
      </c>
      <c r="BZ3">
        <v>17.77</v>
      </c>
      <c r="CA3">
        <v>13.93</v>
      </c>
      <c r="CB3">
        <v>22.45</v>
      </c>
      <c r="CC3">
        <v>1.34</v>
      </c>
      <c r="CD3">
        <v>1.24</v>
      </c>
      <c r="CE3" t="s">
        <v>1961</v>
      </c>
      <c r="CF3" t="s">
        <v>1962</v>
      </c>
      <c r="CG3" s="24">
        <v>7.6565872020074963E-2</v>
      </c>
      <c r="CH3" s="25">
        <v>-4.5625624999999288E-2</v>
      </c>
      <c r="CI3" s="24">
        <v>0.16435931622982025</v>
      </c>
      <c r="CJ3" s="24">
        <v>-0.33090260624885559</v>
      </c>
      <c r="CK3" s="24">
        <v>-1.3224476017057896E-2</v>
      </c>
      <c r="CL3" s="24">
        <v>4.2367711663246155E-2</v>
      </c>
      <c r="CM3" s="24">
        <v>4.5570168644189835E-2</v>
      </c>
      <c r="CN3" s="25">
        <v>6.1571124941110611E-2</v>
      </c>
      <c r="CO3" s="25">
        <v>-0.58720415830612183</v>
      </c>
      <c r="CP3" s="25">
        <v>9.3959666788578033E-2</v>
      </c>
      <c r="CQ3" s="25">
        <v>1.0658915154635906E-2</v>
      </c>
      <c r="CR3" s="25">
        <v>5.091649666428566E-2</v>
      </c>
      <c r="CS3">
        <v>5.2575937262838348</v>
      </c>
      <c r="CT3">
        <v>82478146</v>
      </c>
      <c r="CU3">
        <v>1.4841688654353562</v>
      </c>
      <c r="CV3" s="24">
        <v>-1.836597714573145E-2</v>
      </c>
      <c r="CW3" s="25">
        <v>-7.4019590951502318E-2</v>
      </c>
      <c r="CX3">
        <v>0.06</v>
      </c>
      <c r="CY3">
        <v>24.592535999999999</v>
      </c>
      <c r="CZ3" t="s">
        <v>1963</v>
      </c>
      <c r="DA3">
        <v>-1.836597714573145E-2</v>
      </c>
      <c r="DB3">
        <v>8.1975119999999997</v>
      </c>
      <c r="DC3" t="s">
        <v>1964</v>
      </c>
      <c r="DD3">
        <v>-1.7447678288444877E-2</v>
      </c>
      <c r="DE3">
        <v>4.0987559999999998</v>
      </c>
      <c r="DF3" t="s">
        <v>1965</v>
      </c>
      <c r="DG3">
        <v>-1.6162059888243676E-2</v>
      </c>
      <c r="DH3">
        <v>2.4592535999999998</v>
      </c>
      <c r="DI3" t="s">
        <v>1966</v>
      </c>
      <c r="DJ3">
        <v>-1.4692781716585161E-2</v>
      </c>
      <c r="DK3">
        <v>1.2296267999999999</v>
      </c>
      <c r="DL3" t="s">
        <v>1967</v>
      </c>
      <c r="DM3">
        <v>-1.2856184002012013E-2</v>
      </c>
      <c r="DN3">
        <v>500000000</v>
      </c>
      <c r="DO3">
        <v>-1.836597714573145E-2</v>
      </c>
      <c r="DP3">
        <v>12296268000</v>
      </c>
      <c r="DQ3">
        <v>3240753000</v>
      </c>
      <c r="DR3">
        <v>348</v>
      </c>
      <c r="DS3">
        <v>9.4931849165806409E-2</v>
      </c>
      <c r="DT3">
        <v>2.8393965951503029E-2</v>
      </c>
      <c r="DU3" s="26">
        <v>0.61666666666666659</v>
      </c>
      <c r="DV3">
        <v>-0.15</v>
      </c>
      <c r="DW3">
        <v>0.46666666666666656</v>
      </c>
      <c r="DX3">
        <v>1.24E-2</v>
      </c>
      <c r="DY3">
        <v>0.39965778111009698</v>
      </c>
      <c r="DZ3">
        <v>1.8557564857651888E-3</v>
      </c>
      <c r="EA3">
        <v>2606</v>
      </c>
      <c r="EB3">
        <v>8.7260921967369015E-4</v>
      </c>
      <c r="EC3">
        <v>0</v>
      </c>
      <c r="ED3">
        <v>9.0562013468249245E-3</v>
      </c>
      <c r="EE3">
        <v>6.0512732980871349E-2</v>
      </c>
      <c r="EF3" s="27">
        <v>4.1336000000000005E-2</v>
      </c>
      <c r="EG3">
        <v>2.3910000000000004E-2</v>
      </c>
      <c r="EH3">
        <v>25.149657781110097</v>
      </c>
      <c r="EI3">
        <v>-1</v>
      </c>
      <c r="EJ3">
        <v>0</v>
      </c>
      <c r="EK3">
        <v>0</v>
      </c>
      <c r="EL3" s="29">
        <v>44939</v>
      </c>
      <c r="EM3" s="30">
        <v>2.0400000000000001E-2</v>
      </c>
      <c r="EN3" s="30">
        <v>-3.3E-3</v>
      </c>
      <c r="EO3" s="30">
        <v>-8.2000000000000007E-3</v>
      </c>
      <c r="EP3" s="30">
        <v>-1.26E-2</v>
      </c>
      <c r="EQ3" s="30">
        <v>1.74</v>
      </c>
    </row>
    <row r="4" spans="1:147" ht="118.8" x14ac:dyDescent="0.25">
      <c r="B4" s="28" t="s">
        <v>2174</v>
      </c>
      <c r="C4" s="28"/>
      <c r="D4" s="28" t="s">
        <v>2023</v>
      </c>
      <c r="E4" t="s">
        <v>1899</v>
      </c>
      <c r="F4" t="s">
        <v>1900</v>
      </c>
      <c r="G4">
        <v>6.87</v>
      </c>
      <c r="H4">
        <v>1.03</v>
      </c>
      <c r="I4" t="s">
        <v>1901</v>
      </c>
      <c r="J4">
        <v>7720003300</v>
      </c>
      <c r="K4">
        <v>2788</v>
      </c>
      <c r="L4">
        <v>3.59</v>
      </c>
      <c r="M4" t="s">
        <v>424</v>
      </c>
      <c r="N4" t="s">
        <v>25</v>
      </c>
      <c r="O4" t="s">
        <v>1993</v>
      </c>
      <c r="P4" t="s">
        <v>1994</v>
      </c>
      <c r="Q4">
        <v>-12.87</v>
      </c>
      <c r="R4" t="s">
        <v>167</v>
      </c>
      <c r="S4">
        <v>-6303492</v>
      </c>
      <c r="T4" s="3">
        <v>-1.8049999999999999</v>
      </c>
      <c r="U4" t="s">
        <v>1995</v>
      </c>
      <c r="V4">
        <v>1123726830</v>
      </c>
      <c r="W4">
        <v>1123726830</v>
      </c>
      <c r="X4">
        <v>1.07</v>
      </c>
      <c r="Y4">
        <v>0.06</v>
      </c>
      <c r="Z4">
        <v>-4.8</v>
      </c>
      <c r="AA4" t="s">
        <v>63</v>
      </c>
      <c r="AB4" t="s">
        <v>1996</v>
      </c>
      <c r="AC4" t="s">
        <v>1997</v>
      </c>
      <c r="AD4" t="s">
        <v>1998</v>
      </c>
      <c r="AE4" t="s">
        <v>7</v>
      </c>
      <c r="AF4">
        <v>195200</v>
      </c>
      <c r="AG4" t="s">
        <v>1999</v>
      </c>
      <c r="AH4" t="s">
        <v>2000</v>
      </c>
      <c r="AI4" t="s">
        <v>2001</v>
      </c>
      <c r="AJ4" t="s">
        <v>2002</v>
      </c>
      <c r="AK4" t="s">
        <v>2003</v>
      </c>
      <c r="AL4" t="s">
        <v>2004</v>
      </c>
      <c r="AM4" t="s">
        <v>2005</v>
      </c>
      <c r="AN4" t="s">
        <v>7</v>
      </c>
      <c r="AO4" t="s">
        <v>2006</v>
      </c>
      <c r="AP4" t="s">
        <v>7</v>
      </c>
      <c r="AQ4" t="s">
        <v>7</v>
      </c>
      <c r="AR4" t="s">
        <v>2007</v>
      </c>
      <c r="AS4" t="s">
        <v>2008</v>
      </c>
      <c r="AT4" t="s">
        <v>74</v>
      </c>
      <c r="AU4" t="s">
        <v>7</v>
      </c>
      <c r="AV4" t="s">
        <v>2009</v>
      </c>
      <c r="AW4" t="s">
        <v>2010</v>
      </c>
      <c r="AX4" t="s">
        <v>2011</v>
      </c>
      <c r="AY4" t="s">
        <v>2012</v>
      </c>
      <c r="AZ4" t="s">
        <v>103</v>
      </c>
      <c r="BA4" t="s">
        <v>142</v>
      </c>
      <c r="BB4" t="s">
        <v>1786</v>
      </c>
      <c r="BC4" t="s">
        <v>457</v>
      </c>
      <c r="BD4" t="s">
        <v>2013</v>
      </c>
      <c r="BE4" t="s">
        <v>2014</v>
      </c>
      <c r="BF4" t="s">
        <v>2015</v>
      </c>
      <c r="BG4" t="s">
        <v>2016</v>
      </c>
      <c r="BH4" t="s">
        <v>2017</v>
      </c>
      <c r="BI4" t="s">
        <v>2018</v>
      </c>
      <c r="BJ4" t="s">
        <v>782</v>
      </c>
      <c r="BK4" t="s">
        <v>172</v>
      </c>
      <c r="BL4" t="s">
        <v>2019</v>
      </c>
      <c r="BM4" t="s">
        <v>2020</v>
      </c>
      <c r="BN4" t="s">
        <v>2021</v>
      </c>
      <c r="BO4">
        <v>0.66</v>
      </c>
      <c r="BP4">
        <v>-2.0099999999999998</v>
      </c>
      <c r="BQ4">
        <v>0.45</v>
      </c>
      <c r="BR4">
        <v>0.78</v>
      </c>
      <c r="BS4">
        <v>-2.59</v>
      </c>
      <c r="BT4">
        <v>0.68</v>
      </c>
      <c r="BU4" t="s">
        <v>1125</v>
      </c>
      <c r="BV4" t="s">
        <v>1932</v>
      </c>
      <c r="BW4">
        <v>58.85</v>
      </c>
      <c r="BX4">
        <v>49.71</v>
      </c>
      <c r="BY4">
        <v>54.25</v>
      </c>
      <c r="BZ4">
        <v>0.2</v>
      </c>
      <c r="CA4">
        <v>-60.24</v>
      </c>
      <c r="CB4">
        <v>5.95</v>
      </c>
      <c r="CC4">
        <v>-6.66</v>
      </c>
      <c r="CD4">
        <v>-7.54</v>
      </c>
      <c r="CE4" t="s">
        <v>2022</v>
      </c>
      <c r="CF4" t="s">
        <v>165</v>
      </c>
      <c r="CG4" s="24">
        <v>3.5603114285714284E-2</v>
      </c>
      <c r="CH4" s="25">
        <v>-0.93159002315425421</v>
      </c>
      <c r="CI4" s="24">
        <v>1.2935078144073486</v>
      </c>
      <c r="CJ4" s="24">
        <v>-0.61848831176757813</v>
      </c>
      <c r="CK4" s="24">
        <v>-0.27485379576683044</v>
      </c>
      <c r="CL4" s="24">
        <v>-0.1492537260055542</v>
      </c>
      <c r="CM4" s="24">
        <v>0.51698112487792969</v>
      </c>
      <c r="CN4" s="25">
        <v>1.2997170686721802</v>
      </c>
      <c r="CO4" s="25">
        <v>-4.7805275917053223</v>
      </c>
      <c r="CP4" s="25">
        <v>1.0950279235839844</v>
      </c>
      <c r="CQ4" s="25">
        <v>-0.74676960706710815</v>
      </c>
      <c r="CR4" s="25">
        <v>-8.0631656646728516</v>
      </c>
      <c r="CS4">
        <v>35.576052073732718</v>
      </c>
      <c r="CT4">
        <v>-64358272.700384505</v>
      </c>
      <c r="CU4">
        <v>0</v>
      </c>
      <c r="CV4" s="24">
        <v>0.15357862114906312</v>
      </c>
      <c r="CW4" s="25">
        <v>-2.2391435742378234</v>
      </c>
      <c r="CX4">
        <v>0.06</v>
      </c>
      <c r="CY4">
        <v>311.23976971549217</v>
      </c>
      <c r="CZ4">
        <v>18397402.443891425</v>
      </c>
      <c r="DA4">
        <v>0.15357862114906312</v>
      </c>
      <c r="DB4">
        <v>96.417344277864785</v>
      </c>
      <c r="DC4">
        <v>59387689.454484999</v>
      </c>
      <c r="DD4">
        <v>0.14589969009160997</v>
      </c>
      <c r="DE4">
        <v>44.116727113568047</v>
      </c>
      <c r="DF4">
        <v>129792114.57050663</v>
      </c>
      <c r="DG4">
        <v>0.13514918661117556</v>
      </c>
      <c r="DH4">
        <v>24.338393774606928</v>
      </c>
      <c r="DI4">
        <v>235266277.34875971</v>
      </c>
      <c r="DJ4">
        <v>0.12286289691925051</v>
      </c>
      <c r="DK4">
        <v>10.353777960261043</v>
      </c>
      <c r="DL4">
        <v>553035164.74634099</v>
      </c>
      <c r="DM4">
        <v>0.10750503480434417</v>
      </c>
      <c r="DN4">
        <v>16905000</v>
      </c>
      <c r="DO4">
        <v>0.15357862114906312</v>
      </c>
      <c r="DP4">
        <v>5726003300</v>
      </c>
      <c r="DQ4">
        <v>1719109800</v>
      </c>
      <c r="DR4">
        <v>2805</v>
      </c>
      <c r="DS4">
        <v>-0.11797550686334884</v>
      </c>
      <c r="DT4">
        <v>1.3075535510835692</v>
      </c>
      <c r="DU4" s="26">
        <v>0</v>
      </c>
      <c r="DV4">
        <v>-2.2816666666666667</v>
      </c>
      <c r="DW4">
        <v>-2.2816666666666667</v>
      </c>
      <c r="DX4">
        <v>-9.8832891246684351</v>
      </c>
      <c r="DY4">
        <v>0.42988027210884239</v>
      </c>
      <c r="DZ4">
        <v>-9.1765520705895085</v>
      </c>
      <c r="EA4">
        <v>4723</v>
      </c>
      <c r="EB4">
        <v>-9.0070348050082423</v>
      </c>
      <c r="EC4">
        <v>9</v>
      </c>
      <c r="ED4">
        <v>2.6147279939912085E-2</v>
      </c>
      <c r="EE4">
        <v>0.13081471054669042</v>
      </c>
      <c r="EF4" s="27">
        <v>2.4570999999999999E-2</v>
      </c>
      <c r="EG4">
        <v>3.49E-2</v>
      </c>
      <c r="EH4">
        <v>23.199880272108842</v>
      </c>
      <c r="EI4" t="s">
        <v>398</v>
      </c>
      <c r="EJ4">
        <v>0</v>
      </c>
      <c r="EK4">
        <v>0</v>
      </c>
      <c r="EL4" s="29">
        <v>44939</v>
      </c>
      <c r="EM4" s="30">
        <v>5.4000000000000003E-3</v>
      </c>
      <c r="EN4" s="30">
        <v>-1.4E-3</v>
      </c>
      <c r="EO4" s="30">
        <v>-7.7100000000000002E-2</v>
      </c>
      <c r="EP4" s="30">
        <v>-2.8999999999999998E-3</v>
      </c>
      <c r="EQ4" s="30">
        <v>1.03</v>
      </c>
    </row>
    <row r="5" spans="1:147" ht="118.8" x14ac:dyDescent="0.25">
      <c r="B5" s="28" t="s">
        <v>2175</v>
      </c>
      <c r="C5" s="28"/>
      <c r="D5" s="28" t="s">
        <v>2143</v>
      </c>
      <c r="E5" t="s">
        <v>1911</v>
      </c>
      <c r="F5" t="s">
        <v>1912</v>
      </c>
      <c r="G5">
        <v>6.17</v>
      </c>
      <c r="H5">
        <v>0.82</v>
      </c>
      <c r="I5" t="s">
        <v>1913</v>
      </c>
      <c r="J5">
        <v>2053062300</v>
      </c>
      <c r="L5">
        <v>2.96</v>
      </c>
      <c r="M5" t="s">
        <v>424</v>
      </c>
      <c r="N5" t="s">
        <v>2115</v>
      </c>
      <c r="O5" t="s">
        <v>2116</v>
      </c>
      <c r="P5" t="s">
        <v>2117</v>
      </c>
      <c r="Q5">
        <v>-0.94</v>
      </c>
      <c r="R5" t="s">
        <v>412</v>
      </c>
      <c r="S5">
        <v>3888390</v>
      </c>
      <c r="T5" s="3">
        <v>0.29949999999999999</v>
      </c>
      <c r="U5" t="s">
        <v>2118</v>
      </c>
      <c r="V5">
        <v>332749150</v>
      </c>
      <c r="W5">
        <v>332749150</v>
      </c>
      <c r="X5">
        <v>2.0299999999999998</v>
      </c>
      <c r="Y5">
        <v>0.23</v>
      </c>
      <c r="Z5">
        <v>1.18</v>
      </c>
      <c r="AA5" t="s">
        <v>175</v>
      </c>
      <c r="AB5" t="s">
        <v>32</v>
      </c>
      <c r="AC5" t="s">
        <v>2119</v>
      </c>
      <c r="AD5" t="s">
        <v>2120</v>
      </c>
      <c r="AE5" t="s">
        <v>2121</v>
      </c>
      <c r="AF5">
        <v>16968248</v>
      </c>
      <c r="AG5" t="s">
        <v>29</v>
      </c>
      <c r="AH5" t="s">
        <v>2122</v>
      </c>
      <c r="AI5" t="s">
        <v>2123</v>
      </c>
      <c r="AJ5" t="s">
        <v>2124</v>
      </c>
      <c r="AK5" t="s">
        <v>2125</v>
      </c>
      <c r="AL5" t="s">
        <v>2126</v>
      </c>
      <c r="AM5" t="s">
        <v>2127</v>
      </c>
      <c r="AN5" t="s">
        <v>7</v>
      </c>
      <c r="AO5" t="s">
        <v>2128</v>
      </c>
      <c r="AP5" t="s">
        <v>477</v>
      </c>
      <c r="AQ5" t="s">
        <v>7</v>
      </c>
      <c r="AR5" t="s">
        <v>2129</v>
      </c>
      <c r="AS5" t="s">
        <v>7</v>
      </c>
      <c r="AT5" t="s">
        <v>1444</v>
      </c>
      <c r="AU5" t="s">
        <v>7</v>
      </c>
      <c r="AV5" t="s">
        <v>2130</v>
      </c>
      <c r="AW5" t="s">
        <v>2131</v>
      </c>
      <c r="AX5" t="s">
        <v>2132</v>
      </c>
      <c r="AY5" t="s">
        <v>121</v>
      </c>
      <c r="AZ5" t="s">
        <v>255</v>
      </c>
      <c r="BA5" t="s">
        <v>67</v>
      </c>
      <c r="BB5" t="s">
        <v>741</v>
      </c>
      <c r="BC5" t="s">
        <v>2133</v>
      </c>
      <c r="BD5" t="s">
        <v>2134</v>
      </c>
      <c r="BE5" t="s">
        <v>2135</v>
      </c>
      <c r="BF5" t="s">
        <v>2136</v>
      </c>
      <c r="BG5" t="s">
        <v>2137</v>
      </c>
      <c r="BH5" t="s">
        <v>2138</v>
      </c>
      <c r="BI5" t="s">
        <v>1468</v>
      </c>
      <c r="BJ5" t="s">
        <v>153</v>
      </c>
      <c r="BK5" t="s">
        <v>50</v>
      </c>
      <c r="BL5" t="s">
        <v>2139</v>
      </c>
      <c r="BM5" t="s">
        <v>2140</v>
      </c>
      <c r="BN5" t="s">
        <v>2141</v>
      </c>
      <c r="BO5">
        <v>-22.69</v>
      </c>
      <c r="BP5">
        <v>-10.43</v>
      </c>
      <c r="BQ5">
        <v>0.46</v>
      </c>
      <c r="BR5">
        <v>-25</v>
      </c>
      <c r="BS5">
        <v>-17.579999999999998</v>
      </c>
      <c r="BT5">
        <v>-1.88</v>
      </c>
      <c r="BU5" t="s">
        <v>1125</v>
      </c>
      <c r="BV5" t="s">
        <v>1932</v>
      </c>
      <c r="BW5">
        <v>50.26</v>
      </c>
      <c r="BX5">
        <v>27.07</v>
      </c>
      <c r="BY5">
        <v>54.69</v>
      </c>
      <c r="BZ5">
        <v>0.06</v>
      </c>
      <c r="CA5">
        <v>-55.99</v>
      </c>
      <c r="CB5">
        <v>-3.88</v>
      </c>
      <c r="CC5">
        <v>-4.1900000000000004</v>
      </c>
      <c r="CD5">
        <v>-5.66</v>
      </c>
      <c r="CE5" t="s">
        <v>2142</v>
      </c>
      <c r="CF5" t="s">
        <v>502</v>
      </c>
      <c r="CG5" s="24">
        <v>0.17585000000000006</v>
      </c>
      <c r="CH5" s="25">
        <v>-0.1057386796042618</v>
      </c>
      <c r="CI5" s="24">
        <v>0.20918367803096771</v>
      </c>
      <c r="CJ5" s="24">
        <v>-0.41229385137557983</v>
      </c>
      <c r="CK5" s="24">
        <v>-0.15355329215526581</v>
      </c>
      <c r="CL5" s="24">
        <v>-5.1744885742664337E-2</v>
      </c>
      <c r="CM5" s="24">
        <v>6.2659844756126404E-2</v>
      </c>
      <c r="CN5" s="25">
        <v>-0.88181817531585693</v>
      </c>
      <c r="CO5" s="25">
        <v>-7.5056695938110352</v>
      </c>
      <c r="CP5" s="25">
        <v>-1.5008704662322998</v>
      </c>
      <c r="CQ5" s="25">
        <v>-0.18634665012359619</v>
      </c>
      <c r="CR5" s="25">
        <v>7.9559586942195892E-2</v>
      </c>
      <c r="CS5">
        <v>4.3313550632911388</v>
      </c>
      <c r="CT5">
        <v>-766673.67149758467</v>
      </c>
      <c r="CU5">
        <v>0</v>
      </c>
      <c r="CV5" s="24">
        <v>-6.9149701297283178E-2</v>
      </c>
      <c r="CW5" s="25">
        <v>-1.9990290597081184</v>
      </c>
      <c r="CX5">
        <v>0.06</v>
      </c>
      <c r="CY5" t="e">
        <v>#VALUE!</v>
      </c>
      <c r="CZ5" t="s">
        <v>397</v>
      </c>
      <c r="DA5">
        <v>-6.9149701297283178E-2</v>
      </c>
      <c r="DB5" t="e">
        <v>#VALUE!</v>
      </c>
      <c r="DC5" t="s">
        <v>397</v>
      </c>
      <c r="DD5">
        <v>-6.5692216232419012E-2</v>
      </c>
      <c r="DE5" t="e">
        <v>#VALUE!</v>
      </c>
      <c r="DF5" t="s">
        <v>397</v>
      </c>
      <c r="DG5">
        <v>-6.08517371416092E-2</v>
      </c>
      <c r="DH5" t="e">
        <v>#VALUE!</v>
      </c>
      <c r="DI5" t="s">
        <v>397</v>
      </c>
      <c r="DJ5">
        <v>-5.5319761037826543E-2</v>
      </c>
      <c r="DK5" t="e">
        <v>#VALUE!</v>
      </c>
      <c r="DL5" t="s">
        <v>397</v>
      </c>
      <c r="DM5">
        <v>-4.8404790908098225E-2</v>
      </c>
      <c r="DN5">
        <v>-413999999.99999994</v>
      </c>
      <c r="DO5">
        <v>-6.9149701297283178E-2</v>
      </c>
      <c r="DP5">
        <v>2070062300</v>
      </c>
      <c r="DQ5">
        <v>117270760</v>
      </c>
      <c r="DR5">
        <v>4177</v>
      </c>
      <c r="DS5">
        <v>0.24499970129728324</v>
      </c>
      <c r="DT5">
        <v>1.8932903801038565</v>
      </c>
      <c r="DU5" s="26">
        <v>-0.1166666666666667</v>
      </c>
      <c r="DV5">
        <v>-1.8266666666666669</v>
      </c>
      <c r="DW5">
        <v>-1.9433333333333336</v>
      </c>
      <c r="DX5">
        <v>-8.7402826855123674</v>
      </c>
      <c r="DY5">
        <v>0.23659588235294074</v>
      </c>
      <c r="DZ5">
        <v>-8.1011195666181663</v>
      </c>
      <c r="EA5">
        <v>4631</v>
      </c>
      <c r="EB5">
        <v>-8.0059203974763236</v>
      </c>
      <c r="EC5">
        <v>8</v>
      </c>
      <c r="ED5">
        <v>6.9786203811489825E-2</v>
      </c>
      <c r="EE5">
        <v>0.51089536968013294</v>
      </c>
      <c r="EF5" s="27">
        <v>6.6549999999999995E-3</v>
      </c>
      <c r="EG5">
        <v>1.49E-2</v>
      </c>
      <c r="EH5">
        <v>10.136595882352941</v>
      </c>
      <c r="EI5" t="s">
        <v>398</v>
      </c>
      <c r="EJ5">
        <v>0</v>
      </c>
      <c r="EK5">
        <v>0</v>
      </c>
      <c r="EL5" s="29">
        <v>44939</v>
      </c>
      <c r="EM5" s="30">
        <v>2.3300000000000001E-2</v>
      </c>
      <c r="EN5" s="30">
        <v>-2.58E-2</v>
      </c>
      <c r="EO5" s="30">
        <v>-3.27E-2</v>
      </c>
      <c r="EP5" s="30">
        <v>-1.4500000000000001E-2</v>
      </c>
      <c r="EQ5" s="30">
        <v>0.82</v>
      </c>
    </row>
    <row r="6" spans="1:147" ht="118.8" x14ac:dyDescent="0.25">
      <c r="B6" s="28" t="s">
        <v>2174</v>
      </c>
      <c r="C6" s="28"/>
      <c r="D6" s="28" t="s">
        <v>2172</v>
      </c>
      <c r="E6" t="s">
        <v>1914</v>
      </c>
      <c r="F6" t="s">
        <v>1915</v>
      </c>
      <c r="G6">
        <v>5.78</v>
      </c>
      <c r="H6">
        <v>1.05</v>
      </c>
      <c r="I6" t="s">
        <v>1916</v>
      </c>
      <c r="J6">
        <v>1856073600</v>
      </c>
      <c r="L6">
        <v>1.8</v>
      </c>
      <c r="M6" t="s">
        <v>424</v>
      </c>
      <c r="N6" t="s">
        <v>61</v>
      </c>
      <c r="O6" t="s">
        <v>2144</v>
      </c>
      <c r="P6" t="s">
        <v>2145</v>
      </c>
      <c r="Q6">
        <v>-27.38</v>
      </c>
      <c r="R6" t="s">
        <v>90</v>
      </c>
      <c r="S6">
        <v>-42172095</v>
      </c>
      <c r="T6" s="3">
        <v>-0.53069999999999995</v>
      </c>
      <c r="U6" t="s">
        <v>2146</v>
      </c>
      <c r="V6">
        <v>321120000</v>
      </c>
      <c r="W6">
        <v>321120000</v>
      </c>
      <c r="X6">
        <v>1.1299999999999999</v>
      </c>
      <c r="Y6">
        <v>0.06</v>
      </c>
      <c r="Z6">
        <v>-62.05</v>
      </c>
      <c r="AA6" t="s">
        <v>172</v>
      </c>
      <c r="AB6" t="s">
        <v>2147</v>
      </c>
      <c r="AC6" t="s">
        <v>2148</v>
      </c>
      <c r="AD6" t="s">
        <v>2149</v>
      </c>
      <c r="AE6" t="s">
        <v>2150</v>
      </c>
      <c r="AF6">
        <v>-4994656</v>
      </c>
      <c r="AG6" t="s">
        <v>29</v>
      </c>
      <c r="AH6" t="s">
        <v>2151</v>
      </c>
      <c r="AI6" t="s">
        <v>2152</v>
      </c>
      <c r="AJ6" t="s">
        <v>493</v>
      </c>
      <c r="AK6" t="s">
        <v>2153</v>
      </c>
      <c r="AL6" t="s">
        <v>7</v>
      </c>
      <c r="AM6" t="s">
        <v>2154</v>
      </c>
      <c r="AN6" t="s">
        <v>7</v>
      </c>
      <c r="AO6">
        <v>0</v>
      </c>
      <c r="AP6" t="s">
        <v>7</v>
      </c>
      <c r="AQ6" t="s">
        <v>7</v>
      </c>
      <c r="AR6" t="s">
        <v>2155</v>
      </c>
      <c r="AS6" t="s">
        <v>2156</v>
      </c>
      <c r="AT6" t="s">
        <v>2157</v>
      </c>
      <c r="AU6" t="s">
        <v>2158</v>
      </c>
      <c r="AV6" t="s">
        <v>2159</v>
      </c>
      <c r="AW6" t="s">
        <v>2160</v>
      </c>
      <c r="AX6" t="s">
        <v>7</v>
      </c>
      <c r="AY6" t="s">
        <v>61</v>
      </c>
      <c r="AZ6" t="s">
        <v>86</v>
      </c>
      <c r="BA6" t="s">
        <v>154</v>
      </c>
      <c r="BB6" t="s">
        <v>82</v>
      </c>
      <c r="BC6" t="s">
        <v>1147</v>
      </c>
      <c r="BD6" t="s">
        <v>2161</v>
      </c>
      <c r="BE6" t="s">
        <v>2162</v>
      </c>
      <c r="BF6" t="s">
        <v>2163</v>
      </c>
      <c r="BG6" t="s">
        <v>2164</v>
      </c>
      <c r="BH6" t="s">
        <v>2165</v>
      </c>
      <c r="BI6" t="s">
        <v>2166</v>
      </c>
      <c r="BJ6" t="s">
        <v>30</v>
      </c>
      <c r="BK6" t="s">
        <v>2167</v>
      </c>
      <c r="BL6" t="s">
        <v>2168</v>
      </c>
      <c r="BM6" t="s">
        <v>2169</v>
      </c>
      <c r="BN6" t="s">
        <v>2170</v>
      </c>
      <c r="BO6">
        <v>-8</v>
      </c>
      <c r="BP6">
        <v>-0.32</v>
      </c>
      <c r="BQ6">
        <v>1.6</v>
      </c>
      <c r="BR6">
        <v>-8.7899999999999991</v>
      </c>
      <c r="BS6">
        <v>0.16</v>
      </c>
      <c r="BT6">
        <v>2.35</v>
      </c>
      <c r="BU6" t="s">
        <v>1125</v>
      </c>
      <c r="BV6" t="s">
        <v>1932</v>
      </c>
      <c r="BW6">
        <v>42.92</v>
      </c>
      <c r="BX6">
        <v>48.72</v>
      </c>
      <c r="BY6">
        <v>64.12</v>
      </c>
      <c r="BZ6">
        <v>-64.42</v>
      </c>
      <c r="CA6">
        <v>-2.29</v>
      </c>
      <c r="CB6">
        <v>12.15</v>
      </c>
      <c r="CC6">
        <v>-4.46</v>
      </c>
      <c r="CD6">
        <v>-0.17</v>
      </c>
      <c r="CE6" t="s">
        <v>2171</v>
      </c>
      <c r="CF6" t="s">
        <v>133</v>
      </c>
      <c r="CG6" s="24">
        <v>-0.31679765888383404</v>
      </c>
      <c r="CH6" s="25">
        <v>-0.21657793040602114</v>
      </c>
      <c r="CI6" s="24">
        <v>5.2631579339504242E-2</v>
      </c>
      <c r="CJ6" s="24">
        <v>-0.24858756363391876</v>
      </c>
      <c r="CK6" s="24">
        <v>-0.23376622796058655</v>
      </c>
      <c r="CL6" s="24">
        <v>2.2123893722891808E-2</v>
      </c>
      <c r="CM6" s="24">
        <v>6.6037736833095551E-2</v>
      </c>
      <c r="CN6" s="25">
        <v>-54.073616027832031</v>
      </c>
      <c r="CO6" s="25">
        <v>-0.93219918012619019</v>
      </c>
      <c r="CP6" s="25">
        <v>6.6430792212486267E-3</v>
      </c>
      <c r="CQ6" s="25">
        <v>0.13093613088130951</v>
      </c>
      <c r="CR6" s="25">
        <v>0.18512342870235443</v>
      </c>
      <c r="CS6">
        <v>13.257668571428571</v>
      </c>
      <c r="CT6">
        <v>44452623.569213249</v>
      </c>
      <c r="CU6">
        <v>0</v>
      </c>
      <c r="CV6" s="24">
        <v>-6.8312116339802748E-2</v>
      </c>
      <c r="CW6" s="25">
        <v>-10.936622513830661</v>
      </c>
      <c r="CX6">
        <v>0.06</v>
      </c>
      <c r="CY6" t="e">
        <v>#VALUE!</v>
      </c>
      <c r="CZ6" t="s">
        <v>516</v>
      </c>
      <c r="DA6">
        <v>-6.8312116339802748E-2</v>
      </c>
      <c r="DB6" t="e">
        <v>#VALUE!</v>
      </c>
      <c r="DC6" t="s">
        <v>397</v>
      </c>
      <c r="DD6">
        <v>-6.4896510522812603E-2</v>
      </c>
      <c r="DE6" t="e">
        <v>#VALUE!</v>
      </c>
      <c r="DF6" t="s">
        <v>397</v>
      </c>
      <c r="DG6">
        <v>-6.0114662379026421E-2</v>
      </c>
      <c r="DH6" t="e">
        <v>#VALUE!</v>
      </c>
      <c r="DI6" t="s">
        <v>397</v>
      </c>
      <c r="DJ6">
        <v>-5.4649693071842198E-2</v>
      </c>
      <c r="DK6" t="e">
        <v>#VALUE!</v>
      </c>
      <c r="DL6" t="s">
        <v>397</v>
      </c>
      <c r="DM6">
        <v>-4.7818481437861923E-2</v>
      </c>
      <c r="DN6">
        <v>-98695700</v>
      </c>
      <c r="DO6">
        <v>-6.8312116339802748E-2</v>
      </c>
      <c r="DP6">
        <v>984073599.99999988</v>
      </c>
      <c r="DQ6">
        <v>327297580</v>
      </c>
      <c r="DR6">
        <v>3164</v>
      </c>
      <c r="DS6">
        <v>-0.2484855425440313</v>
      </c>
      <c r="DT6">
        <v>10.72004458342464</v>
      </c>
      <c r="DU6" s="26">
        <v>-0.5033333333333333</v>
      </c>
      <c r="DV6">
        <v>-1.8483333333333336</v>
      </c>
      <c r="DW6">
        <v>-2.351666666666667</v>
      </c>
      <c r="DX6">
        <v>-4.0381165919282509</v>
      </c>
      <c r="DY6">
        <v>0.25239065420560919</v>
      </c>
      <c r="DZ6">
        <v>-4.0027592850257747</v>
      </c>
      <c r="EA6">
        <v>4751</v>
      </c>
      <c r="EB6">
        <v>-4.0000942386428804</v>
      </c>
      <c r="EC6">
        <v>4</v>
      </c>
      <c r="ED6">
        <v>0.12060600398604883</v>
      </c>
      <c r="EE6">
        <v>1.6660438465371199</v>
      </c>
      <c r="EF6" s="27">
        <v>4.6027999999999999E-2</v>
      </c>
      <c r="EG6">
        <v>3.551E-2</v>
      </c>
      <c r="EH6">
        <v>18.072390654205609</v>
      </c>
      <c r="EI6">
        <v>-1</v>
      </c>
      <c r="EJ6">
        <v>0</v>
      </c>
      <c r="EK6">
        <v>0</v>
      </c>
      <c r="EL6" s="29">
        <v>44939</v>
      </c>
      <c r="EM6" s="30">
        <v>1.32E-2</v>
      </c>
      <c r="EN6" s="30">
        <v>-2.2800000000000001E-2</v>
      </c>
      <c r="EO6" s="30">
        <v>-1.84E-2</v>
      </c>
      <c r="EP6" s="30">
        <v>-2.7199999999999998E-2</v>
      </c>
      <c r="EQ6" s="30">
        <v>1.05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3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Q5"/>
  <sheetViews>
    <sheetView workbookViewId="0">
      <selection activeCell="J2" sqref="J2"/>
    </sheetView>
  </sheetViews>
  <sheetFormatPr defaultRowHeight="14.4" x14ac:dyDescent="0.25"/>
  <cols>
    <col min="2" max="2" width="35.88671875" customWidth="1"/>
    <col min="3" max="3" width="37.33203125" customWidth="1"/>
    <col min="4" max="4" width="52.6640625" customWidth="1"/>
    <col min="10" max="10" width="12.44140625" bestFit="1" customWidth="1"/>
  </cols>
  <sheetData>
    <row r="1" spans="1:147" s="15" customFormat="1" x14ac:dyDescent="0.25">
      <c r="A1" s="16" t="s">
        <v>223</v>
      </c>
      <c r="B1" s="19" t="s">
        <v>350</v>
      </c>
      <c r="C1" s="20" t="s">
        <v>351</v>
      </c>
      <c r="D1" s="19" t="s">
        <v>302</v>
      </c>
      <c r="E1" t="s">
        <v>2</v>
      </c>
      <c r="F1" t="s">
        <v>3</v>
      </c>
      <c r="G1" t="s">
        <v>0</v>
      </c>
      <c r="H1" t="s">
        <v>323</v>
      </c>
      <c r="I1" t="s">
        <v>352</v>
      </c>
      <c r="J1" t="s">
        <v>4</v>
      </c>
      <c r="K1" t="s">
        <v>5</v>
      </c>
      <c r="L1" t="s">
        <v>1</v>
      </c>
      <c r="M1" t="s">
        <v>6</v>
      </c>
      <c r="N1" t="s">
        <v>8</v>
      </c>
      <c r="O1" t="s">
        <v>9</v>
      </c>
      <c r="P1" t="s">
        <v>10</v>
      </c>
      <c r="Q1" t="s">
        <v>353</v>
      </c>
      <c r="R1" t="s">
        <v>324</v>
      </c>
      <c r="S1" t="s">
        <v>354</v>
      </c>
      <c r="T1" t="s">
        <v>11</v>
      </c>
      <c r="U1" t="s">
        <v>325</v>
      </c>
      <c r="V1" t="s">
        <v>326</v>
      </c>
      <c r="W1" t="s">
        <v>12</v>
      </c>
      <c r="X1" t="s">
        <v>273</v>
      </c>
      <c r="Y1" t="s">
        <v>274</v>
      </c>
      <c r="Z1" t="s">
        <v>275</v>
      </c>
      <c r="AA1" t="s">
        <v>276</v>
      </c>
      <c r="AB1" t="s">
        <v>277</v>
      </c>
      <c r="AC1" t="s">
        <v>327</v>
      </c>
      <c r="AD1" t="s">
        <v>278</v>
      </c>
      <c r="AE1" t="s">
        <v>355</v>
      </c>
      <c r="AF1" t="s">
        <v>13</v>
      </c>
      <c r="AG1" t="s">
        <v>14</v>
      </c>
      <c r="AH1" t="s">
        <v>328</v>
      </c>
      <c r="AI1" t="s">
        <v>356</v>
      </c>
      <c r="AJ1" t="s">
        <v>329</v>
      </c>
      <c r="AK1" t="s">
        <v>15</v>
      </c>
      <c r="AL1" t="s">
        <v>330</v>
      </c>
      <c r="AM1" t="s">
        <v>224</v>
      </c>
      <c r="AN1" t="s">
        <v>331</v>
      </c>
      <c r="AO1" t="s">
        <v>332</v>
      </c>
      <c r="AP1" t="s">
        <v>333</v>
      </c>
      <c r="AQ1" t="s">
        <v>334</v>
      </c>
      <c r="AR1" t="s">
        <v>335</v>
      </c>
      <c r="AS1" t="s">
        <v>336</v>
      </c>
      <c r="AT1" t="s">
        <v>337</v>
      </c>
      <c r="AU1" t="s">
        <v>338</v>
      </c>
      <c r="AV1" t="s">
        <v>339</v>
      </c>
      <c r="AW1" t="s">
        <v>340</v>
      </c>
      <c r="AX1" t="s">
        <v>341</v>
      </c>
      <c r="AY1" t="s">
        <v>357</v>
      </c>
      <c r="AZ1" t="s">
        <v>225</v>
      </c>
      <c r="BA1" t="s">
        <v>226</v>
      </c>
      <c r="BB1" t="s">
        <v>227</v>
      </c>
      <c r="BC1" t="s">
        <v>228</v>
      </c>
      <c r="BD1" t="s">
        <v>234</v>
      </c>
      <c r="BE1" t="s">
        <v>229</v>
      </c>
      <c r="BF1" t="s">
        <v>230</v>
      </c>
      <c r="BG1" t="s">
        <v>231</v>
      </c>
      <c r="BH1" t="s">
        <v>232</v>
      </c>
      <c r="BI1" t="s">
        <v>358</v>
      </c>
      <c r="BJ1" t="s">
        <v>342</v>
      </c>
      <c r="BK1" t="s">
        <v>233</v>
      </c>
      <c r="BL1" t="s">
        <v>343</v>
      </c>
      <c r="BM1" t="s">
        <v>344</v>
      </c>
      <c r="BN1" t="s">
        <v>345</v>
      </c>
      <c r="BO1" t="s">
        <v>346</v>
      </c>
      <c r="BP1" t="s">
        <v>235</v>
      </c>
      <c r="BQ1" t="s">
        <v>236</v>
      </c>
      <c r="BR1" t="s">
        <v>237</v>
      </c>
      <c r="BS1" t="s">
        <v>347</v>
      </c>
      <c r="BT1" t="s">
        <v>238</v>
      </c>
      <c r="BU1" t="s">
        <v>239</v>
      </c>
      <c r="BV1" t="s">
        <v>240</v>
      </c>
      <c r="BW1" t="s">
        <v>348</v>
      </c>
      <c r="BX1" t="s">
        <v>241</v>
      </c>
      <c r="BY1" t="s">
        <v>242</v>
      </c>
      <c r="BZ1" t="s">
        <v>349</v>
      </c>
      <c r="CA1" t="s">
        <v>243</v>
      </c>
      <c r="CB1" t="s">
        <v>244</v>
      </c>
      <c r="CC1" t="s">
        <v>359</v>
      </c>
      <c r="CD1" t="s">
        <v>360</v>
      </c>
      <c r="CE1" t="s">
        <v>361</v>
      </c>
      <c r="CF1" t="s">
        <v>362</v>
      </c>
      <c r="CG1" s="1" t="s">
        <v>279</v>
      </c>
      <c r="CH1" s="1" t="s">
        <v>280</v>
      </c>
      <c r="CI1" s="1" t="s">
        <v>281</v>
      </c>
      <c r="CJ1" s="1" t="s">
        <v>282</v>
      </c>
      <c r="CK1" s="1" t="s">
        <v>283</v>
      </c>
      <c r="CL1" s="1" t="s">
        <v>284</v>
      </c>
      <c r="CM1" s="1" t="s">
        <v>285</v>
      </c>
      <c r="CN1" s="1" t="s">
        <v>286</v>
      </c>
      <c r="CO1" s="1" t="s">
        <v>287</v>
      </c>
      <c r="CP1" s="1" t="s">
        <v>288</v>
      </c>
      <c r="CQ1" s="1" t="s">
        <v>289</v>
      </c>
      <c r="CR1" s="1" t="s">
        <v>290</v>
      </c>
      <c r="CS1" s="1" t="s">
        <v>363</v>
      </c>
      <c r="CT1" s="1" t="s">
        <v>311</v>
      </c>
      <c r="CU1" s="1" t="s">
        <v>291</v>
      </c>
      <c r="CV1" s="1" t="s">
        <v>312</v>
      </c>
      <c r="CW1" s="1" t="s">
        <v>292</v>
      </c>
      <c r="CX1" s="1" t="s">
        <v>204</v>
      </c>
      <c r="CY1">
        <v>1</v>
      </c>
      <c r="CZ1" t="s">
        <v>293</v>
      </c>
      <c r="DA1" t="s">
        <v>294</v>
      </c>
      <c r="DB1">
        <v>3</v>
      </c>
      <c r="DC1" t="s">
        <v>303</v>
      </c>
      <c r="DD1" t="s">
        <v>314</v>
      </c>
      <c r="DE1">
        <v>6</v>
      </c>
      <c r="DF1" t="s">
        <v>315</v>
      </c>
      <c r="DG1" t="s">
        <v>295</v>
      </c>
      <c r="DH1">
        <v>10</v>
      </c>
      <c r="DI1" t="s">
        <v>316</v>
      </c>
      <c r="DJ1" t="s">
        <v>364</v>
      </c>
      <c r="DK1">
        <v>20</v>
      </c>
      <c r="DL1" t="s">
        <v>296</v>
      </c>
      <c r="DM1" t="s">
        <v>297</v>
      </c>
      <c r="DN1" t="s">
        <v>298</v>
      </c>
      <c r="DO1" s="2" t="s">
        <v>299</v>
      </c>
      <c r="DP1" t="s">
        <v>365</v>
      </c>
      <c r="DQ1" t="s">
        <v>300</v>
      </c>
      <c r="DR1" s="1" t="s">
        <v>317</v>
      </c>
      <c r="DS1" s="1" t="s">
        <v>301</v>
      </c>
      <c r="DT1" s="1" t="s">
        <v>304</v>
      </c>
      <c r="DU1" t="s">
        <v>366</v>
      </c>
      <c r="DV1" t="s">
        <v>367</v>
      </c>
      <c r="DW1" t="s">
        <v>318</v>
      </c>
      <c r="DX1" t="s">
        <v>368</v>
      </c>
      <c r="DY1" t="s">
        <v>369</v>
      </c>
      <c r="DZ1" t="s">
        <v>319</v>
      </c>
      <c r="EA1" t="s">
        <v>305</v>
      </c>
      <c r="EB1" t="s">
        <v>320</v>
      </c>
      <c r="EC1" t="s">
        <v>321</v>
      </c>
      <c r="ED1" t="s">
        <v>370</v>
      </c>
      <c r="EE1" t="s">
        <v>322</v>
      </c>
      <c r="EF1" t="s">
        <v>371</v>
      </c>
      <c r="EG1" t="s">
        <v>372</v>
      </c>
      <c r="EH1" t="s">
        <v>373</v>
      </c>
      <c r="EI1" t="s">
        <v>374</v>
      </c>
      <c r="EJ1" t="s">
        <v>375</v>
      </c>
      <c r="EK1"/>
    </row>
    <row r="2" spans="1:147" s="15" customFormat="1" ht="71.55" customHeight="1" x14ac:dyDescent="0.25">
      <c r="A2" s="23"/>
      <c r="B2" s="21"/>
      <c r="C2" s="22">
        <v>3</v>
      </c>
      <c r="D2" s="22">
        <v>11</v>
      </c>
      <c r="J2" s="22">
        <f>SUM(J3:J5)</f>
        <v>19767853600</v>
      </c>
      <c r="T2" s="17"/>
      <c r="U2" s="17"/>
      <c r="V2" s="17"/>
      <c r="AB2" s="18"/>
    </row>
    <row r="3" spans="1:147" ht="108" x14ac:dyDescent="0.25">
      <c r="B3" s="28" t="s">
        <v>2176</v>
      </c>
      <c r="C3" s="28"/>
      <c r="D3" s="28" t="s">
        <v>1992</v>
      </c>
      <c r="E3" t="s">
        <v>1896</v>
      </c>
      <c r="F3" t="s">
        <v>1897</v>
      </c>
      <c r="G3">
        <v>9.64</v>
      </c>
      <c r="H3">
        <v>2.77</v>
      </c>
      <c r="I3" t="s">
        <v>1898</v>
      </c>
      <c r="J3">
        <v>8787268900</v>
      </c>
      <c r="K3">
        <v>43.2</v>
      </c>
      <c r="L3">
        <v>1.62</v>
      </c>
      <c r="M3" t="s">
        <v>424</v>
      </c>
      <c r="N3" t="s">
        <v>1969</v>
      </c>
      <c r="O3" t="s">
        <v>1970</v>
      </c>
      <c r="P3" t="s">
        <v>1971</v>
      </c>
      <c r="Q3">
        <v>2.08</v>
      </c>
      <c r="R3" t="s">
        <v>1972</v>
      </c>
      <c r="S3">
        <v>130467321</v>
      </c>
      <c r="T3" s="3">
        <v>2.3099999999999999E-2</v>
      </c>
      <c r="U3" t="s">
        <v>564</v>
      </c>
      <c r="V3">
        <v>911542410</v>
      </c>
      <c r="W3">
        <v>911542410</v>
      </c>
      <c r="X3">
        <v>1.1000000000000001</v>
      </c>
      <c r="Y3">
        <v>0.18</v>
      </c>
      <c r="Z3">
        <v>11.54</v>
      </c>
      <c r="AA3" t="s">
        <v>265</v>
      </c>
      <c r="AB3" t="s">
        <v>1973</v>
      </c>
      <c r="AC3" t="s">
        <v>65</v>
      </c>
      <c r="AD3" t="s">
        <v>1974</v>
      </c>
      <c r="AE3" t="s">
        <v>1975</v>
      </c>
      <c r="AF3">
        <v>-15303978</v>
      </c>
      <c r="AG3" t="s">
        <v>1976</v>
      </c>
      <c r="AH3" t="s">
        <v>1977</v>
      </c>
      <c r="AI3" t="s">
        <v>1978</v>
      </c>
      <c r="AJ3" t="s">
        <v>523</v>
      </c>
      <c r="AK3" t="s">
        <v>1979</v>
      </c>
      <c r="AL3" t="s">
        <v>7</v>
      </c>
      <c r="AM3" t="s">
        <v>1980</v>
      </c>
      <c r="AN3" t="s">
        <v>7</v>
      </c>
      <c r="AO3" t="s">
        <v>21</v>
      </c>
      <c r="AP3" t="s">
        <v>7</v>
      </c>
      <c r="AQ3" t="s">
        <v>7</v>
      </c>
      <c r="AR3" t="s">
        <v>161</v>
      </c>
      <c r="AS3" t="s">
        <v>7</v>
      </c>
      <c r="AT3" t="s">
        <v>189</v>
      </c>
      <c r="AU3" t="s">
        <v>1981</v>
      </c>
      <c r="AV3" t="s">
        <v>1982</v>
      </c>
      <c r="AW3" t="s">
        <v>1983</v>
      </c>
      <c r="AX3" t="s">
        <v>1984</v>
      </c>
      <c r="AY3" t="s">
        <v>1391</v>
      </c>
      <c r="AZ3" t="s">
        <v>1985</v>
      </c>
      <c r="BA3" t="s">
        <v>1986</v>
      </c>
      <c r="BB3" t="s">
        <v>257</v>
      </c>
      <c r="BC3" t="s">
        <v>1987</v>
      </c>
      <c r="BD3" t="s">
        <v>34</v>
      </c>
      <c r="BE3" t="s">
        <v>93</v>
      </c>
      <c r="BF3" t="s">
        <v>116</v>
      </c>
      <c r="BG3" t="s">
        <v>182</v>
      </c>
      <c r="BH3" t="s">
        <v>95</v>
      </c>
      <c r="BI3" t="s">
        <v>517</v>
      </c>
      <c r="BJ3" t="s">
        <v>1988</v>
      </c>
      <c r="BK3" t="s">
        <v>1218</v>
      </c>
      <c r="BL3" t="s">
        <v>1989</v>
      </c>
      <c r="BM3" t="s">
        <v>41</v>
      </c>
      <c r="BN3" t="s">
        <v>1990</v>
      </c>
      <c r="BO3">
        <v>3.83</v>
      </c>
      <c r="BP3">
        <v>3.31</v>
      </c>
      <c r="BQ3">
        <v>4.83</v>
      </c>
      <c r="BR3">
        <v>4.04</v>
      </c>
      <c r="BS3">
        <v>3.56</v>
      </c>
      <c r="BT3">
        <v>5.08</v>
      </c>
      <c r="BU3" t="s">
        <v>1991</v>
      </c>
      <c r="BV3" t="s">
        <v>1932</v>
      </c>
      <c r="BW3">
        <v>36.22</v>
      </c>
      <c r="BX3">
        <v>35.11</v>
      </c>
      <c r="BY3">
        <v>42.29</v>
      </c>
      <c r="BZ3">
        <v>11.28</v>
      </c>
      <c r="CA3">
        <v>11.44</v>
      </c>
      <c r="CB3">
        <v>11.96</v>
      </c>
      <c r="CC3">
        <v>1.1499999999999999</v>
      </c>
      <c r="CD3">
        <v>3.32</v>
      </c>
      <c r="CE3" t="s">
        <v>30</v>
      </c>
      <c r="CF3" t="s">
        <v>1683</v>
      </c>
      <c r="CG3" s="24">
        <v>7.0564371257485032E-3</v>
      </c>
      <c r="CH3" s="25">
        <v>1.7472745093615495E-2</v>
      </c>
      <c r="CI3" s="24">
        <v>0.21214450895786285</v>
      </c>
      <c r="CJ3" s="24">
        <v>-0.26037529110908508</v>
      </c>
      <c r="CK3" s="24">
        <v>2.4461269378662109E-2</v>
      </c>
      <c r="CL3" s="24">
        <v>4.8869963735342026E-2</v>
      </c>
      <c r="CM3" s="24">
        <v>6.6449426114559174E-2</v>
      </c>
      <c r="CN3" s="25">
        <v>0.3333333432674408</v>
      </c>
      <c r="CO3" s="25">
        <v>-0.28571429848670959</v>
      </c>
      <c r="CP3" s="25">
        <v>0.22093023359775543</v>
      </c>
      <c r="CQ3" s="25">
        <v>4.8780485987663269E-2</v>
      </c>
      <c r="CR3" s="25">
        <v>0.34426230192184448</v>
      </c>
      <c r="CS3">
        <v>5.5721426125554849</v>
      </c>
      <c r="CT3">
        <v>59746446</v>
      </c>
      <c r="CU3">
        <v>0.82987551867219922</v>
      </c>
      <c r="CV3" s="24">
        <v>1.8309975415468215E-2</v>
      </c>
      <c r="CW3" s="25">
        <v>0.13231841325759888</v>
      </c>
      <c r="CX3">
        <v>0.06</v>
      </c>
      <c r="CY3">
        <v>20.05511648029151</v>
      </c>
      <c r="CZ3">
        <v>192133957.62556005</v>
      </c>
      <c r="DA3">
        <v>1.8309975415468215E-2</v>
      </c>
      <c r="DB3">
        <v>6.9673470873849048</v>
      </c>
      <c r="DC3">
        <v>553046784.04449487</v>
      </c>
      <c r="DD3">
        <v>1.7394476644694803E-2</v>
      </c>
      <c r="DE3">
        <v>3.7135571766390605</v>
      </c>
      <c r="DF3">
        <v>1037622074.123384</v>
      </c>
      <c r="DG3">
        <v>1.6112778365612028E-2</v>
      </c>
      <c r="DH3">
        <v>2.4312353650144236</v>
      </c>
      <c r="DI3">
        <v>1584901632.9100411</v>
      </c>
      <c r="DJ3">
        <v>1.4647980332374572E-2</v>
      </c>
      <c r="DK3">
        <v>1.5015458686383201</v>
      </c>
      <c r="DL3">
        <v>2566201259.9683981</v>
      </c>
      <c r="DM3">
        <v>1.281698279082775E-2</v>
      </c>
      <c r="DN3">
        <v>200000000</v>
      </c>
      <c r="DO3">
        <v>1.8309975415468215E-2</v>
      </c>
      <c r="DP3">
        <v>3853268900</v>
      </c>
      <c r="DQ3">
        <v>3481989800</v>
      </c>
      <c r="DR3">
        <v>2784</v>
      </c>
      <c r="DS3">
        <v>-1.125353828971971E-2</v>
      </c>
      <c r="DT3">
        <v>-0.11484566816398339</v>
      </c>
      <c r="DU3" s="26">
        <v>1.6666666666666663E-2</v>
      </c>
      <c r="DV3">
        <v>0.25</v>
      </c>
      <c r="DW3">
        <v>0.26666666666666666</v>
      </c>
      <c r="DX3">
        <v>1.0331999999999999</v>
      </c>
      <c r="DY3">
        <v>0.39327402135231448</v>
      </c>
      <c r="DZ3">
        <v>1.0060846975088968</v>
      </c>
      <c r="EA3">
        <v>2984</v>
      </c>
      <c r="EB3">
        <v>1.0023935535026867</v>
      </c>
      <c r="EC3">
        <v>1</v>
      </c>
      <c r="ED3">
        <v>0.11299529113516507</v>
      </c>
      <c r="EE3">
        <v>0.61653741376662885</v>
      </c>
      <c r="EF3" s="27">
        <v>4.9287999999999998E-2</v>
      </c>
      <c r="EG3">
        <v>7.6999999999999999E-2</v>
      </c>
      <c r="EH3">
        <v>21.183274021352315</v>
      </c>
      <c r="EI3" t="s">
        <v>398</v>
      </c>
      <c r="EJ3">
        <v>0</v>
      </c>
      <c r="EK3">
        <v>0</v>
      </c>
      <c r="EL3" s="29">
        <v>44939</v>
      </c>
      <c r="EM3" s="30">
        <v>3.04E-2</v>
      </c>
      <c r="EN3" s="30">
        <v>-7.1000000000000004E-3</v>
      </c>
      <c r="EO3" s="30">
        <v>-2.0500000000000001E-2</v>
      </c>
      <c r="EP3" s="30">
        <v>-1.78E-2</v>
      </c>
      <c r="EQ3" s="30">
        <v>2.77</v>
      </c>
    </row>
    <row r="4" spans="1:147" ht="118.8" x14ac:dyDescent="0.25">
      <c r="B4" s="28" t="s">
        <v>2177</v>
      </c>
      <c r="C4" s="28"/>
      <c r="D4" s="28" t="s">
        <v>2049</v>
      </c>
      <c r="E4" t="s">
        <v>1902</v>
      </c>
      <c r="F4" t="s">
        <v>1903</v>
      </c>
      <c r="G4">
        <v>13.2</v>
      </c>
      <c r="H4">
        <v>2.0099999999999998</v>
      </c>
      <c r="I4" t="s">
        <v>1904</v>
      </c>
      <c r="J4">
        <v>6565152000</v>
      </c>
      <c r="K4">
        <v>23.01</v>
      </c>
      <c r="L4">
        <v>1.8</v>
      </c>
      <c r="M4" t="s">
        <v>424</v>
      </c>
      <c r="N4" t="s">
        <v>101</v>
      </c>
      <c r="O4" t="s">
        <v>306</v>
      </c>
      <c r="P4" t="s">
        <v>2024</v>
      </c>
      <c r="Q4">
        <v>1.21</v>
      </c>
      <c r="R4" t="s">
        <v>2025</v>
      </c>
      <c r="S4">
        <v>99551997</v>
      </c>
      <c r="T4" s="3">
        <v>1.5800000000000002E-2</v>
      </c>
      <c r="U4" t="s">
        <v>458</v>
      </c>
      <c r="V4">
        <v>497360000</v>
      </c>
      <c r="W4">
        <v>497360000</v>
      </c>
      <c r="X4">
        <v>1.19</v>
      </c>
      <c r="Y4">
        <v>0.18</v>
      </c>
      <c r="Z4">
        <v>12.29</v>
      </c>
      <c r="AA4" t="s">
        <v>695</v>
      </c>
      <c r="AB4" t="s">
        <v>2026</v>
      </c>
      <c r="AC4" t="s">
        <v>2027</v>
      </c>
      <c r="AD4" t="s">
        <v>2028</v>
      </c>
      <c r="AE4" t="s">
        <v>2029</v>
      </c>
      <c r="AF4">
        <v>-6391939</v>
      </c>
      <c r="AG4" t="s">
        <v>2030</v>
      </c>
      <c r="AH4" t="s">
        <v>2031</v>
      </c>
      <c r="AI4" t="s">
        <v>2032</v>
      </c>
      <c r="AJ4" t="s">
        <v>250</v>
      </c>
      <c r="AK4" t="s">
        <v>2033</v>
      </c>
      <c r="AL4" t="s">
        <v>7</v>
      </c>
      <c r="AM4" t="s">
        <v>2034</v>
      </c>
      <c r="AN4" t="s">
        <v>7</v>
      </c>
      <c r="AO4" t="s">
        <v>2035</v>
      </c>
      <c r="AP4" t="s">
        <v>2036</v>
      </c>
      <c r="AQ4" t="s">
        <v>2037</v>
      </c>
      <c r="AR4" t="s">
        <v>28</v>
      </c>
      <c r="AS4" t="s">
        <v>2038</v>
      </c>
      <c r="AT4" t="s">
        <v>543</v>
      </c>
      <c r="AU4" t="s">
        <v>7</v>
      </c>
      <c r="AV4" t="s">
        <v>2039</v>
      </c>
      <c r="AW4" t="s">
        <v>2040</v>
      </c>
      <c r="AX4" t="s">
        <v>183</v>
      </c>
      <c r="AY4" t="s">
        <v>308</v>
      </c>
      <c r="AZ4" t="s">
        <v>2041</v>
      </c>
      <c r="BA4" t="s">
        <v>464</v>
      </c>
      <c r="BB4" t="s">
        <v>2042</v>
      </c>
      <c r="BC4" t="s">
        <v>2043</v>
      </c>
      <c r="BD4" t="s">
        <v>392</v>
      </c>
      <c r="BE4" t="s">
        <v>43</v>
      </c>
      <c r="BF4" t="s">
        <v>64</v>
      </c>
      <c r="BG4" t="s">
        <v>476</v>
      </c>
      <c r="BH4" t="s">
        <v>45</v>
      </c>
      <c r="BI4" t="s">
        <v>252</v>
      </c>
      <c r="BJ4" t="s">
        <v>146</v>
      </c>
      <c r="BK4" t="s">
        <v>526</v>
      </c>
      <c r="BL4" t="s">
        <v>2044</v>
      </c>
      <c r="BM4" t="s">
        <v>2045</v>
      </c>
      <c r="BN4" t="s">
        <v>2046</v>
      </c>
      <c r="BO4">
        <v>7.99</v>
      </c>
      <c r="BP4">
        <v>8.6199999999999992</v>
      </c>
      <c r="BQ4">
        <v>5.21</v>
      </c>
      <c r="BR4">
        <v>8.11</v>
      </c>
      <c r="BS4">
        <v>8.94</v>
      </c>
      <c r="BT4">
        <v>5.21</v>
      </c>
      <c r="BU4" t="s">
        <v>2047</v>
      </c>
      <c r="BV4" t="s">
        <v>1932</v>
      </c>
      <c r="BW4">
        <v>43.33</v>
      </c>
      <c r="BX4">
        <v>44.36</v>
      </c>
      <c r="BY4">
        <v>44.6</v>
      </c>
      <c r="BZ4">
        <v>14.27</v>
      </c>
      <c r="CA4">
        <v>26.19</v>
      </c>
      <c r="CB4">
        <v>14.36</v>
      </c>
      <c r="CC4">
        <v>-3.37</v>
      </c>
      <c r="CD4">
        <v>7.14</v>
      </c>
      <c r="CE4" t="s">
        <v>2048</v>
      </c>
      <c r="CF4" t="s">
        <v>485</v>
      </c>
      <c r="CG4" s="24">
        <v>0.15906283261802515</v>
      </c>
      <c r="CH4" s="25">
        <v>1.2434418420007973</v>
      </c>
      <c r="CI4" s="24">
        <v>0.12815883755683899</v>
      </c>
      <c r="CJ4" s="24">
        <v>-5.3800221532583237E-2</v>
      </c>
      <c r="CK4" s="24">
        <v>-2.3352792486548424E-2</v>
      </c>
      <c r="CL4" s="24">
        <v>-6.9821469485759735E-2</v>
      </c>
      <c r="CM4" s="24">
        <v>0.22878925502300262</v>
      </c>
      <c r="CN4" s="25">
        <v>-1.7301037907600403E-2</v>
      </c>
      <c r="CO4" s="25">
        <v>0.74096387624740601</v>
      </c>
      <c r="CP4" s="25">
        <v>-4.0462426841259003E-2</v>
      </c>
      <c r="CQ4" s="25">
        <v>-4.9450550228357315E-2</v>
      </c>
      <c r="CR4" s="25">
        <v>0.29078012704849243</v>
      </c>
      <c r="CS4">
        <v>5.2521215999999997</v>
      </c>
      <c r="CT4">
        <v>30760353.169014085</v>
      </c>
      <c r="CU4">
        <v>1.3636363636363638</v>
      </c>
      <c r="CV4" s="24">
        <v>4.1994721814990046E-2</v>
      </c>
      <c r="CW4" s="25">
        <v>0.18490599766373633</v>
      </c>
      <c r="CX4">
        <v>0.06</v>
      </c>
      <c r="CY4">
        <v>12.816834948006987</v>
      </c>
      <c r="CZ4">
        <v>279175944.33533698</v>
      </c>
      <c r="DA4">
        <v>4.1994721814990046E-2</v>
      </c>
      <c r="DB4">
        <v>4.3631372103351529</v>
      </c>
      <c r="DC4">
        <v>820086975.84029114</v>
      </c>
      <c r="DD4">
        <v>3.9894985724240543E-2</v>
      </c>
      <c r="DE4">
        <v>2.266175708408579</v>
      </c>
      <c r="DF4">
        <v>1578938467.4468849</v>
      </c>
      <c r="DG4">
        <v>3.6955355197191238E-2</v>
      </c>
      <c r="DH4">
        <v>1.4436250059730285</v>
      </c>
      <c r="DI4">
        <v>2478588265.786005</v>
      </c>
      <c r="DJ4">
        <v>3.3595777451992041E-2</v>
      </c>
      <c r="DK4">
        <v>0.84474467496130767</v>
      </c>
      <c r="DL4">
        <v>4235779290.5458589</v>
      </c>
      <c r="DM4">
        <v>2.9396305270493032E-2</v>
      </c>
      <c r="DN4">
        <v>284000000</v>
      </c>
      <c r="DO4">
        <v>4.1994721814990046E-2</v>
      </c>
      <c r="DP4">
        <v>3578152000</v>
      </c>
      <c r="DQ4">
        <v>1279964200</v>
      </c>
      <c r="DR4">
        <v>3644</v>
      </c>
      <c r="DS4">
        <v>0.1170681108030351</v>
      </c>
      <c r="DT4">
        <v>1.0585358443370609</v>
      </c>
      <c r="DU4" s="26">
        <v>9.9999999999999992E-2</v>
      </c>
      <c r="DV4">
        <v>0.39999999999999997</v>
      </c>
      <c r="DW4">
        <v>0.49999999999999994</v>
      </c>
      <c r="DX4">
        <v>-6.3206470028544244</v>
      </c>
      <c r="DY4">
        <v>0.3349261256345244</v>
      </c>
      <c r="DZ4">
        <v>-6.0272313076487487</v>
      </c>
      <c r="EA4">
        <v>2548</v>
      </c>
      <c r="EB4">
        <v>-6.0131257227963371</v>
      </c>
      <c r="EC4">
        <v>6</v>
      </c>
      <c r="ED4">
        <v>0.18560941772559111</v>
      </c>
      <c r="EE4">
        <v>2.1855396493485606</v>
      </c>
      <c r="EF4" s="27">
        <v>0.10599600000000001</v>
      </c>
      <c r="EG4">
        <v>0.12609999999999999</v>
      </c>
      <c r="EH4">
        <v>25.084926125634524</v>
      </c>
      <c r="EI4" t="s">
        <v>398</v>
      </c>
      <c r="EJ4">
        <v>0</v>
      </c>
      <c r="EK4">
        <v>0</v>
      </c>
      <c r="EL4" s="29">
        <v>44939</v>
      </c>
      <c r="EM4" s="30">
        <v>1.3899999999999999E-2</v>
      </c>
      <c r="EN4" s="30">
        <v>-2.3099999999999999E-2</v>
      </c>
      <c r="EO4" s="30">
        <v>-2.3699999999999999E-2</v>
      </c>
      <c r="EP4" s="30">
        <v>-2.0400000000000001E-2</v>
      </c>
      <c r="EQ4" s="30">
        <v>2.0099999999999998</v>
      </c>
    </row>
    <row r="5" spans="1:147" ht="108" x14ac:dyDescent="0.25">
      <c r="B5" s="28" t="s">
        <v>2177</v>
      </c>
      <c r="C5" s="28"/>
      <c r="D5" s="28" t="s">
        <v>2114</v>
      </c>
      <c r="E5" t="s">
        <v>1908</v>
      </c>
      <c r="F5" t="s">
        <v>1909</v>
      </c>
      <c r="G5">
        <v>6.6</v>
      </c>
      <c r="H5">
        <v>1.85</v>
      </c>
      <c r="I5" t="s">
        <v>1910</v>
      </c>
      <c r="J5">
        <v>4415432700</v>
      </c>
      <c r="L5">
        <v>2.34</v>
      </c>
      <c r="M5" t="s">
        <v>424</v>
      </c>
      <c r="N5" t="s">
        <v>399</v>
      </c>
      <c r="O5" t="s">
        <v>254</v>
      </c>
      <c r="P5" t="s">
        <v>2081</v>
      </c>
      <c r="Q5">
        <v>0.62</v>
      </c>
      <c r="R5" t="s">
        <v>2082</v>
      </c>
      <c r="S5">
        <v>-17014531</v>
      </c>
      <c r="T5" s="3">
        <v>0.26290000000000002</v>
      </c>
      <c r="U5" t="s">
        <v>2083</v>
      </c>
      <c r="V5">
        <v>669004950</v>
      </c>
      <c r="W5">
        <v>669004950</v>
      </c>
      <c r="X5">
        <v>1.18</v>
      </c>
      <c r="Y5">
        <v>0.19</v>
      </c>
      <c r="Z5">
        <v>-4.79</v>
      </c>
      <c r="AA5" t="s">
        <v>1686</v>
      </c>
      <c r="AB5" t="s">
        <v>525</v>
      </c>
      <c r="AC5" t="s">
        <v>2084</v>
      </c>
      <c r="AD5" t="s">
        <v>2085</v>
      </c>
      <c r="AE5" t="s">
        <v>2086</v>
      </c>
      <c r="AF5">
        <v>-367682</v>
      </c>
      <c r="AG5" t="s">
        <v>2087</v>
      </c>
      <c r="AH5" t="s">
        <v>2088</v>
      </c>
      <c r="AI5" t="s">
        <v>2089</v>
      </c>
      <c r="AJ5" t="s">
        <v>139</v>
      </c>
      <c r="AK5" t="s">
        <v>2090</v>
      </c>
      <c r="AL5" t="s">
        <v>2091</v>
      </c>
      <c r="AM5" t="s">
        <v>2092</v>
      </c>
      <c r="AN5" t="s">
        <v>7</v>
      </c>
      <c r="AO5" t="s">
        <v>2093</v>
      </c>
      <c r="AP5" t="s">
        <v>2094</v>
      </c>
      <c r="AQ5" t="s">
        <v>2095</v>
      </c>
      <c r="AR5" t="s">
        <v>2096</v>
      </c>
      <c r="AS5" t="s">
        <v>7</v>
      </c>
      <c r="AT5" t="s">
        <v>188</v>
      </c>
      <c r="AU5" t="s">
        <v>2097</v>
      </c>
      <c r="AV5" t="s">
        <v>2098</v>
      </c>
      <c r="AW5" t="s">
        <v>2099</v>
      </c>
      <c r="AX5" t="s">
        <v>2100</v>
      </c>
      <c r="AY5" t="s">
        <v>85</v>
      </c>
      <c r="AZ5" t="s">
        <v>542</v>
      </c>
      <c r="BA5" t="s">
        <v>2101</v>
      </c>
      <c r="BB5" t="s">
        <v>2102</v>
      </c>
      <c r="BC5" t="s">
        <v>2103</v>
      </c>
      <c r="BD5" t="s">
        <v>2104</v>
      </c>
      <c r="BE5" t="s">
        <v>2105</v>
      </c>
      <c r="BF5" t="s">
        <v>2106</v>
      </c>
      <c r="BG5" t="s">
        <v>2107</v>
      </c>
      <c r="BH5" t="s">
        <v>2108</v>
      </c>
      <c r="BI5" t="s">
        <v>2109</v>
      </c>
      <c r="BJ5" t="s">
        <v>436</v>
      </c>
      <c r="BK5" t="s">
        <v>181</v>
      </c>
      <c r="BL5" t="s">
        <v>2110</v>
      </c>
      <c r="BM5" t="s">
        <v>2111</v>
      </c>
      <c r="BN5" t="s">
        <v>2112</v>
      </c>
      <c r="BO5">
        <v>-0.67</v>
      </c>
      <c r="BP5">
        <v>0.65</v>
      </c>
      <c r="BQ5">
        <v>1.55</v>
      </c>
      <c r="BR5">
        <v>-0.66</v>
      </c>
      <c r="BS5">
        <v>0.63</v>
      </c>
      <c r="BT5">
        <v>1.51</v>
      </c>
      <c r="BU5" t="s">
        <v>1829</v>
      </c>
      <c r="BV5" t="s">
        <v>1932</v>
      </c>
      <c r="BW5">
        <v>35.85</v>
      </c>
      <c r="BX5">
        <v>41.82</v>
      </c>
      <c r="BY5">
        <v>49.27</v>
      </c>
      <c r="BZ5">
        <v>-9.4499999999999993</v>
      </c>
      <c r="CA5">
        <v>2.86</v>
      </c>
      <c r="CB5">
        <v>2.86</v>
      </c>
      <c r="CC5">
        <v>-1.35</v>
      </c>
      <c r="CD5">
        <v>6.8</v>
      </c>
      <c r="CE5" t="s">
        <v>2113</v>
      </c>
      <c r="CF5" t="s">
        <v>1643</v>
      </c>
      <c r="CG5" s="24">
        <v>0.13848574074074135</v>
      </c>
      <c r="CH5" s="25">
        <v>11.598198826118855</v>
      </c>
      <c r="CI5" s="24">
        <v>6.7434214055538177E-2</v>
      </c>
      <c r="CJ5" s="24">
        <v>-0.35593220591545105</v>
      </c>
      <c r="CK5" s="24">
        <v>5.1224943250417709E-2</v>
      </c>
      <c r="CL5" s="24">
        <v>-9.0172238647937775E-2</v>
      </c>
      <c r="CM5" s="24">
        <v>-8.186051994562149E-2</v>
      </c>
      <c r="CN5" s="25">
        <v>-2.0495193004608154</v>
      </c>
      <c r="CO5" s="25">
        <v>-0.58435100317001343</v>
      </c>
      <c r="CP5" s="25">
        <v>1.4275132417678833</v>
      </c>
      <c r="CQ5" s="25">
        <v>-2.2481780052185059</v>
      </c>
      <c r="CR5" s="25">
        <v>-0.17996601760387421</v>
      </c>
      <c r="CS5">
        <v>6.8034402157164866</v>
      </c>
      <c r="CT5">
        <v>151877493.03274223</v>
      </c>
      <c r="CU5">
        <v>0.45454545454545453</v>
      </c>
      <c r="CV5" s="24">
        <v>-8.1861161440610883E-2</v>
      </c>
      <c r="CW5" s="25">
        <v>-0.72690021693706508</v>
      </c>
      <c r="CX5">
        <v>0.06</v>
      </c>
      <c r="CY5" t="e">
        <v>#VALUE!</v>
      </c>
      <c r="CZ5" t="s">
        <v>516</v>
      </c>
      <c r="DA5">
        <v>-8.1861161440610883E-2</v>
      </c>
      <c r="DB5" t="e">
        <v>#VALUE!</v>
      </c>
      <c r="DC5" t="s">
        <v>397</v>
      </c>
      <c r="DD5">
        <v>-7.7768103368580338E-2</v>
      </c>
      <c r="DE5" t="e">
        <v>#VALUE!</v>
      </c>
      <c r="DF5" t="s">
        <v>397</v>
      </c>
      <c r="DG5">
        <v>-7.2037822067737581E-2</v>
      </c>
      <c r="DH5" t="e">
        <v>#VALUE!</v>
      </c>
      <c r="DI5" t="s">
        <v>397</v>
      </c>
      <c r="DJ5">
        <v>-6.5488929152488704E-2</v>
      </c>
      <c r="DK5" t="e">
        <v>#VALUE!</v>
      </c>
      <c r="DL5" t="s">
        <v>397</v>
      </c>
      <c r="DM5">
        <v>-5.7302813008427614E-2</v>
      </c>
      <c r="DN5">
        <v>-12845800</v>
      </c>
      <c r="DO5">
        <v>-8.1861161440610883E-2</v>
      </c>
      <c r="DP5">
        <v>2889432700</v>
      </c>
      <c r="DQ5">
        <v>1292744400</v>
      </c>
      <c r="DR5">
        <v>3228</v>
      </c>
      <c r="DS5">
        <v>0.22034690218135222</v>
      </c>
      <c r="DT5">
        <v>12.32509904305592</v>
      </c>
      <c r="DU5" s="26">
        <v>0.28999999999999998</v>
      </c>
      <c r="DV5">
        <v>-2.2816666666666667</v>
      </c>
      <c r="DW5">
        <v>-1.9916666666666667</v>
      </c>
      <c r="DX5">
        <v>2.0680000000000001</v>
      </c>
      <c r="DY5">
        <v>0.28032427745664823</v>
      </c>
      <c r="DZ5">
        <v>2.007502050867052</v>
      </c>
      <c r="EA5">
        <v>4646</v>
      </c>
      <c r="EB5">
        <v>2.0004163569600948</v>
      </c>
      <c r="EC5">
        <v>2</v>
      </c>
      <c r="ED5">
        <v>8.5587259107724092E-2</v>
      </c>
      <c r="EE5">
        <v>0.77577901329429633</v>
      </c>
      <c r="EF5" s="27">
        <v>2.8717999999999997E-2</v>
      </c>
      <c r="EG5">
        <v>1.0209999999999997E-2</v>
      </c>
      <c r="EH5">
        <v>17.110324277456648</v>
      </c>
      <c r="EI5">
        <v>-1</v>
      </c>
      <c r="EJ5">
        <v>1</v>
      </c>
      <c r="EK5">
        <v>0</v>
      </c>
      <c r="EL5" s="29">
        <v>44939</v>
      </c>
      <c r="EM5" s="30">
        <v>1.6400000000000001E-2</v>
      </c>
      <c r="EN5" s="30">
        <v>1.5E-3</v>
      </c>
      <c r="EO5" s="30">
        <v>-3.0800000000000001E-2</v>
      </c>
      <c r="EP5" s="30">
        <v>-1.8200000000000001E-2</v>
      </c>
      <c r="EQ5" s="30">
        <v>1.85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Q4"/>
  <sheetViews>
    <sheetView workbookViewId="0">
      <selection activeCell="J2" sqref="J2"/>
    </sheetView>
  </sheetViews>
  <sheetFormatPr defaultRowHeight="14.4" x14ac:dyDescent="0.25"/>
  <cols>
    <col min="2" max="2" width="35.88671875" customWidth="1"/>
    <col min="3" max="3" width="37.33203125" customWidth="1"/>
    <col min="4" max="4" width="52.6640625" customWidth="1"/>
    <col min="10" max="10" width="12.44140625" bestFit="1" customWidth="1"/>
  </cols>
  <sheetData>
    <row r="1" spans="1:147" s="15" customFormat="1" x14ac:dyDescent="0.25">
      <c r="A1" s="16" t="s">
        <v>223</v>
      </c>
      <c r="B1" s="19" t="s">
        <v>350</v>
      </c>
      <c r="C1" s="20" t="s">
        <v>351</v>
      </c>
      <c r="D1" s="19" t="s">
        <v>302</v>
      </c>
      <c r="E1" t="s">
        <v>2</v>
      </c>
      <c r="F1" t="s">
        <v>3</v>
      </c>
      <c r="G1" t="s">
        <v>0</v>
      </c>
      <c r="H1" t="s">
        <v>323</v>
      </c>
      <c r="I1" t="s">
        <v>352</v>
      </c>
      <c r="J1" t="s">
        <v>4</v>
      </c>
      <c r="K1" t="s">
        <v>5</v>
      </c>
      <c r="L1" t="s">
        <v>1</v>
      </c>
      <c r="M1" t="s">
        <v>6</v>
      </c>
      <c r="N1" t="s">
        <v>8</v>
      </c>
      <c r="O1" t="s">
        <v>9</v>
      </c>
      <c r="P1" t="s">
        <v>10</v>
      </c>
      <c r="Q1" t="s">
        <v>353</v>
      </c>
      <c r="R1" t="s">
        <v>324</v>
      </c>
      <c r="S1" t="s">
        <v>354</v>
      </c>
      <c r="T1" t="s">
        <v>11</v>
      </c>
      <c r="U1" t="s">
        <v>325</v>
      </c>
      <c r="V1" t="s">
        <v>326</v>
      </c>
      <c r="W1" t="s">
        <v>12</v>
      </c>
      <c r="X1" t="s">
        <v>273</v>
      </c>
      <c r="Y1" t="s">
        <v>274</v>
      </c>
      <c r="Z1" t="s">
        <v>275</v>
      </c>
      <c r="AA1" t="s">
        <v>276</v>
      </c>
      <c r="AB1" t="s">
        <v>277</v>
      </c>
      <c r="AC1" t="s">
        <v>327</v>
      </c>
      <c r="AD1" t="s">
        <v>278</v>
      </c>
      <c r="AE1" t="s">
        <v>355</v>
      </c>
      <c r="AF1" t="s">
        <v>13</v>
      </c>
      <c r="AG1" t="s">
        <v>14</v>
      </c>
      <c r="AH1" t="s">
        <v>328</v>
      </c>
      <c r="AI1" t="s">
        <v>356</v>
      </c>
      <c r="AJ1" t="s">
        <v>329</v>
      </c>
      <c r="AK1" t="s">
        <v>15</v>
      </c>
      <c r="AL1" t="s">
        <v>330</v>
      </c>
      <c r="AM1" t="s">
        <v>224</v>
      </c>
      <c r="AN1" t="s">
        <v>331</v>
      </c>
      <c r="AO1" t="s">
        <v>332</v>
      </c>
      <c r="AP1" t="s">
        <v>333</v>
      </c>
      <c r="AQ1" t="s">
        <v>334</v>
      </c>
      <c r="AR1" t="s">
        <v>335</v>
      </c>
      <c r="AS1" t="s">
        <v>336</v>
      </c>
      <c r="AT1" t="s">
        <v>337</v>
      </c>
      <c r="AU1" t="s">
        <v>338</v>
      </c>
      <c r="AV1" t="s">
        <v>339</v>
      </c>
      <c r="AW1" t="s">
        <v>340</v>
      </c>
      <c r="AX1" t="s">
        <v>341</v>
      </c>
      <c r="AY1" t="s">
        <v>357</v>
      </c>
      <c r="AZ1" t="s">
        <v>225</v>
      </c>
      <c r="BA1" t="s">
        <v>226</v>
      </c>
      <c r="BB1" t="s">
        <v>227</v>
      </c>
      <c r="BC1" t="s">
        <v>228</v>
      </c>
      <c r="BD1" t="s">
        <v>234</v>
      </c>
      <c r="BE1" t="s">
        <v>229</v>
      </c>
      <c r="BF1" t="s">
        <v>230</v>
      </c>
      <c r="BG1" t="s">
        <v>231</v>
      </c>
      <c r="BH1" t="s">
        <v>232</v>
      </c>
      <c r="BI1" t="s">
        <v>358</v>
      </c>
      <c r="BJ1" t="s">
        <v>342</v>
      </c>
      <c r="BK1" t="s">
        <v>233</v>
      </c>
      <c r="BL1" t="s">
        <v>343</v>
      </c>
      <c r="BM1" t="s">
        <v>344</v>
      </c>
      <c r="BN1" t="s">
        <v>345</v>
      </c>
      <c r="BO1" t="s">
        <v>346</v>
      </c>
      <c r="BP1" t="s">
        <v>235</v>
      </c>
      <c r="BQ1" t="s">
        <v>236</v>
      </c>
      <c r="BR1" t="s">
        <v>237</v>
      </c>
      <c r="BS1" t="s">
        <v>347</v>
      </c>
      <c r="BT1" t="s">
        <v>238</v>
      </c>
      <c r="BU1" t="s">
        <v>239</v>
      </c>
      <c r="BV1" t="s">
        <v>240</v>
      </c>
      <c r="BW1" t="s">
        <v>348</v>
      </c>
      <c r="BX1" t="s">
        <v>241</v>
      </c>
      <c r="BY1" t="s">
        <v>242</v>
      </c>
      <c r="BZ1" t="s">
        <v>349</v>
      </c>
      <c r="CA1" t="s">
        <v>243</v>
      </c>
      <c r="CB1" t="s">
        <v>244</v>
      </c>
      <c r="CC1" t="s">
        <v>359</v>
      </c>
      <c r="CD1" t="s">
        <v>360</v>
      </c>
      <c r="CE1" t="s">
        <v>361</v>
      </c>
      <c r="CF1" t="s">
        <v>362</v>
      </c>
      <c r="CG1" s="1" t="s">
        <v>279</v>
      </c>
      <c r="CH1" s="1" t="s">
        <v>280</v>
      </c>
      <c r="CI1" s="1" t="s">
        <v>281</v>
      </c>
      <c r="CJ1" s="1" t="s">
        <v>282</v>
      </c>
      <c r="CK1" s="1" t="s">
        <v>283</v>
      </c>
      <c r="CL1" s="1" t="s">
        <v>284</v>
      </c>
      <c r="CM1" s="1" t="s">
        <v>285</v>
      </c>
      <c r="CN1" s="1" t="s">
        <v>286</v>
      </c>
      <c r="CO1" s="1" t="s">
        <v>287</v>
      </c>
      <c r="CP1" s="1" t="s">
        <v>288</v>
      </c>
      <c r="CQ1" s="1" t="s">
        <v>289</v>
      </c>
      <c r="CR1" s="1" t="s">
        <v>290</v>
      </c>
      <c r="CS1" s="1" t="s">
        <v>363</v>
      </c>
      <c r="CT1" s="1" t="s">
        <v>311</v>
      </c>
      <c r="CU1" s="1" t="s">
        <v>291</v>
      </c>
      <c r="CV1" s="1" t="s">
        <v>312</v>
      </c>
      <c r="CW1" s="1" t="s">
        <v>292</v>
      </c>
      <c r="CX1" s="1" t="s">
        <v>204</v>
      </c>
      <c r="CY1">
        <v>1</v>
      </c>
      <c r="CZ1" t="s">
        <v>293</v>
      </c>
      <c r="DA1" t="s">
        <v>294</v>
      </c>
      <c r="DB1">
        <v>3</v>
      </c>
      <c r="DC1" t="s">
        <v>303</v>
      </c>
      <c r="DD1" t="s">
        <v>314</v>
      </c>
      <c r="DE1">
        <v>6</v>
      </c>
      <c r="DF1" t="s">
        <v>315</v>
      </c>
      <c r="DG1" t="s">
        <v>295</v>
      </c>
      <c r="DH1">
        <v>10</v>
      </c>
      <c r="DI1" t="s">
        <v>316</v>
      </c>
      <c r="DJ1" t="s">
        <v>364</v>
      </c>
      <c r="DK1">
        <v>20</v>
      </c>
      <c r="DL1" t="s">
        <v>296</v>
      </c>
      <c r="DM1" t="s">
        <v>297</v>
      </c>
      <c r="DN1" t="s">
        <v>298</v>
      </c>
      <c r="DO1" s="2" t="s">
        <v>299</v>
      </c>
      <c r="DP1" t="s">
        <v>365</v>
      </c>
      <c r="DQ1" t="s">
        <v>300</v>
      </c>
      <c r="DR1" s="1" t="s">
        <v>317</v>
      </c>
      <c r="DS1" s="1" t="s">
        <v>301</v>
      </c>
      <c r="DT1" s="1" t="s">
        <v>304</v>
      </c>
      <c r="DU1" t="s">
        <v>366</v>
      </c>
      <c r="DV1" t="s">
        <v>367</v>
      </c>
      <c r="DW1" t="s">
        <v>318</v>
      </c>
      <c r="DX1" t="s">
        <v>368</v>
      </c>
      <c r="DY1" t="s">
        <v>369</v>
      </c>
      <c r="DZ1" t="s">
        <v>319</v>
      </c>
      <c r="EA1" t="s">
        <v>305</v>
      </c>
      <c r="EB1" t="s">
        <v>320</v>
      </c>
      <c r="EC1" t="s">
        <v>321</v>
      </c>
      <c r="ED1" t="s">
        <v>370</v>
      </c>
      <c r="EE1" t="s">
        <v>322</v>
      </c>
      <c r="EF1" t="s">
        <v>371</v>
      </c>
      <c r="EG1" t="s">
        <v>372</v>
      </c>
      <c r="EH1" t="s">
        <v>373</v>
      </c>
      <c r="EI1" t="s">
        <v>374</v>
      </c>
      <c r="EJ1" t="s">
        <v>375</v>
      </c>
      <c r="EK1"/>
    </row>
    <row r="2" spans="1:147" s="15" customFormat="1" ht="71.55" customHeight="1" x14ac:dyDescent="0.25">
      <c r="A2" s="23"/>
      <c r="B2" s="21"/>
      <c r="C2" s="22">
        <v>3</v>
      </c>
      <c r="D2" s="22">
        <v>11</v>
      </c>
      <c r="J2" s="22">
        <f>SUM(J3:J4)</f>
        <v>47297777000</v>
      </c>
      <c r="T2" s="17"/>
      <c r="U2" s="17"/>
      <c r="V2" s="17"/>
      <c r="AB2" s="18"/>
    </row>
    <row r="3" spans="1:147" ht="97.2" x14ac:dyDescent="0.25">
      <c r="B3" s="28" t="s">
        <v>2173</v>
      </c>
      <c r="C3" s="28"/>
      <c r="D3" s="28" t="s">
        <v>1934</v>
      </c>
      <c r="E3" t="s">
        <v>422</v>
      </c>
      <c r="F3" t="s">
        <v>423</v>
      </c>
      <c r="G3">
        <v>39.229999999999997</v>
      </c>
      <c r="H3">
        <v>0.1</v>
      </c>
      <c r="I3" t="s">
        <v>1892</v>
      </c>
      <c r="J3">
        <v>41197775000</v>
      </c>
      <c r="K3">
        <v>101</v>
      </c>
      <c r="L3">
        <v>11.98</v>
      </c>
      <c r="M3" t="s">
        <v>424</v>
      </c>
      <c r="N3" t="s">
        <v>1917</v>
      </c>
      <c r="O3" t="s">
        <v>1918</v>
      </c>
      <c r="P3" t="s">
        <v>1919</v>
      </c>
      <c r="Q3">
        <v>-14.07</v>
      </c>
      <c r="R3" t="s">
        <v>190</v>
      </c>
      <c r="S3">
        <v>304890360</v>
      </c>
      <c r="T3" s="3">
        <v>-0.45850000000000002</v>
      </c>
      <c r="U3" t="s">
        <v>70</v>
      </c>
      <c r="V3">
        <v>717279570</v>
      </c>
      <c r="W3">
        <v>1050159960</v>
      </c>
      <c r="X3">
        <v>1.58</v>
      </c>
      <c r="Y3">
        <v>0.28999999999999998</v>
      </c>
      <c r="Z3">
        <v>18.46</v>
      </c>
      <c r="AA3" t="s">
        <v>168</v>
      </c>
      <c r="AB3" t="s">
        <v>566</v>
      </c>
      <c r="AC3" t="s">
        <v>83</v>
      </c>
      <c r="AD3" t="s">
        <v>158</v>
      </c>
      <c r="AE3" t="s">
        <v>1920</v>
      </c>
      <c r="AF3">
        <v>-231946</v>
      </c>
      <c r="AG3" t="s">
        <v>29</v>
      </c>
      <c r="AH3" t="s">
        <v>1921</v>
      </c>
      <c r="AI3" t="s">
        <v>1922</v>
      </c>
      <c r="AJ3" t="s">
        <v>1923</v>
      </c>
      <c r="AK3" t="s">
        <v>1924</v>
      </c>
      <c r="AL3" t="s">
        <v>7</v>
      </c>
      <c r="AM3" t="s">
        <v>1925</v>
      </c>
      <c r="AN3" t="s">
        <v>7</v>
      </c>
      <c r="AO3" t="s">
        <v>80</v>
      </c>
      <c r="AP3" t="s">
        <v>178</v>
      </c>
      <c r="AQ3" t="s">
        <v>7</v>
      </c>
      <c r="AR3" t="s">
        <v>1926</v>
      </c>
      <c r="AS3" t="s">
        <v>7</v>
      </c>
      <c r="AT3" t="s">
        <v>308</v>
      </c>
      <c r="AU3" t="s">
        <v>7</v>
      </c>
      <c r="AV3" t="s">
        <v>75</v>
      </c>
      <c r="AW3" t="s">
        <v>1927</v>
      </c>
      <c r="AX3" t="s">
        <v>1928</v>
      </c>
      <c r="AY3" t="s">
        <v>438</v>
      </c>
      <c r="AZ3" t="s">
        <v>439</v>
      </c>
      <c r="BA3" t="s">
        <v>440</v>
      </c>
      <c r="BB3" t="s">
        <v>245</v>
      </c>
      <c r="BC3" t="s">
        <v>441</v>
      </c>
      <c r="BD3" t="s">
        <v>442</v>
      </c>
      <c r="BE3" t="s">
        <v>443</v>
      </c>
      <c r="BF3" t="s">
        <v>74</v>
      </c>
      <c r="BG3" t="s">
        <v>31</v>
      </c>
      <c r="BH3" t="s">
        <v>264</v>
      </c>
      <c r="BI3" t="s">
        <v>1929</v>
      </c>
      <c r="BJ3" t="s">
        <v>431</v>
      </c>
      <c r="BK3" t="s">
        <v>1930</v>
      </c>
      <c r="BL3" t="s">
        <v>134</v>
      </c>
      <c r="BM3" t="s">
        <v>176</v>
      </c>
      <c r="BN3" t="s">
        <v>155</v>
      </c>
      <c r="BO3">
        <v>17.54</v>
      </c>
      <c r="BP3">
        <v>21.67</v>
      </c>
      <c r="BQ3">
        <v>16.21</v>
      </c>
      <c r="BR3">
        <v>19.25</v>
      </c>
      <c r="BS3">
        <v>23.82</v>
      </c>
      <c r="BT3">
        <v>15.08</v>
      </c>
      <c r="BU3" t="s">
        <v>1931</v>
      </c>
      <c r="BV3" t="s">
        <v>1932</v>
      </c>
      <c r="BW3">
        <v>61.86</v>
      </c>
      <c r="BX3">
        <v>65.5</v>
      </c>
      <c r="BY3">
        <v>68.27</v>
      </c>
      <c r="BZ3">
        <v>21.21</v>
      </c>
      <c r="CA3">
        <v>27.79</v>
      </c>
      <c r="CB3">
        <v>20.440000000000001</v>
      </c>
      <c r="CC3">
        <v>6.75</v>
      </c>
      <c r="CD3">
        <v>6.81</v>
      </c>
      <c r="CE3" t="s">
        <v>1933</v>
      </c>
      <c r="CF3" t="s">
        <v>465</v>
      </c>
      <c r="CG3" s="24">
        <v>-0.13497126600284448</v>
      </c>
      <c r="CH3" s="25">
        <v>-0.56757546391752578</v>
      </c>
      <c r="CI3" s="24">
        <v>0.3461337685585022</v>
      </c>
      <c r="CJ3" s="24">
        <v>0.31267035007476807</v>
      </c>
      <c r="CK3" s="24">
        <v>0.19349592924118042</v>
      </c>
      <c r="CL3" s="24">
        <v>4.948805645108223E-2</v>
      </c>
      <c r="CM3" s="24">
        <v>0.26702702045440674</v>
      </c>
      <c r="CN3" s="25">
        <v>0.24253731966018677</v>
      </c>
      <c r="CO3" s="25">
        <v>0.78666669130325317</v>
      </c>
      <c r="CP3" s="25">
        <v>1.4193547964096069</v>
      </c>
      <c r="CQ3" s="25">
        <v>-0.32240438461303711</v>
      </c>
      <c r="CR3" s="25">
        <v>2.2448978424072266</v>
      </c>
      <c r="CS3">
        <v>15.881948727833462</v>
      </c>
      <c r="CT3">
        <v>42309058.558558561</v>
      </c>
      <c r="CU3">
        <v>1.2745347947998982</v>
      </c>
      <c r="CV3" s="24">
        <v>0.23376302495598794</v>
      </c>
      <c r="CW3" s="25">
        <v>0.87421045303344724</v>
      </c>
      <c r="CX3">
        <v>0.06</v>
      </c>
      <c r="CY3">
        <v>51.198429277966348</v>
      </c>
      <c r="CZ3">
        <v>775175636.43461132</v>
      </c>
      <c r="DA3">
        <v>0.23376302495598794</v>
      </c>
      <c r="DB3">
        <v>14.844025331684385</v>
      </c>
      <c r="DC3">
        <v>2673653144.156723</v>
      </c>
      <c r="DD3">
        <v>0.22207487370818854</v>
      </c>
      <c r="DE3">
        <v>6.1772641427079122</v>
      </c>
      <c r="DF3">
        <v>6424814300.1704578</v>
      </c>
      <c r="DG3">
        <v>0.20571146196126938</v>
      </c>
      <c r="DH3">
        <v>3.0350341787826669</v>
      </c>
      <c r="DI3">
        <v>13076549607.727488</v>
      </c>
      <c r="DJ3">
        <v>0.18701041996479037</v>
      </c>
      <c r="DK3">
        <v>0.97207755398467266</v>
      </c>
      <c r="DL3">
        <v>40827786669.195923</v>
      </c>
      <c r="DM3">
        <v>0.16363411746919154</v>
      </c>
      <c r="DN3">
        <v>666000000</v>
      </c>
      <c r="DO3">
        <v>0.23376302495598794</v>
      </c>
      <c r="DP3">
        <v>39687775000</v>
      </c>
      <c r="DQ3">
        <v>1515938500</v>
      </c>
      <c r="DR3">
        <v>1063</v>
      </c>
      <c r="DS3">
        <v>-0.36873429095883242</v>
      </c>
      <c r="DT3">
        <v>-1.441785916950973</v>
      </c>
      <c r="DU3" s="26">
        <v>0.54999999999999993</v>
      </c>
      <c r="DV3">
        <v>0.95833333333333337</v>
      </c>
      <c r="DW3">
        <v>1.5083333333333333</v>
      </c>
      <c r="DX3">
        <v>9.9911894273127757</v>
      </c>
      <c r="DY3">
        <v>0.41662472727272687</v>
      </c>
      <c r="DZ3">
        <v>9.2147161393672405</v>
      </c>
      <c r="EA3">
        <v>770</v>
      </c>
      <c r="EB3">
        <v>9.1811053592670628</v>
      </c>
      <c r="EC3">
        <v>9</v>
      </c>
      <c r="ED3">
        <v>5.6726405756319258E-2</v>
      </c>
      <c r="EE3">
        <v>0.26186486866248454</v>
      </c>
      <c r="EF3" s="27">
        <v>6.1165999999999998E-2</v>
      </c>
      <c r="EG3">
        <v>6.2199999999999998E-2</v>
      </c>
      <c r="EH3">
        <v>20.216624727272727</v>
      </c>
      <c r="EI3" t="s">
        <v>398</v>
      </c>
      <c r="EJ3">
        <v>1</v>
      </c>
      <c r="EK3">
        <v>1</v>
      </c>
      <c r="EL3" s="29">
        <v>44939</v>
      </c>
      <c r="EM3" s="30">
        <v>3.0200000000000001E-2</v>
      </c>
      <c r="EN3" s="30">
        <v>1.9300000000000001E-2</v>
      </c>
      <c r="EO3" s="30">
        <v>7.2800000000000004E-2</v>
      </c>
      <c r="EP3" s="30">
        <v>-5.3400000000000003E-2</v>
      </c>
      <c r="EQ3" s="30">
        <v>0.1</v>
      </c>
    </row>
    <row r="4" spans="1:147" ht="140.4" x14ac:dyDescent="0.25">
      <c r="B4" s="28"/>
      <c r="C4" s="28"/>
      <c r="D4" s="28" t="s">
        <v>2080</v>
      </c>
      <c r="E4" t="s">
        <v>1905</v>
      </c>
      <c r="F4" t="s">
        <v>1906</v>
      </c>
      <c r="G4">
        <v>13.61</v>
      </c>
      <c r="H4">
        <v>0.59</v>
      </c>
      <c r="I4" t="s">
        <v>1907</v>
      </c>
      <c r="J4">
        <v>6100002000</v>
      </c>
      <c r="L4">
        <v>12.69</v>
      </c>
      <c r="M4" t="s">
        <v>424</v>
      </c>
      <c r="N4" t="s">
        <v>16</v>
      </c>
      <c r="O4" t="s">
        <v>262</v>
      </c>
      <c r="P4" t="s">
        <v>2050</v>
      </c>
      <c r="Q4">
        <v>-15.5</v>
      </c>
      <c r="R4" t="s">
        <v>1225</v>
      </c>
      <c r="S4">
        <v>-13825827</v>
      </c>
      <c r="T4" s="3">
        <v>-8.3099999999999993E-2</v>
      </c>
      <c r="U4" t="s">
        <v>2051</v>
      </c>
      <c r="V4">
        <v>445001580</v>
      </c>
      <c r="W4">
        <v>448200000</v>
      </c>
      <c r="X4">
        <v>2.37</v>
      </c>
      <c r="Y4">
        <v>0.45</v>
      </c>
      <c r="Z4">
        <v>-1.62</v>
      </c>
      <c r="AA4" t="s">
        <v>562</v>
      </c>
      <c r="AB4" t="s">
        <v>128</v>
      </c>
      <c r="AC4" t="s">
        <v>2052</v>
      </c>
      <c r="AD4" t="s">
        <v>2053</v>
      </c>
      <c r="AE4" t="s">
        <v>2054</v>
      </c>
      <c r="AF4">
        <v>16293517</v>
      </c>
      <c r="AG4" t="s">
        <v>2055</v>
      </c>
      <c r="AH4" t="s">
        <v>2056</v>
      </c>
      <c r="AI4" t="s">
        <v>2057</v>
      </c>
      <c r="AJ4" t="s">
        <v>2058</v>
      </c>
      <c r="AK4" t="s">
        <v>2059</v>
      </c>
      <c r="AL4" t="s">
        <v>7</v>
      </c>
      <c r="AM4" t="s">
        <v>2060</v>
      </c>
      <c r="AN4" t="s">
        <v>7</v>
      </c>
      <c r="AO4" t="s">
        <v>2061</v>
      </c>
      <c r="AP4" t="s">
        <v>25</v>
      </c>
      <c r="AQ4" t="s">
        <v>7</v>
      </c>
      <c r="AR4" t="s">
        <v>2062</v>
      </c>
      <c r="AS4" t="s">
        <v>7</v>
      </c>
      <c r="AT4" t="s">
        <v>430</v>
      </c>
      <c r="AU4" t="s">
        <v>2063</v>
      </c>
      <c r="AV4" t="s">
        <v>2064</v>
      </c>
      <c r="AW4" t="s">
        <v>2065</v>
      </c>
      <c r="AX4" t="s">
        <v>2066</v>
      </c>
      <c r="AY4" t="s">
        <v>2067</v>
      </c>
      <c r="AZ4" t="s">
        <v>2068</v>
      </c>
      <c r="BA4" t="s">
        <v>2069</v>
      </c>
      <c r="BB4" t="s">
        <v>53</v>
      </c>
      <c r="BC4" t="s">
        <v>538</v>
      </c>
      <c r="BD4" t="s">
        <v>2070</v>
      </c>
      <c r="BE4" t="s">
        <v>2071</v>
      </c>
      <c r="BF4" t="s">
        <v>2072</v>
      </c>
      <c r="BG4" t="s">
        <v>2073</v>
      </c>
      <c r="BH4" t="s">
        <v>2074</v>
      </c>
      <c r="BI4" t="s">
        <v>528</v>
      </c>
      <c r="BJ4" t="s">
        <v>2075</v>
      </c>
      <c r="BK4" t="s">
        <v>521</v>
      </c>
      <c r="BL4" t="s">
        <v>2076</v>
      </c>
      <c r="BM4" t="s">
        <v>2077</v>
      </c>
      <c r="BN4" t="s">
        <v>2078</v>
      </c>
      <c r="BO4">
        <v>-5.0599999999999996</v>
      </c>
      <c r="BP4">
        <v>3.36</v>
      </c>
      <c r="BQ4">
        <v>-21.97</v>
      </c>
      <c r="BR4">
        <v>-11.45</v>
      </c>
      <c r="BS4">
        <v>4.4800000000000004</v>
      </c>
      <c r="BT4">
        <v>-40.270000000000003</v>
      </c>
      <c r="BU4" t="s">
        <v>1125</v>
      </c>
      <c r="BV4" t="s">
        <v>1932</v>
      </c>
      <c r="BW4">
        <v>26.49</v>
      </c>
      <c r="BX4">
        <v>26.4</v>
      </c>
      <c r="BY4">
        <v>14.75</v>
      </c>
      <c r="BZ4">
        <v>4.3899999999999997</v>
      </c>
      <c r="CA4">
        <v>3.01</v>
      </c>
      <c r="CB4">
        <v>-42.96</v>
      </c>
      <c r="CC4">
        <v>-9.57</v>
      </c>
      <c r="CD4">
        <v>21.09</v>
      </c>
      <c r="CE4" t="s">
        <v>393</v>
      </c>
      <c r="CF4" t="s">
        <v>2079</v>
      </c>
      <c r="CG4" s="24">
        <v>-0.285720395256917</v>
      </c>
      <c r="CH4" s="25">
        <v>0.12795494884838998</v>
      </c>
      <c r="CI4" s="24">
        <v>3.0940594151616096E-2</v>
      </c>
      <c r="CJ4" s="24">
        <v>0.29280000925064087</v>
      </c>
      <c r="CK4" s="24">
        <v>-0.11473087966442108</v>
      </c>
      <c r="CL4" s="24">
        <v>-0.38232722878456116</v>
      </c>
      <c r="CM4" s="24">
        <v>0.35106390714645386</v>
      </c>
      <c r="CN4" s="25">
        <v>-3.4740381240844727</v>
      </c>
      <c r="CO4" s="25">
        <v>1.0907044410705566</v>
      </c>
      <c r="CP4" s="25">
        <v>-7.6151118278503418</v>
      </c>
      <c r="CQ4" s="25">
        <v>1.3822009563446045</v>
      </c>
      <c r="CR4" s="25">
        <v>-2.0070838928222656</v>
      </c>
      <c r="CS4">
        <v>7.3229315726290514</v>
      </c>
      <c r="CT4">
        <v>80661566.421520129</v>
      </c>
      <c r="CU4">
        <v>0</v>
      </c>
      <c r="CV4" s="24">
        <v>3.554928041994572E-2</v>
      </c>
      <c r="CW4" s="25">
        <v>-2.124665689468384</v>
      </c>
      <c r="CX4">
        <v>0.06</v>
      </c>
      <c r="CY4" t="e">
        <v>#VALUE!</v>
      </c>
      <c r="CZ4" t="s">
        <v>516</v>
      </c>
      <c r="DA4">
        <v>3.554928041994572E-2</v>
      </c>
      <c r="DB4" t="e">
        <v>#VALUE!</v>
      </c>
      <c r="DC4" t="s">
        <v>397</v>
      </c>
      <c r="DD4">
        <v>3.3771816398948433E-2</v>
      </c>
      <c r="DE4" t="e">
        <v>#VALUE!</v>
      </c>
      <c r="DF4" t="s">
        <v>397</v>
      </c>
      <c r="DG4">
        <v>3.1283366769552234E-2</v>
      </c>
      <c r="DH4" t="e">
        <v>#VALUE!</v>
      </c>
      <c r="DI4" t="s">
        <v>397</v>
      </c>
      <c r="DJ4">
        <v>2.8439424335956576E-2</v>
      </c>
      <c r="DK4" t="e">
        <v>#VALUE!</v>
      </c>
      <c r="DL4" t="s">
        <v>397</v>
      </c>
      <c r="DM4">
        <v>2.4884496293962003E-2</v>
      </c>
      <c r="DN4">
        <v>-60140900</v>
      </c>
      <c r="DO4">
        <v>3.554928041994572E-2</v>
      </c>
      <c r="DP4">
        <v>6297002000</v>
      </c>
      <c r="DQ4">
        <v>136069970</v>
      </c>
      <c r="DR4">
        <v>2933</v>
      </c>
      <c r="DS4">
        <v>-0.32126967567686271</v>
      </c>
      <c r="DT4">
        <v>2.2526206383167739</v>
      </c>
      <c r="DU4" s="26">
        <v>-8.666666666666667E-2</v>
      </c>
      <c r="DV4">
        <v>-2.4150000000000005</v>
      </c>
      <c r="DW4">
        <v>-2.5016666666666669</v>
      </c>
      <c r="DX4">
        <v>-7.312133072407045</v>
      </c>
      <c r="DY4">
        <v>0.2673496432212038</v>
      </c>
      <c r="DZ4">
        <v>-7.0303860432363638</v>
      </c>
      <c r="EA4">
        <v>4780</v>
      </c>
      <c r="EB4">
        <v>-7.0008586420024104</v>
      </c>
      <c r="EC4">
        <v>7</v>
      </c>
      <c r="ED4">
        <v>0.42614904060687192</v>
      </c>
      <c r="EE4">
        <v>4.3775100401606428</v>
      </c>
      <c r="EF4" s="27">
        <v>-1.0070840000000001</v>
      </c>
      <c r="EG4">
        <v>-1.0129999999999999</v>
      </c>
      <c r="EH4">
        <v>17.097349643221204</v>
      </c>
      <c r="EI4" t="s">
        <v>377</v>
      </c>
      <c r="EJ4">
        <v>0</v>
      </c>
      <c r="EK4">
        <v>0</v>
      </c>
      <c r="EL4" s="29">
        <v>44939</v>
      </c>
      <c r="EM4" s="30">
        <v>6.9999999999999999E-4</v>
      </c>
      <c r="EN4" s="30">
        <v>-4.9799999999999997E-2</v>
      </c>
      <c r="EO4" s="30">
        <v>-3.7699999999999997E-2</v>
      </c>
      <c r="EP4" s="30">
        <v>-1.7399999999999999E-2</v>
      </c>
      <c r="EQ4" s="30">
        <v>0.59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3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201"/>
  <sheetViews>
    <sheetView zoomScale="85" zoomScaleNormal="85" workbookViewId="0">
      <selection activeCell="Z2" sqref="Z2"/>
    </sheetView>
  </sheetViews>
  <sheetFormatPr defaultRowHeight="14.4" x14ac:dyDescent="0.25"/>
  <cols>
    <col min="1" max="1" width="8.88671875" style="1"/>
    <col min="2" max="2" width="12.5546875" customWidth="1"/>
    <col min="4" max="4" width="13.88671875" bestFit="1" customWidth="1"/>
    <col min="5" max="12" width="8.77734375" customWidth="1"/>
    <col min="13" max="13" width="15.88671875" customWidth="1"/>
    <col min="14" max="17" width="8.77734375" customWidth="1"/>
    <col min="18" max="18" width="13.6640625" customWidth="1"/>
    <col min="19" max="19" width="12.88671875" customWidth="1"/>
  </cols>
  <sheetData>
    <row r="1" spans="1:32" s="6" customFormat="1" ht="57.6" x14ac:dyDescent="0.25">
      <c r="A1" s="5" t="s">
        <v>191</v>
      </c>
      <c r="B1" s="6" t="s">
        <v>195</v>
      </c>
      <c r="C1" s="6" t="s">
        <v>192</v>
      </c>
      <c r="D1" s="6" t="s">
        <v>196</v>
      </c>
      <c r="E1" s="7" t="s">
        <v>193</v>
      </c>
      <c r="F1" s="7" t="s">
        <v>194</v>
      </c>
      <c r="G1" s="7" t="s">
        <v>202</v>
      </c>
      <c r="H1" s="7" t="s">
        <v>197</v>
      </c>
      <c r="I1" s="7" t="s">
        <v>198</v>
      </c>
      <c r="J1" s="7" t="s">
        <v>199</v>
      </c>
      <c r="K1" s="7" t="s">
        <v>200</v>
      </c>
      <c r="L1" s="6" t="s">
        <v>201</v>
      </c>
      <c r="M1" s="6" t="s">
        <v>203</v>
      </c>
      <c r="N1" s="6" t="s">
        <v>204</v>
      </c>
      <c r="O1" s="6" t="s">
        <v>205</v>
      </c>
      <c r="P1" s="6" t="s">
        <v>206</v>
      </c>
      <c r="Q1" s="6" t="s">
        <v>207</v>
      </c>
      <c r="R1" s="10" t="s">
        <v>208</v>
      </c>
      <c r="S1" s="6" t="s">
        <v>209</v>
      </c>
      <c r="T1" s="6" t="s">
        <v>210</v>
      </c>
      <c r="U1" s="6" t="s">
        <v>211</v>
      </c>
      <c r="V1" s="6" t="s">
        <v>212</v>
      </c>
      <c r="W1" s="6" t="s">
        <v>213</v>
      </c>
      <c r="X1" s="6" t="s">
        <v>214</v>
      </c>
      <c r="Y1" s="6" t="s">
        <v>215</v>
      </c>
      <c r="Z1" s="6" t="s">
        <v>216</v>
      </c>
      <c r="AA1" s="6" t="s">
        <v>217</v>
      </c>
      <c r="AB1" s="6" t="s">
        <v>218</v>
      </c>
      <c r="AC1" s="6" t="s">
        <v>219</v>
      </c>
      <c r="AD1" s="14" t="s">
        <v>220</v>
      </c>
      <c r="AE1" s="6" t="s">
        <v>221</v>
      </c>
      <c r="AF1" s="6" t="s">
        <v>222</v>
      </c>
    </row>
    <row r="2" spans="1:32" ht="13.95" x14ac:dyDescent="0.25">
      <c r="A2" s="2">
        <v>1</v>
      </c>
      <c r="B2">
        <v>1</v>
      </c>
      <c r="C2" s="4">
        <v>0.08</v>
      </c>
      <c r="D2">
        <f>H2</f>
        <v>7.06</v>
      </c>
      <c r="E2">
        <v>11.56</v>
      </c>
      <c r="F2">
        <v>20.440000000000001</v>
      </c>
      <c r="G2">
        <f>F2</f>
        <v>20.440000000000001</v>
      </c>
      <c r="H2" s="8">
        <v>7.06</v>
      </c>
      <c r="I2" s="9">
        <v>0.37</v>
      </c>
      <c r="J2">
        <v>9</v>
      </c>
      <c r="K2">
        <v>85</v>
      </c>
      <c r="L2">
        <f>K2-F2+E2</f>
        <v>76.12</v>
      </c>
      <c r="M2">
        <f>SUMIF(A2:A51,"&lt;"&amp;J2+1,D2:D51)</f>
        <v>88.162158341966133</v>
      </c>
      <c r="O2">
        <f>M2/L2</f>
        <v>1.1581996629265126</v>
      </c>
      <c r="R2">
        <f>S2</f>
        <v>7.06</v>
      </c>
      <c r="S2">
        <f>$H$2</f>
        <v>7.06</v>
      </c>
      <c r="T2" s="4">
        <v>0.37</v>
      </c>
      <c r="U2" s="4">
        <v>0.06</v>
      </c>
      <c r="V2">
        <f>SUM($R$2:R2)</f>
        <v>7.06</v>
      </c>
      <c r="W2" s="2">
        <f>X2-Y2</f>
        <v>474.26</v>
      </c>
      <c r="X2" s="13">
        <f>579-579*10%</f>
        <v>521.1</v>
      </c>
      <c r="Y2" s="13">
        <f>57.79-10.95</f>
        <v>46.84</v>
      </c>
      <c r="Z2">
        <f>$W$2/S2</f>
        <v>67.175637393767701</v>
      </c>
      <c r="AA2" s="4">
        <v>0.3</v>
      </c>
      <c r="AB2">
        <f>S2/AA2</f>
        <v>23.533333333333331</v>
      </c>
      <c r="AC2">
        <f>AC3*(1-$U$2)</f>
        <v>222.37291878719995</v>
      </c>
      <c r="AD2" s="4">
        <v>0</v>
      </c>
      <c r="AE2">
        <f>AC2*AD2</f>
        <v>0</v>
      </c>
      <c r="AF2">
        <f>IF(AB2&gt;AE2, 1, 0)</f>
        <v>1</v>
      </c>
    </row>
    <row r="3" spans="1:32" ht="13.95" x14ac:dyDescent="0.25">
      <c r="A3" s="2">
        <v>2</v>
      </c>
      <c r="B3">
        <f>B2+B2*C2</f>
        <v>1.08</v>
      </c>
      <c r="C3" s="4">
        <v>0.08</v>
      </c>
      <c r="D3">
        <f>D2+D2*C2</f>
        <v>7.6247999999999996</v>
      </c>
      <c r="Q3">
        <f>$D$2*((1+$C$2)^A2)</f>
        <v>7.6248000000000005</v>
      </c>
      <c r="R3">
        <f>S3/((1+$U$2)^A2)</f>
        <v>9.1247169811320745</v>
      </c>
      <c r="S3">
        <f>S2*(1+T2)</f>
        <v>9.6722000000000001</v>
      </c>
      <c r="T3" s="4">
        <v>0.37</v>
      </c>
      <c r="V3">
        <f>SUM($R$2:R3)</f>
        <v>16.184716981132073</v>
      </c>
      <c r="W3">
        <f>V3/$W$2</f>
        <v>3.4126253492034062E-2</v>
      </c>
      <c r="Z3">
        <f t="shared" ref="Z3:Z13" si="0">$W$2/S3</f>
        <v>49.033311966253798</v>
      </c>
      <c r="AA3" s="4">
        <v>0.3</v>
      </c>
      <c r="AB3">
        <f t="shared" ref="AB3:AB66" si="1">S3/AA3</f>
        <v>32.240666666666669</v>
      </c>
      <c r="AC3">
        <f>AC4*(1-$U$2)</f>
        <v>236.56693487999996</v>
      </c>
      <c r="AD3" s="4">
        <v>0.1</v>
      </c>
      <c r="AE3">
        <f t="shared" ref="AE3:AE66" si="2">AC3*AD3</f>
        <v>23.656693487999998</v>
      </c>
      <c r="AF3">
        <f t="shared" ref="AF3:AF66" si="3">IF(AB3&gt;AE3, 1, 0)</f>
        <v>1</v>
      </c>
    </row>
    <row r="4" spans="1:32" ht="13.95" x14ac:dyDescent="0.25">
      <c r="A4" s="2">
        <v>3</v>
      </c>
      <c r="B4">
        <f t="shared" ref="B4:B51" si="4">B3+B3*C3</f>
        <v>1.1664000000000001</v>
      </c>
      <c r="C4" s="4">
        <v>0.08</v>
      </c>
      <c r="D4">
        <f t="shared" ref="D4:D51" si="5">D3+D3*C3</f>
        <v>8.2347839999999994</v>
      </c>
      <c r="Q4">
        <f>$D$2*((1+$C$2)^A3)</f>
        <v>8.2347839999999994</v>
      </c>
      <c r="R4">
        <f t="shared" ref="R4:R67" si="6">S4/((1+$U$2)^A3)</f>
        <v>11.793266286934852</v>
      </c>
      <c r="S4">
        <f t="shared" ref="S4:S67" si="7">S3*(1+T3)</f>
        <v>13.250914000000002</v>
      </c>
      <c r="T4" s="4">
        <v>0.37</v>
      </c>
      <c r="V4">
        <f>SUM($R$2:R4)</f>
        <v>27.977983268066925</v>
      </c>
      <c r="W4">
        <f t="shared" ref="W4:W67" si="8">V4/$W$2</f>
        <v>5.8992922169415353E-2</v>
      </c>
      <c r="Z4">
        <f t="shared" si="0"/>
        <v>35.79073866149912</v>
      </c>
      <c r="AA4" s="4">
        <v>0.3</v>
      </c>
      <c r="AB4">
        <f t="shared" si="1"/>
        <v>44.169713333333341</v>
      </c>
      <c r="AC4">
        <f>AC5*(1-$U$2)</f>
        <v>251.66695199999998</v>
      </c>
      <c r="AD4" s="4">
        <v>0.15</v>
      </c>
      <c r="AE4">
        <f t="shared" si="2"/>
        <v>37.750042799999996</v>
      </c>
      <c r="AF4">
        <f t="shared" si="3"/>
        <v>1</v>
      </c>
    </row>
    <row r="5" spans="1:32" ht="13.95" x14ac:dyDescent="0.25">
      <c r="A5" s="2">
        <v>4</v>
      </c>
      <c r="B5">
        <f t="shared" si="4"/>
        <v>1.2597120000000002</v>
      </c>
      <c r="C5" s="4">
        <v>0.08</v>
      </c>
      <c r="D5">
        <f t="shared" si="5"/>
        <v>8.893566719999999</v>
      </c>
      <c r="Q5">
        <f t="shared" ref="Q5:Q51" si="9">$D$2*((1+$C$2)^A4)</f>
        <v>8.8935667200000008</v>
      </c>
      <c r="R5">
        <f t="shared" si="6"/>
        <v>15.242240389717686</v>
      </c>
      <c r="S5">
        <f>S4*(1+T4)</f>
        <v>18.153752180000005</v>
      </c>
      <c r="T5" s="4">
        <v>0.37</v>
      </c>
      <c r="V5">
        <f>SUM($R$2:R5)</f>
        <v>43.220223657784615</v>
      </c>
      <c r="W5">
        <f t="shared" si="8"/>
        <v>9.1131918478860999E-2</v>
      </c>
      <c r="Z5">
        <f t="shared" si="0"/>
        <v>26.12462676021833</v>
      </c>
      <c r="AA5" s="4">
        <v>0.3</v>
      </c>
      <c r="AB5">
        <f t="shared" si="1"/>
        <v>60.512507266666688</v>
      </c>
      <c r="AC5">
        <f>AC6*(1-$U$2)</f>
        <v>267.73079999999999</v>
      </c>
      <c r="AD5" s="4">
        <v>0.15</v>
      </c>
      <c r="AE5">
        <f t="shared" si="2"/>
        <v>40.159619999999997</v>
      </c>
      <c r="AF5">
        <f t="shared" si="3"/>
        <v>1</v>
      </c>
    </row>
    <row r="6" spans="1:32" ht="13.95" x14ac:dyDescent="0.25">
      <c r="A6" s="2">
        <v>5</v>
      </c>
      <c r="B6">
        <f t="shared" si="4"/>
        <v>1.3604889600000001</v>
      </c>
      <c r="C6" s="4">
        <v>0.08</v>
      </c>
      <c r="D6">
        <f t="shared" si="5"/>
        <v>9.6050520575999982</v>
      </c>
      <c r="Q6">
        <f t="shared" si="9"/>
        <v>9.6050520576000018</v>
      </c>
      <c r="R6">
        <f t="shared" si="6"/>
        <v>19.699876730106823</v>
      </c>
      <c r="S6">
        <f>S5*(1+T5)</f>
        <v>24.87064048660001</v>
      </c>
      <c r="T6" s="4">
        <v>0.37</v>
      </c>
      <c r="V6">
        <f>SUM($R$2:R6)</f>
        <v>62.920100387891438</v>
      </c>
      <c r="W6" s="11">
        <f t="shared" si="8"/>
        <v>0.13267005521842754</v>
      </c>
      <c r="Z6">
        <f t="shared" si="0"/>
        <v>19.06907062789659</v>
      </c>
      <c r="AA6" s="4">
        <v>0.3</v>
      </c>
      <c r="AB6">
        <f t="shared" si="1"/>
        <v>82.902134955333366</v>
      </c>
      <c r="AC6">
        <f>AC7*(1-$U$2)</f>
        <v>284.82</v>
      </c>
      <c r="AD6" s="4">
        <v>0.2</v>
      </c>
      <c r="AE6">
        <f t="shared" si="2"/>
        <v>56.963999999999999</v>
      </c>
      <c r="AF6">
        <f t="shared" si="3"/>
        <v>1</v>
      </c>
    </row>
    <row r="7" spans="1:32" ht="13.95" x14ac:dyDescent="0.25">
      <c r="A7" s="2">
        <v>6</v>
      </c>
      <c r="B7">
        <f t="shared" si="4"/>
        <v>1.4693280768000001</v>
      </c>
      <c r="C7" s="4">
        <v>0.08</v>
      </c>
      <c r="D7">
        <f t="shared" si="5"/>
        <v>10.373456222207999</v>
      </c>
      <c r="Q7">
        <f t="shared" si="9"/>
        <v>10.373456222208002</v>
      </c>
      <c r="R7">
        <f t="shared" si="6"/>
        <v>25.461161434194668</v>
      </c>
      <c r="S7">
        <f t="shared" si="7"/>
        <v>34.072777466642016</v>
      </c>
      <c r="T7" s="4">
        <v>0.37</v>
      </c>
      <c r="V7">
        <f>SUM($R$2:R7)</f>
        <v>88.381261822086103</v>
      </c>
      <c r="W7" s="12">
        <f t="shared" si="8"/>
        <v>0.18635613760824465</v>
      </c>
      <c r="Z7">
        <f t="shared" si="0"/>
        <v>13.919029655398969</v>
      </c>
      <c r="AA7" s="4">
        <v>0.3</v>
      </c>
      <c r="AB7">
        <f t="shared" si="1"/>
        <v>113.57592488880672</v>
      </c>
      <c r="AC7">
        <v>303</v>
      </c>
      <c r="AD7" s="4">
        <v>0.2</v>
      </c>
      <c r="AE7">
        <f t="shared" si="2"/>
        <v>60.6</v>
      </c>
      <c r="AF7">
        <f t="shared" si="3"/>
        <v>1</v>
      </c>
    </row>
    <row r="8" spans="1:32" ht="13.95" x14ac:dyDescent="0.25">
      <c r="A8" s="2">
        <v>7</v>
      </c>
      <c r="B8">
        <f t="shared" si="4"/>
        <v>1.5868743229440001</v>
      </c>
      <c r="C8" s="4">
        <v>0.08</v>
      </c>
      <c r="D8">
        <f t="shared" si="5"/>
        <v>11.203332719984639</v>
      </c>
      <c r="Q8">
        <f t="shared" si="9"/>
        <v>11.203332719984644</v>
      </c>
      <c r="R8">
        <f t="shared" si="6"/>
        <v>32.907350155515751</v>
      </c>
      <c r="S8">
        <f>S7*(1+T7)</f>
        <v>46.679705129299563</v>
      </c>
      <c r="T8" s="4">
        <v>0.37</v>
      </c>
      <c r="V8">
        <f>SUM($R$2:R8)</f>
        <v>121.28861197760185</v>
      </c>
      <c r="W8">
        <f t="shared" si="8"/>
        <v>0.25574286673470636</v>
      </c>
      <c r="Z8">
        <f t="shared" si="0"/>
        <v>10.15987566087516</v>
      </c>
      <c r="AA8" s="4">
        <v>0.3</v>
      </c>
      <c r="AB8">
        <f t="shared" si="1"/>
        <v>155.59901709766521</v>
      </c>
      <c r="AC8">
        <f t="shared" ref="AC8:AC67" si="10">AC7*(1+$U$2)</f>
        <v>321.18</v>
      </c>
      <c r="AD8" s="4">
        <v>0.2</v>
      </c>
      <c r="AE8">
        <f t="shared" si="2"/>
        <v>64.236000000000004</v>
      </c>
      <c r="AF8">
        <f t="shared" si="3"/>
        <v>1</v>
      </c>
    </row>
    <row r="9" spans="1:32" ht="13.95" x14ac:dyDescent="0.25">
      <c r="A9" s="2">
        <v>8</v>
      </c>
      <c r="B9">
        <f t="shared" si="4"/>
        <v>1.7138242687795202</v>
      </c>
      <c r="C9" s="4">
        <v>0.08</v>
      </c>
      <c r="D9">
        <f t="shared" si="5"/>
        <v>12.09959933758341</v>
      </c>
      <c r="Q9">
        <f t="shared" si="9"/>
        <v>12.099599337583415</v>
      </c>
      <c r="R9">
        <f t="shared" si="6"/>
        <v>42.531197842506202</v>
      </c>
      <c r="S9">
        <f t="shared" si="7"/>
        <v>63.951196027140405</v>
      </c>
      <c r="T9" s="4">
        <v>0.1</v>
      </c>
      <c r="V9">
        <f>SUM($R$2:R9)</f>
        <v>163.81980982010805</v>
      </c>
      <c r="W9" s="11">
        <f t="shared" si="8"/>
        <v>0.34542194117173713</v>
      </c>
      <c r="Z9">
        <f t="shared" si="0"/>
        <v>7.4159676356752984</v>
      </c>
      <c r="AA9" s="4">
        <v>0.3</v>
      </c>
      <c r="AB9">
        <f t="shared" si="1"/>
        <v>213.17065342380135</v>
      </c>
      <c r="AC9">
        <f t="shared" si="10"/>
        <v>340.45080000000002</v>
      </c>
      <c r="AD9" s="4">
        <v>0.2</v>
      </c>
      <c r="AE9">
        <f t="shared" si="2"/>
        <v>68.090160000000012</v>
      </c>
      <c r="AF9" s="2">
        <f t="shared" si="3"/>
        <v>1</v>
      </c>
    </row>
    <row r="10" spans="1:32" ht="13.95" x14ac:dyDescent="0.25">
      <c r="A10" s="2">
        <v>9</v>
      </c>
      <c r="B10">
        <f t="shared" si="4"/>
        <v>1.8509302102818819</v>
      </c>
      <c r="C10" s="4">
        <v>0.08</v>
      </c>
      <c r="D10">
        <f t="shared" si="5"/>
        <v>13.067567284590082</v>
      </c>
      <c r="Q10">
        <f t="shared" si="9"/>
        <v>13.067567284590089</v>
      </c>
      <c r="R10">
        <f t="shared" si="6"/>
        <v>44.136148704487567</v>
      </c>
      <c r="S10">
        <f t="shared" si="7"/>
        <v>70.346315629854445</v>
      </c>
      <c r="T10" s="4">
        <v>0.1</v>
      </c>
      <c r="V10">
        <f>SUM($R$2:R10)</f>
        <v>207.95595852459562</v>
      </c>
      <c r="W10">
        <f t="shared" si="8"/>
        <v>0.43848513162525959</v>
      </c>
      <c r="Z10">
        <f t="shared" si="0"/>
        <v>6.7417887597048169</v>
      </c>
      <c r="AA10" s="4">
        <v>0.3</v>
      </c>
      <c r="AB10">
        <f t="shared" si="1"/>
        <v>234.4877187661815</v>
      </c>
      <c r="AC10">
        <f t="shared" si="10"/>
        <v>360.87784800000003</v>
      </c>
      <c r="AD10" s="4">
        <v>0.2</v>
      </c>
      <c r="AE10">
        <f t="shared" si="2"/>
        <v>72.175569600000003</v>
      </c>
      <c r="AF10" s="1">
        <f t="shared" si="3"/>
        <v>1</v>
      </c>
    </row>
    <row r="11" spans="1:32" ht="13.95" x14ac:dyDescent="0.25">
      <c r="A11" s="2">
        <v>10</v>
      </c>
      <c r="B11">
        <f t="shared" si="4"/>
        <v>1.9990046271044324</v>
      </c>
      <c r="C11" s="4">
        <v>0.08</v>
      </c>
      <c r="D11">
        <f t="shared" si="5"/>
        <v>14.112972667357289</v>
      </c>
      <c r="Q11">
        <f t="shared" si="9"/>
        <v>14.112972667357296</v>
      </c>
      <c r="R11">
        <f t="shared" si="6"/>
        <v>45.801663749939934</v>
      </c>
      <c r="S11">
        <f t="shared" si="7"/>
        <v>77.380947192839898</v>
      </c>
      <c r="T11" s="4">
        <v>0.1</v>
      </c>
      <c r="V11">
        <f>SUM($R$2:R11)</f>
        <v>253.75762227453555</v>
      </c>
      <c r="W11">
        <f t="shared" si="8"/>
        <v>0.53506014058646223</v>
      </c>
      <c r="Z11">
        <f t="shared" si="0"/>
        <v>6.1288988724589242</v>
      </c>
      <c r="AA11" s="4">
        <v>0.3</v>
      </c>
      <c r="AB11">
        <f t="shared" si="1"/>
        <v>257.9364906427997</v>
      </c>
      <c r="AC11">
        <f t="shared" si="10"/>
        <v>382.53051888000005</v>
      </c>
      <c r="AD11" s="4">
        <v>0.2</v>
      </c>
      <c r="AE11">
        <f t="shared" si="2"/>
        <v>76.506103776000018</v>
      </c>
      <c r="AF11">
        <f t="shared" si="3"/>
        <v>1</v>
      </c>
    </row>
    <row r="12" spans="1:32" ht="13.95" x14ac:dyDescent="0.25">
      <c r="A12" s="2">
        <v>11</v>
      </c>
      <c r="B12">
        <f t="shared" si="4"/>
        <v>2.1589249972727869</v>
      </c>
      <c r="C12" s="4">
        <v>0.08</v>
      </c>
      <c r="D12">
        <f t="shared" si="5"/>
        <v>15.242010480745872</v>
      </c>
      <c r="Q12">
        <f t="shared" si="9"/>
        <v>15.242010480745881</v>
      </c>
      <c r="R12">
        <f t="shared" si="6"/>
        <v>47.530028419748987</v>
      </c>
      <c r="S12">
        <f t="shared" si="7"/>
        <v>85.11904191212389</v>
      </c>
      <c r="T12" s="4">
        <v>0.08</v>
      </c>
      <c r="V12">
        <f>SUM($R$2:R12)</f>
        <v>301.28765069428454</v>
      </c>
      <c r="W12" s="12">
        <f t="shared" si="8"/>
        <v>0.6352794895084648</v>
      </c>
      <c r="Z12">
        <f t="shared" si="0"/>
        <v>5.5717262476899307</v>
      </c>
      <c r="AA12" s="4">
        <v>0.3</v>
      </c>
      <c r="AB12">
        <f t="shared" si="1"/>
        <v>283.73013970707967</v>
      </c>
      <c r="AC12">
        <f t="shared" si="10"/>
        <v>405.48235001280005</v>
      </c>
      <c r="AD12" s="4">
        <v>0.2</v>
      </c>
      <c r="AE12">
        <f t="shared" si="2"/>
        <v>81.096470002560011</v>
      </c>
      <c r="AF12" s="1">
        <f t="shared" si="3"/>
        <v>1</v>
      </c>
    </row>
    <row r="13" spans="1:32" ht="13.95" x14ac:dyDescent="0.25">
      <c r="A13" s="2">
        <v>12</v>
      </c>
      <c r="B13">
        <f t="shared" si="4"/>
        <v>2.3316389970546099</v>
      </c>
      <c r="C13" s="4">
        <v>0.08</v>
      </c>
      <c r="D13">
        <f t="shared" si="5"/>
        <v>16.46137131920554</v>
      </c>
      <c r="Q13">
        <f t="shared" si="9"/>
        <v>16.461371319205551</v>
      </c>
      <c r="R13">
        <f t="shared" si="6"/>
        <v>48.426821408800855</v>
      </c>
      <c r="S13">
        <f t="shared" si="7"/>
        <v>91.928565265093809</v>
      </c>
      <c r="T13" s="4">
        <v>0.08</v>
      </c>
      <c r="V13">
        <f>SUM($R$2:R13)</f>
        <v>349.71447210308537</v>
      </c>
      <c r="W13" s="12">
        <f t="shared" si="8"/>
        <v>0.73738976954220337</v>
      </c>
      <c r="Z13">
        <f t="shared" si="0"/>
        <v>5.1590057848980839</v>
      </c>
      <c r="AA13" s="4">
        <v>0.3</v>
      </c>
      <c r="AB13">
        <f t="shared" si="1"/>
        <v>306.42855088364604</v>
      </c>
      <c r="AC13">
        <f t="shared" si="10"/>
        <v>429.81129101356805</v>
      </c>
      <c r="AD13" s="4">
        <v>0.2</v>
      </c>
      <c r="AE13">
        <f t="shared" si="2"/>
        <v>85.962258202713613</v>
      </c>
      <c r="AF13">
        <f t="shared" si="3"/>
        <v>1</v>
      </c>
    </row>
    <row r="14" spans="1:32" ht="13.95" x14ac:dyDescent="0.25">
      <c r="A14" s="2">
        <v>13</v>
      </c>
      <c r="B14">
        <f t="shared" si="4"/>
        <v>2.5181701168189785</v>
      </c>
      <c r="C14" s="4">
        <v>0.08</v>
      </c>
      <c r="D14">
        <f t="shared" si="5"/>
        <v>17.778281024741982</v>
      </c>
      <c r="Q14">
        <f t="shared" si="9"/>
        <v>17.778281024741997</v>
      </c>
      <c r="R14">
        <f t="shared" si="6"/>
        <v>49.34053502028766</v>
      </c>
      <c r="S14">
        <f t="shared" si="7"/>
        <v>99.282850486301314</v>
      </c>
      <c r="T14" s="4">
        <v>0.08</v>
      </c>
      <c r="V14">
        <f>SUM($R$2:R14)</f>
        <v>399.055007123373</v>
      </c>
      <c r="W14" s="12">
        <f t="shared" si="8"/>
        <v>0.84142665863318222</v>
      </c>
      <c r="Z14">
        <f>$W$2/S14</f>
        <v>4.7768572082389662</v>
      </c>
      <c r="AA14" s="4">
        <v>0.3</v>
      </c>
      <c r="AB14">
        <f>S14/AA14</f>
        <v>330.94283495433774</v>
      </c>
      <c r="AC14">
        <f t="shared" si="10"/>
        <v>455.59996847438214</v>
      </c>
      <c r="AD14" s="4">
        <v>0.2</v>
      </c>
      <c r="AE14">
        <f t="shared" si="2"/>
        <v>91.119993694876428</v>
      </c>
      <c r="AF14">
        <f t="shared" si="3"/>
        <v>1</v>
      </c>
    </row>
    <row r="15" spans="1:32" ht="13.95" x14ac:dyDescent="0.25">
      <c r="A15" s="2">
        <v>14</v>
      </c>
      <c r="B15">
        <f t="shared" si="4"/>
        <v>2.7196237261644969</v>
      </c>
      <c r="C15" s="4">
        <v>0.08</v>
      </c>
      <c r="D15">
        <f t="shared" si="5"/>
        <v>19.200543506721342</v>
      </c>
      <c r="Q15">
        <f t="shared" si="9"/>
        <v>19.200543506721356</v>
      </c>
      <c r="R15">
        <f t="shared" si="6"/>
        <v>50.271488511236484</v>
      </c>
      <c r="S15">
        <f t="shared" si="7"/>
        <v>107.22547852520543</v>
      </c>
      <c r="T15" s="4">
        <v>0.08</v>
      </c>
      <c r="V15">
        <f>SUM($R$2:R15)</f>
        <v>449.3264956346095</v>
      </c>
      <c r="W15" s="12">
        <f t="shared" si="8"/>
        <v>0.94742650789568905</v>
      </c>
      <c r="Z15">
        <f t="shared" ref="Z15:Z78" si="11">$W$2/S15</f>
        <v>4.4230159335545975</v>
      </c>
      <c r="AA15" s="4">
        <v>0.3</v>
      </c>
      <c r="AB15">
        <f t="shared" si="1"/>
        <v>357.41826175068479</v>
      </c>
      <c r="AC15">
        <f t="shared" si="10"/>
        <v>482.93596658284508</v>
      </c>
      <c r="AD15" s="4">
        <v>0.2</v>
      </c>
      <c r="AE15">
        <f t="shared" si="2"/>
        <v>96.587193316569028</v>
      </c>
      <c r="AF15">
        <f t="shared" si="3"/>
        <v>1</v>
      </c>
    </row>
    <row r="16" spans="1:32" ht="13.95" x14ac:dyDescent="0.25">
      <c r="A16" s="2">
        <v>15</v>
      </c>
      <c r="B16">
        <f t="shared" si="4"/>
        <v>2.9371936242576568</v>
      </c>
      <c r="C16" s="4">
        <v>0.08</v>
      </c>
      <c r="D16">
        <f t="shared" si="5"/>
        <v>20.736586987259049</v>
      </c>
      <c r="Q16">
        <f t="shared" si="9"/>
        <v>20.73658698725907</v>
      </c>
      <c r="R16">
        <f t="shared" si="6"/>
        <v>51.220007162391894</v>
      </c>
      <c r="S16">
        <f t="shared" si="7"/>
        <v>115.80351680722187</v>
      </c>
      <c r="T16" s="4">
        <v>0.08</v>
      </c>
      <c r="V16">
        <f>SUM($R$2:R16)</f>
        <v>500.54650279700138</v>
      </c>
      <c r="W16">
        <f t="shared" si="8"/>
        <v>1.0554263543140923</v>
      </c>
      <c r="Z16">
        <f t="shared" si="11"/>
        <v>4.0953851236616643</v>
      </c>
      <c r="AA16" s="4">
        <v>0.3</v>
      </c>
      <c r="AB16">
        <f t="shared" si="1"/>
        <v>386.01172269073959</v>
      </c>
      <c r="AC16">
        <f t="shared" si="10"/>
        <v>511.9121245778158</v>
      </c>
      <c r="AD16" s="4">
        <v>0.2</v>
      </c>
      <c r="AE16">
        <f t="shared" si="2"/>
        <v>102.38242491556316</v>
      </c>
      <c r="AF16">
        <f t="shared" si="3"/>
        <v>1</v>
      </c>
    </row>
    <row r="17" spans="1:32" ht="13.95" x14ac:dyDescent="0.25">
      <c r="A17" s="2">
        <v>16</v>
      </c>
      <c r="B17">
        <f t="shared" si="4"/>
        <v>3.1721691141982693</v>
      </c>
      <c r="C17" s="4">
        <v>0.08</v>
      </c>
      <c r="D17">
        <f t="shared" si="5"/>
        <v>22.395513946239774</v>
      </c>
      <c r="Q17">
        <f t="shared" si="9"/>
        <v>22.395513946239795</v>
      </c>
      <c r="R17">
        <f t="shared" si="6"/>
        <v>52.18642239187097</v>
      </c>
      <c r="S17">
        <f t="shared" si="7"/>
        <v>125.06779815179962</v>
      </c>
      <c r="T17" s="4">
        <v>0.08</v>
      </c>
      <c r="V17">
        <f>SUM($R$2:R17)</f>
        <v>552.7329251888724</v>
      </c>
      <c r="W17">
        <f t="shared" si="8"/>
        <v>1.1654639336837862</v>
      </c>
      <c r="Z17">
        <f t="shared" si="11"/>
        <v>3.7920232626496895</v>
      </c>
      <c r="AA17" s="4">
        <v>0.3</v>
      </c>
      <c r="AB17">
        <f t="shared" si="1"/>
        <v>416.89266050599878</v>
      </c>
      <c r="AC17">
        <f t="shared" si="10"/>
        <v>542.62685205248476</v>
      </c>
      <c r="AD17" s="4">
        <v>0.2</v>
      </c>
      <c r="AE17">
        <f t="shared" si="2"/>
        <v>108.52537041049696</v>
      </c>
      <c r="AF17">
        <f t="shared" si="3"/>
        <v>1</v>
      </c>
    </row>
    <row r="18" spans="1:32" ht="13.95" x14ac:dyDescent="0.25">
      <c r="A18" s="2">
        <v>17</v>
      </c>
      <c r="B18">
        <f t="shared" si="4"/>
        <v>3.4259426433341309</v>
      </c>
      <c r="C18" s="4">
        <v>0.08</v>
      </c>
      <c r="D18">
        <f t="shared" si="5"/>
        <v>24.187155061938956</v>
      </c>
      <c r="Q18">
        <f t="shared" si="9"/>
        <v>24.187155061938977</v>
      </c>
      <c r="R18">
        <f t="shared" si="6"/>
        <v>53.171071870962898</v>
      </c>
      <c r="S18">
        <f t="shared" si="7"/>
        <v>135.07322200394361</v>
      </c>
      <c r="T18" s="4">
        <v>0.08</v>
      </c>
      <c r="V18">
        <f>SUM($R$2:R18)</f>
        <v>605.90399705983532</v>
      </c>
      <c r="W18" s="12">
        <f t="shared" si="8"/>
        <v>1.2775776937963044</v>
      </c>
      <c r="Z18">
        <f t="shared" si="11"/>
        <v>3.5111326506015637</v>
      </c>
      <c r="AA18" s="4">
        <v>0.3</v>
      </c>
      <c r="AB18">
        <f t="shared" si="1"/>
        <v>450.24407334647873</v>
      </c>
      <c r="AC18">
        <f t="shared" si="10"/>
        <v>575.18446317563382</v>
      </c>
      <c r="AD18" s="4">
        <v>0.2</v>
      </c>
      <c r="AE18">
        <f t="shared" si="2"/>
        <v>115.03689263512678</v>
      </c>
      <c r="AF18">
        <f t="shared" si="3"/>
        <v>1</v>
      </c>
    </row>
    <row r="19" spans="1:32" ht="13.95" x14ac:dyDescent="0.25">
      <c r="A19" s="2">
        <v>18</v>
      </c>
      <c r="B19">
        <f t="shared" si="4"/>
        <v>3.7000180548008612</v>
      </c>
      <c r="C19" s="4">
        <v>0.08</v>
      </c>
      <c r="D19">
        <f t="shared" si="5"/>
        <v>26.122127466894071</v>
      </c>
      <c r="Q19">
        <f t="shared" si="9"/>
        <v>26.122127466894099</v>
      </c>
      <c r="R19">
        <f t="shared" si="6"/>
        <v>54.174299642113134</v>
      </c>
      <c r="S19">
        <f t="shared" si="7"/>
        <v>145.8790797642591</v>
      </c>
      <c r="T19" s="4">
        <v>0.08</v>
      </c>
      <c r="V19">
        <f>SUM($R$2:R19)</f>
        <v>660.07829670194849</v>
      </c>
      <c r="W19">
        <f t="shared" si="8"/>
        <v>1.3918068078732098</v>
      </c>
      <c r="Z19">
        <f t="shared" si="11"/>
        <v>3.2510487505570032</v>
      </c>
      <c r="AA19" s="4">
        <v>0.3</v>
      </c>
      <c r="AB19">
        <f t="shared" si="1"/>
        <v>486.26359921419703</v>
      </c>
      <c r="AC19">
        <f t="shared" si="10"/>
        <v>609.69553096617187</v>
      </c>
      <c r="AD19" s="4">
        <v>0.2</v>
      </c>
      <c r="AE19">
        <f t="shared" si="2"/>
        <v>121.93910619323438</v>
      </c>
      <c r="AF19">
        <f t="shared" si="3"/>
        <v>1</v>
      </c>
    </row>
    <row r="20" spans="1:32" ht="13.95" x14ac:dyDescent="0.25">
      <c r="A20" s="2">
        <v>19</v>
      </c>
      <c r="B20">
        <f t="shared" si="4"/>
        <v>3.9960194991849303</v>
      </c>
      <c r="C20" s="4">
        <v>0.08</v>
      </c>
      <c r="D20">
        <f t="shared" si="5"/>
        <v>28.211897664245598</v>
      </c>
      <c r="Q20">
        <f t="shared" si="9"/>
        <v>28.21189766424563</v>
      </c>
      <c r="R20">
        <f t="shared" si="6"/>
        <v>55.196456239134143</v>
      </c>
      <c r="S20">
        <f t="shared" si="7"/>
        <v>157.54940614539984</v>
      </c>
      <c r="T20" s="4">
        <v>0.08</v>
      </c>
      <c r="V20">
        <f>SUM($R$2:R20)</f>
        <v>715.27475294108262</v>
      </c>
      <c r="W20">
        <f t="shared" si="8"/>
        <v>1.5081911882534531</v>
      </c>
      <c r="Z20">
        <f t="shared" si="11"/>
        <v>3.0102303245898177</v>
      </c>
      <c r="AA20" s="4">
        <v>0.3</v>
      </c>
      <c r="AB20">
        <f t="shared" si="1"/>
        <v>525.16468715133283</v>
      </c>
      <c r="AC20">
        <f t="shared" si="10"/>
        <v>646.27726282414221</v>
      </c>
      <c r="AD20" s="4">
        <v>0.2</v>
      </c>
      <c r="AE20">
        <f t="shared" si="2"/>
        <v>129.25545256482846</v>
      </c>
      <c r="AF20">
        <f t="shared" si="3"/>
        <v>1</v>
      </c>
    </row>
    <row r="21" spans="1:32" ht="13.95" x14ac:dyDescent="0.25">
      <c r="A21" s="2">
        <v>20</v>
      </c>
      <c r="B21">
        <f t="shared" si="4"/>
        <v>4.3157010591197249</v>
      </c>
      <c r="C21" s="4">
        <v>0.08</v>
      </c>
      <c r="D21">
        <f t="shared" si="5"/>
        <v>30.468849477385245</v>
      </c>
      <c r="Q21">
        <f t="shared" si="9"/>
        <v>30.46884947738528</v>
      </c>
      <c r="R21">
        <f t="shared" si="6"/>
        <v>56.237898809683834</v>
      </c>
      <c r="S21">
        <f t="shared" si="7"/>
        <v>170.15335863703183</v>
      </c>
      <c r="T21" s="4">
        <v>0.08</v>
      </c>
      <c r="V21">
        <f>SUM($R$2:R21)</f>
        <v>771.51265175076651</v>
      </c>
      <c r="W21" s="11">
        <f t="shared" si="8"/>
        <v>1.626771500338984</v>
      </c>
      <c r="Z21">
        <f t="shared" si="11"/>
        <v>2.7872503005461273</v>
      </c>
      <c r="AA21" s="4">
        <v>0.3</v>
      </c>
      <c r="AB21">
        <f t="shared" si="1"/>
        <v>567.17786212343947</v>
      </c>
      <c r="AC21">
        <f t="shared" si="10"/>
        <v>685.05389859359082</v>
      </c>
      <c r="AD21" s="4">
        <v>0.2</v>
      </c>
      <c r="AE21">
        <f t="shared" si="2"/>
        <v>137.01077971871817</v>
      </c>
      <c r="AF21">
        <f t="shared" si="3"/>
        <v>1</v>
      </c>
    </row>
    <row r="22" spans="1:32" ht="13.95" x14ac:dyDescent="0.25">
      <c r="A22" s="2">
        <v>21</v>
      </c>
      <c r="B22">
        <f t="shared" si="4"/>
        <v>4.6609571438493029</v>
      </c>
      <c r="C22" s="4">
        <v>0.08</v>
      </c>
      <c r="D22">
        <f t="shared" si="5"/>
        <v>32.906357435576062</v>
      </c>
      <c r="Q22">
        <f t="shared" si="9"/>
        <v>32.906357435576105</v>
      </c>
      <c r="R22">
        <f t="shared" si="6"/>
        <v>57.298991240055237</v>
      </c>
      <c r="S22">
        <f t="shared" si="7"/>
        <v>183.76562732799439</v>
      </c>
      <c r="T22" s="4">
        <v>0.08</v>
      </c>
      <c r="V22">
        <f>SUM($R$2:R22)</f>
        <v>828.81164299082172</v>
      </c>
      <c r="W22">
        <f t="shared" si="8"/>
        <v>1.747589176803487</v>
      </c>
      <c r="Z22">
        <f t="shared" si="11"/>
        <v>2.5807873153204883</v>
      </c>
      <c r="AA22" s="4">
        <v>0.3</v>
      </c>
      <c r="AB22">
        <f t="shared" si="1"/>
        <v>612.55209109331463</v>
      </c>
      <c r="AC22">
        <f t="shared" si="10"/>
        <v>726.15713250920635</v>
      </c>
      <c r="AD22" s="4">
        <v>0.2</v>
      </c>
      <c r="AE22">
        <f t="shared" si="2"/>
        <v>145.23142650184127</v>
      </c>
      <c r="AF22">
        <f t="shared" si="3"/>
        <v>1</v>
      </c>
    </row>
    <row r="23" spans="1:32" ht="13.95" x14ac:dyDescent="0.25">
      <c r="A23" s="2">
        <v>22</v>
      </c>
      <c r="B23">
        <f t="shared" si="4"/>
        <v>5.0338337153572468</v>
      </c>
      <c r="C23" s="4">
        <v>0.08</v>
      </c>
      <c r="D23">
        <f t="shared" si="5"/>
        <v>35.538866030422149</v>
      </c>
      <c r="Q23">
        <f t="shared" si="9"/>
        <v>35.538866030422191</v>
      </c>
      <c r="R23">
        <f t="shared" si="6"/>
        <v>58.380104282320424</v>
      </c>
      <c r="S23">
        <f t="shared" si="7"/>
        <v>198.46687751423397</v>
      </c>
      <c r="T23" s="4">
        <v>0.08</v>
      </c>
      <c r="V23">
        <f>SUM($R$2:R23)</f>
        <v>887.19174727314214</v>
      </c>
      <c r="W23">
        <f t="shared" si="8"/>
        <v>1.8706864320692072</v>
      </c>
      <c r="Z23">
        <f t="shared" si="11"/>
        <v>2.3896178845560074</v>
      </c>
      <c r="AA23" s="4">
        <v>0.3</v>
      </c>
      <c r="AB23">
        <f t="shared" si="1"/>
        <v>661.55625838077992</v>
      </c>
      <c r="AC23">
        <f t="shared" si="10"/>
        <v>769.72656045975873</v>
      </c>
      <c r="AD23" s="4">
        <v>0.2</v>
      </c>
      <c r="AE23">
        <f t="shared" si="2"/>
        <v>153.94531209195176</v>
      </c>
      <c r="AF23">
        <f t="shared" si="3"/>
        <v>1</v>
      </c>
    </row>
    <row r="24" spans="1:32" ht="13.95" x14ac:dyDescent="0.25">
      <c r="A24" s="2">
        <v>23</v>
      </c>
      <c r="B24">
        <f t="shared" si="4"/>
        <v>5.4365404125858268</v>
      </c>
      <c r="C24" s="4">
        <v>0.08</v>
      </c>
      <c r="D24">
        <f t="shared" si="5"/>
        <v>38.381975312855921</v>
      </c>
      <c r="Q24">
        <f t="shared" si="9"/>
        <v>38.381975312855971</v>
      </c>
      <c r="R24">
        <f t="shared" si="6"/>
        <v>59.481615683873642</v>
      </c>
      <c r="S24">
        <f t="shared" si="7"/>
        <v>214.34422771537271</v>
      </c>
      <c r="T24" s="4">
        <v>0.08</v>
      </c>
      <c r="V24">
        <f>SUM($R$2:R24)</f>
        <v>946.6733629570158</v>
      </c>
      <c r="W24">
        <f t="shared" si="8"/>
        <v>1.996106277056922</v>
      </c>
      <c r="Z24">
        <f t="shared" si="11"/>
        <v>2.2126091523666731</v>
      </c>
      <c r="AA24" s="4">
        <v>0.3</v>
      </c>
      <c r="AB24">
        <f t="shared" si="1"/>
        <v>714.48075905124244</v>
      </c>
      <c r="AC24">
        <f t="shared" si="10"/>
        <v>815.91015408734427</v>
      </c>
      <c r="AD24" s="4">
        <v>0.2</v>
      </c>
      <c r="AE24">
        <f t="shared" si="2"/>
        <v>163.18203081746887</v>
      </c>
      <c r="AF24">
        <f t="shared" si="3"/>
        <v>1</v>
      </c>
    </row>
    <row r="25" spans="1:32" ht="13.95" x14ac:dyDescent="0.25">
      <c r="A25" s="2">
        <v>24</v>
      </c>
      <c r="B25">
        <f t="shared" si="4"/>
        <v>5.8714636455926925</v>
      </c>
      <c r="C25" s="4">
        <v>0.08</v>
      </c>
      <c r="D25">
        <f t="shared" si="5"/>
        <v>41.452533337884397</v>
      </c>
      <c r="Q25">
        <f t="shared" si="9"/>
        <v>41.452533337884454</v>
      </c>
      <c r="R25">
        <f t="shared" si="6"/>
        <v>60.603910319418425</v>
      </c>
      <c r="S25">
        <f t="shared" si="7"/>
        <v>231.49176593260253</v>
      </c>
      <c r="T25" s="4">
        <v>0.08</v>
      </c>
      <c r="V25">
        <f>SUM($R$2:R25)</f>
        <v>1007.2772732764342</v>
      </c>
      <c r="W25">
        <f t="shared" si="8"/>
        <v>2.1238925342142165</v>
      </c>
      <c r="Z25">
        <f t="shared" si="11"/>
        <v>2.0487121781172899</v>
      </c>
      <c r="AA25" s="4">
        <v>0.3</v>
      </c>
      <c r="AB25">
        <f t="shared" si="1"/>
        <v>771.63921977534176</v>
      </c>
      <c r="AC25">
        <f t="shared" si="10"/>
        <v>864.86476333258497</v>
      </c>
      <c r="AD25" s="4">
        <v>0.2</v>
      </c>
      <c r="AE25">
        <f t="shared" si="2"/>
        <v>172.97295266651702</v>
      </c>
      <c r="AF25">
        <f t="shared" si="3"/>
        <v>1</v>
      </c>
    </row>
    <row r="26" spans="1:32" ht="13.95" x14ac:dyDescent="0.25">
      <c r="A26" s="2">
        <v>25</v>
      </c>
      <c r="B26">
        <f t="shared" si="4"/>
        <v>6.3411807372401077</v>
      </c>
      <c r="C26" s="4">
        <v>0.08</v>
      </c>
      <c r="D26">
        <f t="shared" si="5"/>
        <v>44.768736004915148</v>
      </c>
      <c r="Q26">
        <f t="shared" si="9"/>
        <v>44.768736004915205</v>
      </c>
      <c r="R26">
        <f t="shared" si="6"/>
        <v>61.747380325445199</v>
      </c>
      <c r="S26">
        <f t="shared" si="7"/>
        <v>250.01110720721076</v>
      </c>
      <c r="T26" s="4">
        <v>0.08</v>
      </c>
      <c r="V26">
        <f>SUM($R$2:R26)</f>
        <v>1069.0246536018794</v>
      </c>
      <c r="W26">
        <f t="shared" si="8"/>
        <v>2.2540898528273088</v>
      </c>
      <c r="Z26">
        <f t="shared" si="11"/>
        <v>1.896955720478972</v>
      </c>
      <c r="AA26" s="4">
        <v>0.3</v>
      </c>
      <c r="AB26">
        <f t="shared" si="1"/>
        <v>833.37035735736924</v>
      </c>
      <c r="AC26">
        <f t="shared" si="10"/>
        <v>916.75664913254013</v>
      </c>
      <c r="AD26" s="4">
        <v>0.2</v>
      </c>
      <c r="AE26">
        <f t="shared" si="2"/>
        <v>183.35132982650805</v>
      </c>
      <c r="AF26">
        <f t="shared" si="3"/>
        <v>1</v>
      </c>
    </row>
    <row r="27" spans="1:32" ht="13.95" x14ac:dyDescent="0.25">
      <c r="A27" s="2">
        <v>26</v>
      </c>
      <c r="B27">
        <f t="shared" si="4"/>
        <v>6.848475196219316</v>
      </c>
      <c r="C27" s="4">
        <v>0.08</v>
      </c>
      <c r="D27">
        <f t="shared" si="5"/>
        <v>48.35023488530836</v>
      </c>
      <c r="Q27">
        <f t="shared" si="9"/>
        <v>48.350234885308431</v>
      </c>
      <c r="R27">
        <f t="shared" si="6"/>
        <v>62.912425237246062</v>
      </c>
      <c r="S27">
        <f t="shared" si="7"/>
        <v>270.01199578378765</v>
      </c>
      <c r="T27" s="4">
        <v>0.08</v>
      </c>
      <c r="V27">
        <f>SUM($R$2:R27)</f>
        <v>1131.9370788391254</v>
      </c>
      <c r="W27">
        <f t="shared" si="8"/>
        <v>2.38674372462178</v>
      </c>
      <c r="Z27">
        <f t="shared" si="11"/>
        <v>1.7564404819249739</v>
      </c>
      <c r="AA27" s="4">
        <v>0.3</v>
      </c>
      <c r="AB27">
        <f t="shared" si="1"/>
        <v>900.03998594595885</v>
      </c>
      <c r="AC27">
        <f t="shared" si="10"/>
        <v>971.7620480804926</v>
      </c>
      <c r="AD27" s="4">
        <v>0.2</v>
      </c>
      <c r="AE27">
        <f t="shared" si="2"/>
        <v>194.35240961609853</v>
      </c>
      <c r="AF27">
        <f t="shared" si="3"/>
        <v>1</v>
      </c>
    </row>
    <row r="28" spans="1:32" ht="13.95" x14ac:dyDescent="0.25">
      <c r="A28" s="2">
        <v>27</v>
      </c>
      <c r="B28">
        <f t="shared" si="4"/>
        <v>7.3963532119168613</v>
      </c>
      <c r="C28" s="4">
        <v>0.08</v>
      </c>
      <c r="D28">
        <f t="shared" si="5"/>
        <v>52.218253676133031</v>
      </c>
      <c r="Q28">
        <f t="shared" si="9"/>
        <v>52.218253676133102</v>
      </c>
      <c r="R28">
        <f t="shared" si="6"/>
        <v>64.099452128514855</v>
      </c>
      <c r="S28">
        <f t="shared" si="7"/>
        <v>291.61295544649067</v>
      </c>
      <c r="T28" s="4">
        <v>0.08</v>
      </c>
      <c r="V28">
        <f>SUM($R$2:R28)</f>
        <v>1196.0365309676404</v>
      </c>
      <c r="W28">
        <f t="shared" si="8"/>
        <v>2.5219004996576571</v>
      </c>
      <c r="Z28">
        <f t="shared" si="11"/>
        <v>1.6263337795601609</v>
      </c>
      <c r="AA28" s="4">
        <v>0.3</v>
      </c>
      <c r="AB28">
        <f t="shared" si="1"/>
        <v>972.04318482163558</v>
      </c>
      <c r="AC28">
        <f t="shared" si="10"/>
        <v>1030.0677709653223</v>
      </c>
      <c r="AD28" s="4">
        <v>0.2</v>
      </c>
      <c r="AE28">
        <f t="shared" si="2"/>
        <v>206.01355419306446</v>
      </c>
      <c r="AF28">
        <f t="shared" si="3"/>
        <v>1</v>
      </c>
    </row>
    <row r="29" spans="1:32" ht="13.95" x14ac:dyDescent="0.25">
      <c r="A29" s="2">
        <v>28</v>
      </c>
      <c r="B29">
        <f t="shared" si="4"/>
        <v>7.9880614688702103</v>
      </c>
      <c r="C29" s="4">
        <v>0.08</v>
      </c>
      <c r="D29">
        <f t="shared" si="5"/>
        <v>56.395713970223674</v>
      </c>
      <c r="Q29">
        <f t="shared" si="9"/>
        <v>56.395713970223753</v>
      </c>
      <c r="R29">
        <f t="shared" si="6"/>
        <v>65.308875753581162</v>
      </c>
      <c r="S29">
        <f t="shared" si="7"/>
        <v>314.94199188220995</v>
      </c>
      <c r="T29" s="4">
        <v>0.08</v>
      </c>
      <c r="V29">
        <f>SUM($R$2:R29)</f>
        <v>1261.3454067212215</v>
      </c>
      <c r="W29">
        <f t="shared" si="8"/>
        <v>2.659607402524399</v>
      </c>
      <c r="Z29">
        <f t="shared" si="11"/>
        <v>1.5058646107038527</v>
      </c>
      <c r="AA29" s="4">
        <v>0.3</v>
      </c>
      <c r="AB29">
        <f t="shared" si="1"/>
        <v>1049.8066396073666</v>
      </c>
      <c r="AC29">
        <f t="shared" si="10"/>
        <v>1091.8718372232418</v>
      </c>
      <c r="AD29" s="4">
        <v>0.2</v>
      </c>
      <c r="AE29">
        <f t="shared" si="2"/>
        <v>218.37436744464836</v>
      </c>
      <c r="AF29">
        <f t="shared" si="3"/>
        <v>1</v>
      </c>
    </row>
    <row r="30" spans="1:32" ht="13.95" x14ac:dyDescent="0.25">
      <c r="A30" s="2">
        <v>29</v>
      </c>
      <c r="B30">
        <f t="shared" si="4"/>
        <v>8.6271063863798272</v>
      </c>
      <c r="C30" s="4">
        <v>0.08</v>
      </c>
      <c r="D30">
        <f t="shared" si="5"/>
        <v>60.907371087841568</v>
      </c>
      <c r="Q30">
        <f t="shared" si="9"/>
        <v>60.907371087841653</v>
      </c>
      <c r="R30">
        <f t="shared" si="6"/>
        <v>66.541118692327984</v>
      </c>
      <c r="S30">
        <f t="shared" si="7"/>
        <v>340.13735123278678</v>
      </c>
      <c r="T30" s="4">
        <v>0.08</v>
      </c>
      <c r="V30">
        <f>SUM($R$2:R30)</f>
        <v>1327.8865254135494</v>
      </c>
      <c r="W30">
        <f t="shared" si="8"/>
        <v>2.7999125488414571</v>
      </c>
      <c r="Z30">
        <f t="shared" si="11"/>
        <v>1.3943190839850486</v>
      </c>
      <c r="AA30" s="4">
        <v>0.3</v>
      </c>
      <c r="AB30">
        <f t="shared" si="1"/>
        <v>1133.7911707759561</v>
      </c>
      <c r="AC30">
        <f t="shared" si="10"/>
        <v>1157.3841474566364</v>
      </c>
      <c r="AD30" s="4">
        <v>0.2</v>
      </c>
      <c r="AE30">
        <f t="shared" si="2"/>
        <v>231.47682949132729</v>
      </c>
      <c r="AF30">
        <f t="shared" si="3"/>
        <v>1</v>
      </c>
    </row>
    <row r="31" spans="1:32" x14ac:dyDescent="0.25">
      <c r="A31" s="2">
        <v>30</v>
      </c>
      <c r="B31">
        <f t="shared" si="4"/>
        <v>9.3172748972902131</v>
      </c>
      <c r="C31" s="4">
        <v>0.08</v>
      </c>
      <c r="D31">
        <f t="shared" si="5"/>
        <v>65.779960774868897</v>
      </c>
      <c r="Q31">
        <f t="shared" si="9"/>
        <v>65.779960774868982</v>
      </c>
      <c r="R31">
        <f t="shared" si="6"/>
        <v>67.796611497843614</v>
      </c>
      <c r="S31">
        <f t="shared" si="7"/>
        <v>367.34833933140976</v>
      </c>
      <c r="T31" s="4">
        <v>0.08</v>
      </c>
      <c r="V31">
        <f>SUM($R$2:R31)</f>
        <v>1395.6831369113929</v>
      </c>
      <c r="W31">
        <f t="shared" si="8"/>
        <v>2.9428649620701575</v>
      </c>
      <c r="Z31">
        <f t="shared" si="11"/>
        <v>1.2910361888750448</v>
      </c>
      <c r="AA31" s="4">
        <v>0.3</v>
      </c>
      <c r="AB31">
        <f t="shared" si="1"/>
        <v>1224.4944644380325</v>
      </c>
      <c r="AC31">
        <f t="shared" si="10"/>
        <v>1226.8271963040345</v>
      </c>
      <c r="AD31" s="4">
        <v>0.2</v>
      </c>
      <c r="AE31">
        <f t="shared" si="2"/>
        <v>245.36543926080691</v>
      </c>
      <c r="AF31">
        <f t="shared" si="3"/>
        <v>1</v>
      </c>
    </row>
    <row r="32" spans="1:32" x14ac:dyDescent="0.25">
      <c r="A32" s="2">
        <v>31</v>
      </c>
      <c r="B32">
        <f t="shared" si="4"/>
        <v>10.06265688907343</v>
      </c>
      <c r="C32" s="4">
        <v>0.08</v>
      </c>
      <c r="D32">
        <f t="shared" si="5"/>
        <v>71.042357636858412</v>
      </c>
      <c r="Q32">
        <f t="shared" si="9"/>
        <v>71.042357636858512</v>
      </c>
      <c r="R32">
        <f t="shared" si="6"/>
        <v>69.075792846859528</v>
      </c>
      <c r="S32">
        <f t="shared" si="7"/>
        <v>396.73620647792256</v>
      </c>
      <c r="T32" s="4">
        <v>0.08</v>
      </c>
      <c r="V32">
        <f>SUM($R$2:R32)</f>
        <v>1464.7589297582524</v>
      </c>
      <c r="W32">
        <f t="shared" si="8"/>
        <v>3.088514590642796</v>
      </c>
      <c r="Z32">
        <f t="shared" si="11"/>
        <v>1.1954038785880043</v>
      </c>
      <c r="AA32" s="4">
        <v>0.3</v>
      </c>
      <c r="AB32">
        <f t="shared" si="1"/>
        <v>1322.4540215930754</v>
      </c>
      <c r="AC32">
        <f t="shared" si="10"/>
        <v>1300.4368280822766</v>
      </c>
      <c r="AD32" s="4">
        <v>0.2</v>
      </c>
      <c r="AE32">
        <f t="shared" si="2"/>
        <v>260.08736561645532</v>
      </c>
      <c r="AF32">
        <f t="shared" si="3"/>
        <v>1</v>
      </c>
    </row>
    <row r="33" spans="1:32" x14ac:dyDescent="0.25">
      <c r="A33" s="2">
        <v>32</v>
      </c>
      <c r="B33">
        <f t="shared" si="4"/>
        <v>10.867669440199306</v>
      </c>
      <c r="C33" s="4">
        <v>0.08</v>
      </c>
      <c r="D33">
        <f t="shared" si="5"/>
        <v>76.725746247807081</v>
      </c>
      <c r="Q33">
        <f t="shared" si="9"/>
        <v>76.725746247807209</v>
      </c>
      <c r="R33">
        <f t="shared" si="6"/>
        <v>70.379109693026678</v>
      </c>
      <c r="S33">
        <f t="shared" si="7"/>
        <v>428.47510299615641</v>
      </c>
      <c r="T33" s="4">
        <v>0.08</v>
      </c>
      <c r="V33">
        <f>SUM($R$2:R33)</f>
        <v>1535.1380394512792</v>
      </c>
      <c r="W33">
        <f t="shared" si="8"/>
        <v>3.2369123254149184</v>
      </c>
      <c r="Z33">
        <f t="shared" si="11"/>
        <v>1.106855443137041</v>
      </c>
      <c r="AA33" s="4">
        <v>0.3</v>
      </c>
      <c r="AB33">
        <f t="shared" si="1"/>
        <v>1428.2503433205213</v>
      </c>
      <c r="AC33">
        <f t="shared" si="10"/>
        <v>1378.4630377672133</v>
      </c>
      <c r="AD33" s="4">
        <v>0.2</v>
      </c>
      <c r="AE33">
        <f t="shared" si="2"/>
        <v>275.69260755344266</v>
      </c>
      <c r="AF33">
        <f t="shared" si="3"/>
        <v>1</v>
      </c>
    </row>
    <row r="34" spans="1:32" x14ac:dyDescent="0.25">
      <c r="A34" s="2">
        <v>33</v>
      </c>
      <c r="B34">
        <f t="shared" si="4"/>
        <v>11.73708299541525</v>
      </c>
      <c r="C34" s="4">
        <v>0.08</v>
      </c>
      <c r="D34">
        <f t="shared" si="5"/>
        <v>82.863805947631647</v>
      </c>
      <c r="Q34">
        <f t="shared" si="9"/>
        <v>82.863805947631789</v>
      </c>
      <c r="R34">
        <f t="shared" si="6"/>
        <v>71.707017423083812</v>
      </c>
      <c r="S34">
        <f t="shared" si="7"/>
        <v>462.75311123584896</v>
      </c>
      <c r="T34" s="4">
        <v>0.08</v>
      </c>
      <c r="V34">
        <f>SUM($R$2:R34)</f>
        <v>1606.8450568743629</v>
      </c>
      <c r="W34">
        <f t="shared" si="8"/>
        <v>3.3881100174468917</v>
      </c>
      <c r="Z34">
        <f t="shared" si="11"/>
        <v>1.0248661510528156</v>
      </c>
      <c r="AA34" s="4">
        <v>0.3</v>
      </c>
      <c r="AB34">
        <f t="shared" si="1"/>
        <v>1542.5103707861633</v>
      </c>
      <c r="AC34">
        <f t="shared" si="10"/>
        <v>1461.1708200332462</v>
      </c>
      <c r="AD34" s="4">
        <v>0.2</v>
      </c>
      <c r="AE34">
        <f t="shared" si="2"/>
        <v>292.23416400664922</v>
      </c>
      <c r="AF34">
        <f t="shared" si="3"/>
        <v>1</v>
      </c>
    </row>
    <row r="35" spans="1:32" x14ac:dyDescent="0.25">
      <c r="A35" s="2">
        <v>34</v>
      </c>
      <c r="B35">
        <f t="shared" si="4"/>
        <v>12.67604963504847</v>
      </c>
      <c r="C35" s="4">
        <v>0.08</v>
      </c>
      <c r="D35">
        <f t="shared" si="5"/>
        <v>89.492910423442183</v>
      </c>
      <c r="Q35">
        <f t="shared" si="9"/>
        <v>89.492910423442325</v>
      </c>
      <c r="R35">
        <f t="shared" si="6"/>
        <v>73.059980015972187</v>
      </c>
      <c r="S35">
        <f t="shared" si="7"/>
        <v>499.77336013471694</v>
      </c>
      <c r="T35" s="4">
        <v>0.08</v>
      </c>
      <c r="V35">
        <f>SUM($R$2:R35)</f>
        <v>1679.9050368903349</v>
      </c>
      <c r="W35">
        <f t="shared" si="8"/>
        <v>3.5421604961209781</v>
      </c>
      <c r="Z35">
        <f t="shared" si="11"/>
        <v>0.94895013986371812</v>
      </c>
      <c r="AA35" s="4">
        <v>0.3</v>
      </c>
      <c r="AB35">
        <f t="shared" si="1"/>
        <v>1665.9112004490564</v>
      </c>
      <c r="AC35">
        <f t="shared" si="10"/>
        <v>1548.8410692352411</v>
      </c>
      <c r="AD35" s="4">
        <v>0.2</v>
      </c>
      <c r="AE35">
        <f t="shared" si="2"/>
        <v>309.76821384704823</v>
      </c>
      <c r="AF35">
        <f t="shared" si="3"/>
        <v>1</v>
      </c>
    </row>
    <row r="36" spans="1:32" x14ac:dyDescent="0.25">
      <c r="A36" s="2">
        <v>35</v>
      </c>
      <c r="B36">
        <f t="shared" si="4"/>
        <v>13.690133605852347</v>
      </c>
      <c r="C36" s="4">
        <v>0.08</v>
      </c>
      <c r="D36">
        <f t="shared" si="5"/>
        <v>96.652343257317554</v>
      </c>
      <c r="Q36">
        <f t="shared" si="9"/>
        <v>96.65234325731771</v>
      </c>
      <c r="R36">
        <f t="shared" si="6"/>
        <v>74.438470204952793</v>
      </c>
      <c r="S36">
        <f t="shared" si="7"/>
        <v>539.75522894549431</v>
      </c>
      <c r="T36" s="4">
        <v>0.08</v>
      </c>
      <c r="V36">
        <f>SUM($R$2:R36)</f>
        <v>1754.3435070952878</v>
      </c>
      <c r="W36">
        <f t="shared" si="8"/>
        <v>3.6991175876002358</v>
      </c>
      <c r="Z36">
        <f t="shared" si="11"/>
        <v>0.87865753691085002</v>
      </c>
      <c r="AA36" s="4">
        <v>0.3</v>
      </c>
      <c r="AB36">
        <f t="shared" si="1"/>
        <v>1799.1840964849812</v>
      </c>
      <c r="AC36">
        <f t="shared" si="10"/>
        <v>1641.7715333893557</v>
      </c>
      <c r="AD36" s="4">
        <v>0.2</v>
      </c>
      <c r="AE36">
        <f t="shared" si="2"/>
        <v>328.35430667787114</v>
      </c>
      <c r="AF36">
        <f t="shared" si="3"/>
        <v>1</v>
      </c>
    </row>
    <row r="37" spans="1:32" x14ac:dyDescent="0.25">
      <c r="A37" s="2">
        <v>36</v>
      </c>
      <c r="B37">
        <f t="shared" si="4"/>
        <v>14.785344294320534</v>
      </c>
      <c r="C37" s="4">
        <v>0.08</v>
      </c>
      <c r="D37">
        <f t="shared" si="5"/>
        <v>104.38453071790296</v>
      </c>
      <c r="Q37">
        <f t="shared" si="9"/>
        <v>104.38453071790315</v>
      </c>
      <c r="R37">
        <f t="shared" si="6"/>
        <v>75.84296964278208</v>
      </c>
      <c r="S37">
        <f t="shared" si="7"/>
        <v>582.93564726113391</v>
      </c>
      <c r="T37" s="4">
        <v>0.08</v>
      </c>
      <c r="V37">
        <f>SUM($R$2:R37)</f>
        <v>1830.1864767380698</v>
      </c>
      <c r="W37">
        <f t="shared" si="8"/>
        <v>3.8590361336357057</v>
      </c>
      <c r="Z37">
        <f t="shared" si="11"/>
        <v>0.81357179343597219</v>
      </c>
      <c r="AA37" s="4">
        <v>0.3</v>
      </c>
      <c r="AB37">
        <f t="shared" si="1"/>
        <v>1943.1188242037797</v>
      </c>
      <c r="AC37">
        <f t="shared" si="10"/>
        <v>1740.2778253927172</v>
      </c>
      <c r="AD37" s="4">
        <v>0.2</v>
      </c>
      <c r="AE37">
        <f t="shared" si="2"/>
        <v>348.05556507854345</v>
      </c>
      <c r="AF37">
        <f t="shared" si="3"/>
        <v>1</v>
      </c>
    </row>
    <row r="38" spans="1:32" x14ac:dyDescent="0.25">
      <c r="A38" s="2">
        <v>37</v>
      </c>
      <c r="B38">
        <f t="shared" si="4"/>
        <v>15.968171837866176</v>
      </c>
      <c r="C38" s="4">
        <v>0.08</v>
      </c>
      <c r="D38">
        <f t="shared" si="5"/>
        <v>112.7352931753352</v>
      </c>
      <c r="Q38">
        <f t="shared" si="9"/>
        <v>112.73529317533541</v>
      </c>
      <c r="R38">
        <f t="shared" si="6"/>
        <v>77.273969070004384</v>
      </c>
      <c r="S38">
        <f t="shared" si="7"/>
        <v>629.57049904202461</v>
      </c>
      <c r="T38" s="4">
        <v>0.08</v>
      </c>
      <c r="V38">
        <f>SUM($R$2:R38)</f>
        <v>1907.4604458080742</v>
      </c>
      <c r="W38" s="12">
        <f t="shared" si="8"/>
        <v>4.0219720107284491</v>
      </c>
      <c r="Z38">
        <f t="shared" si="11"/>
        <v>0.75330721614441876</v>
      </c>
      <c r="AA38" s="4">
        <v>0.3</v>
      </c>
      <c r="AB38">
        <f t="shared" si="1"/>
        <v>2098.5683301400823</v>
      </c>
      <c r="AC38">
        <f t="shared" si="10"/>
        <v>1844.6944949162803</v>
      </c>
      <c r="AD38" s="4">
        <v>0.2</v>
      </c>
      <c r="AE38">
        <f t="shared" si="2"/>
        <v>368.93889898325608</v>
      </c>
      <c r="AF38">
        <f t="shared" si="3"/>
        <v>1</v>
      </c>
    </row>
    <row r="39" spans="1:32" x14ac:dyDescent="0.25">
      <c r="A39" s="2">
        <v>38</v>
      </c>
      <c r="B39">
        <f t="shared" si="4"/>
        <v>17.245625584895471</v>
      </c>
      <c r="C39" s="4">
        <v>0.08</v>
      </c>
      <c r="D39">
        <f t="shared" si="5"/>
        <v>121.75411662936202</v>
      </c>
      <c r="Q39">
        <f t="shared" si="9"/>
        <v>121.75411662936224</v>
      </c>
      <c r="R39">
        <f t="shared" si="6"/>
        <v>78.731968486419561</v>
      </c>
      <c r="S39">
        <f t="shared" si="7"/>
        <v>679.93613896538659</v>
      </c>
      <c r="T39" s="4">
        <v>0.08</v>
      </c>
      <c r="V39">
        <f>SUM($R$2:R39)</f>
        <v>1986.1924142944938</v>
      </c>
      <c r="W39">
        <f t="shared" si="8"/>
        <v>4.1879821496531306</v>
      </c>
      <c r="Z39">
        <f t="shared" si="11"/>
        <v>0.69750668161520246</v>
      </c>
      <c r="AA39" s="4">
        <v>0.3</v>
      </c>
      <c r="AB39">
        <f t="shared" si="1"/>
        <v>2266.4537965512886</v>
      </c>
      <c r="AC39">
        <f t="shared" si="10"/>
        <v>1955.3761646112573</v>
      </c>
      <c r="AD39" s="4">
        <v>0.2</v>
      </c>
      <c r="AE39">
        <f t="shared" si="2"/>
        <v>391.07523292225147</v>
      </c>
      <c r="AF39">
        <f t="shared" si="3"/>
        <v>1</v>
      </c>
    </row>
    <row r="40" spans="1:32" x14ac:dyDescent="0.25">
      <c r="A40" s="2">
        <v>39</v>
      </c>
      <c r="B40">
        <f t="shared" si="4"/>
        <v>18.62527563168711</v>
      </c>
      <c r="C40" s="4">
        <v>0.08</v>
      </c>
      <c r="D40">
        <f t="shared" si="5"/>
        <v>131.49444595971099</v>
      </c>
      <c r="Q40">
        <f t="shared" si="9"/>
        <v>131.49444595971124</v>
      </c>
      <c r="R40">
        <f t="shared" si="6"/>
        <v>80.21747732578595</v>
      </c>
      <c r="S40">
        <f t="shared" si="7"/>
        <v>734.33103008261753</v>
      </c>
      <c r="T40" s="4">
        <v>0.08</v>
      </c>
      <c r="V40">
        <f>SUM($R$2:R40)</f>
        <v>2066.4098916202797</v>
      </c>
      <c r="W40">
        <f t="shared" si="8"/>
        <v>4.3571245553499764</v>
      </c>
      <c r="Z40">
        <f t="shared" si="11"/>
        <v>0.64583952001407641</v>
      </c>
      <c r="AA40" s="4">
        <v>0.3</v>
      </c>
      <c r="AB40">
        <f t="shared" si="1"/>
        <v>2447.770100275392</v>
      </c>
      <c r="AC40">
        <f t="shared" si="10"/>
        <v>2072.6987344879331</v>
      </c>
      <c r="AD40" s="4">
        <v>0.2</v>
      </c>
      <c r="AE40">
        <f t="shared" si="2"/>
        <v>414.53974689758661</v>
      </c>
      <c r="AF40">
        <f t="shared" si="3"/>
        <v>1</v>
      </c>
    </row>
    <row r="41" spans="1:32" x14ac:dyDescent="0.25">
      <c r="A41" s="2">
        <v>40</v>
      </c>
      <c r="B41">
        <f t="shared" si="4"/>
        <v>20.115297682222078</v>
      </c>
      <c r="C41" s="4">
        <v>0.08</v>
      </c>
      <c r="D41">
        <f t="shared" si="5"/>
        <v>142.01400163648788</v>
      </c>
      <c r="Q41">
        <f t="shared" si="9"/>
        <v>142.01400163648813</v>
      </c>
      <c r="R41">
        <f t="shared" si="6"/>
        <v>81.73101463381964</v>
      </c>
      <c r="S41">
        <f t="shared" si="7"/>
        <v>793.07751248922693</v>
      </c>
      <c r="T41" s="4">
        <v>0.08</v>
      </c>
      <c r="V41">
        <f>SUM($R$2:R41)</f>
        <v>2148.1409062540993</v>
      </c>
      <c r="W41">
        <f t="shared" si="8"/>
        <v>4.529458327192045</v>
      </c>
      <c r="Z41">
        <f t="shared" si="11"/>
        <v>0.59799955556858919</v>
      </c>
      <c r="AA41" s="4">
        <v>0.3</v>
      </c>
      <c r="AB41">
        <f t="shared" si="1"/>
        <v>2643.5917082974233</v>
      </c>
      <c r="AC41">
        <f t="shared" si="10"/>
        <v>2197.0606585572091</v>
      </c>
      <c r="AD41" s="4">
        <v>0.2</v>
      </c>
      <c r="AE41">
        <f t="shared" si="2"/>
        <v>439.41213171144182</v>
      </c>
      <c r="AF41">
        <f t="shared" si="3"/>
        <v>1</v>
      </c>
    </row>
    <row r="42" spans="1:32" x14ac:dyDescent="0.25">
      <c r="A42" s="2">
        <v>41</v>
      </c>
      <c r="B42">
        <f t="shared" si="4"/>
        <v>21.724521496799845</v>
      </c>
      <c r="C42" s="4">
        <v>0.08</v>
      </c>
      <c r="D42">
        <f t="shared" si="5"/>
        <v>153.37512176740691</v>
      </c>
      <c r="Q42">
        <f t="shared" si="9"/>
        <v>153.37512176740719</v>
      </c>
      <c r="R42">
        <f t="shared" si="6"/>
        <v>83.273109249552107</v>
      </c>
      <c r="S42">
        <f t="shared" si="7"/>
        <v>856.52371348836516</v>
      </c>
      <c r="T42" s="4">
        <v>0.08</v>
      </c>
      <c r="V42" s="1">
        <f>SUM($R$2:R42)</f>
        <v>2231.4140155036512</v>
      </c>
      <c r="W42">
        <f t="shared" si="8"/>
        <v>4.7050436796349073</v>
      </c>
      <c r="Z42">
        <f t="shared" si="11"/>
        <v>0.55370329219313819</v>
      </c>
      <c r="AA42" s="4">
        <v>0.3</v>
      </c>
      <c r="AB42">
        <f t="shared" si="1"/>
        <v>2855.0790449612173</v>
      </c>
      <c r="AC42">
        <f t="shared" si="10"/>
        <v>2328.8842980706418</v>
      </c>
      <c r="AD42" s="4">
        <v>0.2</v>
      </c>
      <c r="AE42">
        <f t="shared" si="2"/>
        <v>465.7768596141284</v>
      </c>
      <c r="AF42">
        <f t="shared" si="3"/>
        <v>1</v>
      </c>
    </row>
    <row r="43" spans="1:32" x14ac:dyDescent="0.25">
      <c r="A43" s="2">
        <v>42</v>
      </c>
      <c r="B43">
        <f t="shared" si="4"/>
        <v>23.462483216543834</v>
      </c>
      <c r="C43" s="4">
        <v>0.08</v>
      </c>
      <c r="D43">
        <f t="shared" si="5"/>
        <v>165.64513150879947</v>
      </c>
      <c r="Q43">
        <f t="shared" si="9"/>
        <v>165.64513150879978</v>
      </c>
      <c r="R43">
        <f t="shared" si="6"/>
        <v>84.844299990109704</v>
      </c>
      <c r="S43">
        <f t="shared" si="7"/>
        <v>925.04561056743444</v>
      </c>
      <c r="T43" s="4">
        <v>0.08</v>
      </c>
      <c r="V43">
        <f>SUM($R$2:R43)</f>
        <v>2316.2583154937611</v>
      </c>
      <c r="W43">
        <f t="shared" si="8"/>
        <v>4.8839419632559382</v>
      </c>
      <c r="Z43">
        <f t="shared" si="11"/>
        <v>0.51268823351216486</v>
      </c>
      <c r="AA43" s="4">
        <v>0.3</v>
      </c>
      <c r="AB43">
        <f t="shared" si="1"/>
        <v>3083.4853685581147</v>
      </c>
      <c r="AC43">
        <f t="shared" si="10"/>
        <v>2468.6173559548802</v>
      </c>
      <c r="AD43" s="4">
        <v>0.2</v>
      </c>
      <c r="AE43">
        <f t="shared" si="2"/>
        <v>493.72347119097606</v>
      </c>
      <c r="AF43">
        <f t="shared" si="3"/>
        <v>1</v>
      </c>
    </row>
    <row r="44" spans="1:32" x14ac:dyDescent="0.25">
      <c r="A44" s="2">
        <v>43</v>
      </c>
      <c r="B44">
        <f t="shared" si="4"/>
        <v>25.339481873867342</v>
      </c>
      <c r="C44" s="4">
        <v>0.08</v>
      </c>
      <c r="D44">
        <f t="shared" si="5"/>
        <v>178.89674202950343</v>
      </c>
      <c r="Q44">
        <f t="shared" si="9"/>
        <v>178.89674202950374</v>
      </c>
      <c r="R44">
        <f t="shared" si="6"/>
        <v>86.445135838979681</v>
      </c>
      <c r="S44">
        <f t="shared" si="7"/>
        <v>999.0492594128292</v>
      </c>
      <c r="T44" s="4">
        <v>0.08</v>
      </c>
      <c r="V44">
        <f>SUM($R$2:R44)</f>
        <v>2402.7034513327408</v>
      </c>
      <c r="W44">
        <f t="shared" si="8"/>
        <v>5.0662156861905725</v>
      </c>
      <c r="Z44">
        <f t="shared" si="11"/>
        <v>0.47471132732607862</v>
      </c>
      <c r="AA44" s="4">
        <v>0.3</v>
      </c>
      <c r="AB44">
        <f t="shared" si="1"/>
        <v>3330.1641980427639</v>
      </c>
      <c r="AC44">
        <f t="shared" si="10"/>
        <v>2616.7343973121733</v>
      </c>
      <c r="AD44" s="4">
        <v>0.2</v>
      </c>
      <c r="AE44">
        <f t="shared" si="2"/>
        <v>523.34687946243469</v>
      </c>
      <c r="AF44">
        <f t="shared" si="3"/>
        <v>1</v>
      </c>
    </row>
    <row r="45" spans="1:32" x14ac:dyDescent="0.25">
      <c r="A45" s="2">
        <v>44</v>
      </c>
      <c r="B45">
        <f t="shared" si="4"/>
        <v>27.36664042377673</v>
      </c>
      <c r="C45" s="4">
        <v>0.08</v>
      </c>
      <c r="D45">
        <f t="shared" si="5"/>
        <v>193.2084813918637</v>
      </c>
      <c r="Q45">
        <f t="shared" si="9"/>
        <v>193.20848139186404</v>
      </c>
      <c r="R45">
        <f t="shared" si="6"/>
        <v>88.076176137828355</v>
      </c>
      <c r="S45">
        <f t="shared" si="7"/>
        <v>1078.9732001658556</v>
      </c>
      <c r="T45" s="4">
        <v>0.08</v>
      </c>
      <c r="V45">
        <f>SUM($R$2:R45)</f>
        <v>2490.7796274705693</v>
      </c>
      <c r="W45">
        <f t="shared" si="8"/>
        <v>5.2519285359730299</v>
      </c>
      <c r="Z45">
        <f t="shared" si="11"/>
        <v>0.43954752530192465</v>
      </c>
      <c r="AA45" s="4">
        <v>0.3</v>
      </c>
      <c r="AB45">
        <f t="shared" si="1"/>
        <v>3596.5773338861854</v>
      </c>
      <c r="AC45">
        <f t="shared" si="10"/>
        <v>2773.7384611509037</v>
      </c>
      <c r="AD45" s="4">
        <v>0.2</v>
      </c>
      <c r="AE45">
        <f t="shared" si="2"/>
        <v>554.74769223018075</v>
      </c>
      <c r="AF45">
        <f t="shared" si="3"/>
        <v>1</v>
      </c>
    </row>
    <row r="46" spans="1:32" x14ac:dyDescent="0.25">
      <c r="A46" s="2">
        <v>45</v>
      </c>
      <c r="B46">
        <f t="shared" si="4"/>
        <v>29.555971657678867</v>
      </c>
      <c r="C46" s="4">
        <v>0.08</v>
      </c>
      <c r="D46">
        <f t="shared" si="5"/>
        <v>208.66515990321278</v>
      </c>
      <c r="Q46">
        <f t="shared" si="9"/>
        <v>208.66515990321321</v>
      </c>
      <c r="R46">
        <f t="shared" si="6"/>
        <v>89.737990781938322</v>
      </c>
      <c r="S46">
        <f t="shared" si="7"/>
        <v>1165.2910561791241</v>
      </c>
      <c r="T46" s="4">
        <v>0.08</v>
      </c>
      <c r="V46">
        <f>SUM($R$2:R46)</f>
        <v>2580.5176182525074</v>
      </c>
      <c r="W46">
        <f t="shared" si="8"/>
        <v>5.441145401789119</v>
      </c>
      <c r="Z46">
        <f t="shared" si="11"/>
        <v>0.40698844935363387</v>
      </c>
      <c r="AA46" s="4">
        <v>0.3</v>
      </c>
      <c r="AB46">
        <f t="shared" si="1"/>
        <v>3884.3035205970805</v>
      </c>
      <c r="AC46">
        <f t="shared" si="10"/>
        <v>2940.1627688199583</v>
      </c>
      <c r="AD46" s="4">
        <v>0.2</v>
      </c>
      <c r="AE46">
        <f t="shared" si="2"/>
        <v>588.0325537639917</v>
      </c>
      <c r="AF46">
        <f t="shared" si="3"/>
        <v>1</v>
      </c>
    </row>
    <row r="47" spans="1:32" x14ac:dyDescent="0.25">
      <c r="A47" s="2">
        <v>46</v>
      </c>
      <c r="B47">
        <f t="shared" si="4"/>
        <v>31.920449390293179</v>
      </c>
      <c r="C47" s="4">
        <v>0.08</v>
      </c>
      <c r="D47">
        <f t="shared" si="5"/>
        <v>225.3583726954698</v>
      </c>
      <c r="Q47">
        <f t="shared" si="9"/>
        <v>225.35837269547025</v>
      </c>
      <c r="R47">
        <f t="shared" si="6"/>
        <v>91.431160419333395</v>
      </c>
      <c r="S47">
        <f t="shared" si="7"/>
        <v>1258.5143406734542</v>
      </c>
      <c r="T47" s="4">
        <v>0.08</v>
      </c>
      <c r="V47">
        <f>SUM($R$2:R47)</f>
        <v>2671.948778671841</v>
      </c>
      <c r="W47">
        <f t="shared" si="8"/>
        <v>5.6339323971489081</v>
      </c>
      <c r="Z47">
        <f t="shared" si="11"/>
        <v>0.37684115680892022</v>
      </c>
      <c r="AA47" s="4">
        <v>0.3</v>
      </c>
      <c r="AB47">
        <f t="shared" si="1"/>
        <v>4195.0478022448478</v>
      </c>
      <c r="AC47">
        <f t="shared" si="10"/>
        <v>3116.5725349491559</v>
      </c>
      <c r="AD47" s="4">
        <v>0.2</v>
      </c>
      <c r="AE47">
        <f t="shared" si="2"/>
        <v>623.31450698983122</v>
      </c>
      <c r="AF47">
        <f t="shared" si="3"/>
        <v>1</v>
      </c>
    </row>
    <row r="48" spans="1:32" x14ac:dyDescent="0.25">
      <c r="A48" s="2">
        <v>47</v>
      </c>
      <c r="B48">
        <f t="shared" si="4"/>
        <v>34.474085341516634</v>
      </c>
      <c r="C48" s="4">
        <v>0.08</v>
      </c>
      <c r="D48">
        <f t="shared" si="5"/>
        <v>243.38704251110738</v>
      </c>
      <c r="Q48">
        <f t="shared" si="9"/>
        <v>243.38704251110792</v>
      </c>
      <c r="R48">
        <f t="shared" si="6"/>
        <v>93.156276653660441</v>
      </c>
      <c r="S48">
        <f t="shared" si="7"/>
        <v>1359.1954879273305</v>
      </c>
      <c r="T48" s="4">
        <v>0.08</v>
      </c>
      <c r="V48">
        <f>SUM($R$2:R48)</f>
        <v>2765.1050553255013</v>
      </c>
      <c r="W48">
        <f t="shared" si="8"/>
        <v>5.830356882987183</v>
      </c>
      <c r="Z48">
        <f t="shared" si="11"/>
        <v>0.34892699704529651</v>
      </c>
      <c r="AA48" s="4">
        <v>0.3</v>
      </c>
      <c r="AB48">
        <f t="shared" si="1"/>
        <v>4530.6516264244356</v>
      </c>
      <c r="AC48">
        <f t="shared" si="10"/>
        <v>3303.5668870461054</v>
      </c>
      <c r="AD48" s="4">
        <v>0.2</v>
      </c>
      <c r="AE48">
        <f t="shared" si="2"/>
        <v>660.71337740922115</v>
      </c>
      <c r="AF48">
        <f t="shared" si="3"/>
        <v>1</v>
      </c>
    </row>
    <row r="49" spans="1:32" x14ac:dyDescent="0.25">
      <c r="A49" s="2">
        <v>48</v>
      </c>
      <c r="B49">
        <f t="shared" si="4"/>
        <v>37.232012168837969</v>
      </c>
      <c r="C49" s="4">
        <v>0.08</v>
      </c>
      <c r="D49">
        <f t="shared" si="5"/>
        <v>262.85800591199597</v>
      </c>
      <c r="Q49">
        <f t="shared" si="9"/>
        <v>262.8580059119966</v>
      </c>
      <c r="R49">
        <f t="shared" si="6"/>
        <v>94.913942250899282</v>
      </c>
      <c r="S49">
        <f t="shared" si="7"/>
        <v>1467.9311269615171</v>
      </c>
      <c r="T49" s="4">
        <v>0.08</v>
      </c>
      <c r="V49" s="1">
        <f>SUM($R$2:R49)</f>
        <v>2860.0189975764006</v>
      </c>
      <c r="W49">
        <f t="shared" si="8"/>
        <v>6.0304874911997652</v>
      </c>
      <c r="Z49">
        <f t="shared" si="11"/>
        <v>0.32308055281971898</v>
      </c>
      <c r="AA49" s="4">
        <v>0.3</v>
      </c>
      <c r="AB49">
        <f t="shared" si="1"/>
        <v>4893.1037565383904</v>
      </c>
      <c r="AC49">
        <f t="shared" si="10"/>
        <v>3501.7809002688718</v>
      </c>
      <c r="AD49" s="4">
        <v>0.2</v>
      </c>
      <c r="AE49">
        <f t="shared" si="2"/>
        <v>700.35618005377444</v>
      </c>
      <c r="AF49">
        <f t="shared" si="3"/>
        <v>1</v>
      </c>
    </row>
    <row r="50" spans="1:32" x14ac:dyDescent="0.25">
      <c r="A50" s="2">
        <v>49</v>
      </c>
      <c r="B50">
        <f t="shared" si="4"/>
        <v>40.210573142345005</v>
      </c>
      <c r="C50" s="4">
        <v>0.08</v>
      </c>
      <c r="D50">
        <f t="shared" si="5"/>
        <v>283.88664638495567</v>
      </c>
      <c r="Q50">
        <f t="shared" si="9"/>
        <v>283.88664638495629</v>
      </c>
      <c r="R50">
        <f t="shared" si="6"/>
        <v>96.704771349972873</v>
      </c>
      <c r="S50">
        <f t="shared" si="7"/>
        <v>1585.3656171184384</v>
      </c>
      <c r="T50" s="4">
        <v>0.08</v>
      </c>
      <c r="V50">
        <f>SUM($R$2:R50)</f>
        <v>2956.7237689263734</v>
      </c>
      <c r="W50">
        <f t="shared" si="8"/>
        <v>6.2343941486239052</v>
      </c>
      <c r="Z50">
        <f t="shared" si="11"/>
        <v>0.29914866001825829</v>
      </c>
      <c r="AA50" s="4">
        <v>0.3</v>
      </c>
      <c r="AB50">
        <f t="shared" si="1"/>
        <v>5284.5520570614617</v>
      </c>
      <c r="AC50">
        <f t="shared" si="10"/>
        <v>3711.8877542850041</v>
      </c>
      <c r="AD50" s="4">
        <v>0.2</v>
      </c>
      <c r="AE50">
        <f t="shared" si="2"/>
        <v>742.37755085700087</v>
      </c>
      <c r="AF50">
        <f t="shared" si="3"/>
        <v>1</v>
      </c>
    </row>
    <row r="51" spans="1:32" x14ac:dyDescent="0.25">
      <c r="A51" s="2">
        <v>50</v>
      </c>
      <c r="B51">
        <f t="shared" si="4"/>
        <v>43.427418993732608</v>
      </c>
      <c r="C51" s="4">
        <v>0.08</v>
      </c>
      <c r="D51">
        <f t="shared" si="5"/>
        <v>306.59757809575211</v>
      </c>
      <c r="Q51">
        <f t="shared" si="9"/>
        <v>306.59757809575279</v>
      </c>
      <c r="R51">
        <f t="shared" si="6"/>
        <v>98.529389677330869</v>
      </c>
      <c r="S51">
        <f t="shared" si="7"/>
        <v>1712.1948664879137</v>
      </c>
      <c r="T51" s="4">
        <v>0.08</v>
      </c>
      <c r="V51">
        <f>SUM($R$2:R51)</f>
        <v>3055.2531586037044</v>
      </c>
      <c r="W51">
        <f t="shared" si="8"/>
        <v>6.442148101471143</v>
      </c>
      <c r="Z51">
        <f t="shared" si="11"/>
        <v>0.27698950001690581</v>
      </c>
      <c r="AA51" s="4">
        <v>0.3</v>
      </c>
      <c r="AB51">
        <f t="shared" si="1"/>
        <v>5707.316221626379</v>
      </c>
      <c r="AC51">
        <f t="shared" si="10"/>
        <v>3934.6010195421045</v>
      </c>
      <c r="AD51" s="4">
        <v>0.2</v>
      </c>
      <c r="AE51">
        <f t="shared" si="2"/>
        <v>786.92020390842094</v>
      </c>
      <c r="AF51">
        <f t="shared" si="3"/>
        <v>1</v>
      </c>
    </row>
    <row r="52" spans="1:32" x14ac:dyDescent="0.25">
      <c r="A52" s="2">
        <v>51</v>
      </c>
      <c r="B52">
        <f t="shared" ref="B52:B101" si="12">B51+B51*C51</f>
        <v>46.901612513231214</v>
      </c>
      <c r="C52" s="4">
        <v>0.08</v>
      </c>
      <c r="D52">
        <f t="shared" ref="D52:D101" si="13">D51+D51*C51</f>
        <v>331.12538434341229</v>
      </c>
      <c r="Q52">
        <f t="shared" ref="Q52:Q101" si="14">$D$2*((1+$C$2)^A51)</f>
        <v>331.12538434341303</v>
      </c>
      <c r="R52">
        <f t="shared" si="6"/>
        <v>100.3884347655824</v>
      </c>
      <c r="S52">
        <f t="shared" si="7"/>
        <v>1849.1704558069468</v>
      </c>
      <c r="T52" s="4">
        <v>0.08</v>
      </c>
      <c r="V52">
        <f>SUM($R$2:R52)</f>
        <v>3155.641593369287</v>
      </c>
      <c r="W52">
        <f t="shared" si="8"/>
        <v>6.6538219402211594</v>
      </c>
      <c r="Z52">
        <f t="shared" si="11"/>
        <v>0.25647175927491278</v>
      </c>
      <c r="AA52" s="4">
        <v>0.3</v>
      </c>
      <c r="AB52">
        <f t="shared" si="1"/>
        <v>6163.9015193564901</v>
      </c>
      <c r="AC52">
        <f t="shared" si="10"/>
        <v>4170.6770807146313</v>
      </c>
      <c r="AD52" s="4">
        <v>0.2</v>
      </c>
      <c r="AE52">
        <f t="shared" si="2"/>
        <v>834.13541614292626</v>
      </c>
      <c r="AF52">
        <f t="shared" si="3"/>
        <v>1</v>
      </c>
    </row>
    <row r="53" spans="1:32" x14ac:dyDescent="0.25">
      <c r="A53" s="2">
        <v>52</v>
      </c>
      <c r="B53">
        <f t="shared" si="12"/>
        <v>50.653741514289713</v>
      </c>
      <c r="C53" s="4">
        <v>0.08</v>
      </c>
      <c r="D53">
        <f t="shared" si="13"/>
        <v>357.61541509088528</v>
      </c>
      <c r="Q53">
        <f t="shared" si="14"/>
        <v>357.61541509088613</v>
      </c>
      <c r="R53">
        <f t="shared" si="6"/>
        <v>102.28255617625375</v>
      </c>
      <c r="S53">
        <f t="shared" si="7"/>
        <v>1997.1040922715026</v>
      </c>
      <c r="T53" s="4">
        <v>0.08</v>
      </c>
      <c r="V53">
        <f>SUM($R$2:R53)</f>
        <v>3257.9241495455408</v>
      </c>
      <c r="W53">
        <f t="shared" si="8"/>
        <v>6.8694896249853263</v>
      </c>
      <c r="Z53">
        <f t="shared" si="11"/>
        <v>0.23747385118047479</v>
      </c>
      <c r="AA53" s="4">
        <v>0.3</v>
      </c>
      <c r="AB53">
        <f t="shared" si="1"/>
        <v>6657.0136409050092</v>
      </c>
      <c r="AC53">
        <f t="shared" si="10"/>
        <v>4420.9177055575092</v>
      </c>
      <c r="AD53" s="4">
        <v>0.2</v>
      </c>
      <c r="AE53">
        <f t="shared" si="2"/>
        <v>884.18354111150188</v>
      </c>
      <c r="AF53">
        <f t="shared" si="3"/>
        <v>1</v>
      </c>
    </row>
    <row r="54" spans="1:32" x14ac:dyDescent="0.25">
      <c r="A54" s="2">
        <v>53</v>
      </c>
      <c r="B54">
        <f t="shared" si="12"/>
        <v>54.706040835432887</v>
      </c>
      <c r="C54" s="4">
        <v>0.08</v>
      </c>
      <c r="D54">
        <f t="shared" si="13"/>
        <v>386.22464829815613</v>
      </c>
      <c r="Q54">
        <f t="shared" si="14"/>
        <v>386.22464829815704</v>
      </c>
      <c r="R54">
        <f t="shared" si="6"/>
        <v>104.21241572674911</v>
      </c>
      <c r="S54">
        <f t="shared" si="7"/>
        <v>2156.872419653223</v>
      </c>
      <c r="T54" s="4">
        <v>0.08</v>
      </c>
      <c r="V54">
        <f>SUM($R$2:R54)</f>
        <v>3362.1365652722898</v>
      </c>
      <c r="W54">
        <f t="shared" si="8"/>
        <v>7.0892265113488167</v>
      </c>
      <c r="Z54">
        <f t="shared" si="11"/>
        <v>0.21988319553747662</v>
      </c>
      <c r="AA54" s="4">
        <v>0.3</v>
      </c>
      <c r="AB54">
        <f t="shared" si="1"/>
        <v>7189.5747321774106</v>
      </c>
      <c r="AC54">
        <f t="shared" si="10"/>
        <v>4686.1727678909601</v>
      </c>
      <c r="AD54" s="4">
        <v>0.2</v>
      </c>
      <c r="AE54">
        <f t="shared" si="2"/>
        <v>937.23455357819205</v>
      </c>
      <c r="AF54">
        <f t="shared" si="3"/>
        <v>1</v>
      </c>
    </row>
    <row r="55" spans="1:32" x14ac:dyDescent="0.25">
      <c r="A55" s="2">
        <v>54</v>
      </c>
      <c r="B55">
        <f t="shared" si="12"/>
        <v>59.08252410226752</v>
      </c>
      <c r="C55" s="4">
        <v>0.08</v>
      </c>
      <c r="D55">
        <f t="shared" si="13"/>
        <v>417.12262016200862</v>
      </c>
      <c r="Q55">
        <f t="shared" si="14"/>
        <v>417.12262016200958</v>
      </c>
      <c r="R55">
        <f t="shared" si="6"/>
        <v>106.17868772159341</v>
      </c>
      <c r="S55">
        <f t="shared" si="7"/>
        <v>2329.4222132254808</v>
      </c>
      <c r="T55" s="4">
        <v>0.08</v>
      </c>
      <c r="V55">
        <f>SUM($R$2:R55)</f>
        <v>3468.3152529938834</v>
      </c>
      <c r="W55">
        <f t="shared" si="8"/>
        <v>7.3131093767002984</v>
      </c>
      <c r="Z55">
        <f t="shared" si="11"/>
        <v>0.20359555142358948</v>
      </c>
      <c r="AA55" s="4">
        <v>0.3</v>
      </c>
      <c r="AB55">
        <f t="shared" si="1"/>
        <v>7764.7407107516028</v>
      </c>
      <c r="AC55">
        <f t="shared" si="10"/>
        <v>4967.3431339644176</v>
      </c>
      <c r="AD55" s="4">
        <v>0.2</v>
      </c>
      <c r="AE55">
        <f t="shared" si="2"/>
        <v>993.46862679288358</v>
      </c>
      <c r="AF55">
        <f t="shared" si="3"/>
        <v>1</v>
      </c>
    </row>
    <row r="56" spans="1:32" x14ac:dyDescent="0.25">
      <c r="A56" s="2">
        <v>55</v>
      </c>
      <c r="B56">
        <f t="shared" si="12"/>
        <v>63.809126030448923</v>
      </c>
      <c r="C56" s="4">
        <v>0.08</v>
      </c>
      <c r="D56">
        <f t="shared" si="13"/>
        <v>450.49242977496931</v>
      </c>
      <c r="Q56">
        <f t="shared" si="14"/>
        <v>450.49242977497045</v>
      </c>
      <c r="R56">
        <f t="shared" si="6"/>
        <v>108.18205918803858</v>
      </c>
      <c r="S56">
        <f t="shared" si="7"/>
        <v>2515.7759902835196</v>
      </c>
      <c r="T56" s="4">
        <v>0.08</v>
      </c>
      <c r="V56">
        <f>SUM($R$2:R56)</f>
        <v>3576.4973121819221</v>
      </c>
      <c r="W56">
        <f t="shared" si="8"/>
        <v>7.5412164470584111</v>
      </c>
      <c r="Z56">
        <f t="shared" si="11"/>
        <v>0.18851439946628654</v>
      </c>
      <c r="AA56" s="4">
        <v>0.3</v>
      </c>
      <c r="AB56">
        <f t="shared" si="1"/>
        <v>8385.9199676117332</v>
      </c>
      <c r="AC56">
        <f t="shared" si="10"/>
        <v>5265.3837220022833</v>
      </c>
      <c r="AD56" s="4">
        <v>0.2</v>
      </c>
      <c r="AE56">
        <f t="shared" si="2"/>
        <v>1053.0767444004566</v>
      </c>
      <c r="AF56">
        <f t="shared" si="3"/>
        <v>1</v>
      </c>
    </row>
    <row r="57" spans="1:32" x14ac:dyDescent="0.25">
      <c r="A57" s="2">
        <v>56</v>
      </c>
      <c r="B57">
        <f t="shared" si="12"/>
        <v>68.913856112884844</v>
      </c>
      <c r="C57" s="4">
        <v>0.08</v>
      </c>
      <c r="D57">
        <f t="shared" si="13"/>
        <v>486.53182415696688</v>
      </c>
      <c r="Q57">
        <f t="shared" si="14"/>
        <v>486.53182415696807</v>
      </c>
      <c r="R57">
        <f t="shared" si="6"/>
        <v>110.22323011611476</v>
      </c>
      <c r="S57">
        <f t="shared" si="7"/>
        <v>2717.0380695062013</v>
      </c>
      <c r="T57" s="4">
        <v>0.08</v>
      </c>
      <c r="V57">
        <f>SUM($R$2:R57)</f>
        <v>3686.7205422980369</v>
      </c>
      <c r="W57">
        <f t="shared" si="8"/>
        <v>7.7736274244044132</v>
      </c>
      <c r="Z57">
        <f t="shared" si="11"/>
        <v>0.17455036987619121</v>
      </c>
      <c r="AA57" s="4">
        <v>0.3</v>
      </c>
      <c r="AB57">
        <f t="shared" si="1"/>
        <v>9056.7935650206709</v>
      </c>
      <c r="AC57">
        <f t="shared" si="10"/>
        <v>5581.3067453224203</v>
      </c>
      <c r="AD57" s="4">
        <v>0.2</v>
      </c>
      <c r="AE57">
        <f t="shared" si="2"/>
        <v>1116.2613490644842</v>
      </c>
      <c r="AF57">
        <f t="shared" si="3"/>
        <v>1</v>
      </c>
    </row>
    <row r="58" spans="1:32" x14ac:dyDescent="0.25">
      <c r="A58" s="2">
        <v>57</v>
      </c>
      <c r="B58">
        <f t="shared" si="12"/>
        <v>74.426964601915628</v>
      </c>
      <c r="C58" s="4">
        <v>0.08</v>
      </c>
      <c r="D58">
        <f t="shared" si="13"/>
        <v>525.45437008952422</v>
      </c>
      <c r="Q58">
        <f t="shared" si="14"/>
        <v>525.45437008952547</v>
      </c>
      <c r="R58">
        <f t="shared" si="6"/>
        <v>112.3029137032113</v>
      </c>
      <c r="S58">
        <f t="shared" si="7"/>
        <v>2934.4011150666975</v>
      </c>
      <c r="T58" s="4">
        <v>0.08</v>
      </c>
      <c r="V58">
        <f>SUM($R$2:R58)</f>
        <v>3799.0234560012482</v>
      </c>
      <c r="W58">
        <f t="shared" si="8"/>
        <v>8.0104235145305278</v>
      </c>
      <c r="Z58">
        <f t="shared" si="11"/>
        <v>0.16162071284832522</v>
      </c>
      <c r="AA58" s="4">
        <v>0.3</v>
      </c>
      <c r="AB58">
        <f t="shared" si="1"/>
        <v>9781.3370502223261</v>
      </c>
      <c r="AC58">
        <f t="shared" si="10"/>
        <v>5916.1851500417661</v>
      </c>
      <c r="AD58" s="4">
        <v>0.2</v>
      </c>
      <c r="AE58">
        <f t="shared" si="2"/>
        <v>1183.2370300083533</v>
      </c>
      <c r="AF58">
        <f t="shared" si="3"/>
        <v>1</v>
      </c>
    </row>
    <row r="59" spans="1:32" x14ac:dyDescent="0.25">
      <c r="A59" s="2">
        <v>58</v>
      </c>
      <c r="B59">
        <f t="shared" si="12"/>
        <v>80.381121770068873</v>
      </c>
      <c r="C59" s="4">
        <v>0.08</v>
      </c>
      <c r="D59">
        <f t="shared" si="13"/>
        <v>567.49071969668614</v>
      </c>
      <c r="Q59">
        <f t="shared" si="14"/>
        <v>567.49071969668762</v>
      </c>
      <c r="R59">
        <f t="shared" si="6"/>
        <v>114.42183660327188</v>
      </c>
      <c r="S59">
        <f t="shared" si="7"/>
        <v>3169.1532042720332</v>
      </c>
      <c r="T59" s="4">
        <v>0.08</v>
      </c>
      <c r="V59">
        <f>SUM($R$2:R59)</f>
        <v>3913.4452926045201</v>
      </c>
      <c r="W59">
        <f t="shared" si="8"/>
        <v>8.2516874554137392</v>
      </c>
      <c r="Z59">
        <f t="shared" si="11"/>
        <v>0.1496488081928937</v>
      </c>
      <c r="AA59" s="4">
        <v>0.3</v>
      </c>
      <c r="AB59">
        <f t="shared" si="1"/>
        <v>10563.84401424011</v>
      </c>
      <c r="AC59">
        <f t="shared" si="10"/>
        <v>6271.1562590442727</v>
      </c>
      <c r="AD59" s="4">
        <v>0.2</v>
      </c>
      <c r="AE59">
        <f t="shared" si="2"/>
        <v>1254.2312518088547</v>
      </c>
      <c r="AF59">
        <f t="shared" si="3"/>
        <v>1</v>
      </c>
    </row>
    <row r="60" spans="1:32" x14ac:dyDescent="0.25">
      <c r="A60" s="2">
        <v>59</v>
      </c>
      <c r="B60">
        <f t="shared" si="12"/>
        <v>86.811611511674386</v>
      </c>
      <c r="C60" s="4">
        <v>0.08</v>
      </c>
      <c r="D60">
        <f t="shared" si="13"/>
        <v>612.88997727242099</v>
      </c>
      <c r="Q60">
        <f t="shared" si="14"/>
        <v>612.88997727242258</v>
      </c>
      <c r="R60">
        <f t="shared" si="6"/>
        <v>116.58073918069212</v>
      </c>
      <c r="S60">
        <f t="shared" si="7"/>
        <v>3422.6854606137963</v>
      </c>
      <c r="T60" s="4">
        <v>0.08</v>
      </c>
      <c r="V60">
        <f>SUM($R$2:R60)</f>
        <v>4030.0260317852121</v>
      </c>
      <c r="W60">
        <f t="shared" si="8"/>
        <v>8.4975035461249355</v>
      </c>
      <c r="Z60">
        <f t="shared" si="11"/>
        <v>0.13856371128971637</v>
      </c>
      <c r="AA60" s="4">
        <v>0.3</v>
      </c>
      <c r="AB60">
        <f t="shared" si="1"/>
        <v>11408.951535379321</v>
      </c>
      <c r="AC60">
        <f t="shared" si="10"/>
        <v>6647.4256345869298</v>
      </c>
      <c r="AD60" s="4">
        <v>0.2</v>
      </c>
      <c r="AE60">
        <f t="shared" si="2"/>
        <v>1329.485126917386</v>
      </c>
      <c r="AF60">
        <f t="shared" si="3"/>
        <v>1</v>
      </c>
    </row>
    <row r="61" spans="1:32" x14ac:dyDescent="0.25">
      <c r="A61" s="2">
        <v>60</v>
      </c>
      <c r="B61">
        <f t="shared" si="12"/>
        <v>93.756540432608332</v>
      </c>
      <c r="C61" s="4">
        <v>0.08</v>
      </c>
      <c r="D61">
        <f t="shared" si="13"/>
        <v>661.92117545421468</v>
      </c>
      <c r="Q61">
        <f t="shared" si="14"/>
        <v>661.92117545421638</v>
      </c>
      <c r="R61">
        <f t="shared" si="6"/>
        <v>118.78037576900705</v>
      </c>
      <c r="S61">
        <f t="shared" si="7"/>
        <v>3696.5002974629001</v>
      </c>
      <c r="T61" s="4">
        <v>0.08</v>
      </c>
      <c r="V61">
        <f>SUM($R$2:R61)</f>
        <v>4148.8064075542188</v>
      </c>
      <c r="W61">
        <f t="shared" si="8"/>
        <v>8.7479576762835123</v>
      </c>
      <c r="Z61">
        <f t="shared" si="11"/>
        <v>0.1282997326756633</v>
      </c>
      <c r="AA61" s="4">
        <v>0.3</v>
      </c>
      <c r="AB61">
        <f t="shared" si="1"/>
        <v>12321.667658209668</v>
      </c>
      <c r="AC61">
        <f t="shared" si="10"/>
        <v>7046.2711726621455</v>
      </c>
      <c r="AD61" s="4">
        <v>0.2</v>
      </c>
      <c r="AE61">
        <f t="shared" si="2"/>
        <v>1409.2542345324291</v>
      </c>
      <c r="AF61">
        <f t="shared" si="3"/>
        <v>1</v>
      </c>
    </row>
    <row r="62" spans="1:32" x14ac:dyDescent="0.25">
      <c r="A62" s="2">
        <v>61</v>
      </c>
      <c r="B62">
        <f t="shared" si="12"/>
        <v>101.257063667217</v>
      </c>
      <c r="C62" s="4">
        <v>0.08</v>
      </c>
      <c r="D62">
        <f t="shared" si="13"/>
        <v>714.87486949055187</v>
      </c>
      <c r="Q62">
        <f t="shared" si="14"/>
        <v>714.87486949055381</v>
      </c>
      <c r="R62">
        <f t="shared" si="6"/>
        <v>121.02151493446003</v>
      </c>
      <c r="S62">
        <f t="shared" si="7"/>
        <v>3992.2203212599325</v>
      </c>
      <c r="T62" s="4">
        <v>0.08</v>
      </c>
      <c r="V62">
        <f>SUM($R$2:R62)</f>
        <v>4269.8279224886792</v>
      </c>
      <c r="W62">
        <f t="shared" si="8"/>
        <v>9.0031373560677252</v>
      </c>
      <c r="Z62">
        <f t="shared" si="11"/>
        <v>0.11879604877376232</v>
      </c>
      <c r="AA62" s="4">
        <v>0.3</v>
      </c>
      <c r="AB62">
        <f t="shared" si="1"/>
        <v>13307.401070866443</v>
      </c>
      <c r="AC62">
        <f t="shared" si="10"/>
        <v>7469.0474430218746</v>
      </c>
      <c r="AD62" s="4">
        <v>0.2</v>
      </c>
      <c r="AE62">
        <f t="shared" si="2"/>
        <v>1493.809488604375</v>
      </c>
      <c r="AF62">
        <f t="shared" si="3"/>
        <v>1</v>
      </c>
    </row>
    <row r="63" spans="1:32" x14ac:dyDescent="0.25">
      <c r="A63" s="2">
        <v>62</v>
      </c>
      <c r="B63">
        <f t="shared" si="12"/>
        <v>109.35762876059435</v>
      </c>
      <c r="C63" s="4">
        <v>0.08</v>
      </c>
      <c r="D63">
        <f t="shared" si="13"/>
        <v>772.06485904979604</v>
      </c>
      <c r="Q63">
        <f t="shared" si="14"/>
        <v>772.06485904979809</v>
      </c>
      <c r="R63">
        <f t="shared" si="6"/>
        <v>123.30493974454416</v>
      </c>
      <c r="S63">
        <f t="shared" si="7"/>
        <v>4311.5979469607273</v>
      </c>
      <c r="T63" s="4">
        <v>0.08</v>
      </c>
      <c r="V63">
        <f>SUM($R$2:R63)</f>
        <v>4393.132862233223</v>
      </c>
      <c r="W63">
        <f t="shared" si="8"/>
        <v>9.2631317467912595</v>
      </c>
      <c r="Z63">
        <f t="shared" si="11"/>
        <v>0.10999634145718733</v>
      </c>
      <c r="AA63" s="4">
        <v>0.3</v>
      </c>
      <c r="AB63">
        <f t="shared" si="1"/>
        <v>14371.993156535758</v>
      </c>
      <c r="AC63">
        <f t="shared" si="10"/>
        <v>7917.1902896031879</v>
      </c>
      <c r="AD63" s="4">
        <v>0.2</v>
      </c>
      <c r="AE63">
        <f t="shared" si="2"/>
        <v>1583.4380579206377</v>
      </c>
      <c r="AF63">
        <f t="shared" si="3"/>
        <v>1</v>
      </c>
    </row>
    <row r="64" spans="1:32" x14ac:dyDescent="0.25">
      <c r="A64" s="2">
        <v>63</v>
      </c>
      <c r="B64">
        <f t="shared" si="12"/>
        <v>118.1062390614419</v>
      </c>
      <c r="C64" s="4">
        <v>0.08</v>
      </c>
      <c r="D64">
        <f t="shared" si="13"/>
        <v>833.83004777377971</v>
      </c>
      <c r="Q64">
        <f t="shared" si="14"/>
        <v>833.8300477737821</v>
      </c>
      <c r="R64">
        <f t="shared" si="6"/>
        <v>125.63144804161102</v>
      </c>
      <c r="S64">
        <f t="shared" si="7"/>
        <v>4656.5257827175856</v>
      </c>
      <c r="T64" s="4">
        <v>0.08</v>
      </c>
      <c r="V64">
        <f>SUM($R$2:R64)</f>
        <v>4518.7643102748343</v>
      </c>
      <c r="W64">
        <f t="shared" si="8"/>
        <v>9.52803169205675</v>
      </c>
      <c r="Z64">
        <f t="shared" si="11"/>
        <v>0.10184846431221048</v>
      </c>
      <c r="AA64" s="4">
        <v>0.3</v>
      </c>
      <c r="AB64">
        <f t="shared" si="1"/>
        <v>15521.75260905862</v>
      </c>
      <c r="AC64">
        <f t="shared" si="10"/>
        <v>8392.2217069793787</v>
      </c>
      <c r="AD64" s="4">
        <v>0.2</v>
      </c>
      <c r="AE64">
        <f t="shared" si="2"/>
        <v>1678.4443413958759</v>
      </c>
      <c r="AF64">
        <f t="shared" si="3"/>
        <v>1</v>
      </c>
    </row>
    <row r="65" spans="1:32" x14ac:dyDescent="0.25">
      <c r="A65" s="2">
        <v>64</v>
      </c>
      <c r="B65">
        <f t="shared" si="12"/>
        <v>127.55473818635726</v>
      </c>
      <c r="C65" s="4">
        <v>0.08</v>
      </c>
      <c r="D65">
        <f t="shared" si="13"/>
        <v>900.53645159568214</v>
      </c>
      <c r="Q65">
        <f t="shared" si="14"/>
        <v>900.53645159568475</v>
      </c>
      <c r="R65">
        <f t="shared" si="6"/>
        <v>128.0018527216414</v>
      </c>
      <c r="S65">
        <f t="shared" si="7"/>
        <v>5029.0478453349924</v>
      </c>
      <c r="T65" s="4">
        <v>0.08</v>
      </c>
      <c r="V65">
        <f>SUM($R$2:R65)</f>
        <v>4646.7661629964759</v>
      </c>
      <c r="W65">
        <f t="shared" si="8"/>
        <v>9.7979297494970616</v>
      </c>
      <c r="Z65">
        <f t="shared" si="11"/>
        <v>9.4304133622417116E-2</v>
      </c>
      <c r="AA65" s="4">
        <v>0.3</v>
      </c>
      <c r="AB65">
        <f t="shared" si="1"/>
        <v>16763.49281778331</v>
      </c>
      <c r="AC65">
        <f t="shared" si="10"/>
        <v>8895.7550093981426</v>
      </c>
      <c r="AD65" s="4">
        <v>0.2</v>
      </c>
      <c r="AE65">
        <f t="shared" si="2"/>
        <v>1779.1510018796287</v>
      </c>
      <c r="AF65">
        <f t="shared" si="3"/>
        <v>1</v>
      </c>
    </row>
    <row r="66" spans="1:32" x14ac:dyDescent="0.25">
      <c r="A66" s="2">
        <v>65</v>
      </c>
      <c r="B66">
        <f t="shared" si="12"/>
        <v>137.75911724126584</v>
      </c>
      <c r="C66" s="4">
        <v>0.08</v>
      </c>
      <c r="D66">
        <f t="shared" si="13"/>
        <v>972.57936772333676</v>
      </c>
      <c r="Q66">
        <f t="shared" si="14"/>
        <v>972.5793677233396</v>
      </c>
      <c r="R66">
        <f t="shared" si="6"/>
        <v>130.41698201827617</v>
      </c>
      <c r="S66">
        <f t="shared" si="7"/>
        <v>5431.3716729617918</v>
      </c>
      <c r="T66" s="4">
        <v>0.08</v>
      </c>
      <c r="V66">
        <f>SUM($R$2:R66)</f>
        <v>4777.183145014752</v>
      </c>
      <c r="W66">
        <f t="shared" si="8"/>
        <v>10.07292022311549</v>
      </c>
      <c r="Z66">
        <f t="shared" si="11"/>
        <v>8.7318642242978806E-2</v>
      </c>
      <c r="AA66" s="4">
        <v>0.3</v>
      </c>
      <c r="AB66">
        <f t="shared" si="1"/>
        <v>18104.572243205974</v>
      </c>
      <c r="AC66">
        <f t="shared" si="10"/>
        <v>9429.5003099620317</v>
      </c>
      <c r="AD66" s="4">
        <v>0.2</v>
      </c>
      <c r="AE66">
        <f t="shared" si="2"/>
        <v>1885.9000619924063</v>
      </c>
      <c r="AF66">
        <f t="shared" si="3"/>
        <v>1</v>
      </c>
    </row>
    <row r="67" spans="1:32" x14ac:dyDescent="0.25">
      <c r="A67" s="2">
        <v>66</v>
      </c>
      <c r="B67">
        <f t="shared" si="12"/>
        <v>148.7798466205671</v>
      </c>
      <c r="C67" s="4">
        <v>0.08</v>
      </c>
      <c r="D67">
        <f t="shared" si="13"/>
        <v>1050.3857171412037</v>
      </c>
      <c r="Q67">
        <f t="shared" si="14"/>
        <v>1050.3857171412069</v>
      </c>
      <c r="R67">
        <f t="shared" si="6"/>
        <v>132.87767979220592</v>
      </c>
      <c r="S67">
        <f t="shared" si="7"/>
        <v>5865.881406798736</v>
      </c>
      <c r="T67" s="4">
        <v>0.08</v>
      </c>
      <c r="V67">
        <f>SUM($R$2:R67)</f>
        <v>4910.0608248069575</v>
      </c>
      <c r="W67">
        <f t="shared" si="8"/>
        <v>10.353099196236153</v>
      </c>
      <c r="Z67">
        <f t="shared" si="11"/>
        <v>8.0850594669424805E-2</v>
      </c>
      <c r="AA67" s="4">
        <v>0.3</v>
      </c>
      <c r="AB67">
        <f t="shared" ref="AB67:AB130" si="15">S67/AA67</f>
        <v>19552.938022662453</v>
      </c>
      <c r="AC67">
        <f t="shared" si="10"/>
        <v>9995.2703285597545</v>
      </c>
      <c r="AD67" s="4">
        <v>0.2</v>
      </c>
      <c r="AE67">
        <f t="shared" ref="AE67:AE130" si="16">AC67*AD67</f>
        <v>1999.0540657119509</v>
      </c>
      <c r="AF67">
        <f t="shared" ref="AF67:AF130" si="17">IF(AB67&gt;AE67, 1, 0)</f>
        <v>1</v>
      </c>
    </row>
    <row r="68" spans="1:32" x14ac:dyDescent="0.25">
      <c r="A68" s="2">
        <v>67</v>
      </c>
      <c r="B68">
        <f t="shared" si="12"/>
        <v>160.68223435021247</v>
      </c>
      <c r="C68" s="4">
        <v>0.08</v>
      </c>
      <c r="D68">
        <f t="shared" si="13"/>
        <v>1134.4165745125001</v>
      </c>
      <c r="Q68">
        <f t="shared" si="14"/>
        <v>1134.4165745125033</v>
      </c>
      <c r="R68">
        <f t="shared" ref="R68:R101" si="18">S68/((1+$U$2)^A67)</f>
        <v>135.38480582602116</v>
      </c>
      <c r="S68">
        <f t="shared" ref="S68:S101" si="19">S67*(1+T67)</f>
        <v>6335.1519193426357</v>
      </c>
      <c r="T68" s="4">
        <v>0.08</v>
      </c>
      <c r="V68">
        <f>SUM($R$2:R68)</f>
        <v>5045.4456306329785</v>
      </c>
      <c r="W68">
        <f t="shared" ref="W68:W101" si="20">V68/$W$2</f>
        <v>10.638564565076074</v>
      </c>
      <c r="Z68">
        <f t="shared" si="11"/>
        <v>7.4861661730948895E-2</v>
      </c>
      <c r="AA68" s="4">
        <v>0.3</v>
      </c>
      <c r="AB68">
        <f t="shared" si="15"/>
        <v>21117.173064475453</v>
      </c>
      <c r="AC68">
        <f t="shared" ref="AC68:AC131" si="21">AC67*(1+$U$2)</f>
        <v>10594.98654827334</v>
      </c>
      <c r="AD68" s="4">
        <v>0.2</v>
      </c>
      <c r="AE68">
        <f t="shared" si="16"/>
        <v>2118.9973096546682</v>
      </c>
      <c r="AF68">
        <f t="shared" si="17"/>
        <v>1</v>
      </c>
    </row>
    <row r="69" spans="1:32" x14ac:dyDescent="0.25">
      <c r="A69" s="2">
        <v>68</v>
      </c>
      <c r="B69">
        <f t="shared" si="12"/>
        <v>173.53681309822946</v>
      </c>
      <c r="C69" s="4">
        <v>0.08</v>
      </c>
      <c r="D69">
        <f t="shared" si="13"/>
        <v>1225.1699004735001</v>
      </c>
      <c r="Q69">
        <f t="shared" si="14"/>
        <v>1225.1699004735037</v>
      </c>
      <c r="R69">
        <f t="shared" si="18"/>
        <v>137.93923612462532</v>
      </c>
      <c r="S69">
        <f t="shared" si="19"/>
        <v>6841.9640728900467</v>
      </c>
      <c r="T69" s="4">
        <v>0.08</v>
      </c>
      <c r="V69">
        <f>SUM($R$2:R69)</f>
        <v>5183.384866757604</v>
      </c>
      <c r="W69">
        <f t="shared" si="20"/>
        <v>10.92941607295071</v>
      </c>
      <c r="Z69">
        <f t="shared" si="11"/>
        <v>6.93163534545823E-2</v>
      </c>
      <c r="AA69" s="4">
        <v>0.3</v>
      </c>
      <c r="AB69">
        <f t="shared" si="15"/>
        <v>22806.546909633489</v>
      </c>
      <c r="AC69">
        <f t="shared" si="21"/>
        <v>11230.685741169742</v>
      </c>
      <c r="AD69" s="4">
        <v>0.2</v>
      </c>
      <c r="AE69">
        <f t="shared" si="16"/>
        <v>2246.1371482339487</v>
      </c>
      <c r="AF69">
        <f t="shared" si="17"/>
        <v>1</v>
      </c>
    </row>
    <row r="70" spans="1:32" x14ac:dyDescent="0.25">
      <c r="A70" s="2">
        <v>69</v>
      </c>
      <c r="B70">
        <f t="shared" si="12"/>
        <v>187.41975814608782</v>
      </c>
      <c r="C70" s="4">
        <v>0.08</v>
      </c>
      <c r="D70">
        <f t="shared" si="13"/>
        <v>1323.1834925113801</v>
      </c>
      <c r="Q70">
        <f t="shared" si="14"/>
        <v>1323.1834925113842</v>
      </c>
      <c r="R70">
        <f t="shared" si="18"/>
        <v>140.54186322131633</v>
      </c>
      <c r="S70">
        <f t="shared" si="19"/>
        <v>7389.3211987212508</v>
      </c>
      <c r="T70" s="4">
        <v>0.08</v>
      </c>
      <c r="V70">
        <f>SUM($R$2:R70)</f>
        <v>5323.9267299789199</v>
      </c>
      <c r="W70">
        <f t="shared" si="20"/>
        <v>11.225755345124869</v>
      </c>
      <c r="Z70">
        <f t="shared" si="11"/>
        <v>6.4181808754242869E-2</v>
      </c>
      <c r="AA70" s="4">
        <v>0.3</v>
      </c>
      <c r="AB70">
        <f t="shared" si="15"/>
        <v>24631.07066240417</v>
      </c>
      <c r="AC70">
        <f t="shared" si="21"/>
        <v>11904.526885639927</v>
      </c>
      <c r="AD70" s="4">
        <v>0.2</v>
      </c>
      <c r="AE70">
        <f t="shared" si="16"/>
        <v>2380.9053771279855</v>
      </c>
      <c r="AF70">
        <f t="shared" si="17"/>
        <v>1</v>
      </c>
    </row>
    <row r="71" spans="1:32" x14ac:dyDescent="0.25">
      <c r="A71" s="2">
        <v>70</v>
      </c>
      <c r="B71">
        <f t="shared" si="12"/>
        <v>202.41333879777483</v>
      </c>
      <c r="C71" s="4">
        <v>0.08</v>
      </c>
      <c r="D71">
        <f t="shared" si="13"/>
        <v>1429.0381719122906</v>
      </c>
      <c r="Q71">
        <f t="shared" si="14"/>
        <v>1429.0381719122947</v>
      </c>
      <c r="R71">
        <f t="shared" si="18"/>
        <v>143.19359648964306</v>
      </c>
      <c r="S71">
        <f t="shared" si="19"/>
        <v>7980.4668946189513</v>
      </c>
      <c r="T71" s="4">
        <v>0.08</v>
      </c>
      <c r="V71">
        <f>SUM($R$2:R71)</f>
        <v>5467.1203264685628</v>
      </c>
      <c r="W71">
        <f t="shared" si="20"/>
        <v>11.52768592432118</v>
      </c>
      <c r="Z71">
        <f t="shared" si="11"/>
        <v>5.9427600698373023E-2</v>
      </c>
      <c r="AA71" s="4">
        <v>0.3</v>
      </c>
      <c r="AB71">
        <f t="shared" si="15"/>
        <v>26601.556315396505</v>
      </c>
      <c r="AC71">
        <f t="shared" si="21"/>
        <v>12618.798498778324</v>
      </c>
      <c r="AD71" s="4">
        <v>0.2</v>
      </c>
      <c r="AE71">
        <f t="shared" si="16"/>
        <v>2523.7596997556648</v>
      </c>
      <c r="AF71">
        <f t="shared" si="17"/>
        <v>1</v>
      </c>
    </row>
    <row r="72" spans="1:32" x14ac:dyDescent="0.25">
      <c r="A72" s="2">
        <v>71</v>
      </c>
      <c r="B72">
        <f t="shared" si="12"/>
        <v>218.60640590159682</v>
      </c>
      <c r="C72" s="4">
        <v>0.08</v>
      </c>
      <c r="D72">
        <f t="shared" si="13"/>
        <v>1543.3612256652739</v>
      </c>
      <c r="Q72">
        <f t="shared" si="14"/>
        <v>1543.3612256652787</v>
      </c>
      <c r="R72">
        <f t="shared" si="18"/>
        <v>145.89536246114577</v>
      </c>
      <c r="S72">
        <f t="shared" si="19"/>
        <v>8618.9042461884674</v>
      </c>
      <c r="T72" s="4">
        <v>0.08</v>
      </c>
      <c r="V72">
        <f>SUM($R$2:R72)</f>
        <v>5613.0156889297086</v>
      </c>
      <c r="W72">
        <f t="shared" si="20"/>
        <v>11.835313306898556</v>
      </c>
      <c r="Z72">
        <f t="shared" si="11"/>
        <v>5.5025556202197248E-2</v>
      </c>
      <c r="AA72" s="4">
        <v>0.3</v>
      </c>
      <c r="AB72">
        <f t="shared" si="15"/>
        <v>28729.680820628226</v>
      </c>
      <c r="AC72">
        <f t="shared" si="21"/>
        <v>13375.926408705023</v>
      </c>
      <c r="AD72" s="4">
        <v>0.2</v>
      </c>
      <c r="AE72">
        <f t="shared" si="16"/>
        <v>2675.1852817410049</v>
      </c>
      <c r="AF72">
        <f t="shared" si="17"/>
        <v>1</v>
      </c>
    </row>
    <row r="73" spans="1:32" x14ac:dyDescent="0.25">
      <c r="A73" s="2">
        <v>72</v>
      </c>
      <c r="B73">
        <f t="shared" si="12"/>
        <v>236.09491837372457</v>
      </c>
      <c r="C73" s="4">
        <v>0.08</v>
      </c>
      <c r="D73">
        <f t="shared" si="13"/>
        <v>1666.8301237184958</v>
      </c>
      <c r="Q73">
        <f t="shared" si="14"/>
        <v>1666.830123718501</v>
      </c>
      <c r="R73">
        <f t="shared" si="18"/>
        <v>148.64810514909189</v>
      </c>
      <c r="S73">
        <f t="shared" si="19"/>
        <v>9308.4165858835458</v>
      </c>
      <c r="T73" s="4">
        <v>0.08</v>
      </c>
      <c r="V73">
        <f>SUM($R$2:R73)</f>
        <v>5761.6637940788005</v>
      </c>
      <c r="W73">
        <f t="shared" si="20"/>
        <v>12.148744979713239</v>
      </c>
      <c r="Z73">
        <f t="shared" si="11"/>
        <v>5.0949589076108553E-2</v>
      </c>
      <c r="AA73" s="4">
        <v>0.3</v>
      </c>
      <c r="AB73">
        <f t="shared" si="15"/>
        <v>31028.055286278486</v>
      </c>
      <c r="AC73">
        <f t="shared" si="21"/>
        <v>14178.481993227326</v>
      </c>
      <c r="AD73" s="4">
        <v>0.2</v>
      </c>
      <c r="AE73">
        <f t="shared" si="16"/>
        <v>2835.6963986454653</v>
      </c>
      <c r="AF73">
        <f t="shared" si="17"/>
        <v>1</v>
      </c>
    </row>
    <row r="74" spans="1:32" x14ac:dyDescent="0.25">
      <c r="A74" s="2">
        <v>73</v>
      </c>
      <c r="B74">
        <f t="shared" si="12"/>
        <v>254.98251184362255</v>
      </c>
      <c r="C74" s="4">
        <v>0.08</v>
      </c>
      <c r="D74">
        <f t="shared" si="13"/>
        <v>1800.1765336159754</v>
      </c>
      <c r="Q74">
        <f t="shared" si="14"/>
        <v>1800.176533615981</v>
      </c>
      <c r="R74">
        <f t="shared" si="18"/>
        <v>151.45278637832007</v>
      </c>
      <c r="S74">
        <f t="shared" si="19"/>
        <v>10053.089912754231</v>
      </c>
      <c r="T74" s="4">
        <v>0.08</v>
      </c>
      <c r="V74">
        <f>SUM($R$2:R74)</f>
        <v>5913.116580457121</v>
      </c>
      <c r="W74">
        <f t="shared" si="20"/>
        <v>12.46809045767537</v>
      </c>
      <c r="Z74">
        <f t="shared" si="11"/>
        <v>4.7175545440841252E-2</v>
      </c>
      <c r="AA74" s="4">
        <v>0.3</v>
      </c>
      <c r="AB74">
        <f t="shared" si="15"/>
        <v>33510.29970918077</v>
      </c>
      <c r="AC74">
        <f t="shared" si="21"/>
        <v>15029.190912820966</v>
      </c>
      <c r="AD74" s="4">
        <v>0.2</v>
      </c>
      <c r="AE74">
        <f t="shared" si="16"/>
        <v>3005.8381825641936</v>
      </c>
      <c r="AF74">
        <f t="shared" si="17"/>
        <v>1</v>
      </c>
    </row>
    <row r="75" spans="1:32" x14ac:dyDescent="0.25">
      <c r="A75" s="2">
        <v>74</v>
      </c>
      <c r="B75">
        <f t="shared" si="12"/>
        <v>275.38111279111234</v>
      </c>
      <c r="C75" s="4">
        <v>0.08</v>
      </c>
      <c r="D75">
        <f t="shared" si="13"/>
        <v>1944.1906563052535</v>
      </c>
      <c r="Q75">
        <f t="shared" si="14"/>
        <v>1944.1906563052598</v>
      </c>
      <c r="R75">
        <f t="shared" si="18"/>
        <v>154.31038612130729</v>
      </c>
      <c r="S75">
        <f t="shared" si="19"/>
        <v>10857.33710577457</v>
      </c>
      <c r="T75" s="4">
        <v>0.08</v>
      </c>
      <c r="V75">
        <f>SUM($R$2:R75)</f>
        <v>6067.4269665784286</v>
      </c>
      <c r="W75">
        <f t="shared" si="20"/>
        <v>12.793461322014146</v>
      </c>
      <c r="Z75">
        <f t="shared" si="11"/>
        <v>4.3681060593371526E-2</v>
      </c>
      <c r="AA75" s="4">
        <v>0.3</v>
      </c>
      <c r="AB75">
        <f t="shared" si="15"/>
        <v>36191.123685915234</v>
      </c>
      <c r="AC75">
        <f t="shared" si="21"/>
        <v>15930.942367590225</v>
      </c>
      <c r="AD75" s="4">
        <v>0.2</v>
      </c>
      <c r="AE75">
        <f t="shared" si="16"/>
        <v>3186.1884735180452</v>
      </c>
      <c r="AF75">
        <f t="shared" si="17"/>
        <v>1</v>
      </c>
    </row>
    <row r="76" spans="1:32" x14ac:dyDescent="0.25">
      <c r="A76" s="2">
        <v>75</v>
      </c>
      <c r="B76">
        <f t="shared" si="12"/>
        <v>297.41160181440131</v>
      </c>
      <c r="C76" s="4">
        <v>0.08</v>
      </c>
      <c r="D76">
        <f t="shared" si="13"/>
        <v>2099.7259088096739</v>
      </c>
      <c r="Q76">
        <f t="shared" si="14"/>
        <v>2099.7259088096807</v>
      </c>
      <c r="R76">
        <f t="shared" si="18"/>
        <v>157.22190284057723</v>
      </c>
      <c r="S76">
        <f t="shared" si="19"/>
        <v>11725.924074236536</v>
      </c>
      <c r="T76" s="4">
        <v>0.08</v>
      </c>
      <c r="V76">
        <f>SUM($R$2:R76)</f>
        <v>6224.6488694190057</v>
      </c>
      <c r="W76">
        <f t="shared" si="20"/>
        <v>13.124971259264973</v>
      </c>
      <c r="Z76">
        <f t="shared" si="11"/>
        <v>4.0445426475344E-2</v>
      </c>
      <c r="AA76" s="4">
        <v>0.3</v>
      </c>
      <c r="AB76">
        <f t="shared" si="15"/>
        <v>39086.41358078846</v>
      </c>
      <c r="AC76">
        <f t="shared" si="21"/>
        <v>16886.79890964564</v>
      </c>
      <c r="AD76" s="4">
        <v>0.2</v>
      </c>
      <c r="AE76">
        <f t="shared" si="16"/>
        <v>3377.3597819291281</v>
      </c>
      <c r="AF76">
        <f t="shared" si="17"/>
        <v>1</v>
      </c>
    </row>
    <row r="77" spans="1:32" x14ac:dyDescent="0.25">
      <c r="A77" s="2">
        <v>76</v>
      </c>
      <c r="B77">
        <f t="shared" si="12"/>
        <v>321.20452995955338</v>
      </c>
      <c r="C77" s="4">
        <v>0.08</v>
      </c>
      <c r="D77">
        <f t="shared" si="13"/>
        <v>2267.7039815144481</v>
      </c>
      <c r="Q77">
        <f t="shared" si="14"/>
        <v>2267.7039815144553</v>
      </c>
      <c r="R77">
        <f t="shared" si="18"/>
        <v>160.18835383756922</v>
      </c>
      <c r="S77">
        <f t="shared" si="19"/>
        <v>12663.998000175459</v>
      </c>
      <c r="T77" s="4">
        <v>0.08</v>
      </c>
      <c r="V77">
        <f>SUM($R$2:R77)</f>
        <v>6384.8372232565753</v>
      </c>
      <c r="W77">
        <f t="shared" si="20"/>
        <v>13.462736100992231</v>
      </c>
      <c r="Z77">
        <f t="shared" si="11"/>
        <v>3.7449468958651852E-2</v>
      </c>
      <c r="AA77" s="4">
        <v>0.3</v>
      </c>
      <c r="AB77">
        <f t="shared" si="15"/>
        <v>42213.326667251531</v>
      </c>
      <c r="AC77">
        <f t="shared" si="21"/>
        <v>17900.006844224379</v>
      </c>
      <c r="AD77" s="4">
        <v>0.2</v>
      </c>
      <c r="AE77">
        <f t="shared" si="16"/>
        <v>3580.0013688448762</v>
      </c>
      <c r="AF77">
        <f t="shared" si="17"/>
        <v>1</v>
      </c>
    </row>
    <row r="78" spans="1:32" x14ac:dyDescent="0.25">
      <c r="A78" s="2">
        <v>77</v>
      </c>
      <c r="B78">
        <f t="shared" si="12"/>
        <v>346.90089235631763</v>
      </c>
      <c r="C78" s="4">
        <v>0.08</v>
      </c>
      <c r="D78">
        <f t="shared" si="13"/>
        <v>2449.120300035604</v>
      </c>
      <c r="Q78">
        <f t="shared" si="14"/>
        <v>2449.1203000356118</v>
      </c>
      <c r="R78">
        <f t="shared" si="18"/>
        <v>163.21077560808939</v>
      </c>
      <c r="S78">
        <f t="shared" si="19"/>
        <v>13677.117840189498</v>
      </c>
      <c r="T78" s="4">
        <v>0.08</v>
      </c>
      <c r="V78">
        <f>SUM($R$2:R78)</f>
        <v>6548.0479988646648</v>
      </c>
      <c r="W78">
        <f t="shared" si="20"/>
        <v>13.806873864261512</v>
      </c>
      <c r="Z78">
        <f t="shared" si="11"/>
        <v>3.4675434220973932E-2</v>
      </c>
      <c r="AA78" s="4">
        <v>0.3</v>
      </c>
      <c r="AB78">
        <f t="shared" si="15"/>
        <v>45590.392800631664</v>
      </c>
      <c r="AC78">
        <f t="shared" si="21"/>
        <v>18974.007254877844</v>
      </c>
      <c r="AD78" s="4">
        <v>0.2</v>
      </c>
      <c r="AE78">
        <f t="shared" si="16"/>
        <v>3794.801450975569</v>
      </c>
      <c r="AF78">
        <f t="shared" si="17"/>
        <v>1</v>
      </c>
    </row>
    <row r="79" spans="1:32" x14ac:dyDescent="0.25">
      <c r="A79" s="2">
        <v>78</v>
      </c>
      <c r="B79">
        <f t="shared" si="12"/>
        <v>374.65296374482301</v>
      </c>
      <c r="C79" s="4">
        <v>0.08</v>
      </c>
      <c r="D79">
        <f t="shared" si="13"/>
        <v>2645.0499240384524</v>
      </c>
      <c r="Q79">
        <f t="shared" si="14"/>
        <v>2645.0499240384602</v>
      </c>
      <c r="R79">
        <f t="shared" si="18"/>
        <v>166.29022420446842</v>
      </c>
      <c r="S79">
        <f t="shared" si="19"/>
        <v>14771.287267404658</v>
      </c>
      <c r="T79" s="4">
        <v>0.08</v>
      </c>
      <c r="V79">
        <f>SUM($R$2:R79)</f>
        <v>6714.3382230691332</v>
      </c>
      <c r="W79">
        <f t="shared" si="20"/>
        <v>14.157504792875498</v>
      </c>
      <c r="Z79">
        <f t="shared" ref="Z79:Z142" si="22">$W$2/S79</f>
        <v>3.2106883537938828E-2</v>
      </c>
      <c r="AA79" s="4">
        <v>0.3</v>
      </c>
      <c r="AB79">
        <f t="shared" si="15"/>
        <v>49237.624224682193</v>
      </c>
      <c r="AC79">
        <f t="shared" si="21"/>
        <v>20112.447690170517</v>
      </c>
      <c r="AD79" s="4">
        <v>0.2</v>
      </c>
      <c r="AE79">
        <f t="shared" si="16"/>
        <v>4022.4895380341036</v>
      </c>
      <c r="AF79">
        <f t="shared" si="17"/>
        <v>1</v>
      </c>
    </row>
    <row r="80" spans="1:32" x14ac:dyDescent="0.25">
      <c r="A80" s="2">
        <v>79</v>
      </c>
      <c r="B80">
        <f t="shared" si="12"/>
        <v>404.62520084440882</v>
      </c>
      <c r="C80" s="4">
        <v>0.08</v>
      </c>
      <c r="D80">
        <f t="shared" si="13"/>
        <v>2856.6539179615288</v>
      </c>
      <c r="Q80">
        <f t="shared" si="14"/>
        <v>2856.6539179615379</v>
      </c>
      <c r="R80">
        <f t="shared" si="18"/>
        <v>169.42777560455275</v>
      </c>
      <c r="S80">
        <f t="shared" si="19"/>
        <v>15952.99024879703</v>
      </c>
      <c r="T80" s="4">
        <v>0.08</v>
      </c>
      <c r="V80">
        <f>SUM($R$2:R80)</f>
        <v>6883.7659986736862</v>
      </c>
      <c r="W80">
        <f t="shared" si="20"/>
        <v>14.51475139938786</v>
      </c>
      <c r="Z80">
        <f t="shared" si="22"/>
        <v>2.9728595868461875E-2</v>
      </c>
      <c r="AA80" s="4">
        <v>0.3</v>
      </c>
      <c r="AB80">
        <f t="shared" si="15"/>
        <v>53176.634162656766</v>
      </c>
      <c r="AC80">
        <f t="shared" si="21"/>
        <v>21319.194551580749</v>
      </c>
      <c r="AD80" s="4">
        <v>0.2</v>
      </c>
      <c r="AE80">
        <f t="shared" si="16"/>
        <v>4263.8389103161498</v>
      </c>
      <c r="AF80">
        <f t="shared" si="17"/>
        <v>1</v>
      </c>
    </row>
    <row r="81" spans="1:32" x14ac:dyDescent="0.25">
      <c r="A81" s="2">
        <v>80</v>
      </c>
      <c r="B81">
        <f t="shared" si="12"/>
        <v>436.99521691196151</v>
      </c>
      <c r="C81" s="4">
        <v>0.08</v>
      </c>
      <c r="D81">
        <f t="shared" si="13"/>
        <v>3085.1862313984511</v>
      </c>
      <c r="Q81">
        <f t="shared" si="14"/>
        <v>3085.1862313984611</v>
      </c>
      <c r="R81">
        <f t="shared" si="18"/>
        <v>172.62452608765747</v>
      </c>
      <c r="S81">
        <f t="shared" si="19"/>
        <v>17229.229468700792</v>
      </c>
      <c r="T81" s="4">
        <v>0.08</v>
      </c>
      <c r="V81">
        <f>SUM($R$2:R81)</f>
        <v>7056.3905247613438</v>
      </c>
      <c r="W81">
        <f t="shared" si="20"/>
        <v>14.878738507909889</v>
      </c>
      <c r="Z81">
        <f t="shared" si="22"/>
        <v>2.752647765598322E-2</v>
      </c>
      <c r="AA81" s="4">
        <v>0.3</v>
      </c>
      <c r="AB81">
        <f t="shared" si="15"/>
        <v>57430.764895669308</v>
      </c>
      <c r="AC81">
        <f t="shared" si="21"/>
        <v>22598.346224675595</v>
      </c>
      <c r="AD81" s="4">
        <v>0.2</v>
      </c>
      <c r="AE81">
        <f t="shared" si="16"/>
        <v>4519.6692449351194</v>
      </c>
      <c r="AF81">
        <f t="shared" si="17"/>
        <v>1</v>
      </c>
    </row>
    <row r="82" spans="1:32" x14ac:dyDescent="0.25">
      <c r="A82" s="2">
        <v>81</v>
      </c>
      <c r="B82">
        <f t="shared" si="12"/>
        <v>471.95483426491842</v>
      </c>
      <c r="C82" s="4">
        <v>0.08</v>
      </c>
      <c r="D82">
        <f t="shared" si="13"/>
        <v>3332.0011299103271</v>
      </c>
      <c r="Q82">
        <f t="shared" si="14"/>
        <v>3332.001129910338</v>
      </c>
      <c r="R82">
        <f t="shared" si="18"/>
        <v>175.88159261761334</v>
      </c>
      <c r="S82">
        <f t="shared" si="19"/>
        <v>18607.567826196857</v>
      </c>
      <c r="T82" s="4">
        <v>0.08</v>
      </c>
      <c r="V82">
        <f>SUM($R$2:R82)</f>
        <v>7232.2721173789569</v>
      </c>
      <c r="W82">
        <f t="shared" si="20"/>
        <v>15.249593297724786</v>
      </c>
      <c r="Z82">
        <f t="shared" si="22"/>
        <v>2.5487479311095573E-2</v>
      </c>
      <c r="AA82" s="4">
        <v>0.3</v>
      </c>
      <c r="AB82">
        <f t="shared" si="15"/>
        <v>62025.226087322859</v>
      </c>
      <c r="AC82">
        <f t="shared" si="21"/>
        <v>23954.246998156133</v>
      </c>
      <c r="AD82" s="4">
        <v>0.2</v>
      </c>
      <c r="AE82">
        <f t="shared" si="16"/>
        <v>4790.8493996312272</v>
      </c>
      <c r="AF82">
        <f t="shared" si="17"/>
        <v>1</v>
      </c>
    </row>
    <row r="83" spans="1:32" x14ac:dyDescent="0.25">
      <c r="A83" s="2">
        <v>82</v>
      </c>
      <c r="B83">
        <f t="shared" si="12"/>
        <v>509.71122100611188</v>
      </c>
      <c r="C83" s="4">
        <v>0.08</v>
      </c>
      <c r="D83">
        <f t="shared" si="13"/>
        <v>3598.5612203031533</v>
      </c>
      <c r="Q83">
        <f t="shared" si="14"/>
        <v>3598.5612203031651</v>
      </c>
      <c r="R83">
        <f t="shared" si="18"/>
        <v>179.20011323303999</v>
      </c>
      <c r="S83">
        <f t="shared" si="19"/>
        <v>20096.173252292607</v>
      </c>
      <c r="T83" s="4">
        <v>0.08</v>
      </c>
      <c r="V83">
        <f>SUM($R$2:R83)</f>
        <v>7411.4722306119966</v>
      </c>
      <c r="W83">
        <f t="shared" si="20"/>
        <v>15.627445347724869</v>
      </c>
      <c r="Z83">
        <f t="shared" si="22"/>
        <v>2.3599517880644048E-2</v>
      </c>
      <c r="AA83" s="4">
        <v>0.3</v>
      </c>
      <c r="AB83">
        <f t="shared" si="15"/>
        <v>66987.244174308697</v>
      </c>
      <c r="AC83">
        <f t="shared" si="21"/>
        <v>25391.501818045504</v>
      </c>
      <c r="AD83" s="4">
        <v>0.2</v>
      </c>
      <c r="AE83">
        <f t="shared" si="16"/>
        <v>5078.3003636091016</v>
      </c>
      <c r="AF83">
        <f t="shared" si="17"/>
        <v>1</v>
      </c>
    </row>
    <row r="84" spans="1:32" x14ac:dyDescent="0.25">
      <c r="A84" s="2">
        <v>83</v>
      </c>
      <c r="B84">
        <f t="shared" si="12"/>
        <v>550.48811868660084</v>
      </c>
      <c r="C84" s="4">
        <v>0.08</v>
      </c>
      <c r="D84">
        <f t="shared" si="13"/>
        <v>3886.4461179274058</v>
      </c>
      <c r="Q84">
        <f t="shared" si="14"/>
        <v>3886.4461179274185</v>
      </c>
      <c r="R84">
        <f t="shared" si="18"/>
        <v>182.58124744498417</v>
      </c>
      <c r="S84">
        <f t="shared" si="19"/>
        <v>21703.867112476019</v>
      </c>
      <c r="T84" s="4">
        <v>0.08</v>
      </c>
      <c r="V84">
        <f>SUM($R$2:R84)</f>
        <v>7594.0534780569806</v>
      </c>
      <c r="W84">
        <f t="shared" si="20"/>
        <v>16.01242668168722</v>
      </c>
      <c r="Z84">
        <f t="shared" si="22"/>
        <v>2.1851405445040779E-2</v>
      </c>
      <c r="AA84" s="4">
        <v>0.3</v>
      </c>
      <c r="AB84">
        <f t="shared" si="15"/>
        <v>72346.223708253397</v>
      </c>
      <c r="AC84">
        <f t="shared" si="21"/>
        <v>26914.991927128238</v>
      </c>
      <c r="AD84" s="4">
        <v>0.2</v>
      </c>
      <c r="AE84">
        <f t="shared" si="16"/>
        <v>5382.9983854256479</v>
      </c>
      <c r="AF84">
        <f t="shared" si="17"/>
        <v>1</v>
      </c>
    </row>
    <row r="85" spans="1:32" x14ac:dyDescent="0.25">
      <c r="A85" s="2">
        <v>84</v>
      </c>
      <c r="B85">
        <f t="shared" si="12"/>
        <v>594.52716818152885</v>
      </c>
      <c r="C85" s="4">
        <v>0.08</v>
      </c>
      <c r="D85">
        <f t="shared" si="13"/>
        <v>4197.361807361598</v>
      </c>
      <c r="Q85">
        <f t="shared" si="14"/>
        <v>4197.3618073616126</v>
      </c>
      <c r="R85">
        <f t="shared" si="18"/>
        <v>186.02617664205931</v>
      </c>
      <c r="S85">
        <f t="shared" si="19"/>
        <v>23440.1764814741</v>
      </c>
      <c r="T85" s="4">
        <v>0.08</v>
      </c>
      <c r="V85">
        <f>SUM($R$2:R85)</f>
        <v>7780.0796546990396</v>
      </c>
      <c r="W85">
        <f t="shared" si="20"/>
        <v>16.404671814403574</v>
      </c>
      <c r="Z85">
        <f t="shared" si="22"/>
        <v>2.0232782819482206E-2</v>
      </c>
      <c r="AA85" s="4">
        <v>0.3</v>
      </c>
      <c r="AB85">
        <f t="shared" si="15"/>
        <v>78133.921604913674</v>
      </c>
      <c r="AC85">
        <f t="shared" si="21"/>
        <v>28529.891442755932</v>
      </c>
      <c r="AD85" s="4">
        <v>0.2</v>
      </c>
      <c r="AE85">
        <f t="shared" si="16"/>
        <v>5705.9782885511868</v>
      </c>
      <c r="AF85">
        <f t="shared" si="17"/>
        <v>1</v>
      </c>
    </row>
    <row r="86" spans="1:32" x14ac:dyDescent="0.25">
      <c r="A86" s="2">
        <v>85</v>
      </c>
      <c r="B86">
        <f t="shared" si="12"/>
        <v>642.08934163605113</v>
      </c>
      <c r="C86" s="4">
        <v>0.08</v>
      </c>
      <c r="D86">
        <f t="shared" si="13"/>
        <v>4533.1507519505258</v>
      </c>
      <c r="Q86">
        <f t="shared" si="14"/>
        <v>4533.1507519505412</v>
      </c>
      <c r="R86">
        <f t="shared" si="18"/>
        <v>189.53610450323023</v>
      </c>
      <c r="S86">
        <f t="shared" si="19"/>
        <v>25315.390599992028</v>
      </c>
      <c r="T86" s="4">
        <v>0.08</v>
      </c>
      <c r="V86">
        <f>SUM($R$2:R86)</f>
        <v>7969.6157592022701</v>
      </c>
      <c r="W86">
        <f t="shared" si="20"/>
        <v>16.804317798680618</v>
      </c>
      <c r="Z86">
        <f t="shared" si="22"/>
        <v>1.8734058166187225E-2</v>
      </c>
      <c r="AA86" s="4">
        <v>0.3</v>
      </c>
      <c r="AB86">
        <f t="shared" si="15"/>
        <v>84384.635333306767</v>
      </c>
      <c r="AC86">
        <f t="shared" si="21"/>
        <v>30241.684929321291</v>
      </c>
      <c r="AD86" s="4">
        <v>0.2</v>
      </c>
      <c r="AE86">
        <f t="shared" si="16"/>
        <v>6048.3369858642582</v>
      </c>
      <c r="AF86">
        <f t="shared" si="17"/>
        <v>1</v>
      </c>
    </row>
    <row r="87" spans="1:32" x14ac:dyDescent="0.25">
      <c r="A87" s="2">
        <v>86</v>
      </c>
      <c r="B87">
        <f t="shared" si="12"/>
        <v>693.45648896693524</v>
      </c>
      <c r="C87" s="4">
        <v>0.08</v>
      </c>
      <c r="D87">
        <f t="shared" si="13"/>
        <v>4895.8028121065681</v>
      </c>
      <c r="Q87">
        <f t="shared" si="14"/>
        <v>4895.8028121065854</v>
      </c>
      <c r="R87">
        <f t="shared" si="18"/>
        <v>193.1122574183855</v>
      </c>
      <c r="S87">
        <f t="shared" si="19"/>
        <v>27340.621847991391</v>
      </c>
      <c r="T87" s="4">
        <v>0.08</v>
      </c>
      <c r="V87">
        <f>SUM($R$2:R87)</f>
        <v>8162.7280166206556</v>
      </c>
      <c r="W87">
        <f t="shared" si="20"/>
        <v>17.211504273227039</v>
      </c>
      <c r="Z87">
        <f t="shared" si="22"/>
        <v>1.734635015387706E-2</v>
      </c>
      <c r="AA87" s="4">
        <v>0.3</v>
      </c>
      <c r="AB87">
        <f t="shared" si="15"/>
        <v>91135.406159971302</v>
      </c>
      <c r="AC87">
        <f t="shared" si="21"/>
        <v>32056.186025080569</v>
      </c>
      <c r="AD87" s="4">
        <v>0.2</v>
      </c>
      <c r="AE87">
        <f t="shared" si="16"/>
        <v>6411.2372050161139</v>
      </c>
      <c r="AF87">
        <f t="shared" si="17"/>
        <v>1</v>
      </c>
    </row>
    <row r="88" spans="1:32" x14ac:dyDescent="0.25">
      <c r="A88" s="2">
        <v>87</v>
      </c>
      <c r="B88">
        <f t="shared" si="12"/>
        <v>748.93300808429001</v>
      </c>
      <c r="C88" s="4">
        <v>0.08</v>
      </c>
      <c r="D88">
        <f t="shared" si="13"/>
        <v>5287.4670370750937</v>
      </c>
      <c r="Q88">
        <f t="shared" si="14"/>
        <v>5287.4670370751119</v>
      </c>
      <c r="R88">
        <f t="shared" si="18"/>
        <v>196.75588491684559</v>
      </c>
      <c r="S88">
        <f t="shared" si="19"/>
        <v>29527.871595830704</v>
      </c>
      <c r="T88" s="4">
        <v>0.08</v>
      </c>
      <c r="V88">
        <f>SUM($R$2:R88)</f>
        <v>8359.4839015375019</v>
      </c>
      <c r="W88">
        <f t="shared" si="20"/>
        <v>17.62637351144415</v>
      </c>
      <c r="Z88">
        <f t="shared" si="22"/>
        <v>1.6061435327663943E-2</v>
      </c>
      <c r="AA88" s="4">
        <v>0.3</v>
      </c>
      <c r="AB88">
        <f t="shared" si="15"/>
        <v>98426.238652769011</v>
      </c>
      <c r="AC88">
        <f t="shared" si="21"/>
        <v>33979.557186585407</v>
      </c>
      <c r="AD88" s="4">
        <v>0.2</v>
      </c>
      <c r="AE88">
        <f t="shared" si="16"/>
        <v>6795.9114373170814</v>
      </c>
      <c r="AF88">
        <f t="shared" si="17"/>
        <v>1</v>
      </c>
    </row>
    <row r="89" spans="1:32" x14ac:dyDescent="0.25">
      <c r="A89" s="2">
        <v>88</v>
      </c>
      <c r="B89">
        <f t="shared" si="12"/>
        <v>808.84764873103325</v>
      </c>
      <c r="C89" s="4">
        <v>0.08</v>
      </c>
      <c r="D89">
        <f t="shared" si="13"/>
        <v>5710.4644000411008</v>
      </c>
      <c r="Q89">
        <f t="shared" si="14"/>
        <v>5710.4644000411217</v>
      </c>
      <c r="R89">
        <f t="shared" si="18"/>
        <v>200.46826010395588</v>
      </c>
      <c r="S89">
        <f t="shared" si="19"/>
        <v>31890.101323497162</v>
      </c>
      <c r="T89" s="4">
        <v>0.08</v>
      </c>
      <c r="V89">
        <f>SUM($R$2:R89)</f>
        <v>8559.9521616414586</v>
      </c>
      <c r="W89">
        <f t="shared" si="20"/>
        <v>18.049070471137053</v>
      </c>
      <c r="Z89">
        <f t="shared" si="22"/>
        <v>1.4871699377466614E-2</v>
      </c>
      <c r="AA89" s="4">
        <v>0.3</v>
      </c>
      <c r="AB89">
        <f t="shared" si="15"/>
        <v>106300.33774499054</v>
      </c>
      <c r="AC89">
        <f t="shared" si="21"/>
        <v>36018.330617780535</v>
      </c>
      <c r="AD89" s="4">
        <v>0.2</v>
      </c>
      <c r="AE89">
        <f t="shared" si="16"/>
        <v>7203.6661235561078</v>
      </c>
      <c r="AF89">
        <f t="shared" si="17"/>
        <v>1</v>
      </c>
    </row>
    <row r="90" spans="1:32" x14ac:dyDescent="0.25">
      <c r="A90" s="2">
        <v>89</v>
      </c>
      <c r="B90">
        <f t="shared" si="12"/>
        <v>873.55546062951589</v>
      </c>
      <c r="C90" s="4">
        <v>0.08</v>
      </c>
      <c r="D90">
        <f t="shared" si="13"/>
        <v>6167.3015520443887</v>
      </c>
      <c r="Q90">
        <f t="shared" si="14"/>
        <v>6167.3015520444114</v>
      </c>
      <c r="R90">
        <f t="shared" si="18"/>
        <v>204.25068010591735</v>
      </c>
      <c r="S90">
        <f t="shared" si="19"/>
        <v>34441.309429376939</v>
      </c>
      <c r="T90" s="4">
        <v>0.08</v>
      </c>
      <c r="V90">
        <f>SUM($R$2:R90)</f>
        <v>8764.2028417473757</v>
      </c>
      <c r="W90">
        <f t="shared" si="20"/>
        <v>18.479742845163784</v>
      </c>
      <c r="Z90">
        <f t="shared" si="22"/>
        <v>1.377009201617279E-2</v>
      </c>
      <c r="AA90" s="4">
        <v>0.3</v>
      </c>
      <c r="AB90">
        <f t="shared" si="15"/>
        <v>114804.3647645898</v>
      </c>
      <c r="AC90">
        <f t="shared" si="21"/>
        <v>38179.430454847366</v>
      </c>
      <c r="AD90" s="4">
        <v>0.2</v>
      </c>
      <c r="AE90">
        <f t="shared" si="16"/>
        <v>7635.886090969474</v>
      </c>
      <c r="AF90">
        <f t="shared" si="17"/>
        <v>1</v>
      </c>
    </row>
    <row r="91" spans="1:32" x14ac:dyDescent="0.25">
      <c r="A91" s="2">
        <v>90</v>
      </c>
      <c r="B91">
        <f t="shared" si="12"/>
        <v>943.43989747987712</v>
      </c>
      <c r="C91" s="4">
        <v>0.08</v>
      </c>
      <c r="D91">
        <f t="shared" si="13"/>
        <v>6660.6856762079397</v>
      </c>
      <c r="Q91">
        <f t="shared" si="14"/>
        <v>6660.6856762079651</v>
      </c>
      <c r="R91">
        <f t="shared" si="18"/>
        <v>208.10446652301019</v>
      </c>
      <c r="S91">
        <f t="shared" si="19"/>
        <v>37196.614183727099</v>
      </c>
      <c r="T91" s="4">
        <v>0.08</v>
      </c>
      <c r="V91">
        <f>SUM($R$2:R91)</f>
        <v>8972.3073082703868</v>
      </c>
      <c r="W91">
        <f t="shared" si="20"/>
        <v>18.918541113040078</v>
      </c>
      <c r="Z91">
        <f t="shared" si="22"/>
        <v>1.2750085200159989E-2</v>
      </c>
      <c r="AA91" s="4">
        <v>0.3</v>
      </c>
      <c r="AB91">
        <f t="shared" si="15"/>
        <v>123988.713945757</v>
      </c>
      <c r="AC91">
        <f t="shared" si="21"/>
        <v>40470.196282138211</v>
      </c>
      <c r="AD91" s="4">
        <v>0.2</v>
      </c>
      <c r="AE91">
        <f t="shared" si="16"/>
        <v>8094.0392564276426</v>
      </c>
      <c r="AF91">
        <f t="shared" si="17"/>
        <v>1</v>
      </c>
    </row>
    <row r="92" spans="1:32" x14ac:dyDescent="0.25">
      <c r="A92" s="2">
        <v>91</v>
      </c>
      <c r="B92">
        <f t="shared" si="12"/>
        <v>1018.9150892782673</v>
      </c>
      <c r="C92" s="4">
        <v>0.08</v>
      </c>
      <c r="D92">
        <f t="shared" si="13"/>
        <v>7193.5405303045745</v>
      </c>
      <c r="Q92">
        <f t="shared" si="14"/>
        <v>7193.5405303046018</v>
      </c>
      <c r="R92">
        <f t="shared" si="18"/>
        <v>212.03096589136888</v>
      </c>
      <c r="S92">
        <f t="shared" si="19"/>
        <v>40172.343318425272</v>
      </c>
      <c r="T92" s="4">
        <v>0.08</v>
      </c>
      <c r="V92">
        <f>SUM($R$2:R92)</f>
        <v>9184.3382741617552</v>
      </c>
      <c r="W92">
        <f t="shared" si="20"/>
        <v>19.365618593517809</v>
      </c>
      <c r="Z92">
        <f t="shared" si="22"/>
        <v>1.180563444459258E-2</v>
      </c>
      <c r="AA92" s="4">
        <v>0.3</v>
      </c>
      <c r="AB92">
        <f t="shared" si="15"/>
        <v>133907.81106141757</v>
      </c>
      <c r="AC92">
        <f t="shared" si="21"/>
        <v>42898.408059066503</v>
      </c>
      <c r="AD92" s="4">
        <v>0.2</v>
      </c>
      <c r="AE92">
        <f t="shared" si="16"/>
        <v>8579.6816118133011</v>
      </c>
      <c r="AF92">
        <f t="shared" si="17"/>
        <v>1</v>
      </c>
    </row>
    <row r="93" spans="1:32" x14ac:dyDescent="0.25">
      <c r="A93" s="2">
        <v>92</v>
      </c>
      <c r="B93">
        <f t="shared" si="12"/>
        <v>1100.4282964205286</v>
      </c>
      <c r="C93" s="4">
        <v>0.08</v>
      </c>
      <c r="D93">
        <f t="shared" si="13"/>
        <v>7769.0237727289405</v>
      </c>
      <c r="Q93">
        <f t="shared" si="14"/>
        <v>7769.0237727289696</v>
      </c>
      <c r="R93">
        <f t="shared" si="18"/>
        <v>216.03155015347014</v>
      </c>
      <c r="S93">
        <f t="shared" si="19"/>
        <v>43386.130783899294</v>
      </c>
      <c r="T93" s="4">
        <v>0.08</v>
      </c>
      <c r="V93">
        <f>SUM($R$2:R93)</f>
        <v>9400.3698243152248</v>
      </c>
      <c r="W93">
        <f t="shared" si="20"/>
        <v>19.821131498155495</v>
      </c>
      <c r="Z93">
        <f t="shared" si="22"/>
        <v>1.0931143004252389E-2</v>
      </c>
      <c r="AA93" s="4">
        <v>0.3</v>
      </c>
      <c r="AB93">
        <f t="shared" si="15"/>
        <v>144620.43594633098</v>
      </c>
      <c r="AC93">
        <f t="shared" si="21"/>
        <v>45472.312542610496</v>
      </c>
      <c r="AD93" s="4">
        <v>0.2</v>
      </c>
      <c r="AE93">
        <f t="shared" si="16"/>
        <v>9094.4625085220996</v>
      </c>
      <c r="AF93">
        <f t="shared" si="17"/>
        <v>1</v>
      </c>
    </row>
    <row r="94" spans="1:32" x14ac:dyDescent="0.25">
      <c r="A94" s="2">
        <v>93</v>
      </c>
      <c r="B94">
        <f t="shared" si="12"/>
        <v>1188.4625601341709</v>
      </c>
      <c r="C94" s="4">
        <v>0.08</v>
      </c>
      <c r="D94">
        <f t="shared" si="13"/>
        <v>8390.5456745472547</v>
      </c>
      <c r="Q94">
        <f t="shared" si="14"/>
        <v>8390.5456745472875</v>
      </c>
      <c r="R94">
        <f t="shared" si="18"/>
        <v>220.1076171374979</v>
      </c>
      <c r="S94">
        <f t="shared" si="19"/>
        <v>46857.021246611243</v>
      </c>
      <c r="T94" s="4">
        <v>0.08</v>
      </c>
      <c r="V94">
        <f>SUM($R$2:R94)</f>
        <v>9620.4774414527219</v>
      </c>
      <c r="W94">
        <f t="shared" si="20"/>
        <v>20.285238985899554</v>
      </c>
      <c r="Z94">
        <f t="shared" si="22"/>
        <v>1.01214287076411E-2</v>
      </c>
      <c r="AA94" s="4">
        <v>0.3</v>
      </c>
      <c r="AB94">
        <f t="shared" si="15"/>
        <v>156190.07082203749</v>
      </c>
      <c r="AC94">
        <f t="shared" si="21"/>
        <v>48200.651295167125</v>
      </c>
      <c r="AD94" s="4">
        <v>0.2</v>
      </c>
      <c r="AE94">
        <f t="shared" si="16"/>
        <v>9640.1302590334253</v>
      </c>
      <c r="AF94">
        <f t="shared" si="17"/>
        <v>1</v>
      </c>
    </row>
    <row r="95" spans="1:32" x14ac:dyDescent="0.25">
      <c r="A95" s="2">
        <v>94</v>
      </c>
      <c r="B95">
        <f t="shared" si="12"/>
        <v>1283.5395649449044</v>
      </c>
      <c r="C95" s="4">
        <v>0.08</v>
      </c>
      <c r="D95">
        <f t="shared" si="13"/>
        <v>9061.7893285110349</v>
      </c>
      <c r="Q95">
        <f t="shared" si="14"/>
        <v>9061.7893285110713</v>
      </c>
      <c r="R95">
        <f t="shared" si="18"/>
        <v>224.26059104575256</v>
      </c>
      <c r="S95">
        <f t="shared" si="19"/>
        <v>50605.582946340146</v>
      </c>
      <c r="T95" s="4">
        <v>0.08</v>
      </c>
      <c r="V95">
        <f>SUM($R$2:R95)</f>
        <v>9844.7380324984751</v>
      </c>
      <c r="W95">
        <f t="shared" si="20"/>
        <v>20.758103218695389</v>
      </c>
      <c r="Z95">
        <f t="shared" si="22"/>
        <v>9.3716932478158325E-3</v>
      </c>
      <c r="AA95" s="4">
        <v>0.3</v>
      </c>
      <c r="AB95">
        <f t="shared" si="15"/>
        <v>168685.2764878005</v>
      </c>
      <c r="AC95">
        <f t="shared" si="21"/>
        <v>51092.690372877158</v>
      </c>
      <c r="AD95" s="4">
        <v>0.2</v>
      </c>
      <c r="AE95">
        <f t="shared" si="16"/>
        <v>10218.538074575432</v>
      </c>
      <c r="AF95">
        <f t="shared" si="17"/>
        <v>1</v>
      </c>
    </row>
    <row r="96" spans="1:32" x14ac:dyDescent="0.25">
      <c r="A96" s="2">
        <v>95</v>
      </c>
      <c r="B96">
        <f t="shared" si="12"/>
        <v>1386.2227301404969</v>
      </c>
      <c r="C96" s="4">
        <v>0.08</v>
      </c>
      <c r="D96">
        <f t="shared" si="13"/>
        <v>9786.7324747919174</v>
      </c>
      <c r="Q96">
        <f t="shared" si="14"/>
        <v>9786.7324747919592</v>
      </c>
      <c r="R96">
        <f t="shared" si="18"/>
        <v>228.49192295227621</v>
      </c>
      <c r="S96">
        <f t="shared" si="19"/>
        <v>54654.029582047362</v>
      </c>
      <c r="T96" s="4">
        <v>0.08</v>
      </c>
      <c r="V96">
        <f>SUM($R$2:R96)</f>
        <v>10073.229955450752</v>
      </c>
      <c r="W96">
        <f t="shared" si="20"/>
        <v>21.239889418147751</v>
      </c>
      <c r="Z96">
        <f t="shared" si="22"/>
        <v>8.6774937479776222E-3</v>
      </c>
      <c r="AA96" s="4">
        <v>0.3</v>
      </c>
      <c r="AB96">
        <f t="shared" si="15"/>
        <v>182180.09860682455</v>
      </c>
      <c r="AC96">
        <f t="shared" si="21"/>
        <v>54158.251795249787</v>
      </c>
      <c r="AD96" s="4">
        <v>0.2</v>
      </c>
      <c r="AE96">
        <f t="shared" si="16"/>
        <v>10831.650359049958</v>
      </c>
      <c r="AF96">
        <f t="shared" si="17"/>
        <v>1</v>
      </c>
    </row>
    <row r="97" spans="1:32" x14ac:dyDescent="0.25">
      <c r="A97" s="2">
        <v>96</v>
      </c>
      <c r="B97">
        <f t="shared" si="12"/>
        <v>1497.1205485517366</v>
      </c>
      <c r="C97" s="4">
        <v>0.08</v>
      </c>
      <c r="D97">
        <f t="shared" si="13"/>
        <v>10569.671072775271</v>
      </c>
      <c r="Q97">
        <f t="shared" si="14"/>
        <v>10569.671072775316</v>
      </c>
      <c r="R97">
        <f t="shared" si="18"/>
        <v>232.80309130986629</v>
      </c>
      <c r="S97">
        <f t="shared" si="19"/>
        <v>59026.351948611155</v>
      </c>
      <c r="T97" s="4">
        <v>0.08</v>
      </c>
      <c r="V97">
        <f>SUM($R$2:R97)</f>
        <v>10306.033046760618</v>
      </c>
      <c r="W97">
        <f t="shared" si="20"/>
        <v>21.730765923250154</v>
      </c>
      <c r="Z97">
        <f t="shared" si="22"/>
        <v>8.0347164333126123E-3</v>
      </c>
      <c r="AA97" s="4">
        <v>0.3</v>
      </c>
      <c r="AB97">
        <f t="shared" si="15"/>
        <v>196754.50649537053</v>
      </c>
      <c r="AC97">
        <f t="shared" si="21"/>
        <v>57407.746902964776</v>
      </c>
      <c r="AD97" s="4">
        <v>0.2</v>
      </c>
      <c r="AE97">
        <f t="shared" si="16"/>
        <v>11481.549380592956</v>
      </c>
      <c r="AF97">
        <f t="shared" si="17"/>
        <v>1</v>
      </c>
    </row>
    <row r="98" spans="1:32" x14ac:dyDescent="0.25">
      <c r="A98" s="2">
        <v>97</v>
      </c>
      <c r="B98">
        <f t="shared" si="12"/>
        <v>1616.8901924358756</v>
      </c>
      <c r="C98" s="4">
        <v>0.08</v>
      </c>
      <c r="D98">
        <f t="shared" si="13"/>
        <v>11415.244758597291</v>
      </c>
      <c r="Q98">
        <f t="shared" si="14"/>
        <v>11415.244758597342</v>
      </c>
      <c r="R98">
        <f t="shared" si="18"/>
        <v>237.19560246665628</v>
      </c>
      <c r="S98">
        <f t="shared" si="19"/>
        <v>63748.460104500053</v>
      </c>
      <c r="T98" s="4">
        <v>0.08</v>
      </c>
      <c r="V98">
        <f>SUM($R$2:R98)</f>
        <v>10543.228649227274</v>
      </c>
      <c r="W98">
        <f t="shared" si="20"/>
        <v>22.230904249203547</v>
      </c>
      <c r="Z98">
        <f t="shared" si="22"/>
        <v>7.4395522530672333E-3</v>
      </c>
      <c r="AA98" s="4">
        <v>0.3</v>
      </c>
      <c r="AB98">
        <f t="shared" si="15"/>
        <v>212494.86701500017</v>
      </c>
      <c r="AC98">
        <f t="shared" si="21"/>
        <v>60852.211717142665</v>
      </c>
      <c r="AD98" s="4">
        <v>0.2</v>
      </c>
      <c r="AE98">
        <f t="shared" si="16"/>
        <v>12170.442343428535</v>
      </c>
      <c r="AF98">
        <f t="shared" si="17"/>
        <v>1</v>
      </c>
    </row>
    <row r="99" spans="1:32" x14ac:dyDescent="0.25">
      <c r="A99" s="2">
        <v>98</v>
      </c>
      <c r="B99">
        <f t="shared" si="12"/>
        <v>1746.2414078307456</v>
      </c>
      <c r="C99" s="4">
        <v>0.08</v>
      </c>
      <c r="D99">
        <f t="shared" si="13"/>
        <v>12328.464339285074</v>
      </c>
      <c r="Q99">
        <f t="shared" si="14"/>
        <v>12328.464339285129</v>
      </c>
      <c r="R99">
        <f t="shared" si="18"/>
        <v>241.67099119244227</v>
      </c>
      <c r="S99">
        <f t="shared" si="19"/>
        <v>68848.336912860061</v>
      </c>
      <c r="T99" s="4">
        <v>0.08</v>
      </c>
      <c r="V99">
        <f>SUM($R$2:R99)</f>
        <v>10784.899640419717</v>
      </c>
      <c r="W99">
        <f t="shared" si="20"/>
        <v>22.740479147344743</v>
      </c>
      <c r="Z99">
        <f t="shared" si="22"/>
        <v>6.8884743083955854E-3</v>
      </c>
      <c r="AA99" s="4">
        <v>0.3</v>
      </c>
      <c r="AB99">
        <f t="shared" si="15"/>
        <v>229494.45637620022</v>
      </c>
      <c r="AC99">
        <f t="shared" si="21"/>
        <v>64503.344420171226</v>
      </c>
      <c r="AD99" s="4">
        <v>0.2</v>
      </c>
      <c r="AE99">
        <f t="shared" si="16"/>
        <v>12900.668884034247</v>
      </c>
      <c r="AF99">
        <f t="shared" si="17"/>
        <v>1</v>
      </c>
    </row>
    <row r="100" spans="1:32" x14ac:dyDescent="0.25">
      <c r="A100" s="2">
        <v>99</v>
      </c>
      <c r="B100">
        <f t="shared" si="12"/>
        <v>1885.9407204572053</v>
      </c>
      <c r="C100" s="4">
        <v>0.08</v>
      </c>
      <c r="D100">
        <f t="shared" si="13"/>
        <v>13314.74148642788</v>
      </c>
      <c r="Q100">
        <f t="shared" si="14"/>
        <v>13314.74148642794</v>
      </c>
      <c r="R100">
        <f t="shared" si="18"/>
        <v>246.23082121494116</v>
      </c>
      <c r="S100">
        <f t="shared" si="19"/>
        <v>74356.203865888863</v>
      </c>
      <c r="T100" s="4">
        <v>0.08</v>
      </c>
      <c r="V100">
        <f>SUM($R$2:R100)</f>
        <v>11031.130461634659</v>
      </c>
      <c r="W100">
        <f t="shared" si="20"/>
        <v>23.259668666205581</v>
      </c>
      <c r="Z100">
        <f t="shared" si="22"/>
        <v>6.378216952218135E-3</v>
      </c>
      <c r="AA100" s="4">
        <v>0.3</v>
      </c>
      <c r="AB100">
        <f t="shared" si="15"/>
        <v>247854.01288629623</v>
      </c>
      <c r="AC100">
        <f t="shared" si="21"/>
        <v>68373.545085381498</v>
      </c>
      <c r="AD100" s="4">
        <v>0.2</v>
      </c>
      <c r="AE100">
        <f t="shared" si="16"/>
        <v>13674.7090170763</v>
      </c>
      <c r="AF100">
        <f t="shared" si="17"/>
        <v>1</v>
      </c>
    </row>
    <row r="101" spans="1:32" x14ac:dyDescent="0.25">
      <c r="A101" s="2">
        <v>100</v>
      </c>
      <c r="B101">
        <f t="shared" si="12"/>
        <v>2036.8159780937817</v>
      </c>
      <c r="C101" s="4">
        <v>0.08</v>
      </c>
      <c r="D101">
        <f t="shared" si="13"/>
        <v>14379.92080534211</v>
      </c>
      <c r="Q101">
        <f t="shared" si="14"/>
        <v>14379.920805342177</v>
      </c>
      <c r="R101">
        <f t="shared" si="18"/>
        <v>250.87668576616642</v>
      </c>
      <c r="S101">
        <f t="shared" si="19"/>
        <v>80304.700175159975</v>
      </c>
      <c r="T101" s="4">
        <v>0.08</v>
      </c>
      <c r="V101">
        <f>SUM($R$2:R101)</f>
        <v>11282.007147400825</v>
      </c>
      <c r="W101">
        <f t="shared" si="20"/>
        <v>23.788654213724172</v>
      </c>
      <c r="Z101">
        <f t="shared" si="22"/>
        <v>5.9057564372390139E-3</v>
      </c>
      <c r="AA101" s="4">
        <v>0.3</v>
      </c>
      <c r="AB101">
        <f t="shared" si="15"/>
        <v>267682.33391719993</v>
      </c>
      <c r="AC101">
        <f t="shared" si="21"/>
        <v>72475.957790504399</v>
      </c>
      <c r="AD101" s="4">
        <v>0.2</v>
      </c>
      <c r="AE101">
        <f t="shared" si="16"/>
        <v>14495.19155810088</v>
      </c>
      <c r="AF101">
        <f t="shared" si="17"/>
        <v>1</v>
      </c>
    </row>
    <row r="102" spans="1:32" x14ac:dyDescent="0.25">
      <c r="A102" s="2">
        <v>101</v>
      </c>
      <c r="B102">
        <f t="shared" ref="B102:B165" si="23">B101+B101*C101</f>
        <v>2199.761256341284</v>
      </c>
      <c r="C102" s="4">
        <v>0.08</v>
      </c>
      <c r="D102">
        <f t="shared" ref="D102:D165" si="24">D101+D101*C101</f>
        <v>15530.314469769479</v>
      </c>
      <c r="Q102">
        <f t="shared" ref="Q102:Q165" si="25">$D$2*((1+$C$2)^A101)</f>
        <v>15530.314469769553</v>
      </c>
      <c r="R102">
        <f t="shared" ref="R102:R165" si="26">S102/((1+$U$2)^A101)</f>
        <v>255.61020813911296</v>
      </c>
      <c r="S102">
        <f t="shared" ref="S102:S165" si="27">S101*(1+T101)</f>
        <v>86729.076189172774</v>
      </c>
      <c r="T102" s="4">
        <v>0.08</v>
      </c>
      <c r="V102">
        <f>SUM($R$2:R102)</f>
        <v>11537.617355539938</v>
      </c>
      <c r="W102">
        <f t="shared" ref="W102:W165" si="28">V102/$W$2</f>
        <v>24.327620620629904</v>
      </c>
      <c r="Z102">
        <f t="shared" si="22"/>
        <v>5.468292997443531E-3</v>
      </c>
      <c r="AA102" s="4">
        <v>0.3</v>
      </c>
      <c r="AB102">
        <f t="shared" si="15"/>
        <v>289096.92063057591</v>
      </c>
      <c r="AC102">
        <f t="shared" si="21"/>
        <v>76824.515257934661</v>
      </c>
      <c r="AD102" s="4">
        <v>0.2</v>
      </c>
      <c r="AE102">
        <f t="shared" si="16"/>
        <v>15364.903051586933</v>
      </c>
      <c r="AF102">
        <f t="shared" si="17"/>
        <v>1</v>
      </c>
    </row>
    <row r="103" spans="1:32" x14ac:dyDescent="0.25">
      <c r="A103" s="2">
        <v>102</v>
      </c>
      <c r="B103">
        <f t="shared" si="23"/>
        <v>2375.7421568485865</v>
      </c>
      <c r="C103" s="4">
        <v>0.08</v>
      </c>
      <c r="D103">
        <f t="shared" si="24"/>
        <v>16772.739627351039</v>
      </c>
      <c r="Q103">
        <f t="shared" si="25"/>
        <v>16772.739627351115</v>
      </c>
      <c r="R103">
        <f t="shared" si="26"/>
        <v>260.43304225494529</v>
      </c>
      <c r="S103">
        <f t="shared" si="27"/>
        <v>93667.402284306605</v>
      </c>
      <c r="T103" s="4">
        <v>0.08</v>
      </c>
      <c r="V103">
        <f>SUM($R$2:R103)</f>
        <v>11798.050397794883</v>
      </c>
      <c r="W103">
        <f t="shared" si="28"/>
        <v>24.876756205024424</v>
      </c>
      <c r="Z103">
        <f t="shared" si="22"/>
        <v>5.0632342568921584E-3</v>
      </c>
      <c r="AA103" s="4">
        <v>0.3</v>
      </c>
      <c r="AB103">
        <f t="shared" si="15"/>
        <v>312224.67428102205</v>
      </c>
      <c r="AC103">
        <f t="shared" si="21"/>
        <v>81433.98617341074</v>
      </c>
      <c r="AD103" s="4">
        <v>0.2</v>
      </c>
      <c r="AE103">
        <f t="shared" si="16"/>
        <v>16286.797234682148</v>
      </c>
      <c r="AF103">
        <f t="shared" si="17"/>
        <v>1</v>
      </c>
    </row>
    <row r="104" spans="1:32" x14ac:dyDescent="0.25">
      <c r="A104" s="2">
        <v>103</v>
      </c>
      <c r="B104">
        <f t="shared" si="23"/>
        <v>2565.8015293964736</v>
      </c>
      <c r="C104" s="4">
        <v>0.08</v>
      </c>
      <c r="D104">
        <f t="shared" si="24"/>
        <v>18114.558797539121</v>
      </c>
      <c r="Q104">
        <f t="shared" si="25"/>
        <v>18114.558797539208</v>
      </c>
      <c r="R104">
        <f t="shared" si="26"/>
        <v>265.34687324088759</v>
      </c>
      <c r="S104">
        <f t="shared" si="27"/>
        <v>101160.79446705114</v>
      </c>
      <c r="T104" s="4">
        <v>0.08</v>
      </c>
      <c r="V104">
        <f>SUM($R$2:R104)</f>
        <v>12063.39727103577</v>
      </c>
      <c r="W104">
        <f t="shared" si="28"/>
        <v>25.436252838181105</v>
      </c>
      <c r="Z104">
        <f t="shared" si="22"/>
        <v>4.6881798674927389E-3</v>
      </c>
      <c r="AA104" s="4">
        <v>0.3</v>
      </c>
      <c r="AB104">
        <f t="shared" si="15"/>
        <v>337202.64822350378</v>
      </c>
      <c r="AC104">
        <f t="shared" si="21"/>
        <v>86320.025343815389</v>
      </c>
      <c r="AD104" s="4">
        <v>0.2</v>
      </c>
      <c r="AE104">
        <f t="shared" si="16"/>
        <v>17264.005068763079</v>
      </c>
      <c r="AF104">
        <f t="shared" si="17"/>
        <v>1</v>
      </c>
    </row>
    <row r="105" spans="1:32" x14ac:dyDescent="0.25">
      <c r="A105" s="2">
        <v>104</v>
      </c>
      <c r="B105">
        <f t="shared" si="23"/>
        <v>2771.0656517481916</v>
      </c>
      <c r="C105" s="4">
        <v>0.08</v>
      </c>
      <c r="D105">
        <f t="shared" si="24"/>
        <v>19563.723501342251</v>
      </c>
      <c r="Q105">
        <f t="shared" si="25"/>
        <v>19563.723501342345</v>
      </c>
      <c r="R105">
        <f t="shared" si="26"/>
        <v>270.35341801901751</v>
      </c>
      <c r="S105">
        <f t="shared" si="27"/>
        <v>109253.65802441523</v>
      </c>
      <c r="T105" s="4">
        <v>0.08</v>
      </c>
      <c r="V105">
        <f>SUM($R$2:R105)</f>
        <v>12333.750689054788</v>
      </c>
      <c r="W105">
        <f t="shared" si="28"/>
        <v>26.006306011586027</v>
      </c>
      <c r="Z105">
        <f t="shared" si="22"/>
        <v>4.3409072847154992E-3</v>
      </c>
      <c r="AA105" s="4">
        <v>0.3</v>
      </c>
      <c r="AB105">
        <f t="shared" si="15"/>
        <v>364178.86008138413</v>
      </c>
      <c r="AC105">
        <f t="shared" si="21"/>
        <v>91499.22686444431</v>
      </c>
      <c r="AD105" s="4">
        <v>0.2</v>
      </c>
      <c r="AE105">
        <f t="shared" si="16"/>
        <v>18299.845372888863</v>
      </c>
      <c r="AF105">
        <f t="shared" si="17"/>
        <v>1</v>
      </c>
    </row>
    <row r="106" spans="1:32" x14ac:dyDescent="0.25">
      <c r="A106" s="2">
        <v>105</v>
      </c>
      <c r="B106">
        <f t="shared" si="23"/>
        <v>2992.7509038880471</v>
      </c>
      <c r="C106" s="4">
        <v>0.08</v>
      </c>
      <c r="D106">
        <f t="shared" si="24"/>
        <v>21128.82138144963</v>
      </c>
      <c r="Q106">
        <f t="shared" si="25"/>
        <v>21128.821381449732</v>
      </c>
      <c r="R106">
        <f t="shared" si="26"/>
        <v>275.45442590616886</v>
      </c>
      <c r="S106">
        <f t="shared" si="27"/>
        <v>117993.95066636846</v>
      </c>
      <c r="T106" s="4">
        <v>0.08</v>
      </c>
      <c r="V106">
        <f>SUM($R$2:R106)</f>
        <v>12609.205114960958</v>
      </c>
      <c r="W106">
        <f t="shared" si="28"/>
        <v>26.587114905243872</v>
      </c>
      <c r="Z106">
        <f t="shared" si="22"/>
        <v>4.0193585969587947E-3</v>
      </c>
      <c r="AA106" s="4">
        <v>0.3</v>
      </c>
      <c r="AB106">
        <f t="shared" si="15"/>
        <v>393313.16888789489</v>
      </c>
      <c r="AC106">
        <f t="shared" si="21"/>
        <v>96989.180476310969</v>
      </c>
      <c r="AD106" s="4">
        <v>0.2</v>
      </c>
      <c r="AE106">
        <f t="shared" si="16"/>
        <v>19397.836095262195</v>
      </c>
      <c r="AF106">
        <f t="shared" si="17"/>
        <v>1</v>
      </c>
    </row>
    <row r="107" spans="1:32" x14ac:dyDescent="0.25">
      <c r="A107" s="2">
        <v>106</v>
      </c>
      <c r="B107">
        <f t="shared" si="23"/>
        <v>3232.170976199091</v>
      </c>
      <c r="C107" s="4">
        <v>0.08</v>
      </c>
      <c r="D107">
        <f t="shared" si="24"/>
        <v>22819.127091965602</v>
      </c>
      <c r="Q107">
        <f t="shared" si="25"/>
        <v>22819.127091965714</v>
      </c>
      <c r="R107">
        <f t="shared" si="26"/>
        <v>280.65167922515326</v>
      </c>
      <c r="S107">
        <f t="shared" si="27"/>
        <v>127433.46671967795</v>
      </c>
      <c r="T107" s="4">
        <v>0.08</v>
      </c>
      <c r="V107">
        <f>SUM($R$2:R107)</f>
        <v>12889.856794186111</v>
      </c>
      <c r="W107">
        <f t="shared" si="28"/>
        <v>27.178882457272618</v>
      </c>
      <c r="Z107">
        <f t="shared" si="22"/>
        <v>3.7216283305174023E-3</v>
      </c>
      <c r="AA107" s="4">
        <v>0.3</v>
      </c>
      <c r="AB107">
        <f t="shared" si="15"/>
        <v>424778.2223989265</v>
      </c>
      <c r="AC107">
        <f t="shared" si="21"/>
        <v>102808.53130488964</v>
      </c>
      <c r="AD107" s="4">
        <v>0.2</v>
      </c>
      <c r="AE107">
        <f t="shared" si="16"/>
        <v>20561.706260977928</v>
      </c>
      <c r="AF107">
        <f t="shared" si="17"/>
        <v>1</v>
      </c>
    </row>
    <row r="108" spans="1:32" x14ac:dyDescent="0.25">
      <c r="A108" s="2">
        <v>107</v>
      </c>
      <c r="B108">
        <f t="shared" si="23"/>
        <v>3490.7446542950183</v>
      </c>
      <c r="C108" s="4">
        <v>0.08</v>
      </c>
      <c r="D108">
        <f t="shared" si="24"/>
        <v>24644.657259322848</v>
      </c>
      <c r="Q108">
        <f t="shared" si="25"/>
        <v>24644.657259322968</v>
      </c>
      <c r="R108">
        <f t="shared" si="26"/>
        <v>285.9469939275146</v>
      </c>
      <c r="S108">
        <f t="shared" si="27"/>
        <v>137628.14405725218</v>
      </c>
      <c r="T108" s="4">
        <v>0.08</v>
      </c>
      <c r="V108">
        <f>SUM($R$2:R108)</f>
        <v>13175.803788113626</v>
      </c>
      <c r="W108">
        <f t="shared" si="28"/>
        <v>27.781815434811339</v>
      </c>
      <c r="Z108">
        <f t="shared" si="22"/>
        <v>3.4459521578864838E-3</v>
      </c>
      <c r="AA108" s="4">
        <v>0.3</v>
      </c>
      <c r="AB108">
        <f t="shared" si="15"/>
        <v>458760.48019084061</v>
      </c>
      <c r="AC108">
        <f t="shared" si="21"/>
        <v>108977.04318318302</v>
      </c>
      <c r="AD108" s="4">
        <v>0.2</v>
      </c>
      <c r="AE108">
        <f t="shared" si="16"/>
        <v>21795.408636636606</v>
      </c>
      <c r="AF108">
        <f t="shared" si="17"/>
        <v>1</v>
      </c>
    </row>
    <row r="109" spans="1:32" x14ac:dyDescent="0.25">
      <c r="A109" s="2">
        <v>108</v>
      </c>
      <c r="B109">
        <f t="shared" si="23"/>
        <v>3770.0042266386199</v>
      </c>
      <c r="C109" s="4">
        <v>0.08</v>
      </c>
      <c r="D109">
        <f t="shared" si="24"/>
        <v>26616.229840068678</v>
      </c>
      <c r="Q109">
        <f t="shared" si="25"/>
        <v>26616.229840068805</v>
      </c>
      <c r="R109">
        <f t="shared" si="26"/>
        <v>291.34222022803368</v>
      </c>
      <c r="S109">
        <f t="shared" si="27"/>
        <v>148638.39558183236</v>
      </c>
      <c r="T109" s="4">
        <v>0.08</v>
      </c>
      <c r="V109">
        <f>SUM($R$2:R109)</f>
        <v>13467.14600834166</v>
      </c>
      <c r="W109">
        <f t="shared" si="28"/>
        <v>28.396124506265888</v>
      </c>
      <c r="Z109">
        <f t="shared" si="22"/>
        <v>3.1906964424874848E-3</v>
      </c>
      <c r="AA109" s="4">
        <v>0.3</v>
      </c>
      <c r="AB109">
        <f t="shared" si="15"/>
        <v>495461.3186061079</v>
      </c>
      <c r="AC109">
        <f t="shared" si="21"/>
        <v>115515.66577417401</v>
      </c>
      <c r="AD109" s="4">
        <v>0.2</v>
      </c>
      <c r="AE109">
        <f t="shared" si="16"/>
        <v>23103.133154834803</v>
      </c>
      <c r="AF109">
        <f t="shared" si="17"/>
        <v>1</v>
      </c>
    </row>
    <row r="110" spans="1:32" x14ac:dyDescent="0.25">
      <c r="A110" s="2">
        <v>109</v>
      </c>
      <c r="B110">
        <f t="shared" si="23"/>
        <v>4071.6045647697097</v>
      </c>
      <c r="C110" s="4">
        <v>0.08</v>
      </c>
      <c r="D110">
        <f t="shared" si="24"/>
        <v>28745.528227274172</v>
      </c>
      <c r="Q110">
        <f t="shared" si="25"/>
        <v>28745.528227274317</v>
      </c>
      <c r="R110">
        <f t="shared" si="26"/>
        <v>296.83924325120415</v>
      </c>
      <c r="S110">
        <f t="shared" si="27"/>
        <v>160529.46722837896</v>
      </c>
      <c r="T110" s="4">
        <v>0.08</v>
      </c>
      <c r="V110">
        <f>SUM($R$2:R110)</f>
        <v>13763.985251592865</v>
      </c>
      <c r="W110">
        <f t="shared" si="28"/>
        <v>29.022024314917694</v>
      </c>
      <c r="Z110">
        <f t="shared" si="22"/>
        <v>2.954348557858782E-3</v>
      </c>
      <c r="AA110" s="4">
        <v>0.3</v>
      </c>
      <c r="AB110">
        <f t="shared" si="15"/>
        <v>535098.22409459658</v>
      </c>
      <c r="AC110">
        <f t="shared" si="21"/>
        <v>122446.60572062446</v>
      </c>
      <c r="AD110" s="4">
        <v>0.2</v>
      </c>
      <c r="AE110">
        <f t="shared" si="16"/>
        <v>24489.321144124893</v>
      </c>
      <c r="AF110">
        <f t="shared" si="17"/>
        <v>1</v>
      </c>
    </row>
    <row r="111" spans="1:32" x14ac:dyDescent="0.25">
      <c r="A111" s="2">
        <v>110</v>
      </c>
      <c r="B111">
        <f t="shared" si="23"/>
        <v>4397.3329299512861</v>
      </c>
      <c r="C111" s="4">
        <v>0.08</v>
      </c>
      <c r="D111">
        <f t="shared" si="24"/>
        <v>31045.170485456107</v>
      </c>
      <c r="Q111">
        <f t="shared" si="25"/>
        <v>31045.170485456259</v>
      </c>
      <c r="R111">
        <f t="shared" si="26"/>
        <v>302.43998368990606</v>
      </c>
      <c r="S111">
        <f t="shared" si="27"/>
        <v>173371.82460664929</v>
      </c>
      <c r="T111" s="4">
        <v>0.08</v>
      </c>
      <c r="V111">
        <f>SUM($R$2:R111)</f>
        <v>14066.425235282772</v>
      </c>
      <c r="W111">
        <f t="shared" si="28"/>
        <v>29.65973355392142</v>
      </c>
      <c r="Z111">
        <f t="shared" si="22"/>
        <v>2.7355079239433167E-3</v>
      </c>
      <c r="AA111" s="4">
        <v>0.3</v>
      </c>
      <c r="AB111">
        <f t="shared" si="15"/>
        <v>577906.08202216437</v>
      </c>
      <c r="AC111">
        <f t="shared" si="21"/>
        <v>129793.40206386193</v>
      </c>
      <c r="AD111" s="4">
        <v>0.2</v>
      </c>
      <c r="AE111">
        <f t="shared" si="16"/>
        <v>25958.680412772388</v>
      </c>
      <c r="AF111">
        <f t="shared" si="17"/>
        <v>1</v>
      </c>
    </row>
    <row r="112" spans="1:32" x14ac:dyDescent="0.25">
      <c r="A112" s="2">
        <v>111</v>
      </c>
      <c r="B112">
        <f t="shared" si="23"/>
        <v>4749.1195643473893</v>
      </c>
      <c r="C112" s="4">
        <v>0.08</v>
      </c>
      <c r="D112">
        <f t="shared" si="24"/>
        <v>33528.784124292593</v>
      </c>
      <c r="Q112">
        <f t="shared" si="25"/>
        <v>33528.784124292768</v>
      </c>
      <c r="R112">
        <f t="shared" si="26"/>
        <v>308.14639847650812</v>
      </c>
      <c r="S112">
        <f t="shared" si="27"/>
        <v>187241.57057518125</v>
      </c>
      <c r="T112" s="4">
        <v>0.08</v>
      </c>
      <c r="V112">
        <f>SUM($R$2:R112)</f>
        <v>14374.57163375928</v>
      </c>
      <c r="W112">
        <f t="shared" si="28"/>
        <v>30.309475042717665</v>
      </c>
      <c r="Z112">
        <f t="shared" si="22"/>
        <v>2.5328777073549223E-3</v>
      </c>
      <c r="AA112" s="4">
        <v>0.3</v>
      </c>
      <c r="AB112">
        <f t="shared" si="15"/>
        <v>624138.56858393748</v>
      </c>
      <c r="AC112">
        <f t="shared" si="21"/>
        <v>137581.00618769365</v>
      </c>
      <c r="AD112" s="4">
        <v>0.2</v>
      </c>
      <c r="AE112">
        <f t="shared" si="16"/>
        <v>27516.201237538731</v>
      </c>
      <c r="AF112">
        <f t="shared" si="17"/>
        <v>1</v>
      </c>
    </row>
    <row r="113" spans="1:32" x14ac:dyDescent="0.25">
      <c r="A113" s="2">
        <v>112</v>
      </c>
      <c r="B113">
        <f t="shared" si="23"/>
        <v>5129.0491294951808</v>
      </c>
      <c r="C113" s="4">
        <v>0.08</v>
      </c>
      <c r="D113">
        <f t="shared" si="24"/>
        <v>36211.086854236004</v>
      </c>
      <c r="Q113">
        <f t="shared" si="25"/>
        <v>36211.086854236193</v>
      </c>
      <c r="R113">
        <f t="shared" si="26"/>
        <v>313.96048146663088</v>
      </c>
      <c r="S113">
        <f t="shared" si="27"/>
        <v>202220.89622119576</v>
      </c>
      <c r="T113" s="4">
        <v>0.08</v>
      </c>
      <c r="V113">
        <f>SUM($R$2:R113)</f>
        <v>14688.532115225911</v>
      </c>
      <c r="W113">
        <f t="shared" si="28"/>
        <v>30.971475804887429</v>
      </c>
      <c r="Z113">
        <f t="shared" si="22"/>
        <v>2.3452571364397431E-3</v>
      </c>
      <c r="AA113" s="4">
        <v>0.3</v>
      </c>
      <c r="AB113">
        <f t="shared" si="15"/>
        <v>674069.65407065256</v>
      </c>
      <c r="AC113">
        <f t="shared" si="21"/>
        <v>145835.86655895528</v>
      </c>
      <c r="AD113" s="4">
        <v>0.2</v>
      </c>
      <c r="AE113">
        <f t="shared" si="16"/>
        <v>29167.173311791059</v>
      </c>
      <c r="AF113">
        <f t="shared" si="17"/>
        <v>1</v>
      </c>
    </row>
    <row r="114" spans="1:32" x14ac:dyDescent="0.25">
      <c r="A114" s="2">
        <v>113</v>
      </c>
      <c r="B114">
        <f t="shared" si="23"/>
        <v>5539.3730598547954</v>
      </c>
      <c r="C114" s="4">
        <v>0.08</v>
      </c>
      <c r="D114">
        <f t="shared" si="24"/>
        <v>39107.973802574881</v>
      </c>
      <c r="Q114">
        <f t="shared" si="25"/>
        <v>39107.973802575085</v>
      </c>
      <c r="R114">
        <f t="shared" si="26"/>
        <v>319.88426413581266</v>
      </c>
      <c r="S114">
        <f t="shared" si="27"/>
        <v>218398.56791889144</v>
      </c>
      <c r="T114" s="4">
        <v>0.08</v>
      </c>
      <c r="V114">
        <f>SUM($R$2:R114)</f>
        <v>15008.416379361724</v>
      </c>
      <c r="W114">
        <f t="shared" si="28"/>
        <v>31.645967147475488</v>
      </c>
      <c r="Z114">
        <f t="shared" si="22"/>
        <v>2.1715343855923542E-3</v>
      </c>
      <c r="AA114" s="4">
        <v>0.3</v>
      </c>
      <c r="AB114">
        <f t="shared" si="15"/>
        <v>727995.22639630479</v>
      </c>
      <c r="AC114">
        <f t="shared" si="21"/>
        <v>154586.01855249261</v>
      </c>
      <c r="AD114" s="4">
        <v>0.2</v>
      </c>
      <c r="AE114">
        <f t="shared" si="16"/>
        <v>30917.203710498521</v>
      </c>
      <c r="AF114">
        <f t="shared" si="17"/>
        <v>1</v>
      </c>
    </row>
    <row r="115" spans="1:32" x14ac:dyDescent="0.25">
      <c r="A115" s="2">
        <v>114</v>
      </c>
      <c r="B115">
        <f t="shared" si="23"/>
        <v>5982.5229046431787</v>
      </c>
      <c r="C115" s="4">
        <v>0.08</v>
      </c>
      <c r="D115">
        <f t="shared" si="24"/>
        <v>42236.611706780874</v>
      </c>
      <c r="Q115">
        <f t="shared" si="25"/>
        <v>42236.611706781092</v>
      </c>
      <c r="R115">
        <f t="shared" si="26"/>
        <v>325.91981628931853</v>
      </c>
      <c r="S115">
        <f t="shared" si="27"/>
        <v>235870.45335240278</v>
      </c>
      <c r="T115" s="4">
        <v>0.08</v>
      </c>
      <c r="V115">
        <f>SUM($R$2:R115)</f>
        <v>15334.336195651043</v>
      </c>
      <c r="W115">
        <f t="shared" si="28"/>
        <v>32.333184741810491</v>
      </c>
      <c r="Z115">
        <f t="shared" si="22"/>
        <v>2.010679986659587E-3</v>
      </c>
      <c r="AA115" s="4">
        <v>0.3</v>
      </c>
      <c r="AB115">
        <f t="shared" si="15"/>
        <v>786234.84450800926</v>
      </c>
      <c r="AC115">
        <f t="shared" si="21"/>
        <v>163861.17966564218</v>
      </c>
      <c r="AD115" s="4">
        <v>0.2</v>
      </c>
      <c r="AE115">
        <f t="shared" si="16"/>
        <v>32772.235933128439</v>
      </c>
      <c r="AF115">
        <f t="shared" si="17"/>
        <v>1</v>
      </c>
    </row>
    <row r="116" spans="1:32" x14ac:dyDescent="0.25">
      <c r="A116" s="2">
        <v>115</v>
      </c>
      <c r="B116">
        <f t="shared" si="23"/>
        <v>6461.124737014633</v>
      </c>
      <c r="C116" s="4">
        <v>0.08</v>
      </c>
      <c r="D116">
        <f t="shared" si="24"/>
        <v>45615.540643323344</v>
      </c>
      <c r="Q116">
        <f t="shared" si="25"/>
        <v>45615.540643323584</v>
      </c>
      <c r="R116">
        <f t="shared" si="26"/>
        <v>332.06924678534347</v>
      </c>
      <c r="S116">
        <f t="shared" si="27"/>
        <v>254740.08962059501</v>
      </c>
      <c r="T116" s="4">
        <v>0.08</v>
      </c>
      <c r="V116">
        <f>SUM($R$2:R116)</f>
        <v>15666.405442436388</v>
      </c>
      <c r="W116">
        <f t="shared" si="28"/>
        <v>33.033368705849931</v>
      </c>
      <c r="Z116">
        <f t="shared" si="22"/>
        <v>1.8617407283885066E-3</v>
      </c>
      <c r="AA116" s="4">
        <v>0.3</v>
      </c>
      <c r="AB116">
        <f t="shared" si="15"/>
        <v>849133.6320686501</v>
      </c>
      <c r="AC116">
        <f t="shared" si="21"/>
        <v>173692.85044558073</v>
      </c>
      <c r="AD116" s="4">
        <v>0.2</v>
      </c>
      <c r="AE116">
        <f t="shared" si="16"/>
        <v>34738.570089116147</v>
      </c>
      <c r="AF116">
        <f t="shared" si="17"/>
        <v>1</v>
      </c>
    </row>
    <row r="117" spans="1:32" x14ac:dyDescent="0.25">
      <c r="A117" s="2">
        <v>116</v>
      </c>
      <c r="B117">
        <f t="shared" si="23"/>
        <v>6978.0147159758035</v>
      </c>
      <c r="C117" s="4">
        <v>0.08</v>
      </c>
      <c r="D117">
        <f t="shared" si="24"/>
        <v>49264.783894789209</v>
      </c>
      <c r="Q117">
        <f t="shared" si="25"/>
        <v>49264.783894789478</v>
      </c>
      <c r="R117">
        <f t="shared" si="26"/>
        <v>338.33470427185938</v>
      </c>
      <c r="S117">
        <f t="shared" si="27"/>
        <v>275119.2967902426</v>
      </c>
      <c r="T117" s="4">
        <v>0.08</v>
      </c>
      <c r="V117">
        <f>SUM($R$2:R117)</f>
        <v>16004.740146708247</v>
      </c>
      <c r="W117">
        <f t="shared" si="28"/>
        <v>33.746763688078794</v>
      </c>
      <c r="Z117">
        <f t="shared" si="22"/>
        <v>1.7238340077671357E-3</v>
      </c>
      <c r="AA117" s="4">
        <v>0.3</v>
      </c>
      <c r="AB117">
        <f t="shared" si="15"/>
        <v>917064.32263414201</v>
      </c>
      <c r="AC117">
        <f t="shared" si="21"/>
        <v>184114.42147231559</v>
      </c>
      <c r="AD117" s="4">
        <v>0.2</v>
      </c>
      <c r="AE117">
        <f t="shared" si="16"/>
        <v>36822.884294463118</v>
      </c>
      <c r="AF117">
        <f t="shared" si="17"/>
        <v>1</v>
      </c>
    </row>
    <row r="118" spans="1:32" x14ac:dyDescent="0.25">
      <c r="A118" s="2">
        <v>117</v>
      </c>
      <c r="B118">
        <f t="shared" si="23"/>
        <v>7536.2558932538677</v>
      </c>
      <c r="C118" s="4">
        <v>0.08</v>
      </c>
      <c r="D118">
        <f t="shared" si="24"/>
        <v>53205.966606372349</v>
      </c>
      <c r="Q118">
        <f t="shared" si="25"/>
        <v>53205.966606372633</v>
      </c>
      <c r="R118">
        <f t="shared" si="26"/>
        <v>344.71837793736609</v>
      </c>
      <c r="S118">
        <f t="shared" si="27"/>
        <v>297128.840533462</v>
      </c>
      <c r="T118" s="4">
        <v>0.08</v>
      </c>
      <c r="V118">
        <f>SUM($R$2:R118)</f>
        <v>16349.458524645614</v>
      </c>
      <c r="W118">
        <f t="shared" si="28"/>
        <v>34.473618952991217</v>
      </c>
      <c r="Z118">
        <f t="shared" si="22"/>
        <v>1.596142599784385E-3</v>
      </c>
      <c r="AA118" s="4">
        <v>0.3</v>
      </c>
      <c r="AB118">
        <f t="shared" si="15"/>
        <v>990429.46844487335</v>
      </c>
      <c r="AC118">
        <f t="shared" si="21"/>
        <v>195161.28676065453</v>
      </c>
      <c r="AD118" s="4">
        <v>0.2</v>
      </c>
      <c r="AE118">
        <f t="shared" si="16"/>
        <v>39032.25735213091</v>
      </c>
      <c r="AF118">
        <f t="shared" si="17"/>
        <v>1</v>
      </c>
    </row>
    <row r="119" spans="1:32" x14ac:dyDescent="0.25">
      <c r="A119" s="2">
        <v>118</v>
      </c>
      <c r="B119">
        <f t="shared" si="23"/>
        <v>8139.1563647141775</v>
      </c>
      <c r="C119" s="4">
        <v>0.08</v>
      </c>
      <c r="D119">
        <f t="shared" si="24"/>
        <v>57462.44393488214</v>
      </c>
      <c r="Q119">
        <f t="shared" si="25"/>
        <v>57462.443934882445</v>
      </c>
      <c r="R119">
        <f t="shared" si="26"/>
        <v>351.22249827580691</v>
      </c>
      <c r="S119">
        <f t="shared" si="27"/>
        <v>320899.14777613897</v>
      </c>
      <c r="T119" s="4">
        <v>0.08</v>
      </c>
      <c r="V119">
        <f>SUM($R$2:R119)</f>
        <v>16700.681022921421</v>
      </c>
      <c r="W119">
        <f t="shared" si="28"/>
        <v>35.214188468185007</v>
      </c>
      <c r="Z119">
        <f t="shared" si="22"/>
        <v>1.4779098146151712E-3</v>
      </c>
      <c r="AA119" s="4">
        <v>0.3</v>
      </c>
      <c r="AB119">
        <f t="shared" si="15"/>
        <v>1069663.8259204633</v>
      </c>
      <c r="AC119">
        <f t="shared" si="21"/>
        <v>206870.96396629381</v>
      </c>
      <c r="AD119" s="4">
        <v>0.2</v>
      </c>
      <c r="AE119">
        <f t="shared" si="16"/>
        <v>41374.192793258764</v>
      </c>
      <c r="AF119">
        <f t="shared" si="17"/>
        <v>1</v>
      </c>
    </row>
    <row r="120" spans="1:32" x14ac:dyDescent="0.25">
      <c r="A120" s="2">
        <v>119</v>
      </c>
      <c r="B120">
        <f t="shared" si="23"/>
        <v>8790.2888738913116</v>
      </c>
      <c r="C120" s="4">
        <v>0.08</v>
      </c>
      <c r="D120">
        <f t="shared" si="24"/>
        <v>62059.439449672711</v>
      </c>
      <c r="Q120">
        <f t="shared" si="25"/>
        <v>62059.439449673038</v>
      </c>
      <c r="R120">
        <f t="shared" si="26"/>
        <v>357.84933786591654</v>
      </c>
      <c r="S120">
        <f t="shared" si="27"/>
        <v>346571.07959823014</v>
      </c>
      <c r="T120" s="4">
        <v>0.08</v>
      </c>
      <c r="V120">
        <f>SUM($R$2:R120)</f>
        <v>17058.530360787336</v>
      </c>
      <c r="W120">
        <f t="shared" si="28"/>
        <v>35.968730993099427</v>
      </c>
      <c r="Z120">
        <f t="shared" si="22"/>
        <v>1.3684350135325658E-3</v>
      </c>
      <c r="AA120" s="4">
        <v>0.3</v>
      </c>
      <c r="AB120">
        <f t="shared" si="15"/>
        <v>1155236.9319941006</v>
      </c>
      <c r="AC120">
        <f t="shared" si="21"/>
        <v>219283.22180427145</v>
      </c>
      <c r="AD120" s="4">
        <v>0.2</v>
      </c>
      <c r="AE120">
        <f t="shared" si="16"/>
        <v>43856.64436085429</v>
      </c>
      <c r="AF120">
        <f t="shared" si="17"/>
        <v>1</v>
      </c>
    </row>
    <row r="121" spans="1:32" x14ac:dyDescent="0.25">
      <c r="A121" s="2">
        <v>120</v>
      </c>
      <c r="B121">
        <f t="shared" si="23"/>
        <v>9493.5119838026167</v>
      </c>
      <c r="C121" s="4">
        <v>0.08</v>
      </c>
      <c r="D121">
        <f t="shared" si="24"/>
        <v>67024.194605646524</v>
      </c>
      <c r="Q121">
        <f t="shared" si="25"/>
        <v>67024.194605646888</v>
      </c>
      <c r="R121">
        <f t="shared" si="26"/>
        <v>364.60121216527341</v>
      </c>
      <c r="S121">
        <f t="shared" si="27"/>
        <v>374296.76596608857</v>
      </c>
      <c r="T121" s="4">
        <v>0.08</v>
      </c>
      <c r="V121">
        <f>SUM($R$2:R121)</f>
        <v>17423.13157295261</v>
      </c>
      <c r="W121">
        <f t="shared" si="28"/>
        <v>36.737510169427338</v>
      </c>
      <c r="Z121">
        <f t="shared" si="22"/>
        <v>1.2670694569745979E-3</v>
      </c>
      <c r="AA121" s="4">
        <v>0.3</v>
      </c>
      <c r="AB121">
        <f t="shared" si="15"/>
        <v>1247655.8865536286</v>
      </c>
      <c r="AC121">
        <f t="shared" si="21"/>
        <v>232440.21511252775</v>
      </c>
      <c r="AD121" s="4">
        <v>0.2</v>
      </c>
      <c r="AE121">
        <f t="shared" si="16"/>
        <v>46488.043022505553</v>
      </c>
      <c r="AF121">
        <f t="shared" si="17"/>
        <v>1</v>
      </c>
    </row>
    <row r="122" spans="1:32" x14ac:dyDescent="0.25">
      <c r="A122" s="2">
        <v>121</v>
      </c>
      <c r="B122">
        <f t="shared" si="23"/>
        <v>10252.992942506826</v>
      </c>
      <c r="C122" s="4">
        <v>0.08</v>
      </c>
      <c r="D122">
        <f t="shared" si="24"/>
        <v>72386.130174098245</v>
      </c>
      <c r="Q122">
        <f t="shared" si="25"/>
        <v>72386.130174098653</v>
      </c>
      <c r="R122">
        <f t="shared" si="26"/>
        <v>371.4804803193353</v>
      </c>
      <c r="S122">
        <f t="shared" si="27"/>
        <v>404240.5072433757</v>
      </c>
      <c r="T122" s="4">
        <v>0.08</v>
      </c>
      <c r="V122">
        <f>SUM($R$2:R122)</f>
        <v>17794.612053271947</v>
      </c>
      <c r="W122">
        <f t="shared" si="28"/>
        <v>37.520794613233136</v>
      </c>
      <c r="Z122">
        <f t="shared" si="22"/>
        <v>1.1732124601616645E-3</v>
      </c>
      <c r="AA122" s="4">
        <v>0.3</v>
      </c>
      <c r="AB122">
        <f t="shared" si="15"/>
        <v>1347468.357477919</v>
      </c>
      <c r="AC122">
        <f t="shared" si="21"/>
        <v>246386.62801927942</v>
      </c>
      <c r="AD122" s="4">
        <v>0.2</v>
      </c>
      <c r="AE122">
        <f t="shared" si="16"/>
        <v>49277.32560385589</v>
      </c>
      <c r="AF122">
        <f t="shared" si="17"/>
        <v>1</v>
      </c>
    </row>
    <row r="123" spans="1:32" x14ac:dyDescent="0.25">
      <c r="A123" s="2">
        <v>122</v>
      </c>
      <c r="B123">
        <f t="shared" si="23"/>
        <v>11073.232377907372</v>
      </c>
      <c r="C123" s="4">
        <v>0.08</v>
      </c>
      <c r="D123">
        <f t="shared" si="24"/>
        <v>78177.020588026106</v>
      </c>
      <c r="Q123">
        <f t="shared" si="25"/>
        <v>78177.020588026542</v>
      </c>
      <c r="R123">
        <f t="shared" si="26"/>
        <v>378.48954598573783</v>
      </c>
      <c r="S123">
        <f t="shared" si="27"/>
        <v>436579.74782284576</v>
      </c>
      <c r="T123" s="4">
        <v>0.08</v>
      </c>
      <c r="V123">
        <f>SUM($R$2:R123)</f>
        <v>18173.101599257683</v>
      </c>
      <c r="W123">
        <f t="shared" si="28"/>
        <v>38.318858008808846</v>
      </c>
      <c r="Z123">
        <f t="shared" si="22"/>
        <v>1.0863078334830227E-3</v>
      </c>
      <c r="AA123" s="4">
        <v>0.3</v>
      </c>
      <c r="AB123">
        <f t="shared" si="15"/>
        <v>1455265.8260761525</v>
      </c>
      <c r="AC123">
        <f t="shared" si="21"/>
        <v>261169.82570043619</v>
      </c>
      <c r="AD123" s="4">
        <v>0.2</v>
      </c>
      <c r="AE123">
        <f t="shared" si="16"/>
        <v>52233.965140087239</v>
      </c>
      <c r="AF123">
        <f t="shared" si="17"/>
        <v>1</v>
      </c>
    </row>
    <row r="124" spans="1:32" x14ac:dyDescent="0.25">
      <c r="A124" s="2">
        <v>123</v>
      </c>
      <c r="B124">
        <f t="shared" si="23"/>
        <v>11959.090968139963</v>
      </c>
      <c r="C124" s="4">
        <v>0.08</v>
      </c>
      <c r="D124">
        <f t="shared" si="24"/>
        <v>84431.18223506819</v>
      </c>
      <c r="Q124">
        <f t="shared" si="25"/>
        <v>84431.182235068671</v>
      </c>
      <c r="R124">
        <f t="shared" si="26"/>
        <v>385.63085817414793</v>
      </c>
      <c r="S124">
        <f t="shared" si="27"/>
        <v>471506.12764867343</v>
      </c>
      <c r="T124" s="4">
        <v>0.08</v>
      </c>
      <c r="V124">
        <f>SUM($R$2:R124)</f>
        <v>18558.73245743183</v>
      </c>
      <c r="W124">
        <f t="shared" si="28"/>
        <v>39.131979204301082</v>
      </c>
      <c r="Z124">
        <f t="shared" si="22"/>
        <v>1.0058405865583544E-3</v>
      </c>
      <c r="AA124" s="4">
        <v>0.3</v>
      </c>
      <c r="AB124">
        <f t="shared" si="15"/>
        <v>1571687.0921622447</v>
      </c>
      <c r="AC124">
        <f t="shared" si="21"/>
        <v>276840.0152424624</v>
      </c>
      <c r="AD124" s="4">
        <v>0.2</v>
      </c>
      <c r="AE124">
        <f t="shared" si="16"/>
        <v>55368.003048492479</v>
      </c>
      <c r="AF124">
        <f t="shared" si="17"/>
        <v>1</v>
      </c>
    </row>
    <row r="125" spans="1:32" x14ac:dyDescent="0.25">
      <c r="A125" s="2">
        <v>124</v>
      </c>
      <c r="B125">
        <f t="shared" si="23"/>
        <v>12915.818245591159</v>
      </c>
      <c r="C125" s="4">
        <v>0.08</v>
      </c>
      <c r="D125">
        <f t="shared" si="24"/>
        <v>91185.676813873652</v>
      </c>
      <c r="Q125">
        <f t="shared" si="25"/>
        <v>91185.676813874161</v>
      </c>
      <c r="R125">
        <f t="shared" si="26"/>
        <v>392.90691210196206</v>
      </c>
      <c r="S125">
        <f t="shared" si="27"/>
        <v>509226.61786056735</v>
      </c>
      <c r="T125" s="4">
        <v>0.08</v>
      </c>
      <c r="V125">
        <f>SUM($R$2:R125)</f>
        <v>18951.639369533794</v>
      </c>
      <c r="W125">
        <f t="shared" si="28"/>
        <v>39.96044230914223</v>
      </c>
      <c r="Z125">
        <f t="shared" si="22"/>
        <v>9.3133387644292063E-4</v>
      </c>
      <c r="AA125" s="4">
        <v>0.3</v>
      </c>
      <c r="AB125">
        <f t="shared" si="15"/>
        <v>1697422.0595352245</v>
      </c>
      <c r="AC125">
        <f t="shared" si="21"/>
        <v>293450.41615701013</v>
      </c>
      <c r="AD125" s="4">
        <v>0.2</v>
      </c>
      <c r="AE125">
        <f t="shared" si="16"/>
        <v>58690.08323140203</v>
      </c>
      <c r="AF125">
        <f t="shared" si="17"/>
        <v>1</v>
      </c>
    </row>
    <row r="126" spans="1:32" x14ac:dyDescent="0.25">
      <c r="A126" s="2">
        <v>125</v>
      </c>
      <c r="B126">
        <f t="shared" si="23"/>
        <v>13949.083705238452</v>
      </c>
      <c r="C126" s="4">
        <v>0.08</v>
      </c>
      <c r="D126">
        <f t="shared" si="24"/>
        <v>98480.530958983538</v>
      </c>
      <c r="Q126">
        <f t="shared" si="25"/>
        <v>98480.530958984091</v>
      </c>
      <c r="R126">
        <f t="shared" si="26"/>
        <v>400.32025006615009</v>
      </c>
      <c r="S126">
        <f t="shared" si="27"/>
        <v>549964.74728941277</v>
      </c>
      <c r="T126" s="4">
        <v>0.08</v>
      </c>
      <c r="V126">
        <f>SUM($R$2:R126)</f>
        <v>19351.959619599944</v>
      </c>
      <c r="W126">
        <f t="shared" si="28"/>
        <v>40.804536793320004</v>
      </c>
      <c r="Z126">
        <f t="shared" si="22"/>
        <v>8.623461818915931E-4</v>
      </c>
      <c r="AA126" s="4">
        <v>0.3</v>
      </c>
      <c r="AB126">
        <f t="shared" si="15"/>
        <v>1833215.8242980426</v>
      </c>
      <c r="AC126">
        <f t="shared" si="21"/>
        <v>311057.44112643076</v>
      </c>
      <c r="AD126" s="4">
        <v>0.2</v>
      </c>
      <c r="AE126">
        <f t="shared" si="16"/>
        <v>62211.488225286157</v>
      </c>
      <c r="AF126">
        <f t="shared" si="17"/>
        <v>1</v>
      </c>
    </row>
    <row r="127" spans="1:32" x14ac:dyDescent="0.25">
      <c r="A127" s="2">
        <v>126</v>
      </c>
      <c r="B127">
        <f t="shared" si="23"/>
        <v>15065.010401657528</v>
      </c>
      <c r="C127" s="4">
        <v>0.08</v>
      </c>
      <c r="D127">
        <f t="shared" si="24"/>
        <v>106358.97343570222</v>
      </c>
      <c r="Q127">
        <f t="shared" si="25"/>
        <v>106358.97343570284</v>
      </c>
      <c r="R127">
        <f t="shared" si="26"/>
        <v>407.87346233154904</v>
      </c>
      <c r="S127">
        <f t="shared" si="27"/>
        <v>593961.92707256589</v>
      </c>
      <c r="T127" s="4">
        <v>0.08</v>
      </c>
      <c r="V127">
        <f>SUM($R$2:R127)</f>
        <v>19759.833081931494</v>
      </c>
      <c r="W127">
        <f t="shared" si="28"/>
        <v>41.664557588519997</v>
      </c>
      <c r="Z127">
        <f t="shared" si="22"/>
        <v>7.9846868693666021E-4</v>
      </c>
      <c r="AA127" s="4">
        <v>0.3</v>
      </c>
      <c r="AB127">
        <f t="shared" si="15"/>
        <v>1979873.0902418864</v>
      </c>
      <c r="AC127">
        <f t="shared" si="21"/>
        <v>329720.88759401662</v>
      </c>
      <c r="AD127" s="4">
        <v>0.2</v>
      </c>
      <c r="AE127">
        <f t="shared" si="16"/>
        <v>65944.177518803321</v>
      </c>
      <c r="AF127">
        <f t="shared" si="17"/>
        <v>1</v>
      </c>
    </row>
    <row r="128" spans="1:32" x14ac:dyDescent="0.25">
      <c r="A128" s="2">
        <v>127</v>
      </c>
      <c r="B128">
        <f t="shared" si="23"/>
        <v>16270.211233790131</v>
      </c>
      <c r="C128" s="4">
        <v>0.08</v>
      </c>
      <c r="D128">
        <f t="shared" si="24"/>
        <v>114867.69131055841</v>
      </c>
      <c r="Q128">
        <f t="shared" si="25"/>
        <v>114867.69131055908</v>
      </c>
      <c r="R128">
        <f t="shared" si="26"/>
        <v>415.56918803591799</v>
      </c>
      <c r="S128">
        <f t="shared" si="27"/>
        <v>641478.88123837125</v>
      </c>
      <c r="T128" s="4">
        <v>0.08</v>
      </c>
      <c r="V128">
        <f>SUM($R$2:R128)</f>
        <v>20175.402269967413</v>
      </c>
      <c r="W128">
        <f t="shared" si="28"/>
        <v>42.540805191176595</v>
      </c>
      <c r="Z128">
        <f t="shared" si="22"/>
        <v>7.393228582746852E-4</v>
      </c>
      <c r="AA128" s="4">
        <v>0.3</v>
      </c>
      <c r="AB128">
        <f t="shared" si="15"/>
        <v>2138262.9374612374</v>
      </c>
      <c r="AC128">
        <f t="shared" si="21"/>
        <v>349504.14084965765</v>
      </c>
      <c r="AD128" s="4">
        <v>0.2</v>
      </c>
      <c r="AE128">
        <f t="shared" si="16"/>
        <v>69900.828169931527</v>
      </c>
      <c r="AF128">
        <f t="shared" si="17"/>
        <v>1</v>
      </c>
    </row>
    <row r="129" spans="1:32" x14ac:dyDescent="0.25">
      <c r="A129" s="2">
        <v>128</v>
      </c>
      <c r="B129">
        <f t="shared" si="23"/>
        <v>17571.828132493341</v>
      </c>
      <c r="C129" s="4">
        <v>0.08</v>
      </c>
      <c r="D129">
        <f t="shared" si="24"/>
        <v>124057.10661540309</v>
      </c>
      <c r="Q129">
        <f t="shared" si="25"/>
        <v>124057.10661540383</v>
      </c>
      <c r="R129">
        <f t="shared" si="26"/>
        <v>423.41011611206733</v>
      </c>
      <c r="S129">
        <f t="shared" si="27"/>
        <v>692797.191737441</v>
      </c>
      <c r="T129" s="4">
        <v>0.08</v>
      </c>
      <c r="V129">
        <f>SUM($R$2:R129)</f>
        <v>20598.81238607948</v>
      </c>
      <c r="W129">
        <f t="shared" si="28"/>
        <v>43.433585767468223</v>
      </c>
      <c r="Z129">
        <f t="shared" si="22"/>
        <v>6.8455820210619001E-4</v>
      </c>
      <c r="AA129" s="4">
        <v>0.3</v>
      </c>
      <c r="AB129">
        <f t="shared" si="15"/>
        <v>2309323.9724581367</v>
      </c>
      <c r="AC129">
        <f t="shared" si="21"/>
        <v>370474.38930063712</v>
      </c>
      <c r="AD129" s="4">
        <v>0.2</v>
      </c>
      <c r="AE129">
        <f t="shared" si="16"/>
        <v>74094.877860127424</v>
      </c>
      <c r="AF129">
        <f t="shared" si="17"/>
        <v>1</v>
      </c>
    </row>
    <row r="130" spans="1:32" x14ac:dyDescent="0.25">
      <c r="A130" s="2">
        <v>129</v>
      </c>
      <c r="B130">
        <f t="shared" si="23"/>
        <v>18977.574383092808</v>
      </c>
      <c r="C130" s="4">
        <v>0.08</v>
      </c>
      <c r="D130">
        <f t="shared" si="24"/>
        <v>133981.67514463534</v>
      </c>
      <c r="Q130">
        <f t="shared" si="25"/>
        <v>133981.67514463613</v>
      </c>
      <c r="R130">
        <f t="shared" si="26"/>
        <v>431.39898622738957</v>
      </c>
      <c r="S130">
        <f t="shared" si="27"/>
        <v>748220.96707643638</v>
      </c>
      <c r="T130" s="4">
        <v>0.08</v>
      </c>
      <c r="V130">
        <f>SUM($R$2:R130)</f>
        <v>21030.211372306869</v>
      </c>
      <c r="W130">
        <f t="shared" si="28"/>
        <v>44.343211260293657</v>
      </c>
      <c r="Z130">
        <f t="shared" si="22"/>
        <v>6.3385018713536096E-4</v>
      </c>
      <c r="AA130" s="4">
        <v>0.3</v>
      </c>
      <c r="AB130">
        <f t="shared" si="15"/>
        <v>2494069.8902547881</v>
      </c>
      <c r="AC130">
        <f t="shared" si="21"/>
        <v>392702.85265867534</v>
      </c>
      <c r="AD130" s="4">
        <v>0.2</v>
      </c>
      <c r="AE130">
        <f t="shared" si="16"/>
        <v>78540.570531735066</v>
      </c>
      <c r="AF130">
        <f t="shared" si="17"/>
        <v>1</v>
      </c>
    </row>
    <row r="131" spans="1:32" x14ac:dyDescent="0.25">
      <c r="A131" s="2">
        <v>130</v>
      </c>
      <c r="B131">
        <f t="shared" si="23"/>
        <v>20495.780333740233</v>
      </c>
      <c r="C131" s="4">
        <v>0.08</v>
      </c>
      <c r="D131">
        <f t="shared" si="24"/>
        <v>144700.20915620617</v>
      </c>
      <c r="Q131">
        <f t="shared" si="25"/>
        <v>144700.20915620704</v>
      </c>
      <c r="R131">
        <f t="shared" si="26"/>
        <v>439.53858974111381</v>
      </c>
      <c r="S131">
        <f t="shared" si="27"/>
        <v>808078.6444425513</v>
      </c>
      <c r="T131" s="4">
        <v>0.08</v>
      </c>
      <c r="V131">
        <f>SUM($R$2:R131)</f>
        <v>21469.749962047983</v>
      </c>
      <c r="W131">
        <f t="shared" si="28"/>
        <v>45.269999498266742</v>
      </c>
      <c r="Z131">
        <f t="shared" si="22"/>
        <v>5.8689832142163061E-4</v>
      </c>
      <c r="AA131" s="4">
        <v>0.3</v>
      </c>
      <c r="AB131">
        <f t="shared" ref="AB131:AB194" si="29">S131/AA131</f>
        <v>2693595.4814751712</v>
      </c>
      <c r="AC131">
        <f t="shared" si="21"/>
        <v>416265.02381819586</v>
      </c>
      <c r="AD131" s="4">
        <v>0.2</v>
      </c>
      <c r="AE131">
        <f t="shared" ref="AE131:AE194" si="30">AC131*AD131</f>
        <v>83253.004763639183</v>
      </c>
      <c r="AF131">
        <f t="shared" ref="AF131:AF194" si="31">IF(AB131&gt;AE131, 1, 0)</f>
        <v>1</v>
      </c>
    </row>
    <row r="132" spans="1:32" x14ac:dyDescent="0.25">
      <c r="A132" s="2">
        <v>131</v>
      </c>
      <c r="B132">
        <f t="shared" si="23"/>
        <v>22135.442760439451</v>
      </c>
      <c r="C132" s="4">
        <v>0.08</v>
      </c>
      <c r="D132">
        <f t="shared" si="24"/>
        <v>156276.22588870267</v>
      </c>
      <c r="Q132">
        <f t="shared" si="25"/>
        <v>156276.2258887036</v>
      </c>
      <c r="R132">
        <f t="shared" si="26"/>
        <v>447.83177067962544</v>
      </c>
      <c r="S132">
        <f t="shared" si="27"/>
        <v>872724.9359979555</v>
      </c>
      <c r="T132" s="4">
        <v>0.08</v>
      </c>
      <c r="V132">
        <f>SUM($R$2:R132)</f>
        <v>21917.581732727609</v>
      </c>
      <c r="W132">
        <f t="shared" si="28"/>
        <v>46.214274306767614</v>
      </c>
      <c r="Z132">
        <f t="shared" si="22"/>
        <v>5.4342437168669491E-4</v>
      </c>
      <c r="AA132" s="4">
        <v>0.3</v>
      </c>
      <c r="AB132">
        <f t="shared" si="29"/>
        <v>2909083.1199931852</v>
      </c>
      <c r="AC132">
        <f t="shared" ref="AC132:AC195" si="32">AC131*(1+$U$2)</f>
        <v>441240.92524728761</v>
      </c>
      <c r="AD132" s="4">
        <v>0.2</v>
      </c>
      <c r="AE132">
        <f t="shared" si="30"/>
        <v>88248.185049457534</v>
      </c>
      <c r="AF132">
        <f t="shared" si="31"/>
        <v>1</v>
      </c>
    </row>
    <row r="133" spans="1:32" x14ac:dyDescent="0.25">
      <c r="A133" s="2">
        <v>132</v>
      </c>
      <c r="B133">
        <f t="shared" si="23"/>
        <v>23906.278181274607</v>
      </c>
      <c r="C133" s="4">
        <v>0.08</v>
      </c>
      <c r="D133">
        <f t="shared" si="24"/>
        <v>168778.32395979887</v>
      </c>
      <c r="Q133">
        <f t="shared" si="25"/>
        <v>168778.32395979989</v>
      </c>
      <c r="R133">
        <f t="shared" si="26"/>
        <v>456.28142673018436</v>
      </c>
      <c r="S133">
        <f t="shared" si="27"/>
        <v>942542.93087779195</v>
      </c>
      <c r="T133" s="4">
        <v>0.08</v>
      </c>
      <c r="V133">
        <f>SUM($R$2:R133)</f>
        <v>22373.863159457793</v>
      </c>
      <c r="W133">
        <f t="shared" si="28"/>
        <v>47.176365621089261</v>
      </c>
      <c r="Z133">
        <f t="shared" si="22"/>
        <v>5.0317071452471755E-4</v>
      </c>
      <c r="AA133" s="4">
        <v>0.3</v>
      </c>
      <c r="AB133">
        <f t="shared" si="29"/>
        <v>3141809.76959264</v>
      </c>
      <c r="AC133">
        <f t="shared" si="32"/>
        <v>467715.3807621249</v>
      </c>
      <c r="AD133" s="4">
        <v>0.2</v>
      </c>
      <c r="AE133">
        <f t="shared" si="30"/>
        <v>93543.076152424983</v>
      </c>
      <c r="AF133">
        <f t="shared" si="31"/>
        <v>1</v>
      </c>
    </row>
    <row r="134" spans="1:32" x14ac:dyDescent="0.25">
      <c r="A134" s="2">
        <v>133</v>
      </c>
      <c r="B134">
        <f t="shared" si="23"/>
        <v>25818.780435776574</v>
      </c>
      <c r="C134" s="4">
        <v>0.08</v>
      </c>
      <c r="D134">
        <f t="shared" si="24"/>
        <v>182280.58987658279</v>
      </c>
      <c r="Q134">
        <f t="shared" si="25"/>
        <v>182280.58987658392</v>
      </c>
      <c r="R134">
        <f t="shared" si="26"/>
        <v>464.89051025339541</v>
      </c>
      <c r="S134">
        <f t="shared" si="27"/>
        <v>1017946.3653480153</v>
      </c>
      <c r="T134" s="4">
        <v>0.08</v>
      </c>
      <c r="V134">
        <f>SUM($R$2:R134)</f>
        <v>22838.753669711186</v>
      </c>
      <c r="W134">
        <f t="shared" si="28"/>
        <v>48.156609601718863</v>
      </c>
      <c r="Z134">
        <f t="shared" si="22"/>
        <v>4.6589880974510876E-4</v>
      </c>
      <c r="AA134" s="4">
        <v>0.3</v>
      </c>
      <c r="AB134">
        <f t="shared" si="29"/>
        <v>3393154.551160051</v>
      </c>
      <c r="AC134">
        <f t="shared" si="32"/>
        <v>495778.30360785243</v>
      </c>
      <c r="AD134" s="4">
        <v>0.2</v>
      </c>
      <c r="AE134">
        <f t="shared" si="30"/>
        <v>99155.660721570486</v>
      </c>
      <c r="AF134">
        <f t="shared" si="31"/>
        <v>1</v>
      </c>
    </row>
    <row r="135" spans="1:32" x14ac:dyDescent="0.25">
      <c r="A135" s="2">
        <v>134</v>
      </c>
      <c r="B135">
        <f t="shared" si="23"/>
        <v>27884.282870638701</v>
      </c>
      <c r="C135" s="4">
        <v>0.08</v>
      </c>
      <c r="D135">
        <f t="shared" si="24"/>
        <v>196863.03706670942</v>
      </c>
      <c r="Q135">
        <f t="shared" si="25"/>
        <v>196863.03706671062</v>
      </c>
      <c r="R135">
        <f t="shared" si="26"/>
        <v>473.66202931478023</v>
      </c>
      <c r="S135">
        <f t="shared" si="27"/>
        <v>1099382.0745758566</v>
      </c>
      <c r="T135" s="4">
        <v>0.08</v>
      </c>
      <c r="V135">
        <f>SUM($R$2:R135)</f>
        <v>23312.415699025965</v>
      </c>
      <c r="W135">
        <f t="shared" si="28"/>
        <v>49.1553487517943</v>
      </c>
      <c r="Z135">
        <f t="shared" si="22"/>
        <v>4.3138778680102666E-4</v>
      </c>
      <c r="AA135" s="4">
        <v>0.3</v>
      </c>
      <c r="AB135">
        <f t="shared" si="29"/>
        <v>3664606.9152528555</v>
      </c>
      <c r="AC135">
        <f t="shared" si="32"/>
        <v>525525.00182432355</v>
      </c>
      <c r="AD135" s="4">
        <v>0.2</v>
      </c>
      <c r="AE135">
        <f t="shared" si="30"/>
        <v>105105.00036486471</v>
      </c>
      <c r="AF135">
        <f t="shared" si="31"/>
        <v>1</v>
      </c>
    </row>
    <row r="136" spans="1:32" x14ac:dyDescent="0.25">
      <c r="A136" s="2">
        <v>135</v>
      </c>
      <c r="B136">
        <f t="shared" si="23"/>
        <v>30115.025500289797</v>
      </c>
      <c r="C136" s="4">
        <v>0.08</v>
      </c>
      <c r="D136">
        <f t="shared" si="24"/>
        <v>212612.08003204619</v>
      </c>
      <c r="Q136">
        <f t="shared" si="25"/>
        <v>212612.0800320475</v>
      </c>
      <c r="R136">
        <f t="shared" si="26"/>
        <v>482.59904873581371</v>
      </c>
      <c r="S136">
        <f t="shared" si="27"/>
        <v>1187332.6405419251</v>
      </c>
      <c r="T136" s="4">
        <v>0.08</v>
      </c>
      <c r="V136">
        <f>SUM($R$2:R136)</f>
        <v>23795.014747761779</v>
      </c>
      <c r="W136">
        <f t="shared" si="28"/>
        <v>50.172932036776828</v>
      </c>
      <c r="Z136">
        <f t="shared" si="22"/>
        <v>3.9943313592687651E-4</v>
      </c>
      <c r="AA136" s="4">
        <v>0.3</v>
      </c>
      <c r="AB136">
        <f t="shared" si="29"/>
        <v>3957775.4684730838</v>
      </c>
      <c r="AC136">
        <f t="shared" si="32"/>
        <v>557056.50193378294</v>
      </c>
      <c r="AD136" s="4">
        <v>0.2</v>
      </c>
      <c r="AE136">
        <f t="shared" si="30"/>
        <v>111411.3003867566</v>
      </c>
      <c r="AF136">
        <f t="shared" si="31"/>
        <v>1</v>
      </c>
    </row>
    <row r="137" spans="1:32" x14ac:dyDescent="0.25">
      <c r="A137" s="2">
        <v>136</v>
      </c>
      <c r="B137">
        <f t="shared" si="23"/>
        <v>32524.227540312982</v>
      </c>
      <c r="C137" s="4">
        <v>0.08</v>
      </c>
      <c r="D137">
        <f t="shared" si="24"/>
        <v>229621.04643460989</v>
      </c>
      <c r="Q137">
        <f t="shared" si="25"/>
        <v>229621.04643461131</v>
      </c>
      <c r="R137">
        <f t="shared" si="26"/>
        <v>491.70469116479137</v>
      </c>
      <c r="S137">
        <f t="shared" si="27"/>
        <v>1282319.2517852793</v>
      </c>
      <c r="T137" s="4">
        <v>0.08</v>
      </c>
      <c r="V137">
        <f>SUM($R$2:R137)</f>
        <v>24286.719438926571</v>
      </c>
      <c r="W137">
        <f t="shared" si="28"/>
        <v>51.209715006381671</v>
      </c>
      <c r="Z137">
        <f t="shared" si="22"/>
        <v>3.6984549622858935E-4</v>
      </c>
      <c r="AA137" s="4">
        <v>0.3</v>
      </c>
      <c r="AB137">
        <f t="shared" si="29"/>
        <v>4274397.5059509315</v>
      </c>
      <c r="AC137">
        <f t="shared" si="32"/>
        <v>590479.89204980992</v>
      </c>
      <c r="AD137" s="4">
        <v>0.2</v>
      </c>
      <c r="AE137">
        <f t="shared" si="30"/>
        <v>118095.97840996199</v>
      </c>
      <c r="AF137">
        <f t="shared" si="31"/>
        <v>1</v>
      </c>
    </row>
    <row r="138" spans="1:32" x14ac:dyDescent="0.25">
      <c r="A138" s="2">
        <v>137</v>
      </c>
      <c r="B138">
        <f t="shared" si="23"/>
        <v>35126.165743538018</v>
      </c>
      <c r="C138" s="4">
        <v>0.08</v>
      </c>
      <c r="D138">
        <f t="shared" si="24"/>
        <v>247990.73014937868</v>
      </c>
      <c r="Q138">
        <f t="shared" si="25"/>
        <v>247990.73014938019</v>
      </c>
      <c r="R138">
        <f t="shared" si="26"/>
        <v>500.98213816790076</v>
      </c>
      <c r="S138">
        <f t="shared" si="27"/>
        <v>1384904.7919281018</v>
      </c>
      <c r="T138" s="4">
        <v>0.08</v>
      </c>
      <c r="V138">
        <f>SUM($R$2:R138)</f>
        <v>24787.701577094471</v>
      </c>
      <c r="W138">
        <f t="shared" si="28"/>
        <v>52.266059918809241</v>
      </c>
      <c r="Z138">
        <f t="shared" si="22"/>
        <v>3.4244953354499008E-4</v>
      </c>
      <c r="AA138" s="4">
        <v>0.3</v>
      </c>
      <c r="AB138">
        <f t="shared" si="29"/>
        <v>4616349.3064270066</v>
      </c>
      <c r="AC138">
        <f t="shared" si="32"/>
        <v>625908.6855727986</v>
      </c>
      <c r="AD138" s="4">
        <v>0.2</v>
      </c>
      <c r="AE138">
        <f t="shared" si="30"/>
        <v>125181.73711455973</v>
      </c>
      <c r="AF138">
        <f t="shared" si="31"/>
        <v>1</v>
      </c>
    </row>
    <row r="139" spans="1:32" x14ac:dyDescent="0.25">
      <c r="A139" s="2">
        <v>138</v>
      </c>
      <c r="B139">
        <f t="shared" si="23"/>
        <v>37936.259003021063</v>
      </c>
      <c r="C139" s="4">
        <v>0.08</v>
      </c>
      <c r="D139">
        <f t="shared" si="24"/>
        <v>267829.98856132897</v>
      </c>
      <c r="Q139">
        <f t="shared" si="25"/>
        <v>267829.98856133065</v>
      </c>
      <c r="R139">
        <f t="shared" si="26"/>
        <v>510.43463134088006</v>
      </c>
      <c r="S139">
        <f t="shared" si="27"/>
        <v>1495697.17528235</v>
      </c>
      <c r="T139" s="4">
        <v>0.08</v>
      </c>
      <c r="V139">
        <f>SUM($R$2:R139)</f>
        <v>25298.13620843535</v>
      </c>
      <c r="W139">
        <f t="shared" si="28"/>
        <v>53.342335867320351</v>
      </c>
      <c r="Z139">
        <f t="shared" si="22"/>
        <v>3.1708290143054636E-4</v>
      </c>
      <c r="AA139" s="4">
        <v>0.3</v>
      </c>
      <c r="AB139">
        <f t="shared" si="29"/>
        <v>4985657.2509411667</v>
      </c>
      <c r="AC139">
        <f t="shared" si="32"/>
        <v>663463.20670716651</v>
      </c>
      <c r="AD139" s="4">
        <v>0.2</v>
      </c>
      <c r="AE139">
        <f t="shared" si="30"/>
        <v>132692.64134143331</v>
      </c>
      <c r="AF139">
        <f t="shared" si="31"/>
        <v>1</v>
      </c>
    </row>
    <row r="140" spans="1:32" x14ac:dyDescent="0.25">
      <c r="A140" s="2">
        <v>139</v>
      </c>
      <c r="B140">
        <f t="shared" si="23"/>
        <v>40971.159723262746</v>
      </c>
      <c r="C140" s="4">
        <v>0.08</v>
      </c>
      <c r="D140">
        <f t="shared" si="24"/>
        <v>289256.38764623529</v>
      </c>
      <c r="Q140">
        <f t="shared" si="25"/>
        <v>289256.38764623716</v>
      </c>
      <c r="R140">
        <f t="shared" si="26"/>
        <v>520.06547344165131</v>
      </c>
      <c r="S140">
        <f t="shared" si="27"/>
        <v>1615352.9493049381</v>
      </c>
      <c r="T140" s="4">
        <v>0.08</v>
      </c>
      <c r="V140">
        <f>SUM($R$2:R140)</f>
        <v>25818.201681877003</v>
      </c>
      <c r="W140">
        <f t="shared" si="28"/>
        <v>54.4389189091996</v>
      </c>
      <c r="Z140">
        <f t="shared" si="22"/>
        <v>2.9359527910235772E-4</v>
      </c>
      <c r="AA140" s="4">
        <v>0.3</v>
      </c>
      <c r="AB140">
        <f t="shared" si="29"/>
        <v>5384509.8310164604</v>
      </c>
      <c r="AC140">
        <f t="shared" si="32"/>
        <v>703270.99910959648</v>
      </c>
      <c r="AD140" s="4">
        <v>0.2</v>
      </c>
      <c r="AE140">
        <f t="shared" si="30"/>
        <v>140654.19982191929</v>
      </c>
      <c r="AF140">
        <f t="shared" si="31"/>
        <v>1</v>
      </c>
    </row>
    <row r="141" spans="1:32" x14ac:dyDescent="0.25">
      <c r="A141" s="2">
        <v>140</v>
      </c>
      <c r="B141">
        <f t="shared" si="23"/>
        <v>44248.852501123765</v>
      </c>
      <c r="C141" s="4">
        <v>0.08</v>
      </c>
      <c r="D141">
        <f t="shared" si="24"/>
        <v>312396.8986579341</v>
      </c>
      <c r="Q141">
        <f t="shared" si="25"/>
        <v>312396.89865793608</v>
      </c>
      <c r="R141">
        <f t="shared" si="26"/>
        <v>529.87802954432402</v>
      </c>
      <c r="S141">
        <f t="shared" si="27"/>
        <v>1744581.1852493333</v>
      </c>
      <c r="T141" s="4">
        <v>0.08</v>
      </c>
      <c r="V141">
        <f>SUM($R$2:R141)</f>
        <v>26348.079711421327</v>
      </c>
      <c r="W141">
        <f t="shared" si="28"/>
        <v>55.556192197152043</v>
      </c>
      <c r="Z141">
        <f t="shared" si="22"/>
        <v>2.718474806503312E-4</v>
      </c>
      <c r="AA141" s="4">
        <v>0.3</v>
      </c>
      <c r="AB141">
        <f t="shared" si="29"/>
        <v>5815270.6174977776</v>
      </c>
      <c r="AC141">
        <f t="shared" si="32"/>
        <v>745467.25905617233</v>
      </c>
      <c r="AD141" s="4">
        <v>0.2</v>
      </c>
      <c r="AE141">
        <f t="shared" si="30"/>
        <v>149093.45181123447</v>
      </c>
      <c r="AF141">
        <f t="shared" si="31"/>
        <v>1</v>
      </c>
    </row>
    <row r="142" spans="1:32" x14ac:dyDescent="0.25">
      <c r="A142" s="2">
        <v>141</v>
      </c>
      <c r="B142">
        <f t="shared" si="23"/>
        <v>47788.760701213665</v>
      </c>
      <c r="C142" s="4">
        <v>0.08</v>
      </c>
      <c r="D142">
        <f t="shared" si="24"/>
        <v>337388.65055056883</v>
      </c>
      <c r="Q142">
        <f t="shared" si="25"/>
        <v>337388.65055057098</v>
      </c>
      <c r="R142">
        <f t="shared" si="26"/>
        <v>539.87572821497156</v>
      </c>
      <c r="S142">
        <f t="shared" si="27"/>
        <v>1884147.6800692801</v>
      </c>
      <c r="T142" s="4">
        <v>0.08</v>
      </c>
      <c r="V142">
        <f>SUM($R$2:R142)</f>
        <v>26887.955439636298</v>
      </c>
      <c r="W142">
        <f t="shared" si="28"/>
        <v>56.694546113179058</v>
      </c>
      <c r="Z142">
        <f t="shared" si="22"/>
        <v>2.5171063023178813E-4</v>
      </c>
      <c r="AA142" s="4">
        <v>0.3</v>
      </c>
      <c r="AB142">
        <f t="shared" si="29"/>
        <v>6280492.2668976001</v>
      </c>
      <c r="AC142">
        <f t="shared" si="32"/>
        <v>790195.29459954274</v>
      </c>
      <c r="AD142" s="4">
        <v>0.2</v>
      </c>
      <c r="AE142">
        <f t="shared" si="30"/>
        <v>158039.05891990857</v>
      </c>
      <c r="AF142">
        <f t="shared" si="31"/>
        <v>1</v>
      </c>
    </row>
    <row r="143" spans="1:32" x14ac:dyDescent="0.25">
      <c r="A143" s="2">
        <v>142</v>
      </c>
      <c r="B143">
        <f t="shared" si="23"/>
        <v>51611.86155731076</v>
      </c>
      <c r="C143" s="4">
        <v>0.08</v>
      </c>
      <c r="D143">
        <f t="shared" si="24"/>
        <v>364379.74259461433</v>
      </c>
      <c r="Q143">
        <f t="shared" si="25"/>
        <v>364379.74259461666</v>
      </c>
      <c r="R143">
        <f t="shared" si="26"/>
        <v>550.06206270959376</v>
      </c>
      <c r="S143">
        <f t="shared" si="27"/>
        <v>2034879.4944748227</v>
      </c>
      <c r="T143" s="4">
        <v>0.08</v>
      </c>
      <c r="V143">
        <f>SUM($R$2:R143)</f>
        <v>27438.017502345891</v>
      </c>
      <c r="W143">
        <f t="shared" si="28"/>
        <v>57.85437840498016</v>
      </c>
      <c r="Z143">
        <f t="shared" ref="Z143:Z201" si="33">$W$2/S143</f>
        <v>2.3306539836276676E-4</v>
      </c>
      <c r="AA143" s="4">
        <v>0.3</v>
      </c>
      <c r="AB143">
        <f t="shared" si="29"/>
        <v>6782931.6482494092</v>
      </c>
      <c r="AC143">
        <f t="shared" si="32"/>
        <v>837607.01227551536</v>
      </c>
      <c r="AD143" s="4">
        <v>0.2</v>
      </c>
      <c r="AE143">
        <f t="shared" si="30"/>
        <v>167521.40245510309</v>
      </c>
      <c r="AF143">
        <f t="shared" si="31"/>
        <v>1</v>
      </c>
    </row>
    <row r="144" spans="1:32" x14ac:dyDescent="0.25">
      <c r="A144" s="2">
        <v>143</v>
      </c>
      <c r="B144">
        <f t="shared" si="23"/>
        <v>55740.81048189562</v>
      </c>
      <c r="C144" s="4">
        <v>0.08</v>
      </c>
      <c r="D144">
        <f t="shared" si="24"/>
        <v>393530.12200218346</v>
      </c>
      <c r="Q144">
        <f t="shared" si="25"/>
        <v>393530.12200218608</v>
      </c>
      <c r="R144">
        <f t="shared" si="26"/>
        <v>560.44059219468033</v>
      </c>
      <c r="S144">
        <f t="shared" si="27"/>
        <v>2197669.8540328084</v>
      </c>
      <c r="T144" s="4">
        <v>0.08</v>
      </c>
      <c r="V144">
        <f>SUM($R$2:R144)</f>
        <v>27998.458094540572</v>
      </c>
      <c r="W144">
        <f t="shared" si="28"/>
        <v>59.036094324928463</v>
      </c>
      <c r="Z144">
        <f t="shared" si="33"/>
        <v>2.158012947803396E-4</v>
      </c>
      <c r="AA144" s="4">
        <v>0.3</v>
      </c>
      <c r="AB144">
        <f t="shared" si="29"/>
        <v>7325566.1801093621</v>
      </c>
      <c r="AC144">
        <f t="shared" si="32"/>
        <v>887863.43301204627</v>
      </c>
      <c r="AD144" s="4">
        <v>0.2</v>
      </c>
      <c r="AE144">
        <f t="shared" si="30"/>
        <v>177572.68660240926</v>
      </c>
      <c r="AF144">
        <f t="shared" si="31"/>
        <v>1</v>
      </c>
    </row>
    <row r="145" spans="1:32" x14ac:dyDescent="0.25">
      <c r="A145" s="2">
        <v>144</v>
      </c>
      <c r="B145">
        <f t="shared" si="23"/>
        <v>60200.075320447271</v>
      </c>
      <c r="C145" s="4">
        <v>0.08</v>
      </c>
      <c r="D145">
        <f t="shared" si="24"/>
        <v>425012.53176235815</v>
      </c>
      <c r="Q145">
        <f t="shared" si="25"/>
        <v>425012.531762361</v>
      </c>
      <c r="R145">
        <f t="shared" si="26"/>
        <v>571.01494299080628</v>
      </c>
      <c r="S145">
        <f t="shared" si="27"/>
        <v>2373483.4423554335</v>
      </c>
      <c r="T145" s="4">
        <v>0.08</v>
      </c>
      <c r="V145">
        <f>SUM($R$2:R145)</f>
        <v>28569.473037531377</v>
      </c>
      <c r="W145">
        <f t="shared" si="28"/>
        <v>60.240106771668238</v>
      </c>
      <c r="Z145">
        <f t="shared" si="33"/>
        <v>1.9981601368549961E-4</v>
      </c>
      <c r="AA145" s="4">
        <v>0.3</v>
      </c>
      <c r="AB145">
        <f t="shared" si="29"/>
        <v>7911611.4745181119</v>
      </c>
      <c r="AC145">
        <f t="shared" si="32"/>
        <v>941135.23899276904</v>
      </c>
      <c r="AD145" s="4">
        <v>0.2</v>
      </c>
      <c r="AE145">
        <f t="shared" si="30"/>
        <v>188227.04779855383</v>
      </c>
      <c r="AF145">
        <f t="shared" si="31"/>
        <v>1</v>
      </c>
    </row>
    <row r="146" spans="1:32" x14ac:dyDescent="0.25">
      <c r="A146" s="2">
        <v>145</v>
      </c>
      <c r="B146">
        <f t="shared" si="23"/>
        <v>65016.081346083054</v>
      </c>
      <c r="C146" s="4">
        <v>0.08</v>
      </c>
      <c r="D146">
        <f t="shared" si="24"/>
        <v>459013.53430334682</v>
      </c>
      <c r="Q146">
        <f t="shared" si="25"/>
        <v>459013.53430334991</v>
      </c>
      <c r="R146">
        <f t="shared" si="26"/>
        <v>581.78880983968975</v>
      </c>
      <c r="S146">
        <f t="shared" si="27"/>
        <v>2563362.1177438684</v>
      </c>
      <c r="T146" s="4">
        <v>0.08</v>
      </c>
      <c r="V146">
        <f>SUM($R$2:R146)</f>
        <v>29151.261847371068</v>
      </c>
      <c r="W146">
        <f t="shared" si="28"/>
        <v>61.466836434384241</v>
      </c>
      <c r="Z146">
        <f t="shared" si="33"/>
        <v>1.8501482748657368E-4</v>
      </c>
      <c r="AA146" s="4">
        <v>0.3</v>
      </c>
      <c r="AB146">
        <f t="shared" si="29"/>
        <v>8544540.3924795613</v>
      </c>
      <c r="AC146">
        <f t="shared" si="32"/>
        <v>997603.35333233525</v>
      </c>
      <c r="AD146" s="4">
        <v>0.2</v>
      </c>
      <c r="AE146">
        <f t="shared" si="30"/>
        <v>199520.67066646705</v>
      </c>
      <c r="AF146">
        <f t="shared" si="31"/>
        <v>1</v>
      </c>
    </row>
    <row r="147" spans="1:32" x14ac:dyDescent="0.25">
      <c r="A147" s="2">
        <v>146</v>
      </c>
      <c r="B147">
        <f t="shared" si="23"/>
        <v>70217.367853769698</v>
      </c>
      <c r="C147" s="4">
        <v>0.08</v>
      </c>
      <c r="D147">
        <f t="shared" si="24"/>
        <v>495734.61704761459</v>
      </c>
      <c r="Q147">
        <f t="shared" si="25"/>
        <v>495734.61704761785</v>
      </c>
      <c r="R147">
        <f t="shared" si="26"/>
        <v>592.76595719515547</v>
      </c>
      <c r="S147">
        <f t="shared" si="27"/>
        <v>2768431.087163378</v>
      </c>
      <c r="T147" s="4">
        <v>0.08</v>
      </c>
      <c r="V147">
        <f>SUM($R$2:R147)</f>
        <v>29744.027804566223</v>
      </c>
      <c r="W147">
        <f t="shared" si="28"/>
        <v>62.716711939792994</v>
      </c>
      <c r="Z147">
        <f t="shared" si="33"/>
        <v>1.7131002545053118E-4</v>
      </c>
      <c r="AA147" s="4">
        <v>0.3</v>
      </c>
      <c r="AB147">
        <f t="shared" si="29"/>
        <v>9228103.6238779277</v>
      </c>
      <c r="AC147">
        <f t="shared" si="32"/>
        <v>1057459.5545322753</v>
      </c>
      <c r="AD147" s="4">
        <v>0.2</v>
      </c>
      <c r="AE147">
        <f t="shared" si="30"/>
        <v>211491.91090645507</v>
      </c>
      <c r="AF147">
        <f t="shared" si="31"/>
        <v>1</v>
      </c>
    </row>
    <row r="148" spans="1:32" x14ac:dyDescent="0.25">
      <c r="A148" s="2">
        <v>147</v>
      </c>
      <c r="B148">
        <f t="shared" si="23"/>
        <v>75834.757282071281</v>
      </c>
      <c r="C148" s="4">
        <v>0.08</v>
      </c>
      <c r="D148">
        <f t="shared" si="24"/>
        <v>535393.38641142379</v>
      </c>
      <c r="Q148">
        <f t="shared" si="25"/>
        <v>535393.38641142729</v>
      </c>
      <c r="R148">
        <f t="shared" si="26"/>
        <v>603.95022053846037</v>
      </c>
      <c r="S148">
        <f t="shared" si="27"/>
        <v>2989905.5741364486</v>
      </c>
      <c r="T148" s="4">
        <v>0.08</v>
      </c>
      <c r="V148">
        <f>SUM($R$2:R148)</f>
        <v>30347.978025104683</v>
      </c>
      <c r="W148">
        <f t="shared" si="28"/>
        <v>63.990170001907572</v>
      </c>
      <c r="Z148">
        <f t="shared" si="33"/>
        <v>1.5862039393567699E-4</v>
      </c>
      <c r="AA148" s="4">
        <v>0.3</v>
      </c>
      <c r="AB148">
        <f t="shared" si="29"/>
        <v>9966351.9137881622</v>
      </c>
      <c r="AC148">
        <f t="shared" si="32"/>
        <v>1120907.1278042118</v>
      </c>
      <c r="AD148" s="4">
        <v>0.2</v>
      </c>
      <c r="AE148">
        <f t="shared" si="30"/>
        <v>224181.42556084238</v>
      </c>
      <c r="AF148">
        <f t="shared" si="31"/>
        <v>1</v>
      </c>
    </row>
    <row r="149" spans="1:32" x14ac:dyDescent="0.25">
      <c r="A149" s="2">
        <v>148</v>
      </c>
      <c r="B149">
        <f t="shared" si="23"/>
        <v>81901.537864636979</v>
      </c>
      <c r="C149" s="4">
        <v>0.08</v>
      </c>
      <c r="D149">
        <f t="shared" si="24"/>
        <v>578224.8573243377</v>
      </c>
      <c r="Q149">
        <f t="shared" si="25"/>
        <v>578224.85732434154</v>
      </c>
      <c r="R149">
        <f t="shared" si="26"/>
        <v>615.34550771843124</v>
      </c>
      <c r="S149">
        <f t="shared" si="27"/>
        <v>3229098.0200673644</v>
      </c>
      <c r="T149" s="4">
        <v>0.08</v>
      </c>
      <c r="V149">
        <f>SUM($R$2:R149)</f>
        <v>30963.323532823113</v>
      </c>
      <c r="W149">
        <f t="shared" si="28"/>
        <v>65.287655574628076</v>
      </c>
      <c r="Z149">
        <f t="shared" si="33"/>
        <v>1.4687073512562686E-4</v>
      </c>
      <c r="AA149" s="4">
        <v>0.3</v>
      </c>
      <c r="AB149">
        <f t="shared" si="29"/>
        <v>10763660.066891216</v>
      </c>
      <c r="AC149">
        <f t="shared" si="32"/>
        <v>1188161.5554724645</v>
      </c>
      <c r="AD149" s="4">
        <v>0.2</v>
      </c>
      <c r="AE149">
        <f t="shared" si="30"/>
        <v>237632.31109449291</v>
      </c>
      <c r="AF149">
        <f t="shared" si="31"/>
        <v>1</v>
      </c>
    </row>
    <row r="150" spans="1:32" x14ac:dyDescent="0.25">
      <c r="A150" s="2">
        <v>149</v>
      </c>
      <c r="B150">
        <f t="shared" si="23"/>
        <v>88453.660893807944</v>
      </c>
      <c r="C150" s="4">
        <v>0.08</v>
      </c>
      <c r="D150">
        <f t="shared" si="24"/>
        <v>624482.84591028467</v>
      </c>
      <c r="Q150">
        <f t="shared" si="25"/>
        <v>624482.84591028886</v>
      </c>
      <c r="R150">
        <f t="shared" si="26"/>
        <v>626.95580031689224</v>
      </c>
      <c r="S150">
        <f t="shared" si="27"/>
        <v>3487425.8616727539</v>
      </c>
      <c r="T150" s="4">
        <v>0.08</v>
      </c>
      <c r="V150">
        <f>SUM($R$2:R150)</f>
        <v>31590.279333140006</v>
      </c>
      <c r="W150">
        <f t="shared" si="28"/>
        <v>66.609622007211243</v>
      </c>
      <c r="Z150">
        <f t="shared" si="33"/>
        <v>1.3599142141261744E-4</v>
      </c>
      <c r="AA150" s="4">
        <v>0.3</v>
      </c>
      <c r="AB150">
        <f t="shared" si="29"/>
        <v>11624752.872242514</v>
      </c>
      <c r="AC150">
        <f t="shared" si="32"/>
        <v>1259451.2488008125</v>
      </c>
      <c r="AD150" s="4">
        <v>0.2</v>
      </c>
      <c r="AE150">
        <f t="shared" si="30"/>
        <v>251890.24976016252</v>
      </c>
      <c r="AF150">
        <f t="shared" si="31"/>
        <v>1</v>
      </c>
    </row>
    <row r="151" spans="1:32" x14ac:dyDescent="0.25">
      <c r="A151" s="2">
        <v>150</v>
      </c>
      <c r="B151">
        <f t="shared" si="23"/>
        <v>95529.953765312574</v>
      </c>
      <c r="C151" s="4">
        <v>0.08</v>
      </c>
      <c r="D151">
        <f t="shared" si="24"/>
        <v>674441.47358310746</v>
      </c>
      <c r="Q151">
        <f t="shared" si="25"/>
        <v>674441.47358311201</v>
      </c>
      <c r="R151">
        <f t="shared" si="26"/>
        <v>638.78515503985238</v>
      </c>
      <c r="S151">
        <f t="shared" si="27"/>
        <v>3766419.9306065743</v>
      </c>
      <c r="T151" s="4">
        <v>0.08</v>
      </c>
      <c r="V151">
        <f>SUM($R$2:R151)</f>
        <v>32229.064488179858</v>
      </c>
      <c r="W151">
        <f t="shared" si="28"/>
        <v>67.956531202673347</v>
      </c>
      <c r="Z151">
        <f t="shared" si="33"/>
        <v>1.2591798278946059E-4</v>
      </c>
      <c r="AA151" s="4">
        <v>0.3</v>
      </c>
      <c r="AB151">
        <f t="shared" si="29"/>
        <v>12554733.102021914</v>
      </c>
      <c r="AC151">
        <f t="shared" si="32"/>
        <v>1335018.3237288613</v>
      </c>
      <c r="AD151" s="4">
        <v>0.2</v>
      </c>
      <c r="AE151">
        <f t="shared" si="30"/>
        <v>267003.66474577226</v>
      </c>
      <c r="AF151">
        <f t="shared" si="31"/>
        <v>1</v>
      </c>
    </row>
    <row r="152" spans="1:32" x14ac:dyDescent="0.25">
      <c r="A152" s="2">
        <v>151</v>
      </c>
      <c r="B152">
        <f t="shared" si="23"/>
        <v>103172.35006653758</v>
      </c>
      <c r="C152" s="4">
        <v>0.08</v>
      </c>
      <c r="D152">
        <f t="shared" si="24"/>
        <v>728396.79146975605</v>
      </c>
      <c r="Q152">
        <f t="shared" si="25"/>
        <v>728396.79146976105</v>
      </c>
      <c r="R152">
        <f t="shared" si="26"/>
        <v>650.83770513494403</v>
      </c>
      <c r="S152">
        <f t="shared" si="27"/>
        <v>4067733.5250551007</v>
      </c>
      <c r="T152" s="4">
        <v>0.08</v>
      </c>
      <c r="V152">
        <f>SUM($R$2:R152)</f>
        <v>32879.902193314803</v>
      </c>
      <c r="W152">
        <f t="shared" si="28"/>
        <v>69.328853779181898</v>
      </c>
      <c r="Z152">
        <f t="shared" si="33"/>
        <v>1.165907248050561E-4</v>
      </c>
      <c r="AA152" s="4">
        <v>0.3</v>
      </c>
      <c r="AB152">
        <f t="shared" si="29"/>
        <v>13559111.75018367</v>
      </c>
      <c r="AC152">
        <f t="shared" si="32"/>
        <v>1415119.423152593</v>
      </c>
      <c r="AD152" s="4">
        <v>0.2</v>
      </c>
      <c r="AE152">
        <f t="shared" si="30"/>
        <v>283023.88463051862</v>
      </c>
      <c r="AF152">
        <f t="shared" si="31"/>
        <v>1</v>
      </c>
    </row>
    <row r="153" spans="1:32" x14ac:dyDescent="0.25">
      <c r="A153" s="2">
        <v>152</v>
      </c>
      <c r="B153">
        <f t="shared" si="23"/>
        <v>111426.13807186058</v>
      </c>
      <c r="C153" s="4">
        <v>0.08</v>
      </c>
      <c r="D153">
        <f t="shared" si="24"/>
        <v>786668.53478733648</v>
      </c>
      <c r="Q153">
        <f t="shared" si="25"/>
        <v>786668.53478734207</v>
      </c>
      <c r="R153">
        <f t="shared" si="26"/>
        <v>663.11766183560326</v>
      </c>
      <c r="S153">
        <f t="shared" si="27"/>
        <v>4393152.2070595091</v>
      </c>
      <c r="T153" s="4">
        <v>0.08</v>
      </c>
      <c r="V153">
        <f>SUM($R$2:R153)</f>
        <v>33543.019855150407</v>
      </c>
      <c r="W153">
        <f t="shared" si="28"/>
        <v>70.72706923449249</v>
      </c>
      <c r="Z153">
        <f t="shared" si="33"/>
        <v>1.0795437481949638E-4</v>
      </c>
      <c r="AA153" s="4">
        <v>0.3</v>
      </c>
      <c r="AB153">
        <f t="shared" si="29"/>
        <v>14643840.690198364</v>
      </c>
      <c r="AC153">
        <f t="shared" si="32"/>
        <v>1500026.5885417487</v>
      </c>
      <c r="AD153" s="4">
        <v>0.2</v>
      </c>
      <c r="AE153">
        <f t="shared" si="30"/>
        <v>300005.31770834973</v>
      </c>
      <c r="AF153">
        <f t="shared" si="31"/>
        <v>1</v>
      </c>
    </row>
    <row r="154" spans="1:32" x14ac:dyDescent="0.25">
      <c r="A154" s="2">
        <v>153</v>
      </c>
      <c r="B154">
        <f t="shared" si="23"/>
        <v>120340.22911760943</v>
      </c>
      <c r="C154" s="4">
        <v>0.08</v>
      </c>
      <c r="D154">
        <f t="shared" si="24"/>
        <v>849602.01757032343</v>
      </c>
      <c r="Q154">
        <f t="shared" si="25"/>
        <v>849602.01757032925</v>
      </c>
      <c r="R154">
        <f t="shared" si="26"/>
        <v>675.62931583250167</v>
      </c>
      <c r="S154">
        <f t="shared" si="27"/>
        <v>4744604.3836242706</v>
      </c>
      <c r="T154" s="4">
        <v>0.08</v>
      </c>
      <c r="V154">
        <f>SUM($R$2:R154)</f>
        <v>34218.649170982906</v>
      </c>
      <c r="W154">
        <f t="shared" si="28"/>
        <v>72.15166611348819</v>
      </c>
      <c r="Z154">
        <f t="shared" si="33"/>
        <v>9.9957754462496633E-5</v>
      </c>
      <c r="AA154" s="4">
        <v>0.3</v>
      </c>
      <c r="AB154">
        <f t="shared" si="29"/>
        <v>15815347.945414236</v>
      </c>
      <c r="AC154">
        <f t="shared" si="32"/>
        <v>1590028.1838542537</v>
      </c>
      <c r="AD154" s="4">
        <v>0.2</v>
      </c>
      <c r="AE154">
        <f t="shared" si="30"/>
        <v>318005.63677085075</v>
      </c>
      <c r="AF154">
        <f t="shared" si="31"/>
        <v>1</v>
      </c>
    </row>
    <row r="155" spans="1:32" x14ac:dyDescent="0.25">
      <c r="A155" s="2">
        <v>154</v>
      </c>
      <c r="B155">
        <f t="shared" si="23"/>
        <v>129967.44744701819</v>
      </c>
      <c r="C155" s="4">
        <v>0.08</v>
      </c>
      <c r="D155">
        <f t="shared" si="24"/>
        <v>917570.1789759493</v>
      </c>
      <c r="Q155">
        <f t="shared" si="25"/>
        <v>917570.17897595582</v>
      </c>
      <c r="R155">
        <f t="shared" si="26"/>
        <v>688.37703877273759</v>
      </c>
      <c r="S155">
        <f t="shared" si="27"/>
        <v>5124172.7343142126</v>
      </c>
      <c r="T155" s="4">
        <v>0.08</v>
      </c>
      <c r="V155">
        <f>SUM($R$2:R155)</f>
        <v>34907.026209755641</v>
      </c>
      <c r="W155">
        <f t="shared" si="28"/>
        <v>73.60314217888002</v>
      </c>
      <c r="Z155">
        <f t="shared" si="33"/>
        <v>9.2553476354163532E-5</v>
      </c>
      <c r="AA155" s="4">
        <v>0.3</v>
      </c>
      <c r="AB155">
        <f t="shared" si="29"/>
        <v>17080575.781047378</v>
      </c>
      <c r="AC155">
        <f t="shared" si="32"/>
        <v>1685429.874885509</v>
      </c>
      <c r="AD155" s="4">
        <v>0.2</v>
      </c>
      <c r="AE155">
        <f t="shared" si="30"/>
        <v>337085.97497710184</v>
      </c>
      <c r="AF155">
        <f t="shared" si="31"/>
        <v>1</v>
      </c>
    </row>
    <row r="156" spans="1:32" x14ac:dyDescent="0.25">
      <c r="A156" s="2">
        <v>155</v>
      </c>
      <c r="B156">
        <f t="shared" si="23"/>
        <v>140364.84324277964</v>
      </c>
      <c r="C156" s="4">
        <v>0.08</v>
      </c>
      <c r="D156">
        <f t="shared" si="24"/>
        <v>990975.79329402524</v>
      </c>
      <c r="Q156">
        <f t="shared" si="25"/>
        <v>990975.79329403222</v>
      </c>
      <c r="R156">
        <f t="shared" si="26"/>
        <v>701.36528478731759</v>
      </c>
      <c r="S156">
        <f t="shared" si="27"/>
        <v>5534106.5530593498</v>
      </c>
      <c r="T156" s="4">
        <v>0.08</v>
      </c>
      <c r="V156">
        <f>SUM($R$2:R156)</f>
        <v>35608.391494542957</v>
      </c>
      <c r="W156">
        <f t="shared" si="28"/>
        <v>75.082004585128317</v>
      </c>
      <c r="Z156">
        <f t="shared" si="33"/>
        <v>8.5697663290892158E-5</v>
      </c>
      <c r="AA156" s="4">
        <v>0.3</v>
      </c>
      <c r="AB156">
        <f t="shared" si="29"/>
        <v>18447021.843531165</v>
      </c>
      <c r="AC156">
        <f t="shared" si="32"/>
        <v>1786555.6673786396</v>
      </c>
      <c r="AD156" s="4">
        <v>0.2</v>
      </c>
      <c r="AE156">
        <f t="shared" si="30"/>
        <v>357311.13347572793</v>
      </c>
      <c r="AF156">
        <f t="shared" si="31"/>
        <v>1</v>
      </c>
    </row>
    <row r="157" spans="1:32" x14ac:dyDescent="0.25">
      <c r="A157" s="2">
        <v>156</v>
      </c>
      <c r="B157">
        <f t="shared" si="23"/>
        <v>151594.030702202</v>
      </c>
      <c r="C157" s="4">
        <v>0.08</v>
      </c>
      <c r="D157">
        <f t="shared" si="24"/>
        <v>1070253.8567575472</v>
      </c>
      <c r="Q157">
        <f t="shared" si="25"/>
        <v>1070253.8567575549</v>
      </c>
      <c r="R157">
        <f t="shared" si="26"/>
        <v>714.59859204745555</v>
      </c>
      <c r="S157">
        <f t="shared" si="27"/>
        <v>5976835.0773040978</v>
      </c>
      <c r="T157" s="4">
        <v>0.08</v>
      </c>
      <c r="V157">
        <f>SUM($R$2:R157)</f>
        <v>36322.990086590413</v>
      </c>
      <c r="W157">
        <f t="shared" si="28"/>
        <v>76.588770055645455</v>
      </c>
      <c r="Z157">
        <f t="shared" si="33"/>
        <v>7.9349688232307558E-5</v>
      </c>
      <c r="AA157" s="4">
        <v>0.3</v>
      </c>
      <c r="AB157">
        <f t="shared" si="29"/>
        <v>19922783.591013659</v>
      </c>
      <c r="AC157">
        <f t="shared" si="32"/>
        <v>1893749.007421358</v>
      </c>
      <c r="AD157" s="4">
        <v>0.2</v>
      </c>
      <c r="AE157">
        <f t="shared" si="30"/>
        <v>378749.80148427165</v>
      </c>
      <c r="AF157">
        <f t="shared" si="31"/>
        <v>1</v>
      </c>
    </row>
    <row r="158" spans="1:32" x14ac:dyDescent="0.25">
      <c r="A158" s="2">
        <v>157</v>
      </c>
      <c r="B158">
        <f t="shared" si="23"/>
        <v>163721.55315837817</v>
      </c>
      <c r="C158" s="4">
        <v>0.08</v>
      </c>
      <c r="D158">
        <f t="shared" si="24"/>
        <v>1155874.1652981511</v>
      </c>
      <c r="Q158">
        <f t="shared" si="25"/>
        <v>1155874.1652981592</v>
      </c>
      <c r="R158">
        <f t="shared" si="26"/>
        <v>728.08158435023768</v>
      </c>
      <c r="S158">
        <f t="shared" si="27"/>
        <v>6454981.883488426</v>
      </c>
      <c r="T158" s="4">
        <v>0.08</v>
      </c>
      <c r="V158">
        <f>SUM($R$2:R158)</f>
        <v>37051.071670940648</v>
      </c>
      <c r="W158">
        <f t="shared" si="28"/>
        <v>78.123965063342155</v>
      </c>
      <c r="Z158">
        <f t="shared" si="33"/>
        <v>7.3471933548432922E-5</v>
      </c>
      <c r="AA158" s="4">
        <v>0.3</v>
      </c>
      <c r="AB158">
        <f t="shared" si="29"/>
        <v>21516606.278294753</v>
      </c>
      <c r="AC158">
        <f t="shared" si="32"/>
        <v>2007373.9478666396</v>
      </c>
      <c r="AD158" s="4">
        <v>0.2</v>
      </c>
      <c r="AE158">
        <f t="shared" si="30"/>
        <v>401474.78957332793</v>
      </c>
      <c r="AF158">
        <f t="shared" si="31"/>
        <v>1</v>
      </c>
    </row>
    <row r="159" spans="1:32" x14ac:dyDescent="0.25">
      <c r="A159" s="2">
        <v>158</v>
      </c>
      <c r="B159">
        <f t="shared" si="23"/>
        <v>176819.27741104842</v>
      </c>
      <c r="C159" s="4">
        <v>0.08</v>
      </c>
      <c r="D159">
        <f t="shared" si="24"/>
        <v>1248344.0985220033</v>
      </c>
      <c r="Q159">
        <f t="shared" si="25"/>
        <v>1248344.0985220121</v>
      </c>
      <c r="R159">
        <f t="shared" si="26"/>
        <v>741.81897273420441</v>
      </c>
      <c r="S159">
        <f t="shared" si="27"/>
        <v>6971380.4341675006</v>
      </c>
      <c r="T159" s="4">
        <v>0.08</v>
      </c>
      <c r="V159">
        <f>SUM($R$2:R159)</f>
        <v>37792.890643674851</v>
      </c>
      <c r="W159">
        <f t="shared" si="28"/>
        <v>79.688126014580291</v>
      </c>
      <c r="Z159">
        <f t="shared" si="33"/>
        <v>6.8029568100400851E-5</v>
      </c>
      <c r="AA159" s="4">
        <v>0.3</v>
      </c>
      <c r="AB159">
        <f t="shared" si="29"/>
        <v>23237934.780558337</v>
      </c>
      <c r="AC159">
        <f t="shared" si="32"/>
        <v>2127816.3847386381</v>
      </c>
      <c r="AD159" s="4">
        <v>0.2</v>
      </c>
      <c r="AE159">
        <f t="shared" si="30"/>
        <v>425563.27694772766</v>
      </c>
      <c r="AF159">
        <f t="shared" si="31"/>
        <v>1</v>
      </c>
    </row>
    <row r="160" spans="1:32" x14ac:dyDescent="0.25">
      <c r="A160" s="2">
        <v>159</v>
      </c>
      <c r="B160">
        <f t="shared" si="23"/>
        <v>190964.81960393229</v>
      </c>
      <c r="C160" s="4">
        <v>0.08</v>
      </c>
      <c r="D160">
        <f t="shared" si="24"/>
        <v>1348211.6264037634</v>
      </c>
      <c r="Q160">
        <f t="shared" si="25"/>
        <v>1348211.6264037732</v>
      </c>
      <c r="R160">
        <f t="shared" si="26"/>
        <v>755.81555712541581</v>
      </c>
      <c r="S160">
        <f t="shared" si="27"/>
        <v>7529090.8689009007</v>
      </c>
      <c r="T160" s="4">
        <v>0.08</v>
      </c>
      <c r="V160">
        <f>SUM($R$2:R160)</f>
        <v>38548.706200800269</v>
      </c>
      <c r="W160">
        <f t="shared" si="28"/>
        <v>81.281799436596529</v>
      </c>
      <c r="Z160">
        <f t="shared" si="33"/>
        <v>6.2990340833704486E-5</v>
      </c>
      <c r="AA160" s="4">
        <v>0.3</v>
      </c>
      <c r="AB160">
        <f t="shared" si="29"/>
        <v>25096969.563003004</v>
      </c>
      <c r="AC160">
        <f t="shared" si="32"/>
        <v>2255485.3678229563</v>
      </c>
      <c r="AD160" s="4">
        <v>0.2</v>
      </c>
      <c r="AE160">
        <f t="shared" si="30"/>
        <v>451097.07356459129</v>
      </c>
      <c r="AF160">
        <f t="shared" si="31"/>
        <v>1</v>
      </c>
    </row>
    <row r="161" spans="1:32" x14ac:dyDescent="0.25">
      <c r="A161" s="2">
        <v>160</v>
      </c>
      <c r="B161">
        <f t="shared" si="23"/>
        <v>206242.00517224689</v>
      </c>
      <c r="C161" s="4">
        <v>0.08</v>
      </c>
      <c r="D161">
        <f t="shared" si="24"/>
        <v>1456068.5565160646</v>
      </c>
      <c r="Q161">
        <f t="shared" si="25"/>
        <v>1456068.5565160753</v>
      </c>
      <c r="R161">
        <f t="shared" si="26"/>
        <v>770.07622801457444</v>
      </c>
      <c r="S161">
        <f t="shared" si="27"/>
        <v>8131418.1384129729</v>
      </c>
      <c r="T161" s="4">
        <v>0.08</v>
      </c>
      <c r="V161">
        <f>SUM($R$2:R161)</f>
        <v>39318.78242881484</v>
      </c>
      <c r="W161">
        <f t="shared" si="28"/>
        <v>82.905542168462105</v>
      </c>
      <c r="Z161">
        <f t="shared" si="33"/>
        <v>5.8324389660837484E-5</v>
      </c>
      <c r="AA161" s="4">
        <v>0.3</v>
      </c>
      <c r="AB161">
        <f t="shared" si="29"/>
        <v>27104727.128043246</v>
      </c>
      <c r="AC161">
        <f t="shared" si="32"/>
        <v>2390814.4898923337</v>
      </c>
      <c r="AD161" s="4">
        <v>0.2</v>
      </c>
      <c r="AE161">
        <f t="shared" si="30"/>
        <v>478162.89797846676</v>
      </c>
      <c r="AF161">
        <f t="shared" si="31"/>
        <v>1</v>
      </c>
    </row>
    <row r="162" spans="1:32" x14ac:dyDescent="0.25">
      <c r="A162" s="2">
        <v>161</v>
      </c>
      <c r="B162">
        <f t="shared" si="23"/>
        <v>222741.36558602663</v>
      </c>
      <c r="C162" s="4">
        <v>0.08</v>
      </c>
      <c r="D162">
        <f t="shared" si="24"/>
        <v>1572554.0410373497</v>
      </c>
      <c r="Q162">
        <f t="shared" si="25"/>
        <v>1572554.0410373614</v>
      </c>
      <c r="R162">
        <f t="shared" si="26"/>
        <v>784.60596816579323</v>
      </c>
      <c r="S162">
        <f t="shared" si="27"/>
        <v>8781931.5894860122</v>
      </c>
      <c r="T162" s="4">
        <v>0.08</v>
      </c>
      <c r="V162">
        <f>SUM($R$2:R162)</f>
        <v>40103.388396980634</v>
      </c>
      <c r="W162">
        <f t="shared" si="28"/>
        <v>84.559921555645914</v>
      </c>
      <c r="Z162">
        <f t="shared" si="33"/>
        <v>5.4004064500775441E-5</v>
      </c>
      <c r="AA162" s="4">
        <v>0.3</v>
      </c>
      <c r="AB162">
        <f t="shared" si="29"/>
        <v>29273105.29828671</v>
      </c>
      <c r="AC162">
        <f t="shared" si="32"/>
        <v>2534263.3592858738</v>
      </c>
      <c r="AD162" s="4">
        <v>0.2</v>
      </c>
      <c r="AE162">
        <f t="shared" si="30"/>
        <v>506852.67185717478</v>
      </c>
      <c r="AF162">
        <f t="shared" si="31"/>
        <v>1</v>
      </c>
    </row>
    <row r="163" spans="1:32" x14ac:dyDescent="0.25">
      <c r="A163" s="2">
        <v>162</v>
      </c>
      <c r="B163">
        <f t="shared" si="23"/>
        <v>240560.67483290876</v>
      </c>
      <c r="C163" s="4">
        <v>0.08</v>
      </c>
      <c r="D163">
        <f t="shared" si="24"/>
        <v>1698358.3643203378</v>
      </c>
      <c r="Q163">
        <f t="shared" si="25"/>
        <v>1698358.3643203501</v>
      </c>
      <c r="R163">
        <f t="shared" si="26"/>
        <v>799.40985435760069</v>
      </c>
      <c r="S163">
        <f t="shared" si="27"/>
        <v>9484486.1166448947</v>
      </c>
      <c r="T163" s="4">
        <v>0.08</v>
      </c>
      <c r="V163">
        <f>SUM($R$2:R163)</f>
        <v>40902.798251338238</v>
      </c>
      <c r="W163">
        <f t="shared" si="28"/>
        <v>86.245515648248301</v>
      </c>
      <c r="Z163">
        <f t="shared" si="33"/>
        <v>5.0003763426643918E-5</v>
      </c>
      <c r="AA163" s="4">
        <v>0.3</v>
      </c>
      <c r="AB163">
        <f t="shared" si="29"/>
        <v>31614953.722149651</v>
      </c>
      <c r="AC163">
        <f t="shared" si="32"/>
        <v>2686319.1608430264</v>
      </c>
      <c r="AD163" s="4">
        <v>0.2</v>
      </c>
      <c r="AE163">
        <f t="shared" si="30"/>
        <v>537263.8321686053</v>
      </c>
      <c r="AF163">
        <f t="shared" si="31"/>
        <v>1</v>
      </c>
    </row>
    <row r="164" spans="1:32" x14ac:dyDescent="0.25">
      <c r="A164" s="2">
        <v>163</v>
      </c>
      <c r="B164">
        <f t="shared" si="23"/>
        <v>259805.52881954145</v>
      </c>
      <c r="C164" s="4">
        <v>0.08</v>
      </c>
      <c r="D164">
        <f t="shared" si="24"/>
        <v>1834227.0334659647</v>
      </c>
      <c r="Q164">
        <f t="shared" si="25"/>
        <v>1834227.0334659782</v>
      </c>
      <c r="R164">
        <f t="shared" si="26"/>
        <v>814.49305915680065</v>
      </c>
      <c r="S164">
        <f t="shared" si="27"/>
        <v>10243245.005976487</v>
      </c>
      <c r="T164" s="4">
        <v>0.08</v>
      </c>
      <c r="V164">
        <f>SUM($R$2:R164)</f>
        <v>41717.291310495035</v>
      </c>
      <c r="W164">
        <f t="shared" si="28"/>
        <v>87.962913402975232</v>
      </c>
      <c r="Z164">
        <f t="shared" si="33"/>
        <v>4.6299780950596215E-5</v>
      </c>
      <c r="AA164" s="4">
        <v>0.3</v>
      </c>
      <c r="AB164">
        <f t="shared" si="29"/>
        <v>34144150.019921623</v>
      </c>
      <c r="AC164">
        <f t="shared" si="32"/>
        <v>2847498.310493608</v>
      </c>
      <c r="AD164" s="4">
        <v>0.2</v>
      </c>
      <c r="AE164">
        <f t="shared" si="30"/>
        <v>569499.6620987216</v>
      </c>
      <c r="AF164">
        <f t="shared" si="31"/>
        <v>1</v>
      </c>
    </row>
    <row r="165" spans="1:32" x14ac:dyDescent="0.25">
      <c r="A165" s="2">
        <v>164</v>
      </c>
      <c r="B165">
        <f t="shared" si="23"/>
        <v>280589.97112510476</v>
      </c>
      <c r="C165" s="4">
        <v>0.08</v>
      </c>
      <c r="D165">
        <f t="shared" si="24"/>
        <v>1980965.1961432418</v>
      </c>
      <c r="Q165">
        <f t="shared" si="25"/>
        <v>1980965.1961432567</v>
      </c>
      <c r="R165">
        <f t="shared" si="26"/>
        <v>829.8608527257968</v>
      </c>
      <c r="S165">
        <f t="shared" si="27"/>
        <v>11062704.606454607</v>
      </c>
      <c r="T165" s="4">
        <v>0.08</v>
      </c>
      <c r="V165">
        <f>SUM($R$2:R165)</f>
        <v>42547.152163220831</v>
      </c>
      <c r="W165">
        <f t="shared" si="28"/>
        <v>89.712714888923443</v>
      </c>
      <c r="Z165">
        <f t="shared" si="33"/>
        <v>4.2870167546848345E-5</v>
      </c>
      <c r="AA165" s="4">
        <v>0.3</v>
      </c>
      <c r="AB165">
        <f t="shared" si="29"/>
        <v>36875682.021515362</v>
      </c>
      <c r="AC165">
        <f t="shared" si="32"/>
        <v>3018348.2091232245</v>
      </c>
      <c r="AD165" s="4">
        <v>0.2</v>
      </c>
      <c r="AE165">
        <f t="shared" si="30"/>
        <v>603669.64182464487</v>
      </c>
      <c r="AF165">
        <f t="shared" si="31"/>
        <v>1</v>
      </c>
    </row>
    <row r="166" spans="1:32" x14ac:dyDescent="0.25">
      <c r="A166" s="2">
        <v>165</v>
      </c>
      <c r="B166">
        <f t="shared" ref="B166:B200" si="34">B165+B165*C165</f>
        <v>303037.16881511314</v>
      </c>
      <c r="C166" s="4">
        <v>0.08</v>
      </c>
      <c r="D166">
        <f t="shared" ref="D166:D200" si="35">D165+D165*C165</f>
        <v>2139442.411834701</v>
      </c>
      <c r="Q166">
        <f t="shared" ref="Q166:Q200" si="36">$D$2*((1+$C$2)^A165)</f>
        <v>2139442.4118347177</v>
      </c>
      <c r="R166">
        <f t="shared" ref="R166:R200" si="37">S166/((1+$U$2)^A165)</f>
        <v>845.51860466401945</v>
      </c>
      <c r="S166">
        <f t="shared" ref="S166:S200" si="38">S165*(1+T165)</f>
        <v>11947720.974970976</v>
      </c>
      <c r="T166" s="4">
        <v>0.08</v>
      </c>
      <c r="V166">
        <f>SUM($R$2:R166)</f>
        <v>43392.670767884854</v>
      </c>
      <c r="W166">
        <f t="shared" ref="W166:W200" si="39">V166/$W$2</f>
        <v>91.495531497248038</v>
      </c>
      <c r="Z166">
        <f t="shared" si="33"/>
        <v>3.9694599580415133E-5</v>
      </c>
      <c r="AA166" s="4">
        <v>0.3</v>
      </c>
      <c r="AB166">
        <f t="shared" si="29"/>
        <v>39825736.58323659</v>
      </c>
      <c r="AC166">
        <f t="shared" si="32"/>
        <v>3199449.1016706182</v>
      </c>
      <c r="AD166" s="4">
        <v>0.2</v>
      </c>
      <c r="AE166">
        <f t="shared" si="30"/>
        <v>639889.82033412368</v>
      </c>
      <c r="AF166">
        <f t="shared" si="31"/>
        <v>1</v>
      </c>
    </row>
    <row r="167" spans="1:32" x14ac:dyDescent="0.25">
      <c r="A167" s="2">
        <v>166</v>
      </c>
      <c r="B167">
        <f t="shared" si="34"/>
        <v>327280.14232032216</v>
      </c>
      <c r="C167" s="4">
        <v>0.08</v>
      </c>
      <c r="D167">
        <f t="shared" si="35"/>
        <v>2310597.804781477</v>
      </c>
      <c r="Q167">
        <f t="shared" si="36"/>
        <v>2310597.8047814951</v>
      </c>
      <c r="R167">
        <f t="shared" si="37"/>
        <v>861.47178588409531</v>
      </c>
      <c r="S167">
        <f t="shared" si="38"/>
        <v>12903538.652968654</v>
      </c>
      <c r="T167" s="4">
        <v>0.08</v>
      </c>
      <c r="V167">
        <f>SUM($R$2:R167)</f>
        <v>44254.14255376895</v>
      </c>
      <c r="W167">
        <f t="shared" si="39"/>
        <v>93.311986154786297</v>
      </c>
      <c r="Z167">
        <f t="shared" si="33"/>
        <v>3.6754258870754755E-5</v>
      </c>
      <c r="AA167" s="4">
        <v>0.3</v>
      </c>
      <c r="AB167">
        <f t="shared" si="29"/>
        <v>43011795.509895518</v>
      </c>
      <c r="AC167">
        <f t="shared" si="32"/>
        <v>3391416.0477708555</v>
      </c>
      <c r="AD167" s="4">
        <v>0.2</v>
      </c>
      <c r="AE167">
        <f t="shared" si="30"/>
        <v>678283.20955417119</v>
      </c>
      <c r="AF167">
        <f t="shared" si="31"/>
        <v>1</v>
      </c>
    </row>
    <row r="168" spans="1:32" x14ac:dyDescent="0.25">
      <c r="A168" s="2">
        <v>167</v>
      </c>
      <c r="B168">
        <f t="shared" si="34"/>
        <v>353462.55370594794</v>
      </c>
      <c r="C168" s="4">
        <v>0.08</v>
      </c>
      <c r="D168">
        <f t="shared" si="35"/>
        <v>2495445.6291639949</v>
      </c>
      <c r="Q168">
        <f t="shared" si="36"/>
        <v>2495445.6291640149</v>
      </c>
      <c r="R168">
        <f t="shared" si="37"/>
        <v>877.72597052341769</v>
      </c>
      <c r="S168">
        <f t="shared" si="38"/>
        <v>13935821.745206147</v>
      </c>
      <c r="T168" s="4">
        <v>0.08</v>
      </c>
      <c r="V168">
        <f>SUM($R$2:R168)</f>
        <v>45131.868524292368</v>
      </c>
      <c r="W168">
        <f t="shared" si="39"/>
        <v>95.16271354171208</v>
      </c>
      <c r="Z168">
        <f t="shared" si="33"/>
        <v>3.4031721176624766E-5</v>
      </c>
      <c r="AA168" s="4">
        <v>0.3</v>
      </c>
      <c r="AB168">
        <f t="shared" si="29"/>
        <v>46452739.150687158</v>
      </c>
      <c r="AC168">
        <f t="shared" si="32"/>
        <v>3594901.0106371068</v>
      </c>
      <c r="AD168" s="4">
        <v>0.2</v>
      </c>
      <c r="AE168">
        <f t="shared" si="30"/>
        <v>718980.20212742139</v>
      </c>
      <c r="AF168">
        <f t="shared" si="31"/>
        <v>1</v>
      </c>
    </row>
    <row r="169" spans="1:32" x14ac:dyDescent="0.25">
      <c r="A169" s="2">
        <v>168</v>
      </c>
      <c r="B169">
        <f t="shared" si="34"/>
        <v>381739.55800242379</v>
      </c>
      <c r="C169" s="4">
        <v>0.08</v>
      </c>
      <c r="D169">
        <f t="shared" si="35"/>
        <v>2695081.2794971145</v>
      </c>
      <c r="Q169">
        <f t="shared" si="36"/>
        <v>2695081.2794971359</v>
      </c>
      <c r="R169">
        <f t="shared" si="37"/>
        <v>894.28683789178399</v>
      </c>
      <c r="S169">
        <f t="shared" si="38"/>
        <v>15050687.48482264</v>
      </c>
      <c r="T169" s="4">
        <v>0.08</v>
      </c>
      <c r="V169">
        <f>SUM($R$2:R169)</f>
        <v>46026.155362184152</v>
      </c>
      <c r="W169">
        <f t="shared" si="39"/>
        <v>97.048360313296826</v>
      </c>
      <c r="Z169">
        <f t="shared" si="33"/>
        <v>3.1510852941319226E-5</v>
      </c>
      <c r="AA169" s="4">
        <v>0.3</v>
      </c>
      <c r="AB169">
        <f t="shared" si="29"/>
        <v>50168958.282742135</v>
      </c>
      <c r="AC169">
        <f t="shared" si="32"/>
        <v>3810595.0712753334</v>
      </c>
      <c r="AD169" s="4">
        <v>0.2</v>
      </c>
      <c r="AE169">
        <f t="shared" si="30"/>
        <v>762119.01425506675</v>
      </c>
      <c r="AF169">
        <f t="shared" si="31"/>
        <v>1</v>
      </c>
    </row>
    <row r="170" spans="1:32" x14ac:dyDescent="0.25">
      <c r="A170" s="2">
        <v>169</v>
      </c>
      <c r="B170">
        <f t="shared" si="34"/>
        <v>412278.72264261771</v>
      </c>
      <c r="C170" s="4">
        <v>0.08</v>
      </c>
      <c r="D170">
        <f t="shared" si="35"/>
        <v>2910687.7818568838</v>
      </c>
      <c r="Q170">
        <f t="shared" si="36"/>
        <v>2910687.7818569071</v>
      </c>
      <c r="R170">
        <f t="shared" si="37"/>
        <v>911.16017445578018</v>
      </c>
      <c r="S170">
        <f t="shared" si="38"/>
        <v>16254742.483608453</v>
      </c>
      <c r="T170" s="4">
        <v>0.08</v>
      </c>
      <c r="V170">
        <f>SUM($R$2:R170)</f>
        <v>46937.31553663993</v>
      </c>
      <c r="W170">
        <f t="shared" si="39"/>
        <v>98.969585325854865</v>
      </c>
      <c r="Z170">
        <f t="shared" si="33"/>
        <v>2.917671568640669E-5</v>
      </c>
      <c r="AA170" s="4">
        <v>0.3</v>
      </c>
      <c r="AB170">
        <f t="shared" si="29"/>
        <v>54182474.94536151</v>
      </c>
      <c r="AC170">
        <f t="shared" si="32"/>
        <v>4039230.7755518537</v>
      </c>
      <c r="AD170" s="4">
        <v>0.2</v>
      </c>
      <c r="AE170">
        <f t="shared" si="30"/>
        <v>807846.15511037083</v>
      </c>
      <c r="AF170">
        <f t="shared" si="31"/>
        <v>1</v>
      </c>
    </row>
    <row r="171" spans="1:32" x14ac:dyDescent="0.25">
      <c r="A171" s="2">
        <v>170</v>
      </c>
      <c r="B171">
        <f t="shared" si="34"/>
        <v>445261.02045402711</v>
      </c>
      <c r="C171" s="4">
        <v>0.08</v>
      </c>
      <c r="D171">
        <f t="shared" si="35"/>
        <v>3143542.8044054345</v>
      </c>
      <c r="Q171">
        <f t="shared" si="36"/>
        <v>3143542.8044054601</v>
      </c>
      <c r="R171">
        <f t="shared" si="37"/>
        <v>928.35187586060624</v>
      </c>
      <c r="S171">
        <f t="shared" si="38"/>
        <v>17555121.882297128</v>
      </c>
      <c r="T171" s="4">
        <v>0.08</v>
      </c>
      <c r="V171">
        <f>SUM($R$2:R171)</f>
        <v>47865.667412500537</v>
      </c>
      <c r="W171">
        <f t="shared" si="39"/>
        <v>100.92705986695175</v>
      </c>
      <c r="Z171">
        <f t="shared" si="33"/>
        <v>2.7015477487413603E-5</v>
      </c>
      <c r="AA171" s="4">
        <v>0.3</v>
      </c>
      <c r="AB171">
        <f t="shared" si="29"/>
        <v>58517072.940990433</v>
      </c>
      <c r="AC171">
        <f t="shared" si="32"/>
        <v>4281584.622084965</v>
      </c>
      <c r="AD171" s="4">
        <v>0.2</v>
      </c>
      <c r="AE171">
        <f t="shared" si="30"/>
        <v>856316.92441699305</v>
      </c>
      <c r="AF171">
        <f t="shared" si="31"/>
        <v>1</v>
      </c>
    </row>
    <row r="172" spans="1:32" x14ac:dyDescent="0.25">
      <c r="A172" s="2">
        <v>171</v>
      </c>
      <c r="B172">
        <f t="shared" si="34"/>
        <v>480881.90209034929</v>
      </c>
      <c r="C172" s="4">
        <v>0.08</v>
      </c>
      <c r="D172">
        <f t="shared" si="35"/>
        <v>3395026.2287578695</v>
      </c>
      <c r="Q172">
        <f t="shared" si="36"/>
        <v>3395026.2287578965</v>
      </c>
      <c r="R172">
        <f t="shared" si="37"/>
        <v>945.86794899005145</v>
      </c>
      <c r="S172">
        <f t="shared" si="38"/>
        <v>18959531.6328809</v>
      </c>
      <c r="T172" s="4">
        <v>0.08</v>
      </c>
      <c r="V172">
        <f>SUM($R$2:R172)</f>
        <v>48811.535361490591</v>
      </c>
      <c r="W172">
        <f t="shared" si="39"/>
        <v>102.92146788995612</v>
      </c>
      <c r="Z172">
        <f t="shared" si="33"/>
        <v>2.5014331006864447E-5</v>
      </c>
      <c r="AA172" s="4">
        <v>0.3</v>
      </c>
      <c r="AB172">
        <f t="shared" si="29"/>
        <v>63198438.776269667</v>
      </c>
      <c r="AC172">
        <f t="shared" si="32"/>
        <v>4538479.6994100632</v>
      </c>
      <c r="AD172" s="4">
        <v>0.2</v>
      </c>
      <c r="AE172">
        <f t="shared" si="30"/>
        <v>907695.93988201267</v>
      </c>
      <c r="AF172">
        <f t="shared" si="31"/>
        <v>1</v>
      </c>
    </row>
    <row r="173" spans="1:32" x14ac:dyDescent="0.25">
      <c r="A173" s="2">
        <v>172</v>
      </c>
      <c r="B173">
        <f t="shared" si="34"/>
        <v>519352.45425757725</v>
      </c>
      <c r="C173" s="4">
        <v>0.08</v>
      </c>
      <c r="D173">
        <f t="shared" si="35"/>
        <v>3666628.3270584992</v>
      </c>
      <c r="Q173">
        <f t="shared" si="36"/>
        <v>3666628.3270585281</v>
      </c>
      <c r="R173">
        <f t="shared" si="37"/>
        <v>963.71451406533538</v>
      </c>
      <c r="S173">
        <f t="shared" si="38"/>
        <v>20476294.163511373</v>
      </c>
      <c r="T173" s="4">
        <v>0.08</v>
      </c>
      <c r="V173">
        <f>SUM($R$2:R173)</f>
        <v>49775.249875555928</v>
      </c>
      <c r="W173">
        <f t="shared" si="39"/>
        <v>104.95350625301718</v>
      </c>
      <c r="Z173">
        <f t="shared" si="33"/>
        <v>2.3161417598948559E-5</v>
      </c>
      <c r="AA173" s="4">
        <v>0.3</v>
      </c>
      <c r="AB173">
        <f t="shared" si="29"/>
        <v>68254313.878371254</v>
      </c>
      <c r="AC173">
        <f t="shared" si="32"/>
        <v>4810788.481374667</v>
      </c>
      <c r="AD173" s="4">
        <v>0.2</v>
      </c>
      <c r="AE173">
        <f t="shared" si="30"/>
        <v>962157.69627493341</v>
      </c>
      <c r="AF173">
        <f t="shared" si="31"/>
        <v>1</v>
      </c>
    </row>
    <row r="174" spans="1:32" x14ac:dyDescent="0.25">
      <c r="A174" s="2">
        <v>173</v>
      </c>
      <c r="B174">
        <f t="shared" si="34"/>
        <v>560900.65059818339</v>
      </c>
      <c r="C174" s="4">
        <v>0.08</v>
      </c>
      <c r="D174">
        <f t="shared" si="35"/>
        <v>3959958.5932231792</v>
      </c>
      <c r="Q174">
        <f t="shared" si="36"/>
        <v>3959958.5932232109</v>
      </c>
      <c r="R174">
        <f t="shared" si="37"/>
        <v>981.89780678354941</v>
      </c>
      <c r="S174">
        <f t="shared" si="38"/>
        <v>22114397.696592286</v>
      </c>
      <c r="T174" s="4">
        <v>0.08</v>
      </c>
      <c r="V174">
        <f>SUM($R$2:R174)</f>
        <v>50757.147682339477</v>
      </c>
      <c r="W174">
        <f t="shared" si="39"/>
        <v>107.02388496255108</v>
      </c>
      <c r="Z174">
        <f t="shared" si="33"/>
        <v>2.1445757036063478E-5</v>
      </c>
      <c r="AA174" s="4">
        <v>0.3</v>
      </c>
      <c r="AB174">
        <f t="shared" si="29"/>
        <v>73714658.988640964</v>
      </c>
      <c r="AC174">
        <f t="shared" si="32"/>
        <v>5099435.7902571475</v>
      </c>
      <c r="AD174" s="4">
        <v>0.2</v>
      </c>
      <c r="AE174">
        <f t="shared" si="30"/>
        <v>1019887.1580514295</v>
      </c>
      <c r="AF174">
        <f t="shared" si="31"/>
        <v>1</v>
      </c>
    </row>
    <row r="175" spans="1:32" x14ac:dyDescent="0.25">
      <c r="A175" s="2">
        <v>174</v>
      </c>
      <c r="B175">
        <f t="shared" si="34"/>
        <v>605772.70264603803</v>
      </c>
      <c r="C175" s="4">
        <v>0.08</v>
      </c>
      <c r="D175">
        <f t="shared" si="35"/>
        <v>4276755.2806810336</v>
      </c>
      <c r="Q175">
        <f t="shared" si="36"/>
        <v>4276755.2806810681</v>
      </c>
      <c r="R175">
        <f t="shared" si="37"/>
        <v>1000.4241804964466</v>
      </c>
      <c r="S175">
        <f t="shared" si="38"/>
        <v>23883549.512319669</v>
      </c>
      <c r="T175" s="4">
        <v>0.08</v>
      </c>
      <c r="V175">
        <f>SUM($R$2:R175)</f>
        <v>51757.571862835925</v>
      </c>
      <c r="W175">
        <f t="shared" si="39"/>
        <v>109.13332742132148</v>
      </c>
      <c r="Z175">
        <f t="shared" si="33"/>
        <v>1.9857182440799518E-5</v>
      </c>
      <c r="AA175" s="4">
        <v>0.3</v>
      </c>
      <c r="AB175">
        <f t="shared" si="29"/>
        <v>79611831.70773223</v>
      </c>
      <c r="AC175">
        <f t="shared" si="32"/>
        <v>5405401.9376725769</v>
      </c>
      <c r="AD175" s="4">
        <v>0.2</v>
      </c>
      <c r="AE175">
        <f t="shared" si="30"/>
        <v>1081080.3875345155</v>
      </c>
      <c r="AF175">
        <f t="shared" si="31"/>
        <v>1</v>
      </c>
    </row>
    <row r="176" spans="1:32" x14ac:dyDescent="0.25">
      <c r="A176" s="2">
        <v>175</v>
      </c>
      <c r="B176">
        <f t="shared" si="34"/>
        <v>654234.51885772112</v>
      </c>
      <c r="C176" s="4">
        <v>0.08</v>
      </c>
      <c r="D176">
        <f t="shared" si="35"/>
        <v>4618895.7031355165</v>
      </c>
      <c r="Q176">
        <f t="shared" si="36"/>
        <v>4618895.7031355537</v>
      </c>
      <c r="R176">
        <f t="shared" si="37"/>
        <v>1019.3001084303418</v>
      </c>
      <c r="S176">
        <f t="shared" si="38"/>
        <v>25794233.473305244</v>
      </c>
      <c r="T176" s="4">
        <v>0.08</v>
      </c>
      <c r="V176">
        <f>SUM($R$2:R176)</f>
        <v>52776.871971266264</v>
      </c>
      <c r="W176">
        <f t="shared" si="39"/>
        <v>111.28257068120074</v>
      </c>
      <c r="Z176">
        <f t="shared" si="33"/>
        <v>1.838628003777733E-5</v>
      </c>
      <c r="AA176" s="4">
        <v>0.3</v>
      </c>
      <c r="AB176">
        <f t="shared" si="29"/>
        <v>85980778.244350821</v>
      </c>
      <c r="AC176">
        <f t="shared" si="32"/>
        <v>5729726.0539329322</v>
      </c>
      <c r="AD176" s="4">
        <v>0.2</v>
      </c>
      <c r="AE176">
        <f t="shared" si="30"/>
        <v>1145945.2107865864</v>
      </c>
      <c r="AF176">
        <f t="shared" si="31"/>
        <v>1</v>
      </c>
    </row>
    <row r="177" spans="1:32" x14ac:dyDescent="0.25">
      <c r="A177" s="2">
        <v>176</v>
      </c>
      <c r="B177">
        <f t="shared" si="34"/>
        <v>706573.28036633879</v>
      </c>
      <c r="C177" s="4">
        <v>0.08</v>
      </c>
      <c r="D177">
        <f t="shared" si="35"/>
        <v>4988407.3593863575</v>
      </c>
      <c r="Q177">
        <f t="shared" si="36"/>
        <v>4988407.3593863985</v>
      </c>
      <c r="R177">
        <f t="shared" si="37"/>
        <v>1038.5321859478952</v>
      </c>
      <c r="S177">
        <f t="shared" si="38"/>
        <v>27857772.151169665</v>
      </c>
      <c r="T177" s="4">
        <v>0.08</v>
      </c>
      <c r="V177">
        <f>SUM($R$2:R177)</f>
        <v>53815.404157214158</v>
      </c>
      <c r="W177">
        <f t="shared" si="39"/>
        <v>113.47236570070038</v>
      </c>
      <c r="Z177">
        <f t="shared" si="33"/>
        <v>1.7024333368312341E-5</v>
      </c>
      <c r="AA177" s="4">
        <v>0.3</v>
      </c>
      <c r="AB177">
        <f t="shared" si="29"/>
        <v>92859240.503898889</v>
      </c>
      <c r="AC177">
        <f t="shared" si="32"/>
        <v>6073509.617168908</v>
      </c>
      <c r="AD177" s="4">
        <v>0.2</v>
      </c>
      <c r="AE177">
        <f t="shared" si="30"/>
        <v>1214701.9234337816</v>
      </c>
      <c r="AF177">
        <f t="shared" si="31"/>
        <v>1</v>
      </c>
    </row>
    <row r="178" spans="1:32" x14ac:dyDescent="0.25">
      <c r="A178" s="2">
        <v>177</v>
      </c>
      <c r="B178">
        <f t="shared" si="34"/>
        <v>763099.14279564586</v>
      </c>
      <c r="C178" s="4">
        <v>0.08</v>
      </c>
      <c r="D178">
        <f t="shared" si="35"/>
        <v>5387479.9481372666</v>
      </c>
      <c r="Q178">
        <f t="shared" si="36"/>
        <v>5387479.9481373094</v>
      </c>
      <c r="R178">
        <f t="shared" si="37"/>
        <v>1058.1271328525727</v>
      </c>
      <c r="S178">
        <f t="shared" si="38"/>
        <v>30086393.923263241</v>
      </c>
      <c r="T178" s="4">
        <v>0.08</v>
      </c>
      <c r="V178">
        <f>SUM($R$2:R178)</f>
        <v>54873.531290066734</v>
      </c>
      <c r="W178">
        <f t="shared" si="39"/>
        <v>115.70347760736038</v>
      </c>
      <c r="Z178">
        <f t="shared" si="33"/>
        <v>1.5763271637326241E-5</v>
      </c>
      <c r="AA178" s="4">
        <v>0.3</v>
      </c>
      <c r="AB178">
        <f t="shared" si="29"/>
        <v>100287979.74421081</v>
      </c>
      <c r="AC178">
        <f t="shared" si="32"/>
        <v>6437920.1941990424</v>
      </c>
      <c r="AD178" s="4">
        <v>0.2</v>
      </c>
      <c r="AE178">
        <f t="shared" si="30"/>
        <v>1287584.0388398087</v>
      </c>
      <c r="AF178">
        <f t="shared" si="31"/>
        <v>1</v>
      </c>
    </row>
    <row r="179" spans="1:32" x14ac:dyDescent="0.25">
      <c r="A179" s="2">
        <v>178</v>
      </c>
      <c r="B179">
        <f t="shared" si="34"/>
        <v>824147.0742192975</v>
      </c>
      <c r="C179" s="4">
        <v>0.08</v>
      </c>
      <c r="D179">
        <f t="shared" si="35"/>
        <v>5818478.3439882481</v>
      </c>
      <c r="Q179">
        <f t="shared" si="36"/>
        <v>5818478.3439882947</v>
      </c>
      <c r="R179">
        <f t="shared" si="37"/>
        <v>1078.0917957365834</v>
      </c>
      <c r="S179">
        <f t="shared" si="38"/>
        <v>32493305.437124301</v>
      </c>
      <c r="T179" s="4">
        <v>0.08</v>
      </c>
      <c r="V179">
        <f>SUM($R$2:R179)</f>
        <v>55951.623085803316</v>
      </c>
      <c r="W179">
        <f t="shared" si="39"/>
        <v>117.97668596508944</v>
      </c>
      <c r="Z179">
        <f t="shared" si="33"/>
        <v>1.4595621886413185E-5</v>
      </c>
      <c r="AA179" s="4">
        <v>0.3</v>
      </c>
      <c r="AB179">
        <f t="shared" si="29"/>
        <v>108311018.12374768</v>
      </c>
      <c r="AC179">
        <f t="shared" si="32"/>
        <v>6824195.4058509851</v>
      </c>
      <c r="AD179" s="4">
        <v>0.2</v>
      </c>
      <c r="AE179">
        <f t="shared" si="30"/>
        <v>1364839.0811701971</v>
      </c>
      <c r="AF179">
        <f t="shared" si="31"/>
        <v>1</v>
      </c>
    </row>
    <row r="180" spans="1:32" x14ac:dyDescent="0.25">
      <c r="A180" s="2">
        <v>179</v>
      </c>
      <c r="B180">
        <f t="shared" si="34"/>
        <v>890078.84015684132</v>
      </c>
      <c r="C180" s="4">
        <v>0.08</v>
      </c>
      <c r="D180">
        <f t="shared" si="35"/>
        <v>6283956.6115073077</v>
      </c>
      <c r="Q180">
        <f t="shared" si="36"/>
        <v>6283956.611507359</v>
      </c>
      <c r="R180">
        <f t="shared" si="37"/>
        <v>1098.433150373123</v>
      </c>
      <c r="S180">
        <f t="shared" si="38"/>
        <v>35092769.872094244</v>
      </c>
      <c r="T180" s="4">
        <v>0.08</v>
      </c>
      <c r="V180">
        <f>SUM($R$2:R180)</f>
        <v>57050.056236176439</v>
      </c>
      <c r="W180">
        <f t="shared" si="39"/>
        <v>120.29278504654924</v>
      </c>
      <c r="Z180">
        <f t="shared" si="33"/>
        <v>1.3514464709641839E-5</v>
      </c>
      <c r="AA180" s="4">
        <v>0.3</v>
      </c>
      <c r="AB180">
        <f t="shared" si="29"/>
        <v>116975899.57364748</v>
      </c>
      <c r="AC180">
        <f t="shared" si="32"/>
        <v>7233647.1302020447</v>
      </c>
      <c r="AD180" s="4">
        <v>0.2</v>
      </c>
      <c r="AE180">
        <f t="shared" si="30"/>
        <v>1446729.4260404091</v>
      </c>
      <c r="AF180">
        <f t="shared" si="31"/>
        <v>1</v>
      </c>
    </row>
    <row r="181" spans="1:32" x14ac:dyDescent="0.25">
      <c r="A181" s="2">
        <v>180</v>
      </c>
      <c r="B181">
        <f t="shared" si="34"/>
        <v>961285.14736938861</v>
      </c>
      <c r="C181" s="4">
        <v>0.08</v>
      </c>
      <c r="D181">
        <f t="shared" si="35"/>
        <v>6786673.1404278921</v>
      </c>
      <c r="Q181">
        <f t="shared" si="36"/>
        <v>6786673.1404279489</v>
      </c>
      <c r="R181">
        <f t="shared" si="37"/>
        <v>1119.1583041537478</v>
      </c>
      <c r="S181">
        <f t="shared" si="38"/>
        <v>37900191.461861789</v>
      </c>
      <c r="T181" s="4">
        <v>0.08</v>
      </c>
      <c r="V181">
        <f>SUM($R$2:R181)</f>
        <v>58169.214540330184</v>
      </c>
      <c r="W181">
        <f t="shared" si="39"/>
        <v>122.65258411067808</v>
      </c>
      <c r="Z181">
        <f t="shared" si="33"/>
        <v>1.2513393249668367E-5</v>
      </c>
      <c r="AA181" s="4">
        <v>0.3</v>
      </c>
      <c r="AB181">
        <f t="shared" si="29"/>
        <v>126333971.53953931</v>
      </c>
      <c r="AC181">
        <f t="shared" si="32"/>
        <v>7667665.9580141678</v>
      </c>
      <c r="AD181" s="4">
        <v>0.2</v>
      </c>
      <c r="AE181">
        <f t="shared" si="30"/>
        <v>1533533.1916028336</v>
      </c>
      <c r="AF181">
        <f t="shared" si="31"/>
        <v>1</v>
      </c>
    </row>
    <row r="182" spans="1:32" x14ac:dyDescent="0.25">
      <c r="A182" s="2">
        <v>181</v>
      </c>
      <c r="B182">
        <f t="shared" si="34"/>
        <v>1038187.9591589397</v>
      </c>
      <c r="C182" s="4">
        <v>0.08</v>
      </c>
      <c r="D182">
        <f t="shared" si="35"/>
        <v>7329606.9916621232</v>
      </c>
      <c r="Q182">
        <f t="shared" si="36"/>
        <v>7329606.9916621847</v>
      </c>
      <c r="R182">
        <f t="shared" si="37"/>
        <v>1140.2744985717432</v>
      </c>
      <c r="S182">
        <f t="shared" si="38"/>
        <v>40932206.778810732</v>
      </c>
      <c r="T182" s="4">
        <v>0.08</v>
      </c>
      <c r="V182">
        <f>SUM($R$2:R182)</f>
        <v>59309.489038901927</v>
      </c>
      <c r="W182">
        <f t="shared" si="39"/>
        <v>125.05690768545087</v>
      </c>
      <c r="Z182">
        <f t="shared" si="33"/>
        <v>1.1586475231174414E-5</v>
      </c>
      <c r="AA182" s="4">
        <v>0.3</v>
      </c>
      <c r="AB182">
        <f t="shared" si="29"/>
        <v>136440689.26270244</v>
      </c>
      <c r="AC182">
        <f t="shared" si="32"/>
        <v>8127725.9154950185</v>
      </c>
      <c r="AD182" s="4">
        <v>0.2</v>
      </c>
      <c r="AE182">
        <f t="shared" si="30"/>
        <v>1625545.1830990037</v>
      </c>
      <c r="AF182">
        <f t="shared" si="31"/>
        <v>1</v>
      </c>
    </row>
    <row r="183" spans="1:32" x14ac:dyDescent="0.25">
      <c r="A183" s="2">
        <v>182</v>
      </c>
      <c r="B183">
        <f t="shared" si="34"/>
        <v>1121242.9958916549</v>
      </c>
      <c r="C183" s="4">
        <v>0.08</v>
      </c>
      <c r="D183">
        <f t="shared" si="35"/>
        <v>7915975.5509950928</v>
      </c>
      <c r="Q183">
        <f t="shared" si="36"/>
        <v>7915975.550995159</v>
      </c>
      <c r="R183">
        <f t="shared" si="37"/>
        <v>1161.7891117523416</v>
      </c>
      <c r="S183">
        <f t="shared" si="38"/>
        <v>44206783.321115591</v>
      </c>
      <c r="T183" s="4">
        <v>0.08</v>
      </c>
      <c r="V183">
        <f>SUM($R$2:R183)</f>
        <v>60471.278150654267</v>
      </c>
      <c r="W183">
        <f t="shared" si="39"/>
        <v>127.50659585597408</v>
      </c>
      <c r="Z183">
        <f t="shared" si="33"/>
        <v>1.0728217806642976E-5</v>
      </c>
      <c r="AA183" s="4">
        <v>0.3</v>
      </c>
      <c r="AB183">
        <f t="shared" si="29"/>
        <v>147355944.40371865</v>
      </c>
      <c r="AC183">
        <f t="shared" si="32"/>
        <v>8615389.4704247192</v>
      </c>
      <c r="AD183" s="4">
        <v>0.2</v>
      </c>
      <c r="AE183">
        <f t="shared" si="30"/>
        <v>1723077.8940849439</v>
      </c>
      <c r="AF183">
        <f t="shared" si="31"/>
        <v>1</v>
      </c>
    </row>
    <row r="184" spans="1:32" x14ac:dyDescent="0.25">
      <c r="A184" s="2">
        <v>183</v>
      </c>
      <c r="B184">
        <f t="shared" si="34"/>
        <v>1210942.4355629873</v>
      </c>
      <c r="C184" s="4">
        <v>0.08</v>
      </c>
      <c r="D184">
        <f t="shared" si="35"/>
        <v>8549253.5950747002</v>
      </c>
      <c r="Q184">
        <f t="shared" si="36"/>
        <v>8549253.5950747747</v>
      </c>
      <c r="R184">
        <f t="shared" si="37"/>
        <v>1183.7096610306878</v>
      </c>
      <c r="S184">
        <f t="shared" si="38"/>
        <v>47743325.986804843</v>
      </c>
      <c r="T184" s="4">
        <v>0.08</v>
      </c>
      <c r="V184">
        <f>SUM($R$2:R184)</f>
        <v>61654.987811684958</v>
      </c>
      <c r="W184">
        <f t="shared" si="39"/>
        <v>130.00250455801662</v>
      </c>
      <c r="Z184">
        <f t="shared" si="33"/>
        <v>9.9335350061509023E-6</v>
      </c>
      <c r="AA184" s="4">
        <v>0.3</v>
      </c>
      <c r="AB184">
        <f t="shared" si="29"/>
        <v>159144419.95601615</v>
      </c>
      <c r="AC184">
        <f t="shared" si="32"/>
        <v>9132312.8386502024</v>
      </c>
      <c r="AD184" s="4">
        <v>0.2</v>
      </c>
      <c r="AE184">
        <f t="shared" si="30"/>
        <v>1826462.5677300405</v>
      </c>
      <c r="AF184">
        <f t="shared" si="31"/>
        <v>1</v>
      </c>
    </row>
    <row r="185" spans="1:32" x14ac:dyDescent="0.25">
      <c r="A185" s="2">
        <v>184</v>
      </c>
      <c r="B185">
        <f t="shared" si="34"/>
        <v>1307817.8304080262</v>
      </c>
      <c r="C185" s="4">
        <v>0.08</v>
      </c>
      <c r="D185">
        <f t="shared" si="35"/>
        <v>9233193.8826806769</v>
      </c>
      <c r="Q185">
        <f t="shared" si="36"/>
        <v>9233193.8826807551</v>
      </c>
      <c r="R185">
        <f t="shared" si="37"/>
        <v>1206.0438055784366</v>
      </c>
      <c r="S185">
        <f t="shared" si="38"/>
        <v>51562792.065749235</v>
      </c>
      <c r="T185" s="4">
        <v>0.08</v>
      </c>
      <c r="V185">
        <f>SUM($R$2:R185)</f>
        <v>62861.031617263397</v>
      </c>
      <c r="W185">
        <f t="shared" si="39"/>
        <v>132.54550587707882</v>
      </c>
      <c r="Z185">
        <f t="shared" si="33"/>
        <v>9.1977175982878715E-6</v>
      </c>
      <c r="AA185" s="4">
        <v>0.3</v>
      </c>
      <c r="AB185">
        <f t="shared" si="29"/>
        <v>171875973.55249745</v>
      </c>
      <c r="AC185">
        <f t="shared" si="32"/>
        <v>9680251.6089692153</v>
      </c>
      <c r="AD185" s="4">
        <v>0.2</v>
      </c>
      <c r="AE185">
        <f t="shared" si="30"/>
        <v>1936050.3217938431</v>
      </c>
      <c r="AF185">
        <f t="shared" si="31"/>
        <v>1</v>
      </c>
    </row>
    <row r="186" spans="1:32" x14ac:dyDescent="0.25">
      <c r="A186" s="2">
        <v>185</v>
      </c>
      <c r="B186">
        <f t="shared" si="34"/>
        <v>1412443.2568406684</v>
      </c>
      <c r="C186" s="4">
        <v>0.08</v>
      </c>
      <c r="D186">
        <f t="shared" si="35"/>
        <v>9971849.3932951316</v>
      </c>
      <c r="Q186">
        <f t="shared" si="36"/>
        <v>9971849.3932952154</v>
      </c>
      <c r="R186">
        <f t="shared" si="37"/>
        <v>1228.799349079917</v>
      </c>
      <c r="S186">
        <f t="shared" si="38"/>
        <v>55687815.431009181</v>
      </c>
      <c r="T186" s="4">
        <v>0.08</v>
      </c>
      <c r="V186">
        <f>SUM($R$2:R186)</f>
        <v>64089.830966343317</v>
      </c>
      <c r="W186">
        <f t="shared" si="39"/>
        <v>135.13648835310445</v>
      </c>
      <c r="Z186">
        <f t="shared" si="33"/>
        <v>8.5164051835998808E-6</v>
      </c>
      <c r="AA186" s="4">
        <v>0.3</v>
      </c>
      <c r="AB186">
        <f t="shared" si="29"/>
        <v>185626051.43669727</v>
      </c>
      <c r="AC186">
        <f t="shared" si="32"/>
        <v>10261066.705507368</v>
      </c>
      <c r="AD186" s="4">
        <v>0.2</v>
      </c>
      <c r="AE186">
        <f t="shared" si="30"/>
        <v>2052213.3411014737</v>
      </c>
      <c r="AF186">
        <f t="shared" si="31"/>
        <v>1</v>
      </c>
    </row>
    <row r="187" spans="1:32" x14ac:dyDescent="0.25">
      <c r="A187" s="2">
        <v>186</v>
      </c>
      <c r="B187">
        <f t="shared" si="34"/>
        <v>1525438.7173879219</v>
      </c>
      <c r="C187" s="4">
        <v>0.08</v>
      </c>
      <c r="D187">
        <f t="shared" si="35"/>
        <v>10769597.344758742</v>
      </c>
      <c r="Q187">
        <f t="shared" si="36"/>
        <v>10769597.344758835</v>
      </c>
      <c r="R187">
        <f t="shared" si="37"/>
        <v>1251.9842424587835</v>
      </c>
      <c r="S187">
        <f t="shared" si="38"/>
        <v>60142840.665489919</v>
      </c>
      <c r="T187" s="4">
        <v>0.08</v>
      </c>
      <c r="V187">
        <f>SUM($R$2:R187)</f>
        <v>65341.815208802102</v>
      </c>
      <c r="W187">
        <f t="shared" si="39"/>
        <v>137.77635729094189</v>
      </c>
      <c r="Z187">
        <f t="shared" si="33"/>
        <v>7.885560355185074E-6</v>
      </c>
      <c r="AA187" s="4">
        <v>0.3</v>
      </c>
      <c r="AB187">
        <f t="shared" si="29"/>
        <v>200476135.55163306</v>
      </c>
      <c r="AC187">
        <f t="shared" si="32"/>
        <v>10876730.707837811</v>
      </c>
      <c r="AD187" s="4">
        <v>0.2</v>
      </c>
      <c r="AE187">
        <f t="shared" si="30"/>
        <v>2175346.1415675622</v>
      </c>
      <c r="AF187">
        <f t="shared" si="31"/>
        <v>1</v>
      </c>
    </row>
    <row r="188" spans="1:32" x14ac:dyDescent="0.25">
      <c r="A188" s="2">
        <v>187</v>
      </c>
      <c r="B188">
        <f t="shared" si="34"/>
        <v>1647473.8147789557</v>
      </c>
      <c r="C188" s="4">
        <v>0.08</v>
      </c>
      <c r="D188">
        <f t="shared" si="35"/>
        <v>11631165.13233944</v>
      </c>
      <c r="Q188">
        <f t="shared" si="36"/>
        <v>11631165.132339541</v>
      </c>
      <c r="R188">
        <f t="shared" si="37"/>
        <v>1275.6065866561191</v>
      </c>
      <c r="S188">
        <f t="shared" si="38"/>
        <v>64954267.918729119</v>
      </c>
      <c r="T188" s="4">
        <v>0.08</v>
      </c>
      <c r="V188">
        <f>SUM($R$2:R188)</f>
        <v>66617.421795458227</v>
      </c>
      <c r="W188">
        <f t="shared" si="39"/>
        <v>140.46603507666308</v>
      </c>
      <c r="Z188">
        <f t="shared" si="33"/>
        <v>7.3014447733195125E-6</v>
      </c>
      <c r="AA188" s="4">
        <v>0.3</v>
      </c>
      <c r="AB188">
        <f t="shared" si="29"/>
        <v>216514226.39576373</v>
      </c>
      <c r="AC188">
        <f t="shared" si="32"/>
        <v>11529334.55030808</v>
      </c>
      <c r="AD188" s="4">
        <v>0.2</v>
      </c>
      <c r="AE188">
        <f t="shared" si="30"/>
        <v>2305866.910061616</v>
      </c>
      <c r="AF188">
        <f t="shared" si="31"/>
        <v>1</v>
      </c>
    </row>
    <row r="189" spans="1:32" x14ac:dyDescent="0.25">
      <c r="A189" s="2">
        <v>188</v>
      </c>
      <c r="B189">
        <f t="shared" si="34"/>
        <v>1779271.7199612721</v>
      </c>
      <c r="C189" s="4">
        <v>0.08</v>
      </c>
      <c r="D189">
        <f t="shared" si="35"/>
        <v>12561658.342926595</v>
      </c>
      <c r="Q189">
        <f t="shared" si="36"/>
        <v>12561658.342926703</v>
      </c>
      <c r="R189">
        <f t="shared" si="37"/>
        <v>1299.6746354609513</v>
      </c>
      <c r="S189">
        <f t="shared" si="38"/>
        <v>70150609.352227449</v>
      </c>
      <c r="T189" s="4">
        <v>0.08</v>
      </c>
      <c r="V189">
        <f>SUM($R$2:R189)</f>
        <v>67917.096430919177</v>
      </c>
      <c r="W189">
        <f t="shared" si="39"/>
        <v>143.20646149985066</v>
      </c>
      <c r="Z189">
        <f t="shared" si="33"/>
        <v>6.7605970123328813E-6</v>
      </c>
      <c r="AA189" s="4">
        <v>0.3</v>
      </c>
      <c r="AB189">
        <f t="shared" si="29"/>
        <v>233835364.50742483</v>
      </c>
      <c r="AC189">
        <f t="shared" si="32"/>
        <v>12221094.623326566</v>
      </c>
      <c r="AD189" s="4">
        <v>0.2</v>
      </c>
      <c r="AE189">
        <f t="shared" si="30"/>
        <v>2444218.9246653132</v>
      </c>
      <c r="AF189">
        <f t="shared" si="31"/>
        <v>1</v>
      </c>
    </row>
    <row r="190" spans="1:32" x14ac:dyDescent="0.25">
      <c r="A190" s="2">
        <v>189</v>
      </c>
      <c r="B190">
        <f t="shared" si="34"/>
        <v>1921613.4575581739</v>
      </c>
      <c r="C190" s="4">
        <v>0.08</v>
      </c>
      <c r="D190">
        <f t="shared" si="35"/>
        <v>13566591.010360723</v>
      </c>
      <c r="Q190">
        <f t="shared" si="36"/>
        <v>13566591.010360841</v>
      </c>
      <c r="R190">
        <f t="shared" si="37"/>
        <v>1324.1967983941768</v>
      </c>
      <c r="S190">
        <f t="shared" si="38"/>
        <v>75762658.100405648</v>
      </c>
      <c r="T190" s="4">
        <v>0.08</v>
      </c>
      <c r="V190">
        <f>SUM($R$2:R190)</f>
        <v>69241.293229313349</v>
      </c>
      <c r="W190">
        <f t="shared" si="39"/>
        <v>145.99859408196633</v>
      </c>
      <c r="Z190">
        <f t="shared" si="33"/>
        <v>6.2598120484563715E-6</v>
      </c>
      <c r="AA190" s="4">
        <v>0.3</v>
      </c>
      <c r="AB190">
        <f t="shared" si="29"/>
        <v>252542193.66801885</v>
      </c>
      <c r="AC190">
        <f t="shared" si="32"/>
        <v>12954360.30072616</v>
      </c>
      <c r="AD190" s="4">
        <v>0.2</v>
      </c>
      <c r="AE190">
        <f t="shared" si="30"/>
        <v>2590872.0601452324</v>
      </c>
      <c r="AF190">
        <f t="shared" si="31"/>
        <v>1</v>
      </c>
    </row>
    <row r="191" spans="1:32" x14ac:dyDescent="0.25">
      <c r="A191" s="2">
        <v>190</v>
      </c>
      <c r="B191">
        <f t="shared" si="34"/>
        <v>2075342.5341628278</v>
      </c>
      <c r="C191" s="4">
        <v>0.08</v>
      </c>
      <c r="D191">
        <f t="shared" si="35"/>
        <v>14651918.291189581</v>
      </c>
      <c r="Q191">
        <f t="shared" si="36"/>
        <v>14651918.291189708</v>
      </c>
      <c r="R191">
        <f t="shared" si="37"/>
        <v>1349.1816436468969</v>
      </c>
      <c r="S191">
        <f t="shared" si="38"/>
        <v>81823670.748438105</v>
      </c>
      <c r="T191" s="4">
        <v>0.08</v>
      </c>
      <c r="V191">
        <f>SUM($R$2:R191)</f>
        <v>70590.474872960243</v>
      </c>
      <c r="W191">
        <f t="shared" si="39"/>
        <v>148.84340841091435</v>
      </c>
      <c r="Z191">
        <f t="shared" si="33"/>
        <v>5.7961222670892322E-6</v>
      </c>
      <c r="AA191" s="4">
        <v>0.3</v>
      </c>
      <c r="AB191">
        <f t="shared" si="29"/>
        <v>272745569.16146034</v>
      </c>
      <c r="AC191">
        <f t="shared" si="32"/>
        <v>13731621.91876973</v>
      </c>
      <c r="AD191" s="4">
        <v>0.2</v>
      </c>
      <c r="AE191">
        <f t="shared" si="30"/>
        <v>2746324.3837539461</v>
      </c>
      <c r="AF191">
        <f t="shared" si="31"/>
        <v>1</v>
      </c>
    </row>
    <row r="192" spans="1:32" x14ac:dyDescent="0.25">
      <c r="A192" s="2">
        <v>191</v>
      </c>
      <c r="B192">
        <f t="shared" si="34"/>
        <v>2241369.9368958538</v>
      </c>
      <c r="C192" s="4">
        <v>0.08</v>
      </c>
      <c r="D192">
        <f t="shared" si="35"/>
        <v>15824071.754484748</v>
      </c>
      <c r="Q192">
        <f t="shared" si="36"/>
        <v>15824071.754484888</v>
      </c>
      <c r="R192">
        <f t="shared" si="37"/>
        <v>1374.6379010741969</v>
      </c>
      <c r="S192">
        <f t="shared" si="38"/>
        <v>88369564.408313155</v>
      </c>
      <c r="T192" s="4">
        <v>0.08</v>
      </c>
      <c r="V192">
        <f>SUM($R$2:R192)</f>
        <v>71965.112774034438</v>
      </c>
      <c r="W192">
        <f t="shared" si="39"/>
        <v>151.74189848191801</v>
      </c>
      <c r="Z192">
        <f t="shared" si="33"/>
        <v>5.3667798769344741E-6</v>
      </c>
      <c r="AA192" s="4">
        <v>0.3</v>
      </c>
      <c r="AB192">
        <f t="shared" si="29"/>
        <v>294565214.69437718</v>
      </c>
      <c r="AC192">
        <f t="shared" si="32"/>
        <v>14555519.233895915</v>
      </c>
      <c r="AD192" s="4">
        <v>0.2</v>
      </c>
      <c r="AE192">
        <f t="shared" si="30"/>
        <v>2911103.846779183</v>
      </c>
      <c r="AF192">
        <f t="shared" si="31"/>
        <v>1</v>
      </c>
    </row>
    <row r="193" spans="1:32" x14ac:dyDescent="0.25">
      <c r="A193" s="2">
        <v>192</v>
      </c>
      <c r="B193">
        <f t="shared" si="34"/>
        <v>2420679.5318475221</v>
      </c>
      <c r="C193" s="4">
        <v>0.08</v>
      </c>
      <c r="D193">
        <f t="shared" si="35"/>
        <v>17089997.494843528</v>
      </c>
      <c r="Q193">
        <f t="shared" si="36"/>
        <v>17089997.494843684</v>
      </c>
      <c r="R193">
        <f t="shared" si="37"/>
        <v>1400.574465245408</v>
      </c>
      <c r="S193">
        <f t="shared" si="38"/>
        <v>95439129.560978219</v>
      </c>
      <c r="T193" s="4">
        <v>0.08</v>
      </c>
      <c r="V193">
        <f>SUM($R$2:R193)</f>
        <v>73365.68723927984</v>
      </c>
      <c r="W193">
        <f t="shared" si="39"/>
        <v>154.6950770448274</v>
      </c>
      <c r="Z193">
        <f t="shared" si="33"/>
        <v>4.9692406267911792E-6</v>
      </c>
      <c r="AA193" s="4">
        <v>0.3</v>
      </c>
      <c r="AB193">
        <f t="shared" si="29"/>
        <v>318130431.86992741</v>
      </c>
      <c r="AC193">
        <f t="shared" si="32"/>
        <v>15428850.387929671</v>
      </c>
      <c r="AD193" s="4">
        <v>0.2</v>
      </c>
      <c r="AE193">
        <f t="shared" si="30"/>
        <v>3085770.0775859342</v>
      </c>
      <c r="AF193">
        <f t="shared" si="31"/>
        <v>1</v>
      </c>
    </row>
    <row r="194" spans="1:32" x14ac:dyDescent="0.25">
      <c r="A194" s="2">
        <v>193</v>
      </c>
      <c r="B194">
        <f t="shared" si="34"/>
        <v>2614333.8943953239</v>
      </c>
      <c r="C194" s="4">
        <v>0.08</v>
      </c>
      <c r="D194">
        <f t="shared" si="35"/>
        <v>18457197.294431008</v>
      </c>
      <c r="Q194">
        <f t="shared" si="36"/>
        <v>18457197.294431176</v>
      </c>
      <c r="R194">
        <f t="shared" si="37"/>
        <v>1427.0003985519259</v>
      </c>
      <c r="S194">
        <f t="shared" si="38"/>
        <v>103074259.92585649</v>
      </c>
      <c r="T194" s="4">
        <v>0.08</v>
      </c>
      <c r="V194">
        <f>SUM($R$2:R194)</f>
        <v>74792.687637831768</v>
      </c>
      <c r="W194">
        <f t="shared" si="39"/>
        <v>157.70397595798036</v>
      </c>
      <c r="Z194">
        <f t="shared" si="33"/>
        <v>4.6011487285103514E-6</v>
      </c>
      <c r="AA194" s="4">
        <v>0.3</v>
      </c>
      <c r="AB194">
        <f t="shared" si="29"/>
        <v>343580866.41952163</v>
      </c>
      <c r="AC194">
        <f t="shared" si="32"/>
        <v>16354581.411205452</v>
      </c>
      <c r="AD194" s="4">
        <v>0.2</v>
      </c>
      <c r="AE194">
        <f t="shared" si="30"/>
        <v>3270916.2822410907</v>
      </c>
      <c r="AF194">
        <f t="shared" si="31"/>
        <v>1</v>
      </c>
    </row>
    <row r="195" spans="1:32" x14ac:dyDescent="0.25">
      <c r="A195" s="2">
        <v>194</v>
      </c>
      <c r="B195">
        <f t="shared" si="34"/>
        <v>2823480.6059469497</v>
      </c>
      <c r="C195" s="4">
        <v>0.08</v>
      </c>
      <c r="D195">
        <f t="shared" si="35"/>
        <v>19933773.077985488</v>
      </c>
      <c r="Q195">
        <f t="shared" si="36"/>
        <v>19933773.077985674</v>
      </c>
      <c r="R195">
        <f t="shared" si="37"/>
        <v>1453.9249343736603</v>
      </c>
      <c r="S195">
        <f t="shared" si="38"/>
        <v>111320200.71992502</v>
      </c>
      <c r="T195" s="4">
        <v>0.08</v>
      </c>
      <c r="V195">
        <f>SUM($R$2:R195)</f>
        <v>76246.612572205428</v>
      </c>
      <c r="W195">
        <f t="shared" si="39"/>
        <v>160.76964654873998</v>
      </c>
      <c r="Z195">
        <f t="shared" si="33"/>
        <v>4.2603228967688431E-6</v>
      </c>
      <c r="AA195" s="4">
        <v>0.3</v>
      </c>
      <c r="AB195">
        <f t="shared" ref="AB195:AB201" si="40">S195/AA195</f>
        <v>371067335.73308343</v>
      </c>
      <c r="AC195">
        <f t="shared" si="32"/>
        <v>17335856.295877781</v>
      </c>
      <c r="AD195" s="4">
        <v>0.2</v>
      </c>
      <c r="AE195">
        <f t="shared" ref="AE195:AE201" si="41">AC195*AD195</f>
        <v>3467171.2591755562</v>
      </c>
      <c r="AF195">
        <f t="shared" ref="AF195:AF201" si="42">IF(AB195&gt;AE195, 1, 0)</f>
        <v>1</v>
      </c>
    </row>
    <row r="196" spans="1:32" x14ac:dyDescent="0.25">
      <c r="A196" s="2">
        <v>195</v>
      </c>
      <c r="B196">
        <f t="shared" si="34"/>
        <v>3049359.0544227054</v>
      </c>
      <c r="C196" s="4">
        <v>0.08</v>
      </c>
      <c r="D196">
        <f t="shared" si="35"/>
        <v>21528474.924224328</v>
      </c>
      <c r="Q196">
        <f t="shared" si="36"/>
        <v>21528474.924224526</v>
      </c>
      <c r="R196">
        <f t="shared" si="37"/>
        <v>1481.3574803052388</v>
      </c>
      <c r="S196">
        <f t="shared" si="38"/>
        <v>120225816.77751903</v>
      </c>
      <c r="T196" s="4">
        <v>0.08</v>
      </c>
      <c r="V196">
        <f>SUM($R$2:R196)</f>
        <v>77727.97005251066</v>
      </c>
      <c r="W196">
        <f t="shared" si="39"/>
        <v>163.8931599808347</v>
      </c>
      <c r="Z196">
        <f t="shared" si="33"/>
        <v>3.9447434229341137E-6</v>
      </c>
      <c r="AA196" s="4">
        <v>0.3</v>
      </c>
      <c r="AB196">
        <f t="shared" si="40"/>
        <v>400752722.59173012</v>
      </c>
      <c r="AC196">
        <f t="shared" ref="AC196:AC201" si="43">AC195*(1+$U$2)</f>
        <v>18376007.67363045</v>
      </c>
      <c r="AD196" s="4">
        <v>0.2</v>
      </c>
      <c r="AE196">
        <f t="shared" si="41"/>
        <v>3675201.5347260903</v>
      </c>
      <c r="AF196">
        <f t="shared" si="42"/>
        <v>1</v>
      </c>
    </row>
    <row r="197" spans="1:32" x14ac:dyDescent="0.25">
      <c r="A197" s="2">
        <v>196</v>
      </c>
      <c r="B197">
        <f t="shared" si="34"/>
        <v>3293307.7787765218</v>
      </c>
      <c r="C197" s="4">
        <v>0.08</v>
      </c>
      <c r="D197">
        <f t="shared" si="35"/>
        <v>23250752.918162275</v>
      </c>
      <c r="Q197">
        <f t="shared" si="36"/>
        <v>23250752.918162487</v>
      </c>
      <c r="R197">
        <f t="shared" si="37"/>
        <v>1509.3076214430735</v>
      </c>
      <c r="S197">
        <f t="shared" si="38"/>
        <v>129843882.11972056</v>
      </c>
      <c r="T197" s="4">
        <v>0.08</v>
      </c>
      <c r="V197">
        <f>SUM($R$2:R197)</f>
        <v>79237.277673953737</v>
      </c>
      <c r="W197">
        <f t="shared" si="39"/>
        <v>167.07560762862931</v>
      </c>
      <c r="Z197">
        <f t="shared" si="33"/>
        <v>3.6525402064204753E-6</v>
      </c>
      <c r="AA197" s="4">
        <v>0.3</v>
      </c>
      <c r="AB197">
        <f t="shared" si="40"/>
        <v>432812940.39906853</v>
      </c>
      <c r="AC197">
        <f t="shared" si="43"/>
        <v>19478568.134048279</v>
      </c>
      <c r="AD197" s="4">
        <v>0.2</v>
      </c>
      <c r="AE197">
        <f t="shared" si="41"/>
        <v>3895713.6268096562</v>
      </c>
      <c r="AF197">
        <f t="shared" si="42"/>
        <v>1</v>
      </c>
    </row>
    <row r="198" spans="1:32" x14ac:dyDescent="0.25">
      <c r="A198" s="2">
        <v>197</v>
      </c>
      <c r="B198">
        <f t="shared" si="34"/>
        <v>3556772.4010786437</v>
      </c>
      <c r="C198" s="4">
        <v>0.08</v>
      </c>
      <c r="D198">
        <f t="shared" si="35"/>
        <v>25110813.151615258</v>
      </c>
      <c r="Q198">
        <f t="shared" si="36"/>
        <v>25110813.151615489</v>
      </c>
      <c r="R198">
        <f t="shared" si="37"/>
        <v>1537.7851237344521</v>
      </c>
      <c r="S198">
        <f t="shared" si="38"/>
        <v>140231392.68929821</v>
      </c>
      <c r="T198" s="4">
        <v>0.08</v>
      </c>
      <c r="V198">
        <f>SUM($R$2:R198)</f>
        <v>80775.062797688195</v>
      </c>
      <c r="W198">
        <f t="shared" si="39"/>
        <v>170.31810145845779</v>
      </c>
      <c r="Z198">
        <f t="shared" si="33"/>
        <v>3.381981672611551E-6</v>
      </c>
      <c r="AA198" s="4">
        <v>0.3</v>
      </c>
      <c r="AB198">
        <f t="shared" si="40"/>
        <v>467437975.63099408</v>
      </c>
      <c r="AC198">
        <f t="shared" si="43"/>
        <v>20647282.222091176</v>
      </c>
      <c r="AD198" s="4">
        <v>0.2</v>
      </c>
      <c r="AE198">
        <f t="shared" si="41"/>
        <v>4129456.4444182352</v>
      </c>
      <c r="AF198">
        <f t="shared" si="42"/>
        <v>1</v>
      </c>
    </row>
    <row r="199" spans="1:32" x14ac:dyDescent="0.25">
      <c r="A199" s="2">
        <v>198</v>
      </c>
      <c r="B199">
        <f t="shared" si="34"/>
        <v>3841314.1931649353</v>
      </c>
      <c r="C199" s="4">
        <v>0.08</v>
      </c>
      <c r="D199">
        <f t="shared" si="35"/>
        <v>27119678.203744479</v>
      </c>
      <c r="Q199">
        <f t="shared" si="36"/>
        <v>27119678.203744728</v>
      </c>
      <c r="R199">
        <f t="shared" si="37"/>
        <v>1566.7999373898194</v>
      </c>
      <c r="S199">
        <f t="shared" si="38"/>
        <v>151449904.10444209</v>
      </c>
      <c r="T199" s="4">
        <v>0.08</v>
      </c>
      <c r="V199">
        <f>SUM($R$2:R199)</f>
        <v>82341.862735078015</v>
      </c>
      <c r="W199">
        <f t="shared" si="39"/>
        <v>173.62177441715096</v>
      </c>
      <c r="Z199">
        <f t="shared" si="33"/>
        <v>3.1314645116773618E-6</v>
      </c>
      <c r="AA199" s="4">
        <v>0.3</v>
      </c>
      <c r="AB199">
        <f t="shared" si="40"/>
        <v>504833013.68147367</v>
      </c>
      <c r="AC199">
        <f t="shared" si="43"/>
        <v>21886119.155416649</v>
      </c>
      <c r="AD199" s="4">
        <v>0.2</v>
      </c>
      <c r="AE199">
        <f t="shared" si="41"/>
        <v>4377223.8310833303</v>
      </c>
      <c r="AF199">
        <f t="shared" si="42"/>
        <v>1</v>
      </c>
    </row>
    <row r="200" spans="1:32" x14ac:dyDescent="0.25">
      <c r="A200" s="2">
        <v>199</v>
      </c>
      <c r="B200">
        <f t="shared" si="34"/>
        <v>4148619.3286181302</v>
      </c>
      <c r="C200" s="4">
        <v>0.08</v>
      </c>
      <c r="D200">
        <f t="shared" si="35"/>
        <v>29289252.460044038</v>
      </c>
      <c r="Q200">
        <f t="shared" si="36"/>
        <v>29289252.460044313</v>
      </c>
      <c r="R200">
        <f t="shared" si="37"/>
        <v>1596.3622003594385</v>
      </c>
      <c r="S200">
        <f t="shared" si="38"/>
        <v>163565896.43279746</v>
      </c>
      <c r="T200" s="4">
        <v>0.08</v>
      </c>
      <c r="V200">
        <f>SUM($R$2:R200)</f>
        <v>83938.224935437451</v>
      </c>
      <c r="W200">
        <f t="shared" si="39"/>
        <v>176.98778082789494</v>
      </c>
      <c r="Z200">
        <f t="shared" si="33"/>
        <v>2.8995041774790384E-6</v>
      </c>
      <c r="AA200" s="4">
        <v>0.3</v>
      </c>
      <c r="AB200">
        <f t="shared" si="40"/>
        <v>545219654.77599156</v>
      </c>
      <c r="AC200">
        <f t="shared" si="43"/>
        <v>23199286.304741647</v>
      </c>
      <c r="AD200" s="4">
        <v>0.2</v>
      </c>
      <c r="AE200">
        <f t="shared" si="41"/>
        <v>4639857.2609483292</v>
      </c>
      <c r="AF200">
        <f t="shared" si="42"/>
        <v>1</v>
      </c>
    </row>
    <row r="201" spans="1:32" x14ac:dyDescent="0.25">
      <c r="A201" s="2">
        <v>200</v>
      </c>
      <c r="B201">
        <f>B200+B200*C200</f>
        <v>4480508.8749075802</v>
      </c>
      <c r="C201" s="4">
        <v>0.08</v>
      </c>
      <c r="D201">
        <f>D200+D200*C200</f>
        <v>31632392.656847559</v>
      </c>
      <c r="Q201">
        <f>$D$2*((1+$C$2)^A200)</f>
        <v>31632392.656847857</v>
      </c>
      <c r="R201">
        <f>S201/((1+$U$2)^A200)</f>
        <v>1626.4822418756539</v>
      </c>
      <c r="S201">
        <f>S200*(1+T200)</f>
        <v>176651168.14742127</v>
      </c>
      <c r="T201" s="4">
        <v>0.08</v>
      </c>
      <c r="V201">
        <f>SUM($R$2:R201)</f>
        <v>85564.707177313103</v>
      </c>
      <c r="W201">
        <f>V201/$W$2</f>
        <v>180.41729679355862</v>
      </c>
      <c r="Z201">
        <f t="shared" si="33"/>
        <v>2.6847260902583686E-6</v>
      </c>
      <c r="AA201" s="4">
        <v>0.3</v>
      </c>
      <c r="AB201">
        <f t="shared" si="40"/>
        <v>588837227.15807092</v>
      </c>
      <c r="AC201">
        <f t="shared" si="43"/>
        <v>24591243.483026147</v>
      </c>
      <c r="AD201" s="4">
        <v>0.2</v>
      </c>
      <c r="AE201">
        <f t="shared" si="41"/>
        <v>4918248.6966052298</v>
      </c>
      <c r="AF201">
        <f t="shared" si="42"/>
        <v>1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C3"/>
  <sheetViews>
    <sheetView topLeftCell="A33" workbookViewId="0">
      <selection activeCell="A63" sqref="A63"/>
    </sheetView>
  </sheetViews>
  <sheetFormatPr defaultRowHeight="14.4" x14ac:dyDescent="0.25"/>
  <sheetData>
    <row r="3" spans="3:3" x14ac:dyDescent="0.25">
      <c r="C3">
        <v>55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oleObjects>
    <mc:AlternateContent xmlns:mc="http://schemas.openxmlformats.org/markup-compatibility/2006">
      <mc:Choice Requires="x14">
        <oleObject progId="Visio.Drawing.11" shapeId="8205" r:id="rId4">
          <objectPr defaultSize="0" autoPict="0" r:id="rId5">
            <anchor moveWithCells="1">
              <from>
                <xdr:col>0</xdr:col>
                <xdr:colOff>53340</xdr:colOff>
                <xdr:row>37</xdr:row>
                <xdr:rowOff>53340</xdr:rowOff>
              </from>
              <to>
                <xdr:col>15</xdr:col>
                <xdr:colOff>548640</xdr:colOff>
                <xdr:row>59</xdr:row>
                <xdr:rowOff>91440</xdr:rowOff>
              </to>
            </anchor>
          </objectPr>
        </oleObject>
      </mc:Choice>
      <mc:Fallback>
        <oleObject progId="Visio.Drawing.11" shapeId="8205" r:id="rId4"/>
      </mc:Fallback>
    </mc:AlternateContent>
    <mc:AlternateContent xmlns:mc="http://schemas.openxmlformats.org/markup-compatibility/2006">
      <mc:Choice Requires="x14">
        <oleObject progId="Visio.Drawing.11" shapeId="8206" r:id="rId6">
          <objectPr defaultSize="0" r:id="rId7">
            <anchor moveWithCells="1">
              <from>
                <xdr:col>0</xdr:col>
                <xdr:colOff>99060</xdr:colOff>
                <xdr:row>1</xdr:row>
                <xdr:rowOff>38100</xdr:rowOff>
              </from>
              <to>
                <xdr:col>25</xdr:col>
                <xdr:colOff>464820</xdr:colOff>
                <xdr:row>36</xdr:row>
                <xdr:rowOff>99060</xdr:rowOff>
              </to>
            </anchor>
          </objectPr>
        </oleObject>
      </mc:Choice>
      <mc:Fallback>
        <oleObject progId="Visio.Drawing.11" shapeId="8206" r:id="rId6"/>
      </mc:Fallback>
    </mc:AlternateContent>
    <mc:AlternateContent xmlns:mc="http://schemas.openxmlformats.org/markup-compatibility/2006">
      <mc:Choice Requires="x14">
        <oleObject progId="Visio.Drawing.11" shapeId="8207" r:id="rId8">
          <objectPr defaultSize="0" r:id="rId9">
            <anchor moveWithCells="1">
              <from>
                <xdr:col>0</xdr:col>
                <xdr:colOff>0</xdr:colOff>
                <xdr:row>62</xdr:row>
                <xdr:rowOff>0</xdr:rowOff>
              </from>
              <to>
                <xdr:col>14</xdr:col>
                <xdr:colOff>167640</xdr:colOff>
                <xdr:row>86</xdr:row>
                <xdr:rowOff>0</xdr:rowOff>
              </to>
            </anchor>
          </objectPr>
        </oleObject>
      </mc:Choice>
      <mc:Fallback>
        <oleObject progId="Visio.Drawing.11" shapeId="8207" r:id="rId8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白酒</vt:lpstr>
      <vt:lpstr>啤酒</vt:lpstr>
      <vt:lpstr>软饮料</vt:lpstr>
      <vt:lpstr>其他酒类-葡萄酒</vt:lpstr>
      <vt:lpstr>其他酒类-黄酒</vt:lpstr>
      <vt:lpstr>其他酒类-其他</vt:lpstr>
      <vt:lpstr>公司价值折现</vt:lpstr>
      <vt:lpstr>基本面模型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Administrator</cp:lastModifiedBy>
  <dcterms:created xsi:type="dcterms:W3CDTF">2018-08-09T11:49:58Z</dcterms:created>
  <dcterms:modified xsi:type="dcterms:W3CDTF">2023-06-10T12:28:54Z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2019-07-31 20:56:09Z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