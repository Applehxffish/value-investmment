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D:\88 HXF\value-investment\估值分析\行业利基详细分析\芯片类\"/>
    </mc:Choice>
  </mc:AlternateContent>
  <bookViews>
    <workbookView xWindow="-108" yWindow="-108" windowWidth="20268" windowHeight="9132"/>
  </bookViews>
  <sheets>
    <sheet name="显示材料-光刻胶-医药中间体" sheetId="55" r:id="rId1"/>
    <sheet name="公司价值折现" sheetId="42" r:id="rId2"/>
    <sheet name="基本面模型" sheetId="23" r:id="rId3"/>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<sst xmlns="http://schemas.openxmlformats.org/spreadsheetml/2006/main" count="337" uniqueCount="319">
  <si>
    <t>现价</t>
  </si>
  <si>
    <t>市净率</t>
  </si>
  <si>
    <t>代码</t>
  </si>
  <si>
    <t xml:space="preserve">    名称</t>
  </si>
  <si>
    <t>总市值</t>
  </si>
  <si>
    <t>TTM市盈率</t>
  </si>
  <si>
    <t>所属行业</t>
  </si>
  <si>
    <t>--</t>
  </si>
  <si>
    <t>负债合计</t>
  </si>
  <si>
    <t>所有者权益合计</t>
  </si>
  <si>
    <t>主营业务收入</t>
  </si>
  <si>
    <t>净利润增长率</t>
  </si>
  <si>
    <t>总股本</t>
  </si>
  <si>
    <t>财务费用</t>
  </si>
  <si>
    <t>投资收益</t>
  </si>
  <si>
    <t>应收账款</t>
  </si>
  <si>
    <t>5.58亿</t>
  </si>
  <si>
    <t>1.13亿</t>
  </si>
  <si>
    <t>1.16亿</t>
  </si>
  <si>
    <t>1.48亿</t>
  </si>
  <si>
    <t>2.30亿</t>
  </si>
  <si>
    <t>3.12亿</t>
  </si>
  <si>
    <t>2.53亿</t>
  </si>
  <si>
    <t>1.32亿</t>
  </si>
  <si>
    <t>1.66亿</t>
  </si>
  <si>
    <t>1.90亿</t>
  </si>
  <si>
    <t>1.86亿</t>
  </si>
  <si>
    <t>1.24亿</t>
  </si>
  <si>
    <t>3.01亿</t>
  </si>
  <si>
    <t>2.60亿</t>
  </si>
  <si>
    <t>1.08亿</t>
  </si>
  <si>
    <t>15.13亿</t>
  </si>
  <si>
    <t>1.75亿</t>
  </si>
  <si>
    <t>1.01亿</t>
  </si>
  <si>
    <t>2.55亿</t>
  </si>
  <si>
    <t>5.05亿</t>
  </si>
  <si>
    <t>2.40亿</t>
  </si>
  <si>
    <t>1.15亿</t>
  </si>
  <si>
    <t>3.85亿</t>
  </si>
  <si>
    <t>16.23亿</t>
  </si>
  <si>
    <t>2.70亿</t>
  </si>
  <si>
    <t>4.41亿</t>
  </si>
  <si>
    <t>11.33亿</t>
  </si>
  <si>
    <t>1.85亿</t>
  </si>
  <si>
    <t>3.19亿</t>
  </si>
  <si>
    <t>10.50亿</t>
  </si>
  <si>
    <t>3.91亿</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</si>
  <si>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</si>
  <si>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</si>
  <si>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</si>
  <si>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</si>
  <si>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</si>
  <si>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</si>
  <si>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</si>
  <si>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</si>
  <si>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</si>
  <si>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</si>
  <si>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</si>
  <si>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</si>
  <si>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</si>
  <si>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</si>
  <si>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</si>
  <si>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</si>
  <si>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</si>
  <si>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</si>
  <si>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</si>
  <si>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</si>
  <si>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</si>
  <si>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</si>
  <si>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</si>
  <si>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</si>
  <si>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</si>
  <si>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</si>
  <si>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</si>
  <si>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</si>
  <si>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</si>
  <si>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</si>
  <si>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</si>
  <si>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</si>
  <si>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</si>
  <si>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</si>
  <si>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</si>
  <si>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</si>
  <si>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</si>
  <si>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</si>
  <si>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净利润[20191231]</t>
  </si>
  <si>
    <t>净利润[20181231]</t>
  </si>
  <si>
    <t>净利润[20171231]</t>
  </si>
  <si>
    <t>净利润[20161231]</t>
  </si>
  <si>
    <t>净利润[20201231]</t>
  </si>
  <si>
    <t>投入资本回报率roic%[20201231]</t>
  </si>
  <si>
    <t>投入资本回报率roic%[20191231]</t>
  </si>
  <si>
    <t>净资产收益率%[20201231]</t>
  </si>
  <si>
    <t>净资产收益率%[20191231]</t>
  </si>
  <si>
    <t>销售毛利率%[20201231]</t>
  </si>
  <si>
    <t>销售毛利率%[20191231]</t>
  </si>
  <si>
    <t>销售净利率%[20201231]</t>
  </si>
  <si>
    <t>销售净利率%[20191231]</t>
  </si>
  <si>
    <t>4.44亿</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</si>
  <si>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</si>
  <si>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</si>
  <si>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</si>
  <si>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</si>
  <si>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</si>
  <si>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</si>
  <si>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</si>
  <si>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</si>
  <si>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</si>
  <si>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</si>
  <si>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</si>
  <si>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</si>
  <si>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</si>
  <si>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</si>
  <si>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</si>
  <si>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1.68亿</t>
  </si>
  <si>
    <t>电子化学品</t>
  </si>
  <si>
    <t>涨幅%</t>
  </si>
  <si>
    <t>流通股本</t>
  </si>
  <si>
    <t>投入资本回报率roic%[20211231]</t>
  </si>
  <si>
    <t>净资产收益率%[20211231]</t>
  </si>
  <si>
    <t/>
  </si>
  <si>
    <t>1-0</t>
  </si>
  <si>
    <t>净利润?</t>
  </si>
  <si>
    <t>扣非净利润</t>
  </si>
  <si>
    <t>营业总收入[20201231]</t>
  </si>
  <si>
    <t>8.88亿</t>
  </si>
  <si>
    <t>8.97亿</t>
  </si>
  <si>
    <t>1.99亿</t>
  </si>
  <si>
    <t>2.84亿</t>
  </si>
  <si>
    <t>3.86亿</t>
  </si>
  <si>
    <t>6.87亿</t>
  </si>
  <si>
    <t>1.30亿</t>
  </si>
  <si>
    <t>2.31亿</t>
  </si>
  <si>
    <t>SZ002643</t>
  </si>
  <si>
    <t>万润股份</t>
  </si>
  <si>
    <t>43.59亿</t>
  </si>
  <si>
    <t>6.27亿</t>
  </si>
  <si>
    <t>29.18亿</t>
  </si>
  <si>
    <t>28.70亿</t>
  </si>
  <si>
    <t>26.32亿</t>
  </si>
  <si>
    <t>24.56亿</t>
  </si>
  <si>
    <t>18.47亿</t>
  </si>
  <si>
    <t>5.07亿</t>
  </si>
  <si>
    <t>4.72亿</t>
  </si>
  <si>
    <t>1.78亿</t>
  </si>
  <si>
    <t>SH688550</t>
  </si>
  <si>
    <t>瑞联新材</t>
  </si>
  <si>
    <t>15.26亿</t>
  </si>
  <si>
    <t>9.90亿</t>
  </si>
  <si>
    <t>8.57亿</t>
  </si>
  <si>
    <t>7.19亿</t>
  </si>
  <si>
    <t>9464.21万</t>
  </si>
  <si>
    <t>7800.87万</t>
  </si>
  <si>
    <t>5638.17万</t>
  </si>
  <si>
    <t>9.57亿</t>
  </si>
  <si>
    <t>1.61亿</t>
  </si>
  <si>
    <t>4.93亿</t>
  </si>
  <si>
    <t>18.37亿</t>
  </si>
  <si>
    <t>5197.89万</t>
  </si>
  <si>
    <t>6.44亿</t>
  </si>
  <si>
    <t>预期多</t>
  </si>
  <si>
    <t>预期空</t>
  </si>
  <si>
    <t>已知和基本信息</t>
  </si>
  <si>
    <t>成交量[20220902]</t>
  </si>
  <si>
    <t>营业收入(同比增长率) %[20220630]</t>
  </si>
  <si>
    <t>LY营业总收入[20211231]</t>
  </si>
  <si>
    <t>净利润[20211231]</t>
  </si>
  <si>
    <t>权益乘数[20220630]</t>
  </si>
  <si>
    <t>总资产周转率[20220630]</t>
  </si>
  <si>
    <t>净利润／营业总收入%[20220630]</t>
  </si>
  <si>
    <t>营业总成本[20220630]</t>
  </si>
  <si>
    <t>营业成本[20220630]</t>
  </si>
  <si>
    <t>销售费用[20220630]</t>
  </si>
  <si>
    <t>管理费用[20220630]</t>
  </si>
  <si>
    <t>研发费用总额[20220630]</t>
  </si>
  <si>
    <t>其他收入[20220630]</t>
  </si>
  <si>
    <t>货币资金[20220630]</t>
  </si>
  <si>
    <t>应收票据[20220630]</t>
  </si>
  <si>
    <t>固定资产[20220630]</t>
  </si>
  <si>
    <t>在建工程[20220630]</t>
  </si>
  <si>
    <t>短期借款[20220630]</t>
  </si>
  <si>
    <t>应付票据[20220630]</t>
  </si>
  <si>
    <t>应付账款[20220630]</t>
  </si>
  <si>
    <t>预收款项[20220630]</t>
  </si>
  <si>
    <t>流动负债[20220630]</t>
  </si>
  <si>
    <t>长期借款[20220630]</t>
  </si>
  <si>
    <t>经营活动产生的现金流量净额[20220630]</t>
  </si>
  <si>
    <t>投资活动产生的现金流量净额[20220630]</t>
  </si>
  <si>
    <t>筹资活动产生的现金流量净额[20220630]</t>
  </si>
  <si>
    <t>CYLQ营业收入[20220331]</t>
  </si>
  <si>
    <t>LYCQ营业收入[20210630]</t>
  </si>
  <si>
    <t>LYLQ营业收入[20210331]</t>
  </si>
  <si>
    <t>CYLQ净利润[20220331]</t>
  </si>
  <si>
    <t>LYCQ净利润[20210630]</t>
  </si>
  <si>
    <t>LYLQ净利润[20210331]</t>
  </si>
  <si>
    <t>投入资本回报率roic%[20220331]</t>
  </si>
  <si>
    <t>细分行业</t>
  </si>
  <si>
    <t>销售毛利率%[20220331]</t>
  </si>
  <si>
    <t>销售净利率%[20220331]</t>
  </si>
  <si>
    <t>区间涨跌幅:前复权%[20220829-20220902]</t>
  </si>
  <si>
    <t>区间涨跌幅:前复权%[20220725-20220902]</t>
  </si>
  <si>
    <t>区间成交量[20220829-20220902]</t>
  </si>
  <si>
    <t>指数@区间成交量[20220725-20220902]</t>
  </si>
  <si>
    <t>市销率</t>
  </si>
  <si>
    <t>扣非对比净利润</t>
  </si>
  <si>
    <t>近期roe</t>
  </si>
  <si>
    <t>过往营收增速均值</t>
  </si>
  <si>
    <t>过往利润增速均值</t>
  </si>
  <si>
    <t>折现率</t>
  </si>
  <si>
    <t>1年自由现金流折现</t>
  </si>
  <si>
    <t>1增速</t>
  </si>
  <si>
    <t>3年自由现金流折现</t>
  </si>
  <si>
    <t>3增速</t>
  </si>
  <si>
    <t>6年自由现金流折现</t>
  </si>
  <si>
    <t>6增速</t>
  </si>
  <si>
    <t>10年自由现金流折现</t>
  </si>
  <si>
    <t>10增速</t>
  </si>
  <si>
    <t>20年自由现金流折现</t>
  </si>
  <si>
    <t>承担负债现期溢价</t>
  </si>
  <si>
    <t>清算价格</t>
  </si>
  <si>
    <t>原始顺序</t>
  </si>
  <si>
    <t>策略1营收单季最佳增速</t>
  </si>
  <si>
    <t>策略1利润单季最佳增速</t>
  </si>
  <si>
    <t>营收成长策略</t>
  </si>
  <si>
    <t>利润成长策略</t>
  </si>
  <si>
    <t>营收和利润加权</t>
  </si>
  <si>
    <t>价格变动策略</t>
  </si>
  <si>
    <t>成交量综合策略</t>
  </si>
  <si>
    <t>量价齐升策略</t>
  </si>
  <si>
    <t>基本面排序</t>
  </si>
  <si>
    <t>综合策略</t>
  </si>
  <si>
    <t>机会区域号</t>
  </si>
  <si>
    <t>5日成交换手率</t>
  </si>
  <si>
    <t>30日成交换手率</t>
  </si>
  <si>
    <t>昨日价格累计指数</t>
  </si>
  <si>
    <t>今日价格累积指数</t>
  </si>
  <si>
    <t>成交量异动策略</t>
  </si>
  <si>
    <t>价格箱体形态过滤</t>
  </si>
  <si>
    <t>价格右侧初期策略</t>
  </si>
  <si>
    <t>N日期</t>
  </si>
  <si>
    <t>N-4</t>
  </si>
  <si>
    <t>N-3</t>
  </si>
  <si>
    <t>N-2</t>
  </si>
  <si>
    <t>N-1</t>
  </si>
  <si>
    <t>N</t>
  </si>
  <si>
    <t>6.01亿</t>
  </si>
  <si>
    <t>4.98亿</t>
  </si>
  <si>
    <t>2.41亿</t>
  </si>
  <si>
    <t>26.27亿</t>
  </si>
  <si>
    <t>4.84亿</t>
  </si>
  <si>
    <t>29.06亿</t>
  </si>
  <si>
    <t>1188908300亿</t>
  </si>
  <si>
    <t>7.35亿</t>
  </si>
  <si>
    <t>2722.10万</t>
  </si>
  <si>
    <t>5685989亿</t>
  </si>
  <si>
    <t>24.92万</t>
  </si>
  <si>
    <t>197577070亿</t>
  </si>
  <si>
    <t>7.91亿</t>
  </si>
  <si>
    <t>258390610亿</t>
  </si>
  <si>
    <t>7693.09万</t>
  </si>
  <si>
    <t>2074762100亿</t>
  </si>
  <si>
    <t>-4.87亿</t>
  </si>
  <si>
    <t>10转4股派17元(含税)</t>
  </si>
  <si>
    <t>23.79亿</t>
  </si>
  <si>
    <t>66.84亿</t>
  </si>
  <si>
    <t>3843850400亿</t>
  </si>
  <si>
    <t>29.21亿</t>
  </si>
  <si>
    <t>23.36亿</t>
  </si>
  <si>
    <t>5763277亿</t>
  </si>
  <si>
    <t>255.29万</t>
  </si>
  <si>
    <t>630370460亿</t>
  </si>
  <si>
    <t>13.03亿</t>
  </si>
  <si>
    <t>224043960亿</t>
  </si>
  <si>
    <t>67.27万</t>
  </si>
  <si>
    <t>4031063400亿</t>
  </si>
  <si>
    <t>5937.42万</t>
  </si>
  <si>
    <t>-5.52亿</t>
  </si>
  <si>
    <t>25.87亿</t>
  </si>
  <si>
    <t>32.25亿</t>
  </si>
  <si>
    <t>18.10亿</t>
  </si>
  <si>
    <t>4.91亿</t>
  </si>
  <si>
    <t>10派2.55元(含税)</t>
  </si>
  <si>
    <t>12.00亿</t>
  </si>
  <si>
    <t>SZ300398</t>
  </si>
  <si>
    <t>飞凯材料</t>
  </si>
  <si>
    <t>26.64亿</t>
  </si>
  <si>
    <t>36.79亿</t>
  </si>
  <si>
    <t>2239808300亿</t>
  </si>
  <si>
    <t>18.45亿</t>
  </si>
  <si>
    <t>13.58亿</t>
  </si>
  <si>
    <t>9900253亿</t>
  </si>
  <si>
    <t>4.36万</t>
  </si>
  <si>
    <t>344021450亿</t>
  </si>
  <si>
    <t>824477170亿</t>
  </si>
  <si>
    <t>3394260700亿</t>
  </si>
  <si>
    <t>10.26亿</t>
  </si>
  <si>
    <t>-2.67亿</t>
  </si>
  <si>
    <t>18.64亿</t>
  </si>
  <si>
    <t>14.46亿</t>
  </si>
  <si>
    <t>8.20亿</t>
  </si>
  <si>
    <t>8381.24万</t>
  </si>
  <si>
    <t>6778.68万</t>
  </si>
  <si>
    <t>16.45亿</t>
  </si>
  <si>
    <t>18.87亿</t>
  </si>
  <si>
    <t>12.03亿</t>
  </si>
  <si>
    <t>10派0.7元(含税)</t>
  </si>
  <si>
    <r>
      <t>1.问：电子化学品有哪些产品？答：公司在电子化学品板块还有</t>
    </r>
    <r>
      <rPr>
        <sz val="9"/>
        <color rgb="FFFF0000"/>
        <rFont val="宋体"/>
        <family val="3"/>
        <charset val="134"/>
        <scheme val="minor"/>
      </rPr>
      <t>光刻胶材料</t>
    </r>
    <r>
      <rPr>
        <sz val="9"/>
        <color theme="1"/>
        <rFont val="宋体"/>
        <family val="3"/>
        <charset val="134"/>
        <scheme val="minor"/>
      </rPr>
      <t>、</t>
    </r>
    <r>
      <rPr>
        <sz val="9"/>
        <color rgb="FFFF0000"/>
        <rFont val="宋体"/>
        <family val="3"/>
        <charset val="134"/>
        <scheme val="minor"/>
      </rPr>
      <t>聚酰亚胺材料和有机绝缘膜材料</t>
    </r>
    <r>
      <rPr>
        <sz val="9"/>
        <color theme="1"/>
        <rFont val="宋体"/>
        <family val="3"/>
        <charset val="134"/>
        <scheme val="minor"/>
      </rPr>
      <t>等领域都有布局。光刻胶单体已经研发出多个产品，部分产品已经规模化销售，还有些已经做出中试批次，发给客户等待验证。2.问：对OLED行业的增速如何判断？答：公司</t>
    </r>
    <r>
      <rPr>
        <sz val="9"/>
        <color rgb="FFFF0000"/>
        <rFont val="宋体"/>
        <family val="3"/>
        <charset val="134"/>
        <scheme val="minor"/>
      </rPr>
      <t>坚定看好OLED板块的发展</t>
    </r>
    <r>
      <rPr>
        <sz val="9"/>
        <color theme="1"/>
        <rFont val="宋体"/>
        <family val="3"/>
        <charset val="134"/>
        <scheme val="minor"/>
      </rPr>
      <t>，大尺寸方面，目前OLED电视机的渗透率还比较低，我们认为OLED板块市场空间巨大，未来增速可期。</t>
    </r>
    <phoneticPr fontId="1" type="noConversion"/>
  </si>
  <si>
    <t>1.2020年公司对海外混晶客户的销售下滑，这背后的原因是海外液晶厂商受液晶国产化趋势冲击，全球市场份额不断下降；瑞联新材</t>
    <phoneticPr fontId="1" type="noConversion"/>
  </si>
  <si>
    <t>1471.01万</t>
  </si>
  <si>
    <t>3404.80万</t>
  </si>
  <si>
    <t>公司主要从事功能性材料（包括信息材料产业、环保材料产业）和大健康产业 领域产品的研发、生产和销售。信息材料最主要是液晶和OLED材料；环保材料是汽车尾气用沸石环保材料；大健康为医药中间体，制剂，原料药等。
市值169.00466亿, 利润6.27亿; PE21.72, PB2.71; ROIC10.2467%; ROE10.9833%; 股利率1.4034%; 毛利42.0367%; 净利19.38%; 上一年度营收增49.38%, 利润增24.16%; 当季营收增-11.18%, 利润增-20.4%; 过往5年营收增20.05%, 利润增14.79%
Income profile:
功能性材料类 14.06亿 54.34% 61.43% 42.54%
大健康类 11.61亿 44.88% 38.10% 31.94%
其他业务收入 2024.81万 0.78% 0.48% 23.01%</t>
  </si>
  <si>
    <t>2395.93万</t>
  </si>
  <si>
    <t>9694.67万</t>
  </si>
  <si>
    <t>114.96万</t>
  </si>
  <si>
    <t>737.82万</t>
  </si>
  <si>
    <t>5418.48万</t>
  </si>
  <si>
    <t>公司一家专注于研发、生产和销售专用有机新材料的高新技术企业，主要产品包括显示材料、医药产品、电子化学品等新材料。
公司的OLED产品主要为OLED升华前材料，销售给OLED终端材料厂商并用于制作OLED终端材料中的发光层、通用层，目前公司产品已实现了对发光层、通用层的全覆盖。2019年，公司在全球OLED升华前材料市场的占有率约为14%。
市值48.805753亿, 利润2.40亿; PE17.39, PB1.65; ROIC11.0667%; ROE14.94%; 股利率3.4274%; 毛利39.06%; 净利16.5533%; 上一年度营收增45.33%, 利润增37.14%; 当季营收增-34.55%, 利润增28.65%; 过往5年营收增22.99%, 利润增34.29%
Income profile:
液晶 4.81亿 53.63%
OLED 3.25亿 36.28%
医药 6742.58万 7.52%
电子化学品及其他 2313.18万 2.58%</t>
  </si>
  <si>
    <r>
      <t>1.问：公司年产65吨</t>
    </r>
    <r>
      <rPr>
        <sz val="9"/>
        <color rgb="FFFF0000"/>
        <rFont val="宋体"/>
        <family val="3"/>
        <charset val="134"/>
        <scheme val="minor"/>
      </rPr>
      <t>光刻胶树脂</t>
    </r>
    <r>
      <rPr>
        <sz val="9"/>
        <color theme="1"/>
        <rFont val="宋体"/>
        <family val="2"/>
        <charset val="134"/>
        <scheme val="minor"/>
      </rPr>
      <t>项目目前进展如何？答：公司“年产65吨光刻胶树脂系列产品项目”前期已经通过了安全设施竣工验收评审，目前</t>
    </r>
    <r>
      <rPr>
        <sz val="9"/>
        <color rgb="FFFF0000"/>
        <rFont val="宋体"/>
        <family val="3"/>
        <charset val="134"/>
        <scheme val="minor"/>
      </rPr>
      <t>主要为开展工艺优化与调试工作</t>
    </r>
    <r>
      <rPr>
        <sz val="9"/>
        <color theme="1"/>
        <rFont val="宋体"/>
        <family val="2"/>
        <charset val="134"/>
        <scheme val="minor"/>
      </rPr>
      <t>，现已基本具备了生产合格产品的条件，后续还将继续优化，而后开始试生产，力争尽快投入使用;2.虽然目前国际经济形势依然严峻，但公司将继续坚定的向着成为世界先进化学材料制造者的目标前行。</t>
    </r>
    <phoneticPr fontId="1" type="noConversion"/>
  </si>
  <si>
    <t>公司的主营业务为高科技制造领域适用的屏幕显示材料、半导体材料及紫外固化材料等的研究、生产和销售。主要产品为屏幕显示材料、半导体材料、紫外固化材料。公司掌握行业内领先的低聚物树脂合成技术，是紫外固化材料领域极少数同时具备低聚物树脂合成技术和配方技术的企业之一，在新产品开发上具有独特的优势。
市值107.792162亿, 利润3.86亿; PE24.71, PB3.14; ROIC8.0433%; ROE11.0267%; 股利率.3433%; 毛利40.7433%; 净利15.3%; 上一年度营收增40.93%, 利润增67.83%; 当季营收增-13.04%, 利润增-33.49%; 过往5年营收增50.97%, 利润增62.06%
Income profile:
屏幕显示材料 7.00亿 42.54% 42.36% 40.11%
紫外固化材料 3.24亿 19.70% 15.01% 30.68%
医药中间体 3.16亿 19.19% 24.07% 50.50%
半导体材料 2.92亿 17.78% 16.90% 38.29%</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</si>
</sst>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sz val="9"/>
      <color theme="1"/>
      <name val="宋体"/>
      <family val="2"/>
      <charset val="134"/>
      <scheme val="minor"/>
    </font>
    <font>
      <b/>
      <sz val="11"/>
      <color theme="1"/>
      <name val="宋体"/>
      <family val="3"/>
      <charset val="134"/>
      <scheme val="minor"/>
    </font>
    <font>
      <b/>
      <sz val="11"/>
      <color rgb="FFFF0000"/>
      <name val="宋体"/>
      <family val="3"/>
      <charset val="134"/>
      <scheme val="minor"/>
    </font>
    <font>
      <sz val="9"/>
      <color rgb="FFFF0000"/>
      <name val="宋体"/>
      <family val="3"/>
      <charset val="134"/>
      <scheme val="minor"/>
    </font>
    <font>
      <sz val="9"/>
      <color theme="1"/>
      <name val="宋体"/>
      <family val="3"/>
      <charset val="134"/>
      <scheme val="minor"/>
    </font>
    <font>
      <b/>
      <i/>
      <sz val="11"/>
      <color rgb="FFFF0000"/>
      <name val="宋体"/>
      <family val="3"/>
      <charset val="134"/>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31">
    <xf numFmtId="0" fontId="0" fillId="0" borderId="0" xfId="0">
      <alignment vertical="center"/>
    </xf>
    <xf numFmtId="0" fontId="0" fillId="0" borderId="0" xfId="0" applyFill="1">
      <alignment vertical="center"/>
    </xf>
    <xf numFmtId="0" fontId="0" fillId="2" borderId="0" xfId="0" applyFill="1">
      <alignment vertical="center"/>
    </xf>
    <xf numFmtId="0" fontId="6" fillId="0" borderId="0" xfId="0" applyFont="1" applyAlignment="1">
      <alignment vertical="center" wrapText="1"/>
    </xf>
    <xf numFmtId="10" fontId="0" fillId="0" borderId="0" xfId="0" applyNumberFormat="1">
      <alignment vertical="center"/>
    </xf>
    <xf numFmtId="9" fontId="0" fillId="0" borderId="0" xfId="0" applyNumberFormat="1">
      <alignment vertical="center"/>
    </xf>
    <xf numFmtId="0" fontId="7" fillId="0" borderId="0" xfId="0" applyFont="1" applyFill="1" applyAlignment="1">
      <alignment vertical="center" wrapText="1"/>
    </xf>
    <xf numFmtId="0" fontId="7" fillId="0" borderId="0" xfId="0" applyFont="1" applyAlignment="1">
      <alignment vertical="center" wrapText="1"/>
    </xf>
    <xf numFmtId="0" fontId="8"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8"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7" fillId="0" borderId="0" xfId="0" applyNumberFormat="1" applyFont="1" applyAlignment="1">
      <alignment vertical="center" wrapText="1"/>
    </xf>
    <xf numFmtId="0" fontId="0" fillId="0" borderId="0" xfId="0" applyBorder="1">
      <alignment vertical="center"/>
    </xf>
    <xf numFmtId="0" fontId="0" fillId="0" borderId="0" xfId="0" applyBorder="1" applyAlignment="1">
      <alignment vertical="center" wrapText="1"/>
    </xf>
    <xf numFmtId="0" fontId="0" fillId="0" borderId="1" xfId="0" applyNumberFormat="1" applyFill="1" applyBorder="1" applyAlignment="1">
      <alignment vertical="center" wrapText="1"/>
    </xf>
    <xf numFmtId="0" fontId="0" fillId="4" borderId="1" xfId="0" applyNumberFormat="1" applyFill="1" applyBorder="1" applyAlignment="1">
      <alignment vertical="center" wrapText="1"/>
    </xf>
    <xf numFmtId="0" fontId="3" fillId="0" borderId="0" xfId="0" applyFont="1">
      <alignment vertical="center"/>
    </xf>
    <xf numFmtId="0" fontId="0" fillId="6" borderId="0" xfId="0" applyFill="1">
      <alignment vertical="center"/>
    </xf>
    <xf numFmtId="0" fontId="0" fillId="7" borderId="0" xfId="0" applyFill="1">
      <alignment vertical="center"/>
    </xf>
    <xf numFmtId="0" fontId="4" fillId="0" borderId="0" xfId="0" applyFont="1">
      <alignment vertical="center"/>
    </xf>
    <xf numFmtId="0" fontId="0" fillId="0" borderId="0" xfId="0" applyAlignment="1">
      <alignment vertical="center" wrapText="1"/>
    </xf>
    <xf numFmtId="0" fontId="10" fillId="0" borderId="0" xfId="0" applyFont="1" applyAlignment="1">
      <alignment vertical="center" wrapText="1"/>
    </xf>
    <xf numFmtId="14" fontId="4" fillId="2" borderId="0" xfId="0" applyNumberFormat="1" applyFont="1" applyFill="1" applyBorder="1">
      <alignment vertical="center"/>
    </xf>
    <xf numFmtId="0" fontId="0" fillId="2" borderId="0" xfId="0" applyFill="1" applyBorder="1">
      <alignment vertical="center"/>
    </xf>
    <xf numFmtId="0" fontId="5" fillId="0" borderId="0" xfId="2" applyBorder="1" applyAlignment="1">
      <alignment vertical="center" wrapText="1"/>
    </xf>
    <xf numFmtId="14" fontId="0" fillId="0" borderId="0" xfId="0" applyNumberFormat="1">
      <alignment vertical="center"/>
    </xf>
    <xf numFmtId="0" fontId="0" fillId="0" borderId="0" xfId="0" applyNumberFormat="1">
      <alignment vertical="center"/>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53340</xdr:colOff>
          <xdr:row>37</xdr:row>
          <xdr:rowOff>53340</xdr:rowOff>
        </xdr:from>
        <xdr:to>
          <xdr:col>15</xdr:col>
          <xdr:colOff>548640</xdr:colOff>
          <xdr:row>59</xdr:row>
          <xdr:rowOff>91440</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1</xdr:row>
          <xdr:rowOff>38100</xdr:rowOff>
        </xdr:from>
        <xdr:to>
          <xdr:col>25</xdr:col>
          <xdr:colOff>464820</xdr:colOff>
          <xdr:row>36</xdr:row>
          <xdr:rowOff>99060</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167640</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Q5"/>
  <sheetViews>
    <sheetView tabSelected="1" workbookViewId="0">
      <pane xSplit="6" ySplit="2" topLeftCell="CF3" activePane="bottomRight" state="frozen"/>
      <selection activeCell="D4" sqref="D4"/>
      <selection pane="topRight" activeCell="D4" sqref="D4"/>
      <selection pane="bottomLeft" activeCell="D4" sqref="D4"/>
      <selection pane="bottomRight" activeCell="D3" sqref="D3"/>
    </sheetView>
  </sheetViews>
  <sheetFormatPr defaultRowHeight="14.4" x14ac:dyDescent="0.25"/>
  <cols>
    <col min="1" max="1" width="8.77734375" style="24"/>
    <col min="2" max="2" width="34.33203125" customWidth="1"/>
    <col min="3" max="3" width="38.77734375" customWidth="1"/>
    <col min="4" max="4" width="55" customWidth="1"/>
  </cols>
  <sheetData>
    <row r="1" spans="1:147" s="16" customFormat="1" x14ac:dyDescent="0.25">
      <c r="A1" s="17" t="s">
        <v>79</v>
      </c>
      <c r="B1" s="18" t="s">
        <v>160</v>
      </c>
      <c r="C1" s="19" t="s">
        <v>161</v>
      </c>
      <c r="D1" s="18" t="s">
        <v>162</v>
      </c>
      <c r="E1" t="s">
        <v>2</v>
      </c>
      <c r="F1" t="s">
        <v>3</v>
      </c>
      <c r="G1" t="s">
        <v>0</v>
      </c>
      <c r="H1" t="s">
        <v>116</v>
      </c>
      <c r="I1" t="s">
        <v>163</v>
      </c>
      <c r="J1" t="s">
        <v>4</v>
      </c>
      <c r="K1" t="s">
        <v>5</v>
      </c>
      <c r="L1" t="s">
        <v>1</v>
      </c>
      <c r="M1" t="s">
        <v>6</v>
      </c>
      <c r="N1" t="s">
        <v>8</v>
      </c>
      <c r="O1" t="s">
        <v>9</v>
      </c>
      <c r="P1" t="s">
        <v>10</v>
      </c>
      <c r="Q1" t="s">
        <v>164</v>
      </c>
      <c r="R1" t="s">
        <v>165</v>
      </c>
      <c r="S1" t="s">
        <v>122</v>
      </c>
      <c r="T1" t="s">
        <v>11</v>
      </c>
      <c r="U1" t="s">
        <v>166</v>
      </c>
      <c r="V1" t="s">
        <v>117</v>
      </c>
      <c r="W1" t="s">
        <v>12</v>
      </c>
      <c r="X1" t="s">
        <v>167</v>
      </c>
      <c r="Y1" t="s">
        <v>168</v>
      </c>
      <c r="Z1" t="s">
        <v>169</v>
      </c>
      <c r="AA1" t="s">
        <v>170</v>
      </c>
      <c r="AB1" t="s">
        <v>171</v>
      </c>
      <c r="AC1" t="s">
        <v>172</v>
      </c>
      <c r="AD1" t="s">
        <v>173</v>
      </c>
      <c r="AE1" t="s">
        <v>174</v>
      </c>
      <c r="AF1" t="s">
        <v>13</v>
      </c>
      <c r="AG1" t="s">
        <v>14</v>
      </c>
      <c r="AH1" t="s">
        <v>175</v>
      </c>
      <c r="AI1" t="s">
        <v>123</v>
      </c>
      <c r="AJ1" t="s">
        <v>176</v>
      </c>
      <c r="AK1" t="s">
        <v>15</v>
      </c>
      <c r="AL1" t="s">
        <v>177</v>
      </c>
      <c r="AM1" t="s">
        <v>80</v>
      </c>
      <c r="AN1" t="s">
        <v>178</v>
      </c>
      <c r="AO1" t="s">
        <v>179</v>
      </c>
      <c r="AP1" t="s">
        <v>180</v>
      </c>
      <c r="AQ1" t="s">
        <v>181</v>
      </c>
      <c r="AR1" t="s">
        <v>182</v>
      </c>
      <c r="AS1" t="s">
        <v>183</v>
      </c>
      <c r="AT1" t="s">
        <v>184</v>
      </c>
      <c r="AU1" t="s">
        <v>185</v>
      </c>
      <c r="AV1" t="s">
        <v>186</v>
      </c>
      <c r="AW1" t="s">
        <v>187</v>
      </c>
      <c r="AX1" t="s">
        <v>188</v>
      </c>
      <c r="AY1" t="s">
        <v>124</v>
      </c>
      <c r="AZ1" t="s">
        <v>81</v>
      </c>
      <c r="BA1" t="s">
        <v>82</v>
      </c>
      <c r="BB1" t="s">
        <v>83</v>
      </c>
      <c r="BC1" t="s">
        <v>84</v>
      </c>
      <c r="BD1" t="s">
        <v>89</v>
      </c>
      <c r="BE1" t="s">
        <v>85</v>
      </c>
      <c r="BF1" t="s">
        <v>86</v>
      </c>
      <c r="BG1" t="s">
        <v>87</v>
      </c>
      <c r="BH1" t="s">
        <v>88</v>
      </c>
      <c r="BI1" t="s">
        <v>189</v>
      </c>
      <c r="BJ1" t="s">
        <v>190</v>
      </c>
      <c r="BK1" t="s">
        <v>191</v>
      </c>
      <c r="BL1" t="s">
        <v>192</v>
      </c>
      <c r="BM1" t="s">
        <v>193</v>
      </c>
      <c r="BN1" t="s">
        <v>194</v>
      </c>
      <c r="BO1" t="s">
        <v>195</v>
      </c>
      <c r="BP1" t="s">
        <v>118</v>
      </c>
      <c r="BQ1" t="s">
        <v>90</v>
      </c>
      <c r="BR1" t="s">
        <v>91</v>
      </c>
      <c r="BS1" t="s">
        <v>119</v>
      </c>
      <c r="BT1" t="s">
        <v>92</v>
      </c>
      <c r="BU1" t="s">
        <v>93</v>
      </c>
      <c r="BV1" t="s">
        <v>196</v>
      </c>
      <c r="BW1" t="s">
        <v>197</v>
      </c>
      <c r="BX1" t="s">
        <v>94</v>
      </c>
      <c r="BY1" t="s">
        <v>95</v>
      </c>
      <c r="BZ1" t="s">
        <v>198</v>
      </c>
      <c r="CA1" t="s">
        <v>96</v>
      </c>
      <c r="CB1" t="s">
        <v>97</v>
      </c>
      <c r="CC1" t="s">
        <v>199</v>
      </c>
      <c r="CD1" t="s">
        <v>200</v>
      </c>
      <c r="CE1" t="s">
        <v>201</v>
      </c>
      <c r="CF1" t="s">
        <v>202</v>
      </c>
      <c r="CG1" s="1" t="s">
        <v>99</v>
      </c>
      <c r="CH1" s="1" t="s">
        <v>100</v>
      </c>
      <c r="CI1" s="1" t="s">
        <v>101</v>
      </c>
      <c r="CJ1" s="1" t="s">
        <v>102</v>
      </c>
      <c r="CK1" s="1" t="s">
        <v>103</v>
      </c>
      <c r="CL1" s="1" t="s">
        <v>104</v>
      </c>
      <c r="CM1" s="1" t="s">
        <v>105</v>
      </c>
      <c r="CN1" s="1" t="s">
        <v>106</v>
      </c>
      <c r="CO1" s="1" t="s">
        <v>107</v>
      </c>
      <c r="CP1" s="1" t="s">
        <v>108</v>
      </c>
      <c r="CQ1" s="1" t="s">
        <v>109</v>
      </c>
      <c r="CR1" s="1" t="s">
        <v>110</v>
      </c>
      <c r="CS1" s="1" t="s">
        <v>203</v>
      </c>
      <c r="CT1" s="1" t="s">
        <v>204</v>
      </c>
      <c r="CU1" s="1" t="s">
        <v>205</v>
      </c>
      <c r="CV1" s="1" t="s">
        <v>206</v>
      </c>
      <c r="CW1" s="1" t="s">
        <v>207</v>
      </c>
      <c r="CX1" s="1" t="s">
        <v>208</v>
      </c>
      <c r="CY1">
        <v>1</v>
      </c>
      <c r="CZ1" t="s">
        <v>209</v>
      </c>
      <c r="DA1" t="s">
        <v>210</v>
      </c>
      <c r="DB1">
        <v>3</v>
      </c>
      <c r="DC1" t="s">
        <v>211</v>
      </c>
      <c r="DD1" t="s">
        <v>212</v>
      </c>
      <c r="DE1">
        <v>6</v>
      </c>
      <c r="DF1" t="s">
        <v>213</v>
      </c>
      <c r="DG1" t="s">
        <v>214</v>
      </c>
      <c r="DH1">
        <v>10</v>
      </c>
      <c r="DI1" t="s">
        <v>215</v>
      </c>
      <c r="DJ1" t="s">
        <v>216</v>
      </c>
      <c r="DK1">
        <v>20</v>
      </c>
      <c r="DL1" t="s">
        <v>217</v>
      </c>
      <c r="DM1" t="s">
        <v>111</v>
      </c>
      <c r="DN1" t="s">
        <v>112</v>
      </c>
      <c r="DO1" s="2" t="s">
        <v>113</v>
      </c>
      <c r="DP1" t="s">
        <v>218</v>
      </c>
      <c r="DQ1" t="s">
        <v>219</v>
      </c>
      <c r="DR1" s="1" t="s">
        <v>220</v>
      </c>
      <c r="DS1" s="1" t="s">
        <v>221</v>
      </c>
      <c r="DT1" s="1" t="s">
        <v>222</v>
      </c>
      <c r="DU1" t="s">
        <v>223</v>
      </c>
      <c r="DV1" t="s">
        <v>224</v>
      </c>
      <c r="DW1" t="s">
        <v>225</v>
      </c>
      <c r="DX1" t="s">
        <v>226</v>
      </c>
      <c r="DY1" t="s">
        <v>227</v>
      </c>
      <c r="DZ1" t="s">
        <v>228</v>
      </c>
      <c r="EA1" t="s">
        <v>229</v>
      </c>
      <c r="EB1" t="s">
        <v>230</v>
      </c>
      <c r="EC1" t="s">
        <v>231</v>
      </c>
      <c r="ED1" t="s">
        <v>232</v>
      </c>
      <c r="EE1" t="s">
        <v>233</v>
      </c>
      <c r="EF1" t="s">
        <v>234</v>
      </c>
      <c r="EG1" t="s">
        <v>235</v>
      </c>
      <c r="EH1" t="s">
        <v>236</v>
      </c>
      <c r="EI1" t="s">
        <v>237</v>
      </c>
      <c r="EJ1" t="s">
        <v>238</v>
      </c>
      <c r="EK1"/>
      <c r="EL1" s="16" t="s">
        <v>239</v>
      </c>
      <c r="EM1" s="16" t="s">
        <v>240</v>
      </c>
      <c r="EN1" s="16" t="s">
        <v>241</v>
      </c>
      <c r="EO1" s="16" t="s">
        <v>242</v>
      </c>
      <c r="EP1" s="16" t="s">
        <v>243</v>
      </c>
      <c r="EQ1" s="16" t="s">
        <v>244</v>
      </c>
    </row>
    <row r="2" spans="1:147" s="16" customFormat="1" ht="52.05" customHeight="1" x14ac:dyDescent="0.25">
      <c r="A2" s="28"/>
      <c r="B2" s="26"/>
      <c r="C2" s="27">
        <v>3</v>
      </c>
      <c r="D2" s="27">
        <v>5</v>
      </c>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s="1"/>
      <c r="CH2" s="1"/>
      <c r="CI2" s="1"/>
      <c r="CJ2" s="1"/>
      <c r="CK2" s="1"/>
      <c r="CL2" s="1"/>
      <c r="CM2" s="1"/>
      <c r="CN2" s="1"/>
      <c r="CO2" s="1"/>
      <c r="CP2" s="1"/>
      <c r="CQ2" s="1"/>
      <c r="CR2" s="1"/>
      <c r="CS2" s="1"/>
      <c r="CT2" s="1"/>
      <c r="CU2" s="1"/>
      <c r="CV2" s="1"/>
      <c r="CW2" s="1"/>
      <c r="CX2" s="1"/>
      <c r="CY2"/>
      <c r="CZ2"/>
      <c r="DA2"/>
      <c r="DB2"/>
      <c r="DC2"/>
      <c r="DD2"/>
      <c r="DE2"/>
      <c r="DF2"/>
      <c r="DG2"/>
      <c r="DH2"/>
      <c r="DI2"/>
      <c r="DJ2"/>
      <c r="DK2"/>
      <c r="DL2"/>
      <c r="DM2"/>
      <c r="DN2"/>
      <c r="DO2" s="2"/>
      <c r="DP2"/>
      <c r="DQ2"/>
      <c r="DR2" s="1"/>
      <c r="DS2" s="1"/>
      <c r="DT2" s="1"/>
      <c r="DU2"/>
      <c r="DV2"/>
      <c r="DW2"/>
      <c r="DX2"/>
      <c r="DY2"/>
      <c r="DZ2"/>
      <c r="EA2"/>
      <c r="EB2"/>
      <c r="EC2"/>
      <c r="ED2"/>
      <c r="EE2"/>
      <c r="EF2"/>
      <c r="EG2"/>
      <c r="EH2"/>
      <c r="EI2"/>
      <c r="EJ2"/>
      <c r="EK2"/>
    </row>
    <row r="3" spans="1:147" ht="129.6" x14ac:dyDescent="0.25">
      <c r="B3" s="3" t="s">
        <v>317</v>
      </c>
      <c r="C3" s="3"/>
      <c r="D3" s="25" t="s">
        <v>310</v>
      </c>
      <c r="E3" t="s">
        <v>133</v>
      </c>
      <c r="F3" t="s">
        <v>134</v>
      </c>
      <c r="G3">
        <v>18.170000000000002</v>
      </c>
      <c r="H3">
        <v>4.67</v>
      </c>
      <c r="I3" t="s">
        <v>308</v>
      </c>
      <c r="J3">
        <v>16900466000</v>
      </c>
      <c r="K3">
        <v>21.72</v>
      </c>
      <c r="L3">
        <v>2.71</v>
      </c>
      <c r="M3" t="s">
        <v>115</v>
      </c>
      <c r="N3" t="s">
        <v>263</v>
      </c>
      <c r="O3" t="s">
        <v>264</v>
      </c>
      <c r="P3" t="s">
        <v>265</v>
      </c>
      <c r="Q3">
        <v>19.18</v>
      </c>
      <c r="R3" t="s">
        <v>135</v>
      </c>
      <c r="S3">
        <v>643829420</v>
      </c>
      <c r="T3" s="4">
        <v>0.30719999999999997</v>
      </c>
      <c r="U3" t="s">
        <v>136</v>
      </c>
      <c r="V3">
        <v>895833210</v>
      </c>
      <c r="W3">
        <v>930335220</v>
      </c>
      <c r="X3">
        <v>1.36</v>
      </c>
      <c r="Y3">
        <v>0.45</v>
      </c>
      <c r="Z3">
        <v>18.38</v>
      </c>
      <c r="AA3" t="s">
        <v>266</v>
      </c>
      <c r="AB3" t="s">
        <v>267</v>
      </c>
      <c r="AC3" t="s">
        <v>37</v>
      </c>
      <c r="AD3" t="s">
        <v>22</v>
      </c>
      <c r="AE3" t="s">
        <v>32</v>
      </c>
      <c r="AF3">
        <v>-70487147</v>
      </c>
      <c r="AG3" t="s">
        <v>268</v>
      </c>
      <c r="AH3" t="s">
        <v>269</v>
      </c>
      <c r="AI3" t="s">
        <v>270</v>
      </c>
      <c r="AJ3" t="s">
        <v>271</v>
      </c>
      <c r="AK3" t="s">
        <v>272</v>
      </c>
      <c r="AL3" t="s">
        <v>273</v>
      </c>
      <c r="AM3" t="s">
        <v>274</v>
      </c>
      <c r="AN3" t="s">
        <v>7</v>
      </c>
      <c r="AO3" t="s">
        <v>252</v>
      </c>
      <c r="AP3" t="s">
        <v>25</v>
      </c>
      <c r="AQ3" t="s">
        <v>275</v>
      </c>
      <c r="AR3" t="s">
        <v>245</v>
      </c>
      <c r="AS3" t="s">
        <v>7</v>
      </c>
      <c r="AT3" t="s">
        <v>39</v>
      </c>
      <c r="AU3" t="s">
        <v>159</v>
      </c>
      <c r="AV3" t="s">
        <v>125</v>
      </c>
      <c r="AW3" t="s">
        <v>276</v>
      </c>
      <c r="AX3" t="s">
        <v>17</v>
      </c>
      <c r="AY3" t="s">
        <v>137</v>
      </c>
      <c r="AZ3" t="s">
        <v>138</v>
      </c>
      <c r="BA3" t="s">
        <v>139</v>
      </c>
      <c r="BB3" t="s">
        <v>140</v>
      </c>
      <c r="BC3" t="s">
        <v>141</v>
      </c>
      <c r="BD3" t="s">
        <v>35</v>
      </c>
      <c r="BE3" t="s">
        <v>142</v>
      </c>
      <c r="BF3" t="s">
        <v>98</v>
      </c>
      <c r="BG3" t="s">
        <v>38</v>
      </c>
      <c r="BH3" t="s">
        <v>44</v>
      </c>
      <c r="BI3" t="s">
        <v>277</v>
      </c>
      <c r="BJ3" t="s">
        <v>278</v>
      </c>
      <c r="BK3" t="s">
        <v>279</v>
      </c>
      <c r="BL3" t="s">
        <v>280</v>
      </c>
      <c r="BM3" t="s">
        <v>156</v>
      </c>
      <c r="BN3" t="s">
        <v>28</v>
      </c>
      <c r="BO3">
        <v>10.6</v>
      </c>
      <c r="BP3">
        <v>9.6300000000000008</v>
      </c>
      <c r="BQ3">
        <v>10.51</v>
      </c>
      <c r="BR3">
        <v>11.73</v>
      </c>
      <c r="BS3">
        <v>10.23</v>
      </c>
      <c r="BT3">
        <v>10.99</v>
      </c>
      <c r="BU3" t="s">
        <v>281</v>
      </c>
      <c r="BV3" t="s">
        <v>115</v>
      </c>
      <c r="BW3">
        <v>37.630000000000003</v>
      </c>
      <c r="BX3">
        <v>44.88</v>
      </c>
      <c r="BY3">
        <v>43.6</v>
      </c>
      <c r="BZ3">
        <v>20.65</v>
      </c>
      <c r="CA3">
        <v>18.89</v>
      </c>
      <c r="CB3">
        <v>18.600000000000001</v>
      </c>
      <c r="CC3">
        <v>5.27</v>
      </c>
      <c r="CD3">
        <v>-0.98</v>
      </c>
      <c r="CE3" t="s">
        <v>309</v>
      </c>
      <c r="CF3" t="s">
        <v>247</v>
      </c>
      <c r="CG3" s="21">
        <v>-0.11176650176678431</v>
      </c>
      <c r="CH3" s="22">
        <v>-0.20401343750000001</v>
      </c>
      <c r="CI3" s="21">
        <v>0.4938313364982605</v>
      </c>
      <c r="CJ3" s="21">
        <v>1.6724737361073494E-2</v>
      </c>
      <c r="CK3" s="21">
        <v>9.0425580739974976E-2</v>
      </c>
      <c r="CL3" s="21">
        <v>7.1661241352558136E-2</v>
      </c>
      <c r="CM3" s="21">
        <v>0.32972383499145508</v>
      </c>
      <c r="CN3" s="22">
        <v>0.24158415198326111</v>
      </c>
      <c r="CO3" s="22">
        <v>-3.9447732269763947E-3</v>
      </c>
      <c r="CP3" s="22">
        <v>0.14189189672470093</v>
      </c>
      <c r="CQ3" s="22">
        <v>0.15324676036834717</v>
      </c>
      <c r="CR3" s="22">
        <v>0.20689655840396881</v>
      </c>
      <c r="CS3">
        <v>3.87714292268869</v>
      </c>
      <c r="CT3">
        <v>1.0834357989694758</v>
      </c>
      <c r="CU3">
        <v>1.4034122179416619</v>
      </c>
      <c r="CV3" s="21">
        <v>0.20047334618866444</v>
      </c>
      <c r="CW3" s="22">
        <v>0.14793491885066032</v>
      </c>
      <c r="CX3">
        <v>0.06</v>
      </c>
      <c r="CY3">
        <v>17.737811787939421</v>
      </c>
      <c r="CZ3">
        <v>710091309.4908421</v>
      </c>
      <c r="DA3">
        <v>0.20047334618866444</v>
      </c>
      <c r="DB3">
        <v>5.2852706271342482</v>
      </c>
      <c r="DC3">
        <v>2383126028.6532288</v>
      </c>
      <c r="DD3">
        <v>0.1904496788792312</v>
      </c>
      <c r="DE3">
        <v>2.2884832836815181</v>
      </c>
      <c r="DF3">
        <v>5503848811.0507326</v>
      </c>
      <c r="DG3">
        <v>0.17641654464602471</v>
      </c>
      <c r="DH3">
        <v>1.1810407839063086</v>
      </c>
      <c r="DI3">
        <v>10664717232.152071</v>
      </c>
      <c r="DJ3">
        <v>0.16037867695093155</v>
      </c>
      <c r="DK3">
        <v>0.42750182117132463</v>
      </c>
      <c r="DL3">
        <v>29462952848.924286</v>
      </c>
      <c r="DM3">
        <v>0.1403313423320651</v>
      </c>
      <c r="DN3">
        <v>627000000</v>
      </c>
      <c r="DO3">
        <v>0.20047334618866444</v>
      </c>
      <c r="DP3">
        <v>12595466000</v>
      </c>
      <c r="DQ3">
        <v>2408063400</v>
      </c>
      <c r="DR3">
        <v>1142</v>
      </c>
      <c r="DS3">
        <v>-0.31223984795544873</v>
      </c>
      <c r="DT3">
        <v>-0.35194835635066035</v>
      </c>
      <c r="DU3" s="23">
        <v>0.48666666666666664</v>
      </c>
      <c r="DV3">
        <v>0.98333333333333328</v>
      </c>
      <c r="DW3">
        <v>1.47</v>
      </c>
      <c r="DX3">
        <v>4.1859582542694493</v>
      </c>
      <c r="DY3">
        <v>0.90127800829875526</v>
      </c>
      <c r="DZ3">
        <v>4.0262718117899015</v>
      </c>
      <c r="EA3">
        <v>919</v>
      </c>
      <c r="EB3">
        <v>4.0214011652224375</v>
      </c>
      <c r="EC3">
        <v>4</v>
      </c>
      <c r="ED3">
        <v>3.6597561038267473E-2</v>
      </c>
      <c r="EE3">
        <v>0.25904641124948491</v>
      </c>
      <c r="EF3" s="20">
        <v>1.02291</v>
      </c>
      <c r="EG3">
        <v>1.0238</v>
      </c>
      <c r="EH3">
        <v>76.141278008298755</v>
      </c>
      <c r="EI3" t="s">
        <v>121</v>
      </c>
      <c r="EJ3">
        <v>0</v>
      </c>
      <c r="EK3">
        <v>1</v>
      </c>
      <c r="EL3" s="29">
        <v>45002</v>
      </c>
      <c r="EM3" s="30">
        <v>1.04E-2</v>
      </c>
      <c r="EN3" s="30">
        <v>-1.83E-2</v>
      </c>
      <c r="EO3" s="30">
        <v>1.93</v>
      </c>
      <c r="EP3" s="30">
        <v>-0.52</v>
      </c>
      <c r="EQ3" s="30">
        <v>4.67</v>
      </c>
    </row>
    <row r="4" spans="1:147" ht="151.19999999999999" x14ac:dyDescent="0.25">
      <c r="B4" s="25"/>
      <c r="C4" s="25"/>
      <c r="D4" s="25" t="s">
        <v>318</v>
      </c>
      <c r="E4" t="s">
        <v>283</v>
      </c>
      <c r="F4" t="s">
        <v>284</v>
      </c>
      <c r="G4">
        <v>20.39</v>
      </c>
      <c r="H4">
        <v>1.85</v>
      </c>
      <c r="I4" t="s">
        <v>311</v>
      </c>
      <c r="J4">
        <v>10779216200</v>
      </c>
      <c r="K4">
        <v>24.71</v>
      </c>
      <c r="L4">
        <v>3.14</v>
      </c>
      <c r="M4" t="s">
        <v>115</v>
      </c>
      <c r="N4" t="s">
        <v>285</v>
      </c>
      <c r="O4" t="s">
        <v>286</v>
      </c>
      <c r="P4" t="s">
        <v>287</v>
      </c>
      <c r="Q4">
        <v>18.71</v>
      </c>
      <c r="R4" t="s">
        <v>248</v>
      </c>
      <c r="S4">
        <v>320836500</v>
      </c>
      <c r="T4" s="4">
        <v>0.18609999999999999</v>
      </c>
      <c r="U4" t="s">
        <v>129</v>
      </c>
      <c r="V4">
        <v>524981020</v>
      </c>
      <c r="W4">
        <v>528650100</v>
      </c>
      <c r="X4">
        <v>1.72</v>
      </c>
      <c r="Y4">
        <v>0.37</v>
      </c>
      <c r="Z4">
        <v>14.65</v>
      </c>
      <c r="AA4" t="s">
        <v>288</v>
      </c>
      <c r="AB4" t="s">
        <v>289</v>
      </c>
      <c r="AC4" t="s">
        <v>27</v>
      </c>
      <c r="AD4" t="s">
        <v>24</v>
      </c>
      <c r="AE4" t="s">
        <v>30</v>
      </c>
      <c r="AF4">
        <v>28191987</v>
      </c>
      <c r="AG4" t="s">
        <v>290</v>
      </c>
      <c r="AH4" t="s">
        <v>291</v>
      </c>
      <c r="AI4" t="s">
        <v>292</v>
      </c>
      <c r="AJ4" t="s">
        <v>282</v>
      </c>
      <c r="AK4" t="s">
        <v>293</v>
      </c>
      <c r="AL4" t="s">
        <v>132</v>
      </c>
      <c r="AM4" t="s">
        <v>294</v>
      </c>
      <c r="AN4" t="s">
        <v>7</v>
      </c>
      <c r="AO4" t="s">
        <v>280</v>
      </c>
      <c r="AP4" t="s">
        <v>295</v>
      </c>
      <c r="AQ4" t="s">
        <v>144</v>
      </c>
      <c r="AR4" t="s">
        <v>29</v>
      </c>
      <c r="AS4" t="s">
        <v>7</v>
      </c>
      <c r="AT4" t="s">
        <v>157</v>
      </c>
      <c r="AU4" t="s">
        <v>131</v>
      </c>
      <c r="AV4" t="s">
        <v>21</v>
      </c>
      <c r="AW4" t="s">
        <v>296</v>
      </c>
      <c r="AX4" t="s">
        <v>26</v>
      </c>
      <c r="AY4" t="s">
        <v>297</v>
      </c>
      <c r="AZ4" t="s">
        <v>31</v>
      </c>
      <c r="BA4" t="s">
        <v>298</v>
      </c>
      <c r="BB4" t="s">
        <v>299</v>
      </c>
      <c r="BC4" t="s">
        <v>46</v>
      </c>
      <c r="BD4" t="s">
        <v>20</v>
      </c>
      <c r="BE4" t="s">
        <v>34</v>
      </c>
      <c r="BF4" t="s">
        <v>128</v>
      </c>
      <c r="BG4" t="s">
        <v>300</v>
      </c>
      <c r="BH4" t="s">
        <v>301</v>
      </c>
      <c r="BI4" t="s">
        <v>302</v>
      </c>
      <c r="BJ4" t="s">
        <v>303</v>
      </c>
      <c r="BK4" t="s">
        <v>304</v>
      </c>
      <c r="BL4" t="s">
        <v>22</v>
      </c>
      <c r="BM4" t="s">
        <v>40</v>
      </c>
      <c r="BN4" t="s">
        <v>114</v>
      </c>
      <c r="BO4">
        <v>9.42</v>
      </c>
      <c r="BP4">
        <v>6.64</v>
      </c>
      <c r="BQ4">
        <v>8.07</v>
      </c>
      <c r="BR4">
        <v>12.93</v>
      </c>
      <c r="BS4">
        <v>9.0299999999999994</v>
      </c>
      <c r="BT4">
        <v>11.12</v>
      </c>
      <c r="BU4" t="s">
        <v>305</v>
      </c>
      <c r="BV4" t="s">
        <v>115</v>
      </c>
      <c r="BW4">
        <v>40.28</v>
      </c>
      <c r="BX4">
        <v>39.479999999999997</v>
      </c>
      <c r="BY4">
        <v>42.47</v>
      </c>
      <c r="BZ4">
        <v>15.74</v>
      </c>
      <c r="CA4">
        <v>12.83</v>
      </c>
      <c r="CB4">
        <v>17.329999999999998</v>
      </c>
      <c r="CC4">
        <v>6.59</v>
      </c>
      <c r="CD4">
        <v>9.6199999999999992</v>
      </c>
      <c r="CE4" t="s">
        <v>312</v>
      </c>
      <c r="CF4" t="s">
        <v>41</v>
      </c>
      <c r="CG4" s="21">
        <v>-0.13039722222222222</v>
      </c>
      <c r="CH4" s="22">
        <v>-0.33493627450980362</v>
      </c>
      <c r="CI4" s="21">
        <v>0.40933480858802795</v>
      </c>
      <c r="CJ4" s="21">
        <v>0.23198947310447693</v>
      </c>
      <c r="CK4" s="21">
        <v>4.6334672719240189E-2</v>
      </c>
      <c r="CL4" s="21">
        <v>0.76341462135314941</v>
      </c>
      <c r="CM4" s="21">
        <v>1.0971866846084595</v>
      </c>
      <c r="CN4" s="22">
        <v>0.67826086282730103</v>
      </c>
      <c r="CO4" s="22">
        <v>-9.8039217293262482E-2</v>
      </c>
      <c r="CP4" s="22">
        <v>-0.10211267322301865</v>
      </c>
      <c r="CQ4" s="22">
        <v>2.3885200023651123</v>
      </c>
      <c r="CR4" s="22">
        <v>0.23641180992126465</v>
      </c>
      <c r="CS4">
        <v>4.1032417967263042</v>
      </c>
      <c r="CT4">
        <v>0.48484058681627085</v>
      </c>
      <c r="CU4">
        <v>0.34330554193231971</v>
      </c>
      <c r="CV4" s="21">
        <v>0.50965205207467079</v>
      </c>
      <c r="CW4" s="22">
        <v>0.62060815691947935</v>
      </c>
      <c r="CX4">
        <v>0.06</v>
      </c>
      <c r="CY4">
        <v>17.761477333676986</v>
      </c>
      <c r="CZ4">
        <v>549741218.96304047</v>
      </c>
      <c r="DA4">
        <v>0.50965205207467079</v>
      </c>
      <c r="DB4">
        <v>4.1431004590294824</v>
      </c>
      <c r="DC4">
        <v>2356741357.4826179</v>
      </c>
      <c r="DD4">
        <v>0.48416944947093721</v>
      </c>
      <c r="DE4">
        <v>1.2310255920565152</v>
      </c>
      <c r="DF4">
        <v>7931773525.2669992</v>
      </c>
      <c r="DG4">
        <v>0.4484938058257103</v>
      </c>
      <c r="DH4">
        <v>0.38893871631685978</v>
      </c>
      <c r="DI4">
        <v>25104767898.820618</v>
      </c>
      <c r="DJ4">
        <v>0.40772164165973668</v>
      </c>
      <c r="DK4">
        <v>4.0008935004092208E-2</v>
      </c>
      <c r="DL4">
        <v>244050890107.45456</v>
      </c>
      <c r="DM4">
        <v>0.35675643645226951</v>
      </c>
      <c r="DN4">
        <v>386000000</v>
      </c>
      <c r="DO4">
        <v>0.50965205207467079</v>
      </c>
      <c r="DP4">
        <v>9764216200</v>
      </c>
      <c r="DQ4">
        <v>1557260700</v>
      </c>
      <c r="DR4">
        <v>1892</v>
      </c>
      <c r="DS4">
        <v>-0.64004927429689307</v>
      </c>
      <c r="DT4">
        <v>-0.95554443142928291</v>
      </c>
      <c r="DU4" s="23">
        <v>0.97000000000000008</v>
      </c>
      <c r="DV4">
        <v>1.1366666666666667</v>
      </c>
      <c r="DW4">
        <v>2.1066666666666669</v>
      </c>
      <c r="DX4">
        <v>9.6850311850311854</v>
      </c>
      <c r="DY4">
        <v>0.539833795918369</v>
      </c>
      <c r="DZ4">
        <v>9.1505930057278633</v>
      </c>
      <c r="EA4">
        <v>288</v>
      </c>
      <c r="EB4">
        <v>9.1418436037408508</v>
      </c>
      <c r="EC4">
        <v>9</v>
      </c>
      <c r="ED4">
        <v>0.18338538099207774</v>
      </c>
      <c r="EE4">
        <v>0.834200163775624</v>
      </c>
      <c r="EF4" s="20">
        <v>2.9810000000000003E-2</v>
      </c>
      <c r="EG4">
        <v>1.1309999999999997E-2</v>
      </c>
      <c r="EH4">
        <v>32.219833795918369</v>
      </c>
      <c r="EI4">
        <v>-1</v>
      </c>
      <c r="EJ4">
        <v>1</v>
      </c>
      <c r="EK4">
        <v>1</v>
      </c>
      <c r="EL4" s="29">
        <v>45002</v>
      </c>
      <c r="EM4" s="30">
        <v>-6.3E-3</v>
      </c>
      <c r="EN4" s="30">
        <v>0.02</v>
      </c>
      <c r="EO4" s="30">
        <v>1.5</v>
      </c>
      <c r="EP4" s="30">
        <v>1.73</v>
      </c>
      <c r="EQ4" s="30">
        <v>1.85</v>
      </c>
    </row>
    <row r="5" spans="1:147" ht="162" x14ac:dyDescent="0.25">
      <c r="B5" s="25" t="s">
        <v>306</v>
      </c>
      <c r="C5" s="25" t="s">
        <v>307</v>
      </c>
      <c r="D5" s="25" t="s">
        <v>316</v>
      </c>
      <c r="E5" t="s">
        <v>145</v>
      </c>
      <c r="F5" t="s">
        <v>146</v>
      </c>
      <c r="G5">
        <v>49.6</v>
      </c>
      <c r="H5">
        <v>0.55000000000000004</v>
      </c>
      <c r="I5" t="s">
        <v>313</v>
      </c>
      <c r="J5">
        <v>4880575300</v>
      </c>
      <c r="K5">
        <v>17.39</v>
      </c>
      <c r="L5">
        <v>1.65</v>
      </c>
      <c r="M5" t="s">
        <v>115</v>
      </c>
      <c r="N5" t="s">
        <v>249</v>
      </c>
      <c r="O5" t="s">
        <v>250</v>
      </c>
      <c r="P5" t="s">
        <v>251</v>
      </c>
      <c r="Q5">
        <v>4.92</v>
      </c>
      <c r="R5" t="s">
        <v>147</v>
      </c>
      <c r="S5">
        <v>247198650</v>
      </c>
      <c r="T5" s="4">
        <v>3.1E-2</v>
      </c>
      <c r="U5" t="s">
        <v>36</v>
      </c>
      <c r="V5">
        <v>72507571</v>
      </c>
      <c r="W5">
        <v>98075383</v>
      </c>
      <c r="X5">
        <v>1.17</v>
      </c>
      <c r="Y5">
        <v>0.33</v>
      </c>
      <c r="Z5">
        <v>17.59</v>
      </c>
      <c r="AA5" t="s">
        <v>154</v>
      </c>
      <c r="AB5" t="s">
        <v>252</v>
      </c>
      <c r="AC5" t="s">
        <v>253</v>
      </c>
      <c r="AD5" t="s">
        <v>23</v>
      </c>
      <c r="AE5" t="s">
        <v>158</v>
      </c>
      <c r="AF5">
        <v>-27152181</v>
      </c>
      <c r="AG5" t="s">
        <v>254</v>
      </c>
      <c r="AH5" t="s">
        <v>255</v>
      </c>
      <c r="AI5" t="s">
        <v>256</v>
      </c>
      <c r="AJ5" t="s">
        <v>257</v>
      </c>
      <c r="AK5" t="s">
        <v>258</v>
      </c>
      <c r="AL5" t="s">
        <v>259</v>
      </c>
      <c r="AM5" t="s">
        <v>260</v>
      </c>
      <c r="AN5" t="s">
        <v>7</v>
      </c>
      <c r="AO5" t="s">
        <v>246</v>
      </c>
      <c r="AP5" t="s">
        <v>7</v>
      </c>
      <c r="AQ5" t="s">
        <v>43</v>
      </c>
      <c r="AR5" t="s">
        <v>127</v>
      </c>
      <c r="AS5" t="s">
        <v>7</v>
      </c>
      <c r="AT5" t="s">
        <v>143</v>
      </c>
      <c r="AU5" t="s">
        <v>7</v>
      </c>
      <c r="AV5" t="s">
        <v>18</v>
      </c>
      <c r="AW5" t="s">
        <v>24</v>
      </c>
      <c r="AX5" t="s">
        <v>261</v>
      </c>
      <c r="AY5" t="s">
        <v>45</v>
      </c>
      <c r="AZ5" t="s">
        <v>148</v>
      </c>
      <c r="BA5" t="s">
        <v>149</v>
      </c>
      <c r="BB5" t="s">
        <v>150</v>
      </c>
      <c r="BC5" t="s">
        <v>16</v>
      </c>
      <c r="BD5" t="s">
        <v>32</v>
      </c>
      <c r="BE5" t="s">
        <v>19</v>
      </c>
      <c r="BF5" t="s">
        <v>151</v>
      </c>
      <c r="BG5" t="s">
        <v>152</v>
      </c>
      <c r="BH5" t="s">
        <v>153</v>
      </c>
      <c r="BI5" t="s">
        <v>126</v>
      </c>
      <c r="BJ5" t="s">
        <v>42</v>
      </c>
      <c r="BK5" t="s">
        <v>130</v>
      </c>
      <c r="BL5" t="s">
        <v>155</v>
      </c>
      <c r="BM5" t="s">
        <v>114</v>
      </c>
      <c r="BN5" t="s">
        <v>33</v>
      </c>
      <c r="BO5">
        <v>6.79</v>
      </c>
      <c r="BP5">
        <v>9.75</v>
      </c>
      <c r="BQ5">
        <v>16.66</v>
      </c>
      <c r="BR5">
        <v>8.67</v>
      </c>
      <c r="BS5">
        <v>12.76</v>
      </c>
      <c r="BT5">
        <v>23.39</v>
      </c>
      <c r="BU5" t="s">
        <v>262</v>
      </c>
      <c r="BV5" t="s">
        <v>115</v>
      </c>
      <c r="BW5">
        <v>37.21</v>
      </c>
      <c r="BX5">
        <v>40.299999999999997</v>
      </c>
      <c r="BY5">
        <v>39.67</v>
      </c>
      <c r="BZ5">
        <v>17.96</v>
      </c>
      <c r="CA5">
        <v>16.71</v>
      </c>
      <c r="CB5">
        <v>14.99</v>
      </c>
      <c r="CC5">
        <v>-3.37</v>
      </c>
      <c r="CD5">
        <v>-7.45</v>
      </c>
      <c r="CE5" t="s">
        <v>314</v>
      </c>
      <c r="CF5" t="s">
        <v>315</v>
      </c>
      <c r="CG5" s="21">
        <v>-0.34549708520179401</v>
      </c>
      <c r="CH5" s="22">
        <v>0.28654701492537316</v>
      </c>
      <c r="CI5" s="21">
        <v>0.45333334803581238</v>
      </c>
      <c r="CJ5" s="21">
        <v>6.0606062412261963E-2</v>
      </c>
      <c r="CK5" s="21">
        <v>0.1551925390958786</v>
      </c>
      <c r="CL5" s="21">
        <v>0.19193324446678162</v>
      </c>
      <c r="CM5" s="21">
        <v>0.28853046894073486</v>
      </c>
      <c r="CN5" s="22">
        <v>0.37142857909202576</v>
      </c>
      <c r="CO5" s="22">
        <v>0.18243242800235748</v>
      </c>
      <c r="CP5" s="22">
        <v>0.56378614902496338</v>
      </c>
      <c r="CQ5" s="22">
        <v>0.21322482824325562</v>
      </c>
      <c r="CR5" s="22">
        <v>0.38358196616172791</v>
      </c>
      <c r="CS5">
        <v>3.1982800131061597</v>
      </c>
      <c r="CT5">
        <v>0.75635288825607394</v>
      </c>
      <c r="CU5">
        <v>3.4274193548387095</v>
      </c>
      <c r="CV5" s="21">
        <v>0.2299191325902939</v>
      </c>
      <c r="CW5" s="22">
        <v>0.34289079010486601</v>
      </c>
      <c r="CX5">
        <v>0.06</v>
      </c>
      <c r="CY5">
        <v>8.828797997581205</v>
      </c>
      <c r="CZ5">
        <v>278472256.43553823</v>
      </c>
      <c r="DA5">
        <v>0.2299191325902939</v>
      </c>
      <c r="DB5">
        <v>2.5678068005796568</v>
      </c>
      <c r="DC5">
        <v>957461168.59142256</v>
      </c>
      <c r="DD5">
        <v>0.2184231759607792</v>
      </c>
      <c r="DE5">
        <v>1.0735079199714528</v>
      </c>
      <c r="DF5">
        <v>2290225581.2564287</v>
      </c>
      <c r="DG5">
        <v>0.20232883667945864</v>
      </c>
      <c r="DH5">
        <v>0.53047862586481742</v>
      </c>
      <c r="DI5">
        <v>4634635930.8857851</v>
      </c>
      <c r="DJ5">
        <v>0.18393530607223513</v>
      </c>
      <c r="DK5">
        <v>0.17237143598059226</v>
      </c>
      <c r="DL5">
        <v>14263240809.090998</v>
      </c>
      <c r="DM5">
        <v>0.16094339281320572</v>
      </c>
      <c r="DN5">
        <v>240000000</v>
      </c>
      <c r="DO5">
        <v>0.2299191325902939</v>
      </c>
      <c r="DP5">
        <v>2458575300</v>
      </c>
      <c r="DQ5">
        <v>1602762100</v>
      </c>
      <c r="DR5">
        <v>4847</v>
      </c>
      <c r="DS5">
        <v>-0.57541621779208785</v>
      </c>
      <c r="DT5">
        <v>-5.634377517949285E-2</v>
      </c>
      <c r="DU5" s="23">
        <v>0.51666666666666661</v>
      </c>
      <c r="DV5">
        <v>0.8866666666666666</v>
      </c>
      <c r="DW5">
        <v>1.4033333333333333</v>
      </c>
      <c r="DX5">
        <v>-8.4523489932885898</v>
      </c>
      <c r="DY5">
        <v>0.3161673384417763</v>
      </c>
      <c r="DZ5">
        <v>-8.0615951584629251</v>
      </c>
      <c r="EA5">
        <v>1040</v>
      </c>
      <c r="EB5">
        <v>-8.0486722283032641</v>
      </c>
      <c r="EC5">
        <v>8</v>
      </c>
      <c r="ED5">
        <v>7.5229887198095383E-2</v>
      </c>
      <c r="EE5">
        <v>0.55248114605884324</v>
      </c>
      <c r="EF5" s="20">
        <v>2.46E-2</v>
      </c>
      <c r="EG5">
        <v>3.0100000000000002E-2</v>
      </c>
      <c r="EH5">
        <v>18.136167338441776</v>
      </c>
      <c r="EI5" t="s">
        <v>120</v>
      </c>
      <c r="EJ5">
        <v>0</v>
      </c>
      <c r="EK5">
        <v>1</v>
      </c>
      <c r="EL5" s="29">
        <v>45002</v>
      </c>
      <c r="EM5" s="30">
        <v>-1.2500000000000001E-2</v>
      </c>
      <c r="EN5" s="30">
        <v>-9.2999999999999992E-3</v>
      </c>
      <c r="EO5">
        <v>1.1000000000000001</v>
      </c>
      <c r="EP5">
        <v>-2.84</v>
      </c>
      <c r="EQ5">
        <v>0.55000000000000004</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zoomScale="85" zoomScaleNormal="85" workbookViewId="0">
      <selection activeCell="Z2" sqref="Z2"/>
    </sheetView>
  </sheetViews>
  <sheetFormatPr defaultRowHeight="14.4" x14ac:dyDescent="0.25"/>
  <cols>
    <col min="1" max="1" width="8.88671875" style="1"/>
    <col min="2" max="2" width="12.5546875" customWidth="1"/>
    <col min="4" max="4" width="13.88671875" bestFit="1" customWidth="1"/>
    <col min="5" max="12" width="8.77734375" customWidth="1"/>
    <col min="13" max="13" width="15.88671875" customWidth="1"/>
    <col min="14" max="17" width="8.77734375" customWidth="1"/>
    <col min="18" max="18" width="13.6640625" customWidth="1"/>
    <col min="19" max="19" width="12.88671875" customWidth="1"/>
  </cols>
  <sheetData>
    <row r="1" spans="1:32" s="7" customFormat="1" ht="57.6" x14ac:dyDescent="0.25">
      <c r="A1" s="6" t="s">
        <v>47</v>
      </c>
      <c r="B1" s="7" t="s">
        <v>51</v>
      </c>
      <c r="C1" s="7" t="s">
        <v>48</v>
      </c>
      <c r="D1" s="7" t="s">
        <v>52</v>
      </c>
      <c r="E1" s="8" t="s">
        <v>49</v>
      </c>
      <c r="F1" s="8" t="s">
        <v>50</v>
      </c>
      <c r="G1" s="8" t="s">
        <v>58</v>
      </c>
      <c r="H1" s="8" t="s">
        <v>53</v>
      </c>
      <c r="I1" s="8" t="s">
        <v>54</v>
      </c>
      <c r="J1" s="8" t="s">
        <v>55</v>
      </c>
      <c r="K1" s="8" t="s">
        <v>56</v>
      </c>
      <c r="L1" s="7" t="s">
        <v>57</v>
      </c>
      <c r="M1" s="7" t="s">
        <v>59</v>
      </c>
      <c r="N1" s="7" t="s">
        <v>60</v>
      </c>
      <c r="O1" s="7" t="s">
        <v>61</v>
      </c>
      <c r="P1" s="7" t="s">
        <v>62</v>
      </c>
      <c r="Q1" s="7" t="s">
        <v>63</v>
      </c>
      <c r="R1" s="11" t="s">
        <v>64</v>
      </c>
      <c r="S1" s="7" t="s">
        <v>65</v>
      </c>
      <c r="T1" s="7" t="s">
        <v>66</v>
      </c>
      <c r="U1" s="7" t="s">
        <v>67</v>
      </c>
      <c r="V1" s="7" t="s">
        <v>68</v>
      </c>
      <c r="W1" s="7" t="s">
        <v>69</v>
      </c>
      <c r="X1" s="7" t="s">
        <v>70</v>
      </c>
      <c r="Y1" s="7" t="s">
        <v>71</v>
      </c>
      <c r="Z1" s="7" t="s">
        <v>72</v>
      </c>
      <c r="AA1" s="7" t="s">
        <v>73</v>
      </c>
      <c r="AB1" s="7" t="s">
        <v>74</v>
      </c>
      <c r="AC1" s="7" t="s">
        <v>75</v>
      </c>
      <c r="AD1" s="15" t="s">
        <v>76</v>
      </c>
      <c r="AE1" s="7" t="s">
        <v>77</v>
      </c>
      <c r="AF1" s="7" t="s">
        <v>78</v>
      </c>
    </row>
    <row r="2" spans="1:32" ht="13.95" x14ac:dyDescent="0.25">
      <c r="A2" s="2">
        <v>1</v>
      </c>
      <c r="B2">
        <v>1</v>
      </c>
      <c r="C2" s="5">
        <v>0.08</v>
      </c>
      <c r="D2">
        <f>H2</f>
        <v>7.06</v>
      </c>
      <c r="E2">
        <v>11.56</v>
      </c>
      <c r="F2">
        <v>20.440000000000001</v>
      </c>
      <c r="G2">
        <f>F2</f>
        <v>20.440000000000001</v>
      </c>
      <c r="H2" s="9">
        <v>7.06</v>
      </c>
      <c r="I2" s="10">
        <v>0.37</v>
      </c>
      <c r="J2">
        <v>9</v>
      </c>
      <c r="K2">
        <v>85</v>
      </c>
      <c r="L2">
        <f>K2-F2+E2</f>
        <v>76.12</v>
      </c>
      <c r="M2">
        <f>SUMIF(A2:A51,"&lt;"&amp;J2+1,D2:D51)</f>
        <v>88.162158341966133</v>
      </c>
      <c r="O2">
        <f>M2/L2</f>
        <v>1.1581996629265126</v>
      </c>
      <c r="R2">
        <f>S2</f>
        <v>7.06</v>
      </c>
      <c r="S2">
        <f>$H$2</f>
        <v>7.06</v>
      </c>
      <c r="T2" s="5">
        <v>0.37</v>
      </c>
      <c r="U2" s="5">
        <v>0.06</v>
      </c>
      <c r="V2">
        <f>SUM($R$2:R2)</f>
        <v>7.06</v>
      </c>
      <c r="W2" s="2">
        <f>X2-Y2</f>
        <v>474.26</v>
      </c>
      <c r="X2" s="14">
        <f>579-579*10%</f>
        <v>521.1</v>
      </c>
      <c r="Y2" s="14">
        <f>57.79-10.95</f>
        <v>46.84</v>
      </c>
      <c r="Z2">
        <f>$W$2/S2</f>
        <v>67.175637393767701</v>
      </c>
      <c r="AA2" s="5">
        <v>0.3</v>
      </c>
      <c r="AB2">
        <f>S2/AA2</f>
        <v>23.533333333333331</v>
      </c>
      <c r="AC2">
        <f>AC3*(1-$U$2)</f>
        <v>222.37291878719995</v>
      </c>
      <c r="AD2" s="5">
        <v>0</v>
      </c>
      <c r="AE2">
        <f>AC2*AD2</f>
        <v>0</v>
      </c>
      <c r="AF2">
        <f>IF(AB2&gt;AE2, 1, 0)</f>
        <v>1</v>
      </c>
    </row>
    <row r="3" spans="1:32" ht="13.95" x14ac:dyDescent="0.25">
      <c r="A3" s="2">
        <v>2</v>
      </c>
      <c r="B3">
        <f>B2+B2*C2</f>
        <v>1.08</v>
      </c>
      <c r="C3" s="5">
        <v>0.08</v>
      </c>
      <c r="D3">
        <f>D2+D2*C2</f>
        <v>7.6247999999999996</v>
      </c>
      <c r="Q3">
        <f>$D$2*((1+$C$2)^A2)</f>
        <v>7.6248000000000005</v>
      </c>
      <c r="R3">
        <f>S3/((1+$U$2)^A2)</f>
        <v>9.1247169811320745</v>
      </c>
      <c r="S3">
        <f>S2*(1+T2)</f>
        <v>9.6722000000000001</v>
      </c>
      <c r="T3" s="5">
        <v>0.37</v>
      </c>
      <c r="V3">
        <f>SUM($R$2:R3)</f>
        <v>16.184716981132073</v>
      </c>
      <c r="W3">
        <f>V3/$W$2</f>
        <v>3.4126253492034062E-2</v>
      </c>
      <c r="Z3">
        <f t="shared" ref="Z3:Z13" si="0">$W$2/S3</f>
        <v>49.033311966253798</v>
      </c>
      <c r="AA3" s="5">
        <v>0.3</v>
      </c>
      <c r="AB3">
        <f t="shared" ref="AB3:AB66" si="1">S3/AA3</f>
        <v>32.240666666666669</v>
      </c>
      <c r="AC3">
        <f>AC4*(1-$U$2)</f>
        <v>236.56693487999996</v>
      </c>
      <c r="AD3" s="5">
        <v>0.1</v>
      </c>
      <c r="AE3">
        <f t="shared" ref="AE3:AE66" si="2">AC3*AD3</f>
        <v>23.656693487999998</v>
      </c>
      <c r="AF3">
        <f t="shared" ref="AF3:AF66" si="3">IF(AB3&gt;AE3, 1, 0)</f>
        <v>1</v>
      </c>
    </row>
    <row r="4" spans="1:32" ht="13.95" x14ac:dyDescent="0.25">
      <c r="A4" s="2">
        <v>3</v>
      </c>
      <c r="B4">
        <f t="shared" ref="B4:B51" si="4">B3+B3*C3</f>
        <v>1.1664000000000001</v>
      </c>
      <c r="C4" s="5">
        <v>0.08</v>
      </c>
      <c r="D4">
        <f t="shared" ref="D4:D51" si="5">D3+D3*C3</f>
        <v>8.2347839999999994</v>
      </c>
      <c r="Q4">
        <f>$D$2*((1+$C$2)^A3)</f>
        <v>8.2347839999999994</v>
      </c>
      <c r="R4">
        <f t="shared" ref="R4:R67" si="6">S4/((1+$U$2)^A3)</f>
        <v>11.793266286934852</v>
      </c>
      <c r="S4">
        <f t="shared" ref="S4:S67" si="7">S3*(1+T3)</f>
        <v>13.250914000000002</v>
      </c>
      <c r="T4" s="5">
        <v>0.37</v>
      </c>
      <c r="V4">
        <f>SUM($R$2:R4)</f>
        <v>27.977983268066925</v>
      </c>
      <c r="W4">
        <f t="shared" ref="W4:W67" si="8">V4/$W$2</f>
        <v>5.8992922169415353E-2</v>
      </c>
      <c r="Z4">
        <f t="shared" si="0"/>
        <v>35.79073866149912</v>
      </c>
      <c r="AA4" s="5">
        <v>0.3</v>
      </c>
      <c r="AB4">
        <f t="shared" si="1"/>
        <v>44.169713333333341</v>
      </c>
      <c r="AC4">
        <f>AC5*(1-$U$2)</f>
        <v>251.66695199999998</v>
      </c>
      <c r="AD4" s="5">
        <v>0.15</v>
      </c>
      <c r="AE4">
        <f t="shared" si="2"/>
        <v>37.750042799999996</v>
      </c>
      <c r="AF4">
        <f t="shared" si="3"/>
        <v>1</v>
      </c>
    </row>
    <row r="5" spans="1:32" ht="13.95" x14ac:dyDescent="0.25">
      <c r="A5" s="2">
        <v>4</v>
      </c>
      <c r="B5">
        <f t="shared" si="4"/>
        <v>1.2597120000000002</v>
      </c>
      <c r="C5" s="5">
        <v>0.08</v>
      </c>
      <c r="D5">
        <f t="shared" si="5"/>
        <v>8.893566719999999</v>
      </c>
      <c r="Q5">
        <f t="shared" ref="Q5:Q51" si="9">$D$2*((1+$C$2)^A4)</f>
        <v>8.8935667200000008</v>
      </c>
      <c r="R5">
        <f t="shared" si="6"/>
        <v>15.242240389717686</v>
      </c>
      <c r="S5">
        <f>S4*(1+T4)</f>
        <v>18.153752180000005</v>
      </c>
      <c r="T5" s="5">
        <v>0.37</v>
      </c>
      <c r="V5">
        <f>SUM($R$2:R5)</f>
        <v>43.220223657784615</v>
      </c>
      <c r="W5">
        <f t="shared" si="8"/>
        <v>9.1131918478860999E-2</v>
      </c>
      <c r="Z5">
        <f t="shared" si="0"/>
        <v>26.12462676021833</v>
      </c>
      <c r="AA5" s="5">
        <v>0.3</v>
      </c>
      <c r="AB5">
        <f t="shared" si="1"/>
        <v>60.512507266666688</v>
      </c>
      <c r="AC5">
        <f>AC6*(1-$U$2)</f>
        <v>267.73079999999999</v>
      </c>
      <c r="AD5" s="5">
        <v>0.15</v>
      </c>
      <c r="AE5">
        <f t="shared" si="2"/>
        <v>40.159619999999997</v>
      </c>
      <c r="AF5">
        <f t="shared" si="3"/>
        <v>1</v>
      </c>
    </row>
    <row r="6" spans="1:32" ht="13.95" x14ac:dyDescent="0.25">
      <c r="A6" s="2">
        <v>5</v>
      </c>
      <c r="B6">
        <f t="shared" si="4"/>
        <v>1.3604889600000001</v>
      </c>
      <c r="C6" s="5">
        <v>0.08</v>
      </c>
      <c r="D6">
        <f t="shared" si="5"/>
        <v>9.6050520575999982</v>
      </c>
      <c r="Q6">
        <f t="shared" si="9"/>
        <v>9.6050520576000018</v>
      </c>
      <c r="R6">
        <f t="shared" si="6"/>
        <v>19.699876730106823</v>
      </c>
      <c r="S6">
        <f>S5*(1+T5)</f>
        <v>24.87064048660001</v>
      </c>
      <c r="T6" s="5">
        <v>0.37</v>
      </c>
      <c r="V6">
        <f>SUM($R$2:R6)</f>
        <v>62.920100387891438</v>
      </c>
      <c r="W6" s="12">
        <f t="shared" si="8"/>
        <v>0.13267005521842754</v>
      </c>
      <c r="Z6">
        <f t="shared" si="0"/>
        <v>19.06907062789659</v>
      </c>
      <c r="AA6" s="5">
        <v>0.3</v>
      </c>
      <c r="AB6">
        <f t="shared" si="1"/>
        <v>82.902134955333366</v>
      </c>
      <c r="AC6">
        <f>AC7*(1-$U$2)</f>
        <v>284.82</v>
      </c>
      <c r="AD6" s="5">
        <v>0.2</v>
      </c>
      <c r="AE6">
        <f t="shared" si="2"/>
        <v>56.963999999999999</v>
      </c>
      <c r="AF6">
        <f t="shared" si="3"/>
        <v>1</v>
      </c>
    </row>
    <row r="7" spans="1:32" ht="13.95" x14ac:dyDescent="0.25">
      <c r="A7" s="2">
        <v>6</v>
      </c>
      <c r="B7">
        <f t="shared" si="4"/>
        <v>1.4693280768000001</v>
      </c>
      <c r="C7" s="5">
        <v>0.08</v>
      </c>
      <c r="D7">
        <f t="shared" si="5"/>
        <v>10.373456222207999</v>
      </c>
      <c r="Q7">
        <f t="shared" si="9"/>
        <v>10.373456222208002</v>
      </c>
      <c r="R7">
        <f t="shared" si="6"/>
        <v>25.461161434194668</v>
      </c>
      <c r="S7">
        <f t="shared" si="7"/>
        <v>34.072777466642016</v>
      </c>
      <c r="T7" s="5">
        <v>0.37</v>
      </c>
      <c r="V7">
        <f>SUM($R$2:R7)</f>
        <v>88.381261822086103</v>
      </c>
      <c r="W7" s="13">
        <f t="shared" si="8"/>
        <v>0.18635613760824465</v>
      </c>
      <c r="Z7">
        <f t="shared" si="0"/>
        <v>13.919029655398969</v>
      </c>
      <c r="AA7" s="5">
        <v>0.3</v>
      </c>
      <c r="AB7">
        <f t="shared" si="1"/>
        <v>113.57592488880672</v>
      </c>
      <c r="AC7">
        <v>303</v>
      </c>
      <c r="AD7" s="5">
        <v>0.2</v>
      </c>
      <c r="AE7">
        <f t="shared" si="2"/>
        <v>60.6</v>
      </c>
      <c r="AF7">
        <f t="shared" si="3"/>
        <v>1</v>
      </c>
    </row>
    <row r="8" spans="1:32" ht="13.95" x14ac:dyDescent="0.25">
      <c r="A8" s="2">
        <v>7</v>
      </c>
      <c r="B8">
        <f t="shared" si="4"/>
        <v>1.5868743229440001</v>
      </c>
      <c r="C8" s="5">
        <v>0.08</v>
      </c>
      <c r="D8">
        <f t="shared" si="5"/>
        <v>11.203332719984639</v>
      </c>
      <c r="Q8">
        <f t="shared" si="9"/>
        <v>11.203332719984644</v>
      </c>
      <c r="R8">
        <f t="shared" si="6"/>
        <v>32.907350155515751</v>
      </c>
      <c r="S8">
        <f>S7*(1+T7)</f>
        <v>46.679705129299563</v>
      </c>
      <c r="T8" s="5">
        <v>0.37</v>
      </c>
      <c r="V8">
        <f>SUM($R$2:R8)</f>
        <v>121.28861197760185</v>
      </c>
      <c r="W8">
        <f t="shared" si="8"/>
        <v>0.25574286673470636</v>
      </c>
      <c r="Z8">
        <f t="shared" si="0"/>
        <v>10.15987566087516</v>
      </c>
      <c r="AA8" s="5">
        <v>0.3</v>
      </c>
      <c r="AB8">
        <f t="shared" si="1"/>
        <v>155.59901709766521</v>
      </c>
      <c r="AC8">
        <f t="shared" ref="AC8:AC67" si="10">AC7*(1+$U$2)</f>
        <v>321.18</v>
      </c>
      <c r="AD8" s="5">
        <v>0.2</v>
      </c>
      <c r="AE8">
        <f t="shared" si="2"/>
        <v>64.236000000000004</v>
      </c>
      <c r="AF8">
        <f t="shared" si="3"/>
        <v>1</v>
      </c>
    </row>
    <row r="9" spans="1:32" ht="13.95" x14ac:dyDescent="0.25">
      <c r="A9" s="2">
        <v>8</v>
      </c>
      <c r="B9">
        <f t="shared" si="4"/>
        <v>1.7138242687795202</v>
      </c>
      <c r="C9" s="5">
        <v>0.08</v>
      </c>
      <c r="D9">
        <f t="shared" si="5"/>
        <v>12.09959933758341</v>
      </c>
      <c r="Q9">
        <f t="shared" si="9"/>
        <v>12.099599337583415</v>
      </c>
      <c r="R9">
        <f t="shared" si="6"/>
        <v>42.531197842506202</v>
      </c>
      <c r="S9">
        <f t="shared" si="7"/>
        <v>63.951196027140405</v>
      </c>
      <c r="T9" s="5">
        <v>0.1</v>
      </c>
      <c r="V9">
        <f>SUM($R$2:R9)</f>
        <v>163.81980982010805</v>
      </c>
      <c r="W9" s="12">
        <f t="shared" si="8"/>
        <v>0.34542194117173713</v>
      </c>
      <c r="Z9">
        <f t="shared" si="0"/>
        <v>7.4159676356752984</v>
      </c>
      <c r="AA9" s="5">
        <v>0.3</v>
      </c>
      <c r="AB9">
        <f t="shared" si="1"/>
        <v>213.17065342380135</v>
      </c>
      <c r="AC9">
        <f t="shared" si="10"/>
        <v>340.45080000000002</v>
      </c>
      <c r="AD9" s="5">
        <v>0.2</v>
      </c>
      <c r="AE9">
        <f t="shared" si="2"/>
        <v>68.090160000000012</v>
      </c>
      <c r="AF9" s="2">
        <f t="shared" si="3"/>
        <v>1</v>
      </c>
    </row>
    <row r="10" spans="1:32" ht="13.95" x14ac:dyDescent="0.25">
      <c r="A10" s="2">
        <v>9</v>
      </c>
      <c r="B10">
        <f t="shared" si="4"/>
        <v>1.8509302102818819</v>
      </c>
      <c r="C10" s="5">
        <v>0.08</v>
      </c>
      <c r="D10">
        <f t="shared" si="5"/>
        <v>13.067567284590082</v>
      </c>
      <c r="Q10">
        <f t="shared" si="9"/>
        <v>13.067567284590089</v>
      </c>
      <c r="R10">
        <f t="shared" si="6"/>
        <v>44.136148704487567</v>
      </c>
      <c r="S10">
        <f t="shared" si="7"/>
        <v>70.346315629854445</v>
      </c>
      <c r="T10" s="5">
        <v>0.1</v>
      </c>
      <c r="V10">
        <f>SUM($R$2:R10)</f>
        <v>207.95595852459562</v>
      </c>
      <c r="W10">
        <f t="shared" si="8"/>
        <v>0.43848513162525959</v>
      </c>
      <c r="Z10">
        <f t="shared" si="0"/>
        <v>6.7417887597048169</v>
      </c>
      <c r="AA10" s="5">
        <v>0.3</v>
      </c>
      <c r="AB10">
        <f t="shared" si="1"/>
        <v>234.4877187661815</v>
      </c>
      <c r="AC10">
        <f t="shared" si="10"/>
        <v>360.87784800000003</v>
      </c>
      <c r="AD10" s="5">
        <v>0.2</v>
      </c>
      <c r="AE10">
        <f t="shared" si="2"/>
        <v>72.175569600000003</v>
      </c>
      <c r="AF10" s="1">
        <f t="shared" si="3"/>
        <v>1</v>
      </c>
    </row>
    <row r="11" spans="1:32" ht="13.95" x14ac:dyDescent="0.25">
      <c r="A11" s="2">
        <v>10</v>
      </c>
      <c r="B11">
        <f t="shared" si="4"/>
        <v>1.9990046271044324</v>
      </c>
      <c r="C11" s="5">
        <v>0.08</v>
      </c>
      <c r="D11">
        <f t="shared" si="5"/>
        <v>14.112972667357289</v>
      </c>
      <c r="Q11">
        <f t="shared" si="9"/>
        <v>14.112972667357296</v>
      </c>
      <c r="R11">
        <f t="shared" si="6"/>
        <v>45.801663749939934</v>
      </c>
      <c r="S11">
        <f t="shared" si="7"/>
        <v>77.380947192839898</v>
      </c>
      <c r="T11" s="5">
        <v>0.1</v>
      </c>
      <c r="V11">
        <f>SUM($R$2:R11)</f>
        <v>253.75762227453555</v>
      </c>
      <c r="W11">
        <f t="shared" si="8"/>
        <v>0.53506014058646223</v>
      </c>
      <c r="Z11">
        <f t="shared" si="0"/>
        <v>6.1288988724589242</v>
      </c>
      <c r="AA11" s="5">
        <v>0.3</v>
      </c>
      <c r="AB11">
        <f t="shared" si="1"/>
        <v>257.9364906427997</v>
      </c>
      <c r="AC11">
        <f t="shared" si="10"/>
        <v>382.53051888000005</v>
      </c>
      <c r="AD11" s="5">
        <v>0.2</v>
      </c>
      <c r="AE11">
        <f t="shared" si="2"/>
        <v>76.506103776000018</v>
      </c>
      <c r="AF11">
        <f t="shared" si="3"/>
        <v>1</v>
      </c>
    </row>
    <row r="12" spans="1:32" ht="13.95" x14ac:dyDescent="0.25">
      <c r="A12" s="2">
        <v>11</v>
      </c>
      <c r="B12">
        <f t="shared" si="4"/>
        <v>2.1589249972727869</v>
      </c>
      <c r="C12" s="5">
        <v>0.08</v>
      </c>
      <c r="D12">
        <f t="shared" si="5"/>
        <v>15.242010480745872</v>
      </c>
      <c r="Q12">
        <f t="shared" si="9"/>
        <v>15.242010480745881</v>
      </c>
      <c r="R12">
        <f t="shared" si="6"/>
        <v>47.530028419748987</v>
      </c>
      <c r="S12">
        <f t="shared" si="7"/>
        <v>85.11904191212389</v>
      </c>
      <c r="T12" s="5">
        <v>0.08</v>
      </c>
      <c r="V12">
        <f>SUM($R$2:R12)</f>
        <v>301.28765069428454</v>
      </c>
      <c r="W12" s="13">
        <f t="shared" si="8"/>
        <v>0.6352794895084648</v>
      </c>
      <c r="Z12">
        <f t="shared" si="0"/>
        <v>5.5717262476899307</v>
      </c>
      <c r="AA12" s="5">
        <v>0.3</v>
      </c>
      <c r="AB12">
        <f t="shared" si="1"/>
        <v>283.73013970707967</v>
      </c>
      <c r="AC12">
        <f t="shared" si="10"/>
        <v>405.48235001280005</v>
      </c>
      <c r="AD12" s="5">
        <v>0.2</v>
      </c>
      <c r="AE12">
        <f t="shared" si="2"/>
        <v>81.096470002560011</v>
      </c>
      <c r="AF12" s="1">
        <f t="shared" si="3"/>
        <v>1</v>
      </c>
    </row>
    <row r="13" spans="1:32" ht="13.95" x14ac:dyDescent="0.25">
      <c r="A13" s="2">
        <v>12</v>
      </c>
      <c r="B13">
        <f t="shared" si="4"/>
        <v>2.3316389970546099</v>
      </c>
      <c r="C13" s="5">
        <v>0.08</v>
      </c>
      <c r="D13">
        <f t="shared" si="5"/>
        <v>16.46137131920554</v>
      </c>
      <c r="Q13">
        <f t="shared" si="9"/>
        <v>16.461371319205551</v>
      </c>
      <c r="R13">
        <f t="shared" si="6"/>
        <v>48.426821408800855</v>
      </c>
      <c r="S13">
        <f t="shared" si="7"/>
        <v>91.928565265093809</v>
      </c>
      <c r="T13" s="5">
        <v>0.08</v>
      </c>
      <c r="V13">
        <f>SUM($R$2:R13)</f>
        <v>349.71447210308537</v>
      </c>
      <c r="W13" s="13">
        <f t="shared" si="8"/>
        <v>0.73738976954220337</v>
      </c>
      <c r="Z13">
        <f t="shared" si="0"/>
        <v>5.1590057848980839</v>
      </c>
      <c r="AA13" s="5">
        <v>0.3</v>
      </c>
      <c r="AB13">
        <f t="shared" si="1"/>
        <v>306.42855088364604</v>
      </c>
      <c r="AC13">
        <f t="shared" si="10"/>
        <v>429.81129101356805</v>
      </c>
      <c r="AD13" s="5">
        <v>0.2</v>
      </c>
      <c r="AE13">
        <f t="shared" si="2"/>
        <v>85.962258202713613</v>
      </c>
      <c r="AF13">
        <f t="shared" si="3"/>
        <v>1</v>
      </c>
    </row>
    <row r="14" spans="1:32" ht="13.95" x14ac:dyDescent="0.25">
      <c r="A14" s="2">
        <v>13</v>
      </c>
      <c r="B14">
        <f t="shared" si="4"/>
        <v>2.5181701168189785</v>
      </c>
      <c r="C14" s="5">
        <v>0.08</v>
      </c>
      <c r="D14">
        <f t="shared" si="5"/>
        <v>17.778281024741982</v>
      </c>
      <c r="Q14">
        <f t="shared" si="9"/>
        <v>17.778281024741997</v>
      </c>
      <c r="R14">
        <f t="shared" si="6"/>
        <v>49.34053502028766</v>
      </c>
      <c r="S14">
        <f t="shared" si="7"/>
        <v>99.282850486301314</v>
      </c>
      <c r="T14" s="5">
        <v>0.08</v>
      </c>
      <c r="V14">
        <f>SUM($R$2:R14)</f>
        <v>399.055007123373</v>
      </c>
      <c r="W14" s="13">
        <f t="shared" si="8"/>
        <v>0.84142665863318222</v>
      </c>
      <c r="Z14">
        <f>$W$2/S14</f>
        <v>4.7768572082389662</v>
      </c>
      <c r="AA14" s="5">
        <v>0.3</v>
      </c>
      <c r="AB14">
        <f>S14/AA14</f>
        <v>330.94283495433774</v>
      </c>
      <c r="AC14">
        <f t="shared" si="10"/>
        <v>455.59996847438214</v>
      </c>
      <c r="AD14" s="5">
        <v>0.2</v>
      </c>
      <c r="AE14">
        <f t="shared" si="2"/>
        <v>91.119993694876428</v>
      </c>
      <c r="AF14">
        <f t="shared" si="3"/>
        <v>1</v>
      </c>
    </row>
    <row r="15" spans="1:32" ht="13.95" x14ac:dyDescent="0.25">
      <c r="A15" s="2">
        <v>14</v>
      </c>
      <c r="B15">
        <f t="shared" si="4"/>
        <v>2.7196237261644969</v>
      </c>
      <c r="C15" s="5">
        <v>0.08</v>
      </c>
      <c r="D15">
        <f t="shared" si="5"/>
        <v>19.200543506721342</v>
      </c>
      <c r="Q15">
        <f t="shared" si="9"/>
        <v>19.200543506721356</v>
      </c>
      <c r="R15">
        <f t="shared" si="6"/>
        <v>50.271488511236484</v>
      </c>
      <c r="S15">
        <f t="shared" si="7"/>
        <v>107.22547852520543</v>
      </c>
      <c r="T15" s="5">
        <v>0.08</v>
      </c>
      <c r="V15">
        <f>SUM($R$2:R15)</f>
        <v>449.3264956346095</v>
      </c>
      <c r="W15" s="13">
        <f t="shared" si="8"/>
        <v>0.94742650789568905</v>
      </c>
      <c r="Z15">
        <f t="shared" ref="Z15:Z78" si="11">$W$2/S15</f>
        <v>4.4230159335545975</v>
      </c>
      <c r="AA15" s="5">
        <v>0.3</v>
      </c>
      <c r="AB15">
        <f t="shared" si="1"/>
        <v>357.41826175068479</v>
      </c>
      <c r="AC15">
        <f t="shared" si="10"/>
        <v>482.93596658284508</v>
      </c>
      <c r="AD15" s="5">
        <v>0.2</v>
      </c>
      <c r="AE15">
        <f t="shared" si="2"/>
        <v>96.587193316569028</v>
      </c>
      <c r="AF15">
        <f t="shared" si="3"/>
        <v>1</v>
      </c>
    </row>
    <row r="16" spans="1:32" ht="13.95" x14ac:dyDescent="0.25">
      <c r="A16" s="2">
        <v>15</v>
      </c>
      <c r="B16">
        <f t="shared" si="4"/>
        <v>2.9371936242576568</v>
      </c>
      <c r="C16" s="5">
        <v>0.08</v>
      </c>
      <c r="D16">
        <f t="shared" si="5"/>
        <v>20.736586987259049</v>
      </c>
      <c r="Q16">
        <f t="shared" si="9"/>
        <v>20.73658698725907</v>
      </c>
      <c r="R16">
        <f t="shared" si="6"/>
        <v>51.220007162391894</v>
      </c>
      <c r="S16">
        <f t="shared" si="7"/>
        <v>115.80351680722187</v>
      </c>
      <c r="T16" s="5">
        <v>0.08</v>
      </c>
      <c r="V16">
        <f>SUM($R$2:R16)</f>
        <v>500.54650279700138</v>
      </c>
      <c r="W16">
        <f t="shared" si="8"/>
        <v>1.0554263543140923</v>
      </c>
      <c r="Z16">
        <f t="shared" si="11"/>
        <v>4.0953851236616643</v>
      </c>
      <c r="AA16" s="5">
        <v>0.3</v>
      </c>
      <c r="AB16">
        <f t="shared" si="1"/>
        <v>386.01172269073959</v>
      </c>
      <c r="AC16">
        <f t="shared" si="10"/>
        <v>511.9121245778158</v>
      </c>
      <c r="AD16" s="5">
        <v>0.2</v>
      </c>
      <c r="AE16">
        <f t="shared" si="2"/>
        <v>102.38242491556316</v>
      </c>
      <c r="AF16">
        <f t="shared" si="3"/>
        <v>1</v>
      </c>
    </row>
    <row r="17" spans="1:32" ht="13.95" x14ac:dyDescent="0.25">
      <c r="A17" s="2">
        <v>16</v>
      </c>
      <c r="B17">
        <f t="shared" si="4"/>
        <v>3.1721691141982693</v>
      </c>
      <c r="C17" s="5">
        <v>0.08</v>
      </c>
      <c r="D17">
        <f t="shared" si="5"/>
        <v>22.395513946239774</v>
      </c>
      <c r="Q17">
        <f t="shared" si="9"/>
        <v>22.395513946239795</v>
      </c>
      <c r="R17">
        <f t="shared" si="6"/>
        <v>52.18642239187097</v>
      </c>
      <c r="S17">
        <f t="shared" si="7"/>
        <v>125.06779815179962</v>
      </c>
      <c r="T17" s="5">
        <v>0.08</v>
      </c>
      <c r="V17">
        <f>SUM($R$2:R17)</f>
        <v>552.7329251888724</v>
      </c>
      <c r="W17">
        <f t="shared" si="8"/>
        <v>1.1654639336837862</v>
      </c>
      <c r="Z17">
        <f t="shared" si="11"/>
        <v>3.7920232626496895</v>
      </c>
      <c r="AA17" s="5">
        <v>0.3</v>
      </c>
      <c r="AB17">
        <f t="shared" si="1"/>
        <v>416.89266050599878</v>
      </c>
      <c r="AC17">
        <f t="shared" si="10"/>
        <v>542.62685205248476</v>
      </c>
      <c r="AD17" s="5">
        <v>0.2</v>
      </c>
      <c r="AE17">
        <f t="shared" si="2"/>
        <v>108.52537041049696</v>
      </c>
      <c r="AF17">
        <f t="shared" si="3"/>
        <v>1</v>
      </c>
    </row>
    <row r="18" spans="1:32" ht="13.95" x14ac:dyDescent="0.25">
      <c r="A18" s="2">
        <v>17</v>
      </c>
      <c r="B18">
        <f t="shared" si="4"/>
        <v>3.4259426433341309</v>
      </c>
      <c r="C18" s="5">
        <v>0.08</v>
      </c>
      <c r="D18">
        <f t="shared" si="5"/>
        <v>24.187155061938956</v>
      </c>
      <c r="Q18">
        <f t="shared" si="9"/>
        <v>24.187155061938977</v>
      </c>
      <c r="R18">
        <f t="shared" si="6"/>
        <v>53.171071870962898</v>
      </c>
      <c r="S18">
        <f t="shared" si="7"/>
        <v>135.07322200394361</v>
      </c>
      <c r="T18" s="5">
        <v>0.08</v>
      </c>
      <c r="V18">
        <f>SUM($R$2:R18)</f>
        <v>605.90399705983532</v>
      </c>
      <c r="W18" s="13">
        <f t="shared" si="8"/>
        <v>1.2775776937963044</v>
      </c>
      <c r="Z18">
        <f t="shared" si="11"/>
        <v>3.5111326506015637</v>
      </c>
      <c r="AA18" s="5">
        <v>0.3</v>
      </c>
      <c r="AB18">
        <f t="shared" si="1"/>
        <v>450.24407334647873</v>
      </c>
      <c r="AC18">
        <f t="shared" si="10"/>
        <v>575.18446317563382</v>
      </c>
      <c r="AD18" s="5">
        <v>0.2</v>
      </c>
      <c r="AE18">
        <f t="shared" si="2"/>
        <v>115.03689263512678</v>
      </c>
      <c r="AF18">
        <f t="shared" si="3"/>
        <v>1</v>
      </c>
    </row>
    <row r="19" spans="1:32" ht="13.95" x14ac:dyDescent="0.25">
      <c r="A19" s="2">
        <v>18</v>
      </c>
      <c r="B19">
        <f t="shared" si="4"/>
        <v>3.7000180548008612</v>
      </c>
      <c r="C19" s="5">
        <v>0.08</v>
      </c>
      <c r="D19">
        <f t="shared" si="5"/>
        <v>26.122127466894071</v>
      </c>
      <c r="Q19">
        <f t="shared" si="9"/>
        <v>26.122127466894099</v>
      </c>
      <c r="R19">
        <f t="shared" si="6"/>
        <v>54.174299642113134</v>
      </c>
      <c r="S19">
        <f t="shared" si="7"/>
        <v>145.8790797642591</v>
      </c>
      <c r="T19" s="5">
        <v>0.08</v>
      </c>
      <c r="V19">
        <f>SUM($R$2:R19)</f>
        <v>660.07829670194849</v>
      </c>
      <c r="W19">
        <f t="shared" si="8"/>
        <v>1.3918068078732098</v>
      </c>
      <c r="Z19">
        <f t="shared" si="11"/>
        <v>3.2510487505570032</v>
      </c>
      <c r="AA19" s="5">
        <v>0.3</v>
      </c>
      <c r="AB19">
        <f t="shared" si="1"/>
        <v>486.26359921419703</v>
      </c>
      <c r="AC19">
        <f t="shared" si="10"/>
        <v>609.69553096617187</v>
      </c>
      <c r="AD19" s="5">
        <v>0.2</v>
      </c>
      <c r="AE19">
        <f t="shared" si="2"/>
        <v>121.93910619323438</v>
      </c>
      <c r="AF19">
        <f t="shared" si="3"/>
        <v>1</v>
      </c>
    </row>
    <row r="20" spans="1:32" ht="13.95" x14ac:dyDescent="0.25">
      <c r="A20" s="2">
        <v>19</v>
      </c>
      <c r="B20">
        <f t="shared" si="4"/>
        <v>3.9960194991849303</v>
      </c>
      <c r="C20" s="5">
        <v>0.08</v>
      </c>
      <c r="D20">
        <f t="shared" si="5"/>
        <v>28.211897664245598</v>
      </c>
      <c r="Q20">
        <f t="shared" si="9"/>
        <v>28.21189766424563</v>
      </c>
      <c r="R20">
        <f t="shared" si="6"/>
        <v>55.196456239134143</v>
      </c>
      <c r="S20">
        <f t="shared" si="7"/>
        <v>157.54940614539984</v>
      </c>
      <c r="T20" s="5">
        <v>0.08</v>
      </c>
      <c r="V20">
        <f>SUM($R$2:R20)</f>
        <v>715.27475294108262</v>
      </c>
      <c r="W20">
        <f t="shared" si="8"/>
        <v>1.5081911882534531</v>
      </c>
      <c r="Z20">
        <f t="shared" si="11"/>
        <v>3.0102303245898177</v>
      </c>
      <c r="AA20" s="5">
        <v>0.3</v>
      </c>
      <c r="AB20">
        <f t="shared" si="1"/>
        <v>525.16468715133283</v>
      </c>
      <c r="AC20">
        <f t="shared" si="10"/>
        <v>646.27726282414221</v>
      </c>
      <c r="AD20" s="5">
        <v>0.2</v>
      </c>
      <c r="AE20">
        <f t="shared" si="2"/>
        <v>129.25545256482846</v>
      </c>
      <c r="AF20">
        <f t="shared" si="3"/>
        <v>1</v>
      </c>
    </row>
    <row r="21" spans="1:32" ht="13.95" x14ac:dyDescent="0.25">
      <c r="A21" s="2">
        <v>20</v>
      </c>
      <c r="B21">
        <f t="shared" si="4"/>
        <v>4.3157010591197249</v>
      </c>
      <c r="C21" s="5">
        <v>0.08</v>
      </c>
      <c r="D21">
        <f t="shared" si="5"/>
        <v>30.468849477385245</v>
      </c>
      <c r="Q21">
        <f t="shared" si="9"/>
        <v>30.46884947738528</v>
      </c>
      <c r="R21">
        <f t="shared" si="6"/>
        <v>56.237898809683834</v>
      </c>
      <c r="S21">
        <f t="shared" si="7"/>
        <v>170.15335863703183</v>
      </c>
      <c r="T21" s="5">
        <v>0.08</v>
      </c>
      <c r="V21">
        <f>SUM($R$2:R21)</f>
        <v>771.51265175076651</v>
      </c>
      <c r="W21" s="12">
        <f t="shared" si="8"/>
        <v>1.626771500338984</v>
      </c>
      <c r="Z21">
        <f t="shared" si="11"/>
        <v>2.7872503005461273</v>
      </c>
      <c r="AA21" s="5">
        <v>0.3</v>
      </c>
      <c r="AB21">
        <f t="shared" si="1"/>
        <v>567.17786212343947</v>
      </c>
      <c r="AC21">
        <f t="shared" si="10"/>
        <v>685.05389859359082</v>
      </c>
      <c r="AD21" s="5">
        <v>0.2</v>
      </c>
      <c r="AE21">
        <f t="shared" si="2"/>
        <v>137.01077971871817</v>
      </c>
      <c r="AF21">
        <f t="shared" si="3"/>
        <v>1</v>
      </c>
    </row>
    <row r="22" spans="1:32" ht="13.95" x14ac:dyDescent="0.25">
      <c r="A22" s="2">
        <v>21</v>
      </c>
      <c r="B22">
        <f t="shared" si="4"/>
        <v>4.6609571438493029</v>
      </c>
      <c r="C22" s="5">
        <v>0.08</v>
      </c>
      <c r="D22">
        <f t="shared" si="5"/>
        <v>32.906357435576062</v>
      </c>
      <c r="Q22">
        <f t="shared" si="9"/>
        <v>32.906357435576105</v>
      </c>
      <c r="R22">
        <f t="shared" si="6"/>
        <v>57.298991240055237</v>
      </c>
      <c r="S22">
        <f t="shared" si="7"/>
        <v>183.76562732799439</v>
      </c>
      <c r="T22" s="5">
        <v>0.08</v>
      </c>
      <c r="V22">
        <f>SUM($R$2:R22)</f>
        <v>828.81164299082172</v>
      </c>
      <c r="W22">
        <f t="shared" si="8"/>
        <v>1.747589176803487</v>
      </c>
      <c r="Z22">
        <f t="shared" si="11"/>
        <v>2.5807873153204883</v>
      </c>
      <c r="AA22" s="5">
        <v>0.3</v>
      </c>
      <c r="AB22">
        <f t="shared" si="1"/>
        <v>612.55209109331463</v>
      </c>
      <c r="AC22">
        <f t="shared" si="10"/>
        <v>726.15713250920635</v>
      </c>
      <c r="AD22" s="5">
        <v>0.2</v>
      </c>
      <c r="AE22">
        <f t="shared" si="2"/>
        <v>145.23142650184127</v>
      </c>
      <c r="AF22">
        <f t="shared" si="3"/>
        <v>1</v>
      </c>
    </row>
    <row r="23" spans="1:32" ht="13.95" x14ac:dyDescent="0.25">
      <c r="A23" s="2">
        <v>22</v>
      </c>
      <c r="B23">
        <f t="shared" si="4"/>
        <v>5.0338337153572468</v>
      </c>
      <c r="C23" s="5">
        <v>0.08</v>
      </c>
      <c r="D23">
        <f t="shared" si="5"/>
        <v>35.538866030422149</v>
      </c>
      <c r="Q23">
        <f t="shared" si="9"/>
        <v>35.538866030422191</v>
      </c>
      <c r="R23">
        <f t="shared" si="6"/>
        <v>58.380104282320424</v>
      </c>
      <c r="S23">
        <f t="shared" si="7"/>
        <v>198.46687751423397</v>
      </c>
      <c r="T23" s="5">
        <v>0.08</v>
      </c>
      <c r="V23">
        <f>SUM($R$2:R23)</f>
        <v>887.19174727314214</v>
      </c>
      <c r="W23">
        <f t="shared" si="8"/>
        <v>1.8706864320692072</v>
      </c>
      <c r="Z23">
        <f t="shared" si="11"/>
        <v>2.3896178845560074</v>
      </c>
      <c r="AA23" s="5">
        <v>0.3</v>
      </c>
      <c r="AB23">
        <f t="shared" si="1"/>
        <v>661.55625838077992</v>
      </c>
      <c r="AC23">
        <f t="shared" si="10"/>
        <v>769.72656045975873</v>
      </c>
      <c r="AD23" s="5">
        <v>0.2</v>
      </c>
      <c r="AE23">
        <f t="shared" si="2"/>
        <v>153.94531209195176</v>
      </c>
      <c r="AF23">
        <f t="shared" si="3"/>
        <v>1</v>
      </c>
    </row>
    <row r="24" spans="1:32" ht="13.95" x14ac:dyDescent="0.25">
      <c r="A24" s="2">
        <v>23</v>
      </c>
      <c r="B24">
        <f t="shared" si="4"/>
        <v>5.4365404125858268</v>
      </c>
      <c r="C24" s="5">
        <v>0.08</v>
      </c>
      <c r="D24">
        <f t="shared" si="5"/>
        <v>38.381975312855921</v>
      </c>
      <c r="Q24">
        <f t="shared" si="9"/>
        <v>38.381975312855971</v>
      </c>
      <c r="R24">
        <f t="shared" si="6"/>
        <v>59.481615683873642</v>
      </c>
      <c r="S24">
        <f t="shared" si="7"/>
        <v>214.34422771537271</v>
      </c>
      <c r="T24" s="5">
        <v>0.08</v>
      </c>
      <c r="V24">
        <f>SUM($R$2:R24)</f>
        <v>946.6733629570158</v>
      </c>
      <c r="W24">
        <f t="shared" si="8"/>
        <v>1.996106277056922</v>
      </c>
      <c r="Z24">
        <f t="shared" si="11"/>
        <v>2.2126091523666731</v>
      </c>
      <c r="AA24" s="5">
        <v>0.3</v>
      </c>
      <c r="AB24">
        <f t="shared" si="1"/>
        <v>714.48075905124244</v>
      </c>
      <c r="AC24">
        <f t="shared" si="10"/>
        <v>815.91015408734427</v>
      </c>
      <c r="AD24" s="5">
        <v>0.2</v>
      </c>
      <c r="AE24">
        <f t="shared" si="2"/>
        <v>163.18203081746887</v>
      </c>
      <c r="AF24">
        <f t="shared" si="3"/>
        <v>1</v>
      </c>
    </row>
    <row r="25" spans="1:32" ht="13.95" x14ac:dyDescent="0.25">
      <c r="A25" s="2">
        <v>24</v>
      </c>
      <c r="B25">
        <f t="shared" si="4"/>
        <v>5.8714636455926925</v>
      </c>
      <c r="C25" s="5">
        <v>0.08</v>
      </c>
      <c r="D25">
        <f t="shared" si="5"/>
        <v>41.452533337884397</v>
      </c>
      <c r="Q25">
        <f t="shared" si="9"/>
        <v>41.452533337884454</v>
      </c>
      <c r="R25">
        <f t="shared" si="6"/>
        <v>60.603910319418425</v>
      </c>
      <c r="S25">
        <f t="shared" si="7"/>
        <v>231.49176593260253</v>
      </c>
      <c r="T25" s="5">
        <v>0.08</v>
      </c>
      <c r="V25">
        <f>SUM($R$2:R25)</f>
        <v>1007.2772732764342</v>
      </c>
      <c r="W25">
        <f t="shared" si="8"/>
        <v>2.1238925342142165</v>
      </c>
      <c r="Z25">
        <f t="shared" si="11"/>
        <v>2.0487121781172899</v>
      </c>
      <c r="AA25" s="5">
        <v>0.3</v>
      </c>
      <c r="AB25">
        <f t="shared" si="1"/>
        <v>771.63921977534176</v>
      </c>
      <c r="AC25">
        <f t="shared" si="10"/>
        <v>864.86476333258497</v>
      </c>
      <c r="AD25" s="5">
        <v>0.2</v>
      </c>
      <c r="AE25">
        <f t="shared" si="2"/>
        <v>172.97295266651702</v>
      </c>
      <c r="AF25">
        <f t="shared" si="3"/>
        <v>1</v>
      </c>
    </row>
    <row r="26" spans="1:32" ht="13.95" x14ac:dyDescent="0.25">
      <c r="A26" s="2">
        <v>25</v>
      </c>
      <c r="B26">
        <f t="shared" si="4"/>
        <v>6.3411807372401077</v>
      </c>
      <c r="C26" s="5">
        <v>0.08</v>
      </c>
      <c r="D26">
        <f t="shared" si="5"/>
        <v>44.768736004915148</v>
      </c>
      <c r="Q26">
        <f t="shared" si="9"/>
        <v>44.768736004915205</v>
      </c>
      <c r="R26">
        <f t="shared" si="6"/>
        <v>61.747380325445199</v>
      </c>
      <c r="S26">
        <f t="shared" si="7"/>
        <v>250.01110720721076</v>
      </c>
      <c r="T26" s="5">
        <v>0.08</v>
      </c>
      <c r="V26">
        <f>SUM($R$2:R26)</f>
        <v>1069.0246536018794</v>
      </c>
      <c r="W26">
        <f t="shared" si="8"/>
        <v>2.2540898528273088</v>
      </c>
      <c r="Z26">
        <f t="shared" si="11"/>
        <v>1.896955720478972</v>
      </c>
      <c r="AA26" s="5">
        <v>0.3</v>
      </c>
      <c r="AB26">
        <f t="shared" si="1"/>
        <v>833.37035735736924</v>
      </c>
      <c r="AC26">
        <f t="shared" si="10"/>
        <v>916.75664913254013</v>
      </c>
      <c r="AD26" s="5">
        <v>0.2</v>
      </c>
      <c r="AE26">
        <f t="shared" si="2"/>
        <v>183.35132982650805</v>
      </c>
      <c r="AF26">
        <f t="shared" si="3"/>
        <v>1</v>
      </c>
    </row>
    <row r="27" spans="1:32" ht="13.95" x14ac:dyDescent="0.25">
      <c r="A27" s="2">
        <v>26</v>
      </c>
      <c r="B27">
        <f t="shared" si="4"/>
        <v>6.848475196219316</v>
      </c>
      <c r="C27" s="5">
        <v>0.08</v>
      </c>
      <c r="D27">
        <f t="shared" si="5"/>
        <v>48.35023488530836</v>
      </c>
      <c r="Q27">
        <f t="shared" si="9"/>
        <v>48.350234885308431</v>
      </c>
      <c r="R27">
        <f t="shared" si="6"/>
        <v>62.912425237246062</v>
      </c>
      <c r="S27">
        <f t="shared" si="7"/>
        <v>270.01199578378765</v>
      </c>
      <c r="T27" s="5">
        <v>0.08</v>
      </c>
      <c r="V27">
        <f>SUM($R$2:R27)</f>
        <v>1131.9370788391254</v>
      </c>
      <c r="W27">
        <f t="shared" si="8"/>
        <v>2.38674372462178</v>
      </c>
      <c r="Z27">
        <f t="shared" si="11"/>
        <v>1.7564404819249739</v>
      </c>
      <c r="AA27" s="5">
        <v>0.3</v>
      </c>
      <c r="AB27">
        <f t="shared" si="1"/>
        <v>900.03998594595885</v>
      </c>
      <c r="AC27">
        <f t="shared" si="10"/>
        <v>971.7620480804926</v>
      </c>
      <c r="AD27" s="5">
        <v>0.2</v>
      </c>
      <c r="AE27">
        <f t="shared" si="2"/>
        <v>194.35240961609853</v>
      </c>
      <c r="AF27">
        <f t="shared" si="3"/>
        <v>1</v>
      </c>
    </row>
    <row r="28" spans="1:32" ht="13.95" x14ac:dyDescent="0.25">
      <c r="A28" s="2">
        <v>27</v>
      </c>
      <c r="B28">
        <f t="shared" si="4"/>
        <v>7.3963532119168613</v>
      </c>
      <c r="C28" s="5">
        <v>0.08</v>
      </c>
      <c r="D28">
        <f t="shared" si="5"/>
        <v>52.218253676133031</v>
      </c>
      <c r="Q28">
        <f t="shared" si="9"/>
        <v>52.218253676133102</v>
      </c>
      <c r="R28">
        <f t="shared" si="6"/>
        <v>64.099452128514855</v>
      </c>
      <c r="S28">
        <f t="shared" si="7"/>
        <v>291.61295544649067</v>
      </c>
      <c r="T28" s="5">
        <v>0.08</v>
      </c>
      <c r="V28">
        <f>SUM($R$2:R28)</f>
        <v>1196.0365309676404</v>
      </c>
      <c r="W28">
        <f t="shared" si="8"/>
        <v>2.5219004996576571</v>
      </c>
      <c r="Z28">
        <f t="shared" si="11"/>
        <v>1.6263337795601609</v>
      </c>
      <c r="AA28" s="5">
        <v>0.3</v>
      </c>
      <c r="AB28">
        <f t="shared" si="1"/>
        <v>972.04318482163558</v>
      </c>
      <c r="AC28">
        <f t="shared" si="10"/>
        <v>1030.0677709653223</v>
      </c>
      <c r="AD28" s="5">
        <v>0.2</v>
      </c>
      <c r="AE28">
        <f t="shared" si="2"/>
        <v>206.01355419306446</v>
      </c>
      <c r="AF28">
        <f t="shared" si="3"/>
        <v>1</v>
      </c>
    </row>
    <row r="29" spans="1:32" ht="13.95" x14ac:dyDescent="0.25">
      <c r="A29" s="2">
        <v>28</v>
      </c>
      <c r="B29">
        <f t="shared" si="4"/>
        <v>7.9880614688702103</v>
      </c>
      <c r="C29" s="5">
        <v>0.08</v>
      </c>
      <c r="D29">
        <f t="shared" si="5"/>
        <v>56.395713970223674</v>
      </c>
      <c r="Q29">
        <f t="shared" si="9"/>
        <v>56.395713970223753</v>
      </c>
      <c r="R29">
        <f t="shared" si="6"/>
        <v>65.308875753581162</v>
      </c>
      <c r="S29">
        <f t="shared" si="7"/>
        <v>314.94199188220995</v>
      </c>
      <c r="T29" s="5">
        <v>0.08</v>
      </c>
      <c r="V29">
        <f>SUM($R$2:R29)</f>
        <v>1261.3454067212215</v>
      </c>
      <c r="W29">
        <f t="shared" si="8"/>
        <v>2.659607402524399</v>
      </c>
      <c r="Z29">
        <f t="shared" si="11"/>
        <v>1.5058646107038527</v>
      </c>
      <c r="AA29" s="5">
        <v>0.3</v>
      </c>
      <c r="AB29">
        <f t="shared" si="1"/>
        <v>1049.8066396073666</v>
      </c>
      <c r="AC29">
        <f t="shared" si="10"/>
        <v>1091.8718372232418</v>
      </c>
      <c r="AD29" s="5">
        <v>0.2</v>
      </c>
      <c r="AE29">
        <f t="shared" si="2"/>
        <v>218.37436744464836</v>
      </c>
      <c r="AF29">
        <f t="shared" si="3"/>
        <v>1</v>
      </c>
    </row>
    <row r="30" spans="1:32" ht="13.95" x14ac:dyDescent="0.25">
      <c r="A30" s="2">
        <v>29</v>
      </c>
      <c r="B30">
        <f t="shared" si="4"/>
        <v>8.6271063863798272</v>
      </c>
      <c r="C30" s="5">
        <v>0.08</v>
      </c>
      <c r="D30">
        <f t="shared" si="5"/>
        <v>60.907371087841568</v>
      </c>
      <c r="Q30">
        <f t="shared" si="9"/>
        <v>60.907371087841653</v>
      </c>
      <c r="R30">
        <f t="shared" si="6"/>
        <v>66.541118692327984</v>
      </c>
      <c r="S30">
        <f t="shared" si="7"/>
        <v>340.13735123278678</v>
      </c>
      <c r="T30" s="5">
        <v>0.08</v>
      </c>
      <c r="V30">
        <f>SUM($R$2:R30)</f>
        <v>1327.8865254135494</v>
      </c>
      <c r="W30">
        <f t="shared" si="8"/>
        <v>2.7999125488414571</v>
      </c>
      <c r="Z30">
        <f t="shared" si="11"/>
        <v>1.3943190839850486</v>
      </c>
      <c r="AA30" s="5">
        <v>0.3</v>
      </c>
      <c r="AB30">
        <f t="shared" si="1"/>
        <v>1133.7911707759561</v>
      </c>
      <c r="AC30">
        <f t="shared" si="10"/>
        <v>1157.3841474566364</v>
      </c>
      <c r="AD30" s="5">
        <v>0.2</v>
      </c>
      <c r="AE30">
        <f t="shared" si="2"/>
        <v>231.47682949132729</v>
      </c>
      <c r="AF30">
        <f t="shared" si="3"/>
        <v>1</v>
      </c>
    </row>
    <row r="31" spans="1:32" x14ac:dyDescent="0.25">
      <c r="A31" s="2">
        <v>30</v>
      </c>
      <c r="B31">
        <f t="shared" si="4"/>
        <v>9.3172748972902131</v>
      </c>
      <c r="C31" s="5">
        <v>0.08</v>
      </c>
      <c r="D31">
        <f t="shared" si="5"/>
        <v>65.779960774868897</v>
      </c>
      <c r="Q31">
        <f t="shared" si="9"/>
        <v>65.779960774868982</v>
      </c>
      <c r="R31">
        <f t="shared" si="6"/>
        <v>67.796611497843614</v>
      </c>
      <c r="S31">
        <f t="shared" si="7"/>
        <v>367.34833933140976</v>
      </c>
      <c r="T31" s="5">
        <v>0.08</v>
      </c>
      <c r="V31">
        <f>SUM($R$2:R31)</f>
        <v>1395.6831369113929</v>
      </c>
      <c r="W31">
        <f t="shared" si="8"/>
        <v>2.9428649620701575</v>
      </c>
      <c r="Z31">
        <f t="shared" si="11"/>
        <v>1.2910361888750448</v>
      </c>
      <c r="AA31" s="5">
        <v>0.3</v>
      </c>
      <c r="AB31">
        <f t="shared" si="1"/>
        <v>1224.4944644380325</v>
      </c>
      <c r="AC31">
        <f t="shared" si="10"/>
        <v>1226.8271963040345</v>
      </c>
      <c r="AD31" s="5">
        <v>0.2</v>
      </c>
      <c r="AE31">
        <f t="shared" si="2"/>
        <v>245.36543926080691</v>
      </c>
      <c r="AF31">
        <f t="shared" si="3"/>
        <v>1</v>
      </c>
    </row>
    <row r="32" spans="1:32" x14ac:dyDescent="0.25">
      <c r="A32" s="2">
        <v>31</v>
      </c>
      <c r="B32">
        <f t="shared" si="4"/>
        <v>10.06265688907343</v>
      </c>
      <c r="C32" s="5">
        <v>0.08</v>
      </c>
      <c r="D32">
        <f t="shared" si="5"/>
        <v>71.042357636858412</v>
      </c>
      <c r="Q32">
        <f t="shared" si="9"/>
        <v>71.042357636858512</v>
      </c>
      <c r="R32">
        <f t="shared" si="6"/>
        <v>69.075792846859528</v>
      </c>
      <c r="S32">
        <f t="shared" si="7"/>
        <v>396.73620647792256</v>
      </c>
      <c r="T32" s="5">
        <v>0.08</v>
      </c>
      <c r="V32">
        <f>SUM($R$2:R32)</f>
        <v>1464.7589297582524</v>
      </c>
      <c r="W32">
        <f t="shared" si="8"/>
        <v>3.088514590642796</v>
      </c>
      <c r="Z32">
        <f t="shared" si="11"/>
        <v>1.1954038785880043</v>
      </c>
      <c r="AA32" s="5">
        <v>0.3</v>
      </c>
      <c r="AB32">
        <f t="shared" si="1"/>
        <v>1322.4540215930754</v>
      </c>
      <c r="AC32">
        <f t="shared" si="10"/>
        <v>1300.4368280822766</v>
      </c>
      <c r="AD32" s="5">
        <v>0.2</v>
      </c>
      <c r="AE32">
        <f t="shared" si="2"/>
        <v>260.08736561645532</v>
      </c>
      <c r="AF32">
        <f t="shared" si="3"/>
        <v>1</v>
      </c>
    </row>
    <row r="33" spans="1:32" x14ac:dyDescent="0.25">
      <c r="A33" s="2">
        <v>32</v>
      </c>
      <c r="B33">
        <f t="shared" si="4"/>
        <v>10.867669440199306</v>
      </c>
      <c r="C33" s="5">
        <v>0.08</v>
      </c>
      <c r="D33">
        <f t="shared" si="5"/>
        <v>76.725746247807081</v>
      </c>
      <c r="Q33">
        <f t="shared" si="9"/>
        <v>76.725746247807209</v>
      </c>
      <c r="R33">
        <f t="shared" si="6"/>
        <v>70.379109693026678</v>
      </c>
      <c r="S33">
        <f t="shared" si="7"/>
        <v>428.47510299615641</v>
      </c>
      <c r="T33" s="5">
        <v>0.08</v>
      </c>
      <c r="V33">
        <f>SUM($R$2:R33)</f>
        <v>1535.1380394512792</v>
      </c>
      <c r="W33">
        <f t="shared" si="8"/>
        <v>3.2369123254149184</v>
      </c>
      <c r="Z33">
        <f t="shared" si="11"/>
        <v>1.106855443137041</v>
      </c>
      <c r="AA33" s="5">
        <v>0.3</v>
      </c>
      <c r="AB33">
        <f t="shared" si="1"/>
        <v>1428.2503433205213</v>
      </c>
      <c r="AC33">
        <f t="shared" si="10"/>
        <v>1378.4630377672133</v>
      </c>
      <c r="AD33" s="5">
        <v>0.2</v>
      </c>
      <c r="AE33">
        <f t="shared" si="2"/>
        <v>275.69260755344266</v>
      </c>
      <c r="AF33">
        <f t="shared" si="3"/>
        <v>1</v>
      </c>
    </row>
    <row r="34" spans="1:32" x14ac:dyDescent="0.25">
      <c r="A34" s="2">
        <v>33</v>
      </c>
      <c r="B34">
        <f t="shared" si="4"/>
        <v>11.73708299541525</v>
      </c>
      <c r="C34" s="5">
        <v>0.08</v>
      </c>
      <c r="D34">
        <f t="shared" si="5"/>
        <v>82.863805947631647</v>
      </c>
      <c r="Q34">
        <f t="shared" si="9"/>
        <v>82.863805947631789</v>
      </c>
      <c r="R34">
        <f t="shared" si="6"/>
        <v>71.707017423083812</v>
      </c>
      <c r="S34">
        <f t="shared" si="7"/>
        <v>462.75311123584896</v>
      </c>
      <c r="T34" s="5">
        <v>0.08</v>
      </c>
      <c r="V34">
        <f>SUM($R$2:R34)</f>
        <v>1606.8450568743629</v>
      </c>
      <c r="W34">
        <f t="shared" si="8"/>
        <v>3.3881100174468917</v>
      </c>
      <c r="Z34">
        <f t="shared" si="11"/>
        <v>1.0248661510528156</v>
      </c>
      <c r="AA34" s="5">
        <v>0.3</v>
      </c>
      <c r="AB34">
        <f t="shared" si="1"/>
        <v>1542.5103707861633</v>
      </c>
      <c r="AC34">
        <f t="shared" si="10"/>
        <v>1461.1708200332462</v>
      </c>
      <c r="AD34" s="5">
        <v>0.2</v>
      </c>
      <c r="AE34">
        <f t="shared" si="2"/>
        <v>292.23416400664922</v>
      </c>
      <c r="AF34">
        <f t="shared" si="3"/>
        <v>1</v>
      </c>
    </row>
    <row r="35" spans="1:32" x14ac:dyDescent="0.25">
      <c r="A35" s="2">
        <v>34</v>
      </c>
      <c r="B35">
        <f t="shared" si="4"/>
        <v>12.67604963504847</v>
      </c>
      <c r="C35" s="5">
        <v>0.08</v>
      </c>
      <c r="D35">
        <f t="shared" si="5"/>
        <v>89.492910423442183</v>
      </c>
      <c r="Q35">
        <f t="shared" si="9"/>
        <v>89.492910423442325</v>
      </c>
      <c r="R35">
        <f t="shared" si="6"/>
        <v>73.059980015972187</v>
      </c>
      <c r="S35">
        <f t="shared" si="7"/>
        <v>499.77336013471694</v>
      </c>
      <c r="T35" s="5">
        <v>0.08</v>
      </c>
      <c r="V35">
        <f>SUM($R$2:R35)</f>
        <v>1679.9050368903349</v>
      </c>
      <c r="W35">
        <f t="shared" si="8"/>
        <v>3.5421604961209781</v>
      </c>
      <c r="Z35">
        <f t="shared" si="11"/>
        <v>0.94895013986371812</v>
      </c>
      <c r="AA35" s="5">
        <v>0.3</v>
      </c>
      <c r="AB35">
        <f t="shared" si="1"/>
        <v>1665.9112004490564</v>
      </c>
      <c r="AC35">
        <f t="shared" si="10"/>
        <v>1548.8410692352411</v>
      </c>
      <c r="AD35" s="5">
        <v>0.2</v>
      </c>
      <c r="AE35">
        <f t="shared" si="2"/>
        <v>309.76821384704823</v>
      </c>
      <c r="AF35">
        <f t="shared" si="3"/>
        <v>1</v>
      </c>
    </row>
    <row r="36" spans="1:32" x14ac:dyDescent="0.25">
      <c r="A36" s="2">
        <v>35</v>
      </c>
      <c r="B36">
        <f t="shared" si="4"/>
        <v>13.690133605852347</v>
      </c>
      <c r="C36" s="5">
        <v>0.08</v>
      </c>
      <c r="D36">
        <f t="shared" si="5"/>
        <v>96.652343257317554</v>
      </c>
      <c r="Q36">
        <f t="shared" si="9"/>
        <v>96.65234325731771</v>
      </c>
      <c r="R36">
        <f t="shared" si="6"/>
        <v>74.438470204952793</v>
      </c>
      <c r="S36">
        <f t="shared" si="7"/>
        <v>539.75522894549431</v>
      </c>
      <c r="T36" s="5">
        <v>0.08</v>
      </c>
      <c r="V36">
        <f>SUM($R$2:R36)</f>
        <v>1754.3435070952878</v>
      </c>
      <c r="W36">
        <f t="shared" si="8"/>
        <v>3.6991175876002358</v>
      </c>
      <c r="Z36">
        <f t="shared" si="11"/>
        <v>0.87865753691085002</v>
      </c>
      <c r="AA36" s="5">
        <v>0.3</v>
      </c>
      <c r="AB36">
        <f t="shared" si="1"/>
        <v>1799.1840964849812</v>
      </c>
      <c r="AC36">
        <f t="shared" si="10"/>
        <v>1641.7715333893557</v>
      </c>
      <c r="AD36" s="5">
        <v>0.2</v>
      </c>
      <c r="AE36">
        <f t="shared" si="2"/>
        <v>328.35430667787114</v>
      </c>
      <c r="AF36">
        <f t="shared" si="3"/>
        <v>1</v>
      </c>
    </row>
    <row r="37" spans="1:32" x14ac:dyDescent="0.25">
      <c r="A37" s="2">
        <v>36</v>
      </c>
      <c r="B37">
        <f t="shared" si="4"/>
        <v>14.785344294320534</v>
      </c>
      <c r="C37" s="5">
        <v>0.08</v>
      </c>
      <c r="D37">
        <f t="shared" si="5"/>
        <v>104.38453071790296</v>
      </c>
      <c r="Q37">
        <f t="shared" si="9"/>
        <v>104.38453071790315</v>
      </c>
      <c r="R37">
        <f t="shared" si="6"/>
        <v>75.84296964278208</v>
      </c>
      <c r="S37">
        <f t="shared" si="7"/>
        <v>582.93564726113391</v>
      </c>
      <c r="T37" s="5">
        <v>0.08</v>
      </c>
      <c r="V37">
        <f>SUM($R$2:R37)</f>
        <v>1830.1864767380698</v>
      </c>
      <c r="W37">
        <f t="shared" si="8"/>
        <v>3.8590361336357057</v>
      </c>
      <c r="Z37">
        <f t="shared" si="11"/>
        <v>0.81357179343597219</v>
      </c>
      <c r="AA37" s="5">
        <v>0.3</v>
      </c>
      <c r="AB37">
        <f t="shared" si="1"/>
        <v>1943.1188242037797</v>
      </c>
      <c r="AC37">
        <f t="shared" si="10"/>
        <v>1740.2778253927172</v>
      </c>
      <c r="AD37" s="5">
        <v>0.2</v>
      </c>
      <c r="AE37">
        <f t="shared" si="2"/>
        <v>348.05556507854345</v>
      </c>
      <c r="AF37">
        <f t="shared" si="3"/>
        <v>1</v>
      </c>
    </row>
    <row r="38" spans="1:32" x14ac:dyDescent="0.25">
      <c r="A38" s="2">
        <v>37</v>
      </c>
      <c r="B38">
        <f t="shared" si="4"/>
        <v>15.968171837866176</v>
      </c>
      <c r="C38" s="5">
        <v>0.08</v>
      </c>
      <c r="D38">
        <f t="shared" si="5"/>
        <v>112.7352931753352</v>
      </c>
      <c r="Q38">
        <f t="shared" si="9"/>
        <v>112.73529317533541</v>
      </c>
      <c r="R38">
        <f t="shared" si="6"/>
        <v>77.273969070004384</v>
      </c>
      <c r="S38">
        <f t="shared" si="7"/>
        <v>629.57049904202461</v>
      </c>
      <c r="T38" s="5">
        <v>0.08</v>
      </c>
      <c r="V38">
        <f>SUM($R$2:R38)</f>
        <v>1907.4604458080742</v>
      </c>
      <c r="W38" s="13">
        <f t="shared" si="8"/>
        <v>4.0219720107284491</v>
      </c>
      <c r="Z38">
        <f t="shared" si="11"/>
        <v>0.75330721614441876</v>
      </c>
      <c r="AA38" s="5">
        <v>0.3</v>
      </c>
      <c r="AB38">
        <f t="shared" si="1"/>
        <v>2098.5683301400823</v>
      </c>
      <c r="AC38">
        <f t="shared" si="10"/>
        <v>1844.6944949162803</v>
      </c>
      <c r="AD38" s="5">
        <v>0.2</v>
      </c>
      <c r="AE38">
        <f t="shared" si="2"/>
        <v>368.93889898325608</v>
      </c>
      <c r="AF38">
        <f t="shared" si="3"/>
        <v>1</v>
      </c>
    </row>
    <row r="39" spans="1:32" x14ac:dyDescent="0.25">
      <c r="A39" s="2">
        <v>38</v>
      </c>
      <c r="B39">
        <f t="shared" si="4"/>
        <v>17.245625584895471</v>
      </c>
      <c r="C39" s="5">
        <v>0.08</v>
      </c>
      <c r="D39">
        <f t="shared" si="5"/>
        <v>121.75411662936202</v>
      </c>
      <c r="Q39">
        <f t="shared" si="9"/>
        <v>121.75411662936224</v>
      </c>
      <c r="R39">
        <f t="shared" si="6"/>
        <v>78.731968486419561</v>
      </c>
      <c r="S39">
        <f t="shared" si="7"/>
        <v>679.93613896538659</v>
      </c>
      <c r="T39" s="5">
        <v>0.08</v>
      </c>
      <c r="V39">
        <f>SUM($R$2:R39)</f>
        <v>1986.1924142944938</v>
      </c>
      <c r="W39">
        <f t="shared" si="8"/>
        <v>4.1879821496531306</v>
      </c>
      <c r="Z39">
        <f t="shared" si="11"/>
        <v>0.69750668161520246</v>
      </c>
      <c r="AA39" s="5">
        <v>0.3</v>
      </c>
      <c r="AB39">
        <f t="shared" si="1"/>
        <v>2266.4537965512886</v>
      </c>
      <c r="AC39">
        <f t="shared" si="10"/>
        <v>1955.3761646112573</v>
      </c>
      <c r="AD39" s="5">
        <v>0.2</v>
      </c>
      <c r="AE39">
        <f t="shared" si="2"/>
        <v>391.07523292225147</v>
      </c>
      <c r="AF39">
        <f t="shared" si="3"/>
        <v>1</v>
      </c>
    </row>
    <row r="40" spans="1:32" x14ac:dyDescent="0.25">
      <c r="A40" s="2">
        <v>39</v>
      </c>
      <c r="B40">
        <f t="shared" si="4"/>
        <v>18.62527563168711</v>
      </c>
      <c r="C40" s="5">
        <v>0.08</v>
      </c>
      <c r="D40">
        <f t="shared" si="5"/>
        <v>131.49444595971099</v>
      </c>
      <c r="Q40">
        <f t="shared" si="9"/>
        <v>131.49444595971124</v>
      </c>
      <c r="R40">
        <f t="shared" si="6"/>
        <v>80.21747732578595</v>
      </c>
      <c r="S40">
        <f t="shared" si="7"/>
        <v>734.33103008261753</v>
      </c>
      <c r="T40" s="5">
        <v>0.08</v>
      </c>
      <c r="V40">
        <f>SUM($R$2:R40)</f>
        <v>2066.4098916202797</v>
      </c>
      <c r="W40">
        <f t="shared" si="8"/>
        <v>4.3571245553499764</v>
      </c>
      <c r="Z40">
        <f t="shared" si="11"/>
        <v>0.64583952001407641</v>
      </c>
      <c r="AA40" s="5">
        <v>0.3</v>
      </c>
      <c r="AB40">
        <f t="shared" si="1"/>
        <v>2447.770100275392</v>
      </c>
      <c r="AC40">
        <f t="shared" si="10"/>
        <v>2072.6987344879331</v>
      </c>
      <c r="AD40" s="5">
        <v>0.2</v>
      </c>
      <c r="AE40">
        <f t="shared" si="2"/>
        <v>414.53974689758661</v>
      </c>
      <c r="AF40">
        <f t="shared" si="3"/>
        <v>1</v>
      </c>
    </row>
    <row r="41" spans="1:32" x14ac:dyDescent="0.25">
      <c r="A41" s="2">
        <v>40</v>
      </c>
      <c r="B41">
        <f t="shared" si="4"/>
        <v>20.115297682222078</v>
      </c>
      <c r="C41" s="5">
        <v>0.08</v>
      </c>
      <c r="D41">
        <f t="shared" si="5"/>
        <v>142.01400163648788</v>
      </c>
      <c r="Q41">
        <f t="shared" si="9"/>
        <v>142.01400163648813</v>
      </c>
      <c r="R41">
        <f t="shared" si="6"/>
        <v>81.73101463381964</v>
      </c>
      <c r="S41">
        <f t="shared" si="7"/>
        <v>793.07751248922693</v>
      </c>
      <c r="T41" s="5">
        <v>0.08</v>
      </c>
      <c r="V41">
        <f>SUM($R$2:R41)</f>
        <v>2148.1409062540993</v>
      </c>
      <c r="W41">
        <f t="shared" si="8"/>
        <v>4.529458327192045</v>
      </c>
      <c r="Z41">
        <f t="shared" si="11"/>
        <v>0.59799955556858919</v>
      </c>
      <c r="AA41" s="5">
        <v>0.3</v>
      </c>
      <c r="AB41">
        <f t="shared" si="1"/>
        <v>2643.5917082974233</v>
      </c>
      <c r="AC41">
        <f t="shared" si="10"/>
        <v>2197.0606585572091</v>
      </c>
      <c r="AD41" s="5">
        <v>0.2</v>
      </c>
      <c r="AE41">
        <f t="shared" si="2"/>
        <v>439.41213171144182</v>
      </c>
      <c r="AF41">
        <f t="shared" si="3"/>
        <v>1</v>
      </c>
    </row>
    <row r="42" spans="1:32" x14ac:dyDescent="0.25">
      <c r="A42" s="2">
        <v>41</v>
      </c>
      <c r="B42">
        <f t="shared" si="4"/>
        <v>21.724521496799845</v>
      </c>
      <c r="C42" s="5">
        <v>0.08</v>
      </c>
      <c r="D42">
        <f t="shared" si="5"/>
        <v>153.37512176740691</v>
      </c>
      <c r="Q42">
        <f t="shared" si="9"/>
        <v>153.37512176740719</v>
      </c>
      <c r="R42">
        <f t="shared" si="6"/>
        <v>83.273109249552107</v>
      </c>
      <c r="S42">
        <f t="shared" si="7"/>
        <v>856.52371348836516</v>
      </c>
      <c r="T42" s="5">
        <v>0.08</v>
      </c>
      <c r="V42" s="1">
        <f>SUM($R$2:R42)</f>
        <v>2231.4140155036512</v>
      </c>
      <c r="W42">
        <f t="shared" si="8"/>
        <v>4.7050436796349073</v>
      </c>
      <c r="Z42">
        <f t="shared" si="11"/>
        <v>0.55370329219313819</v>
      </c>
      <c r="AA42" s="5">
        <v>0.3</v>
      </c>
      <c r="AB42">
        <f t="shared" si="1"/>
        <v>2855.0790449612173</v>
      </c>
      <c r="AC42">
        <f t="shared" si="10"/>
        <v>2328.8842980706418</v>
      </c>
      <c r="AD42" s="5">
        <v>0.2</v>
      </c>
      <c r="AE42">
        <f t="shared" si="2"/>
        <v>465.7768596141284</v>
      </c>
      <c r="AF42">
        <f t="shared" si="3"/>
        <v>1</v>
      </c>
    </row>
    <row r="43" spans="1:32" x14ac:dyDescent="0.25">
      <c r="A43" s="2">
        <v>42</v>
      </c>
      <c r="B43">
        <f t="shared" si="4"/>
        <v>23.462483216543834</v>
      </c>
      <c r="C43" s="5">
        <v>0.08</v>
      </c>
      <c r="D43">
        <f t="shared" si="5"/>
        <v>165.64513150879947</v>
      </c>
      <c r="Q43">
        <f t="shared" si="9"/>
        <v>165.64513150879978</v>
      </c>
      <c r="R43">
        <f t="shared" si="6"/>
        <v>84.844299990109704</v>
      </c>
      <c r="S43">
        <f t="shared" si="7"/>
        <v>925.04561056743444</v>
      </c>
      <c r="T43" s="5">
        <v>0.08</v>
      </c>
      <c r="V43">
        <f>SUM($R$2:R43)</f>
        <v>2316.2583154937611</v>
      </c>
      <c r="W43">
        <f t="shared" si="8"/>
        <v>4.8839419632559382</v>
      </c>
      <c r="Z43">
        <f t="shared" si="11"/>
        <v>0.51268823351216486</v>
      </c>
      <c r="AA43" s="5">
        <v>0.3</v>
      </c>
      <c r="AB43">
        <f t="shared" si="1"/>
        <v>3083.4853685581147</v>
      </c>
      <c r="AC43">
        <f t="shared" si="10"/>
        <v>2468.6173559548802</v>
      </c>
      <c r="AD43" s="5">
        <v>0.2</v>
      </c>
      <c r="AE43">
        <f t="shared" si="2"/>
        <v>493.72347119097606</v>
      </c>
      <c r="AF43">
        <f t="shared" si="3"/>
        <v>1</v>
      </c>
    </row>
    <row r="44" spans="1:32" x14ac:dyDescent="0.25">
      <c r="A44" s="2">
        <v>43</v>
      </c>
      <c r="B44">
        <f t="shared" si="4"/>
        <v>25.339481873867342</v>
      </c>
      <c r="C44" s="5">
        <v>0.08</v>
      </c>
      <c r="D44">
        <f t="shared" si="5"/>
        <v>178.89674202950343</v>
      </c>
      <c r="Q44">
        <f t="shared" si="9"/>
        <v>178.89674202950374</v>
      </c>
      <c r="R44">
        <f t="shared" si="6"/>
        <v>86.445135838979681</v>
      </c>
      <c r="S44">
        <f t="shared" si="7"/>
        <v>999.0492594128292</v>
      </c>
      <c r="T44" s="5">
        <v>0.08</v>
      </c>
      <c r="V44">
        <f>SUM($R$2:R44)</f>
        <v>2402.7034513327408</v>
      </c>
      <c r="W44">
        <f t="shared" si="8"/>
        <v>5.0662156861905725</v>
      </c>
      <c r="Z44">
        <f t="shared" si="11"/>
        <v>0.47471132732607862</v>
      </c>
      <c r="AA44" s="5">
        <v>0.3</v>
      </c>
      <c r="AB44">
        <f t="shared" si="1"/>
        <v>3330.1641980427639</v>
      </c>
      <c r="AC44">
        <f t="shared" si="10"/>
        <v>2616.7343973121733</v>
      </c>
      <c r="AD44" s="5">
        <v>0.2</v>
      </c>
      <c r="AE44">
        <f t="shared" si="2"/>
        <v>523.34687946243469</v>
      </c>
      <c r="AF44">
        <f t="shared" si="3"/>
        <v>1</v>
      </c>
    </row>
    <row r="45" spans="1:32" x14ac:dyDescent="0.25">
      <c r="A45" s="2">
        <v>44</v>
      </c>
      <c r="B45">
        <f t="shared" si="4"/>
        <v>27.36664042377673</v>
      </c>
      <c r="C45" s="5">
        <v>0.08</v>
      </c>
      <c r="D45">
        <f t="shared" si="5"/>
        <v>193.2084813918637</v>
      </c>
      <c r="Q45">
        <f t="shared" si="9"/>
        <v>193.20848139186404</v>
      </c>
      <c r="R45">
        <f t="shared" si="6"/>
        <v>88.076176137828355</v>
      </c>
      <c r="S45">
        <f t="shared" si="7"/>
        <v>1078.9732001658556</v>
      </c>
      <c r="T45" s="5">
        <v>0.08</v>
      </c>
      <c r="V45">
        <f>SUM($R$2:R45)</f>
        <v>2490.7796274705693</v>
      </c>
      <c r="W45">
        <f t="shared" si="8"/>
        <v>5.2519285359730299</v>
      </c>
      <c r="Z45">
        <f t="shared" si="11"/>
        <v>0.43954752530192465</v>
      </c>
      <c r="AA45" s="5">
        <v>0.3</v>
      </c>
      <c r="AB45">
        <f t="shared" si="1"/>
        <v>3596.5773338861854</v>
      </c>
      <c r="AC45">
        <f t="shared" si="10"/>
        <v>2773.7384611509037</v>
      </c>
      <c r="AD45" s="5">
        <v>0.2</v>
      </c>
      <c r="AE45">
        <f t="shared" si="2"/>
        <v>554.74769223018075</v>
      </c>
      <c r="AF45">
        <f t="shared" si="3"/>
        <v>1</v>
      </c>
    </row>
    <row r="46" spans="1:32" x14ac:dyDescent="0.25">
      <c r="A46" s="2">
        <v>45</v>
      </c>
      <c r="B46">
        <f t="shared" si="4"/>
        <v>29.555971657678867</v>
      </c>
      <c r="C46" s="5">
        <v>0.08</v>
      </c>
      <c r="D46">
        <f t="shared" si="5"/>
        <v>208.66515990321278</v>
      </c>
      <c r="Q46">
        <f t="shared" si="9"/>
        <v>208.66515990321321</v>
      </c>
      <c r="R46">
        <f t="shared" si="6"/>
        <v>89.737990781938322</v>
      </c>
      <c r="S46">
        <f t="shared" si="7"/>
        <v>1165.2910561791241</v>
      </c>
      <c r="T46" s="5">
        <v>0.08</v>
      </c>
      <c r="V46">
        <f>SUM($R$2:R46)</f>
        <v>2580.5176182525074</v>
      </c>
      <c r="W46">
        <f t="shared" si="8"/>
        <v>5.441145401789119</v>
      </c>
      <c r="Z46">
        <f t="shared" si="11"/>
        <v>0.40698844935363387</v>
      </c>
      <c r="AA46" s="5">
        <v>0.3</v>
      </c>
      <c r="AB46">
        <f t="shared" si="1"/>
        <v>3884.3035205970805</v>
      </c>
      <c r="AC46">
        <f t="shared" si="10"/>
        <v>2940.1627688199583</v>
      </c>
      <c r="AD46" s="5">
        <v>0.2</v>
      </c>
      <c r="AE46">
        <f t="shared" si="2"/>
        <v>588.0325537639917</v>
      </c>
      <c r="AF46">
        <f t="shared" si="3"/>
        <v>1</v>
      </c>
    </row>
    <row r="47" spans="1:32" x14ac:dyDescent="0.25">
      <c r="A47" s="2">
        <v>46</v>
      </c>
      <c r="B47">
        <f t="shared" si="4"/>
        <v>31.920449390293179</v>
      </c>
      <c r="C47" s="5">
        <v>0.08</v>
      </c>
      <c r="D47">
        <f t="shared" si="5"/>
        <v>225.3583726954698</v>
      </c>
      <c r="Q47">
        <f t="shared" si="9"/>
        <v>225.35837269547025</v>
      </c>
      <c r="R47">
        <f t="shared" si="6"/>
        <v>91.431160419333395</v>
      </c>
      <c r="S47">
        <f t="shared" si="7"/>
        <v>1258.5143406734542</v>
      </c>
      <c r="T47" s="5">
        <v>0.08</v>
      </c>
      <c r="V47">
        <f>SUM($R$2:R47)</f>
        <v>2671.948778671841</v>
      </c>
      <c r="W47">
        <f t="shared" si="8"/>
        <v>5.6339323971489081</v>
      </c>
      <c r="Z47">
        <f t="shared" si="11"/>
        <v>0.37684115680892022</v>
      </c>
      <c r="AA47" s="5">
        <v>0.3</v>
      </c>
      <c r="AB47">
        <f t="shared" si="1"/>
        <v>4195.0478022448478</v>
      </c>
      <c r="AC47">
        <f t="shared" si="10"/>
        <v>3116.5725349491559</v>
      </c>
      <c r="AD47" s="5">
        <v>0.2</v>
      </c>
      <c r="AE47">
        <f t="shared" si="2"/>
        <v>623.31450698983122</v>
      </c>
      <c r="AF47">
        <f t="shared" si="3"/>
        <v>1</v>
      </c>
    </row>
    <row r="48" spans="1:32" x14ac:dyDescent="0.25">
      <c r="A48" s="2">
        <v>47</v>
      </c>
      <c r="B48">
        <f t="shared" si="4"/>
        <v>34.474085341516634</v>
      </c>
      <c r="C48" s="5">
        <v>0.08</v>
      </c>
      <c r="D48">
        <f t="shared" si="5"/>
        <v>243.38704251110738</v>
      </c>
      <c r="Q48">
        <f t="shared" si="9"/>
        <v>243.38704251110792</v>
      </c>
      <c r="R48">
        <f t="shared" si="6"/>
        <v>93.156276653660441</v>
      </c>
      <c r="S48">
        <f t="shared" si="7"/>
        <v>1359.1954879273305</v>
      </c>
      <c r="T48" s="5">
        <v>0.08</v>
      </c>
      <c r="V48">
        <f>SUM($R$2:R48)</f>
        <v>2765.1050553255013</v>
      </c>
      <c r="W48">
        <f t="shared" si="8"/>
        <v>5.830356882987183</v>
      </c>
      <c r="Z48">
        <f t="shared" si="11"/>
        <v>0.34892699704529651</v>
      </c>
      <c r="AA48" s="5">
        <v>0.3</v>
      </c>
      <c r="AB48">
        <f t="shared" si="1"/>
        <v>4530.6516264244356</v>
      </c>
      <c r="AC48">
        <f t="shared" si="10"/>
        <v>3303.5668870461054</v>
      </c>
      <c r="AD48" s="5">
        <v>0.2</v>
      </c>
      <c r="AE48">
        <f t="shared" si="2"/>
        <v>660.71337740922115</v>
      </c>
      <c r="AF48">
        <f t="shared" si="3"/>
        <v>1</v>
      </c>
    </row>
    <row r="49" spans="1:32" x14ac:dyDescent="0.25">
      <c r="A49" s="2">
        <v>48</v>
      </c>
      <c r="B49">
        <f t="shared" si="4"/>
        <v>37.232012168837969</v>
      </c>
      <c r="C49" s="5">
        <v>0.08</v>
      </c>
      <c r="D49">
        <f t="shared" si="5"/>
        <v>262.85800591199597</v>
      </c>
      <c r="Q49">
        <f t="shared" si="9"/>
        <v>262.8580059119966</v>
      </c>
      <c r="R49">
        <f t="shared" si="6"/>
        <v>94.913942250899282</v>
      </c>
      <c r="S49">
        <f t="shared" si="7"/>
        <v>1467.9311269615171</v>
      </c>
      <c r="T49" s="5">
        <v>0.08</v>
      </c>
      <c r="V49" s="1">
        <f>SUM($R$2:R49)</f>
        <v>2860.0189975764006</v>
      </c>
      <c r="W49">
        <f t="shared" si="8"/>
        <v>6.0304874911997652</v>
      </c>
      <c r="Z49">
        <f t="shared" si="11"/>
        <v>0.32308055281971898</v>
      </c>
      <c r="AA49" s="5">
        <v>0.3</v>
      </c>
      <c r="AB49">
        <f t="shared" si="1"/>
        <v>4893.1037565383904</v>
      </c>
      <c r="AC49">
        <f t="shared" si="10"/>
        <v>3501.7809002688718</v>
      </c>
      <c r="AD49" s="5">
        <v>0.2</v>
      </c>
      <c r="AE49">
        <f t="shared" si="2"/>
        <v>700.35618005377444</v>
      </c>
      <c r="AF49">
        <f t="shared" si="3"/>
        <v>1</v>
      </c>
    </row>
    <row r="50" spans="1:32" x14ac:dyDescent="0.25">
      <c r="A50" s="2">
        <v>49</v>
      </c>
      <c r="B50">
        <f t="shared" si="4"/>
        <v>40.210573142345005</v>
      </c>
      <c r="C50" s="5">
        <v>0.08</v>
      </c>
      <c r="D50">
        <f t="shared" si="5"/>
        <v>283.88664638495567</v>
      </c>
      <c r="Q50">
        <f t="shared" si="9"/>
        <v>283.88664638495629</v>
      </c>
      <c r="R50">
        <f t="shared" si="6"/>
        <v>96.704771349972873</v>
      </c>
      <c r="S50">
        <f t="shared" si="7"/>
        <v>1585.3656171184384</v>
      </c>
      <c r="T50" s="5">
        <v>0.08</v>
      </c>
      <c r="V50">
        <f>SUM($R$2:R50)</f>
        <v>2956.7237689263734</v>
      </c>
      <c r="W50">
        <f t="shared" si="8"/>
        <v>6.2343941486239052</v>
      </c>
      <c r="Z50">
        <f t="shared" si="11"/>
        <v>0.29914866001825829</v>
      </c>
      <c r="AA50" s="5">
        <v>0.3</v>
      </c>
      <c r="AB50">
        <f t="shared" si="1"/>
        <v>5284.5520570614617</v>
      </c>
      <c r="AC50">
        <f t="shared" si="10"/>
        <v>3711.8877542850041</v>
      </c>
      <c r="AD50" s="5">
        <v>0.2</v>
      </c>
      <c r="AE50">
        <f t="shared" si="2"/>
        <v>742.37755085700087</v>
      </c>
      <c r="AF50">
        <f t="shared" si="3"/>
        <v>1</v>
      </c>
    </row>
    <row r="51" spans="1:32" x14ac:dyDescent="0.25">
      <c r="A51" s="2">
        <v>50</v>
      </c>
      <c r="B51">
        <f t="shared" si="4"/>
        <v>43.427418993732608</v>
      </c>
      <c r="C51" s="5">
        <v>0.08</v>
      </c>
      <c r="D51">
        <f t="shared" si="5"/>
        <v>306.59757809575211</v>
      </c>
      <c r="Q51">
        <f t="shared" si="9"/>
        <v>306.59757809575279</v>
      </c>
      <c r="R51">
        <f t="shared" si="6"/>
        <v>98.529389677330869</v>
      </c>
      <c r="S51">
        <f t="shared" si="7"/>
        <v>1712.1948664879137</v>
      </c>
      <c r="T51" s="5">
        <v>0.08</v>
      </c>
      <c r="V51">
        <f>SUM($R$2:R51)</f>
        <v>3055.2531586037044</v>
      </c>
      <c r="W51">
        <f t="shared" si="8"/>
        <v>6.442148101471143</v>
      </c>
      <c r="Z51">
        <f t="shared" si="11"/>
        <v>0.27698950001690581</v>
      </c>
      <c r="AA51" s="5">
        <v>0.3</v>
      </c>
      <c r="AB51">
        <f t="shared" si="1"/>
        <v>5707.316221626379</v>
      </c>
      <c r="AC51">
        <f t="shared" si="10"/>
        <v>3934.6010195421045</v>
      </c>
      <c r="AD51" s="5">
        <v>0.2</v>
      </c>
      <c r="AE51">
        <f t="shared" si="2"/>
        <v>786.92020390842094</v>
      </c>
      <c r="AF51">
        <f t="shared" si="3"/>
        <v>1</v>
      </c>
    </row>
    <row r="52" spans="1:32" x14ac:dyDescent="0.25">
      <c r="A52" s="2">
        <v>51</v>
      </c>
      <c r="B52">
        <f t="shared" ref="B52:B101" si="12">B51+B51*C51</f>
        <v>46.901612513231214</v>
      </c>
      <c r="C52" s="5">
        <v>0.08</v>
      </c>
      <c r="D52">
        <f t="shared" ref="D52:D101" si="13">D51+D51*C51</f>
        <v>331.12538434341229</v>
      </c>
      <c r="Q52">
        <f t="shared" ref="Q52:Q101" si="14">$D$2*((1+$C$2)^A51)</f>
        <v>331.12538434341303</v>
      </c>
      <c r="R52">
        <f t="shared" si="6"/>
        <v>100.3884347655824</v>
      </c>
      <c r="S52">
        <f t="shared" si="7"/>
        <v>1849.1704558069468</v>
      </c>
      <c r="T52" s="5">
        <v>0.08</v>
      </c>
      <c r="V52">
        <f>SUM($R$2:R52)</f>
        <v>3155.641593369287</v>
      </c>
      <c r="W52">
        <f t="shared" si="8"/>
        <v>6.6538219402211594</v>
      </c>
      <c r="Z52">
        <f t="shared" si="11"/>
        <v>0.25647175927491278</v>
      </c>
      <c r="AA52" s="5">
        <v>0.3</v>
      </c>
      <c r="AB52">
        <f t="shared" si="1"/>
        <v>6163.9015193564901</v>
      </c>
      <c r="AC52">
        <f t="shared" si="10"/>
        <v>4170.6770807146313</v>
      </c>
      <c r="AD52" s="5">
        <v>0.2</v>
      </c>
      <c r="AE52">
        <f t="shared" si="2"/>
        <v>834.13541614292626</v>
      </c>
      <c r="AF52">
        <f t="shared" si="3"/>
        <v>1</v>
      </c>
    </row>
    <row r="53" spans="1:32" x14ac:dyDescent="0.25">
      <c r="A53" s="2">
        <v>52</v>
      </c>
      <c r="B53">
        <f t="shared" si="12"/>
        <v>50.653741514289713</v>
      </c>
      <c r="C53" s="5">
        <v>0.08</v>
      </c>
      <c r="D53">
        <f t="shared" si="13"/>
        <v>357.61541509088528</v>
      </c>
      <c r="Q53">
        <f t="shared" si="14"/>
        <v>357.61541509088613</v>
      </c>
      <c r="R53">
        <f t="shared" si="6"/>
        <v>102.28255617625375</v>
      </c>
      <c r="S53">
        <f t="shared" si="7"/>
        <v>1997.1040922715026</v>
      </c>
      <c r="T53" s="5">
        <v>0.08</v>
      </c>
      <c r="V53">
        <f>SUM($R$2:R53)</f>
        <v>3257.9241495455408</v>
      </c>
      <c r="W53">
        <f t="shared" si="8"/>
        <v>6.8694896249853263</v>
      </c>
      <c r="Z53">
        <f t="shared" si="11"/>
        <v>0.23747385118047479</v>
      </c>
      <c r="AA53" s="5">
        <v>0.3</v>
      </c>
      <c r="AB53">
        <f t="shared" si="1"/>
        <v>6657.0136409050092</v>
      </c>
      <c r="AC53">
        <f t="shared" si="10"/>
        <v>4420.9177055575092</v>
      </c>
      <c r="AD53" s="5">
        <v>0.2</v>
      </c>
      <c r="AE53">
        <f t="shared" si="2"/>
        <v>884.18354111150188</v>
      </c>
      <c r="AF53">
        <f t="shared" si="3"/>
        <v>1</v>
      </c>
    </row>
    <row r="54" spans="1:32" x14ac:dyDescent="0.25">
      <c r="A54" s="2">
        <v>53</v>
      </c>
      <c r="B54">
        <f t="shared" si="12"/>
        <v>54.706040835432887</v>
      </c>
      <c r="C54" s="5">
        <v>0.08</v>
      </c>
      <c r="D54">
        <f t="shared" si="13"/>
        <v>386.22464829815613</v>
      </c>
      <c r="Q54">
        <f t="shared" si="14"/>
        <v>386.22464829815704</v>
      </c>
      <c r="R54">
        <f t="shared" si="6"/>
        <v>104.21241572674911</v>
      </c>
      <c r="S54">
        <f t="shared" si="7"/>
        <v>2156.872419653223</v>
      </c>
      <c r="T54" s="5">
        <v>0.08</v>
      </c>
      <c r="V54">
        <f>SUM($R$2:R54)</f>
        <v>3362.1365652722898</v>
      </c>
      <c r="W54">
        <f t="shared" si="8"/>
        <v>7.0892265113488167</v>
      </c>
      <c r="Z54">
        <f t="shared" si="11"/>
        <v>0.21988319553747662</v>
      </c>
      <c r="AA54" s="5">
        <v>0.3</v>
      </c>
      <c r="AB54">
        <f t="shared" si="1"/>
        <v>7189.5747321774106</v>
      </c>
      <c r="AC54">
        <f t="shared" si="10"/>
        <v>4686.1727678909601</v>
      </c>
      <c r="AD54" s="5">
        <v>0.2</v>
      </c>
      <c r="AE54">
        <f t="shared" si="2"/>
        <v>937.23455357819205</v>
      </c>
      <c r="AF54">
        <f t="shared" si="3"/>
        <v>1</v>
      </c>
    </row>
    <row r="55" spans="1:32" x14ac:dyDescent="0.25">
      <c r="A55" s="2">
        <v>54</v>
      </c>
      <c r="B55">
        <f t="shared" si="12"/>
        <v>59.08252410226752</v>
      </c>
      <c r="C55" s="5">
        <v>0.08</v>
      </c>
      <c r="D55">
        <f t="shared" si="13"/>
        <v>417.12262016200862</v>
      </c>
      <c r="Q55">
        <f t="shared" si="14"/>
        <v>417.12262016200958</v>
      </c>
      <c r="R55">
        <f t="shared" si="6"/>
        <v>106.17868772159341</v>
      </c>
      <c r="S55">
        <f t="shared" si="7"/>
        <v>2329.4222132254808</v>
      </c>
      <c r="T55" s="5">
        <v>0.08</v>
      </c>
      <c r="V55">
        <f>SUM($R$2:R55)</f>
        <v>3468.3152529938834</v>
      </c>
      <c r="W55">
        <f t="shared" si="8"/>
        <v>7.3131093767002984</v>
      </c>
      <c r="Z55">
        <f t="shared" si="11"/>
        <v>0.20359555142358948</v>
      </c>
      <c r="AA55" s="5">
        <v>0.3</v>
      </c>
      <c r="AB55">
        <f t="shared" si="1"/>
        <v>7764.7407107516028</v>
      </c>
      <c r="AC55">
        <f t="shared" si="10"/>
        <v>4967.3431339644176</v>
      </c>
      <c r="AD55" s="5">
        <v>0.2</v>
      </c>
      <c r="AE55">
        <f t="shared" si="2"/>
        <v>993.46862679288358</v>
      </c>
      <c r="AF55">
        <f t="shared" si="3"/>
        <v>1</v>
      </c>
    </row>
    <row r="56" spans="1:32" x14ac:dyDescent="0.25">
      <c r="A56" s="2">
        <v>55</v>
      </c>
      <c r="B56">
        <f t="shared" si="12"/>
        <v>63.809126030448923</v>
      </c>
      <c r="C56" s="5">
        <v>0.08</v>
      </c>
      <c r="D56">
        <f t="shared" si="13"/>
        <v>450.49242977496931</v>
      </c>
      <c r="Q56">
        <f t="shared" si="14"/>
        <v>450.49242977497045</v>
      </c>
      <c r="R56">
        <f t="shared" si="6"/>
        <v>108.18205918803858</v>
      </c>
      <c r="S56">
        <f t="shared" si="7"/>
        <v>2515.7759902835196</v>
      </c>
      <c r="T56" s="5">
        <v>0.08</v>
      </c>
      <c r="V56">
        <f>SUM($R$2:R56)</f>
        <v>3576.4973121819221</v>
      </c>
      <c r="W56">
        <f t="shared" si="8"/>
        <v>7.5412164470584111</v>
      </c>
      <c r="Z56">
        <f t="shared" si="11"/>
        <v>0.18851439946628654</v>
      </c>
      <c r="AA56" s="5">
        <v>0.3</v>
      </c>
      <c r="AB56">
        <f t="shared" si="1"/>
        <v>8385.9199676117332</v>
      </c>
      <c r="AC56">
        <f t="shared" si="10"/>
        <v>5265.3837220022833</v>
      </c>
      <c r="AD56" s="5">
        <v>0.2</v>
      </c>
      <c r="AE56">
        <f t="shared" si="2"/>
        <v>1053.0767444004566</v>
      </c>
      <c r="AF56">
        <f t="shared" si="3"/>
        <v>1</v>
      </c>
    </row>
    <row r="57" spans="1:32" x14ac:dyDescent="0.25">
      <c r="A57" s="2">
        <v>56</v>
      </c>
      <c r="B57">
        <f t="shared" si="12"/>
        <v>68.913856112884844</v>
      </c>
      <c r="C57" s="5">
        <v>0.08</v>
      </c>
      <c r="D57">
        <f t="shared" si="13"/>
        <v>486.53182415696688</v>
      </c>
      <c r="Q57">
        <f t="shared" si="14"/>
        <v>486.53182415696807</v>
      </c>
      <c r="R57">
        <f t="shared" si="6"/>
        <v>110.22323011611476</v>
      </c>
      <c r="S57">
        <f t="shared" si="7"/>
        <v>2717.0380695062013</v>
      </c>
      <c r="T57" s="5">
        <v>0.08</v>
      </c>
      <c r="V57">
        <f>SUM($R$2:R57)</f>
        <v>3686.7205422980369</v>
      </c>
      <c r="W57">
        <f t="shared" si="8"/>
        <v>7.7736274244044132</v>
      </c>
      <c r="Z57">
        <f t="shared" si="11"/>
        <v>0.17455036987619121</v>
      </c>
      <c r="AA57" s="5">
        <v>0.3</v>
      </c>
      <c r="AB57">
        <f t="shared" si="1"/>
        <v>9056.7935650206709</v>
      </c>
      <c r="AC57">
        <f t="shared" si="10"/>
        <v>5581.3067453224203</v>
      </c>
      <c r="AD57" s="5">
        <v>0.2</v>
      </c>
      <c r="AE57">
        <f t="shared" si="2"/>
        <v>1116.2613490644842</v>
      </c>
      <c r="AF57">
        <f t="shared" si="3"/>
        <v>1</v>
      </c>
    </row>
    <row r="58" spans="1:32" x14ac:dyDescent="0.25">
      <c r="A58" s="2">
        <v>57</v>
      </c>
      <c r="B58">
        <f t="shared" si="12"/>
        <v>74.426964601915628</v>
      </c>
      <c r="C58" s="5">
        <v>0.08</v>
      </c>
      <c r="D58">
        <f t="shared" si="13"/>
        <v>525.45437008952422</v>
      </c>
      <c r="Q58">
        <f t="shared" si="14"/>
        <v>525.45437008952547</v>
      </c>
      <c r="R58">
        <f t="shared" si="6"/>
        <v>112.3029137032113</v>
      </c>
      <c r="S58">
        <f t="shared" si="7"/>
        <v>2934.4011150666975</v>
      </c>
      <c r="T58" s="5">
        <v>0.08</v>
      </c>
      <c r="V58">
        <f>SUM($R$2:R58)</f>
        <v>3799.0234560012482</v>
      </c>
      <c r="W58">
        <f t="shared" si="8"/>
        <v>8.0104235145305278</v>
      </c>
      <c r="Z58">
        <f t="shared" si="11"/>
        <v>0.16162071284832522</v>
      </c>
      <c r="AA58" s="5">
        <v>0.3</v>
      </c>
      <c r="AB58">
        <f t="shared" si="1"/>
        <v>9781.3370502223261</v>
      </c>
      <c r="AC58">
        <f t="shared" si="10"/>
        <v>5916.1851500417661</v>
      </c>
      <c r="AD58" s="5">
        <v>0.2</v>
      </c>
      <c r="AE58">
        <f t="shared" si="2"/>
        <v>1183.2370300083533</v>
      </c>
      <c r="AF58">
        <f t="shared" si="3"/>
        <v>1</v>
      </c>
    </row>
    <row r="59" spans="1:32" x14ac:dyDescent="0.25">
      <c r="A59" s="2">
        <v>58</v>
      </c>
      <c r="B59">
        <f t="shared" si="12"/>
        <v>80.381121770068873</v>
      </c>
      <c r="C59" s="5">
        <v>0.08</v>
      </c>
      <c r="D59">
        <f t="shared" si="13"/>
        <v>567.49071969668614</v>
      </c>
      <c r="Q59">
        <f t="shared" si="14"/>
        <v>567.49071969668762</v>
      </c>
      <c r="R59">
        <f t="shared" si="6"/>
        <v>114.42183660327188</v>
      </c>
      <c r="S59">
        <f t="shared" si="7"/>
        <v>3169.1532042720332</v>
      </c>
      <c r="T59" s="5">
        <v>0.08</v>
      </c>
      <c r="V59">
        <f>SUM($R$2:R59)</f>
        <v>3913.4452926045201</v>
      </c>
      <c r="W59">
        <f t="shared" si="8"/>
        <v>8.2516874554137392</v>
      </c>
      <c r="Z59">
        <f t="shared" si="11"/>
        <v>0.1496488081928937</v>
      </c>
      <c r="AA59" s="5">
        <v>0.3</v>
      </c>
      <c r="AB59">
        <f t="shared" si="1"/>
        <v>10563.84401424011</v>
      </c>
      <c r="AC59">
        <f t="shared" si="10"/>
        <v>6271.1562590442727</v>
      </c>
      <c r="AD59" s="5">
        <v>0.2</v>
      </c>
      <c r="AE59">
        <f t="shared" si="2"/>
        <v>1254.2312518088547</v>
      </c>
      <c r="AF59">
        <f t="shared" si="3"/>
        <v>1</v>
      </c>
    </row>
    <row r="60" spans="1:32" x14ac:dyDescent="0.25">
      <c r="A60" s="2">
        <v>59</v>
      </c>
      <c r="B60">
        <f t="shared" si="12"/>
        <v>86.811611511674386</v>
      </c>
      <c r="C60" s="5">
        <v>0.08</v>
      </c>
      <c r="D60">
        <f t="shared" si="13"/>
        <v>612.88997727242099</v>
      </c>
      <c r="Q60">
        <f t="shared" si="14"/>
        <v>612.88997727242258</v>
      </c>
      <c r="R60">
        <f t="shared" si="6"/>
        <v>116.58073918069212</v>
      </c>
      <c r="S60">
        <f t="shared" si="7"/>
        <v>3422.6854606137963</v>
      </c>
      <c r="T60" s="5">
        <v>0.08</v>
      </c>
      <c r="V60">
        <f>SUM($R$2:R60)</f>
        <v>4030.0260317852121</v>
      </c>
      <c r="W60">
        <f t="shared" si="8"/>
        <v>8.4975035461249355</v>
      </c>
      <c r="Z60">
        <f t="shared" si="11"/>
        <v>0.13856371128971637</v>
      </c>
      <c r="AA60" s="5">
        <v>0.3</v>
      </c>
      <c r="AB60">
        <f t="shared" si="1"/>
        <v>11408.951535379321</v>
      </c>
      <c r="AC60">
        <f t="shared" si="10"/>
        <v>6647.4256345869298</v>
      </c>
      <c r="AD60" s="5">
        <v>0.2</v>
      </c>
      <c r="AE60">
        <f t="shared" si="2"/>
        <v>1329.485126917386</v>
      </c>
      <c r="AF60">
        <f t="shared" si="3"/>
        <v>1</v>
      </c>
    </row>
    <row r="61" spans="1:32" x14ac:dyDescent="0.25">
      <c r="A61" s="2">
        <v>60</v>
      </c>
      <c r="B61">
        <f t="shared" si="12"/>
        <v>93.756540432608332</v>
      </c>
      <c r="C61" s="5">
        <v>0.08</v>
      </c>
      <c r="D61">
        <f t="shared" si="13"/>
        <v>661.92117545421468</v>
      </c>
      <c r="Q61">
        <f t="shared" si="14"/>
        <v>661.92117545421638</v>
      </c>
      <c r="R61">
        <f t="shared" si="6"/>
        <v>118.78037576900705</v>
      </c>
      <c r="S61">
        <f t="shared" si="7"/>
        <v>3696.5002974629001</v>
      </c>
      <c r="T61" s="5">
        <v>0.08</v>
      </c>
      <c r="V61">
        <f>SUM($R$2:R61)</f>
        <v>4148.8064075542188</v>
      </c>
      <c r="W61">
        <f t="shared" si="8"/>
        <v>8.7479576762835123</v>
      </c>
      <c r="Z61">
        <f t="shared" si="11"/>
        <v>0.1282997326756633</v>
      </c>
      <c r="AA61" s="5">
        <v>0.3</v>
      </c>
      <c r="AB61">
        <f t="shared" si="1"/>
        <v>12321.667658209668</v>
      </c>
      <c r="AC61">
        <f t="shared" si="10"/>
        <v>7046.2711726621455</v>
      </c>
      <c r="AD61" s="5">
        <v>0.2</v>
      </c>
      <c r="AE61">
        <f t="shared" si="2"/>
        <v>1409.2542345324291</v>
      </c>
      <c r="AF61">
        <f t="shared" si="3"/>
        <v>1</v>
      </c>
    </row>
    <row r="62" spans="1:32" x14ac:dyDescent="0.25">
      <c r="A62" s="2">
        <v>61</v>
      </c>
      <c r="B62">
        <f t="shared" si="12"/>
        <v>101.257063667217</v>
      </c>
      <c r="C62" s="5">
        <v>0.08</v>
      </c>
      <c r="D62">
        <f t="shared" si="13"/>
        <v>714.87486949055187</v>
      </c>
      <c r="Q62">
        <f t="shared" si="14"/>
        <v>714.87486949055381</v>
      </c>
      <c r="R62">
        <f t="shared" si="6"/>
        <v>121.02151493446003</v>
      </c>
      <c r="S62">
        <f t="shared" si="7"/>
        <v>3992.2203212599325</v>
      </c>
      <c r="T62" s="5">
        <v>0.08</v>
      </c>
      <c r="V62">
        <f>SUM($R$2:R62)</f>
        <v>4269.8279224886792</v>
      </c>
      <c r="W62">
        <f t="shared" si="8"/>
        <v>9.0031373560677252</v>
      </c>
      <c r="Z62">
        <f t="shared" si="11"/>
        <v>0.11879604877376232</v>
      </c>
      <c r="AA62" s="5">
        <v>0.3</v>
      </c>
      <c r="AB62">
        <f t="shared" si="1"/>
        <v>13307.401070866443</v>
      </c>
      <c r="AC62">
        <f t="shared" si="10"/>
        <v>7469.0474430218746</v>
      </c>
      <c r="AD62" s="5">
        <v>0.2</v>
      </c>
      <c r="AE62">
        <f t="shared" si="2"/>
        <v>1493.809488604375</v>
      </c>
      <c r="AF62">
        <f t="shared" si="3"/>
        <v>1</v>
      </c>
    </row>
    <row r="63" spans="1:32" x14ac:dyDescent="0.25">
      <c r="A63" s="2">
        <v>62</v>
      </c>
      <c r="B63">
        <f t="shared" si="12"/>
        <v>109.35762876059435</v>
      </c>
      <c r="C63" s="5">
        <v>0.08</v>
      </c>
      <c r="D63">
        <f t="shared" si="13"/>
        <v>772.06485904979604</v>
      </c>
      <c r="Q63">
        <f t="shared" si="14"/>
        <v>772.06485904979809</v>
      </c>
      <c r="R63">
        <f t="shared" si="6"/>
        <v>123.30493974454416</v>
      </c>
      <c r="S63">
        <f t="shared" si="7"/>
        <v>4311.5979469607273</v>
      </c>
      <c r="T63" s="5">
        <v>0.08</v>
      </c>
      <c r="V63">
        <f>SUM($R$2:R63)</f>
        <v>4393.132862233223</v>
      </c>
      <c r="W63">
        <f t="shared" si="8"/>
        <v>9.2631317467912595</v>
      </c>
      <c r="Z63">
        <f t="shared" si="11"/>
        <v>0.10999634145718733</v>
      </c>
      <c r="AA63" s="5">
        <v>0.3</v>
      </c>
      <c r="AB63">
        <f t="shared" si="1"/>
        <v>14371.993156535758</v>
      </c>
      <c r="AC63">
        <f t="shared" si="10"/>
        <v>7917.1902896031879</v>
      </c>
      <c r="AD63" s="5">
        <v>0.2</v>
      </c>
      <c r="AE63">
        <f t="shared" si="2"/>
        <v>1583.4380579206377</v>
      </c>
      <c r="AF63">
        <f t="shared" si="3"/>
        <v>1</v>
      </c>
    </row>
    <row r="64" spans="1:32" x14ac:dyDescent="0.25">
      <c r="A64" s="2">
        <v>63</v>
      </c>
      <c r="B64">
        <f t="shared" si="12"/>
        <v>118.1062390614419</v>
      </c>
      <c r="C64" s="5">
        <v>0.08</v>
      </c>
      <c r="D64">
        <f t="shared" si="13"/>
        <v>833.83004777377971</v>
      </c>
      <c r="Q64">
        <f t="shared" si="14"/>
        <v>833.8300477737821</v>
      </c>
      <c r="R64">
        <f t="shared" si="6"/>
        <v>125.63144804161102</v>
      </c>
      <c r="S64">
        <f t="shared" si="7"/>
        <v>4656.5257827175856</v>
      </c>
      <c r="T64" s="5">
        <v>0.08</v>
      </c>
      <c r="V64">
        <f>SUM($R$2:R64)</f>
        <v>4518.7643102748343</v>
      </c>
      <c r="W64">
        <f t="shared" si="8"/>
        <v>9.52803169205675</v>
      </c>
      <c r="Z64">
        <f t="shared" si="11"/>
        <v>0.10184846431221048</v>
      </c>
      <c r="AA64" s="5">
        <v>0.3</v>
      </c>
      <c r="AB64">
        <f t="shared" si="1"/>
        <v>15521.75260905862</v>
      </c>
      <c r="AC64">
        <f t="shared" si="10"/>
        <v>8392.2217069793787</v>
      </c>
      <c r="AD64" s="5">
        <v>0.2</v>
      </c>
      <c r="AE64">
        <f t="shared" si="2"/>
        <v>1678.4443413958759</v>
      </c>
      <c r="AF64">
        <f t="shared" si="3"/>
        <v>1</v>
      </c>
    </row>
    <row r="65" spans="1:32" x14ac:dyDescent="0.25">
      <c r="A65" s="2">
        <v>64</v>
      </c>
      <c r="B65">
        <f t="shared" si="12"/>
        <v>127.55473818635726</v>
      </c>
      <c r="C65" s="5">
        <v>0.08</v>
      </c>
      <c r="D65">
        <f t="shared" si="13"/>
        <v>900.53645159568214</v>
      </c>
      <c r="Q65">
        <f t="shared" si="14"/>
        <v>900.53645159568475</v>
      </c>
      <c r="R65">
        <f t="shared" si="6"/>
        <v>128.0018527216414</v>
      </c>
      <c r="S65">
        <f t="shared" si="7"/>
        <v>5029.0478453349924</v>
      </c>
      <c r="T65" s="5">
        <v>0.08</v>
      </c>
      <c r="V65">
        <f>SUM($R$2:R65)</f>
        <v>4646.7661629964759</v>
      </c>
      <c r="W65">
        <f t="shared" si="8"/>
        <v>9.7979297494970616</v>
      </c>
      <c r="Z65">
        <f t="shared" si="11"/>
        <v>9.4304133622417116E-2</v>
      </c>
      <c r="AA65" s="5">
        <v>0.3</v>
      </c>
      <c r="AB65">
        <f t="shared" si="1"/>
        <v>16763.49281778331</v>
      </c>
      <c r="AC65">
        <f t="shared" si="10"/>
        <v>8895.7550093981426</v>
      </c>
      <c r="AD65" s="5">
        <v>0.2</v>
      </c>
      <c r="AE65">
        <f t="shared" si="2"/>
        <v>1779.1510018796287</v>
      </c>
      <c r="AF65">
        <f t="shared" si="3"/>
        <v>1</v>
      </c>
    </row>
    <row r="66" spans="1:32" x14ac:dyDescent="0.25">
      <c r="A66" s="2">
        <v>65</v>
      </c>
      <c r="B66">
        <f t="shared" si="12"/>
        <v>137.75911724126584</v>
      </c>
      <c r="C66" s="5">
        <v>0.08</v>
      </c>
      <c r="D66">
        <f t="shared" si="13"/>
        <v>972.57936772333676</v>
      </c>
      <c r="Q66">
        <f t="shared" si="14"/>
        <v>972.5793677233396</v>
      </c>
      <c r="R66">
        <f t="shared" si="6"/>
        <v>130.41698201827617</v>
      </c>
      <c r="S66">
        <f t="shared" si="7"/>
        <v>5431.3716729617918</v>
      </c>
      <c r="T66" s="5">
        <v>0.08</v>
      </c>
      <c r="V66">
        <f>SUM($R$2:R66)</f>
        <v>4777.183145014752</v>
      </c>
      <c r="W66">
        <f t="shared" si="8"/>
        <v>10.07292022311549</v>
      </c>
      <c r="Z66">
        <f t="shared" si="11"/>
        <v>8.7318642242978806E-2</v>
      </c>
      <c r="AA66" s="5">
        <v>0.3</v>
      </c>
      <c r="AB66">
        <f t="shared" si="1"/>
        <v>18104.572243205974</v>
      </c>
      <c r="AC66">
        <f t="shared" si="10"/>
        <v>9429.5003099620317</v>
      </c>
      <c r="AD66" s="5">
        <v>0.2</v>
      </c>
      <c r="AE66">
        <f t="shared" si="2"/>
        <v>1885.9000619924063</v>
      </c>
      <c r="AF66">
        <f t="shared" si="3"/>
        <v>1</v>
      </c>
    </row>
    <row r="67" spans="1:32" x14ac:dyDescent="0.25">
      <c r="A67" s="2">
        <v>66</v>
      </c>
      <c r="B67">
        <f t="shared" si="12"/>
        <v>148.7798466205671</v>
      </c>
      <c r="C67" s="5">
        <v>0.08</v>
      </c>
      <c r="D67">
        <f t="shared" si="13"/>
        <v>1050.3857171412037</v>
      </c>
      <c r="Q67">
        <f t="shared" si="14"/>
        <v>1050.3857171412069</v>
      </c>
      <c r="R67">
        <f t="shared" si="6"/>
        <v>132.87767979220592</v>
      </c>
      <c r="S67">
        <f t="shared" si="7"/>
        <v>5865.881406798736</v>
      </c>
      <c r="T67" s="5">
        <v>0.08</v>
      </c>
      <c r="V67">
        <f>SUM($R$2:R67)</f>
        <v>4910.0608248069575</v>
      </c>
      <c r="W67">
        <f t="shared" si="8"/>
        <v>10.353099196236153</v>
      </c>
      <c r="Z67">
        <f t="shared" si="11"/>
        <v>8.0850594669424805E-2</v>
      </c>
      <c r="AA67" s="5">
        <v>0.3</v>
      </c>
      <c r="AB67">
        <f t="shared" ref="AB67:AB130" si="15">S67/AA67</f>
        <v>19552.938022662453</v>
      </c>
      <c r="AC67">
        <f t="shared" si="10"/>
        <v>9995.2703285597545</v>
      </c>
      <c r="AD67" s="5">
        <v>0.2</v>
      </c>
      <c r="AE67">
        <f t="shared" ref="AE67:AE130" si="16">AC67*AD67</f>
        <v>1999.0540657119509</v>
      </c>
      <c r="AF67">
        <f t="shared" ref="AF67:AF130" si="17">IF(AB67&gt;AE67, 1, 0)</f>
        <v>1</v>
      </c>
    </row>
    <row r="68" spans="1:32" x14ac:dyDescent="0.25">
      <c r="A68" s="2">
        <v>67</v>
      </c>
      <c r="B68">
        <f t="shared" si="12"/>
        <v>160.68223435021247</v>
      </c>
      <c r="C68" s="5">
        <v>0.08</v>
      </c>
      <c r="D68">
        <f t="shared" si="13"/>
        <v>1134.4165745125001</v>
      </c>
      <c r="Q68">
        <f t="shared" si="14"/>
        <v>1134.4165745125033</v>
      </c>
      <c r="R68">
        <f t="shared" ref="R68:R101" si="18">S68/((1+$U$2)^A67)</f>
        <v>135.38480582602116</v>
      </c>
      <c r="S68">
        <f t="shared" ref="S68:S101" si="19">S67*(1+T67)</f>
        <v>6335.1519193426357</v>
      </c>
      <c r="T68" s="5">
        <v>0.08</v>
      </c>
      <c r="V68">
        <f>SUM($R$2:R68)</f>
        <v>5045.4456306329785</v>
      </c>
      <c r="W68">
        <f t="shared" ref="W68:W101" si="20">V68/$W$2</f>
        <v>10.638564565076074</v>
      </c>
      <c r="Z68">
        <f t="shared" si="11"/>
        <v>7.4861661730948895E-2</v>
      </c>
      <c r="AA68" s="5">
        <v>0.3</v>
      </c>
      <c r="AB68">
        <f t="shared" si="15"/>
        <v>21117.173064475453</v>
      </c>
      <c r="AC68">
        <f t="shared" ref="AC68:AC131" si="21">AC67*(1+$U$2)</f>
        <v>10594.98654827334</v>
      </c>
      <c r="AD68" s="5">
        <v>0.2</v>
      </c>
      <c r="AE68">
        <f t="shared" si="16"/>
        <v>2118.9973096546682</v>
      </c>
      <c r="AF68">
        <f t="shared" si="17"/>
        <v>1</v>
      </c>
    </row>
    <row r="69" spans="1:32" x14ac:dyDescent="0.25">
      <c r="A69" s="2">
        <v>68</v>
      </c>
      <c r="B69">
        <f t="shared" si="12"/>
        <v>173.53681309822946</v>
      </c>
      <c r="C69" s="5">
        <v>0.08</v>
      </c>
      <c r="D69">
        <f t="shared" si="13"/>
        <v>1225.1699004735001</v>
      </c>
      <c r="Q69">
        <f t="shared" si="14"/>
        <v>1225.1699004735037</v>
      </c>
      <c r="R69">
        <f t="shared" si="18"/>
        <v>137.93923612462532</v>
      </c>
      <c r="S69">
        <f t="shared" si="19"/>
        <v>6841.9640728900467</v>
      </c>
      <c r="T69" s="5">
        <v>0.08</v>
      </c>
      <c r="V69">
        <f>SUM($R$2:R69)</f>
        <v>5183.384866757604</v>
      </c>
      <c r="W69">
        <f t="shared" si="20"/>
        <v>10.92941607295071</v>
      </c>
      <c r="Z69">
        <f t="shared" si="11"/>
        <v>6.93163534545823E-2</v>
      </c>
      <c r="AA69" s="5">
        <v>0.3</v>
      </c>
      <c r="AB69">
        <f t="shared" si="15"/>
        <v>22806.546909633489</v>
      </c>
      <c r="AC69">
        <f t="shared" si="21"/>
        <v>11230.685741169742</v>
      </c>
      <c r="AD69" s="5">
        <v>0.2</v>
      </c>
      <c r="AE69">
        <f t="shared" si="16"/>
        <v>2246.1371482339487</v>
      </c>
      <c r="AF69">
        <f t="shared" si="17"/>
        <v>1</v>
      </c>
    </row>
    <row r="70" spans="1:32" x14ac:dyDescent="0.25">
      <c r="A70" s="2">
        <v>69</v>
      </c>
      <c r="B70">
        <f t="shared" si="12"/>
        <v>187.41975814608782</v>
      </c>
      <c r="C70" s="5">
        <v>0.08</v>
      </c>
      <c r="D70">
        <f t="shared" si="13"/>
        <v>1323.1834925113801</v>
      </c>
      <c r="Q70">
        <f t="shared" si="14"/>
        <v>1323.1834925113842</v>
      </c>
      <c r="R70">
        <f t="shared" si="18"/>
        <v>140.54186322131633</v>
      </c>
      <c r="S70">
        <f t="shared" si="19"/>
        <v>7389.3211987212508</v>
      </c>
      <c r="T70" s="5">
        <v>0.08</v>
      </c>
      <c r="V70">
        <f>SUM($R$2:R70)</f>
        <v>5323.9267299789199</v>
      </c>
      <c r="W70">
        <f t="shared" si="20"/>
        <v>11.225755345124869</v>
      </c>
      <c r="Z70">
        <f t="shared" si="11"/>
        <v>6.4181808754242869E-2</v>
      </c>
      <c r="AA70" s="5">
        <v>0.3</v>
      </c>
      <c r="AB70">
        <f t="shared" si="15"/>
        <v>24631.07066240417</v>
      </c>
      <c r="AC70">
        <f t="shared" si="21"/>
        <v>11904.526885639927</v>
      </c>
      <c r="AD70" s="5">
        <v>0.2</v>
      </c>
      <c r="AE70">
        <f t="shared" si="16"/>
        <v>2380.9053771279855</v>
      </c>
      <c r="AF70">
        <f t="shared" si="17"/>
        <v>1</v>
      </c>
    </row>
    <row r="71" spans="1:32" x14ac:dyDescent="0.25">
      <c r="A71" s="2">
        <v>70</v>
      </c>
      <c r="B71">
        <f t="shared" si="12"/>
        <v>202.41333879777483</v>
      </c>
      <c r="C71" s="5">
        <v>0.08</v>
      </c>
      <c r="D71">
        <f t="shared" si="13"/>
        <v>1429.0381719122906</v>
      </c>
      <c r="Q71">
        <f t="shared" si="14"/>
        <v>1429.0381719122947</v>
      </c>
      <c r="R71">
        <f t="shared" si="18"/>
        <v>143.19359648964306</v>
      </c>
      <c r="S71">
        <f t="shared" si="19"/>
        <v>7980.4668946189513</v>
      </c>
      <c r="T71" s="5">
        <v>0.08</v>
      </c>
      <c r="V71">
        <f>SUM($R$2:R71)</f>
        <v>5467.1203264685628</v>
      </c>
      <c r="W71">
        <f t="shared" si="20"/>
        <v>11.52768592432118</v>
      </c>
      <c r="Z71">
        <f t="shared" si="11"/>
        <v>5.9427600698373023E-2</v>
      </c>
      <c r="AA71" s="5">
        <v>0.3</v>
      </c>
      <c r="AB71">
        <f t="shared" si="15"/>
        <v>26601.556315396505</v>
      </c>
      <c r="AC71">
        <f t="shared" si="21"/>
        <v>12618.798498778324</v>
      </c>
      <c r="AD71" s="5">
        <v>0.2</v>
      </c>
      <c r="AE71">
        <f t="shared" si="16"/>
        <v>2523.7596997556648</v>
      </c>
      <c r="AF71">
        <f t="shared" si="17"/>
        <v>1</v>
      </c>
    </row>
    <row r="72" spans="1:32" x14ac:dyDescent="0.25">
      <c r="A72" s="2">
        <v>71</v>
      </c>
      <c r="B72">
        <f t="shared" si="12"/>
        <v>218.60640590159682</v>
      </c>
      <c r="C72" s="5">
        <v>0.08</v>
      </c>
      <c r="D72">
        <f t="shared" si="13"/>
        <v>1543.3612256652739</v>
      </c>
      <c r="Q72">
        <f t="shared" si="14"/>
        <v>1543.3612256652787</v>
      </c>
      <c r="R72">
        <f t="shared" si="18"/>
        <v>145.89536246114577</v>
      </c>
      <c r="S72">
        <f t="shared" si="19"/>
        <v>8618.9042461884674</v>
      </c>
      <c r="T72" s="5">
        <v>0.08</v>
      </c>
      <c r="V72">
        <f>SUM($R$2:R72)</f>
        <v>5613.0156889297086</v>
      </c>
      <c r="W72">
        <f t="shared" si="20"/>
        <v>11.835313306898556</v>
      </c>
      <c r="Z72">
        <f t="shared" si="11"/>
        <v>5.5025556202197248E-2</v>
      </c>
      <c r="AA72" s="5">
        <v>0.3</v>
      </c>
      <c r="AB72">
        <f t="shared" si="15"/>
        <v>28729.680820628226</v>
      </c>
      <c r="AC72">
        <f t="shared" si="21"/>
        <v>13375.926408705023</v>
      </c>
      <c r="AD72" s="5">
        <v>0.2</v>
      </c>
      <c r="AE72">
        <f t="shared" si="16"/>
        <v>2675.1852817410049</v>
      </c>
      <c r="AF72">
        <f t="shared" si="17"/>
        <v>1</v>
      </c>
    </row>
    <row r="73" spans="1:32" x14ac:dyDescent="0.25">
      <c r="A73" s="2">
        <v>72</v>
      </c>
      <c r="B73">
        <f t="shared" si="12"/>
        <v>236.09491837372457</v>
      </c>
      <c r="C73" s="5">
        <v>0.08</v>
      </c>
      <c r="D73">
        <f t="shared" si="13"/>
        <v>1666.8301237184958</v>
      </c>
      <c r="Q73">
        <f t="shared" si="14"/>
        <v>1666.830123718501</v>
      </c>
      <c r="R73">
        <f t="shared" si="18"/>
        <v>148.64810514909189</v>
      </c>
      <c r="S73">
        <f t="shared" si="19"/>
        <v>9308.4165858835458</v>
      </c>
      <c r="T73" s="5">
        <v>0.08</v>
      </c>
      <c r="V73">
        <f>SUM($R$2:R73)</f>
        <v>5761.6637940788005</v>
      </c>
      <c r="W73">
        <f t="shared" si="20"/>
        <v>12.148744979713239</v>
      </c>
      <c r="Z73">
        <f t="shared" si="11"/>
        <v>5.0949589076108553E-2</v>
      </c>
      <c r="AA73" s="5">
        <v>0.3</v>
      </c>
      <c r="AB73">
        <f t="shared" si="15"/>
        <v>31028.055286278486</v>
      </c>
      <c r="AC73">
        <f t="shared" si="21"/>
        <v>14178.481993227326</v>
      </c>
      <c r="AD73" s="5">
        <v>0.2</v>
      </c>
      <c r="AE73">
        <f t="shared" si="16"/>
        <v>2835.6963986454653</v>
      </c>
      <c r="AF73">
        <f t="shared" si="17"/>
        <v>1</v>
      </c>
    </row>
    <row r="74" spans="1:32" x14ac:dyDescent="0.25">
      <c r="A74" s="2">
        <v>73</v>
      </c>
      <c r="B74">
        <f t="shared" si="12"/>
        <v>254.98251184362255</v>
      </c>
      <c r="C74" s="5">
        <v>0.08</v>
      </c>
      <c r="D74">
        <f t="shared" si="13"/>
        <v>1800.1765336159754</v>
      </c>
      <c r="Q74">
        <f t="shared" si="14"/>
        <v>1800.176533615981</v>
      </c>
      <c r="R74">
        <f t="shared" si="18"/>
        <v>151.45278637832007</v>
      </c>
      <c r="S74">
        <f t="shared" si="19"/>
        <v>10053.089912754231</v>
      </c>
      <c r="T74" s="5">
        <v>0.08</v>
      </c>
      <c r="V74">
        <f>SUM($R$2:R74)</f>
        <v>5913.116580457121</v>
      </c>
      <c r="W74">
        <f t="shared" si="20"/>
        <v>12.46809045767537</v>
      </c>
      <c r="Z74">
        <f t="shared" si="11"/>
        <v>4.7175545440841252E-2</v>
      </c>
      <c r="AA74" s="5">
        <v>0.3</v>
      </c>
      <c r="AB74">
        <f t="shared" si="15"/>
        <v>33510.29970918077</v>
      </c>
      <c r="AC74">
        <f t="shared" si="21"/>
        <v>15029.190912820966</v>
      </c>
      <c r="AD74" s="5">
        <v>0.2</v>
      </c>
      <c r="AE74">
        <f t="shared" si="16"/>
        <v>3005.8381825641936</v>
      </c>
      <c r="AF74">
        <f t="shared" si="17"/>
        <v>1</v>
      </c>
    </row>
    <row r="75" spans="1:32" x14ac:dyDescent="0.25">
      <c r="A75" s="2">
        <v>74</v>
      </c>
      <c r="B75">
        <f t="shared" si="12"/>
        <v>275.38111279111234</v>
      </c>
      <c r="C75" s="5">
        <v>0.08</v>
      </c>
      <c r="D75">
        <f t="shared" si="13"/>
        <v>1944.1906563052535</v>
      </c>
      <c r="Q75">
        <f t="shared" si="14"/>
        <v>1944.1906563052598</v>
      </c>
      <c r="R75">
        <f t="shared" si="18"/>
        <v>154.31038612130729</v>
      </c>
      <c r="S75">
        <f t="shared" si="19"/>
        <v>10857.33710577457</v>
      </c>
      <c r="T75" s="5">
        <v>0.08</v>
      </c>
      <c r="V75">
        <f>SUM($R$2:R75)</f>
        <v>6067.4269665784286</v>
      </c>
      <c r="W75">
        <f t="shared" si="20"/>
        <v>12.793461322014146</v>
      </c>
      <c r="Z75">
        <f t="shared" si="11"/>
        <v>4.3681060593371526E-2</v>
      </c>
      <c r="AA75" s="5">
        <v>0.3</v>
      </c>
      <c r="AB75">
        <f t="shared" si="15"/>
        <v>36191.123685915234</v>
      </c>
      <c r="AC75">
        <f t="shared" si="21"/>
        <v>15930.942367590225</v>
      </c>
      <c r="AD75" s="5">
        <v>0.2</v>
      </c>
      <c r="AE75">
        <f t="shared" si="16"/>
        <v>3186.1884735180452</v>
      </c>
      <c r="AF75">
        <f t="shared" si="17"/>
        <v>1</v>
      </c>
    </row>
    <row r="76" spans="1:32" x14ac:dyDescent="0.25">
      <c r="A76" s="2">
        <v>75</v>
      </c>
      <c r="B76">
        <f t="shared" si="12"/>
        <v>297.41160181440131</v>
      </c>
      <c r="C76" s="5">
        <v>0.08</v>
      </c>
      <c r="D76">
        <f t="shared" si="13"/>
        <v>2099.7259088096739</v>
      </c>
      <c r="Q76">
        <f t="shared" si="14"/>
        <v>2099.7259088096807</v>
      </c>
      <c r="R76">
        <f t="shared" si="18"/>
        <v>157.22190284057723</v>
      </c>
      <c r="S76">
        <f t="shared" si="19"/>
        <v>11725.924074236536</v>
      </c>
      <c r="T76" s="5">
        <v>0.08</v>
      </c>
      <c r="V76">
        <f>SUM($R$2:R76)</f>
        <v>6224.6488694190057</v>
      </c>
      <c r="W76">
        <f t="shared" si="20"/>
        <v>13.124971259264973</v>
      </c>
      <c r="Z76">
        <f t="shared" si="11"/>
        <v>4.0445426475344E-2</v>
      </c>
      <c r="AA76" s="5">
        <v>0.3</v>
      </c>
      <c r="AB76">
        <f t="shared" si="15"/>
        <v>39086.41358078846</v>
      </c>
      <c r="AC76">
        <f t="shared" si="21"/>
        <v>16886.79890964564</v>
      </c>
      <c r="AD76" s="5">
        <v>0.2</v>
      </c>
      <c r="AE76">
        <f t="shared" si="16"/>
        <v>3377.3597819291281</v>
      </c>
      <c r="AF76">
        <f t="shared" si="17"/>
        <v>1</v>
      </c>
    </row>
    <row r="77" spans="1:32" x14ac:dyDescent="0.25">
      <c r="A77" s="2">
        <v>76</v>
      </c>
      <c r="B77">
        <f t="shared" si="12"/>
        <v>321.20452995955338</v>
      </c>
      <c r="C77" s="5">
        <v>0.08</v>
      </c>
      <c r="D77">
        <f t="shared" si="13"/>
        <v>2267.7039815144481</v>
      </c>
      <c r="Q77">
        <f t="shared" si="14"/>
        <v>2267.7039815144553</v>
      </c>
      <c r="R77">
        <f t="shared" si="18"/>
        <v>160.18835383756922</v>
      </c>
      <c r="S77">
        <f t="shared" si="19"/>
        <v>12663.998000175459</v>
      </c>
      <c r="T77" s="5">
        <v>0.08</v>
      </c>
      <c r="V77">
        <f>SUM($R$2:R77)</f>
        <v>6384.8372232565753</v>
      </c>
      <c r="W77">
        <f t="shared" si="20"/>
        <v>13.462736100992231</v>
      </c>
      <c r="Z77">
        <f t="shared" si="11"/>
        <v>3.7449468958651852E-2</v>
      </c>
      <c r="AA77" s="5">
        <v>0.3</v>
      </c>
      <c r="AB77">
        <f t="shared" si="15"/>
        <v>42213.326667251531</v>
      </c>
      <c r="AC77">
        <f t="shared" si="21"/>
        <v>17900.006844224379</v>
      </c>
      <c r="AD77" s="5">
        <v>0.2</v>
      </c>
      <c r="AE77">
        <f t="shared" si="16"/>
        <v>3580.0013688448762</v>
      </c>
      <c r="AF77">
        <f t="shared" si="17"/>
        <v>1</v>
      </c>
    </row>
    <row r="78" spans="1:32" x14ac:dyDescent="0.25">
      <c r="A78" s="2">
        <v>77</v>
      </c>
      <c r="B78">
        <f t="shared" si="12"/>
        <v>346.90089235631763</v>
      </c>
      <c r="C78" s="5">
        <v>0.08</v>
      </c>
      <c r="D78">
        <f t="shared" si="13"/>
        <v>2449.120300035604</v>
      </c>
      <c r="Q78">
        <f t="shared" si="14"/>
        <v>2449.1203000356118</v>
      </c>
      <c r="R78">
        <f t="shared" si="18"/>
        <v>163.21077560808939</v>
      </c>
      <c r="S78">
        <f t="shared" si="19"/>
        <v>13677.117840189498</v>
      </c>
      <c r="T78" s="5">
        <v>0.08</v>
      </c>
      <c r="V78">
        <f>SUM($R$2:R78)</f>
        <v>6548.0479988646648</v>
      </c>
      <c r="W78">
        <f t="shared" si="20"/>
        <v>13.806873864261512</v>
      </c>
      <c r="Z78">
        <f t="shared" si="11"/>
        <v>3.4675434220973932E-2</v>
      </c>
      <c r="AA78" s="5">
        <v>0.3</v>
      </c>
      <c r="AB78">
        <f t="shared" si="15"/>
        <v>45590.392800631664</v>
      </c>
      <c r="AC78">
        <f t="shared" si="21"/>
        <v>18974.007254877844</v>
      </c>
      <c r="AD78" s="5">
        <v>0.2</v>
      </c>
      <c r="AE78">
        <f t="shared" si="16"/>
        <v>3794.801450975569</v>
      </c>
      <c r="AF78">
        <f t="shared" si="17"/>
        <v>1</v>
      </c>
    </row>
    <row r="79" spans="1:32" x14ac:dyDescent="0.25">
      <c r="A79" s="2">
        <v>78</v>
      </c>
      <c r="B79">
        <f t="shared" si="12"/>
        <v>374.65296374482301</v>
      </c>
      <c r="C79" s="5">
        <v>0.08</v>
      </c>
      <c r="D79">
        <f t="shared" si="13"/>
        <v>2645.0499240384524</v>
      </c>
      <c r="Q79">
        <f t="shared" si="14"/>
        <v>2645.0499240384602</v>
      </c>
      <c r="R79">
        <f t="shared" si="18"/>
        <v>166.29022420446842</v>
      </c>
      <c r="S79">
        <f t="shared" si="19"/>
        <v>14771.287267404658</v>
      </c>
      <c r="T79" s="5">
        <v>0.08</v>
      </c>
      <c r="V79">
        <f>SUM($R$2:R79)</f>
        <v>6714.3382230691332</v>
      </c>
      <c r="W79">
        <f t="shared" si="20"/>
        <v>14.157504792875498</v>
      </c>
      <c r="Z79">
        <f t="shared" ref="Z79:Z142" si="22">$W$2/S79</f>
        <v>3.2106883537938828E-2</v>
      </c>
      <c r="AA79" s="5">
        <v>0.3</v>
      </c>
      <c r="AB79">
        <f t="shared" si="15"/>
        <v>49237.624224682193</v>
      </c>
      <c r="AC79">
        <f t="shared" si="21"/>
        <v>20112.447690170517</v>
      </c>
      <c r="AD79" s="5">
        <v>0.2</v>
      </c>
      <c r="AE79">
        <f t="shared" si="16"/>
        <v>4022.4895380341036</v>
      </c>
      <c r="AF79">
        <f t="shared" si="17"/>
        <v>1</v>
      </c>
    </row>
    <row r="80" spans="1:32" x14ac:dyDescent="0.25">
      <c r="A80" s="2">
        <v>79</v>
      </c>
      <c r="B80">
        <f t="shared" si="12"/>
        <v>404.62520084440882</v>
      </c>
      <c r="C80" s="5">
        <v>0.08</v>
      </c>
      <c r="D80">
        <f t="shared" si="13"/>
        <v>2856.6539179615288</v>
      </c>
      <c r="Q80">
        <f t="shared" si="14"/>
        <v>2856.6539179615379</v>
      </c>
      <c r="R80">
        <f t="shared" si="18"/>
        <v>169.42777560455275</v>
      </c>
      <c r="S80">
        <f t="shared" si="19"/>
        <v>15952.99024879703</v>
      </c>
      <c r="T80" s="5">
        <v>0.08</v>
      </c>
      <c r="V80">
        <f>SUM($R$2:R80)</f>
        <v>6883.7659986736862</v>
      </c>
      <c r="W80">
        <f t="shared" si="20"/>
        <v>14.51475139938786</v>
      </c>
      <c r="Z80">
        <f t="shared" si="22"/>
        <v>2.9728595868461875E-2</v>
      </c>
      <c r="AA80" s="5">
        <v>0.3</v>
      </c>
      <c r="AB80">
        <f t="shared" si="15"/>
        <v>53176.634162656766</v>
      </c>
      <c r="AC80">
        <f t="shared" si="21"/>
        <v>21319.194551580749</v>
      </c>
      <c r="AD80" s="5">
        <v>0.2</v>
      </c>
      <c r="AE80">
        <f t="shared" si="16"/>
        <v>4263.8389103161498</v>
      </c>
      <c r="AF80">
        <f t="shared" si="17"/>
        <v>1</v>
      </c>
    </row>
    <row r="81" spans="1:32" x14ac:dyDescent="0.25">
      <c r="A81" s="2">
        <v>80</v>
      </c>
      <c r="B81">
        <f t="shared" si="12"/>
        <v>436.99521691196151</v>
      </c>
      <c r="C81" s="5">
        <v>0.08</v>
      </c>
      <c r="D81">
        <f t="shared" si="13"/>
        <v>3085.1862313984511</v>
      </c>
      <c r="Q81">
        <f t="shared" si="14"/>
        <v>3085.1862313984611</v>
      </c>
      <c r="R81">
        <f t="shared" si="18"/>
        <v>172.62452608765747</v>
      </c>
      <c r="S81">
        <f t="shared" si="19"/>
        <v>17229.229468700792</v>
      </c>
      <c r="T81" s="5">
        <v>0.08</v>
      </c>
      <c r="V81">
        <f>SUM($R$2:R81)</f>
        <v>7056.3905247613438</v>
      </c>
      <c r="W81">
        <f t="shared" si="20"/>
        <v>14.878738507909889</v>
      </c>
      <c r="Z81">
        <f t="shared" si="22"/>
        <v>2.752647765598322E-2</v>
      </c>
      <c r="AA81" s="5">
        <v>0.3</v>
      </c>
      <c r="AB81">
        <f t="shared" si="15"/>
        <v>57430.764895669308</v>
      </c>
      <c r="AC81">
        <f t="shared" si="21"/>
        <v>22598.346224675595</v>
      </c>
      <c r="AD81" s="5">
        <v>0.2</v>
      </c>
      <c r="AE81">
        <f t="shared" si="16"/>
        <v>4519.6692449351194</v>
      </c>
      <c r="AF81">
        <f t="shared" si="17"/>
        <v>1</v>
      </c>
    </row>
    <row r="82" spans="1:32" x14ac:dyDescent="0.25">
      <c r="A82" s="2">
        <v>81</v>
      </c>
      <c r="B82">
        <f t="shared" si="12"/>
        <v>471.95483426491842</v>
      </c>
      <c r="C82" s="5">
        <v>0.08</v>
      </c>
      <c r="D82">
        <f t="shared" si="13"/>
        <v>3332.0011299103271</v>
      </c>
      <c r="Q82">
        <f t="shared" si="14"/>
        <v>3332.001129910338</v>
      </c>
      <c r="R82">
        <f t="shared" si="18"/>
        <v>175.88159261761334</v>
      </c>
      <c r="S82">
        <f t="shared" si="19"/>
        <v>18607.567826196857</v>
      </c>
      <c r="T82" s="5">
        <v>0.08</v>
      </c>
      <c r="V82">
        <f>SUM($R$2:R82)</f>
        <v>7232.2721173789569</v>
      </c>
      <c r="W82">
        <f t="shared" si="20"/>
        <v>15.249593297724786</v>
      </c>
      <c r="Z82">
        <f t="shared" si="22"/>
        <v>2.5487479311095573E-2</v>
      </c>
      <c r="AA82" s="5">
        <v>0.3</v>
      </c>
      <c r="AB82">
        <f t="shared" si="15"/>
        <v>62025.226087322859</v>
      </c>
      <c r="AC82">
        <f t="shared" si="21"/>
        <v>23954.246998156133</v>
      </c>
      <c r="AD82" s="5">
        <v>0.2</v>
      </c>
      <c r="AE82">
        <f t="shared" si="16"/>
        <v>4790.8493996312272</v>
      </c>
      <c r="AF82">
        <f t="shared" si="17"/>
        <v>1</v>
      </c>
    </row>
    <row r="83" spans="1:32" x14ac:dyDescent="0.25">
      <c r="A83" s="2">
        <v>82</v>
      </c>
      <c r="B83">
        <f t="shared" si="12"/>
        <v>509.71122100611188</v>
      </c>
      <c r="C83" s="5">
        <v>0.08</v>
      </c>
      <c r="D83">
        <f t="shared" si="13"/>
        <v>3598.5612203031533</v>
      </c>
      <c r="Q83">
        <f t="shared" si="14"/>
        <v>3598.5612203031651</v>
      </c>
      <c r="R83">
        <f t="shared" si="18"/>
        <v>179.20011323303999</v>
      </c>
      <c r="S83">
        <f t="shared" si="19"/>
        <v>20096.173252292607</v>
      </c>
      <c r="T83" s="5">
        <v>0.08</v>
      </c>
      <c r="V83">
        <f>SUM($R$2:R83)</f>
        <v>7411.4722306119966</v>
      </c>
      <c r="W83">
        <f t="shared" si="20"/>
        <v>15.627445347724869</v>
      </c>
      <c r="Z83">
        <f t="shared" si="22"/>
        <v>2.3599517880644048E-2</v>
      </c>
      <c r="AA83" s="5">
        <v>0.3</v>
      </c>
      <c r="AB83">
        <f t="shared" si="15"/>
        <v>66987.244174308697</v>
      </c>
      <c r="AC83">
        <f t="shared" si="21"/>
        <v>25391.501818045504</v>
      </c>
      <c r="AD83" s="5">
        <v>0.2</v>
      </c>
      <c r="AE83">
        <f t="shared" si="16"/>
        <v>5078.3003636091016</v>
      </c>
      <c r="AF83">
        <f t="shared" si="17"/>
        <v>1</v>
      </c>
    </row>
    <row r="84" spans="1:32" x14ac:dyDescent="0.25">
      <c r="A84" s="2">
        <v>83</v>
      </c>
      <c r="B84">
        <f t="shared" si="12"/>
        <v>550.48811868660084</v>
      </c>
      <c r="C84" s="5">
        <v>0.08</v>
      </c>
      <c r="D84">
        <f t="shared" si="13"/>
        <v>3886.4461179274058</v>
      </c>
      <c r="Q84">
        <f t="shared" si="14"/>
        <v>3886.4461179274185</v>
      </c>
      <c r="R84">
        <f t="shared" si="18"/>
        <v>182.58124744498417</v>
      </c>
      <c r="S84">
        <f t="shared" si="19"/>
        <v>21703.867112476019</v>
      </c>
      <c r="T84" s="5">
        <v>0.08</v>
      </c>
      <c r="V84">
        <f>SUM($R$2:R84)</f>
        <v>7594.0534780569806</v>
      </c>
      <c r="W84">
        <f t="shared" si="20"/>
        <v>16.01242668168722</v>
      </c>
      <c r="Z84">
        <f t="shared" si="22"/>
        <v>2.1851405445040779E-2</v>
      </c>
      <c r="AA84" s="5">
        <v>0.3</v>
      </c>
      <c r="AB84">
        <f t="shared" si="15"/>
        <v>72346.223708253397</v>
      </c>
      <c r="AC84">
        <f t="shared" si="21"/>
        <v>26914.991927128238</v>
      </c>
      <c r="AD84" s="5">
        <v>0.2</v>
      </c>
      <c r="AE84">
        <f t="shared" si="16"/>
        <v>5382.9983854256479</v>
      </c>
      <c r="AF84">
        <f t="shared" si="17"/>
        <v>1</v>
      </c>
    </row>
    <row r="85" spans="1:32" x14ac:dyDescent="0.25">
      <c r="A85" s="2">
        <v>84</v>
      </c>
      <c r="B85">
        <f t="shared" si="12"/>
        <v>594.52716818152885</v>
      </c>
      <c r="C85" s="5">
        <v>0.08</v>
      </c>
      <c r="D85">
        <f t="shared" si="13"/>
        <v>4197.361807361598</v>
      </c>
      <c r="Q85">
        <f t="shared" si="14"/>
        <v>4197.3618073616126</v>
      </c>
      <c r="R85">
        <f t="shared" si="18"/>
        <v>186.02617664205931</v>
      </c>
      <c r="S85">
        <f t="shared" si="19"/>
        <v>23440.1764814741</v>
      </c>
      <c r="T85" s="5">
        <v>0.08</v>
      </c>
      <c r="V85">
        <f>SUM($R$2:R85)</f>
        <v>7780.0796546990396</v>
      </c>
      <c r="W85">
        <f t="shared" si="20"/>
        <v>16.404671814403574</v>
      </c>
      <c r="Z85">
        <f t="shared" si="22"/>
        <v>2.0232782819482206E-2</v>
      </c>
      <c r="AA85" s="5">
        <v>0.3</v>
      </c>
      <c r="AB85">
        <f t="shared" si="15"/>
        <v>78133.921604913674</v>
      </c>
      <c r="AC85">
        <f t="shared" si="21"/>
        <v>28529.891442755932</v>
      </c>
      <c r="AD85" s="5">
        <v>0.2</v>
      </c>
      <c r="AE85">
        <f t="shared" si="16"/>
        <v>5705.9782885511868</v>
      </c>
      <c r="AF85">
        <f t="shared" si="17"/>
        <v>1</v>
      </c>
    </row>
    <row r="86" spans="1:32" x14ac:dyDescent="0.25">
      <c r="A86" s="2">
        <v>85</v>
      </c>
      <c r="B86">
        <f t="shared" si="12"/>
        <v>642.08934163605113</v>
      </c>
      <c r="C86" s="5">
        <v>0.08</v>
      </c>
      <c r="D86">
        <f t="shared" si="13"/>
        <v>4533.1507519505258</v>
      </c>
      <c r="Q86">
        <f t="shared" si="14"/>
        <v>4533.1507519505412</v>
      </c>
      <c r="R86">
        <f t="shared" si="18"/>
        <v>189.53610450323023</v>
      </c>
      <c r="S86">
        <f t="shared" si="19"/>
        <v>25315.390599992028</v>
      </c>
      <c r="T86" s="5">
        <v>0.08</v>
      </c>
      <c r="V86">
        <f>SUM($R$2:R86)</f>
        <v>7969.6157592022701</v>
      </c>
      <c r="W86">
        <f t="shared" si="20"/>
        <v>16.804317798680618</v>
      </c>
      <c r="Z86">
        <f t="shared" si="22"/>
        <v>1.8734058166187225E-2</v>
      </c>
      <c r="AA86" s="5">
        <v>0.3</v>
      </c>
      <c r="AB86">
        <f t="shared" si="15"/>
        <v>84384.635333306767</v>
      </c>
      <c r="AC86">
        <f t="shared" si="21"/>
        <v>30241.684929321291</v>
      </c>
      <c r="AD86" s="5">
        <v>0.2</v>
      </c>
      <c r="AE86">
        <f t="shared" si="16"/>
        <v>6048.3369858642582</v>
      </c>
      <c r="AF86">
        <f t="shared" si="17"/>
        <v>1</v>
      </c>
    </row>
    <row r="87" spans="1:32" x14ac:dyDescent="0.25">
      <c r="A87" s="2">
        <v>86</v>
      </c>
      <c r="B87">
        <f t="shared" si="12"/>
        <v>693.45648896693524</v>
      </c>
      <c r="C87" s="5">
        <v>0.08</v>
      </c>
      <c r="D87">
        <f t="shared" si="13"/>
        <v>4895.8028121065681</v>
      </c>
      <c r="Q87">
        <f t="shared" si="14"/>
        <v>4895.8028121065854</v>
      </c>
      <c r="R87">
        <f t="shared" si="18"/>
        <v>193.1122574183855</v>
      </c>
      <c r="S87">
        <f t="shared" si="19"/>
        <v>27340.621847991391</v>
      </c>
      <c r="T87" s="5">
        <v>0.08</v>
      </c>
      <c r="V87">
        <f>SUM($R$2:R87)</f>
        <v>8162.7280166206556</v>
      </c>
      <c r="W87">
        <f t="shared" si="20"/>
        <v>17.211504273227039</v>
      </c>
      <c r="Z87">
        <f t="shared" si="22"/>
        <v>1.734635015387706E-2</v>
      </c>
      <c r="AA87" s="5">
        <v>0.3</v>
      </c>
      <c r="AB87">
        <f t="shared" si="15"/>
        <v>91135.406159971302</v>
      </c>
      <c r="AC87">
        <f t="shared" si="21"/>
        <v>32056.186025080569</v>
      </c>
      <c r="AD87" s="5">
        <v>0.2</v>
      </c>
      <c r="AE87">
        <f t="shared" si="16"/>
        <v>6411.2372050161139</v>
      </c>
      <c r="AF87">
        <f t="shared" si="17"/>
        <v>1</v>
      </c>
    </row>
    <row r="88" spans="1:32" x14ac:dyDescent="0.25">
      <c r="A88" s="2">
        <v>87</v>
      </c>
      <c r="B88">
        <f t="shared" si="12"/>
        <v>748.93300808429001</v>
      </c>
      <c r="C88" s="5">
        <v>0.08</v>
      </c>
      <c r="D88">
        <f t="shared" si="13"/>
        <v>5287.4670370750937</v>
      </c>
      <c r="Q88">
        <f t="shared" si="14"/>
        <v>5287.4670370751119</v>
      </c>
      <c r="R88">
        <f t="shared" si="18"/>
        <v>196.75588491684559</v>
      </c>
      <c r="S88">
        <f t="shared" si="19"/>
        <v>29527.871595830704</v>
      </c>
      <c r="T88" s="5">
        <v>0.08</v>
      </c>
      <c r="V88">
        <f>SUM($R$2:R88)</f>
        <v>8359.4839015375019</v>
      </c>
      <c r="W88">
        <f t="shared" si="20"/>
        <v>17.62637351144415</v>
      </c>
      <c r="Z88">
        <f t="shared" si="22"/>
        <v>1.6061435327663943E-2</v>
      </c>
      <c r="AA88" s="5">
        <v>0.3</v>
      </c>
      <c r="AB88">
        <f t="shared" si="15"/>
        <v>98426.238652769011</v>
      </c>
      <c r="AC88">
        <f t="shared" si="21"/>
        <v>33979.557186585407</v>
      </c>
      <c r="AD88" s="5">
        <v>0.2</v>
      </c>
      <c r="AE88">
        <f t="shared" si="16"/>
        <v>6795.9114373170814</v>
      </c>
      <c r="AF88">
        <f t="shared" si="17"/>
        <v>1</v>
      </c>
    </row>
    <row r="89" spans="1:32" x14ac:dyDescent="0.25">
      <c r="A89" s="2">
        <v>88</v>
      </c>
      <c r="B89">
        <f t="shared" si="12"/>
        <v>808.84764873103325</v>
      </c>
      <c r="C89" s="5">
        <v>0.08</v>
      </c>
      <c r="D89">
        <f t="shared" si="13"/>
        <v>5710.4644000411008</v>
      </c>
      <c r="Q89">
        <f t="shared" si="14"/>
        <v>5710.4644000411217</v>
      </c>
      <c r="R89">
        <f t="shared" si="18"/>
        <v>200.46826010395588</v>
      </c>
      <c r="S89">
        <f t="shared" si="19"/>
        <v>31890.101323497162</v>
      </c>
      <c r="T89" s="5">
        <v>0.08</v>
      </c>
      <c r="V89">
        <f>SUM($R$2:R89)</f>
        <v>8559.9521616414586</v>
      </c>
      <c r="W89">
        <f t="shared" si="20"/>
        <v>18.049070471137053</v>
      </c>
      <c r="Z89">
        <f t="shared" si="22"/>
        <v>1.4871699377466614E-2</v>
      </c>
      <c r="AA89" s="5">
        <v>0.3</v>
      </c>
      <c r="AB89">
        <f t="shared" si="15"/>
        <v>106300.33774499054</v>
      </c>
      <c r="AC89">
        <f t="shared" si="21"/>
        <v>36018.330617780535</v>
      </c>
      <c r="AD89" s="5">
        <v>0.2</v>
      </c>
      <c r="AE89">
        <f t="shared" si="16"/>
        <v>7203.6661235561078</v>
      </c>
      <c r="AF89">
        <f t="shared" si="17"/>
        <v>1</v>
      </c>
    </row>
    <row r="90" spans="1:32" x14ac:dyDescent="0.25">
      <c r="A90" s="2">
        <v>89</v>
      </c>
      <c r="B90">
        <f t="shared" si="12"/>
        <v>873.55546062951589</v>
      </c>
      <c r="C90" s="5">
        <v>0.08</v>
      </c>
      <c r="D90">
        <f t="shared" si="13"/>
        <v>6167.3015520443887</v>
      </c>
      <c r="Q90">
        <f t="shared" si="14"/>
        <v>6167.3015520444114</v>
      </c>
      <c r="R90">
        <f t="shared" si="18"/>
        <v>204.25068010591735</v>
      </c>
      <c r="S90">
        <f t="shared" si="19"/>
        <v>34441.309429376939</v>
      </c>
      <c r="T90" s="5">
        <v>0.08</v>
      </c>
      <c r="V90">
        <f>SUM($R$2:R90)</f>
        <v>8764.2028417473757</v>
      </c>
      <c r="W90">
        <f t="shared" si="20"/>
        <v>18.479742845163784</v>
      </c>
      <c r="Z90">
        <f t="shared" si="22"/>
        <v>1.377009201617279E-2</v>
      </c>
      <c r="AA90" s="5">
        <v>0.3</v>
      </c>
      <c r="AB90">
        <f t="shared" si="15"/>
        <v>114804.3647645898</v>
      </c>
      <c r="AC90">
        <f t="shared" si="21"/>
        <v>38179.430454847366</v>
      </c>
      <c r="AD90" s="5">
        <v>0.2</v>
      </c>
      <c r="AE90">
        <f t="shared" si="16"/>
        <v>7635.886090969474</v>
      </c>
      <c r="AF90">
        <f t="shared" si="17"/>
        <v>1</v>
      </c>
    </row>
    <row r="91" spans="1:32" x14ac:dyDescent="0.25">
      <c r="A91" s="2">
        <v>90</v>
      </c>
      <c r="B91">
        <f t="shared" si="12"/>
        <v>943.43989747987712</v>
      </c>
      <c r="C91" s="5">
        <v>0.08</v>
      </c>
      <c r="D91">
        <f t="shared" si="13"/>
        <v>6660.6856762079397</v>
      </c>
      <c r="Q91">
        <f t="shared" si="14"/>
        <v>6660.6856762079651</v>
      </c>
      <c r="R91">
        <f t="shared" si="18"/>
        <v>208.10446652301019</v>
      </c>
      <c r="S91">
        <f t="shared" si="19"/>
        <v>37196.614183727099</v>
      </c>
      <c r="T91" s="5">
        <v>0.08</v>
      </c>
      <c r="V91">
        <f>SUM($R$2:R91)</f>
        <v>8972.3073082703868</v>
      </c>
      <c r="W91">
        <f t="shared" si="20"/>
        <v>18.918541113040078</v>
      </c>
      <c r="Z91">
        <f t="shared" si="22"/>
        <v>1.2750085200159989E-2</v>
      </c>
      <c r="AA91" s="5">
        <v>0.3</v>
      </c>
      <c r="AB91">
        <f t="shared" si="15"/>
        <v>123988.713945757</v>
      </c>
      <c r="AC91">
        <f t="shared" si="21"/>
        <v>40470.196282138211</v>
      </c>
      <c r="AD91" s="5">
        <v>0.2</v>
      </c>
      <c r="AE91">
        <f t="shared" si="16"/>
        <v>8094.0392564276426</v>
      </c>
      <c r="AF91">
        <f t="shared" si="17"/>
        <v>1</v>
      </c>
    </row>
    <row r="92" spans="1:32" x14ac:dyDescent="0.25">
      <c r="A92" s="2">
        <v>91</v>
      </c>
      <c r="B92">
        <f t="shared" si="12"/>
        <v>1018.9150892782673</v>
      </c>
      <c r="C92" s="5">
        <v>0.08</v>
      </c>
      <c r="D92">
        <f t="shared" si="13"/>
        <v>7193.5405303045745</v>
      </c>
      <c r="Q92">
        <f t="shared" si="14"/>
        <v>7193.5405303046018</v>
      </c>
      <c r="R92">
        <f t="shared" si="18"/>
        <v>212.03096589136888</v>
      </c>
      <c r="S92">
        <f t="shared" si="19"/>
        <v>40172.343318425272</v>
      </c>
      <c r="T92" s="5">
        <v>0.08</v>
      </c>
      <c r="V92">
        <f>SUM($R$2:R92)</f>
        <v>9184.3382741617552</v>
      </c>
      <c r="W92">
        <f t="shared" si="20"/>
        <v>19.365618593517809</v>
      </c>
      <c r="Z92">
        <f t="shared" si="22"/>
        <v>1.180563444459258E-2</v>
      </c>
      <c r="AA92" s="5">
        <v>0.3</v>
      </c>
      <c r="AB92">
        <f t="shared" si="15"/>
        <v>133907.81106141757</v>
      </c>
      <c r="AC92">
        <f t="shared" si="21"/>
        <v>42898.408059066503</v>
      </c>
      <c r="AD92" s="5">
        <v>0.2</v>
      </c>
      <c r="AE92">
        <f t="shared" si="16"/>
        <v>8579.6816118133011</v>
      </c>
      <c r="AF92">
        <f t="shared" si="17"/>
        <v>1</v>
      </c>
    </row>
    <row r="93" spans="1:32" x14ac:dyDescent="0.25">
      <c r="A93" s="2">
        <v>92</v>
      </c>
      <c r="B93">
        <f t="shared" si="12"/>
        <v>1100.4282964205286</v>
      </c>
      <c r="C93" s="5">
        <v>0.08</v>
      </c>
      <c r="D93">
        <f t="shared" si="13"/>
        <v>7769.0237727289405</v>
      </c>
      <c r="Q93">
        <f t="shared" si="14"/>
        <v>7769.0237727289696</v>
      </c>
      <c r="R93">
        <f t="shared" si="18"/>
        <v>216.03155015347014</v>
      </c>
      <c r="S93">
        <f t="shared" si="19"/>
        <v>43386.130783899294</v>
      </c>
      <c r="T93" s="5">
        <v>0.08</v>
      </c>
      <c r="V93">
        <f>SUM($R$2:R93)</f>
        <v>9400.3698243152248</v>
      </c>
      <c r="W93">
        <f t="shared" si="20"/>
        <v>19.821131498155495</v>
      </c>
      <c r="Z93">
        <f t="shared" si="22"/>
        <v>1.0931143004252389E-2</v>
      </c>
      <c r="AA93" s="5">
        <v>0.3</v>
      </c>
      <c r="AB93">
        <f t="shared" si="15"/>
        <v>144620.43594633098</v>
      </c>
      <c r="AC93">
        <f t="shared" si="21"/>
        <v>45472.312542610496</v>
      </c>
      <c r="AD93" s="5">
        <v>0.2</v>
      </c>
      <c r="AE93">
        <f t="shared" si="16"/>
        <v>9094.4625085220996</v>
      </c>
      <c r="AF93">
        <f t="shared" si="17"/>
        <v>1</v>
      </c>
    </row>
    <row r="94" spans="1:32" x14ac:dyDescent="0.25">
      <c r="A94" s="2">
        <v>93</v>
      </c>
      <c r="B94">
        <f t="shared" si="12"/>
        <v>1188.4625601341709</v>
      </c>
      <c r="C94" s="5">
        <v>0.08</v>
      </c>
      <c r="D94">
        <f t="shared" si="13"/>
        <v>8390.5456745472547</v>
      </c>
      <c r="Q94">
        <f t="shared" si="14"/>
        <v>8390.5456745472875</v>
      </c>
      <c r="R94">
        <f t="shared" si="18"/>
        <v>220.1076171374979</v>
      </c>
      <c r="S94">
        <f t="shared" si="19"/>
        <v>46857.021246611243</v>
      </c>
      <c r="T94" s="5">
        <v>0.08</v>
      </c>
      <c r="V94">
        <f>SUM($R$2:R94)</f>
        <v>9620.4774414527219</v>
      </c>
      <c r="W94">
        <f t="shared" si="20"/>
        <v>20.285238985899554</v>
      </c>
      <c r="Z94">
        <f t="shared" si="22"/>
        <v>1.01214287076411E-2</v>
      </c>
      <c r="AA94" s="5">
        <v>0.3</v>
      </c>
      <c r="AB94">
        <f t="shared" si="15"/>
        <v>156190.07082203749</v>
      </c>
      <c r="AC94">
        <f t="shared" si="21"/>
        <v>48200.651295167125</v>
      </c>
      <c r="AD94" s="5">
        <v>0.2</v>
      </c>
      <c r="AE94">
        <f t="shared" si="16"/>
        <v>9640.1302590334253</v>
      </c>
      <c r="AF94">
        <f t="shared" si="17"/>
        <v>1</v>
      </c>
    </row>
    <row r="95" spans="1:32" x14ac:dyDescent="0.25">
      <c r="A95" s="2">
        <v>94</v>
      </c>
      <c r="B95">
        <f t="shared" si="12"/>
        <v>1283.5395649449044</v>
      </c>
      <c r="C95" s="5">
        <v>0.08</v>
      </c>
      <c r="D95">
        <f t="shared" si="13"/>
        <v>9061.7893285110349</v>
      </c>
      <c r="Q95">
        <f t="shared" si="14"/>
        <v>9061.7893285110713</v>
      </c>
      <c r="R95">
        <f t="shared" si="18"/>
        <v>224.26059104575256</v>
      </c>
      <c r="S95">
        <f t="shared" si="19"/>
        <v>50605.582946340146</v>
      </c>
      <c r="T95" s="5">
        <v>0.08</v>
      </c>
      <c r="V95">
        <f>SUM($R$2:R95)</f>
        <v>9844.7380324984751</v>
      </c>
      <c r="W95">
        <f t="shared" si="20"/>
        <v>20.758103218695389</v>
      </c>
      <c r="Z95">
        <f t="shared" si="22"/>
        <v>9.3716932478158325E-3</v>
      </c>
      <c r="AA95" s="5">
        <v>0.3</v>
      </c>
      <c r="AB95">
        <f t="shared" si="15"/>
        <v>168685.2764878005</v>
      </c>
      <c r="AC95">
        <f t="shared" si="21"/>
        <v>51092.690372877158</v>
      </c>
      <c r="AD95" s="5">
        <v>0.2</v>
      </c>
      <c r="AE95">
        <f t="shared" si="16"/>
        <v>10218.538074575432</v>
      </c>
      <c r="AF95">
        <f t="shared" si="17"/>
        <v>1</v>
      </c>
    </row>
    <row r="96" spans="1:32" x14ac:dyDescent="0.25">
      <c r="A96" s="2">
        <v>95</v>
      </c>
      <c r="B96">
        <f t="shared" si="12"/>
        <v>1386.2227301404969</v>
      </c>
      <c r="C96" s="5">
        <v>0.08</v>
      </c>
      <c r="D96">
        <f t="shared" si="13"/>
        <v>9786.7324747919174</v>
      </c>
      <c r="Q96">
        <f t="shared" si="14"/>
        <v>9786.7324747919592</v>
      </c>
      <c r="R96">
        <f t="shared" si="18"/>
        <v>228.49192295227621</v>
      </c>
      <c r="S96">
        <f t="shared" si="19"/>
        <v>54654.029582047362</v>
      </c>
      <c r="T96" s="5">
        <v>0.08</v>
      </c>
      <c r="V96">
        <f>SUM($R$2:R96)</f>
        <v>10073.229955450752</v>
      </c>
      <c r="W96">
        <f t="shared" si="20"/>
        <v>21.239889418147751</v>
      </c>
      <c r="Z96">
        <f t="shared" si="22"/>
        <v>8.6774937479776222E-3</v>
      </c>
      <c r="AA96" s="5">
        <v>0.3</v>
      </c>
      <c r="AB96">
        <f t="shared" si="15"/>
        <v>182180.09860682455</v>
      </c>
      <c r="AC96">
        <f t="shared" si="21"/>
        <v>54158.251795249787</v>
      </c>
      <c r="AD96" s="5">
        <v>0.2</v>
      </c>
      <c r="AE96">
        <f t="shared" si="16"/>
        <v>10831.650359049958</v>
      </c>
      <c r="AF96">
        <f t="shared" si="17"/>
        <v>1</v>
      </c>
    </row>
    <row r="97" spans="1:32" x14ac:dyDescent="0.25">
      <c r="A97" s="2">
        <v>96</v>
      </c>
      <c r="B97">
        <f t="shared" si="12"/>
        <v>1497.1205485517366</v>
      </c>
      <c r="C97" s="5">
        <v>0.08</v>
      </c>
      <c r="D97">
        <f t="shared" si="13"/>
        <v>10569.671072775271</v>
      </c>
      <c r="Q97">
        <f t="shared" si="14"/>
        <v>10569.671072775316</v>
      </c>
      <c r="R97">
        <f t="shared" si="18"/>
        <v>232.80309130986629</v>
      </c>
      <c r="S97">
        <f t="shared" si="19"/>
        <v>59026.351948611155</v>
      </c>
      <c r="T97" s="5">
        <v>0.08</v>
      </c>
      <c r="V97">
        <f>SUM($R$2:R97)</f>
        <v>10306.033046760618</v>
      </c>
      <c r="W97">
        <f t="shared" si="20"/>
        <v>21.730765923250154</v>
      </c>
      <c r="Z97">
        <f t="shared" si="22"/>
        <v>8.0347164333126123E-3</v>
      </c>
      <c r="AA97" s="5">
        <v>0.3</v>
      </c>
      <c r="AB97">
        <f t="shared" si="15"/>
        <v>196754.50649537053</v>
      </c>
      <c r="AC97">
        <f t="shared" si="21"/>
        <v>57407.746902964776</v>
      </c>
      <c r="AD97" s="5">
        <v>0.2</v>
      </c>
      <c r="AE97">
        <f t="shared" si="16"/>
        <v>11481.549380592956</v>
      </c>
      <c r="AF97">
        <f t="shared" si="17"/>
        <v>1</v>
      </c>
    </row>
    <row r="98" spans="1:32" x14ac:dyDescent="0.25">
      <c r="A98" s="2">
        <v>97</v>
      </c>
      <c r="B98">
        <f t="shared" si="12"/>
        <v>1616.8901924358756</v>
      </c>
      <c r="C98" s="5">
        <v>0.08</v>
      </c>
      <c r="D98">
        <f t="shared" si="13"/>
        <v>11415.244758597291</v>
      </c>
      <c r="Q98">
        <f t="shared" si="14"/>
        <v>11415.244758597342</v>
      </c>
      <c r="R98">
        <f t="shared" si="18"/>
        <v>237.19560246665628</v>
      </c>
      <c r="S98">
        <f t="shared" si="19"/>
        <v>63748.460104500053</v>
      </c>
      <c r="T98" s="5">
        <v>0.08</v>
      </c>
      <c r="V98">
        <f>SUM($R$2:R98)</f>
        <v>10543.228649227274</v>
      </c>
      <c r="W98">
        <f t="shared" si="20"/>
        <v>22.230904249203547</v>
      </c>
      <c r="Z98">
        <f t="shared" si="22"/>
        <v>7.4395522530672333E-3</v>
      </c>
      <c r="AA98" s="5">
        <v>0.3</v>
      </c>
      <c r="AB98">
        <f t="shared" si="15"/>
        <v>212494.86701500017</v>
      </c>
      <c r="AC98">
        <f t="shared" si="21"/>
        <v>60852.211717142665</v>
      </c>
      <c r="AD98" s="5">
        <v>0.2</v>
      </c>
      <c r="AE98">
        <f t="shared" si="16"/>
        <v>12170.442343428535</v>
      </c>
      <c r="AF98">
        <f t="shared" si="17"/>
        <v>1</v>
      </c>
    </row>
    <row r="99" spans="1:32" x14ac:dyDescent="0.25">
      <c r="A99" s="2">
        <v>98</v>
      </c>
      <c r="B99">
        <f t="shared" si="12"/>
        <v>1746.2414078307456</v>
      </c>
      <c r="C99" s="5">
        <v>0.08</v>
      </c>
      <c r="D99">
        <f t="shared" si="13"/>
        <v>12328.464339285074</v>
      </c>
      <c r="Q99">
        <f t="shared" si="14"/>
        <v>12328.464339285129</v>
      </c>
      <c r="R99">
        <f t="shared" si="18"/>
        <v>241.67099119244227</v>
      </c>
      <c r="S99">
        <f t="shared" si="19"/>
        <v>68848.336912860061</v>
      </c>
      <c r="T99" s="5">
        <v>0.08</v>
      </c>
      <c r="V99">
        <f>SUM($R$2:R99)</f>
        <v>10784.899640419717</v>
      </c>
      <c r="W99">
        <f t="shared" si="20"/>
        <v>22.740479147344743</v>
      </c>
      <c r="Z99">
        <f t="shared" si="22"/>
        <v>6.8884743083955854E-3</v>
      </c>
      <c r="AA99" s="5">
        <v>0.3</v>
      </c>
      <c r="AB99">
        <f t="shared" si="15"/>
        <v>229494.45637620022</v>
      </c>
      <c r="AC99">
        <f t="shared" si="21"/>
        <v>64503.344420171226</v>
      </c>
      <c r="AD99" s="5">
        <v>0.2</v>
      </c>
      <c r="AE99">
        <f t="shared" si="16"/>
        <v>12900.668884034247</v>
      </c>
      <c r="AF99">
        <f t="shared" si="17"/>
        <v>1</v>
      </c>
    </row>
    <row r="100" spans="1:32" x14ac:dyDescent="0.25">
      <c r="A100" s="2">
        <v>99</v>
      </c>
      <c r="B100">
        <f t="shared" si="12"/>
        <v>1885.9407204572053</v>
      </c>
      <c r="C100" s="5">
        <v>0.08</v>
      </c>
      <c r="D100">
        <f t="shared" si="13"/>
        <v>13314.74148642788</v>
      </c>
      <c r="Q100">
        <f t="shared" si="14"/>
        <v>13314.74148642794</v>
      </c>
      <c r="R100">
        <f t="shared" si="18"/>
        <v>246.23082121494116</v>
      </c>
      <c r="S100">
        <f t="shared" si="19"/>
        <v>74356.203865888863</v>
      </c>
      <c r="T100" s="5">
        <v>0.08</v>
      </c>
      <c r="V100">
        <f>SUM($R$2:R100)</f>
        <v>11031.130461634659</v>
      </c>
      <c r="W100">
        <f t="shared" si="20"/>
        <v>23.259668666205581</v>
      </c>
      <c r="Z100">
        <f t="shared" si="22"/>
        <v>6.378216952218135E-3</v>
      </c>
      <c r="AA100" s="5">
        <v>0.3</v>
      </c>
      <c r="AB100">
        <f t="shared" si="15"/>
        <v>247854.01288629623</v>
      </c>
      <c r="AC100">
        <f t="shared" si="21"/>
        <v>68373.545085381498</v>
      </c>
      <c r="AD100" s="5">
        <v>0.2</v>
      </c>
      <c r="AE100">
        <f t="shared" si="16"/>
        <v>13674.7090170763</v>
      </c>
      <c r="AF100">
        <f t="shared" si="17"/>
        <v>1</v>
      </c>
    </row>
    <row r="101" spans="1:32" x14ac:dyDescent="0.25">
      <c r="A101" s="2">
        <v>100</v>
      </c>
      <c r="B101">
        <f t="shared" si="12"/>
        <v>2036.8159780937817</v>
      </c>
      <c r="C101" s="5">
        <v>0.08</v>
      </c>
      <c r="D101">
        <f t="shared" si="13"/>
        <v>14379.92080534211</v>
      </c>
      <c r="Q101">
        <f t="shared" si="14"/>
        <v>14379.920805342177</v>
      </c>
      <c r="R101">
        <f t="shared" si="18"/>
        <v>250.87668576616642</v>
      </c>
      <c r="S101">
        <f t="shared" si="19"/>
        <v>80304.700175159975</v>
      </c>
      <c r="T101" s="5">
        <v>0.08</v>
      </c>
      <c r="V101">
        <f>SUM($R$2:R101)</f>
        <v>11282.007147400825</v>
      </c>
      <c r="W101">
        <f t="shared" si="20"/>
        <v>23.788654213724172</v>
      </c>
      <c r="Z101">
        <f t="shared" si="22"/>
        <v>5.9057564372390139E-3</v>
      </c>
      <c r="AA101" s="5">
        <v>0.3</v>
      </c>
      <c r="AB101">
        <f t="shared" si="15"/>
        <v>267682.33391719993</v>
      </c>
      <c r="AC101">
        <f t="shared" si="21"/>
        <v>72475.957790504399</v>
      </c>
      <c r="AD101" s="5">
        <v>0.2</v>
      </c>
      <c r="AE101">
        <f t="shared" si="16"/>
        <v>14495.19155810088</v>
      </c>
      <c r="AF101">
        <f t="shared" si="17"/>
        <v>1</v>
      </c>
    </row>
    <row r="102" spans="1:32" x14ac:dyDescent="0.25">
      <c r="A102" s="2">
        <v>101</v>
      </c>
      <c r="B102">
        <f t="shared" ref="B102:B165" si="23">B101+B101*C101</f>
        <v>2199.761256341284</v>
      </c>
      <c r="C102" s="5">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5">
        <v>0.08</v>
      </c>
      <c r="V102">
        <f>SUM($R$2:R102)</f>
        <v>11537.617355539938</v>
      </c>
      <c r="W102">
        <f t="shared" ref="W102:W165" si="28">V102/$W$2</f>
        <v>24.327620620629904</v>
      </c>
      <c r="Z102">
        <f t="shared" si="22"/>
        <v>5.468292997443531E-3</v>
      </c>
      <c r="AA102" s="5">
        <v>0.3</v>
      </c>
      <c r="AB102">
        <f t="shared" si="15"/>
        <v>289096.92063057591</v>
      </c>
      <c r="AC102">
        <f t="shared" si="21"/>
        <v>76824.515257934661</v>
      </c>
      <c r="AD102" s="5">
        <v>0.2</v>
      </c>
      <c r="AE102">
        <f t="shared" si="16"/>
        <v>15364.903051586933</v>
      </c>
      <c r="AF102">
        <f t="shared" si="17"/>
        <v>1</v>
      </c>
    </row>
    <row r="103" spans="1:32" x14ac:dyDescent="0.25">
      <c r="A103" s="2">
        <v>102</v>
      </c>
      <c r="B103">
        <f t="shared" si="23"/>
        <v>2375.7421568485865</v>
      </c>
      <c r="C103" s="5">
        <v>0.08</v>
      </c>
      <c r="D103">
        <f t="shared" si="24"/>
        <v>16772.739627351039</v>
      </c>
      <c r="Q103">
        <f t="shared" si="25"/>
        <v>16772.739627351115</v>
      </c>
      <c r="R103">
        <f t="shared" si="26"/>
        <v>260.43304225494529</v>
      </c>
      <c r="S103">
        <f t="shared" si="27"/>
        <v>93667.402284306605</v>
      </c>
      <c r="T103" s="5">
        <v>0.08</v>
      </c>
      <c r="V103">
        <f>SUM($R$2:R103)</f>
        <v>11798.050397794883</v>
      </c>
      <c r="W103">
        <f t="shared" si="28"/>
        <v>24.876756205024424</v>
      </c>
      <c r="Z103">
        <f t="shared" si="22"/>
        <v>5.0632342568921584E-3</v>
      </c>
      <c r="AA103" s="5">
        <v>0.3</v>
      </c>
      <c r="AB103">
        <f t="shared" si="15"/>
        <v>312224.67428102205</v>
      </c>
      <c r="AC103">
        <f t="shared" si="21"/>
        <v>81433.98617341074</v>
      </c>
      <c r="AD103" s="5">
        <v>0.2</v>
      </c>
      <c r="AE103">
        <f t="shared" si="16"/>
        <v>16286.797234682148</v>
      </c>
      <c r="AF103">
        <f t="shared" si="17"/>
        <v>1</v>
      </c>
    </row>
    <row r="104" spans="1:32" x14ac:dyDescent="0.25">
      <c r="A104" s="2">
        <v>103</v>
      </c>
      <c r="B104">
        <f t="shared" si="23"/>
        <v>2565.8015293964736</v>
      </c>
      <c r="C104" s="5">
        <v>0.08</v>
      </c>
      <c r="D104">
        <f t="shared" si="24"/>
        <v>18114.558797539121</v>
      </c>
      <c r="Q104">
        <f t="shared" si="25"/>
        <v>18114.558797539208</v>
      </c>
      <c r="R104">
        <f t="shared" si="26"/>
        <v>265.34687324088759</v>
      </c>
      <c r="S104">
        <f t="shared" si="27"/>
        <v>101160.79446705114</v>
      </c>
      <c r="T104" s="5">
        <v>0.08</v>
      </c>
      <c r="V104">
        <f>SUM($R$2:R104)</f>
        <v>12063.39727103577</v>
      </c>
      <c r="W104">
        <f t="shared" si="28"/>
        <v>25.436252838181105</v>
      </c>
      <c r="Z104">
        <f t="shared" si="22"/>
        <v>4.6881798674927389E-3</v>
      </c>
      <c r="AA104" s="5">
        <v>0.3</v>
      </c>
      <c r="AB104">
        <f t="shared" si="15"/>
        <v>337202.64822350378</v>
      </c>
      <c r="AC104">
        <f t="shared" si="21"/>
        <v>86320.025343815389</v>
      </c>
      <c r="AD104" s="5">
        <v>0.2</v>
      </c>
      <c r="AE104">
        <f t="shared" si="16"/>
        <v>17264.005068763079</v>
      </c>
      <c r="AF104">
        <f t="shared" si="17"/>
        <v>1</v>
      </c>
    </row>
    <row r="105" spans="1:32" x14ac:dyDescent="0.25">
      <c r="A105" s="2">
        <v>104</v>
      </c>
      <c r="B105">
        <f t="shared" si="23"/>
        <v>2771.0656517481916</v>
      </c>
      <c r="C105" s="5">
        <v>0.08</v>
      </c>
      <c r="D105">
        <f t="shared" si="24"/>
        <v>19563.723501342251</v>
      </c>
      <c r="Q105">
        <f t="shared" si="25"/>
        <v>19563.723501342345</v>
      </c>
      <c r="R105">
        <f t="shared" si="26"/>
        <v>270.35341801901751</v>
      </c>
      <c r="S105">
        <f t="shared" si="27"/>
        <v>109253.65802441523</v>
      </c>
      <c r="T105" s="5">
        <v>0.08</v>
      </c>
      <c r="V105">
        <f>SUM($R$2:R105)</f>
        <v>12333.750689054788</v>
      </c>
      <c r="W105">
        <f t="shared" si="28"/>
        <v>26.006306011586027</v>
      </c>
      <c r="Z105">
        <f t="shared" si="22"/>
        <v>4.3409072847154992E-3</v>
      </c>
      <c r="AA105" s="5">
        <v>0.3</v>
      </c>
      <c r="AB105">
        <f t="shared" si="15"/>
        <v>364178.86008138413</v>
      </c>
      <c r="AC105">
        <f t="shared" si="21"/>
        <v>91499.22686444431</v>
      </c>
      <c r="AD105" s="5">
        <v>0.2</v>
      </c>
      <c r="AE105">
        <f t="shared" si="16"/>
        <v>18299.845372888863</v>
      </c>
      <c r="AF105">
        <f t="shared" si="17"/>
        <v>1</v>
      </c>
    </row>
    <row r="106" spans="1:32" x14ac:dyDescent="0.25">
      <c r="A106" s="2">
        <v>105</v>
      </c>
      <c r="B106">
        <f t="shared" si="23"/>
        <v>2992.7509038880471</v>
      </c>
      <c r="C106" s="5">
        <v>0.08</v>
      </c>
      <c r="D106">
        <f t="shared" si="24"/>
        <v>21128.82138144963</v>
      </c>
      <c r="Q106">
        <f t="shared" si="25"/>
        <v>21128.821381449732</v>
      </c>
      <c r="R106">
        <f t="shared" si="26"/>
        <v>275.45442590616886</v>
      </c>
      <c r="S106">
        <f t="shared" si="27"/>
        <v>117993.95066636846</v>
      </c>
      <c r="T106" s="5">
        <v>0.08</v>
      </c>
      <c r="V106">
        <f>SUM($R$2:R106)</f>
        <v>12609.205114960958</v>
      </c>
      <c r="W106">
        <f t="shared" si="28"/>
        <v>26.587114905243872</v>
      </c>
      <c r="Z106">
        <f t="shared" si="22"/>
        <v>4.0193585969587947E-3</v>
      </c>
      <c r="AA106" s="5">
        <v>0.3</v>
      </c>
      <c r="AB106">
        <f t="shared" si="15"/>
        <v>393313.16888789489</v>
      </c>
      <c r="AC106">
        <f t="shared" si="21"/>
        <v>96989.180476310969</v>
      </c>
      <c r="AD106" s="5">
        <v>0.2</v>
      </c>
      <c r="AE106">
        <f t="shared" si="16"/>
        <v>19397.836095262195</v>
      </c>
      <c r="AF106">
        <f t="shared" si="17"/>
        <v>1</v>
      </c>
    </row>
    <row r="107" spans="1:32" x14ac:dyDescent="0.25">
      <c r="A107" s="2">
        <v>106</v>
      </c>
      <c r="B107">
        <f t="shared" si="23"/>
        <v>3232.170976199091</v>
      </c>
      <c r="C107" s="5">
        <v>0.08</v>
      </c>
      <c r="D107">
        <f t="shared" si="24"/>
        <v>22819.127091965602</v>
      </c>
      <c r="Q107">
        <f t="shared" si="25"/>
        <v>22819.127091965714</v>
      </c>
      <c r="R107">
        <f t="shared" si="26"/>
        <v>280.65167922515326</v>
      </c>
      <c r="S107">
        <f t="shared" si="27"/>
        <v>127433.46671967795</v>
      </c>
      <c r="T107" s="5">
        <v>0.08</v>
      </c>
      <c r="V107">
        <f>SUM($R$2:R107)</f>
        <v>12889.856794186111</v>
      </c>
      <c r="W107">
        <f t="shared" si="28"/>
        <v>27.178882457272618</v>
      </c>
      <c r="Z107">
        <f t="shared" si="22"/>
        <v>3.7216283305174023E-3</v>
      </c>
      <c r="AA107" s="5">
        <v>0.3</v>
      </c>
      <c r="AB107">
        <f t="shared" si="15"/>
        <v>424778.2223989265</v>
      </c>
      <c r="AC107">
        <f t="shared" si="21"/>
        <v>102808.53130488964</v>
      </c>
      <c r="AD107" s="5">
        <v>0.2</v>
      </c>
      <c r="AE107">
        <f t="shared" si="16"/>
        <v>20561.706260977928</v>
      </c>
      <c r="AF107">
        <f t="shared" si="17"/>
        <v>1</v>
      </c>
    </row>
    <row r="108" spans="1:32" x14ac:dyDescent="0.25">
      <c r="A108" s="2">
        <v>107</v>
      </c>
      <c r="B108">
        <f t="shared" si="23"/>
        <v>3490.7446542950183</v>
      </c>
      <c r="C108" s="5">
        <v>0.08</v>
      </c>
      <c r="D108">
        <f t="shared" si="24"/>
        <v>24644.657259322848</v>
      </c>
      <c r="Q108">
        <f t="shared" si="25"/>
        <v>24644.657259322968</v>
      </c>
      <c r="R108">
        <f t="shared" si="26"/>
        <v>285.9469939275146</v>
      </c>
      <c r="S108">
        <f t="shared" si="27"/>
        <v>137628.14405725218</v>
      </c>
      <c r="T108" s="5">
        <v>0.08</v>
      </c>
      <c r="V108">
        <f>SUM($R$2:R108)</f>
        <v>13175.803788113626</v>
      </c>
      <c r="W108">
        <f t="shared" si="28"/>
        <v>27.781815434811339</v>
      </c>
      <c r="Z108">
        <f t="shared" si="22"/>
        <v>3.4459521578864838E-3</v>
      </c>
      <c r="AA108" s="5">
        <v>0.3</v>
      </c>
      <c r="AB108">
        <f t="shared" si="15"/>
        <v>458760.48019084061</v>
      </c>
      <c r="AC108">
        <f t="shared" si="21"/>
        <v>108977.04318318302</v>
      </c>
      <c r="AD108" s="5">
        <v>0.2</v>
      </c>
      <c r="AE108">
        <f t="shared" si="16"/>
        <v>21795.408636636606</v>
      </c>
      <c r="AF108">
        <f t="shared" si="17"/>
        <v>1</v>
      </c>
    </row>
    <row r="109" spans="1:32" x14ac:dyDescent="0.25">
      <c r="A109" s="2">
        <v>108</v>
      </c>
      <c r="B109">
        <f t="shared" si="23"/>
        <v>3770.0042266386199</v>
      </c>
      <c r="C109" s="5">
        <v>0.08</v>
      </c>
      <c r="D109">
        <f t="shared" si="24"/>
        <v>26616.229840068678</v>
      </c>
      <c r="Q109">
        <f t="shared" si="25"/>
        <v>26616.229840068805</v>
      </c>
      <c r="R109">
        <f t="shared" si="26"/>
        <v>291.34222022803368</v>
      </c>
      <c r="S109">
        <f t="shared" si="27"/>
        <v>148638.39558183236</v>
      </c>
      <c r="T109" s="5">
        <v>0.08</v>
      </c>
      <c r="V109">
        <f>SUM($R$2:R109)</f>
        <v>13467.14600834166</v>
      </c>
      <c r="W109">
        <f t="shared" si="28"/>
        <v>28.396124506265888</v>
      </c>
      <c r="Z109">
        <f t="shared" si="22"/>
        <v>3.1906964424874848E-3</v>
      </c>
      <c r="AA109" s="5">
        <v>0.3</v>
      </c>
      <c r="AB109">
        <f t="shared" si="15"/>
        <v>495461.3186061079</v>
      </c>
      <c r="AC109">
        <f t="shared" si="21"/>
        <v>115515.66577417401</v>
      </c>
      <c r="AD109" s="5">
        <v>0.2</v>
      </c>
      <c r="AE109">
        <f t="shared" si="16"/>
        <v>23103.133154834803</v>
      </c>
      <c r="AF109">
        <f t="shared" si="17"/>
        <v>1</v>
      </c>
    </row>
    <row r="110" spans="1:32" x14ac:dyDescent="0.25">
      <c r="A110" s="2">
        <v>109</v>
      </c>
      <c r="B110">
        <f t="shared" si="23"/>
        <v>4071.6045647697097</v>
      </c>
      <c r="C110" s="5">
        <v>0.08</v>
      </c>
      <c r="D110">
        <f t="shared" si="24"/>
        <v>28745.528227274172</v>
      </c>
      <c r="Q110">
        <f t="shared" si="25"/>
        <v>28745.528227274317</v>
      </c>
      <c r="R110">
        <f t="shared" si="26"/>
        <v>296.83924325120415</v>
      </c>
      <c r="S110">
        <f t="shared" si="27"/>
        <v>160529.46722837896</v>
      </c>
      <c r="T110" s="5">
        <v>0.08</v>
      </c>
      <c r="V110">
        <f>SUM($R$2:R110)</f>
        <v>13763.985251592865</v>
      </c>
      <c r="W110">
        <f t="shared" si="28"/>
        <v>29.022024314917694</v>
      </c>
      <c r="Z110">
        <f t="shared" si="22"/>
        <v>2.954348557858782E-3</v>
      </c>
      <c r="AA110" s="5">
        <v>0.3</v>
      </c>
      <c r="AB110">
        <f t="shared" si="15"/>
        <v>535098.22409459658</v>
      </c>
      <c r="AC110">
        <f t="shared" si="21"/>
        <v>122446.60572062446</v>
      </c>
      <c r="AD110" s="5">
        <v>0.2</v>
      </c>
      <c r="AE110">
        <f t="shared" si="16"/>
        <v>24489.321144124893</v>
      </c>
      <c r="AF110">
        <f t="shared" si="17"/>
        <v>1</v>
      </c>
    </row>
    <row r="111" spans="1:32" x14ac:dyDescent="0.25">
      <c r="A111" s="2">
        <v>110</v>
      </c>
      <c r="B111">
        <f t="shared" si="23"/>
        <v>4397.3329299512861</v>
      </c>
      <c r="C111" s="5">
        <v>0.08</v>
      </c>
      <c r="D111">
        <f t="shared" si="24"/>
        <v>31045.170485456107</v>
      </c>
      <c r="Q111">
        <f t="shared" si="25"/>
        <v>31045.170485456259</v>
      </c>
      <c r="R111">
        <f t="shared" si="26"/>
        <v>302.43998368990606</v>
      </c>
      <c r="S111">
        <f t="shared" si="27"/>
        <v>173371.82460664929</v>
      </c>
      <c r="T111" s="5">
        <v>0.08</v>
      </c>
      <c r="V111">
        <f>SUM($R$2:R111)</f>
        <v>14066.425235282772</v>
      </c>
      <c r="W111">
        <f t="shared" si="28"/>
        <v>29.65973355392142</v>
      </c>
      <c r="Z111">
        <f t="shared" si="22"/>
        <v>2.7355079239433167E-3</v>
      </c>
      <c r="AA111" s="5">
        <v>0.3</v>
      </c>
      <c r="AB111">
        <f t="shared" si="15"/>
        <v>577906.08202216437</v>
      </c>
      <c r="AC111">
        <f t="shared" si="21"/>
        <v>129793.40206386193</v>
      </c>
      <c r="AD111" s="5">
        <v>0.2</v>
      </c>
      <c r="AE111">
        <f t="shared" si="16"/>
        <v>25958.680412772388</v>
      </c>
      <c r="AF111">
        <f t="shared" si="17"/>
        <v>1</v>
      </c>
    </row>
    <row r="112" spans="1:32" x14ac:dyDescent="0.25">
      <c r="A112" s="2">
        <v>111</v>
      </c>
      <c r="B112">
        <f t="shared" si="23"/>
        <v>4749.1195643473893</v>
      </c>
      <c r="C112" s="5">
        <v>0.08</v>
      </c>
      <c r="D112">
        <f t="shared" si="24"/>
        <v>33528.784124292593</v>
      </c>
      <c r="Q112">
        <f t="shared" si="25"/>
        <v>33528.784124292768</v>
      </c>
      <c r="R112">
        <f t="shared" si="26"/>
        <v>308.14639847650812</v>
      </c>
      <c r="S112">
        <f t="shared" si="27"/>
        <v>187241.57057518125</v>
      </c>
      <c r="T112" s="5">
        <v>0.08</v>
      </c>
      <c r="V112">
        <f>SUM($R$2:R112)</f>
        <v>14374.57163375928</v>
      </c>
      <c r="W112">
        <f t="shared" si="28"/>
        <v>30.309475042717665</v>
      </c>
      <c r="Z112">
        <f t="shared" si="22"/>
        <v>2.5328777073549223E-3</v>
      </c>
      <c r="AA112" s="5">
        <v>0.3</v>
      </c>
      <c r="AB112">
        <f t="shared" si="15"/>
        <v>624138.56858393748</v>
      </c>
      <c r="AC112">
        <f t="shared" si="21"/>
        <v>137581.00618769365</v>
      </c>
      <c r="AD112" s="5">
        <v>0.2</v>
      </c>
      <c r="AE112">
        <f t="shared" si="16"/>
        <v>27516.201237538731</v>
      </c>
      <c r="AF112">
        <f t="shared" si="17"/>
        <v>1</v>
      </c>
    </row>
    <row r="113" spans="1:32" x14ac:dyDescent="0.25">
      <c r="A113" s="2">
        <v>112</v>
      </c>
      <c r="B113">
        <f t="shared" si="23"/>
        <v>5129.0491294951808</v>
      </c>
      <c r="C113" s="5">
        <v>0.08</v>
      </c>
      <c r="D113">
        <f t="shared" si="24"/>
        <v>36211.086854236004</v>
      </c>
      <c r="Q113">
        <f t="shared" si="25"/>
        <v>36211.086854236193</v>
      </c>
      <c r="R113">
        <f t="shared" si="26"/>
        <v>313.96048146663088</v>
      </c>
      <c r="S113">
        <f t="shared" si="27"/>
        <v>202220.89622119576</v>
      </c>
      <c r="T113" s="5">
        <v>0.08</v>
      </c>
      <c r="V113">
        <f>SUM($R$2:R113)</f>
        <v>14688.532115225911</v>
      </c>
      <c r="W113">
        <f t="shared" si="28"/>
        <v>30.971475804887429</v>
      </c>
      <c r="Z113">
        <f t="shared" si="22"/>
        <v>2.3452571364397431E-3</v>
      </c>
      <c r="AA113" s="5">
        <v>0.3</v>
      </c>
      <c r="AB113">
        <f t="shared" si="15"/>
        <v>674069.65407065256</v>
      </c>
      <c r="AC113">
        <f t="shared" si="21"/>
        <v>145835.86655895528</v>
      </c>
      <c r="AD113" s="5">
        <v>0.2</v>
      </c>
      <c r="AE113">
        <f t="shared" si="16"/>
        <v>29167.173311791059</v>
      </c>
      <c r="AF113">
        <f t="shared" si="17"/>
        <v>1</v>
      </c>
    </row>
    <row r="114" spans="1:32" x14ac:dyDescent="0.25">
      <c r="A114" s="2">
        <v>113</v>
      </c>
      <c r="B114">
        <f t="shared" si="23"/>
        <v>5539.3730598547954</v>
      </c>
      <c r="C114" s="5">
        <v>0.08</v>
      </c>
      <c r="D114">
        <f t="shared" si="24"/>
        <v>39107.973802574881</v>
      </c>
      <c r="Q114">
        <f t="shared" si="25"/>
        <v>39107.973802575085</v>
      </c>
      <c r="R114">
        <f t="shared" si="26"/>
        <v>319.88426413581266</v>
      </c>
      <c r="S114">
        <f t="shared" si="27"/>
        <v>218398.56791889144</v>
      </c>
      <c r="T114" s="5">
        <v>0.08</v>
      </c>
      <c r="V114">
        <f>SUM($R$2:R114)</f>
        <v>15008.416379361724</v>
      </c>
      <c r="W114">
        <f t="shared" si="28"/>
        <v>31.645967147475488</v>
      </c>
      <c r="Z114">
        <f t="shared" si="22"/>
        <v>2.1715343855923542E-3</v>
      </c>
      <c r="AA114" s="5">
        <v>0.3</v>
      </c>
      <c r="AB114">
        <f t="shared" si="15"/>
        <v>727995.22639630479</v>
      </c>
      <c r="AC114">
        <f t="shared" si="21"/>
        <v>154586.01855249261</v>
      </c>
      <c r="AD114" s="5">
        <v>0.2</v>
      </c>
      <c r="AE114">
        <f t="shared" si="16"/>
        <v>30917.203710498521</v>
      </c>
      <c r="AF114">
        <f t="shared" si="17"/>
        <v>1</v>
      </c>
    </row>
    <row r="115" spans="1:32" x14ac:dyDescent="0.25">
      <c r="A115" s="2">
        <v>114</v>
      </c>
      <c r="B115">
        <f t="shared" si="23"/>
        <v>5982.5229046431787</v>
      </c>
      <c r="C115" s="5">
        <v>0.08</v>
      </c>
      <c r="D115">
        <f t="shared" si="24"/>
        <v>42236.611706780874</v>
      </c>
      <c r="Q115">
        <f t="shared" si="25"/>
        <v>42236.611706781092</v>
      </c>
      <c r="R115">
        <f t="shared" si="26"/>
        <v>325.91981628931853</v>
      </c>
      <c r="S115">
        <f t="shared" si="27"/>
        <v>235870.45335240278</v>
      </c>
      <c r="T115" s="5">
        <v>0.08</v>
      </c>
      <c r="V115">
        <f>SUM($R$2:R115)</f>
        <v>15334.336195651043</v>
      </c>
      <c r="W115">
        <f t="shared" si="28"/>
        <v>32.333184741810491</v>
      </c>
      <c r="Z115">
        <f t="shared" si="22"/>
        <v>2.010679986659587E-3</v>
      </c>
      <c r="AA115" s="5">
        <v>0.3</v>
      </c>
      <c r="AB115">
        <f t="shared" si="15"/>
        <v>786234.84450800926</v>
      </c>
      <c r="AC115">
        <f t="shared" si="21"/>
        <v>163861.17966564218</v>
      </c>
      <c r="AD115" s="5">
        <v>0.2</v>
      </c>
      <c r="AE115">
        <f t="shared" si="16"/>
        <v>32772.235933128439</v>
      </c>
      <c r="AF115">
        <f t="shared" si="17"/>
        <v>1</v>
      </c>
    </row>
    <row r="116" spans="1:32" x14ac:dyDescent="0.25">
      <c r="A116" s="2">
        <v>115</v>
      </c>
      <c r="B116">
        <f t="shared" si="23"/>
        <v>6461.124737014633</v>
      </c>
      <c r="C116" s="5">
        <v>0.08</v>
      </c>
      <c r="D116">
        <f t="shared" si="24"/>
        <v>45615.540643323344</v>
      </c>
      <c r="Q116">
        <f t="shared" si="25"/>
        <v>45615.540643323584</v>
      </c>
      <c r="R116">
        <f t="shared" si="26"/>
        <v>332.06924678534347</v>
      </c>
      <c r="S116">
        <f t="shared" si="27"/>
        <v>254740.08962059501</v>
      </c>
      <c r="T116" s="5">
        <v>0.08</v>
      </c>
      <c r="V116">
        <f>SUM($R$2:R116)</f>
        <v>15666.405442436388</v>
      </c>
      <c r="W116">
        <f t="shared" si="28"/>
        <v>33.033368705849931</v>
      </c>
      <c r="Z116">
        <f t="shared" si="22"/>
        <v>1.8617407283885066E-3</v>
      </c>
      <c r="AA116" s="5">
        <v>0.3</v>
      </c>
      <c r="AB116">
        <f t="shared" si="15"/>
        <v>849133.6320686501</v>
      </c>
      <c r="AC116">
        <f t="shared" si="21"/>
        <v>173692.85044558073</v>
      </c>
      <c r="AD116" s="5">
        <v>0.2</v>
      </c>
      <c r="AE116">
        <f t="shared" si="16"/>
        <v>34738.570089116147</v>
      </c>
      <c r="AF116">
        <f t="shared" si="17"/>
        <v>1</v>
      </c>
    </row>
    <row r="117" spans="1:32" x14ac:dyDescent="0.25">
      <c r="A117" s="2">
        <v>116</v>
      </c>
      <c r="B117">
        <f t="shared" si="23"/>
        <v>6978.0147159758035</v>
      </c>
      <c r="C117" s="5">
        <v>0.08</v>
      </c>
      <c r="D117">
        <f t="shared" si="24"/>
        <v>49264.783894789209</v>
      </c>
      <c r="Q117">
        <f t="shared" si="25"/>
        <v>49264.783894789478</v>
      </c>
      <c r="R117">
        <f t="shared" si="26"/>
        <v>338.33470427185938</v>
      </c>
      <c r="S117">
        <f t="shared" si="27"/>
        <v>275119.2967902426</v>
      </c>
      <c r="T117" s="5">
        <v>0.08</v>
      </c>
      <c r="V117">
        <f>SUM($R$2:R117)</f>
        <v>16004.740146708247</v>
      </c>
      <c r="W117">
        <f t="shared" si="28"/>
        <v>33.746763688078794</v>
      </c>
      <c r="Z117">
        <f t="shared" si="22"/>
        <v>1.7238340077671357E-3</v>
      </c>
      <c r="AA117" s="5">
        <v>0.3</v>
      </c>
      <c r="AB117">
        <f t="shared" si="15"/>
        <v>917064.32263414201</v>
      </c>
      <c r="AC117">
        <f t="shared" si="21"/>
        <v>184114.42147231559</v>
      </c>
      <c r="AD117" s="5">
        <v>0.2</v>
      </c>
      <c r="AE117">
        <f t="shared" si="16"/>
        <v>36822.884294463118</v>
      </c>
      <c r="AF117">
        <f t="shared" si="17"/>
        <v>1</v>
      </c>
    </row>
    <row r="118" spans="1:32" x14ac:dyDescent="0.25">
      <c r="A118" s="2">
        <v>117</v>
      </c>
      <c r="B118">
        <f t="shared" si="23"/>
        <v>7536.2558932538677</v>
      </c>
      <c r="C118" s="5">
        <v>0.08</v>
      </c>
      <c r="D118">
        <f t="shared" si="24"/>
        <v>53205.966606372349</v>
      </c>
      <c r="Q118">
        <f t="shared" si="25"/>
        <v>53205.966606372633</v>
      </c>
      <c r="R118">
        <f t="shared" si="26"/>
        <v>344.71837793736609</v>
      </c>
      <c r="S118">
        <f t="shared" si="27"/>
        <v>297128.840533462</v>
      </c>
      <c r="T118" s="5">
        <v>0.08</v>
      </c>
      <c r="V118">
        <f>SUM($R$2:R118)</f>
        <v>16349.458524645614</v>
      </c>
      <c r="W118">
        <f t="shared" si="28"/>
        <v>34.473618952991217</v>
      </c>
      <c r="Z118">
        <f t="shared" si="22"/>
        <v>1.596142599784385E-3</v>
      </c>
      <c r="AA118" s="5">
        <v>0.3</v>
      </c>
      <c r="AB118">
        <f t="shared" si="15"/>
        <v>990429.46844487335</v>
      </c>
      <c r="AC118">
        <f t="shared" si="21"/>
        <v>195161.28676065453</v>
      </c>
      <c r="AD118" s="5">
        <v>0.2</v>
      </c>
      <c r="AE118">
        <f t="shared" si="16"/>
        <v>39032.25735213091</v>
      </c>
      <c r="AF118">
        <f t="shared" si="17"/>
        <v>1</v>
      </c>
    </row>
    <row r="119" spans="1:32" x14ac:dyDescent="0.25">
      <c r="A119" s="2">
        <v>118</v>
      </c>
      <c r="B119">
        <f t="shared" si="23"/>
        <v>8139.1563647141775</v>
      </c>
      <c r="C119" s="5">
        <v>0.08</v>
      </c>
      <c r="D119">
        <f t="shared" si="24"/>
        <v>57462.44393488214</v>
      </c>
      <c r="Q119">
        <f t="shared" si="25"/>
        <v>57462.443934882445</v>
      </c>
      <c r="R119">
        <f t="shared" si="26"/>
        <v>351.22249827580691</v>
      </c>
      <c r="S119">
        <f t="shared" si="27"/>
        <v>320899.14777613897</v>
      </c>
      <c r="T119" s="5">
        <v>0.08</v>
      </c>
      <c r="V119">
        <f>SUM($R$2:R119)</f>
        <v>16700.681022921421</v>
      </c>
      <c r="W119">
        <f t="shared" si="28"/>
        <v>35.214188468185007</v>
      </c>
      <c r="Z119">
        <f t="shared" si="22"/>
        <v>1.4779098146151712E-3</v>
      </c>
      <c r="AA119" s="5">
        <v>0.3</v>
      </c>
      <c r="AB119">
        <f t="shared" si="15"/>
        <v>1069663.8259204633</v>
      </c>
      <c r="AC119">
        <f t="shared" si="21"/>
        <v>206870.96396629381</v>
      </c>
      <c r="AD119" s="5">
        <v>0.2</v>
      </c>
      <c r="AE119">
        <f t="shared" si="16"/>
        <v>41374.192793258764</v>
      </c>
      <c r="AF119">
        <f t="shared" si="17"/>
        <v>1</v>
      </c>
    </row>
    <row r="120" spans="1:32" x14ac:dyDescent="0.25">
      <c r="A120" s="2">
        <v>119</v>
      </c>
      <c r="B120">
        <f t="shared" si="23"/>
        <v>8790.2888738913116</v>
      </c>
      <c r="C120" s="5">
        <v>0.08</v>
      </c>
      <c r="D120">
        <f t="shared" si="24"/>
        <v>62059.439449672711</v>
      </c>
      <c r="Q120">
        <f t="shared" si="25"/>
        <v>62059.439449673038</v>
      </c>
      <c r="R120">
        <f t="shared" si="26"/>
        <v>357.84933786591654</v>
      </c>
      <c r="S120">
        <f t="shared" si="27"/>
        <v>346571.07959823014</v>
      </c>
      <c r="T120" s="5">
        <v>0.08</v>
      </c>
      <c r="V120">
        <f>SUM($R$2:R120)</f>
        <v>17058.530360787336</v>
      </c>
      <c r="W120">
        <f t="shared" si="28"/>
        <v>35.968730993099427</v>
      </c>
      <c r="Z120">
        <f t="shared" si="22"/>
        <v>1.3684350135325658E-3</v>
      </c>
      <c r="AA120" s="5">
        <v>0.3</v>
      </c>
      <c r="AB120">
        <f t="shared" si="15"/>
        <v>1155236.9319941006</v>
      </c>
      <c r="AC120">
        <f t="shared" si="21"/>
        <v>219283.22180427145</v>
      </c>
      <c r="AD120" s="5">
        <v>0.2</v>
      </c>
      <c r="AE120">
        <f t="shared" si="16"/>
        <v>43856.64436085429</v>
      </c>
      <c r="AF120">
        <f t="shared" si="17"/>
        <v>1</v>
      </c>
    </row>
    <row r="121" spans="1:32" x14ac:dyDescent="0.25">
      <c r="A121" s="2">
        <v>120</v>
      </c>
      <c r="B121">
        <f t="shared" si="23"/>
        <v>9493.5119838026167</v>
      </c>
      <c r="C121" s="5">
        <v>0.08</v>
      </c>
      <c r="D121">
        <f t="shared" si="24"/>
        <v>67024.194605646524</v>
      </c>
      <c r="Q121">
        <f t="shared" si="25"/>
        <v>67024.194605646888</v>
      </c>
      <c r="R121">
        <f t="shared" si="26"/>
        <v>364.60121216527341</v>
      </c>
      <c r="S121">
        <f t="shared" si="27"/>
        <v>374296.76596608857</v>
      </c>
      <c r="T121" s="5">
        <v>0.08</v>
      </c>
      <c r="V121">
        <f>SUM($R$2:R121)</f>
        <v>17423.13157295261</v>
      </c>
      <c r="W121">
        <f t="shared" si="28"/>
        <v>36.737510169427338</v>
      </c>
      <c r="Z121">
        <f t="shared" si="22"/>
        <v>1.2670694569745979E-3</v>
      </c>
      <c r="AA121" s="5">
        <v>0.3</v>
      </c>
      <c r="AB121">
        <f t="shared" si="15"/>
        <v>1247655.8865536286</v>
      </c>
      <c r="AC121">
        <f t="shared" si="21"/>
        <v>232440.21511252775</v>
      </c>
      <c r="AD121" s="5">
        <v>0.2</v>
      </c>
      <c r="AE121">
        <f t="shared" si="16"/>
        <v>46488.043022505553</v>
      </c>
      <c r="AF121">
        <f t="shared" si="17"/>
        <v>1</v>
      </c>
    </row>
    <row r="122" spans="1:32" x14ac:dyDescent="0.25">
      <c r="A122" s="2">
        <v>121</v>
      </c>
      <c r="B122">
        <f t="shared" si="23"/>
        <v>10252.992942506826</v>
      </c>
      <c r="C122" s="5">
        <v>0.08</v>
      </c>
      <c r="D122">
        <f t="shared" si="24"/>
        <v>72386.130174098245</v>
      </c>
      <c r="Q122">
        <f t="shared" si="25"/>
        <v>72386.130174098653</v>
      </c>
      <c r="R122">
        <f t="shared" si="26"/>
        <v>371.4804803193353</v>
      </c>
      <c r="S122">
        <f t="shared" si="27"/>
        <v>404240.5072433757</v>
      </c>
      <c r="T122" s="5">
        <v>0.08</v>
      </c>
      <c r="V122">
        <f>SUM($R$2:R122)</f>
        <v>17794.612053271947</v>
      </c>
      <c r="W122">
        <f t="shared" si="28"/>
        <v>37.520794613233136</v>
      </c>
      <c r="Z122">
        <f t="shared" si="22"/>
        <v>1.1732124601616645E-3</v>
      </c>
      <c r="AA122" s="5">
        <v>0.3</v>
      </c>
      <c r="AB122">
        <f t="shared" si="15"/>
        <v>1347468.357477919</v>
      </c>
      <c r="AC122">
        <f t="shared" si="21"/>
        <v>246386.62801927942</v>
      </c>
      <c r="AD122" s="5">
        <v>0.2</v>
      </c>
      <c r="AE122">
        <f t="shared" si="16"/>
        <v>49277.32560385589</v>
      </c>
      <c r="AF122">
        <f t="shared" si="17"/>
        <v>1</v>
      </c>
    </row>
    <row r="123" spans="1:32" x14ac:dyDescent="0.25">
      <c r="A123" s="2">
        <v>122</v>
      </c>
      <c r="B123">
        <f t="shared" si="23"/>
        <v>11073.232377907372</v>
      </c>
      <c r="C123" s="5">
        <v>0.08</v>
      </c>
      <c r="D123">
        <f t="shared" si="24"/>
        <v>78177.020588026106</v>
      </c>
      <c r="Q123">
        <f t="shared" si="25"/>
        <v>78177.020588026542</v>
      </c>
      <c r="R123">
        <f t="shared" si="26"/>
        <v>378.48954598573783</v>
      </c>
      <c r="S123">
        <f t="shared" si="27"/>
        <v>436579.74782284576</v>
      </c>
      <c r="T123" s="5">
        <v>0.08</v>
      </c>
      <c r="V123">
        <f>SUM($R$2:R123)</f>
        <v>18173.101599257683</v>
      </c>
      <c r="W123">
        <f t="shared" si="28"/>
        <v>38.318858008808846</v>
      </c>
      <c r="Z123">
        <f t="shared" si="22"/>
        <v>1.0863078334830227E-3</v>
      </c>
      <c r="AA123" s="5">
        <v>0.3</v>
      </c>
      <c r="AB123">
        <f t="shared" si="15"/>
        <v>1455265.8260761525</v>
      </c>
      <c r="AC123">
        <f t="shared" si="21"/>
        <v>261169.82570043619</v>
      </c>
      <c r="AD123" s="5">
        <v>0.2</v>
      </c>
      <c r="AE123">
        <f t="shared" si="16"/>
        <v>52233.965140087239</v>
      </c>
      <c r="AF123">
        <f t="shared" si="17"/>
        <v>1</v>
      </c>
    </row>
    <row r="124" spans="1:32" x14ac:dyDescent="0.25">
      <c r="A124" s="2">
        <v>123</v>
      </c>
      <c r="B124">
        <f t="shared" si="23"/>
        <v>11959.090968139963</v>
      </c>
      <c r="C124" s="5">
        <v>0.08</v>
      </c>
      <c r="D124">
        <f t="shared" si="24"/>
        <v>84431.18223506819</v>
      </c>
      <c r="Q124">
        <f t="shared" si="25"/>
        <v>84431.182235068671</v>
      </c>
      <c r="R124">
        <f t="shared" si="26"/>
        <v>385.63085817414793</v>
      </c>
      <c r="S124">
        <f t="shared" si="27"/>
        <v>471506.12764867343</v>
      </c>
      <c r="T124" s="5">
        <v>0.08</v>
      </c>
      <c r="V124">
        <f>SUM($R$2:R124)</f>
        <v>18558.73245743183</v>
      </c>
      <c r="W124">
        <f t="shared" si="28"/>
        <v>39.131979204301082</v>
      </c>
      <c r="Z124">
        <f t="shared" si="22"/>
        <v>1.0058405865583544E-3</v>
      </c>
      <c r="AA124" s="5">
        <v>0.3</v>
      </c>
      <c r="AB124">
        <f t="shared" si="15"/>
        <v>1571687.0921622447</v>
      </c>
      <c r="AC124">
        <f t="shared" si="21"/>
        <v>276840.0152424624</v>
      </c>
      <c r="AD124" s="5">
        <v>0.2</v>
      </c>
      <c r="AE124">
        <f t="shared" si="16"/>
        <v>55368.003048492479</v>
      </c>
      <c r="AF124">
        <f t="shared" si="17"/>
        <v>1</v>
      </c>
    </row>
    <row r="125" spans="1:32" x14ac:dyDescent="0.25">
      <c r="A125" s="2">
        <v>124</v>
      </c>
      <c r="B125">
        <f t="shared" si="23"/>
        <v>12915.818245591159</v>
      </c>
      <c r="C125" s="5">
        <v>0.08</v>
      </c>
      <c r="D125">
        <f t="shared" si="24"/>
        <v>91185.676813873652</v>
      </c>
      <c r="Q125">
        <f t="shared" si="25"/>
        <v>91185.676813874161</v>
      </c>
      <c r="R125">
        <f t="shared" si="26"/>
        <v>392.90691210196206</v>
      </c>
      <c r="S125">
        <f t="shared" si="27"/>
        <v>509226.61786056735</v>
      </c>
      <c r="T125" s="5">
        <v>0.08</v>
      </c>
      <c r="V125">
        <f>SUM($R$2:R125)</f>
        <v>18951.639369533794</v>
      </c>
      <c r="W125">
        <f t="shared" si="28"/>
        <v>39.96044230914223</v>
      </c>
      <c r="Z125">
        <f t="shared" si="22"/>
        <v>9.3133387644292063E-4</v>
      </c>
      <c r="AA125" s="5">
        <v>0.3</v>
      </c>
      <c r="AB125">
        <f t="shared" si="15"/>
        <v>1697422.0595352245</v>
      </c>
      <c r="AC125">
        <f t="shared" si="21"/>
        <v>293450.41615701013</v>
      </c>
      <c r="AD125" s="5">
        <v>0.2</v>
      </c>
      <c r="AE125">
        <f t="shared" si="16"/>
        <v>58690.08323140203</v>
      </c>
      <c r="AF125">
        <f t="shared" si="17"/>
        <v>1</v>
      </c>
    </row>
    <row r="126" spans="1:32" x14ac:dyDescent="0.25">
      <c r="A126" s="2">
        <v>125</v>
      </c>
      <c r="B126">
        <f t="shared" si="23"/>
        <v>13949.083705238452</v>
      </c>
      <c r="C126" s="5">
        <v>0.08</v>
      </c>
      <c r="D126">
        <f t="shared" si="24"/>
        <v>98480.530958983538</v>
      </c>
      <c r="Q126">
        <f t="shared" si="25"/>
        <v>98480.530958984091</v>
      </c>
      <c r="R126">
        <f t="shared" si="26"/>
        <v>400.32025006615009</v>
      </c>
      <c r="S126">
        <f t="shared" si="27"/>
        <v>549964.74728941277</v>
      </c>
      <c r="T126" s="5">
        <v>0.08</v>
      </c>
      <c r="V126">
        <f>SUM($R$2:R126)</f>
        <v>19351.959619599944</v>
      </c>
      <c r="W126">
        <f t="shared" si="28"/>
        <v>40.804536793320004</v>
      </c>
      <c r="Z126">
        <f t="shared" si="22"/>
        <v>8.623461818915931E-4</v>
      </c>
      <c r="AA126" s="5">
        <v>0.3</v>
      </c>
      <c r="AB126">
        <f t="shared" si="15"/>
        <v>1833215.8242980426</v>
      </c>
      <c r="AC126">
        <f t="shared" si="21"/>
        <v>311057.44112643076</v>
      </c>
      <c r="AD126" s="5">
        <v>0.2</v>
      </c>
      <c r="AE126">
        <f t="shared" si="16"/>
        <v>62211.488225286157</v>
      </c>
      <c r="AF126">
        <f t="shared" si="17"/>
        <v>1</v>
      </c>
    </row>
    <row r="127" spans="1:32" x14ac:dyDescent="0.25">
      <c r="A127" s="2">
        <v>126</v>
      </c>
      <c r="B127">
        <f t="shared" si="23"/>
        <v>15065.010401657528</v>
      </c>
      <c r="C127" s="5">
        <v>0.08</v>
      </c>
      <c r="D127">
        <f t="shared" si="24"/>
        <v>106358.97343570222</v>
      </c>
      <c r="Q127">
        <f t="shared" si="25"/>
        <v>106358.97343570284</v>
      </c>
      <c r="R127">
        <f t="shared" si="26"/>
        <v>407.87346233154904</v>
      </c>
      <c r="S127">
        <f t="shared" si="27"/>
        <v>593961.92707256589</v>
      </c>
      <c r="T127" s="5">
        <v>0.08</v>
      </c>
      <c r="V127">
        <f>SUM($R$2:R127)</f>
        <v>19759.833081931494</v>
      </c>
      <c r="W127">
        <f t="shared" si="28"/>
        <v>41.664557588519997</v>
      </c>
      <c r="Z127">
        <f t="shared" si="22"/>
        <v>7.9846868693666021E-4</v>
      </c>
      <c r="AA127" s="5">
        <v>0.3</v>
      </c>
      <c r="AB127">
        <f t="shared" si="15"/>
        <v>1979873.0902418864</v>
      </c>
      <c r="AC127">
        <f t="shared" si="21"/>
        <v>329720.88759401662</v>
      </c>
      <c r="AD127" s="5">
        <v>0.2</v>
      </c>
      <c r="AE127">
        <f t="shared" si="16"/>
        <v>65944.177518803321</v>
      </c>
      <c r="AF127">
        <f t="shared" si="17"/>
        <v>1</v>
      </c>
    </row>
    <row r="128" spans="1:32" x14ac:dyDescent="0.25">
      <c r="A128" s="2">
        <v>127</v>
      </c>
      <c r="B128">
        <f t="shared" si="23"/>
        <v>16270.211233790131</v>
      </c>
      <c r="C128" s="5">
        <v>0.08</v>
      </c>
      <c r="D128">
        <f t="shared" si="24"/>
        <v>114867.69131055841</v>
      </c>
      <c r="Q128">
        <f t="shared" si="25"/>
        <v>114867.69131055908</v>
      </c>
      <c r="R128">
        <f t="shared" si="26"/>
        <v>415.56918803591799</v>
      </c>
      <c r="S128">
        <f t="shared" si="27"/>
        <v>641478.88123837125</v>
      </c>
      <c r="T128" s="5">
        <v>0.08</v>
      </c>
      <c r="V128">
        <f>SUM($R$2:R128)</f>
        <v>20175.402269967413</v>
      </c>
      <c r="W128">
        <f t="shared" si="28"/>
        <v>42.540805191176595</v>
      </c>
      <c r="Z128">
        <f t="shared" si="22"/>
        <v>7.393228582746852E-4</v>
      </c>
      <c r="AA128" s="5">
        <v>0.3</v>
      </c>
      <c r="AB128">
        <f t="shared" si="15"/>
        <v>2138262.9374612374</v>
      </c>
      <c r="AC128">
        <f t="shared" si="21"/>
        <v>349504.14084965765</v>
      </c>
      <c r="AD128" s="5">
        <v>0.2</v>
      </c>
      <c r="AE128">
        <f t="shared" si="16"/>
        <v>69900.828169931527</v>
      </c>
      <c r="AF128">
        <f t="shared" si="17"/>
        <v>1</v>
      </c>
    </row>
    <row r="129" spans="1:32" x14ac:dyDescent="0.25">
      <c r="A129" s="2">
        <v>128</v>
      </c>
      <c r="B129">
        <f t="shared" si="23"/>
        <v>17571.828132493341</v>
      </c>
      <c r="C129" s="5">
        <v>0.08</v>
      </c>
      <c r="D129">
        <f t="shared" si="24"/>
        <v>124057.10661540309</v>
      </c>
      <c r="Q129">
        <f t="shared" si="25"/>
        <v>124057.10661540383</v>
      </c>
      <c r="R129">
        <f t="shared" si="26"/>
        <v>423.41011611206733</v>
      </c>
      <c r="S129">
        <f t="shared" si="27"/>
        <v>692797.191737441</v>
      </c>
      <c r="T129" s="5">
        <v>0.08</v>
      </c>
      <c r="V129">
        <f>SUM($R$2:R129)</f>
        <v>20598.81238607948</v>
      </c>
      <c r="W129">
        <f t="shared" si="28"/>
        <v>43.433585767468223</v>
      </c>
      <c r="Z129">
        <f t="shared" si="22"/>
        <v>6.8455820210619001E-4</v>
      </c>
      <c r="AA129" s="5">
        <v>0.3</v>
      </c>
      <c r="AB129">
        <f t="shared" si="15"/>
        <v>2309323.9724581367</v>
      </c>
      <c r="AC129">
        <f t="shared" si="21"/>
        <v>370474.38930063712</v>
      </c>
      <c r="AD129" s="5">
        <v>0.2</v>
      </c>
      <c r="AE129">
        <f t="shared" si="16"/>
        <v>74094.877860127424</v>
      </c>
      <c r="AF129">
        <f t="shared" si="17"/>
        <v>1</v>
      </c>
    </row>
    <row r="130" spans="1:32" x14ac:dyDescent="0.25">
      <c r="A130" s="2">
        <v>129</v>
      </c>
      <c r="B130">
        <f t="shared" si="23"/>
        <v>18977.574383092808</v>
      </c>
      <c r="C130" s="5">
        <v>0.08</v>
      </c>
      <c r="D130">
        <f t="shared" si="24"/>
        <v>133981.67514463534</v>
      </c>
      <c r="Q130">
        <f t="shared" si="25"/>
        <v>133981.67514463613</v>
      </c>
      <c r="R130">
        <f t="shared" si="26"/>
        <v>431.39898622738957</v>
      </c>
      <c r="S130">
        <f t="shared" si="27"/>
        <v>748220.96707643638</v>
      </c>
      <c r="T130" s="5">
        <v>0.08</v>
      </c>
      <c r="V130">
        <f>SUM($R$2:R130)</f>
        <v>21030.211372306869</v>
      </c>
      <c r="W130">
        <f t="shared" si="28"/>
        <v>44.343211260293657</v>
      </c>
      <c r="Z130">
        <f t="shared" si="22"/>
        <v>6.3385018713536096E-4</v>
      </c>
      <c r="AA130" s="5">
        <v>0.3</v>
      </c>
      <c r="AB130">
        <f t="shared" si="15"/>
        <v>2494069.8902547881</v>
      </c>
      <c r="AC130">
        <f t="shared" si="21"/>
        <v>392702.85265867534</v>
      </c>
      <c r="AD130" s="5">
        <v>0.2</v>
      </c>
      <c r="AE130">
        <f t="shared" si="16"/>
        <v>78540.570531735066</v>
      </c>
      <c r="AF130">
        <f t="shared" si="17"/>
        <v>1</v>
      </c>
    </row>
    <row r="131" spans="1:32" x14ac:dyDescent="0.25">
      <c r="A131" s="2">
        <v>130</v>
      </c>
      <c r="B131">
        <f t="shared" si="23"/>
        <v>20495.780333740233</v>
      </c>
      <c r="C131" s="5">
        <v>0.08</v>
      </c>
      <c r="D131">
        <f t="shared" si="24"/>
        <v>144700.20915620617</v>
      </c>
      <c r="Q131">
        <f t="shared" si="25"/>
        <v>144700.20915620704</v>
      </c>
      <c r="R131">
        <f t="shared" si="26"/>
        <v>439.53858974111381</v>
      </c>
      <c r="S131">
        <f t="shared" si="27"/>
        <v>808078.6444425513</v>
      </c>
      <c r="T131" s="5">
        <v>0.08</v>
      </c>
      <c r="V131">
        <f>SUM($R$2:R131)</f>
        <v>21469.749962047983</v>
      </c>
      <c r="W131">
        <f t="shared" si="28"/>
        <v>45.269999498266742</v>
      </c>
      <c r="Z131">
        <f t="shared" si="22"/>
        <v>5.8689832142163061E-4</v>
      </c>
      <c r="AA131" s="5">
        <v>0.3</v>
      </c>
      <c r="AB131">
        <f t="shared" ref="AB131:AB194" si="29">S131/AA131</f>
        <v>2693595.4814751712</v>
      </c>
      <c r="AC131">
        <f t="shared" si="21"/>
        <v>416265.02381819586</v>
      </c>
      <c r="AD131" s="5">
        <v>0.2</v>
      </c>
      <c r="AE131">
        <f t="shared" ref="AE131:AE194" si="30">AC131*AD131</f>
        <v>83253.004763639183</v>
      </c>
      <c r="AF131">
        <f t="shared" ref="AF131:AF194" si="31">IF(AB131&gt;AE131, 1, 0)</f>
        <v>1</v>
      </c>
    </row>
    <row r="132" spans="1:32" x14ac:dyDescent="0.25">
      <c r="A132" s="2">
        <v>131</v>
      </c>
      <c r="B132">
        <f t="shared" si="23"/>
        <v>22135.442760439451</v>
      </c>
      <c r="C132" s="5">
        <v>0.08</v>
      </c>
      <c r="D132">
        <f t="shared" si="24"/>
        <v>156276.22588870267</v>
      </c>
      <c r="Q132">
        <f t="shared" si="25"/>
        <v>156276.2258887036</v>
      </c>
      <c r="R132">
        <f t="shared" si="26"/>
        <v>447.83177067962544</v>
      </c>
      <c r="S132">
        <f t="shared" si="27"/>
        <v>872724.9359979555</v>
      </c>
      <c r="T132" s="5">
        <v>0.08</v>
      </c>
      <c r="V132">
        <f>SUM($R$2:R132)</f>
        <v>21917.581732727609</v>
      </c>
      <c r="W132">
        <f t="shared" si="28"/>
        <v>46.214274306767614</v>
      </c>
      <c r="Z132">
        <f t="shared" si="22"/>
        <v>5.4342437168669491E-4</v>
      </c>
      <c r="AA132" s="5">
        <v>0.3</v>
      </c>
      <c r="AB132">
        <f t="shared" si="29"/>
        <v>2909083.1199931852</v>
      </c>
      <c r="AC132">
        <f t="shared" ref="AC132:AC195" si="32">AC131*(1+$U$2)</f>
        <v>441240.92524728761</v>
      </c>
      <c r="AD132" s="5">
        <v>0.2</v>
      </c>
      <c r="AE132">
        <f t="shared" si="30"/>
        <v>88248.185049457534</v>
      </c>
      <c r="AF132">
        <f t="shared" si="31"/>
        <v>1</v>
      </c>
    </row>
    <row r="133" spans="1:32" x14ac:dyDescent="0.25">
      <c r="A133" s="2">
        <v>132</v>
      </c>
      <c r="B133">
        <f t="shared" si="23"/>
        <v>23906.278181274607</v>
      </c>
      <c r="C133" s="5">
        <v>0.08</v>
      </c>
      <c r="D133">
        <f t="shared" si="24"/>
        <v>168778.32395979887</v>
      </c>
      <c r="Q133">
        <f t="shared" si="25"/>
        <v>168778.32395979989</v>
      </c>
      <c r="R133">
        <f t="shared" si="26"/>
        <v>456.28142673018436</v>
      </c>
      <c r="S133">
        <f t="shared" si="27"/>
        <v>942542.93087779195</v>
      </c>
      <c r="T133" s="5">
        <v>0.08</v>
      </c>
      <c r="V133">
        <f>SUM($R$2:R133)</f>
        <v>22373.863159457793</v>
      </c>
      <c r="W133">
        <f t="shared" si="28"/>
        <v>47.176365621089261</v>
      </c>
      <c r="Z133">
        <f t="shared" si="22"/>
        <v>5.0317071452471755E-4</v>
      </c>
      <c r="AA133" s="5">
        <v>0.3</v>
      </c>
      <c r="AB133">
        <f t="shared" si="29"/>
        <v>3141809.76959264</v>
      </c>
      <c r="AC133">
        <f t="shared" si="32"/>
        <v>467715.3807621249</v>
      </c>
      <c r="AD133" s="5">
        <v>0.2</v>
      </c>
      <c r="AE133">
        <f t="shared" si="30"/>
        <v>93543.076152424983</v>
      </c>
      <c r="AF133">
        <f t="shared" si="31"/>
        <v>1</v>
      </c>
    </row>
    <row r="134" spans="1:32" x14ac:dyDescent="0.25">
      <c r="A134" s="2">
        <v>133</v>
      </c>
      <c r="B134">
        <f t="shared" si="23"/>
        <v>25818.780435776574</v>
      </c>
      <c r="C134" s="5">
        <v>0.08</v>
      </c>
      <c r="D134">
        <f t="shared" si="24"/>
        <v>182280.58987658279</v>
      </c>
      <c r="Q134">
        <f t="shared" si="25"/>
        <v>182280.58987658392</v>
      </c>
      <c r="R134">
        <f t="shared" si="26"/>
        <v>464.89051025339541</v>
      </c>
      <c r="S134">
        <f t="shared" si="27"/>
        <v>1017946.3653480153</v>
      </c>
      <c r="T134" s="5">
        <v>0.08</v>
      </c>
      <c r="V134">
        <f>SUM($R$2:R134)</f>
        <v>22838.753669711186</v>
      </c>
      <c r="W134">
        <f t="shared" si="28"/>
        <v>48.156609601718863</v>
      </c>
      <c r="Z134">
        <f t="shared" si="22"/>
        <v>4.6589880974510876E-4</v>
      </c>
      <c r="AA134" s="5">
        <v>0.3</v>
      </c>
      <c r="AB134">
        <f t="shared" si="29"/>
        <v>3393154.551160051</v>
      </c>
      <c r="AC134">
        <f t="shared" si="32"/>
        <v>495778.30360785243</v>
      </c>
      <c r="AD134" s="5">
        <v>0.2</v>
      </c>
      <c r="AE134">
        <f t="shared" si="30"/>
        <v>99155.660721570486</v>
      </c>
      <c r="AF134">
        <f t="shared" si="31"/>
        <v>1</v>
      </c>
    </row>
    <row r="135" spans="1:32" x14ac:dyDescent="0.25">
      <c r="A135" s="2">
        <v>134</v>
      </c>
      <c r="B135">
        <f t="shared" si="23"/>
        <v>27884.282870638701</v>
      </c>
      <c r="C135" s="5">
        <v>0.08</v>
      </c>
      <c r="D135">
        <f t="shared" si="24"/>
        <v>196863.03706670942</v>
      </c>
      <c r="Q135">
        <f t="shared" si="25"/>
        <v>196863.03706671062</v>
      </c>
      <c r="R135">
        <f t="shared" si="26"/>
        <v>473.66202931478023</v>
      </c>
      <c r="S135">
        <f t="shared" si="27"/>
        <v>1099382.0745758566</v>
      </c>
      <c r="T135" s="5">
        <v>0.08</v>
      </c>
      <c r="V135">
        <f>SUM($R$2:R135)</f>
        <v>23312.415699025965</v>
      </c>
      <c r="W135">
        <f t="shared" si="28"/>
        <v>49.1553487517943</v>
      </c>
      <c r="Z135">
        <f t="shared" si="22"/>
        <v>4.3138778680102666E-4</v>
      </c>
      <c r="AA135" s="5">
        <v>0.3</v>
      </c>
      <c r="AB135">
        <f t="shared" si="29"/>
        <v>3664606.9152528555</v>
      </c>
      <c r="AC135">
        <f t="shared" si="32"/>
        <v>525525.00182432355</v>
      </c>
      <c r="AD135" s="5">
        <v>0.2</v>
      </c>
      <c r="AE135">
        <f t="shared" si="30"/>
        <v>105105.00036486471</v>
      </c>
      <c r="AF135">
        <f t="shared" si="31"/>
        <v>1</v>
      </c>
    </row>
    <row r="136" spans="1:32" x14ac:dyDescent="0.25">
      <c r="A136" s="2">
        <v>135</v>
      </c>
      <c r="B136">
        <f t="shared" si="23"/>
        <v>30115.025500289797</v>
      </c>
      <c r="C136" s="5">
        <v>0.08</v>
      </c>
      <c r="D136">
        <f t="shared" si="24"/>
        <v>212612.08003204619</v>
      </c>
      <c r="Q136">
        <f t="shared" si="25"/>
        <v>212612.0800320475</v>
      </c>
      <c r="R136">
        <f t="shared" si="26"/>
        <v>482.59904873581371</v>
      </c>
      <c r="S136">
        <f t="shared" si="27"/>
        <v>1187332.6405419251</v>
      </c>
      <c r="T136" s="5">
        <v>0.08</v>
      </c>
      <c r="V136">
        <f>SUM($R$2:R136)</f>
        <v>23795.014747761779</v>
      </c>
      <c r="W136">
        <f t="shared" si="28"/>
        <v>50.172932036776828</v>
      </c>
      <c r="Z136">
        <f t="shared" si="22"/>
        <v>3.9943313592687651E-4</v>
      </c>
      <c r="AA136" s="5">
        <v>0.3</v>
      </c>
      <c r="AB136">
        <f t="shared" si="29"/>
        <v>3957775.4684730838</v>
      </c>
      <c r="AC136">
        <f t="shared" si="32"/>
        <v>557056.50193378294</v>
      </c>
      <c r="AD136" s="5">
        <v>0.2</v>
      </c>
      <c r="AE136">
        <f t="shared" si="30"/>
        <v>111411.3003867566</v>
      </c>
      <c r="AF136">
        <f t="shared" si="31"/>
        <v>1</v>
      </c>
    </row>
    <row r="137" spans="1:32" x14ac:dyDescent="0.25">
      <c r="A137" s="2">
        <v>136</v>
      </c>
      <c r="B137">
        <f t="shared" si="23"/>
        <v>32524.227540312982</v>
      </c>
      <c r="C137" s="5">
        <v>0.08</v>
      </c>
      <c r="D137">
        <f t="shared" si="24"/>
        <v>229621.04643460989</v>
      </c>
      <c r="Q137">
        <f t="shared" si="25"/>
        <v>229621.04643461131</v>
      </c>
      <c r="R137">
        <f t="shared" si="26"/>
        <v>491.70469116479137</v>
      </c>
      <c r="S137">
        <f t="shared" si="27"/>
        <v>1282319.2517852793</v>
      </c>
      <c r="T137" s="5">
        <v>0.08</v>
      </c>
      <c r="V137">
        <f>SUM($R$2:R137)</f>
        <v>24286.719438926571</v>
      </c>
      <c r="W137">
        <f t="shared" si="28"/>
        <v>51.209715006381671</v>
      </c>
      <c r="Z137">
        <f t="shared" si="22"/>
        <v>3.6984549622858935E-4</v>
      </c>
      <c r="AA137" s="5">
        <v>0.3</v>
      </c>
      <c r="AB137">
        <f t="shared" si="29"/>
        <v>4274397.5059509315</v>
      </c>
      <c r="AC137">
        <f t="shared" si="32"/>
        <v>590479.89204980992</v>
      </c>
      <c r="AD137" s="5">
        <v>0.2</v>
      </c>
      <c r="AE137">
        <f t="shared" si="30"/>
        <v>118095.97840996199</v>
      </c>
      <c r="AF137">
        <f t="shared" si="31"/>
        <v>1</v>
      </c>
    </row>
    <row r="138" spans="1:32" x14ac:dyDescent="0.25">
      <c r="A138" s="2">
        <v>137</v>
      </c>
      <c r="B138">
        <f t="shared" si="23"/>
        <v>35126.165743538018</v>
      </c>
      <c r="C138" s="5">
        <v>0.08</v>
      </c>
      <c r="D138">
        <f t="shared" si="24"/>
        <v>247990.73014937868</v>
      </c>
      <c r="Q138">
        <f t="shared" si="25"/>
        <v>247990.73014938019</v>
      </c>
      <c r="R138">
        <f t="shared" si="26"/>
        <v>500.98213816790076</v>
      </c>
      <c r="S138">
        <f t="shared" si="27"/>
        <v>1384904.7919281018</v>
      </c>
      <c r="T138" s="5">
        <v>0.08</v>
      </c>
      <c r="V138">
        <f>SUM($R$2:R138)</f>
        <v>24787.701577094471</v>
      </c>
      <c r="W138">
        <f t="shared" si="28"/>
        <v>52.266059918809241</v>
      </c>
      <c r="Z138">
        <f t="shared" si="22"/>
        <v>3.4244953354499008E-4</v>
      </c>
      <c r="AA138" s="5">
        <v>0.3</v>
      </c>
      <c r="AB138">
        <f t="shared" si="29"/>
        <v>4616349.3064270066</v>
      </c>
      <c r="AC138">
        <f t="shared" si="32"/>
        <v>625908.6855727986</v>
      </c>
      <c r="AD138" s="5">
        <v>0.2</v>
      </c>
      <c r="AE138">
        <f t="shared" si="30"/>
        <v>125181.73711455973</v>
      </c>
      <c r="AF138">
        <f t="shared" si="31"/>
        <v>1</v>
      </c>
    </row>
    <row r="139" spans="1:32" x14ac:dyDescent="0.25">
      <c r="A139" s="2">
        <v>138</v>
      </c>
      <c r="B139">
        <f t="shared" si="23"/>
        <v>37936.259003021063</v>
      </c>
      <c r="C139" s="5">
        <v>0.08</v>
      </c>
      <c r="D139">
        <f t="shared" si="24"/>
        <v>267829.98856132897</v>
      </c>
      <c r="Q139">
        <f t="shared" si="25"/>
        <v>267829.98856133065</v>
      </c>
      <c r="R139">
        <f t="shared" si="26"/>
        <v>510.43463134088006</v>
      </c>
      <c r="S139">
        <f t="shared" si="27"/>
        <v>1495697.17528235</v>
      </c>
      <c r="T139" s="5">
        <v>0.08</v>
      </c>
      <c r="V139">
        <f>SUM($R$2:R139)</f>
        <v>25298.13620843535</v>
      </c>
      <c r="W139">
        <f t="shared" si="28"/>
        <v>53.342335867320351</v>
      </c>
      <c r="Z139">
        <f t="shared" si="22"/>
        <v>3.1708290143054636E-4</v>
      </c>
      <c r="AA139" s="5">
        <v>0.3</v>
      </c>
      <c r="AB139">
        <f t="shared" si="29"/>
        <v>4985657.2509411667</v>
      </c>
      <c r="AC139">
        <f t="shared" si="32"/>
        <v>663463.20670716651</v>
      </c>
      <c r="AD139" s="5">
        <v>0.2</v>
      </c>
      <c r="AE139">
        <f t="shared" si="30"/>
        <v>132692.64134143331</v>
      </c>
      <c r="AF139">
        <f t="shared" si="31"/>
        <v>1</v>
      </c>
    </row>
    <row r="140" spans="1:32" x14ac:dyDescent="0.25">
      <c r="A140" s="2">
        <v>139</v>
      </c>
      <c r="B140">
        <f t="shared" si="23"/>
        <v>40971.159723262746</v>
      </c>
      <c r="C140" s="5">
        <v>0.08</v>
      </c>
      <c r="D140">
        <f t="shared" si="24"/>
        <v>289256.38764623529</v>
      </c>
      <c r="Q140">
        <f t="shared" si="25"/>
        <v>289256.38764623716</v>
      </c>
      <c r="R140">
        <f t="shared" si="26"/>
        <v>520.06547344165131</v>
      </c>
      <c r="S140">
        <f t="shared" si="27"/>
        <v>1615352.9493049381</v>
      </c>
      <c r="T140" s="5">
        <v>0.08</v>
      </c>
      <c r="V140">
        <f>SUM($R$2:R140)</f>
        <v>25818.201681877003</v>
      </c>
      <c r="W140">
        <f t="shared" si="28"/>
        <v>54.4389189091996</v>
      </c>
      <c r="Z140">
        <f t="shared" si="22"/>
        <v>2.9359527910235772E-4</v>
      </c>
      <c r="AA140" s="5">
        <v>0.3</v>
      </c>
      <c r="AB140">
        <f t="shared" si="29"/>
        <v>5384509.8310164604</v>
      </c>
      <c r="AC140">
        <f t="shared" si="32"/>
        <v>703270.99910959648</v>
      </c>
      <c r="AD140" s="5">
        <v>0.2</v>
      </c>
      <c r="AE140">
        <f t="shared" si="30"/>
        <v>140654.19982191929</v>
      </c>
      <c r="AF140">
        <f t="shared" si="31"/>
        <v>1</v>
      </c>
    </row>
    <row r="141" spans="1:32" x14ac:dyDescent="0.25">
      <c r="A141" s="2">
        <v>140</v>
      </c>
      <c r="B141">
        <f t="shared" si="23"/>
        <v>44248.852501123765</v>
      </c>
      <c r="C141" s="5">
        <v>0.08</v>
      </c>
      <c r="D141">
        <f t="shared" si="24"/>
        <v>312396.8986579341</v>
      </c>
      <c r="Q141">
        <f t="shared" si="25"/>
        <v>312396.89865793608</v>
      </c>
      <c r="R141">
        <f t="shared" si="26"/>
        <v>529.87802954432402</v>
      </c>
      <c r="S141">
        <f t="shared" si="27"/>
        <v>1744581.1852493333</v>
      </c>
      <c r="T141" s="5">
        <v>0.08</v>
      </c>
      <c r="V141">
        <f>SUM($R$2:R141)</f>
        <v>26348.079711421327</v>
      </c>
      <c r="W141">
        <f t="shared" si="28"/>
        <v>55.556192197152043</v>
      </c>
      <c r="Z141">
        <f t="shared" si="22"/>
        <v>2.718474806503312E-4</v>
      </c>
      <c r="AA141" s="5">
        <v>0.3</v>
      </c>
      <c r="AB141">
        <f t="shared" si="29"/>
        <v>5815270.6174977776</v>
      </c>
      <c r="AC141">
        <f t="shared" si="32"/>
        <v>745467.25905617233</v>
      </c>
      <c r="AD141" s="5">
        <v>0.2</v>
      </c>
      <c r="AE141">
        <f t="shared" si="30"/>
        <v>149093.45181123447</v>
      </c>
      <c r="AF141">
        <f t="shared" si="31"/>
        <v>1</v>
      </c>
    </row>
    <row r="142" spans="1:32" x14ac:dyDescent="0.25">
      <c r="A142" s="2">
        <v>141</v>
      </c>
      <c r="B142">
        <f t="shared" si="23"/>
        <v>47788.760701213665</v>
      </c>
      <c r="C142" s="5">
        <v>0.08</v>
      </c>
      <c r="D142">
        <f t="shared" si="24"/>
        <v>337388.65055056883</v>
      </c>
      <c r="Q142">
        <f t="shared" si="25"/>
        <v>337388.65055057098</v>
      </c>
      <c r="R142">
        <f t="shared" si="26"/>
        <v>539.87572821497156</v>
      </c>
      <c r="S142">
        <f t="shared" si="27"/>
        <v>1884147.6800692801</v>
      </c>
      <c r="T142" s="5">
        <v>0.08</v>
      </c>
      <c r="V142">
        <f>SUM($R$2:R142)</f>
        <v>26887.955439636298</v>
      </c>
      <c r="W142">
        <f t="shared" si="28"/>
        <v>56.694546113179058</v>
      </c>
      <c r="Z142">
        <f t="shared" si="22"/>
        <v>2.5171063023178813E-4</v>
      </c>
      <c r="AA142" s="5">
        <v>0.3</v>
      </c>
      <c r="AB142">
        <f t="shared" si="29"/>
        <v>6280492.2668976001</v>
      </c>
      <c r="AC142">
        <f t="shared" si="32"/>
        <v>790195.29459954274</v>
      </c>
      <c r="AD142" s="5">
        <v>0.2</v>
      </c>
      <c r="AE142">
        <f t="shared" si="30"/>
        <v>158039.05891990857</v>
      </c>
      <c r="AF142">
        <f t="shared" si="31"/>
        <v>1</v>
      </c>
    </row>
    <row r="143" spans="1:32" x14ac:dyDescent="0.25">
      <c r="A143" s="2">
        <v>142</v>
      </c>
      <c r="B143">
        <f t="shared" si="23"/>
        <v>51611.86155731076</v>
      </c>
      <c r="C143" s="5">
        <v>0.08</v>
      </c>
      <c r="D143">
        <f t="shared" si="24"/>
        <v>364379.74259461433</v>
      </c>
      <c r="Q143">
        <f t="shared" si="25"/>
        <v>364379.74259461666</v>
      </c>
      <c r="R143">
        <f t="shared" si="26"/>
        <v>550.06206270959376</v>
      </c>
      <c r="S143">
        <f t="shared" si="27"/>
        <v>2034879.4944748227</v>
      </c>
      <c r="T143" s="5">
        <v>0.08</v>
      </c>
      <c r="V143">
        <f>SUM($R$2:R143)</f>
        <v>27438.017502345891</v>
      </c>
      <c r="W143">
        <f t="shared" si="28"/>
        <v>57.85437840498016</v>
      </c>
      <c r="Z143">
        <f t="shared" ref="Z143:Z201" si="33">$W$2/S143</f>
        <v>2.3306539836276676E-4</v>
      </c>
      <c r="AA143" s="5">
        <v>0.3</v>
      </c>
      <c r="AB143">
        <f t="shared" si="29"/>
        <v>6782931.6482494092</v>
      </c>
      <c r="AC143">
        <f t="shared" si="32"/>
        <v>837607.01227551536</v>
      </c>
      <c r="AD143" s="5">
        <v>0.2</v>
      </c>
      <c r="AE143">
        <f t="shared" si="30"/>
        <v>167521.40245510309</v>
      </c>
      <c r="AF143">
        <f t="shared" si="31"/>
        <v>1</v>
      </c>
    </row>
    <row r="144" spans="1:32" x14ac:dyDescent="0.25">
      <c r="A144" s="2">
        <v>143</v>
      </c>
      <c r="B144">
        <f t="shared" si="23"/>
        <v>55740.81048189562</v>
      </c>
      <c r="C144" s="5">
        <v>0.08</v>
      </c>
      <c r="D144">
        <f t="shared" si="24"/>
        <v>393530.12200218346</v>
      </c>
      <c r="Q144">
        <f t="shared" si="25"/>
        <v>393530.12200218608</v>
      </c>
      <c r="R144">
        <f t="shared" si="26"/>
        <v>560.44059219468033</v>
      </c>
      <c r="S144">
        <f t="shared" si="27"/>
        <v>2197669.8540328084</v>
      </c>
      <c r="T144" s="5">
        <v>0.08</v>
      </c>
      <c r="V144">
        <f>SUM($R$2:R144)</f>
        <v>27998.458094540572</v>
      </c>
      <c r="W144">
        <f t="shared" si="28"/>
        <v>59.036094324928463</v>
      </c>
      <c r="Z144">
        <f t="shared" si="33"/>
        <v>2.158012947803396E-4</v>
      </c>
      <c r="AA144" s="5">
        <v>0.3</v>
      </c>
      <c r="AB144">
        <f t="shared" si="29"/>
        <v>7325566.1801093621</v>
      </c>
      <c r="AC144">
        <f t="shared" si="32"/>
        <v>887863.43301204627</v>
      </c>
      <c r="AD144" s="5">
        <v>0.2</v>
      </c>
      <c r="AE144">
        <f t="shared" si="30"/>
        <v>177572.68660240926</v>
      </c>
      <c r="AF144">
        <f t="shared" si="31"/>
        <v>1</v>
      </c>
    </row>
    <row r="145" spans="1:32" x14ac:dyDescent="0.25">
      <c r="A145" s="2">
        <v>144</v>
      </c>
      <c r="B145">
        <f t="shared" si="23"/>
        <v>60200.075320447271</v>
      </c>
      <c r="C145" s="5">
        <v>0.08</v>
      </c>
      <c r="D145">
        <f t="shared" si="24"/>
        <v>425012.53176235815</v>
      </c>
      <c r="Q145">
        <f t="shared" si="25"/>
        <v>425012.531762361</v>
      </c>
      <c r="R145">
        <f t="shared" si="26"/>
        <v>571.01494299080628</v>
      </c>
      <c r="S145">
        <f t="shared" si="27"/>
        <v>2373483.4423554335</v>
      </c>
      <c r="T145" s="5">
        <v>0.08</v>
      </c>
      <c r="V145">
        <f>SUM($R$2:R145)</f>
        <v>28569.473037531377</v>
      </c>
      <c r="W145">
        <f t="shared" si="28"/>
        <v>60.240106771668238</v>
      </c>
      <c r="Z145">
        <f t="shared" si="33"/>
        <v>1.9981601368549961E-4</v>
      </c>
      <c r="AA145" s="5">
        <v>0.3</v>
      </c>
      <c r="AB145">
        <f t="shared" si="29"/>
        <v>7911611.4745181119</v>
      </c>
      <c r="AC145">
        <f t="shared" si="32"/>
        <v>941135.23899276904</v>
      </c>
      <c r="AD145" s="5">
        <v>0.2</v>
      </c>
      <c r="AE145">
        <f t="shared" si="30"/>
        <v>188227.04779855383</v>
      </c>
      <c r="AF145">
        <f t="shared" si="31"/>
        <v>1</v>
      </c>
    </row>
    <row r="146" spans="1:32" x14ac:dyDescent="0.25">
      <c r="A146" s="2">
        <v>145</v>
      </c>
      <c r="B146">
        <f t="shared" si="23"/>
        <v>65016.081346083054</v>
      </c>
      <c r="C146" s="5">
        <v>0.08</v>
      </c>
      <c r="D146">
        <f t="shared" si="24"/>
        <v>459013.53430334682</v>
      </c>
      <c r="Q146">
        <f t="shared" si="25"/>
        <v>459013.53430334991</v>
      </c>
      <c r="R146">
        <f t="shared" si="26"/>
        <v>581.78880983968975</v>
      </c>
      <c r="S146">
        <f t="shared" si="27"/>
        <v>2563362.1177438684</v>
      </c>
      <c r="T146" s="5">
        <v>0.08</v>
      </c>
      <c r="V146">
        <f>SUM($R$2:R146)</f>
        <v>29151.261847371068</v>
      </c>
      <c r="W146">
        <f t="shared" si="28"/>
        <v>61.466836434384241</v>
      </c>
      <c r="Z146">
        <f t="shared" si="33"/>
        <v>1.8501482748657368E-4</v>
      </c>
      <c r="AA146" s="5">
        <v>0.3</v>
      </c>
      <c r="AB146">
        <f t="shared" si="29"/>
        <v>8544540.3924795613</v>
      </c>
      <c r="AC146">
        <f t="shared" si="32"/>
        <v>997603.35333233525</v>
      </c>
      <c r="AD146" s="5">
        <v>0.2</v>
      </c>
      <c r="AE146">
        <f t="shared" si="30"/>
        <v>199520.67066646705</v>
      </c>
      <c r="AF146">
        <f t="shared" si="31"/>
        <v>1</v>
      </c>
    </row>
    <row r="147" spans="1:32" x14ac:dyDescent="0.25">
      <c r="A147" s="2">
        <v>146</v>
      </c>
      <c r="B147">
        <f t="shared" si="23"/>
        <v>70217.367853769698</v>
      </c>
      <c r="C147" s="5">
        <v>0.08</v>
      </c>
      <c r="D147">
        <f t="shared" si="24"/>
        <v>495734.61704761459</v>
      </c>
      <c r="Q147">
        <f t="shared" si="25"/>
        <v>495734.61704761785</v>
      </c>
      <c r="R147">
        <f t="shared" si="26"/>
        <v>592.76595719515547</v>
      </c>
      <c r="S147">
        <f t="shared" si="27"/>
        <v>2768431.087163378</v>
      </c>
      <c r="T147" s="5">
        <v>0.08</v>
      </c>
      <c r="V147">
        <f>SUM($R$2:R147)</f>
        <v>29744.027804566223</v>
      </c>
      <c r="W147">
        <f t="shared" si="28"/>
        <v>62.716711939792994</v>
      </c>
      <c r="Z147">
        <f t="shared" si="33"/>
        <v>1.7131002545053118E-4</v>
      </c>
      <c r="AA147" s="5">
        <v>0.3</v>
      </c>
      <c r="AB147">
        <f t="shared" si="29"/>
        <v>9228103.6238779277</v>
      </c>
      <c r="AC147">
        <f t="shared" si="32"/>
        <v>1057459.5545322753</v>
      </c>
      <c r="AD147" s="5">
        <v>0.2</v>
      </c>
      <c r="AE147">
        <f t="shared" si="30"/>
        <v>211491.91090645507</v>
      </c>
      <c r="AF147">
        <f t="shared" si="31"/>
        <v>1</v>
      </c>
    </row>
    <row r="148" spans="1:32" x14ac:dyDescent="0.25">
      <c r="A148" s="2">
        <v>147</v>
      </c>
      <c r="B148">
        <f t="shared" si="23"/>
        <v>75834.757282071281</v>
      </c>
      <c r="C148" s="5">
        <v>0.08</v>
      </c>
      <c r="D148">
        <f t="shared" si="24"/>
        <v>535393.38641142379</v>
      </c>
      <c r="Q148">
        <f t="shared" si="25"/>
        <v>535393.38641142729</v>
      </c>
      <c r="R148">
        <f t="shared" si="26"/>
        <v>603.95022053846037</v>
      </c>
      <c r="S148">
        <f t="shared" si="27"/>
        <v>2989905.5741364486</v>
      </c>
      <c r="T148" s="5">
        <v>0.08</v>
      </c>
      <c r="V148">
        <f>SUM($R$2:R148)</f>
        <v>30347.978025104683</v>
      </c>
      <c r="W148">
        <f t="shared" si="28"/>
        <v>63.990170001907572</v>
      </c>
      <c r="Z148">
        <f t="shared" si="33"/>
        <v>1.5862039393567699E-4</v>
      </c>
      <c r="AA148" s="5">
        <v>0.3</v>
      </c>
      <c r="AB148">
        <f t="shared" si="29"/>
        <v>9966351.9137881622</v>
      </c>
      <c r="AC148">
        <f t="shared" si="32"/>
        <v>1120907.1278042118</v>
      </c>
      <c r="AD148" s="5">
        <v>0.2</v>
      </c>
      <c r="AE148">
        <f t="shared" si="30"/>
        <v>224181.42556084238</v>
      </c>
      <c r="AF148">
        <f t="shared" si="31"/>
        <v>1</v>
      </c>
    </row>
    <row r="149" spans="1:32" x14ac:dyDescent="0.25">
      <c r="A149" s="2">
        <v>148</v>
      </c>
      <c r="B149">
        <f t="shared" si="23"/>
        <v>81901.537864636979</v>
      </c>
      <c r="C149" s="5">
        <v>0.08</v>
      </c>
      <c r="D149">
        <f t="shared" si="24"/>
        <v>578224.8573243377</v>
      </c>
      <c r="Q149">
        <f t="shared" si="25"/>
        <v>578224.85732434154</v>
      </c>
      <c r="R149">
        <f t="shared" si="26"/>
        <v>615.34550771843124</v>
      </c>
      <c r="S149">
        <f t="shared" si="27"/>
        <v>3229098.0200673644</v>
      </c>
      <c r="T149" s="5">
        <v>0.08</v>
      </c>
      <c r="V149">
        <f>SUM($R$2:R149)</f>
        <v>30963.323532823113</v>
      </c>
      <c r="W149">
        <f t="shared" si="28"/>
        <v>65.287655574628076</v>
      </c>
      <c r="Z149">
        <f t="shared" si="33"/>
        <v>1.4687073512562686E-4</v>
      </c>
      <c r="AA149" s="5">
        <v>0.3</v>
      </c>
      <c r="AB149">
        <f t="shared" si="29"/>
        <v>10763660.066891216</v>
      </c>
      <c r="AC149">
        <f t="shared" si="32"/>
        <v>1188161.5554724645</v>
      </c>
      <c r="AD149" s="5">
        <v>0.2</v>
      </c>
      <c r="AE149">
        <f t="shared" si="30"/>
        <v>237632.31109449291</v>
      </c>
      <c r="AF149">
        <f t="shared" si="31"/>
        <v>1</v>
      </c>
    </row>
    <row r="150" spans="1:32" x14ac:dyDescent="0.25">
      <c r="A150" s="2">
        <v>149</v>
      </c>
      <c r="B150">
        <f t="shared" si="23"/>
        <v>88453.660893807944</v>
      </c>
      <c r="C150" s="5">
        <v>0.08</v>
      </c>
      <c r="D150">
        <f t="shared" si="24"/>
        <v>624482.84591028467</v>
      </c>
      <c r="Q150">
        <f t="shared" si="25"/>
        <v>624482.84591028886</v>
      </c>
      <c r="R150">
        <f t="shared" si="26"/>
        <v>626.95580031689224</v>
      </c>
      <c r="S150">
        <f t="shared" si="27"/>
        <v>3487425.8616727539</v>
      </c>
      <c r="T150" s="5">
        <v>0.08</v>
      </c>
      <c r="V150">
        <f>SUM($R$2:R150)</f>
        <v>31590.279333140006</v>
      </c>
      <c r="W150">
        <f t="shared" si="28"/>
        <v>66.609622007211243</v>
      </c>
      <c r="Z150">
        <f t="shared" si="33"/>
        <v>1.3599142141261744E-4</v>
      </c>
      <c r="AA150" s="5">
        <v>0.3</v>
      </c>
      <c r="AB150">
        <f t="shared" si="29"/>
        <v>11624752.872242514</v>
      </c>
      <c r="AC150">
        <f t="shared" si="32"/>
        <v>1259451.2488008125</v>
      </c>
      <c r="AD150" s="5">
        <v>0.2</v>
      </c>
      <c r="AE150">
        <f t="shared" si="30"/>
        <v>251890.24976016252</v>
      </c>
      <c r="AF150">
        <f t="shared" si="31"/>
        <v>1</v>
      </c>
    </row>
    <row r="151" spans="1:32" x14ac:dyDescent="0.25">
      <c r="A151" s="2">
        <v>150</v>
      </c>
      <c r="B151">
        <f t="shared" si="23"/>
        <v>95529.953765312574</v>
      </c>
      <c r="C151" s="5">
        <v>0.08</v>
      </c>
      <c r="D151">
        <f t="shared" si="24"/>
        <v>674441.47358310746</v>
      </c>
      <c r="Q151">
        <f t="shared" si="25"/>
        <v>674441.47358311201</v>
      </c>
      <c r="R151">
        <f t="shared" si="26"/>
        <v>638.78515503985238</v>
      </c>
      <c r="S151">
        <f t="shared" si="27"/>
        <v>3766419.9306065743</v>
      </c>
      <c r="T151" s="5">
        <v>0.08</v>
      </c>
      <c r="V151">
        <f>SUM($R$2:R151)</f>
        <v>32229.064488179858</v>
      </c>
      <c r="W151">
        <f t="shared" si="28"/>
        <v>67.956531202673347</v>
      </c>
      <c r="Z151">
        <f t="shared" si="33"/>
        <v>1.2591798278946059E-4</v>
      </c>
      <c r="AA151" s="5">
        <v>0.3</v>
      </c>
      <c r="AB151">
        <f t="shared" si="29"/>
        <v>12554733.102021914</v>
      </c>
      <c r="AC151">
        <f t="shared" si="32"/>
        <v>1335018.3237288613</v>
      </c>
      <c r="AD151" s="5">
        <v>0.2</v>
      </c>
      <c r="AE151">
        <f t="shared" si="30"/>
        <v>267003.66474577226</v>
      </c>
      <c r="AF151">
        <f t="shared" si="31"/>
        <v>1</v>
      </c>
    </row>
    <row r="152" spans="1:32" x14ac:dyDescent="0.25">
      <c r="A152" s="2">
        <v>151</v>
      </c>
      <c r="B152">
        <f t="shared" si="23"/>
        <v>103172.35006653758</v>
      </c>
      <c r="C152" s="5">
        <v>0.08</v>
      </c>
      <c r="D152">
        <f t="shared" si="24"/>
        <v>728396.79146975605</v>
      </c>
      <c r="Q152">
        <f t="shared" si="25"/>
        <v>728396.79146976105</v>
      </c>
      <c r="R152">
        <f t="shared" si="26"/>
        <v>650.83770513494403</v>
      </c>
      <c r="S152">
        <f t="shared" si="27"/>
        <v>4067733.5250551007</v>
      </c>
      <c r="T152" s="5">
        <v>0.08</v>
      </c>
      <c r="V152">
        <f>SUM($R$2:R152)</f>
        <v>32879.902193314803</v>
      </c>
      <c r="W152">
        <f t="shared" si="28"/>
        <v>69.328853779181898</v>
      </c>
      <c r="Z152">
        <f t="shared" si="33"/>
        <v>1.165907248050561E-4</v>
      </c>
      <c r="AA152" s="5">
        <v>0.3</v>
      </c>
      <c r="AB152">
        <f t="shared" si="29"/>
        <v>13559111.75018367</v>
      </c>
      <c r="AC152">
        <f t="shared" si="32"/>
        <v>1415119.423152593</v>
      </c>
      <c r="AD152" s="5">
        <v>0.2</v>
      </c>
      <c r="AE152">
        <f t="shared" si="30"/>
        <v>283023.88463051862</v>
      </c>
      <c r="AF152">
        <f t="shared" si="31"/>
        <v>1</v>
      </c>
    </row>
    <row r="153" spans="1:32" x14ac:dyDescent="0.25">
      <c r="A153" s="2">
        <v>152</v>
      </c>
      <c r="B153">
        <f t="shared" si="23"/>
        <v>111426.13807186058</v>
      </c>
      <c r="C153" s="5">
        <v>0.08</v>
      </c>
      <c r="D153">
        <f t="shared" si="24"/>
        <v>786668.53478733648</v>
      </c>
      <c r="Q153">
        <f t="shared" si="25"/>
        <v>786668.53478734207</v>
      </c>
      <c r="R153">
        <f t="shared" si="26"/>
        <v>663.11766183560326</v>
      </c>
      <c r="S153">
        <f t="shared" si="27"/>
        <v>4393152.2070595091</v>
      </c>
      <c r="T153" s="5">
        <v>0.08</v>
      </c>
      <c r="V153">
        <f>SUM($R$2:R153)</f>
        <v>33543.019855150407</v>
      </c>
      <c r="W153">
        <f t="shared" si="28"/>
        <v>70.72706923449249</v>
      </c>
      <c r="Z153">
        <f t="shared" si="33"/>
        <v>1.0795437481949638E-4</v>
      </c>
      <c r="AA153" s="5">
        <v>0.3</v>
      </c>
      <c r="AB153">
        <f t="shared" si="29"/>
        <v>14643840.690198364</v>
      </c>
      <c r="AC153">
        <f t="shared" si="32"/>
        <v>1500026.5885417487</v>
      </c>
      <c r="AD153" s="5">
        <v>0.2</v>
      </c>
      <c r="AE153">
        <f t="shared" si="30"/>
        <v>300005.31770834973</v>
      </c>
      <c r="AF153">
        <f t="shared" si="31"/>
        <v>1</v>
      </c>
    </row>
    <row r="154" spans="1:32" x14ac:dyDescent="0.25">
      <c r="A154" s="2">
        <v>153</v>
      </c>
      <c r="B154">
        <f t="shared" si="23"/>
        <v>120340.22911760943</v>
      </c>
      <c r="C154" s="5">
        <v>0.08</v>
      </c>
      <c r="D154">
        <f t="shared" si="24"/>
        <v>849602.01757032343</v>
      </c>
      <c r="Q154">
        <f t="shared" si="25"/>
        <v>849602.01757032925</v>
      </c>
      <c r="R154">
        <f t="shared" si="26"/>
        <v>675.62931583250167</v>
      </c>
      <c r="S154">
        <f t="shared" si="27"/>
        <v>4744604.3836242706</v>
      </c>
      <c r="T154" s="5">
        <v>0.08</v>
      </c>
      <c r="V154">
        <f>SUM($R$2:R154)</f>
        <v>34218.649170982906</v>
      </c>
      <c r="W154">
        <f t="shared" si="28"/>
        <v>72.15166611348819</v>
      </c>
      <c r="Z154">
        <f t="shared" si="33"/>
        <v>9.9957754462496633E-5</v>
      </c>
      <c r="AA154" s="5">
        <v>0.3</v>
      </c>
      <c r="AB154">
        <f t="shared" si="29"/>
        <v>15815347.945414236</v>
      </c>
      <c r="AC154">
        <f t="shared" si="32"/>
        <v>1590028.1838542537</v>
      </c>
      <c r="AD154" s="5">
        <v>0.2</v>
      </c>
      <c r="AE154">
        <f t="shared" si="30"/>
        <v>318005.63677085075</v>
      </c>
      <c r="AF154">
        <f t="shared" si="31"/>
        <v>1</v>
      </c>
    </row>
    <row r="155" spans="1:32" x14ac:dyDescent="0.25">
      <c r="A155" s="2">
        <v>154</v>
      </c>
      <c r="B155">
        <f t="shared" si="23"/>
        <v>129967.44744701819</v>
      </c>
      <c r="C155" s="5">
        <v>0.08</v>
      </c>
      <c r="D155">
        <f t="shared" si="24"/>
        <v>917570.1789759493</v>
      </c>
      <c r="Q155">
        <f t="shared" si="25"/>
        <v>917570.17897595582</v>
      </c>
      <c r="R155">
        <f t="shared" si="26"/>
        <v>688.37703877273759</v>
      </c>
      <c r="S155">
        <f t="shared" si="27"/>
        <v>5124172.7343142126</v>
      </c>
      <c r="T155" s="5">
        <v>0.08</v>
      </c>
      <c r="V155">
        <f>SUM($R$2:R155)</f>
        <v>34907.026209755641</v>
      </c>
      <c r="W155">
        <f t="shared" si="28"/>
        <v>73.60314217888002</v>
      </c>
      <c r="Z155">
        <f t="shared" si="33"/>
        <v>9.2553476354163532E-5</v>
      </c>
      <c r="AA155" s="5">
        <v>0.3</v>
      </c>
      <c r="AB155">
        <f t="shared" si="29"/>
        <v>17080575.781047378</v>
      </c>
      <c r="AC155">
        <f t="shared" si="32"/>
        <v>1685429.874885509</v>
      </c>
      <c r="AD155" s="5">
        <v>0.2</v>
      </c>
      <c r="AE155">
        <f t="shared" si="30"/>
        <v>337085.97497710184</v>
      </c>
      <c r="AF155">
        <f t="shared" si="31"/>
        <v>1</v>
      </c>
    </row>
    <row r="156" spans="1:32" x14ac:dyDescent="0.25">
      <c r="A156" s="2">
        <v>155</v>
      </c>
      <c r="B156">
        <f t="shared" si="23"/>
        <v>140364.84324277964</v>
      </c>
      <c r="C156" s="5">
        <v>0.08</v>
      </c>
      <c r="D156">
        <f t="shared" si="24"/>
        <v>990975.79329402524</v>
      </c>
      <c r="Q156">
        <f t="shared" si="25"/>
        <v>990975.79329403222</v>
      </c>
      <c r="R156">
        <f t="shared" si="26"/>
        <v>701.36528478731759</v>
      </c>
      <c r="S156">
        <f t="shared" si="27"/>
        <v>5534106.5530593498</v>
      </c>
      <c r="T156" s="5">
        <v>0.08</v>
      </c>
      <c r="V156">
        <f>SUM($R$2:R156)</f>
        <v>35608.391494542957</v>
      </c>
      <c r="W156">
        <f t="shared" si="28"/>
        <v>75.082004585128317</v>
      </c>
      <c r="Z156">
        <f t="shared" si="33"/>
        <v>8.5697663290892158E-5</v>
      </c>
      <c r="AA156" s="5">
        <v>0.3</v>
      </c>
      <c r="AB156">
        <f t="shared" si="29"/>
        <v>18447021.843531165</v>
      </c>
      <c r="AC156">
        <f t="shared" si="32"/>
        <v>1786555.6673786396</v>
      </c>
      <c r="AD156" s="5">
        <v>0.2</v>
      </c>
      <c r="AE156">
        <f t="shared" si="30"/>
        <v>357311.13347572793</v>
      </c>
      <c r="AF156">
        <f t="shared" si="31"/>
        <v>1</v>
      </c>
    </row>
    <row r="157" spans="1:32" x14ac:dyDescent="0.25">
      <c r="A157" s="2">
        <v>156</v>
      </c>
      <c r="B157">
        <f t="shared" si="23"/>
        <v>151594.030702202</v>
      </c>
      <c r="C157" s="5">
        <v>0.08</v>
      </c>
      <c r="D157">
        <f t="shared" si="24"/>
        <v>1070253.8567575472</v>
      </c>
      <c r="Q157">
        <f t="shared" si="25"/>
        <v>1070253.8567575549</v>
      </c>
      <c r="R157">
        <f t="shared" si="26"/>
        <v>714.59859204745555</v>
      </c>
      <c r="S157">
        <f t="shared" si="27"/>
        <v>5976835.0773040978</v>
      </c>
      <c r="T157" s="5">
        <v>0.08</v>
      </c>
      <c r="V157">
        <f>SUM($R$2:R157)</f>
        <v>36322.990086590413</v>
      </c>
      <c r="W157">
        <f t="shared" si="28"/>
        <v>76.588770055645455</v>
      </c>
      <c r="Z157">
        <f t="shared" si="33"/>
        <v>7.9349688232307558E-5</v>
      </c>
      <c r="AA157" s="5">
        <v>0.3</v>
      </c>
      <c r="AB157">
        <f t="shared" si="29"/>
        <v>19922783.591013659</v>
      </c>
      <c r="AC157">
        <f t="shared" si="32"/>
        <v>1893749.007421358</v>
      </c>
      <c r="AD157" s="5">
        <v>0.2</v>
      </c>
      <c r="AE157">
        <f t="shared" si="30"/>
        <v>378749.80148427165</v>
      </c>
      <c r="AF157">
        <f t="shared" si="31"/>
        <v>1</v>
      </c>
    </row>
    <row r="158" spans="1:32" x14ac:dyDescent="0.25">
      <c r="A158" s="2">
        <v>157</v>
      </c>
      <c r="B158">
        <f t="shared" si="23"/>
        <v>163721.55315837817</v>
      </c>
      <c r="C158" s="5">
        <v>0.08</v>
      </c>
      <c r="D158">
        <f t="shared" si="24"/>
        <v>1155874.1652981511</v>
      </c>
      <c r="Q158">
        <f t="shared" si="25"/>
        <v>1155874.1652981592</v>
      </c>
      <c r="R158">
        <f t="shared" si="26"/>
        <v>728.08158435023768</v>
      </c>
      <c r="S158">
        <f t="shared" si="27"/>
        <v>6454981.883488426</v>
      </c>
      <c r="T158" s="5">
        <v>0.08</v>
      </c>
      <c r="V158">
        <f>SUM($R$2:R158)</f>
        <v>37051.071670940648</v>
      </c>
      <c r="W158">
        <f t="shared" si="28"/>
        <v>78.123965063342155</v>
      </c>
      <c r="Z158">
        <f t="shared" si="33"/>
        <v>7.3471933548432922E-5</v>
      </c>
      <c r="AA158" s="5">
        <v>0.3</v>
      </c>
      <c r="AB158">
        <f t="shared" si="29"/>
        <v>21516606.278294753</v>
      </c>
      <c r="AC158">
        <f t="shared" si="32"/>
        <v>2007373.9478666396</v>
      </c>
      <c r="AD158" s="5">
        <v>0.2</v>
      </c>
      <c r="AE158">
        <f t="shared" si="30"/>
        <v>401474.78957332793</v>
      </c>
      <c r="AF158">
        <f t="shared" si="31"/>
        <v>1</v>
      </c>
    </row>
    <row r="159" spans="1:32" x14ac:dyDescent="0.25">
      <c r="A159" s="2">
        <v>158</v>
      </c>
      <c r="B159">
        <f t="shared" si="23"/>
        <v>176819.27741104842</v>
      </c>
      <c r="C159" s="5">
        <v>0.08</v>
      </c>
      <c r="D159">
        <f t="shared" si="24"/>
        <v>1248344.0985220033</v>
      </c>
      <c r="Q159">
        <f t="shared" si="25"/>
        <v>1248344.0985220121</v>
      </c>
      <c r="R159">
        <f t="shared" si="26"/>
        <v>741.81897273420441</v>
      </c>
      <c r="S159">
        <f t="shared" si="27"/>
        <v>6971380.4341675006</v>
      </c>
      <c r="T159" s="5">
        <v>0.08</v>
      </c>
      <c r="V159">
        <f>SUM($R$2:R159)</f>
        <v>37792.890643674851</v>
      </c>
      <c r="W159">
        <f t="shared" si="28"/>
        <v>79.688126014580291</v>
      </c>
      <c r="Z159">
        <f t="shared" si="33"/>
        <v>6.8029568100400851E-5</v>
      </c>
      <c r="AA159" s="5">
        <v>0.3</v>
      </c>
      <c r="AB159">
        <f t="shared" si="29"/>
        <v>23237934.780558337</v>
      </c>
      <c r="AC159">
        <f t="shared" si="32"/>
        <v>2127816.3847386381</v>
      </c>
      <c r="AD159" s="5">
        <v>0.2</v>
      </c>
      <c r="AE159">
        <f t="shared" si="30"/>
        <v>425563.27694772766</v>
      </c>
      <c r="AF159">
        <f t="shared" si="31"/>
        <v>1</v>
      </c>
    </row>
    <row r="160" spans="1:32" x14ac:dyDescent="0.25">
      <c r="A160" s="2">
        <v>159</v>
      </c>
      <c r="B160">
        <f t="shared" si="23"/>
        <v>190964.81960393229</v>
      </c>
      <c r="C160" s="5">
        <v>0.08</v>
      </c>
      <c r="D160">
        <f t="shared" si="24"/>
        <v>1348211.6264037634</v>
      </c>
      <c r="Q160">
        <f t="shared" si="25"/>
        <v>1348211.6264037732</v>
      </c>
      <c r="R160">
        <f t="shared" si="26"/>
        <v>755.81555712541581</v>
      </c>
      <c r="S160">
        <f t="shared" si="27"/>
        <v>7529090.8689009007</v>
      </c>
      <c r="T160" s="5">
        <v>0.08</v>
      </c>
      <c r="V160">
        <f>SUM($R$2:R160)</f>
        <v>38548.706200800269</v>
      </c>
      <c r="W160">
        <f t="shared" si="28"/>
        <v>81.281799436596529</v>
      </c>
      <c r="Z160">
        <f t="shared" si="33"/>
        <v>6.2990340833704486E-5</v>
      </c>
      <c r="AA160" s="5">
        <v>0.3</v>
      </c>
      <c r="AB160">
        <f t="shared" si="29"/>
        <v>25096969.563003004</v>
      </c>
      <c r="AC160">
        <f t="shared" si="32"/>
        <v>2255485.3678229563</v>
      </c>
      <c r="AD160" s="5">
        <v>0.2</v>
      </c>
      <c r="AE160">
        <f t="shared" si="30"/>
        <v>451097.07356459129</v>
      </c>
      <c r="AF160">
        <f t="shared" si="31"/>
        <v>1</v>
      </c>
    </row>
    <row r="161" spans="1:32" x14ac:dyDescent="0.25">
      <c r="A161" s="2">
        <v>160</v>
      </c>
      <c r="B161">
        <f t="shared" si="23"/>
        <v>206242.00517224689</v>
      </c>
      <c r="C161" s="5">
        <v>0.08</v>
      </c>
      <c r="D161">
        <f t="shared" si="24"/>
        <v>1456068.5565160646</v>
      </c>
      <c r="Q161">
        <f t="shared" si="25"/>
        <v>1456068.5565160753</v>
      </c>
      <c r="R161">
        <f t="shared" si="26"/>
        <v>770.07622801457444</v>
      </c>
      <c r="S161">
        <f t="shared" si="27"/>
        <v>8131418.1384129729</v>
      </c>
      <c r="T161" s="5">
        <v>0.08</v>
      </c>
      <c r="V161">
        <f>SUM($R$2:R161)</f>
        <v>39318.78242881484</v>
      </c>
      <c r="W161">
        <f t="shared" si="28"/>
        <v>82.905542168462105</v>
      </c>
      <c r="Z161">
        <f t="shared" si="33"/>
        <v>5.8324389660837484E-5</v>
      </c>
      <c r="AA161" s="5">
        <v>0.3</v>
      </c>
      <c r="AB161">
        <f t="shared" si="29"/>
        <v>27104727.128043246</v>
      </c>
      <c r="AC161">
        <f t="shared" si="32"/>
        <v>2390814.4898923337</v>
      </c>
      <c r="AD161" s="5">
        <v>0.2</v>
      </c>
      <c r="AE161">
        <f t="shared" si="30"/>
        <v>478162.89797846676</v>
      </c>
      <c r="AF161">
        <f t="shared" si="31"/>
        <v>1</v>
      </c>
    </row>
    <row r="162" spans="1:32" x14ac:dyDescent="0.25">
      <c r="A162" s="2">
        <v>161</v>
      </c>
      <c r="B162">
        <f t="shared" si="23"/>
        <v>222741.36558602663</v>
      </c>
      <c r="C162" s="5">
        <v>0.08</v>
      </c>
      <c r="D162">
        <f t="shared" si="24"/>
        <v>1572554.0410373497</v>
      </c>
      <c r="Q162">
        <f t="shared" si="25"/>
        <v>1572554.0410373614</v>
      </c>
      <c r="R162">
        <f t="shared" si="26"/>
        <v>784.60596816579323</v>
      </c>
      <c r="S162">
        <f t="shared" si="27"/>
        <v>8781931.5894860122</v>
      </c>
      <c r="T162" s="5">
        <v>0.08</v>
      </c>
      <c r="V162">
        <f>SUM($R$2:R162)</f>
        <v>40103.388396980634</v>
      </c>
      <c r="W162">
        <f t="shared" si="28"/>
        <v>84.559921555645914</v>
      </c>
      <c r="Z162">
        <f t="shared" si="33"/>
        <v>5.4004064500775441E-5</v>
      </c>
      <c r="AA162" s="5">
        <v>0.3</v>
      </c>
      <c r="AB162">
        <f t="shared" si="29"/>
        <v>29273105.29828671</v>
      </c>
      <c r="AC162">
        <f t="shared" si="32"/>
        <v>2534263.3592858738</v>
      </c>
      <c r="AD162" s="5">
        <v>0.2</v>
      </c>
      <c r="AE162">
        <f t="shared" si="30"/>
        <v>506852.67185717478</v>
      </c>
      <c r="AF162">
        <f t="shared" si="31"/>
        <v>1</v>
      </c>
    </row>
    <row r="163" spans="1:32" x14ac:dyDescent="0.25">
      <c r="A163" s="2">
        <v>162</v>
      </c>
      <c r="B163">
        <f t="shared" si="23"/>
        <v>240560.67483290876</v>
      </c>
      <c r="C163" s="5">
        <v>0.08</v>
      </c>
      <c r="D163">
        <f t="shared" si="24"/>
        <v>1698358.3643203378</v>
      </c>
      <c r="Q163">
        <f t="shared" si="25"/>
        <v>1698358.3643203501</v>
      </c>
      <c r="R163">
        <f t="shared" si="26"/>
        <v>799.40985435760069</v>
      </c>
      <c r="S163">
        <f t="shared" si="27"/>
        <v>9484486.1166448947</v>
      </c>
      <c r="T163" s="5">
        <v>0.08</v>
      </c>
      <c r="V163">
        <f>SUM($R$2:R163)</f>
        <v>40902.798251338238</v>
      </c>
      <c r="W163">
        <f t="shared" si="28"/>
        <v>86.245515648248301</v>
      </c>
      <c r="Z163">
        <f t="shared" si="33"/>
        <v>5.0003763426643918E-5</v>
      </c>
      <c r="AA163" s="5">
        <v>0.3</v>
      </c>
      <c r="AB163">
        <f t="shared" si="29"/>
        <v>31614953.722149651</v>
      </c>
      <c r="AC163">
        <f t="shared" si="32"/>
        <v>2686319.1608430264</v>
      </c>
      <c r="AD163" s="5">
        <v>0.2</v>
      </c>
      <c r="AE163">
        <f t="shared" si="30"/>
        <v>537263.8321686053</v>
      </c>
      <c r="AF163">
        <f t="shared" si="31"/>
        <v>1</v>
      </c>
    </row>
    <row r="164" spans="1:32" x14ac:dyDescent="0.25">
      <c r="A164" s="2">
        <v>163</v>
      </c>
      <c r="B164">
        <f t="shared" si="23"/>
        <v>259805.52881954145</v>
      </c>
      <c r="C164" s="5">
        <v>0.08</v>
      </c>
      <c r="D164">
        <f t="shared" si="24"/>
        <v>1834227.0334659647</v>
      </c>
      <c r="Q164">
        <f t="shared" si="25"/>
        <v>1834227.0334659782</v>
      </c>
      <c r="R164">
        <f t="shared" si="26"/>
        <v>814.49305915680065</v>
      </c>
      <c r="S164">
        <f t="shared" si="27"/>
        <v>10243245.005976487</v>
      </c>
      <c r="T164" s="5">
        <v>0.08</v>
      </c>
      <c r="V164">
        <f>SUM($R$2:R164)</f>
        <v>41717.291310495035</v>
      </c>
      <c r="W164">
        <f t="shared" si="28"/>
        <v>87.962913402975232</v>
      </c>
      <c r="Z164">
        <f t="shared" si="33"/>
        <v>4.6299780950596215E-5</v>
      </c>
      <c r="AA164" s="5">
        <v>0.3</v>
      </c>
      <c r="AB164">
        <f t="shared" si="29"/>
        <v>34144150.019921623</v>
      </c>
      <c r="AC164">
        <f t="shared" si="32"/>
        <v>2847498.310493608</v>
      </c>
      <c r="AD164" s="5">
        <v>0.2</v>
      </c>
      <c r="AE164">
        <f t="shared" si="30"/>
        <v>569499.6620987216</v>
      </c>
      <c r="AF164">
        <f t="shared" si="31"/>
        <v>1</v>
      </c>
    </row>
    <row r="165" spans="1:32" x14ac:dyDescent="0.25">
      <c r="A165" s="2">
        <v>164</v>
      </c>
      <c r="B165">
        <f t="shared" si="23"/>
        <v>280589.97112510476</v>
      </c>
      <c r="C165" s="5">
        <v>0.08</v>
      </c>
      <c r="D165">
        <f t="shared" si="24"/>
        <v>1980965.1961432418</v>
      </c>
      <c r="Q165">
        <f t="shared" si="25"/>
        <v>1980965.1961432567</v>
      </c>
      <c r="R165">
        <f t="shared" si="26"/>
        <v>829.8608527257968</v>
      </c>
      <c r="S165">
        <f t="shared" si="27"/>
        <v>11062704.606454607</v>
      </c>
      <c r="T165" s="5">
        <v>0.08</v>
      </c>
      <c r="V165">
        <f>SUM($R$2:R165)</f>
        <v>42547.152163220831</v>
      </c>
      <c r="W165">
        <f t="shared" si="28"/>
        <v>89.712714888923443</v>
      </c>
      <c r="Z165">
        <f t="shared" si="33"/>
        <v>4.2870167546848345E-5</v>
      </c>
      <c r="AA165" s="5">
        <v>0.3</v>
      </c>
      <c r="AB165">
        <f t="shared" si="29"/>
        <v>36875682.021515362</v>
      </c>
      <c r="AC165">
        <f t="shared" si="32"/>
        <v>3018348.2091232245</v>
      </c>
      <c r="AD165" s="5">
        <v>0.2</v>
      </c>
      <c r="AE165">
        <f t="shared" si="30"/>
        <v>603669.64182464487</v>
      </c>
      <c r="AF165">
        <f t="shared" si="31"/>
        <v>1</v>
      </c>
    </row>
    <row r="166" spans="1:32" x14ac:dyDescent="0.25">
      <c r="A166" s="2">
        <v>165</v>
      </c>
      <c r="B166">
        <f t="shared" ref="B166:B200" si="34">B165+B165*C165</f>
        <v>303037.16881511314</v>
      </c>
      <c r="C166" s="5">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5">
        <v>0.08</v>
      </c>
      <c r="V166">
        <f>SUM($R$2:R166)</f>
        <v>43392.670767884854</v>
      </c>
      <c r="W166">
        <f t="shared" ref="W166:W200" si="39">V166/$W$2</f>
        <v>91.495531497248038</v>
      </c>
      <c r="Z166">
        <f t="shared" si="33"/>
        <v>3.9694599580415133E-5</v>
      </c>
      <c r="AA166" s="5">
        <v>0.3</v>
      </c>
      <c r="AB166">
        <f t="shared" si="29"/>
        <v>39825736.58323659</v>
      </c>
      <c r="AC166">
        <f t="shared" si="32"/>
        <v>3199449.1016706182</v>
      </c>
      <c r="AD166" s="5">
        <v>0.2</v>
      </c>
      <c r="AE166">
        <f t="shared" si="30"/>
        <v>639889.82033412368</v>
      </c>
      <c r="AF166">
        <f t="shared" si="31"/>
        <v>1</v>
      </c>
    </row>
    <row r="167" spans="1:32" x14ac:dyDescent="0.25">
      <c r="A167" s="2">
        <v>166</v>
      </c>
      <c r="B167">
        <f t="shared" si="34"/>
        <v>327280.14232032216</v>
      </c>
      <c r="C167" s="5">
        <v>0.08</v>
      </c>
      <c r="D167">
        <f t="shared" si="35"/>
        <v>2310597.804781477</v>
      </c>
      <c r="Q167">
        <f t="shared" si="36"/>
        <v>2310597.8047814951</v>
      </c>
      <c r="R167">
        <f t="shared" si="37"/>
        <v>861.47178588409531</v>
      </c>
      <c r="S167">
        <f t="shared" si="38"/>
        <v>12903538.652968654</v>
      </c>
      <c r="T167" s="5">
        <v>0.08</v>
      </c>
      <c r="V167">
        <f>SUM($R$2:R167)</f>
        <v>44254.14255376895</v>
      </c>
      <c r="W167">
        <f t="shared" si="39"/>
        <v>93.311986154786297</v>
      </c>
      <c r="Z167">
        <f t="shared" si="33"/>
        <v>3.6754258870754755E-5</v>
      </c>
      <c r="AA167" s="5">
        <v>0.3</v>
      </c>
      <c r="AB167">
        <f t="shared" si="29"/>
        <v>43011795.509895518</v>
      </c>
      <c r="AC167">
        <f t="shared" si="32"/>
        <v>3391416.0477708555</v>
      </c>
      <c r="AD167" s="5">
        <v>0.2</v>
      </c>
      <c r="AE167">
        <f t="shared" si="30"/>
        <v>678283.20955417119</v>
      </c>
      <c r="AF167">
        <f t="shared" si="31"/>
        <v>1</v>
      </c>
    </row>
    <row r="168" spans="1:32" x14ac:dyDescent="0.25">
      <c r="A168" s="2">
        <v>167</v>
      </c>
      <c r="B168">
        <f t="shared" si="34"/>
        <v>353462.55370594794</v>
      </c>
      <c r="C168" s="5">
        <v>0.08</v>
      </c>
      <c r="D168">
        <f t="shared" si="35"/>
        <v>2495445.6291639949</v>
      </c>
      <c r="Q168">
        <f t="shared" si="36"/>
        <v>2495445.6291640149</v>
      </c>
      <c r="R168">
        <f t="shared" si="37"/>
        <v>877.72597052341769</v>
      </c>
      <c r="S168">
        <f t="shared" si="38"/>
        <v>13935821.745206147</v>
      </c>
      <c r="T168" s="5">
        <v>0.08</v>
      </c>
      <c r="V168">
        <f>SUM($R$2:R168)</f>
        <v>45131.868524292368</v>
      </c>
      <c r="W168">
        <f t="shared" si="39"/>
        <v>95.16271354171208</v>
      </c>
      <c r="Z168">
        <f t="shared" si="33"/>
        <v>3.4031721176624766E-5</v>
      </c>
      <c r="AA168" s="5">
        <v>0.3</v>
      </c>
      <c r="AB168">
        <f t="shared" si="29"/>
        <v>46452739.150687158</v>
      </c>
      <c r="AC168">
        <f t="shared" si="32"/>
        <v>3594901.0106371068</v>
      </c>
      <c r="AD168" s="5">
        <v>0.2</v>
      </c>
      <c r="AE168">
        <f t="shared" si="30"/>
        <v>718980.20212742139</v>
      </c>
      <c r="AF168">
        <f t="shared" si="31"/>
        <v>1</v>
      </c>
    </row>
    <row r="169" spans="1:32" x14ac:dyDescent="0.25">
      <c r="A169" s="2">
        <v>168</v>
      </c>
      <c r="B169">
        <f t="shared" si="34"/>
        <v>381739.55800242379</v>
      </c>
      <c r="C169" s="5">
        <v>0.08</v>
      </c>
      <c r="D169">
        <f t="shared" si="35"/>
        <v>2695081.2794971145</v>
      </c>
      <c r="Q169">
        <f t="shared" si="36"/>
        <v>2695081.2794971359</v>
      </c>
      <c r="R169">
        <f t="shared" si="37"/>
        <v>894.28683789178399</v>
      </c>
      <c r="S169">
        <f t="shared" si="38"/>
        <v>15050687.48482264</v>
      </c>
      <c r="T169" s="5">
        <v>0.08</v>
      </c>
      <c r="V169">
        <f>SUM($R$2:R169)</f>
        <v>46026.155362184152</v>
      </c>
      <c r="W169">
        <f t="shared" si="39"/>
        <v>97.048360313296826</v>
      </c>
      <c r="Z169">
        <f t="shared" si="33"/>
        <v>3.1510852941319226E-5</v>
      </c>
      <c r="AA169" s="5">
        <v>0.3</v>
      </c>
      <c r="AB169">
        <f t="shared" si="29"/>
        <v>50168958.282742135</v>
      </c>
      <c r="AC169">
        <f t="shared" si="32"/>
        <v>3810595.0712753334</v>
      </c>
      <c r="AD169" s="5">
        <v>0.2</v>
      </c>
      <c r="AE169">
        <f t="shared" si="30"/>
        <v>762119.01425506675</v>
      </c>
      <c r="AF169">
        <f t="shared" si="31"/>
        <v>1</v>
      </c>
    </row>
    <row r="170" spans="1:32" x14ac:dyDescent="0.25">
      <c r="A170" s="2">
        <v>169</v>
      </c>
      <c r="B170">
        <f t="shared" si="34"/>
        <v>412278.72264261771</v>
      </c>
      <c r="C170" s="5">
        <v>0.08</v>
      </c>
      <c r="D170">
        <f t="shared" si="35"/>
        <v>2910687.7818568838</v>
      </c>
      <c r="Q170">
        <f t="shared" si="36"/>
        <v>2910687.7818569071</v>
      </c>
      <c r="R170">
        <f t="shared" si="37"/>
        <v>911.16017445578018</v>
      </c>
      <c r="S170">
        <f t="shared" si="38"/>
        <v>16254742.483608453</v>
      </c>
      <c r="T170" s="5">
        <v>0.08</v>
      </c>
      <c r="V170">
        <f>SUM($R$2:R170)</f>
        <v>46937.31553663993</v>
      </c>
      <c r="W170">
        <f t="shared" si="39"/>
        <v>98.969585325854865</v>
      </c>
      <c r="Z170">
        <f t="shared" si="33"/>
        <v>2.917671568640669E-5</v>
      </c>
      <c r="AA170" s="5">
        <v>0.3</v>
      </c>
      <c r="AB170">
        <f t="shared" si="29"/>
        <v>54182474.94536151</v>
      </c>
      <c r="AC170">
        <f t="shared" si="32"/>
        <v>4039230.7755518537</v>
      </c>
      <c r="AD170" s="5">
        <v>0.2</v>
      </c>
      <c r="AE170">
        <f t="shared" si="30"/>
        <v>807846.15511037083</v>
      </c>
      <c r="AF170">
        <f t="shared" si="31"/>
        <v>1</v>
      </c>
    </row>
    <row r="171" spans="1:32" x14ac:dyDescent="0.25">
      <c r="A171" s="2">
        <v>170</v>
      </c>
      <c r="B171">
        <f t="shared" si="34"/>
        <v>445261.02045402711</v>
      </c>
      <c r="C171" s="5">
        <v>0.08</v>
      </c>
      <c r="D171">
        <f t="shared" si="35"/>
        <v>3143542.8044054345</v>
      </c>
      <c r="Q171">
        <f t="shared" si="36"/>
        <v>3143542.8044054601</v>
      </c>
      <c r="R171">
        <f t="shared" si="37"/>
        <v>928.35187586060624</v>
      </c>
      <c r="S171">
        <f t="shared" si="38"/>
        <v>17555121.882297128</v>
      </c>
      <c r="T171" s="5">
        <v>0.08</v>
      </c>
      <c r="V171">
        <f>SUM($R$2:R171)</f>
        <v>47865.667412500537</v>
      </c>
      <c r="W171">
        <f t="shared" si="39"/>
        <v>100.92705986695175</v>
      </c>
      <c r="Z171">
        <f t="shared" si="33"/>
        <v>2.7015477487413603E-5</v>
      </c>
      <c r="AA171" s="5">
        <v>0.3</v>
      </c>
      <c r="AB171">
        <f t="shared" si="29"/>
        <v>58517072.940990433</v>
      </c>
      <c r="AC171">
        <f t="shared" si="32"/>
        <v>4281584.622084965</v>
      </c>
      <c r="AD171" s="5">
        <v>0.2</v>
      </c>
      <c r="AE171">
        <f t="shared" si="30"/>
        <v>856316.92441699305</v>
      </c>
      <c r="AF171">
        <f t="shared" si="31"/>
        <v>1</v>
      </c>
    </row>
    <row r="172" spans="1:32" x14ac:dyDescent="0.25">
      <c r="A172" s="2">
        <v>171</v>
      </c>
      <c r="B172">
        <f t="shared" si="34"/>
        <v>480881.90209034929</v>
      </c>
      <c r="C172" s="5">
        <v>0.08</v>
      </c>
      <c r="D172">
        <f t="shared" si="35"/>
        <v>3395026.2287578695</v>
      </c>
      <c r="Q172">
        <f t="shared" si="36"/>
        <v>3395026.2287578965</v>
      </c>
      <c r="R172">
        <f t="shared" si="37"/>
        <v>945.86794899005145</v>
      </c>
      <c r="S172">
        <f t="shared" si="38"/>
        <v>18959531.6328809</v>
      </c>
      <c r="T172" s="5">
        <v>0.08</v>
      </c>
      <c r="V172">
        <f>SUM($R$2:R172)</f>
        <v>48811.535361490591</v>
      </c>
      <c r="W172">
        <f t="shared" si="39"/>
        <v>102.92146788995612</v>
      </c>
      <c r="Z172">
        <f t="shared" si="33"/>
        <v>2.5014331006864447E-5</v>
      </c>
      <c r="AA172" s="5">
        <v>0.3</v>
      </c>
      <c r="AB172">
        <f t="shared" si="29"/>
        <v>63198438.776269667</v>
      </c>
      <c r="AC172">
        <f t="shared" si="32"/>
        <v>4538479.6994100632</v>
      </c>
      <c r="AD172" s="5">
        <v>0.2</v>
      </c>
      <c r="AE172">
        <f t="shared" si="30"/>
        <v>907695.93988201267</v>
      </c>
      <c r="AF172">
        <f t="shared" si="31"/>
        <v>1</v>
      </c>
    </row>
    <row r="173" spans="1:32" x14ac:dyDescent="0.25">
      <c r="A173" s="2">
        <v>172</v>
      </c>
      <c r="B173">
        <f t="shared" si="34"/>
        <v>519352.45425757725</v>
      </c>
      <c r="C173" s="5">
        <v>0.08</v>
      </c>
      <c r="D173">
        <f t="shared" si="35"/>
        <v>3666628.3270584992</v>
      </c>
      <c r="Q173">
        <f t="shared" si="36"/>
        <v>3666628.3270585281</v>
      </c>
      <c r="R173">
        <f t="shared" si="37"/>
        <v>963.71451406533538</v>
      </c>
      <c r="S173">
        <f t="shared" si="38"/>
        <v>20476294.163511373</v>
      </c>
      <c r="T173" s="5">
        <v>0.08</v>
      </c>
      <c r="V173">
        <f>SUM($R$2:R173)</f>
        <v>49775.249875555928</v>
      </c>
      <c r="W173">
        <f t="shared" si="39"/>
        <v>104.95350625301718</v>
      </c>
      <c r="Z173">
        <f t="shared" si="33"/>
        <v>2.3161417598948559E-5</v>
      </c>
      <c r="AA173" s="5">
        <v>0.3</v>
      </c>
      <c r="AB173">
        <f t="shared" si="29"/>
        <v>68254313.878371254</v>
      </c>
      <c r="AC173">
        <f t="shared" si="32"/>
        <v>4810788.481374667</v>
      </c>
      <c r="AD173" s="5">
        <v>0.2</v>
      </c>
      <c r="AE173">
        <f t="shared" si="30"/>
        <v>962157.69627493341</v>
      </c>
      <c r="AF173">
        <f t="shared" si="31"/>
        <v>1</v>
      </c>
    </row>
    <row r="174" spans="1:32" x14ac:dyDescent="0.25">
      <c r="A174" s="2">
        <v>173</v>
      </c>
      <c r="B174">
        <f t="shared" si="34"/>
        <v>560900.65059818339</v>
      </c>
      <c r="C174" s="5">
        <v>0.08</v>
      </c>
      <c r="D174">
        <f t="shared" si="35"/>
        <v>3959958.5932231792</v>
      </c>
      <c r="Q174">
        <f t="shared" si="36"/>
        <v>3959958.5932232109</v>
      </c>
      <c r="R174">
        <f t="shared" si="37"/>
        <v>981.89780678354941</v>
      </c>
      <c r="S174">
        <f t="shared" si="38"/>
        <v>22114397.696592286</v>
      </c>
      <c r="T174" s="5">
        <v>0.08</v>
      </c>
      <c r="V174">
        <f>SUM($R$2:R174)</f>
        <v>50757.147682339477</v>
      </c>
      <c r="W174">
        <f t="shared" si="39"/>
        <v>107.02388496255108</v>
      </c>
      <c r="Z174">
        <f t="shared" si="33"/>
        <v>2.1445757036063478E-5</v>
      </c>
      <c r="AA174" s="5">
        <v>0.3</v>
      </c>
      <c r="AB174">
        <f t="shared" si="29"/>
        <v>73714658.988640964</v>
      </c>
      <c r="AC174">
        <f t="shared" si="32"/>
        <v>5099435.7902571475</v>
      </c>
      <c r="AD174" s="5">
        <v>0.2</v>
      </c>
      <c r="AE174">
        <f t="shared" si="30"/>
        <v>1019887.1580514295</v>
      </c>
      <c r="AF174">
        <f t="shared" si="31"/>
        <v>1</v>
      </c>
    </row>
    <row r="175" spans="1:32" x14ac:dyDescent="0.25">
      <c r="A175" s="2">
        <v>174</v>
      </c>
      <c r="B175">
        <f t="shared" si="34"/>
        <v>605772.70264603803</v>
      </c>
      <c r="C175" s="5">
        <v>0.08</v>
      </c>
      <c r="D175">
        <f t="shared" si="35"/>
        <v>4276755.2806810336</v>
      </c>
      <c r="Q175">
        <f t="shared" si="36"/>
        <v>4276755.2806810681</v>
      </c>
      <c r="R175">
        <f t="shared" si="37"/>
        <v>1000.4241804964466</v>
      </c>
      <c r="S175">
        <f t="shared" si="38"/>
        <v>23883549.512319669</v>
      </c>
      <c r="T175" s="5">
        <v>0.08</v>
      </c>
      <c r="V175">
        <f>SUM($R$2:R175)</f>
        <v>51757.571862835925</v>
      </c>
      <c r="W175">
        <f t="shared" si="39"/>
        <v>109.13332742132148</v>
      </c>
      <c r="Z175">
        <f t="shared" si="33"/>
        <v>1.9857182440799518E-5</v>
      </c>
      <c r="AA175" s="5">
        <v>0.3</v>
      </c>
      <c r="AB175">
        <f t="shared" si="29"/>
        <v>79611831.70773223</v>
      </c>
      <c r="AC175">
        <f t="shared" si="32"/>
        <v>5405401.9376725769</v>
      </c>
      <c r="AD175" s="5">
        <v>0.2</v>
      </c>
      <c r="AE175">
        <f t="shared" si="30"/>
        <v>1081080.3875345155</v>
      </c>
      <c r="AF175">
        <f t="shared" si="31"/>
        <v>1</v>
      </c>
    </row>
    <row r="176" spans="1:32" x14ac:dyDescent="0.25">
      <c r="A176" s="2">
        <v>175</v>
      </c>
      <c r="B176">
        <f t="shared" si="34"/>
        <v>654234.51885772112</v>
      </c>
      <c r="C176" s="5">
        <v>0.08</v>
      </c>
      <c r="D176">
        <f t="shared" si="35"/>
        <v>4618895.7031355165</v>
      </c>
      <c r="Q176">
        <f t="shared" si="36"/>
        <v>4618895.7031355537</v>
      </c>
      <c r="R176">
        <f t="shared" si="37"/>
        <v>1019.3001084303418</v>
      </c>
      <c r="S176">
        <f t="shared" si="38"/>
        <v>25794233.473305244</v>
      </c>
      <c r="T176" s="5">
        <v>0.08</v>
      </c>
      <c r="V176">
        <f>SUM($R$2:R176)</f>
        <v>52776.871971266264</v>
      </c>
      <c r="W176">
        <f t="shared" si="39"/>
        <v>111.28257068120074</v>
      </c>
      <c r="Z176">
        <f t="shared" si="33"/>
        <v>1.838628003777733E-5</v>
      </c>
      <c r="AA176" s="5">
        <v>0.3</v>
      </c>
      <c r="AB176">
        <f t="shared" si="29"/>
        <v>85980778.244350821</v>
      </c>
      <c r="AC176">
        <f t="shared" si="32"/>
        <v>5729726.0539329322</v>
      </c>
      <c r="AD176" s="5">
        <v>0.2</v>
      </c>
      <c r="AE176">
        <f t="shared" si="30"/>
        <v>1145945.2107865864</v>
      </c>
      <c r="AF176">
        <f t="shared" si="31"/>
        <v>1</v>
      </c>
    </row>
    <row r="177" spans="1:32" x14ac:dyDescent="0.25">
      <c r="A177" s="2">
        <v>176</v>
      </c>
      <c r="B177">
        <f t="shared" si="34"/>
        <v>706573.28036633879</v>
      </c>
      <c r="C177" s="5">
        <v>0.08</v>
      </c>
      <c r="D177">
        <f t="shared" si="35"/>
        <v>4988407.3593863575</v>
      </c>
      <c r="Q177">
        <f t="shared" si="36"/>
        <v>4988407.3593863985</v>
      </c>
      <c r="R177">
        <f t="shared" si="37"/>
        <v>1038.5321859478952</v>
      </c>
      <c r="S177">
        <f t="shared" si="38"/>
        <v>27857772.151169665</v>
      </c>
      <c r="T177" s="5">
        <v>0.08</v>
      </c>
      <c r="V177">
        <f>SUM($R$2:R177)</f>
        <v>53815.404157214158</v>
      </c>
      <c r="W177">
        <f t="shared" si="39"/>
        <v>113.47236570070038</v>
      </c>
      <c r="Z177">
        <f t="shared" si="33"/>
        <v>1.7024333368312341E-5</v>
      </c>
      <c r="AA177" s="5">
        <v>0.3</v>
      </c>
      <c r="AB177">
        <f t="shared" si="29"/>
        <v>92859240.503898889</v>
      </c>
      <c r="AC177">
        <f t="shared" si="32"/>
        <v>6073509.617168908</v>
      </c>
      <c r="AD177" s="5">
        <v>0.2</v>
      </c>
      <c r="AE177">
        <f t="shared" si="30"/>
        <v>1214701.9234337816</v>
      </c>
      <c r="AF177">
        <f t="shared" si="31"/>
        <v>1</v>
      </c>
    </row>
    <row r="178" spans="1:32" x14ac:dyDescent="0.25">
      <c r="A178" s="2">
        <v>177</v>
      </c>
      <c r="B178">
        <f t="shared" si="34"/>
        <v>763099.14279564586</v>
      </c>
      <c r="C178" s="5">
        <v>0.08</v>
      </c>
      <c r="D178">
        <f t="shared" si="35"/>
        <v>5387479.9481372666</v>
      </c>
      <c r="Q178">
        <f t="shared" si="36"/>
        <v>5387479.9481373094</v>
      </c>
      <c r="R178">
        <f t="shared" si="37"/>
        <v>1058.1271328525727</v>
      </c>
      <c r="S178">
        <f t="shared" si="38"/>
        <v>30086393.923263241</v>
      </c>
      <c r="T178" s="5">
        <v>0.08</v>
      </c>
      <c r="V178">
        <f>SUM($R$2:R178)</f>
        <v>54873.531290066734</v>
      </c>
      <c r="W178">
        <f t="shared" si="39"/>
        <v>115.70347760736038</v>
      </c>
      <c r="Z178">
        <f t="shared" si="33"/>
        <v>1.5763271637326241E-5</v>
      </c>
      <c r="AA178" s="5">
        <v>0.3</v>
      </c>
      <c r="AB178">
        <f t="shared" si="29"/>
        <v>100287979.74421081</v>
      </c>
      <c r="AC178">
        <f t="shared" si="32"/>
        <v>6437920.1941990424</v>
      </c>
      <c r="AD178" s="5">
        <v>0.2</v>
      </c>
      <c r="AE178">
        <f t="shared" si="30"/>
        <v>1287584.0388398087</v>
      </c>
      <c r="AF178">
        <f t="shared" si="31"/>
        <v>1</v>
      </c>
    </row>
    <row r="179" spans="1:32" x14ac:dyDescent="0.25">
      <c r="A179" s="2">
        <v>178</v>
      </c>
      <c r="B179">
        <f t="shared" si="34"/>
        <v>824147.0742192975</v>
      </c>
      <c r="C179" s="5">
        <v>0.08</v>
      </c>
      <c r="D179">
        <f t="shared" si="35"/>
        <v>5818478.3439882481</v>
      </c>
      <c r="Q179">
        <f t="shared" si="36"/>
        <v>5818478.3439882947</v>
      </c>
      <c r="R179">
        <f t="shared" si="37"/>
        <v>1078.0917957365834</v>
      </c>
      <c r="S179">
        <f t="shared" si="38"/>
        <v>32493305.437124301</v>
      </c>
      <c r="T179" s="5">
        <v>0.08</v>
      </c>
      <c r="V179">
        <f>SUM($R$2:R179)</f>
        <v>55951.623085803316</v>
      </c>
      <c r="W179">
        <f t="shared" si="39"/>
        <v>117.97668596508944</v>
      </c>
      <c r="Z179">
        <f t="shared" si="33"/>
        <v>1.4595621886413185E-5</v>
      </c>
      <c r="AA179" s="5">
        <v>0.3</v>
      </c>
      <c r="AB179">
        <f t="shared" si="29"/>
        <v>108311018.12374768</v>
      </c>
      <c r="AC179">
        <f t="shared" si="32"/>
        <v>6824195.4058509851</v>
      </c>
      <c r="AD179" s="5">
        <v>0.2</v>
      </c>
      <c r="AE179">
        <f t="shared" si="30"/>
        <v>1364839.0811701971</v>
      </c>
      <c r="AF179">
        <f t="shared" si="31"/>
        <v>1</v>
      </c>
    </row>
    <row r="180" spans="1:32" x14ac:dyDescent="0.25">
      <c r="A180" s="2">
        <v>179</v>
      </c>
      <c r="B180">
        <f t="shared" si="34"/>
        <v>890078.84015684132</v>
      </c>
      <c r="C180" s="5">
        <v>0.08</v>
      </c>
      <c r="D180">
        <f t="shared" si="35"/>
        <v>6283956.6115073077</v>
      </c>
      <c r="Q180">
        <f t="shared" si="36"/>
        <v>6283956.611507359</v>
      </c>
      <c r="R180">
        <f t="shared" si="37"/>
        <v>1098.433150373123</v>
      </c>
      <c r="S180">
        <f t="shared" si="38"/>
        <v>35092769.872094244</v>
      </c>
      <c r="T180" s="5">
        <v>0.08</v>
      </c>
      <c r="V180">
        <f>SUM($R$2:R180)</f>
        <v>57050.056236176439</v>
      </c>
      <c r="W180">
        <f t="shared" si="39"/>
        <v>120.29278504654924</v>
      </c>
      <c r="Z180">
        <f t="shared" si="33"/>
        <v>1.3514464709641839E-5</v>
      </c>
      <c r="AA180" s="5">
        <v>0.3</v>
      </c>
      <c r="AB180">
        <f t="shared" si="29"/>
        <v>116975899.57364748</v>
      </c>
      <c r="AC180">
        <f t="shared" si="32"/>
        <v>7233647.1302020447</v>
      </c>
      <c r="AD180" s="5">
        <v>0.2</v>
      </c>
      <c r="AE180">
        <f t="shared" si="30"/>
        <v>1446729.4260404091</v>
      </c>
      <c r="AF180">
        <f t="shared" si="31"/>
        <v>1</v>
      </c>
    </row>
    <row r="181" spans="1:32" x14ac:dyDescent="0.25">
      <c r="A181" s="2">
        <v>180</v>
      </c>
      <c r="B181">
        <f t="shared" si="34"/>
        <v>961285.14736938861</v>
      </c>
      <c r="C181" s="5">
        <v>0.08</v>
      </c>
      <c r="D181">
        <f t="shared" si="35"/>
        <v>6786673.1404278921</v>
      </c>
      <c r="Q181">
        <f t="shared" si="36"/>
        <v>6786673.1404279489</v>
      </c>
      <c r="R181">
        <f t="shared" si="37"/>
        <v>1119.1583041537478</v>
      </c>
      <c r="S181">
        <f t="shared" si="38"/>
        <v>37900191.461861789</v>
      </c>
      <c r="T181" s="5">
        <v>0.08</v>
      </c>
      <c r="V181">
        <f>SUM($R$2:R181)</f>
        <v>58169.214540330184</v>
      </c>
      <c r="W181">
        <f t="shared" si="39"/>
        <v>122.65258411067808</v>
      </c>
      <c r="Z181">
        <f t="shared" si="33"/>
        <v>1.2513393249668367E-5</v>
      </c>
      <c r="AA181" s="5">
        <v>0.3</v>
      </c>
      <c r="AB181">
        <f t="shared" si="29"/>
        <v>126333971.53953931</v>
      </c>
      <c r="AC181">
        <f t="shared" si="32"/>
        <v>7667665.9580141678</v>
      </c>
      <c r="AD181" s="5">
        <v>0.2</v>
      </c>
      <c r="AE181">
        <f t="shared" si="30"/>
        <v>1533533.1916028336</v>
      </c>
      <c r="AF181">
        <f t="shared" si="31"/>
        <v>1</v>
      </c>
    </row>
    <row r="182" spans="1:32" x14ac:dyDescent="0.25">
      <c r="A182" s="2">
        <v>181</v>
      </c>
      <c r="B182">
        <f t="shared" si="34"/>
        <v>1038187.9591589397</v>
      </c>
      <c r="C182" s="5">
        <v>0.08</v>
      </c>
      <c r="D182">
        <f t="shared" si="35"/>
        <v>7329606.9916621232</v>
      </c>
      <c r="Q182">
        <f t="shared" si="36"/>
        <v>7329606.9916621847</v>
      </c>
      <c r="R182">
        <f t="shared" si="37"/>
        <v>1140.2744985717432</v>
      </c>
      <c r="S182">
        <f t="shared" si="38"/>
        <v>40932206.778810732</v>
      </c>
      <c r="T182" s="5">
        <v>0.08</v>
      </c>
      <c r="V182">
        <f>SUM($R$2:R182)</f>
        <v>59309.489038901927</v>
      </c>
      <c r="W182">
        <f t="shared" si="39"/>
        <v>125.05690768545087</v>
      </c>
      <c r="Z182">
        <f t="shared" si="33"/>
        <v>1.1586475231174414E-5</v>
      </c>
      <c r="AA182" s="5">
        <v>0.3</v>
      </c>
      <c r="AB182">
        <f t="shared" si="29"/>
        <v>136440689.26270244</v>
      </c>
      <c r="AC182">
        <f t="shared" si="32"/>
        <v>8127725.9154950185</v>
      </c>
      <c r="AD182" s="5">
        <v>0.2</v>
      </c>
      <c r="AE182">
        <f t="shared" si="30"/>
        <v>1625545.1830990037</v>
      </c>
      <c r="AF182">
        <f t="shared" si="31"/>
        <v>1</v>
      </c>
    </row>
    <row r="183" spans="1:32" x14ac:dyDescent="0.25">
      <c r="A183" s="2">
        <v>182</v>
      </c>
      <c r="B183">
        <f t="shared" si="34"/>
        <v>1121242.9958916549</v>
      </c>
      <c r="C183" s="5">
        <v>0.08</v>
      </c>
      <c r="D183">
        <f t="shared" si="35"/>
        <v>7915975.5509950928</v>
      </c>
      <c r="Q183">
        <f t="shared" si="36"/>
        <v>7915975.550995159</v>
      </c>
      <c r="R183">
        <f t="shared" si="37"/>
        <v>1161.7891117523416</v>
      </c>
      <c r="S183">
        <f t="shared" si="38"/>
        <v>44206783.321115591</v>
      </c>
      <c r="T183" s="5">
        <v>0.08</v>
      </c>
      <c r="V183">
        <f>SUM($R$2:R183)</f>
        <v>60471.278150654267</v>
      </c>
      <c r="W183">
        <f t="shared" si="39"/>
        <v>127.50659585597408</v>
      </c>
      <c r="Z183">
        <f t="shared" si="33"/>
        <v>1.0728217806642976E-5</v>
      </c>
      <c r="AA183" s="5">
        <v>0.3</v>
      </c>
      <c r="AB183">
        <f t="shared" si="29"/>
        <v>147355944.40371865</v>
      </c>
      <c r="AC183">
        <f t="shared" si="32"/>
        <v>8615389.4704247192</v>
      </c>
      <c r="AD183" s="5">
        <v>0.2</v>
      </c>
      <c r="AE183">
        <f t="shared" si="30"/>
        <v>1723077.8940849439</v>
      </c>
      <c r="AF183">
        <f t="shared" si="31"/>
        <v>1</v>
      </c>
    </row>
    <row r="184" spans="1:32" x14ac:dyDescent="0.25">
      <c r="A184" s="2">
        <v>183</v>
      </c>
      <c r="B184">
        <f t="shared" si="34"/>
        <v>1210942.4355629873</v>
      </c>
      <c r="C184" s="5">
        <v>0.08</v>
      </c>
      <c r="D184">
        <f t="shared" si="35"/>
        <v>8549253.5950747002</v>
      </c>
      <c r="Q184">
        <f t="shared" si="36"/>
        <v>8549253.5950747747</v>
      </c>
      <c r="R184">
        <f t="shared" si="37"/>
        <v>1183.7096610306878</v>
      </c>
      <c r="S184">
        <f t="shared" si="38"/>
        <v>47743325.986804843</v>
      </c>
      <c r="T184" s="5">
        <v>0.08</v>
      </c>
      <c r="V184">
        <f>SUM($R$2:R184)</f>
        <v>61654.987811684958</v>
      </c>
      <c r="W184">
        <f t="shared" si="39"/>
        <v>130.00250455801662</v>
      </c>
      <c r="Z184">
        <f t="shared" si="33"/>
        <v>9.9335350061509023E-6</v>
      </c>
      <c r="AA184" s="5">
        <v>0.3</v>
      </c>
      <c r="AB184">
        <f t="shared" si="29"/>
        <v>159144419.95601615</v>
      </c>
      <c r="AC184">
        <f t="shared" si="32"/>
        <v>9132312.8386502024</v>
      </c>
      <c r="AD184" s="5">
        <v>0.2</v>
      </c>
      <c r="AE184">
        <f t="shared" si="30"/>
        <v>1826462.5677300405</v>
      </c>
      <c r="AF184">
        <f t="shared" si="31"/>
        <v>1</v>
      </c>
    </row>
    <row r="185" spans="1:32" x14ac:dyDescent="0.25">
      <c r="A185" s="2">
        <v>184</v>
      </c>
      <c r="B185">
        <f t="shared" si="34"/>
        <v>1307817.8304080262</v>
      </c>
      <c r="C185" s="5">
        <v>0.08</v>
      </c>
      <c r="D185">
        <f t="shared" si="35"/>
        <v>9233193.8826806769</v>
      </c>
      <c r="Q185">
        <f t="shared" si="36"/>
        <v>9233193.8826807551</v>
      </c>
      <c r="R185">
        <f t="shared" si="37"/>
        <v>1206.0438055784366</v>
      </c>
      <c r="S185">
        <f t="shared" si="38"/>
        <v>51562792.065749235</v>
      </c>
      <c r="T185" s="5">
        <v>0.08</v>
      </c>
      <c r="V185">
        <f>SUM($R$2:R185)</f>
        <v>62861.031617263397</v>
      </c>
      <c r="W185">
        <f t="shared" si="39"/>
        <v>132.54550587707882</v>
      </c>
      <c r="Z185">
        <f t="shared" si="33"/>
        <v>9.1977175982878715E-6</v>
      </c>
      <c r="AA185" s="5">
        <v>0.3</v>
      </c>
      <c r="AB185">
        <f t="shared" si="29"/>
        <v>171875973.55249745</v>
      </c>
      <c r="AC185">
        <f t="shared" si="32"/>
        <v>9680251.6089692153</v>
      </c>
      <c r="AD185" s="5">
        <v>0.2</v>
      </c>
      <c r="AE185">
        <f t="shared" si="30"/>
        <v>1936050.3217938431</v>
      </c>
      <c r="AF185">
        <f t="shared" si="31"/>
        <v>1</v>
      </c>
    </row>
    <row r="186" spans="1:32" x14ac:dyDescent="0.25">
      <c r="A186" s="2">
        <v>185</v>
      </c>
      <c r="B186">
        <f t="shared" si="34"/>
        <v>1412443.2568406684</v>
      </c>
      <c r="C186" s="5">
        <v>0.08</v>
      </c>
      <c r="D186">
        <f t="shared" si="35"/>
        <v>9971849.3932951316</v>
      </c>
      <c r="Q186">
        <f t="shared" si="36"/>
        <v>9971849.3932952154</v>
      </c>
      <c r="R186">
        <f t="shared" si="37"/>
        <v>1228.799349079917</v>
      </c>
      <c r="S186">
        <f t="shared" si="38"/>
        <v>55687815.431009181</v>
      </c>
      <c r="T186" s="5">
        <v>0.08</v>
      </c>
      <c r="V186">
        <f>SUM($R$2:R186)</f>
        <v>64089.830966343317</v>
      </c>
      <c r="W186">
        <f t="shared" si="39"/>
        <v>135.13648835310445</v>
      </c>
      <c r="Z186">
        <f t="shared" si="33"/>
        <v>8.5164051835998808E-6</v>
      </c>
      <c r="AA186" s="5">
        <v>0.3</v>
      </c>
      <c r="AB186">
        <f t="shared" si="29"/>
        <v>185626051.43669727</v>
      </c>
      <c r="AC186">
        <f t="shared" si="32"/>
        <v>10261066.705507368</v>
      </c>
      <c r="AD186" s="5">
        <v>0.2</v>
      </c>
      <c r="AE186">
        <f t="shared" si="30"/>
        <v>2052213.3411014737</v>
      </c>
      <c r="AF186">
        <f t="shared" si="31"/>
        <v>1</v>
      </c>
    </row>
    <row r="187" spans="1:32" x14ac:dyDescent="0.25">
      <c r="A187" s="2">
        <v>186</v>
      </c>
      <c r="B187">
        <f t="shared" si="34"/>
        <v>1525438.7173879219</v>
      </c>
      <c r="C187" s="5">
        <v>0.08</v>
      </c>
      <c r="D187">
        <f t="shared" si="35"/>
        <v>10769597.344758742</v>
      </c>
      <c r="Q187">
        <f t="shared" si="36"/>
        <v>10769597.344758835</v>
      </c>
      <c r="R187">
        <f t="shared" si="37"/>
        <v>1251.9842424587835</v>
      </c>
      <c r="S187">
        <f t="shared" si="38"/>
        <v>60142840.665489919</v>
      </c>
      <c r="T187" s="5">
        <v>0.08</v>
      </c>
      <c r="V187">
        <f>SUM($R$2:R187)</f>
        <v>65341.815208802102</v>
      </c>
      <c r="W187">
        <f t="shared" si="39"/>
        <v>137.77635729094189</v>
      </c>
      <c r="Z187">
        <f t="shared" si="33"/>
        <v>7.885560355185074E-6</v>
      </c>
      <c r="AA187" s="5">
        <v>0.3</v>
      </c>
      <c r="AB187">
        <f t="shared" si="29"/>
        <v>200476135.55163306</v>
      </c>
      <c r="AC187">
        <f t="shared" si="32"/>
        <v>10876730.707837811</v>
      </c>
      <c r="AD187" s="5">
        <v>0.2</v>
      </c>
      <c r="AE187">
        <f t="shared" si="30"/>
        <v>2175346.1415675622</v>
      </c>
      <c r="AF187">
        <f t="shared" si="31"/>
        <v>1</v>
      </c>
    </row>
    <row r="188" spans="1:32" x14ac:dyDescent="0.25">
      <c r="A188" s="2">
        <v>187</v>
      </c>
      <c r="B188">
        <f t="shared" si="34"/>
        <v>1647473.8147789557</v>
      </c>
      <c r="C188" s="5">
        <v>0.08</v>
      </c>
      <c r="D188">
        <f t="shared" si="35"/>
        <v>11631165.13233944</v>
      </c>
      <c r="Q188">
        <f t="shared" si="36"/>
        <v>11631165.132339541</v>
      </c>
      <c r="R188">
        <f t="shared" si="37"/>
        <v>1275.6065866561191</v>
      </c>
      <c r="S188">
        <f t="shared" si="38"/>
        <v>64954267.918729119</v>
      </c>
      <c r="T188" s="5">
        <v>0.08</v>
      </c>
      <c r="V188">
        <f>SUM($R$2:R188)</f>
        <v>66617.421795458227</v>
      </c>
      <c r="W188">
        <f t="shared" si="39"/>
        <v>140.46603507666308</v>
      </c>
      <c r="Z188">
        <f t="shared" si="33"/>
        <v>7.3014447733195125E-6</v>
      </c>
      <c r="AA188" s="5">
        <v>0.3</v>
      </c>
      <c r="AB188">
        <f t="shared" si="29"/>
        <v>216514226.39576373</v>
      </c>
      <c r="AC188">
        <f t="shared" si="32"/>
        <v>11529334.55030808</v>
      </c>
      <c r="AD188" s="5">
        <v>0.2</v>
      </c>
      <c r="AE188">
        <f t="shared" si="30"/>
        <v>2305866.910061616</v>
      </c>
      <c r="AF188">
        <f t="shared" si="31"/>
        <v>1</v>
      </c>
    </row>
    <row r="189" spans="1:32" x14ac:dyDescent="0.25">
      <c r="A189" s="2">
        <v>188</v>
      </c>
      <c r="B189">
        <f t="shared" si="34"/>
        <v>1779271.7199612721</v>
      </c>
      <c r="C189" s="5">
        <v>0.08</v>
      </c>
      <c r="D189">
        <f t="shared" si="35"/>
        <v>12561658.342926595</v>
      </c>
      <c r="Q189">
        <f t="shared" si="36"/>
        <v>12561658.342926703</v>
      </c>
      <c r="R189">
        <f t="shared" si="37"/>
        <v>1299.6746354609513</v>
      </c>
      <c r="S189">
        <f t="shared" si="38"/>
        <v>70150609.352227449</v>
      </c>
      <c r="T189" s="5">
        <v>0.08</v>
      </c>
      <c r="V189">
        <f>SUM($R$2:R189)</f>
        <v>67917.096430919177</v>
      </c>
      <c r="W189">
        <f t="shared" si="39"/>
        <v>143.20646149985066</v>
      </c>
      <c r="Z189">
        <f t="shared" si="33"/>
        <v>6.7605970123328813E-6</v>
      </c>
      <c r="AA189" s="5">
        <v>0.3</v>
      </c>
      <c r="AB189">
        <f t="shared" si="29"/>
        <v>233835364.50742483</v>
      </c>
      <c r="AC189">
        <f t="shared" si="32"/>
        <v>12221094.623326566</v>
      </c>
      <c r="AD189" s="5">
        <v>0.2</v>
      </c>
      <c r="AE189">
        <f t="shared" si="30"/>
        <v>2444218.9246653132</v>
      </c>
      <c r="AF189">
        <f t="shared" si="31"/>
        <v>1</v>
      </c>
    </row>
    <row r="190" spans="1:32" x14ac:dyDescent="0.25">
      <c r="A190" s="2">
        <v>189</v>
      </c>
      <c r="B190">
        <f t="shared" si="34"/>
        <v>1921613.4575581739</v>
      </c>
      <c r="C190" s="5">
        <v>0.08</v>
      </c>
      <c r="D190">
        <f t="shared" si="35"/>
        <v>13566591.010360723</v>
      </c>
      <c r="Q190">
        <f t="shared" si="36"/>
        <v>13566591.010360841</v>
      </c>
      <c r="R190">
        <f t="shared" si="37"/>
        <v>1324.1967983941768</v>
      </c>
      <c r="S190">
        <f t="shared" si="38"/>
        <v>75762658.100405648</v>
      </c>
      <c r="T190" s="5">
        <v>0.08</v>
      </c>
      <c r="V190">
        <f>SUM($R$2:R190)</f>
        <v>69241.293229313349</v>
      </c>
      <c r="W190">
        <f t="shared" si="39"/>
        <v>145.99859408196633</v>
      </c>
      <c r="Z190">
        <f t="shared" si="33"/>
        <v>6.2598120484563715E-6</v>
      </c>
      <c r="AA190" s="5">
        <v>0.3</v>
      </c>
      <c r="AB190">
        <f t="shared" si="29"/>
        <v>252542193.66801885</v>
      </c>
      <c r="AC190">
        <f t="shared" si="32"/>
        <v>12954360.30072616</v>
      </c>
      <c r="AD190" s="5">
        <v>0.2</v>
      </c>
      <c r="AE190">
        <f t="shared" si="30"/>
        <v>2590872.0601452324</v>
      </c>
      <c r="AF190">
        <f t="shared" si="31"/>
        <v>1</v>
      </c>
    </row>
    <row r="191" spans="1:32" x14ac:dyDescent="0.25">
      <c r="A191" s="2">
        <v>190</v>
      </c>
      <c r="B191">
        <f t="shared" si="34"/>
        <v>2075342.5341628278</v>
      </c>
      <c r="C191" s="5">
        <v>0.08</v>
      </c>
      <c r="D191">
        <f t="shared" si="35"/>
        <v>14651918.291189581</v>
      </c>
      <c r="Q191">
        <f t="shared" si="36"/>
        <v>14651918.291189708</v>
      </c>
      <c r="R191">
        <f t="shared" si="37"/>
        <v>1349.1816436468969</v>
      </c>
      <c r="S191">
        <f t="shared" si="38"/>
        <v>81823670.748438105</v>
      </c>
      <c r="T191" s="5">
        <v>0.08</v>
      </c>
      <c r="V191">
        <f>SUM($R$2:R191)</f>
        <v>70590.474872960243</v>
      </c>
      <c r="W191">
        <f t="shared" si="39"/>
        <v>148.84340841091435</v>
      </c>
      <c r="Z191">
        <f t="shared" si="33"/>
        <v>5.7961222670892322E-6</v>
      </c>
      <c r="AA191" s="5">
        <v>0.3</v>
      </c>
      <c r="AB191">
        <f t="shared" si="29"/>
        <v>272745569.16146034</v>
      </c>
      <c r="AC191">
        <f t="shared" si="32"/>
        <v>13731621.91876973</v>
      </c>
      <c r="AD191" s="5">
        <v>0.2</v>
      </c>
      <c r="AE191">
        <f t="shared" si="30"/>
        <v>2746324.3837539461</v>
      </c>
      <c r="AF191">
        <f t="shared" si="31"/>
        <v>1</v>
      </c>
    </row>
    <row r="192" spans="1:32" x14ac:dyDescent="0.25">
      <c r="A192" s="2">
        <v>191</v>
      </c>
      <c r="B192">
        <f t="shared" si="34"/>
        <v>2241369.9368958538</v>
      </c>
      <c r="C192" s="5">
        <v>0.08</v>
      </c>
      <c r="D192">
        <f t="shared" si="35"/>
        <v>15824071.754484748</v>
      </c>
      <c r="Q192">
        <f t="shared" si="36"/>
        <v>15824071.754484888</v>
      </c>
      <c r="R192">
        <f t="shared" si="37"/>
        <v>1374.6379010741969</v>
      </c>
      <c r="S192">
        <f t="shared" si="38"/>
        <v>88369564.408313155</v>
      </c>
      <c r="T192" s="5">
        <v>0.08</v>
      </c>
      <c r="V192">
        <f>SUM($R$2:R192)</f>
        <v>71965.112774034438</v>
      </c>
      <c r="W192">
        <f t="shared" si="39"/>
        <v>151.74189848191801</v>
      </c>
      <c r="Z192">
        <f t="shared" si="33"/>
        <v>5.3667798769344741E-6</v>
      </c>
      <c r="AA192" s="5">
        <v>0.3</v>
      </c>
      <c r="AB192">
        <f t="shared" si="29"/>
        <v>294565214.69437718</v>
      </c>
      <c r="AC192">
        <f t="shared" si="32"/>
        <v>14555519.233895915</v>
      </c>
      <c r="AD192" s="5">
        <v>0.2</v>
      </c>
      <c r="AE192">
        <f t="shared" si="30"/>
        <v>2911103.846779183</v>
      </c>
      <c r="AF192">
        <f t="shared" si="31"/>
        <v>1</v>
      </c>
    </row>
    <row r="193" spans="1:32" x14ac:dyDescent="0.25">
      <c r="A193" s="2">
        <v>192</v>
      </c>
      <c r="B193">
        <f t="shared" si="34"/>
        <v>2420679.5318475221</v>
      </c>
      <c r="C193" s="5">
        <v>0.08</v>
      </c>
      <c r="D193">
        <f t="shared" si="35"/>
        <v>17089997.494843528</v>
      </c>
      <c r="Q193">
        <f t="shared" si="36"/>
        <v>17089997.494843684</v>
      </c>
      <c r="R193">
        <f t="shared" si="37"/>
        <v>1400.574465245408</v>
      </c>
      <c r="S193">
        <f t="shared" si="38"/>
        <v>95439129.560978219</v>
      </c>
      <c r="T193" s="5">
        <v>0.08</v>
      </c>
      <c r="V193">
        <f>SUM($R$2:R193)</f>
        <v>73365.68723927984</v>
      </c>
      <c r="W193">
        <f t="shared" si="39"/>
        <v>154.6950770448274</v>
      </c>
      <c r="Z193">
        <f t="shared" si="33"/>
        <v>4.9692406267911792E-6</v>
      </c>
      <c r="AA193" s="5">
        <v>0.3</v>
      </c>
      <c r="AB193">
        <f t="shared" si="29"/>
        <v>318130431.86992741</v>
      </c>
      <c r="AC193">
        <f t="shared" si="32"/>
        <v>15428850.387929671</v>
      </c>
      <c r="AD193" s="5">
        <v>0.2</v>
      </c>
      <c r="AE193">
        <f t="shared" si="30"/>
        <v>3085770.0775859342</v>
      </c>
      <c r="AF193">
        <f t="shared" si="31"/>
        <v>1</v>
      </c>
    </row>
    <row r="194" spans="1:32" x14ac:dyDescent="0.25">
      <c r="A194" s="2">
        <v>193</v>
      </c>
      <c r="B194">
        <f t="shared" si="34"/>
        <v>2614333.8943953239</v>
      </c>
      <c r="C194" s="5">
        <v>0.08</v>
      </c>
      <c r="D194">
        <f t="shared" si="35"/>
        <v>18457197.294431008</v>
      </c>
      <c r="Q194">
        <f t="shared" si="36"/>
        <v>18457197.294431176</v>
      </c>
      <c r="R194">
        <f t="shared" si="37"/>
        <v>1427.0003985519259</v>
      </c>
      <c r="S194">
        <f t="shared" si="38"/>
        <v>103074259.92585649</v>
      </c>
      <c r="T194" s="5">
        <v>0.08</v>
      </c>
      <c r="V194">
        <f>SUM($R$2:R194)</f>
        <v>74792.687637831768</v>
      </c>
      <c r="W194">
        <f t="shared" si="39"/>
        <v>157.70397595798036</v>
      </c>
      <c r="Z194">
        <f t="shared" si="33"/>
        <v>4.6011487285103514E-6</v>
      </c>
      <c r="AA194" s="5">
        <v>0.3</v>
      </c>
      <c r="AB194">
        <f t="shared" si="29"/>
        <v>343580866.41952163</v>
      </c>
      <c r="AC194">
        <f t="shared" si="32"/>
        <v>16354581.411205452</v>
      </c>
      <c r="AD194" s="5">
        <v>0.2</v>
      </c>
      <c r="AE194">
        <f t="shared" si="30"/>
        <v>3270916.2822410907</v>
      </c>
      <c r="AF194">
        <f t="shared" si="31"/>
        <v>1</v>
      </c>
    </row>
    <row r="195" spans="1:32" x14ac:dyDescent="0.25">
      <c r="A195" s="2">
        <v>194</v>
      </c>
      <c r="B195">
        <f t="shared" si="34"/>
        <v>2823480.6059469497</v>
      </c>
      <c r="C195" s="5">
        <v>0.08</v>
      </c>
      <c r="D195">
        <f t="shared" si="35"/>
        <v>19933773.077985488</v>
      </c>
      <c r="Q195">
        <f t="shared" si="36"/>
        <v>19933773.077985674</v>
      </c>
      <c r="R195">
        <f t="shared" si="37"/>
        <v>1453.9249343736603</v>
      </c>
      <c r="S195">
        <f t="shared" si="38"/>
        <v>111320200.71992502</v>
      </c>
      <c r="T195" s="5">
        <v>0.08</v>
      </c>
      <c r="V195">
        <f>SUM($R$2:R195)</f>
        <v>76246.612572205428</v>
      </c>
      <c r="W195">
        <f t="shared" si="39"/>
        <v>160.76964654873998</v>
      </c>
      <c r="Z195">
        <f t="shared" si="33"/>
        <v>4.2603228967688431E-6</v>
      </c>
      <c r="AA195" s="5">
        <v>0.3</v>
      </c>
      <c r="AB195">
        <f t="shared" ref="AB195:AB201" si="40">S195/AA195</f>
        <v>371067335.73308343</v>
      </c>
      <c r="AC195">
        <f t="shared" si="32"/>
        <v>17335856.295877781</v>
      </c>
      <c r="AD195" s="5">
        <v>0.2</v>
      </c>
      <c r="AE195">
        <f t="shared" ref="AE195:AE201" si="41">AC195*AD195</f>
        <v>3467171.2591755562</v>
      </c>
      <c r="AF195">
        <f t="shared" ref="AF195:AF201" si="42">IF(AB195&gt;AE195, 1, 0)</f>
        <v>1</v>
      </c>
    </row>
    <row r="196" spans="1:32" x14ac:dyDescent="0.25">
      <c r="A196" s="2">
        <v>195</v>
      </c>
      <c r="B196">
        <f t="shared" si="34"/>
        <v>3049359.0544227054</v>
      </c>
      <c r="C196" s="5">
        <v>0.08</v>
      </c>
      <c r="D196">
        <f t="shared" si="35"/>
        <v>21528474.924224328</v>
      </c>
      <c r="Q196">
        <f t="shared" si="36"/>
        <v>21528474.924224526</v>
      </c>
      <c r="R196">
        <f t="shared" si="37"/>
        <v>1481.3574803052388</v>
      </c>
      <c r="S196">
        <f t="shared" si="38"/>
        <v>120225816.77751903</v>
      </c>
      <c r="T196" s="5">
        <v>0.08</v>
      </c>
      <c r="V196">
        <f>SUM($R$2:R196)</f>
        <v>77727.97005251066</v>
      </c>
      <c r="W196">
        <f t="shared" si="39"/>
        <v>163.8931599808347</v>
      </c>
      <c r="Z196">
        <f t="shared" si="33"/>
        <v>3.9447434229341137E-6</v>
      </c>
      <c r="AA196" s="5">
        <v>0.3</v>
      </c>
      <c r="AB196">
        <f t="shared" si="40"/>
        <v>400752722.59173012</v>
      </c>
      <c r="AC196">
        <f t="shared" ref="AC196:AC201" si="43">AC195*(1+$U$2)</f>
        <v>18376007.67363045</v>
      </c>
      <c r="AD196" s="5">
        <v>0.2</v>
      </c>
      <c r="AE196">
        <f t="shared" si="41"/>
        <v>3675201.5347260903</v>
      </c>
      <c r="AF196">
        <f t="shared" si="42"/>
        <v>1</v>
      </c>
    </row>
    <row r="197" spans="1:32" x14ac:dyDescent="0.25">
      <c r="A197" s="2">
        <v>196</v>
      </c>
      <c r="B197">
        <f t="shared" si="34"/>
        <v>3293307.7787765218</v>
      </c>
      <c r="C197" s="5">
        <v>0.08</v>
      </c>
      <c r="D197">
        <f t="shared" si="35"/>
        <v>23250752.918162275</v>
      </c>
      <c r="Q197">
        <f t="shared" si="36"/>
        <v>23250752.918162487</v>
      </c>
      <c r="R197">
        <f t="shared" si="37"/>
        <v>1509.3076214430735</v>
      </c>
      <c r="S197">
        <f t="shared" si="38"/>
        <v>129843882.11972056</v>
      </c>
      <c r="T197" s="5">
        <v>0.08</v>
      </c>
      <c r="V197">
        <f>SUM($R$2:R197)</f>
        <v>79237.277673953737</v>
      </c>
      <c r="W197">
        <f t="shared" si="39"/>
        <v>167.07560762862931</v>
      </c>
      <c r="Z197">
        <f t="shared" si="33"/>
        <v>3.6525402064204753E-6</v>
      </c>
      <c r="AA197" s="5">
        <v>0.3</v>
      </c>
      <c r="AB197">
        <f t="shared" si="40"/>
        <v>432812940.39906853</v>
      </c>
      <c r="AC197">
        <f t="shared" si="43"/>
        <v>19478568.134048279</v>
      </c>
      <c r="AD197" s="5">
        <v>0.2</v>
      </c>
      <c r="AE197">
        <f t="shared" si="41"/>
        <v>3895713.6268096562</v>
      </c>
      <c r="AF197">
        <f t="shared" si="42"/>
        <v>1</v>
      </c>
    </row>
    <row r="198" spans="1:32" x14ac:dyDescent="0.25">
      <c r="A198" s="2">
        <v>197</v>
      </c>
      <c r="B198">
        <f t="shared" si="34"/>
        <v>3556772.4010786437</v>
      </c>
      <c r="C198" s="5">
        <v>0.08</v>
      </c>
      <c r="D198">
        <f t="shared" si="35"/>
        <v>25110813.151615258</v>
      </c>
      <c r="Q198">
        <f t="shared" si="36"/>
        <v>25110813.151615489</v>
      </c>
      <c r="R198">
        <f t="shared" si="37"/>
        <v>1537.7851237344521</v>
      </c>
      <c r="S198">
        <f t="shared" si="38"/>
        <v>140231392.68929821</v>
      </c>
      <c r="T198" s="5">
        <v>0.08</v>
      </c>
      <c r="V198">
        <f>SUM($R$2:R198)</f>
        <v>80775.062797688195</v>
      </c>
      <c r="W198">
        <f t="shared" si="39"/>
        <v>170.31810145845779</v>
      </c>
      <c r="Z198">
        <f t="shared" si="33"/>
        <v>3.381981672611551E-6</v>
      </c>
      <c r="AA198" s="5">
        <v>0.3</v>
      </c>
      <c r="AB198">
        <f t="shared" si="40"/>
        <v>467437975.63099408</v>
      </c>
      <c r="AC198">
        <f t="shared" si="43"/>
        <v>20647282.222091176</v>
      </c>
      <c r="AD198" s="5">
        <v>0.2</v>
      </c>
      <c r="AE198">
        <f t="shared" si="41"/>
        <v>4129456.4444182352</v>
      </c>
      <c r="AF198">
        <f t="shared" si="42"/>
        <v>1</v>
      </c>
    </row>
    <row r="199" spans="1:32" x14ac:dyDescent="0.25">
      <c r="A199" s="2">
        <v>198</v>
      </c>
      <c r="B199">
        <f t="shared" si="34"/>
        <v>3841314.1931649353</v>
      </c>
      <c r="C199" s="5">
        <v>0.08</v>
      </c>
      <c r="D199">
        <f t="shared" si="35"/>
        <v>27119678.203744479</v>
      </c>
      <c r="Q199">
        <f t="shared" si="36"/>
        <v>27119678.203744728</v>
      </c>
      <c r="R199">
        <f t="shared" si="37"/>
        <v>1566.7999373898194</v>
      </c>
      <c r="S199">
        <f t="shared" si="38"/>
        <v>151449904.10444209</v>
      </c>
      <c r="T199" s="5">
        <v>0.08</v>
      </c>
      <c r="V199">
        <f>SUM($R$2:R199)</f>
        <v>82341.862735078015</v>
      </c>
      <c r="W199">
        <f t="shared" si="39"/>
        <v>173.62177441715096</v>
      </c>
      <c r="Z199">
        <f t="shared" si="33"/>
        <v>3.1314645116773618E-6</v>
      </c>
      <c r="AA199" s="5">
        <v>0.3</v>
      </c>
      <c r="AB199">
        <f t="shared" si="40"/>
        <v>504833013.68147367</v>
      </c>
      <c r="AC199">
        <f t="shared" si="43"/>
        <v>21886119.155416649</v>
      </c>
      <c r="AD199" s="5">
        <v>0.2</v>
      </c>
      <c r="AE199">
        <f t="shared" si="41"/>
        <v>4377223.8310833303</v>
      </c>
      <c r="AF199">
        <f t="shared" si="42"/>
        <v>1</v>
      </c>
    </row>
    <row r="200" spans="1:32" x14ac:dyDescent="0.25">
      <c r="A200" s="2">
        <v>199</v>
      </c>
      <c r="B200">
        <f t="shared" si="34"/>
        <v>4148619.3286181302</v>
      </c>
      <c r="C200" s="5">
        <v>0.08</v>
      </c>
      <c r="D200">
        <f t="shared" si="35"/>
        <v>29289252.460044038</v>
      </c>
      <c r="Q200">
        <f t="shared" si="36"/>
        <v>29289252.460044313</v>
      </c>
      <c r="R200">
        <f t="shared" si="37"/>
        <v>1596.3622003594385</v>
      </c>
      <c r="S200">
        <f t="shared" si="38"/>
        <v>163565896.43279746</v>
      </c>
      <c r="T200" s="5">
        <v>0.08</v>
      </c>
      <c r="V200">
        <f>SUM($R$2:R200)</f>
        <v>83938.224935437451</v>
      </c>
      <c r="W200">
        <f t="shared" si="39"/>
        <v>176.98778082789494</v>
      </c>
      <c r="Z200">
        <f t="shared" si="33"/>
        <v>2.8995041774790384E-6</v>
      </c>
      <c r="AA200" s="5">
        <v>0.3</v>
      </c>
      <c r="AB200">
        <f t="shared" si="40"/>
        <v>545219654.77599156</v>
      </c>
      <c r="AC200">
        <f t="shared" si="43"/>
        <v>23199286.304741647</v>
      </c>
      <c r="AD200" s="5">
        <v>0.2</v>
      </c>
      <c r="AE200">
        <f t="shared" si="41"/>
        <v>4639857.2609483292</v>
      </c>
      <c r="AF200">
        <f t="shared" si="42"/>
        <v>1</v>
      </c>
    </row>
    <row r="201" spans="1:32" x14ac:dyDescent="0.25">
      <c r="A201" s="2">
        <v>200</v>
      </c>
      <c r="B201">
        <f>B200+B200*C200</f>
        <v>4480508.8749075802</v>
      </c>
      <c r="C201" s="5">
        <v>0.08</v>
      </c>
      <c r="D201">
        <f>D200+D200*C200</f>
        <v>31632392.656847559</v>
      </c>
      <c r="Q201">
        <f>$D$2*((1+$C$2)^A200)</f>
        <v>31632392.656847857</v>
      </c>
      <c r="R201">
        <f>S201/((1+$U$2)^A200)</f>
        <v>1626.4822418756539</v>
      </c>
      <c r="S201">
        <f>S200*(1+T200)</f>
        <v>176651168.14742127</v>
      </c>
      <c r="T201" s="5">
        <v>0.08</v>
      </c>
      <c r="V201">
        <f>SUM($R$2:R201)</f>
        <v>85564.707177313103</v>
      </c>
      <c r="W201">
        <f>V201/$W$2</f>
        <v>180.41729679355862</v>
      </c>
      <c r="Z201">
        <f t="shared" si="33"/>
        <v>2.6847260902583686E-6</v>
      </c>
      <c r="AA201" s="5">
        <v>0.3</v>
      </c>
      <c r="AB201">
        <f t="shared" si="40"/>
        <v>588837227.15807092</v>
      </c>
      <c r="AC201">
        <f t="shared" si="43"/>
        <v>24591243.483026147</v>
      </c>
      <c r="AD201" s="5">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4.4" x14ac:dyDescent="0.25"/>
  <sheetData>
    <row r="3" spans="3:3" x14ac:dyDescent="0.25">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53340</xdr:colOff>
                <xdr:row>37</xdr:row>
                <xdr:rowOff>53340</xdr:rowOff>
              </from>
              <to>
                <xdr:col>15</xdr:col>
                <xdr:colOff>548640</xdr:colOff>
                <xdr:row>59</xdr:row>
                <xdr:rowOff>91440</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99060</xdr:colOff>
                <xdr:row>1</xdr:row>
                <xdr:rowOff>38100</xdr:rowOff>
              </from>
              <to>
                <xdr:col>25</xdr:col>
                <xdr:colOff>464820</xdr:colOff>
                <xdr:row>36</xdr:row>
                <xdr:rowOff>99060</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167640</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显示材料-光刻胶-医药中间体</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Administrator</cp:lastModifiedBy>
  <dcterms:created xsi:type="dcterms:W3CDTF">2018-08-09T11:49:58Z</dcterms:created>
  <dcterms:modified xsi:type="dcterms:W3CDTF">2023-06-10T12:29:43Z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