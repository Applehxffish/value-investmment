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医疗器械服务\"/>
    </mc:Choice>
  </mc:AlternateContent>
  <bookViews>
    <workbookView xWindow="-110" yWindow="-110" windowWidth="20270" windowHeight="9130" activeTab="2"/>
  </bookViews>
  <sheets>
    <sheet name="CXO-化学阶段" sheetId="56" r:id="rId1"/>
    <sheet name="CXO-临床前后" sheetId="62" r:id="rId2"/>
    <sheet name="CXO-CDMO-分子砌块" sheetId="57" r:id="rId3"/>
    <sheet name="专科医院-眼科" sheetId="58" r:id="rId4"/>
    <sheet name="专科医院-口腔" sheetId="59" r:id="rId5"/>
    <sheet name="第三方诊断" sheetId="61" r:id="rId6"/>
    <sheet name="公司价值折现" sheetId="42" r:id="rId7"/>
    <sheet name="基本面模型" sheetId="23" r:id="rId8"/>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 i="62" l="1"/>
  <c r="J2" i="59" l="1"/>
  <c r="J2" i="58" l="1"/>
  <c r="J2" i="61" l="1"/>
  <c r="J2" i="56" l="1"/>
  <c r="J2" i="57"/>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<sst xmlns="http://schemas.openxmlformats.org/spreadsheetml/2006/main" count="2872" uniqueCount="1638">
  <si>
    <t>现价</t>
  </si>
  <si>
    <t>市净率</t>
  </si>
  <si>
    <t>泰格医药</t>
  </si>
  <si>
    <t>代码</t>
  </si>
  <si>
    <t xml:space="preserve">    名称</t>
  </si>
  <si>
    <t>总市值</t>
  </si>
  <si>
    <t>TTM市盈率</t>
  </si>
  <si>
    <t>SZ300347</t>
  </si>
  <si>
    <t>SH603127</t>
  </si>
  <si>
    <t>昭衍新药</t>
  </si>
  <si>
    <t>SZ002821</t>
  </si>
  <si>
    <t>凯莱英</t>
  </si>
  <si>
    <t>所属行业</t>
  </si>
  <si>
    <t>SH603259</t>
  </si>
  <si>
    <t>药明康德</t>
  </si>
  <si>
    <t>SZ300759</t>
  </si>
  <si>
    <t>康龙化成</t>
  </si>
  <si>
    <t>SZ300404</t>
  </si>
  <si>
    <t>博济医药</t>
  </si>
  <si>
    <t>SZ300725</t>
  </si>
  <si>
    <t>药石科技</t>
  </si>
  <si>
    <t>SZ300363</t>
  </si>
  <si>
    <t>博腾股份</t>
  </si>
  <si>
    <t>SH688202</t>
  </si>
  <si>
    <t>美迪西</t>
  </si>
  <si>
    <t>--</t>
  </si>
  <si>
    <t>预期空</t>
    <phoneticPr fontId="1" type="noConversion"/>
  </si>
  <si>
    <t>负债合计</t>
  </si>
  <si>
    <t>所有者权益合计</t>
  </si>
  <si>
    <t>主营业务收入</t>
  </si>
  <si>
    <t>净利润增长率</t>
  </si>
  <si>
    <t>总股本</t>
  </si>
  <si>
    <t>财务费用</t>
  </si>
  <si>
    <t>投资收益</t>
  </si>
  <si>
    <t>应收账款</t>
  </si>
  <si>
    <t>4.72亿</t>
  </si>
  <si>
    <t>1.25亿</t>
  </si>
  <si>
    <t>24.60亿</t>
  </si>
  <si>
    <t>5.54亿</t>
  </si>
  <si>
    <t>28.03亿</t>
  </si>
  <si>
    <t>8.42亿</t>
  </si>
  <si>
    <t>1.63亿</t>
  </si>
  <si>
    <t>1.51亿</t>
  </si>
  <si>
    <t>2.32亿</t>
  </si>
  <si>
    <t>12.27亿</t>
  </si>
  <si>
    <t>3.25亿</t>
  </si>
  <si>
    <t>2.03亿</t>
  </si>
  <si>
    <t>4.28亿</t>
  </si>
  <si>
    <t>1.88亿</t>
  </si>
  <si>
    <t>1.33亿</t>
  </si>
  <si>
    <t>1.11亿</t>
  </si>
  <si>
    <t>1.87亿</t>
  </si>
  <si>
    <t>1.86亿</t>
  </si>
  <si>
    <t>20.72亿</t>
  </si>
  <si>
    <t>1.14亿</t>
  </si>
  <si>
    <t>6.66亿</t>
  </si>
  <si>
    <t>10.69亿</t>
  </si>
  <si>
    <t>1.07亿</t>
  </si>
  <si>
    <t>1.70亿</t>
  </si>
  <si>
    <t>1.24亿</t>
  </si>
  <si>
    <t>2.82亿</t>
  </si>
  <si>
    <t>6.39亿</t>
  </si>
  <si>
    <t>1.54亿</t>
  </si>
  <si>
    <t>3.01亿</t>
  </si>
  <si>
    <t>5.47亿</t>
  </si>
  <si>
    <t>1.77亿</t>
  </si>
  <si>
    <t>1.08亿</t>
  </si>
  <si>
    <t>11.84亿</t>
  </si>
  <si>
    <t>4.87亿</t>
  </si>
  <si>
    <t>1.84亿</t>
  </si>
  <si>
    <t>3.15亿</t>
  </si>
  <si>
    <t>1.29亿</t>
  </si>
  <si>
    <t>2.55亿</t>
  </si>
  <si>
    <t>5.57亿</t>
  </si>
  <si>
    <t>6.62亿</t>
  </si>
  <si>
    <t>11.85亿</t>
  </si>
  <si>
    <t>4.55亿</t>
  </si>
  <si>
    <t>10.76亿</t>
  </si>
  <si>
    <t>3.24亿</t>
  </si>
  <si>
    <t>16.87亿</t>
  </si>
  <si>
    <t>1.52亿</t>
  </si>
  <si>
    <t>3.33亿</t>
  </si>
  <si>
    <t>2.31亿</t>
  </si>
  <si>
    <t>15.51亿</t>
  </si>
  <si>
    <t>4.78亿</t>
  </si>
  <si>
    <t>2.49亿</t>
  </si>
  <si>
    <t>77.65亿</t>
  </si>
  <si>
    <t>16.61亿</t>
  </si>
  <si>
    <t>5.24亿</t>
  </si>
  <si>
    <t>4.49亿</t>
  </si>
  <si>
    <t>2.73亿</t>
  </si>
  <si>
    <t>18.55亿</t>
  </si>
  <si>
    <t>37.57亿</t>
  </si>
  <si>
    <t>128.72亿</t>
  </si>
  <si>
    <t>6657.31万</t>
  </si>
  <si>
    <t>7.22亿</t>
  </si>
  <si>
    <t>29.08亿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</si>
  <si>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</si>
  <si>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</si>
  <si>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</si>
  <si>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</si>
  <si>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</si>
  <si>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</si>
  <si>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</si>
  <si>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</si>
  <si>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</si>
  <si>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</si>
  <si>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</si>
  <si>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</si>
  <si>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</si>
  <si>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</si>
  <si>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</si>
  <si>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</si>
  <si>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</si>
  <si>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</si>
  <si>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</si>
  <si>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</si>
  <si>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</si>
  <si>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</si>
  <si>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</si>
  <si>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</si>
  <si>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</si>
  <si>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</si>
  <si>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</si>
  <si>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</si>
  <si>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</si>
  <si>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</si>
  <si>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</si>
  <si>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</si>
  <si>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</si>
  <si>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</si>
  <si>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</si>
  <si>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</si>
  <si>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</si>
  <si>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</si>
  <si>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</si>
  <si>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</si>
  <si>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</si>
  <si>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</si>
  <si>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</si>
  <si>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</si>
  <si>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</si>
  <si>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</si>
  <si>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</si>
  <si>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</si>
  <si>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</si>
  <si>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</si>
  <si>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</si>
  <si>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</si>
  <si>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</si>
  <si>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</si>
  <si>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31.50亿</t>
  </si>
  <si>
    <t>18.35亿</t>
  </si>
  <si>
    <t>14.23亿</t>
  </si>
  <si>
    <t>3.41亿</t>
  </si>
  <si>
    <t>31.92亿</t>
  </si>
  <si>
    <t>17.50亿</t>
  </si>
  <si>
    <t>23.01亿</t>
  </si>
  <si>
    <t>11.75亿</t>
  </si>
  <si>
    <t>10.22亿</t>
  </si>
  <si>
    <t>6717.92万</t>
  </si>
  <si>
    <t>51.34亿</t>
  </si>
  <si>
    <t>11.72亿</t>
  </si>
  <si>
    <t>22.94亿</t>
  </si>
  <si>
    <t>4.09亿</t>
  </si>
  <si>
    <t>7644.64万</t>
  </si>
  <si>
    <t>165.35亿</t>
  </si>
  <si>
    <t>29.60亿</t>
  </si>
  <si>
    <t>96.14亿</t>
  </si>
  <si>
    <t>22.61亿</t>
  </si>
  <si>
    <t>6077.26万</t>
  </si>
  <si>
    <t>4162.07万</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</si>
  <si>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</si>
  <si>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</si>
  <si>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</si>
  <si>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</si>
  <si>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</si>
  <si>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</si>
  <si>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</si>
  <si>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</si>
  <si>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</si>
  <si>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</si>
  <si>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</si>
  <si>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</si>
  <si>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</si>
  <si>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</si>
  <si>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</si>
  <si>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</si>
  <si>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</si>
  <si>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</si>
  <si>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</si>
  <si>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</si>
  <si>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</si>
  <si>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28.74亿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</si>
  <si>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</si>
  <si>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</si>
  <si>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</si>
  <si>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</si>
  <si>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</si>
  <si>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</si>
  <si>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</si>
  <si>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</si>
  <si>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</si>
  <si>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</si>
  <si>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</si>
  <si>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</si>
  <si>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</si>
  <si>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</si>
  <si>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</si>
  <si>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</si>
  <si>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</si>
  <si>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</si>
  <si>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</si>
  <si>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</si>
  <si>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</si>
  <si>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</si>
  <si>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</si>
  <si>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</si>
  <si>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</si>
  <si>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</si>
  <si>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</si>
  <si>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</si>
  <si>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1-0</t>
  </si>
  <si>
    <t>预期多</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</si>
  <si>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</si>
  <si>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</si>
  <si>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</si>
  <si>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</si>
  <si>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</si>
  <si>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</si>
  <si>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</si>
  <si>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</si>
  <si>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</si>
  <si>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</si>
  <si>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</si>
  <si>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</si>
  <si>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</si>
  <si>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</si>
  <si>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</si>
  <si>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</si>
  <si>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</si>
  <si>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</si>
  <si>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</si>
  <si>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</si>
  <si>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</si>
  <si>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</si>
  <si>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</si>
  <si>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</si>
  <si>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</si>
  <si>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</si>
  <si>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</si>
  <si>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</si>
  <si>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</si>
  <si>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</si>
  <si>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</si>
  <si>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</si>
  <si>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</si>
  <si>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</si>
  <si>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</si>
  <si>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</si>
  <si>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</si>
  <si>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</si>
  <si>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</si>
  <si>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</si>
  <si>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</si>
  <si>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</si>
  <si>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</si>
  <si>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</si>
  <si>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</si>
  <si>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</si>
  <si>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</si>
  <si>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</si>
  <si>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医疗服务</t>
  </si>
  <si>
    <t>46.39亿</t>
  </si>
  <si>
    <t>52.14亿</t>
  </si>
  <si>
    <t>31.05亿</t>
  </si>
  <si>
    <t>12.02亿</t>
  </si>
  <si>
    <t>74.44亿</t>
  </si>
  <si>
    <t>15.17亿</t>
  </si>
  <si>
    <t>229.02亿</t>
  </si>
  <si>
    <t>50.97亿</t>
  </si>
  <si>
    <t>11.67亿</t>
  </si>
  <si>
    <t>医疗服务\医疗服务外包CXO利基.docx</t>
  </si>
  <si>
    <t>SH688131</t>
  </si>
  <si>
    <t>皓元医药</t>
  </si>
  <si>
    <t>SH688238</t>
  </si>
  <si>
    <t>和元生物</t>
  </si>
  <si>
    <t>SH688046</t>
  </si>
  <si>
    <t>药康生物</t>
  </si>
  <si>
    <t>SH688293</t>
  </si>
  <si>
    <t>奥浦迈</t>
  </si>
  <si>
    <t>SH688621</t>
  </si>
  <si>
    <t>阳光诺和</t>
  </si>
  <si>
    <t>SZ301096</t>
  </si>
  <si>
    <t>百诚医药</t>
  </si>
  <si>
    <t>SH688073</t>
  </si>
  <si>
    <t>毕得医药</t>
  </si>
  <si>
    <t>SH688076</t>
  </si>
  <si>
    <t>诺泰生物</t>
  </si>
  <si>
    <t>SZ301333</t>
  </si>
  <si>
    <t>诺思格</t>
  </si>
  <si>
    <t>SH688222</t>
  </si>
  <si>
    <t>成都先导</t>
  </si>
  <si>
    <t>SZ300149</t>
  </si>
  <si>
    <t>睿智医药</t>
  </si>
  <si>
    <t>SZ301201</t>
  </si>
  <si>
    <t>诚达药业</t>
  </si>
  <si>
    <t>SZ301230</t>
  </si>
  <si>
    <t>泓博医药</t>
  </si>
  <si>
    <t>SH688265</t>
  </si>
  <si>
    <t>南模生物</t>
  </si>
  <si>
    <t>SZ301257</t>
  </si>
  <si>
    <t>普蕊斯</t>
  </si>
  <si>
    <t>SH600721</t>
  </si>
  <si>
    <t>百花医药</t>
  </si>
  <si>
    <t>3.73亿</t>
  </si>
  <si>
    <t>177.56亿</t>
  </si>
  <si>
    <t>46.36亿</t>
  </si>
  <si>
    <t>医疗研发外包</t>
  </si>
  <si>
    <t>1.61亿</t>
  </si>
  <si>
    <t>1.93亿</t>
  </si>
  <si>
    <t>35.94亿</t>
  </si>
  <si>
    <t>11.92亿</t>
  </si>
  <si>
    <t>20.43亿</t>
  </si>
  <si>
    <t>4.65亿</t>
  </si>
  <si>
    <t>46.35亿</t>
  </si>
  <si>
    <t>5.85亿</t>
  </si>
  <si>
    <t>2.63亿</t>
  </si>
  <si>
    <t>50.41亿</t>
  </si>
  <si>
    <t>17.40亿</t>
  </si>
  <si>
    <t>1.43亿</t>
  </si>
  <si>
    <t>2.83亿</t>
  </si>
  <si>
    <t>3.94亿</t>
  </si>
  <si>
    <t>2.81亿</t>
  </si>
  <si>
    <t>39.14亿</t>
  </si>
  <si>
    <t>12.12亿</t>
  </si>
  <si>
    <t>3.61亿</t>
  </si>
  <si>
    <t>15.37亿</t>
  </si>
  <si>
    <t>6.94亿</t>
  </si>
  <si>
    <t>1.18亿</t>
  </si>
  <si>
    <t>7.43亿</t>
  </si>
  <si>
    <t>1.50亿</t>
  </si>
  <si>
    <t>7.35亿</t>
  </si>
  <si>
    <t>6.21亿</t>
  </si>
  <si>
    <t>1.53亿</t>
  </si>
  <si>
    <t>3.81亿</t>
  </si>
  <si>
    <t>10派1元(含税)</t>
  </si>
  <si>
    <t>9.69亿</t>
  </si>
  <si>
    <t>1.91亿</t>
  </si>
  <si>
    <t>4.86亿</t>
  </si>
  <si>
    <t>4.19亿</t>
  </si>
  <si>
    <t>1.02亿</t>
  </si>
  <si>
    <t>6.35亿</t>
  </si>
  <si>
    <t>3.00亿</t>
  </si>
  <si>
    <t>1.74亿</t>
  </si>
  <si>
    <t>1.17亿</t>
  </si>
  <si>
    <t>1.28亿</t>
  </si>
  <si>
    <t>7342.96万</t>
  </si>
  <si>
    <t>1841.42万</t>
  </si>
  <si>
    <t>1500.69万</t>
  </si>
  <si>
    <t>1.16亿</t>
  </si>
  <si>
    <t>1.44亿</t>
  </si>
  <si>
    <t>1.90亿</t>
  </si>
  <si>
    <t>5425.73万</t>
  </si>
  <si>
    <t>13.62亿</t>
  </si>
  <si>
    <t>6291.45万</t>
  </si>
  <si>
    <t>4420.97万</t>
  </si>
  <si>
    <t>2782.51万</t>
  </si>
  <si>
    <t>9443.93万</t>
  </si>
  <si>
    <t>-3652.33万</t>
  </si>
  <si>
    <t>-3232.61万</t>
  </si>
  <si>
    <t>-1966.65万</t>
  </si>
  <si>
    <t>1.35亿</t>
  </si>
  <si>
    <t>1.64亿</t>
  </si>
  <si>
    <t>不分配不转增</t>
  </si>
  <si>
    <t>1.03亿</t>
  </si>
  <si>
    <t>2.02亿</t>
  </si>
  <si>
    <t>2.62亿</t>
  </si>
  <si>
    <t>5329.06万</t>
  </si>
  <si>
    <t>7643.35万</t>
  </si>
  <si>
    <t>3474.42万</t>
  </si>
  <si>
    <t>-602.27万</t>
  </si>
  <si>
    <t>全</t>
    <phoneticPr fontId="1" type="noConversion"/>
  </si>
  <si>
    <t>全</t>
    <phoneticPr fontId="1" type="noConversion"/>
  </si>
  <si>
    <t>CDMO</t>
    <phoneticPr fontId="1" type="noConversion"/>
  </si>
  <si>
    <t>临床前</t>
    <phoneticPr fontId="1" type="noConversion"/>
  </si>
  <si>
    <t>分子砌块、CDMO</t>
    <phoneticPr fontId="1" type="noConversion"/>
  </si>
  <si>
    <t>分子砌块</t>
    <phoneticPr fontId="1" type="noConversion"/>
  </si>
  <si>
    <t>CDMO</t>
    <phoneticPr fontId="1" type="noConversion"/>
  </si>
  <si>
    <t>2.13亿</t>
  </si>
  <si>
    <t>6039.37万</t>
  </si>
  <si>
    <t>1.34亿</t>
  </si>
  <si>
    <t>1.00亿</t>
  </si>
  <si>
    <t>-1.18亿</t>
  </si>
  <si>
    <t>5852.11万</t>
  </si>
  <si>
    <t>3384.38万</t>
  </si>
  <si>
    <t>1168.46万</t>
  </si>
  <si>
    <t>-1226.54万</t>
  </si>
  <si>
    <t>-4248.03万</t>
  </si>
  <si>
    <t>1.47亿</t>
  </si>
  <si>
    <t>5335.66万</t>
  </si>
  <si>
    <t>4.94亿</t>
  </si>
  <si>
    <t>1.06亿</t>
  </si>
  <si>
    <t>3.53亿</t>
  </si>
  <si>
    <t>2.22亿</t>
  </si>
  <si>
    <t>4.40亿</t>
  </si>
  <si>
    <t>3.47亿</t>
  </si>
  <si>
    <t>2.34亿</t>
  </si>
  <si>
    <t>3604.99万</t>
  </si>
  <si>
    <t>7246.49万</t>
  </si>
  <si>
    <t>4740.07万</t>
  </si>
  <si>
    <t>2071.75万</t>
  </si>
  <si>
    <t>198.05万</t>
  </si>
  <si>
    <t>2.24亿</t>
  </si>
  <si>
    <t>8738.25万</t>
  </si>
  <si>
    <t>3.74亿</t>
  </si>
  <si>
    <t>1.27亿</t>
  </si>
  <si>
    <t>3.98亿</t>
  </si>
  <si>
    <t>2.07亿</t>
  </si>
  <si>
    <t>1.56亿</t>
  </si>
  <si>
    <t>8212.21万</t>
  </si>
  <si>
    <t>2558.60万</t>
  </si>
  <si>
    <t>5740.37万</t>
  </si>
  <si>
    <t>4439.79万</t>
  </si>
  <si>
    <t>1104.17万</t>
  </si>
  <si>
    <t>-712.24万</t>
  </si>
  <si>
    <t>2.46亿</t>
  </si>
  <si>
    <t>8502.13万</t>
  </si>
  <si>
    <t>6.06亿</t>
  </si>
  <si>
    <t>9757.30万</t>
  </si>
  <si>
    <t>1.09亿</t>
  </si>
  <si>
    <t>3.91亿</t>
  </si>
  <si>
    <t>5900.36万</t>
  </si>
  <si>
    <t>-110.25万</t>
  </si>
  <si>
    <t>-1883.13万</t>
  </si>
  <si>
    <t>3.69亿</t>
  </si>
  <si>
    <t>4.27亿</t>
  </si>
  <si>
    <t>2.68亿</t>
  </si>
  <si>
    <t>5917.60万</t>
  </si>
  <si>
    <t>5.26亿</t>
  </si>
  <si>
    <t>6.44亿</t>
  </si>
  <si>
    <t>1.15亿</t>
  </si>
  <si>
    <t>1.26亿</t>
  </si>
  <si>
    <t>5.67亿</t>
  </si>
  <si>
    <t>3.72亿</t>
  </si>
  <si>
    <t>2.56亿</t>
  </si>
  <si>
    <t>2.29亿</t>
  </si>
  <si>
    <t>1.23亿</t>
  </si>
  <si>
    <t>4861.05万</t>
  </si>
  <si>
    <t>4390.84万</t>
  </si>
  <si>
    <t>4192.93万</t>
  </si>
  <si>
    <t>4.50亿</t>
  </si>
  <si>
    <t>3483.36万</t>
  </si>
  <si>
    <t>2.76亿</t>
  </si>
  <si>
    <t>6.08亿</t>
  </si>
  <si>
    <t>9923.70万</t>
  </si>
  <si>
    <t>12.26亿</t>
  </si>
  <si>
    <t>2.67亿</t>
  </si>
  <si>
    <t>10.47亿</t>
  </si>
  <si>
    <t>4.84亿</t>
  </si>
  <si>
    <t>4.25亿</t>
  </si>
  <si>
    <t>3.26亿</t>
  </si>
  <si>
    <t>2.71亿</t>
  </si>
  <si>
    <t>8383.79万</t>
  </si>
  <si>
    <t>8263.34万</t>
  </si>
  <si>
    <t>4835.02万</t>
  </si>
  <si>
    <t>2878.02万</t>
  </si>
  <si>
    <t>2.94亿</t>
  </si>
  <si>
    <t>6130.84万</t>
  </si>
  <si>
    <t>13.11亿</t>
  </si>
  <si>
    <t>3.11亿</t>
  </si>
  <si>
    <t>6338.38万</t>
  </si>
  <si>
    <t>3.82亿</t>
  </si>
  <si>
    <t>2.44亿</t>
  </si>
  <si>
    <t>2.64亿</t>
  </si>
  <si>
    <t>5321.87万</t>
  </si>
  <si>
    <t>6402.32万</t>
  </si>
  <si>
    <t>1.20亿</t>
  </si>
  <si>
    <t>4496.05万</t>
  </si>
  <si>
    <t>-2308.07万</t>
  </si>
  <si>
    <t>1.39亿</t>
  </si>
  <si>
    <t>-705.81万</t>
  </si>
  <si>
    <t>16.91亿</t>
  </si>
  <si>
    <t>-4.02亿</t>
  </si>
  <si>
    <t>7.06亿</t>
  </si>
  <si>
    <t>2.00亿</t>
  </si>
  <si>
    <t>14.82亿</t>
  </si>
  <si>
    <t>13.28亿</t>
  </si>
  <si>
    <t>9.97亿</t>
  </si>
  <si>
    <t>2.75亿</t>
  </si>
  <si>
    <t>1.55亿</t>
  </si>
  <si>
    <t>5780.95万</t>
  </si>
  <si>
    <t>6.87亿</t>
  </si>
  <si>
    <t>9.57亿</t>
  </si>
  <si>
    <t>扭亏</t>
  </si>
  <si>
    <t>4.16亿</t>
  </si>
  <si>
    <t>1.46亿</t>
  </si>
  <si>
    <t>1.21亿</t>
  </si>
  <si>
    <t>5422.39万</t>
  </si>
  <si>
    <t>671.01万</t>
  </si>
  <si>
    <t>409.26万</t>
  </si>
  <si>
    <t>2.17亿</t>
  </si>
  <si>
    <t>1.95亿</t>
  </si>
  <si>
    <t>6509.10万</t>
  </si>
  <si>
    <t>-1-0</t>
  </si>
  <si>
    <t>4.48亿</t>
  </si>
  <si>
    <t>7357.66万</t>
  </si>
  <si>
    <t>2.91亿</t>
  </si>
  <si>
    <t>2.12亿</t>
  </si>
  <si>
    <t>2.45亿</t>
  </si>
  <si>
    <t>1.31亿</t>
  </si>
  <si>
    <t>4869.14万</t>
  </si>
  <si>
    <t>4725.47万</t>
  </si>
  <si>
    <t>918.13万</t>
  </si>
  <si>
    <t>1217.14万</t>
  </si>
  <si>
    <t>2.06亿</t>
  </si>
  <si>
    <t>2.95亿</t>
  </si>
  <si>
    <t>2052.14万</t>
  </si>
  <si>
    <t>6086.09万</t>
  </si>
  <si>
    <t>2.51亿</t>
  </si>
  <si>
    <t>1.96亿</t>
  </si>
  <si>
    <t>7629.14万</t>
  </si>
  <si>
    <t>4455.59万</t>
  </si>
  <si>
    <t>2324.99万</t>
  </si>
  <si>
    <t>1511.12万</t>
  </si>
  <si>
    <t>-1605.34万</t>
  </si>
  <si>
    <t>1.30亿</t>
  </si>
  <si>
    <t>1.22亿</t>
  </si>
  <si>
    <t>488.43万</t>
  </si>
  <si>
    <t>5.03亿</t>
  </si>
  <si>
    <t>5776.90万</t>
  </si>
  <si>
    <t>3.03亿</t>
  </si>
  <si>
    <t>6.30亿</t>
  </si>
  <si>
    <t>3.35亿</t>
  </si>
  <si>
    <t>3.04亿</t>
  </si>
  <si>
    <t>1.12亿</t>
  </si>
  <si>
    <t>3531.65万</t>
  </si>
  <si>
    <t>5235.59万</t>
  </si>
  <si>
    <t>3027.97万</t>
  </si>
  <si>
    <t>1604.58万</t>
  </si>
  <si>
    <t>3.62亿</t>
  </si>
  <si>
    <t>2.25亿</t>
  </si>
  <si>
    <t>1942.57万</t>
  </si>
  <si>
    <t>8.81亿</t>
  </si>
  <si>
    <t>3888.22万</t>
  </si>
  <si>
    <t>2.60亿</t>
  </si>
  <si>
    <t>1.72亿</t>
  </si>
  <si>
    <t>1698.86万</t>
  </si>
  <si>
    <t>659.26万</t>
  </si>
  <si>
    <t>739.99万</t>
  </si>
  <si>
    <t>-2448.86万</t>
  </si>
  <si>
    <t>1.75亿</t>
  </si>
  <si>
    <t>5982.71万</t>
  </si>
  <si>
    <t>2.28亿</t>
  </si>
  <si>
    <t>8453.04万</t>
  </si>
  <si>
    <t>4.20亿</t>
  </si>
  <si>
    <t>-3.20亿</t>
  </si>
  <si>
    <t>3438.47万</t>
  </si>
  <si>
    <t>-6.75亿</t>
  </si>
  <si>
    <t>-5.64亿</t>
  </si>
  <si>
    <t>1029.45万</t>
  </si>
  <si>
    <t>CDMO</t>
    <phoneticPr fontId="1" type="noConversion"/>
  </si>
  <si>
    <t>医药研究及临床</t>
    <phoneticPr fontId="1" type="noConversion"/>
  </si>
  <si>
    <t>医药研究</t>
    <phoneticPr fontId="1" type="noConversion"/>
  </si>
  <si>
    <t>分子砌块</t>
    <phoneticPr fontId="1" type="noConversion"/>
  </si>
  <si>
    <t>医药研究</t>
    <phoneticPr fontId="1" type="noConversion"/>
  </si>
  <si>
    <t>全、营养</t>
    <phoneticPr fontId="1" type="noConversion"/>
  </si>
  <si>
    <t>CDMO、食品</t>
    <phoneticPr fontId="1" type="noConversion"/>
  </si>
  <si>
    <t>全</t>
    <phoneticPr fontId="1" type="noConversion"/>
  </si>
  <si>
    <t>基因修饰</t>
    <phoneticPr fontId="1" type="noConversion"/>
  </si>
  <si>
    <t>全</t>
    <phoneticPr fontId="1" type="noConversion"/>
  </si>
  <si>
    <t>SZ300015</t>
  </si>
  <si>
    <t>爱尔眼科</t>
  </si>
  <si>
    <t>6423.34万</t>
  </si>
  <si>
    <t>SH600763</t>
  </si>
  <si>
    <t>通策医疗</t>
  </si>
  <si>
    <t>917.92万</t>
  </si>
  <si>
    <t>SZ301267</t>
  </si>
  <si>
    <t>华厦眼科</t>
  </si>
  <si>
    <t>321.27万</t>
  </si>
  <si>
    <t>SH603882</t>
  </si>
  <si>
    <t>金域医学</t>
  </si>
  <si>
    <t>389.11万</t>
  </si>
  <si>
    <t>SZ000516</t>
  </si>
  <si>
    <t>国际医学</t>
  </si>
  <si>
    <t>5381.40万</t>
  </si>
  <si>
    <t>SZ002044</t>
  </si>
  <si>
    <t>美年健康</t>
  </si>
  <si>
    <t>9584.47万</t>
  </si>
  <si>
    <t>SZ300676</t>
  </si>
  <si>
    <t>华大基因</t>
  </si>
  <si>
    <t>214.40万</t>
  </si>
  <si>
    <t>SZ300244</t>
  </si>
  <si>
    <t>迪安诊断</t>
  </si>
  <si>
    <t>517.39万</t>
  </si>
  <si>
    <t>SH688315</t>
  </si>
  <si>
    <t>诺禾致源</t>
  </si>
  <si>
    <t>241.25万</t>
  </si>
  <si>
    <t>SZ002219</t>
  </si>
  <si>
    <t>新里程</t>
  </si>
  <si>
    <t>1899.76万</t>
  </si>
  <si>
    <t>SZ301239</t>
  </si>
  <si>
    <t>普瑞眼科</t>
  </si>
  <si>
    <t>295.19万</t>
  </si>
  <si>
    <t>SZ300109</t>
  </si>
  <si>
    <t>新开源</t>
  </si>
  <si>
    <t>394.75万</t>
  </si>
  <si>
    <t>SZ301060</t>
  </si>
  <si>
    <t>兰卫医学</t>
  </si>
  <si>
    <t>342.90万</t>
  </si>
  <si>
    <t>SZ300143</t>
  </si>
  <si>
    <t>盈康生命</t>
  </si>
  <si>
    <t>657.94万</t>
  </si>
  <si>
    <t>SZ301103</t>
  </si>
  <si>
    <t>何氏眼科</t>
  </si>
  <si>
    <t>774.78万</t>
  </si>
  <si>
    <t>SZ000710</t>
  </si>
  <si>
    <t>贝瑞基因</t>
  </si>
  <si>
    <t>478.67万</t>
  </si>
  <si>
    <t>SZ301235</t>
  </si>
  <si>
    <t>华康医疗</t>
  </si>
  <si>
    <t>143.10万</t>
  </si>
  <si>
    <t>SZ002524</t>
  </si>
  <si>
    <t>光正眼科</t>
  </si>
  <si>
    <t>2861.99万</t>
  </si>
  <si>
    <t>SZ000504</t>
  </si>
  <si>
    <t>南华生物</t>
  </si>
  <si>
    <t>88.82万</t>
  </si>
  <si>
    <t>SH600568</t>
  </si>
  <si>
    <t>ST中珠</t>
  </si>
  <si>
    <t>371.54万</t>
  </si>
  <si>
    <t>SZ002172</t>
  </si>
  <si>
    <t>澳洋健康</t>
  </si>
  <si>
    <t>6669.99万</t>
  </si>
  <si>
    <t>SZ002622</t>
  </si>
  <si>
    <t>皓宸医疗</t>
  </si>
  <si>
    <t>2738.60万</t>
  </si>
  <si>
    <t>SZ002173</t>
  </si>
  <si>
    <t>创新医疗</t>
  </si>
  <si>
    <t>1128.41万</t>
  </si>
  <si>
    <t>SZ000150</t>
  </si>
  <si>
    <t>*ST宜康</t>
  </si>
  <si>
    <t>2291.96万</t>
  </si>
  <si>
    <t>97.29亿</t>
  </si>
  <si>
    <t>171.64亿</t>
  </si>
  <si>
    <t>13051536000亿</t>
  </si>
  <si>
    <t>150.01亿</t>
  </si>
  <si>
    <t>23.23亿</t>
  </si>
  <si>
    <t>95.69亿</t>
  </si>
  <si>
    <t>62.76亿</t>
  </si>
  <si>
    <t>12.58亿</t>
  </si>
  <si>
    <t>18.19亿</t>
  </si>
  <si>
    <t>34029059亿</t>
  </si>
  <si>
    <t>671.52万</t>
  </si>
  <si>
    <t>2503572000亿</t>
  </si>
  <si>
    <t>82.84亿</t>
  </si>
  <si>
    <t>1706625400亿</t>
  </si>
  <si>
    <t>11355218800亿</t>
  </si>
  <si>
    <t>3.97亿</t>
  </si>
  <si>
    <t>5.60亿</t>
  </si>
  <si>
    <t>15.92亿</t>
  </si>
  <si>
    <t>65.63亿</t>
  </si>
  <si>
    <t>3454.50万</t>
  </si>
  <si>
    <t>40.02亿</t>
  </si>
  <si>
    <t>-15.61亿</t>
  </si>
  <si>
    <t>14.74亿</t>
  </si>
  <si>
    <t>119.12亿</t>
  </si>
  <si>
    <t>99.90亿</t>
  </si>
  <si>
    <t>80.09亿</t>
  </si>
  <si>
    <t>59.63亿</t>
  </si>
  <si>
    <t>40.00亿</t>
  </si>
  <si>
    <t>17.24亿</t>
  </si>
  <si>
    <t>13.79亿</t>
  </si>
  <si>
    <t>10.09亿</t>
  </si>
  <si>
    <t>81.07亿</t>
  </si>
  <si>
    <t>115.96亿</t>
  </si>
  <si>
    <t>73.48亿</t>
  </si>
  <si>
    <t>12.91亿</t>
  </si>
  <si>
    <t>20.03亿</t>
  </si>
  <si>
    <t>11.16亿</t>
  </si>
  <si>
    <t>10转2.991634股派1.196653元(含税)</t>
  </si>
  <si>
    <t>其他医疗服务</t>
  </si>
  <si>
    <t>1.97亿</t>
  </si>
  <si>
    <t>公司是一家眼科医疗机构,公司主要从事各类眼科疾病诊疗、手术服务与医学验光配镜。
市值2420.642亿, 利润23.23亿; PE90.43, PB14.63; ROIC19.06%; ROE21.5233%; 股利率0.3548%; 毛利49.8833%; 净利15.8967%; 上一年度营收增25.93%, 利润增34.74%; 当季营收增16.4%, 利润增20.19%; 过往5年营收增30.66%, 利润增33.13%
Income profile:
屈光项目 34.38亿 42.41% 49.60% 57.69%
视光服务项目 17.63亿 21.75% 23.67% 53.69%
白内障项目 10.45亿 12.88% 9.37% 35.88%
眼前段项目 6.80亿 8.39% 6.85% 40.29%
其他项目 6.51亿 8.02% 6.41% 39.38%
眼后段项目 5.20亿 6.41% 3.91% 30.06%</t>
  </si>
  <si>
    <t>14.45亿</t>
  </si>
  <si>
    <t>22.53亿</t>
  </si>
  <si>
    <t>2522998500亿</t>
  </si>
  <si>
    <t>30.64亿</t>
  </si>
  <si>
    <t>19.50亿</t>
  </si>
  <si>
    <t>2.65亿</t>
  </si>
  <si>
    <t>2041.99万</t>
  </si>
  <si>
    <t>5922495亿</t>
  </si>
  <si>
    <t>239.16万</t>
  </si>
  <si>
    <t>433411800亿</t>
  </si>
  <si>
    <t>8.34亿</t>
  </si>
  <si>
    <t>216538140亿</t>
  </si>
  <si>
    <t>1830874900亿</t>
  </si>
  <si>
    <t>1420.00万</t>
  </si>
  <si>
    <t>8.68亿</t>
  </si>
  <si>
    <t>6.15亿</t>
  </si>
  <si>
    <t>-8.18亿</t>
  </si>
  <si>
    <t>-8618.95万</t>
  </si>
  <si>
    <t>25.15亿</t>
  </si>
  <si>
    <t>24.56亿</t>
  </si>
  <si>
    <t>21.46亿</t>
  </si>
  <si>
    <t>15.97亿</t>
  </si>
  <si>
    <t>3.34亿</t>
  </si>
  <si>
    <t>2.18亿</t>
  </si>
  <si>
    <t>7740.30万</t>
  </si>
  <si>
    <t>15.79亿</t>
  </si>
  <si>
    <t>22.90亿</t>
  </si>
  <si>
    <t>14.75亿</t>
  </si>
  <si>
    <t>2.36亿</t>
  </si>
  <si>
    <t>3.37亿</t>
  </si>
  <si>
    <t>1151.68万</t>
  </si>
  <si>
    <t>8260.39万</t>
  </si>
  <si>
    <t>公司主营业务为眼科医疗服务，向眼科疾病患者提供各种眼科疾病的诊断、治疗等眼科医疗服务。公司主要服务包括白内障专科、屈光专科、眼底病专科、眼表病专科、青光眼专科、眼眶与眼肿瘤专科、眼外伤专科。
市值466.48亿, 利润4.55亿; PE90.41, PB9.33; ROIC22.3733%; ROE27.87%; 股利率0%; 毛利43.2633%; 净利11.75%; 上一年度营收增21.83%, 利润增36.23%; 当季营收增15.83%, 利润增155.46%; 过往5年营收增18.26%, 利润增58.56%
Income profile:
眼科医疗业务 13.37亿 84.69% 84.11% 47.09%
配镜业务 1.77亿 11.18% 12.94% 54.88%
其他业务 5614.46万 3.56% 2.50% 33.27%
药店业务 902.03万 0.57% 0.45% 37.53%</t>
  </si>
  <si>
    <t>16.79亿</t>
  </si>
  <si>
    <t>21.41亿</t>
  </si>
  <si>
    <t>1432759200亿</t>
  </si>
  <si>
    <t>17.10亿</t>
  </si>
  <si>
    <t>9388.93万</t>
  </si>
  <si>
    <t>13.10亿</t>
  </si>
  <si>
    <t>7.96亿</t>
  </si>
  <si>
    <t>2.66亿</t>
  </si>
  <si>
    <t>254.79万</t>
  </si>
  <si>
    <t>14918985亿</t>
  </si>
  <si>
    <t>87.21万</t>
  </si>
  <si>
    <t>90628160亿</t>
  </si>
  <si>
    <t>11.48亿</t>
  </si>
  <si>
    <t>87054799亿</t>
  </si>
  <si>
    <t>1524094900亿</t>
  </si>
  <si>
    <t>6626.12万</t>
  </si>
  <si>
    <t>6.67亿</t>
  </si>
  <si>
    <t>8850.00万</t>
  </si>
  <si>
    <t>-4.23亿</t>
  </si>
  <si>
    <t>11.38亿</t>
  </si>
  <si>
    <t>11.93亿</t>
  </si>
  <si>
    <t>10.16亿</t>
  </si>
  <si>
    <t>8.06亿</t>
  </si>
  <si>
    <t>4905.48万</t>
  </si>
  <si>
    <t>3132.53万</t>
  </si>
  <si>
    <t>-1340.68万</t>
  </si>
  <si>
    <t>8.90亿</t>
  </si>
  <si>
    <t>13.57亿</t>
  </si>
  <si>
    <t>8.47亿</t>
  </si>
  <si>
    <t>5126.42万</t>
  </si>
  <si>
    <t>6533.61万</t>
  </si>
  <si>
    <t>738.26万</t>
  </si>
  <si>
    <t>4684.33万</t>
  </si>
  <si>
    <t>公司是一家集门诊、临床、医疗和医疗技术开发为一体的专业连锁眼科医疗机构，主营业务为向眼科疾病患者提供专业的眼科医疗服务。公司的产品或服务主要包括屈光项目、白内障项目、医学视光项目和综合眼病项目
市值116.942248亿, 利润9388.93万; PE168.1, PB5.46; ROIC14.0567%; ROE10.42%; 股利率0%; 毛利43.2367%; 净利5.9567%; 上一年度营收增25.55%, 利润增-13.86%; 当季营收增6.42%, 利润增-18.84%; 过往5年营收增20.8%, 利润增124.65%
Income profile:
屈光项目 5.32亿 59.79% 71.28% 52.31%
视光项目 1.25亿 14.05% 13.69% 42.76%
白内障项目 1.16亿 13.03% 10.48% 35.31%
综合眼病项目 1.15亿 12.97% 4.48% 15.17%</t>
  </si>
  <si>
    <t>公司主营业务为面向眼病患者提供眼科专科诊疗服务和视光服务。公司的主要服务项目有白内障诊疗服务项目、屈光不正诊疗服务项目、玻璃体视网膜诊疗服务项目青光眼诊疗服务项目、干眼特色诊疗服务项目、中医特色诊疗服务项目。</t>
    <phoneticPr fontId="1" type="noConversion"/>
  </si>
  <si>
    <t>诊疗服务 3.04亿 64.85% 57.53% 36.24%
视光服务 1.63亿 34.75% 41.81% 49.15%</t>
    <phoneticPr fontId="1" type="noConversion"/>
  </si>
  <si>
    <t>4.11亿</t>
  </si>
  <si>
    <t>22.09亿</t>
  </si>
  <si>
    <t>771544370亿</t>
  </si>
  <si>
    <t>4.68亿</t>
  </si>
  <si>
    <t>4181.20万</t>
  </si>
  <si>
    <t>6.71亿</t>
  </si>
  <si>
    <t>30.89万</t>
  </si>
  <si>
    <t>0亿</t>
  </si>
  <si>
    <t>41942057亿</t>
  </si>
  <si>
    <t>2058332300亿</t>
  </si>
  <si>
    <t>2795.04万</t>
  </si>
  <si>
    <t>10转3股派6元(含税)</t>
  </si>
  <si>
    <t>1669.97万</t>
  </si>
  <si>
    <t>7683.15万</t>
  </si>
  <si>
    <t>n/a</t>
  </si>
  <si>
    <t>13.16亿</t>
  </si>
  <si>
    <t>572261800亿</t>
  </si>
  <si>
    <t>10.44亿</t>
  </si>
  <si>
    <t>3692.72万</t>
  </si>
  <si>
    <t>6.50亿</t>
  </si>
  <si>
    <t>9618.10万</t>
  </si>
  <si>
    <t>41.15万</t>
  </si>
  <si>
    <t>-2454145亿</t>
  </si>
  <si>
    <t>-81445600亿</t>
  </si>
  <si>
    <t>94967032亿</t>
  </si>
  <si>
    <t>802.84万</t>
  </si>
  <si>
    <t>354333040亿</t>
  </si>
  <si>
    <t>2934.06万</t>
  </si>
  <si>
    <t>2.11亿</t>
  </si>
  <si>
    <t>2123.74万</t>
  </si>
  <si>
    <t>2.26亿</t>
  </si>
  <si>
    <t>67.91万</t>
  </si>
  <si>
    <t>8.05亿</t>
  </si>
  <si>
    <t>9614.86万</t>
  </si>
  <si>
    <t>-4277.93万</t>
  </si>
  <si>
    <t>1045.76万</t>
  </si>
  <si>
    <t>9.21亿</t>
  </si>
  <si>
    <t>12.85亿</t>
  </si>
  <si>
    <t>4.99亿</t>
  </si>
  <si>
    <t>4259.54万</t>
  </si>
  <si>
    <t>7266.54万</t>
  </si>
  <si>
    <t>-7482.11万</t>
  </si>
  <si>
    <t>541.64万</t>
  </si>
  <si>
    <t>484.19万</t>
  </si>
  <si>
    <t>7.79亿</t>
  </si>
  <si>
    <t>5.28亿</t>
  </si>
  <si>
    <t>-6367.68万</t>
  </si>
  <si>
    <t>4599.71万</t>
  </si>
  <si>
    <t>6128.49万</t>
  </si>
  <si>
    <t>7051.48万</t>
  </si>
  <si>
    <t>公司主要从事眼科医院的投资、管理业务。公司主要产品及服务包括屈光项目、白内障项目、眼前段项目、眼后段项目、视光服务项目。
市值39.270921亿, 利润3692.72万; PE31.89, PB8.12; ROIC8.26%; ROE9.6367%; 股利率0%; 毛利31.8733%; 净利-0.9867%; 上一年度营收增13.36%, 利润增-13.31%; 当季营收增-7.86%, 利润增1381.39%; 过往5年营收增23.5%, 利润增-265.42%
Income profile:
屈光项目 1.24亿 36.30% 58.33% 34.71%
白内障项目 5878.27万 17.22% 22.84% 28.65%
钢结构制作、安装 4719.45万 13.83% 4.88% 7.62%
燃气、油品 4350.81万 12.75% 6.25% 10.60%
视光服务项目 3481.87万 10.20% 7.70% 16.30%</t>
  </si>
  <si>
    <t>16.22亿</t>
  </si>
  <si>
    <t>36.12亿</t>
  </si>
  <si>
    <t>2139407900亿</t>
  </si>
  <si>
    <t>27.81亿</t>
  </si>
  <si>
    <t>7.03亿</t>
  </si>
  <si>
    <t>14.90亿</t>
  </si>
  <si>
    <t>12.16亿</t>
  </si>
  <si>
    <t>1941.39万</t>
  </si>
  <si>
    <t>2748.75万</t>
  </si>
  <si>
    <t>28979867亿</t>
  </si>
  <si>
    <t>640.19万</t>
  </si>
  <si>
    <t>496972140亿</t>
  </si>
  <si>
    <t>123043626亿</t>
  </si>
  <si>
    <t>942945160亿</t>
  </si>
  <si>
    <t>3.27亿</t>
  </si>
  <si>
    <t>1.65亿</t>
  </si>
  <si>
    <t>33.87万</t>
  </si>
  <si>
    <t>4.36亿</t>
  </si>
  <si>
    <t>7490.18万</t>
  </si>
  <si>
    <t>5.12亿</t>
  </si>
  <si>
    <t>-3.85亿</t>
  </si>
  <si>
    <t>-2.77亿</t>
  </si>
  <si>
    <t>20.88亿</t>
  </si>
  <si>
    <t>19.31亿</t>
  </si>
  <si>
    <t>15.46亿</t>
  </si>
  <si>
    <t>11.80亿</t>
  </si>
  <si>
    <t>8.79亿</t>
  </si>
  <si>
    <t>4.93亿</t>
  </si>
  <si>
    <t>4.66亿</t>
  </si>
  <si>
    <t>3.32亿</t>
  </si>
  <si>
    <t>1.36亿</t>
  </si>
  <si>
    <t>13.18亿</t>
  </si>
  <si>
    <t>21.36亿</t>
  </si>
  <si>
    <t>2.96亿</t>
  </si>
  <si>
    <t>6.20亿</t>
  </si>
  <si>
    <t>3.51亿</t>
  </si>
  <si>
    <t>2398.58万</t>
  </si>
  <si>
    <t>根植于浙江的口腔医疗服务龙头；公司的主营业务为医疗服务。公司主要产品是医疗服务。
市值535.40467亿, 利润7.03亿; PE89.55, PB16.22; ROIC22.75%; ROE27.3967%; 股利率0%; 毛利44.5467%; 净利26.32%; 上一年度营收增33.19%, 利润增42.6%; 当季营收增0.42%, 利润增-18.52%; 过往5年营收增26.3%, 利润增40.26%
Income profile:
医疗服务 12.46亿 94.52% 96.19% 43.14%
产品销售 6540.63万 4.96% 2.83% 24.16%
其他业务 564.97万 0.43% 0.81% 80.29%</t>
  </si>
  <si>
    <t>8.64亿</t>
  </si>
  <si>
    <t>8.62亿</t>
  </si>
  <si>
    <t>410933860亿</t>
  </si>
  <si>
    <t>1.68亿</t>
  </si>
  <si>
    <t>-7598.15万</t>
  </si>
  <si>
    <t>9266.86万</t>
  </si>
  <si>
    <t>9397.20万</t>
  </si>
  <si>
    <t>426.29万</t>
  </si>
  <si>
    <t>21245584亿</t>
  </si>
  <si>
    <t>23.44万</t>
  </si>
  <si>
    <t>-14931643亿</t>
  </si>
  <si>
    <t>1.73亿</t>
  </si>
  <si>
    <t>35933210亿</t>
  </si>
  <si>
    <t>1469.41万</t>
  </si>
  <si>
    <t>371774900亿</t>
  </si>
  <si>
    <t>4786.01万</t>
  </si>
  <si>
    <t>1925.00万</t>
  </si>
  <si>
    <t>5.86亿</t>
  </si>
  <si>
    <t>-512.62万</t>
  </si>
  <si>
    <t>5993.78万</t>
  </si>
  <si>
    <t>-7230.90万</t>
  </si>
  <si>
    <t>4.22亿</t>
  </si>
  <si>
    <t>-2.97亿</t>
  </si>
  <si>
    <t>744.09万</t>
  </si>
  <si>
    <t>3684.32万</t>
  </si>
  <si>
    <t>7191.63万</t>
  </si>
  <si>
    <t>1567.17万</t>
  </si>
  <si>
    <t>7639.40万</t>
  </si>
  <si>
    <t>4909.86万</t>
  </si>
  <si>
    <t>-3055.90万</t>
  </si>
  <si>
    <t>119.07万</t>
  </si>
  <si>
    <t>926.11万</t>
  </si>
  <si>
    <t>1.42亿</t>
  </si>
  <si>
    <t>亏损</t>
  </si>
  <si>
    <t>公司主要从事永磁开关及高低压开关成套设备产品的研发、生产和销售业务，软件产品的开发、销售与服务业务以及出租办公用房业务、口腔疾病的诊断、治疗以及口腔保健、修复服务。
市值32.844亿, 利润-7598.15万; PE, PB3.89; ROIC-4.2833%; ROE-11.72%; 股利率0%; 毛利50.91%; 净利-91.9867%; 上一年度营收增47.37%, 利润增74.42%; 当季营收增628.82%, 利润增311.38%; 过往5年营收增27.31%, 利润增-757.34%
Income profile:
医疗口腔行业 1.84亿 86.88% 86.70% 37.80%
电气开关行业 2347.98万 11.08% 12.65% 43.23%
软件开发行业 327.94万 1.55% 0.68% 16.61%</t>
  </si>
  <si>
    <t>临床SMO</t>
    <phoneticPr fontId="1" type="noConversion"/>
  </si>
  <si>
    <t>1-1</t>
  </si>
  <si>
    <t>2-1</t>
  </si>
  <si>
    <t>3.79亿</t>
  </si>
  <si>
    <t>72.76万</t>
  </si>
  <si>
    <t>港股</t>
  </si>
  <si>
    <t>5.17亿</t>
  </si>
  <si>
    <t>3032.45万</t>
  </si>
  <si>
    <t>10派0.41元(含税)</t>
  </si>
  <si>
    <t>13.58亿</t>
  </si>
  <si>
    <t>1.94亿</t>
  </si>
  <si>
    <t>2.08亿</t>
  </si>
  <si>
    <t>6233.88万</t>
  </si>
  <si>
    <t>10转4股派3.8元(含税)</t>
  </si>
  <si>
    <t>3902.52万</t>
  </si>
  <si>
    <t>7311.62万</t>
  </si>
  <si>
    <t>1206.95万</t>
  </si>
  <si>
    <t>10转3股</t>
  </si>
  <si>
    <t>22.68亿</t>
  </si>
  <si>
    <t>10.74亿</t>
  </si>
  <si>
    <t>10转4股派4元(含税)</t>
  </si>
  <si>
    <t>24.98亿</t>
  </si>
  <si>
    <t>95.58亿</t>
  </si>
  <si>
    <t>25.58亿</t>
  </si>
  <si>
    <t>2.16亿</t>
  </si>
  <si>
    <t>2.04亿</t>
  </si>
  <si>
    <t>612.76万</t>
  </si>
  <si>
    <t>8797.46万</t>
  </si>
  <si>
    <t>-2834.55万</t>
  </si>
  <si>
    <t>1296.95万</t>
  </si>
  <si>
    <t>214543230亿</t>
  </si>
  <si>
    <t>33.89亿</t>
  </si>
  <si>
    <t>12055932300亿</t>
  </si>
  <si>
    <t>6.68亿</t>
  </si>
  <si>
    <t>7306.74万</t>
  </si>
  <si>
    <t>20.81亿</t>
  </si>
  <si>
    <t>21.20亿</t>
  </si>
  <si>
    <t>268.04万</t>
  </si>
  <si>
    <t>10.67亿</t>
  </si>
  <si>
    <t>-24.08亿</t>
  </si>
  <si>
    <t>18.57亿</t>
  </si>
  <si>
    <t>12.82亿</t>
  </si>
  <si>
    <t>7.15亿</t>
  </si>
  <si>
    <t>6.83亿</t>
  </si>
  <si>
    <t>2.10亿</t>
  </si>
  <si>
    <t>9581.25万</t>
  </si>
  <si>
    <t>3.31亿</t>
  </si>
  <si>
    <t>药品及生物科技</t>
  </si>
  <si>
    <t>365.50万</t>
  </si>
  <si>
    <t>1872.48万</t>
  </si>
  <si>
    <t>公司主营业务专注于药物全生命周期的安全性评价和监测服务，其药物临床前研究服务为公司的核心业务，主要内容包括药物非临床安全性评价服务、药效学研究服务、动物药代动力学研究服务和药物筛选。
市值161.50712亿, 利润12.12亿; PE12.7; 平均PE79.95; 平均PEG1.64, PB1.69; ROIC18.9433%; ROE10.47%; 股利率0%; 毛利49.1233%; 净利37.6567%; 上一年度营收增37.75%, 利润增77.45%; 当季营收增-100%, 利润增38.82%; 过往5年营收增48.89%, 利润增67.69%
Income profile:
非临床研究服务 22.14亿 97.60
临床试验及相关服务 0.50亿 2.19
销售实验模型 481.00万 0.21</t>
  </si>
  <si>
    <t>SH603456</t>
  </si>
  <si>
    <t>九洲药业</t>
  </si>
  <si>
    <t>965.33万</t>
  </si>
  <si>
    <t>CDMO/原料药</t>
    <phoneticPr fontId="1" type="noConversion"/>
  </si>
  <si>
    <t>2971.29万</t>
  </si>
  <si>
    <t>191.20亿</t>
  </si>
  <si>
    <t>501.99亿</t>
  </si>
  <si>
    <t>188.71亿</t>
  </si>
  <si>
    <t>393.55亿</t>
  </si>
  <si>
    <t>88.14亿</t>
  </si>
  <si>
    <t>131.55亿</t>
  </si>
  <si>
    <t>112.25亿</t>
  </si>
  <si>
    <t>12.73亿</t>
  </si>
  <si>
    <t>320222660亿</t>
  </si>
  <si>
    <t>494.04万</t>
  </si>
  <si>
    <t>4761082600亿</t>
  </si>
  <si>
    <t>95.87亿</t>
  </si>
  <si>
    <t>7804641200亿</t>
  </si>
  <si>
    <t>834.80万</t>
  </si>
  <si>
    <t>27580066000亿</t>
  </si>
  <si>
    <t>155.97亿</t>
  </si>
  <si>
    <t>72.28亿</t>
  </si>
  <si>
    <t>40.17亿</t>
  </si>
  <si>
    <t>163.63亿</t>
  </si>
  <si>
    <t>55.98亿</t>
  </si>
  <si>
    <t>-15.62亿</t>
  </si>
  <si>
    <t>-26.16亿</t>
  </si>
  <si>
    <t>89.64亿</t>
  </si>
  <si>
    <t>84.74亿</t>
  </si>
  <si>
    <t>21.68亿</t>
  </si>
  <si>
    <t>16.43亿</t>
  </si>
  <si>
    <t>10派8.9266元(含税)</t>
  </si>
  <si>
    <t>5.40亿</t>
  </si>
  <si>
    <t>2-0</t>
  </si>
  <si>
    <t>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
市值2558.2987亿, 利润88.14亿; PE26.95; 平均PE69.1; 平均PEG1.76, PB5.13; ROIC14.1767%; ROE15.86%; 股利率1.0358%; 毛利38.0533%; 净利21.6267%; 上一年度营收增71.84%, 利润增72.93%; 当季营收增6.73%, 利润增5.08%; 过往5年营收增39.3%, 利润增54.2%
Income profile:
(国外占比74%)
化学业务(WuXiChemistry) 288.50亿 73.31% 78.63% 40.00%
测试业务(WuXiTesting) 57.19亿 14.53% 13.59% 34.89%
生物学业务(WuXiBiology) 24.75亿 6.29% 6.53% 38.75%
细胞及基因疗法CTDMO业务(WuXiATU) 13.08亿 3.32% -0.60% -6.68%
国内新药研发服务部(WuXiDDSU) 9.70亿 2.46% 1.73% 26.22%</t>
  </si>
  <si>
    <t>1094.87万</t>
  </si>
  <si>
    <t>57.09亿</t>
  </si>
  <si>
    <t>239.58亿</t>
  </si>
  <si>
    <t>37.11亿</t>
  </si>
  <si>
    <t>70.85亿</t>
  </si>
  <si>
    <t>20.07亿</t>
  </si>
  <si>
    <t>27.20亿</t>
  </si>
  <si>
    <t>22.30亿</t>
  </si>
  <si>
    <t>8899.84万</t>
  </si>
  <si>
    <t>3.46亿</t>
  </si>
  <si>
    <t>98902117亿</t>
  </si>
  <si>
    <t>454.97万</t>
  </si>
  <si>
    <t>793474390亿</t>
  </si>
  <si>
    <t>81.38亿</t>
  </si>
  <si>
    <t>1201793710亿</t>
  </si>
  <si>
    <t>835.72万</t>
  </si>
  <si>
    <t>11976418400亿</t>
  </si>
  <si>
    <t>5.78亿</t>
  </si>
  <si>
    <t>2.57亿</t>
  </si>
  <si>
    <t>23.63亿</t>
  </si>
  <si>
    <t>46.33亿</t>
  </si>
  <si>
    <t>2.89亿</t>
  </si>
  <si>
    <t>3.75亿</t>
  </si>
  <si>
    <t>-7.09亿</t>
  </si>
  <si>
    <t>18.05亿</t>
  </si>
  <si>
    <t>18.18亿</t>
  </si>
  <si>
    <t>5.68亿</t>
  </si>
  <si>
    <t>5.18亿</t>
  </si>
  <si>
    <t>10派5.5元(含税)</t>
  </si>
  <si>
    <t>5322.51万</t>
  </si>
  <si>
    <t>公司专注于为新药研发提供临床试验全过程专业服务的合同研究组织(CRO)，为全球医药和医疗器械创新企业提供全面而综合的临床研究解决方案。主要产品为临床试验技术服务、临床试验相关服务及实验室服务等。
市值581.03053亿, 利润20.07亿; PE26.38; 平均PE42.28; 平均PEG1.23, PB2.82; ROIC13.7933%; ROE15.3833%; 股利率.8258%; 毛利43.5433%; 净利53.37%; 上一年度营收增35.88%, 利润增-30.17%; 当季营收增7.32%, 利润增21.71%; 过往5年营收增34.26%, 利润增55.42%
Income profile:
(境外业务47%)
临床试验技术服务 21.72亿 60.43% 56.50% 37.12%
临床试验相关服务及实验室服务 13.81亿 38.41% 41.97% 43.37%</t>
  </si>
  <si>
    <t>3066.25万</t>
  </si>
  <si>
    <t>100.83亿</t>
  </si>
  <si>
    <t>123.07亿</t>
  </si>
  <si>
    <t>56.40亿</t>
  </si>
  <si>
    <t>102.66亿</t>
  </si>
  <si>
    <t>13.75亿</t>
  </si>
  <si>
    <t>48.21亿</t>
  </si>
  <si>
    <t>35.91亿</t>
  </si>
  <si>
    <t>8.13亿</t>
  </si>
  <si>
    <t>1.82亿</t>
  </si>
  <si>
    <t>42562770亿</t>
  </si>
  <si>
    <t>264.24万</t>
  </si>
  <si>
    <t>754492900亿</t>
  </si>
  <si>
    <t>25.13亿</t>
  </si>
  <si>
    <t>2138257000亿</t>
  </si>
  <si>
    <t>7431009600亿</t>
  </si>
  <si>
    <t>60.26亿</t>
  </si>
  <si>
    <t>24.12亿</t>
  </si>
  <si>
    <t>4.62亿</t>
  </si>
  <si>
    <t>4.17亿</t>
  </si>
  <si>
    <t>40.43亿</t>
  </si>
  <si>
    <t>8.32亿</t>
  </si>
  <si>
    <t>12.80亿</t>
  </si>
  <si>
    <t>6.41亿</t>
  </si>
  <si>
    <t>27.24亿</t>
  </si>
  <si>
    <t>21.03亿</t>
  </si>
  <si>
    <t>3.48亿</t>
  </si>
  <si>
    <t>10转5股派3元(含税)</t>
  </si>
  <si>
    <t>6.37亿</t>
  </si>
  <si>
    <t>公司主营业务是药物研究、开发及生产服务，为客户提供药物发现和药物开发的全流程一体化服务。公司的主要服务为实验室服务、CMC(小分子CDMO)服务、临床研究服务、大分子和细胞与基因治疗服务四大服务板块。
市值555.67372亿, 利润13.75亿; PE35.27; 平均PE62.68; 平均PEG1.79, PB4.9; ROIC11.4%; ROE14.9067%; 股利率.9646%; 毛利36.4167%; 净利18.9833%; 上一年度营收增37.91%, 利润增-17.22%; 当季营收增15.17%, 利润增30.38%; 过往5年营收增35.1%, 利润增49.44%
Income profile:
2021：（国外利润占比91%）
实验室服务 45.66亿 61.34% 74.09% 43.47%
CMC(小分子CDMO)服务 17.46亿 23.46% 22.76% 34.92%
临床研究服务 9.56亿 12.85% 3.68% 10.31%
大分子和细胞与基因治疗服务 1.51亿 2.03% -0.78% -13.84%
其他业务 2447.64万 0.33% 0.24% 26.40%</t>
  </si>
  <si>
    <t>447.90万</t>
  </si>
  <si>
    <t>24.05亿</t>
  </si>
  <si>
    <t>167.92亿</t>
  </si>
  <si>
    <t>46.22亿</t>
  </si>
  <si>
    <t>102.55亿</t>
  </si>
  <si>
    <t>33.02亿</t>
  </si>
  <si>
    <t>28.15亿</t>
  </si>
  <si>
    <t>21.69亿</t>
  </si>
  <si>
    <t>8203.09万</t>
  </si>
  <si>
    <t>3.23亿</t>
  </si>
  <si>
    <t>80050000亿</t>
  </si>
  <si>
    <t>1567733400亿</t>
  </si>
  <si>
    <t>70.41亿</t>
  </si>
  <si>
    <t>2525161800亿</t>
  </si>
  <si>
    <t>12619038700亿</t>
  </si>
  <si>
    <t>39.89亿</t>
  </si>
  <si>
    <t>9.16亿</t>
  </si>
  <si>
    <t>4.14亿</t>
  </si>
  <si>
    <t>19.77亿</t>
  </si>
  <si>
    <t>-6.96亿</t>
  </si>
  <si>
    <t>-4.70亿</t>
  </si>
  <si>
    <t>22.49亿</t>
  </si>
  <si>
    <t>20.62亿</t>
  </si>
  <si>
    <t>10派18元(含税)</t>
  </si>
  <si>
    <t>3476.88万</t>
  </si>
  <si>
    <t>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
市值560.76721亿, 利润33.02亿; PE17.27; 平均PE52.44; 平均PEG1.01, PB3.35; ROIC16.4767%; ROE19.27%; 股利率1.1866%; 毛利46.4267%; 净利24.63%; 上一年度营收增121.06%, 利润增208.89%; 当季营收增-20.34%, 利润增-14.88%; 过往5年营收增51.88%, 利润增68.45%
Income profile:
(国外占比90%)
商业化阶段CDMO解决方案 36.76亿 72.92% 74.74% 48.20%
临床阶段CDMO解决方案 9.68亿 19.20% 18.16% 44.48%
新兴服务 3.93亿 7.80% 7.10% 42.77%</t>
  </si>
  <si>
    <t>2932.24万</t>
  </si>
  <si>
    <t>32.25亿</t>
  </si>
  <si>
    <t>62.79亿</t>
  </si>
  <si>
    <t>23.39亿</t>
  </si>
  <si>
    <t>70.35亿</t>
  </si>
  <si>
    <t>20.05亿</t>
  </si>
  <si>
    <t>12.40亿</t>
  </si>
  <si>
    <t>7934.10万</t>
  </si>
  <si>
    <t>-11104466亿</t>
  </si>
  <si>
    <t>43.29万</t>
  </si>
  <si>
    <t>390507380亿</t>
  </si>
  <si>
    <t>24.81亿</t>
  </si>
  <si>
    <t>961366030亿</t>
  </si>
  <si>
    <t>4248836900亿</t>
  </si>
  <si>
    <t>26.16亿</t>
  </si>
  <si>
    <t>7.77亿</t>
  </si>
  <si>
    <t>5.49亿</t>
  </si>
  <si>
    <t>20.24亿</t>
  </si>
  <si>
    <t>6.77亿</t>
  </si>
  <si>
    <t>8.21亿</t>
  </si>
  <si>
    <t>-3.74亿</t>
  </si>
  <si>
    <t>13.78亿</t>
  </si>
  <si>
    <t>14.43亿</t>
  </si>
  <si>
    <t>10派11.061472元(含税)</t>
  </si>
  <si>
    <t>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
市值154.44274亿, 利润20.05亿; PE12.83; 平均PE28.34; 平均PEG.59, PB2.64; ROIC17.4%; ROE21.5367%; 股利率3.9114%; 毛利44.4233%; 净利17.07%; 上一年度营收增126.57%, 利润增282.63%; 当季营收增-61.11%, 利润增-87.18%; 过往5年营收增48.2%, 利润增96.89%
Income profile:
(国外占比96%)
临床后期及商业化业务 35.80亿 91.46% 98.80% 56.57%
其他业务 3.34亿 8.54% 1.20% 7.35%</t>
  </si>
  <si>
    <t>226.29万</t>
  </si>
  <si>
    <t>8.61亿</t>
  </si>
  <si>
    <t>17.36亿</t>
  </si>
  <si>
    <t>8.72亿</t>
  </si>
  <si>
    <t>16.59亿</t>
  </si>
  <si>
    <t>3.38亿</t>
  </si>
  <si>
    <t>6.88亿</t>
  </si>
  <si>
    <t>3445.81万</t>
  </si>
  <si>
    <t>6439.68万</t>
  </si>
  <si>
    <t>6118.20万</t>
  </si>
  <si>
    <t>133563亿</t>
  </si>
  <si>
    <t>22.55万</t>
  </si>
  <si>
    <t>156133540亿</t>
  </si>
  <si>
    <t>772233440亿</t>
  </si>
  <si>
    <t>42.01万</t>
  </si>
  <si>
    <t>1302712460亿</t>
  </si>
  <si>
    <t>6.51亿</t>
  </si>
  <si>
    <t>1.10亿</t>
  </si>
  <si>
    <t>1.99亿</t>
  </si>
  <si>
    <t>7.55亿</t>
  </si>
  <si>
    <t>-3454.74万</t>
  </si>
  <si>
    <t>-1.27亿</t>
  </si>
  <si>
    <t>4.51亿</t>
  </si>
  <si>
    <t>3.56亿</t>
  </si>
  <si>
    <t>7719.16万</t>
  </si>
  <si>
    <t>10转4股派3.90元(含税)</t>
  </si>
  <si>
    <t>996.56万</t>
  </si>
  <si>
    <t>5678.88万</t>
  </si>
  <si>
    <t>公司的主营业务是药物发现、药学研究及临床前研究,为全球的医药企业和科研机构提供全方位的符合国内及国际申报标准的一站式新药研发服务。公司的主要服务包括药物发现、药物发现、药学研究、综合项目。
市值102.284249亿, 利润3.38亿; PE29.93; 平均PE66.85; 平均PEG1.43, PB3.76; ROIC18.6133%; ROE19.38%; 股利率.5129%; 毛利43.3167%; 净利22.3467%; 上一年度营收增42.16%, 利润增19.86%; 当季营收增8.79%, 利润增-25.26%; 过往5年营收增46.88%, 利润增57.56%
Income profile:
(国外占比20%）
药物发现与药学研究 6.13亿 52.51% 48.86% 42.18%
临床前研究 5.54亿 47.42% 51.01% 48.77%
其他业务 75.84万 0.06% 0.13% 90.62%</t>
  </si>
  <si>
    <t>1.公司完善了BAT业务模式：BD（商务拓展）+Account Manager（客户服务经理）+Technical Leader（技术负责人）互相协调配合，跟踪客户需求，提前计划安排，及时解决项目执行过程中的问题，提高CDMO服务的质量和效率，增强客户服务体验；2.2021年利润预告：利润涨幅160%，扣非35%（2.3亿）；</t>
    <phoneticPr fontId="1" type="noConversion"/>
  </si>
  <si>
    <t>227.74万</t>
  </si>
  <si>
    <t>23.80亿</t>
  </si>
  <si>
    <t>27.68亿</t>
  </si>
  <si>
    <t>8.44亿</t>
  </si>
  <si>
    <t>15.95亿</t>
  </si>
  <si>
    <t>3.14亿</t>
  </si>
  <si>
    <t>4.75亿</t>
  </si>
  <si>
    <t>2709.38万</t>
  </si>
  <si>
    <t>1.01亿</t>
  </si>
  <si>
    <t>9246.88万</t>
  </si>
  <si>
    <t>16981529亿</t>
  </si>
  <si>
    <t>3033.50万</t>
  </si>
  <si>
    <t>108277231亿</t>
  </si>
  <si>
    <t>11.65亿</t>
  </si>
  <si>
    <t>370938630亿</t>
  </si>
  <si>
    <t>2867461800亿</t>
  </si>
  <si>
    <t>13.13亿</t>
  </si>
  <si>
    <t>7.62亿</t>
  </si>
  <si>
    <t>4.74亿</t>
  </si>
  <si>
    <t>-2.95亿</t>
  </si>
  <si>
    <t>1.79亿</t>
  </si>
  <si>
    <t>3.83亿</t>
  </si>
  <si>
    <t>3.36亿</t>
  </si>
  <si>
    <t>5775.60万</t>
  </si>
  <si>
    <t>7083.98万</t>
  </si>
  <si>
    <t>1272.76万</t>
  </si>
  <si>
    <t>7675.50万</t>
  </si>
  <si>
    <t>公司的主营业务包括药物分子砌块的研发、工艺开发、生产和销售；基于药物分子砌块的药物发现解决方案；基于药物分子砌块的药物开发和生产服务(CDMO)。公司主要产品为药物分子砌块。
市值90.368153亿, 利润3.14亿; PE32.86; 平均PE40.55; 平均PEG.93, PB3.42; ROIC14.2367%; ROE18.9367%; 股利率.2209%; 毛利46.3867%; 净利25%; 上一年度营收增32.7%, 利润增-35.52%; 当季营收增15.54%, 利润增-31.68%; 过往5年营收增43.65%, 利润增52.49%
Income profile:
(国外占比69%)
CDMO 5.55亿 75.49% 68.26% 43.17%
分子砌块 1.73亿 23.60% 30.63% 61.95%
其他 646.11万 0.88% 1.10% 59.55%</t>
  </si>
  <si>
    <t>190.65万</t>
  </si>
  <si>
    <t>24.39亿</t>
  </si>
  <si>
    <t>7.39亿</t>
  </si>
  <si>
    <t>6277.68万</t>
  </si>
  <si>
    <t>-1202531亿</t>
  </si>
  <si>
    <t>57.36万</t>
  </si>
  <si>
    <t>85620980亿</t>
  </si>
  <si>
    <t>428894470亿</t>
  </si>
  <si>
    <t>700.43万</t>
  </si>
  <si>
    <t>2014080200亿</t>
  </si>
  <si>
    <t>6.42亿</t>
  </si>
  <si>
    <t>3.16亿</t>
  </si>
  <si>
    <t>4.39亿</t>
  </si>
  <si>
    <t>3980.41万</t>
  </si>
  <si>
    <t>2.87亿</t>
  </si>
  <si>
    <t>10.19亿</t>
  </si>
  <si>
    <t>2.37亿</t>
  </si>
  <si>
    <t>-1.95亿</t>
  </si>
  <si>
    <t>-2.41亿</t>
  </si>
  <si>
    <t>2.38亿</t>
  </si>
  <si>
    <t>4.18亿</t>
  </si>
  <si>
    <t>4623.56万</t>
  </si>
  <si>
    <t>846.55万</t>
  </si>
  <si>
    <t>4079.91万</t>
  </si>
  <si>
    <t>公司的主营业务为小分子药物发现领域的分子砌块和工具化合物的研究开发，以及小分子药物原料药、中间体的工艺研发和生产技术改进。主要产品包括：分子砌块和工具化合物、CRO 服务、原料药和中间体、CMC、CDMO 服务。
市值83.254431亿, 利润1.94亿; PE48.37; 平均PE80.59; 平均PEG1.57, PB3.43; ROIC16.2433%; ROE17.95%; 股利率.6864%; 毛利53.7067%; 净利16.9633%; 上一年度营收增40.14%, 利润增1.57%; 当季营收增44.24%, 利润增-9.39%; 过往5年营收增51.35%, 利润增89.32%
Income profile:
(国外占比45%)
分子砌块和工具化合物 5.45亿 56.23% 70.94% 68.28%
原料药和中间体 4.17亿 43.03% 28.61% 35.98%
其他业务 716.10万 0.74% 0.45% 32.80%</t>
  </si>
  <si>
    <t>1367.21万</t>
  </si>
  <si>
    <t>3.80亿</t>
  </si>
  <si>
    <t>21.31亿</t>
  </si>
  <si>
    <t>8375.10万</t>
  </si>
  <si>
    <t>8217.14万</t>
  </si>
  <si>
    <t>1752.62万</t>
  </si>
  <si>
    <t>2666.00万</t>
  </si>
  <si>
    <t>2433.88万</t>
  </si>
  <si>
    <t>-494273亿</t>
  </si>
  <si>
    <t>1.18万</t>
  </si>
  <si>
    <t>-49472950亿</t>
  </si>
  <si>
    <t>8.88亿</t>
  </si>
  <si>
    <t>88018306亿</t>
  </si>
  <si>
    <t>1152786240亿</t>
  </si>
  <si>
    <t>7.63亿</t>
  </si>
  <si>
    <t>7627.83万</t>
  </si>
  <si>
    <t>-6313.91万</t>
  </si>
  <si>
    <t>-3.94亿</t>
  </si>
  <si>
    <t>3079.14万</t>
  </si>
  <si>
    <t>-3174.33万</t>
  </si>
  <si>
    <t>2002.58万</t>
  </si>
  <si>
    <t>5515.37万</t>
  </si>
  <si>
    <t>-3-1</t>
  </si>
  <si>
    <t>公司是一家聚焦基因治疗领域的生物科技公司，专注于为基因治疗的基础研究提供基因治疗载体研制、基因功能研究等CRO服务，以及为基因药物的研发提供IND-CMC药学研究、临床样品GMP生产等CDMO服务。
市值61.441401亿, 利润3902.52万; PE; 平均PE371.6; 平均PEG5.79, PB2.83; ROIC8.0567%; ROE4.14%; 股利率0%; 毛利29.33%; 净利-6.0267%; 上一年度营收增14.12%, 利润增-28.07%; 当季营收增-14.42%, 利润增-264.08%; 过往5年营收增64.19%, 利润增42.12%
Income profile:
(国外占比1%）
基因治疗CDMO服务 1.93亿 75.61% 69.43% 47.14%
基因治疗CRO服务 5520.99万 21.66% 26.94% 63.86%
生物制剂、试剂及其他 657.48万 2.58% 3.53% 70.34%</t>
  </si>
  <si>
    <t>1558.13万</t>
  </si>
  <si>
    <t>21.95亿</t>
  </si>
  <si>
    <t>80.24亿</t>
  </si>
  <si>
    <t>10.12亿</t>
  </si>
  <si>
    <t>7.14亿</t>
  </si>
  <si>
    <t>5.64亿</t>
  </si>
  <si>
    <t>1186.61万</t>
  </si>
  <si>
    <t>5693.34万</t>
  </si>
  <si>
    <t>5843535亿</t>
  </si>
  <si>
    <t>22.19万</t>
  </si>
  <si>
    <t>76886466亿</t>
  </si>
  <si>
    <t>30.41亿</t>
  </si>
  <si>
    <t>162567740亿</t>
  </si>
  <si>
    <t>726.72万</t>
  </si>
  <si>
    <t>5781980400亿</t>
  </si>
  <si>
    <t>3.19亿</t>
  </si>
  <si>
    <t>4915.01万</t>
  </si>
  <si>
    <t>19.00亿</t>
  </si>
  <si>
    <t>-4230.67万</t>
  </si>
  <si>
    <t>-9360.26万</t>
  </si>
  <si>
    <t>3.71亿</t>
  </si>
  <si>
    <t>4937.03万</t>
  </si>
  <si>
    <t>公司主营业务专注于药物全生命周期的安全性评价和监测服务，其药物临床前研究服务为公司的核心业务，主要内容包括药物非临床安全性评价服务、药效学研究服务、动物药代动力学研究服务和药物筛选。
市值178.62349亿, 利润10.74亿; PE22.5; 平均PE46.25; 平均PEG.92, PB2.23; ROIC17.85%; ROE18.0633%; 股利率1.6793%; 毛利50.6033%; 净利38.8867%; 上一年度营收增49.51%, 利润增92.82%; 当季营收增27.08%, 利润增-139.58%; 过往5年营收增50.2%, 利润增70.5%
Income profile:
（国外利润占比18.02%）
药物非临床研究服务 22.14亿 97.60% 98.44% 48.31%
临床服务及其他 4956.80万 2.19% 1.45% 31.70%
实验模型供应 480.47万 0.21% 0.11% 25.67%</t>
  </si>
  <si>
    <t>174.67万</t>
  </si>
  <si>
    <t>3.57亿</t>
  </si>
  <si>
    <t>9323.70万</t>
  </si>
  <si>
    <t>3859.72万</t>
  </si>
  <si>
    <t>5551.49万</t>
  </si>
  <si>
    <t>5045.82万</t>
  </si>
  <si>
    <t>6148422亿</t>
  </si>
  <si>
    <t>49525097亿</t>
  </si>
  <si>
    <t>5.90亿</t>
  </si>
  <si>
    <t>245987390亿</t>
  </si>
  <si>
    <t>1599838800亿</t>
  </si>
  <si>
    <t>4717.07万</t>
  </si>
  <si>
    <t>5702.83万</t>
  </si>
  <si>
    <t>2621.28万</t>
  </si>
  <si>
    <t>3277.68万</t>
  </si>
  <si>
    <t>1.40亿</t>
  </si>
  <si>
    <t>2.50亿</t>
  </si>
  <si>
    <t>3105.02万</t>
  </si>
  <si>
    <t>8163.50万</t>
  </si>
  <si>
    <t>957.76万</t>
  </si>
  <si>
    <t>6623.75万</t>
  </si>
  <si>
    <t>公司是一家专业从事实验动物小鼠模型的研发、生产、销售及相关技术服务的高新技术企业，主要产品有商品化小鼠模型销售业务、模型定制业务、定制繁育业务、功能药效业务、代理进出口及其他业务。
市值70.52亿, 利润1.65亿; PE43.92; 平均PE89.23; 平均PEG.94, PB3.45; ROIC14.7%; ROE13.955%; 股利率.2384%; 毛利71.89%; 净利27.6767%; 上一年度营收增31.22%, 利润增32%; 当季营收增16.42%, 利润增-9.34%; 过往5年营收增94.88%, 利润增223.1%
Income profile:
(国外占比9%）
商品化小鼠模型销售 2.53亿 64.33% 70.36% 80.44%
定制繁育 5668.75万 14.40% 10.93% 55.86%
功能药效 5347.96万 13.58% 14.00% 75.81%
模型创制 2456.02万 6.24% 4.78% 56.38%</t>
  </si>
  <si>
    <t>32.29亿</t>
  </si>
  <si>
    <t>32.55亿</t>
  </si>
  <si>
    <t>54.45亿</t>
  </si>
  <si>
    <t>24.73亿</t>
  </si>
  <si>
    <t>4479.18万</t>
  </si>
  <si>
    <t>1.67亿</t>
  </si>
  <si>
    <t>-15436436亿</t>
  </si>
  <si>
    <t>637.08万</t>
  </si>
  <si>
    <t>612711250亿</t>
  </si>
  <si>
    <t>41.54亿</t>
  </si>
  <si>
    <t>987660590亿</t>
  </si>
  <si>
    <t>7140152400亿</t>
  </si>
  <si>
    <t>24.33亿</t>
  </si>
  <si>
    <t>9.14亿</t>
  </si>
  <si>
    <t>6.10亿</t>
  </si>
  <si>
    <t>7.64亿</t>
  </si>
  <si>
    <t>27.35亿</t>
  </si>
  <si>
    <t>7.19亿</t>
  </si>
  <si>
    <t>-5.35亿</t>
  </si>
  <si>
    <t>30.96亿</t>
  </si>
  <si>
    <t>40.63亿</t>
  </si>
  <si>
    <t>26.47亿</t>
  </si>
  <si>
    <t>20.17亿</t>
  </si>
  <si>
    <t>18.62亿</t>
  </si>
  <si>
    <t>17.17亿</t>
  </si>
  <si>
    <t>6.34亿</t>
  </si>
  <si>
    <t>1.57亿</t>
  </si>
  <si>
    <t>1.48亿</t>
  </si>
  <si>
    <t>17.51亿</t>
  </si>
  <si>
    <t>29.54亿</t>
  </si>
  <si>
    <t>13.74亿</t>
  </si>
  <si>
    <t>10派4元(含税)</t>
  </si>
  <si>
    <t>4506.33万</t>
  </si>
  <si>
    <t>2.39亿</t>
  </si>
  <si>
    <t>公司主要致力于为国内外创新药公司及新药研发机构提供创新药在研发、生产方面的 CDMO 一站式服务；同时为全球化学原料药及医药中间体提供工艺技术创新和商业化生产的业务。
市值260.67288亿, 利润9.21亿; PE24.26; 平均PE63.09; 平均PEG2.33, PB3.25; ROIC13.83%; ROE15.5433%; 股利率1.3803%; 毛利35.9133%; 净利15.3067%; 上一年度营收增34.01%, 利润增45.27%; 当季营收增-4.81%, 利润增31.05%; 过往5年营收增27.1%, 利润增45.89%
Income profile:
（海外占比86%）
合同定制类 34.17亿 62.74% 71.85% 39.69%
抗感染类药物 5.91亿 10.85% 5.10% 16.30%
中枢神经类药物 5.61亿 10.31% 13.63% 45.84%
非甾体类药物 2.88亿 5.29% 5.47% 35.88%
降血糖类药物 1.97亿 3.61% 2.23% 21.40%
贸易类及其他 1.28亿 2.34% 1.24% 18.35%</t>
  </si>
  <si>
    <t>临床前动物部分</t>
    <phoneticPr fontId="1" type="noConversion"/>
  </si>
  <si>
    <t>药物发现研究，临床前研究</t>
    <phoneticPr fontId="1" type="noConversion"/>
  </si>
  <si>
    <r>
      <t>1.2022年年报每股收益3.01元，净利润88.14亿元，同比去年增长72.91%。营收393.65亿增速71.84%。2.公司独特的 CRDMO（合同研究、开发与生产）和 CTDMO（合同测试、研发与生产）业务模式持续驱动公司高速发展。3.2022 年，公司新增客户超过 1,400 家，活跃客户数量超过 5,950 家，全球各地的客户对公司的服务需求保持十分强劲的增长。公司</t>
    </r>
    <r>
      <rPr>
        <sz val="9"/>
        <color rgb="FFFF0000"/>
        <rFont val="宋体"/>
        <family val="3"/>
        <charset val="134"/>
        <scheme val="minor"/>
      </rPr>
      <t>来自美国客户收入人民币 258.84 亿元，同比增长 113%</t>
    </r>
    <r>
      <rPr>
        <sz val="9"/>
        <color theme="1"/>
        <rFont val="宋体"/>
        <family val="3"/>
        <charset val="134"/>
        <scheme val="minor"/>
      </rPr>
      <t>；来自中国客户收入人民币 75.26 亿元，同比增长 30%；来自欧洲客户收入人民币 44.32 亿元，同比增长19%；来自其他地区客户收入人民币 15.12 亿元，同比增长 23%。，客户渗透率继续提高，来自于</t>
    </r>
    <r>
      <rPr>
        <b/>
        <sz val="9"/>
        <color rgb="FFFF0000"/>
        <rFont val="宋体"/>
        <family val="3"/>
        <charset val="134"/>
        <scheme val="minor"/>
      </rPr>
      <t>全球前 20 大制药企业收入人民币 184.21 亿元，同比增长 174%</t>
    </r>
    <r>
      <rPr>
        <b/>
        <sz val="9"/>
        <rFont val="宋体"/>
        <family val="3"/>
        <charset val="134"/>
        <scheme val="minor"/>
      </rPr>
      <t>.</t>
    </r>
    <phoneticPr fontId="1" type="noConversion"/>
  </si>
  <si>
    <r>
      <t>1.在 2022 年强劲增长基础上，公司</t>
    </r>
    <r>
      <rPr>
        <sz val="9"/>
        <color rgb="FFFF0000"/>
        <rFont val="宋体"/>
        <family val="3"/>
        <charset val="134"/>
        <scheme val="minor"/>
      </rPr>
      <t>预计 2023 年收入将继续增长 5-7%</t>
    </r>
    <r>
      <rPr>
        <sz val="9"/>
        <color theme="1"/>
        <rFont val="宋体"/>
        <family val="3"/>
        <charset val="134"/>
        <scheme val="minor"/>
      </rPr>
      <t>。其中，剔除特定商业化
项目，WuXi Chemistry 收入预计增长 36-38%，且 TIDES（WuXi Chemistry 中新分子业务）预计
增速为 WuXi Chemistry 整体增速的近 2 倍；其他业务板块（WuXi Testing，WuXi Biology，WuXi
ATU）收入预计增长 20-23%；WuXi DDSU 将持续业务迭代升级，预计收入下降超过 20%。2.大股东减持不超过3%；</t>
    </r>
    <phoneticPr fontId="1" type="noConversion"/>
  </si>
  <si>
    <t>1.问:中国医药投资环境变差，全球巨头像ICON等公开说没有观察到市场需求变差，公司对未来全球需求的展望是怎样的？在手订单的趋势是？答:宏观来讲业务延续过去趋势，客户端有非常大的需求，没有看到变化，客户端希望我们提供更多资源加快他们的课题。其他CRO、CDMO公司也有类似的感受，会持续加大研发投入，扩大pipeline。</t>
    <phoneticPr fontId="1" type="noConversion"/>
  </si>
  <si>
    <t>1.大股东大额减持，大概8%；</t>
    <phoneticPr fontId="1" type="noConversion"/>
  </si>
  <si>
    <r>
      <t>1.</t>
    </r>
    <r>
      <rPr>
        <sz val="9"/>
        <color rgb="FFFF0000"/>
        <rFont val="宋体"/>
        <family val="3"/>
        <charset val="134"/>
        <scheme val="minor"/>
      </rPr>
      <t>临床前研究业务</t>
    </r>
    <r>
      <rPr>
        <sz val="9"/>
        <color theme="1"/>
        <rFont val="宋体"/>
        <family val="3"/>
        <charset val="134"/>
        <scheme val="minor"/>
      </rPr>
      <t xml:space="preserve">：考虑到临床前业务的高需求，预计公司该板块业务收入增速 2023-2025年有望实现 </t>
    </r>
    <r>
      <rPr>
        <sz val="9"/>
        <color rgb="FFFF0000"/>
        <rFont val="宋体"/>
        <family val="3"/>
        <charset val="134"/>
        <scheme val="minor"/>
      </rPr>
      <t>40.0%/30.0%/25.0%的高增长</t>
    </r>
    <r>
      <rPr>
        <sz val="9"/>
        <color theme="1"/>
        <rFont val="宋体"/>
        <family val="3"/>
        <charset val="134"/>
        <scheme val="minor"/>
      </rPr>
      <t>；考虑业务的持续开拓，毛利率略微降低至 45.0%。</t>
    </r>
    <r>
      <rPr>
        <sz val="9"/>
        <color rgb="FFFF0000"/>
        <rFont val="宋体"/>
        <family val="3"/>
        <charset val="134"/>
        <scheme val="minor"/>
      </rPr>
      <t>药物发现与药学研究业务</t>
    </r>
    <r>
      <rPr>
        <sz val="9"/>
        <color theme="1"/>
        <rFont val="宋体"/>
        <family val="3"/>
        <charset val="134"/>
        <scheme val="minor"/>
      </rPr>
      <t>：国内外的新药研发需求持续，预计公司该板块业务收入增速2023-2025 年有望保持 25.0%/22.0%/20.0%的增速；毛利率略有提升至 35.0%。</t>
    </r>
    <phoneticPr fontId="1" type="noConversion"/>
  </si>
  <si>
    <t>108.17万</t>
  </si>
  <si>
    <t>6.13亿</t>
  </si>
  <si>
    <t>9.80亿</t>
  </si>
  <si>
    <t>4.61亿</t>
  </si>
  <si>
    <t>3.17亿</t>
  </si>
  <si>
    <t>1183.91万</t>
  </si>
  <si>
    <t>5075.06万</t>
  </si>
  <si>
    <t>5336.33万</t>
  </si>
  <si>
    <t>321178亿</t>
  </si>
  <si>
    <t>114843979亿</t>
  </si>
  <si>
    <t>5.36亿</t>
  </si>
  <si>
    <t>271085590亿</t>
  </si>
  <si>
    <t>519.13万</t>
  </si>
  <si>
    <t>1144773040亿</t>
  </si>
  <si>
    <t>4400.19万</t>
  </si>
  <si>
    <t>-4181.78万</t>
  </si>
  <si>
    <t>-6426.30万</t>
  </si>
  <si>
    <t>3351.63万</t>
  </si>
  <si>
    <t>4793.72万</t>
  </si>
  <si>
    <t>3340.02万</t>
  </si>
  <si>
    <t>10转4股派6元(含税)</t>
  </si>
  <si>
    <t>549.66万</t>
  </si>
  <si>
    <t>1836.67万</t>
  </si>
  <si>
    <t>公司主营业务是为国内医药企业和科研机构提供全方位的一站式药物研发服务，致力于协助国内医药制造企业加速实现进口替代和自主创新。公司的主要服务是为药学研究服务、临床试验和生物分析服务。
市值71.7472亿, 利润1.56亿; PE38.46; 平均PE106.41; 平均PEG1.12, PB7.42; ROIC25.94%; ROE29.5%; 股利率.9366%; 毛利50.77%; 净利21.3333%; 上一年度营收增37.04%, 利润增47.17%; 当季营收增30.11%, 利润增29.78%; 过往5年营收增95.1%, 利润增244.24%
Income profile:
(境外占比1%）
药学研究服务 2.79亿 56.42% 66.48% 62.75%
临床试验及生物分析服务 2.14亿 43.42% 33.52% 41.12%</t>
  </si>
  <si>
    <t>199.24万</t>
  </si>
  <si>
    <t>8.37亿</t>
  </si>
  <si>
    <t>25.45亿</t>
  </si>
  <si>
    <t>4.24亿</t>
  </si>
  <si>
    <t>6.07亿</t>
  </si>
  <si>
    <t>429.93万</t>
  </si>
  <si>
    <t>6125.55万</t>
  </si>
  <si>
    <t>9181.16万</t>
  </si>
  <si>
    <t>105681亿</t>
  </si>
  <si>
    <t>19.19万</t>
  </si>
  <si>
    <t>119459477亿</t>
  </si>
  <si>
    <t>10.79亿</t>
  </si>
  <si>
    <t>196762760亿</t>
  </si>
  <si>
    <t>503.08万</t>
  </si>
  <si>
    <t>1670696400亿</t>
  </si>
  <si>
    <t>10.27亿</t>
  </si>
  <si>
    <t>3.30亿</t>
  </si>
  <si>
    <t>2.80亿</t>
  </si>
  <si>
    <t>6222.14万</t>
  </si>
  <si>
    <t>1.59亿</t>
  </si>
  <si>
    <t>17.69万</t>
  </si>
  <si>
    <t>-3.83亿</t>
  </si>
  <si>
    <t>9580.23万</t>
  </si>
  <si>
    <t>3506.86万</t>
  </si>
  <si>
    <t>1952.98万</t>
  </si>
  <si>
    <t>10派8元(含税)</t>
  </si>
  <si>
    <t>1126.01万</t>
  </si>
  <si>
    <t>4781.02万</t>
  </si>
  <si>
    <t>公司是一家以药学研究为核心的综合性医药技术研发企业，采取“受托研发服务+研发技术成果转化”双线发展战略，主要为各类制药企业、医药研发投资企业提供药物研发服务及研发技术成果转化。
市值74.635亿, 利润1.94亿; PE32.65; 平均PE109.03; 平均PEG1.12, PB2.93; ROIC9.37%; ROE18.2967%; 股利率1.1594%; 毛利66.2533%; 净利26.3567%; 上一年度营收增62.3%, 利润增74.77%; 当季营收增75.1%, 利润增28.86%; 过往5年营收增97.32%, 利润增150.91%
Income profile:
受托药品研发服务 1.34亿 54.45% 45.43% 54.72%
研发技术成果转化 6916.96万 28.16% 32.57% 75.86%
权益分成 3094.52万 12.60% 19.08% 99.32%
CDMO 734.31万 2.99% 1.58% 34.60%</t>
  </si>
  <si>
    <t>345.51万</t>
  </si>
  <si>
    <t>3.44亿</t>
  </si>
  <si>
    <t>20.42亿</t>
  </si>
  <si>
    <t>5.23亿</t>
  </si>
  <si>
    <t>4.10亿</t>
  </si>
  <si>
    <t>3.10亿</t>
  </si>
  <si>
    <t>5569.49万</t>
  </si>
  <si>
    <t>4402.21万</t>
  </si>
  <si>
    <t>2677.62万</t>
  </si>
  <si>
    <t>1091147亿</t>
  </si>
  <si>
    <t>1.35万</t>
  </si>
  <si>
    <t>91865210亿</t>
  </si>
  <si>
    <t>12.95亿</t>
  </si>
  <si>
    <t>225181900亿</t>
  </si>
  <si>
    <t>2195902100亿</t>
  </si>
  <si>
    <t>4516.42万</t>
  </si>
  <si>
    <t>274.29万</t>
  </si>
  <si>
    <t>36.02万</t>
  </si>
  <si>
    <t>-4523.63万</t>
  </si>
  <si>
    <t>-4993.75万</t>
  </si>
  <si>
    <t>2.52亿</t>
  </si>
  <si>
    <t>3692.82万</t>
  </si>
  <si>
    <t>2542.84万</t>
  </si>
  <si>
    <t>10转4股派15.4元(含税)</t>
  </si>
  <si>
    <t>792.99万</t>
  </si>
  <si>
    <t>3310.53万</t>
  </si>
  <si>
    <t>上海毕得医药科技股份有限公司的主营业务是药物分子砌块的研发设计，生产及销售等。主要产品为药物分子砌块和科学试剂。
市值65.435723亿, 利润1.46亿; PE38.36; 平均PE115.76; 平均PEG2.29, PB3.2; ROIC17.1567%; ROE16.195%; 股利率2.1389%; 毛利49.14%; 净利15.2667%; 上一年度营收增37.62%, 利润增49.63%; 当季营收增41.15%, 利润增38.92%; 过往5年营收增50.6%, 利润增1415.24%
Income profile:
（境外48%）
药物分子砌块 5.33亿 87.93% 90.55% 50.93%
科学试剂 7298.55万 12.04% 9.48% 38.94%</t>
  </si>
  <si>
    <t>1148.33万</t>
  </si>
  <si>
    <t>19.23亿</t>
  </si>
  <si>
    <t>4.01亿</t>
  </si>
  <si>
    <t>3187.40万</t>
  </si>
  <si>
    <t>8959.27万</t>
  </si>
  <si>
    <t>5593.79万</t>
  </si>
  <si>
    <t>931449亿</t>
  </si>
  <si>
    <t>23.37万</t>
  </si>
  <si>
    <t>43001371亿</t>
  </si>
  <si>
    <t>4.08亿</t>
  </si>
  <si>
    <t>193741780亿</t>
  </si>
  <si>
    <t>285.16万</t>
  </si>
  <si>
    <t>980874510亿</t>
  </si>
  <si>
    <t>8.93亿</t>
  </si>
  <si>
    <t>4.26亿</t>
  </si>
  <si>
    <t>6965.70万</t>
  </si>
  <si>
    <t>9712.34万</t>
  </si>
  <si>
    <t>6.43亿</t>
  </si>
  <si>
    <t>-2.16亿</t>
  </si>
  <si>
    <t>5443.91万</t>
  </si>
  <si>
    <t>2101.29万</t>
  </si>
  <si>
    <t>1609.31万</t>
  </si>
  <si>
    <t>10派2元(含税)</t>
  </si>
  <si>
    <t>5432.81万</t>
  </si>
  <si>
    <t>1.37亿</t>
  </si>
  <si>
    <t>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
市值84.868471亿, 利润1.29亿; PE62.35; 平均PE101.55; 平均PEG4.09, PB4.44; ROIC8.1%; ROE9.5467%; 股利率.5024%; 毛利56.6167%; 净利15.7167%; 上一年度营收增1.09%, 利润增12.17%; 当季营收增44.03%, 利润增11.2%; 过往5年营收增24.84%, 利润增34.83%
Income profile:
（境外占比56%）
定制类产品及技术服务 5.11亿 79.32% 81.28% 57.13%
自主选择产品 1.31亿 20.34% 18.47% 50.63%</t>
  </si>
  <si>
    <t>681.23万</t>
  </si>
  <si>
    <t>13.52亿</t>
  </si>
  <si>
    <t>2526.60万</t>
  </si>
  <si>
    <t>8902.50万</t>
  </si>
  <si>
    <t>953.85万</t>
  </si>
  <si>
    <t>3818.18万</t>
  </si>
  <si>
    <t>3931.86万</t>
  </si>
  <si>
    <t>8826391亿</t>
  </si>
  <si>
    <t>225.46万</t>
  </si>
  <si>
    <t>210846亿</t>
  </si>
  <si>
    <t>78950724亿</t>
  </si>
  <si>
    <t>1134651830亿</t>
  </si>
  <si>
    <t>204.82万</t>
  </si>
  <si>
    <t>1361.91万</t>
  </si>
  <si>
    <t>7039.27万</t>
  </si>
  <si>
    <t>2784.01万</t>
  </si>
  <si>
    <t>-9937.77万</t>
  </si>
  <si>
    <t>-1365.06万</t>
  </si>
  <si>
    <t>6957.26万</t>
  </si>
  <si>
    <t>7246.59万</t>
  </si>
  <si>
    <t>-939.36万</t>
  </si>
  <si>
    <t>-708.84万</t>
  </si>
  <si>
    <t>2243.08万</t>
  </si>
  <si>
    <t>8561.08万</t>
  </si>
  <si>
    <t xml:space="preserve">公司主营业务是提供药物早期发现阶段的研发服务以及新药研发项目转让，主要服务有DEL筛选服务、DEL库定制服务、化学合成服务、新药研发项目转让、其他。
市值63.30744亿, 利润2526.60万; PE166; 平均PE128.96; 平均PEG2.27, PB4.77; ROIC4.2433%; ROE4.3533%; 股利率0%; 毛利55.03%; 净利11.1%; 上一年度营收增6.11%, 利润增-60.14%; 当季营收增29.9%, 利润增50113.34%; 过往5年营收增56.91%, 利润增70.78%
Income profile:
（境外占比80%）
新药研发服务 3.07亿 98.79% 100.00% 46.37%
新药在研项目权益转让 377.36万 1.21% </t>
  </si>
  <si>
    <t>303.54万</t>
  </si>
  <si>
    <t>11.13亿</t>
  </si>
  <si>
    <t>4.79亿</t>
  </si>
  <si>
    <t>6717.59万</t>
  </si>
  <si>
    <t>1.49亿</t>
  </si>
  <si>
    <t>552.25万</t>
  </si>
  <si>
    <t>2881.94万</t>
  </si>
  <si>
    <t>1928.42万</t>
  </si>
  <si>
    <t>3015156亿</t>
  </si>
  <si>
    <t>33129669亿</t>
  </si>
  <si>
    <t>62865473亿</t>
  </si>
  <si>
    <t>130.16万</t>
  </si>
  <si>
    <t>865449390亿</t>
  </si>
  <si>
    <t>1.45亿</t>
  </si>
  <si>
    <t>1001.28万</t>
  </si>
  <si>
    <t>1513.18万</t>
  </si>
  <si>
    <t>2569.55万</t>
  </si>
  <si>
    <t>114.11万</t>
  </si>
  <si>
    <t>3610.17万</t>
  </si>
  <si>
    <t>-6.15亿</t>
  </si>
  <si>
    <t>-3663.18万</t>
  </si>
  <si>
    <t>1.04亿</t>
  </si>
  <si>
    <t>1527.58万</t>
  </si>
  <si>
    <t>1038.97万</t>
  </si>
  <si>
    <t>10转4股派5元(含税)</t>
  </si>
  <si>
    <t>1211.54万</t>
  </si>
  <si>
    <t>4553.46万</t>
  </si>
  <si>
    <t>公司是一家新药研发以及商业化生产一站式综合服务商，致力于药物发现、制药工艺的研究开发以及原料药中间体的商业化生产。主营业务主要涵盖药物发现（CRO）、工艺研究与开发（CRO/CDMO）以及商业化生产（含CMO）。
市值50.399694亿, 利润6717.59万; PE63.36; 平均PE117.19; 平均PEG3.42, PB4.53; ROIC17.0167%; ROE18.72%; 股利率1.0677%; 毛利39.0233%; 净利15.4033%; 上一年度营收增6.92%, 利润增-8.7%; 当季营收增14.71%, 利润增73.83%; 过往5年营收增34.27%, 利润增87.11%
Income profile:
药物发现 2.35亿 52.41% 55.71% 41.13%
商业化生产 1.19亿 26.49% 19.75% 28.85%
工艺研究与开发 9282.71万 20.71% 23.52% 43.94%</t>
  </si>
  <si>
    <t>1. 财务数字表面的增加，有概率可以激起市场预期的提高，在第三季度报出来前都是暗牌</t>
    <phoneticPr fontId="1" type="noConversion"/>
  </si>
  <si>
    <t>1.主营可持续性差；2.未看到明显的经营改善;</t>
    <phoneticPr fontId="1" type="noConversion"/>
  </si>
  <si>
    <t>1275.15万</t>
  </si>
  <si>
    <t>9.19亿</t>
  </si>
  <si>
    <t>2766.95万</t>
  </si>
  <si>
    <t>1810.88万</t>
  </si>
  <si>
    <t>3140.90万</t>
  </si>
  <si>
    <t>2345.62万</t>
  </si>
  <si>
    <t>605511亿</t>
  </si>
  <si>
    <t>2.01万</t>
  </si>
  <si>
    <t>9716967亿</t>
  </si>
  <si>
    <t>100789991亿</t>
  </si>
  <si>
    <t>144.64万</t>
  </si>
  <si>
    <t>727045710亿</t>
  </si>
  <si>
    <t>4203.14万</t>
  </si>
  <si>
    <t>8053.86万</t>
  </si>
  <si>
    <t>3.21亿</t>
  </si>
  <si>
    <t>6844.35万</t>
  </si>
  <si>
    <t>-741.39万</t>
  </si>
  <si>
    <t>-1730.35万</t>
  </si>
  <si>
    <t>4032.81万</t>
  </si>
  <si>
    <t>7418.43万</t>
  </si>
  <si>
    <t>1173.85万</t>
  </si>
  <si>
    <t>1491.09万</t>
  </si>
  <si>
    <t>1249.16万</t>
  </si>
  <si>
    <t>10派0.1元(含税)</t>
  </si>
  <si>
    <t>6495.09万</t>
  </si>
  <si>
    <t>3.13亿</t>
  </si>
  <si>
    <t>公司主要业务是为国内外制药企业及其他研究机构就新药品、医疗器械的研发与生产提供全流程“一站式”CRO服务。公司主要服务包括临床研究服务、CDMO服务、技术成果转化服务等。
市值34.599242亿, 利润2766.95万; PE113.9; 平均PE284.21; 平均PEG10.68, PB3.91; ROIC4.8333%; ROE4.5067%; 股利率.107%; 毛利42.04%; 净利11.64%; 上一年度营收增30.86%, 利润增-28.84%; 当季营收增27.96%, 利润增143.07%; 过往5年营收增26.62%, 利润增75.41%
Income profile:
临床研究服务 1.15亿 65.60% 53.44% 32.37%
临床前研究服务 3017.31万 17.24% 16.29% 37.56%
其他咨询服务 2001.80万 11.43% 19.20% 66.75%</t>
  </si>
  <si>
    <t>4377.03万</t>
  </si>
  <si>
    <t>3.50亿</t>
  </si>
  <si>
    <t>-3475.50万</t>
  </si>
  <si>
    <t>8900.10万</t>
  </si>
  <si>
    <t>549.91万</t>
  </si>
  <si>
    <t>3343.63万</t>
  </si>
  <si>
    <t>1259.56万</t>
  </si>
  <si>
    <t>947597亿</t>
  </si>
  <si>
    <t>4.32万</t>
  </si>
  <si>
    <t>12277138亿</t>
  </si>
  <si>
    <t>6783.82万</t>
  </si>
  <si>
    <t>23956293亿</t>
  </si>
  <si>
    <t>593.30万</t>
  </si>
  <si>
    <t>532176910亿</t>
  </si>
  <si>
    <t>9605.67万</t>
  </si>
  <si>
    <t>614.52万</t>
  </si>
  <si>
    <t>-7678.60万</t>
  </si>
  <si>
    <t>274.83万</t>
  </si>
  <si>
    <t>7571.04万</t>
  </si>
  <si>
    <t>5879.65万</t>
  </si>
  <si>
    <t>668.69万</t>
  </si>
  <si>
    <t>137.22万</t>
  </si>
  <si>
    <t>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
市值30.825212亿, 利润-3475.50万; PE; 平均PE-12.33; 平均PEG-.41, PB4.48; ROIC9.07%; ROE-12.5233%; 股利率0%; 毛利-24.32%; 净利-116.0567%; 上一年度营收增24.56%, 利润增-158.09%; 当季营收增-13.23%, 利润增-29.25%; 过往5年营收增30.31%, 利润增-196.93%
Income profile:
医药研发及一致性评价 8173.16万 49.91% 73.31% 43.90%
临床试验 6040.22万 36.88% 25.99% 21.06%</t>
  </si>
  <si>
    <t>1.2021年度公司新签订单24.52亿元，新签订单增长率达87.66%。同时公司持续增强研发服务能力，为业绩增长提供保障。2021年度公司持续推进和完善蛋白质降解技术（PROTAC）、激酶抑制剂的小分子药物研发平台，加强高端制剂研发、药品杂质分析检测平台，强化肿瘤免疫药效评价、吸入及眼科药物评价、核酸药物评价、细胞治疗产品及抗体等生物技术药物的临床前安全性评价等技术平台建设，特别是在PROTAC平台、抗体等生物技术药物的临床前安全性评价技术平台等方面加大资源投入，不断增强公司的研发服务能力与竞争优势。2.问：相比于同行，客户选择公司的原因？答：公司是国内少有的，能提供从先导化合物筛选、优化、原料药制备、制剂工艺开发、药效学研究到临床前药代动力学及药物安全性评价等一系列服务的综合性CRO。公司业务范围涵盖化学药、生物药及中药天然药物，所提供的综合服务能以优质、高效的项目管理和成熟的综合技术平台，保障客户研发项目顺利完成。</t>
    <phoneticPr fontId="1" type="noConversion"/>
  </si>
  <si>
    <t>0.SMO(site management organization);1.</t>
    <phoneticPr fontId="1" type="noConversion"/>
  </si>
  <si>
    <t>92.16万</t>
  </si>
  <si>
    <t>16.65亿</t>
  </si>
  <si>
    <t>6.38亿</t>
  </si>
  <si>
    <t>755.74万</t>
  </si>
  <si>
    <t>3020.73万</t>
  </si>
  <si>
    <t>2575.22万</t>
  </si>
  <si>
    <t>13546452亿</t>
  </si>
  <si>
    <t>6.50万</t>
  </si>
  <si>
    <t>70477358亿</t>
  </si>
  <si>
    <t>112067870亿</t>
  </si>
  <si>
    <t>10.00万</t>
  </si>
  <si>
    <t>1887435600亿</t>
  </si>
  <si>
    <t>3293.04万</t>
  </si>
  <si>
    <t>4118.79万</t>
  </si>
  <si>
    <t>4242.80万</t>
  </si>
  <si>
    <t>-1.97亿</t>
  </si>
  <si>
    <t>-1204.31万</t>
  </si>
  <si>
    <t>2879.28万</t>
  </si>
  <si>
    <t>2675.15万</t>
  </si>
  <si>
    <t>10转6股派2.5元(含税)</t>
  </si>
  <si>
    <t>645.65万</t>
  </si>
  <si>
    <t>4834.71万</t>
  </si>
  <si>
    <t>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
市值68.352亿, 利润1.14亿; PE49.44; 平均PE89.77; 平均PEG4.72, PB4.12; ROIC22.0733%; ROE19.585%; 股利率.3511%; 毛利37.9967%; 净利17.3067%; 上一年度营收增4.93%, 利润增14.88%; 当季营收增28.85%, 利润增65.47%; 过往5年营收增19.02%, 利润增34.72%
Income profile:
（境外占比4%）
临床试验运营服务 1.68亿 51.52% 62.90% 37.26%
临床试验现场管理服务 7481.77万 22.95% 16.67% 22.18%
数据管理与统计分析服务 3503.12万 10.75% 20.42% 58.01%</t>
  </si>
  <si>
    <t>225.23万</t>
  </si>
  <si>
    <t>9.98亿</t>
  </si>
  <si>
    <t>7241.14万</t>
  </si>
  <si>
    <t>2.85亿</t>
  </si>
  <si>
    <t>371.31万</t>
  </si>
  <si>
    <t>1784.73万</t>
  </si>
  <si>
    <t>1611.52万</t>
  </si>
  <si>
    <t>3872192亿</t>
  </si>
  <si>
    <t>49793483亿</t>
  </si>
  <si>
    <t>6.32亿</t>
  </si>
  <si>
    <t>101582185亿</t>
  </si>
  <si>
    <t>1220308150亿</t>
  </si>
  <si>
    <t>860.20万</t>
  </si>
  <si>
    <t>265.22万</t>
  </si>
  <si>
    <t>5981.59万</t>
  </si>
  <si>
    <t>-1.01亿</t>
  </si>
  <si>
    <t>-358.03万</t>
  </si>
  <si>
    <t>2532.53万</t>
  </si>
  <si>
    <t>975.86万</t>
  </si>
  <si>
    <t>10派1.08元(含税)</t>
  </si>
  <si>
    <t>1118.45万</t>
  </si>
  <si>
    <t>4765.00万</t>
  </si>
  <si>
    <t>公司为向国内外制药公司、医疗器械公司及部分健康相关产品的临床研究开发提供SMO服务。主要服务是为客户提供SMO全流程服务获得收入、利润和现金流。
市值41.34416亿, 利润7241.14万; PE35.97; 平均PE93.9; 平均PEG2.27, PB4.13; ROIC21.21%; ROE20.195%; 股利率.1598%; 毛利26.5933%; 净利12.7133%; 上一年度营收增16.5%, 利润增25.35%; 当季营收增54.03%, 利润增278.77%; 过往5年营收增41.34%, 利润增43.6%
Income profile:
SMO服务 5.03亿 100.00% 100.00% 26.08%</t>
  </si>
  <si>
    <r>
      <t>1.2022年年报营收22.68亿，净利润10.74亿元，同比去年增长92.71%，营收增49%。2.公司整体</t>
    </r>
    <r>
      <rPr>
        <b/>
        <sz val="9"/>
        <color rgb="FFFF0000"/>
        <rFont val="宋体"/>
        <family val="3"/>
        <charset val="134"/>
        <scheme val="minor"/>
      </rPr>
      <t>在手订单金额约 44 亿元</t>
    </r>
    <r>
      <rPr>
        <sz val="9"/>
        <color theme="1"/>
        <rFont val="宋体"/>
        <family val="3"/>
        <charset val="134"/>
        <scheme val="minor"/>
      </rPr>
      <t>人民币，为未来业绩提供了保障,2022年新增订单38亿，</t>
    </r>
    <r>
      <rPr>
        <b/>
        <sz val="9"/>
        <color rgb="FFFF0000"/>
        <rFont val="宋体"/>
        <family val="3"/>
        <charset val="134"/>
        <scheme val="minor"/>
      </rPr>
      <t>增速为35%</t>
    </r>
    <r>
      <rPr>
        <sz val="9"/>
        <color theme="1"/>
        <rFont val="宋体"/>
        <family val="3"/>
        <charset val="134"/>
        <scheme val="minor"/>
      </rPr>
      <t>。3.公司总体的发展战略是：药物非临床药理毒理学评价业务为核心业务，稳步提升市场占有率及海外影响力；4.领先的药物非临床评价能力：a.规模化服务能力(在中国和美国拥有</t>
    </r>
    <r>
      <rPr>
        <b/>
        <sz val="9"/>
        <color rgb="FFFF0000"/>
        <rFont val="宋体"/>
        <family val="3"/>
        <charset val="134"/>
        <scheme val="minor"/>
      </rPr>
      <t>超过 10 万平方米</t>
    </r>
    <r>
      <rPr>
        <sz val="9"/>
        <color theme="1"/>
        <rFont val="宋体"/>
        <family val="3"/>
        <charset val="134"/>
        <scheme val="minor"/>
      </rPr>
      <t>的实验设施，这些实验室包括动物饲养管理设施、功能实验室及支持试验的各项设施);b.专业化的药物研究能力;c.丰富的药物评价经验;d.全面的国际化资质(GLP).5.</t>
    </r>
    <r>
      <rPr>
        <sz val="9"/>
        <color rgb="FFFF0000"/>
        <rFont val="宋体"/>
        <family val="3"/>
        <charset val="134"/>
        <scheme val="minor"/>
      </rPr>
      <t>加强美国 BD</t>
    </r>
    <r>
      <rPr>
        <sz val="9"/>
        <color theme="1"/>
        <rFont val="宋体"/>
        <family val="3"/>
        <charset val="134"/>
        <scheme val="minor"/>
      </rPr>
      <t xml:space="preserve"> 团队建设。在 BIOMERE 及昭衍加州两地，加强 BD 团队建设及市场推广力度，借助 BIOMERE 的品牌及声誉，提升昭衍在美国及海外的影响力。</t>
    </r>
    <phoneticPr fontId="1" type="noConversion"/>
  </si>
  <si>
    <r>
      <t>1.2022 年 9 月，公司董事冯宇霞收到了《上海证券交易所的纪律处分决定书》，处分内容主要如下：公司实际控制人兼董事冯宇霞及其一致行动人因公司发行 H 股份，导致持股比例被动稀释，被动稀释后存在减持股份行为，冯宇霞及其一致行动人未按规定及时停止减持并履行权益变动披露义务，违反了相关规定。对此，上海证券交易所作出对公司实际控制人兼时任董事冯宇霞予以通报批评的纪律处分。2.实控人夫妻还另外有一家上市公司“舒泰神”。3.2022年利润里，H股上市的现金利息过高1.31亿，且导致财务费用-1.55亿；另外猴子的价格变动增加了公允价值的3.5亿；这些都是不可以持续项；因此10.74亿的</t>
    </r>
    <r>
      <rPr>
        <sz val="9"/>
        <color rgb="FFFF0000"/>
        <rFont val="宋体"/>
        <family val="3"/>
        <charset val="134"/>
        <scheme val="minor"/>
      </rPr>
      <t>利润需要扣除这些不可持续的利润来源</t>
    </r>
    <r>
      <rPr>
        <sz val="9"/>
        <color theme="1"/>
        <rFont val="宋体"/>
        <family val="3"/>
        <charset val="134"/>
        <scheme val="minor"/>
      </rPr>
      <t>，这么计算10.74-3.5-1.55-1.31=</t>
    </r>
    <r>
      <rPr>
        <b/>
        <sz val="9"/>
        <color rgb="FFFF0000"/>
        <rFont val="宋体"/>
        <family val="3"/>
        <charset val="134"/>
        <scheme val="minor"/>
      </rPr>
      <t>4.38亿</t>
    </r>
    <r>
      <rPr>
        <sz val="9"/>
        <color theme="1"/>
        <rFont val="宋体"/>
        <family val="3"/>
        <charset val="134"/>
        <scheme val="minor"/>
      </rPr>
      <t>；4.我国非临床药物安全评价市占率，</t>
    </r>
    <r>
      <rPr>
        <i/>
        <sz val="9"/>
        <color theme="1"/>
        <rFont val="宋体"/>
        <family val="3"/>
        <charset val="134"/>
        <scheme val="minor"/>
      </rPr>
      <t>2021年昭衍新药占比15.5%，药明康德占比9.9%，科文斯中国占比5.1%，美迪西占比4.3%，方达控股占比3.5%，康龙化成占比3.3%</t>
    </r>
    <r>
      <rPr>
        <sz val="9"/>
        <color theme="1"/>
        <rFont val="宋体"/>
        <family val="3"/>
        <charset val="134"/>
        <scheme val="minor"/>
      </rPr>
      <t xml:space="preserve">，2022年，2022年昭衍新药市占率已经达到20%左右。
</t>
    </r>
    <phoneticPr fontId="1" type="noConversion"/>
  </si>
  <si>
    <t>1.报告期内，公司获得小分子CDMO行业重量级订单，公司收入强劲的增长，“双轮驱动”战略有效推进，小分子业务同比增长165.9%，新兴业务同比增长157.4%，化学大分子、生物大分子、制剂、临床CRO收入增速均超过100%；2.问：公司连续性反应现有产能有多少，未来占比多少？答：公司内部30%以上小分子合成是通过连续性反应装置、技术进行替代，比例还在不断提升；以公司承接的服务某重磅药物为例，使用连续性反应技术实现1.3t/天的规模生产，对标180立方米传统批次产能效率。未来公司将持续在多个生产基地推广连续性反应技术应用。</t>
    <phoneticPr fontId="1" type="noConversion"/>
  </si>
  <si>
    <t>1.全球小分子CDMO巨头 合全(药明康德子公司，中美两地）， Lonza;</t>
    <phoneticPr fontId="1" type="noConversion"/>
  </si>
  <si>
    <r>
      <t xml:space="preserve">1.2019年收购苏州诺华签订5年供货协议；2.随着新适应症获批，诺欣妥在 HFpEF 具有明显先发优势，竞争态势良好，有望为
诺华带来可观销售收入，2026 年诺欣妥销售额有望突破百亿美元。我们预计 2026 年诺欣妥用于治疗 </t>
    </r>
    <r>
      <rPr>
        <sz val="9"/>
        <color rgb="FFFF0000"/>
        <rFont val="宋体"/>
        <family val="3"/>
        <charset val="134"/>
        <scheme val="minor"/>
      </rPr>
      <t>HFpEF（心衰）</t>
    </r>
    <r>
      <rPr>
        <sz val="9"/>
        <color theme="1"/>
        <rFont val="宋体"/>
        <family val="3"/>
        <charset val="134"/>
        <scheme val="minor"/>
      </rPr>
      <t xml:space="preserve"> 的渗透率为 10%。综合来看我们预计在 2025 年诺欣妥销售额将超过百亿美金，</t>
    </r>
    <r>
      <rPr>
        <sz val="9"/>
        <color rgb="FFFF0000"/>
        <rFont val="宋体"/>
        <family val="3"/>
        <charset val="134"/>
        <scheme val="minor"/>
      </rPr>
      <t>2022-2026年复合增长率为 19.13%</t>
    </r>
    <r>
      <rPr>
        <sz val="9"/>
        <color theme="1"/>
        <rFont val="宋体"/>
        <family val="3"/>
        <charset val="134"/>
        <scheme val="minor"/>
      </rPr>
      <t>；</t>
    </r>
    <phoneticPr fontId="1" type="noConversion"/>
  </si>
  <si>
    <r>
      <t xml:space="preserve">1.我们预测公司 2022-2024 年归母净利润分别为 9.30 亿元、12.41 亿元、16.61亿元，同比增长 </t>
    </r>
    <r>
      <rPr>
        <sz val="9"/>
        <color rgb="FFFF0000"/>
        <rFont val="宋体"/>
        <family val="3"/>
        <charset val="134"/>
        <scheme val="minor"/>
      </rPr>
      <t>46.7%、33.5%、33.9%</t>
    </r>
    <r>
      <rPr>
        <sz val="9"/>
        <color theme="1"/>
        <rFont val="宋体"/>
        <family val="3"/>
        <charset val="134"/>
        <scheme val="minor"/>
      </rPr>
      <t>，EPS 分别为 1.03、1.38、1.85 元。参考可比公司估值，考虑到九洲药业 “CDMO 大客户+原料药”双轮驱动模式，我们给与其 2023 年 35-40 倍 PE，对应合理价值区间为 48.30-55.20 元；</t>
    </r>
    <phoneticPr fontId="1" type="noConversion"/>
  </si>
  <si>
    <t>0.DS是Drugsubstance,也就是我们说的原料药;DP就是DrugProduct（制剂）,就是我们平时看到的那些注射粉针、胶囊和片剂了；1.我们预计 2022/2023/2024 年公司净利润分别为 9.21 亿/8.07 亿/10.53 亿元，对应 EPS预测分别为 1.69/1.48/1.93 元，预测PE按24计算；</t>
    <phoneticPr fontId="1" type="noConversion"/>
  </si>
  <si>
    <t>1.DP, CGT(Cell Gene Tech生物）CDMO属于新类型，占比还不太高；</t>
    <phoneticPr fontId="1" type="noConversion"/>
  </si>
  <si>
    <r>
      <t>1. 2021年Q2投资收益大概2.3亿，占总利润大概50%（扣非利润涨幅大概在</t>
    </r>
    <r>
      <rPr>
        <sz val="9"/>
        <color rgb="FFFF0000"/>
        <rFont val="宋体"/>
        <family val="3"/>
        <charset val="134"/>
        <scheme val="minor"/>
      </rPr>
      <t>50%</t>
    </r>
    <r>
      <rPr>
        <sz val="9"/>
        <color theme="1"/>
        <rFont val="宋体"/>
        <family val="3"/>
        <charset val="134"/>
        <scheme val="minor"/>
      </rPr>
      <t>）；2.海外占比</t>
    </r>
    <r>
      <rPr>
        <b/>
        <sz val="9"/>
        <color rgb="FFFF0000"/>
        <rFont val="宋体"/>
        <family val="3"/>
        <charset val="134"/>
        <scheme val="minor"/>
      </rPr>
      <t>70%</t>
    </r>
    <r>
      <rPr>
        <sz val="9"/>
        <color theme="1"/>
        <rFont val="宋体"/>
        <family val="3"/>
        <charset val="134"/>
        <scheme val="minor"/>
      </rPr>
      <t>左右；3.随着公司交付规模的大幅上升，相关业务毛利率总体呈下降趋势，并与行业平均毛利率趋同。</t>
    </r>
    <phoneticPr fontId="1" type="noConversion"/>
  </si>
  <si>
    <t>76.87万</t>
  </si>
  <si>
    <t>21.75亿</t>
  </si>
  <si>
    <t>1.05亿</t>
  </si>
  <si>
    <t>8429.69万</t>
  </si>
  <si>
    <t>4651.18万</t>
  </si>
  <si>
    <t>733.83万</t>
  </si>
  <si>
    <t>2251.68万</t>
  </si>
  <si>
    <t>2070.21万</t>
  </si>
  <si>
    <t>2724694亿</t>
  </si>
  <si>
    <t>4.90万</t>
  </si>
  <si>
    <t>29620784亿</t>
  </si>
  <si>
    <t>87732317亿</t>
  </si>
  <si>
    <t>273.09万</t>
  </si>
  <si>
    <t>1662190000亿</t>
  </si>
  <si>
    <t>500.43万</t>
  </si>
  <si>
    <t>2682.20万</t>
  </si>
  <si>
    <t>5250.32万</t>
  </si>
  <si>
    <t>1232.68万</t>
  </si>
  <si>
    <t>-2.08亿</t>
  </si>
  <si>
    <t>-8608.01万</t>
  </si>
  <si>
    <t>6791.77万</t>
  </si>
  <si>
    <t>7266.51万</t>
  </si>
  <si>
    <t>2419.12万</t>
  </si>
  <si>
    <t>2526.86万</t>
  </si>
  <si>
    <t>362.98万</t>
  </si>
  <si>
    <t>2489.62万</t>
  </si>
  <si>
    <t>公司是一家专门从事细胞培养产品与服务的高新技术企业。公司以细胞培养技术和工艺开发为基础，主营业务涉及细胞培养基系列产品和生物药委托开发生产服务两大应用领域。
市值56.674641亿, 利润1.05亿; PE63.04; 平均PE231.64; 平均PEG3.14, PB2.61; ROIC8.64%; ROE10.415%; 股利率1.2151%; 毛利57.1033%; 净利24.3933%; 上一年度营收增38.03%, 利润增73.86%; 当季营收增-28.59%, 利润增-51.24%; 过往5年营收增73.74%, 利润增189.28%
Income profile:
(境外占比1%）
培养基业务 1.28亿 60.09% 73.97% 73.72%
CDMO业务 8488.47万 39.91% 26.03% 39.05%</t>
  </si>
  <si>
    <t>2430.21万</t>
  </si>
  <si>
    <t>10.57亿</t>
  </si>
  <si>
    <t>23.74亿</t>
  </si>
  <si>
    <t>13.27亿</t>
  </si>
  <si>
    <t>5.82亿</t>
  </si>
  <si>
    <t>2170.38万</t>
  </si>
  <si>
    <t>9405.07万</t>
  </si>
  <si>
    <t>3731.83万</t>
  </si>
  <si>
    <t>8230938亿</t>
  </si>
  <si>
    <t>22.40万</t>
  </si>
  <si>
    <t>-28879051亿</t>
  </si>
  <si>
    <t>326000900亿</t>
  </si>
  <si>
    <t>805512960亿</t>
  </si>
  <si>
    <t>4.89亿</t>
  </si>
  <si>
    <t>5467.79万</t>
  </si>
  <si>
    <t>6000.26万</t>
  </si>
  <si>
    <t>5582.79万</t>
  </si>
  <si>
    <t>4.90亿</t>
  </si>
  <si>
    <t>4101.50万</t>
  </si>
  <si>
    <t>755.69万</t>
  </si>
  <si>
    <t>-1795.68万</t>
  </si>
  <si>
    <t>-3.21亿</t>
  </si>
  <si>
    <t>2.69亿</t>
  </si>
  <si>
    <t>3.86亿</t>
  </si>
  <si>
    <t>-2856.69万</t>
  </si>
  <si>
    <t>947.10万</t>
  </si>
  <si>
    <t>4.63亿</t>
  </si>
  <si>
    <t>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
市值43.430612亿, 利润3.79亿; PE; 平均PE53.2; 平均PEG.89, PB1.85; ROIC9.53%; ROE1.89%; 股利率0%; 毛利32.39%; 净利-8.0067%; 上一年度营收增-21.53%, 利润增194.28%; 当季营收增-4.32%, 利润增-99.28%; 过往5年营收增59.98%, 利润增2.25%
Income profile:
（境外占比56%）
医药研发服务与生产外包业务 5.53亿 80.49% 74.73% 32.03%
微生态营养及医疗 1.34亿 19.56% 25.41% 44.80%</t>
  </si>
  <si>
    <t>244.06万</t>
  </si>
  <si>
    <t>22.17亿</t>
  </si>
  <si>
    <t>166.25万</t>
  </si>
  <si>
    <t>3664.94万</t>
  </si>
  <si>
    <t>970.03万</t>
  </si>
  <si>
    <t>16503195亿</t>
  </si>
  <si>
    <t>2.98万</t>
  </si>
  <si>
    <t>15964706亿</t>
  </si>
  <si>
    <t>14.15亿</t>
  </si>
  <si>
    <t>67597459亿</t>
  </si>
  <si>
    <t>390.12万</t>
  </si>
  <si>
    <t>1686271900亿</t>
  </si>
  <si>
    <t>3.67亿</t>
  </si>
  <si>
    <t>1645.18万</t>
  </si>
  <si>
    <t>9065.80万</t>
  </si>
  <si>
    <t>8830.06万</t>
  </si>
  <si>
    <t>7.21亿</t>
  </si>
  <si>
    <t>1964.50万</t>
  </si>
  <si>
    <t>2622.99万</t>
  </si>
  <si>
    <t>10转6股派3元(含税)</t>
  </si>
  <si>
    <t>1190.17万</t>
  </si>
  <si>
    <t>7174.51万</t>
  </si>
  <si>
    <t>公司主要致力于为跨国制药企业及医药研发机构提供关键医药中间体CDMO服务，并从事左旋肉碱系列产品的研发、生产和销售。公司主要产品及服务是CDMO业务、左旋肉碱系列产品、原料药。
市值39.560325亿, 利润1.06亿; PE55.92; 平均PE60.55; 平均PEG3.67, PB1.79; ROIC17.3833%; ROE20.06%; 股利率1.1732%; 毛利45.5167%; 净利25.1267%; 上一年度营收增-1.2%, 利润增6%; 当季营收增-39.81%, 利润增-75.02%; 过往5年营收增16.5%, 利润增176.77%
Income profile:
（境外占比51%）
食品制造业 2.49亿 59.85% 59.80% 49.90%
医药制造业 1.67亿 40.11% 40.20% 50.04%</t>
  </si>
  <si>
    <t>43.86万</t>
  </si>
  <si>
    <t>17.64亿</t>
  </si>
  <si>
    <t>1.81亿</t>
  </si>
  <si>
    <t>-539.96万</t>
  </si>
  <si>
    <t>2483.75万</t>
  </si>
  <si>
    <t>2532.57万</t>
  </si>
  <si>
    <t>3926.74万</t>
  </si>
  <si>
    <t>7040091亿</t>
  </si>
  <si>
    <t>-11735659亿</t>
  </si>
  <si>
    <t>127583207亿</t>
  </si>
  <si>
    <t>1205683610亿</t>
  </si>
  <si>
    <t>2786.98万</t>
  </si>
  <si>
    <t>1.71亿</t>
  </si>
  <si>
    <t>-1903.81万</t>
  </si>
  <si>
    <t>-1.53亿</t>
  </si>
  <si>
    <t>-3591.75万</t>
  </si>
  <si>
    <t>8730.48万</t>
  </si>
  <si>
    <t>7270.63万</t>
  </si>
  <si>
    <t>-1423.16万</t>
  </si>
  <si>
    <t>1392.20万</t>
  </si>
  <si>
    <t>127.04万</t>
  </si>
  <si>
    <t>666.41万</t>
  </si>
  <si>
    <t>公司主营业务为基因修饰模式生物的研发、生产和技术服务。公司的主要产品和服务包括基因修饰动物模型产品、基因修饰动物模型技术服务。
市值31.575223亿, 利润-539.96万; PE; 平均PE154.88; 平均PEG4.73, PB1.79; ROIC14.275%; ROE13.9367%; 股利率0%; 毛利53.82%; 净利9.5067%; 上一年度营收增10.18%, 利润增-108.87%; 当季营收增63.53%, 利润增225.34%; 过往5年营收增32.73%, 利润增53.47%
Income profile:
基因修饰动物模型产品 2.08亿 75.52% 72.51% 58.44%
基因修饰动物模型技术服务 6312.92万 22.93% 26.81% 71.15%
其他模式生物技术服务 263.23万 0.96% 0.07% 4.59%</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</si>
</sst>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11"/>
      <name val="宋体"/>
      <family val="3"/>
      <charset val="134"/>
      <scheme val="minor"/>
    </font>
    <font>
      <i/>
      <sz val="9"/>
      <color theme="1"/>
      <name val="宋体"/>
      <family val="3"/>
      <charset val="134"/>
      <scheme val="minor"/>
    </font>
    <font>
      <b/>
      <sz val="9"/>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5">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0" fontId="0" fillId="2" borderId="1" xfId="0" applyNumberFormat="1" applyFill="1" applyBorder="1" applyAlignment="1">
      <alignment vertical="center" wrapText="1"/>
    </xf>
    <xf numFmtId="0" fontId="0" fillId="0" borderId="0" xfId="0" applyAlignment="1">
      <alignment vertical="center" wrapText="1"/>
    </xf>
    <xf numFmtId="0" fontId="5" fillId="0" borderId="0" xfId="2" applyFill="1" applyAlignment="1">
      <alignment vertical="center" wrapText="1"/>
    </xf>
    <xf numFmtId="14" fontId="0" fillId="0" borderId="0" xfId="0" applyNumberFormat="1">
      <alignment vertical="center"/>
    </xf>
    <xf numFmtId="0" fontId="0" fillId="0" borderId="0" xfId="0" applyNumberFormat="1">
      <alignment vertical="center"/>
    </xf>
    <xf numFmtId="14" fontId="4" fillId="0" borderId="0" xfId="2" applyNumberFormat="1" applyFont="1" applyBorder="1" applyAlignment="1">
      <alignment vertical="center" wrapText="1"/>
    </xf>
    <xf numFmtId="0" fontId="13" fillId="0" borderId="0" xfId="0" applyFont="1" applyAlignment="1">
      <alignment vertical="center" wrapText="1"/>
    </xf>
    <xf numFmtId="14" fontId="13" fillId="0" borderId="0" xfId="2" applyNumberFormat="1" applyFont="1" applyBorder="1" applyAlignment="1">
      <alignment vertical="center" wrapText="1"/>
    </xf>
    <xf numFmtId="0" fontId="6" fillId="0" borderId="0" xfId="0" applyFont="1">
      <alignment vertical="center"/>
    </xf>
    <xf numFmtId="14" fontId="13" fillId="0" borderId="0" xfId="2" applyNumberFormat="1" applyFont="1" applyBorder="1"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254000</xdr:colOff>
          <xdr:row>1</xdr:row>
          <xdr:rowOff>139700</xdr:rowOff>
        </xdr:from>
        <xdr:to>
          <xdr:col>1</xdr:col>
          <xdr:colOff>1187450</xdr:colOff>
          <xdr:row>1</xdr:row>
          <xdr:rowOff>482600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1307;&#30103;&#26381;&#21153;\&#21307;&#30103;&#26381;&#21153;&#22806;&#21253;CXO&#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7.vml"/><Relationship Id="rId7" Type="http://schemas.openxmlformats.org/officeDocument/2006/relationships/image" Target="../media/image2.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12"/>
  <sheetViews>
    <sheetView zoomScale="85" zoomScaleNormal="85" workbookViewId="0">
      <pane xSplit="6" ySplit="1" topLeftCell="G2" activePane="bottomRight" state="frozen"/>
      <selection pane="topRight" activeCell="G1" sqref="G1"/>
      <selection pane="bottomLeft" activeCell="A2" sqref="A2"/>
      <selection pane="bottomRight" activeCell="D2" sqref="D2"/>
    </sheetView>
  </sheetViews>
  <sheetFormatPr defaultRowHeight="14" x14ac:dyDescent="0.25"/>
  <cols>
    <col min="1" max="1" width="12" style="26" customWidth="1"/>
    <col min="2" max="2" width="46.81640625" customWidth="1"/>
    <col min="3" max="3" width="45.81640625" customWidth="1"/>
    <col min="4" max="4" width="64.81640625" customWidth="1"/>
    <col min="10" max="10" width="12.1796875" bestFit="1" customWidth="1"/>
    <col min="22" max="22" width="14.81640625" customWidth="1"/>
  </cols>
  <sheetData>
    <row r="1" spans="1:147" s="16" customFormat="1" x14ac:dyDescent="0.25">
      <c r="A1" s="17" t="s">
        <v>129</v>
      </c>
      <c r="B1" s="18" t="s">
        <v>223</v>
      </c>
      <c r="C1" s="19" t="s">
        <v>26</v>
      </c>
      <c r="D1" s="18" t="s">
        <v>224</v>
      </c>
      <c r="E1" t="s">
        <v>3</v>
      </c>
      <c r="F1" t="s">
        <v>4</v>
      </c>
      <c r="G1" t="s">
        <v>0</v>
      </c>
      <c r="H1" t="s">
        <v>194</v>
      </c>
      <c r="I1" t="s">
        <v>225</v>
      </c>
      <c r="J1" t="s">
        <v>5</v>
      </c>
      <c r="K1" t="s">
        <v>6</v>
      </c>
      <c r="L1" t="s">
        <v>1</v>
      </c>
      <c r="M1" t="s">
        <v>12</v>
      </c>
      <c r="N1" t="s">
        <v>27</v>
      </c>
      <c r="O1" t="s">
        <v>28</v>
      </c>
      <c r="P1" t="s">
        <v>29</v>
      </c>
      <c r="Q1" t="s">
        <v>226</v>
      </c>
      <c r="R1" t="s">
        <v>195</v>
      </c>
      <c r="S1" t="s">
        <v>227</v>
      </c>
      <c r="T1" t="s">
        <v>30</v>
      </c>
      <c r="U1" t="s">
        <v>196</v>
      </c>
      <c r="V1" t="s">
        <v>197</v>
      </c>
      <c r="W1" t="s">
        <v>31</v>
      </c>
      <c r="X1" t="s">
        <v>172</v>
      </c>
      <c r="Y1" t="s">
        <v>173</v>
      </c>
      <c r="Z1" t="s">
        <v>174</v>
      </c>
      <c r="AA1" t="s">
        <v>175</v>
      </c>
      <c r="AB1" t="s">
        <v>176</v>
      </c>
      <c r="AC1" t="s">
        <v>198</v>
      </c>
      <c r="AD1" t="s">
        <v>177</v>
      </c>
      <c r="AE1" t="s">
        <v>228</v>
      </c>
      <c r="AF1" t="s">
        <v>32</v>
      </c>
      <c r="AG1" t="s">
        <v>33</v>
      </c>
      <c r="AH1" t="s">
        <v>199</v>
      </c>
      <c r="AI1" t="s">
        <v>229</v>
      </c>
      <c r="AJ1" t="s">
        <v>200</v>
      </c>
      <c r="AK1" t="s">
        <v>34</v>
      </c>
      <c r="AL1" t="s">
        <v>201</v>
      </c>
      <c r="AM1" t="s">
        <v>130</v>
      </c>
      <c r="AN1" t="s">
        <v>202</v>
      </c>
      <c r="AO1" t="s">
        <v>203</v>
      </c>
      <c r="AP1" t="s">
        <v>204</v>
      </c>
      <c r="AQ1" t="s">
        <v>205</v>
      </c>
      <c r="AR1" t="s">
        <v>206</v>
      </c>
      <c r="AS1" t="s">
        <v>207</v>
      </c>
      <c r="AT1" t="s">
        <v>208</v>
      </c>
      <c r="AU1" t="s">
        <v>209</v>
      </c>
      <c r="AV1" t="s">
        <v>210</v>
      </c>
      <c r="AW1" t="s">
        <v>211</v>
      </c>
      <c r="AX1" t="s">
        <v>212</v>
      </c>
      <c r="AY1" t="s">
        <v>230</v>
      </c>
      <c r="AZ1" t="s">
        <v>131</v>
      </c>
      <c r="BA1" t="s">
        <v>132</v>
      </c>
      <c r="BB1" t="s">
        <v>133</v>
      </c>
      <c r="BC1" t="s">
        <v>134</v>
      </c>
      <c r="BD1" t="s">
        <v>140</v>
      </c>
      <c r="BE1" t="s">
        <v>135</v>
      </c>
      <c r="BF1" t="s">
        <v>136</v>
      </c>
      <c r="BG1" t="s">
        <v>137</v>
      </c>
      <c r="BH1" t="s">
        <v>138</v>
      </c>
      <c r="BI1" t="s">
        <v>231</v>
      </c>
      <c r="BJ1" t="s">
        <v>213</v>
      </c>
      <c r="BK1" t="s">
        <v>139</v>
      </c>
      <c r="BL1" t="s">
        <v>214</v>
      </c>
      <c r="BM1" t="s">
        <v>215</v>
      </c>
      <c r="BN1" t="s">
        <v>216</v>
      </c>
      <c r="BO1" t="s">
        <v>217</v>
      </c>
      <c r="BP1" t="s">
        <v>141</v>
      </c>
      <c r="BQ1" t="s">
        <v>142</v>
      </c>
      <c r="BR1" t="s">
        <v>143</v>
      </c>
      <c r="BS1" t="s">
        <v>218</v>
      </c>
      <c r="BT1" t="s">
        <v>144</v>
      </c>
      <c r="BU1" t="s">
        <v>145</v>
      </c>
      <c r="BV1" t="s">
        <v>146</v>
      </c>
      <c r="BW1" t="s">
        <v>219</v>
      </c>
      <c r="BX1" t="s">
        <v>147</v>
      </c>
      <c r="BY1" t="s">
        <v>148</v>
      </c>
      <c r="BZ1" t="s">
        <v>220</v>
      </c>
      <c r="CA1" t="s">
        <v>149</v>
      </c>
      <c r="CB1" t="s">
        <v>150</v>
      </c>
      <c r="CC1" t="s">
        <v>232</v>
      </c>
      <c r="CD1" t="s">
        <v>233</v>
      </c>
      <c r="CE1" t="s">
        <v>234</v>
      </c>
      <c r="CF1" t="s">
        <v>235</v>
      </c>
      <c r="CG1" s="1" t="s">
        <v>178</v>
      </c>
      <c r="CH1" s="1" t="s">
        <v>179</v>
      </c>
      <c r="CI1" s="1" t="s">
        <v>180</v>
      </c>
      <c r="CJ1" s="1" t="s">
        <v>181</v>
      </c>
      <c r="CK1" s="1" t="s">
        <v>182</v>
      </c>
      <c r="CL1" s="1" t="s">
        <v>183</v>
      </c>
      <c r="CM1" s="1" t="s">
        <v>184</v>
      </c>
      <c r="CN1" s="1" t="s">
        <v>185</v>
      </c>
      <c r="CO1" s="1" t="s">
        <v>186</v>
      </c>
      <c r="CP1" s="1" t="s">
        <v>187</v>
      </c>
      <c r="CQ1" s="1" t="s">
        <v>188</v>
      </c>
      <c r="CR1" s="1" t="s">
        <v>189</v>
      </c>
      <c r="CS1" s="1" t="s">
        <v>236</v>
      </c>
      <c r="CT1" s="1" t="s">
        <v>237</v>
      </c>
      <c r="CU1" s="1" t="s">
        <v>238</v>
      </c>
      <c r="CV1" s="1" t="s">
        <v>239</v>
      </c>
      <c r="CW1" s="1" t="s">
        <v>240</v>
      </c>
      <c r="CX1" s="1" t="s">
        <v>241</v>
      </c>
      <c r="CY1">
        <v>1</v>
      </c>
      <c r="CZ1" t="s">
        <v>242</v>
      </c>
      <c r="DA1" t="s">
        <v>243</v>
      </c>
      <c r="DB1">
        <v>3</v>
      </c>
      <c r="DC1" t="s">
        <v>244</v>
      </c>
      <c r="DD1" t="s">
        <v>245</v>
      </c>
      <c r="DE1">
        <v>6</v>
      </c>
      <c r="DF1" t="s">
        <v>246</v>
      </c>
      <c r="DG1" t="s">
        <v>247</v>
      </c>
      <c r="DH1">
        <v>10</v>
      </c>
      <c r="DI1" t="s">
        <v>248</v>
      </c>
      <c r="DJ1" t="s">
        <v>249</v>
      </c>
      <c r="DK1">
        <v>20</v>
      </c>
      <c r="DL1" t="s">
        <v>250</v>
      </c>
      <c r="DM1" t="s">
        <v>190</v>
      </c>
      <c r="DN1" t="s">
        <v>191</v>
      </c>
      <c r="DO1" s="2" t="s">
        <v>192</v>
      </c>
      <c r="DP1" t="s">
        <v>251</v>
      </c>
      <c r="DQ1" t="s">
        <v>252</v>
      </c>
      <c r="DR1" s="1" t="s">
        <v>253</v>
      </c>
      <c r="DS1" s="1" t="s">
        <v>254</v>
      </c>
      <c r="DT1" s="1" t="s">
        <v>255</v>
      </c>
      <c r="DU1" t="s">
        <v>256</v>
      </c>
      <c r="DV1" t="s">
        <v>257</v>
      </c>
      <c r="DW1" t="s">
        <v>258</v>
      </c>
      <c r="DX1" t="s">
        <v>259</v>
      </c>
      <c r="DY1" t="s">
        <v>260</v>
      </c>
      <c r="DZ1" t="s">
        <v>261</v>
      </c>
      <c r="EA1" t="s">
        <v>262</v>
      </c>
      <c r="EB1" t="s">
        <v>263</v>
      </c>
      <c r="EC1" t="s">
        <v>264</v>
      </c>
      <c r="ED1" t="s">
        <v>265</v>
      </c>
      <c r="EE1" t="s">
        <v>266</v>
      </c>
      <c r="EF1" t="s">
        <v>267</v>
      </c>
      <c r="EG1" t="s">
        <v>268</v>
      </c>
      <c r="EH1" t="s">
        <v>269</v>
      </c>
      <c r="EI1" t="s">
        <v>270</v>
      </c>
      <c r="EJ1" t="s">
        <v>271</v>
      </c>
      <c r="EK1"/>
    </row>
    <row r="2" spans="1:147" s="1" customFormat="1" ht="49" customHeight="1" x14ac:dyDescent="0.25">
      <c r="A2" s="27" t="s">
        <v>282</v>
      </c>
      <c r="B2" s="25"/>
      <c r="C2" s="25">
        <v>3</v>
      </c>
      <c r="D2" s="25">
        <v>12</v>
      </c>
      <c r="J2" s="2">
        <f>SUM(J3:J5)</f>
        <v>321625666900</v>
      </c>
    </row>
    <row r="3" spans="1:147" s="1" customFormat="1" ht="180" x14ac:dyDescent="0.25">
      <c r="A3" s="30" t="s">
        <v>382</v>
      </c>
      <c r="B3" s="24" t="s">
        <v>1264</v>
      </c>
      <c r="C3" s="24" t="s">
        <v>1265</v>
      </c>
      <c r="D3" s="24" t="s">
        <v>962</v>
      </c>
      <c r="E3" t="s">
        <v>13</v>
      </c>
      <c r="F3" t="s">
        <v>14</v>
      </c>
      <c r="G3">
        <v>86.18</v>
      </c>
      <c r="H3">
        <v>-1.7</v>
      </c>
      <c r="I3" t="s">
        <v>932</v>
      </c>
      <c r="J3">
        <v>255829870000</v>
      </c>
      <c r="K3">
        <v>26.95</v>
      </c>
      <c r="L3">
        <v>5.13</v>
      </c>
      <c r="M3" t="s">
        <v>272</v>
      </c>
      <c r="N3" t="s">
        <v>933</v>
      </c>
      <c r="O3" t="s">
        <v>934</v>
      </c>
      <c r="P3" t="s">
        <v>935</v>
      </c>
      <c r="Q3">
        <v>6.28</v>
      </c>
      <c r="R3" t="s">
        <v>936</v>
      </c>
      <c r="S3">
        <v>5313119700</v>
      </c>
      <c r="T3" s="4">
        <v>0.14610000000000001</v>
      </c>
      <c r="U3" t="s">
        <v>937</v>
      </c>
      <c r="V3">
        <v>2565743300</v>
      </c>
      <c r="W3">
        <v>2968496300</v>
      </c>
      <c r="X3">
        <v>1.38</v>
      </c>
      <c r="Y3">
        <v>0.28000000000000003</v>
      </c>
      <c r="Z3">
        <v>28.39</v>
      </c>
      <c r="AA3" t="s">
        <v>938</v>
      </c>
      <c r="AB3" t="s">
        <v>939</v>
      </c>
      <c r="AC3" t="s">
        <v>403</v>
      </c>
      <c r="AD3" t="s">
        <v>940</v>
      </c>
      <c r="AE3" t="s">
        <v>733</v>
      </c>
      <c r="AF3">
        <v>-480557720</v>
      </c>
      <c r="AG3" t="s">
        <v>941</v>
      </c>
      <c r="AH3" t="s">
        <v>942</v>
      </c>
      <c r="AI3" t="s">
        <v>943</v>
      </c>
      <c r="AJ3" t="s">
        <v>944</v>
      </c>
      <c r="AK3" t="s">
        <v>945</v>
      </c>
      <c r="AL3" t="s">
        <v>946</v>
      </c>
      <c r="AM3" t="s">
        <v>947</v>
      </c>
      <c r="AN3" t="s">
        <v>948</v>
      </c>
      <c r="AO3" t="s">
        <v>949</v>
      </c>
      <c r="AP3" t="s">
        <v>950</v>
      </c>
      <c r="AQ3" t="s">
        <v>25</v>
      </c>
      <c r="AR3" t="s">
        <v>323</v>
      </c>
      <c r="AS3" t="s">
        <v>25</v>
      </c>
      <c r="AT3" t="s">
        <v>951</v>
      </c>
      <c r="AU3" t="s">
        <v>417</v>
      </c>
      <c r="AV3" t="s">
        <v>952</v>
      </c>
      <c r="AW3" t="s">
        <v>953</v>
      </c>
      <c r="AX3" t="s">
        <v>954</v>
      </c>
      <c r="AY3" t="s">
        <v>279</v>
      </c>
      <c r="AZ3" t="s">
        <v>166</v>
      </c>
      <c r="BA3" t="s">
        <v>93</v>
      </c>
      <c r="BB3" t="s">
        <v>168</v>
      </c>
      <c r="BC3" t="s">
        <v>86</v>
      </c>
      <c r="BD3" t="s">
        <v>280</v>
      </c>
      <c r="BE3" t="s">
        <v>167</v>
      </c>
      <c r="BF3" t="s">
        <v>91</v>
      </c>
      <c r="BG3" t="s">
        <v>169</v>
      </c>
      <c r="BH3" t="s">
        <v>44</v>
      </c>
      <c r="BI3" t="s">
        <v>955</v>
      </c>
      <c r="BJ3" t="s">
        <v>316</v>
      </c>
      <c r="BK3" t="s">
        <v>956</v>
      </c>
      <c r="BL3" t="s">
        <v>957</v>
      </c>
      <c r="BM3" t="s">
        <v>317</v>
      </c>
      <c r="BN3" t="s">
        <v>958</v>
      </c>
      <c r="BO3">
        <v>18.899999999999999</v>
      </c>
      <c r="BP3">
        <v>13.03</v>
      </c>
      <c r="BQ3">
        <v>10.6</v>
      </c>
      <c r="BR3">
        <v>20.62</v>
      </c>
      <c r="BS3">
        <v>14.05</v>
      </c>
      <c r="BT3">
        <v>12.91</v>
      </c>
      <c r="BU3" t="s">
        <v>959</v>
      </c>
      <c r="BV3" t="s">
        <v>318</v>
      </c>
      <c r="BW3">
        <v>39.89</v>
      </c>
      <c r="BX3">
        <v>36.28</v>
      </c>
      <c r="BY3">
        <v>37.99</v>
      </c>
      <c r="BZ3">
        <v>24.39</v>
      </c>
      <c r="CA3">
        <v>22.43</v>
      </c>
      <c r="CB3">
        <v>18.059999999999999</v>
      </c>
      <c r="CC3">
        <v>9.7100000000000009</v>
      </c>
      <c r="CD3">
        <v>8.09</v>
      </c>
      <c r="CE3" t="s">
        <v>416</v>
      </c>
      <c r="CF3" t="s">
        <v>960</v>
      </c>
      <c r="CG3" s="21">
        <v>6.7334626158155567E-2</v>
      </c>
      <c r="CH3" s="22">
        <v>5.0825158703641828E-2</v>
      </c>
      <c r="CI3" s="21">
        <v>0.71840882301330566</v>
      </c>
      <c r="CJ3" s="21">
        <v>0.38506194949150085</v>
      </c>
      <c r="CK3" s="21">
        <v>0.28457123041152954</v>
      </c>
      <c r="CL3" s="21">
        <v>0.33888071775436401</v>
      </c>
      <c r="CM3" s="21">
        <v>0.23811975121498108</v>
      </c>
      <c r="CN3" s="22">
        <v>0.72925257682800293</v>
      </c>
      <c r="CO3" s="22">
        <v>0.72195941209793091</v>
      </c>
      <c r="CP3" s="22">
        <v>0.59568727016448975</v>
      </c>
      <c r="CQ3" s="22">
        <v>-0.17956651747226715</v>
      </c>
      <c r="CR3" s="22">
        <v>0.84270566701889038</v>
      </c>
      <c r="CS3">
        <v>69.099631763752583</v>
      </c>
      <c r="CT3">
        <v>1.7582223476687415</v>
      </c>
      <c r="CU3">
        <v>1.0358087723369691</v>
      </c>
      <c r="CV3" s="21">
        <v>0.39300849437713625</v>
      </c>
      <c r="CW3" s="22">
        <v>0.54200768172740932</v>
      </c>
      <c r="CX3">
        <v>0.06</v>
      </c>
      <c r="CY3">
        <v>19.403516127560881</v>
      </c>
      <c r="CZ3">
        <v>11582997046.641582</v>
      </c>
      <c r="DA3">
        <v>0.39300849437713625</v>
      </c>
      <c r="DB3">
        <v>4.9521613079550129</v>
      </c>
      <c r="DC3">
        <v>45384400067.697006</v>
      </c>
      <c r="DD3">
        <v>0.37335806965827945</v>
      </c>
      <c r="DE3">
        <v>1.6981402891422723</v>
      </c>
      <c r="DF3">
        <v>132351179367.82553</v>
      </c>
      <c r="DG3">
        <v>0.3458474750518799</v>
      </c>
      <c r="DH3">
        <v>0.64984070472538058</v>
      </c>
      <c r="DI3">
        <v>345855327876.05017</v>
      </c>
      <c r="DJ3">
        <v>0.31440679550170902</v>
      </c>
      <c r="DK3">
        <v>0.10958510145158644</v>
      </c>
      <c r="DL3">
        <v>2050925417989.3477</v>
      </c>
      <c r="DM3">
        <v>0.27510594606399535</v>
      </c>
      <c r="DN3">
        <v>8814000000</v>
      </c>
      <c r="DO3">
        <v>0.39300849437713625</v>
      </c>
      <c r="DP3">
        <v>224750870000</v>
      </c>
      <c r="DQ3">
        <v>11217066000</v>
      </c>
      <c r="DR3">
        <v>4018</v>
      </c>
      <c r="DS3">
        <v>-0.3256738682189807</v>
      </c>
      <c r="DT3">
        <v>-0.49118252302376747</v>
      </c>
      <c r="DU3" s="23">
        <v>0.39333333333333331</v>
      </c>
      <c r="DV3">
        <v>0.85</v>
      </c>
      <c r="DW3">
        <v>1.2433333333333332</v>
      </c>
      <c r="DX3">
        <v>5.8331616889804323</v>
      </c>
      <c r="DY3">
        <v>0.5351851851851841</v>
      </c>
      <c r="DZ3">
        <v>5.195947286112065</v>
      </c>
      <c r="EA3">
        <v>196</v>
      </c>
      <c r="EB3">
        <v>5.1883766832975642</v>
      </c>
      <c r="EC3">
        <v>5</v>
      </c>
      <c r="ED3">
        <v>4.2782603434607616E-2</v>
      </c>
      <c r="EE3">
        <v>0.18191028232037884</v>
      </c>
      <c r="EF3" s="20">
        <v>2.1379000000000001</v>
      </c>
      <c r="EG3">
        <v>2.1208999999999998</v>
      </c>
      <c r="EH3">
        <v>30.235185185185184</v>
      </c>
      <c r="EI3" t="s">
        <v>961</v>
      </c>
      <c r="EJ3">
        <v>1</v>
      </c>
      <c r="EK3">
        <v>1</v>
      </c>
      <c r="EL3" s="28">
        <v>45197</v>
      </c>
      <c r="EM3" s="29">
        <v>1.2699999999999999E-2</v>
      </c>
      <c r="EN3" s="29">
        <v>2.4500000000000002</v>
      </c>
      <c r="EO3" s="29">
        <v>0.06</v>
      </c>
      <c r="EP3" s="29">
        <v>7.5</v>
      </c>
      <c r="EQ3" s="29">
        <v>-1.7</v>
      </c>
    </row>
    <row r="4" spans="1:147" s="16" customFormat="1" ht="168" x14ac:dyDescent="0.25">
      <c r="A4" s="32" t="s">
        <v>383</v>
      </c>
      <c r="B4" s="24" t="s">
        <v>1266</v>
      </c>
      <c r="C4" s="24" t="s">
        <v>1267</v>
      </c>
      <c r="D4" s="24" t="s">
        <v>1023</v>
      </c>
      <c r="E4" t="s">
        <v>15</v>
      </c>
      <c r="F4" t="s">
        <v>16</v>
      </c>
      <c r="G4">
        <v>31.1</v>
      </c>
      <c r="H4">
        <v>0.81</v>
      </c>
      <c r="I4" t="s">
        <v>994</v>
      </c>
      <c r="J4">
        <v>55567372000</v>
      </c>
      <c r="K4">
        <v>35.270000000000003</v>
      </c>
      <c r="L4">
        <v>4.9000000000000004</v>
      </c>
      <c r="M4" t="s">
        <v>272</v>
      </c>
      <c r="N4" t="s">
        <v>995</v>
      </c>
      <c r="O4" t="s">
        <v>996</v>
      </c>
      <c r="P4" t="s">
        <v>997</v>
      </c>
      <c r="Q4">
        <v>21.7</v>
      </c>
      <c r="R4" t="s">
        <v>998</v>
      </c>
      <c r="S4">
        <v>786093050</v>
      </c>
      <c r="T4" s="4">
        <v>0.34279999999999999</v>
      </c>
      <c r="U4" t="s">
        <v>999</v>
      </c>
      <c r="V4">
        <v>1420935100</v>
      </c>
      <c r="W4">
        <v>1786732200</v>
      </c>
      <c r="X4">
        <v>1.82</v>
      </c>
      <c r="Y4">
        <v>0.26</v>
      </c>
      <c r="Z4">
        <v>13.9</v>
      </c>
      <c r="AA4" t="s">
        <v>1000</v>
      </c>
      <c r="AB4" t="s">
        <v>1001</v>
      </c>
      <c r="AC4" t="s">
        <v>416</v>
      </c>
      <c r="AD4" t="s">
        <v>1002</v>
      </c>
      <c r="AE4" t="s">
        <v>1003</v>
      </c>
      <c r="AF4">
        <v>68135804</v>
      </c>
      <c r="AG4" t="s">
        <v>1004</v>
      </c>
      <c r="AH4" t="s">
        <v>1005</v>
      </c>
      <c r="AI4" t="s">
        <v>1006</v>
      </c>
      <c r="AJ4" t="s">
        <v>1007</v>
      </c>
      <c r="AK4" t="s">
        <v>1008</v>
      </c>
      <c r="AL4" t="s">
        <v>25</v>
      </c>
      <c r="AM4" t="s">
        <v>1009</v>
      </c>
      <c r="AN4" t="s">
        <v>1010</v>
      </c>
      <c r="AO4" t="s">
        <v>1011</v>
      </c>
      <c r="AP4" t="s">
        <v>1012</v>
      </c>
      <c r="AQ4" t="s">
        <v>25</v>
      </c>
      <c r="AR4" t="s">
        <v>1013</v>
      </c>
      <c r="AS4" t="s">
        <v>25</v>
      </c>
      <c r="AT4" t="s">
        <v>1014</v>
      </c>
      <c r="AU4" t="s">
        <v>1015</v>
      </c>
      <c r="AV4" t="s">
        <v>1016</v>
      </c>
      <c r="AW4" t="s">
        <v>700</v>
      </c>
      <c r="AX4" t="s">
        <v>1017</v>
      </c>
      <c r="AY4" t="s">
        <v>277</v>
      </c>
      <c r="AZ4" t="s">
        <v>161</v>
      </c>
      <c r="BA4" t="s">
        <v>92</v>
      </c>
      <c r="BB4" t="s">
        <v>96</v>
      </c>
      <c r="BC4" t="s">
        <v>163</v>
      </c>
      <c r="BD4" t="s">
        <v>87</v>
      </c>
      <c r="BE4" t="s">
        <v>162</v>
      </c>
      <c r="BF4" t="s">
        <v>64</v>
      </c>
      <c r="BG4" t="s">
        <v>81</v>
      </c>
      <c r="BH4" t="s">
        <v>82</v>
      </c>
      <c r="BI4" t="s">
        <v>1018</v>
      </c>
      <c r="BJ4" t="s">
        <v>325</v>
      </c>
      <c r="BK4" t="s">
        <v>1019</v>
      </c>
      <c r="BL4" t="s">
        <v>1020</v>
      </c>
      <c r="BM4" t="s">
        <v>326</v>
      </c>
      <c r="BN4" t="s">
        <v>85</v>
      </c>
      <c r="BO4">
        <v>9.26</v>
      </c>
      <c r="BP4">
        <v>13.04</v>
      </c>
      <c r="BQ4">
        <v>11.9</v>
      </c>
      <c r="BR4">
        <v>13.28</v>
      </c>
      <c r="BS4">
        <v>17.309999999999999</v>
      </c>
      <c r="BT4">
        <v>14.13</v>
      </c>
      <c r="BU4" t="s">
        <v>1021</v>
      </c>
      <c r="BV4" t="s">
        <v>318</v>
      </c>
      <c r="BW4">
        <v>35.79</v>
      </c>
      <c r="BX4">
        <v>35.99</v>
      </c>
      <c r="BY4">
        <v>37.47</v>
      </c>
      <c r="BZ4">
        <v>12.85</v>
      </c>
      <c r="CA4">
        <v>21.76</v>
      </c>
      <c r="CB4">
        <v>22.34</v>
      </c>
      <c r="CC4">
        <v>13.3</v>
      </c>
      <c r="CD4">
        <v>9.9700000000000006</v>
      </c>
      <c r="CE4" t="s">
        <v>399</v>
      </c>
      <c r="CF4" t="s">
        <v>1022</v>
      </c>
      <c r="CG4" s="21">
        <v>0.15165876777251186</v>
      </c>
      <c r="CH4" s="22">
        <v>0.30384836309523811</v>
      </c>
      <c r="CI4" s="21">
        <v>0.37909737229347229</v>
      </c>
      <c r="CJ4" s="21">
        <v>0.449941486120224</v>
      </c>
      <c r="CK4" s="21">
        <v>0.36651590466499329</v>
      </c>
      <c r="CL4" s="21">
        <v>0.29195320606231689</v>
      </c>
      <c r="CM4" s="21">
        <v>0.26765468716621399</v>
      </c>
      <c r="CN4" s="22">
        <v>-0.17218536138534546</v>
      </c>
      <c r="CO4" s="22">
        <v>0.41723543405532837</v>
      </c>
      <c r="CP4" s="22">
        <v>1.1425960063934326</v>
      </c>
      <c r="CQ4" s="22">
        <v>0.64264261722564697</v>
      </c>
      <c r="CR4" s="22">
        <v>0.44155845046043396</v>
      </c>
      <c r="CS4">
        <v>62.681750705019738</v>
      </c>
      <c r="CT4">
        <v>1.7856393673763316</v>
      </c>
      <c r="CU4">
        <v>0.96463022508038576</v>
      </c>
      <c r="CV4" s="21">
        <v>0.35103253126144407</v>
      </c>
      <c r="CW4" s="22">
        <v>0.4943694293498993</v>
      </c>
      <c r="CX4">
        <v>0.06</v>
      </c>
      <c r="CY4">
        <v>30.438120077056521</v>
      </c>
      <c r="CZ4">
        <v>1752518613.6646092</v>
      </c>
      <c r="DA4">
        <v>0.35103253126144407</v>
      </c>
      <c r="DB4">
        <v>8.0297400399735661</v>
      </c>
      <c r="DC4">
        <v>6643225276.8391752</v>
      </c>
      <c r="DD4">
        <v>0.33348090469837183</v>
      </c>
      <c r="DE4">
        <v>2.8987733594942116</v>
      </c>
      <c r="DF4">
        <v>18402049896.480194</v>
      </c>
      <c r="DG4">
        <v>0.30890862751007081</v>
      </c>
      <c r="DH4">
        <v>1.1869755554174681</v>
      </c>
      <c r="DI4">
        <v>44940581763.908981</v>
      </c>
      <c r="DJ4">
        <v>0.28082602500915527</v>
      </c>
      <c r="DK4">
        <v>0.23848351281517668</v>
      </c>
      <c r="DL4">
        <v>223677399625.2764</v>
      </c>
      <c r="DM4">
        <v>0.24572277188301084</v>
      </c>
      <c r="DN4">
        <v>1375000000</v>
      </c>
      <c r="DO4">
        <v>0.35103253126144407</v>
      </c>
      <c r="DP4">
        <v>53343372000</v>
      </c>
      <c r="DQ4">
        <v>3388009600</v>
      </c>
      <c r="DR4">
        <v>2221</v>
      </c>
      <c r="DS4">
        <v>-0.19937376348893221</v>
      </c>
      <c r="DT4">
        <v>-0.1905210662546612</v>
      </c>
      <c r="DU4" s="23">
        <v>0.22666666666666657</v>
      </c>
      <c r="DV4">
        <v>0.80333333333333334</v>
      </c>
      <c r="DW4">
        <v>1.0299999999999998</v>
      </c>
      <c r="DX4">
        <v>5.7496240601503761</v>
      </c>
      <c r="DY4">
        <v>0.49076923076922996</v>
      </c>
      <c r="DZ4">
        <v>5.1729901677270096</v>
      </c>
      <c r="EA4">
        <v>326</v>
      </c>
      <c r="EB4">
        <v>5.1618735119653287</v>
      </c>
      <c r="EC4">
        <v>5</v>
      </c>
      <c r="ED4">
        <v>8.2273101699292153E-2</v>
      </c>
      <c r="EE4">
        <v>0.35651677403026599</v>
      </c>
      <c r="EF4" s="20">
        <v>1.1386000000000001</v>
      </c>
      <c r="EG4">
        <v>1.1467000000000001</v>
      </c>
      <c r="EH4">
        <v>26.23076923076923</v>
      </c>
      <c r="EI4" t="s">
        <v>222</v>
      </c>
      <c r="EJ4">
        <v>1</v>
      </c>
      <c r="EK4">
        <v>1</v>
      </c>
      <c r="EL4" s="28">
        <v>45197</v>
      </c>
      <c r="EM4" s="29">
        <v>1.6799999999999999E-2</v>
      </c>
      <c r="EN4" s="29">
        <v>3.83</v>
      </c>
      <c r="EO4" s="29">
        <v>0.55000000000000004</v>
      </c>
      <c r="EP4" s="29">
        <v>5.87</v>
      </c>
      <c r="EQ4" s="29">
        <v>0.81</v>
      </c>
    </row>
    <row r="5" spans="1:147" s="16" customFormat="1" ht="180" x14ac:dyDescent="0.25">
      <c r="A5" s="32" t="s">
        <v>1263</v>
      </c>
      <c r="B5" s="24" t="s">
        <v>1480</v>
      </c>
      <c r="C5" s="24" t="s">
        <v>1268</v>
      </c>
      <c r="D5" s="24" t="s">
        <v>1103</v>
      </c>
      <c r="E5" t="s">
        <v>23</v>
      </c>
      <c r="F5" t="s">
        <v>24</v>
      </c>
      <c r="G5">
        <v>76.040000000000006</v>
      </c>
      <c r="H5">
        <v>-1.76</v>
      </c>
      <c r="I5" t="s">
        <v>1075</v>
      </c>
      <c r="J5">
        <v>10228424900</v>
      </c>
      <c r="K5">
        <v>29.93</v>
      </c>
      <c r="L5">
        <v>3.76</v>
      </c>
      <c r="M5" t="s">
        <v>272</v>
      </c>
      <c r="N5" t="s">
        <v>1076</v>
      </c>
      <c r="O5" t="s">
        <v>1077</v>
      </c>
      <c r="P5" t="s">
        <v>1078</v>
      </c>
      <c r="Q5">
        <v>17.43</v>
      </c>
      <c r="R5" t="s">
        <v>1079</v>
      </c>
      <c r="S5">
        <v>166132440</v>
      </c>
      <c r="T5" s="4">
        <v>2.1700000000000001E-2</v>
      </c>
      <c r="U5" t="s">
        <v>1080</v>
      </c>
      <c r="V5">
        <v>109783938</v>
      </c>
      <c r="W5">
        <v>134513740</v>
      </c>
      <c r="X5">
        <v>1.5</v>
      </c>
      <c r="Y5">
        <v>0.35</v>
      </c>
      <c r="Z5">
        <v>19.04</v>
      </c>
      <c r="AA5" t="s">
        <v>1081</v>
      </c>
      <c r="AB5" t="s">
        <v>439</v>
      </c>
      <c r="AC5" t="s">
        <v>1082</v>
      </c>
      <c r="AD5" t="s">
        <v>1083</v>
      </c>
      <c r="AE5" t="s">
        <v>1084</v>
      </c>
      <c r="AF5">
        <v>-140622</v>
      </c>
      <c r="AG5" t="s">
        <v>1085</v>
      </c>
      <c r="AH5" t="s">
        <v>1086</v>
      </c>
      <c r="AI5" t="s">
        <v>1087</v>
      </c>
      <c r="AJ5" t="s">
        <v>362</v>
      </c>
      <c r="AK5" t="s">
        <v>1088</v>
      </c>
      <c r="AL5" t="s">
        <v>1089</v>
      </c>
      <c r="AM5" t="s">
        <v>1090</v>
      </c>
      <c r="AN5" t="s">
        <v>1091</v>
      </c>
      <c r="AO5" t="s">
        <v>1092</v>
      </c>
      <c r="AP5" t="s">
        <v>436</v>
      </c>
      <c r="AQ5" t="s">
        <v>25</v>
      </c>
      <c r="AR5" t="s">
        <v>1093</v>
      </c>
      <c r="AS5" t="s">
        <v>25</v>
      </c>
      <c r="AT5" t="s">
        <v>1094</v>
      </c>
      <c r="AU5" t="s">
        <v>25</v>
      </c>
      <c r="AV5" t="s">
        <v>1095</v>
      </c>
      <c r="AW5" t="s">
        <v>1096</v>
      </c>
      <c r="AX5" t="s">
        <v>341</v>
      </c>
      <c r="AY5" t="s">
        <v>281</v>
      </c>
      <c r="AZ5" t="s">
        <v>55</v>
      </c>
      <c r="BA5" t="s">
        <v>89</v>
      </c>
      <c r="BB5" t="s">
        <v>45</v>
      </c>
      <c r="BC5" t="s">
        <v>85</v>
      </c>
      <c r="BD5" t="s">
        <v>60</v>
      </c>
      <c r="BE5" t="s">
        <v>71</v>
      </c>
      <c r="BF5" t="s">
        <v>94</v>
      </c>
      <c r="BG5" t="s">
        <v>170</v>
      </c>
      <c r="BH5" t="s">
        <v>171</v>
      </c>
      <c r="BI5" t="s">
        <v>1097</v>
      </c>
      <c r="BJ5" t="s">
        <v>340</v>
      </c>
      <c r="BK5" t="s">
        <v>1098</v>
      </c>
      <c r="BL5" t="s">
        <v>351</v>
      </c>
      <c r="BM5" t="s">
        <v>41</v>
      </c>
      <c r="BN5" t="s">
        <v>1099</v>
      </c>
      <c r="BO5">
        <v>21.35</v>
      </c>
      <c r="BP5">
        <v>22.6</v>
      </c>
      <c r="BQ5">
        <v>11.89</v>
      </c>
      <c r="BR5">
        <v>23.25</v>
      </c>
      <c r="BS5">
        <v>22.66</v>
      </c>
      <c r="BT5">
        <v>12.23</v>
      </c>
      <c r="BU5" t="s">
        <v>1100</v>
      </c>
      <c r="BV5" t="s">
        <v>318</v>
      </c>
      <c r="BW5">
        <v>43.54</v>
      </c>
      <c r="BX5">
        <v>45.34</v>
      </c>
      <c r="BY5">
        <v>41.07</v>
      </c>
      <c r="BZ5">
        <v>22.5</v>
      </c>
      <c r="CA5">
        <v>24.39</v>
      </c>
      <c r="CB5">
        <v>20.149999999999999</v>
      </c>
      <c r="CC5">
        <v>6.41</v>
      </c>
      <c r="CD5">
        <v>-13.88</v>
      </c>
      <c r="CE5" t="s">
        <v>1101</v>
      </c>
      <c r="CF5" t="s">
        <v>1102</v>
      </c>
      <c r="CG5" s="21">
        <v>8.7855297157623052E-2</v>
      </c>
      <c r="CH5" s="22">
        <v>-0.25260883549862251</v>
      </c>
      <c r="CI5" s="21">
        <v>0.42159381508827209</v>
      </c>
      <c r="CJ5" s="21">
        <v>0.75225234031677246</v>
      </c>
      <c r="CK5" s="21">
        <v>0.48329621553421021</v>
      </c>
      <c r="CL5" s="21">
        <v>0.38153845071792603</v>
      </c>
      <c r="CM5" s="21">
        <v>0.30522087216377258</v>
      </c>
      <c r="CN5" s="22">
        <v>0.19858156144618988</v>
      </c>
      <c r="CO5" s="22">
        <v>1.1860464811325073</v>
      </c>
      <c r="CP5" s="22">
        <v>0.93771958351135254</v>
      </c>
      <c r="CQ5" s="22">
        <v>9.5445975661277771E-2</v>
      </c>
      <c r="CR5" s="22">
        <v>0.4601532518863678</v>
      </c>
      <c r="CS5">
        <v>66.854897303430718</v>
      </c>
      <c r="CT5">
        <v>1.4261455051565326</v>
      </c>
      <c r="CU5">
        <v>0.51288795370857443</v>
      </c>
      <c r="CV5" s="21">
        <v>0.46878033876419067</v>
      </c>
      <c r="CW5" s="22">
        <v>0.57558937072753902</v>
      </c>
      <c r="CX5">
        <v>0.06</v>
      </c>
      <c r="CY5">
        <v>19.971145612169622</v>
      </c>
      <c r="CZ5">
        <v>468346938.20971364</v>
      </c>
      <c r="DA5">
        <v>0.46878033876419067</v>
      </c>
      <c r="DB5">
        <v>4.8061223502362296</v>
      </c>
      <c r="DC5">
        <v>1946147896.0352025</v>
      </c>
      <c r="DD5">
        <v>0.44534132182598113</v>
      </c>
      <c r="DE5">
        <v>1.5015648912268569</v>
      </c>
      <c r="DF5">
        <v>6229118005.2550135</v>
      </c>
      <c r="DG5">
        <v>0.41252669811248782</v>
      </c>
      <c r="DH5">
        <v>0.50756245832274138</v>
      </c>
      <c r="DI5">
        <v>18428125931.355785</v>
      </c>
      <c r="DJ5">
        <v>0.37502427101135255</v>
      </c>
      <c r="DK5">
        <v>6.2112743835010441E-2</v>
      </c>
      <c r="DL5">
        <v>150587855607.30377</v>
      </c>
      <c r="DM5">
        <v>0.32814623713493346</v>
      </c>
      <c r="DN5">
        <v>338000000</v>
      </c>
      <c r="DO5">
        <v>0.46878033876419067</v>
      </c>
      <c r="DP5">
        <v>9353424900</v>
      </c>
      <c r="DQ5">
        <v>547712460</v>
      </c>
      <c r="DR5">
        <v>4689</v>
      </c>
      <c r="DS5">
        <v>-0.38092504160656759</v>
      </c>
      <c r="DT5">
        <v>-0.82819820622616147</v>
      </c>
      <c r="DU5" s="23">
        <v>0.37666666666666654</v>
      </c>
      <c r="DV5">
        <v>0.83333333333333337</v>
      </c>
      <c r="DW5">
        <v>1.21</v>
      </c>
      <c r="DX5">
        <v>7.3159191720059145</v>
      </c>
      <c r="DY5">
        <v>0.46548530696193507</v>
      </c>
      <c r="DZ5">
        <v>7.0554391728746184</v>
      </c>
      <c r="EA5">
        <v>206</v>
      </c>
      <c r="EB5">
        <v>7.0531879468521126</v>
      </c>
      <c r="EC5">
        <v>7</v>
      </c>
      <c r="ED5">
        <v>7.4086111946630881E-2</v>
      </c>
      <c r="EE5">
        <v>0.42217843322176607</v>
      </c>
      <c r="EF5" s="20">
        <v>2.036</v>
      </c>
      <c r="EG5">
        <v>2.0184000000000002</v>
      </c>
      <c r="EH5">
        <v>29.175485306961935</v>
      </c>
      <c r="EI5" t="s">
        <v>961</v>
      </c>
      <c r="EJ5">
        <v>1</v>
      </c>
      <c r="EK5">
        <v>1</v>
      </c>
      <c r="EL5" s="28">
        <v>45197</v>
      </c>
      <c r="EM5" s="29">
        <v>2.5700000000000001E-2</v>
      </c>
      <c r="EN5" s="29">
        <v>1.1100000000000001</v>
      </c>
      <c r="EO5" s="29">
        <v>-1.61</v>
      </c>
      <c r="EP5" s="29">
        <v>6.14</v>
      </c>
      <c r="EQ5" s="29">
        <v>-1.76</v>
      </c>
    </row>
    <row r="6" spans="1:147" ht="132" x14ac:dyDescent="0.25">
      <c r="A6" s="26" t="s">
        <v>562</v>
      </c>
      <c r="B6" s="24"/>
      <c r="C6" s="24"/>
      <c r="D6" s="24" t="s">
        <v>1292</v>
      </c>
      <c r="E6" t="s">
        <v>291</v>
      </c>
      <c r="F6" t="s">
        <v>292</v>
      </c>
      <c r="G6">
        <v>64.06</v>
      </c>
      <c r="H6">
        <v>-0.96</v>
      </c>
      <c r="I6" t="s">
        <v>1269</v>
      </c>
      <c r="J6">
        <v>7174720000</v>
      </c>
      <c r="K6">
        <v>38.46</v>
      </c>
      <c r="L6">
        <v>7.42</v>
      </c>
      <c r="M6" t="s">
        <v>272</v>
      </c>
      <c r="N6" t="s">
        <v>1270</v>
      </c>
      <c r="O6" t="s">
        <v>1271</v>
      </c>
      <c r="P6" t="s">
        <v>1272</v>
      </c>
      <c r="Q6">
        <v>42.16</v>
      </c>
      <c r="R6" t="s">
        <v>1068</v>
      </c>
      <c r="S6">
        <v>117994707</v>
      </c>
      <c r="T6" s="4">
        <v>0.3503</v>
      </c>
      <c r="U6" t="s">
        <v>419</v>
      </c>
      <c r="V6">
        <v>71019112</v>
      </c>
      <c r="W6">
        <v>112000000</v>
      </c>
      <c r="X6">
        <v>1.63</v>
      </c>
      <c r="Y6">
        <v>0.3</v>
      </c>
      <c r="Z6">
        <v>25.88</v>
      </c>
      <c r="AA6" t="s">
        <v>1273</v>
      </c>
      <c r="AB6" t="s">
        <v>1093</v>
      </c>
      <c r="AC6" t="s">
        <v>1274</v>
      </c>
      <c r="AD6" t="s">
        <v>1275</v>
      </c>
      <c r="AE6" t="s">
        <v>1276</v>
      </c>
      <c r="AF6">
        <v>2124886</v>
      </c>
      <c r="AG6" t="s">
        <v>1277</v>
      </c>
      <c r="AH6">
        <v>5138.6899999999996</v>
      </c>
      <c r="AI6" t="s">
        <v>1278</v>
      </c>
      <c r="AJ6" t="s">
        <v>1279</v>
      </c>
      <c r="AK6" t="s">
        <v>1280</v>
      </c>
      <c r="AL6" t="s">
        <v>1281</v>
      </c>
      <c r="AM6" t="s">
        <v>1282</v>
      </c>
      <c r="AN6" t="s">
        <v>496</v>
      </c>
      <c r="AO6">
        <v>0</v>
      </c>
      <c r="AP6" t="s">
        <v>353</v>
      </c>
      <c r="AQ6" t="s">
        <v>25</v>
      </c>
      <c r="AR6" t="s">
        <v>1283</v>
      </c>
      <c r="AS6" t="s">
        <v>25</v>
      </c>
      <c r="AT6" t="s">
        <v>326</v>
      </c>
      <c r="AU6" t="s">
        <v>25</v>
      </c>
      <c r="AV6" t="s">
        <v>1284</v>
      </c>
      <c r="AW6" t="s">
        <v>1285</v>
      </c>
      <c r="AX6" t="s">
        <v>1286</v>
      </c>
      <c r="AY6" t="s">
        <v>401</v>
      </c>
      <c r="AZ6" t="s">
        <v>406</v>
      </c>
      <c r="BA6" t="s">
        <v>407</v>
      </c>
      <c r="BB6" t="s">
        <v>372</v>
      </c>
      <c r="BC6" t="s">
        <v>408</v>
      </c>
      <c r="BD6" t="s">
        <v>402</v>
      </c>
      <c r="BE6" t="s">
        <v>409</v>
      </c>
      <c r="BF6" t="s">
        <v>410</v>
      </c>
      <c r="BG6" t="s">
        <v>411</v>
      </c>
      <c r="BH6" t="s">
        <v>412</v>
      </c>
      <c r="BI6" t="s">
        <v>43</v>
      </c>
      <c r="BJ6" t="s">
        <v>78</v>
      </c>
      <c r="BK6" t="s">
        <v>1254</v>
      </c>
      <c r="BL6" t="s">
        <v>1287</v>
      </c>
      <c r="BM6" t="s">
        <v>414</v>
      </c>
      <c r="BN6" t="s">
        <v>1288</v>
      </c>
      <c r="BO6">
        <v>15.68</v>
      </c>
      <c r="BP6">
        <v>19.46</v>
      </c>
      <c r="BQ6">
        <v>42.68</v>
      </c>
      <c r="BR6">
        <v>18.88</v>
      </c>
      <c r="BS6">
        <v>22.22</v>
      </c>
      <c r="BT6">
        <v>47.4</v>
      </c>
      <c r="BU6" t="s">
        <v>1289</v>
      </c>
      <c r="BV6" t="s">
        <v>318</v>
      </c>
      <c r="BW6">
        <v>49.29</v>
      </c>
      <c r="BX6">
        <v>53.41</v>
      </c>
      <c r="BY6">
        <v>49.61</v>
      </c>
      <c r="BZ6">
        <v>20.61</v>
      </c>
      <c r="CA6">
        <v>22.04</v>
      </c>
      <c r="CB6">
        <v>21.35</v>
      </c>
      <c r="CC6">
        <v>8.0299999999999994</v>
      </c>
      <c r="CD6">
        <v>7.12</v>
      </c>
      <c r="CE6" t="s">
        <v>1290</v>
      </c>
      <c r="CF6" t="s">
        <v>1291</v>
      </c>
      <c r="CG6" s="21">
        <v>0.30113636363636415</v>
      </c>
      <c r="CH6" s="22">
        <v>0.2977866263571578</v>
      </c>
      <c r="CI6" s="21">
        <v>0.37044534087181091</v>
      </c>
      <c r="CJ6" s="21">
        <v>0.42363113164901733</v>
      </c>
      <c r="CK6" s="21">
        <v>0.48290598392486572</v>
      </c>
      <c r="CL6" s="21">
        <v>0.73333334922790527</v>
      </c>
      <c r="CM6" s="21">
        <v>2.7448091506958008</v>
      </c>
      <c r="CN6" s="22">
        <v>0.4716981053352356</v>
      </c>
      <c r="CO6" s="22">
        <v>0.46277722716331482</v>
      </c>
      <c r="CP6" s="22">
        <v>0.52877271175384521</v>
      </c>
      <c r="CQ6" s="22">
        <v>1.287954568862915</v>
      </c>
      <c r="CR6" s="22">
        <v>9.4607419967651367</v>
      </c>
      <c r="CS6">
        <v>106.40680476444247</v>
      </c>
      <c r="CT6">
        <v>1.118864443529634</v>
      </c>
      <c r="CU6">
        <v>0.93662191695285668</v>
      </c>
      <c r="CV6" s="21">
        <v>0.95102499127387996</v>
      </c>
      <c r="CW6" s="22">
        <v>2.4423889219760895</v>
      </c>
      <c r="CX6">
        <v>0.06</v>
      </c>
      <c r="CY6">
        <v>23.70937574981124</v>
      </c>
      <c r="CZ6">
        <v>287131979.84785402</v>
      </c>
      <c r="DA6">
        <v>0.95102499127387996</v>
      </c>
      <c r="DB6">
        <v>4.0365696211493374</v>
      </c>
      <c r="DC6">
        <v>1686511230.8063273</v>
      </c>
      <c r="DD6">
        <v>0.90347374171018591</v>
      </c>
      <c r="DE6">
        <v>0.70764665930435833</v>
      </c>
      <c r="DF6">
        <v>9620224882.700964</v>
      </c>
      <c r="DG6">
        <v>0.83690199232101437</v>
      </c>
      <c r="DH6">
        <v>0.10924478020213307</v>
      </c>
      <c r="DI6">
        <v>62316203917.512894</v>
      </c>
      <c r="DJ6">
        <v>0.76081999301910397</v>
      </c>
      <c r="DK6">
        <v>1.8822952041860942E-3</v>
      </c>
      <c r="DL6">
        <v>3616712184603.1919</v>
      </c>
      <c r="DM6">
        <v>0.66571749389171597</v>
      </c>
      <c r="DN6">
        <v>156000000</v>
      </c>
      <c r="DO6">
        <v>0.95102499127387996</v>
      </c>
      <c r="DP6">
        <v>6807720000</v>
      </c>
      <c r="DQ6">
        <v>559773040</v>
      </c>
      <c r="DR6">
        <v>4993</v>
      </c>
      <c r="DS6">
        <v>-0.64988862763751576</v>
      </c>
      <c r="DT6">
        <v>-2.1446022956189319</v>
      </c>
      <c r="DU6" s="23">
        <v>0.81166666666666665</v>
      </c>
      <c r="DV6">
        <v>1.4716666666666667</v>
      </c>
      <c r="DW6">
        <v>2.2833333333333332</v>
      </c>
      <c r="DX6">
        <v>5.8866749688667497</v>
      </c>
      <c r="DY6">
        <v>0.53926987428335038</v>
      </c>
      <c r="DZ6">
        <v>5.2653551064629456</v>
      </c>
      <c r="EA6">
        <v>13</v>
      </c>
      <c r="EB6">
        <v>5.2646751111181755</v>
      </c>
      <c r="EC6">
        <v>5</v>
      </c>
      <c r="ED6">
        <v>4.9076785714285712E-2</v>
      </c>
      <c r="EE6">
        <v>0.16398839285714287</v>
      </c>
      <c r="EF6" s="20">
        <v>0.1265</v>
      </c>
      <c r="EG6">
        <v>0.1169</v>
      </c>
      <c r="EH6">
        <v>24.29926987428335</v>
      </c>
      <c r="EI6" t="s">
        <v>221</v>
      </c>
      <c r="EJ6">
        <v>1</v>
      </c>
      <c r="EK6">
        <v>1</v>
      </c>
      <c r="EL6" s="28">
        <v>45197</v>
      </c>
      <c r="EM6" s="29">
        <v>1.23E-2</v>
      </c>
      <c r="EN6" s="29">
        <v>1.38</v>
      </c>
      <c r="EO6">
        <v>-0.57999999999999996</v>
      </c>
      <c r="EP6">
        <v>6.89</v>
      </c>
      <c r="EQ6">
        <v>-0.96</v>
      </c>
    </row>
    <row r="7" spans="1:147" ht="144" x14ac:dyDescent="0.25">
      <c r="A7" s="26" t="s">
        <v>563</v>
      </c>
      <c r="B7" s="24"/>
      <c r="C7" s="24"/>
      <c r="D7" s="24" t="s">
        <v>1321</v>
      </c>
      <c r="E7" t="s">
        <v>293</v>
      </c>
      <c r="F7" t="s">
        <v>294</v>
      </c>
      <c r="G7">
        <v>69</v>
      </c>
      <c r="H7">
        <v>-0.49</v>
      </c>
      <c r="I7" t="s">
        <v>1293</v>
      </c>
      <c r="J7">
        <v>7463500000</v>
      </c>
      <c r="K7">
        <v>32.65</v>
      </c>
      <c r="L7">
        <v>2.93</v>
      </c>
      <c r="M7" t="s">
        <v>272</v>
      </c>
      <c r="N7" t="s">
        <v>1294</v>
      </c>
      <c r="O7" t="s">
        <v>1295</v>
      </c>
      <c r="P7" t="s">
        <v>1296</v>
      </c>
      <c r="Q7">
        <v>72.53</v>
      </c>
      <c r="R7" t="s">
        <v>1297</v>
      </c>
      <c r="S7">
        <v>119460768</v>
      </c>
      <c r="T7" s="4">
        <v>0.40510000000000002</v>
      </c>
      <c r="U7" t="s">
        <v>887</v>
      </c>
      <c r="V7">
        <v>68566667</v>
      </c>
      <c r="W7">
        <v>108166667</v>
      </c>
      <c r="X7">
        <v>1.33</v>
      </c>
      <c r="Y7">
        <v>0.13</v>
      </c>
      <c r="Z7">
        <v>28.19</v>
      </c>
      <c r="AA7" t="s">
        <v>1147</v>
      </c>
      <c r="AB7" t="s">
        <v>874</v>
      </c>
      <c r="AC7" t="s">
        <v>1298</v>
      </c>
      <c r="AD7" t="s">
        <v>1299</v>
      </c>
      <c r="AE7" t="s">
        <v>1300</v>
      </c>
      <c r="AF7">
        <v>-13064088</v>
      </c>
      <c r="AG7" t="s">
        <v>1301</v>
      </c>
      <c r="AH7" t="s">
        <v>1302</v>
      </c>
      <c r="AI7" t="s">
        <v>1303</v>
      </c>
      <c r="AJ7" t="s">
        <v>1304</v>
      </c>
      <c r="AK7" t="s">
        <v>1305</v>
      </c>
      <c r="AL7" t="s">
        <v>1306</v>
      </c>
      <c r="AM7" t="s">
        <v>1307</v>
      </c>
      <c r="AN7" t="s">
        <v>1308</v>
      </c>
      <c r="AO7" t="s">
        <v>1309</v>
      </c>
      <c r="AP7" t="s">
        <v>1310</v>
      </c>
      <c r="AQ7" t="s">
        <v>1311</v>
      </c>
      <c r="AR7" t="s">
        <v>1312</v>
      </c>
      <c r="AS7" t="s">
        <v>25</v>
      </c>
      <c r="AT7" t="s">
        <v>532</v>
      </c>
      <c r="AU7" t="s">
        <v>25</v>
      </c>
      <c r="AV7" t="s">
        <v>1313</v>
      </c>
      <c r="AW7" t="s">
        <v>1314</v>
      </c>
      <c r="AX7" t="s">
        <v>48</v>
      </c>
      <c r="AY7" t="s">
        <v>415</v>
      </c>
      <c r="AZ7" t="s">
        <v>418</v>
      </c>
      <c r="BA7" t="s">
        <v>419</v>
      </c>
      <c r="BB7" t="s">
        <v>420</v>
      </c>
      <c r="BC7" t="s">
        <v>421</v>
      </c>
      <c r="BD7" t="s">
        <v>50</v>
      </c>
      <c r="BE7" t="s">
        <v>422</v>
      </c>
      <c r="BF7" t="s">
        <v>423</v>
      </c>
      <c r="BG7" t="s">
        <v>424</v>
      </c>
      <c r="BH7" t="s">
        <v>425</v>
      </c>
      <c r="BI7" t="s">
        <v>319</v>
      </c>
      <c r="BJ7" t="s">
        <v>426</v>
      </c>
      <c r="BK7" t="s">
        <v>1315</v>
      </c>
      <c r="BL7" t="s">
        <v>1316</v>
      </c>
      <c r="BM7" t="s">
        <v>427</v>
      </c>
      <c r="BN7" t="s">
        <v>1317</v>
      </c>
      <c r="BO7">
        <v>6.01</v>
      </c>
      <c r="BP7">
        <v>7.27</v>
      </c>
      <c r="BQ7">
        <v>14.83</v>
      </c>
      <c r="BR7">
        <v>8.15</v>
      </c>
      <c r="BS7">
        <v>27.94</v>
      </c>
      <c r="BT7">
        <v>18.8</v>
      </c>
      <c r="BU7" t="s">
        <v>1318</v>
      </c>
      <c r="BV7" t="s">
        <v>318</v>
      </c>
      <c r="BW7">
        <v>65.69</v>
      </c>
      <c r="BX7">
        <v>67.260000000000005</v>
      </c>
      <c r="BY7">
        <v>65.81</v>
      </c>
      <c r="BZ7">
        <v>21.82</v>
      </c>
      <c r="CA7">
        <v>29.65</v>
      </c>
      <c r="CB7">
        <v>27.6</v>
      </c>
      <c r="CC7">
        <v>8.6999999999999993</v>
      </c>
      <c r="CD7">
        <v>9.26</v>
      </c>
      <c r="CE7" t="s">
        <v>1319</v>
      </c>
      <c r="CF7" t="s">
        <v>1320</v>
      </c>
      <c r="CG7" s="21">
        <v>0.75102548174838901</v>
      </c>
      <c r="CH7" s="22">
        <v>0.28859726834780114</v>
      </c>
      <c r="CI7" s="21">
        <v>0.62299466133117676</v>
      </c>
      <c r="CJ7" s="21">
        <v>0.80676329135894775</v>
      </c>
      <c r="CK7" s="21">
        <v>0.32692307233810425</v>
      </c>
      <c r="CL7" s="21">
        <v>0.89961057901382446</v>
      </c>
      <c r="CM7" s="21">
        <v>2.2096495628356934</v>
      </c>
      <c r="CN7" s="22">
        <v>0.74774771928787231</v>
      </c>
      <c r="CO7" s="22">
        <v>0.93367326259613037</v>
      </c>
      <c r="CP7" s="22">
        <v>0.29293727874755859</v>
      </c>
      <c r="CQ7" s="22">
        <v>3.0209298133850098</v>
      </c>
      <c r="CR7" s="22">
        <v>2.5502779483795166</v>
      </c>
      <c r="CS7">
        <v>109.03024413902483</v>
      </c>
      <c r="CT7">
        <v>1.1203407562876946</v>
      </c>
      <c r="CU7">
        <v>1.1594202898550725</v>
      </c>
      <c r="CV7" s="21">
        <v>0.97318823337554927</v>
      </c>
      <c r="CW7" s="22">
        <v>1.5091132044792175</v>
      </c>
      <c r="CX7">
        <v>0.06</v>
      </c>
      <c r="CY7">
        <v>15.937444176722058</v>
      </c>
      <c r="CZ7">
        <v>361130676.67439294</v>
      </c>
      <c r="DA7">
        <v>0.97318823337554927</v>
      </c>
      <c r="DB7">
        <v>2.6735075709690168</v>
      </c>
      <c r="DC7">
        <v>2152789863.959095</v>
      </c>
      <c r="DD7">
        <v>0.92452882170677175</v>
      </c>
      <c r="DE7">
        <v>0.4569401123996133</v>
      </c>
      <c r="DF7">
        <v>12595742513.772951</v>
      </c>
      <c r="DG7">
        <v>0.85640564537048336</v>
      </c>
      <c r="DH7">
        <v>6.816031443780661E-2</v>
      </c>
      <c r="DI7">
        <v>84440631582.644012</v>
      </c>
      <c r="DJ7">
        <v>0.77855058670043942</v>
      </c>
      <c r="DK7">
        <v>1.0802288276897428E-3</v>
      </c>
      <c r="DL7">
        <v>5328037775393.5127</v>
      </c>
      <c r="DM7">
        <v>0.68123176336288449</v>
      </c>
      <c r="DN7">
        <v>194000000</v>
      </c>
      <c r="DO7">
        <v>0.97318823337554927</v>
      </c>
      <c r="DP7">
        <v>5755500000</v>
      </c>
      <c r="DQ7">
        <v>1040696400</v>
      </c>
      <c r="DR7">
        <v>2540</v>
      </c>
      <c r="DS7">
        <v>-0.22216275162716026</v>
      </c>
      <c r="DT7">
        <v>-1.2205159361314164</v>
      </c>
      <c r="DU7" s="23">
        <v>1.1600000000000004</v>
      </c>
      <c r="DV7">
        <v>2.0976666666666666</v>
      </c>
      <c r="DW7">
        <v>3.2576666666666672</v>
      </c>
      <c r="DX7">
        <v>9.9395248380129591</v>
      </c>
      <c r="DY7">
        <v>0.44551668890738849</v>
      </c>
      <c r="DZ7">
        <v>9.2212737789950623</v>
      </c>
      <c r="EA7">
        <v>2</v>
      </c>
      <c r="EB7">
        <v>9.2211865431271356</v>
      </c>
      <c r="EC7">
        <v>9</v>
      </c>
      <c r="ED7">
        <v>0.1040995374295854</v>
      </c>
      <c r="EE7">
        <v>0.4420049293004471</v>
      </c>
      <c r="EF7" s="20">
        <v>-1.0621</v>
      </c>
      <c r="EG7">
        <v>-1.0571999999999999</v>
      </c>
      <c r="EH7">
        <v>21.235516688907389</v>
      </c>
      <c r="EI7" t="s">
        <v>504</v>
      </c>
      <c r="EJ7">
        <v>1</v>
      </c>
      <c r="EK7">
        <v>1</v>
      </c>
      <c r="EL7" s="28">
        <v>45197</v>
      </c>
      <c r="EM7" s="29">
        <v>1.3899999999999999E-2</v>
      </c>
      <c r="EN7" s="29">
        <v>1.31</v>
      </c>
      <c r="EO7" s="29">
        <v>1.5</v>
      </c>
      <c r="EP7" s="29">
        <v>4.7699999999999996</v>
      </c>
      <c r="EQ7" s="29">
        <v>-0.49</v>
      </c>
    </row>
    <row r="8" spans="1:147" ht="144" x14ac:dyDescent="0.25">
      <c r="A8" s="26" t="s">
        <v>565</v>
      </c>
      <c r="B8" s="24"/>
      <c r="C8" s="24"/>
      <c r="D8" s="24" t="s">
        <v>1374</v>
      </c>
      <c r="E8" t="s">
        <v>297</v>
      </c>
      <c r="F8" t="s">
        <v>298</v>
      </c>
      <c r="G8">
        <v>39.81</v>
      </c>
      <c r="H8">
        <v>0.71</v>
      </c>
      <c r="I8" t="s">
        <v>1349</v>
      </c>
      <c r="J8">
        <v>8486847100</v>
      </c>
      <c r="K8">
        <v>62.35</v>
      </c>
      <c r="L8">
        <v>4.4400000000000004</v>
      </c>
      <c r="M8" t="s">
        <v>272</v>
      </c>
      <c r="N8" t="s">
        <v>338</v>
      </c>
      <c r="O8" t="s">
        <v>1350</v>
      </c>
      <c r="P8" t="s">
        <v>1351</v>
      </c>
      <c r="Q8">
        <v>49.38</v>
      </c>
      <c r="R8" t="s">
        <v>1091</v>
      </c>
      <c r="S8">
        <v>41852471</v>
      </c>
      <c r="T8" s="4">
        <v>0.20150000000000001</v>
      </c>
      <c r="U8" t="s">
        <v>71</v>
      </c>
      <c r="V8">
        <v>146373960</v>
      </c>
      <c r="W8">
        <v>213183800</v>
      </c>
      <c r="X8">
        <v>1.36</v>
      </c>
      <c r="Y8">
        <v>0.16</v>
      </c>
      <c r="Z8">
        <v>9.94</v>
      </c>
      <c r="AA8" t="s">
        <v>1080</v>
      </c>
      <c r="AB8" t="s">
        <v>58</v>
      </c>
      <c r="AC8" t="s">
        <v>1352</v>
      </c>
      <c r="AD8" t="s">
        <v>1353</v>
      </c>
      <c r="AE8" t="s">
        <v>1354</v>
      </c>
      <c r="AF8">
        <v>3781626</v>
      </c>
      <c r="AG8" t="s">
        <v>1355</v>
      </c>
      <c r="AH8" t="s">
        <v>1356</v>
      </c>
      <c r="AI8" t="s">
        <v>1357</v>
      </c>
      <c r="AJ8" t="s">
        <v>1358</v>
      </c>
      <c r="AK8" t="s">
        <v>1359</v>
      </c>
      <c r="AL8" t="s">
        <v>1360</v>
      </c>
      <c r="AM8" t="s">
        <v>1361</v>
      </c>
      <c r="AN8" t="s">
        <v>1362</v>
      </c>
      <c r="AO8" t="s">
        <v>49</v>
      </c>
      <c r="AP8" t="s">
        <v>1363</v>
      </c>
      <c r="AQ8" t="s">
        <v>1364</v>
      </c>
      <c r="AR8" t="s">
        <v>1365</v>
      </c>
      <c r="AS8" t="s">
        <v>25</v>
      </c>
      <c r="AT8" t="s">
        <v>1366</v>
      </c>
      <c r="AU8" t="s">
        <v>25</v>
      </c>
      <c r="AV8" t="s">
        <v>853</v>
      </c>
      <c r="AW8" t="s">
        <v>1367</v>
      </c>
      <c r="AX8" t="s">
        <v>1368</v>
      </c>
      <c r="AY8" t="s">
        <v>440</v>
      </c>
      <c r="AZ8" t="s">
        <v>443</v>
      </c>
      <c r="BA8" t="s">
        <v>444</v>
      </c>
      <c r="BB8" t="s">
        <v>445</v>
      </c>
      <c r="BC8" t="s">
        <v>446</v>
      </c>
      <c r="BD8" t="s">
        <v>441</v>
      </c>
      <c r="BE8" t="s">
        <v>447</v>
      </c>
      <c r="BF8" t="s">
        <v>448</v>
      </c>
      <c r="BG8" t="s">
        <v>449</v>
      </c>
      <c r="BH8" t="s">
        <v>450</v>
      </c>
      <c r="BI8" t="s">
        <v>888</v>
      </c>
      <c r="BJ8" t="s">
        <v>437</v>
      </c>
      <c r="BK8" t="s">
        <v>391</v>
      </c>
      <c r="BL8" t="s">
        <v>1369</v>
      </c>
      <c r="BM8" t="s">
        <v>452</v>
      </c>
      <c r="BN8" t="s">
        <v>1370</v>
      </c>
      <c r="BO8">
        <v>5.95</v>
      </c>
      <c r="BP8">
        <v>7</v>
      </c>
      <c r="BQ8">
        <v>11.35</v>
      </c>
      <c r="BR8">
        <v>6.94</v>
      </c>
      <c r="BS8">
        <v>7.97</v>
      </c>
      <c r="BT8">
        <v>13.73</v>
      </c>
      <c r="BU8" t="s">
        <v>1371</v>
      </c>
      <c r="BV8" t="s">
        <v>318</v>
      </c>
      <c r="BW8">
        <v>55.93</v>
      </c>
      <c r="BX8">
        <v>55.76</v>
      </c>
      <c r="BY8">
        <v>58.16</v>
      </c>
      <c r="BZ8">
        <v>9.08</v>
      </c>
      <c r="CA8">
        <v>16.899999999999999</v>
      </c>
      <c r="CB8">
        <v>21.17</v>
      </c>
      <c r="CC8">
        <v>22.04</v>
      </c>
      <c r="CD8">
        <v>27.51</v>
      </c>
      <c r="CE8" t="s">
        <v>1372</v>
      </c>
      <c r="CF8" t="s">
        <v>1373</v>
      </c>
      <c r="CG8" s="21">
        <v>0.44029850746268639</v>
      </c>
      <c r="CH8" s="22">
        <v>0.11200720364984926</v>
      </c>
      <c r="CI8" s="21">
        <v>1.0869565419852734E-2</v>
      </c>
      <c r="CJ8" s="21">
        <v>0.13580246269702911</v>
      </c>
      <c r="CK8" s="21">
        <v>0.52419352531433105</v>
      </c>
      <c r="CL8" s="21">
        <v>0.453125</v>
      </c>
      <c r="CM8" s="21">
        <v>0.117903932929039</v>
      </c>
      <c r="CN8" s="22">
        <v>0.12173912674188614</v>
      </c>
      <c r="CO8" s="22">
        <v>-6.5040647983551025E-2</v>
      </c>
      <c r="CP8" s="22">
        <v>1.5303176641464233</v>
      </c>
      <c r="CQ8" s="22">
        <v>0.1070888489484787</v>
      </c>
      <c r="CR8" s="22">
        <v>4.720088467001915E-2</v>
      </c>
      <c r="CS8">
        <v>101.5480414527363</v>
      </c>
      <c r="CT8">
        <v>4.0884327359546306</v>
      </c>
      <c r="CU8">
        <v>0.50238633509168551</v>
      </c>
      <c r="CV8" s="21">
        <v>0.24837889727205037</v>
      </c>
      <c r="CW8" s="22">
        <v>0.34826117530465128</v>
      </c>
      <c r="CX8">
        <v>0.06</v>
      </c>
      <c r="CY8">
        <v>47.77245401030504</v>
      </c>
      <c r="CZ8">
        <v>151925356.36612687</v>
      </c>
      <c r="DA8">
        <v>0.24837889727205037</v>
      </c>
      <c r="DB8">
        <v>13.686486449285134</v>
      </c>
      <c r="DC8">
        <v>530292937.26287866</v>
      </c>
      <c r="DD8">
        <v>0.23595995240844783</v>
      </c>
      <c r="DE8">
        <v>5.5965431384586877</v>
      </c>
      <c r="DF8">
        <v>1296844662.9357784</v>
      </c>
      <c r="DG8">
        <v>0.21857342959940432</v>
      </c>
      <c r="DH8">
        <v>2.6898786204599872</v>
      </c>
      <c r="DI8">
        <v>2698206173.6149492</v>
      </c>
      <c r="DJ8">
        <v>0.1987031178176403</v>
      </c>
      <c r="DK8">
        <v>0.81507161518258531</v>
      </c>
      <c r="DL8">
        <v>8904551409.7238674</v>
      </c>
      <c r="DM8">
        <v>0.17386522809043525</v>
      </c>
      <c r="DN8">
        <v>129000000</v>
      </c>
      <c r="DO8">
        <v>0.24837889727205037</v>
      </c>
      <c r="DP8">
        <v>7257847100</v>
      </c>
      <c r="DQ8">
        <v>337874510</v>
      </c>
      <c r="DR8">
        <v>4577</v>
      </c>
      <c r="DS8">
        <v>0.19191961019063603</v>
      </c>
      <c r="DT8">
        <v>-0.23625397165480203</v>
      </c>
      <c r="DU8" s="23">
        <v>-0.19000000000000003</v>
      </c>
      <c r="DV8">
        <v>0.48666666666666664</v>
      </c>
      <c r="DW8">
        <v>0.29666666666666663</v>
      </c>
      <c r="DX8">
        <v>9.8011632133769542</v>
      </c>
      <c r="DY8">
        <v>0.6565554744525548</v>
      </c>
      <c r="DZ8">
        <v>9.3177056581946314</v>
      </c>
      <c r="EA8">
        <v>1471</v>
      </c>
      <c r="EB8">
        <v>9.2255816638708978</v>
      </c>
      <c r="EC8">
        <v>9</v>
      </c>
      <c r="ED8">
        <v>0.25484159678174423</v>
      </c>
      <c r="EE8">
        <v>0.64263794903740346</v>
      </c>
      <c r="EF8" s="20">
        <v>1.0077</v>
      </c>
      <c r="EG8">
        <v>1.0147999999999999</v>
      </c>
      <c r="EH8">
        <v>26.396555474452555</v>
      </c>
      <c r="EI8" t="s">
        <v>222</v>
      </c>
      <c r="EJ8">
        <v>1</v>
      </c>
      <c r="EK8">
        <v>1</v>
      </c>
      <c r="EL8" s="28">
        <v>45197</v>
      </c>
      <c r="EM8" s="29">
        <v>5.4300000000000001E-2</v>
      </c>
      <c r="EN8" s="29">
        <v>5.41</v>
      </c>
      <c r="EO8" s="29">
        <v>1.21</v>
      </c>
      <c r="EP8" s="29">
        <v>7.74</v>
      </c>
      <c r="EQ8" s="29">
        <v>0.71</v>
      </c>
    </row>
    <row r="9" spans="1:147" ht="120" x14ac:dyDescent="0.25">
      <c r="A9" s="26" t="s">
        <v>565</v>
      </c>
      <c r="B9" s="24"/>
      <c r="C9" s="24"/>
      <c r="D9" s="24" t="s">
        <v>1399</v>
      </c>
      <c r="E9" t="s">
        <v>301</v>
      </c>
      <c r="F9" t="s">
        <v>302</v>
      </c>
      <c r="G9">
        <v>15.8</v>
      </c>
      <c r="H9">
        <v>1.61</v>
      </c>
      <c r="I9" t="s">
        <v>1375</v>
      </c>
      <c r="J9">
        <v>6330744000</v>
      </c>
      <c r="K9">
        <v>166</v>
      </c>
      <c r="L9">
        <v>4.7699999999999996</v>
      </c>
      <c r="M9" t="s">
        <v>272</v>
      </c>
      <c r="N9" t="s">
        <v>154</v>
      </c>
      <c r="O9" t="s">
        <v>1376</v>
      </c>
      <c r="P9" t="s">
        <v>419</v>
      </c>
      <c r="Q9">
        <v>12.21</v>
      </c>
      <c r="R9" t="s">
        <v>1309</v>
      </c>
      <c r="S9">
        <v>5821041</v>
      </c>
      <c r="T9" s="4">
        <v>1.825</v>
      </c>
      <c r="U9" t="s">
        <v>1377</v>
      </c>
      <c r="V9">
        <v>400680000</v>
      </c>
      <c r="W9">
        <v>400680000</v>
      </c>
      <c r="X9">
        <v>1.25</v>
      </c>
      <c r="Y9">
        <v>0.09</v>
      </c>
      <c r="Z9">
        <v>3.82</v>
      </c>
      <c r="AA9" t="s">
        <v>551</v>
      </c>
      <c r="AB9" t="s">
        <v>1378</v>
      </c>
      <c r="AC9" t="s">
        <v>1379</v>
      </c>
      <c r="AD9" t="s">
        <v>1380</v>
      </c>
      <c r="AE9" t="s">
        <v>1381</v>
      </c>
      <c r="AF9">
        <v>-1111573</v>
      </c>
      <c r="AG9" t="s">
        <v>1382</v>
      </c>
      <c r="AH9" t="s">
        <v>1383</v>
      </c>
      <c r="AI9" t="s">
        <v>1384</v>
      </c>
      <c r="AJ9" t="s">
        <v>1310</v>
      </c>
      <c r="AK9" t="s">
        <v>1385</v>
      </c>
      <c r="AL9" t="s">
        <v>25</v>
      </c>
      <c r="AM9" t="s">
        <v>1386</v>
      </c>
      <c r="AN9" t="s">
        <v>689</v>
      </c>
      <c r="AO9">
        <v>0</v>
      </c>
      <c r="AP9" t="s">
        <v>25</v>
      </c>
      <c r="AQ9" t="s">
        <v>1387</v>
      </c>
      <c r="AR9" t="s">
        <v>1388</v>
      </c>
      <c r="AS9" t="s">
        <v>25</v>
      </c>
      <c r="AT9" t="s">
        <v>1389</v>
      </c>
      <c r="AU9" t="s">
        <v>485</v>
      </c>
      <c r="AV9" t="s">
        <v>1390</v>
      </c>
      <c r="AW9" t="s">
        <v>1391</v>
      </c>
      <c r="AX9" t="s">
        <v>1392</v>
      </c>
      <c r="AY9" t="s">
        <v>470</v>
      </c>
      <c r="AZ9" t="s">
        <v>473</v>
      </c>
      <c r="BA9" t="s">
        <v>474</v>
      </c>
      <c r="BB9" t="s">
        <v>42</v>
      </c>
      <c r="BC9" t="s">
        <v>475</v>
      </c>
      <c r="BD9" t="s">
        <v>471</v>
      </c>
      <c r="BE9" t="s">
        <v>476</v>
      </c>
      <c r="BF9" t="s">
        <v>477</v>
      </c>
      <c r="BG9" t="s">
        <v>478</v>
      </c>
      <c r="BH9" t="s">
        <v>479</v>
      </c>
      <c r="BI9" t="s">
        <v>1393</v>
      </c>
      <c r="BJ9" t="s">
        <v>480</v>
      </c>
      <c r="BK9" t="s">
        <v>1394</v>
      </c>
      <c r="BL9" t="s">
        <v>1395</v>
      </c>
      <c r="BM9" t="s">
        <v>481</v>
      </c>
      <c r="BN9" t="s">
        <v>1396</v>
      </c>
      <c r="BO9">
        <v>2.25</v>
      </c>
      <c r="BP9">
        <v>4.58</v>
      </c>
      <c r="BQ9">
        <v>5.9</v>
      </c>
      <c r="BR9">
        <v>1.91</v>
      </c>
      <c r="BS9">
        <v>4.8899999999999997</v>
      </c>
      <c r="BT9">
        <v>6.26</v>
      </c>
      <c r="BU9" t="s">
        <v>374</v>
      </c>
      <c r="BV9" t="s">
        <v>318</v>
      </c>
      <c r="BW9">
        <v>38.71</v>
      </c>
      <c r="BX9">
        <v>47.02</v>
      </c>
      <c r="BY9">
        <v>79.36</v>
      </c>
      <c r="BZ9">
        <v>-13.36</v>
      </c>
      <c r="CA9">
        <v>20.38</v>
      </c>
      <c r="CB9">
        <v>26.28</v>
      </c>
      <c r="CC9">
        <v>8.2899999999999991</v>
      </c>
      <c r="CD9">
        <v>7.78</v>
      </c>
      <c r="CE9" t="s">
        <v>1397</v>
      </c>
      <c r="CF9" t="s">
        <v>1398</v>
      </c>
      <c r="CG9" s="21">
        <v>0.29899404966776433</v>
      </c>
      <c r="CH9" s="22">
        <v>501.13336633661828</v>
      </c>
      <c r="CI9" s="21">
        <v>6.1093248426914215E-2</v>
      </c>
      <c r="CJ9" s="21">
        <v>0.27459016442298889</v>
      </c>
      <c r="CK9" s="21">
        <v>-7.5757578015327454E-2</v>
      </c>
      <c r="CL9" s="21">
        <v>0.74834436178207397</v>
      </c>
      <c r="CM9" s="21">
        <v>1.837348461151123</v>
      </c>
      <c r="CN9" s="22">
        <v>-0.60138076543807983</v>
      </c>
      <c r="CO9" s="22">
        <v>-9.9870050325989723E-3</v>
      </c>
      <c r="CP9" s="22">
        <v>-0.46647334098815918</v>
      </c>
      <c r="CQ9" s="22">
        <v>1.6690095663070679</v>
      </c>
      <c r="CR9" s="22">
        <v>2.9479694366455078</v>
      </c>
      <c r="CS9">
        <v>128.95638405066936</v>
      </c>
      <c r="CT9">
        <v>2.2658760635170343</v>
      </c>
      <c r="CU9">
        <v>0</v>
      </c>
      <c r="CV9" s="21">
        <v>0.56912373155355456</v>
      </c>
      <c r="CW9" s="22">
        <v>0.70782757829874754</v>
      </c>
      <c r="CX9">
        <v>0.06</v>
      </c>
      <c r="CY9">
        <v>142.23383375228499</v>
      </c>
      <c r="CZ9">
        <v>37401396.416445382</v>
      </c>
      <c r="DA9">
        <v>0.56912373155355456</v>
      </c>
      <c r="DB9">
        <v>31.725955958266841</v>
      </c>
      <c r="DC9">
        <v>167677973.42332983</v>
      </c>
      <c r="DD9">
        <v>0.54066754497587677</v>
      </c>
      <c r="DE9">
        <v>8.7639019741207562</v>
      </c>
      <c r="DF9">
        <v>607006332.99058628</v>
      </c>
      <c r="DG9">
        <v>0.50082888376712797</v>
      </c>
      <c r="DH9">
        <v>2.5090607923167809</v>
      </c>
      <c r="DI9">
        <v>2120213275.1386745</v>
      </c>
      <c r="DJ9">
        <v>0.45529898524284368</v>
      </c>
      <c r="DK9">
        <v>0.20064078527043119</v>
      </c>
      <c r="DL9">
        <v>26513771827.746033</v>
      </c>
      <c r="DM9">
        <v>0.39838661208748816</v>
      </c>
      <c r="DN9">
        <v>25266000</v>
      </c>
      <c r="DO9">
        <v>0.56912373155355456</v>
      </c>
      <c r="DP9">
        <v>5319744000</v>
      </c>
      <c r="DQ9">
        <v>1064259130</v>
      </c>
      <c r="DR9">
        <v>4707</v>
      </c>
      <c r="DS9">
        <v>-0.27012968188579023</v>
      </c>
      <c r="DT9">
        <v>500.42553875831953</v>
      </c>
      <c r="DU9" s="23">
        <v>0.48166666666666669</v>
      </c>
      <c r="DV9">
        <v>0.68333333333333324</v>
      </c>
      <c r="DW9">
        <v>1.165</v>
      </c>
      <c r="DX9">
        <v>5.9384800965018094</v>
      </c>
      <c r="DY9">
        <v>0.69200899886462985</v>
      </c>
      <c r="DZ9">
        <v>5.2458902305388202</v>
      </c>
      <c r="EA9">
        <v>228</v>
      </c>
      <c r="EB9">
        <v>5.2348389842224687</v>
      </c>
      <c r="EC9">
        <v>5</v>
      </c>
      <c r="ED9">
        <v>5.5981830887491264E-2</v>
      </c>
      <c r="EE9">
        <v>0.21366377158829988</v>
      </c>
      <c r="EF9" s="20">
        <v>4.53E-2</v>
      </c>
      <c r="EG9">
        <v>6.1399999999999996E-2</v>
      </c>
      <c r="EH9">
        <v>43.26200899886463</v>
      </c>
      <c r="EI9" t="s">
        <v>221</v>
      </c>
      <c r="EJ9">
        <v>1</v>
      </c>
      <c r="EK9">
        <v>1</v>
      </c>
      <c r="EL9" s="28">
        <v>45197</v>
      </c>
      <c r="EM9" s="29">
        <v>3.5000000000000003E-2</v>
      </c>
      <c r="EN9" s="29">
        <v>0.66</v>
      </c>
      <c r="EO9" s="29">
        <v>-2.11</v>
      </c>
      <c r="EP9" s="29">
        <v>4.5</v>
      </c>
      <c r="EQ9" s="29">
        <v>1.61</v>
      </c>
    </row>
    <row r="10" spans="1:147" ht="132" x14ac:dyDescent="0.25">
      <c r="A10" s="26" t="s">
        <v>568</v>
      </c>
      <c r="D10" s="24" t="s">
        <v>1427</v>
      </c>
      <c r="E10" s="4" t="s">
        <v>307</v>
      </c>
      <c r="F10" t="s">
        <v>308</v>
      </c>
      <c r="G10">
        <v>46.83</v>
      </c>
      <c r="H10">
        <v>2.12</v>
      </c>
      <c r="I10" t="s">
        <v>1400</v>
      </c>
      <c r="J10">
        <v>5039969400</v>
      </c>
      <c r="K10">
        <v>63.36</v>
      </c>
      <c r="L10">
        <v>4.53</v>
      </c>
      <c r="M10" t="s">
        <v>272</v>
      </c>
      <c r="N10" t="s">
        <v>72</v>
      </c>
      <c r="O10" t="s">
        <v>1401</v>
      </c>
      <c r="P10" t="s">
        <v>1152</v>
      </c>
      <c r="Q10" s="4">
        <v>15.44</v>
      </c>
      <c r="R10" t="s">
        <v>1402</v>
      </c>
      <c r="S10">
        <v>32888193</v>
      </c>
      <c r="T10">
        <v>0.60260000000000002</v>
      </c>
      <c r="U10" t="s">
        <v>1403</v>
      </c>
      <c r="V10">
        <v>24255000</v>
      </c>
      <c r="W10">
        <v>107622666</v>
      </c>
      <c r="X10">
        <v>1.23</v>
      </c>
      <c r="Y10">
        <v>0.18</v>
      </c>
      <c r="Z10">
        <v>13.84</v>
      </c>
      <c r="AA10" t="s">
        <v>485</v>
      </c>
      <c r="AB10" t="s">
        <v>1404</v>
      </c>
      <c r="AC10" t="s">
        <v>1405</v>
      </c>
      <c r="AD10" t="s">
        <v>1406</v>
      </c>
      <c r="AE10" t="s">
        <v>1407</v>
      </c>
      <c r="AF10">
        <v>-3189802</v>
      </c>
      <c r="AG10" t="s">
        <v>1408</v>
      </c>
      <c r="AH10">
        <v>6750.02</v>
      </c>
      <c r="AI10" t="s">
        <v>1409</v>
      </c>
      <c r="AJ10" t="s">
        <v>1404</v>
      </c>
      <c r="AK10" t="s">
        <v>1410</v>
      </c>
      <c r="AL10" t="s">
        <v>1411</v>
      </c>
      <c r="AM10" t="s">
        <v>1412</v>
      </c>
      <c r="AN10" t="s">
        <v>1413</v>
      </c>
      <c r="AO10" t="s">
        <v>430</v>
      </c>
      <c r="AP10" t="s">
        <v>1414</v>
      </c>
      <c r="AQ10" t="s">
        <v>1415</v>
      </c>
      <c r="AR10" t="s">
        <v>1416</v>
      </c>
      <c r="AS10" t="s">
        <v>1417</v>
      </c>
      <c r="AT10" t="s">
        <v>430</v>
      </c>
      <c r="AU10" t="s">
        <v>25</v>
      </c>
      <c r="AV10" t="s">
        <v>1418</v>
      </c>
      <c r="AW10" t="s">
        <v>1419</v>
      </c>
      <c r="AX10" t="s">
        <v>1420</v>
      </c>
      <c r="AY10" t="s">
        <v>505</v>
      </c>
      <c r="AZ10" t="s">
        <v>331</v>
      </c>
      <c r="BA10" t="s">
        <v>509</v>
      </c>
      <c r="BB10" t="s">
        <v>442</v>
      </c>
      <c r="BC10" t="s">
        <v>510</v>
      </c>
      <c r="BD10" t="s">
        <v>506</v>
      </c>
      <c r="BE10" t="s">
        <v>511</v>
      </c>
      <c r="BF10" t="s">
        <v>512</v>
      </c>
      <c r="BG10" t="s">
        <v>513</v>
      </c>
      <c r="BH10" t="s">
        <v>514</v>
      </c>
      <c r="BI10" t="s">
        <v>497</v>
      </c>
      <c r="BJ10" t="s">
        <v>515</v>
      </c>
      <c r="BK10" t="s">
        <v>1421</v>
      </c>
      <c r="BL10" t="s">
        <v>1422</v>
      </c>
      <c r="BM10" t="s">
        <v>517</v>
      </c>
      <c r="BN10" t="s">
        <v>1423</v>
      </c>
      <c r="BO10">
        <v>9.11</v>
      </c>
      <c r="BP10">
        <v>22.6</v>
      </c>
      <c r="BQ10">
        <v>19.34</v>
      </c>
      <c r="BR10">
        <v>13.38</v>
      </c>
      <c r="BS10">
        <v>24.06</v>
      </c>
      <c r="BT10" t="s">
        <v>25</v>
      </c>
      <c r="BU10" t="s">
        <v>1424</v>
      </c>
      <c r="BV10" t="s">
        <v>318</v>
      </c>
      <c r="BW10">
        <v>35.81</v>
      </c>
      <c r="BX10">
        <v>38.69</v>
      </c>
      <c r="BY10">
        <v>42.57</v>
      </c>
      <c r="BZ10">
        <v>12.58</v>
      </c>
      <c r="CA10">
        <v>16.420000000000002</v>
      </c>
      <c r="CB10">
        <v>17.21</v>
      </c>
      <c r="CC10">
        <v>11.31</v>
      </c>
      <c r="CD10" s="21">
        <v>-2.09</v>
      </c>
      <c r="CE10" s="22" t="s">
        <v>1425</v>
      </c>
      <c r="CF10" s="21" t="s">
        <v>1426</v>
      </c>
      <c r="CG10" s="21">
        <v>0.14705882352941177</v>
      </c>
      <c r="CH10" s="21">
        <v>0.7383452924978039</v>
      </c>
      <c r="CI10" s="21">
        <v>6.9196425378322601E-2</v>
      </c>
      <c r="CJ10" s="21">
        <v>0.58303886651992798</v>
      </c>
      <c r="CK10" s="22">
        <v>0.15510204434394836</v>
      </c>
      <c r="CL10" s="22">
        <v>0.94444441795349121</v>
      </c>
      <c r="CM10" s="22">
        <v>-3.8167938590049744E-2</v>
      </c>
      <c r="CN10" s="22">
        <v>-8.6993634700775146E-2</v>
      </c>
      <c r="CO10" s="22">
        <v>0.51107996702194214</v>
      </c>
      <c r="CP10">
        <v>3.0403325334191322E-2</v>
      </c>
      <c r="CQ10">
        <v>4.1468420028686523</v>
      </c>
      <c r="CR10">
        <v>-0.24566607177257538</v>
      </c>
      <c r="CS10" s="21">
        <v>117.18528990165909</v>
      </c>
      <c r="CT10" s="22">
        <v>3.4192444305265606</v>
      </c>
      <c r="CU10">
        <v>1.0676916506512919</v>
      </c>
      <c r="CV10">
        <v>0.34272276312112809</v>
      </c>
      <c r="CW10">
        <v>0.87113311775028701</v>
      </c>
      <c r="CX10">
        <v>0.06</v>
      </c>
      <c r="CY10">
        <v>49.145852257551525</v>
      </c>
      <c r="CZ10">
        <v>85093028.361460924</v>
      </c>
      <c r="DA10">
        <v>0.34272276312112809</v>
      </c>
      <c r="DB10">
        <v>13.050724777945296</v>
      </c>
      <c r="DC10">
        <v>320439628.53827101</v>
      </c>
      <c r="DD10">
        <v>0.32558662496507168</v>
      </c>
      <c r="DE10">
        <v>4.759470850284826</v>
      </c>
      <c r="DF10">
        <v>878662677.3330766</v>
      </c>
      <c r="DG10">
        <v>0.3015960315465927</v>
      </c>
      <c r="DH10">
        <v>1.974933390263147</v>
      </c>
      <c r="DI10">
        <v>2117524277.3341231</v>
      </c>
      <c r="DJ10">
        <v>0.2741782104969025</v>
      </c>
      <c r="DK10">
        <v>0.41065299624167623</v>
      </c>
      <c r="DL10">
        <v>10183706044.455208</v>
      </c>
      <c r="DM10">
        <v>0.23990593418478964</v>
      </c>
      <c r="DN10">
        <v>67175900</v>
      </c>
      <c r="DO10">
        <v>0.34272276312112809</v>
      </c>
      <c r="DP10">
        <v>4181969400</v>
      </c>
      <c r="DQ10">
        <v>756449390</v>
      </c>
      <c r="DR10" s="23">
        <v>2654</v>
      </c>
      <c r="DS10">
        <v>-0.19566393959171632</v>
      </c>
      <c r="DT10">
        <v>-0.13278782525248312</v>
      </c>
      <c r="DU10">
        <v>7.6666666666666661E-2</v>
      </c>
      <c r="DV10">
        <v>0.95500000000000007</v>
      </c>
      <c r="DW10">
        <v>1.0316666666666667</v>
      </c>
      <c r="DX10">
        <v>5.1847922192749776</v>
      </c>
      <c r="DY10">
        <v>0.59607019716874454</v>
      </c>
      <c r="DZ10">
        <v>5.0491677022177432</v>
      </c>
      <c r="EA10">
        <v>322</v>
      </c>
      <c r="EB10">
        <v>5.0460468663978908</v>
      </c>
      <c r="EC10" s="20">
        <v>5</v>
      </c>
      <c r="ED10">
        <v>0.11257294072235675</v>
      </c>
      <c r="EE10">
        <v>0.42309488969544762</v>
      </c>
      <c r="EF10">
        <v>2.3810000000000001E-2</v>
      </c>
      <c r="EG10">
        <v>2.6100000000000016E-3</v>
      </c>
      <c r="EH10">
        <v>33.266070197168744</v>
      </c>
      <c r="EI10" s="28">
        <v>-1</v>
      </c>
      <c r="EJ10" s="29">
        <v>1</v>
      </c>
      <c r="EK10" s="29">
        <v>1</v>
      </c>
      <c r="EL10" s="29">
        <v>45197</v>
      </c>
      <c r="EM10" s="29">
        <v>7.4399999999999994E-2</v>
      </c>
      <c r="EN10" s="29">
        <v>-0.6</v>
      </c>
      <c r="EO10" s="29">
        <v>-2.96</v>
      </c>
      <c r="EP10" s="29">
        <v>5.18</v>
      </c>
      <c r="EQ10" s="29">
        <v>2.12</v>
      </c>
    </row>
    <row r="11" spans="1:147" ht="132" x14ac:dyDescent="0.25">
      <c r="A11" s="26" t="s">
        <v>568</v>
      </c>
      <c r="B11" s="24" t="s">
        <v>1428</v>
      </c>
      <c r="C11" s="24" t="s">
        <v>1429</v>
      </c>
      <c r="D11" s="24" t="s">
        <v>1456</v>
      </c>
      <c r="E11" t="s">
        <v>17</v>
      </c>
      <c r="F11" t="s">
        <v>18</v>
      </c>
      <c r="G11">
        <v>9.35</v>
      </c>
      <c r="H11">
        <v>-1.89</v>
      </c>
      <c r="I11" t="s">
        <v>1430</v>
      </c>
      <c r="J11">
        <v>3459924200</v>
      </c>
      <c r="K11">
        <v>113.9</v>
      </c>
      <c r="L11">
        <v>3.91</v>
      </c>
      <c r="M11" t="s">
        <v>272</v>
      </c>
      <c r="N11" t="s">
        <v>1326</v>
      </c>
      <c r="O11" t="s">
        <v>1431</v>
      </c>
      <c r="P11" t="s">
        <v>43</v>
      </c>
      <c r="Q11">
        <v>32.729999999999997</v>
      </c>
      <c r="R11" t="s">
        <v>1296</v>
      </c>
      <c r="S11">
        <v>17619051</v>
      </c>
      <c r="T11" s="4">
        <v>0.18160000000000001</v>
      </c>
      <c r="U11" t="s">
        <v>1432</v>
      </c>
      <c r="V11">
        <v>270669970</v>
      </c>
      <c r="W11">
        <v>370045370</v>
      </c>
      <c r="X11">
        <v>1.45</v>
      </c>
      <c r="Y11">
        <v>0.18</v>
      </c>
      <c r="Z11">
        <v>8.0299999999999994</v>
      </c>
      <c r="AA11" t="s">
        <v>404</v>
      </c>
      <c r="AB11" t="s">
        <v>1254</v>
      </c>
      <c r="AC11" t="s">
        <v>1433</v>
      </c>
      <c r="AD11" t="s">
        <v>1434</v>
      </c>
      <c r="AE11" t="s">
        <v>1435</v>
      </c>
      <c r="AF11">
        <v>-561643</v>
      </c>
      <c r="AG11" t="s">
        <v>1436</v>
      </c>
      <c r="AH11" t="s">
        <v>1437</v>
      </c>
      <c r="AI11" t="s">
        <v>1438</v>
      </c>
      <c r="AJ11" t="s">
        <v>78</v>
      </c>
      <c r="AK11" t="s">
        <v>1439</v>
      </c>
      <c r="AL11" t="s">
        <v>1440</v>
      </c>
      <c r="AM11" t="s">
        <v>1441</v>
      </c>
      <c r="AN11" t="s">
        <v>418</v>
      </c>
      <c r="AO11" t="s">
        <v>430</v>
      </c>
      <c r="AP11" t="s">
        <v>1442</v>
      </c>
      <c r="AQ11" t="s">
        <v>25</v>
      </c>
      <c r="AR11" t="s">
        <v>1443</v>
      </c>
      <c r="AS11" t="s">
        <v>25</v>
      </c>
      <c r="AT11" t="s">
        <v>1444</v>
      </c>
      <c r="AU11" t="s">
        <v>1445</v>
      </c>
      <c r="AV11" t="s">
        <v>1446</v>
      </c>
      <c r="AW11" t="s">
        <v>1447</v>
      </c>
      <c r="AX11" t="s">
        <v>1448</v>
      </c>
      <c r="AY11" t="s">
        <v>78</v>
      </c>
      <c r="AZ11" t="s">
        <v>545</v>
      </c>
      <c r="BA11" t="s">
        <v>413</v>
      </c>
      <c r="BB11" t="s">
        <v>546</v>
      </c>
      <c r="BC11" t="s">
        <v>510</v>
      </c>
      <c r="BD11" t="s">
        <v>544</v>
      </c>
      <c r="BE11" t="s">
        <v>547</v>
      </c>
      <c r="BF11" t="s">
        <v>548</v>
      </c>
      <c r="BG11" t="s">
        <v>549</v>
      </c>
      <c r="BH11" t="s">
        <v>550</v>
      </c>
      <c r="BI11" t="s">
        <v>375</v>
      </c>
      <c r="BJ11" t="s">
        <v>551</v>
      </c>
      <c r="BK11" t="s">
        <v>1449</v>
      </c>
      <c r="BL11" t="s">
        <v>1450</v>
      </c>
      <c r="BM11" t="s">
        <v>1451</v>
      </c>
      <c r="BN11" t="s">
        <v>1452</v>
      </c>
      <c r="BO11">
        <v>3.06</v>
      </c>
      <c r="BP11">
        <v>6.2</v>
      </c>
      <c r="BQ11">
        <v>5.24</v>
      </c>
      <c r="BR11">
        <v>3.32</v>
      </c>
      <c r="BS11">
        <v>6.26</v>
      </c>
      <c r="BT11">
        <v>3.94</v>
      </c>
      <c r="BU11" t="s">
        <v>1453</v>
      </c>
      <c r="BV11" t="s">
        <v>318</v>
      </c>
      <c r="BW11">
        <v>39.200000000000003</v>
      </c>
      <c r="BX11">
        <v>43.22</v>
      </c>
      <c r="BY11">
        <v>43.7</v>
      </c>
      <c r="BZ11">
        <v>11.95</v>
      </c>
      <c r="CA11">
        <v>13.42</v>
      </c>
      <c r="CB11">
        <v>9.5500000000000007</v>
      </c>
      <c r="CC11">
        <v>-0.43</v>
      </c>
      <c r="CD11">
        <v>1.63</v>
      </c>
      <c r="CE11" t="s">
        <v>1454</v>
      </c>
      <c r="CF11" t="s">
        <v>1455</v>
      </c>
      <c r="CG11" s="21">
        <v>0.27956260780810893</v>
      </c>
      <c r="CH11" s="22">
        <v>1.430682842144422</v>
      </c>
      <c r="CI11" s="21">
        <v>0.30864197015762329</v>
      </c>
      <c r="CJ11" s="21">
        <v>0.24615384638309479</v>
      </c>
      <c r="CK11" s="21">
        <v>0.1607142835855484</v>
      </c>
      <c r="CL11" s="21">
        <v>0.30232557654380798</v>
      </c>
      <c r="CM11" s="21">
        <v>0.31297710537910461</v>
      </c>
      <c r="CN11" s="22">
        <v>-0.28837618231773376</v>
      </c>
      <c r="CO11" s="22">
        <v>1.2887229919433594</v>
      </c>
      <c r="CP11" s="22">
        <v>1.5769195556640625</v>
      </c>
      <c r="CQ11" s="22">
        <v>-0.10909606516361237</v>
      </c>
      <c r="CR11" s="22">
        <v>1.3021773099899292</v>
      </c>
      <c r="CS11">
        <v>284.20525106716207</v>
      </c>
      <c r="CT11">
        <v>10.677882527906901</v>
      </c>
      <c r="CU11">
        <v>0.10695187165775402</v>
      </c>
      <c r="CV11" s="21">
        <v>0.26616255640983583</v>
      </c>
      <c r="CW11" s="22">
        <v>0.75406952202320099</v>
      </c>
      <c r="CX11">
        <v>0.06</v>
      </c>
      <c r="CY11">
        <v>89.283897809333112</v>
      </c>
      <c r="CZ11">
        <v>33051023.447718821</v>
      </c>
      <c r="DA11">
        <v>0.26616255640983583</v>
      </c>
      <c r="DB11">
        <v>25.212185941765252</v>
      </c>
      <c r="DC11">
        <v>117043568.01175442</v>
      </c>
      <c r="DD11">
        <v>0.25285442858934404</v>
      </c>
      <c r="DE11">
        <v>10.091029513647561</v>
      </c>
      <c r="DF11">
        <v>292430439.92776334</v>
      </c>
      <c r="DG11">
        <v>0.23422304964065552</v>
      </c>
      <c r="DH11">
        <v>4.7204955113904781</v>
      </c>
      <c r="DI11">
        <v>625130178.15173602</v>
      </c>
      <c r="DJ11">
        <v>0.21293004512786867</v>
      </c>
      <c r="DK11">
        <v>1.3354284376266452</v>
      </c>
      <c r="DL11">
        <v>2209720953.1080914</v>
      </c>
      <c r="DM11">
        <v>0.18631378948688507</v>
      </c>
      <c r="DN11">
        <v>27669500</v>
      </c>
      <c r="DO11">
        <v>0.26616255640983583</v>
      </c>
      <c r="DP11">
        <v>2950924200</v>
      </c>
      <c r="DQ11">
        <v>406045710</v>
      </c>
      <c r="DR11">
        <v>1878</v>
      </c>
      <c r="DS11">
        <v>1.3400051398273105E-2</v>
      </c>
      <c r="DT11">
        <v>0.676613320121221</v>
      </c>
      <c r="DU11" s="23">
        <v>0.22666666666666657</v>
      </c>
      <c r="DV11">
        <v>0.82</v>
      </c>
      <c r="DW11">
        <v>1.0466666666666664</v>
      </c>
      <c r="DX11">
        <v>1.6299999999999999E-2</v>
      </c>
      <c r="DY11">
        <v>0.44751086261980944</v>
      </c>
      <c r="DZ11">
        <v>3.3824270607028749E-3</v>
      </c>
      <c r="EA11">
        <v>316</v>
      </c>
      <c r="EB11">
        <v>3.1717337921867879E-3</v>
      </c>
      <c r="EC11">
        <v>0</v>
      </c>
      <c r="ED11">
        <v>0.17552145024811416</v>
      </c>
      <c r="EE11">
        <v>0.84584222740038606</v>
      </c>
      <c r="EF11" s="20">
        <v>2.03261</v>
      </c>
      <c r="EG11">
        <v>2.0515099999999999</v>
      </c>
      <c r="EH11">
        <v>24.207510862619809</v>
      </c>
      <c r="EI11" t="s">
        <v>879</v>
      </c>
      <c r="EJ11">
        <v>0</v>
      </c>
      <c r="EK11">
        <v>1</v>
      </c>
      <c r="EL11" s="28">
        <v>45197</v>
      </c>
      <c r="EM11" s="29">
        <v>-1.17E-2</v>
      </c>
      <c r="EN11" s="29">
        <v>2.16</v>
      </c>
      <c r="EO11" s="29">
        <v>-2.4300000000000002</v>
      </c>
      <c r="EP11" s="29">
        <v>3.03</v>
      </c>
      <c r="EQ11" s="29">
        <v>-1.89</v>
      </c>
    </row>
    <row r="12" spans="1:147" ht="132" x14ac:dyDescent="0.25">
      <c r="A12" s="26" t="s">
        <v>570</v>
      </c>
      <c r="B12" s="24"/>
      <c r="C12" s="24"/>
      <c r="D12" s="24" t="s">
        <v>1479</v>
      </c>
      <c r="E12" t="s">
        <v>313</v>
      </c>
      <c r="F12" t="s">
        <v>314</v>
      </c>
      <c r="G12">
        <v>8.15</v>
      </c>
      <c r="H12">
        <v>-4.9000000000000004</v>
      </c>
      <c r="I12" t="s">
        <v>1457</v>
      </c>
      <c r="J12">
        <v>3082521200</v>
      </c>
      <c r="L12">
        <v>4.4800000000000004</v>
      </c>
      <c r="M12" t="s">
        <v>272</v>
      </c>
      <c r="N12" t="s">
        <v>713</v>
      </c>
      <c r="O12" t="s">
        <v>1081</v>
      </c>
      <c r="P12" t="s">
        <v>1232</v>
      </c>
      <c r="Q12">
        <v>2.11</v>
      </c>
      <c r="R12" t="s">
        <v>1458</v>
      </c>
      <c r="S12">
        <v>12999556</v>
      </c>
      <c r="T12" s="4">
        <v>0.26279999999999998</v>
      </c>
      <c r="U12" t="s">
        <v>1459</v>
      </c>
      <c r="V12">
        <v>378223460</v>
      </c>
      <c r="W12">
        <v>378223460</v>
      </c>
      <c r="X12">
        <v>1.49</v>
      </c>
      <c r="Y12">
        <v>0.17</v>
      </c>
      <c r="Z12">
        <v>7.77</v>
      </c>
      <c r="AA12" t="s">
        <v>874</v>
      </c>
      <c r="AB12" t="s">
        <v>1460</v>
      </c>
      <c r="AC12" t="s">
        <v>1461</v>
      </c>
      <c r="AD12" t="s">
        <v>1462</v>
      </c>
      <c r="AE12" t="s">
        <v>1463</v>
      </c>
      <c r="AF12">
        <v>-424623</v>
      </c>
      <c r="AG12" t="s">
        <v>1464</v>
      </c>
      <c r="AH12" t="s">
        <v>1465</v>
      </c>
      <c r="AI12" t="s">
        <v>1466</v>
      </c>
      <c r="AJ12" t="s">
        <v>1467</v>
      </c>
      <c r="AK12" t="s">
        <v>1468</v>
      </c>
      <c r="AL12" t="s">
        <v>1469</v>
      </c>
      <c r="AM12" t="s">
        <v>1470</v>
      </c>
      <c r="AN12" t="s">
        <v>874</v>
      </c>
      <c r="AO12">
        <v>0</v>
      </c>
      <c r="AP12" t="s">
        <v>25</v>
      </c>
      <c r="AQ12" t="s">
        <v>25</v>
      </c>
      <c r="AR12" t="s">
        <v>1471</v>
      </c>
      <c r="AS12" t="s">
        <v>25</v>
      </c>
      <c r="AT12" t="s">
        <v>507</v>
      </c>
      <c r="AU12" t="s">
        <v>25</v>
      </c>
      <c r="AV12" t="s">
        <v>1472</v>
      </c>
      <c r="AW12" t="s">
        <v>1473</v>
      </c>
      <c r="AX12" t="s">
        <v>1474</v>
      </c>
      <c r="AY12" t="s">
        <v>333</v>
      </c>
      <c r="AZ12" t="s">
        <v>554</v>
      </c>
      <c r="BA12" t="s">
        <v>377</v>
      </c>
      <c r="BB12" t="s">
        <v>350</v>
      </c>
      <c r="BC12" t="s">
        <v>555</v>
      </c>
      <c r="BD12" t="s">
        <v>552</v>
      </c>
      <c r="BE12" t="s">
        <v>556</v>
      </c>
      <c r="BF12" t="s">
        <v>557</v>
      </c>
      <c r="BG12" t="s">
        <v>558</v>
      </c>
      <c r="BH12" t="s">
        <v>559</v>
      </c>
      <c r="BI12" t="s">
        <v>1475</v>
      </c>
      <c r="BJ12" t="s">
        <v>373</v>
      </c>
      <c r="BK12" t="s">
        <v>1476</v>
      </c>
      <c r="BL12" t="s">
        <v>1477</v>
      </c>
      <c r="BM12" t="s">
        <v>560</v>
      </c>
      <c r="BN12" t="s">
        <v>1478</v>
      </c>
      <c r="BO12" t="s">
        <v>25</v>
      </c>
      <c r="BP12">
        <v>9.07</v>
      </c>
      <c r="BQ12" t="s">
        <v>25</v>
      </c>
      <c r="BR12">
        <v>-5.21</v>
      </c>
      <c r="BS12">
        <v>9.2200000000000006</v>
      </c>
      <c r="BT12">
        <v>-41.58</v>
      </c>
      <c r="BU12" t="s">
        <v>374</v>
      </c>
      <c r="BV12" t="s">
        <v>318</v>
      </c>
      <c r="BW12">
        <v>48.95</v>
      </c>
      <c r="BX12">
        <v>40.04</v>
      </c>
      <c r="BY12">
        <v>-161.94999999999999</v>
      </c>
      <c r="BZ12">
        <v>8.83</v>
      </c>
      <c r="CA12">
        <v>21.28</v>
      </c>
      <c r="CB12">
        <v>-378.28</v>
      </c>
      <c r="CC12">
        <v>14.15</v>
      </c>
      <c r="CD12">
        <v>9.25</v>
      </c>
      <c r="CE12" t="s">
        <v>407</v>
      </c>
      <c r="CF12" t="s">
        <v>1013</v>
      </c>
      <c r="CG12" s="21">
        <v>-0.13225700665852372</v>
      </c>
      <c r="CH12" s="22">
        <v>-0.29248556986427277</v>
      </c>
      <c r="CI12" s="21">
        <v>0.24555160105228424</v>
      </c>
      <c r="CJ12" s="21">
        <v>2.3242478370666504</v>
      </c>
      <c r="CK12" s="21">
        <v>-0.67736488580703735</v>
      </c>
      <c r="CL12" s="21">
        <v>-0.37470167875289917</v>
      </c>
      <c r="CM12" s="21">
        <v>-2.3809524718672037E-3</v>
      </c>
      <c r="CN12" s="22">
        <v>-1.5809239149093628</v>
      </c>
      <c r="CO12" s="22">
        <v>1.1869597434997559</v>
      </c>
      <c r="CP12" s="22">
        <v>-10.306465148925781</v>
      </c>
      <c r="CQ12" s="22">
        <v>1.0509402751922607</v>
      </c>
      <c r="CR12" s="22">
        <v>-0.19680851697921753</v>
      </c>
      <c r="CS12">
        <v>-12.333840865671627</v>
      </c>
      <c r="CT12">
        <v>-0.40696292042917626</v>
      </c>
      <c r="CU12">
        <v>0</v>
      </c>
      <c r="CV12" s="21">
        <v>0.30307038421742616</v>
      </c>
      <c r="CW12" s="22">
        <v>-1.9692595124244689</v>
      </c>
      <c r="CX12">
        <v>0.06</v>
      </c>
      <c r="CY12" t="e">
        <v>#VALUE!</v>
      </c>
      <c r="CZ12" t="s">
        <v>494</v>
      </c>
      <c r="DA12">
        <v>0.30307038421742616</v>
      </c>
      <c r="DB12" t="e">
        <v>#VALUE!</v>
      </c>
      <c r="DC12" t="s">
        <v>494</v>
      </c>
      <c r="DD12">
        <v>0.28791686500655483</v>
      </c>
      <c r="DE12" t="e">
        <v>#VALUE!</v>
      </c>
      <c r="DF12" t="s">
        <v>494</v>
      </c>
      <c r="DG12">
        <v>0.26670193811133502</v>
      </c>
      <c r="DH12" t="e">
        <v>#VALUE!</v>
      </c>
      <c r="DI12" t="s">
        <v>494</v>
      </c>
      <c r="DJ12">
        <v>0.24245630737394094</v>
      </c>
      <c r="DK12" t="e">
        <v>#VALUE!</v>
      </c>
      <c r="DL12" t="s">
        <v>494</v>
      </c>
      <c r="DM12">
        <v>0.21214926895219829</v>
      </c>
      <c r="DN12">
        <v>-34755000</v>
      </c>
      <c r="DO12">
        <v>0.30307038421742616</v>
      </c>
      <c r="DP12">
        <v>2731521200</v>
      </c>
      <c r="DQ12">
        <v>241176910</v>
      </c>
      <c r="DR12">
        <v>3388</v>
      </c>
      <c r="DS12">
        <v>-0.43532739087594985</v>
      </c>
      <c r="DT12">
        <v>1.6767739425601962</v>
      </c>
      <c r="DU12" s="23">
        <v>-0.28999999999999998</v>
      </c>
      <c r="DV12">
        <v>-1.8566666666666667</v>
      </c>
      <c r="DW12">
        <v>-2.1466666666666665</v>
      </c>
      <c r="DX12">
        <v>5.6537102473498235</v>
      </c>
      <c r="DY12">
        <v>0.79115107913668892</v>
      </c>
      <c r="DZ12">
        <v>5.3668302107430659</v>
      </c>
      <c r="EA12">
        <v>4556</v>
      </c>
      <c r="EB12">
        <v>5.0373844310968199</v>
      </c>
      <c r="EC12">
        <v>5</v>
      </c>
      <c r="ED12">
        <v>0.61868187658163776</v>
      </c>
      <c r="EE12">
        <v>1.1025228313442006</v>
      </c>
      <c r="EF12" s="20">
        <v>2.0632999999999999</v>
      </c>
      <c r="EG12">
        <v>2.0143</v>
      </c>
      <c r="EH12">
        <v>23.561151079136689</v>
      </c>
      <c r="EI12" t="s">
        <v>961</v>
      </c>
      <c r="EJ12">
        <v>1</v>
      </c>
      <c r="EK12">
        <v>0</v>
      </c>
      <c r="EL12" s="28">
        <v>45197</v>
      </c>
      <c r="EM12" s="29">
        <v>3.6400000000000002E-2</v>
      </c>
      <c r="EN12" s="29">
        <v>10</v>
      </c>
      <c r="EO12" s="29">
        <v>-1.72</v>
      </c>
      <c r="EP12" s="29">
        <v>7.13</v>
      </c>
      <c r="EQ12" s="29">
        <v>-4.9000000000000004</v>
      </c>
    </row>
  </sheetData>
  <phoneticPr fontId="1" type="noConversion"/>
  <hyperlinks>
    <hyperlink ref="A2" r:id="rId1"/>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3009" r:id="rId5"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9"/>
  <sheetViews>
    <sheetView zoomScale="85" zoomScaleNormal="85" workbookViewId="0">
      <selection activeCell="D9" sqref="D9"/>
    </sheetView>
  </sheetViews>
  <sheetFormatPr defaultRowHeight="14" x14ac:dyDescent="0.25"/>
  <cols>
    <col min="1" max="1" width="12" style="26" customWidth="1"/>
    <col min="2" max="2" width="46.81640625" customWidth="1"/>
    <col min="3" max="3" width="45.81640625" customWidth="1"/>
    <col min="4" max="4" width="64.81640625" customWidth="1"/>
    <col min="10" max="10" width="12.1796875" bestFit="1" customWidth="1"/>
    <col min="22" max="22" width="14.81640625" customWidth="1"/>
  </cols>
  <sheetData>
    <row r="1" spans="1:147" s="16" customFormat="1" x14ac:dyDescent="0.25">
      <c r="A1" s="17" t="s">
        <v>129</v>
      </c>
      <c r="B1" s="18" t="s">
        <v>223</v>
      </c>
      <c r="C1" s="19" t="s">
        <v>26</v>
      </c>
      <c r="D1" s="18" t="s">
        <v>224</v>
      </c>
      <c r="E1" t="s">
        <v>3</v>
      </c>
      <c r="F1" t="s">
        <v>4</v>
      </c>
      <c r="G1" t="s">
        <v>0</v>
      </c>
      <c r="H1" t="s">
        <v>194</v>
      </c>
      <c r="I1" t="s">
        <v>225</v>
      </c>
      <c r="J1" t="s">
        <v>5</v>
      </c>
      <c r="K1" t="s">
        <v>6</v>
      </c>
      <c r="L1" t="s">
        <v>1</v>
      </c>
      <c r="M1" t="s">
        <v>12</v>
      </c>
      <c r="N1" t="s">
        <v>27</v>
      </c>
      <c r="O1" t="s">
        <v>28</v>
      </c>
      <c r="P1" t="s">
        <v>29</v>
      </c>
      <c r="Q1" t="s">
        <v>226</v>
      </c>
      <c r="R1" t="s">
        <v>195</v>
      </c>
      <c r="S1" t="s">
        <v>227</v>
      </c>
      <c r="T1" t="s">
        <v>30</v>
      </c>
      <c r="U1" t="s">
        <v>196</v>
      </c>
      <c r="V1" t="s">
        <v>197</v>
      </c>
      <c r="W1" t="s">
        <v>31</v>
      </c>
      <c r="X1" t="s">
        <v>172</v>
      </c>
      <c r="Y1" t="s">
        <v>173</v>
      </c>
      <c r="Z1" t="s">
        <v>174</v>
      </c>
      <c r="AA1" t="s">
        <v>175</v>
      </c>
      <c r="AB1" t="s">
        <v>176</v>
      </c>
      <c r="AC1" t="s">
        <v>198</v>
      </c>
      <c r="AD1" t="s">
        <v>177</v>
      </c>
      <c r="AE1" t="s">
        <v>228</v>
      </c>
      <c r="AF1" t="s">
        <v>32</v>
      </c>
      <c r="AG1" t="s">
        <v>33</v>
      </c>
      <c r="AH1" t="s">
        <v>199</v>
      </c>
      <c r="AI1" t="s">
        <v>229</v>
      </c>
      <c r="AJ1" t="s">
        <v>200</v>
      </c>
      <c r="AK1" t="s">
        <v>34</v>
      </c>
      <c r="AL1" t="s">
        <v>201</v>
      </c>
      <c r="AM1" t="s">
        <v>130</v>
      </c>
      <c r="AN1" t="s">
        <v>202</v>
      </c>
      <c r="AO1" t="s">
        <v>203</v>
      </c>
      <c r="AP1" t="s">
        <v>204</v>
      </c>
      <c r="AQ1" t="s">
        <v>205</v>
      </c>
      <c r="AR1" t="s">
        <v>206</v>
      </c>
      <c r="AS1" t="s">
        <v>207</v>
      </c>
      <c r="AT1" t="s">
        <v>208</v>
      </c>
      <c r="AU1" t="s">
        <v>209</v>
      </c>
      <c r="AV1" t="s">
        <v>210</v>
      </c>
      <c r="AW1" t="s">
        <v>211</v>
      </c>
      <c r="AX1" t="s">
        <v>212</v>
      </c>
      <c r="AY1" t="s">
        <v>230</v>
      </c>
      <c r="AZ1" t="s">
        <v>131</v>
      </c>
      <c r="BA1" t="s">
        <v>132</v>
      </c>
      <c r="BB1" t="s">
        <v>133</v>
      </c>
      <c r="BC1" t="s">
        <v>134</v>
      </c>
      <c r="BD1" t="s">
        <v>140</v>
      </c>
      <c r="BE1" t="s">
        <v>135</v>
      </c>
      <c r="BF1" t="s">
        <v>136</v>
      </c>
      <c r="BG1" t="s">
        <v>137</v>
      </c>
      <c r="BH1" t="s">
        <v>138</v>
      </c>
      <c r="BI1" t="s">
        <v>231</v>
      </c>
      <c r="BJ1" t="s">
        <v>213</v>
      </c>
      <c r="BK1" t="s">
        <v>139</v>
      </c>
      <c r="BL1" t="s">
        <v>214</v>
      </c>
      <c r="BM1" t="s">
        <v>215</v>
      </c>
      <c r="BN1" t="s">
        <v>216</v>
      </c>
      <c r="BO1" t="s">
        <v>217</v>
      </c>
      <c r="BP1" t="s">
        <v>141</v>
      </c>
      <c r="BQ1" t="s">
        <v>142</v>
      </c>
      <c r="BR1" t="s">
        <v>143</v>
      </c>
      <c r="BS1" t="s">
        <v>218</v>
      </c>
      <c r="BT1" t="s">
        <v>144</v>
      </c>
      <c r="BU1" t="s">
        <v>145</v>
      </c>
      <c r="BV1" t="s">
        <v>146</v>
      </c>
      <c r="BW1" t="s">
        <v>219</v>
      </c>
      <c r="BX1" t="s">
        <v>147</v>
      </c>
      <c r="BY1" t="s">
        <v>148</v>
      </c>
      <c r="BZ1" t="s">
        <v>220</v>
      </c>
      <c r="CA1" t="s">
        <v>149</v>
      </c>
      <c r="CB1" t="s">
        <v>150</v>
      </c>
      <c r="CC1" t="s">
        <v>232</v>
      </c>
      <c r="CD1" t="s">
        <v>233</v>
      </c>
      <c r="CE1" t="s">
        <v>234</v>
      </c>
      <c r="CF1" t="s">
        <v>235</v>
      </c>
      <c r="CG1" s="1" t="s">
        <v>178</v>
      </c>
      <c r="CH1" s="1" t="s">
        <v>179</v>
      </c>
      <c r="CI1" s="1" t="s">
        <v>180</v>
      </c>
      <c r="CJ1" s="1" t="s">
        <v>181</v>
      </c>
      <c r="CK1" s="1" t="s">
        <v>182</v>
      </c>
      <c r="CL1" s="1" t="s">
        <v>183</v>
      </c>
      <c r="CM1" s="1" t="s">
        <v>184</v>
      </c>
      <c r="CN1" s="1" t="s">
        <v>185</v>
      </c>
      <c r="CO1" s="1" t="s">
        <v>186</v>
      </c>
      <c r="CP1" s="1" t="s">
        <v>187</v>
      </c>
      <c r="CQ1" s="1" t="s">
        <v>188</v>
      </c>
      <c r="CR1" s="1" t="s">
        <v>189</v>
      </c>
      <c r="CS1" s="1" t="s">
        <v>236</v>
      </c>
      <c r="CT1" s="1" t="s">
        <v>237</v>
      </c>
      <c r="CU1" s="1" t="s">
        <v>238</v>
      </c>
      <c r="CV1" s="1" t="s">
        <v>239</v>
      </c>
      <c r="CW1" s="1" t="s">
        <v>240</v>
      </c>
      <c r="CX1" s="1" t="s">
        <v>117</v>
      </c>
      <c r="CY1">
        <v>1</v>
      </c>
      <c r="CZ1" t="s">
        <v>242</v>
      </c>
      <c r="DA1" t="s">
        <v>243</v>
      </c>
      <c r="DB1">
        <v>3</v>
      </c>
      <c r="DC1" t="s">
        <v>244</v>
      </c>
      <c r="DD1" t="s">
        <v>245</v>
      </c>
      <c r="DE1">
        <v>6</v>
      </c>
      <c r="DF1" t="s">
        <v>246</v>
      </c>
      <c r="DG1" t="s">
        <v>247</v>
      </c>
      <c r="DH1">
        <v>10</v>
      </c>
      <c r="DI1" t="s">
        <v>248</v>
      </c>
      <c r="DJ1" t="s">
        <v>249</v>
      </c>
      <c r="DK1">
        <v>20</v>
      </c>
      <c r="DL1" t="s">
        <v>250</v>
      </c>
      <c r="DM1" t="s">
        <v>190</v>
      </c>
      <c r="DN1" t="s">
        <v>191</v>
      </c>
      <c r="DO1" s="2" t="s">
        <v>192</v>
      </c>
      <c r="DP1" t="s">
        <v>251</v>
      </c>
      <c r="DQ1" t="s">
        <v>252</v>
      </c>
      <c r="DR1" s="1" t="s">
        <v>253</v>
      </c>
      <c r="DS1" s="1" t="s">
        <v>254</v>
      </c>
      <c r="DT1" s="1" t="s">
        <v>255</v>
      </c>
      <c r="DU1" t="s">
        <v>256</v>
      </c>
      <c r="DV1" t="s">
        <v>257</v>
      </c>
      <c r="DW1" t="s">
        <v>258</v>
      </c>
      <c r="DX1" t="s">
        <v>259</v>
      </c>
      <c r="DY1" t="s">
        <v>260</v>
      </c>
      <c r="DZ1" t="s">
        <v>261</v>
      </c>
      <c r="EA1" t="s">
        <v>262</v>
      </c>
      <c r="EB1" t="s">
        <v>263</v>
      </c>
      <c r="EC1" t="s">
        <v>264</v>
      </c>
      <c r="ED1" t="s">
        <v>265</v>
      </c>
      <c r="EE1" t="s">
        <v>266</v>
      </c>
      <c r="EF1" t="s">
        <v>267</v>
      </c>
      <c r="EG1" t="s">
        <v>268</v>
      </c>
      <c r="EH1" t="s">
        <v>269</v>
      </c>
      <c r="EI1" t="s">
        <v>270</v>
      </c>
      <c r="EJ1" t="s">
        <v>271</v>
      </c>
      <c r="EK1"/>
    </row>
    <row r="2" spans="1:147" s="1" customFormat="1" ht="49" customHeight="1" x14ac:dyDescent="0.25">
      <c r="A2" s="27"/>
      <c r="B2" s="25"/>
      <c r="C2" s="25">
        <v>3</v>
      </c>
      <c r="D2" s="25">
        <v>9</v>
      </c>
      <c r="J2" s="2">
        <f>SUM(J3:J9)</f>
        <v>120366154900</v>
      </c>
    </row>
    <row r="3" spans="1:147" s="16" customFormat="1" ht="132" x14ac:dyDescent="0.25">
      <c r="A3" s="34" t="s">
        <v>877</v>
      </c>
      <c r="B3" s="24" t="s">
        <v>1481</v>
      </c>
      <c r="C3" s="24"/>
      <c r="D3" s="24" t="s">
        <v>993</v>
      </c>
      <c r="E3" t="s">
        <v>7</v>
      </c>
      <c r="F3" t="s">
        <v>2</v>
      </c>
      <c r="G3">
        <v>66.599999999999994</v>
      </c>
      <c r="H3">
        <v>-2.52</v>
      </c>
      <c r="I3" t="s">
        <v>963</v>
      </c>
      <c r="J3">
        <v>58103053000</v>
      </c>
      <c r="K3">
        <v>26.38</v>
      </c>
      <c r="L3">
        <v>2.82</v>
      </c>
      <c r="M3" t="s">
        <v>272</v>
      </c>
      <c r="N3" t="s">
        <v>964</v>
      </c>
      <c r="O3" t="s">
        <v>965</v>
      </c>
      <c r="P3" t="s">
        <v>966</v>
      </c>
      <c r="Q3">
        <v>3.25</v>
      </c>
      <c r="R3" t="s">
        <v>967</v>
      </c>
      <c r="S3">
        <v>1388337000</v>
      </c>
      <c r="T3" s="4">
        <v>0.16470000000000001</v>
      </c>
      <c r="U3" t="s">
        <v>968</v>
      </c>
      <c r="V3">
        <v>567386380</v>
      </c>
      <c r="W3">
        <v>872418220</v>
      </c>
      <c r="X3">
        <v>1.24</v>
      </c>
      <c r="Y3">
        <v>0.13</v>
      </c>
      <c r="Z3">
        <v>37.950000000000003</v>
      </c>
      <c r="AA3" t="s">
        <v>969</v>
      </c>
      <c r="AB3" t="s">
        <v>970</v>
      </c>
      <c r="AC3" t="s">
        <v>971</v>
      </c>
      <c r="AD3" t="s">
        <v>972</v>
      </c>
      <c r="AE3" t="s">
        <v>356</v>
      </c>
      <c r="AF3">
        <v>-88094581</v>
      </c>
      <c r="AG3" t="s">
        <v>973</v>
      </c>
      <c r="AH3" t="s">
        <v>974</v>
      </c>
      <c r="AI3" t="s">
        <v>975</v>
      </c>
      <c r="AJ3" t="s">
        <v>976</v>
      </c>
      <c r="AK3" t="s">
        <v>977</v>
      </c>
      <c r="AL3" t="s">
        <v>978</v>
      </c>
      <c r="AM3" t="s">
        <v>979</v>
      </c>
      <c r="AN3" t="s">
        <v>980</v>
      </c>
      <c r="AO3" t="s">
        <v>981</v>
      </c>
      <c r="AP3" t="s">
        <v>982</v>
      </c>
      <c r="AQ3" t="s">
        <v>25</v>
      </c>
      <c r="AR3" t="s">
        <v>354</v>
      </c>
      <c r="AS3" t="s">
        <v>25</v>
      </c>
      <c r="AT3" t="s">
        <v>983</v>
      </c>
      <c r="AU3" t="s">
        <v>984</v>
      </c>
      <c r="AV3" t="s">
        <v>985</v>
      </c>
      <c r="AW3" t="s">
        <v>986</v>
      </c>
      <c r="AX3" t="s">
        <v>343</v>
      </c>
      <c r="AY3" t="s">
        <v>274</v>
      </c>
      <c r="AZ3" t="s">
        <v>155</v>
      </c>
      <c r="BA3" t="s">
        <v>39</v>
      </c>
      <c r="BB3" t="s">
        <v>157</v>
      </c>
      <c r="BC3" t="s">
        <v>79</v>
      </c>
      <c r="BD3" t="s">
        <v>193</v>
      </c>
      <c r="BE3" t="s">
        <v>156</v>
      </c>
      <c r="BF3" t="s">
        <v>40</v>
      </c>
      <c r="BG3" t="s">
        <v>35</v>
      </c>
      <c r="BH3" t="s">
        <v>63</v>
      </c>
      <c r="BI3" t="s">
        <v>987</v>
      </c>
      <c r="BJ3" t="s">
        <v>321</v>
      </c>
      <c r="BK3" t="s">
        <v>988</v>
      </c>
      <c r="BL3" t="s">
        <v>989</v>
      </c>
      <c r="BM3" t="s">
        <v>322</v>
      </c>
      <c r="BN3" t="s">
        <v>990</v>
      </c>
      <c r="BO3">
        <v>9.2200000000000006</v>
      </c>
      <c r="BP3">
        <v>16.07</v>
      </c>
      <c r="BQ3">
        <v>16.09</v>
      </c>
      <c r="BR3">
        <v>10.72</v>
      </c>
      <c r="BS3">
        <v>16.75</v>
      </c>
      <c r="BT3">
        <v>18.68</v>
      </c>
      <c r="BU3" t="s">
        <v>991</v>
      </c>
      <c r="BV3" t="s">
        <v>318</v>
      </c>
      <c r="BW3">
        <v>39.65</v>
      </c>
      <c r="BX3">
        <v>43.55</v>
      </c>
      <c r="BY3">
        <v>47.43</v>
      </c>
      <c r="BZ3">
        <v>31.49</v>
      </c>
      <c r="CA3">
        <v>65.06</v>
      </c>
      <c r="CB3">
        <v>63.56</v>
      </c>
      <c r="CC3">
        <v>4.96</v>
      </c>
      <c r="CD3">
        <v>1.71</v>
      </c>
      <c r="CE3" t="s">
        <v>992</v>
      </c>
      <c r="CF3" t="s">
        <v>473</v>
      </c>
      <c r="CG3" s="21">
        <v>7.31981981981982E-2</v>
      </c>
      <c r="CH3" s="22">
        <v>0.2171172106824926</v>
      </c>
      <c r="CI3" s="21">
        <v>0.35884159803390503</v>
      </c>
      <c r="CJ3" s="21">
        <v>0.63345867395401001</v>
      </c>
      <c r="CK3" s="21">
        <v>0.13877984881401062</v>
      </c>
      <c r="CL3" s="21">
        <v>0.21816608309745789</v>
      </c>
      <c r="CM3" s="21">
        <v>0.36395961046218872</v>
      </c>
      <c r="CN3" s="22">
        <v>-0.30167010426521301</v>
      </c>
      <c r="CO3" s="22">
        <v>0.64228564500808716</v>
      </c>
      <c r="CP3" s="22">
        <v>1.0783847570419312</v>
      </c>
      <c r="CQ3" s="22">
        <v>0.78389829397201538</v>
      </c>
      <c r="CR3" s="22">
        <v>0.56810629367828369</v>
      </c>
      <c r="CS3">
        <v>42.277263885520256</v>
      </c>
      <c r="CT3">
        <v>1.2338641256968568</v>
      </c>
      <c r="CU3">
        <v>0.82582582582582587</v>
      </c>
      <c r="CV3" s="21">
        <v>0.34264116287231444</v>
      </c>
      <c r="CW3" s="22">
        <v>0.55420097708702087</v>
      </c>
      <c r="CX3">
        <v>0.06</v>
      </c>
      <c r="CY3">
        <v>15.677291337187308</v>
      </c>
      <c r="CZ3">
        <v>2542151711.2120142</v>
      </c>
      <c r="DA3">
        <v>0.34264116287231444</v>
      </c>
      <c r="DB3">
        <v>4.1633885760953975</v>
      </c>
      <c r="DC3">
        <v>9572503808.2745628</v>
      </c>
      <c r="DD3">
        <v>0.32550910472869871</v>
      </c>
      <c r="DE3">
        <v>1.5184982098318212</v>
      </c>
      <c r="DF3">
        <v>26245702985.987698</v>
      </c>
      <c r="DG3">
        <v>0.30152422332763673</v>
      </c>
      <c r="DH3">
        <v>0.63017996638534979</v>
      </c>
      <c r="DI3">
        <v>63242335722.918839</v>
      </c>
      <c r="DJ3">
        <v>0.27411293029785155</v>
      </c>
      <c r="DK3">
        <v>0.13107902737511637</v>
      </c>
      <c r="DL3">
        <v>304045992696.81311</v>
      </c>
      <c r="DM3">
        <v>0.23984881401062008</v>
      </c>
      <c r="DN3">
        <v>2007000000</v>
      </c>
      <c r="DO3">
        <v>0.34264116287231444</v>
      </c>
      <c r="DP3">
        <v>39854053000</v>
      </c>
      <c r="DQ3">
        <v>7343418400</v>
      </c>
      <c r="DR3">
        <v>1827</v>
      </c>
      <c r="DS3">
        <v>-0.26944296467411621</v>
      </c>
      <c r="DT3">
        <v>-0.33708376640452831</v>
      </c>
      <c r="DU3" s="23">
        <v>0.24333333333333326</v>
      </c>
      <c r="DV3">
        <v>0.95333333333333348</v>
      </c>
      <c r="DW3">
        <v>1.1966666666666668</v>
      </c>
      <c r="DX3">
        <v>4.344758064516129</v>
      </c>
      <c r="DY3">
        <v>0.46813565573770433</v>
      </c>
      <c r="DZ3">
        <v>4.0752040264740881</v>
      </c>
      <c r="EA3">
        <v>211</v>
      </c>
      <c r="EB3">
        <v>4.0720760845095638</v>
      </c>
      <c r="EC3">
        <v>4</v>
      </c>
      <c r="ED3">
        <v>6.1008698328194014E-2</v>
      </c>
      <c r="EE3">
        <v>0.27968237527180484</v>
      </c>
      <c r="EF3" s="20">
        <v>1.0486</v>
      </c>
      <c r="EG3">
        <v>1.0234000000000001</v>
      </c>
      <c r="EH3">
        <v>25.218135655737704</v>
      </c>
      <c r="EI3" t="s">
        <v>222</v>
      </c>
      <c r="EJ3">
        <v>0</v>
      </c>
      <c r="EK3">
        <v>1</v>
      </c>
      <c r="EL3" s="28">
        <v>45197</v>
      </c>
      <c r="EM3" s="29">
        <v>1.78E-2</v>
      </c>
      <c r="EN3" s="29">
        <v>1.42</v>
      </c>
      <c r="EO3" s="29">
        <v>-1.83</v>
      </c>
      <c r="EP3" s="29">
        <v>6.25</v>
      </c>
      <c r="EQ3" s="29">
        <v>-2.52</v>
      </c>
    </row>
    <row r="4" spans="1:147" ht="156" x14ac:dyDescent="0.25">
      <c r="A4" s="34"/>
      <c r="B4" s="24"/>
      <c r="C4" s="24"/>
      <c r="D4" s="24" t="s">
        <v>1504</v>
      </c>
      <c r="E4" t="s">
        <v>299</v>
      </c>
      <c r="F4" t="s">
        <v>300</v>
      </c>
      <c r="G4">
        <v>71.2</v>
      </c>
      <c r="H4">
        <v>-1.85</v>
      </c>
      <c r="I4" t="s">
        <v>1482</v>
      </c>
      <c r="J4">
        <v>6835200000</v>
      </c>
      <c r="K4">
        <v>49.44</v>
      </c>
      <c r="L4">
        <v>4.12</v>
      </c>
      <c r="M4" t="s">
        <v>272</v>
      </c>
      <c r="N4" t="s">
        <v>516</v>
      </c>
      <c r="O4" t="s">
        <v>1483</v>
      </c>
      <c r="P4" t="s">
        <v>540</v>
      </c>
      <c r="Q4">
        <v>11.02</v>
      </c>
      <c r="R4" t="s">
        <v>1484</v>
      </c>
      <c r="S4">
        <v>85975022</v>
      </c>
      <c r="T4" s="4">
        <v>0.40229999999999999</v>
      </c>
      <c r="U4" t="s">
        <v>54</v>
      </c>
      <c r="V4">
        <v>56731200</v>
      </c>
      <c r="W4">
        <v>96000000</v>
      </c>
      <c r="X4">
        <v>1.18</v>
      </c>
      <c r="Y4">
        <v>0.19</v>
      </c>
      <c r="Z4">
        <v>23.88</v>
      </c>
      <c r="AA4" t="s">
        <v>453</v>
      </c>
      <c r="AB4" t="s">
        <v>707</v>
      </c>
      <c r="AC4" t="s">
        <v>1485</v>
      </c>
      <c r="AD4" t="s">
        <v>1486</v>
      </c>
      <c r="AE4" t="s">
        <v>1487</v>
      </c>
      <c r="AF4">
        <v>-7216210</v>
      </c>
      <c r="AG4" t="s">
        <v>1488</v>
      </c>
      <c r="AH4" t="s">
        <v>1489</v>
      </c>
      <c r="AI4" t="s">
        <v>1490</v>
      </c>
      <c r="AJ4" t="s">
        <v>886</v>
      </c>
      <c r="AK4" t="s">
        <v>1491</v>
      </c>
      <c r="AL4" t="s">
        <v>1492</v>
      </c>
      <c r="AM4" t="s">
        <v>1493</v>
      </c>
      <c r="AN4" t="s">
        <v>1494</v>
      </c>
      <c r="AO4">
        <v>0</v>
      </c>
      <c r="AP4" t="s">
        <v>25</v>
      </c>
      <c r="AQ4" t="s">
        <v>25</v>
      </c>
      <c r="AR4" t="s">
        <v>1495</v>
      </c>
      <c r="AS4" t="s">
        <v>25</v>
      </c>
      <c r="AT4" t="s">
        <v>507</v>
      </c>
      <c r="AU4" t="s">
        <v>25</v>
      </c>
      <c r="AV4" t="s">
        <v>1496</v>
      </c>
      <c r="AW4" t="s">
        <v>1497</v>
      </c>
      <c r="AX4" t="s">
        <v>1498</v>
      </c>
      <c r="AY4" t="s">
        <v>454</v>
      </c>
      <c r="AZ4" t="s">
        <v>459</v>
      </c>
      <c r="BA4" t="s">
        <v>460</v>
      </c>
      <c r="BB4" t="s">
        <v>461</v>
      </c>
      <c r="BC4" t="s">
        <v>462</v>
      </c>
      <c r="BD4" t="s">
        <v>455</v>
      </c>
      <c r="BE4" t="s">
        <v>463</v>
      </c>
      <c r="BF4" t="s">
        <v>464</v>
      </c>
      <c r="BG4" t="s">
        <v>465</v>
      </c>
      <c r="BH4" t="s">
        <v>466</v>
      </c>
      <c r="BI4" t="s">
        <v>319</v>
      </c>
      <c r="BJ4" t="s">
        <v>461</v>
      </c>
      <c r="BK4" t="s">
        <v>58</v>
      </c>
      <c r="BL4" t="s">
        <v>1499</v>
      </c>
      <c r="BM4" t="s">
        <v>468</v>
      </c>
      <c r="BN4" t="s">
        <v>1500</v>
      </c>
      <c r="BO4">
        <v>10.63</v>
      </c>
      <c r="BP4">
        <v>25.63</v>
      </c>
      <c r="BQ4">
        <v>29.96</v>
      </c>
      <c r="BR4">
        <v>12.54</v>
      </c>
      <c r="BS4">
        <v>26.63</v>
      </c>
      <c r="BT4" t="s">
        <v>25</v>
      </c>
      <c r="BU4" t="s">
        <v>1501</v>
      </c>
      <c r="BV4" t="s">
        <v>318</v>
      </c>
      <c r="BW4">
        <v>36.42</v>
      </c>
      <c r="BX4">
        <v>38.32</v>
      </c>
      <c r="BY4">
        <v>39.25</v>
      </c>
      <c r="BZ4">
        <v>17.82</v>
      </c>
      <c r="CA4">
        <v>16.489999999999998</v>
      </c>
      <c r="CB4">
        <v>17.61</v>
      </c>
      <c r="CC4">
        <v>7.86</v>
      </c>
      <c r="CD4">
        <v>33.159999999999997</v>
      </c>
      <c r="CE4" t="s">
        <v>1502</v>
      </c>
      <c r="CF4" t="s">
        <v>1503</v>
      </c>
      <c r="CG4" s="21">
        <v>0.28846153846153844</v>
      </c>
      <c r="CH4" s="22">
        <v>0.65472661031516133</v>
      </c>
      <c r="CI4" s="21">
        <v>4.9342107027769089E-2</v>
      </c>
      <c r="CJ4" s="21">
        <v>0.25619834661483765</v>
      </c>
      <c r="CK4" s="21">
        <v>0.13882352411746979</v>
      </c>
      <c r="CL4" s="21">
        <v>0.30368098616600037</v>
      </c>
      <c r="CM4" s="21">
        <v>0.20295202732086182</v>
      </c>
      <c r="CN4" s="22">
        <v>0.14876507222652435</v>
      </c>
      <c r="CO4" s="22">
        <v>0.18367701768875122</v>
      </c>
      <c r="CP4" s="22">
        <v>1.4576478861272335E-2</v>
      </c>
      <c r="CQ4" s="22">
        <v>0.70906013250350952</v>
      </c>
      <c r="CR4" s="22">
        <v>0.67998135089874268</v>
      </c>
      <c r="CS4">
        <v>89.77172905885601</v>
      </c>
      <c r="CT4">
        <v>4.7198745046053263</v>
      </c>
      <c r="CU4">
        <v>0.35112359550561795</v>
      </c>
      <c r="CV4" s="21">
        <v>0.19019939824938775</v>
      </c>
      <c r="CW4" s="22">
        <v>0.34721201043576</v>
      </c>
      <c r="CX4">
        <v>0.06</v>
      </c>
      <c r="CY4">
        <v>42.696015478220488</v>
      </c>
      <c r="CZ4">
        <v>128002576.79285866</v>
      </c>
      <c r="DA4">
        <v>0.19019939824938775</v>
      </c>
      <c r="DB4">
        <v>12.830357260803437</v>
      </c>
      <c r="DC4">
        <v>425958520.78851384</v>
      </c>
      <c r="DD4">
        <v>0.18068942833691837</v>
      </c>
      <c r="DE4">
        <v>5.6234624874441455</v>
      </c>
      <c r="DF4">
        <v>971856754.12657094</v>
      </c>
      <c r="DG4">
        <v>0.16737547045946122</v>
      </c>
      <c r="DH4">
        <v>2.9456743546243827</v>
      </c>
      <c r="DI4">
        <v>1855330678.8376796</v>
      </c>
      <c r="DJ4">
        <v>0.15215951859951021</v>
      </c>
      <c r="DK4">
        <v>1.1059311456989098</v>
      </c>
      <c r="DL4">
        <v>4941718136.1197529</v>
      </c>
      <c r="DM4">
        <v>0.13313957877457142</v>
      </c>
      <c r="DN4">
        <v>113999999.99999999</v>
      </c>
      <c r="DO4">
        <v>0.19019939824938775</v>
      </c>
      <c r="DP4">
        <v>5465200000</v>
      </c>
      <c r="DQ4">
        <v>1596435600</v>
      </c>
      <c r="DR4">
        <v>2738</v>
      </c>
      <c r="DS4">
        <v>9.8262140212150684E-2</v>
      </c>
      <c r="DT4">
        <v>0.30751459987940133</v>
      </c>
      <c r="DU4" s="23">
        <v>-7.3333333333333403E-2</v>
      </c>
      <c r="DV4">
        <v>0.80333333333333323</v>
      </c>
      <c r="DW4">
        <v>0.72999999999999987</v>
      </c>
      <c r="DX4">
        <v>9.2370325693606752</v>
      </c>
      <c r="DY4">
        <v>0.29354472140004251</v>
      </c>
      <c r="DZ4">
        <v>9.0316544484380081</v>
      </c>
      <c r="EA4">
        <v>652</v>
      </c>
      <c r="EB4">
        <v>9.0275861061589655</v>
      </c>
      <c r="EC4">
        <v>9</v>
      </c>
      <c r="ED4">
        <v>6.725520833333333E-2</v>
      </c>
      <c r="EE4">
        <v>0.50361562500000001</v>
      </c>
      <c r="EF4" s="20">
        <v>9.01E-2</v>
      </c>
      <c r="EG4">
        <v>7.1599999999999997E-2</v>
      </c>
      <c r="EH4">
        <v>16.133544721400042</v>
      </c>
      <c r="EI4" t="s">
        <v>221</v>
      </c>
      <c r="EJ4">
        <v>1</v>
      </c>
      <c r="EK4">
        <v>1</v>
      </c>
      <c r="EL4" s="28">
        <v>45197</v>
      </c>
      <c r="EM4" s="29">
        <v>2.5600000000000001E-2</v>
      </c>
      <c r="EN4" s="29">
        <v>3.15</v>
      </c>
      <c r="EO4" s="29">
        <v>-2.2799999999999998</v>
      </c>
      <c r="EP4" s="29">
        <v>6.3</v>
      </c>
      <c r="EQ4" s="29">
        <v>-1.85</v>
      </c>
    </row>
    <row r="5" spans="1:147" ht="96" x14ac:dyDescent="0.25">
      <c r="A5" s="34"/>
      <c r="B5" s="24"/>
      <c r="C5" s="24"/>
      <c r="D5" s="24" t="s">
        <v>1527</v>
      </c>
      <c r="E5" t="s">
        <v>311</v>
      </c>
      <c r="F5" t="s">
        <v>312</v>
      </c>
      <c r="G5">
        <v>67.599999999999994</v>
      </c>
      <c r="H5">
        <v>-1.56</v>
      </c>
      <c r="I5" t="s">
        <v>1505</v>
      </c>
      <c r="J5">
        <v>4134416000</v>
      </c>
      <c r="K5">
        <v>35.97</v>
      </c>
      <c r="L5">
        <v>4.13</v>
      </c>
      <c r="M5" t="s">
        <v>272</v>
      </c>
      <c r="N5" t="s">
        <v>72</v>
      </c>
      <c r="O5" t="s">
        <v>1506</v>
      </c>
      <c r="P5" t="s">
        <v>1020</v>
      </c>
      <c r="Q5">
        <v>42.2</v>
      </c>
      <c r="R5" t="s">
        <v>859</v>
      </c>
      <c r="S5">
        <v>61941245</v>
      </c>
      <c r="T5" s="4">
        <v>2.1890000000000001</v>
      </c>
      <c r="U5" t="s">
        <v>1507</v>
      </c>
      <c r="V5">
        <v>35798940</v>
      </c>
      <c r="W5">
        <v>60975000</v>
      </c>
      <c r="X5">
        <v>1.26</v>
      </c>
      <c r="Y5">
        <v>0.28999999999999998</v>
      </c>
      <c r="Z5">
        <v>17.77</v>
      </c>
      <c r="AA5" t="s">
        <v>1508</v>
      </c>
      <c r="AB5" t="s">
        <v>1221</v>
      </c>
      <c r="AC5" t="s">
        <v>1509</v>
      </c>
      <c r="AD5" t="s">
        <v>1510</v>
      </c>
      <c r="AE5" t="s">
        <v>1511</v>
      </c>
      <c r="AF5">
        <v>-4745137</v>
      </c>
      <c r="AG5" t="s">
        <v>1512</v>
      </c>
      <c r="AH5">
        <v>1015.27</v>
      </c>
      <c r="AI5" t="s">
        <v>1513</v>
      </c>
      <c r="AJ5" t="s">
        <v>1514</v>
      </c>
      <c r="AK5" t="s">
        <v>1515</v>
      </c>
      <c r="AL5" t="s">
        <v>25</v>
      </c>
      <c r="AM5" t="s">
        <v>1516</v>
      </c>
      <c r="AN5" t="s">
        <v>1517</v>
      </c>
      <c r="AO5">
        <v>0</v>
      </c>
      <c r="AP5" t="s">
        <v>25</v>
      </c>
      <c r="AQ5" t="s">
        <v>25</v>
      </c>
      <c r="AR5" t="s">
        <v>1518</v>
      </c>
      <c r="AS5" t="s">
        <v>25</v>
      </c>
      <c r="AT5" t="s">
        <v>519</v>
      </c>
      <c r="AU5" t="s">
        <v>25</v>
      </c>
      <c r="AV5" t="s">
        <v>1519</v>
      </c>
      <c r="AW5" t="s">
        <v>1520</v>
      </c>
      <c r="AX5" t="s">
        <v>1521</v>
      </c>
      <c r="AY5" t="s">
        <v>529</v>
      </c>
      <c r="AZ5" t="s">
        <v>533</v>
      </c>
      <c r="BA5" t="s">
        <v>534</v>
      </c>
      <c r="BB5" t="s">
        <v>320</v>
      </c>
      <c r="BC5" t="s">
        <v>535</v>
      </c>
      <c r="BD5" t="s">
        <v>530</v>
      </c>
      <c r="BE5" t="s">
        <v>536</v>
      </c>
      <c r="BF5" t="s">
        <v>537</v>
      </c>
      <c r="BG5" t="s">
        <v>538</v>
      </c>
      <c r="BH5" t="s">
        <v>539</v>
      </c>
      <c r="BI5" t="s">
        <v>1253</v>
      </c>
      <c r="BJ5" t="s">
        <v>509</v>
      </c>
      <c r="BK5" t="s">
        <v>497</v>
      </c>
      <c r="BL5" t="s">
        <v>1522</v>
      </c>
      <c r="BM5" t="s">
        <v>542</v>
      </c>
      <c r="BN5" t="s">
        <v>1523</v>
      </c>
      <c r="BO5">
        <v>11.18</v>
      </c>
      <c r="BP5">
        <v>28.43</v>
      </c>
      <c r="BQ5">
        <v>24.02</v>
      </c>
      <c r="BR5">
        <v>11.39</v>
      </c>
      <c r="BS5">
        <v>29</v>
      </c>
      <c r="BT5" t="s">
        <v>25</v>
      </c>
      <c r="BU5" t="s">
        <v>1524</v>
      </c>
      <c r="BV5" t="s">
        <v>318</v>
      </c>
      <c r="BW5">
        <v>24.58</v>
      </c>
      <c r="BX5">
        <v>26.08</v>
      </c>
      <c r="BY5">
        <v>29.12</v>
      </c>
      <c r="BZ5">
        <v>16.12</v>
      </c>
      <c r="CA5">
        <v>11.49</v>
      </c>
      <c r="CB5">
        <v>10.53</v>
      </c>
      <c r="CC5">
        <v>11.79</v>
      </c>
      <c r="CD5">
        <v>23.07</v>
      </c>
      <c r="CE5" t="s">
        <v>1525</v>
      </c>
      <c r="CF5" t="s">
        <v>1526</v>
      </c>
      <c r="CG5" s="21">
        <v>0.54032258064516092</v>
      </c>
      <c r="CH5" s="22">
        <v>2.7876865864633653</v>
      </c>
      <c r="CI5" s="21">
        <v>0.16500994563102722</v>
      </c>
      <c r="CJ5" s="21">
        <v>0.50149255990982056</v>
      </c>
      <c r="CK5" s="21">
        <v>0.10197368264198303</v>
      </c>
      <c r="CL5" s="21">
        <v>0.57512950897216797</v>
      </c>
      <c r="CM5" s="21">
        <v>0.72321426868438721</v>
      </c>
      <c r="CN5" s="22">
        <v>0.25346466898918152</v>
      </c>
      <c r="CO5" s="22">
        <v>0.63575100898742676</v>
      </c>
      <c r="CP5" s="22">
        <v>-0.32545328140258789</v>
      </c>
      <c r="CQ5" s="22">
        <v>0.72907590866088867</v>
      </c>
      <c r="CR5" s="22">
        <v>0.88707947731018066</v>
      </c>
      <c r="CS5">
        <v>93.900581539059047</v>
      </c>
      <c r="CT5">
        <v>2.2716197610594433</v>
      </c>
      <c r="CU5">
        <v>0.15976331360946747</v>
      </c>
      <c r="CV5" s="21">
        <v>0.4133639931678772</v>
      </c>
      <c r="CW5" s="22">
        <v>0.43598355650901793</v>
      </c>
      <c r="CX5">
        <v>0.06</v>
      </c>
      <c r="CY5">
        <v>35.125778855214065</v>
      </c>
      <c r="CZ5">
        <v>96550627.787619263</v>
      </c>
      <c r="DA5">
        <v>0.4133639931678772</v>
      </c>
      <c r="DB5">
        <v>8.8233060487854438</v>
      </c>
      <c r="DC5">
        <v>384370210.12853104</v>
      </c>
      <c r="DD5">
        <v>0.3926957935094833</v>
      </c>
      <c r="DE5">
        <v>2.9509198267872461</v>
      </c>
      <c r="DF5">
        <v>1149274192.1397219</v>
      </c>
      <c r="DG5">
        <v>0.36376031398773195</v>
      </c>
      <c r="DH5">
        <v>1.0924487541147496</v>
      </c>
      <c r="DI5">
        <v>3104416557.0477362</v>
      </c>
      <c r="DJ5">
        <v>0.33069119453430179</v>
      </c>
      <c r="DK5">
        <v>0.16908453179410246</v>
      </c>
      <c r="DL5">
        <v>20057517763.53968</v>
      </c>
      <c r="DM5">
        <v>0.289354795217514</v>
      </c>
      <c r="DN5">
        <v>72411400</v>
      </c>
      <c r="DO5">
        <v>0.4133639931678772</v>
      </c>
      <c r="DP5">
        <v>3391416000</v>
      </c>
      <c r="DQ5">
        <v>969308150</v>
      </c>
      <c r="DR5">
        <v>2670</v>
      </c>
      <c r="DS5">
        <v>0.12695858747728372</v>
      </c>
      <c r="DT5">
        <v>2.3517030299543475</v>
      </c>
      <c r="DU5" s="23">
        <v>0.19333333333333327</v>
      </c>
      <c r="DV5">
        <v>1.3666666666666665</v>
      </c>
      <c r="DW5">
        <v>1.5599999999999998</v>
      </c>
      <c r="DX5">
        <v>9.5110533159947988</v>
      </c>
      <c r="DY5">
        <v>0.48472193074501746</v>
      </c>
      <c r="DZ5">
        <v>9.119955421043942</v>
      </c>
      <c r="EA5">
        <v>83</v>
      </c>
      <c r="EB5">
        <v>9.117992815101374</v>
      </c>
      <c r="EC5">
        <v>9</v>
      </c>
      <c r="ED5">
        <v>0.18342763427634276</v>
      </c>
      <c r="EE5">
        <v>0.78146781467814674</v>
      </c>
      <c r="EF5" s="20">
        <v>7.5999999999999956E-3</v>
      </c>
      <c r="EG5">
        <v>8.0099999999999998E-3</v>
      </c>
      <c r="EH5">
        <v>25.234721930745017</v>
      </c>
      <c r="EI5">
        <v>-1</v>
      </c>
      <c r="EJ5">
        <v>1</v>
      </c>
      <c r="EK5">
        <v>1</v>
      </c>
      <c r="EL5" s="28">
        <v>45197</v>
      </c>
      <c r="EM5" s="29">
        <v>9.9000000000000008E-3</v>
      </c>
      <c r="EN5" s="29">
        <v>6.68</v>
      </c>
      <c r="EO5" s="29">
        <v>0.28999999999999998</v>
      </c>
      <c r="EP5" s="29">
        <v>5.0999999999999996</v>
      </c>
      <c r="EQ5" s="29">
        <v>-1.56</v>
      </c>
    </row>
    <row r="6" spans="1:147" s="16" customFormat="1" ht="180" x14ac:dyDescent="0.25">
      <c r="A6" s="32" t="s">
        <v>1263</v>
      </c>
      <c r="B6" s="24" t="s">
        <v>1480</v>
      </c>
      <c r="C6" s="24" t="s">
        <v>1268</v>
      </c>
      <c r="D6" s="24" t="s">
        <v>1103</v>
      </c>
      <c r="E6" t="s">
        <v>23</v>
      </c>
      <c r="F6" t="s">
        <v>24</v>
      </c>
      <c r="G6">
        <v>76.040000000000006</v>
      </c>
      <c r="H6">
        <v>-1.76</v>
      </c>
      <c r="I6" t="s">
        <v>1075</v>
      </c>
      <c r="J6">
        <v>10228424900</v>
      </c>
      <c r="K6">
        <v>29.93</v>
      </c>
      <c r="L6">
        <v>3.76</v>
      </c>
      <c r="M6" t="s">
        <v>272</v>
      </c>
      <c r="N6" t="s">
        <v>1076</v>
      </c>
      <c r="O6" t="s">
        <v>1077</v>
      </c>
      <c r="P6" t="s">
        <v>1078</v>
      </c>
      <c r="Q6">
        <v>17.43</v>
      </c>
      <c r="R6" t="s">
        <v>1079</v>
      </c>
      <c r="S6">
        <v>166132440</v>
      </c>
      <c r="T6" s="4">
        <v>2.1700000000000001E-2</v>
      </c>
      <c r="U6" t="s">
        <v>1080</v>
      </c>
      <c r="V6">
        <v>109783938</v>
      </c>
      <c r="W6">
        <v>134513740</v>
      </c>
      <c r="X6">
        <v>1.5</v>
      </c>
      <c r="Y6">
        <v>0.35</v>
      </c>
      <c r="Z6">
        <v>19.04</v>
      </c>
      <c r="AA6" t="s">
        <v>1081</v>
      </c>
      <c r="AB6" t="s">
        <v>439</v>
      </c>
      <c r="AC6" t="s">
        <v>1082</v>
      </c>
      <c r="AD6" t="s">
        <v>1083</v>
      </c>
      <c r="AE6" t="s">
        <v>1084</v>
      </c>
      <c r="AF6">
        <v>-140622</v>
      </c>
      <c r="AG6" t="s">
        <v>1085</v>
      </c>
      <c r="AH6" t="s">
        <v>1086</v>
      </c>
      <c r="AI6" t="s">
        <v>1087</v>
      </c>
      <c r="AJ6" t="s">
        <v>362</v>
      </c>
      <c r="AK6" t="s">
        <v>1088</v>
      </c>
      <c r="AL6" t="s">
        <v>1089</v>
      </c>
      <c r="AM6" t="s">
        <v>1090</v>
      </c>
      <c r="AN6" t="s">
        <v>1091</v>
      </c>
      <c r="AO6" t="s">
        <v>1092</v>
      </c>
      <c r="AP6" t="s">
        <v>436</v>
      </c>
      <c r="AQ6" t="s">
        <v>25</v>
      </c>
      <c r="AR6" t="s">
        <v>1093</v>
      </c>
      <c r="AS6" t="s">
        <v>25</v>
      </c>
      <c r="AT6" t="s">
        <v>1094</v>
      </c>
      <c r="AU6" t="s">
        <v>25</v>
      </c>
      <c r="AV6" t="s">
        <v>1095</v>
      </c>
      <c r="AW6" t="s">
        <v>1096</v>
      </c>
      <c r="AX6" t="s">
        <v>341</v>
      </c>
      <c r="AY6" t="s">
        <v>281</v>
      </c>
      <c r="AZ6" t="s">
        <v>55</v>
      </c>
      <c r="BA6" t="s">
        <v>89</v>
      </c>
      <c r="BB6" t="s">
        <v>45</v>
      </c>
      <c r="BC6" t="s">
        <v>85</v>
      </c>
      <c r="BD6" t="s">
        <v>60</v>
      </c>
      <c r="BE6" t="s">
        <v>71</v>
      </c>
      <c r="BF6" t="s">
        <v>94</v>
      </c>
      <c r="BG6" t="s">
        <v>170</v>
      </c>
      <c r="BH6" t="s">
        <v>171</v>
      </c>
      <c r="BI6" t="s">
        <v>1097</v>
      </c>
      <c r="BJ6" t="s">
        <v>340</v>
      </c>
      <c r="BK6" t="s">
        <v>1098</v>
      </c>
      <c r="BL6" t="s">
        <v>351</v>
      </c>
      <c r="BM6" t="s">
        <v>41</v>
      </c>
      <c r="BN6" t="s">
        <v>1099</v>
      </c>
      <c r="BO6">
        <v>21.35</v>
      </c>
      <c r="BP6">
        <v>22.6</v>
      </c>
      <c r="BQ6">
        <v>11.89</v>
      </c>
      <c r="BR6">
        <v>23.25</v>
      </c>
      <c r="BS6">
        <v>22.66</v>
      </c>
      <c r="BT6">
        <v>12.23</v>
      </c>
      <c r="BU6" t="s">
        <v>1100</v>
      </c>
      <c r="BV6" t="s">
        <v>318</v>
      </c>
      <c r="BW6">
        <v>43.54</v>
      </c>
      <c r="BX6">
        <v>45.34</v>
      </c>
      <c r="BY6">
        <v>41.07</v>
      </c>
      <c r="BZ6">
        <v>22.5</v>
      </c>
      <c r="CA6">
        <v>24.39</v>
      </c>
      <c r="CB6">
        <v>20.149999999999999</v>
      </c>
      <c r="CC6">
        <v>6.41</v>
      </c>
      <c r="CD6">
        <v>-13.88</v>
      </c>
      <c r="CE6" t="s">
        <v>1101</v>
      </c>
      <c r="CF6" t="s">
        <v>1102</v>
      </c>
      <c r="CG6" s="21">
        <v>8.7855297157623052E-2</v>
      </c>
      <c r="CH6" s="22">
        <v>-0.25260883549862251</v>
      </c>
      <c r="CI6" s="21">
        <v>0.42159381508827209</v>
      </c>
      <c r="CJ6" s="21">
        <v>0.75225234031677246</v>
      </c>
      <c r="CK6" s="21">
        <v>0.48329621553421021</v>
      </c>
      <c r="CL6" s="21">
        <v>0.38153845071792603</v>
      </c>
      <c r="CM6" s="21">
        <v>0.30522087216377258</v>
      </c>
      <c r="CN6" s="22">
        <v>0.19858156144618988</v>
      </c>
      <c r="CO6" s="22">
        <v>1.1860464811325073</v>
      </c>
      <c r="CP6" s="22">
        <v>0.93771958351135254</v>
      </c>
      <c r="CQ6" s="22">
        <v>9.5445975661277771E-2</v>
      </c>
      <c r="CR6" s="22">
        <v>0.4601532518863678</v>
      </c>
      <c r="CS6">
        <v>66.854897303430718</v>
      </c>
      <c r="CT6">
        <v>1.4261455051565326</v>
      </c>
      <c r="CU6">
        <v>0.51288795370857443</v>
      </c>
      <c r="CV6" s="21">
        <v>0.46878033876419067</v>
      </c>
      <c r="CW6" s="22">
        <v>0.57558937072753902</v>
      </c>
      <c r="CX6">
        <v>0.06</v>
      </c>
      <c r="CY6">
        <v>19.971145612169622</v>
      </c>
      <c r="CZ6">
        <v>468346938.20971364</v>
      </c>
      <c r="DA6">
        <v>0.46878033876419067</v>
      </c>
      <c r="DB6">
        <v>4.8061223502362296</v>
      </c>
      <c r="DC6">
        <v>1946147896.0352025</v>
      </c>
      <c r="DD6">
        <v>0.44534132182598113</v>
      </c>
      <c r="DE6">
        <v>1.5015648912268569</v>
      </c>
      <c r="DF6">
        <v>6229118005.2550135</v>
      </c>
      <c r="DG6">
        <v>0.41252669811248782</v>
      </c>
      <c r="DH6">
        <v>0.50756245832274138</v>
      </c>
      <c r="DI6">
        <v>18428125931.355785</v>
      </c>
      <c r="DJ6">
        <v>0.37502427101135255</v>
      </c>
      <c r="DK6">
        <v>6.2112743835010441E-2</v>
      </c>
      <c r="DL6">
        <v>150587855607.30377</v>
      </c>
      <c r="DM6">
        <v>0.32814623713493346</v>
      </c>
      <c r="DN6">
        <v>338000000</v>
      </c>
      <c r="DO6">
        <v>0.46878033876419067</v>
      </c>
      <c r="DP6">
        <v>9353424900</v>
      </c>
      <c r="DQ6">
        <v>547712460</v>
      </c>
      <c r="DR6">
        <v>4689</v>
      </c>
      <c r="DS6">
        <v>-0.38092504160656759</v>
      </c>
      <c r="DT6">
        <v>-0.82819820622616147</v>
      </c>
      <c r="DU6" s="23">
        <v>0.37666666666666654</v>
      </c>
      <c r="DV6">
        <v>0.83333333333333337</v>
      </c>
      <c r="DW6">
        <v>1.21</v>
      </c>
      <c r="DX6">
        <v>7.3159191720059145</v>
      </c>
      <c r="DY6">
        <v>0.46548530696193507</v>
      </c>
      <c r="DZ6">
        <v>7.0554391728746184</v>
      </c>
      <c r="EA6">
        <v>206</v>
      </c>
      <c r="EB6">
        <v>7.0531879468521126</v>
      </c>
      <c r="EC6">
        <v>7</v>
      </c>
      <c r="ED6">
        <v>7.4086111946630881E-2</v>
      </c>
      <c r="EE6">
        <v>0.42217843322176607</v>
      </c>
      <c r="EF6" s="20">
        <v>2.036</v>
      </c>
      <c r="EG6">
        <v>2.0184000000000002</v>
      </c>
      <c r="EH6">
        <v>29.175485306961935</v>
      </c>
      <c r="EI6" t="s">
        <v>961</v>
      </c>
      <c r="EJ6">
        <v>1</v>
      </c>
      <c r="EK6">
        <v>1</v>
      </c>
      <c r="EL6" s="28">
        <v>45197</v>
      </c>
      <c r="EM6" s="29">
        <v>2.5700000000000001E-2</v>
      </c>
      <c r="EN6" s="29">
        <v>1.1100000000000001</v>
      </c>
      <c r="EO6" s="29">
        <v>-1.61</v>
      </c>
      <c r="EP6" s="29">
        <v>6.14</v>
      </c>
      <c r="EQ6" s="29">
        <v>-1.76</v>
      </c>
    </row>
    <row r="7" spans="1:147" s="16" customFormat="1" ht="159.5" customHeight="1" x14ac:dyDescent="0.25">
      <c r="A7" s="32" t="s">
        <v>1262</v>
      </c>
      <c r="B7" s="24" t="s">
        <v>1528</v>
      </c>
      <c r="C7" s="24" t="s">
        <v>1529</v>
      </c>
      <c r="D7" s="24" t="s">
        <v>1204</v>
      </c>
      <c r="E7" t="s">
        <v>8</v>
      </c>
      <c r="F7" t="s">
        <v>9</v>
      </c>
      <c r="G7">
        <v>23.82</v>
      </c>
      <c r="H7">
        <v>-3.95</v>
      </c>
      <c r="I7" t="s">
        <v>1182</v>
      </c>
      <c r="J7">
        <v>17862349000</v>
      </c>
      <c r="K7">
        <v>22.5</v>
      </c>
      <c r="L7">
        <v>2.23</v>
      </c>
      <c r="M7" t="s">
        <v>272</v>
      </c>
      <c r="N7" t="s">
        <v>1183</v>
      </c>
      <c r="O7" t="s">
        <v>1184</v>
      </c>
      <c r="P7" t="s">
        <v>1185</v>
      </c>
      <c r="Q7">
        <v>30.27</v>
      </c>
      <c r="R7" t="s">
        <v>895</v>
      </c>
      <c r="S7">
        <v>90627154</v>
      </c>
      <c r="T7" s="4">
        <v>-0.75580000000000003</v>
      </c>
      <c r="U7" t="s">
        <v>896</v>
      </c>
      <c r="V7">
        <v>630482130</v>
      </c>
      <c r="W7">
        <v>749888700</v>
      </c>
      <c r="X7">
        <v>1.27</v>
      </c>
      <c r="Y7">
        <v>0.1</v>
      </c>
      <c r="Z7">
        <v>8.84</v>
      </c>
      <c r="AA7" t="s">
        <v>1186</v>
      </c>
      <c r="AB7" t="s">
        <v>1187</v>
      </c>
      <c r="AC7" t="s">
        <v>1188</v>
      </c>
      <c r="AD7" t="s">
        <v>80</v>
      </c>
      <c r="AE7" t="s">
        <v>1189</v>
      </c>
      <c r="AF7">
        <v>-73905990</v>
      </c>
      <c r="AG7" t="s">
        <v>1190</v>
      </c>
      <c r="AH7" t="s">
        <v>1191</v>
      </c>
      <c r="AI7" t="s">
        <v>1192</v>
      </c>
      <c r="AJ7" t="s">
        <v>1193</v>
      </c>
      <c r="AK7" t="s">
        <v>1194</v>
      </c>
      <c r="AL7" t="s">
        <v>1195</v>
      </c>
      <c r="AM7" t="s">
        <v>1196</v>
      </c>
      <c r="AN7" t="s">
        <v>859</v>
      </c>
      <c r="AO7" t="s">
        <v>1197</v>
      </c>
      <c r="AP7" t="s">
        <v>25</v>
      </c>
      <c r="AQ7" t="s">
        <v>25</v>
      </c>
      <c r="AR7" t="s">
        <v>1198</v>
      </c>
      <c r="AS7" t="s">
        <v>25</v>
      </c>
      <c r="AT7" t="s">
        <v>1199</v>
      </c>
      <c r="AU7" t="s">
        <v>25</v>
      </c>
      <c r="AV7" t="s">
        <v>426</v>
      </c>
      <c r="AW7" t="s">
        <v>1200</v>
      </c>
      <c r="AX7" t="s">
        <v>1201</v>
      </c>
      <c r="AY7" t="s">
        <v>278</v>
      </c>
      <c r="AZ7" t="s">
        <v>77</v>
      </c>
      <c r="BA7" t="s">
        <v>61</v>
      </c>
      <c r="BB7" t="s">
        <v>164</v>
      </c>
      <c r="BC7" t="s">
        <v>63</v>
      </c>
      <c r="BD7" t="s">
        <v>73</v>
      </c>
      <c r="BE7" t="s">
        <v>70</v>
      </c>
      <c r="BF7" t="s">
        <v>51</v>
      </c>
      <c r="BG7" t="s">
        <v>66</v>
      </c>
      <c r="BH7" t="s">
        <v>165</v>
      </c>
      <c r="BI7" t="s">
        <v>435</v>
      </c>
      <c r="BJ7" t="s">
        <v>1065</v>
      </c>
      <c r="BK7" t="s">
        <v>462</v>
      </c>
      <c r="BL7" t="s">
        <v>48</v>
      </c>
      <c r="BM7" t="s">
        <v>1202</v>
      </c>
      <c r="BN7" t="s">
        <v>36</v>
      </c>
      <c r="BO7">
        <v>12.51</v>
      </c>
      <c r="BP7">
        <v>11.57</v>
      </c>
      <c r="BQ7">
        <v>29.47</v>
      </c>
      <c r="BR7">
        <v>13.99</v>
      </c>
      <c r="BS7">
        <v>9.42</v>
      </c>
      <c r="BT7">
        <v>30.78</v>
      </c>
      <c r="BU7" t="s">
        <v>897</v>
      </c>
      <c r="BV7" t="s">
        <v>318</v>
      </c>
      <c r="BW7">
        <v>51.7</v>
      </c>
      <c r="BX7">
        <v>48.73</v>
      </c>
      <c r="BY7">
        <v>51.38</v>
      </c>
      <c r="BZ7">
        <v>50.82</v>
      </c>
      <c r="CA7">
        <v>36.69</v>
      </c>
      <c r="CB7">
        <v>29.15</v>
      </c>
      <c r="CC7">
        <v>5.03</v>
      </c>
      <c r="CD7">
        <v>-8.67</v>
      </c>
      <c r="CE7" t="s">
        <v>1203</v>
      </c>
      <c r="CF7" t="s">
        <v>485</v>
      </c>
      <c r="CG7" s="21">
        <v>0.27075098814229226</v>
      </c>
      <c r="CH7" s="22">
        <v>-1.3958245772357725</v>
      </c>
      <c r="CI7" s="21">
        <v>0.49505609273910522</v>
      </c>
      <c r="CJ7" s="21">
        <v>0.40985125303268433</v>
      </c>
      <c r="CK7" s="21">
        <v>0.68388104438781738</v>
      </c>
      <c r="CL7" s="21">
        <v>0.5623471736907959</v>
      </c>
      <c r="CM7" s="21">
        <v>0.35880398750305176</v>
      </c>
      <c r="CN7" s="22">
        <v>0.92818671464920044</v>
      </c>
      <c r="CO7" s="22">
        <v>0.76825398206710815</v>
      </c>
      <c r="CP7" s="22">
        <v>0.68449199199676514</v>
      </c>
      <c r="CQ7" s="22">
        <v>0.73148149251937866</v>
      </c>
      <c r="CR7" s="22">
        <v>0.41275456547737122</v>
      </c>
      <c r="CS7">
        <v>46.246633363343378</v>
      </c>
      <c r="CT7">
        <v>0.92126986361893537</v>
      </c>
      <c r="CU7">
        <v>1.6792611251049538</v>
      </c>
      <c r="CV7" s="21">
        <v>0.5019879102706909</v>
      </c>
      <c r="CW7" s="22">
        <v>0.70503374934196472</v>
      </c>
      <c r="CX7">
        <v>0.06</v>
      </c>
      <c r="CY7">
        <v>7.9071806243154219</v>
      </c>
      <c r="CZ7">
        <v>1521825486.4440773</v>
      </c>
      <c r="DA7">
        <v>0.5019879102706909</v>
      </c>
      <c r="DB7">
        <v>1.8552236225685721</v>
      </c>
      <c r="DC7">
        <v>6486198673.6346807</v>
      </c>
      <c r="DD7">
        <v>0.47688851475715632</v>
      </c>
      <c r="DE7">
        <v>0.55644874303838232</v>
      </c>
      <c r="DF7">
        <v>21625260458.482109</v>
      </c>
      <c r="DG7">
        <v>0.441749361038208</v>
      </c>
      <c r="DH7">
        <v>0.17805231977539074</v>
      </c>
      <c r="DI7">
        <v>67583219444.598183</v>
      </c>
      <c r="DJ7">
        <v>0.40159032821655272</v>
      </c>
      <c r="DK7">
        <v>1.8921675530988485E-2</v>
      </c>
      <c r="DL7">
        <v>635955784163.65369</v>
      </c>
      <c r="DM7">
        <v>0.35139153718948363</v>
      </c>
      <c r="DN7">
        <v>1074000000</v>
      </c>
      <c r="DO7">
        <v>0.5019879102706909</v>
      </c>
      <c r="DP7">
        <v>12033349000</v>
      </c>
      <c r="DQ7">
        <v>3881980400</v>
      </c>
      <c r="DR7">
        <v>3929</v>
      </c>
      <c r="DS7">
        <v>-0.23123692212839864</v>
      </c>
      <c r="DT7">
        <v>-2.100858326577737</v>
      </c>
      <c r="DU7" s="23">
        <v>0.35999999999999993</v>
      </c>
      <c r="DV7">
        <v>0.79333333333333345</v>
      </c>
      <c r="DW7">
        <v>1.1533333333333333</v>
      </c>
      <c r="DX7">
        <v>6.3671532846715326</v>
      </c>
      <c r="DY7">
        <v>0.70685149999999819</v>
      </c>
      <c r="DZ7">
        <v>6.090632339051095</v>
      </c>
      <c r="EA7">
        <v>237</v>
      </c>
      <c r="EB7">
        <v>6.086398184831677</v>
      </c>
      <c r="EC7">
        <v>6</v>
      </c>
      <c r="ED7">
        <v>6.5836836853255684E-2</v>
      </c>
      <c r="EE7">
        <v>0.26670624587355429</v>
      </c>
      <c r="EF7" s="20">
        <v>-1.0661</v>
      </c>
      <c r="EG7">
        <v>-1.0266</v>
      </c>
      <c r="EH7">
        <v>46.246851499999998</v>
      </c>
      <c r="EI7" t="s">
        <v>504</v>
      </c>
      <c r="EJ7">
        <v>0</v>
      </c>
      <c r="EK7">
        <v>1</v>
      </c>
      <c r="EL7" s="28">
        <v>45197</v>
      </c>
      <c r="EM7" s="29">
        <v>3.6999999999999998E-2</v>
      </c>
      <c r="EN7" s="29">
        <v>1.45</v>
      </c>
      <c r="EO7" s="29">
        <v>-2.1800000000000002</v>
      </c>
      <c r="EP7" s="29">
        <v>6.26</v>
      </c>
      <c r="EQ7" s="29">
        <v>-3.95</v>
      </c>
    </row>
    <row r="8" spans="1:147" s="16" customFormat="1" ht="132" x14ac:dyDescent="0.25">
      <c r="A8" s="32"/>
      <c r="B8" s="33"/>
      <c r="C8" s="33"/>
      <c r="D8" s="3" t="s">
        <v>927</v>
      </c>
      <c r="E8">
        <v>6127</v>
      </c>
      <c r="F8" t="s">
        <v>9</v>
      </c>
      <c r="G8">
        <v>30.15</v>
      </c>
      <c r="H8" s="4">
        <v>4.87E-2</v>
      </c>
      <c r="I8" t="s">
        <v>881</v>
      </c>
      <c r="J8">
        <v>16150712000</v>
      </c>
      <c r="K8">
        <v>12.7</v>
      </c>
      <c r="L8">
        <v>1.69</v>
      </c>
      <c r="M8" t="s">
        <v>882</v>
      </c>
      <c r="N8" t="s">
        <v>898</v>
      </c>
      <c r="O8" t="s">
        <v>899</v>
      </c>
      <c r="P8" t="s">
        <v>555</v>
      </c>
      <c r="Q8">
        <v>36.32</v>
      </c>
      <c r="R8" t="s">
        <v>900</v>
      </c>
      <c r="S8">
        <v>214599900</v>
      </c>
      <c r="T8" s="4">
        <v>0.38819999999999999</v>
      </c>
      <c r="U8" t="s">
        <v>335</v>
      </c>
      <c r="V8">
        <v>84996576</v>
      </c>
      <c r="W8">
        <v>535678680</v>
      </c>
      <c r="X8">
        <v>1.26</v>
      </c>
      <c r="Y8">
        <v>0.04</v>
      </c>
      <c r="Z8">
        <v>58.3</v>
      </c>
      <c r="AA8" t="s">
        <v>901</v>
      </c>
      <c r="AB8" t="s">
        <v>902</v>
      </c>
      <c r="AC8" t="s">
        <v>903</v>
      </c>
      <c r="AD8" t="s">
        <v>355</v>
      </c>
      <c r="AE8" t="s">
        <v>904</v>
      </c>
      <c r="AF8" t="s">
        <v>905</v>
      </c>
      <c r="AG8" t="s">
        <v>25</v>
      </c>
      <c r="AH8" t="s">
        <v>906</v>
      </c>
      <c r="AI8" t="s">
        <v>907</v>
      </c>
      <c r="AJ8" t="s">
        <v>908</v>
      </c>
      <c r="AK8" t="s">
        <v>515</v>
      </c>
      <c r="AL8" t="s">
        <v>909</v>
      </c>
      <c r="AM8" t="s">
        <v>25</v>
      </c>
      <c r="AN8" t="s">
        <v>910</v>
      </c>
      <c r="AO8" s="4">
        <v>0.2072</v>
      </c>
      <c r="AP8" t="s">
        <v>25</v>
      </c>
      <c r="AQ8" t="s">
        <v>361</v>
      </c>
      <c r="AR8" t="s">
        <v>911</v>
      </c>
      <c r="AS8" t="s">
        <v>912</v>
      </c>
      <c r="AT8" t="s">
        <v>913</v>
      </c>
      <c r="AU8" t="s">
        <v>914</v>
      </c>
      <c r="AV8" t="s">
        <v>915</v>
      </c>
      <c r="AW8" t="s">
        <v>916</v>
      </c>
      <c r="AX8" t="s">
        <v>527</v>
      </c>
      <c r="AY8" t="s">
        <v>917</v>
      </c>
      <c r="AZ8" t="s">
        <v>918</v>
      </c>
      <c r="BA8" t="s">
        <v>919</v>
      </c>
      <c r="BB8" t="s">
        <v>324</v>
      </c>
      <c r="BC8" t="s">
        <v>336</v>
      </c>
      <c r="BD8" t="s">
        <v>920</v>
      </c>
      <c r="BE8" t="s">
        <v>315</v>
      </c>
      <c r="BF8" t="s">
        <v>921</v>
      </c>
      <c r="BG8" t="s">
        <v>477</v>
      </c>
      <c r="BH8" t="s">
        <v>922</v>
      </c>
      <c r="BI8" t="s">
        <v>900</v>
      </c>
      <c r="BJ8" t="s">
        <v>923</v>
      </c>
      <c r="BK8" t="s">
        <v>917</v>
      </c>
      <c r="BL8" t="s">
        <v>335</v>
      </c>
      <c r="BM8" t="s">
        <v>490</v>
      </c>
      <c r="BN8" t="s">
        <v>920</v>
      </c>
      <c r="BO8">
        <v>14.01</v>
      </c>
      <c r="BP8">
        <v>13.28</v>
      </c>
      <c r="BQ8">
        <v>29.54</v>
      </c>
      <c r="BR8">
        <v>13.13</v>
      </c>
      <c r="BS8">
        <v>7.81</v>
      </c>
      <c r="BT8" t="s">
        <v>25</v>
      </c>
      <c r="BU8" t="s">
        <v>507</v>
      </c>
      <c r="BV8" t="s">
        <v>924</v>
      </c>
      <c r="BW8">
        <v>47.68</v>
      </c>
      <c r="BX8">
        <v>48.51</v>
      </c>
      <c r="BY8">
        <v>51.18</v>
      </c>
      <c r="BZ8">
        <v>47.32</v>
      </c>
      <c r="CA8">
        <v>36.69</v>
      </c>
      <c r="CB8">
        <v>28.96</v>
      </c>
      <c r="CC8">
        <v>4.6900000000000004</v>
      </c>
      <c r="CD8">
        <v>0.17</v>
      </c>
      <c r="CE8" t="s">
        <v>925</v>
      </c>
      <c r="CF8" t="s">
        <v>926</v>
      </c>
      <c r="CG8" s="21">
        <v>-0.99999998731117823</v>
      </c>
      <c r="CH8" s="22">
        <v>0.38819999999999999</v>
      </c>
      <c r="CI8" s="21">
        <v>0.37749069929122925</v>
      </c>
      <c r="CJ8" s="21">
        <v>0.44851788878440857</v>
      </c>
      <c r="CK8" s="21">
        <v>0.7930070161819458</v>
      </c>
      <c r="CL8" s="21">
        <v>0.53763443231582642</v>
      </c>
      <c r="CM8" s="21">
        <v>0.28808864951133728</v>
      </c>
      <c r="CN8" s="22">
        <v>0.77452415227890015</v>
      </c>
      <c r="CO8" s="22">
        <v>0.83109921216964722</v>
      </c>
      <c r="CP8" s="22">
        <v>0.77619045972824097</v>
      </c>
      <c r="CQ8" s="22">
        <v>0.75</v>
      </c>
      <c r="CR8" s="22">
        <v>0.25244623422622681</v>
      </c>
      <c r="CS8">
        <v>79.954019801980195</v>
      </c>
      <c r="CT8">
        <v>1.6352262975399363</v>
      </c>
      <c r="CU8">
        <v>0</v>
      </c>
      <c r="CV8" s="21">
        <v>0.48894773721694945</v>
      </c>
      <c r="CW8" s="22">
        <v>0.67685201168060305</v>
      </c>
      <c r="CX8">
        <v>0.06</v>
      </c>
      <c r="CY8">
        <v>5.3397594203886882</v>
      </c>
      <c r="CZ8">
        <v>1702457224.0631535</v>
      </c>
      <c r="DA8">
        <v>0.48894773721694945</v>
      </c>
      <c r="DB8">
        <v>1.2653493278007151</v>
      </c>
      <c r="DC8">
        <v>7184349649.7527933</v>
      </c>
      <c r="DD8">
        <v>0.46450035035610193</v>
      </c>
      <c r="DE8">
        <v>0.38565252007924677</v>
      </c>
      <c r="DF8">
        <v>23572287296.688667</v>
      </c>
      <c r="DG8">
        <v>0.43027400875091554</v>
      </c>
      <c r="DH8">
        <v>0.12609073569239371</v>
      </c>
      <c r="DI8">
        <v>72096589413.018921</v>
      </c>
      <c r="DJ8">
        <v>0.39115818977355959</v>
      </c>
      <c r="DK8">
        <v>1.416304481944743E-2</v>
      </c>
      <c r="DL8">
        <v>641861415810.63452</v>
      </c>
      <c r="DM8">
        <v>0.34226341605186461</v>
      </c>
      <c r="DN8">
        <v>1212000000</v>
      </c>
      <c r="DO8">
        <v>0.48894773721694945</v>
      </c>
      <c r="DP8">
        <v>9090712000</v>
      </c>
      <c r="DQ8" t="e">
        <v>#VALUE!</v>
      </c>
      <c r="DR8">
        <v>486</v>
      </c>
      <c r="DS8">
        <v>-1.4889477245281277</v>
      </c>
      <c r="DT8">
        <v>-0.28865201168060306</v>
      </c>
      <c r="DU8">
        <v>-0.44</v>
      </c>
      <c r="DV8">
        <v>0</v>
      </c>
      <c r="DW8">
        <v>-0.44</v>
      </c>
      <c r="DX8">
        <v>4.0362473347547976</v>
      </c>
      <c r="DY8">
        <v>0.43519567632231015</v>
      </c>
      <c r="DZ8">
        <v>4.0070753230223435</v>
      </c>
      <c r="EA8">
        <v>0</v>
      </c>
      <c r="EB8">
        <v>4.0070753230223435</v>
      </c>
      <c r="EC8">
        <v>4</v>
      </c>
      <c r="ED8">
        <v>6.8231201585248827E-3</v>
      </c>
      <c r="EE8">
        <v>3.495528326794712E-2</v>
      </c>
      <c r="EF8">
        <v>0</v>
      </c>
      <c r="EG8">
        <v>0</v>
      </c>
      <c r="EH8">
        <v>24.19519567632231</v>
      </c>
      <c r="EI8" t="s">
        <v>221</v>
      </c>
      <c r="EJ8">
        <v>0</v>
      </c>
      <c r="EK8">
        <v>0</v>
      </c>
      <c r="EL8">
        <v>0</v>
      </c>
      <c r="EM8">
        <v>0</v>
      </c>
      <c r="EN8">
        <v>0</v>
      </c>
      <c r="EO8">
        <v>0</v>
      </c>
      <c r="EP8">
        <v>0</v>
      </c>
      <c r="EQ8">
        <v>0</v>
      </c>
    </row>
    <row r="9" spans="1:147" ht="144" x14ac:dyDescent="0.25">
      <c r="A9" s="31" t="s">
        <v>385</v>
      </c>
      <c r="B9" s="24"/>
      <c r="C9" s="24"/>
      <c r="D9" s="24" t="s">
        <v>1226</v>
      </c>
      <c r="E9" t="s">
        <v>287</v>
      </c>
      <c r="F9" t="s">
        <v>288</v>
      </c>
      <c r="G9">
        <v>17.2</v>
      </c>
      <c r="H9">
        <v>-1.1499999999999999</v>
      </c>
      <c r="I9" t="s">
        <v>1205</v>
      </c>
      <c r="J9">
        <v>7052000000</v>
      </c>
      <c r="K9">
        <v>43.92</v>
      </c>
      <c r="L9">
        <v>3.45</v>
      </c>
      <c r="M9" t="s">
        <v>272</v>
      </c>
      <c r="N9" t="s">
        <v>1206</v>
      </c>
      <c r="O9" t="s">
        <v>323</v>
      </c>
      <c r="P9" t="s">
        <v>837</v>
      </c>
      <c r="Q9">
        <v>18.170000000000002</v>
      </c>
      <c r="R9" t="s">
        <v>883</v>
      </c>
      <c r="S9">
        <v>77568471</v>
      </c>
      <c r="T9" s="4">
        <v>-4.9799999999999997E-2</v>
      </c>
      <c r="U9" t="s">
        <v>819</v>
      </c>
      <c r="V9">
        <v>201931030</v>
      </c>
      <c r="W9">
        <v>410000000</v>
      </c>
      <c r="X9">
        <v>1.17</v>
      </c>
      <c r="Y9">
        <v>0.13</v>
      </c>
      <c r="Z9">
        <v>26.22</v>
      </c>
      <c r="AA9" t="s">
        <v>82</v>
      </c>
      <c r="AB9" t="s">
        <v>1207</v>
      </c>
      <c r="AC9" t="s">
        <v>1208</v>
      </c>
      <c r="AD9" t="s">
        <v>1209</v>
      </c>
      <c r="AE9" t="s">
        <v>1210</v>
      </c>
      <c r="AF9">
        <v>-8084217</v>
      </c>
      <c r="AG9" t="s">
        <v>1211</v>
      </c>
      <c r="AH9">
        <v>2.4500000000000002</v>
      </c>
      <c r="AI9" t="s">
        <v>1212</v>
      </c>
      <c r="AJ9" t="s">
        <v>1213</v>
      </c>
      <c r="AK9" t="s">
        <v>1214</v>
      </c>
      <c r="AL9" t="s">
        <v>25</v>
      </c>
      <c r="AM9" t="s">
        <v>1215</v>
      </c>
      <c r="AN9" t="s">
        <v>887</v>
      </c>
      <c r="AO9" t="s">
        <v>43</v>
      </c>
      <c r="AP9" t="s">
        <v>1216</v>
      </c>
      <c r="AQ9" t="s">
        <v>25</v>
      </c>
      <c r="AR9" t="s">
        <v>1217</v>
      </c>
      <c r="AS9" t="s">
        <v>25</v>
      </c>
      <c r="AT9" t="s">
        <v>437</v>
      </c>
      <c r="AU9" t="s">
        <v>25</v>
      </c>
      <c r="AV9" t="s">
        <v>1218</v>
      </c>
      <c r="AW9" t="s">
        <v>57</v>
      </c>
      <c r="AX9" t="s">
        <v>1219</v>
      </c>
      <c r="AY9" t="s">
        <v>332</v>
      </c>
      <c r="AZ9" t="s">
        <v>377</v>
      </c>
      <c r="BA9" t="s">
        <v>320</v>
      </c>
      <c r="BB9" t="s">
        <v>378</v>
      </c>
      <c r="BC9" t="s">
        <v>25</v>
      </c>
      <c r="BD9" t="s">
        <v>36</v>
      </c>
      <c r="BE9" t="s">
        <v>379</v>
      </c>
      <c r="BF9" t="s">
        <v>380</v>
      </c>
      <c r="BG9" t="s">
        <v>381</v>
      </c>
      <c r="BH9" t="s">
        <v>25</v>
      </c>
      <c r="BI9" t="s">
        <v>1220</v>
      </c>
      <c r="BJ9" t="s">
        <v>1221</v>
      </c>
      <c r="BK9" t="s">
        <v>360</v>
      </c>
      <c r="BL9" t="s">
        <v>1222</v>
      </c>
      <c r="BM9" t="s">
        <v>1223</v>
      </c>
      <c r="BN9" t="s">
        <v>884</v>
      </c>
      <c r="BO9">
        <v>10.82</v>
      </c>
      <c r="BP9">
        <v>16.66</v>
      </c>
      <c r="BQ9">
        <v>16.62</v>
      </c>
      <c r="BR9">
        <v>10.61</v>
      </c>
      <c r="BS9">
        <v>17.3</v>
      </c>
      <c r="BT9" t="s">
        <v>25</v>
      </c>
      <c r="BU9" t="s">
        <v>885</v>
      </c>
      <c r="BV9" t="s">
        <v>318</v>
      </c>
      <c r="BW9">
        <v>69.3</v>
      </c>
      <c r="BX9">
        <v>74.33</v>
      </c>
      <c r="BY9">
        <v>72.040000000000006</v>
      </c>
      <c r="BZ9">
        <v>22.13</v>
      </c>
      <c r="CA9">
        <v>31.72</v>
      </c>
      <c r="CB9">
        <v>29.18</v>
      </c>
      <c r="CC9">
        <v>1.06</v>
      </c>
      <c r="CD9">
        <v>-9.43</v>
      </c>
      <c r="CE9" t="s">
        <v>1224</v>
      </c>
      <c r="CF9" t="s">
        <v>1225</v>
      </c>
      <c r="CG9" s="21">
        <v>0.1641791044776118</v>
      </c>
      <c r="CH9" s="22">
        <v>-9.33966537063564E-2</v>
      </c>
      <c r="CI9" s="21">
        <v>0.31218275427818298</v>
      </c>
      <c r="CJ9" s="21">
        <v>0.50381678342819214</v>
      </c>
      <c r="CK9" s="21">
        <v>0.3575129508972168</v>
      </c>
      <c r="CL9" s="21">
        <v>2.6216518878936768</v>
      </c>
      <c r="CM9" s="21" t="s">
        <v>25</v>
      </c>
      <c r="CN9" s="22">
        <v>0.31999999284744263</v>
      </c>
      <c r="CO9" s="22">
        <v>0.63540846109390259</v>
      </c>
      <c r="CP9" s="22">
        <v>1.199892520904541</v>
      </c>
      <c r="CQ9" s="22">
        <v>6.7688746452331543</v>
      </c>
      <c r="CR9" s="22" t="s">
        <v>25</v>
      </c>
      <c r="CS9">
        <v>89.230808163885058</v>
      </c>
      <c r="CT9">
        <v>0.94046844154076159</v>
      </c>
      <c r="CU9">
        <v>0.23837209302325582</v>
      </c>
      <c r="CV9" s="21">
        <v>0.94879109412431717</v>
      </c>
      <c r="CW9" s="22">
        <v>2.2310439050197601</v>
      </c>
      <c r="CX9">
        <v>0.06</v>
      </c>
      <c r="CY9">
        <v>17.689163785908487</v>
      </c>
      <c r="CZ9">
        <v>303349557.10425693</v>
      </c>
      <c r="DA9">
        <v>0.94879109412431717</v>
      </c>
      <c r="DB9">
        <v>3.0161288581290941</v>
      </c>
      <c r="DC9">
        <v>1779101706.9902418</v>
      </c>
      <c r="DD9">
        <v>0.90135153941810131</v>
      </c>
      <c r="DE9">
        <v>0.5301128144119378</v>
      </c>
      <c r="DF9">
        <v>10122373679.935629</v>
      </c>
      <c r="DG9">
        <v>0.83493616282939909</v>
      </c>
      <c r="DH9">
        <v>8.2122163095787112E-2</v>
      </c>
      <c r="DI9">
        <v>65341678759.010635</v>
      </c>
      <c r="DJ9">
        <v>0.75903287529945374</v>
      </c>
      <c r="DK9">
        <v>1.4269919058646603E-3</v>
      </c>
      <c r="DL9">
        <v>3760357699260.0864</v>
      </c>
      <c r="DM9">
        <v>0.66415376588702202</v>
      </c>
      <c r="DN9">
        <v>165000000</v>
      </c>
      <c r="DO9">
        <v>0.94879109412431717</v>
      </c>
      <c r="DP9">
        <v>5366000000</v>
      </c>
      <c r="DQ9">
        <v>1331838800</v>
      </c>
      <c r="DR9">
        <v>4550</v>
      </c>
      <c r="DS9">
        <v>-0.78461198964670542</v>
      </c>
      <c r="DT9">
        <v>-2.3244405587261165</v>
      </c>
      <c r="DU9" s="23">
        <v>0.60599999999999998</v>
      </c>
      <c r="DV9">
        <v>1.5080000000000002</v>
      </c>
      <c r="DW9">
        <v>2.1140000000000003</v>
      </c>
      <c r="DX9">
        <v>-2.0943000000000001</v>
      </c>
      <c r="DY9">
        <v>0.36459482921305875</v>
      </c>
      <c r="DZ9">
        <v>-2.0136352923947913</v>
      </c>
      <c r="EA9">
        <v>21</v>
      </c>
      <c r="EB9">
        <v>-2.0135788482512291</v>
      </c>
      <c r="EC9">
        <v>2</v>
      </c>
      <c r="ED9">
        <v>2.3359999999999999E-2</v>
      </c>
      <c r="EE9">
        <v>0.16155487804878049</v>
      </c>
      <c r="EF9" s="20">
        <v>9.609999999999997E-3</v>
      </c>
      <c r="EG9">
        <v>2.111E-2</v>
      </c>
      <c r="EH9">
        <v>22.144594829213059</v>
      </c>
      <c r="EI9">
        <v>-1</v>
      </c>
      <c r="EJ9">
        <v>0</v>
      </c>
      <c r="EK9">
        <v>1</v>
      </c>
      <c r="EL9" s="28">
        <v>45197</v>
      </c>
      <c r="EM9" s="29">
        <v>2.8799999999999999E-2</v>
      </c>
      <c r="EN9" s="29">
        <v>-1.31</v>
      </c>
      <c r="EO9" s="29">
        <v>-2.4300000000000002</v>
      </c>
      <c r="EP9" s="29">
        <v>3.2</v>
      </c>
      <c r="EQ9" s="29">
        <v>-1.1499999999999999</v>
      </c>
    </row>
  </sheetData>
  <mergeCells count="1">
    <mergeCell ref="A3:A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Q13"/>
  <sheetViews>
    <sheetView tabSelected="1" zoomScale="85" zoomScaleNormal="85" workbookViewId="0">
      <pane xSplit="6" ySplit="1" topLeftCell="G2" activePane="bottomRight" state="frozen"/>
      <selection pane="topRight" activeCell="G1" sqref="G1"/>
      <selection pane="bottomLeft" activeCell="A2" sqref="A2"/>
      <selection pane="bottomRight" activeCell="D2" sqref="D2"/>
    </sheetView>
  </sheetViews>
  <sheetFormatPr defaultRowHeight="14" x14ac:dyDescent="0.25"/>
  <cols>
    <col min="1" max="1" width="12" style="26" customWidth="1"/>
    <col min="2" max="2" width="39.36328125" customWidth="1"/>
    <col min="3" max="3" width="40.36328125" customWidth="1"/>
    <col min="4" max="4" width="58.6328125" customWidth="1"/>
    <col min="10" max="10" width="13.453125" bestFit="1" customWidth="1"/>
    <col min="22" max="22" width="14.81640625" customWidth="1"/>
  </cols>
  <sheetData>
    <row r="1" spans="1:147" s="16" customFormat="1" x14ac:dyDescent="0.25">
      <c r="A1" s="17" t="s">
        <v>129</v>
      </c>
      <c r="B1" s="18" t="s">
        <v>223</v>
      </c>
      <c r="C1" s="19" t="s">
        <v>26</v>
      </c>
      <c r="D1" s="18" t="s">
        <v>224</v>
      </c>
      <c r="E1" t="s">
        <v>3</v>
      </c>
      <c r="F1" t="s">
        <v>4</v>
      </c>
      <c r="G1" t="s">
        <v>0</v>
      </c>
      <c r="H1" t="s">
        <v>194</v>
      </c>
      <c r="I1" t="s">
        <v>225</v>
      </c>
      <c r="J1" t="s">
        <v>5</v>
      </c>
      <c r="K1" t="s">
        <v>6</v>
      </c>
      <c r="L1" t="s">
        <v>1</v>
      </c>
      <c r="M1" t="s">
        <v>12</v>
      </c>
      <c r="N1" t="s">
        <v>27</v>
      </c>
      <c r="O1" t="s">
        <v>28</v>
      </c>
      <c r="P1" t="s">
        <v>29</v>
      </c>
      <c r="Q1" t="s">
        <v>226</v>
      </c>
      <c r="R1" t="s">
        <v>195</v>
      </c>
      <c r="S1" t="s">
        <v>227</v>
      </c>
      <c r="T1" t="s">
        <v>30</v>
      </c>
      <c r="U1" t="s">
        <v>196</v>
      </c>
      <c r="V1" t="s">
        <v>197</v>
      </c>
      <c r="W1" t="s">
        <v>31</v>
      </c>
      <c r="X1" t="s">
        <v>172</v>
      </c>
      <c r="Y1" t="s">
        <v>173</v>
      </c>
      <c r="Z1" t="s">
        <v>174</v>
      </c>
      <c r="AA1" t="s">
        <v>175</v>
      </c>
      <c r="AB1" t="s">
        <v>176</v>
      </c>
      <c r="AC1" t="s">
        <v>198</v>
      </c>
      <c r="AD1" t="s">
        <v>177</v>
      </c>
      <c r="AE1" t="s">
        <v>228</v>
      </c>
      <c r="AF1" t="s">
        <v>32</v>
      </c>
      <c r="AG1" t="s">
        <v>33</v>
      </c>
      <c r="AH1" t="s">
        <v>199</v>
      </c>
      <c r="AI1" t="s">
        <v>229</v>
      </c>
      <c r="AJ1" t="s">
        <v>200</v>
      </c>
      <c r="AK1" t="s">
        <v>34</v>
      </c>
      <c r="AL1" t="s">
        <v>201</v>
      </c>
      <c r="AM1" t="s">
        <v>130</v>
      </c>
      <c r="AN1" t="s">
        <v>202</v>
      </c>
      <c r="AO1" t="s">
        <v>203</v>
      </c>
      <c r="AP1" t="s">
        <v>204</v>
      </c>
      <c r="AQ1" t="s">
        <v>205</v>
      </c>
      <c r="AR1" t="s">
        <v>206</v>
      </c>
      <c r="AS1" t="s">
        <v>207</v>
      </c>
      <c r="AT1" t="s">
        <v>208</v>
      </c>
      <c r="AU1" t="s">
        <v>209</v>
      </c>
      <c r="AV1" t="s">
        <v>210</v>
      </c>
      <c r="AW1" t="s">
        <v>211</v>
      </c>
      <c r="AX1" t="s">
        <v>212</v>
      </c>
      <c r="AY1" t="s">
        <v>230</v>
      </c>
      <c r="AZ1" t="s">
        <v>131</v>
      </c>
      <c r="BA1" t="s">
        <v>132</v>
      </c>
      <c r="BB1" t="s">
        <v>133</v>
      </c>
      <c r="BC1" t="s">
        <v>134</v>
      </c>
      <c r="BD1" t="s">
        <v>140</v>
      </c>
      <c r="BE1" t="s">
        <v>135</v>
      </c>
      <c r="BF1" t="s">
        <v>136</v>
      </c>
      <c r="BG1" t="s">
        <v>137</v>
      </c>
      <c r="BH1" t="s">
        <v>138</v>
      </c>
      <c r="BI1" t="s">
        <v>231</v>
      </c>
      <c r="BJ1" t="s">
        <v>213</v>
      </c>
      <c r="BK1" t="s">
        <v>139</v>
      </c>
      <c r="BL1" t="s">
        <v>214</v>
      </c>
      <c r="BM1" t="s">
        <v>215</v>
      </c>
      <c r="BN1" t="s">
        <v>216</v>
      </c>
      <c r="BO1" t="s">
        <v>217</v>
      </c>
      <c r="BP1" t="s">
        <v>141</v>
      </c>
      <c r="BQ1" t="s">
        <v>142</v>
      </c>
      <c r="BR1" t="s">
        <v>143</v>
      </c>
      <c r="BS1" t="s">
        <v>218</v>
      </c>
      <c r="BT1" t="s">
        <v>144</v>
      </c>
      <c r="BU1" t="s">
        <v>145</v>
      </c>
      <c r="BV1" t="s">
        <v>146</v>
      </c>
      <c r="BW1" t="s">
        <v>219</v>
      </c>
      <c r="BX1" t="s">
        <v>147</v>
      </c>
      <c r="BY1" t="s">
        <v>148</v>
      </c>
      <c r="BZ1" t="s">
        <v>220</v>
      </c>
      <c r="CA1" t="s">
        <v>149</v>
      </c>
      <c r="CB1" t="s">
        <v>150</v>
      </c>
      <c r="CC1" t="s">
        <v>232</v>
      </c>
      <c r="CD1" t="s">
        <v>233</v>
      </c>
      <c r="CE1" t="s">
        <v>234</v>
      </c>
      <c r="CF1" t="s">
        <v>235</v>
      </c>
      <c r="CG1" s="1" t="s">
        <v>178</v>
      </c>
      <c r="CH1" s="1" t="s">
        <v>179</v>
      </c>
      <c r="CI1" s="1" t="s">
        <v>180</v>
      </c>
      <c r="CJ1" s="1" t="s">
        <v>181</v>
      </c>
      <c r="CK1" s="1" t="s">
        <v>182</v>
      </c>
      <c r="CL1" s="1" t="s">
        <v>183</v>
      </c>
      <c r="CM1" s="1" t="s">
        <v>184</v>
      </c>
      <c r="CN1" s="1" t="s">
        <v>185</v>
      </c>
      <c r="CO1" s="1" t="s">
        <v>186</v>
      </c>
      <c r="CP1" s="1" t="s">
        <v>187</v>
      </c>
      <c r="CQ1" s="1" t="s">
        <v>188</v>
      </c>
      <c r="CR1" s="1" t="s">
        <v>189</v>
      </c>
      <c r="CS1" s="1" t="s">
        <v>236</v>
      </c>
      <c r="CT1" s="1" t="s">
        <v>237</v>
      </c>
      <c r="CU1" s="1" t="s">
        <v>238</v>
      </c>
      <c r="CV1" s="1" t="s">
        <v>239</v>
      </c>
      <c r="CW1" s="1" t="s">
        <v>240</v>
      </c>
      <c r="CX1" s="1" t="s">
        <v>241</v>
      </c>
      <c r="CY1">
        <v>1</v>
      </c>
      <c r="CZ1" t="s">
        <v>242</v>
      </c>
      <c r="DA1" t="s">
        <v>243</v>
      </c>
      <c r="DB1">
        <v>3</v>
      </c>
      <c r="DC1" t="s">
        <v>244</v>
      </c>
      <c r="DD1" t="s">
        <v>245</v>
      </c>
      <c r="DE1">
        <v>6</v>
      </c>
      <c r="DF1" t="s">
        <v>246</v>
      </c>
      <c r="DG1" t="s">
        <v>247</v>
      </c>
      <c r="DH1">
        <v>10</v>
      </c>
      <c r="DI1" t="s">
        <v>248</v>
      </c>
      <c r="DJ1" t="s">
        <v>249</v>
      </c>
      <c r="DK1">
        <v>20</v>
      </c>
      <c r="DL1" t="s">
        <v>250</v>
      </c>
      <c r="DM1" t="s">
        <v>190</v>
      </c>
      <c r="DN1" t="s">
        <v>191</v>
      </c>
      <c r="DO1" s="2" t="s">
        <v>192</v>
      </c>
      <c r="DP1" t="s">
        <v>251</v>
      </c>
      <c r="DQ1" t="s">
        <v>252</v>
      </c>
      <c r="DR1" s="1" t="s">
        <v>253</v>
      </c>
      <c r="DS1" s="1" t="s">
        <v>254</v>
      </c>
      <c r="DT1" s="1" t="s">
        <v>255</v>
      </c>
      <c r="DU1" t="s">
        <v>256</v>
      </c>
      <c r="DV1" t="s">
        <v>257</v>
      </c>
      <c r="DW1" t="s">
        <v>258</v>
      </c>
      <c r="DX1" t="s">
        <v>259</v>
      </c>
      <c r="DY1" t="s">
        <v>260</v>
      </c>
      <c r="DZ1" t="s">
        <v>261</v>
      </c>
      <c r="EA1" t="s">
        <v>262</v>
      </c>
      <c r="EB1" t="s">
        <v>263</v>
      </c>
      <c r="EC1" t="s">
        <v>264</v>
      </c>
      <c r="ED1" t="s">
        <v>265</v>
      </c>
      <c r="EE1" t="s">
        <v>266</v>
      </c>
      <c r="EF1" t="s">
        <v>267</v>
      </c>
      <c r="EG1" t="s">
        <v>268</v>
      </c>
      <c r="EH1" t="s">
        <v>269</v>
      </c>
      <c r="EI1" t="s">
        <v>270</v>
      </c>
      <c r="EJ1" t="s">
        <v>271</v>
      </c>
      <c r="EK1"/>
    </row>
    <row r="2" spans="1:147" s="1" customFormat="1" ht="49" customHeight="1" x14ac:dyDescent="0.25">
      <c r="A2" s="27"/>
      <c r="B2" s="25"/>
      <c r="C2" s="25">
        <v>3</v>
      </c>
      <c r="D2" s="25">
        <v>13</v>
      </c>
      <c r="J2" s="2">
        <f>SUM(J7:J10)</f>
        <v>17124080100</v>
      </c>
    </row>
    <row r="3" spans="1:147" s="16" customFormat="1" ht="156" x14ac:dyDescent="0.25">
      <c r="A3" s="32" t="s">
        <v>384</v>
      </c>
      <c r="B3" s="3" t="s">
        <v>1530</v>
      </c>
      <c r="C3" s="3" t="s">
        <v>1531</v>
      </c>
      <c r="D3" s="3" t="s">
        <v>1049</v>
      </c>
      <c r="E3" t="s">
        <v>10</v>
      </c>
      <c r="F3" t="s">
        <v>11</v>
      </c>
      <c r="G3">
        <v>151.69999999999999</v>
      </c>
      <c r="H3">
        <v>-0.32</v>
      </c>
      <c r="I3" t="s">
        <v>1024</v>
      </c>
      <c r="J3">
        <v>56076721000</v>
      </c>
      <c r="K3">
        <v>17.27</v>
      </c>
      <c r="L3">
        <v>3.35</v>
      </c>
      <c r="M3" t="s">
        <v>272</v>
      </c>
      <c r="N3" t="s">
        <v>1025</v>
      </c>
      <c r="O3" t="s">
        <v>1026</v>
      </c>
      <c r="P3" t="s">
        <v>1027</v>
      </c>
      <c r="Q3">
        <v>-8.33</v>
      </c>
      <c r="R3" t="s">
        <v>1028</v>
      </c>
      <c r="S3">
        <v>1686369000</v>
      </c>
      <c r="T3" s="4">
        <v>-3.09E-2</v>
      </c>
      <c r="U3" t="s">
        <v>1029</v>
      </c>
      <c r="V3">
        <v>328099310</v>
      </c>
      <c r="W3">
        <v>369655380</v>
      </c>
      <c r="X3">
        <v>1.1399999999999999</v>
      </c>
      <c r="Y3">
        <v>0.25</v>
      </c>
      <c r="Z3">
        <v>36.39</v>
      </c>
      <c r="AA3" t="s">
        <v>1030</v>
      </c>
      <c r="AB3" t="s">
        <v>1031</v>
      </c>
      <c r="AC3" t="s">
        <v>1032</v>
      </c>
      <c r="AD3" t="s">
        <v>533</v>
      </c>
      <c r="AE3" t="s">
        <v>1033</v>
      </c>
      <c r="AF3">
        <v>-136017310</v>
      </c>
      <c r="AG3" t="s">
        <v>1034</v>
      </c>
      <c r="AH3">
        <v>7722.85</v>
      </c>
      <c r="AI3" t="s">
        <v>1035</v>
      </c>
      <c r="AJ3" t="s">
        <v>1036</v>
      </c>
      <c r="AK3" t="s">
        <v>1037</v>
      </c>
      <c r="AL3" t="s">
        <v>25</v>
      </c>
      <c r="AM3" t="s">
        <v>1038</v>
      </c>
      <c r="AN3" t="s">
        <v>1039</v>
      </c>
      <c r="AO3" t="s">
        <v>1040</v>
      </c>
      <c r="AP3" t="s">
        <v>25</v>
      </c>
      <c r="AQ3" t="s">
        <v>25</v>
      </c>
      <c r="AR3" t="s">
        <v>1041</v>
      </c>
      <c r="AS3" t="s">
        <v>25</v>
      </c>
      <c r="AT3" t="s">
        <v>1042</v>
      </c>
      <c r="AU3" t="s">
        <v>25</v>
      </c>
      <c r="AV3" t="s">
        <v>685</v>
      </c>
      <c r="AW3" t="s">
        <v>1043</v>
      </c>
      <c r="AX3" t="s">
        <v>1044</v>
      </c>
      <c r="AY3" t="s">
        <v>273</v>
      </c>
      <c r="AZ3" t="s">
        <v>151</v>
      </c>
      <c r="BA3" t="s">
        <v>37</v>
      </c>
      <c r="BB3" t="s">
        <v>152</v>
      </c>
      <c r="BC3" t="s">
        <v>153</v>
      </c>
      <c r="BD3" t="s">
        <v>56</v>
      </c>
      <c r="BE3" t="s">
        <v>95</v>
      </c>
      <c r="BF3" t="s">
        <v>38</v>
      </c>
      <c r="BG3" t="s">
        <v>47</v>
      </c>
      <c r="BH3" t="s">
        <v>154</v>
      </c>
      <c r="BI3" t="s">
        <v>1045</v>
      </c>
      <c r="BJ3" t="s">
        <v>328</v>
      </c>
      <c r="BK3" t="s">
        <v>1046</v>
      </c>
      <c r="BL3" t="s">
        <v>532</v>
      </c>
      <c r="BM3" t="s">
        <v>329</v>
      </c>
      <c r="BN3" t="s">
        <v>791</v>
      </c>
      <c r="BO3">
        <v>22.53</v>
      </c>
      <c r="BP3">
        <v>11.2</v>
      </c>
      <c r="BQ3">
        <v>15.7</v>
      </c>
      <c r="BR3">
        <v>23.56</v>
      </c>
      <c r="BS3">
        <v>16.09</v>
      </c>
      <c r="BT3">
        <v>18.16</v>
      </c>
      <c r="BU3" t="s">
        <v>1047</v>
      </c>
      <c r="BV3" t="s">
        <v>318</v>
      </c>
      <c r="BW3">
        <v>48.4</v>
      </c>
      <c r="BX3">
        <v>44.33</v>
      </c>
      <c r="BY3">
        <v>46.55</v>
      </c>
      <c r="BZ3">
        <v>27.92</v>
      </c>
      <c r="CA3">
        <v>23.05</v>
      </c>
      <c r="CB3">
        <v>22.92</v>
      </c>
      <c r="CC3">
        <v>10.17</v>
      </c>
      <c r="CD3">
        <v>20.23</v>
      </c>
      <c r="CE3" t="s">
        <v>1048</v>
      </c>
      <c r="CF3" t="s">
        <v>497</v>
      </c>
      <c r="CG3" s="21">
        <v>-0.20342396777442096</v>
      </c>
      <c r="CH3" s="22">
        <v>-0.14877598710717146</v>
      </c>
      <c r="CI3" s="21">
        <v>1.2106056213378906</v>
      </c>
      <c r="CJ3" s="21">
        <v>0.47269836068153381</v>
      </c>
      <c r="CK3" s="21">
        <v>0.28048786520957947</v>
      </c>
      <c r="CL3" s="21">
        <v>0.3405994176864624</v>
      </c>
      <c r="CM3" s="21">
        <v>0.28952914476394653</v>
      </c>
      <c r="CN3" s="22">
        <v>2.0888683795928955</v>
      </c>
      <c r="CO3" s="22">
        <v>0.48060941696166992</v>
      </c>
      <c r="CP3" s="22">
        <v>0.30324909090995789</v>
      </c>
      <c r="CQ3" s="22">
        <v>0.29439252614974976</v>
      </c>
      <c r="CR3" s="22">
        <v>0.25513195991516113</v>
      </c>
      <c r="CS3">
        <v>52.440823877805485</v>
      </c>
      <c r="CT3">
        <v>1.0108410358721596</v>
      </c>
      <c r="CU3">
        <v>1.1865524060646013</v>
      </c>
      <c r="CV3" s="21">
        <v>0.51878408193588255</v>
      </c>
      <c r="CW3" s="22">
        <v>0.68445027470588682</v>
      </c>
      <c r="CX3">
        <v>0.06</v>
      </c>
      <c r="CY3">
        <v>8.8117415008473987</v>
      </c>
      <c r="CZ3">
        <v>4731155696.7474394</v>
      </c>
      <c r="DA3">
        <v>0.51878408193588255</v>
      </c>
      <c r="DB3">
        <v>2.0412808233048212</v>
      </c>
      <c r="DC3">
        <v>20423314873.700031</v>
      </c>
      <c r="DD3">
        <v>0.49284487783908837</v>
      </c>
      <c r="DE3">
        <v>0.59975792663484906</v>
      </c>
      <c r="DF3">
        <v>69510912901.001099</v>
      </c>
      <c r="DG3">
        <v>0.45652999210357664</v>
      </c>
      <c r="DH3">
        <v>0.18664793445229325</v>
      </c>
      <c r="DI3">
        <v>223360205524.56631</v>
      </c>
      <c r="DJ3">
        <v>0.41502726554870606</v>
      </c>
      <c r="DK3">
        <v>1.8469862738058476E-2</v>
      </c>
      <c r="DL3">
        <v>2257175464227.752</v>
      </c>
      <c r="DM3">
        <v>0.36314885735511776</v>
      </c>
      <c r="DN3">
        <v>3302000000.0000005</v>
      </c>
      <c r="DO3">
        <v>0.51878408193588255</v>
      </c>
      <c r="DP3">
        <v>41689721000</v>
      </c>
      <c r="DQ3">
        <v>10642038700</v>
      </c>
      <c r="DR3">
        <v>1294</v>
      </c>
      <c r="DS3">
        <v>-0.7222080497103035</v>
      </c>
      <c r="DT3">
        <v>-0.83322626181305826</v>
      </c>
      <c r="DU3" s="23">
        <v>0.39333333333333331</v>
      </c>
      <c r="DV3">
        <v>0.79999999999999993</v>
      </c>
      <c r="DW3">
        <v>1.1933333333333334</v>
      </c>
      <c r="DX3">
        <v>9.5027187345526443</v>
      </c>
      <c r="DY3">
        <v>0.42734545454545392</v>
      </c>
      <c r="DZ3">
        <v>9.1444539432885446</v>
      </c>
      <c r="EA3">
        <v>217</v>
      </c>
      <c r="EB3">
        <v>9.1382748568123731</v>
      </c>
      <c r="EC3">
        <v>9</v>
      </c>
      <c r="ED3">
        <v>9.4057335240190471E-2</v>
      </c>
      <c r="EE3">
        <v>0.32733190573338877</v>
      </c>
      <c r="EF3" s="20">
        <v>6.2300000000000001E-2</v>
      </c>
      <c r="EG3">
        <v>5.91E-2</v>
      </c>
      <c r="EH3">
        <v>14.287345454545454</v>
      </c>
      <c r="EI3" t="s">
        <v>221</v>
      </c>
      <c r="EJ3">
        <v>1</v>
      </c>
      <c r="EK3">
        <v>1</v>
      </c>
      <c r="EL3" s="28">
        <v>45197</v>
      </c>
      <c r="EM3" s="29">
        <v>4.7199999999999999E-2</v>
      </c>
      <c r="EN3" s="29">
        <v>2.29</v>
      </c>
      <c r="EO3" s="29">
        <v>0.11</v>
      </c>
      <c r="EP3" s="29">
        <v>3.07</v>
      </c>
      <c r="EQ3" s="29">
        <v>-0.32</v>
      </c>
    </row>
    <row r="4" spans="1:147" ht="180" x14ac:dyDescent="0.25">
      <c r="A4" s="26" t="s">
        <v>931</v>
      </c>
      <c r="B4" s="24" t="s">
        <v>1532</v>
      </c>
      <c r="C4" s="24" t="s">
        <v>1533</v>
      </c>
      <c r="D4" s="24" t="s">
        <v>1261</v>
      </c>
      <c r="E4" t="s">
        <v>928</v>
      </c>
      <c r="F4" t="s">
        <v>929</v>
      </c>
      <c r="G4">
        <v>28.98</v>
      </c>
      <c r="H4">
        <v>-0.99</v>
      </c>
      <c r="I4" t="s">
        <v>930</v>
      </c>
      <c r="J4">
        <v>26067288000</v>
      </c>
      <c r="K4">
        <v>24.26</v>
      </c>
      <c r="L4">
        <v>3.25</v>
      </c>
      <c r="M4" t="s">
        <v>272</v>
      </c>
      <c r="N4" t="s">
        <v>1227</v>
      </c>
      <c r="O4" t="s">
        <v>674</v>
      </c>
      <c r="P4" t="s">
        <v>1228</v>
      </c>
      <c r="Q4" s="4">
        <v>10.16</v>
      </c>
      <c r="R4" t="s">
        <v>1229</v>
      </c>
      <c r="S4">
        <v>621727530</v>
      </c>
      <c r="T4">
        <v>0.32829999999999998</v>
      </c>
      <c r="U4" t="s">
        <v>789</v>
      </c>
      <c r="V4">
        <v>897565930</v>
      </c>
      <c r="W4">
        <v>899492330</v>
      </c>
      <c r="X4">
        <v>1.4</v>
      </c>
      <c r="Y4">
        <v>0.34</v>
      </c>
      <c r="Z4">
        <v>19.09</v>
      </c>
      <c r="AA4" t="s">
        <v>1230</v>
      </c>
      <c r="AB4" t="s">
        <v>1055</v>
      </c>
      <c r="AC4" t="s">
        <v>1231</v>
      </c>
      <c r="AD4" t="s">
        <v>457</v>
      </c>
      <c r="AE4" t="s">
        <v>1232</v>
      </c>
      <c r="AF4">
        <v>-31584561</v>
      </c>
      <c r="AG4" t="s">
        <v>1233</v>
      </c>
      <c r="AH4" t="s">
        <v>1234</v>
      </c>
      <c r="AI4" t="s">
        <v>1235</v>
      </c>
      <c r="AJ4" t="s">
        <v>1236</v>
      </c>
      <c r="AK4" t="s">
        <v>1237</v>
      </c>
      <c r="AL4" t="s">
        <v>25</v>
      </c>
      <c r="AM4" t="s">
        <v>1238</v>
      </c>
      <c r="AN4" t="s">
        <v>1239</v>
      </c>
      <c r="AO4" t="s">
        <v>1240</v>
      </c>
      <c r="AP4" t="s">
        <v>1241</v>
      </c>
      <c r="AQ4" t="s">
        <v>533</v>
      </c>
      <c r="AR4" t="s">
        <v>1242</v>
      </c>
      <c r="AS4" t="s">
        <v>25</v>
      </c>
      <c r="AT4" t="s">
        <v>1243</v>
      </c>
      <c r="AU4" t="s">
        <v>502</v>
      </c>
      <c r="AV4" t="s">
        <v>1244</v>
      </c>
      <c r="AW4" t="s">
        <v>1245</v>
      </c>
      <c r="AX4" t="s">
        <v>1246</v>
      </c>
      <c r="AY4" t="s">
        <v>1247</v>
      </c>
      <c r="AZ4" t="s">
        <v>1248</v>
      </c>
      <c r="BA4" t="s">
        <v>1249</v>
      </c>
      <c r="BB4" t="s">
        <v>1250</v>
      </c>
      <c r="BC4" t="s">
        <v>1251</v>
      </c>
      <c r="BD4" t="s">
        <v>1252</v>
      </c>
      <c r="BE4" t="s">
        <v>345</v>
      </c>
      <c r="BF4" t="s">
        <v>1152</v>
      </c>
      <c r="BG4" t="s">
        <v>1253</v>
      </c>
      <c r="BH4" t="s">
        <v>1254</v>
      </c>
      <c r="BI4" t="s">
        <v>1255</v>
      </c>
      <c r="BJ4" t="s">
        <v>1256</v>
      </c>
      <c r="BK4" t="s">
        <v>1257</v>
      </c>
      <c r="BL4" t="s">
        <v>333</v>
      </c>
      <c r="BM4" t="s">
        <v>756</v>
      </c>
      <c r="BN4" t="s">
        <v>888</v>
      </c>
      <c r="BO4">
        <v>16.88</v>
      </c>
      <c r="BP4">
        <v>13.95</v>
      </c>
      <c r="BQ4">
        <v>10.66</v>
      </c>
      <c r="BR4">
        <v>18.690000000000001</v>
      </c>
      <c r="BS4">
        <v>15.06</v>
      </c>
      <c r="BT4">
        <v>12.88</v>
      </c>
      <c r="BU4" t="s">
        <v>1258</v>
      </c>
      <c r="BV4" t="s">
        <v>318</v>
      </c>
      <c r="BW4">
        <v>36.9</v>
      </c>
      <c r="BX4">
        <v>33.33</v>
      </c>
      <c r="BY4">
        <v>37.51</v>
      </c>
      <c r="BZ4">
        <v>15.96</v>
      </c>
      <c r="CA4">
        <v>15.61</v>
      </c>
      <c r="CB4">
        <v>14.35</v>
      </c>
      <c r="CC4">
        <v>9.65</v>
      </c>
      <c r="CD4" s="21">
        <v>8.26</v>
      </c>
      <c r="CE4" s="22" t="s">
        <v>1259</v>
      </c>
      <c r="CF4" s="21" t="s">
        <v>1260</v>
      </c>
      <c r="CG4" s="21">
        <v>-4.8101265822785261E-2</v>
      </c>
      <c r="CH4" s="21">
        <v>0.3104905</v>
      </c>
      <c r="CI4" s="21">
        <v>0.34014278650283813</v>
      </c>
      <c r="CJ4" s="21">
        <v>0.53494518995285034</v>
      </c>
      <c r="CK4" s="22">
        <v>0.31234505772590637</v>
      </c>
      <c r="CL4" s="22">
        <v>8.3243861794471741E-2</v>
      </c>
      <c r="CM4" s="22">
        <v>8.4449581801891327E-2</v>
      </c>
      <c r="CN4" s="22">
        <v>0.45268139243125916</v>
      </c>
      <c r="CO4" s="22">
        <v>0.66404199600219727</v>
      </c>
      <c r="CP4">
        <v>0.60084033012390137</v>
      </c>
      <c r="CQ4">
        <v>0.51592355966567993</v>
      </c>
      <c r="CR4">
        <v>6.0810811817646027E-2</v>
      </c>
      <c r="CS4" s="21">
        <v>63.091459459459458</v>
      </c>
      <c r="CT4" s="22">
        <v>2.3278808470672212</v>
      </c>
      <c r="CU4">
        <v>1.3802622498274673</v>
      </c>
      <c r="CV4">
        <v>0.27102529555559157</v>
      </c>
      <c r="CW4">
        <v>0.45885961800813674</v>
      </c>
      <c r="CX4">
        <v>0.06</v>
      </c>
      <c r="CY4">
        <v>19.187058737959386</v>
      </c>
      <c r="CZ4">
        <v>1104353110.5723586</v>
      </c>
      <c r="DA4">
        <v>0.27102529555559157</v>
      </c>
      <c r="DB4">
        <v>5.3967765453551024</v>
      </c>
      <c r="DC4">
        <v>3926285963.8383946</v>
      </c>
      <c r="DD4">
        <v>0.257474030777812</v>
      </c>
      <c r="DE4">
        <v>2.1473822524606088</v>
      </c>
      <c r="DF4">
        <v>9867497030.7312317</v>
      </c>
      <c r="DG4">
        <v>0.23850226008892059</v>
      </c>
      <c r="DH4">
        <v>0.99705983126315001</v>
      </c>
      <c r="DI4">
        <v>21251771795.034431</v>
      </c>
      <c r="DJ4">
        <v>0.21682023644447326</v>
      </c>
      <c r="DK4">
        <v>0.27675956571493476</v>
      </c>
      <c r="DL4">
        <v>76562079960.138351</v>
      </c>
      <c r="DM4">
        <v>0.18971770688891409</v>
      </c>
      <c r="DN4">
        <v>921000000.00000012</v>
      </c>
      <c r="DO4">
        <v>0.27102529555559157</v>
      </c>
      <c r="DP4">
        <v>21189288000</v>
      </c>
      <c r="DQ4">
        <v>4405152400</v>
      </c>
      <c r="DR4" s="23">
        <v>4119</v>
      </c>
      <c r="DS4">
        <v>-0.31912656137837681</v>
      </c>
      <c r="DT4">
        <v>-0.14836911800813674</v>
      </c>
      <c r="DU4">
        <v>1.0000000000000011E-2</v>
      </c>
      <c r="DV4">
        <v>1.07</v>
      </c>
      <c r="DW4">
        <v>1.08</v>
      </c>
      <c r="DX4">
        <v>5.8559585492227981</v>
      </c>
      <c r="DY4">
        <v>0.4585493723849372</v>
      </c>
      <c r="DZ4">
        <v>5.1613904472434795</v>
      </c>
      <c r="EA4">
        <v>290</v>
      </c>
      <c r="EB4">
        <v>5.1521645001311969</v>
      </c>
      <c r="EC4" s="20">
        <v>5</v>
      </c>
      <c r="ED4" s="20">
        <v>5.0098592836250198E-2</v>
      </c>
      <c r="EE4">
        <v>0.26570543408635849</v>
      </c>
      <c r="EF4">
        <v>1.0552999999999999</v>
      </c>
      <c r="EG4">
        <v>1.0454000000000001</v>
      </c>
      <c r="EH4">
        <v>27.188549372384937</v>
      </c>
      <c r="EI4" s="28" t="s">
        <v>222</v>
      </c>
      <c r="EJ4">
        <v>1</v>
      </c>
      <c r="EK4">
        <v>1</v>
      </c>
      <c r="EL4">
        <v>45197</v>
      </c>
      <c r="EM4">
        <v>1.78E-2</v>
      </c>
      <c r="EN4">
        <v>1.38</v>
      </c>
      <c r="EO4" s="29">
        <v>-1.36</v>
      </c>
      <c r="EP4" s="29">
        <v>8.81</v>
      </c>
      <c r="EQ4" s="29">
        <v>-0.99</v>
      </c>
    </row>
    <row r="5" spans="1:147" s="16" customFormat="1" ht="132" x14ac:dyDescent="0.25">
      <c r="A5" s="32" t="s">
        <v>384</v>
      </c>
      <c r="B5" s="24" t="s">
        <v>1534</v>
      </c>
      <c r="C5" s="24" t="s">
        <v>1535</v>
      </c>
      <c r="D5" s="24" t="s">
        <v>1074</v>
      </c>
      <c r="E5" t="s">
        <v>21</v>
      </c>
      <c r="F5" t="s">
        <v>22</v>
      </c>
      <c r="G5">
        <v>28.28</v>
      </c>
      <c r="H5">
        <v>-4.5199999999999996</v>
      </c>
      <c r="I5" t="s">
        <v>1050</v>
      </c>
      <c r="J5">
        <v>15444274000</v>
      </c>
      <c r="K5">
        <v>12.83</v>
      </c>
      <c r="L5">
        <v>2.64</v>
      </c>
      <c r="M5" t="s">
        <v>272</v>
      </c>
      <c r="N5" t="s">
        <v>1051</v>
      </c>
      <c r="O5" t="s">
        <v>1052</v>
      </c>
      <c r="P5" t="s">
        <v>1053</v>
      </c>
      <c r="Q5">
        <v>-40.25</v>
      </c>
      <c r="R5" t="s">
        <v>1054</v>
      </c>
      <c r="S5">
        <v>410372970</v>
      </c>
      <c r="T5" s="4">
        <v>-0.66149999999999998</v>
      </c>
      <c r="U5" t="s">
        <v>1055</v>
      </c>
      <c r="V5">
        <v>500519520</v>
      </c>
      <c r="W5">
        <v>546120020</v>
      </c>
      <c r="X5">
        <v>1.51</v>
      </c>
      <c r="Y5">
        <v>0.24</v>
      </c>
      <c r="Z5">
        <v>15.32</v>
      </c>
      <c r="AA5" t="s">
        <v>827</v>
      </c>
      <c r="AB5" t="s">
        <v>1056</v>
      </c>
      <c r="AC5" t="s">
        <v>1057</v>
      </c>
      <c r="AD5" t="s">
        <v>1033</v>
      </c>
      <c r="AE5" t="s">
        <v>470</v>
      </c>
      <c r="AF5">
        <v>-49355279</v>
      </c>
      <c r="AG5" t="s">
        <v>1058</v>
      </c>
      <c r="AH5" t="s">
        <v>1059</v>
      </c>
      <c r="AI5" t="s">
        <v>1060</v>
      </c>
      <c r="AJ5" t="s">
        <v>1061</v>
      </c>
      <c r="AK5" t="s">
        <v>1062</v>
      </c>
      <c r="AL5" t="s">
        <v>25</v>
      </c>
      <c r="AM5" t="s">
        <v>1063</v>
      </c>
      <c r="AN5" t="s">
        <v>1064</v>
      </c>
      <c r="AO5" t="s">
        <v>1065</v>
      </c>
      <c r="AP5" t="s">
        <v>497</v>
      </c>
      <c r="AQ5" t="s">
        <v>529</v>
      </c>
      <c r="AR5" t="s">
        <v>1066</v>
      </c>
      <c r="AS5" t="s">
        <v>25</v>
      </c>
      <c r="AT5" t="s">
        <v>1067</v>
      </c>
      <c r="AU5" t="s">
        <v>1068</v>
      </c>
      <c r="AV5" t="s">
        <v>1069</v>
      </c>
      <c r="AW5" t="s">
        <v>559</v>
      </c>
      <c r="AX5" t="s">
        <v>1070</v>
      </c>
      <c r="AY5" t="s">
        <v>275</v>
      </c>
      <c r="AZ5" t="s">
        <v>53</v>
      </c>
      <c r="BA5" t="s">
        <v>83</v>
      </c>
      <c r="BB5" t="s">
        <v>75</v>
      </c>
      <c r="BC5" t="s">
        <v>67</v>
      </c>
      <c r="BD5" t="s">
        <v>88</v>
      </c>
      <c r="BE5" t="s">
        <v>78</v>
      </c>
      <c r="BF5" t="s">
        <v>52</v>
      </c>
      <c r="BG5" t="s">
        <v>59</v>
      </c>
      <c r="BH5" t="s">
        <v>57</v>
      </c>
      <c r="BI5" t="s">
        <v>1071</v>
      </c>
      <c r="BJ5" t="s">
        <v>334</v>
      </c>
      <c r="BK5" t="s">
        <v>1072</v>
      </c>
      <c r="BL5" t="s">
        <v>534</v>
      </c>
      <c r="BM5" t="s">
        <v>335</v>
      </c>
      <c r="BN5" t="s">
        <v>472</v>
      </c>
      <c r="BO5">
        <v>32.020000000000003</v>
      </c>
      <c r="BP5">
        <v>11.18</v>
      </c>
      <c r="BQ5">
        <v>9</v>
      </c>
      <c r="BR5">
        <v>40.31</v>
      </c>
      <c r="BS5">
        <v>14.21</v>
      </c>
      <c r="BT5">
        <v>10.09</v>
      </c>
      <c r="BU5" t="s">
        <v>1073</v>
      </c>
      <c r="BV5" t="s">
        <v>318</v>
      </c>
      <c r="BW5">
        <v>50.23</v>
      </c>
      <c r="BX5">
        <v>41.36</v>
      </c>
      <c r="BY5">
        <v>41.68</v>
      </c>
      <c r="BZ5">
        <v>20.29</v>
      </c>
      <c r="CA5">
        <v>15.32</v>
      </c>
      <c r="CB5">
        <v>15.6</v>
      </c>
      <c r="CC5">
        <v>14.87</v>
      </c>
      <c r="CD5">
        <v>5.29</v>
      </c>
      <c r="CE5" t="s">
        <v>375</v>
      </c>
      <c r="CF5" t="s">
        <v>63</v>
      </c>
      <c r="CG5" s="21">
        <v>-0.61108862808579523</v>
      </c>
      <c r="CH5" s="22">
        <v>-0.87183979518072285</v>
      </c>
      <c r="CI5" s="21">
        <v>1.2657004594802856</v>
      </c>
      <c r="CJ5" s="21">
        <v>0.49855208396911621</v>
      </c>
      <c r="CK5" s="21">
        <v>0.33591225743293762</v>
      </c>
      <c r="CL5" s="21">
        <v>0.3088608980178833</v>
      </c>
      <c r="CM5" s="21">
        <v>8.445405401289463E-4</v>
      </c>
      <c r="CN5" s="22">
        <v>2.8263356685638428</v>
      </c>
      <c r="CO5" s="22">
        <v>0.61728394031524658</v>
      </c>
      <c r="CP5" s="22">
        <v>0.74193549156188965</v>
      </c>
      <c r="CQ5" s="22">
        <v>0.5</v>
      </c>
      <c r="CR5" s="22">
        <v>0.15887850522994995</v>
      </c>
      <c r="CS5">
        <v>28.338117431192661</v>
      </c>
      <c r="CT5">
        <v>0.58795940477221853</v>
      </c>
      <c r="CU5">
        <v>3.9114115983026871</v>
      </c>
      <c r="CV5" s="21">
        <v>0.48197404788807036</v>
      </c>
      <c r="CW5" s="22">
        <v>0.96888672113418584</v>
      </c>
      <c r="CX5">
        <v>0.06</v>
      </c>
      <c r="CY5">
        <v>4.4200970028567506</v>
      </c>
      <c r="CZ5">
        <v>2803167892.4675293</v>
      </c>
      <c r="DA5">
        <v>0.48197404788807036</v>
      </c>
      <c r="DB5">
        <v>1.0530140072610241</v>
      </c>
      <c r="DC5">
        <v>11766485454.66942</v>
      </c>
      <c r="DD5">
        <v>0.45787534549366682</v>
      </c>
      <c r="DE5">
        <v>0.32369898435012784</v>
      </c>
      <c r="DF5">
        <v>38277148211.86496</v>
      </c>
      <c r="DG5">
        <v>0.42413716214150193</v>
      </c>
      <c r="DH5">
        <v>0.10706108247362447</v>
      </c>
      <c r="DI5">
        <v>115730886646.43814</v>
      </c>
      <c r="DJ5">
        <v>0.38557923831045632</v>
      </c>
      <c r="DK5">
        <v>1.2387258254235483E-2</v>
      </c>
      <c r="DL5">
        <v>1000243455468.7262</v>
      </c>
      <c r="DM5">
        <v>0.33738183352164924</v>
      </c>
      <c r="DN5">
        <v>2005000000</v>
      </c>
      <c r="DO5">
        <v>0.48197404788807036</v>
      </c>
      <c r="DP5">
        <v>12390274000</v>
      </c>
      <c r="DQ5">
        <v>2224836900</v>
      </c>
      <c r="DR5">
        <v>1840</v>
      </c>
      <c r="DS5">
        <v>-1.0930626759738655</v>
      </c>
      <c r="DT5">
        <v>-1.8407265163149087</v>
      </c>
      <c r="DU5" s="23">
        <v>0.29333333333333339</v>
      </c>
      <c r="DV5">
        <v>0.64333333333333331</v>
      </c>
      <c r="DW5">
        <v>0.93666666666666676</v>
      </c>
      <c r="DX5">
        <v>5.3557498318762606</v>
      </c>
      <c r="DY5">
        <v>0.7321926910299007</v>
      </c>
      <c r="DZ5">
        <v>5.1217349923031721</v>
      </c>
      <c r="EA5">
        <v>409</v>
      </c>
      <c r="EB5">
        <v>5.1119203635131072</v>
      </c>
      <c r="EC5">
        <v>5</v>
      </c>
      <c r="ED5">
        <v>0.18860323047669997</v>
      </c>
      <c r="EE5">
        <v>0.55116089682996794</v>
      </c>
      <c r="EF5" s="20">
        <v>-1.0482</v>
      </c>
      <c r="EG5">
        <v>-1.0030000000000001</v>
      </c>
      <c r="EH5">
        <v>39.342192691029901</v>
      </c>
      <c r="EI5" t="s">
        <v>504</v>
      </c>
      <c r="EJ5">
        <v>1</v>
      </c>
      <c r="EK5">
        <v>1</v>
      </c>
      <c r="EL5" s="28">
        <v>45197</v>
      </c>
      <c r="EM5" s="29">
        <v>2.6800000000000001E-2</v>
      </c>
      <c r="EN5" s="29">
        <v>2.4500000000000002</v>
      </c>
      <c r="EO5" s="29">
        <v>-1.7</v>
      </c>
      <c r="EP5" s="29">
        <v>16.34</v>
      </c>
      <c r="EQ5" s="29">
        <v>-4.5199999999999996</v>
      </c>
    </row>
    <row r="6" spans="1:147" s="16" customFormat="1" ht="144" x14ac:dyDescent="0.25">
      <c r="A6" s="32" t="s">
        <v>388</v>
      </c>
      <c r="B6" s="24"/>
      <c r="C6" s="24"/>
      <c r="D6" s="24" t="s">
        <v>1181</v>
      </c>
      <c r="E6" t="s">
        <v>285</v>
      </c>
      <c r="F6" t="s">
        <v>286</v>
      </c>
      <c r="G6">
        <v>9.49</v>
      </c>
      <c r="H6">
        <v>-0.42</v>
      </c>
      <c r="I6" t="s">
        <v>1158</v>
      </c>
      <c r="J6">
        <v>6144140100</v>
      </c>
      <c r="K6"/>
      <c r="L6">
        <v>2.83</v>
      </c>
      <c r="M6" t="s">
        <v>272</v>
      </c>
      <c r="N6" t="s">
        <v>1159</v>
      </c>
      <c r="O6" t="s">
        <v>1160</v>
      </c>
      <c r="P6" t="s">
        <v>1161</v>
      </c>
      <c r="Q6">
        <v>-37.92</v>
      </c>
      <c r="R6" t="s">
        <v>507</v>
      </c>
      <c r="S6">
        <v>-44797892</v>
      </c>
      <c r="T6" s="4">
        <v>-3.2370000000000001</v>
      </c>
      <c r="U6" t="s">
        <v>891</v>
      </c>
      <c r="V6">
        <v>355351830</v>
      </c>
      <c r="W6">
        <v>647433100</v>
      </c>
      <c r="X6">
        <v>1.18</v>
      </c>
      <c r="Y6">
        <v>0.03</v>
      </c>
      <c r="Z6">
        <v>-53.35</v>
      </c>
      <c r="AA6" t="s">
        <v>874</v>
      </c>
      <c r="AB6" t="s">
        <v>1162</v>
      </c>
      <c r="AC6" t="s">
        <v>1163</v>
      </c>
      <c r="AD6" t="s">
        <v>1164</v>
      </c>
      <c r="AE6" t="s">
        <v>1165</v>
      </c>
      <c r="AF6">
        <v>-9387357</v>
      </c>
      <c r="AG6" t="s">
        <v>1166</v>
      </c>
      <c r="AH6" t="s">
        <v>1167</v>
      </c>
      <c r="AI6" t="s">
        <v>1168</v>
      </c>
      <c r="AJ6" t="s">
        <v>1169</v>
      </c>
      <c r="AK6" t="s">
        <v>1170</v>
      </c>
      <c r="AL6" t="s">
        <v>25</v>
      </c>
      <c r="AM6" t="s">
        <v>1171</v>
      </c>
      <c r="AN6" t="s">
        <v>682</v>
      </c>
      <c r="AO6" t="s">
        <v>1172</v>
      </c>
      <c r="AP6" t="s">
        <v>25</v>
      </c>
      <c r="AQ6" t="s">
        <v>25</v>
      </c>
      <c r="AR6" t="s">
        <v>1173</v>
      </c>
      <c r="AS6" t="s">
        <v>25</v>
      </c>
      <c r="AT6" t="s">
        <v>372</v>
      </c>
      <c r="AU6" t="s">
        <v>344</v>
      </c>
      <c r="AV6" t="s">
        <v>1174</v>
      </c>
      <c r="AW6" t="s">
        <v>1175</v>
      </c>
      <c r="AX6" t="s">
        <v>526</v>
      </c>
      <c r="AY6" t="s">
        <v>72</v>
      </c>
      <c r="AZ6" t="s">
        <v>330</v>
      </c>
      <c r="BA6" t="s">
        <v>365</v>
      </c>
      <c r="BB6" t="s">
        <v>366</v>
      </c>
      <c r="BC6" t="s">
        <v>367</v>
      </c>
      <c r="BD6" t="s">
        <v>363</v>
      </c>
      <c r="BE6" t="s">
        <v>368</v>
      </c>
      <c r="BF6" t="s">
        <v>369</v>
      </c>
      <c r="BG6" t="s">
        <v>370</v>
      </c>
      <c r="BH6" t="s">
        <v>371</v>
      </c>
      <c r="BI6" t="s">
        <v>1176</v>
      </c>
      <c r="BJ6" t="s">
        <v>372</v>
      </c>
      <c r="BK6" t="s">
        <v>892</v>
      </c>
      <c r="BL6" t="s">
        <v>1177</v>
      </c>
      <c r="BM6" t="s">
        <v>1178</v>
      </c>
      <c r="BN6" t="s">
        <v>893</v>
      </c>
      <c r="BO6">
        <v>0.81</v>
      </c>
      <c r="BP6">
        <v>4.99</v>
      </c>
      <c r="BQ6">
        <v>18.37</v>
      </c>
      <c r="BR6">
        <v>2.12</v>
      </c>
      <c r="BS6">
        <v>6.16</v>
      </c>
      <c r="BT6" t="s">
        <v>25</v>
      </c>
      <c r="BU6" t="s">
        <v>894</v>
      </c>
      <c r="BV6" t="s">
        <v>318</v>
      </c>
      <c r="BW6">
        <v>-21.46</v>
      </c>
      <c r="BX6">
        <v>51.34</v>
      </c>
      <c r="BY6">
        <v>58.11</v>
      </c>
      <c r="BZ6">
        <v>-103.3</v>
      </c>
      <c r="CA6">
        <v>21.28</v>
      </c>
      <c r="CB6">
        <v>63.94</v>
      </c>
      <c r="CC6">
        <v>-1.66</v>
      </c>
      <c r="CD6">
        <v>-8.66</v>
      </c>
      <c r="CE6" t="s">
        <v>1179</v>
      </c>
      <c r="CF6" t="s">
        <v>62</v>
      </c>
      <c r="CG6" s="21">
        <v>-0.14420898522715153</v>
      </c>
      <c r="CH6" s="22">
        <v>-2.6407867978834383</v>
      </c>
      <c r="CI6" s="21">
        <v>0.14117647707462311</v>
      </c>
      <c r="CJ6" s="21">
        <v>0.78321677446365356</v>
      </c>
      <c r="CK6" s="21">
        <v>1.2729259729385376</v>
      </c>
      <c r="CL6" s="21">
        <v>0.42309266328811646</v>
      </c>
      <c r="CM6" s="21">
        <v>0.58884245157241821</v>
      </c>
      <c r="CN6" s="22">
        <v>-0.28073826432228088</v>
      </c>
      <c r="CO6" s="22">
        <v>-0.42547962069511414</v>
      </c>
      <c r="CP6" s="22">
        <v>3.5857272148132324</v>
      </c>
      <c r="CQ6" s="22">
        <v>-0.12983936071395874</v>
      </c>
      <c r="CR6" s="22">
        <v>-0.64371395111083984</v>
      </c>
      <c r="CS6">
        <v>371.59927584952106</v>
      </c>
      <c r="CT6">
        <v>5.7894955737015437</v>
      </c>
      <c r="CU6">
        <v>0</v>
      </c>
      <c r="CV6" s="21">
        <v>0.64185086786746981</v>
      </c>
      <c r="CW6" s="22">
        <v>0.42119120359420775</v>
      </c>
      <c r="CX6">
        <v>0.06</v>
      </c>
      <c r="CY6">
        <v>72.677850518028364</v>
      </c>
      <c r="CZ6">
        <v>60446753.291227899</v>
      </c>
      <c r="DA6">
        <v>0.64185086786746981</v>
      </c>
      <c r="DB6">
        <v>15.363357632010404</v>
      </c>
      <c r="DC6">
        <v>285949217.95263362</v>
      </c>
      <c r="DD6">
        <v>0.60975832447409628</v>
      </c>
      <c r="DE6">
        <v>3.8838950023487504</v>
      </c>
      <c r="DF6">
        <v>1131117112.4202092</v>
      </c>
      <c r="DG6">
        <v>0.56482876372337343</v>
      </c>
      <c r="DH6">
        <v>0.98585556006220887</v>
      </c>
      <c r="DI6">
        <v>4456170130.7672157</v>
      </c>
      <c r="DJ6">
        <v>0.51348069429397591</v>
      </c>
      <c r="DK6">
        <v>5.8125172477835108E-2</v>
      </c>
      <c r="DL6">
        <v>75580680671.10231</v>
      </c>
      <c r="DM6">
        <v>0.44929560750722886</v>
      </c>
      <c r="DN6">
        <v>39025200</v>
      </c>
      <c r="DO6">
        <v>0.64185086786746981</v>
      </c>
      <c r="DP6">
        <v>4393140100</v>
      </c>
      <c r="DQ6">
        <v>1017786240</v>
      </c>
      <c r="DR6">
        <v>4722</v>
      </c>
      <c r="DS6">
        <v>-0.78605985309462134</v>
      </c>
      <c r="DT6">
        <v>-3.0619780014776459</v>
      </c>
      <c r="DU6" s="23">
        <v>0.34333333333333332</v>
      </c>
      <c r="DV6">
        <v>-1.8800000000000001</v>
      </c>
      <c r="DW6">
        <v>-1.5366666666666668</v>
      </c>
      <c r="DX6">
        <v>-2.0865999999999998</v>
      </c>
      <c r="DY6">
        <v>0.6781409090909063</v>
      </c>
      <c r="DZ6">
        <v>-2.0310150027272726</v>
      </c>
      <c r="EA6">
        <v>4226</v>
      </c>
      <c r="EB6">
        <v>-2.0051783377311256</v>
      </c>
      <c r="EC6">
        <v>2</v>
      </c>
      <c r="ED6">
        <v>8.5188261150070943E-2</v>
      </c>
      <c r="EE6">
        <v>0.23786241389264776</v>
      </c>
      <c r="EF6" s="20">
        <v>-3.02461</v>
      </c>
      <c r="EG6">
        <v>-3.02881</v>
      </c>
      <c r="EH6">
        <v>32.358140909090906</v>
      </c>
      <c r="EI6" t="s">
        <v>1180</v>
      </c>
      <c r="EJ6">
        <v>0</v>
      </c>
      <c r="EK6">
        <v>0</v>
      </c>
      <c r="EL6" s="28">
        <v>45197</v>
      </c>
      <c r="EM6" s="29">
        <v>3.6299999999999999E-2</v>
      </c>
      <c r="EN6" s="29">
        <v>-1.7</v>
      </c>
      <c r="EO6">
        <v>-6.31</v>
      </c>
      <c r="EP6">
        <v>3.47</v>
      </c>
      <c r="EQ6">
        <v>-0.42</v>
      </c>
    </row>
    <row r="7" spans="1:147" ht="132" x14ac:dyDescent="0.25">
      <c r="A7" s="26" t="s">
        <v>561</v>
      </c>
      <c r="B7" s="24"/>
      <c r="C7" s="24"/>
      <c r="D7" s="24" t="s">
        <v>1563</v>
      </c>
      <c r="E7" t="s">
        <v>289</v>
      </c>
      <c r="F7" t="s">
        <v>290</v>
      </c>
      <c r="G7">
        <v>49.38</v>
      </c>
      <c r="H7">
        <v>-3.16</v>
      </c>
      <c r="I7" t="s">
        <v>1537</v>
      </c>
      <c r="J7">
        <v>5667464100</v>
      </c>
      <c r="K7">
        <v>63.04</v>
      </c>
      <c r="L7">
        <v>2.61</v>
      </c>
      <c r="M7" t="s">
        <v>272</v>
      </c>
      <c r="N7" t="s">
        <v>50</v>
      </c>
      <c r="O7" t="s">
        <v>1538</v>
      </c>
      <c r="P7" t="s">
        <v>497</v>
      </c>
      <c r="Q7">
        <v>-17.36</v>
      </c>
      <c r="R7" t="s">
        <v>467</v>
      </c>
      <c r="S7">
        <v>37885821</v>
      </c>
      <c r="T7" s="4">
        <v>-0.28989999999999999</v>
      </c>
      <c r="U7" t="s">
        <v>1539</v>
      </c>
      <c r="V7">
        <v>24776423</v>
      </c>
      <c r="W7">
        <v>114772460</v>
      </c>
      <c r="X7">
        <v>1.05</v>
      </c>
      <c r="Y7">
        <v>0.05</v>
      </c>
      <c r="Z7">
        <v>31.03</v>
      </c>
      <c r="AA7" t="s">
        <v>1540</v>
      </c>
      <c r="AB7" t="s">
        <v>1541</v>
      </c>
      <c r="AC7" t="s">
        <v>1542</v>
      </c>
      <c r="AD7" t="s">
        <v>1543</v>
      </c>
      <c r="AE7" t="s">
        <v>1544</v>
      </c>
      <c r="AF7">
        <v>-13052021</v>
      </c>
      <c r="AG7" t="s">
        <v>1545</v>
      </c>
      <c r="AH7" t="s">
        <v>1546</v>
      </c>
      <c r="AI7" t="s">
        <v>1547</v>
      </c>
      <c r="AJ7" t="s">
        <v>456</v>
      </c>
      <c r="AK7" t="s">
        <v>1548</v>
      </c>
      <c r="AL7" t="s">
        <v>1549</v>
      </c>
      <c r="AM7" t="s">
        <v>1550</v>
      </c>
      <c r="AN7" t="s">
        <v>430</v>
      </c>
      <c r="AO7" t="s">
        <v>355</v>
      </c>
      <c r="AP7" t="s">
        <v>1551</v>
      </c>
      <c r="AQ7" t="s">
        <v>25</v>
      </c>
      <c r="AR7" t="s">
        <v>1552</v>
      </c>
      <c r="AS7" t="s">
        <v>25</v>
      </c>
      <c r="AT7" t="s">
        <v>1553</v>
      </c>
      <c r="AU7" t="s">
        <v>25</v>
      </c>
      <c r="AV7" t="s">
        <v>1554</v>
      </c>
      <c r="AW7" t="s">
        <v>1555</v>
      </c>
      <c r="AX7" t="s">
        <v>1556</v>
      </c>
      <c r="AY7" t="s">
        <v>389</v>
      </c>
      <c r="AZ7" t="s">
        <v>36</v>
      </c>
      <c r="BA7" t="s">
        <v>394</v>
      </c>
      <c r="BB7" t="s">
        <v>395</v>
      </c>
      <c r="BC7" t="s">
        <v>25</v>
      </c>
      <c r="BD7" t="s">
        <v>390</v>
      </c>
      <c r="BE7" t="s">
        <v>396</v>
      </c>
      <c r="BF7" t="s">
        <v>397</v>
      </c>
      <c r="BG7" t="s">
        <v>398</v>
      </c>
      <c r="BH7" t="s">
        <v>25</v>
      </c>
      <c r="BI7" t="s">
        <v>1557</v>
      </c>
      <c r="BJ7" t="s">
        <v>399</v>
      </c>
      <c r="BK7" t="s">
        <v>1558</v>
      </c>
      <c r="BL7" t="s">
        <v>1559</v>
      </c>
      <c r="BM7" t="s">
        <v>400</v>
      </c>
      <c r="BN7" t="s">
        <v>1560</v>
      </c>
      <c r="BO7">
        <v>6.84</v>
      </c>
      <c r="BP7">
        <v>10.44</v>
      </c>
      <c r="BQ7" t="s">
        <v>25</v>
      </c>
      <c r="BR7">
        <v>9.39</v>
      </c>
      <c r="BS7">
        <v>11.44</v>
      </c>
      <c r="BT7" t="s">
        <v>25</v>
      </c>
      <c r="BU7" t="s">
        <v>1289</v>
      </c>
      <c r="BV7" t="s">
        <v>318</v>
      </c>
      <c r="BW7">
        <v>65.44</v>
      </c>
      <c r="BX7">
        <v>59.88</v>
      </c>
      <c r="BY7">
        <v>45.99</v>
      </c>
      <c r="BZ7">
        <v>35.43</v>
      </c>
      <c r="CA7">
        <v>28.4</v>
      </c>
      <c r="CB7">
        <v>9.35</v>
      </c>
      <c r="CC7">
        <v>5.51</v>
      </c>
      <c r="CD7">
        <v>-2.99</v>
      </c>
      <c r="CE7" t="s">
        <v>1561</v>
      </c>
      <c r="CF7" t="s">
        <v>1562</v>
      </c>
      <c r="CG7" s="21">
        <v>-0.2859033912738162</v>
      </c>
      <c r="CH7" s="22">
        <v>-0.51243872828254056</v>
      </c>
      <c r="CI7" s="21">
        <v>0.38028168678283691</v>
      </c>
      <c r="CJ7" s="21">
        <v>0.70399999618530273</v>
      </c>
      <c r="CK7" s="21">
        <v>1.1359816789627075</v>
      </c>
      <c r="CL7" s="21">
        <v>0.72915273904800415</v>
      </c>
      <c r="CM7" s="21" t="s">
        <v>25</v>
      </c>
      <c r="CN7" s="22">
        <v>0.73859196901321411</v>
      </c>
      <c r="CO7" s="22">
        <v>4.1686577796936035</v>
      </c>
      <c r="CP7" s="22">
        <v>1.95264732837677</v>
      </c>
      <c r="CQ7" s="22">
        <v>0.71126854419708252</v>
      </c>
      <c r="CR7" s="22" t="s">
        <v>25</v>
      </c>
      <c r="CS7">
        <v>231.64161065815654</v>
      </c>
      <c r="CT7">
        <v>3.1415250032883377</v>
      </c>
      <c r="CU7">
        <v>1.215066828675577</v>
      </c>
      <c r="CV7" s="21">
        <v>0.73735402524471283</v>
      </c>
      <c r="CW7" s="22">
        <v>1.8927914053201675</v>
      </c>
      <c r="CX7">
        <v>0.06</v>
      </c>
      <c r="CY7">
        <v>20.938638601317255</v>
      </c>
      <c r="CZ7">
        <v>172096389.29310834</v>
      </c>
      <c r="DA7">
        <v>0.73735402524471283</v>
      </c>
      <c r="DB7">
        <v>4.1316056410237012</v>
      </c>
      <c r="DC7">
        <v>872170389.211483</v>
      </c>
      <c r="DD7">
        <v>0.70048632398247712</v>
      </c>
      <c r="DE7">
        <v>0.93082783825673998</v>
      </c>
      <c r="DF7">
        <v>3871246595.6632638</v>
      </c>
      <c r="DG7">
        <v>0.64887154221534726</v>
      </c>
      <c r="DH7">
        <v>0.2020018124634668</v>
      </c>
      <c r="DI7">
        <v>17838771128.114048</v>
      </c>
      <c r="DJ7">
        <v>0.58988322019577033</v>
      </c>
      <c r="DK7">
        <v>8.0448807512053279E-3</v>
      </c>
      <c r="DL7">
        <v>447920138463.22198</v>
      </c>
      <c r="DM7">
        <v>0.51614781767129891</v>
      </c>
      <c r="DN7">
        <v>105000000</v>
      </c>
      <c r="DO7">
        <v>0.73735402524471283</v>
      </c>
      <c r="DP7">
        <v>3603464100</v>
      </c>
      <c r="DQ7">
        <v>1609686800</v>
      </c>
      <c r="DR7">
        <v>4766</v>
      </c>
      <c r="DS7">
        <v>-1.0232574165185291</v>
      </c>
      <c r="DT7">
        <v>-2.405230133602708</v>
      </c>
      <c r="DU7" s="23">
        <v>0.6319999999999999</v>
      </c>
      <c r="DV7">
        <v>0.9</v>
      </c>
      <c r="DW7">
        <v>1.532</v>
      </c>
      <c r="DX7">
        <v>4.5426497277676949</v>
      </c>
      <c r="DY7">
        <v>0.40579735059968969</v>
      </c>
      <c r="DZ7">
        <v>4.0791168926121726</v>
      </c>
      <c r="EA7">
        <v>87</v>
      </c>
      <c r="EB7">
        <v>4.0777600683154525</v>
      </c>
      <c r="EC7">
        <v>4</v>
      </c>
      <c r="ED7">
        <v>3.1626053846018458E-2</v>
      </c>
      <c r="EE7">
        <v>0.2169178912780993</v>
      </c>
      <c r="EF7" s="20">
        <v>8.7999999999999995E-2</v>
      </c>
      <c r="EG7">
        <v>5.6399999999999992E-2</v>
      </c>
      <c r="EH7">
        <v>26.14579735059969</v>
      </c>
      <c r="EI7" t="s">
        <v>221</v>
      </c>
      <c r="EJ7">
        <v>0</v>
      </c>
      <c r="EK7">
        <v>1</v>
      </c>
      <c r="EL7" s="28">
        <v>45197</v>
      </c>
      <c r="EM7" s="29">
        <v>2.4799999999999999E-2</v>
      </c>
      <c r="EN7" s="29">
        <v>0.48</v>
      </c>
      <c r="EO7">
        <v>0.77</v>
      </c>
      <c r="EP7">
        <v>5</v>
      </c>
      <c r="EQ7">
        <v>-3.16</v>
      </c>
    </row>
    <row r="8" spans="1:147" ht="156" x14ac:dyDescent="0.25">
      <c r="A8" s="26" t="s">
        <v>566</v>
      </c>
      <c r="B8" s="24"/>
      <c r="C8" s="24"/>
      <c r="D8" s="24" t="s">
        <v>1591</v>
      </c>
      <c r="E8" t="s">
        <v>303</v>
      </c>
      <c r="F8" t="s">
        <v>304</v>
      </c>
      <c r="G8">
        <v>8.69</v>
      </c>
      <c r="H8">
        <v>-4.51</v>
      </c>
      <c r="I8" t="s">
        <v>1564</v>
      </c>
      <c r="J8">
        <v>4343061200</v>
      </c>
      <c r="L8">
        <v>1.85</v>
      </c>
      <c r="M8" t="s">
        <v>272</v>
      </c>
      <c r="N8" t="s">
        <v>1565</v>
      </c>
      <c r="O8" t="s">
        <v>1566</v>
      </c>
      <c r="P8" t="s">
        <v>73</v>
      </c>
      <c r="Q8">
        <v>-18.84</v>
      </c>
      <c r="R8" t="s">
        <v>1567</v>
      </c>
      <c r="S8">
        <v>-21775906</v>
      </c>
      <c r="T8" s="5">
        <v>-1.0229999999999999</v>
      </c>
      <c r="U8" t="s">
        <v>880</v>
      </c>
      <c r="V8">
        <v>498906990</v>
      </c>
      <c r="W8">
        <v>499776890</v>
      </c>
      <c r="X8">
        <v>1.45</v>
      </c>
      <c r="Y8">
        <v>0.15</v>
      </c>
      <c r="Z8">
        <v>-3.92</v>
      </c>
      <c r="AA8" t="s">
        <v>1568</v>
      </c>
      <c r="AB8" t="s">
        <v>460</v>
      </c>
      <c r="AC8" t="s">
        <v>1569</v>
      </c>
      <c r="AD8" t="s">
        <v>1570</v>
      </c>
      <c r="AE8" t="s">
        <v>1571</v>
      </c>
      <c r="AF8">
        <v>343824</v>
      </c>
      <c r="AG8" t="s">
        <v>1572</v>
      </c>
      <c r="AH8" t="s">
        <v>1573</v>
      </c>
      <c r="AI8" t="s">
        <v>1574</v>
      </c>
      <c r="AJ8" t="s">
        <v>327</v>
      </c>
      <c r="AK8" t="s">
        <v>1575</v>
      </c>
      <c r="AL8" t="s">
        <v>25</v>
      </c>
      <c r="AM8" t="s">
        <v>1576</v>
      </c>
      <c r="AN8" t="s">
        <v>1577</v>
      </c>
      <c r="AO8" t="s">
        <v>1578</v>
      </c>
      <c r="AP8" t="s">
        <v>1579</v>
      </c>
      <c r="AQ8" t="s">
        <v>25</v>
      </c>
      <c r="AR8" t="s">
        <v>1580</v>
      </c>
      <c r="AS8" t="s">
        <v>25</v>
      </c>
      <c r="AT8" t="s">
        <v>1581</v>
      </c>
      <c r="AU8" t="s">
        <v>1582</v>
      </c>
      <c r="AV8" t="s">
        <v>1583</v>
      </c>
      <c r="AW8" t="s">
        <v>1584</v>
      </c>
      <c r="AX8" t="s">
        <v>1585</v>
      </c>
      <c r="AY8" t="s">
        <v>482</v>
      </c>
      <c r="AZ8" t="s">
        <v>486</v>
      </c>
      <c r="BA8" t="s">
        <v>487</v>
      </c>
      <c r="BB8" t="s">
        <v>488</v>
      </c>
      <c r="BC8" t="s">
        <v>489</v>
      </c>
      <c r="BD8" t="s">
        <v>483</v>
      </c>
      <c r="BE8" t="s">
        <v>490</v>
      </c>
      <c r="BF8" t="s">
        <v>480</v>
      </c>
      <c r="BG8" t="s">
        <v>319</v>
      </c>
      <c r="BH8" t="s">
        <v>491</v>
      </c>
      <c r="BI8" t="s">
        <v>1586</v>
      </c>
      <c r="BJ8" t="s">
        <v>492</v>
      </c>
      <c r="BK8" t="s">
        <v>1587</v>
      </c>
      <c r="BL8" t="s">
        <v>1588</v>
      </c>
      <c r="BM8" t="s">
        <v>493</v>
      </c>
      <c r="BN8" t="s">
        <v>1589</v>
      </c>
      <c r="BO8">
        <v>13.49</v>
      </c>
      <c r="BP8" t="s">
        <v>25</v>
      </c>
      <c r="BQ8">
        <v>5.57</v>
      </c>
      <c r="BR8">
        <v>17.52</v>
      </c>
      <c r="BS8">
        <v>-18.399999999999999</v>
      </c>
      <c r="BT8">
        <v>6.55</v>
      </c>
      <c r="BU8" t="s">
        <v>374</v>
      </c>
      <c r="BV8" t="s">
        <v>318</v>
      </c>
      <c r="BW8">
        <v>27.16</v>
      </c>
      <c r="BX8">
        <v>31.69</v>
      </c>
      <c r="BY8">
        <v>38.32</v>
      </c>
      <c r="BZ8">
        <v>-10.64</v>
      </c>
      <c r="CA8">
        <v>-23.78</v>
      </c>
      <c r="CB8">
        <v>10.4</v>
      </c>
      <c r="CC8">
        <v>3.45</v>
      </c>
      <c r="CD8">
        <v>2.36</v>
      </c>
      <c r="CE8" t="s">
        <v>834</v>
      </c>
      <c r="CF8" t="s">
        <v>1590</v>
      </c>
      <c r="CG8" s="21">
        <v>-4.3189368770764118E-2</v>
      </c>
      <c r="CH8" s="22">
        <v>-0.99283294337165406</v>
      </c>
      <c r="CI8" s="21">
        <v>-0.21525724232196808</v>
      </c>
      <c r="CJ8" s="21">
        <v>0.14102567732334137</v>
      </c>
      <c r="CK8" s="21">
        <v>0.11596385389566422</v>
      </c>
      <c r="CL8" s="21">
        <v>0.33199599385261536</v>
      </c>
      <c r="CM8" s="21">
        <v>2.6254546642303467</v>
      </c>
      <c r="CN8" s="22">
        <v>1.9427860975265503</v>
      </c>
      <c r="CO8" s="22">
        <v>-3.5935482978820801</v>
      </c>
      <c r="CP8" s="22">
        <v>0.11510791629552841</v>
      </c>
      <c r="CQ8" s="22">
        <v>-0.13664595782756805</v>
      </c>
      <c r="CR8" s="22">
        <v>1.7850092649459839</v>
      </c>
      <c r="CS8">
        <v>53.201024479925358</v>
      </c>
      <c r="CT8">
        <v>0.88692529632938288</v>
      </c>
      <c r="CU8">
        <v>0</v>
      </c>
      <c r="CV8" s="21">
        <v>0.59983658939599993</v>
      </c>
      <c r="CW8" s="22">
        <v>2.254180461168289E-2</v>
      </c>
      <c r="CX8">
        <v>0.06</v>
      </c>
      <c r="CY8">
        <v>5.290159144805938</v>
      </c>
      <c r="CZ8">
        <v>572017044.69913578</v>
      </c>
      <c r="DA8">
        <v>0.59983658939599993</v>
      </c>
      <c r="DB8">
        <v>1.1533754348359764</v>
      </c>
      <c r="DC8">
        <v>2623656711.078073</v>
      </c>
      <c r="DD8">
        <v>0.56984475992619987</v>
      </c>
      <c r="DE8">
        <v>0.30687357581709646</v>
      </c>
      <c r="DF8">
        <v>9860937657.9350719</v>
      </c>
      <c r="DG8">
        <v>0.52785619866847999</v>
      </c>
      <c r="DH8">
        <v>8.3497623232586193E-2</v>
      </c>
      <c r="DI8">
        <v>36241285474.327545</v>
      </c>
      <c r="DJ8">
        <v>0.47986927151679998</v>
      </c>
      <c r="DK8">
        <v>5.867554424399909E-3</v>
      </c>
      <c r="DL8">
        <v>515727845218.83386</v>
      </c>
      <c r="DM8">
        <v>0.41988561257719992</v>
      </c>
      <c r="DN8">
        <v>379000000</v>
      </c>
      <c r="DO8">
        <v>0.59983658939599993</v>
      </c>
      <c r="DP8">
        <v>3026061200</v>
      </c>
      <c r="DQ8">
        <v>315512959.99999994</v>
      </c>
      <c r="DR8">
        <v>1641</v>
      </c>
      <c r="DS8">
        <v>-0.643025958166764</v>
      </c>
      <c r="DT8">
        <v>-1.015374747983337</v>
      </c>
      <c r="DU8" s="23">
        <v>4.9999999999999689E-3</v>
      </c>
      <c r="DV8">
        <v>-1.115</v>
      </c>
      <c r="DW8">
        <v>-1.1100000000000001</v>
      </c>
      <c r="DX8">
        <v>4.6840579710144929</v>
      </c>
      <c r="DY8">
        <v>0.50373650107991264</v>
      </c>
      <c r="DZ8">
        <v>4.2009327949416218</v>
      </c>
      <c r="EA8">
        <v>3916</v>
      </c>
      <c r="EB8">
        <v>4.0458267777937031</v>
      </c>
      <c r="EC8">
        <v>4</v>
      </c>
      <c r="ED8">
        <v>0.27212142602271988</v>
      </c>
      <c r="EE8">
        <v>0.92641338418028896</v>
      </c>
      <c r="EF8" s="20">
        <v>1.0055000000000001</v>
      </c>
      <c r="EG8">
        <v>1.0396099999999999</v>
      </c>
      <c r="EH8">
        <v>21.293736501079913</v>
      </c>
      <c r="EI8" t="s">
        <v>878</v>
      </c>
      <c r="EJ8">
        <v>0</v>
      </c>
      <c r="EK8">
        <v>0</v>
      </c>
      <c r="EL8" s="28">
        <v>45197</v>
      </c>
      <c r="EM8" s="29">
        <v>2.3800000000000002E-2</v>
      </c>
      <c r="EN8" s="29">
        <v>2.91</v>
      </c>
      <c r="EO8" s="29">
        <v>-0.68</v>
      </c>
      <c r="EP8" s="29">
        <v>3.53</v>
      </c>
      <c r="EQ8" s="29">
        <v>-4.51</v>
      </c>
    </row>
    <row r="9" spans="1:147" ht="132" x14ac:dyDescent="0.25">
      <c r="A9" s="26" t="s">
        <v>567</v>
      </c>
      <c r="B9" s="24"/>
      <c r="C9" s="24"/>
      <c r="D9" s="24" t="s">
        <v>1614</v>
      </c>
      <c r="E9" t="s">
        <v>305</v>
      </c>
      <c r="F9" t="s">
        <v>306</v>
      </c>
      <c r="G9">
        <v>25.57</v>
      </c>
      <c r="H9">
        <v>-2.4</v>
      </c>
      <c r="I9" t="s">
        <v>1592</v>
      </c>
      <c r="J9">
        <v>3956032500</v>
      </c>
      <c r="K9">
        <v>55.92</v>
      </c>
      <c r="L9">
        <v>1.79</v>
      </c>
      <c r="M9" t="s">
        <v>272</v>
      </c>
      <c r="N9" t="s">
        <v>344</v>
      </c>
      <c r="O9" t="s">
        <v>1593</v>
      </c>
      <c r="P9" t="s">
        <v>1232</v>
      </c>
      <c r="Q9">
        <v>-23.31</v>
      </c>
      <c r="R9" t="s">
        <v>753</v>
      </c>
      <c r="S9">
        <v>29351957</v>
      </c>
      <c r="T9" s="4">
        <v>-0.54910000000000003</v>
      </c>
      <c r="U9" t="s">
        <v>402</v>
      </c>
      <c r="V9">
        <v>83993824</v>
      </c>
      <c r="W9">
        <v>154713820</v>
      </c>
      <c r="X9">
        <v>1.07</v>
      </c>
      <c r="Y9">
        <v>7.0000000000000007E-2</v>
      </c>
      <c r="Z9">
        <v>17.66</v>
      </c>
      <c r="AA9" t="s">
        <v>341</v>
      </c>
      <c r="AB9" t="s">
        <v>351</v>
      </c>
      <c r="AC9" t="s">
        <v>1594</v>
      </c>
      <c r="AD9" t="s">
        <v>1595</v>
      </c>
      <c r="AE9" t="s">
        <v>1596</v>
      </c>
      <c r="AF9">
        <v>-1467217</v>
      </c>
      <c r="AG9" t="s">
        <v>1597</v>
      </c>
      <c r="AH9" t="s">
        <v>1598</v>
      </c>
      <c r="AI9" t="s">
        <v>1599</v>
      </c>
      <c r="AJ9" t="s">
        <v>1600</v>
      </c>
      <c r="AK9" t="s">
        <v>1601</v>
      </c>
      <c r="AL9" t="s">
        <v>1602</v>
      </c>
      <c r="AM9" t="s">
        <v>1603</v>
      </c>
      <c r="AN9" t="s">
        <v>1604</v>
      </c>
      <c r="AO9" t="s">
        <v>1003</v>
      </c>
      <c r="AP9" t="s">
        <v>25</v>
      </c>
      <c r="AQ9" t="s">
        <v>1605</v>
      </c>
      <c r="AR9" t="s">
        <v>1606</v>
      </c>
      <c r="AS9" t="s">
        <v>25</v>
      </c>
      <c r="AT9" t="s">
        <v>399</v>
      </c>
      <c r="AU9" t="s">
        <v>25</v>
      </c>
      <c r="AV9" t="s">
        <v>1607</v>
      </c>
      <c r="AW9" t="s">
        <v>1608</v>
      </c>
      <c r="AX9" t="s">
        <v>25</v>
      </c>
      <c r="AY9" t="s">
        <v>495</v>
      </c>
      <c r="AZ9" t="s">
        <v>315</v>
      </c>
      <c r="BA9" t="s">
        <v>467</v>
      </c>
      <c r="BB9" t="s">
        <v>46</v>
      </c>
      <c r="BC9" t="s">
        <v>376</v>
      </c>
      <c r="BD9" t="s">
        <v>392</v>
      </c>
      <c r="BE9" t="s">
        <v>497</v>
      </c>
      <c r="BF9" t="s">
        <v>498</v>
      </c>
      <c r="BG9" t="s">
        <v>499</v>
      </c>
      <c r="BH9" t="s">
        <v>500</v>
      </c>
      <c r="BI9" t="s">
        <v>351</v>
      </c>
      <c r="BJ9" t="s">
        <v>501</v>
      </c>
      <c r="BK9" t="s">
        <v>430</v>
      </c>
      <c r="BL9" t="s">
        <v>1609</v>
      </c>
      <c r="BM9" t="s">
        <v>503</v>
      </c>
      <c r="BN9" t="s">
        <v>1610</v>
      </c>
      <c r="BO9">
        <v>7.52</v>
      </c>
      <c r="BP9">
        <v>18.97</v>
      </c>
      <c r="BQ9">
        <v>25.66</v>
      </c>
      <c r="BR9">
        <v>5.21</v>
      </c>
      <c r="BS9">
        <v>20.64</v>
      </c>
      <c r="BT9">
        <v>34.33</v>
      </c>
      <c r="BU9" t="s">
        <v>1611</v>
      </c>
      <c r="BV9" t="s">
        <v>318</v>
      </c>
      <c r="BW9">
        <v>36.46</v>
      </c>
      <c r="BX9">
        <v>49.97</v>
      </c>
      <c r="BY9">
        <v>50.12</v>
      </c>
      <c r="BZ9">
        <v>19.2</v>
      </c>
      <c r="CA9">
        <v>24.12</v>
      </c>
      <c r="CB9">
        <v>32.06</v>
      </c>
      <c r="CC9">
        <v>0.63</v>
      </c>
      <c r="CD9">
        <v>-8.15</v>
      </c>
      <c r="CE9" t="s">
        <v>1612</v>
      </c>
      <c r="CF9" t="s">
        <v>1613</v>
      </c>
      <c r="CG9" s="21">
        <v>-0.39814814814814808</v>
      </c>
      <c r="CH9" s="22">
        <v>-0.75021404437856876</v>
      </c>
      <c r="CI9" s="21">
        <v>-1.2019230984151363E-2</v>
      </c>
      <c r="CJ9" s="21">
        <v>0.11528149992227554</v>
      </c>
      <c r="CK9" s="21">
        <v>0.26870748400688171</v>
      </c>
      <c r="CL9" s="21">
        <v>0.4482758641242981</v>
      </c>
      <c r="CM9" s="21">
        <v>4.950494971126318E-3</v>
      </c>
      <c r="CN9" s="22">
        <v>5.9999998658895493E-2</v>
      </c>
      <c r="CO9" s="22">
        <v>-0.1735537201166153</v>
      </c>
      <c r="CP9" s="22">
        <v>1.2314883470535278</v>
      </c>
      <c r="CQ9" s="22">
        <v>7.0809378623962402</v>
      </c>
      <c r="CR9" s="22">
        <v>0.6395689845085144</v>
      </c>
      <c r="CS9">
        <v>60.547409282941516</v>
      </c>
      <c r="CT9">
        <v>3.6686678717637369</v>
      </c>
      <c r="CU9">
        <v>1.1732499022291747</v>
      </c>
      <c r="CV9" s="21">
        <v>0.16503922240808605</v>
      </c>
      <c r="CW9" s="22">
        <v>1.7676882945001124</v>
      </c>
      <c r="CX9">
        <v>0.06</v>
      </c>
      <c r="CY9">
        <v>16.240075558050741</v>
      </c>
      <c r="CZ9">
        <v>116503922.24080861</v>
      </c>
      <c r="DA9">
        <v>0.16503922240808605</v>
      </c>
      <c r="DB9">
        <v>4.9831235131318747</v>
      </c>
      <c r="DC9">
        <v>379688060.11209315</v>
      </c>
      <c r="DD9">
        <v>0.15678726128768175</v>
      </c>
      <c r="DE9">
        <v>2.2497283045054282</v>
      </c>
      <c r="DF9">
        <v>841004887.6617291</v>
      </c>
      <c r="DG9">
        <v>0.14523451571911572</v>
      </c>
      <c r="DH9">
        <v>1.2214284197733072</v>
      </c>
      <c r="DI9">
        <v>1549032648.4716597</v>
      </c>
      <c r="DJ9">
        <v>0.13203137792646885</v>
      </c>
      <c r="DK9">
        <v>0.50014991457199953</v>
      </c>
      <c r="DL9">
        <v>3782930767.1062908</v>
      </c>
      <c r="DM9">
        <v>0.11552745568566022</v>
      </c>
      <c r="DN9">
        <v>106000000</v>
      </c>
      <c r="DO9">
        <v>0.16503922240808605</v>
      </c>
      <c r="DP9">
        <v>1892032500</v>
      </c>
      <c r="DQ9">
        <v>1539271900</v>
      </c>
      <c r="DR9">
        <v>2628</v>
      </c>
      <c r="DS9">
        <v>-0.56318737055623413</v>
      </c>
      <c r="DT9">
        <v>-2.517902338878681</v>
      </c>
      <c r="DU9" s="23">
        <v>-0.19000000000000003</v>
      </c>
      <c r="DV9">
        <v>0.55833333333333335</v>
      </c>
      <c r="DW9">
        <v>0.36833333333333329</v>
      </c>
      <c r="DX9">
        <v>-2.0815000000000001</v>
      </c>
      <c r="DY9">
        <v>0.41588867165068066</v>
      </c>
      <c r="DZ9">
        <v>-2.0135199267395305</v>
      </c>
      <c r="EA9">
        <v>1319</v>
      </c>
      <c r="EB9">
        <v>-2.0100046924857478</v>
      </c>
      <c r="EC9">
        <v>2</v>
      </c>
      <c r="ED9">
        <v>7.6927193705126018E-2</v>
      </c>
      <c r="EE9">
        <v>0.46372780401905916</v>
      </c>
      <c r="EF9" s="20">
        <v>1.0531999999999999</v>
      </c>
      <c r="EG9">
        <v>1.0291999999999999</v>
      </c>
      <c r="EH9">
        <v>25.165888671650681</v>
      </c>
      <c r="EI9" t="s">
        <v>222</v>
      </c>
      <c r="EJ9">
        <v>0</v>
      </c>
      <c r="EK9">
        <v>1</v>
      </c>
      <c r="EL9" s="28">
        <v>45197</v>
      </c>
      <c r="EM9" s="29">
        <v>1.34E-2</v>
      </c>
      <c r="EN9" s="29">
        <v>2.17</v>
      </c>
      <c r="EO9" s="29">
        <v>-3.34</v>
      </c>
      <c r="EP9" s="29">
        <v>3.03</v>
      </c>
      <c r="EQ9" s="29">
        <v>-2.4</v>
      </c>
    </row>
    <row r="10" spans="1:147" ht="120" x14ac:dyDescent="0.25">
      <c r="A10" s="26" t="s">
        <v>569</v>
      </c>
      <c r="B10" s="24"/>
      <c r="C10" s="24"/>
      <c r="D10" s="24" t="s">
        <v>1637</v>
      </c>
      <c r="E10" t="s">
        <v>309</v>
      </c>
      <c r="F10" t="s">
        <v>310</v>
      </c>
      <c r="G10">
        <v>40.5</v>
      </c>
      <c r="H10">
        <v>-1.24</v>
      </c>
      <c r="I10" t="s">
        <v>1615</v>
      </c>
      <c r="J10">
        <v>3157522300</v>
      </c>
      <c r="L10">
        <v>1.79</v>
      </c>
      <c r="M10" t="s">
        <v>272</v>
      </c>
      <c r="N10" t="s">
        <v>519</v>
      </c>
      <c r="O10" t="s">
        <v>1616</v>
      </c>
      <c r="P10" t="s">
        <v>1617</v>
      </c>
      <c r="Q10">
        <v>39.049999999999997</v>
      </c>
      <c r="R10" t="s">
        <v>531</v>
      </c>
      <c r="S10">
        <v>-2903698</v>
      </c>
      <c r="T10" s="4">
        <v>-1.595</v>
      </c>
      <c r="U10" t="s">
        <v>1618</v>
      </c>
      <c r="V10">
        <v>48679461</v>
      </c>
      <c r="W10">
        <v>77963513</v>
      </c>
      <c r="X10">
        <v>1.1399999999999999</v>
      </c>
      <c r="Y10">
        <v>0.09</v>
      </c>
      <c r="Z10">
        <v>-1.61</v>
      </c>
      <c r="AA10" t="s">
        <v>320</v>
      </c>
      <c r="AB10" t="s">
        <v>351</v>
      </c>
      <c r="AC10" t="s">
        <v>1619</v>
      </c>
      <c r="AD10" t="s">
        <v>1620</v>
      </c>
      <c r="AE10" t="s">
        <v>1621</v>
      </c>
      <c r="AF10">
        <v>509808</v>
      </c>
      <c r="AG10" t="s">
        <v>1622</v>
      </c>
      <c r="AH10">
        <v>3.73</v>
      </c>
      <c r="AI10" t="s">
        <v>1623</v>
      </c>
      <c r="AJ10" t="s">
        <v>1312</v>
      </c>
      <c r="AK10" t="s">
        <v>1624</v>
      </c>
      <c r="AL10" t="s">
        <v>25</v>
      </c>
      <c r="AM10" t="s">
        <v>1625</v>
      </c>
      <c r="AN10" t="s">
        <v>416</v>
      </c>
      <c r="AO10" t="s">
        <v>502</v>
      </c>
      <c r="AP10" t="s">
        <v>25</v>
      </c>
      <c r="AQ10" t="s">
        <v>25</v>
      </c>
      <c r="AR10" t="s">
        <v>1626</v>
      </c>
      <c r="AS10" t="s">
        <v>25</v>
      </c>
      <c r="AT10" t="s">
        <v>1627</v>
      </c>
      <c r="AU10" t="s">
        <v>25</v>
      </c>
      <c r="AV10" t="s">
        <v>1628</v>
      </c>
      <c r="AW10" t="s">
        <v>1629</v>
      </c>
      <c r="AX10" t="s">
        <v>1630</v>
      </c>
      <c r="AY10" t="s">
        <v>489</v>
      </c>
      <c r="AZ10" t="s">
        <v>520</v>
      </c>
      <c r="BA10" t="s">
        <v>490</v>
      </c>
      <c r="BB10" t="s">
        <v>497</v>
      </c>
      <c r="BC10" t="s">
        <v>521</v>
      </c>
      <c r="BD10" t="s">
        <v>518</v>
      </c>
      <c r="BE10" t="s">
        <v>522</v>
      </c>
      <c r="BF10" t="s">
        <v>523</v>
      </c>
      <c r="BG10" t="s">
        <v>524</v>
      </c>
      <c r="BH10" t="s">
        <v>525</v>
      </c>
      <c r="BI10" t="s">
        <v>1631</v>
      </c>
      <c r="BJ10" t="s">
        <v>526</v>
      </c>
      <c r="BK10" t="s">
        <v>1632</v>
      </c>
      <c r="BL10" t="s">
        <v>1633</v>
      </c>
      <c r="BM10" t="s">
        <v>528</v>
      </c>
      <c r="BN10" t="s">
        <v>1634</v>
      </c>
      <c r="BO10" t="s">
        <v>25</v>
      </c>
      <c r="BP10">
        <v>5.97</v>
      </c>
      <c r="BQ10">
        <v>22.58</v>
      </c>
      <c r="BR10">
        <v>-0.31</v>
      </c>
      <c r="BS10">
        <v>21.33</v>
      </c>
      <c r="BT10">
        <v>20.79</v>
      </c>
      <c r="BU10" t="s">
        <v>374</v>
      </c>
      <c r="BV10" t="s">
        <v>318</v>
      </c>
      <c r="BW10">
        <v>40.26</v>
      </c>
      <c r="BX10">
        <v>60.86</v>
      </c>
      <c r="BY10">
        <v>60.34</v>
      </c>
      <c r="BZ10">
        <v>-16.3</v>
      </c>
      <c r="CA10">
        <v>22.11</v>
      </c>
      <c r="CB10">
        <v>22.71</v>
      </c>
      <c r="CC10">
        <v>3.71</v>
      </c>
      <c r="CD10">
        <v>4.41</v>
      </c>
      <c r="CE10" t="s">
        <v>1635</v>
      </c>
      <c r="CF10" t="s">
        <v>1636</v>
      </c>
      <c r="CG10" s="21">
        <v>0.63534908724693984</v>
      </c>
      <c r="CH10" s="22">
        <v>2.2534054018168339</v>
      </c>
      <c r="CI10" s="21">
        <v>0.10181818157434464</v>
      </c>
      <c r="CJ10" s="21">
        <v>0.40306121110916138</v>
      </c>
      <c r="CK10" s="21">
        <v>0.26451611518859863</v>
      </c>
      <c r="CL10" s="21">
        <v>0.28099173307418823</v>
      </c>
      <c r="CM10" s="21">
        <v>0.58602410554885864</v>
      </c>
      <c r="CN10" s="22">
        <v>-1.0887203216552734</v>
      </c>
      <c r="CO10" s="22">
        <v>0.36594480276107788</v>
      </c>
      <c r="CP10" s="22">
        <v>0.91639101505279541</v>
      </c>
      <c r="CQ10" s="22">
        <v>0.53858727216720581</v>
      </c>
      <c r="CR10" s="22">
        <v>1.9413083791732788</v>
      </c>
      <c r="CS10">
        <v>154.87553065647305</v>
      </c>
      <c r="CT10">
        <v>4.7321699091180163</v>
      </c>
      <c r="CU10">
        <v>0</v>
      </c>
      <c r="CV10" s="21">
        <v>0.32728226929903032</v>
      </c>
      <c r="CW10" s="22">
        <v>0.53470222949981694</v>
      </c>
      <c r="CX10">
        <v>0.06</v>
      </c>
      <c r="CY10" t="e">
        <v>#VALUE!</v>
      </c>
      <c r="CZ10" t="s">
        <v>875</v>
      </c>
      <c r="DA10">
        <v>0.32728226929903032</v>
      </c>
      <c r="DB10" t="e">
        <v>#VALUE!</v>
      </c>
      <c r="DC10" t="s">
        <v>494</v>
      </c>
      <c r="DD10">
        <v>0.31091815583407878</v>
      </c>
      <c r="DE10" t="e">
        <v>#VALUE!</v>
      </c>
      <c r="DF10" t="s">
        <v>494</v>
      </c>
      <c r="DG10">
        <v>0.28800839698314668</v>
      </c>
      <c r="DH10" t="e">
        <v>#VALUE!</v>
      </c>
      <c r="DI10" t="s">
        <v>494</v>
      </c>
      <c r="DJ10">
        <v>0.26182581543922429</v>
      </c>
      <c r="DK10" t="e">
        <v>#VALUE!</v>
      </c>
      <c r="DL10" t="s">
        <v>494</v>
      </c>
      <c r="DM10">
        <v>0.22909758850932121</v>
      </c>
      <c r="DN10">
        <v>-5399600</v>
      </c>
      <c r="DO10">
        <v>0.32728226929903032</v>
      </c>
      <c r="DP10">
        <v>1644522300</v>
      </c>
      <c r="DQ10">
        <v>1034683610</v>
      </c>
      <c r="DR10">
        <v>4740</v>
      </c>
      <c r="DS10">
        <v>0.30806681794790952</v>
      </c>
      <c r="DT10">
        <v>1.718703172317017</v>
      </c>
      <c r="DU10" s="23">
        <v>5.9999999999999908E-2</v>
      </c>
      <c r="DV10">
        <v>-0.6366666666666666</v>
      </c>
      <c r="DW10">
        <v>-0.57666666666666666</v>
      </c>
      <c r="DX10">
        <v>8.8412698412698418</v>
      </c>
      <c r="DY10">
        <v>0.71063339385663626</v>
      </c>
      <c r="DZ10">
        <v>8.1603741249905024</v>
      </c>
      <c r="EA10">
        <v>3360</v>
      </c>
      <c r="EB10">
        <v>8.0541535336307373</v>
      </c>
      <c r="EC10">
        <v>8</v>
      </c>
      <c r="ED10">
        <v>1.6294801903038926E-2</v>
      </c>
      <c r="EE10">
        <v>8.5477164170372877E-2</v>
      </c>
      <c r="EF10" s="20">
        <v>1.05</v>
      </c>
      <c r="EG10">
        <v>1.0376000000000001</v>
      </c>
      <c r="EH10">
        <v>52.190633393856636</v>
      </c>
      <c r="EI10" t="s">
        <v>222</v>
      </c>
      <c r="EJ10">
        <v>0</v>
      </c>
      <c r="EK10">
        <v>0</v>
      </c>
      <c r="EL10" s="28">
        <v>45197</v>
      </c>
      <c r="EM10" s="29">
        <v>3.3000000000000002E-2</v>
      </c>
      <c r="EN10" s="29">
        <v>-0.47</v>
      </c>
      <c r="EO10">
        <v>-1.77</v>
      </c>
      <c r="EP10">
        <v>3.98</v>
      </c>
      <c r="EQ10">
        <v>-1.24</v>
      </c>
    </row>
    <row r="11" spans="1:147" s="16" customFormat="1" ht="129.75" customHeight="1" x14ac:dyDescent="0.25">
      <c r="A11" s="32" t="s">
        <v>386</v>
      </c>
      <c r="B11" s="24" t="s">
        <v>1104</v>
      </c>
      <c r="C11" s="24" t="s">
        <v>1536</v>
      </c>
      <c r="D11" s="24" t="s">
        <v>1132</v>
      </c>
      <c r="E11" t="s">
        <v>19</v>
      </c>
      <c r="F11" t="s">
        <v>20</v>
      </c>
      <c r="G11">
        <v>45.26</v>
      </c>
      <c r="H11">
        <v>-0.64</v>
      </c>
      <c r="I11" t="s">
        <v>1105</v>
      </c>
      <c r="J11">
        <v>9036815300</v>
      </c>
      <c r="K11">
        <v>32.86</v>
      </c>
      <c r="L11">
        <v>3.42</v>
      </c>
      <c r="M11" t="s">
        <v>272</v>
      </c>
      <c r="N11" t="s">
        <v>1106</v>
      </c>
      <c r="O11" t="s">
        <v>1107</v>
      </c>
      <c r="P11" t="s">
        <v>1108</v>
      </c>
      <c r="Q11">
        <v>14.89</v>
      </c>
      <c r="R11" t="s">
        <v>1109</v>
      </c>
      <c r="S11">
        <v>113890999</v>
      </c>
      <c r="T11" s="4">
        <v>-0.25609999999999999</v>
      </c>
      <c r="U11" t="s">
        <v>1110</v>
      </c>
      <c r="V11">
        <v>168445040</v>
      </c>
      <c r="W11">
        <v>199664500</v>
      </c>
      <c r="X11">
        <v>1.86</v>
      </c>
      <c r="Y11">
        <v>0.17</v>
      </c>
      <c r="Z11">
        <v>13.49</v>
      </c>
      <c r="AA11" t="s">
        <v>484</v>
      </c>
      <c r="AB11" t="s">
        <v>1111</v>
      </c>
      <c r="AC11" t="s">
        <v>1112</v>
      </c>
      <c r="AD11" t="s">
        <v>1113</v>
      </c>
      <c r="AE11" t="s">
        <v>1114</v>
      </c>
      <c r="AF11">
        <v>2489840</v>
      </c>
      <c r="AG11" t="s">
        <v>1115</v>
      </c>
      <c r="AH11" t="s">
        <v>1116</v>
      </c>
      <c r="AI11" t="s">
        <v>1117</v>
      </c>
      <c r="AJ11" t="s">
        <v>1118</v>
      </c>
      <c r="AK11" t="s">
        <v>1119</v>
      </c>
      <c r="AL11" t="s">
        <v>25</v>
      </c>
      <c r="AM11" t="s">
        <v>1120</v>
      </c>
      <c r="AN11" t="s">
        <v>1121</v>
      </c>
      <c r="AO11" t="s">
        <v>753</v>
      </c>
      <c r="AP11" t="s">
        <v>327</v>
      </c>
      <c r="AQ11" t="s">
        <v>430</v>
      </c>
      <c r="AR11" t="s">
        <v>404</v>
      </c>
      <c r="AS11" t="s">
        <v>25</v>
      </c>
      <c r="AT11" t="s">
        <v>1122</v>
      </c>
      <c r="AU11" t="s">
        <v>1123</v>
      </c>
      <c r="AV11" t="s">
        <v>54</v>
      </c>
      <c r="AW11" t="s">
        <v>1124</v>
      </c>
      <c r="AX11" t="s">
        <v>1125</v>
      </c>
      <c r="AY11" t="s">
        <v>276</v>
      </c>
      <c r="AZ11" t="s">
        <v>159</v>
      </c>
      <c r="BA11" t="s">
        <v>74</v>
      </c>
      <c r="BB11" t="s">
        <v>84</v>
      </c>
      <c r="BC11" t="s">
        <v>90</v>
      </c>
      <c r="BD11" t="s">
        <v>68</v>
      </c>
      <c r="BE11" t="s">
        <v>69</v>
      </c>
      <c r="BF11" t="s">
        <v>80</v>
      </c>
      <c r="BG11" t="s">
        <v>49</v>
      </c>
      <c r="BH11" t="s">
        <v>160</v>
      </c>
      <c r="BI11" t="s">
        <v>1126</v>
      </c>
      <c r="BJ11" t="s">
        <v>342</v>
      </c>
      <c r="BK11" t="s">
        <v>1127</v>
      </c>
      <c r="BL11" t="s">
        <v>1128</v>
      </c>
      <c r="BM11" t="s">
        <v>344</v>
      </c>
      <c r="BN11" t="s">
        <v>1129</v>
      </c>
      <c r="BO11">
        <v>9.8800000000000008</v>
      </c>
      <c r="BP11">
        <v>19.97</v>
      </c>
      <c r="BQ11">
        <v>12.86</v>
      </c>
      <c r="BR11">
        <v>12.44</v>
      </c>
      <c r="BS11">
        <v>22.61</v>
      </c>
      <c r="BT11">
        <v>21.76</v>
      </c>
      <c r="BU11" t="s">
        <v>346</v>
      </c>
      <c r="BV11" t="s">
        <v>318</v>
      </c>
      <c r="BW11">
        <v>45.24</v>
      </c>
      <c r="BX11">
        <v>48.13</v>
      </c>
      <c r="BY11">
        <v>45.79</v>
      </c>
      <c r="BZ11">
        <v>15.06</v>
      </c>
      <c r="CA11">
        <v>41.92</v>
      </c>
      <c r="CB11">
        <v>18.02</v>
      </c>
      <c r="CC11">
        <v>4.79</v>
      </c>
      <c r="CD11">
        <v>-4.72</v>
      </c>
      <c r="CE11" t="s">
        <v>1130</v>
      </c>
      <c r="CF11" t="s">
        <v>1131</v>
      </c>
      <c r="CG11" s="21">
        <v>0.15538847117794485</v>
      </c>
      <c r="CH11" s="22">
        <v>-0.31676165588691363</v>
      </c>
      <c r="CI11" s="21">
        <v>0.32695513963699341</v>
      </c>
      <c r="CJ11" s="21">
        <v>0.17612524330615997</v>
      </c>
      <c r="CK11" s="21">
        <v>0.54380667209625244</v>
      </c>
      <c r="CL11" s="21">
        <v>0.38493722677230835</v>
      </c>
      <c r="CM11" s="21">
        <v>0.7509157657623291</v>
      </c>
      <c r="CN11" s="22">
        <v>-0.35523614287376404</v>
      </c>
      <c r="CO11" s="22">
        <v>1.64673912525177</v>
      </c>
      <c r="CP11" s="22">
        <v>0.21052631735801697</v>
      </c>
      <c r="CQ11" s="22">
        <v>0.1428571492433548</v>
      </c>
      <c r="CR11" s="22">
        <v>0.97977948188781738</v>
      </c>
      <c r="CS11">
        <v>40.548710150442062</v>
      </c>
      <c r="CT11">
        <v>0.92884881540312147</v>
      </c>
      <c r="CU11">
        <v>0.22094564737074682</v>
      </c>
      <c r="CV11" s="21">
        <v>0.43654800951480865</v>
      </c>
      <c r="CW11" s="22">
        <v>0.52493318617343898</v>
      </c>
      <c r="CX11">
        <v>0.06</v>
      </c>
      <c r="CY11">
        <v>20.324164207226033</v>
      </c>
      <c r="CZ11">
        <v>425543466.96948099</v>
      </c>
      <c r="DA11">
        <v>0.43654800951480865</v>
      </c>
      <c r="DB11">
        <v>5.0141361644932276</v>
      </c>
      <c r="DC11">
        <v>1724886404.4110229</v>
      </c>
      <c r="DD11">
        <v>0.41472060903906821</v>
      </c>
      <c r="DE11">
        <v>1.6298638020362748</v>
      </c>
      <c r="DF11">
        <v>5306465048.9167128</v>
      </c>
      <c r="DG11">
        <v>0.38416224837303165</v>
      </c>
      <c r="DH11">
        <v>0.58092528224335682</v>
      </c>
      <c r="DI11">
        <v>14887999480.072386</v>
      </c>
      <c r="DJ11">
        <v>0.34923840761184693</v>
      </c>
      <c r="DK11">
        <v>8.1512577913787659E-2</v>
      </c>
      <c r="DL11">
        <v>106104058065.0937</v>
      </c>
      <c r="DM11">
        <v>0.30558360666036605</v>
      </c>
      <c r="DN11">
        <v>314000000</v>
      </c>
      <c r="DO11">
        <v>0.43654800951480865</v>
      </c>
      <c r="DP11">
        <v>8648815300</v>
      </c>
      <c r="DQ11">
        <v>2105461800</v>
      </c>
      <c r="DR11">
        <v>2191</v>
      </c>
      <c r="DS11">
        <v>-0.2811595383368638</v>
      </c>
      <c r="DT11">
        <v>-0.84169484206035261</v>
      </c>
      <c r="DU11" s="23">
        <v>0.32666666666666661</v>
      </c>
      <c r="DV11">
        <v>0.24666666666666662</v>
      </c>
      <c r="DW11">
        <v>0.57333333333333325</v>
      </c>
      <c r="DX11">
        <v>4.9853862212943634</v>
      </c>
      <c r="DY11">
        <v>0.37582111914533112</v>
      </c>
      <c r="DZ11">
        <v>4.163397846005422</v>
      </c>
      <c r="EA11">
        <v>902</v>
      </c>
      <c r="EB11">
        <v>4.1343450454738058</v>
      </c>
      <c r="EC11">
        <v>4</v>
      </c>
      <c r="ED11">
        <v>6.3744932123637396E-2</v>
      </c>
      <c r="EE11">
        <v>0.38441986432240083</v>
      </c>
      <c r="EF11" s="20">
        <v>9.1200000000000003E-2</v>
      </c>
      <c r="EG11">
        <v>8.48E-2</v>
      </c>
      <c r="EH11">
        <v>21.165821119145331</v>
      </c>
      <c r="EI11" t="s">
        <v>221</v>
      </c>
      <c r="EJ11">
        <v>0</v>
      </c>
      <c r="EK11">
        <v>1</v>
      </c>
      <c r="EL11" s="28">
        <v>45197</v>
      </c>
      <c r="EM11" s="29">
        <v>2.3800000000000002E-2</v>
      </c>
      <c r="EN11" s="29">
        <v>0.7</v>
      </c>
      <c r="EO11" s="29">
        <v>-1.5</v>
      </c>
      <c r="EP11" s="29">
        <v>3.85</v>
      </c>
      <c r="EQ11" s="29">
        <v>-0.64</v>
      </c>
    </row>
    <row r="12" spans="1:147" s="16" customFormat="1" ht="144" x14ac:dyDescent="0.25">
      <c r="A12" s="32" t="s">
        <v>387</v>
      </c>
      <c r="B12" s="24"/>
      <c r="C12" s="24"/>
      <c r="D12" s="24" t="s">
        <v>1157</v>
      </c>
      <c r="E12" t="s">
        <v>283</v>
      </c>
      <c r="F12" t="s">
        <v>284</v>
      </c>
      <c r="G12">
        <v>55.36</v>
      </c>
      <c r="H12">
        <v>-2.59</v>
      </c>
      <c r="I12" t="s">
        <v>1133</v>
      </c>
      <c r="J12">
        <v>8325443100</v>
      </c>
      <c r="K12">
        <v>48.37</v>
      </c>
      <c r="L12">
        <v>3.43</v>
      </c>
      <c r="M12" t="s">
        <v>272</v>
      </c>
      <c r="N12" t="s">
        <v>337</v>
      </c>
      <c r="O12" t="s">
        <v>1134</v>
      </c>
      <c r="P12" t="s">
        <v>543</v>
      </c>
      <c r="Q12">
        <v>41.78</v>
      </c>
      <c r="R12" t="s">
        <v>886</v>
      </c>
      <c r="S12">
        <v>94855976</v>
      </c>
      <c r="T12" s="4">
        <v>-0.185</v>
      </c>
      <c r="U12" t="s">
        <v>887</v>
      </c>
      <c r="V12">
        <v>86313692</v>
      </c>
      <c r="W12">
        <v>150387340</v>
      </c>
      <c r="X12">
        <v>1.63</v>
      </c>
      <c r="Y12">
        <v>0.23</v>
      </c>
      <c r="Z12">
        <v>10.66</v>
      </c>
      <c r="AA12" t="s">
        <v>1135</v>
      </c>
      <c r="AB12" t="s">
        <v>405</v>
      </c>
      <c r="AC12" t="s">
        <v>1136</v>
      </c>
      <c r="AD12" t="s">
        <v>355</v>
      </c>
      <c r="AE12" t="s">
        <v>66</v>
      </c>
      <c r="AF12">
        <v>8155783</v>
      </c>
      <c r="AG12" t="s">
        <v>1137</v>
      </c>
      <c r="AH12" t="s">
        <v>1138</v>
      </c>
      <c r="AI12" t="s">
        <v>1139</v>
      </c>
      <c r="AJ12" t="s">
        <v>331</v>
      </c>
      <c r="AK12" t="s">
        <v>1140</v>
      </c>
      <c r="AL12" t="s">
        <v>1141</v>
      </c>
      <c r="AM12" t="s">
        <v>1142</v>
      </c>
      <c r="AN12" t="s">
        <v>1143</v>
      </c>
      <c r="AO12" t="s">
        <v>1144</v>
      </c>
      <c r="AP12" t="s">
        <v>1145</v>
      </c>
      <c r="AQ12" t="s">
        <v>1146</v>
      </c>
      <c r="AR12" t="s">
        <v>1147</v>
      </c>
      <c r="AS12" t="s">
        <v>25</v>
      </c>
      <c r="AT12" t="s">
        <v>1148</v>
      </c>
      <c r="AU12" t="s">
        <v>1149</v>
      </c>
      <c r="AV12" t="s">
        <v>1150</v>
      </c>
      <c r="AW12" t="s">
        <v>1151</v>
      </c>
      <c r="AX12" t="s">
        <v>1152</v>
      </c>
      <c r="AY12" t="s">
        <v>347</v>
      </c>
      <c r="AZ12" t="s">
        <v>352</v>
      </c>
      <c r="BA12" t="s">
        <v>164</v>
      </c>
      <c r="BB12" t="s">
        <v>353</v>
      </c>
      <c r="BC12" t="s">
        <v>354</v>
      </c>
      <c r="BD12" t="s">
        <v>348</v>
      </c>
      <c r="BE12" t="s">
        <v>356</v>
      </c>
      <c r="BF12" t="s">
        <v>357</v>
      </c>
      <c r="BG12" t="s">
        <v>358</v>
      </c>
      <c r="BH12" t="s">
        <v>359</v>
      </c>
      <c r="BI12" t="s">
        <v>1153</v>
      </c>
      <c r="BJ12" t="s">
        <v>343</v>
      </c>
      <c r="BK12" t="s">
        <v>353</v>
      </c>
      <c r="BL12" t="s">
        <v>1154</v>
      </c>
      <c r="BM12" t="s">
        <v>360</v>
      </c>
      <c r="BN12" t="s">
        <v>889</v>
      </c>
      <c r="BO12">
        <v>8.5299999999999994</v>
      </c>
      <c r="BP12">
        <v>15.18</v>
      </c>
      <c r="BQ12">
        <v>25.02</v>
      </c>
      <c r="BR12">
        <v>9.9</v>
      </c>
      <c r="BS12">
        <v>16.28</v>
      </c>
      <c r="BT12">
        <v>27.67</v>
      </c>
      <c r="BU12" t="s">
        <v>890</v>
      </c>
      <c r="BV12" t="s">
        <v>318</v>
      </c>
      <c r="BW12">
        <v>50.33</v>
      </c>
      <c r="BX12">
        <v>54.12</v>
      </c>
      <c r="BY12">
        <v>56.67</v>
      </c>
      <c r="BZ12">
        <v>11.01</v>
      </c>
      <c r="CA12">
        <v>19.66</v>
      </c>
      <c r="CB12">
        <v>20.22</v>
      </c>
      <c r="CC12">
        <v>8.42</v>
      </c>
      <c r="CD12">
        <v>2.52</v>
      </c>
      <c r="CE12" t="s">
        <v>1155</v>
      </c>
      <c r="CF12" t="s">
        <v>1156</v>
      </c>
      <c r="CG12" s="21">
        <v>0.44236760124610591</v>
      </c>
      <c r="CH12" s="22">
        <v>-9.3937966351851879E-2</v>
      </c>
      <c r="CI12" s="21">
        <v>0.40144479274749756</v>
      </c>
      <c r="CJ12" s="21">
        <v>0.52598422765731812</v>
      </c>
      <c r="CK12" s="21">
        <v>0.5525672435760498</v>
      </c>
      <c r="CL12" s="21">
        <v>0.36333334445953369</v>
      </c>
      <c r="CM12" s="21">
        <v>0.72413790225982666</v>
      </c>
      <c r="CN12" s="22">
        <v>1.5706805512309074E-2</v>
      </c>
      <c r="CO12" s="22">
        <v>0.4921875</v>
      </c>
      <c r="CP12" s="22">
        <v>0.74316626787185669</v>
      </c>
      <c r="CQ12" s="22">
        <v>2.987661600112915</v>
      </c>
      <c r="CR12" s="22">
        <v>0.22704888880252838</v>
      </c>
      <c r="CS12">
        <v>80.5882103545257</v>
      </c>
      <c r="CT12">
        <v>1.5694105187050034</v>
      </c>
      <c r="CU12">
        <v>0.68641618497109824</v>
      </c>
      <c r="CV12" s="21">
        <v>0.51349350214004519</v>
      </c>
      <c r="CW12" s="22">
        <v>0.89315421245992188</v>
      </c>
      <c r="CX12">
        <v>0.06</v>
      </c>
      <c r="CY12">
        <v>26.799639904841129</v>
      </c>
      <c r="CZ12">
        <v>276997867.37280071</v>
      </c>
      <c r="DA12">
        <v>0.51349350214004519</v>
      </c>
      <c r="DB12">
        <v>6.2331871903844229</v>
      </c>
      <c r="DC12">
        <v>1190954622.9337883</v>
      </c>
      <c r="DD12">
        <v>0.48781882703304291</v>
      </c>
      <c r="DE12">
        <v>1.8433322760128725</v>
      </c>
      <c r="DF12">
        <v>4027186631.8409538</v>
      </c>
      <c r="DG12">
        <v>0.45187428188323975</v>
      </c>
      <c r="DH12">
        <v>0.57870300133167385</v>
      </c>
      <c r="DI12">
        <v>12827725245.795605</v>
      </c>
      <c r="DJ12">
        <v>0.41079480171203619</v>
      </c>
      <c r="DK12">
        <v>5.8566385075223479E-2</v>
      </c>
      <c r="DL12">
        <v>126752625938.33009</v>
      </c>
      <c r="DM12">
        <v>0.35944545149803159</v>
      </c>
      <c r="DN12">
        <v>194000000</v>
      </c>
      <c r="DO12">
        <v>0.51349350214004519</v>
      </c>
      <c r="DP12">
        <v>7423443100</v>
      </c>
      <c r="DQ12">
        <v>995080200</v>
      </c>
      <c r="DR12">
        <v>4628</v>
      </c>
      <c r="DS12">
        <v>-7.1125900893939276E-2</v>
      </c>
      <c r="DT12">
        <v>-0.9870921788117738</v>
      </c>
      <c r="DU12" s="23">
        <v>0.32666666666666661</v>
      </c>
      <c r="DV12">
        <v>0.78833333333333344</v>
      </c>
      <c r="DW12">
        <v>1.115</v>
      </c>
      <c r="DX12">
        <v>5.2992874109263655</v>
      </c>
      <c r="DY12">
        <v>0.49749232213455569</v>
      </c>
      <c r="DZ12">
        <v>5.0620998398787513</v>
      </c>
      <c r="EA12">
        <v>263</v>
      </c>
      <c r="EB12">
        <v>5.0588803922367029</v>
      </c>
      <c r="EC12">
        <v>5</v>
      </c>
      <c r="ED12">
        <v>5.6291307499687145E-2</v>
      </c>
      <c r="EE12">
        <v>0.27129344797241578</v>
      </c>
      <c r="EF12" s="20">
        <v>0.13420000000000001</v>
      </c>
      <c r="EG12">
        <v>0.10830000000000001</v>
      </c>
      <c r="EH12">
        <v>29.207492322134556</v>
      </c>
      <c r="EI12" t="s">
        <v>221</v>
      </c>
      <c r="EJ12">
        <v>1</v>
      </c>
      <c r="EK12">
        <v>1</v>
      </c>
      <c r="EL12" s="28">
        <v>45197</v>
      </c>
      <c r="EM12" s="29">
        <v>2.0799999999999999E-2</v>
      </c>
      <c r="EN12" s="29">
        <v>1.1299999999999999</v>
      </c>
      <c r="EO12" s="29">
        <v>-0.4</v>
      </c>
      <c r="EP12" s="29">
        <v>8.25</v>
      </c>
      <c r="EQ12" s="29">
        <v>-2.59</v>
      </c>
    </row>
    <row r="13" spans="1:147" ht="120" x14ac:dyDescent="0.25">
      <c r="A13" s="26" t="s">
        <v>564</v>
      </c>
      <c r="D13" s="24" t="s">
        <v>1348</v>
      </c>
      <c r="E13" t="s">
        <v>295</v>
      </c>
      <c r="F13" t="s">
        <v>296</v>
      </c>
      <c r="G13">
        <v>72</v>
      </c>
      <c r="H13">
        <v>11.15</v>
      </c>
      <c r="I13" t="s">
        <v>1322</v>
      </c>
      <c r="J13">
        <v>6543572300</v>
      </c>
      <c r="K13">
        <v>38.36</v>
      </c>
      <c r="L13">
        <v>3.2</v>
      </c>
      <c r="M13" t="s">
        <v>272</v>
      </c>
      <c r="N13" t="s">
        <v>1323</v>
      </c>
      <c r="O13" t="s">
        <v>1324</v>
      </c>
      <c r="P13" t="s">
        <v>1325</v>
      </c>
      <c r="Q13">
        <v>41.76</v>
      </c>
      <c r="R13" t="s">
        <v>694</v>
      </c>
      <c r="S13">
        <v>83810379</v>
      </c>
      <c r="T13">
        <v>0.4163</v>
      </c>
      <c r="U13" t="s">
        <v>496</v>
      </c>
      <c r="V13">
        <v>19539836</v>
      </c>
      <c r="W13">
        <v>90882948</v>
      </c>
      <c r="X13">
        <v>1.17</v>
      </c>
      <c r="Y13">
        <v>0.22</v>
      </c>
      <c r="Z13">
        <v>15.99</v>
      </c>
      <c r="AA13" t="s">
        <v>1326</v>
      </c>
      <c r="AB13" t="s">
        <v>1327</v>
      </c>
      <c r="AC13" t="s">
        <v>1328</v>
      </c>
      <c r="AD13" t="s">
        <v>1329</v>
      </c>
      <c r="AE13" t="s">
        <v>1330</v>
      </c>
      <c r="AF13">
        <v>-28598812</v>
      </c>
      <c r="AG13" t="s">
        <v>1331</v>
      </c>
      <c r="AH13" t="s">
        <v>1332</v>
      </c>
      <c r="AI13" t="s">
        <v>1333</v>
      </c>
      <c r="AJ13" t="s">
        <v>1334</v>
      </c>
      <c r="AK13" t="s">
        <v>1335</v>
      </c>
      <c r="AL13">
        <v>8000</v>
      </c>
      <c r="AM13" t="s">
        <v>1336</v>
      </c>
      <c r="AN13" t="s">
        <v>1337</v>
      </c>
      <c r="AO13" t="s">
        <v>1338</v>
      </c>
      <c r="AP13" t="s">
        <v>1339</v>
      </c>
      <c r="AQ13" t="s">
        <v>25</v>
      </c>
      <c r="AR13" t="s">
        <v>1093</v>
      </c>
      <c r="AS13" t="s">
        <v>25</v>
      </c>
      <c r="AT13" t="s">
        <v>1147</v>
      </c>
      <c r="AU13" t="s">
        <v>25</v>
      </c>
      <c r="AV13" t="s">
        <v>1340</v>
      </c>
      <c r="AW13" t="s">
        <v>1341</v>
      </c>
      <c r="AX13" t="s">
        <v>393</v>
      </c>
      <c r="AY13" t="s">
        <v>428</v>
      </c>
      <c r="AZ13" t="s">
        <v>431</v>
      </c>
      <c r="BA13" t="s">
        <v>85</v>
      </c>
      <c r="BB13" t="s">
        <v>41</v>
      </c>
      <c r="BC13" t="s">
        <v>25</v>
      </c>
      <c r="BD13" t="s">
        <v>429</v>
      </c>
      <c r="BE13" t="s">
        <v>432</v>
      </c>
      <c r="BF13" t="s">
        <v>433</v>
      </c>
      <c r="BG13" t="s">
        <v>434</v>
      </c>
      <c r="BH13" t="s">
        <v>25</v>
      </c>
      <c r="BI13" t="s">
        <v>1342</v>
      </c>
      <c r="BJ13" t="s">
        <v>435</v>
      </c>
      <c r="BK13" t="s">
        <v>65</v>
      </c>
      <c r="BL13" t="s">
        <v>1343</v>
      </c>
      <c r="BM13" t="s">
        <v>438</v>
      </c>
      <c r="BN13" t="s">
        <v>1344</v>
      </c>
      <c r="BO13">
        <v>10.34</v>
      </c>
      <c r="BP13">
        <v>18.88</v>
      </c>
      <c r="BQ13">
        <v>22.25</v>
      </c>
      <c r="BR13">
        <v>14.24</v>
      </c>
      <c r="BS13">
        <v>18.149999999999999</v>
      </c>
      <c r="BT13" t="s">
        <v>25</v>
      </c>
      <c r="BU13" t="s">
        <v>1345</v>
      </c>
      <c r="BV13" t="s">
        <v>318</v>
      </c>
      <c r="BW13">
        <v>43.58</v>
      </c>
      <c r="BX13">
        <v>49.46</v>
      </c>
      <c r="BY13">
        <v>54.38</v>
      </c>
      <c r="BZ13">
        <v>14.63</v>
      </c>
      <c r="CA13">
        <v>16.100000000000001</v>
      </c>
      <c r="CB13">
        <v>15.07</v>
      </c>
      <c r="CC13">
        <v>17.46</v>
      </c>
      <c r="CD13" s="21">
        <v>1.95</v>
      </c>
      <c r="CE13" s="22" t="s">
        <v>1346</v>
      </c>
      <c r="CF13" s="21" t="s">
        <v>1347</v>
      </c>
      <c r="CG13" s="21">
        <v>0.41145833333333365</v>
      </c>
      <c r="CH13" s="21">
        <v>0.38920038758311704</v>
      </c>
      <c r="CI13" s="21">
        <v>0.37623763084411621</v>
      </c>
      <c r="CJ13" s="21">
        <v>0.54987210035324097</v>
      </c>
      <c r="CK13" s="22">
        <v>0.57028114795684814</v>
      </c>
      <c r="CL13" s="22">
        <v>0.52760738134384155</v>
      </c>
      <c r="CM13" s="22" t="s">
        <v>25</v>
      </c>
      <c r="CN13" s="22">
        <v>0.49631556868553162</v>
      </c>
      <c r="CO13" s="22">
        <v>0.6536787748336792</v>
      </c>
      <c r="CP13">
        <v>54.51800537109375</v>
      </c>
      <c r="CQ13">
        <v>0.94145387411117554</v>
      </c>
      <c r="CR13" t="s">
        <v>25</v>
      </c>
      <c r="CS13" s="21">
        <v>115.75692534888559</v>
      </c>
      <c r="CT13" s="22">
        <v>2.2876882378426786</v>
      </c>
      <c r="CU13">
        <v>2.1388888888888888</v>
      </c>
      <c r="CV13">
        <v>0.50599956512451172</v>
      </c>
      <c r="CW13">
        <v>14.152363397181034</v>
      </c>
      <c r="CX13">
        <v>0.06</v>
      </c>
      <c r="CY13">
        <v>23.360021653888193</v>
      </c>
      <c r="CZ13">
        <v>207430128.78130066</v>
      </c>
      <c r="DA13">
        <v>0.50599956512451172</v>
      </c>
      <c r="DB13">
        <v>5.4641651293263278</v>
      </c>
      <c r="DC13">
        <v>886790970.86463904</v>
      </c>
      <c r="DD13">
        <v>0.48069958686828612</v>
      </c>
      <c r="DE13">
        <v>1.6308467379189269</v>
      </c>
      <c r="DF13">
        <v>2971200289.6012688</v>
      </c>
      <c r="DG13">
        <v>0.44527961730957033</v>
      </c>
      <c r="DH13">
        <v>0.51838536548428837</v>
      </c>
      <c r="DI13">
        <v>9347432668.1138973</v>
      </c>
      <c r="DJ13">
        <v>0.40479965209960939</v>
      </c>
      <c r="DK13">
        <v>5.4158260626053979E-2</v>
      </c>
      <c r="DL13">
        <v>89470604188.291351</v>
      </c>
      <c r="DM13">
        <v>0.35419969558715819</v>
      </c>
      <c r="DN13">
        <v>146000000</v>
      </c>
      <c r="DO13">
        <v>0.50599956512451172</v>
      </c>
      <c r="DP13">
        <v>4845572300</v>
      </c>
      <c r="DQ13">
        <v>1908902100</v>
      </c>
      <c r="DR13" s="23">
        <v>4575</v>
      </c>
      <c r="DS13">
        <v>-9.4541231791178071E-2</v>
      </c>
      <c r="DT13">
        <v>-13.763163009597918</v>
      </c>
      <c r="DU13">
        <v>0.15199999999999997</v>
      </c>
      <c r="DV13">
        <v>1.1400000000000001</v>
      </c>
      <c r="DW13">
        <v>1.292</v>
      </c>
      <c r="DX13">
        <v>5.1116838487972505</v>
      </c>
      <c r="DY13">
        <v>1.0095356634738306</v>
      </c>
      <c r="DZ13">
        <v>5.0267522648209599</v>
      </c>
      <c r="EA13">
        <v>175</v>
      </c>
      <c r="EB13">
        <v>5.0258294092436548</v>
      </c>
      <c r="EC13" s="20">
        <v>5</v>
      </c>
      <c r="ED13">
        <v>8.7253991804931333E-2</v>
      </c>
      <c r="EE13">
        <v>0.36426305185434787</v>
      </c>
      <c r="EF13">
        <v>1.6010000000000007E-2</v>
      </c>
      <c r="EG13">
        <v>9.5500000000000002E-2</v>
      </c>
      <c r="EH13">
        <v>77.239535663473831</v>
      </c>
      <c r="EI13" s="28" t="s">
        <v>221</v>
      </c>
      <c r="EJ13" s="29">
        <v>1</v>
      </c>
      <c r="EK13" s="29">
        <v>1</v>
      </c>
      <c r="EL13" s="29">
        <v>45197</v>
      </c>
      <c r="EM13" s="29">
        <v>-3.0999999999999999E-3</v>
      </c>
      <c r="EN13" s="29">
        <v>2.09</v>
      </c>
      <c r="EO13" s="29">
        <v>-0.93</v>
      </c>
      <c r="EP13" s="29">
        <v>4.8099999999999996</v>
      </c>
      <c r="EQ13" s="29">
        <v>11.15</v>
      </c>
    </row>
  </sheetData>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7"/>
  <sheetViews>
    <sheetView workbookViewId="0">
      <selection activeCell="J3" sqref="J3"/>
    </sheetView>
  </sheetViews>
  <sheetFormatPr defaultRowHeight="14" x14ac:dyDescent="0.25"/>
  <cols>
    <col min="1" max="1" width="12" style="26" customWidth="1"/>
    <col min="2" max="2" width="39.36328125" customWidth="1"/>
    <col min="3" max="3" width="40.36328125" customWidth="1"/>
    <col min="4" max="4" width="58.6328125" customWidth="1"/>
    <col min="10" max="10" width="13.453125" bestFit="1" customWidth="1"/>
    <col min="22" max="22" width="14.81640625" customWidth="1"/>
  </cols>
  <sheetData>
    <row r="1" spans="1:147" s="16" customFormat="1" x14ac:dyDescent="0.25">
      <c r="A1" s="17" t="s">
        <v>129</v>
      </c>
      <c r="B1" s="18" t="s">
        <v>223</v>
      </c>
      <c r="C1" s="19" t="s">
        <v>26</v>
      </c>
      <c r="D1" s="18" t="s">
        <v>224</v>
      </c>
      <c r="E1" t="s">
        <v>3</v>
      </c>
      <c r="F1" t="s">
        <v>4</v>
      </c>
      <c r="G1" t="s">
        <v>0</v>
      </c>
      <c r="H1" t="s">
        <v>194</v>
      </c>
      <c r="I1" t="s">
        <v>225</v>
      </c>
      <c r="J1" t="s">
        <v>5</v>
      </c>
      <c r="K1" t="s">
        <v>6</v>
      </c>
      <c r="L1" t="s">
        <v>1</v>
      </c>
      <c r="M1" t="s">
        <v>12</v>
      </c>
      <c r="N1" t="s">
        <v>27</v>
      </c>
      <c r="O1" t="s">
        <v>28</v>
      </c>
      <c r="P1" t="s">
        <v>29</v>
      </c>
      <c r="Q1" t="s">
        <v>226</v>
      </c>
      <c r="R1" t="s">
        <v>195</v>
      </c>
      <c r="S1" t="s">
        <v>227</v>
      </c>
      <c r="T1" t="s">
        <v>30</v>
      </c>
      <c r="U1" t="s">
        <v>196</v>
      </c>
      <c r="V1" t="s">
        <v>197</v>
      </c>
      <c r="W1" t="s">
        <v>31</v>
      </c>
      <c r="X1" t="s">
        <v>172</v>
      </c>
      <c r="Y1" t="s">
        <v>173</v>
      </c>
      <c r="Z1" t="s">
        <v>174</v>
      </c>
      <c r="AA1" t="s">
        <v>175</v>
      </c>
      <c r="AB1" t="s">
        <v>176</v>
      </c>
      <c r="AC1" t="s">
        <v>198</v>
      </c>
      <c r="AD1" t="s">
        <v>177</v>
      </c>
      <c r="AE1" t="s">
        <v>228</v>
      </c>
      <c r="AF1" t="s">
        <v>32</v>
      </c>
      <c r="AG1" t="s">
        <v>33</v>
      </c>
      <c r="AH1" t="s">
        <v>199</v>
      </c>
      <c r="AI1" t="s">
        <v>229</v>
      </c>
      <c r="AJ1" t="s">
        <v>200</v>
      </c>
      <c r="AK1" t="s">
        <v>34</v>
      </c>
      <c r="AL1" t="s">
        <v>201</v>
      </c>
      <c r="AM1" t="s">
        <v>130</v>
      </c>
      <c r="AN1" t="s">
        <v>202</v>
      </c>
      <c r="AO1" t="s">
        <v>203</v>
      </c>
      <c r="AP1" t="s">
        <v>204</v>
      </c>
      <c r="AQ1" t="s">
        <v>205</v>
      </c>
      <c r="AR1" t="s">
        <v>206</v>
      </c>
      <c r="AS1" t="s">
        <v>207</v>
      </c>
      <c r="AT1" t="s">
        <v>208</v>
      </c>
      <c r="AU1" t="s">
        <v>209</v>
      </c>
      <c r="AV1" t="s">
        <v>210</v>
      </c>
      <c r="AW1" t="s">
        <v>211</v>
      </c>
      <c r="AX1" t="s">
        <v>212</v>
      </c>
      <c r="AY1" t="s">
        <v>230</v>
      </c>
      <c r="AZ1" t="s">
        <v>131</v>
      </c>
      <c r="BA1" t="s">
        <v>132</v>
      </c>
      <c r="BB1" t="s">
        <v>133</v>
      </c>
      <c r="BC1" t="s">
        <v>134</v>
      </c>
      <c r="BD1" t="s">
        <v>140</v>
      </c>
      <c r="BE1" t="s">
        <v>135</v>
      </c>
      <c r="BF1" t="s">
        <v>136</v>
      </c>
      <c r="BG1" t="s">
        <v>137</v>
      </c>
      <c r="BH1" t="s">
        <v>138</v>
      </c>
      <c r="BI1" t="s">
        <v>231</v>
      </c>
      <c r="BJ1" t="s">
        <v>213</v>
      </c>
      <c r="BK1" t="s">
        <v>139</v>
      </c>
      <c r="BL1" t="s">
        <v>214</v>
      </c>
      <c r="BM1" t="s">
        <v>215</v>
      </c>
      <c r="BN1" t="s">
        <v>216</v>
      </c>
      <c r="BO1" t="s">
        <v>217</v>
      </c>
      <c r="BP1" t="s">
        <v>141</v>
      </c>
      <c r="BQ1" t="s">
        <v>142</v>
      </c>
      <c r="BR1" t="s">
        <v>143</v>
      </c>
      <c r="BS1" t="s">
        <v>218</v>
      </c>
      <c r="BT1" t="s">
        <v>144</v>
      </c>
      <c r="BU1" t="s">
        <v>145</v>
      </c>
      <c r="BV1" t="s">
        <v>146</v>
      </c>
      <c r="BW1" t="s">
        <v>219</v>
      </c>
      <c r="BX1" t="s">
        <v>147</v>
      </c>
      <c r="BY1" t="s">
        <v>148</v>
      </c>
      <c r="BZ1" t="s">
        <v>220</v>
      </c>
      <c r="CA1" t="s">
        <v>149</v>
      </c>
      <c r="CB1" t="s">
        <v>150</v>
      </c>
      <c r="CC1" t="s">
        <v>232</v>
      </c>
      <c r="CD1" t="s">
        <v>233</v>
      </c>
      <c r="CE1" t="s">
        <v>234</v>
      </c>
      <c r="CF1" t="s">
        <v>235</v>
      </c>
      <c r="CG1" s="1" t="s">
        <v>178</v>
      </c>
      <c r="CH1" s="1" t="s">
        <v>179</v>
      </c>
      <c r="CI1" s="1" t="s">
        <v>180</v>
      </c>
      <c r="CJ1" s="1" t="s">
        <v>181</v>
      </c>
      <c r="CK1" s="1" t="s">
        <v>182</v>
      </c>
      <c r="CL1" s="1" t="s">
        <v>183</v>
      </c>
      <c r="CM1" s="1" t="s">
        <v>184</v>
      </c>
      <c r="CN1" s="1" t="s">
        <v>185</v>
      </c>
      <c r="CO1" s="1" t="s">
        <v>186</v>
      </c>
      <c r="CP1" s="1" t="s">
        <v>187</v>
      </c>
      <c r="CQ1" s="1" t="s">
        <v>188</v>
      </c>
      <c r="CR1" s="1" t="s">
        <v>189</v>
      </c>
      <c r="CS1" s="1" t="s">
        <v>236</v>
      </c>
      <c r="CT1" s="1" t="s">
        <v>237</v>
      </c>
      <c r="CU1" s="1" t="s">
        <v>238</v>
      </c>
      <c r="CV1" s="1" t="s">
        <v>239</v>
      </c>
      <c r="CW1" s="1" t="s">
        <v>240</v>
      </c>
      <c r="CX1" s="1" t="s">
        <v>110</v>
      </c>
      <c r="CY1">
        <v>1</v>
      </c>
      <c r="CZ1" t="s">
        <v>242</v>
      </c>
      <c r="DA1" t="s">
        <v>243</v>
      </c>
      <c r="DB1">
        <v>3</v>
      </c>
      <c r="DC1" t="s">
        <v>244</v>
      </c>
      <c r="DD1" t="s">
        <v>245</v>
      </c>
      <c r="DE1">
        <v>6</v>
      </c>
      <c r="DF1" t="s">
        <v>246</v>
      </c>
      <c r="DG1" t="s">
        <v>247</v>
      </c>
      <c r="DH1">
        <v>10</v>
      </c>
      <c r="DI1" t="s">
        <v>248</v>
      </c>
      <c r="DJ1" t="s">
        <v>249</v>
      </c>
      <c r="DK1">
        <v>20</v>
      </c>
      <c r="DL1" t="s">
        <v>250</v>
      </c>
      <c r="DM1" t="s">
        <v>190</v>
      </c>
      <c r="DN1" t="s">
        <v>191</v>
      </c>
      <c r="DO1" s="2" t="s">
        <v>192</v>
      </c>
      <c r="DP1" t="s">
        <v>251</v>
      </c>
      <c r="DQ1" t="s">
        <v>252</v>
      </c>
      <c r="DR1" s="1" t="s">
        <v>253</v>
      </c>
      <c r="DS1" s="1" t="s">
        <v>254</v>
      </c>
      <c r="DT1" s="1" t="s">
        <v>255</v>
      </c>
      <c r="DU1" t="s">
        <v>256</v>
      </c>
      <c r="DV1" t="s">
        <v>257</v>
      </c>
      <c r="DW1" t="s">
        <v>258</v>
      </c>
      <c r="DX1" t="s">
        <v>259</v>
      </c>
      <c r="DY1" t="s">
        <v>260</v>
      </c>
      <c r="DZ1" t="s">
        <v>261</v>
      </c>
      <c r="EA1" t="s">
        <v>262</v>
      </c>
      <c r="EB1" t="s">
        <v>263</v>
      </c>
      <c r="EC1" t="s">
        <v>264</v>
      </c>
      <c r="ED1" t="s">
        <v>265</v>
      </c>
      <c r="EE1" t="s">
        <v>266</v>
      </c>
      <c r="EF1" t="s">
        <v>267</v>
      </c>
      <c r="EG1" t="s">
        <v>268</v>
      </c>
      <c r="EH1" t="s">
        <v>269</v>
      </c>
      <c r="EI1" t="s">
        <v>270</v>
      </c>
      <c r="EJ1" t="s">
        <v>271</v>
      </c>
      <c r="EK1"/>
    </row>
    <row r="2" spans="1:147" s="1" customFormat="1" ht="49" customHeight="1" x14ac:dyDescent="0.25">
      <c r="A2" s="27"/>
      <c r="B2" s="25"/>
      <c r="C2" s="25">
        <v>3</v>
      </c>
      <c r="D2" s="25">
        <v>7</v>
      </c>
      <c r="J2" s="2">
        <f>SUM(J3:J7)</f>
        <v>310387511000</v>
      </c>
    </row>
    <row r="3" spans="1:147" ht="156" x14ac:dyDescent="0.25">
      <c r="B3" s="24"/>
      <c r="C3" s="24"/>
      <c r="D3" s="24" t="s">
        <v>683</v>
      </c>
      <c r="E3" t="s">
        <v>571</v>
      </c>
      <c r="F3" t="s">
        <v>572</v>
      </c>
      <c r="G3">
        <v>33.729999999999997</v>
      </c>
      <c r="H3">
        <v>6</v>
      </c>
      <c r="I3" t="s">
        <v>573</v>
      </c>
      <c r="J3">
        <v>242064200000</v>
      </c>
      <c r="K3">
        <v>90.43</v>
      </c>
      <c r="L3">
        <v>14.63</v>
      </c>
      <c r="M3" t="s">
        <v>272</v>
      </c>
      <c r="N3" t="s">
        <v>643</v>
      </c>
      <c r="O3" t="s">
        <v>644</v>
      </c>
      <c r="P3" t="s">
        <v>645</v>
      </c>
      <c r="Q3">
        <v>12.55</v>
      </c>
      <c r="R3" t="s">
        <v>646</v>
      </c>
      <c r="S3">
        <v>2357058500</v>
      </c>
      <c r="T3" s="4">
        <v>0.17649999999999999</v>
      </c>
      <c r="U3" t="s">
        <v>647</v>
      </c>
      <c r="V3">
        <v>5787607000</v>
      </c>
      <c r="W3">
        <v>7176525300</v>
      </c>
      <c r="X3">
        <v>1.57</v>
      </c>
      <c r="Y3">
        <v>0.54</v>
      </c>
      <c r="Z3">
        <v>19.71</v>
      </c>
      <c r="AA3" t="s">
        <v>648</v>
      </c>
      <c r="AB3" t="s">
        <v>649</v>
      </c>
      <c r="AC3" t="s">
        <v>650</v>
      </c>
      <c r="AD3" t="s">
        <v>651</v>
      </c>
      <c r="AE3" t="s">
        <v>54</v>
      </c>
      <c r="AF3">
        <v>-19488913</v>
      </c>
      <c r="AG3" t="s">
        <v>652</v>
      </c>
      <c r="AH3" t="s">
        <v>653</v>
      </c>
      <c r="AI3" t="s">
        <v>654</v>
      </c>
      <c r="AJ3" t="s">
        <v>655</v>
      </c>
      <c r="AK3" t="s">
        <v>656</v>
      </c>
      <c r="AL3" t="s">
        <v>25</v>
      </c>
      <c r="AM3" t="s">
        <v>657</v>
      </c>
      <c r="AN3" t="s">
        <v>25</v>
      </c>
      <c r="AO3" t="s">
        <v>658</v>
      </c>
      <c r="AP3" t="s">
        <v>659</v>
      </c>
      <c r="AQ3" t="s">
        <v>25</v>
      </c>
      <c r="AR3" t="s">
        <v>660</v>
      </c>
      <c r="AS3" t="s">
        <v>25</v>
      </c>
      <c r="AT3" t="s">
        <v>661</v>
      </c>
      <c r="AU3" t="s">
        <v>662</v>
      </c>
      <c r="AV3" t="s">
        <v>663</v>
      </c>
      <c r="AW3" t="s">
        <v>664</v>
      </c>
      <c r="AX3" t="s">
        <v>665</v>
      </c>
      <c r="AY3" t="s">
        <v>666</v>
      </c>
      <c r="AZ3" t="s">
        <v>667</v>
      </c>
      <c r="BA3" t="s">
        <v>668</v>
      </c>
      <c r="BB3" t="s">
        <v>669</v>
      </c>
      <c r="BC3" t="s">
        <v>670</v>
      </c>
      <c r="BD3" t="s">
        <v>671</v>
      </c>
      <c r="BE3" t="s">
        <v>672</v>
      </c>
      <c r="BF3" t="s">
        <v>673</v>
      </c>
      <c r="BG3" t="s">
        <v>340</v>
      </c>
      <c r="BH3" t="s">
        <v>73</v>
      </c>
      <c r="BI3" t="s">
        <v>674</v>
      </c>
      <c r="BJ3" t="s">
        <v>675</v>
      </c>
      <c r="BK3" t="s">
        <v>676</v>
      </c>
      <c r="BL3" t="s">
        <v>677</v>
      </c>
      <c r="BM3" t="s">
        <v>678</v>
      </c>
      <c r="BN3" t="s">
        <v>679</v>
      </c>
      <c r="BO3">
        <v>20.18</v>
      </c>
      <c r="BP3">
        <v>18.25</v>
      </c>
      <c r="BQ3">
        <v>18.75</v>
      </c>
      <c r="BR3">
        <v>20.58</v>
      </c>
      <c r="BS3">
        <v>21.48</v>
      </c>
      <c r="BT3">
        <v>22.51</v>
      </c>
      <c r="BU3" t="s">
        <v>680</v>
      </c>
      <c r="BV3" t="s">
        <v>681</v>
      </c>
      <c r="BW3">
        <v>49.32</v>
      </c>
      <c r="BX3">
        <v>51.03</v>
      </c>
      <c r="BY3">
        <v>49.3</v>
      </c>
      <c r="BZ3">
        <v>17.600000000000001</v>
      </c>
      <c r="CA3">
        <v>15.76</v>
      </c>
      <c r="CB3">
        <v>14.33</v>
      </c>
      <c r="CC3">
        <v>9.5500000000000007</v>
      </c>
      <c r="CD3">
        <v>19.149999999999999</v>
      </c>
      <c r="CE3" t="s">
        <v>682</v>
      </c>
      <c r="CF3" t="s">
        <v>458</v>
      </c>
      <c r="CG3" s="21">
        <v>0.16396798493408685</v>
      </c>
      <c r="CH3" s="22">
        <v>0.20186978579481399</v>
      </c>
      <c r="CI3" s="21">
        <v>0.25931838154792786</v>
      </c>
      <c r="CJ3" s="21">
        <v>0.19239239394664764</v>
      </c>
      <c r="CK3" s="21">
        <v>0.24734669923782349</v>
      </c>
      <c r="CL3" s="21">
        <v>0.34311592578887939</v>
      </c>
      <c r="CM3" s="21">
        <v>0.49074995517730713</v>
      </c>
      <c r="CN3" s="22">
        <v>0.34744784235954285</v>
      </c>
      <c r="CO3" s="22">
        <v>0.25018122792243958</v>
      </c>
      <c r="CP3" s="22">
        <v>0.36669975519180298</v>
      </c>
      <c r="CQ3" s="22">
        <v>0.35800808668136597</v>
      </c>
      <c r="CR3" s="22">
        <v>0.33393177390098572</v>
      </c>
      <c r="CS3">
        <v>16.136537564162388</v>
      </c>
      <c r="CT3">
        <v>107773224.27894963</v>
      </c>
      <c r="CU3">
        <v>0.3547740883486511</v>
      </c>
      <c r="CV3" s="21">
        <v>0.3065846711397171</v>
      </c>
      <c r="CW3" s="22">
        <v>0.33125373721122742</v>
      </c>
      <c r="CX3">
        <v>0.06</v>
      </c>
      <c r="CY3">
        <v>81.940980531259257</v>
      </c>
      <c r="CZ3">
        <v>2863392633.0731726</v>
      </c>
      <c r="DA3">
        <v>0.3065846711397171</v>
      </c>
      <c r="DB3">
        <v>22.396453947073017</v>
      </c>
      <c r="DC3">
        <v>10476176298.018982</v>
      </c>
      <c r="DD3">
        <v>0.29125543758273126</v>
      </c>
      <c r="DE3">
        <v>8.5356122762677558</v>
      </c>
      <c r="DF3">
        <v>27488268258.430424</v>
      </c>
      <c r="DG3">
        <v>0.26979451060295107</v>
      </c>
      <c r="DH3">
        <v>3.7502624826746285</v>
      </c>
      <c r="DI3">
        <v>62563407517.189606</v>
      </c>
      <c r="DJ3">
        <v>0.2452677369117737</v>
      </c>
      <c r="DK3">
        <v>0.90368749187033892</v>
      </c>
      <c r="DL3">
        <v>259635329813.40036</v>
      </c>
      <c r="DM3">
        <v>0.21460926979780195</v>
      </c>
      <c r="DN3">
        <v>2323000000</v>
      </c>
      <c r="DO3">
        <v>0.3065846711397171</v>
      </c>
      <c r="DP3">
        <v>234629200000</v>
      </c>
      <c r="DQ3">
        <v>4792218800</v>
      </c>
      <c r="DR3">
        <v>1520</v>
      </c>
      <c r="DS3">
        <v>-0.14261668620563026</v>
      </c>
      <c r="DT3">
        <v>-0.12938395141641343</v>
      </c>
      <c r="DU3" s="23">
        <v>0.66666666666666663</v>
      </c>
      <c r="DV3">
        <v>0.8866666666666666</v>
      </c>
      <c r="DW3">
        <v>1.5533333333333332</v>
      </c>
      <c r="DX3">
        <v>9.4986945169712786</v>
      </c>
      <c r="DY3">
        <v>0.66815663801337477</v>
      </c>
      <c r="DZ3">
        <v>9.0938326837090173</v>
      </c>
      <c r="EA3">
        <v>712</v>
      </c>
      <c r="EB3">
        <v>9.0802508844000478</v>
      </c>
      <c r="EC3">
        <v>9</v>
      </c>
      <c r="ED3">
        <v>2.7450610394977638E-2</v>
      </c>
      <c r="EE3">
        <v>0.14589233037330757</v>
      </c>
      <c r="EF3" s="20">
        <v>3.8619000000000001E-2</v>
      </c>
      <c r="EG3">
        <v>2.1399999999999995E-2</v>
      </c>
      <c r="EH3">
        <v>48.188156638013375</v>
      </c>
      <c r="EI3" t="s">
        <v>221</v>
      </c>
      <c r="EJ3">
        <v>1</v>
      </c>
      <c r="EK3">
        <v>1</v>
      </c>
      <c r="EL3" s="28">
        <v>44939</v>
      </c>
      <c r="EM3" s="29">
        <v>0</v>
      </c>
      <c r="EN3" s="29">
        <v>3.6999999999999998E-2</v>
      </c>
      <c r="EO3" s="29">
        <v>-5.3E-3</v>
      </c>
      <c r="EP3" s="29">
        <v>1.9E-3</v>
      </c>
      <c r="EQ3" s="29">
        <v>6</v>
      </c>
    </row>
    <row r="4" spans="1:147" ht="132" x14ac:dyDescent="0.25">
      <c r="D4" s="24" t="s">
        <v>716</v>
      </c>
      <c r="E4" s="4" t="s">
        <v>577</v>
      </c>
      <c r="F4" t="s">
        <v>578</v>
      </c>
      <c r="G4">
        <v>83.3</v>
      </c>
      <c r="H4">
        <v>7.9</v>
      </c>
      <c r="I4" t="s">
        <v>579</v>
      </c>
      <c r="J4">
        <v>46648000000</v>
      </c>
      <c r="K4">
        <v>90.41</v>
      </c>
      <c r="L4">
        <v>9.33</v>
      </c>
      <c r="M4" t="s">
        <v>272</v>
      </c>
      <c r="N4" t="s">
        <v>684</v>
      </c>
      <c r="O4" t="s">
        <v>685</v>
      </c>
      <c r="P4" t="s">
        <v>686</v>
      </c>
      <c r="Q4" s="4">
        <v>10.15</v>
      </c>
      <c r="R4" t="s">
        <v>687</v>
      </c>
      <c r="S4">
        <v>540000000</v>
      </c>
      <c r="T4">
        <v>0.18129999999999999</v>
      </c>
      <c r="U4" t="s">
        <v>76</v>
      </c>
      <c r="V4">
        <v>56336329</v>
      </c>
      <c r="W4">
        <v>560000000</v>
      </c>
      <c r="X4">
        <v>1.64</v>
      </c>
      <c r="Y4">
        <v>0.73</v>
      </c>
      <c r="Z4">
        <v>15.93</v>
      </c>
      <c r="AA4" t="s">
        <v>688</v>
      </c>
      <c r="AB4" t="s">
        <v>469</v>
      </c>
      <c r="AC4" t="s">
        <v>63</v>
      </c>
      <c r="AD4" t="s">
        <v>689</v>
      </c>
      <c r="AE4" t="s">
        <v>690</v>
      </c>
      <c r="AF4">
        <v>26165407</v>
      </c>
      <c r="AG4" t="s">
        <v>691</v>
      </c>
      <c r="AH4" t="s">
        <v>692</v>
      </c>
      <c r="AI4" t="s">
        <v>693</v>
      </c>
      <c r="AJ4" t="s">
        <v>694</v>
      </c>
      <c r="AK4" t="s">
        <v>695</v>
      </c>
      <c r="AL4" t="s">
        <v>25</v>
      </c>
      <c r="AM4" t="s">
        <v>696</v>
      </c>
      <c r="AN4" t="s">
        <v>25</v>
      </c>
      <c r="AO4" t="s">
        <v>697</v>
      </c>
      <c r="AP4" t="s">
        <v>25</v>
      </c>
      <c r="AQ4" t="s">
        <v>25</v>
      </c>
      <c r="AR4" t="s">
        <v>445</v>
      </c>
      <c r="AS4" t="s">
        <v>25</v>
      </c>
      <c r="AT4" t="s">
        <v>698</v>
      </c>
      <c r="AU4" t="s">
        <v>25</v>
      </c>
      <c r="AV4" t="s">
        <v>699</v>
      </c>
      <c r="AW4" t="s">
        <v>700</v>
      </c>
      <c r="AX4" t="s">
        <v>701</v>
      </c>
      <c r="AY4" t="s">
        <v>702</v>
      </c>
      <c r="AZ4" t="s">
        <v>703</v>
      </c>
      <c r="BA4" t="s">
        <v>704</v>
      </c>
      <c r="BB4" t="s">
        <v>705</v>
      </c>
      <c r="BC4" t="s">
        <v>25</v>
      </c>
      <c r="BD4" t="s">
        <v>706</v>
      </c>
      <c r="BE4" t="s">
        <v>707</v>
      </c>
      <c r="BF4" t="s">
        <v>373</v>
      </c>
      <c r="BG4" t="s">
        <v>708</v>
      </c>
      <c r="BH4" t="s">
        <v>25</v>
      </c>
      <c r="BI4" t="s">
        <v>709</v>
      </c>
      <c r="BJ4" t="s">
        <v>710</v>
      </c>
      <c r="BK4" t="s">
        <v>711</v>
      </c>
      <c r="BL4" t="s">
        <v>712</v>
      </c>
      <c r="BM4" t="s">
        <v>713</v>
      </c>
      <c r="BN4" t="s">
        <v>707</v>
      </c>
      <c r="BO4">
        <v>26.96</v>
      </c>
      <c r="BP4">
        <v>24.33</v>
      </c>
      <c r="BQ4">
        <v>15.83</v>
      </c>
      <c r="BR4">
        <v>27.87</v>
      </c>
      <c r="BS4" t="s">
        <v>25</v>
      </c>
      <c r="BT4" t="s">
        <v>25</v>
      </c>
      <c r="BU4" t="s">
        <v>25</v>
      </c>
      <c r="BV4" t="s">
        <v>681</v>
      </c>
      <c r="BW4">
        <v>47.41</v>
      </c>
      <c r="BX4">
        <v>42.16</v>
      </c>
      <c r="BY4">
        <v>40.22</v>
      </c>
      <c r="BZ4">
        <v>15.04</v>
      </c>
      <c r="CA4">
        <v>12.78</v>
      </c>
      <c r="CB4">
        <v>7.43</v>
      </c>
      <c r="CC4">
        <v>12.75</v>
      </c>
      <c r="CD4" s="21">
        <v>32.64</v>
      </c>
      <c r="CE4" s="22" t="s">
        <v>714</v>
      </c>
      <c r="CF4" s="21" t="s">
        <v>715</v>
      </c>
      <c r="CG4" s="21">
        <v>0.15828036809815951</v>
      </c>
      <c r="CH4" s="21">
        <v>1.5546218487394965</v>
      </c>
      <c r="CI4" s="21">
        <v>0.21829022467136383</v>
      </c>
      <c r="CJ4" s="21">
        <v>2.4022826924920082E-2</v>
      </c>
      <c r="CK4" s="22">
        <v>0.14445480704307556</v>
      </c>
      <c r="CL4" s="22">
        <v>0.3437696099281311</v>
      </c>
      <c r="CM4" s="22" t="e">
        <v>#VALUE!</v>
      </c>
      <c r="CN4" s="22">
        <v>0.36227545142173767</v>
      </c>
      <c r="CO4" s="22">
        <v>0.53211009502410889</v>
      </c>
      <c r="CP4">
        <v>0.32926830649375916</v>
      </c>
      <c r="CQ4">
        <v>1.1187809705734253</v>
      </c>
      <c r="CR4" t="e">
        <v>#VALUE!</v>
      </c>
      <c r="CS4" s="21">
        <v>15.224543080939947</v>
      </c>
      <c r="CT4" s="22">
        <v>95255340.659340665</v>
      </c>
      <c r="CU4">
        <v>0</v>
      </c>
      <c r="CV4">
        <v>0.18263436714187264</v>
      </c>
      <c r="CW4">
        <v>0.58560870587825775</v>
      </c>
      <c r="CX4">
        <v>0.06</v>
      </c>
      <c r="CY4">
        <v>90.300172969078616</v>
      </c>
      <c r="CZ4">
        <v>507640223.63165283</v>
      </c>
      <c r="DA4">
        <v>0.18263436714187264</v>
      </c>
      <c r="DB4">
        <v>27.306047008561929</v>
      </c>
      <c r="DC4">
        <v>1678749032.6090286</v>
      </c>
      <c r="DD4">
        <v>0.173502648784779</v>
      </c>
      <c r="DE4">
        <v>12.075457078422124</v>
      </c>
      <c r="DF4">
        <v>3796129595.9481659</v>
      </c>
      <c r="DG4">
        <v>0.16071824308484792</v>
      </c>
      <c r="DH4">
        <v>6.3944569235800293</v>
      </c>
      <c r="DI4">
        <v>7168708859.5376463</v>
      </c>
      <c r="DJ4">
        <v>0.14610749371349813</v>
      </c>
      <c r="DK4">
        <v>2.4652415791040116</v>
      </c>
      <c r="DL4">
        <v>18594526552.103863</v>
      </c>
      <c r="DM4">
        <v>0.12784405699931084</v>
      </c>
      <c r="DN4">
        <v>455000000</v>
      </c>
      <c r="DO4">
        <v>0.18263436714187264</v>
      </c>
      <c r="DP4">
        <v>45840000000</v>
      </c>
      <c r="DQ4">
        <v>962874900</v>
      </c>
      <c r="DR4" s="23">
        <v>2677</v>
      </c>
      <c r="DS4">
        <v>-2.4353999043713132E-2</v>
      </c>
      <c r="DT4">
        <v>0.96901314286123874</v>
      </c>
      <c r="DU4">
        <v>0.33999999999999997</v>
      </c>
      <c r="DV4">
        <v>1.3479999999999999</v>
      </c>
      <c r="DW4">
        <v>1.6879999999999997</v>
      </c>
      <c r="DX4">
        <v>9.390625</v>
      </c>
      <c r="DY4">
        <v>0.51942198179882582</v>
      </c>
      <c r="DZ4">
        <v>9.0544617116401671</v>
      </c>
      <c r="EA4">
        <v>555</v>
      </c>
      <c r="EB4">
        <v>9.0483169159580576</v>
      </c>
      <c r="EC4" s="20">
        <v>9</v>
      </c>
      <c r="ED4">
        <v>2.0565714285714284E-2</v>
      </c>
      <c r="EE4">
        <v>0.14750696428571428</v>
      </c>
      <c r="EF4">
        <v>5.7616999999999995E-2</v>
      </c>
      <c r="EG4">
        <v>2.1400000000000002E-2</v>
      </c>
      <c r="EH4">
        <v>38.139421981798826</v>
      </c>
      <c r="EI4" s="28" t="s">
        <v>221</v>
      </c>
      <c r="EJ4" s="29">
        <v>1</v>
      </c>
      <c r="EK4" s="29">
        <v>1</v>
      </c>
      <c r="EL4" s="29">
        <v>44939</v>
      </c>
      <c r="EM4" s="29">
        <v>-2.3E-3</v>
      </c>
      <c r="EN4" s="29">
        <v>2.8400000000000002E-2</v>
      </c>
      <c r="EO4" s="29">
        <v>3.7499999999999999E-2</v>
      </c>
      <c r="EP4" s="29">
        <v>-1.83E-2</v>
      </c>
      <c r="EQ4" s="29">
        <v>7.9</v>
      </c>
    </row>
    <row r="5" spans="1:147" ht="144" x14ac:dyDescent="0.25">
      <c r="B5" s="24"/>
      <c r="C5" s="24"/>
      <c r="D5" s="24" t="s">
        <v>750</v>
      </c>
      <c r="E5" t="s">
        <v>601</v>
      </c>
      <c r="F5" t="s">
        <v>602</v>
      </c>
      <c r="G5">
        <v>78.16</v>
      </c>
      <c r="H5">
        <v>7.99</v>
      </c>
      <c r="I5" t="s">
        <v>603</v>
      </c>
      <c r="J5">
        <v>11694224800</v>
      </c>
      <c r="K5">
        <v>168.1</v>
      </c>
      <c r="L5">
        <v>5.46</v>
      </c>
      <c r="M5" t="s">
        <v>272</v>
      </c>
      <c r="N5" t="s">
        <v>717</v>
      </c>
      <c r="O5" t="s">
        <v>718</v>
      </c>
      <c r="P5" t="s">
        <v>719</v>
      </c>
      <c r="Q5">
        <v>5.54</v>
      </c>
      <c r="R5" t="s">
        <v>720</v>
      </c>
      <c r="S5">
        <v>94004085</v>
      </c>
      <c r="T5" s="4">
        <v>-0.2056</v>
      </c>
      <c r="U5" t="s">
        <v>721</v>
      </c>
      <c r="V5">
        <v>35475840</v>
      </c>
      <c r="W5">
        <v>149619050</v>
      </c>
      <c r="X5">
        <v>1.78</v>
      </c>
      <c r="Y5">
        <v>0.47</v>
      </c>
      <c r="Z5">
        <v>6.56</v>
      </c>
      <c r="AA5" t="s">
        <v>722</v>
      </c>
      <c r="AB5" t="s">
        <v>723</v>
      </c>
      <c r="AC5" t="s">
        <v>724</v>
      </c>
      <c r="AD5" t="s">
        <v>46</v>
      </c>
      <c r="AE5" t="s">
        <v>725</v>
      </c>
      <c r="AF5">
        <v>38458391</v>
      </c>
      <c r="AG5" t="s">
        <v>726</v>
      </c>
      <c r="AH5" t="s">
        <v>727</v>
      </c>
      <c r="AI5" t="s">
        <v>728</v>
      </c>
      <c r="AJ5" t="s">
        <v>729</v>
      </c>
      <c r="AK5" t="s">
        <v>730</v>
      </c>
      <c r="AL5" t="s">
        <v>25</v>
      </c>
      <c r="AM5" t="s">
        <v>731</v>
      </c>
      <c r="AN5" t="s">
        <v>25</v>
      </c>
      <c r="AO5" t="s">
        <v>732</v>
      </c>
      <c r="AP5" t="s">
        <v>351</v>
      </c>
      <c r="AQ5" t="s">
        <v>25</v>
      </c>
      <c r="AR5" t="s">
        <v>541</v>
      </c>
      <c r="AS5" t="s">
        <v>25</v>
      </c>
      <c r="AT5" t="s">
        <v>733</v>
      </c>
      <c r="AU5" t="s">
        <v>734</v>
      </c>
      <c r="AV5" t="s">
        <v>327</v>
      </c>
      <c r="AW5" t="s">
        <v>735</v>
      </c>
      <c r="AX5" t="s">
        <v>736</v>
      </c>
      <c r="AY5" t="s">
        <v>364</v>
      </c>
      <c r="AZ5" t="s">
        <v>737</v>
      </c>
      <c r="BA5" t="s">
        <v>738</v>
      </c>
      <c r="BB5" t="s">
        <v>739</v>
      </c>
      <c r="BC5" t="s">
        <v>25</v>
      </c>
      <c r="BD5" t="s">
        <v>430</v>
      </c>
      <c r="BE5" t="s">
        <v>740</v>
      </c>
      <c r="BF5" t="s">
        <v>741</v>
      </c>
      <c r="BG5" t="s">
        <v>742</v>
      </c>
      <c r="BH5" t="s">
        <v>25</v>
      </c>
      <c r="BI5" t="s">
        <v>743</v>
      </c>
      <c r="BJ5" t="s">
        <v>744</v>
      </c>
      <c r="BK5" t="s">
        <v>745</v>
      </c>
      <c r="BL5" t="s">
        <v>746</v>
      </c>
      <c r="BM5" t="s">
        <v>339</v>
      </c>
      <c r="BN5" t="s">
        <v>747</v>
      </c>
      <c r="BO5">
        <v>15.34</v>
      </c>
      <c r="BP5">
        <v>15.85</v>
      </c>
      <c r="BQ5">
        <v>10.98</v>
      </c>
      <c r="BR5">
        <v>10.42</v>
      </c>
      <c r="BS5" t="s">
        <v>25</v>
      </c>
      <c r="BT5" t="s">
        <v>25</v>
      </c>
      <c r="BU5" t="s">
        <v>25</v>
      </c>
      <c r="BV5" t="s">
        <v>681</v>
      </c>
      <c r="BW5">
        <v>43.88</v>
      </c>
      <c r="BX5">
        <v>43.2</v>
      </c>
      <c r="BY5">
        <v>42.63</v>
      </c>
      <c r="BZ5">
        <v>5.76</v>
      </c>
      <c r="CA5">
        <v>8</v>
      </c>
      <c r="CB5">
        <v>4.1100000000000003</v>
      </c>
      <c r="CC5">
        <v>10.210000000000001</v>
      </c>
      <c r="CD5">
        <v>24.76</v>
      </c>
      <c r="CE5" t="s">
        <v>748</v>
      </c>
      <c r="CF5" t="s">
        <v>749</v>
      </c>
      <c r="CG5" s="21">
        <v>6.4233725490196333E-2</v>
      </c>
      <c r="CH5" s="22">
        <v>-0.18844056364986261</v>
      </c>
      <c r="CI5" s="21">
        <v>0.25550660490989685</v>
      </c>
      <c r="CJ5" s="21">
        <v>0.14165973663330078</v>
      </c>
      <c r="CK5" s="21">
        <v>0.17421253025531769</v>
      </c>
      <c r="CL5" s="21">
        <v>0.26054590940475464</v>
      </c>
      <c r="CM5" s="21" t="e">
        <v>#VALUE!</v>
      </c>
      <c r="CN5" s="22">
        <v>-0.13863031566143036</v>
      </c>
      <c r="CO5" s="22">
        <v>1.222004771232605</v>
      </c>
      <c r="CP5" s="22">
        <v>0.56598019599914551</v>
      </c>
      <c r="CQ5" s="22">
        <v>3.3365232944488525</v>
      </c>
      <c r="CR5" s="22" t="e">
        <v>#VALUE!</v>
      </c>
      <c r="CS5">
        <v>6.8387279532163729</v>
      </c>
      <c r="CT5">
        <v>96526611.658623502</v>
      </c>
      <c r="CU5">
        <v>0</v>
      </c>
      <c r="CV5" s="21">
        <v>0.20798119530081749</v>
      </c>
      <c r="CW5" s="22">
        <v>1.2464694865047932</v>
      </c>
      <c r="CX5">
        <v>0.06</v>
      </c>
      <c r="CY5">
        <v>104.97729483809871</v>
      </c>
      <c r="CZ5">
        <v>106996706.45278966</v>
      </c>
      <c r="DA5">
        <v>0.20798119530081749</v>
      </c>
      <c r="DB5">
        <v>31.086818065335851</v>
      </c>
      <c r="DC5">
        <v>361317931.49086487</v>
      </c>
      <c r="DD5">
        <v>0.19758213553577661</v>
      </c>
      <c r="DE5">
        <v>13.340869832984632</v>
      </c>
      <c r="DF5">
        <v>841940963.41670966</v>
      </c>
      <c r="DG5">
        <v>0.18302345186471938</v>
      </c>
      <c r="DH5">
        <v>6.8098752798933928</v>
      </c>
      <c r="DI5">
        <v>1649402424.9113469</v>
      </c>
      <c r="DJ5">
        <v>0.166384956240654</v>
      </c>
      <c r="DK5">
        <v>2.3991098746217223</v>
      </c>
      <c r="DL5">
        <v>4681830089.9082546</v>
      </c>
      <c r="DM5">
        <v>0.14558683671057224</v>
      </c>
      <c r="DN5">
        <v>93889300</v>
      </c>
      <c r="DO5">
        <v>0.20798119530081749</v>
      </c>
      <c r="DP5">
        <v>11232224800</v>
      </c>
      <c r="DQ5">
        <v>857094900</v>
      </c>
      <c r="DR5">
        <v>2666</v>
      </c>
      <c r="DS5">
        <v>-0.14374746981062114</v>
      </c>
      <c r="DT5">
        <v>-1.4349100501546559</v>
      </c>
      <c r="DU5" s="23">
        <v>0.5</v>
      </c>
      <c r="DV5">
        <v>0.84800000000000009</v>
      </c>
      <c r="DW5">
        <v>1.3480000000000001</v>
      </c>
      <c r="DX5">
        <v>9.4123586429725368</v>
      </c>
      <c r="DY5">
        <v>0.81760204767811107</v>
      </c>
      <c r="DZ5">
        <v>9.0649885665102392</v>
      </c>
      <c r="EA5">
        <v>1009</v>
      </c>
      <c r="EB5">
        <v>9.0516579172707932</v>
      </c>
      <c r="EC5">
        <v>9</v>
      </c>
      <c r="ED5">
        <v>4.9342647209696895E-2</v>
      </c>
      <c r="EE5">
        <v>0.31308379514507012</v>
      </c>
      <c r="EF5" s="20">
        <v>7.5143999999999989E-2</v>
      </c>
      <c r="EG5">
        <v>4.7999999999999987E-3</v>
      </c>
      <c r="EH5">
        <v>66.157602047678111</v>
      </c>
      <c r="EI5" t="s">
        <v>221</v>
      </c>
      <c r="EJ5">
        <v>1</v>
      </c>
      <c r="EK5">
        <v>1</v>
      </c>
      <c r="EL5" s="28">
        <v>44939</v>
      </c>
      <c r="EM5" s="29">
        <v>1.52E-2</v>
      </c>
      <c r="EN5" s="29">
        <v>2.0400000000000001E-2</v>
      </c>
      <c r="EO5" s="29">
        <v>-1.5E-3</v>
      </c>
      <c r="EP5" s="29">
        <v>-1.34E-2</v>
      </c>
      <c r="EQ5" s="29">
        <v>7.99</v>
      </c>
    </row>
    <row r="6" spans="1:147" ht="60" x14ac:dyDescent="0.25">
      <c r="B6" s="24" t="s">
        <v>751</v>
      </c>
      <c r="C6" s="24" t="s">
        <v>752</v>
      </c>
      <c r="D6" s="24" t="e">
        <v>#VALUE!</v>
      </c>
      <c r="E6" t="s">
        <v>613</v>
      </c>
      <c r="F6" t="s">
        <v>614</v>
      </c>
      <c r="G6">
        <v>38.31</v>
      </c>
      <c r="H6">
        <v>14.22</v>
      </c>
      <c r="I6" t="s">
        <v>615</v>
      </c>
      <c r="J6">
        <v>6053994100</v>
      </c>
      <c r="K6">
        <v>97.28</v>
      </c>
      <c r="L6">
        <v>2.74</v>
      </c>
      <c r="M6" t="s">
        <v>272</v>
      </c>
      <c r="N6" t="s">
        <v>753</v>
      </c>
      <c r="O6" t="s">
        <v>754</v>
      </c>
      <c r="P6" t="s">
        <v>755</v>
      </c>
      <c r="Q6">
        <v>3.6</v>
      </c>
      <c r="R6" t="s">
        <v>756</v>
      </c>
      <c r="S6">
        <v>65734605</v>
      </c>
      <c r="T6" s="4">
        <v>-0.26850000000000002</v>
      </c>
      <c r="U6" t="s">
        <v>757</v>
      </c>
      <c r="V6">
        <v>39650000</v>
      </c>
      <c r="W6">
        <v>158026470</v>
      </c>
      <c r="X6">
        <v>1.19</v>
      </c>
      <c r="Y6">
        <v>0.38</v>
      </c>
      <c r="Z6">
        <v>8.51</v>
      </c>
      <c r="AA6" t="s">
        <v>758</v>
      </c>
      <c r="AB6" t="s">
        <v>451</v>
      </c>
      <c r="AC6" t="s">
        <v>66</v>
      </c>
      <c r="AD6" t="s">
        <v>360</v>
      </c>
      <c r="AE6" t="s">
        <v>759</v>
      </c>
      <c r="AF6">
        <v>-7574494</v>
      </c>
      <c r="AG6" t="s">
        <v>760</v>
      </c>
      <c r="AH6" t="s">
        <v>25</v>
      </c>
      <c r="AI6" t="s">
        <v>25</v>
      </c>
      <c r="AJ6" t="s">
        <v>25</v>
      </c>
      <c r="AK6" t="s">
        <v>761</v>
      </c>
      <c r="AL6" t="s">
        <v>25</v>
      </c>
      <c r="AM6" t="s">
        <v>762</v>
      </c>
      <c r="AN6" t="s">
        <v>25</v>
      </c>
      <c r="AO6" t="s">
        <v>25</v>
      </c>
      <c r="AP6" t="s">
        <v>25</v>
      </c>
      <c r="AQ6" t="s">
        <v>25</v>
      </c>
      <c r="AR6" t="s">
        <v>25</v>
      </c>
      <c r="AS6" t="s">
        <v>25</v>
      </c>
      <c r="AT6" t="s">
        <v>25</v>
      </c>
      <c r="AU6" t="s">
        <v>25</v>
      </c>
      <c r="AV6" t="s">
        <v>25</v>
      </c>
      <c r="AW6" t="s">
        <v>25</v>
      </c>
      <c r="AX6" t="s">
        <v>25</v>
      </c>
      <c r="AY6" t="s">
        <v>25</v>
      </c>
      <c r="AZ6" t="s">
        <v>25</v>
      </c>
      <c r="BA6" t="s">
        <v>25</v>
      </c>
      <c r="BB6" t="s">
        <v>25</v>
      </c>
      <c r="BC6" t="s">
        <v>25</v>
      </c>
      <c r="BD6" t="s">
        <v>25</v>
      </c>
      <c r="BE6" t="s">
        <v>25</v>
      </c>
      <c r="BF6" t="s">
        <v>25</v>
      </c>
      <c r="BG6" t="s">
        <v>25</v>
      </c>
      <c r="BH6" t="s">
        <v>25</v>
      </c>
      <c r="BI6" t="s">
        <v>25</v>
      </c>
      <c r="BJ6" t="s">
        <v>25</v>
      </c>
      <c r="BK6" t="s">
        <v>25</v>
      </c>
      <c r="BL6" t="s">
        <v>25</v>
      </c>
      <c r="BM6" t="s">
        <v>763</v>
      </c>
      <c r="BN6" t="s">
        <v>392</v>
      </c>
      <c r="BO6">
        <v>8.39</v>
      </c>
      <c r="BP6">
        <v>10.45</v>
      </c>
      <c r="BQ6">
        <v>9.18</v>
      </c>
      <c r="BR6">
        <v>8.58</v>
      </c>
      <c r="BS6" t="s">
        <v>25</v>
      </c>
      <c r="BT6" t="s">
        <v>25</v>
      </c>
      <c r="BU6" t="s">
        <v>764</v>
      </c>
      <c r="BV6" t="s">
        <v>681</v>
      </c>
      <c r="BW6">
        <v>40.85</v>
      </c>
      <c r="BX6">
        <v>43.43</v>
      </c>
      <c r="BY6">
        <v>43.21</v>
      </c>
      <c r="BZ6">
        <v>8.93</v>
      </c>
      <c r="CA6">
        <v>11.95</v>
      </c>
      <c r="CB6">
        <v>10.81</v>
      </c>
      <c r="CC6">
        <v>12.58</v>
      </c>
      <c r="CD6">
        <v>31.2</v>
      </c>
      <c r="CE6" t="s">
        <v>765</v>
      </c>
      <c r="CF6" t="s">
        <v>766</v>
      </c>
      <c r="CG6" s="21" t="e">
        <v>#VALUE!</v>
      </c>
      <c r="CH6" s="22">
        <v>1.9123521157646954</v>
      </c>
      <c r="CI6" s="21" t="e">
        <v>#VALUE!</v>
      </c>
      <c r="CJ6" s="21" t="e">
        <v>#VALUE!</v>
      </c>
      <c r="CK6" s="21" t="e">
        <v>#VALUE!</v>
      </c>
      <c r="CL6" s="21" t="e">
        <v>#VALUE!</v>
      </c>
      <c r="CM6" s="21" t="e">
        <v>#VALUE!</v>
      </c>
      <c r="CN6" s="22" t="e">
        <v>#VALUE!</v>
      </c>
      <c r="CO6" s="22" t="e">
        <v>#VALUE!</v>
      </c>
      <c r="CP6" s="22" t="e">
        <v>#VALUE!</v>
      </c>
      <c r="CQ6" s="22" t="e">
        <v>#VALUE!</v>
      </c>
      <c r="CR6" s="22" t="e">
        <v>#VALUE!</v>
      </c>
      <c r="CS6">
        <v>12.935884829059829</v>
      </c>
      <c r="CT6">
        <v>0</v>
      </c>
      <c r="CU6">
        <v>1.566170712607674</v>
      </c>
      <c r="CV6" s="21" t="e">
        <v>#VALUE!</v>
      </c>
      <c r="CW6" s="22" t="e">
        <v>#VALUE!</v>
      </c>
      <c r="CX6">
        <v>0.06</v>
      </c>
      <c r="CY6" t="e">
        <v>#VALUE!</v>
      </c>
      <c r="CZ6" t="e">
        <v>#VALUE!</v>
      </c>
      <c r="DA6" t="e">
        <v>#VALUE!</v>
      </c>
      <c r="DB6" t="e">
        <v>#VALUE!</v>
      </c>
      <c r="DC6" t="e">
        <v>#VALUE!</v>
      </c>
      <c r="DD6" t="e">
        <v>#VALUE!</v>
      </c>
      <c r="DE6" t="e">
        <v>#VALUE!</v>
      </c>
      <c r="DF6" t="e">
        <v>#VALUE!</v>
      </c>
      <c r="DG6" t="e">
        <v>#VALUE!</v>
      </c>
      <c r="DH6" t="e">
        <v>#VALUE!</v>
      </c>
      <c r="DI6" t="e">
        <v>#VALUE!</v>
      </c>
      <c r="DJ6" t="e">
        <v>#VALUE!</v>
      </c>
      <c r="DK6" t="e">
        <v>#VALUE!</v>
      </c>
      <c r="DL6" t="e">
        <v>#VALUE!</v>
      </c>
      <c r="DM6" t="e">
        <v>#VALUE!</v>
      </c>
      <c r="DN6">
        <v>41812000</v>
      </c>
      <c r="DO6" t="e">
        <v>#VALUE!</v>
      </c>
      <c r="DP6">
        <v>4255994100</v>
      </c>
      <c r="DQ6">
        <v>2058332300</v>
      </c>
      <c r="DR6">
        <v>2559</v>
      </c>
      <c r="DS6" t="e">
        <v>#VALUE!</v>
      </c>
      <c r="DT6" t="e">
        <v>#VALUE!</v>
      </c>
      <c r="DU6" s="23" t="e">
        <v>#VALUE!</v>
      </c>
      <c r="DV6" t="e">
        <v>#VALUE!</v>
      </c>
      <c r="DW6" t="e">
        <v>#VALUE!</v>
      </c>
      <c r="DX6">
        <v>9.4032051282051281</v>
      </c>
      <c r="DY6">
        <v>1.0773548496460568</v>
      </c>
      <c r="DZ6">
        <v>9.0876385900175425</v>
      </c>
      <c r="EA6" t="s">
        <v>767</v>
      </c>
      <c r="EB6" t="e">
        <v>#VALUE!</v>
      </c>
      <c r="EC6" t="e">
        <v>#VALUE!</v>
      </c>
      <c r="ED6">
        <v>0.10567659962283533</v>
      </c>
      <c r="EE6">
        <v>0.48619386359766181</v>
      </c>
      <c r="EF6" s="20">
        <v>9.5772999999999997E-2</v>
      </c>
      <c r="EG6">
        <v>1.0880000000000001</v>
      </c>
      <c r="EH6">
        <v>86.217354849646057</v>
      </c>
      <c r="EI6" t="s">
        <v>222</v>
      </c>
      <c r="EJ6" t="e">
        <v>#VALUE!</v>
      </c>
      <c r="EK6">
        <v>0</v>
      </c>
      <c r="EL6" s="28">
        <v>44939</v>
      </c>
      <c r="EM6" s="29">
        <v>-8.9999999999999998E-4</v>
      </c>
      <c r="EN6" s="29">
        <v>5.8999999999999999E-3</v>
      </c>
      <c r="EO6" s="29">
        <v>3.5000000000000001E-3</v>
      </c>
      <c r="EP6" s="29">
        <v>-2.2700000000000001E-2</v>
      </c>
      <c r="EQ6" s="29">
        <v>14.22</v>
      </c>
    </row>
    <row r="7" spans="1:147" ht="144" x14ac:dyDescent="0.25">
      <c r="B7" s="24"/>
      <c r="C7" s="24"/>
      <c r="D7" s="24" t="s">
        <v>803</v>
      </c>
      <c r="E7" t="s">
        <v>622</v>
      </c>
      <c r="F7" t="s">
        <v>623</v>
      </c>
      <c r="G7">
        <v>7.62</v>
      </c>
      <c r="H7">
        <v>4.8099999999999996</v>
      </c>
      <c r="I7" t="s">
        <v>624</v>
      </c>
      <c r="J7">
        <v>3927092100</v>
      </c>
      <c r="K7">
        <v>31.89</v>
      </c>
      <c r="L7">
        <v>8.1199999999999992</v>
      </c>
      <c r="M7" t="s">
        <v>272</v>
      </c>
      <c r="N7" t="s">
        <v>768</v>
      </c>
      <c r="O7" t="s">
        <v>349</v>
      </c>
      <c r="P7" t="s">
        <v>769</v>
      </c>
      <c r="Q7">
        <v>-26.51</v>
      </c>
      <c r="R7" t="s">
        <v>770</v>
      </c>
      <c r="S7">
        <v>132220136</v>
      </c>
      <c r="T7" s="4">
        <v>1.875</v>
      </c>
      <c r="U7" t="s">
        <v>771</v>
      </c>
      <c r="V7">
        <v>509152820</v>
      </c>
      <c r="W7">
        <v>515366420</v>
      </c>
      <c r="X7">
        <v>3.71</v>
      </c>
      <c r="Y7">
        <v>0.32</v>
      </c>
      <c r="Z7">
        <v>23.26</v>
      </c>
      <c r="AA7" t="s">
        <v>772</v>
      </c>
      <c r="AB7" t="s">
        <v>555</v>
      </c>
      <c r="AC7" t="s">
        <v>375</v>
      </c>
      <c r="AD7" t="s">
        <v>773</v>
      </c>
      <c r="AE7" t="s">
        <v>774</v>
      </c>
      <c r="AF7">
        <v>26437466</v>
      </c>
      <c r="AG7" t="s">
        <v>775</v>
      </c>
      <c r="AH7" t="s">
        <v>508</v>
      </c>
      <c r="AI7" t="s">
        <v>776</v>
      </c>
      <c r="AJ7" t="s">
        <v>355</v>
      </c>
      <c r="AK7" t="s">
        <v>777</v>
      </c>
      <c r="AL7" t="s">
        <v>778</v>
      </c>
      <c r="AM7" t="s">
        <v>779</v>
      </c>
      <c r="AN7" t="s">
        <v>25</v>
      </c>
      <c r="AO7" t="s">
        <v>780</v>
      </c>
      <c r="AP7" t="s">
        <v>781</v>
      </c>
      <c r="AQ7" t="s">
        <v>782</v>
      </c>
      <c r="AR7" t="s">
        <v>783</v>
      </c>
      <c r="AS7" t="s">
        <v>784</v>
      </c>
      <c r="AT7" t="s">
        <v>785</v>
      </c>
      <c r="AU7" t="s">
        <v>25</v>
      </c>
      <c r="AV7" t="s">
        <v>786</v>
      </c>
      <c r="AW7" t="s">
        <v>787</v>
      </c>
      <c r="AX7" t="s">
        <v>788</v>
      </c>
      <c r="AY7" t="s">
        <v>789</v>
      </c>
      <c r="AZ7" t="s">
        <v>790</v>
      </c>
      <c r="BA7" t="s">
        <v>158</v>
      </c>
      <c r="BB7" t="s">
        <v>38</v>
      </c>
      <c r="BC7" t="s">
        <v>791</v>
      </c>
      <c r="BD7" t="s">
        <v>792</v>
      </c>
      <c r="BE7" t="s">
        <v>793</v>
      </c>
      <c r="BF7" t="s">
        <v>794</v>
      </c>
      <c r="BG7" t="s">
        <v>795</v>
      </c>
      <c r="BH7" t="s">
        <v>796</v>
      </c>
      <c r="BI7" t="s">
        <v>154</v>
      </c>
      <c r="BJ7" t="s">
        <v>797</v>
      </c>
      <c r="BK7" t="s">
        <v>798</v>
      </c>
      <c r="BL7" t="s">
        <v>799</v>
      </c>
      <c r="BM7" t="s">
        <v>800</v>
      </c>
      <c r="BN7" t="s">
        <v>801</v>
      </c>
      <c r="BO7">
        <v>8.43</v>
      </c>
      <c r="BP7">
        <v>5.01</v>
      </c>
      <c r="BQ7">
        <v>11.34</v>
      </c>
      <c r="BR7">
        <v>11.08</v>
      </c>
      <c r="BS7">
        <v>9.26</v>
      </c>
      <c r="BT7">
        <v>8.57</v>
      </c>
      <c r="BU7" t="s">
        <v>374</v>
      </c>
      <c r="BV7" t="s">
        <v>681</v>
      </c>
      <c r="BW7">
        <v>23.74</v>
      </c>
      <c r="BX7">
        <v>34.200000000000003</v>
      </c>
      <c r="BY7">
        <v>37.68</v>
      </c>
      <c r="BZ7">
        <v>-18.670000000000002</v>
      </c>
      <c r="CA7">
        <v>3.48</v>
      </c>
      <c r="CB7">
        <v>12.23</v>
      </c>
      <c r="CC7">
        <v>3.67</v>
      </c>
      <c r="CD7">
        <v>1.87</v>
      </c>
      <c r="CE7" t="s">
        <v>802</v>
      </c>
      <c r="CF7" t="s">
        <v>336</v>
      </c>
      <c r="CG7" s="21">
        <v>-7.8638247011952198E-2</v>
      </c>
      <c r="CH7" s="22">
        <v>13.813938957861824</v>
      </c>
      <c r="CI7" s="21">
        <v>0.1335504949092865</v>
      </c>
      <c r="CJ7" s="21">
        <v>-0.28326845169067383</v>
      </c>
      <c r="CK7" s="21">
        <v>9.361691027879715E-2</v>
      </c>
      <c r="CL7" s="21">
        <v>1.120938777923584</v>
      </c>
      <c r="CM7" s="21">
        <v>0.11022043973207474</v>
      </c>
      <c r="CN7" s="22">
        <v>-0.13307070732116699</v>
      </c>
      <c r="CO7" s="22">
        <v>-0.41381454467773438</v>
      </c>
      <c r="CP7" s="22">
        <v>1.9711884260177612</v>
      </c>
      <c r="CQ7" s="22">
        <v>-14.813806533813477</v>
      </c>
      <c r="CR7" s="22">
        <v>0.11865177005529404</v>
      </c>
      <c r="CS7">
        <v>3.7615824712643677</v>
      </c>
      <c r="CT7">
        <v>-220557204.44550359</v>
      </c>
      <c r="CU7">
        <v>0</v>
      </c>
      <c r="CV7" s="21">
        <v>0.23501163423061372</v>
      </c>
      <c r="CW7" s="22">
        <v>-2.6541703179478646</v>
      </c>
      <c r="CX7">
        <v>0.06</v>
      </c>
      <c r="CY7">
        <v>110.56813839482999</v>
      </c>
      <c r="CZ7">
        <v>43024076.999585576</v>
      </c>
      <c r="DA7">
        <v>0.23501163423061372</v>
      </c>
      <c r="DB7">
        <v>32.024452405197131</v>
      </c>
      <c r="DC7">
        <v>148545618.82307124</v>
      </c>
      <c r="DD7">
        <v>0.22326105251908301</v>
      </c>
      <c r="DE7">
        <v>13.306891605731169</v>
      </c>
      <c r="DF7">
        <v>357490858.19194317</v>
      </c>
      <c r="DG7">
        <v>0.20681023812294008</v>
      </c>
      <c r="DH7">
        <v>6.5257721375613515</v>
      </c>
      <c r="DI7">
        <v>728969997.68332422</v>
      </c>
      <c r="DJ7">
        <v>0.18800930738449098</v>
      </c>
      <c r="DK7">
        <v>2.0803155576040329</v>
      </c>
      <c r="DL7">
        <v>2286716590.9574304</v>
      </c>
      <c r="DM7">
        <v>0.1645081439614296</v>
      </c>
      <c r="DN7">
        <v>36927200</v>
      </c>
      <c r="DO7">
        <v>0.23501163423061372</v>
      </c>
      <c r="DP7">
        <v>4757092100</v>
      </c>
      <c r="DQ7">
        <v>-450666960.00000012</v>
      </c>
      <c r="DR7">
        <v>1020</v>
      </c>
      <c r="DS7">
        <v>-0.31364988124256593</v>
      </c>
      <c r="DT7">
        <v>16.468109275809688</v>
      </c>
      <c r="DU7" s="23">
        <v>-0.13666666666666669</v>
      </c>
      <c r="DV7">
        <v>0.18500000000000003</v>
      </c>
      <c r="DW7">
        <v>4.8333333333333339E-2</v>
      </c>
      <c r="DX7">
        <v>4.5095367847411447</v>
      </c>
      <c r="DY7">
        <v>0.87533185595567209</v>
      </c>
      <c r="DZ7">
        <v>4.0995287658411765</v>
      </c>
      <c r="EA7">
        <v>3319</v>
      </c>
      <c r="EB7">
        <v>4.0323736583341905</v>
      </c>
      <c r="EC7">
        <v>4</v>
      </c>
      <c r="ED7">
        <v>0.1368245917147648</v>
      </c>
      <c r="EE7">
        <v>0.70047249100940645</v>
      </c>
      <c r="EF7" s="20">
        <v>2.5859E-2</v>
      </c>
      <c r="EG7">
        <v>7.3999999999999996E-2</v>
      </c>
      <c r="EH7">
        <v>68.195331855955672</v>
      </c>
      <c r="EI7" t="s">
        <v>221</v>
      </c>
      <c r="EJ7">
        <v>0</v>
      </c>
      <c r="EK7">
        <v>0</v>
      </c>
      <c r="EL7" s="28">
        <v>44939</v>
      </c>
      <c r="EM7" s="29">
        <v>-1.4E-3</v>
      </c>
      <c r="EN7" s="29">
        <v>8.2000000000000007E-3</v>
      </c>
      <c r="EO7" s="29">
        <v>-2.7000000000000001E-3</v>
      </c>
      <c r="EP7" s="29">
        <v>-1.49E-2</v>
      </c>
      <c r="EQ7" s="29">
        <v>4.8099999999999996</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4"/>
  <sheetViews>
    <sheetView workbookViewId="0">
      <selection activeCell="J3" sqref="J3"/>
    </sheetView>
  </sheetViews>
  <sheetFormatPr defaultRowHeight="14" x14ac:dyDescent="0.25"/>
  <cols>
    <col min="1" max="1" width="12" style="26" customWidth="1"/>
    <col min="2" max="2" width="39.36328125" customWidth="1"/>
    <col min="3" max="3" width="40.36328125" customWidth="1"/>
    <col min="4" max="4" width="58.6328125" customWidth="1"/>
    <col min="10" max="10" width="13.453125" bestFit="1" customWidth="1"/>
    <col min="22" max="22" width="14.81640625" customWidth="1"/>
  </cols>
  <sheetData>
    <row r="1" spans="1:147" s="16" customFormat="1" x14ac:dyDescent="0.25">
      <c r="A1" s="17" t="s">
        <v>129</v>
      </c>
      <c r="B1" s="18" t="s">
        <v>223</v>
      </c>
      <c r="C1" s="19" t="s">
        <v>26</v>
      </c>
      <c r="D1" s="18" t="s">
        <v>224</v>
      </c>
      <c r="E1" t="s">
        <v>3</v>
      </c>
      <c r="F1" t="s">
        <v>4</v>
      </c>
      <c r="G1" t="s">
        <v>0</v>
      </c>
      <c r="H1" t="s">
        <v>194</v>
      </c>
      <c r="I1" t="s">
        <v>225</v>
      </c>
      <c r="J1" t="s">
        <v>5</v>
      </c>
      <c r="K1" t="s">
        <v>6</v>
      </c>
      <c r="L1" t="s">
        <v>1</v>
      </c>
      <c r="M1" t="s">
        <v>12</v>
      </c>
      <c r="N1" t="s">
        <v>27</v>
      </c>
      <c r="O1" t="s">
        <v>28</v>
      </c>
      <c r="P1" t="s">
        <v>29</v>
      </c>
      <c r="Q1" t="s">
        <v>226</v>
      </c>
      <c r="R1" t="s">
        <v>195</v>
      </c>
      <c r="S1" t="s">
        <v>227</v>
      </c>
      <c r="T1" t="s">
        <v>30</v>
      </c>
      <c r="U1" t="s">
        <v>196</v>
      </c>
      <c r="V1" t="s">
        <v>197</v>
      </c>
      <c r="W1" t="s">
        <v>31</v>
      </c>
      <c r="X1" t="s">
        <v>172</v>
      </c>
      <c r="Y1" t="s">
        <v>173</v>
      </c>
      <c r="Z1" t="s">
        <v>174</v>
      </c>
      <c r="AA1" t="s">
        <v>175</v>
      </c>
      <c r="AB1" t="s">
        <v>176</v>
      </c>
      <c r="AC1" t="s">
        <v>198</v>
      </c>
      <c r="AD1" t="s">
        <v>177</v>
      </c>
      <c r="AE1" t="s">
        <v>228</v>
      </c>
      <c r="AF1" t="s">
        <v>32</v>
      </c>
      <c r="AG1" t="s">
        <v>33</v>
      </c>
      <c r="AH1" t="s">
        <v>199</v>
      </c>
      <c r="AI1" t="s">
        <v>229</v>
      </c>
      <c r="AJ1" t="s">
        <v>200</v>
      </c>
      <c r="AK1" t="s">
        <v>34</v>
      </c>
      <c r="AL1" t="s">
        <v>201</v>
      </c>
      <c r="AM1" t="s">
        <v>130</v>
      </c>
      <c r="AN1" t="s">
        <v>202</v>
      </c>
      <c r="AO1" t="s">
        <v>203</v>
      </c>
      <c r="AP1" t="s">
        <v>204</v>
      </c>
      <c r="AQ1" t="s">
        <v>205</v>
      </c>
      <c r="AR1" t="s">
        <v>206</v>
      </c>
      <c r="AS1" t="s">
        <v>207</v>
      </c>
      <c r="AT1" t="s">
        <v>208</v>
      </c>
      <c r="AU1" t="s">
        <v>209</v>
      </c>
      <c r="AV1" t="s">
        <v>210</v>
      </c>
      <c r="AW1" t="s">
        <v>211</v>
      </c>
      <c r="AX1" t="s">
        <v>212</v>
      </c>
      <c r="AY1" t="s">
        <v>230</v>
      </c>
      <c r="AZ1" t="s">
        <v>131</v>
      </c>
      <c r="BA1" t="s">
        <v>132</v>
      </c>
      <c r="BB1" t="s">
        <v>133</v>
      </c>
      <c r="BC1" t="s">
        <v>134</v>
      </c>
      <c r="BD1" t="s">
        <v>140</v>
      </c>
      <c r="BE1" t="s">
        <v>135</v>
      </c>
      <c r="BF1" t="s">
        <v>136</v>
      </c>
      <c r="BG1" t="s">
        <v>137</v>
      </c>
      <c r="BH1" t="s">
        <v>138</v>
      </c>
      <c r="BI1" t="s">
        <v>231</v>
      </c>
      <c r="BJ1" t="s">
        <v>213</v>
      </c>
      <c r="BK1" t="s">
        <v>139</v>
      </c>
      <c r="BL1" t="s">
        <v>214</v>
      </c>
      <c r="BM1" t="s">
        <v>215</v>
      </c>
      <c r="BN1" t="s">
        <v>216</v>
      </c>
      <c r="BO1" t="s">
        <v>217</v>
      </c>
      <c r="BP1" t="s">
        <v>141</v>
      </c>
      <c r="BQ1" t="s">
        <v>142</v>
      </c>
      <c r="BR1" t="s">
        <v>143</v>
      </c>
      <c r="BS1" t="s">
        <v>218</v>
      </c>
      <c r="BT1" t="s">
        <v>144</v>
      </c>
      <c r="BU1" t="s">
        <v>145</v>
      </c>
      <c r="BV1" t="s">
        <v>146</v>
      </c>
      <c r="BW1" t="s">
        <v>219</v>
      </c>
      <c r="BX1" t="s">
        <v>147</v>
      </c>
      <c r="BY1" t="s">
        <v>148</v>
      </c>
      <c r="BZ1" t="s">
        <v>220</v>
      </c>
      <c r="CA1" t="s">
        <v>149</v>
      </c>
      <c r="CB1" t="s">
        <v>150</v>
      </c>
      <c r="CC1" t="s">
        <v>232</v>
      </c>
      <c r="CD1" t="s">
        <v>233</v>
      </c>
      <c r="CE1" t="s">
        <v>234</v>
      </c>
      <c r="CF1" t="s">
        <v>235</v>
      </c>
      <c r="CG1" s="1" t="s">
        <v>178</v>
      </c>
      <c r="CH1" s="1" t="s">
        <v>179</v>
      </c>
      <c r="CI1" s="1" t="s">
        <v>180</v>
      </c>
      <c r="CJ1" s="1" t="s">
        <v>181</v>
      </c>
      <c r="CK1" s="1" t="s">
        <v>182</v>
      </c>
      <c r="CL1" s="1" t="s">
        <v>183</v>
      </c>
      <c r="CM1" s="1" t="s">
        <v>184</v>
      </c>
      <c r="CN1" s="1" t="s">
        <v>185</v>
      </c>
      <c r="CO1" s="1" t="s">
        <v>186</v>
      </c>
      <c r="CP1" s="1" t="s">
        <v>187</v>
      </c>
      <c r="CQ1" s="1" t="s">
        <v>188</v>
      </c>
      <c r="CR1" s="1" t="s">
        <v>189</v>
      </c>
      <c r="CS1" s="1" t="s">
        <v>236</v>
      </c>
      <c r="CT1" s="1" t="s">
        <v>237</v>
      </c>
      <c r="CU1" s="1" t="s">
        <v>238</v>
      </c>
      <c r="CV1" s="1" t="s">
        <v>239</v>
      </c>
      <c r="CW1" s="1" t="s">
        <v>240</v>
      </c>
      <c r="CX1" s="1" t="s">
        <v>110</v>
      </c>
      <c r="CY1">
        <v>1</v>
      </c>
      <c r="CZ1" t="s">
        <v>242</v>
      </c>
      <c r="DA1" t="s">
        <v>243</v>
      </c>
      <c r="DB1">
        <v>3</v>
      </c>
      <c r="DC1" t="s">
        <v>244</v>
      </c>
      <c r="DD1" t="s">
        <v>245</v>
      </c>
      <c r="DE1">
        <v>6</v>
      </c>
      <c r="DF1" t="s">
        <v>246</v>
      </c>
      <c r="DG1" t="s">
        <v>247</v>
      </c>
      <c r="DH1">
        <v>10</v>
      </c>
      <c r="DI1" t="s">
        <v>248</v>
      </c>
      <c r="DJ1" t="s">
        <v>249</v>
      </c>
      <c r="DK1">
        <v>20</v>
      </c>
      <c r="DL1" t="s">
        <v>250</v>
      </c>
      <c r="DM1" t="s">
        <v>190</v>
      </c>
      <c r="DN1" t="s">
        <v>191</v>
      </c>
      <c r="DO1" s="2" t="s">
        <v>192</v>
      </c>
      <c r="DP1" t="s">
        <v>251</v>
      </c>
      <c r="DQ1" t="s">
        <v>252</v>
      </c>
      <c r="DR1" s="1" t="s">
        <v>253</v>
      </c>
      <c r="DS1" s="1" t="s">
        <v>254</v>
      </c>
      <c r="DT1" s="1" t="s">
        <v>255</v>
      </c>
      <c r="DU1" t="s">
        <v>256</v>
      </c>
      <c r="DV1" t="s">
        <v>257</v>
      </c>
      <c r="DW1" t="s">
        <v>258</v>
      </c>
      <c r="DX1" t="s">
        <v>259</v>
      </c>
      <c r="DY1" t="s">
        <v>260</v>
      </c>
      <c r="DZ1" t="s">
        <v>261</v>
      </c>
      <c r="EA1" t="s">
        <v>262</v>
      </c>
      <c r="EB1" t="s">
        <v>263</v>
      </c>
      <c r="EC1" t="s">
        <v>264</v>
      </c>
      <c r="ED1" t="s">
        <v>265</v>
      </c>
      <c r="EE1" t="s">
        <v>266</v>
      </c>
      <c r="EF1" t="s">
        <v>267</v>
      </c>
      <c r="EG1" t="s">
        <v>268</v>
      </c>
      <c r="EH1" t="s">
        <v>269</v>
      </c>
      <c r="EI1" t="s">
        <v>270</v>
      </c>
      <c r="EJ1" t="s">
        <v>271</v>
      </c>
      <c r="EK1"/>
    </row>
    <row r="2" spans="1:147" s="1" customFormat="1" ht="49" customHeight="1" x14ac:dyDescent="0.25">
      <c r="A2" s="27"/>
      <c r="B2" s="25"/>
      <c r="C2" s="25">
        <v>3</v>
      </c>
      <c r="D2" s="25">
        <v>4</v>
      </c>
      <c r="J2" s="2">
        <f>SUM(J3:J4)</f>
        <v>56824867000</v>
      </c>
    </row>
    <row r="3" spans="1:147" ht="120" x14ac:dyDescent="0.25">
      <c r="B3" s="24"/>
      <c r="C3" s="24"/>
      <c r="D3" s="24" t="s">
        <v>841</v>
      </c>
      <c r="E3" t="s">
        <v>574</v>
      </c>
      <c r="F3" t="s">
        <v>575</v>
      </c>
      <c r="G3">
        <v>166.98</v>
      </c>
      <c r="H3">
        <v>7.69</v>
      </c>
      <c r="I3" t="s">
        <v>576</v>
      </c>
      <c r="J3">
        <v>53540467000</v>
      </c>
      <c r="K3">
        <v>89.55</v>
      </c>
      <c r="L3">
        <v>16.22</v>
      </c>
      <c r="M3" t="s">
        <v>272</v>
      </c>
      <c r="N3" t="s">
        <v>804</v>
      </c>
      <c r="O3" t="s">
        <v>805</v>
      </c>
      <c r="P3" t="s">
        <v>806</v>
      </c>
      <c r="Q3">
        <v>0.14000000000000001</v>
      </c>
      <c r="R3" t="s">
        <v>807</v>
      </c>
      <c r="S3">
        <v>515169030</v>
      </c>
      <c r="T3" s="4">
        <v>-0.16919999999999999</v>
      </c>
      <c r="U3" t="s">
        <v>808</v>
      </c>
      <c r="V3">
        <v>320640000</v>
      </c>
      <c r="W3">
        <v>320640000</v>
      </c>
      <c r="X3">
        <v>1.45</v>
      </c>
      <c r="Y3">
        <v>0.42</v>
      </c>
      <c r="Z3">
        <v>28.11</v>
      </c>
      <c r="AA3" t="s">
        <v>809</v>
      </c>
      <c r="AB3" t="s">
        <v>810</v>
      </c>
      <c r="AC3" t="s">
        <v>811</v>
      </c>
      <c r="AD3" t="s">
        <v>48</v>
      </c>
      <c r="AE3" t="s">
        <v>812</v>
      </c>
      <c r="AF3">
        <v>18326821</v>
      </c>
      <c r="AG3" t="s">
        <v>813</v>
      </c>
      <c r="AH3" t="s">
        <v>814</v>
      </c>
      <c r="AI3" t="s">
        <v>815</v>
      </c>
      <c r="AJ3" t="s">
        <v>338</v>
      </c>
      <c r="AK3" t="s">
        <v>816</v>
      </c>
      <c r="AL3" t="s">
        <v>25</v>
      </c>
      <c r="AM3" t="s">
        <v>817</v>
      </c>
      <c r="AN3" t="s">
        <v>25</v>
      </c>
      <c r="AO3" t="s">
        <v>818</v>
      </c>
      <c r="AP3" t="s">
        <v>25</v>
      </c>
      <c r="AQ3" t="s">
        <v>25</v>
      </c>
      <c r="AR3" t="s">
        <v>819</v>
      </c>
      <c r="AS3" t="s">
        <v>820</v>
      </c>
      <c r="AT3" t="s">
        <v>821</v>
      </c>
      <c r="AU3" t="s">
        <v>822</v>
      </c>
      <c r="AV3" t="s">
        <v>823</v>
      </c>
      <c r="AW3" t="s">
        <v>824</v>
      </c>
      <c r="AX3" t="s">
        <v>825</v>
      </c>
      <c r="AY3" t="s">
        <v>826</v>
      </c>
      <c r="AZ3" t="s">
        <v>827</v>
      </c>
      <c r="BA3" t="s">
        <v>828</v>
      </c>
      <c r="BB3" t="s">
        <v>829</v>
      </c>
      <c r="BC3" t="s">
        <v>830</v>
      </c>
      <c r="BD3" t="s">
        <v>831</v>
      </c>
      <c r="BE3" t="s">
        <v>832</v>
      </c>
      <c r="BF3" t="s">
        <v>833</v>
      </c>
      <c r="BG3" t="s">
        <v>501</v>
      </c>
      <c r="BH3" t="s">
        <v>834</v>
      </c>
      <c r="BI3" t="s">
        <v>835</v>
      </c>
      <c r="BJ3" t="s">
        <v>836</v>
      </c>
      <c r="BK3" t="s">
        <v>835</v>
      </c>
      <c r="BL3" t="s">
        <v>837</v>
      </c>
      <c r="BM3" t="s">
        <v>838</v>
      </c>
      <c r="BN3" t="s">
        <v>839</v>
      </c>
      <c r="BO3">
        <v>24.57</v>
      </c>
      <c r="BP3">
        <v>20.72</v>
      </c>
      <c r="BQ3">
        <v>22.96</v>
      </c>
      <c r="BR3">
        <v>27.93</v>
      </c>
      <c r="BS3">
        <v>24.39</v>
      </c>
      <c r="BT3">
        <v>29.87</v>
      </c>
      <c r="BU3" t="s">
        <v>374</v>
      </c>
      <c r="BV3" t="s">
        <v>681</v>
      </c>
      <c r="BW3">
        <v>42.39</v>
      </c>
      <c r="BX3">
        <v>45.17</v>
      </c>
      <c r="BY3">
        <v>46.08</v>
      </c>
      <c r="BZ3">
        <v>26.05</v>
      </c>
      <c r="CA3">
        <v>26.1</v>
      </c>
      <c r="CB3">
        <v>26.81</v>
      </c>
      <c r="CC3">
        <v>11.89</v>
      </c>
      <c r="CD3">
        <v>27.66</v>
      </c>
      <c r="CE3" t="s">
        <v>840</v>
      </c>
      <c r="CF3" t="s">
        <v>480</v>
      </c>
      <c r="CG3" s="21">
        <v>4.1661369193154033E-3</v>
      </c>
      <c r="CH3" s="22">
        <v>-0.18524524163568773</v>
      </c>
      <c r="CI3" s="21">
        <v>0.33189651370048523</v>
      </c>
      <c r="CJ3" s="21">
        <v>8.1305056810379028E-2</v>
      </c>
      <c r="CK3" s="21">
        <v>0.24902971088886261</v>
      </c>
      <c r="CL3" s="21">
        <v>0.31016948819160461</v>
      </c>
      <c r="CM3" s="21">
        <v>0.3424345850944519</v>
      </c>
      <c r="CN3" s="22">
        <v>0.42596349120140076</v>
      </c>
      <c r="CO3" s="22">
        <v>5.7939913123846054E-2</v>
      </c>
      <c r="CP3" s="22">
        <v>0.40361446142196655</v>
      </c>
      <c r="CQ3" s="22">
        <v>0.52995389699935913</v>
      </c>
      <c r="CR3" s="22">
        <v>0.59558820724487305</v>
      </c>
      <c r="CS3">
        <v>19.252235526788926</v>
      </c>
      <c r="CT3">
        <v>70693049.786628738</v>
      </c>
      <c r="CU3">
        <v>0</v>
      </c>
      <c r="CV3" s="21">
        <v>0.26296707093715666</v>
      </c>
      <c r="CW3" s="22">
        <v>0.40261199399828912</v>
      </c>
      <c r="CX3">
        <v>0.06</v>
      </c>
      <c r="CY3">
        <v>61.544764861187765</v>
      </c>
      <c r="CZ3">
        <v>837609293.27247274</v>
      </c>
      <c r="DA3">
        <v>0.26296707093715666</v>
      </c>
      <c r="DB3">
        <v>17.424255822879541</v>
      </c>
      <c r="DC3">
        <v>2958546265.850265</v>
      </c>
      <c r="DD3">
        <v>0.24981871739029882</v>
      </c>
      <c r="DE3">
        <v>7.0008943720068153</v>
      </c>
      <c r="DF3">
        <v>7363411624.3954973</v>
      </c>
      <c r="DG3">
        <v>0.23141102242469785</v>
      </c>
      <c r="DH3">
        <v>3.2910111064059251</v>
      </c>
      <c r="DI3">
        <v>15664020975.091045</v>
      </c>
      <c r="DJ3">
        <v>0.21037365674972533</v>
      </c>
      <c r="DK3">
        <v>0.94267792311158793</v>
      </c>
      <c r="DL3">
        <v>54685132361.901932</v>
      </c>
      <c r="DM3">
        <v>0.18407694965600965</v>
      </c>
      <c r="DN3">
        <v>703000000</v>
      </c>
      <c r="DO3">
        <v>0.26296707093715666</v>
      </c>
      <c r="DP3">
        <v>51550467000</v>
      </c>
      <c r="DQ3">
        <v>506945159.99999994</v>
      </c>
      <c r="DR3">
        <v>3352</v>
      </c>
      <c r="DS3">
        <v>-0.25880093401784127</v>
      </c>
      <c r="DT3">
        <v>-0.58785723563397685</v>
      </c>
      <c r="DU3" s="23">
        <v>0.51666666666666661</v>
      </c>
      <c r="DV3">
        <v>0.29666666666666658</v>
      </c>
      <c r="DW3">
        <v>0.81333333333333324</v>
      </c>
      <c r="DX3">
        <v>9.429862617498193</v>
      </c>
      <c r="DY3">
        <v>0.78255971223021759</v>
      </c>
      <c r="DZ3">
        <v>9.0741769695740153</v>
      </c>
      <c r="EA3">
        <v>1947</v>
      </c>
      <c r="EB3">
        <v>9.0448168232514679</v>
      </c>
      <c r="EC3">
        <v>9</v>
      </c>
      <c r="ED3">
        <v>7.48060129740519E-2</v>
      </c>
      <c r="EE3">
        <v>0.43350798403193613</v>
      </c>
      <c r="EF3" s="20">
        <v>7.400000000000001E-5</v>
      </c>
      <c r="EG3">
        <v>7.7000000000000013E-2</v>
      </c>
      <c r="EH3">
        <v>61.172559712230218</v>
      </c>
      <c r="EI3" t="s">
        <v>221</v>
      </c>
      <c r="EJ3">
        <v>1</v>
      </c>
      <c r="EK3">
        <v>0</v>
      </c>
      <c r="EL3" s="28">
        <v>44939</v>
      </c>
      <c r="EM3" s="29">
        <v>9.1000000000000004E-3</v>
      </c>
      <c r="EN3" s="29">
        <v>2.92E-2</v>
      </c>
      <c r="EO3" s="29">
        <v>-3.2000000000000002E-3</v>
      </c>
      <c r="EP3" s="29">
        <v>3.5999999999999999E-3</v>
      </c>
      <c r="EQ3" s="29">
        <v>7.69</v>
      </c>
    </row>
    <row r="4" spans="1:147" ht="120" x14ac:dyDescent="0.25">
      <c r="B4" s="24"/>
      <c r="C4" s="24"/>
      <c r="D4" s="24" t="s">
        <v>876</v>
      </c>
      <c r="E4" t="s">
        <v>634</v>
      </c>
      <c r="F4" t="s">
        <v>635</v>
      </c>
      <c r="G4">
        <v>3.91</v>
      </c>
      <c r="H4">
        <v>1.3</v>
      </c>
      <c r="I4" t="s">
        <v>636</v>
      </c>
      <c r="J4">
        <v>3284400000</v>
      </c>
      <c r="L4">
        <v>3.89</v>
      </c>
      <c r="M4" t="s">
        <v>272</v>
      </c>
      <c r="N4" t="s">
        <v>842</v>
      </c>
      <c r="O4" t="s">
        <v>843</v>
      </c>
      <c r="P4" t="s">
        <v>844</v>
      </c>
      <c r="Q4">
        <v>437.91</v>
      </c>
      <c r="R4" t="s">
        <v>845</v>
      </c>
      <c r="S4">
        <v>-13499728</v>
      </c>
      <c r="T4" s="4">
        <v>-12.34</v>
      </c>
      <c r="U4" t="s">
        <v>846</v>
      </c>
      <c r="V4">
        <v>839975250</v>
      </c>
      <c r="W4">
        <v>840000000</v>
      </c>
      <c r="X4">
        <v>2</v>
      </c>
      <c r="Y4">
        <v>0.23</v>
      </c>
      <c r="Z4">
        <v>-3.99</v>
      </c>
      <c r="AA4" t="s">
        <v>76</v>
      </c>
      <c r="AB4" t="s">
        <v>553</v>
      </c>
      <c r="AC4" t="s">
        <v>847</v>
      </c>
      <c r="AD4" t="s">
        <v>848</v>
      </c>
      <c r="AE4" t="s">
        <v>849</v>
      </c>
      <c r="AF4">
        <v>32823078</v>
      </c>
      <c r="AG4" t="s">
        <v>850</v>
      </c>
      <c r="AH4" t="s">
        <v>851</v>
      </c>
      <c r="AI4" t="s">
        <v>852</v>
      </c>
      <c r="AJ4" t="s">
        <v>853</v>
      </c>
      <c r="AK4" t="s">
        <v>854</v>
      </c>
      <c r="AL4" t="s">
        <v>855</v>
      </c>
      <c r="AM4" t="s">
        <v>856</v>
      </c>
      <c r="AN4" t="s">
        <v>25</v>
      </c>
      <c r="AO4">
        <v>0</v>
      </c>
      <c r="AP4" t="s">
        <v>477</v>
      </c>
      <c r="AQ4" t="s">
        <v>25</v>
      </c>
      <c r="AR4" t="s">
        <v>857</v>
      </c>
      <c r="AS4" t="s">
        <v>858</v>
      </c>
      <c r="AT4" t="s">
        <v>859</v>
      </c>
      <c r="AU4" t="s">
        <v>477</v>
      </c>
      <c r="AV4" t="s">
        <v>860</v>
      </c>
      <c r="AW4" t="s">
        <v>861</v>
      </c>
      <c r="AX4" t="s">
        <v>862</v>
      </c>
      <c r="AY4" t="s">
        <v>54</v>
      </c>
      <c r="AZ4" t="s">
        <v>490</v>
      </c>
      <c r="BA4" t="s">
        <v>863</v>
      </c>
      <c r="BB4" t="s">
        <v>502</v>
      </c>
      <c r="BC4" t="s">
        <v>477</v>
      </c>
      <c r="BD4" t="s">
        <v>864</v>
      </c>
      <c r="BE4" t="s">
        <v>865</v>
      </c>
      <c r="BF4" t="s">
        <v>866</v>
      </c>
      <c r="BG4" t="s">
        <v>867</v>
      </c>
      <c r="BH4" t="s">
        <v>868</v>
      </c>
      <c r="BI4" t="s">
        <v>508</v>
      </c>
      <c r="BJ4" t="s">
        <v>869</v>
      </c>
      <c r="BK4" t="s">
        <v>870</v>
      </c>
      <c r="BL4" t="s">
        <v>871</v>
      </c>
      <c r="BM4" t="s">
        <v>872</v>
      </c>
      <c r="BN4" t="s">
        <v>873</v>
      </c>
      <c r="BO4">
        <v>-1.81</v>
      </c>
      <c r="BP4">
        <v>-13.27</v>
      </c>
      <c r="BQ4">
        <v>2.23</v>
      </c>
      <c r="BR4">
        <v>-9.1199999999999992</v>
      </c>
      <c r="BS4">
        <v>-26.62</v>
      </c>
      <c r="BT4">
        <v>0.57999999999999996</v>
      </c>
      <c r="BU4" t="s">
        <v>374</v>
      </c>
      <c r="BV4" t="s">
        <v>681</v>
      </c>
      <c r="BW4">
        <v>37.880000000000003</v>
      </c>
      <c r="BX4">
        <v>52.49</v>
      </c>
      <c r="BY4">
        <v>62.36</v>
      </c>
      <c r="BZ4">
        <v>-20.92</v>
      </c>
      <c r="CA4">
        <v>-259.85000000000002</v>
      </c>
      <c r="CB4">
        <v>4.8099999999999996</v>
      </c>
      <c r="CC4">
        <v>3.71</v>
      </c>
      <c r="CD4">
        <v>-7.13</v>
      </c>
      <c r="CE4" t="s">
        <v>874</v>
      </c>
      <c r="CF4" t="s">
        <v>38</v>
      </c>
      <c r="CG4" s="21">
        <v>6.2881826241784333</v>
      </c>
      <c r="CH4" s="22">
        <v>3.1138074940523395</v>
      </c>
      <c r="CI4" s="21">
        <v>0.47368422150611877</v>
      </c>
      <c r="CJ4" s="21">
        <v>-0.26451611518859863</v>
      </c>
      <c r="CK4" s="21">
        <v>-0.63270139694213867</v>
      </c>
      <c r="CL4" s="21">
        <v>1.1641025543212891</v>
      </c>
      <c r="CM4" s="21">
        <v>0.625</v>
      </c>
      <c r="CN4" s="22">
        <v>0.74417001008987427</v>
      </c>
      <c r="CO4" s="22">
        <v>-40.914524078369141</v>
      </c>
      <c r="CP4" s="22">
        <v>-0.79803872108459473</v>
      </c>
      <c r="CQ4" s="22">
        <v>-0.48769336938858032</v>
      </c>
      <c r="CR4" s="22">
        <v>3.5889279842376709</v>
      </c>
      <c r="CS4">
        <v>19.55</v>
      </c>
      <c r="CT4">
        <v>19651682.317406211</v>
      </c>
      <c r="CU4">
        <v>0</v>
      </c>
      <c r="CV4" s="21">
        <v>0.27311385273933408</v>
      </c>
      <c r="CW4" s="22">
        <v>-7.5734316349029545</v>
      </c>
      <c r="CX4">
        <v>0.06</v>
      </c>
      <c r="CY4" t="e">
        <v>#VALUE!</v>
      </c>
      <c r="CZ4" t="s">
        <v>875</v>
      </c>
      <c r="DA4">
        <v>0.27311385273933408</v>
      </c>
      <c r="DB4" t="e">
        <v>#VALUE!</v>
      </c>
      <c r="DC4" t="s">
        <v>494</v>
      </c>
      <c r="DD4">
        <v>0.25945816010236739</v>
      </c>
      <c r="DE4" t="e">
        <v>#VALUE!</v>
      </c>
      <c r="DF4" t="s">
        <v>494</v>
      </c>
      <c r="DG4">
        <v>0.240340190410614</v>
      </c>
      <c r="DH4" t="e">
        <v>#VALUE!</v>
      </c>
      <c r="DI4" t="s">
        <v>494</v>
      </c>
      <c r="DJ4">
        <v>0.21849108219146729</v>
      </c>
      <c r="DK4" t="e">
        <v>#VALUE!</v>
      </c>
      <c r="DL4" t="s">
        <v>494</v>
      </c>
      <c r="DM4">
        <v>0.19117969691753384</v>
      </c>
      <c r="DN4">
        <v>-75981500</v>
      </c>
      <c r="DO4">
        <v>0.27311385273933408</v>
      </c>
      <c r="DP4">
        <v>3286400000</v>
      </c>
      <c r="DQ4">
        <v>-214225100</v>
      </c>
      <c r="DR4">
        <v>1114</v>
      </c>
      <c r="DS4">
        <v>6.0150687714390996</v>
      </c>
      <c r="DT4">
        <v>10.687239128955294</v>
      </c>
      <c r="DU4" s="23">
        <v>0.78333333333333321</v>
      </c>
      <c r="DV4">
        <v>-1.7000000000000002</v>
      </c>
      <c r="DW4">
        <v>-0.91666666666666696</v>
      </c>
      <c r="DX4">
        <v>6.3422509225092254</v>
      </c>
      <c r="DY4">
        <v>0.48631768953068599</v>
      </c>
      <c r="DZ4">
        <v>6.0877249656973103</v>
      </c>
      <c r="EA4">
        <v>4145</v>
      </c>
      <c r="EB4">
        <v>6.0138034404248257</v>
      </c>
      <c r="EC4">
        <v>6</v>
      </c>
      <c r="ED4">
        <v>0.16904761904761906</v>
      </c>
      <c r="EE4">
        <v>0.65952380952380951</v>
      </c>
      <c r="EF4" s="20">
        <v>7.1359999999999993E-2</v>
      </c>
      <c r="EG4">
        <v>8.4400000000000003E-2</v>
      </c>
      <c r="EH4">
        <v>23.256317689530686</v>
      </c>
      <c r="EI4" t="s">
        <v>221</v>
      </c>
      <c r="EJ4">
        <v>0</v>
      </c>
      <c r="EK4">
        <v>0</v>
      </c>
      <c r="EL4" s="28">
        <v>44939</v>
      </c>
      <c r="EM4" s="29">
        <v>5.3E-3</v>
      </c>
      <c r="EN4" s="29">
        <v>0</v>
      </c>
      <c r="EO4" s="29">
        <v>5.5399999999999998E-2</v>
      </c>
      <c r="EP4" s="29">
        <v>-3.5000000000000003E-2</v>
      </c>
      <c r="EQ4" s="29">
        <v>1.3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9"/>
  <sheetViews>
    <sheetView workbookViewId="0">
      <selection activeCell="A13" sqref="A13:XFD13"/>
    </sheetView>
  </sheetViews>
  <sheetFormatPr defaultRowHeight="14" x14ac:dyDescent="0.25"/>
  <cols>
    <col min="1" max="1" width="12" style="26" customWidth="1"/>
    <col min="2" max="2" width="39.36328125" customWidth="1"/>
    <col min="3" max="3" width="40.36328125" customWidth="1"/>
    <col min="4" max="4" width="58.6328125" customWidth="1"/>
    <col min="10" max="10" width="13.453125" bestFit="1" customWidth="1"/>
    <col min="22" max="22" width="14.81640625" customWidth="1"/>
  </cols>
  <sheetData>
    <row r="1" spans="1:141" s="16" customFormat="1" x14ac:dyDescent="0.25">
      <c r="A1" s="17" t="s">
        <v>129</v>
      </c>
      <c r="B1" s="18" t="s">
        <v>223</v>
      </c>
      <c r="C1" s="19" t="s">
        <v>26</v>
      </c>
      <c r="D1" s="18" t="s">
        <v>224</v>
      </c>
      <c r="E1" t="s">
        <v>3</v>
      </c>
      <c r="F1" t="s">
        <v>4</v>
      </c>
      <c r="G1" t="s">
        <v>0</v>
      </c>
      <c r="H1" t="s">
        <v>194</v>
      </c>
      <c r="I1" t="s">
        <v>225</v>
      </c>
      <c r="J1" t="s">
        <v>5</v>
      </c>
      <c r="K1" t="s">
        <v>6</v>
      </c>
      <c r="L1" t="s">
        <v>1</v>
      </c>
      <c r="M1" t="s">
        <v>12</v>
      </c>
      <c r="N1" t="s">
        <v>27</v>
      </c>
      <c r="O1" t="s">
        <v>28</v>
      </c>
      <c r="P1" t="s">
        <v>29</v>
      </c>
      <c r="Q1" t="s">
        <v>226</v>
      </c>
      <c r="R1" t="s">
        <v>195</v>
      </c>
      <c r="S1" t="s">
        <v>227</v>
      </c>
      <c r="T1" t="s">
        <v>30</v>
      </c>
      <c r="U1" t="s">
        <v>196</v>
      </c>
      <c r="V1" t="s">
        <v>197</v>
      </c>
      <c r="W1" t="s">
        <v>31</v>
      </c>
      <c r="X1" t="s">
        <v>172</v>
      </c>
      <c r="Y1" t="s">
        <v>173</v>
      </c>
      <c r="Z1" t="s">
        <v>174</v>
      </c>
      <c r="AA1" t="s">
        <v>175</v>
      </c>
      <c r="AB1" t="s">
        <v>176</v>
      </c>
      <c r="AC1" t="s">
        <v>198</v>
      </c>
      <c r="AD1" t="s">
        <v>177</v>
      </c>
      <c r="AE1" t="s">
        <v>228</v>
      </c>
      <c r="AF1" t="s">
        <v>32</v>
      </c>
      <c r="AG1" t="s">
        <v>33</v>
      </c>
      <c r="AH1" t="s">
        <v>199</v>
      </c>
      <c r="AI1" t="s">
        <v>229</v>
      </c>
      <c r="AJ1" t="s">
        <v>200</v>
      </c>
      <c r="AK1" t="s">
        <v>34</v>
      </c>
      <c r="AL1" t="s">
        <v>201</v>
      </c>
      <c r="AM1" t="s">
        <v>130</v>
      </c>
      <c r="AN1" t="s">
        <v>202</v>
      </c>
      <c r="AO1" t="s">
        <v>203</v>
      </c>
      <c r="AP1" t="s">
        <v>204</v>
      </c>
      <c r="AQ1" t="s">
        <v>205</v>
      </c>
      <c r="AR1" t="s">
        <v>206</v>
      </c>
      <c r="AS1" t="s">
        <v>207</v>
      </c>
      <c r="AT1" t="s">
        <v>208</v>
      </c>
      <c r="AU1" t="s">
        <v>209</v>
      </c>
      <c r="AV1" t="s">
        <v>210</v>
      </c>
      <c r="AW1" t="s">
        <v>211</v>
      </c>
      <c r="AX1" t="s">
        <v>212</v>
      </c>
      <c r="AY1" t="s">
        <v>230</v>
      </c>
      <c r="AZ1" t="s">
        <v>131</v>
      </c>
      <c r="BA1" t="s">
        <v>132</v>
      </c>
      <c r="BB1" t="s">
        <v>133</v>
      </c>
      <c r="BC1" t="s">
        <v>134</v>
      </c>
      <c r="BD1" t="s">
        <v>140</v>
      </c>
      <c r="BE1" t="s">
        <v>135</v>
      </c>
      <c r="BF1" t="s">
        <v>136</v>
      </c>
      <c r="BG1" t="s">
        <v>137</v>
      </c>
      <c r="BH1" t="s">
        <v>138</v>
      </c>
      <c r="BI1" t="s">
        <v>231</v>
      </c>
      <c r="BJ1" t="s">
        <v>213</v>
      </c>
      <c r="BK1" t="s">
        <v>139</v>
      </c>
      <c r="BL1" t="s">
        <v>214</v>
      </c>
      <c r="BM1" t="s">
        <v>215</v>
      </c>
      <c r="BN1" t="s">
        <v>216</v>
      </c>
      <c r="BO1" t="s">
        <v>217</v>
      </c>
      <c r="BP1" t="s">
        <v>141</v>
      </c>
      <c r="BQ1" t="s">
        <v>142</v>
      </c>
      <c r="BR1" t="s">
        <v>143</v>
      </c>
      <c r="BS1" t="s">
        <v>218</v>
      </c>
      <c r="BT1" t="s">
        <v>144</v>
      </c>
      <c r="BU1" t="s">
        <v>145</v>
      </c>
      <c r="BV1" t="s">
        <v>146</v>
      </c>
      <c r="BW1" t="s">
        <v>219</v>
      </c>
      <c r="BX1" t="s">
        <v>147</v>
      </c>
      <c r="BY1" t="s">
        <v>148</v>
      </c>
      <c r="BZ1" t="s">
        <v>220</v>
      </c>
      <c r="CA1" t="s">
        <v>149</v>
      </c>
      <c r="CB1" t="s">
        <v>150</v>
      </c>
      <c r="CC1" t="s">
        <v>232</v>
      </c>
      <c r="CD1" t="s">
        <v>233</v>
      </c>
      <c r="CE1" t="s">
        <v>234</v>
      </c>
      <c r="CF1" t="s">
        <v>235</v>
      </c>
      <c r="CG1" s="1" t="s">
        <v>178</v>
      </c>
      <c r="CH1" s="1" t="s">
        <v>179</v>
      </c>
      <c r="CI1" s="1" t="s">
        <v>180</v>
      </c>
      <c r="CJ1" s="1" t="s">
        <v>181</v>
      </c>
      <c r="CK1" s="1" t="s">
        <v>182</v>
      </c>
      <c r="CL1" s="1" t="s">
        <v>183</v>
      </c>
      <c r="CM1" s="1" t="s">
        <v>184</v>
      </c>
      <c r="CN1" s="1" t="s">
        <v>185</v>
      </c>
      <c r="CO1" s="1" t="s">
        <v>186</v>
      </c>
      <c r="CP1" s="1" t="s">
        <v>187</v>
      </c>
      <c r="CQ1" s="1" t="s">
        <v>188</v>
      </c>
      <c r="CR1" s="1" t="s">
        <v>189</v>
      </c>
      <c r="CS1" s="1" t="s">
        <v>236</v>
      </c>
      <c r="CT1" s="1" t="s">
        <v>237</v>
      </c>
      <c r="CU1" s="1" t="s">
        <v>238</v>
      </c>
      <c r="CV1" s="1" t="s">
        <v>239</v>
      </c>
      <c r="CW1" s="1" t="s">
        <v>240</v>
      </c>
      <c r="CX1" s="1" t="s">
        <v>110</v>
      </c>
      <c r="CY1">
        <v>1</v>
      </c>
      <c r="CZ1" t="s">
        <v>242</v>
      </c>
      <c r="DA1" t="s">
        <v>243</v>
      </c>
      <c r="DB1">
        <v>3</v>
      </c>
      <c r="DC1" t="s">
        <v>244</v>
      </c>
      <c r="DD1" t="s">
        <v>245</v>
      </c>
      <c r="DE1">
        <v>6</v>
      </c>
      <c r="DF1" t="s">
        <v>246</v>
      </c>
      <c r="DG1" t="s">
        <v>247</v>
      </c>
      <c r="DH1">
        <v>10</v>
      </c>
      <c r="DI1" t="s">
        <v>248</v>
      </c>
      <c r="DJ1" t="s">
        <v>249</v>
      </c>
      <c r="DK1">
        <v>20</v>
      </c>
      <c r="DL1" t="s">
        <v>250</v>
      </c>
      <c r="DM1" t="s">
        <v>190</v>
      </c>
      <c r="DN1" t="s">
        <v>191</v>
      </c>
      <c r="DO1" s="2" t="s">
        <v>192</v>
      </c>
      <c r="DP1" t="s">
        <v>251</v>
      </c>
      <c r="DQ1" t="s">
        <v>252</v>
      </c>
      <c r="DR1" s="1" t="s">
        <v>253</v>
      </c>
      <c r="DS1" s="1" t="s">
        <v>254</v>
      </c>
      <c r="DT1" s="1" t="s">
        <v>255</v>
      </c>
      <c r="DU1" t="s">
        <v>256</v>
      </c>
      <c r="DV1" t="s">
        <v>257</v>
      </c>
      <c r="DW1" t="s">
        <v>258</v>
      </c>
      <c r="DX1" t="s">
        <v>259</v>
      </c>
      <c r="DY1" t="s">
        <v>260</v>
      </c>
      <c r="DZ1" t="s">
        <v>261</v>
      </c>
      <c r="EA1" t="s">
        <v>262</v>
      </c>
      <c r="EB1" t="s">
        <v>263</v>
      </c>
      <c r="EC1" t="s">
        <v>264</v>
      </c>
      <c r="ED1" t="s">
        <v>265</v>
      </c>
      <c r="EE1" t="s">
        <v>266</v>
      </c>
      <c r="EF1" t="s">
        <v>267</v>
      </c>
      <c r="EG1" t="s">
        <v>268</v>
      </c>
      <c r="EH1" t="s">
        <v>269</v>
      </c>
      <c r="EI1" t="s">
        <v>270</v>
      </c>
      <c r="EJ1" t="s">
        <v>271</v>
      </c>
      <c r="EK1"/>
    </row>
    <row r="2" spans="1:141" s="1" customFormat="1" ht="49" customHeight="1" x14ac:dyDescent="0.25">
      <c r="A2" s="27"/>
      <c r="B2" s="25"/>
      <c r="C2" s="25">
        <v>3</v>
      </c>
      <c r="D2" s="25">
        <v>4</v>
      </c>
      <c r="J2" s="2" t="e">
        <f>SUM(#REF!)</f>
        <v>#REF!</v>
      </c>
    </row>
    <row r="3" spans="1:141" x14ac:dyDescent="0.25">
      <c r="E3" t="s">
        <v>580</v>
      </c>
      <c r="F3" t="s">
        <v>581</v>
      </c>
      <c r="G3">
        <v>83.1</v>
      </c>
      <c r="H3" s="4">
        <v>2.0500000000000001E-2</v>
      </c>
      <c r="I3" t="s">
        <v>582</v>
      </c>
      <c r="J3">
        <v>38819232000</v>
      </c>
      <c r="K3">
        <v>12.96</v>
      </c>
      <c r="L3">
        <v>4.66</v>
      </c>
      <c r="M3" t="s">
        <v>272</v>
      </c>
    </row>
    <row r="4" spans="1:141" x14ac:dyDescent="0.25">
      <c r="E4" t="s">
        <v>583</v>
      </c>
      <c r="F4" t="s">
        <v>584</v>
      </c>
      <c r="G4">
        <v>12.49</v>
      </c>
      <c r="H4" s="4">
        <v>7.3899999999999993E-2</v>
      </c>
      <c r="I4" t="s">
        <v>585</v>
      </c>
      <c r="J4">
        <v>28417938000</v>
      </c>
      <c r="L4">
        <v>6.09</v>
      </c>
      <c r="M4" t="s">
        <v>272</v>
      </c>
    </row>
    <row r="5" spans="1:141" x14ac:dyDescent="0.25">
      <c r="E5" t="s">
        <v>586</v>
      </c>
      <c r="F5" t="s">
        <v>587</v>
      </c>
      <c r="G5">
        <v>6.27</v>
      </c>
      <c r="H5" s="4">
        <v>2.4500000000000001E-2</v>
      </c>
      <c r="I5" t="s">
        <v>588</v>
      </c>
      <c r="J5">
        <v>24542372000</v>
      </c>
      <c r="L5">
        <v>3.23</v>
      </c>
      <c r="M5" t="s">
        <v>272</v>
      </c>
    </row>
    <row r="6" spans="1:141" x14ac:dyDescent="0.25">
      <c r="E6" t="s">
        <v>589</v>
      </c>
      <c r="F6" t="s">
        <v>590</v>
      </c>
      <c r="G6">
        <v>53.47</v>
      </c>
      <c r="H6" s="4">
        <v>6.0000000000000001E-3</v>
      </c>
      <c r="I6" t="s">
        <v>591</v>
      </c>
      <c r="J6">
        <v>22131999000</v>
      </c>
      <c r="K6">
        <v>27.85</v>
      </c>
      <c r="L6">
        <v>2.2200000000000002</v>
      </c>
      <c r="M6" t="s">
        <v>272</v>
      </c>
    </row>
    <row r="7" spans="1:141" x14ac:dyDescent="0.25">
      <c r="E7" t="s">
        <v>592</v>
      </c>
      <c r="F7" t="s">
        <v>593</v>
      </c>
      <c r="G7">
        <v>26.45</v>
      </c>
      <c r="H7" s="4">
        <v>1.6899999999999998E-2</v>
      </c>
      <c r="I7" t="s">
        <v>594</v>
      </c>
      <c r="J7">
        <v>16581453000</v>
      </c>
      <c r="K7">
        <v>7.03</v>
      </c>
      <c r="L7">
        <v>1.98</v>
      </c>
      <c r="M7" t="s">
        <v>272</v>
      </c>
    </row>
    <row r="8" spans="1:141" x14ac:dyDescent="0.25">
      <c r="E8" t="s">
        <v>595</v>
      </c>
      <c r="F8" t="s">
        <v>596</v>
      </c>
      <c r="G8">
        <v>34.4</v>
      </c>
      <c r="H8" s="4">
        <v>5.7500000000000002E-2</v>
      </c>
      <c r="I8" t="s">
        <v>597</v>
      </c>
      <c r="J8">
        <v>13766880000</v>
      </c>
      <c r="K8">
        <v>65.94</v>
      </c>
      <c r="L8">
        <v>7.22</v>
      </c>
      <c r="M8" t="s">
        <v>272</v>
      </c>
    </row>
    <row r="9" spans="1:141" x14ac:dyDescent="0.25">
      <c r="E9" t="s">
        <v>598</v>
      </c>
      <c r="F9" t="s">
        <v>599</v>
      </c>
      <c r="G9">
        <v>3.98</v>
      </c>
      <c r="H9" s="4">
        <v>7.6E-3</v>
      </c>
      <c r="I9" t="s">
        <v>600</v>
      </c>
      <c r="J9">
        <v>12991371700</v>
      </c>
      <c r="L9">
        <v>7.8</v>
      </c>
      <c r="M9" t="s">
        <v>272</v>
      </c>
    </row>
    <row r="10" spans="1:141" x14ac:dyDescent="0.25">
      <c r="E10" t="s">
        <v>604</v>
      </c>
      <c r="F10" t="s">
        <v>605</v>
      </c>
      <c r="G10">
        <v>25.22</v>
      </c>
      <c r="H10" s="4">
        <v>8.0000000000000004E-4</v>
      </c>
      <c r="I10" t="s">
        <v>606</v>
      </c>
      <c r="J10">
        <v>8168892600</v>
      </c>
      <c r="K10">
        <v>17.36</v>
      </c>
      <c r="L10">
        <v>2.61</v>
      </c>
      <c r="M10" t="s">
        <v>272</v>
      </c>
    </row>
    <row r="11" spans="1:141" x14ac:dyDescent="0.25">
      <c r="E11" t="s">
        <v>607</v>
      </c>
      <c r="F11" t="s">
        <v>608</v>
      </c>
      <c r="G11">
        <v>19.97</v>
      </c>
      <c r="H11" s="4">
        <v>6.6E-3</v>
      </c>
      <c r="I11" t="s">
        <v>609</v>
      </c>
      <c r="J11">
        <v>7998324500</v>
      </c>
      <c r="K11">
        <v>12.68</v>
      </c>
      <c r="L11">
        <v>3.89</v>
      </c>
      <c r="M11" t="s">
        <v>272</v>
      </c>
    </row>
    <row r="12" spans="1:141" x14ac:dyDescent="0.25">
      <c r="E12" t="s">
        <v>610</v>
      </c>
      <c r="F12" t="s">
        <v>611</v>
      </c>
      <c r="G12">
        <v>11.78</v>
      </c>
      <c r="H12" s="4">
        <v>3.3999999999999998E-3</v>
      </c>
      <c r="I12" t="s">
        <v>612</v>
      </c>
      <c r="J12">
        <v>7564727400</v>
      </c>
      <c r="L12">
        <v>4.12</v>
      </c>
      <c r="M12" t="s">
        <v>272</v>
      </c>
    </row>
    <row r="13" spans="1:141" x14ac:dyDescent="0.25">
      <c r="E13" t="s">
        <v>616</v>
      </c>
      <c r="F13" t="s">
        <v>617</v>
      </c>
      <c r="G13">
        <v>11.82</v>
      </c>
      <c r="H13" s="4">
        <v>2.2499999999999999E-2</v>
      </c>
      <c r="I13" t="s">
        <v>618</v>
      </c>
      <c r="J13">
        <v>4191441300</v>
      </c>
      <c r="L13">
        <v>1.68</v>
      </c>
      <c r="M13" t="s">
        <v>272</v>
      </c>
    </row>
    <row r="14" spans="1:141" x14ac:dyDescent="0.25">
      <c r="E14" t="s">
        <v>619</v>
      </c>
      <c r="F14" t="s">
        <v>620</v>
      </c>
      <c r="G14">
        <v>37.78</v>
      </c>
      <c r="H14" s="4">
        <v>2.1600000000000001E-2</v>
      </c>
      <c r="I14" t="s">
        <v>621</v>
      </c>
      <c r="J14">
        <v>3989568000</v>
      </c>
      <c r="K14">
        <v>37.799999999999997</v>
      </c>
      <c r="L14">
        <v>2.5</v>
      </c>
      <c r="M14" t="s">
        <v>272</v>
      </c>
    </row>
    <row r="15" spans="1:141" x14ac:dyDescent="0.25">
      <c r="E15" t="s">
        <v>625</v>
      </c>
      <c r="F15" t="s">
        <v>626</v>
      </c>
      <c r="G15">
        <v>12.16</v>
      </c>
      <c r="H15" s="4">
        <v>1.2500000000000001E-2</v>
      </c>
      <c r="I15" t="s">
        <v>627</v>
      </c>
      <c r="J15">
        <v>3788738600</v>
      </c>
      <c r="L15">
        <v>220.7</v>
      </c>
      <c r="M15" t="s">
        <v>272</v>
      </c>
    </row>
    <row r="16" spans="1:141" x14ac:dyDescent="0.25">
      <c r="E16" t="s">
        <v>628</v>
      </c>
      <c r="F16" t="s">
        <v>629</v>
      </c>
      <c r="G16">
        <v>1.85</v>
      </c>
      <c r="H16" s="4">
        <v>0</v>
      </c>
      <c r="I16" t="s">
        <v>630</v>
      </c>
      <c r="J16">
        <v>3686808900</v>
      </c>
      <c r="L16">
        <v>1.04</v>
      </c>
      <c r="M16" t="s">
        <v>272</v>
      </c>
    </row>
    <row r="17" spans="5:13" x14ac:dyDescent="0.25">
      <c r="E17" t="s">
        <v>631</v>
      </c>
      <c r="F17" t="s">
        <v>632</v>
      </c>
      <c r="G17">
        <v>4.5999999999999996</v>
      </c>
      <c r="H17" s="4">
        <v>1.0999999999999999E-2</v>
      </c>
      <c r="I17" t="s">
        <v>633</v>
      </c>
      <c r="J17">
        <v>3522368900</v>
      </c>
      <c r="L17">
        <v>40.03</v>
      </c>
      <c r="M17" t="s">
        <v>272</v>
      </c>
    </row>
    <row r="18" spans="5:13" x14ac:dyDescent="0.25">
      <c r="E18" t="s">
        <v>637</v>
      </c>
      <c r="F18" t="s">
        <v>638</v>
      </c>
      <c r="G18">
        <v>6.83</v>
      </c>
      <c r="H18" s="4">
        <v>2.7099999999999999E-2</v>
      </c>
      <c r="I18" t="s">
        <v>639</v>
      </c>
      <c r="J18">
        <v>3094533600</v>
      </c>
      <c r="L18">
        <v>1.57</v>
      </c>
      <c r="M18" t="s">
        <v>272</v>
      </c>
    </row>
    <row r="19" spans="5:13" x14ac:dyDescent="0.25">
      <c r="E19" t="s">
        <v>640</v>
      </c>
      <c r="F19" t="s">
        <v>641</v>
      </c>
      <c r="G19">
        <v>1.29</v>
      </c>
      <c r="H19" s="4">
        <v>-2.2700000000000001E-2</v>
      </c>
      <c r="I19" t="s">
        <v>642</v>
      </c>
      <c r="J19">
        <v>1132229850</v>
      </c>
      <c r="M19" t="s">
        <v>272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Industry_copy_call_buttom [c2],[d2]'">
                <anchor moveWithCells="1" sizeWithCells="1">
                  <from>
                    <xdr:col>1</xdr:col>
                    <xdr:colOff>254000</xdr:colOff>
                    <xdr:row>1</xdr:row>
                    <xdr:rowOff>139700</xdr:rowOff>
                  </from>
                  <to>
                    <xdr:col>1</xdr:col>
                    <xdr:colOff>1187450</xdr:colOff>
                    <xdr:row>1</xdr:row>
                    <xdr:rowOff>482600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7" customFormat="1" ht="56" x14ac:dyDescent="0.25">
      <c r="A1" s="6" t="s">
        <v>97</v>
      </c>
      <c r="B1" s="7" t="s">
        <v>101</v>
      </c>
      <c r="C1" s="7" t="s">
        <v>98</v>
      </c>
      <c r="D1" s="7" t="s">
        <v>102</v>
      </c>
      <c r="E1" s="8" t="s">
        <v>99</v>
      </c>
      <c r="F1" s="8" t="s">
        <v>100</v>
      </c>
      <c r="G1" s="8" t="s">
        <v>108</v>
      </c>
      <c r="H1" s="8" t="s">
        <v>103</v>
      </c>
      <c r="I1" s="8" t="s">
        <v>104</v>
      </c>
      <c r="J1" s="8" t="s">
        <v>105</v>
      </c>
      <c r="K1" s="8" t="s">
        <v>106</v>
      </c>
      <c r="L1" s="7" t="s">
        <v>107</v>
      </c>
      <c r="M1" s="7" t="s">
        <v>109</v>
      </c>
      <c r="N1" s="7" t="s">
        <v>110</v>
      </c>
      <c r="O1" s="7" t="s">
        <v>111</v>
      </c>
      <c r="P1" s="7" t="s">
        <v>112</v>
      </c>
      <c r="Q1" s="7" t="s">
        <v>113</v>
      </c>
      <c r="R1" s="11" t="s">
        <v>114</v>
      </c>
      <c r="S1" s="7" t="s">
        <v>115</v>
      </c>
      <c r="T1" s="7" t="s">
        <v>116</v>
      </c>
      <c r="U1" s="7" t="s">
        <v>117</v>
      </c>
      <c r="V1" s="7" t="s">
        <v>118</v>
      </c>
      <c r="W1" s="7" t="s">
        <v>119</v>
      </c>
      <c r="X1" s="7" t="s">
        <v>120</v>
      </c>
      <c r="Y1" s="7" t="s">
        <v>121</v>
      </c>
      <c r="Z1" s="7" t="s">
        <v>122</v>
      </c>
      <c r="AA1" s="7" t="s">
        <v>123</v>
      </c>
      <c r="AB1" s="7" t="s">
        <v>124</v>
      </c>
      <c r="AC1" s="7" t="s">
        <v>125</v>
      </c>
      <c r="AD1" s="15" t="s">
        <v>126</v>
      </c>
      <c r="AE1" s="7" t="s">
        <v>127</v>
      </c>
      <c r="AF1" s="7" t="s">
        <v>128</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ht="14.4"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ht="14.4"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ht="14.4"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ht="14.4"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ht="14.4"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ht="14.4"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ht="14.4"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ht="14.4"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ht="14.4"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ht="14.4"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ht="14.4"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ht="14.4"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ht="14.4"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ht="14.4"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ht="14.4"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ht="14.4"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ht="14.4"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ht="14.4"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ht="14.4"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ht="14.4"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ht="14.4"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ht="14.4"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ht="14.4"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ht="14.4"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ht="14.4"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ht="14.4"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ht="14.4"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ht="14.4"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ht="14.4"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ht="14.4"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ht="14.4"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ht="14.4"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ht="14.4"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ht="14.4"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ht="14.4"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ht="14.4"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ht="14.4"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ht="14.4"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CXO-化学阶段</vt:lpstr>
      <vt:lpstr>CXO-临床前后</vt:lpstr>
      <vt:lpstr>CXO-CDMO-分子砌块</vt:lpstr>
      <vt:lpstr>专科医院-眼科</vt:lpstr>
      <vt:lpstr>专科医院-口腔</vt:lpstr>
      <vt:lpstr>第三方诊断</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2023-10-01T09:39:59Z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