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石油煤炭类\"/>
    </mc:Choice>
  </mc:AlternateContent>
  <bookViews>
    <workbookView xWindow="-108" yWindow="-108" windowWidth="20268" windowHeight="9132" activeTab="3"/>
  </bookViews>
  <sheets>
    <sheet name="石油加工" sheetId="47" r:id="rId1"/>
    <sheet name="油品石化贸易" sheetId="48" r:id="rId2"/>
    <sheet name="油气开采" sheetId="45" r:id="rId3"/>
    <sheet name="油服工程" sheetId="46" r:id="rId4"/>
    <sheet name="公司价值折现" sheetId="42" r:id="rId5"/>
    <sheet name="基本面模型" sheetId="23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<sst xmlns="http://schemas.openxmlformats.org/spreadsheetml/2006/main" count="3134" uniqueCount="2227">
  <si>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</si>
  <si>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</si>
  <si>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</si>
  <si>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</si>
  <si>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</si>
  <si>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</si>
  <si>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</si>
  <si>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</si>
  <si>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</si>
  <si>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</si>
  <si>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</si>
  <si>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</si>
  <si>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</si>
  <si>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</si>
  <si>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</si>
  <si>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</si>
  <si>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</si>
  <si>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</si>
  <si>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</si>
  <si>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</si>
  <si>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</si>
  <si>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</si>
  <si>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</si>
  <si>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</si>
  <si>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</si>
  <si>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</si>
  <si>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</si>
  <si>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</si>
  <si>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</si>
  <si>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</si>
  <si>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</si>
  <si>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</si>
  <si>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</si>
  <si>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</si>
  <si>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</si>
  <si>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</si>
  <si>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</si>
  <si>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</si>
  <si>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</si>
  <si>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</si>
  <si>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</si>
  <si>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</si>
  <si>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</si>
  <si>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</si>
  <si>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</si>
  <si>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</si>
  <si>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</si>
  <si>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</si>
  <si>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</si>
  <si>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</si>
  <si>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</si>
  <si>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</si>
  <si>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</si>
  <si>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</si>
  <si>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</si>
  <si>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</si>
  <si>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</si>
  <si>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</si>
  <si>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</si>
  <si>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</si>
  <si>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</si>
  <si>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</si>
  <si>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</si>
  <si>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</si>
  <si>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</si>
  <si>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</si>
  <si>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</si>
  <si>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</si>
  <si>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</si>
  <si>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</si>
  <si>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</si>
  <si>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</si>
  <si>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</si>
  <si>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</si>
  <si>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</si>
  <si>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</si>
  <si>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</si>
  <si>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</si>
  <si>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</si>
  <si>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</si>
  <si>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</si>
  <si>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</si>
  <si>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</si>
  <si>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</si>
  <si>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</si>
  <si>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</si>
  <si>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</si>
  <si>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</si>
  <si>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</si>
  <si>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</si>
  <si>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</si>
  <si>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</si>
  <si>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</si>
  <si>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</si>
  <si>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</si>
  <si>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</si>
  <si>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</si>
  <si>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</si>
  <si>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</si>
  <si>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</si>
  <si>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</si>
  <si>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</si>
  <si>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</si>
  <si>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</si>
  <si>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</si>
  <si>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</si>
  <si>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</si>
  <si>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</si>
  <si>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</si>
  <si>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</si>
  <si>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</si>
  <si>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</si>
  <si>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</si>
  <si>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</si>
  <si>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</si>
  <si>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</si>
  <si>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</si>
  <si>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</si>
  <si>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</si>
  <si>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</si>
  <si>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</si>
  <si>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</si>
  <si>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</si>
  <si>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</si>
  <si>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</si>
  <si>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</si>
  <si>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</si>
  <si>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</si>
  <si>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</si>
  <si>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</si>
  <si>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</si>
  <si>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</si>
  <si>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</si>
  <si>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</si>
  <si>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</si>
  <si>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</si>
  <si>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</si>
  <si>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</si>
  <si>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</si>
  <si>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</si>
  <si>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</si>
  <si>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</si>
  <si>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</si>
  <si>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</si>
  <si>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</si>
  <si>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</si>
  <si>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</si>
  <si>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</si>
  <si>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</si>
  <si>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</si>
  <si>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</si>
  <si>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</si>
  <si>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</si>
  <si>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</si>
  <si>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</si>
  <si>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</si>
  <si>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</si>
  <si>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</si>
  <si>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</si>
  <si>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</si>
  <si>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</si>
  <si>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</si>
  <si>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</si>
  <si>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</si>
  <si>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</si>
  <si>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</si>
  <si>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</si>
  <si>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--</t>
  </si>
  <si>
    <t>1.15亿</t>
  </si>
  <si>
    <t>1.19亿</t>
  </si>
  <si>
    <t>SH600938</t>
  </si>
  <si>
    <t>中国海油</t>
  </si>
  <si>
    <t>油气开采及服务</t>
  </si>
  <si>
    <t>1.48亿</t>
  </si>
  <si>
    <t>11.53亿</t>
  </si>
  <si>
    <t>油气开采</t>
  </si>
  <si>
    <t>2.08亿</t>
  </si>
  <si>
    <t>27.55亿</t>
  </si>
  <si>
    <t>10.28亿</t>
  </si>
  <si>
    <t>1.46亿</t>
  </si>
  <si>
    <t/>
  </si>
  <si>
    <t>6.87亿</t>
  </si>
  <si>
    <t>3.41亿</t>
  </si>
  <si>
    <t>20.28亿</t>
  </si>
  <si>
    <t>1.51亿</t>
  </si>
  <si>
    <t>20.64亿</t>
  </si>
  <si>
    <t>1.97亿</t>
  </si>
  <si>
    <t>19.56亿</t>
  </si>
  <si>
    <t>4.34亿</t>
  </si>
  <si>
    <t>1.17亿</t>
  </si>
  <si>
    <t>17.01亿</t>
  </si>
  <si>
    <t>33.23亿</t>
  </si>
  <si>
    <t>1.49亿</t>
  </si>
  <si>
    <t>19.75亿</t>
  </si>
  <si>
    <t>10派7元(含税)</t>
  </si>
  <si>
    <t>4.63亿</t>
  </si>
  <si>
    <t>9.05亿</t>
  </si>
  <si>
    <t>1.07亿</t>
  </si>
  <si>
    <t>1.63亿</t>
  </si>
  <si>
    <t>1.22亿</t>
  </si>
  <si>
    <t>8.27亿</t>
  </si>
  <si>
    <t>17.54亿</t>
  </si>
  <si>
    <t>1.56亿</t>
  </si>
  <si>
    <t>9.04亿</t>
  </si>
  <si>
    <t>8.40亿</t>
  </si>
  <si>
    <t>10.58亿</t>
  </si>
  <si>
    <t>20.71亿</t>
  </si>
  <si>
    <t>1.30亿</t>
  </si>
  <si>
    <t>8.06亿</t>
  </si>
  <si>
    <t>12.14亿</t>
  </si>
  <si>
    <t>10.64亿</t>
  </si>
  <si>
    <t>1.20亿</t>
  </si>
  <si>
    <t>13.36亿</t>
  </si>
  <si>
    <t>2.30亿</t>
  </si>
  <si>
    <t>9.36亿</t>
  </si>
  <si>
    <t>不分配不转增</t>
  </si>
  <si>
    <t>亏损</t>
  </si>
  <si>
    <t>扭亏</t>
  </si>
  <si>
    <t>8.76亿</t>
  </si>
  <si>
    <t>1.86亿</t>
  </si>
  <si>
    <t>10派4元(含税)</t>
  </si>
  <si>
    <t>5.56亿</t>
  </si>
  <si>
    <t>1.18亿</t>
  </si>
  <si>
    <t>10.35亿</t>
  </si>
  <si>
    <t>1.25亿</t>
  </si>
  <si>
    <t>6.63亿</t>
  </si>
  <si>
    <t>14.07亿</t>
  </si>
  <si>
    <t>1.08亿</t>
  </si>
  <si>
    <t>51.31亿</t>
  </si>
  <si>
    <t>10.94亿</t>
  </si>
  <si>
    <t>33.53亿</t>
  </si>
  <si>
    <t>9.45亿</t>
  </si>
  <si>
    <t>1.96亿</t>
  </si>
  <si>
    <t>12.44亿</t>
  </si>
  <si>
    <t>8.01亿</t>
  </si>
  <si>
    <t>5.32亿</t>
  </si>
  <si>
    <t>1.33亿</t>
  </si>
  <si>
    <t>7.22亿</t>
  </si>
  <si>
    <t>25.10亿</t>
  </si>
  <si>
    <t>4.80亿</t>
  </si>
  <si>
    <t>8.23亿</t>
  </si>
  <si>
    <t>2.31亿</t>
  </si>
  <si>
    <t>5.05亿</t>
  </si>
  <si>
    <t>4.44亿</t>
  </si>
  <si>
    <t>1.76亿</t>
  </si>
  <si>
    <t>8.47亿</t>
  </si>
  <si>
    <t>12.20亿</t>
  </si>
  <si>
    <t>5.00亿</t>
  </si>
  <si>
    <t>0亿</t>
  </si>
  <si>
    <t>1.06亿</t>
  </si>
  <si>
    <t>11.03亿</t>
  </si>
  <si>
    <t>-5.98亿</t>
  </si>
  <si>
    <t>6.68亿</t>
  </si>
  <si>
    <t>5.75亿</t>
  </si>
  <si>
    <t>15.45亿</t>
  </si>
  <si>
    <t>2.90亿</t>
  </si>
  <si>
    <t>3.00亿</t>
  </si>
  <si>
    <t>2.91亿</t>
  </si>
  <si>
    <t>9.24亿</t>
  </si>
  <si>
    <t>6.31亿</t>
  </si>
  <si>
    <t>6.54亿</t>
  </si>
  <si>
    <t>1.53亿</t>
  </si>
  <si>
    <t>11.28亿</t>
  </si>
  <si>
    <t>8.13亿</t>
  </si>
  <si>
    <t>4.94亿</t>
  </si>
  <si>
    <t>3.50亿</t>
  </si>
  <si>
    <t>2.00亿</t>
  </si>
  <si>
    <t>8.17亿</t>
  </si>
  <si>
    <t>40.92亿</t>
  </si>
  <si>
    <t>10派0.5元(含税)</t>
  </si>
  <si>
    <t>1.69亿</t>
  </si>
  <si>
    <t>1.12亿</t>
  </si>
  <si>
    <t>3.39亿</t>
  </si>
  <si>
    <t>1.45亿</t>
  </si>
  <si>
    <t>1.13亿</t>
  </si>
  <si>
    <t>32.55亿</t>
  </si>
  <si>
    <t>3.85亿</t>
  </si>
  <si>
    <t>12.10亿</t>
  </si>
  <si>
    <t>6.67亿</t>
  </si>
  <si>
    <t>3.40亿</t>
  </si>
  <si>
    <t>1.68亿</t>
  </si>
  <si>
    <t>1.26亿</t>
  </si>
  <si>
    <t>6.09亿</t>
  </si>
  <si>
    <t>12.51亿</t>
  </si>
  <si>
    <t>10派2元(含税)</t>
  </si>
  <si>
    <t>1.10亿</t>
  </si>
  <si>
    <t>4.74亿</t>
  </si>
  <si>
    <t>10派1.5元(含税)</t>
  </si>
  <si>
    <t>11.50亿</t>
  </si>
  <si>
    <t>13.63亿</t>
  </si>
  <si>
    <t>1.60亿</t>
  </si>
  <si>
    <t>11.33亿</t>
  </si>
  <si>
    <t>1.98亿</t>
  </si>
  <si>
    <t>1.75亿</t>
  </si>
  <si>
    <t>6.79亿</t>
  </si>
  <si>
    <t>1.62亿</t>
  </si>
  <si>
    <t>1.23亿</t>
  </si>
  <si>
    <t>4.12亿</t>
  </si>
  <si>
    <t>2.40亿</t>
  </si>
  <si>
    <t>1.92亿</t>
  </si>
  <si>
    <t>6.50亿</t>
  </si>
  <si>
    <t>2.18亿</t>
  </si>
  <si>
    <t>3.94亿</t>
  </si>
  <si>
    <t>3.33亿</t>
  </si>
  <si>
    <t>70.68亿</t>
  </si>
  <si>
    <t>4.43亿</t>
  </si>
  <si>
    <t>SH600256</t>
  </si>
  <si>
    <t>广汇能源</t>
  </si>
  <si>
    <t>SH600777</t>
  </si>
  <si>
    <t>新潮能源</t>
  </si>
  <si>
    <t>2.01亿</t>
  </si>
  <si>
    <t>SH603393</t>
  </si>
  <si>
    <t>新天然气</t>
  </si>
  <si>
    <t>SZ000968</t>
  </si>
  <si>
    <t>蓝焰控股</t>
  </si>
  <si>
    <t>SH600759</t>
  </si>
  <si>
    <t>ST洲际</t>
  </si>
  <si>
    <t>SZ300483</t>
  </si>
  <si>
    <t>首华燃气</t>
  </si>
  <si>
    <t>419.70亿</t>
  </si>
  <si>
    <t>262.06亿</t>
  </si>
  <si>
    <t>37278840000亿</t>
  </si>
  <si>
    <t>248.65亿</t>
  </si>
  <si>
    <t>50.03亿</t>
  </si>
  <si>
    <t>271.37亿</t>
  </si>
  <si>
    <t>249.09亿</t>
  </si>
  <si>
    <t>4.06亿</t>
  </si>
  <si>
    <t>1.43亿</t>
  </si>
  <si>
    <t>13918196亿</t>
  </si>
  <si>
    <t>2722.44万</t>
  </si>
  <si>
    <t>8359138100亿</t>
  </si>
  <si>
    <t>60.69亿</t>
  </si>
  <si>
    <t>3618924400亿</t>
  </si>
  <si>
    <t>33.40亿</t>
  </si>
  <si>
    <t>17304348000亿</t>
  </si>
  <si>
    <t>66.88亿</t>
  </si>
  <si>
    <t>100.38亿</t>
  </si>
  <si>
    <t>22.27亿</t>
  </si>
  <si>
    <t>35.77亿</t>
  </si>
  <si>
    <t>276.24亿</t>
  </si>
  <si>
    <t>119.60亿</t>
  </si>
  <si>
    <t>-23.49亿</t>
  </si>
  <si>
    <t>-20.77亿</t>
  </si>
  <si>
    <t>151.34亿</t>
  </si>
  <si>
    <t>140.42亿</t>
  </si>
  <si>
    <t>129.05亿</t>
  </si>
  <si>
    <t>81.38亿</t>
  </si>
  <si>
    <t>41.94亿</t>
  </si>
  <si>
    <t>15.97亿</t>
  </si>
  <si>
    <t>17.44亿</t>
  </si>
  <si>
    <t>2.06亿</t>
  </si>
  <si>
    <t>213.21亿</t>
  </si>
  <si>
    <t>164.69亿</t>
  </si>
  <si>
    <t>100.83亿</t>
  </si>
  <si>
    <t>27.60亿</t>
  </si>
  <si>
    <t>3661.30亿</t>
  </si>
  <si>
    <t>5688.32亿</t>
  </si>
  <si>
    <t>311145000000亿</t>
  </si>
  <si>
    <t>2461.11亿</t>
  </si>
  <si>
    <t>703.20亿</t>
  </si>
  <si>
    <t>1653.08亿</t>
  </si>
  <si>
    <t>1416.86亿</t>
  </si>
  <si>
    <t>24.84亿</t>
  </si>
  <si>
    <t>41.02亿</t>
  </si>
  <si>
    <t>4.75亿</t>
  </si>
  <si>
    <t>3377000000亿</t>
  </si>
  <si>
    <t>107285000000亿</t>
  </si>
  <si>
    <t>1493.60亿</t>
  </si>
  <si>
    <t>36236000000亿</t>
  </si>
  <si>
    <t>300631000000亿</t>
  </si>
  <si>
    <t>14.23亿</t>
  </si>
  <si>
    <t>43.15亿</t>
  </si>
  <si>
    <t>616.90亿</t>
  </si>
  <si>
    <t>1534.16亿</t>
  </si>
  <si>
    <t>106.33亿</t>
  </si>
  <si>
    <t>1668.92亿</t>
  </si>
  <si>
    <t>-759.13亿</t>
  </si>
  <si>
    <t>-315.81亿</t>
  </si>
  <si>
    <t>1553.73亿</t>
  </si>
  <si>
    <t>2331.99亿</t>
  </si>
  <si>
    <t>2277.10亿</t>
  </si>
  <si>
    <t>249.57亿</t>
  </si>
  <si>
    <t>610.45亿</t>
  </si>
  <si>
    <t>526.75亿</t>
  </si>
  <si>
    <t>2023.55亿</t>
  </si>
  <si>
    <t>1738.55亿</t>
  </si>
  <si>
    <t>1102.33亿</t>
  </si>
  <si>
    <t>718.87亿</t>
  </si>
  <si>
    <t>528.37亿</t>
  </si>
  <si>
    <t>333.29亿</t>
  </si>
  <si>
    <t>1.28亿</t>
  </si>
  <si>
    <t>137.84亿</t>
  </si>
  <si>
    <t>171.01亿</t>
  </si>
  <si>
    <t>6745761000亿</t>
  </si>
  <si>
    <t>48.21亿</t>
  </si>
  <si>
    <t>3.65亿</t>
  </si>
  <si>
    <t>34.05亿</t>
  </si>
  <si>
    <t>22.95亿</t>
  </si>
  <si>
    <t>3.35亿</t>
  </si>
  <si>
    <t>1672.99万</t>
  </si>
  <si>
    <t>2626903400亿</t>
  </si>
  <si>
    <t>6.75亿</t>
  </si>
  <si>
    <t>1010318350亿</t>
  </si>
  <si>
    <t>2672583100亿</t>
  </si>
  <si>
    <t>9.12亿</t>
  </si>
  <si>
    <t>53.38万</t>
  </si>
  <si>
    <t>31.86亿</t>
  </si>
  <si>
    <t>3489.90万</t>
  </si>
  <si>
    <t>57.17亿</t>
  </si>
  <si>
    <t>-26.68亿</t>
  </si>
  <si>
    <t>-32.59亿</t>
  </si>
  <si>
    <t>41.44亿</t>
  </si>
  <si>
    <t>60.70亿</t>
  </si>
  <si>
    <t>47.81亿</t>
  </si>
  <si>
    <t>15.23亿</t>
  </si>
  <si>
    <t>2.43亿</t>
  </si>
  <si>
    <t>-26.56亿</t>
  </si>
  <si>
    <t>10.78亿</t>
  </si>
  <si>
    <t>6.01亿</t>
  </si>
  <si>
    <t>3.67亿</t>
  </si>
  <si>
    <t>-1.81亿</t>
  </si>
  <si>
    <t>42.69亿</t>
  </si>
  <si>
    <t>21.10亿</t>
  </si>
  <si>
    <t>16.14亿</t>
  </si>
  <si>
    <t>5.02亿</t>
  </si>
  <si>
    <t>3.03亿</t>
  </si>
  <si>
    <t>35.71亿</t>
  </si>
  <si>
    <t>84.98亿</t>
  </si>
  <si>
    <t>2384881000亿</t>
  </si>
  <si>
    <t>26.17亿</t>
  </si>
  <si>
    <t>10.86亿</t>
  </si>
  <si>
    <t>10.75亿</t>
  </si>
  <si>
    <t>1506.81万</t>
  </si>
  <si>
    <t>22238855亿</t>
  </si>
  <si>
    <t>70.97万</t>
  </si>
  <si>
    <t>732039330亿</t>
  </si>
  <si>
    <t>31.95亿</t>
  </si>
  <si>
    <t>746703240亿</t>
  </si>
  <si>
    <t>200.00万</t>
  </si>
  <si>
    <t>4896405500亿</t>
  </si>
  <si>
    <t>11.61亿</t>
  </si>
  <si>
    <t>8000.00万</t>
  </si>
  <si>
    <t>12.52亿</t>
  </si>
  <si>
    <t>21.86亿</t>
  </si>
  <si>
    <t>8.52亿</t>
  </si>
  <si>
    <t>11.25亿</t>
  </si>
  <si>
    <t>-3.31亿</t>
  </si>
  <si>
    <t>21.12亿</t>
  </si>
  <si>
    <t>22.96亿</t>
  </si>
  <si>
    <t>16.32亿</t>
  </si>
  <si>
    <t>10.16亿</t>
  </si>
  <si>
    <t>9.15亿</t>
  </si>
  <si>
    <t>3.59亿</t>
  </si>
  <si>
    <t>4.22亿</t>
  </si>
  <si>
    <t>2.64亿</t>
  </si>
  <si>
    <t>2.03亿</t>
  </si>
  <si>
    <t>16.99亿</t>
  </si>
  <si>
    <t>9.08亿</t>
  </si>
  <si>
    <t>8.04亿</t>
  </si>
  <si>
    <t>10派5.5元(含税)</t>
  </si>
  <si>
    <t>61.25亿</t>
  </si>
  <si>
    <t>50.98亿</t>
  </si>
  <si>
    <t>1839197700亿</t>
  </si>
  <si>
    <t>19.78亿</t>
  </si>
  <si>
    <t>3.05亿</t>
  </si>
  <si>
    <t>15.11亿</t>
  </si>
  <si>
    <t>11.93亿</t>
  </si>
  <si>
    <t>393.02万</t>
  </si>
  <si>
    <t>4148.29万</t>
  </si>
  <si>
    <t>54.80万</t>
  </si>
  <si>
    <t>441929130亿</t>
  </si>
  <si>
    <t>14.54亿</t>
  </si>
  <si>
    <t>1291944000亿</t>
  </si>
  <si>
    <t>3482225300亿</t>
  </si>
  <si>
    <t>29.89亿</t>
  </si>
  <si>
    <t>9176.46万</t>
  </si>
  <si>
    <t>8.78亿</t>
  </si>
  <si>
    <t>17.19亿</t>
  </si>
  <si>
    <t>30.11亿</t>
  </si>
  <si>
    <t>20.38亿</t>
  </si>
  <si>
    <t>-2.77亿</t>
  </si>
  <si>
    <t>-2.31亿</t>
  </si>
  <si>
    <t>14.41亿</t>
  </si>
  <si>
    <t>18.87亿</t>
  </si>
  <si>
    <t>23.33亿</t>
  </si>
  <si>
    <t>19.04亿</t>
  </si>
  <si>
    <t>5.57亿</t>
  </si>
  <si>
    <t>4.89亿</t>
  </si>
  <si>
    <t>3.84亿</t>
  </si>
  <si>
    <t>13.94亿</t>
  </si>
  <si>
    <t>8.83亿</t>
  </si>
  <si>
    <t>3.66亿</t>
  </si>
  <si>
    <t>3.04亿</t>
  </si>
  <si>
    <t>91.89亿</t>
  </si>
  <si>
    <t>50.81亿</t>
  </si>
  <si>
    <t>2105170400亿</t>
  </si>
  <si>
    <t>24.53亿</t>
  </si>
  <si>
    <t>-9.43亿</t>
  </si>
  <si>
    <t>16.19亿</t>
  </si>
  <si>
    <t>6.45亿</t>
  </si>
  <si>
    <t>1662.23万</t>
  </si>
  <si>
    <t>33.12万</t>
  </si>
  <si>
    <t>222636720亿</t>
  </si>
  <si>
    <t>1046775700亿</t>
  </si>
  <si>
    <t>1.31亿</t>
  </si>
  <si>
    <t>22.35亿</t>
  </si>
  <si>
    <t>7671.98万</t>
  </si>
  <si>
    <t>54.63万</t>
  </si>
  <si>
    <t>44.83亿</t>
  </si>
  <si>
    <t>11.07亿</t>
  </si>
  <si>
    <t>6.37亿</t>
  </si>
  <si>
    <t>-1.22亿</t>
  </si>
  <si>
    <t>-1.98亿</t>
  </si>
  <si>
    <t>16.22亿</t>
  </si>
  <si>
    <t>27.84亿</t>
  </si>
  <si>
    <t>33.26亿</t>
  </si>
  <si>
    <t>28.51亿</t>
  </si>
  <si>
    <t>12.06亿</t>
  </si>
  <si>
    <t>5599.92万</t>
  </si>
  <si>
    <t>6962.51万</t>
  </si>
  <si>
    <t>-2.26亿</t>
  </si>
  <si>
    <t>4310.75万</t>
  </si>
  <si>
    <t>13.35亿</t>
  </si>
  <si>
    <t>17.80亿</t>
  </si>
  <si>
    <t>11.56亿</t>
  </si>
  <si>
    <t>1.24亿</t>
  </si>
  <si>
    <t>5678.30万</t>
  </si>
  <si>
    <t>32.80亿</t>
  </si>
  <si>
    <t>46.30亿</t>
  </si>
  <si>
    <t>1503893100亿</t>
  </si>
  <si>
    <t>18.24亿</t>
  </si>
  <si>
    <t>6441.27万</t>
  </si>
  <si>
    <t>12.85亿</t>
  </si>
  <si>
    <t>10.76亿</t>
  </si>
  <si>
    <t>3112.60万</t>
  </si>
  <si>
    <t>7322.29万</t>
  </si>
  <si>
    <t>630.71万</t>
  </si>
  <si>
    <t>2146566亿</t>
  </si>
  <si>
    <t>90.82万</t>
  </si>
  <si>
    <t>94219710亿</t>
  </si>
  <si>
    <t>109823435亿</t>
  </si>
  <si>
    <t>1535507000亿</t>
  </si>
  <si>
    <t>9.70亿</t>
  </si>
  <si>
    <t>1.77亿</t>
  </si>
  <si>
    <t>5142.22万</t>
  </si>
  <si>
    <t>6.90万</t>
  </si>
  <si>
    <t>11.43亿</t>
  </si>
  <si>
    <t>4.92亿</t>
  </si>
  <si>
    <t>-10.88亿</t>
  </si>
  <si>
    <t>-3.12亿</t>
  </si>
  <si>
    <t>15.26亿</t>
  </si>
  <si>
    <t>15.31亿</t>
  </si>
  <si>
    <t>3.21亿</t>
  </si>
  <si>
    <t>7375.02万</t>
  </si>
  <si>
    <t>561.28万</t>
  </si>
  <si>
    <t>581.44万</t>
  </si>
  <si>
    <t>1476.46万</t>
  </si>
  <si>
    <t>12.76亿</t>
  </si>
  <si>
    <t>8.92亿</t>
  </si>
  <si>
    <t>6347.43万</t>
  </si>
  <si>
    <t>7213.67万</t>
  </si>
  <si>
    <t>5423.62万</t>
  </si>
  <si>
    <t>1.73亿</t>
  </si>
  <si>
    <t>2.23亿</t>
  </si>
  <si>
    <t>3.24亿</t>
  </si>
  <si>
    <t>1.34亿</t>
  </si>
  <si>
    <t>2.41亿</t>
  </si>
  <si>
    <t>2.25亿</t>
  </si>
  <si>
    <t>5.25亿</t>
  </si>
  <si>
    <t>2.69亿</t>
  </si>
  <si>
    <t>5.34亿</t>
  </si>
  <si>
    <t>2.63亿</t>
  </si>
  <si>
    <t>2.76亿</t>
  </si>
  <si>
    <t>1.05亿</t>
  </si>
  <si>
    <t>4.28亿</t>
  </si>
  <si>
    <t>SH601857</t>
  </si>
  <si>
    <t>中国石油</t>
  </si>
  <si>
    <t>1.66亿</t>
  </si>
  <si>
    <t>石油加工贸易</t>
  </si>
  <si>
    <t>SH600028</t>
  </si>
  <si>
    <t>中国石化</t>
  </si>
  <si>
    <t>SZ002493</t>
  </si>
  <si>
    <t>荣盛石化</t>
  </si>
  <si>
    <t>2147.08万</t>
  </si>
  <si>
    <t>SH600346</t>
  </si>
  <si>
    <t>恒力石化</t>
  </si>
  <si>
    <t>1104.94万</t>
  </si>
  <si>
    <t>SH600688</t>
  </si>
  <si>
    <t>上海石化</t>
  </si>
  <si>
    <t>2155.19万</t>
  </si>
  <si>
    <t>SZ002408</t>
  </si>
  <si>
    <t>齐翔腾达</t>
  </si>
  <si>
    <t>1163.49万</t>
  </si>
  <si>
    <t>SZ002221</t>
  </si>
  <si>
    <t>东华能源</t>
  </si>
  <si>
    <t>1328.96万</t>
  </si>
  <si>
    <t>SZ000059</t>
  </si>
  <si>
    <t>华锦股份</t>
  </si>
  <si>
    <t>2557.23万</t>
  </si>
  <si>
    <t>SZ000819</t>
  </si>
  <si>
    <t>岳阳兴长</t>
  </si>
  <si>
    <t>319.00万</t>
  </si>
  <si>
    <t>SZ300055</t>
  </si>
  <si>
    <t>万邦达</t>
  </si>
  <si>
    <t>255.70万</t>
  </si>
  <si>
    <t>SZ002986</t>
  </si>
  <si>
    <t>宇新股份</t>
  </si>
  <si>
    <t>117.00万</t>
  </si>
  <si>
    <t>SH600800</t>
  </si>
  <si>
    <t>渤海化学</t>
  </si>
  <si>
    <t>456.34万</t>
  </si>
  <si>
    <t>SZ000698</t>
  </si>
  <si>
    <t>沈阳化工</t>
  </si>
  <si>
    <t>1607.07万</t>
  </si>
  <si>
    <t>SZ002476</t>
  </si>
  <si>
    <t>宝莫股份</t>
  </si>
  <si>
    <t>745.10万</t>
  </si>
  <si>
    <t>SZ300839</t>
  </si>
  <si>
    <t>博汇股份</t>
  </si>
  <si>
    <t>189.79万</t>
  </si>
  <si>
    <t>SZ300135</t>
  </si>
  <si>
    <t>宝利国际</t>
  </si>
  <si>
    <t>SZ000637</t>
  </si>
  <si>
    <t>茂化实华</t>
  </si>
  <si>
    <t>1682.96万</t>
  </si>
  <si>
    <t>SZ000985</t>
  </si>
  <si>
    <t>大庆华科</t>
  </si>
  <si>
    <t>193.59万</t>
  </si>
  <si>
    <t>SH600506</t>
  </si>
  <si>
    <t>香梨股份</t>
  </si>
  <si>
    <t>329.02万</t>
  </si>
  <si>
    <t>SH603798</t>
  </si>
  <si>
    <t>康普顿</t>
  </si>
  <si>
    <t>200.79万</t>
  </si>
  <si>
    <t>SH603223</t>
  </si>
  <si>
    <t>恒通股份</t>
  </si>
  <si>
    <t>79.10万</t>
  </si>
  <si>
    <t>SZ000096</t>
  </si>
  <si>
    <t>广聚能源</t>
  </si>
  <si>
    <t>142.65万</t>
  </si>
  <si>
    <t>SH600387</t>
  </si>
  <si>
    <t>海越能源</t>
  </si>
  <si>
    <t>1046.14万</t>
  </si>
  <si>
    <t>SH603353</t>
  </si>
  <si>
    <t>和顺石油</t>
  </si>
  <si>
    <t>121.21万</t>
  </si>
  <si>
    <t>SZ001316</t>
  </si>
  <si>
    <t>润贝航科</t>
  </si>
  <si>
    <t>132.92万</t>
  </si>
  <si>
    <t>SZ000554</t>
  </si>
  <si>
    <t>泰山石油</t>
  </si>
  <si>
    <t>1233.01万</t>
  </si>
  <si>
    <t>SH601808</t>
  </si>
  <si>
    <t>中海油服</t>
  </si>
  <si>
    <t>1042.13万</t>
  </si>
  <si>
    <t>SH600871</t>
  </si>
  <si>
    <t>石化油服</t>
  </si>
  <si>
    <t>6684.18万</t>
  </si>
  <si>
    <t>SH600968</t>
  </si>
  <si>
    <t>海油发展</t>
  </si>
  <si>
    <t>3092.16万</t>
  </si>
  <si>
    <t>SH600583</t>
  </si>
  <si>
    <t>海油工程</t>
  </si>
  <si>
    <t>3703.95万</t>
  </si>
  <si>
    <t>SH600339</t>
  </si>
  <si>
    <t>中油工程</t>
  </si>
  <si>
    <t>3982.40万</t>
  </si>
  <si>
    <t>SH603619</t>
  </si>
  <si>
    <t>中曼石油</t>
  </si>
  <si>
    <t>1000.44万</t>
  </si>
  <si>
    <t>SZ300191</t>
  </si>
  <si>
    <t>潜能恒信</t>
  </si>
  <si>
    <t>280.19万</t>
  </si>
  <si>
    <t>SZ002554</t>
  </si>
  <si>
    <t>惠博普</t>
  </si>
  <si>
    <t>4217.45万</t>
  </si>
  <si>
    <t>SH603727</t>
  </si>
  <si>
    <t>博迈科</t>
  </si>
  <si>
    <t>641.70万</t>
  </si>
  <si>
    <t>SZ300157</t>
  </si>
  <si>
    <t>恒泰艾普</t>
  </si>
  <si>
    <t>732.69万</t>
  </si>
  <si>
    <t>SZ300164</t>
  </si>
  <si>
    <t>通源石油</t>
  </si>
  <si>
    <t>887.74万</t>
  </si>
  <si>
    <t>SZ002207</t>
  </si>
  <si>
    <t>准油股份</t>
  </si>
  <si>
    <t>759.18万</t>
  </si>
  <si>
    <t>SZ002629</t>
  </si>
  <si>
    <t>仁智股份</t>
  </si>
  <si>
    <t>1849.60万</t>
  </si>
  <si>
    <t>SZ002828</t>
  </si>
  <si>
    <t>贝肯能源</t>
  </si>
  <si>
    <t>705.88万</t>
  </si>
  <si>
    <t>https://xueqiu.com/9508834377/203550705</t>
    <phoneticPr fontId="1" type="noConversion"/>
  </si>
  <si>
    <t>12806.07亿</t>
  </si>
  <si>
    <t>15129.76亿</t>
  </si>
  <si>
    <t>2455401000000亿</t>
  </si>
  <si>
    <t>26143.49亿</t>
  </si>
  <si>
    <t>921.61亿</t>
  </si>
  <si>
    <t>22668.79亿</t>
  </si>
  <si>
    <t>19367.95亿</t>
  </si>
  <si>
    <t>497.36亿</t>
  </si>
  <si>
    <t>374.61亿</t>
  </si>
  <si>
    <t>91.42亿</t>
  </si>
  <si>
    <t>-10452000000亿</t>
  </si>
  <si>
    <t>17.33亿</t>
  </si>
  <si>
    <t>129607000000亿</t>
  </si>
  <si>
    <t>2647.28亿</t>
  </si>
  <si>
    <t>98557000000亿</t>
  </si>
  <si>
    <t>769989000000亿</t>
  </si>
  <si>
    <t>2474.70亿</t>
  </si>
  <si>
    <t>534.65亿</t>
  </si>
  <si>
    <t>171.55亿</t>
  </si>
  <si>
    <t>2800.53亿</t>
  </si>
  <si>
    <t>7539.73亿</t>
  </si>
  <si>
    <t>1865.62亿</t>
  </si>
  <si>
    <t>3135.48亿</t>
  </si>
  <si>
    <t>-1424.04亿</t>
  </si>
  <si>
    <t>-814.15亿</t>
  </si>
  <si>
    <t>19338.36亿</t>
  </si>
  <si>
    <t>25168.10亿</t>
  </si>
  <si>
    <t>23749.34亿</t>
  </si>
  <si>
    <t>20158.90亿</t>
  </si>
  <si>
    <t>16169.03亿</t>
  </si>
  <si>
    <t>190.02亿</t>
  </si>
  <si>
    <t>456.77亿</t>
  </si>
  <si>
    <t>530.30亿</t>
  </si>
  <si>
    <t>227.93亿</t>
  </si>
  <si>
    <t>79.00亿</t>
  </si>
  <si>
    <t>16146.21亿</t>
  </si>
  <si>
    <t>18803.41亿</t>
  </si>
  <si>
    <t>11965.81亿</t>
  </si>
  <si>
    <t>823.88亿</t>
  </si>
  <si>
    <t>751.22亿</t>
  </si>
  <si>
    <t>530.36亿</t>
  </si>
  <si>
    <t>10派0.9622元(含税)</t>
  </si>
  <si>
    <t>石油加工</t>
  </si>
  <si>
    <t>24.91亿</t>
  </si>
  <si>
    <t>公司1999年11月5日成立，是我国油气行业占主导地位的最大的油气生产和销售商，是我国销售收入最大的公司之一，也是世界最大的石油公司之一。公司致力于发展成为具有较强竞争力的国际能源公司，成为全球石油石化产品重要的生产和销售商之一。
市值9498.7887亿, 利润921.61亿; PE6.92, PB.707; ROIC5.3267%; ROE4.2333%; 股利率1.8539%; 毛利20.7367%; 净利3.3567%; 上一年度营收增35.19%, 利润增385.01%; 当季营收增22.96%, 利润增71.5%; 过往5年营收增12.1%, 利润增126.78%
Income profile:
销售 1.34万亿 83.13% 15.08% 3.95%
炼油与化工 5807.80亿 35.97% 36.09% 21.82%
勘探与生产 4391.08亿 27.20% 40.40% 32.31%
天然气销售 2503.58亿 15.51% 3.51% 4.93%</t>
  </si>
  <si>
    <t>11249.82亿</t>
  </si>
  <si>
    <t>9255.37亿</t>
  </si>
  <si>
    <t>2453322000000亿</t>
  </si>
  <si>
    <t>27408.84亿</t>
  </si>
  <si>
    <t>712.08亿</t>
  </si>
  <si>
    <t>23741.59亿</t>
  </si>
  <si>
    <t>20666.25亿</t>
  </si>
  <si>
    <t>427.84亿</t>
  </si>
  <si>
    <t>396.22亿</t>
  </si>
  <si>
    <t>63.10亿</t>
  </si>
  <si>
    <t>-6011000000亿</t>
  </si>
  <si>
    <t>16.77亿</t>
  </si>
  <si>
    <t>55452000000亿</t>
  </si>
  <si>
    <t>2167.28亿</t>
  </si>
  <si>
    <t>65796000000亿</t>
  </si>
  <si>
    <t>677395000000亿</t>
  </si>
  <si>
    <t>1799.90亿</t>
  </si>
  <si>
    <t>246.10亿</t>
  </si>
  <si>
    <t>100.96亿</t>
  </si>
  <si>
    <t>2336.80亿</t>
  </si>
  <si>
    <t>7848.93亿</t>
  </si>
  <si>
    <t>818.73亿</t>
  </si>
  <si>
    <t>592.44亿</t>
  </si>
  <si>
    <t>-699.11亿</t>
  </si>
  <si>
    <t>238.77亿</t>
  </si>
  <si>
    <t>21047.24亿</t>
  </si>
  <si>
    <t>29597.99亿</t>
  </si>
  <si>
    <t>28911.79亿</t>
  </si>
  <si>
    <t>23601.93亿</t>
  </si>
  <si>
    <t>19309.11亿</t>
  </si>
  <si>
    <t>332.71亿</t>
  </si>
  <si>
    <t>576.19亿</t>
  </si>
  <si>
    <t>630.89亿</t>
  </si>
  <si>
    <t>511.19亿</t>
  </si>
  <si>
    <t>464.16亿</t>
  </si>
  <si>
    <t>16121.26亿</t>
  </si>
  <si>
    <t>20016.91亿</t>
  </si>
  <si>
    <t>12607.73亿</t>
  </si>
  <si>
    <t>435.30亿</t>
  </si>
  <si>
    <t>600.29亿</t>
  </si>
  <si>
    <t>394.26亿</t>
  </si>
  <si>
    <t>10派3.1元(含税)</t>
  </si>
  <si>
    <t>25.44亿</t>
  </si>
  <si>
    <t>公司的主营业务为石油及天然气和化工业务。石油及天然气业务包括勘探、开发及生产原油及天然气；管输原油、天然气；将原油提炼为石油制成品；以及营销原油、天然气和成品油。
市值5443.2969亿, 利润712.08亿; PE8.02, PB.704; ROIC6.5533%; ROE7.23%; 股利率6.8282%; 毛利17.79%; 净利2.4933%; 上一年度营收增30.23%, 利润增114.02%; 当季营收增13.53%, 利润增-36.27%; 过往5年营收增9.69%, 利润增19.33%
Income profile:
本部及其他 9122.72亿 56.59% 9.85% 3.04%
营销及分销 7919.93亿 49.13% 17.68% 6.28%
炼油 7756.36亿 48.11% 54.27% 19.68%
化工 2782.10亿 17.26% 3.60% 3.64%
勘探及开发 1581.68亿 9.81% 18.59% 33.06%</t>
  </si>
  <si>
    <t>2500.05亿</t>
  </si>
  <si>
    <t>1005.85亿</t>
  </si>
  <si>
    <t>225118230000亿</t>
  </si>
  <si>
    <t>1770.24亿</t>
  </si>
  <si>
    <t>128.24亿</t>
  </si>
  <si>
    <t>2131.92亿</t>
  </si>
  <si>
    <t>1933.13亿</t>
  </si>
  <si>
    <t>1.40亿</t>
  </si>
  <si>
    <t>5.92亿</t>
  </si>
  <si>
    <t>20.11亿</t>
  </si>
  <si>
    <t>460688810亿</t>
  </si>
  <si>
    <t>505.39万</t>
  </si>
  <si>
    <t>5404329700亿</t>
  </si>
  <si>
    <t>197.28亿</t>
  </si>
  <si>
    <t>4269470700亿</t>
  </si>
  <si>
    <t>88706567000亿</t>
  </si>
  <si>
    <t>420.75亿</t>
  </si>
  <si>
    <t>357.20亿</t>
  </si>
  <si>
    <t>36.89亿</t>
  </si>
  <si>
    <t>591.24亿</t>
  </si>
  <si>
    <t>1350.27亿</t>
  </si>
  <si>
    <t>1095.49亿</t>
  </si>
  <si>
    <t>326.79亿</t>
  </si>
  <si>
    <t>-229.80亿</t>
  </si>
  <si>
    <t>-68.28亿</t>
  </si>
  <si>
    <t>1072.65亿</t>
  </si>
  <si>
    <t>825.00亿</t>
  </si>
  <si>
    <t>914.25亿</t>
  </si>
  <si>
    <t>720.39亿</t>
  </si>
  <si>
    <t>455.01亿</t>
  </si>
  <si>
    <t>73.09亿</t>
  </si>
  <si>
    <t>22.07亿</t>
  </si>
  <si>
    <t>16.08亿</t>
  </si>
  <si>
    <t>20.17亿</t>
  </si>
  <si>
    <t>19.21亿</t>
  </si>
  <si>
    <t>1476.28亿</t>
  </si>
  <si>
    <t>1293.57亿</t>
  </si>
  <si>
    <t>844.16亿</t>
  </si>
  <si>
    <t>53.67亿</t>
  </si>
  <si>
    <t>101.22亿</t>
  </si>
  <si>
    <t>65.66亿</t>
  </si>
  <si>
    <t>6.93亿</t>
  </si>
  <si>
    <t>公司主要从事各类石化及化纤产品的研发、生产和销售。主要包括烯烃及其下游、芳烃及其下游、汽油、柴油、煤油、精对苯二甲酸（PTA）、聚酯（PET）切片、聚酯（PET）瓶片、涤纶预取向丝（POY）、涤纶全牵引丝（FDY）和涤纶加弹丝（DTY）等三十多类产品。
市值1287.96678亿, 利润128.24亿; PE15.8, PB2.6; ROIC7.6533%; ROE22.1567%; 股利率1.1792%; 毛利14.4567%; 净利7.5333%; 上一年度营收增65.03%, 利润增75.45%; 当季营收增72.43%, 利润增-97.65%; 过往5年营收增34.1%, 利润增65.72%
Income profile:
化工产品 572.76亿 38.80% 41.65% 18.07%
炼油产品 466.68亿 31.61% 52.84% 28.14%
PTA 249.26亿 16.88% 2.03% 2.02%</t>
  </si>
  <si>
    <t>1897.87亿</t>
  </si>
  <si>
    <t>569.92亿</t>
  </si>
  <si>
    <t>170357170000亿</t>
  </si>
  <si>
    <t>1979.97亿</t>
  </si>
  <si>
    <t>155.31亿</t>
  </si>
  <si>
    <t>1639.28亿</t>
  </si>
  <si>
    <t>1530.14亿</t>
  </si>
  <si>
    <t>2.77亿</t>
  </si>
  <si>
    <t>14.05亿</t>
  </si>
  <si>
    <t>5.89亿</t>
  </si>
  <si>
    <t>23505481亿</t>
  </si>
  <si>
    <t>1945.68万</t>
  </si>
  <si>
    <t>4790816500亿</t>
  </si>
  <si>
    <t>337.94亿</t>
  </si>
  <si>
    <t>1186740220亿</t>
  </si>
  <si>
    <t>7328.81万</t>
  </si>
  <si>
    <t>88162714000亿</t>
  </si>
  <si>
    <t>225.26亿</t>
  </si>
  <si>
    <t>694.17亿</t>
  </si>
  <si>
    <t>158.81亿</t>
  </si>
  <si>
    <t>161.74亿</t>
  </si>
  <si>
    <t>1280.49亿</t>
  </si>
  <si>
    <t>565.52亿</t>
  </si>
  <si>
    <t>224.74亿</t>
  </si>
  <si>
    <t>-196.82亿</t>
  </si>
  <si>
    <t>94.38亿</t>
  </si>
  <si>
    <t>1523.73亿</t>
  </si>
  <si>
    <t>1007.82亿</t>
  </si>
  <si>
    <t>600.67亿</t>
  </si>
  <si>
    <t>474.81亿</t>
  </si>
  <si>
    <t>192.40亿</t>
  </si>
  <si>
    <t>134.62亿</t>
  </si>
  <si>
    <t>100.25亿</t>
  </si>
  <si>
    <t>11.80亿</t>
  </si>
  <si>
    <t>1191.55亿</t>
  </si>
  <si>
    <t>1514.89亿</t>
  </si>
  <si>
    <t>1045.74亿</t>
  </si>
  <si>
    <t>80.26亿</t>
  </si>
  <si>
    <t>127.12亿</t>
  </si>
  <si>
    <t>86.42亿</t>
  </si>
  <si>
    <t>10派10.1元(含税)</t>
  </si>
  <si>
    <t>7204.05万</t>
  </si>
  <si>
    <t>3.49亿</t>
  </si>
  <si>
    <t>公司主营业务囊括石油炼化、石化以及聚酯化纤全产业链上、中、下游业务领域涉及的PX、醋酸、PTA、聚酯切片、民用涤纶长丝、工业涤纶长丝、聚酯薄膜、工程塑料的生产、研发和销售。
市值1189.60786亿, 利润155.31亿; PE13.36, PB2.09; ROIC11.1333%; ROE31.4633%; 股利率5.9763%; 毛利17.7867%; 净利8.5433%; 上一年度营收增29.94%, 利润增15.37%; 当季营收增9.14%, 利润增-147.65%; 过往5年营收增64.44%, 利润增85.22%
Income profile:
石油化工分部 1071.27亿 89.91% 85.20% 13.35%
总部及其他业务分部 423.45亿 35.54% 4.81% 1.91%
聚酯纤维分部 156.07亿 13.10% 10.23% 11.00%</t>
  </si>
  <si>
    <t>173.01亿</t>
  </si>
  <si>
    <t>273.88亿</t>
  </si>
  <si>
    <t>57778561000亿</t>
  </si>
  <si>
    <t>892.80亿</t>
  </si>
  <si>
    <t>20.01亿</t>
  </si>
  <si>
    <t>597.46亿</t>
  </si>
  <si>
    <t>512.67亿</t>
  </si>
  <si>
    <t>2.11亿</t>
  </si>
  <si>
    <t>15.86亿</t>
  </si>
  <si>
    <t>3642.60万</t>
  </si>
  <si>
    <t>-185032000亿</t>
  </si>
  <si>
    <t>1513.50万</t>
  </si>
  <si>
    <t>-1931667000亿</t>
  </si>
  <si>
    <t>90.87亿</t>
  </si>
  <si>
    <t>1898544000亿</t>
  </si>
  <si>
    <t>20384304000亿</t>
  </si>
  <si>
    <t>20.60亿</t>
  </si>
  <si>
    <t>62.72亿</t>
  </si>
  <si>
    <t>164.34亿</t>
  </si>
  <si>
    <t>7.00亿</t>
  </si>
  <si>
    <t>-47.34亿</t>
  </si>
  <si>
    <t>37.90亿</t>
  </si>
  <si>
    <t>13.09亿</t>
  </si>
  <si>
    <t>747.05亿</t>
  </si>
  <si>
    <t>1003.46亿</t>
  </si>
  <si>
    <t>1077.65亿</t>
  </si>
  <si>
    <t>920.14亿</t>
  </si>
  <si>
    <t>778.94亿</t>
  </si>
  <si>
    <t>6.28亿</t>
  </si>
  <si>
    <t>22.14亿</t>
  </si>
  <si>
    <t>52.77亿</t>
  </si>
  <si>
    <t>61.42亿</t>
  </si>
  <si>
    <t>59.56亿</t>
  </si>
  <si>
    <t>459.00亿</t>
  </si>
  <si>
    <t>618.63亿</t>
  </si>
  <si>
    <t>371.37亿</t>
  </si>
  <si>
    <t>-4.36亿</t>
  </si>
  <si>
    <t>19.65亿</t>
  </si>
  <si>
    <t>10派1.0元(含税)</t>
  </si>
  <si>
    <t>9722.42万</t>
  </si>
  <si>
    <t>4.91亿</t>
  </si>
  <si>
    <t>公司主营业务是石油化工业务。公司主要产品有石油产品、中间石化产品、石油化工产品贸易、树脂及塑料、合成纤维。公司是中国主要的炼油化工一体化综合性石油化工企业之一，具有较强的整体规模实力，是中国重要的成品油、中间石化产品、合成树脂和合成纤维生产企业
市值351.77394亿, 利润20.01亿; PE, PB1.29; ROIC3.7933%; ROE5.3333%; 股利率3.0769%; 毛利17.3967%; 净利.7133%; 上一年度营收增19.51%, 利润增218.63%; 当季营收增-51.96%, 利润增-317.31%; 过往5年营收增4.46%, 利润增15.6%
Income profile:
石油产品 275.18亿 59.95% 100.46% 24.76%
石油化工产品贸易 69.56亿 15.15% 0.84% 0.82%
中间石化产品 64.33亿 14.01% 1.05% 1.11%</t>
  </si>
  <si>
    <t>140.41亿</t>
  </si>
  <si>
    <t>145.15亿</t>
  </si>
  <si>
    <t>23278381000亿</t>
  </si>
  <si>
    <t>348.92亿</t>
  </si>
  <si>
    <t>23.93亿</t>
  </si>
  <si>
    <t>221.23亿</t>
  </si>
  <si>
    <t>209.54亿</t>
  </si>
  <si>
    <t>8394.84万</t>
  </si>
  <si>
    <t>3.54亿</t>
  </si>
  <si>
    <t>3.18亿</t>
  </si>
  <si>
    <t>-5995187亿</t>
  </si>
  <si>
    <t>704.14万</t>
  </si>
  <si>
    <t>1024911370亿</t>
  </si>
  <si>
    <t>30.04亿</t>
  </si>
  <si>
    <t>2155466400亿</t>
  </si>
  <si>
    <t>16.59亿</t>
  </si>
  <si>
    <t>8870680900亿</t>
  </si>
  <si>
    <t>66.02亿</t>
  </si>
  <si>
    <t>51.83亿</t>
  </si>
  <si>
    <t>4.07亿</t>
  </si>
  <si>
    <t>21.32亿</t>
  </si>
  <si>
    <t>101.53亿</t>
  </si>
  <si>
    <t>27.65亿</t>
  </si>
  <si>
    <t>13.53亿</t>
  </si>
  <si>
    <t>-30.19亿</t>
  </si>
  <si>
    <t>246.86亿</t>
  </si>
  <si>
    <t>300.58亿</t>
  </si>
  <si>
    <t>279.24亿</t>
  </si>
  <si>
    <t>222.26亿</t>
  </si>
  <si>
    <t>58.75亿</t>
  </si>
  <si>
    <t>9.76亿</t>
  </si>
  <si>
    <t>6.20亿</t>
  </si>
  <si>
    <t>8.43亿</t>
  </si>
  <si>
    <t>8.50亿</t>
  </si>
  <si>
    <t>164.05亿</t>
  </si>
  <si>
    <t>257.56亿</t>
  </si>
  <si>
    <t>177.49亿</t>
  </si>
  <si>
    <t>9.01亿</t>
  </si>
  <si>
    <t>21.63亿</t>
  </si>
  <si>
    <t>14.69亿</t>
  </si>
  <si>
    <t>5099.72万</t>
  </si>
  <si>
    <t>3.02亿</t>
  </si>
  <si>
    <t xml:space="preserve">
市值202.40656亿, 利润23.93亿; PE15.82, PB1.47; ROIC9.3433%; ROE13.8267%; 股利率0%; 毛利8.6533%; 净利3.91%; 上一年度营收增41.34%, 利润增145.18%; 当季营收增-14.16%, 利润增-78.63%; 过往5年营收增67.01%, 利润增48.93%
Income profile:
</t>
  </si>
  <si>
    <t>272.71亿</t>
  </si>
  <si>
    <t>119.13亿</t>
  </si>
  <si>
    <t>22008718000亿</t>
  </si>
  <si>
    <t>263.67亿</t>
  </si>
  <si>
    <t>11.40亿</t>
  </si>
  <si>
    <t>218.73亿</t>
  </si>
  <si>
    <t>209.71亿</t>
  </si>
  <si>
    <t>7036.39万</t>
  </si>
  <si>
    <t>4257.79万</t>
  </si>
  <si>
    <t>6543186亿</t>
  </si>
  <si>
    <t>2338.75万</t>
  </si>
  <si>
    <t>124081266亿</t>
  </si>
  <si>
    <t>79.80亿</t>
  </si>
  <si>
    <t>3435874800亿</t>
  </si>
  <si>
    <t>12.68亿</t>
  </si>
  <si>
    <t>19103341000亿</t>
  </si>
  <si>
    <t>46.52亿</t>
  </si>
  <si>
    <t>129.30亿</t>
  </si>
  <si>
    <t>9.54亿</t>
  </si>
  <si>
    <t>136.16万</t>
  </si>
  <si>
    <t>174.07亿</t>
  </si>
  <si>
    <t>75.09亿</t>
  </si>
  <si>
    <t>-6.14亿</t>
  </si>
  <si>
    <t>-43.65亿</t>
  </si>
  <si>
    <t>22.66亿</t>
  </si>
  <si>
    <t>290.82亿</t>
  </si>
  <si>
    <t>461.88亿</t>
  </si>
  <si>
    <t>489.43亿</t>
  </si>
  <si>
    <t>326.78亿</t>
  </si>
  <si>
    <t>199.75亿</t>
  </si>
  <si>
    <t>11.04亿</t>
  </si>
  <si>
    <t>10.63亿</t>
  </si>
  <si>
    <t>4.70亿</t>
  </si>
  <si>
    <t>151.92亿</t>
  </si>
  <si>
    <t>214.55亿</t>
  </si>
  <si>
    <t>142.59亿</t>
  </si>
  <si>
    <t>10.21亿</t>
  </si>
  <si>
    <t>7.52亿</t>
  </si>
  <si>
    <t>10派2.17元(含税)</t>
  </si>
  <si>
    <t>8485.91万</t>
  </si>
  <si>
    <t>2.85亿</t>
  </si>
  <si>
    <t xml:space="preserve">
市值140.90582亿, 利润11.40亿; PE50.83, PB1.37; ROIC5.9633%; ROE11.8833%; 股利率2.4273%; 毛利6.18%; 净利2.5533%; 上一年度营收增-9.34%, 利润增-5.79%; 当季营收增-5.27%, 利润增-95.34%; 过往5年营收增12.27%, 利润增26.76%
Income profile:
</t>
  </si>
  <si>
    <t>159.60亿</t>
  </si>
  <si>
    <t>150.80亿</t>
  </si>
  <si>
    <t>35537158000亿</t>
  </si>
  <si>
    <t>385.52亿</t>
  </si>
  <si>
    <t>8.94亿</t>
  </si>
  <si>
    <t>347.38亿</t>
  </si>
  <si>
    <t>289.42亿</t>
  </si>
  <si>
    <t>2.55亿</t>
  </si>
  <si>
    <t>11.51亿</t>
  </si>
  <si>
    <t>5497.64万</t>
  </si>
  <si>
    <t>2294324亿</t>
  </si>
  <si>
    <t>3556.23万</t>
  </si>
  <si>
    <t>484757290亿</t>
  </si>
  <si>
    <t>52.31亿</t>
  </si>
  <si>
    <t>697953780亿</t>
  </si>
  <si>
    <t>5642.73万</t>
  </si>
  <si>
    <t>16790613000亿</t>
  </si>
  <si>
    <t>2.71亿</t>
  </si>
  <si>
    <t>10.00亿</t>
  </si>
  <si>
    <t>18.58亿</t>
  </si>
  <si>
    <t>149.33万</t>
  </si>
  <si>
    <t>98.10亿</t>
  </si>
  <si>
    <t>57.00亿</t>
  </si>
  <si>
    <t>-30.27亿</t>
  </si>
  <si>
    <t>-9277.82万</t>
  </si>
  <si>
    <t>-14.05亿</t>
  </si>
  <si>
    <t>304.37亿</t>
  </si>
  <si>
    <t>396.08亿</t>
  </si>
  <si>
    <t>370.36亿</t>
  </si>
  <si>
    <t>337.14亿</t>
  </si>
  <si>
    <t>291.04亿</t>
  </si>
  <si>
    <t>9.93亿</t>
  </si>
  <si>
    <t>11.44亿</t>
  </si>
  <si>
    <t>18.45亿</t>
  </si>
  <si>
    <t>18.03亿</t>
  </si>
  <si>
    <t>241.58亿</t>
  </si>
  <si>
    <t>248.77亿</t>
  </si>
  <si>
    <t>186.67亿</t>
  </si>
  <si>
    <t>5.01亿</t>
  </si>
  <si>
    <t>4.79亿</t>
  </si>
  <si>
    <t>6.70亿</t>
  </si>
  <si>
    <t>10派2.18元(含税)</t>
  </si>
  <si>
    <t xml:space="preserve">
市值114.200197亿, 利润8.94亿; PE12.31, PB.791; ROIC3.6067%; ROE5.39%; 股利率3.0532%; 毛利16.3233%; 净利1.9667%; 上一年度营收增26.66%, 利润增175.93%; 当季营收增83.24%, 利润增106.16%; 过往5年营收增7.23%, 利润增11.94%
Income profile:
</t>
  </si>
  <si>
    <t>10.44亿</t>
  </si>
  <si>
    <t>2364419200亿</t>
  </si>
  <si>
    <t>19.52亿</t>
  </si>
  <si>
    <t>6379.35万</t>
  </si>
  <si>
    <t>22.97亿</t>
  </si>
  <si>
    <t>21.81亿</t>
  </si>
  <si>
    <t>2117.62万</t>
  </si>
  <si>
    <t>6736.51万</t>
  </si>
  <si>
    <t>1044.57万</t>
  </si>
  <si>
    <t>3084709亿</t>
  </si>
  <si>
    <t>54.67万</t>
  </si>
  <si>
    <t>49677956亿</t>
  </si>
  <si>
    <t>31131024亿</t>
  </si>
  <si>
    <t>235.76万</t>
  </si>
  <si>
    <t>444981570亿</t>
  </si>
  <si>
    <t>950.00万</t>
  </si>
  <si>
    <t>6552.83万</t>
  </si>
  <si>
    <t>134.10万</t>
  </si>
  <si>
    <t>2.29亿</t>
  </si>
  <si>
    <t>7776.08万</t>
  </si>
  <si>
    <t>-1.44亿</t>
  </si>
  <si>
    <t>7121.95万</t>
  </si>
  <si>
    <t>14.56亿</t>
  </si>
  <si>
    <t>17.45亿</t>
  </si>
  <si>
    <t>15.88亿</t>
  </si>
  <si>
    <t>2714.17万</t>
  </si>
  <si>
    <t>6029.98万</t>
  </si>
  <si>
    <t>5207.36万</t>
  </si>
  <si>
    <t>-985.06万</t>
  </si>
  <si>
    <t>3033.76万</t>
  </si>
  <si>
    <t>15.61亿</t>
  </si>
  <si>
    <t>12.84亿</t>
  </si>
  <si>
    <t>3037.85万</t>
  </si>
  <si>
    <t>3074.44万</t>
  </si>
  <si>
    <t>1200.89万</t>
  </si>
  <si>
    <t>2863.06万</t>
  </si>
  <si>
    <t xml:space="preserve">
市值71.55758亿, 利润6379.35万; PE85.91, PB7.47; ROIC5.46%; ROE6.1467%; 股利率0%; 毛利9.3967%; 净利2.5533%; 上一年度营收增34.07%, 利润增135.04%; 当季营收增31.92%, 利润增6.01%; 过往5年营收增9.48%, 利润增118.4%
Income profile:
</t>
  </si>
  <si>
    <t>22.79亿</t>
  </si>
  <si>
    <t>52.95亿</t>
  </si>
  <si>
    <t>1899725600亿</t>
  </si>
  <si>
    <t>20.09亿</t>
  </si>
  <si>
    <t>2.12亿</t>
  </si>
  <si>
    <t>18.23亿</t>
  </si>
  <si>
    <t>16.62亿</t>
  </si>
  <si>
    <t>2851.69万</t>
  </si>
  <si>
    <t>6629.19万</t>
  </si>
  <si>
    <t>4089.39万</t>
  </si>
  <si>
    <t>7782029亿</t>
  </si>
  <si>
    <t>86.48万</t>
  </si>
  <si>
    <t>101033543亿</t>
  </si>
  <si>
    <t>12.25亿</t>
  </si>
  <si>
    <t>623549930亿</t>
  </si>
  <si>
    <t>3066961500亿</t>
  </si>
  <si>
    <t>5.40亿</t>
  </si>
  <si>
    <t>9.66亿</t>
  </si>
  <si>
    <t>3.01亿</t>
  </si>
  <si>
    <t>18.28亿</t>
  </si>
  <si>
    <t>3.10亿</t>
  </si>
  <si>
    <t>4.25亿</t>
  </si>
  <si>
    <t>-3.24亿</t>
  </si>
  <si>
    <t>-1.87亿</t>
  </si>
  <si>
    <t>13.24亿</t>
  </si>
  <si>
    <t>16.85亿</t>
  </si>
  <si>
    <t>-3.75亿</t>
  </si>
  <si>
    <t>7461.72万</t>
  </si>
  <si>
    <t>-9035.25万</t>
  </si>
  <si>
    <t>2.62亿</t>
  </si>
  <si>
    <t>12.13亿</t>
  </si>
  <si>
    <t>7.88亿</t>
  </si>
  <si>
    <t>5173.15万</t>
  </si>
  <si>
    <t>2.21亿</t>
  </si>
  <si>
    <t>1.64亿</t>
  </si>
  <si>
    <t>10派0.30元(含税)</t>
  </si>
  <si>
    <t>1173.20万</t>
  </si>
  <si>
    <t>8485.72万</t>
  </si>
  <si>
    <t xml:space="preserve">
市值70.02995亿, 利润2.12亿; PE75.12, PB1.4; ROIC-1.0533%; ROE-.4567%; 股利率.344%; 毛利24.55%; 净利-15.1333%; 上一年度营收增218.38%, 利润增156.53%; 当季营收增19.43%, 利润增-11.24%; 过往5年营收增28.76%, 利润增-75.43%
Income profile:
</t>
  </si>
  <si>
    <t>14.57亿</t>
  </si>
  <si>
    <t>24.52亿</t>
  </si>
  <si>
    <t>4732122100亿</t>
  </si>
  <si>
    <t>32.02亿</t>
  </si>
  <si>
    <t>1.41亿</t>
  </si>
  <si>
    <t>43.18亿</t>
  </si>
  <si>
    <t>41.12亿</t>
  </si>
  <si>
    <t>2211.91万</t>
  </si>
  <si>
    <t>5992.42万</t>
  </si>
  <si>
    <t>6514.87万</t>
  </si>
  <si>
    <t>-7716638亿</t>
  </si>
  <si>
    <t>36.98万</t>
  </si>
  <si>
    <t>342583550亿</t>
  </si>
  <si>
    <t>42176608亿</t>
  </si>
  <si>
    <t>1246904970亿</t>
  </si>
  <si>
    <t>7.08亿</t>
  </si>
  <si>
    <t>9008.41万</t>
  </si>
  <si>
    <t>4171.15万</t>
  </si>
  <si>
    <t>5.16亿</t>
  </si>
  <si>
    <t>9.61亿</t>
  </si>
  <si>
    <t>6.36亿</t>
  </si>
  <si>
    <t>-6.72亿</t>
  </si>
  <si>
    <t>3.64亿</t>
  </si>
  <si>
    <t>22.98亿</t>
  </si>
  <si>
    <t>31.61亿</t>
  </si>
  <si>
    <t>33.32亿</t>
  </si>
  <si>
    <t>27.79亿</t>
  </si>
  <si>
    <t>3286.07万</t>
  </si>
  <si>
    <t>1.47亿</t>
  </si>
  <si>
    <t>1.61亿</t>
  </si>
  <si>
    <t>29.72亿</t>
  </si>
  <si>
    <t>21.64亿</t>
  </si>
  <si>
    <t>13.33亿</t>
  </si>
  <si>
    <t>2.10亿</t>
  </si>
  <si>
    <t>1.09亿</t>
  </si>
  <si>
    <t>10转4股派1元(含税)</t>
  </si>
  <si>
    <t>567.30万</t>
  </si>
  <si>
    <t>3130.65万</t>
  </si>
  <si>
    <t xml:space="preserve">
市值50.877762亿, 利润1.41亿; PE14.82, PB2.1; ROIC9.4467%; ROE12.4133%; 股利率.4484%; 毛利11.7567%; 净利5.4633%; 上一年度营收增39.34%, 利润增329.08%; 当季营收增111.81%, 利润增422.25%; 过往5年营收增13.5%, 利润增58.32%
Income profile:
</t>
  </si>
  <si>
    <t>1.2018年借壳环球磁卡，主营业务的变化因此导致这一年营收暴增。2021年Q1的徒增因为疫情，而环比却没有什么变化。公司以生产丙烯为主</t>
    <phoneticPr fontId="1" type="noConversion"/>
  </si>
  <si>
    <t>18.49亿</t>
  </si>
  <si>
    <t>26.69亿</t>
  </si>
  <si>
    <t>3241223400亿</t>
  </si>
  <si>
    <t>42.47亿</t>
  </si>
  <si>
    <t>1.88亿</t>
  </si>
  <si>
    <t>35.49亿</t>
  </si>
  <si>
    <t>1137.00万</t>
  </si>
  <si>
    <t>5768.83万</t>
  </si>
  <si>
    <t>9142.13万</t>
  </si>
  <si>
    <t>-2096368亿</t>
  </si>
  <si>
    <t>58.51万</t>
  </si>
  <si>
    <t>-259891170亿</t>
  </si>
  <si>
    <t>53003289亿</t>
  </si>
  <si>
    <t>1923115700亿</t>
  </si>
  <si>
    <t>7220.38万</t>
  </si>
  <si>
    <t>9.02亿</t>
  </si>
  <si>
    <t>2669.80万</t>
  </si>
  <si>
    <t>16.21亿</t>
  </si>
  <si>
    <t>5.04亿</t>
  </si>
  <si>
    <t>-1.11亿</t>
  </si>
  <si>
    <t>-1.05亿</t>
  </si>
  <si>
    <t>27.35亿</t>
  </si>
  <si>
    <t>38.25亿</t>
  </si>
  <si>
    <t>1.42亿</t>
  </si>
  <si>
    <t>7248.29万</t>
  </si>
  <si>
    <t>-5952.19万</t>
  </si>
  <si>
    <t>1936.35万</t>
  </si>
  <si>
    <t>30.93亿</t>
  </si>
  <si>
    <t>18.75亿</t>
  </si>
  <si>
    <t>-1.82亿</t>
  </si>
  <si>
    <t>8714.67万</t>
  </si>
  <si>
    <t>1870.39万</t>
  </si>
  <si>
    <t xml:space="preserve">
市值43.992719亿, 利润1.88亿; PE, PB1.65; ROIC2.8267%; ROE-18.7433%; 股利率0%; 毛利10.0033%; 净利-26.3733%; 上一年度营收增55.28%, 利润增1.08%; 当季营收增-.39%, 利润增-418.97%; 过往5年营收增514.72%, 利润增-11.04%
Income profile:
</t>
  </si>
  <si>
    <t>47.02亿</t>
  </si>
  <si>
    <t>38.86亿</t>
  </si>
  <si>
    <t>4745175300亿</t>
  </si>
  <si>
    <t>101.32亿</t>
  </si>
  <si>
    <t>49.76亿</t>
  </si>
  <si>
    <t>46.06亿</t>
  </si>
  <si>
    <t>1609.21万</t>
  </si>
  <si>
    <t>293.78万</t>
  </si>
  <si>
    <t>-251973360亿</t>
  </si>
  <si>
    <t>112559943亿</t>
  </si>
  <si>
    <t>3880067100亿</t>
  </si>
  <si>
    <t>9.30亿</t>
  </si>
  <si>
    <t>15.95亿</t>
  </si>
  <si>
    <t>6.49亿</t>
  </si>
  <si>
    <t>2.93亿</t>
  </si>
  <si>
    <t>34.04亿</t>
  </si>
  <si>
    <t>1566.55万</t>
  </si>
  <si>
    <t>-4.95亿</t>
  </si>
  <si>
    <t>95.72亿</t>
  </si>
  <si>
    <t>110.20亿</t>
  </si>
  <si>
    <t>107.91亿</t>
  </si>
  <si>
    <t>119.08亿</t>
  </si>
  <si>
    <t>88.47亿</t>
  </si>
  <si>
    <t>3.57亿</t>
  </si>
  <si>
    <t>-7.46亿</t>
  </si>
  <si>
    <t>29.15亿</t>
  </si>
  <si>
    <t>80.16亿</t>
  </si>
  <si>
    <t>-1.68亿</t>
  </si>
  <si>
    <t>3.23亿</t>
  </si>
  <si>
    <t>3.76亿</t>
  </si>
  <si>
    <t>1.38亿</t>
  </si>
  <si>
    <t>22.36亿</t>
  </si>
  <si>
    <t>公司主要从事氯碱、石油、聚醚多元醇等化工产品的生产和销售。主要产品有烧碱、聚氯乙烯（PVC）糊树脂、丙烯酸及酯类、聚乙烯、丙烯、液体石蜡、液化气、聚醚多元醇等。
市值40.074254亿, 利润1.06亿; PE, PB1.03; ROIC1.37%; ROE-2.1167%; 股利率0%; 毛利6.7067%; 净利-2.9233%; 上一年度营收增5.85%, 利润增-70.31%; 当季营收增-35.4%, 利润增-41.83%; 过往5年营收增4.01%, 利润增-147.21%
Income profile:
聚醚 11.57亿 39.70% 98.54% 12.56%
糊树脂 7.18亿 24.62% -7.55% -1.55%
丙烯酸及脂 6.20亿 21.26% -106.62% -25.38%
烧碱 2.93亿 10.06% 115.63% 58.17%</t>
  </si>
  <si>
    <t>2.33亿</t>
  </si>
  <si>
    <t>8.74亿</t>
  </si>
  <si>
    <t>423002520亿</t>
  </si>
  <si>
    <t>6.57亿</t>
  </si>
  <si>
    <t>1794.81万</t>
  </si>
  <si>
    <t>3.92亿</t>
  </si>
  <si>
    <t>3.36亿</t>
  </si>
  <si>
    <t>1115.09万</t>
  </si>
  <si>
    <t>3019.10万</t>
  </si>
  <si>
    <t>1597.74万</t>
  </si>
  <si>
    <t>-793411亿</t>
  </si>
  <si>
    <t>204.45万</t>
  </si>
  <si>
    <t>27579365亿</t>
  </si>
  <si>
    <t>3.83亿</t>
  </si>
  <si>
    <t>68148556亿</t>
  </si>
  <si>
    <t>1410.50万</t>
  </si>
  <si>
    <t>814906320亿</t>
  </si>
  <si>
    <t>1346.40万</t>
  </si>
  <si>
    <t>1000.00万</t>
  </si>
  <si>
    <t>7219.16万</t>
  </si>
  <si>
    <t>3740.17万</t>
  </si>
  <si>
    <t>136.81万</t>
  </si>
  <si>
    <t>-4248.32万</t>
  </si>
  <si>
    <t>-4414.84万</t>
  </si>
  <si>
    <t>800.32万</t>
  </si>
  <si>
    <t>4.47亿</t>
  </si>
  <si>
    <t>4.17亿</t>
  </si>
  <si>
    <t>4.50亿</t>
  </si>
  <si>
    <t>4.10亿</t>
  </si>
  <si>
    <t>8.98亿</t>
  </si>
  <si>
    <t>1318.26万</t>
  </si>
  <si>
    <t>9124.59万</t>
  </si>
  <si>
    <t>-2.64亿</t>
  </si>
  <si>
    <t>827.04万</t>
  </si>
  <si>
    <t>1482.97万</t>
  </si>
  <si>
    <t>4.81亿</t>
  </si>
  <si>
    <t>1497.58万</t>
  </si>
  <si>
    <t>1565.12万</t>
  </si>
  <si>
    <t>823.07万</t>
  </si>
  <si>
    <t>3162.38万</t>
  </si>
  <si>
    <t xml:space="preserve">
市值34.4556亿, 利润1794.81万; PE102.1, PB3.94; ROIC3.74%; ROE5.2467%; 股利率0%; 毛利16.93%; 净利9.9367%; 上一年度营收增46.98%, 利润增36.15%; 当季营收增-44.04%, 利润增122.16%; 过往5年营收增.45%, 利润增-650.24%
Income profile:
</t>
  </si>
  <si>
    <t>14.08亿</t>
  </si>
  <si>
    <t>2637598800亿</t>
  </si>
  <si>
    <t>14.58亿</t>
  </si>
  <si>
    <t>4217.95万</t>
  </si>
  <si>
    <t>25.55亿</t>
  </si>
  <si>
    <t>24.24亿</t>
  </si>
  <si>
    <t>290.15万</t>
  </si>
  <si>
    <t>2849.36万</t>
  </si>
  <si>
    <t>2036.58万</t>
  </si>
  <si>
    <t>5650742亿</t>
  </si>
  <si>
    <t>176.72万</t>
  </si>
  <si>
    <t>77173428亿</t>
  </si>
  <si>
    <t>2.17亿</t>
  </si>
  <si>
    <t>984323亿</t>
  </si>
  <si>
    <t>1358258300亿</t>
  </si>
  <si>
    <t>1376.66万</t>
  </si>
  <si>
    <t>5.88亿</t>
  </si>
  <si>
    <t>7409.20万</t>
  </si>
  <si>
    <t>8.09亿</t>
  </si>
  <si>
    <t>-1128.51万</t>
  </si>
  <si>
    <t>-3.05亿</t>
  </si>
  <si>
    <t>4.51亿</t>
  </si>
  <si>
    <t>9.72亿</t>
  </si>
  <si>
    <t>5.82亿</t>
  </si>
  <si>
    <t>3.62亿</t>
  </si>
  <si>
    <t>5779.28万</t>
  </si>
  <si>
    <t>7573.16万</t>
  </si>
  <si>
    <t>8945.39万</t>
  </si>
  <si>
    <t>8350.32万</t>
  </si>
  <si>
    <t>6979.70万</t>
  </si>
  <si>
    <t>14.43亿</t>
  </si>
  <si>
    <t>10.85亿</t>
  </si>
  <si>
    <t>4250.08万</t>
  </si>
  <si>
    <t>-814.57万</t>
  </si>
  <si>
    <t>569.39万</t>
  </si>
  <si>
    <t>10转3股派0.8元(含税)</t>
  </si>
  <si>
    <t>873.58万</t>
  </si>
  <si>
    <t>6169.55万</t>
  </si>
  <si>
    <t xml:space="preserve">
市值32.462872亿, 利润4217.95万; PE24.14, PB3.5; ROIC6.81%; ROE10.8967%; 股利率.4331%; 毛利14.58%; 净利6.0167%; 上一年度营收增50%, 利润增-27.02%; 当季营收增166.06%, 利润增401.08%; 过往5年营收增41.61%, 利润增-7.86%
Income profile:
</t>
  </si>
  <si>
    <t>14.02亿</t>
  </si>
  <si>
    <t>11.66亿</t>
  </si>
  <si>
    <t>1415225500亿</t>
  </si>
  <si>
    <t>22.82亿</t>
  </si>
  <si>
    <t>-7351.98万</t>
  </si>
  <si>
    <t>13.81亿</t>
  </si>
  <si>
    <t>12.67亿</t>
  </si>
  <si>
    <t>959.49万</t>
  </si>
  <si>
    <t>4714.30万</t>
  </si>
  <si>
    <t>1041.26万</t>
  </si>
  <si>
    <t>-24283662亿</t>
  </si>
  <si>
    <t>2.08万</t>
  </si>
  <si>
    <t>22428543亿</t>
  </si>
  <si>
    <t>6.86亿</t>
  </si>
  <si>
    <t>455161250亿</t>
  </si>
  <si>
    <t>1820726900亿</t>
  </si>
  <si>
    <t>183.26万</t>
  </si>
  <si>
    <t>10.34亿</t>
  </si>
  <si>
    <t>1980.00万</t>
  </si>
  <si>
    <t>9688.34万</t>
  </si>
  <si>
    <t>68.53万</t>
  </si>
  <si>
    <t>13.43亿</t>
  </si>
  <si>
    <t>552.80万</t>
  </si>
  <si>
    <t>-3564.08万</t>
  </si>
  <si>
    <t>-6201.89万</t>
  </si>
  <si>
    <t>20.18亿</t>
  </si>
  <si>
    <t>24.30亿</t>
  </si>
  <si>
    <t>20.50亿</t>
  </si>
  <si>
    <t>18.00亿</t>
  </si>
  <si>
    <t>13.80亿</t>
  </si>
  <si>
    <t>394.88万</t>
  </si>
  <si>
    <t>3950.26万</t>
  </si>
  <si>
    <t>4147.76万</t>
  </si>
  <si>
    <t>3751.77万</t>
  </si>
  <si>
    <t>2724.11万</t>
  </si>
  <si>
    <t>6.65亿</t>
  </si>
  <si>
    <t>16.10亿</t>
  </si>
  <si>
    <t>10.11亿</t>
  </si>
  <si>
    <t>-1220.71万</t>
  </si>
  <si>
    <t>-942.09万</t>
  </si>
  <si>
    <t>174.75万</t>
  </si>
  <si>
    <t>7859.28万</t>
  </si>
  <si>
    <t xml:space="preserve">
市值28.84608亿, 利润-7351.98万; PE, PB2.44; ROIC1.2933%; ROE-.8567%; 股利率0%; 毛利11.1467%; 净利-.2367%; 上一年度营收增13.08%, 利润增-1961.83%; 当季营收增25.25%, 利润增290.73%; 过往5年营收增11.8%, 利润增-401.66%
Income profile:
</t>
  </si>
  <si>
    <t>17.77亿</t>
  </si>
  <si>
    <t>12.24亿</t>
  </si>
  <si>
    <t>5133052900亿</t>
  </si>
  <si>
    <t>55.72亿</t>
  </si>
  <si>
    <t>8205.84万</t>
  </si>
  <si>
    <t>50.76亿</t>
  </si>
  <si>
    <t>48.95亿</t>
  </si>
  <si>
    <t>3084.91万</t>
  </si>
  <si>
    <t>9693.84万</t>
  </si>
  <si>
    <t>2595.23万</t>
  </si>
  <si>
    <t>15398亿</t>
  </si>
  <si>
    <t>12.26万</t>
  </si>
  <si>
    <t>9779594亿</t>
  </si>
  <si>
    <t>153594260亿</t>
  </si>
  <si>
    <t>2536.13万</t>
  </si>
  <si>
    <t>1011648420亿</t>
  </si>
  <si>
    <t>2850.07万</t>
  </si>
  <si>
    <t>6.40亿</t>
  </si>
  <si>
    <t>1.04亿</t>
  </si>
  <si>
    <t>862.59万</t>
  </si>
  <si>
    <t>12.30亿</t>
  </si>
  <si>
    <t>-5.20亿</t>
  </si>
  <si>
    <t>-3403.00万</t>
  </si>
  <si>
    <t>39.98亿</t>
  </si>
  <si>
    <t>42.98亿</t>
  </si>
  <si>
    <t>43.20亿</t>
  </si>
  <si>
    <t>44.08亿</t>
  </si>
  <si>
    <t>29.60亿</t>
  </si>
  <si>
    <t>1455.06万</t>
  </si>
  <si>
    <t>9077.34万</t>
  </si>
  <si>
    <t>3725.10万</t>
  </si>
  <si>
    <t>9937.79万</t>
  </si>
  <si>
    <t>6140.64万</t>
  </si>
  <si>
    <t>38.23亿</t>
  </si>
  <si>
    <t>37.00亿</t>
  </si>
  <si>
    <t>21.41亿</t>
  </si>
  <si>
    <t>1270.75万</t>
  </si>
  <si>
    <t>3516.58万</t>
  </si>
  <si>
    <t>2479.30万</t>
  </si>
  <si>
    <t>13.70亿</t>
  </si>
  <si>
    <t xml:space="preserve">
市值27.085506亿, 利润8205.84万; PE52.55, PB2.6; ROIC5.1267%; ROE5.9433%; 股利率0%; 毛利5.25%; 净利1.0767%; 上一年度营收增39.37%, 利润增463.95%; 当季营收增-15.97%, 利润增-177.71%; 过往5年营收增15.76%, 利润增104.6%
Income profile:
</t>
  </si>
  <si>
    <t>1.70亿</t>
  </si>
  <si>
    <t>6.16亿</t>
  </si>
  <si>
    <t>2042605500亿</t>
  </si>
  <si>
    <t>20.73亿</t>
  </si>
  <si>
    <t>1284.28万</t>
  </si>
  <si>
    <t>19.34亿</t>
  </si>
  <si>
    <t>402.11万</t>
  </si>
  <si>
    <t>6572.27万</t>
  </si>
  <si>
    <t>726.25万</t>
  </si>
  <si>
    <t>106313亿</t>
  </si>
  <si>
    <t>3.03万</t>
  </si>
  <si>
    <t>19900969亿</t>
  </si>
  <si>
    <t>3.47亿</t>
  </si>
  <si>
    <t>6367553亿</t>
  </si>
  <si>
    <t>439956400亿</t>
  </si>
  <si>
    <t>2315.57万</t>
  </si>
  <si>
    <t>4493.52万</t>
  </si>
  <si>
    <t>9850.25万</t>
  </si>
  <si>
    <t>-375.60万</t>
  </si>
  <si>
    <t>-596.34万</t>
  </si>
  <si>
    <t>17.63亿</t>
  </si>
  <si>
    <t>21.56亿</t>
  </si>
  <si>
    <t>16.90亿</t>
  </si>
  <si>
    <t>15.30亿</t>
  </si>
  <si>
    <t>10.33亿</t>
  </si>
  <si>
    <t>1212.97万</t>
  </si>
  <si>
    <t>4472.76万</t>
  </si>
  <si>
    <t>-288.00万</t>
  </si>
  <si>
    <t>4815.51万</t>
  </si>
  <si>
    <t>3334.20万</t>
  </si>
  <si>
    <t>13.30亿</t>
  </si>
  <si>
    <t>15.39亿</t>
  </si>
  <si>
    <t>9.99亿</t>
  </si>
  <si>
    <t>902.63万</t>
  </si>
  <si>
    <t>1304.76万</t>
  </si>
  <si>
    <t>448.80万</t>
  </si>
  <si>
    <t>10派0.46元(含税)</t>
  </si>
  <si>
    <t>598.34万</t>
  </si>
  <si>
    <t>4311.50万</t>
  </si>
  <si>
    <t xml:space="preserve">
市值22.9073亿, 利润1284.28万; PE104, PB3.72; ROIC2.7667%; ROE4.1233%; 股利率.2603%; 毛利6.8%; 净利1.1467%; 上一年度营收增17.58%, 利润增5.88%; 当季营收增31.96%, 利润增54.21%; 过往5年营收增17.1%, 利润增304.9%
Income profile:
</t>
  </si>
  <si>
    <t>23.27亿</t>
  </si>
  <si>
    <t>1635834700亿</t>
  </si>
  <si>
    <t>-3593.34万</t>
  </si>
  <si>
    <t>17.30亿</t>
  </si>
  <si>
    <t>13.73亿</t>
  </si>
  <si>
    <t>1.52亿</t>
  </si>
  <si>
    <t>9257.18万</t>
  </si>
  <si>
    <t>1137.12万</t>
  </si>
  <si>
    <t>778871亿</t>
  </si>
  <si>
    <t>193.47万</t>
  </si>
  <si>
    <t>-93422768亿</t>
  </si>
  <si>
    <t>320821130亿</t>
  </si>
  <si>
    <t>4194.27万</t>
  </si>
  <si>
    <t>1000885180亿</t>
  </si>
  <si>
    <t>734.75万</t>
  </si>
  <si>
    <t>1.50亿</t>
  </si>
  <si>
    <t>1.93亿</t>
  </si>
  <si>
    <t>32.64万</t>
  </si>
  <si>
    <t>8.84亿</t>
  </si>
  <si>
    <t>6.85亿</t>
  </si>
  <si>
    <t>2861.54万</t>
  </si>
  <si>
    <t>-1.09亿</t>
  </si>
  <si>
    <t>7357.72万</t>
  </si>
  <si>
    <t>2202.94万</t>
  </si>
  <si>
    <t>4255.56万</t>
  </si>
  <si>
    <t>6531.85万</t>
  </si>
  <si>
    <t>6803.20万</t>
  </si>
  <si>
    <t>445.46万</t>
  </si>
  <si>
    <t>-772.44万</t>
  </si>
  <si>
    <t>452.78万</t>
  </si>
  <si>
    <t>507.70万</t>
  </si>
  <si>
    <t>-585.09万</t>
  </si>
  <si>
    <t>12.01亿</t>
  </si>
  <si>
    <t>8655.97万</t>
  </si>
  <si>
    <t>-4020.18万</t>
  </si>
  <si>
    <t>-720.32万</t>
  </si>
  <si>
    <t>-370.13万</t>
  </si>
  <si>
    <t>1249.92万</t>
  </si>
  <si>
    <t xml:space="preserve">
市值22.543023亿, 利润-3593.34万; PE, PB5.07; ROIC-1.4267%; ROE-4.9867%; 股利率0%; 毛利5.78%; 净利-11.55%; 上一年度营收增194.12%, 利润增-906.66%; 当季营收增1544.59%, 利润增-1311.1%; 过往5年营收增109.45%, 利润增-168.73%
Income profile:
</t>
  </si>
  <si>
    <t>11.22亿</t>
  </si>
  <si>
    <t>592352010亿</t>
  </si>
  <si>
    <t>11.08亿</t>
  </si>
  <si>
    <t>5.60亿</t>
  </si>
  <si>
    <t>4798.67万</t>
  </si>
  <si>
    <t>2870.38万</t>
  </si>
  <si>
    <t>1290.34万</t>
  </si>
  <si>
    <t>5594589亿</t>
  </si>
  <si>
    <t>84.41万</t>
  </si>
  <si>
    <t>32623382亿</t>
  </si>
  <si>
    <t>94469975亿</t>
  </si>
  <si>
    <t>4436.43万</t>
  </si>
  <si>
    <t>849259610亿</t>
  </si>
  <si>
    <t>3354.35万</t>
  </si>
  <si>
    <t>800.00万</t>
  </si>
  <si>
    <t>497.52万</t>
  </si>
  <si>
    <t>5874.76万</t>
  </si>
  <si>
    <t>1975.58万</t>
  </si>
  <si>
    <t>5482.51万</t>
  </si>
  <si>
    <t>-1694.88万</t>
  </si>
  <si>
    <t>9.20亿</t>
  </si>
  <si>
    <t>8.96亿</t>
  </si>
  <si>
    <t>8.21亿</t>
  </si>
  <si>
    <t>8466.69万</t>
  </si>
  <si>
    <t>7585.50万</t>
  </si>
  <si>
    <t>8.60亿</t>
  </si>
  <si>
    <t>6.92亿</t>
  </si>
  <si>
    <t>3079.27万</t>
  </si>
  <si>
    <t>9541.87万</t>
  </si>
  <si>
    <t>8083.05万</t>
  </si>
  <si>
    <t>10派1.66元(含税)</t>
  </si>
  <si>
    <t>954.83万</t>
  </si>
  <si>
    <t xml:space="preserve">
市值21.76亿, 利润1.06亿; PE44.43, PB1.99; ROIC8.7167%; ROE10.1833%; 股利率1.5257%; 毛利30.57%; 净利9.07%; 上一年度营收增20.43%, 利润增.95%; 当季营收增1.4%, 利润增-45.49%; 过往5年营收增6.69%, 利润增1.2%
Income profile:
</t>
  </si>
  <si>
    <t>36.95亿</t>
  </si>
  <si>
    <t>3665273600亿</t>
  </si>
  <si>
    <t>70.82亿</t>
  </si>
  <si>
    <t>9926.36万</t>
  </si>
  <si>
    <t>36.47亿</t>
  </si>
  <si>
    <t>35.66亿</t>
  </si>
  <si>
    <t>871.87万</t>
  </si>
  <si>
    <t>6439.63万</t>
  </si>
  <si>
    <t>17162762亿</t>
  </si>
  <si>
    <t>10.78万</t>
  </si>
  <si>
    <t>35365545亿</t>
  </si>
  <si>
    <t>26.88亿</t>
  </si>
  <si>
    <t>289189730亿</t>
  </si>
  <si>
    <t>104.52万</t>
  </si>
  <si>
    <t>3377922100亿</t>
  </si>
  <si>
    <t>1133.09万</t>
  </si>
  <si>
    <t>3.63亿</t>
  </si>
  <si>
    <t>-1.94亿</t>
  </si>
  <si>
    <t>-2.09亿</t>
  </si>
  <si>
    <t>27.54亿</t>
  </si>
  <si>
    <t>55.97亿</t>
  </si>
  <si>
    <t>70.36亿</t>
  </si>
  <si>
    <t>60.43亿</t>
  </si>
  <si>
    <t>21.66亿</t>
  </si>
  <si>
    <t>256.60万</t>
  </si>
  <si>
    <t>4706.95万</t>
  </si>
  <si>
    <t>6195.42万</t>
  </si>
  <si>
    <t>5819.99万</t>
  </si>
  <si>
    <t>23.91亿</t>
  </si>
  <si>
    <t>51.73亿</t>
  </si>
  <si>
    <t>32.95亿</t>
  </si>
  <si>
    <t>2846.38万</t>
  </si>
  <si>
    <t>7063.96万</t>
  </si>
  <si>
    <t>7509.42万</t>
  </si>
  <si>
    <t>10转4股派1.10元(含税)</t>
  </si>
  <si>
    <t>油品石化贸易</t>
  </si>
  <si>
    <t>501.13万</t>
  </si>
  <si>
    <t>3789.45万</t>
  </si>
  <si>
    <t>公司的主营业务为清洁能源、实体物流、互联网物流三大板块。清洁能源主要从事液化天然气（LNG）贸易经营与物流，LNG加气站的建设和运营、LPG的分销零售等；实体物流主要从事普通货物运输，道路危险品货物运输及运输配套仓储等业务；互联网物流主要从事普通货运（无车承运）。
市值106.362856亿, 利润9926.36万; PE126, PB2.93; ROIC6.43%; ROE6.5667%; 股利率.5276%; 毛利3.62%; 净利1.44%; 上一年度营收增26.53%, 利润增-18.64%; 当季营收增-32.15%, 利润增713.34%; 过往5年营收增31.82%, 利润增904.74%
Income profile:
LNG(LPG)气体销售 17.57亿 73.49%
货物运输 5.92亿 24.76%
租赁、代理及吊装 2138.95万 0.89%
培训及其他 1296.85万 0.54%</t>
  </si>
  <si>
    <t>26.08亿</t>
  </si>
  <si>
    <t>1580955800亿</t>
  </si>
  <si>
    <t>16.20亿</t>
  </si>
  <si>
    <t>6770.44万</t>
  </si>
  <si>
    <t>14.94亿</t>
  </si>
  <si>
    <t>14.45亿</t>
  </si>
  <si>
    <t>4658.14万</t>
  </si>
  <si>
    <t>3236.63万</t>
  </si>
  <si>
    <t>3938302亿</t>
  </si>
  <si>
    <t>11.94万</t>
  </si>
  <si>
    <t>51151017亿</t>
  </si>
  <si>
    <t>30011254亿</t>
  </si>
  <si>
    <t>1500741400亿</t>
  </si>
  <si>
    <t>61.07万</t>
  </si>
  <si>
    <t>23.55万</t>
  </si>
  <si>
    <t>6804.67万</t>
  </si>
  <si>
    <t>-1289.94万</t>
  </si>
  <si>
    <t>-3.71亿</t>
  </si>
  <si>
    <t>12.29亿</t>
  </si>
  <si>
    <t>16.23亿</t>
  </si>
  <si>
    <t>16.54亿</t>
  </si>
  <si>
    <t>12.43亿</t>
  </si>
  <si>
    <t>9.28亿</t>
  </si>
  <si>
    <t>11.39亿</t>
  </si>
  <si>
    <t>3530.37万</t>
  </si>
  <si>
    <t>9761.99万</t>
  </si>
  <si>
    <t>4195.91万</t>
  </si>
  <si>
    <t>816.69万</t>
  </si>
  <si>
    <t>5150.88万</t>
  </si>
  <si>
    <t>公司重要的业务构成是成品油批发零售、化学品贸易、电力投资。公司具有成品油、液化石油气、危险化学品特许经营资质，以及广东省内高速公路建设经营加油站的资质。
市值44.1936亿, 利润6770.44万; PE142.1, PB1.71; ROIC3.06%; ROE3.92%; 股利率8.3632%; 毛利10.0967%; 净利7.5733%; 上一年度营收增31.81%, 利润增-47.92%; 当季营收增48.74%, 利润增-53.82%; 过往5年营收增15.22%, 利润增-21%
Income profile:
成品油 7.64亿 82.34% 80.53% 8.48%
化工品贸易 1.37亿 14.77% 1.94% 1.14%
土地及物业租赁收入 1674.39万 1.80% 17.53% 84.28%</t>
  </si>
  <si>
    <t>14.17亿</t>
  </si>
  <si>
    <t>33.43亿</t>
  </si>
  <si>
    <t>9059017600亿</t>
  </si>
  <si>
    <t>82.82亿</t>
  </si>
  <si>
    <t>7651.21万</t>
  </si>
  <si>
    <t>89.41亿</t>
  </si>
  <si>
    <t>88.45亿</t>
  </si>
  <si>
    <t>3556.90万</t>
  </si>
  <si>
    <t>6098.41万</t>
  </si>
  <si>
    <t>8628659亿</t>
  </si>
  <si>
    <t>752.08万</t>
  </si>
  <si>
    <t>53632244亿</t>
  </si>
  <si>
    <t>7.06亿</t>
  </si>
  <si>
    <t>231755810亿</t>
  </si>
  <si>
    <t>3025639300亿</t>
  </si>
  <si>
    <t>802.89万</t>
  </si>
  <si>
    <t>8380.40万</t>
  </si>
  <si>
    <t>968.58万</t>
  </si>
  <si>
    <t>12.39亿</t>
  </si>
  <si>
    <t>-11.17亿</t>
  </si>
  <si>
    <t>-2.05亿</t>
  </si>
  <si>
    <t>-7289.16万</t>
  </si>
  <si>
    <t>49.31亿</t>
  </si>
  <si>
    <t>214.13亿</t>
  </si>
  <si>
    <t>115.02亿</t>
  </si>
  <si>
    <t>97.92亿</t>
  </si>
  <si>
    <t>7088.82万</t>
  </si>
  <si>
    <t>4.78亿</t>
  </si>
  <si>
    <t>3.07亿</t>
  </si>
  <si>
    <t>4002.59万</t>
  </si>
  <si>
    <t>61.24亿</t>
  </si>
  <si>
    <t>56.17亿</t>
  </si>
  <si>
    <t>32.30亿</t>
  </si>
  <si>
    <t>4298.67万</t>
  </si>
  <si>
    <t>1808.45万</t>
  </si>
  <si>
    <t>2185.30万</t>
  </si>
  <si>
    <t>10派0.52元(含税)</t>
  </si>
  <si>
    <t>6428.11万</t>
  </si>
  <si>
    <t>3.32亿</t>
  </si>
  <si>
    <t xml:space="preserve">
市值36.468454亿, 利润7651.21万; PE28.31, PB1.17; ROIC4.1167%; ROE7.17%; 股利率.6675%; 毛利3.5433%; 净利1.9967%; 上一年度营收增67.96%, 利润增7.93%; 当季营收增22.96%, 利润增827.41%; 过往5年营收增13.73%, 利润增66.48%
Income profile:
</t>
  </si>
  <si>
    <t>16.88亿</t>
  </si>
  <si>
    <t>3624456700亿</t>
  </si>
  <si>
    <t>39.33亿</t>
  </si>
  <si>
    <t>9145.86万</t>
  </si>
  <si>
    <t>35.07亿</t>
  </si>
  <si>
    <t>33.16亿</t>
  </si>
  <si>
    <t>2300.87万</t>
  </si>
  <si>
    <t>4609429亿</t>
  </si>
  <si>
    <t>7.83万</t>
  </si>
  <si>
    <t>86335817亿</t>
  </si>
  <si>
    <t>12519348亿</t>
  </si>
  <si>
    <t>976465140亿</t>
  </si>
  <si>
    <t>48.12万</t>
  </si>
  <si>
    <t>5102.00万</t>
  </si>
  <si>
    <t>1456.86万</t>
  </si>
  <si>
    <t>-1.03亿</t>
  </si>
  <si>
    <t>-1.99亿</t>
  </si>
  <si>
    <t>-9668.54万</t>
  </si>
  <si>
    <t>18.44亿</t>
  </si>
  <si>
    <t>19.40亿</t>
  </si>
  <si>
    <t>23.39亿</t>
  </si>
  <si>
    <t>20.66亿</t>
  </si>
  <si>
    <t>24.77亿</t>
  </si>
  <si>
    <t>27.46亿</t>
  </si>
  <si>
    <t>15.25亿</t>
  </si>
  <si>
    <t>5427.55万</t>
  </si>
  <si>
    <t>8293.42万</t>
  </si>
  <si>
    <t>6005.29万</t>
  </si>
  <si>
    <t>538.70万</t>
  </si>
  <si>
    <t>3336.27万</t>
  </si>
  <si>
    <t xml:space="preserve">
市值31.627066亿, 利润9145.86万; PE31.99, PB1.88; ROIC13.89%; ROE15.0933%; 股利率1.0965%; 毛利15.9267%; 净利6.5933%; 上一年度营收增113.29%, 利润增-46.2%; 当季营收增-6.02%, 利润增57.64%; 过往5年营收增25.88%, 利润增-4.38%
Income profile:
</t>
  </si>
  <si>
    <t>8881.35万</t>
  </si>
  <si>
    <t>405275430亿</t>
  </si>
  <si>
    <t>6.97亿</t>
  </si>
  <si>
    <t>1.29亿</t>
  </si>
  <si>
    <t>2587.09万</t>
  </si>
  <si>
    <t>1610.17万</t>
  </si>
  <si>
    <t>322.44万</t>
  </si>
  <si>
    <t>227516亿</t>
  </si>
  <si>
    <t>3.82万</t>
  </si>
  <si>
    <t>49316728亿</t>
  </si>
  <si>
    <t>169390290亿</t>
  </si>
  <si>
    <t>4610.00万</t>
  </si>
  <si>
    <t>1045874950亿</t>
  </si>
  <si>
    <t>3701.40万</t>
  </si>
  <si>
    <t>4087.06万</t>
  </si>
  <si>
    <t>8755.99万</t>
  </si>
  <si>
    <t>-1288.24万</t>
  </si>
  <si>
    <t>-2.75亿</t>
  </si>
  <si>
    <t>8.25亿</t>
  </si>
  <si>
    <t>6659.42万</t>
  </si>
  <si>
    <t>7776.54万</t>
  </si>
  <si>
    <t>8647.42万</t>
  </si>
  <si>
    <t>2.49亿</t>
  </si>
  <si>
    <t>5.22亿</t>
  </si>
  <si>
    <t>4528.24万</t>
  </si>
  <si>
    <t>6035.97万</t>
  </si>
  <si>
    <t>3704.69万</t>
  </si>
  <si>
    <t>668.91万</t>
  </si>
  <si>
    <t>3696.32万</t>
  </si>
  <si>
    <t>0129000000</t>
  </si>
  <si>
    <t>0387000000</t>
  </si>
  <si>
    <t>0774000000</t>
  </si>
  <si>
    <t>01290000000</t>
  </si>
  <si>
    <t>02580000000</t>
  </si>
  <si>
    <t xml:space="preserve">
市值31.456亿, 利润1.29亿; PE24.39, PB3.05; ROIC21.8367%; ROE31.36%; 股利率0%; 毛利29.1067%; 净利12.1667%; 上一年度营收增-3.46%, 利润增93.71%; 当季营收增-2.33%, 利润增-36.78%; 过往5年营收增-5.15%, 利润增23.09%
Income profile:
</t>
  </si>
  <si>
    <t>4.90亿</t>
  </si>
  <si>
    <t>9.38亿</t>
  </si>
  <si>
    <t>2508953200亿</t>
  </si>
  <si>
    <t>28.00亿</t>
  </si>
  <si>
    <t>823.21万</t>
  </si>
  <si>
    <t>23.09亿</t>
  </si>
  <si>
    <t>3579.25万</t>
  </si>
  <si>
    <t>567011亿</t>
  </si>
  <si>
    <t>9011330亿</t>
  </si>
  <si>
    <t>5045423亿</t>
  </si>
  <si>
    <t>435589050亿</t>
  </si>
  <si>
    <t>1771.18万</t>
  </si>
  <si>
    <t>2.50亿</t>
  </si>
  <si>
    <t>3.71亿</t>
  </si>
  <si>
    <t>2.27亿</t>
  </si>
  <si>
    <t>-2372.44万</t>
  </si>
  <si>
    <t>-1.71亿</t>
  </si>
  <si>
    <t>29.25亿</t>
  </si>
  <si>
    <t>30.78亿</t>
  </si>
  <si>
    <t>27.19亿</t>
  </si>
  <si>
    <t>27.67亿</t>
  </si>
  <si>
    <t>728.80万</t>
  </si>
  <si>
    <t>592.53万</t>
  </si>
  <si>
    <t>187.70万</t>
  </si>
  <si>
    <t>267.90万</t>
  </si>
  <si>
    <t>432.75万</t>
  </si>
  <si>
    <t>15.80亿</t>
  </si>
  <si>
    <t>20.05亿</t>
  </si>
  <si>
    <t>12.91亿</t>
  </si>
  <si>
    <t>419.69万</t>
  </si>
  <si>
    <t>399.06万</t>
  </si>
  <si>
    <t>151.53万</t>
  </si>
  <si>
    <t>6454.58万</t>
  </si>
  <si>
    <t>5.48亿</t>
  </si>
  <si>
    <t xml:space="preserve">
市值28.462964亿, 利润823.21万; PE242, PB3.04; ROIC1.44%; ROE.7867%; 股利率0%; 毛利9.7233%; 净利.2633%; 上一年度营收增15.51%, 利润增12.95%; 当季营收增30.11%, 利润增34.17%; 过往5年营收增.98%, 利润增36.72%
Income profile:
</t>
  </si>
  <si>
    <t>1.天然气作为清洁低碳能源更加重要；</t>
    <phoneticPr fontId="1" type="noConversion"/>
  </si>
  <si>
    <t>6597.17万</t>
  </si>
  <si>
    <t>公司是一家成立于1999年8月20日，主要从事油气勘探、生产及贸易业务的中国香港投资控股公司。其业务包括常规油气业务、页岩油气业务、油砂业务及其他非常规油气业务。公司主要通过三个分部运营。勘探及生产分部从事原油、天然气及其他石油产品勘探、开发及生产业务。
市值7701.0591亿, 利润703.20亿; PE6.1, PB1.36; ROIC9.3833%; ROE15.36%; 股利率0%; 毛利45.5833%; 净利25.92%; 上一年度营收增58.4%, 利润增181.76%; 当季营收增70.99%, 利润增89.06%; 过往5年营收增9.15%, 利润增46.18%
Income profile:
油气销售收入 1766.81亿 87.31% 99.47% 62.56%
贸易收入 215.27亿 10.64% 0.82% 4.22%</t>
  </si>
  <si>
    <t>6501.15万</t>
  </si>
  <si>
    <t>3.44亿</t>
  </si>
  <si>
    <t>28.44亿</t>
  </si>
  <si>
    <t>公司是以煤炭、LNG、醇醚、煤焦油、石油为核心产品，以能源物流为支撑的天然气液化、煤炭开采、煤化工转换、油气勘探开发四大业务板块。主要产品是中高压开关柜、接触器、断路器等电器元件、低压控制电器、自动化装置系统、光伏项目。
市值693.34374亿, 利润50.03亿; PE6.51, PB2.62; ROIC7.33%; ROE15.1033%; 股利率3.7879%; 毛利31.8867%; 净利13.8433%; 上一年度营收增64.3%, 利润增274.48%; 当季营收增149.89%, 利润增141.75%; 过往5年营收增46.7%, 利润增126.77%
Income profile:
天然气销售 118.57亿 47.68% 39.09% 31.49%
煤炭 86.39亿 34.74% 38.21% 42.24%
煤化工产品 41.08亿 16.52% 21.89% 50.90%</t>
  </si>
  <si>
    <t>29.95亿</t>
  </si>
  <si>
    <t>公司的主营业务为石油及天然气的勘探、开采及销售。公司的主要产品为原油、天然气。公司核心资产Howard和Borden油田，位于美国页岩油核心产区Permian盆地的核心区域。
市值159.1316亿, 利润3.65亿; PE6.35, PB.931; ROIC.1667%; ROE-2.68%; 股利率0%; 毛利46.3967%; 净利-2.8467%; 上一年度营收增16.34%, 利润增113.74%; 当季营收增99.26%, 利润增417.47%; 过往5年营收增150.45%, 利润增42.65%
Income profile:
美国 48.10亿 99.77% 100.02% 49.65%
按行业：
石油天然气开采 48.10亿 99.77% 100.02% 49.65%</t>
  </si>
  <si>
    <t>351.25万</t>
  </si>
  <si>
    <t>1604.93万</t>
  </si>
  <si>
    <t>公司主要从事城市天然气的输配、销售、入户安装以及煤层气开采业务。公司城市燃气业务的主要生产经营区域包括了南北疆的八个市（区、县），上游气源来自中石油新疆油田公司等多家单位。公司的主要产品为天然气销售、天然气入户安装、压缩天然气运输。
市值96.823631亿, 利润10.28亿; PE11.49, PB1.94; ROIC14.31%; ROE20.8367%; 股利率2.4081%; 毛利47.9467%; 净利36.9167%; 上一年度营收增23.91%, 利润增186.35%; 当季营收增20.83%, 利润增132.99%; 过往5年营收增25.65%, 利润增50.87%
Income profile:
煤层气开采及销售行业 17.39亿 66.46% 80.72% 60.63%
天然气供应及相关行业 8.67亿 33.13% 18.89% 28.46%</t>
  </si>
  <si>
    <t>785.60万</t>
  </si>
  <si>
    <t>3404.18万</t>
  </si>
  <si>
    <t>公司主营业务是煤矿瓦斯治理及煤层气勘探、开发与利用业务。主导产品为煤层气(煤矿瓦斯)等。公司与中国矿业大学、煤炭科学研究总院西安分院等科研院校合作建设了“煤层气开发工程产学研基地”，成立了开发利用工程技术研究中心，建立了全国第一个瓦斯综合治理示范基地。
市值87.46224亿, 利润3.05亿; PE16.37, PB1.72; ROIC5.6267%; ROE7.7%; 股利率.5531%; 毛利35.79%; 净利21.6767%; 上一年度营收增37.27%, 利润增144%; 当季营收增39.18%, 利润增53.02%; 过往5年营收增13.85%, 利润增22.93%
Income profile:
煤层气销售 10.95亿 97.05% 108.33% 42.54%
气井建造工程 2015.88万 1.79% -7.19% -153.40%</t>
  </si>
  <si>
    <t>1129.98万</t>
  </si>
  <si>
    <t>6594.31万</t>
  </si>
  <si>
    <t>3.78亿</t>
  </si>
  <si>
    <t xml:space="preserve">
市值54.32418亿, 利润-9.43亿; PE, PB1.14; ROIC2.4433%; ROE-5.1133%; 股利率0%; 毛利60.2767%; 净利9.4567%; 上一年度营收增51.23%, 利润增-638.86%; 当季营收增23.42%, 利润增74.78%; 过往5年营收增29.25%, 利润增-187.88%
Income profile:
</t>
  </si>
  <si>
    <t>229.75万</t>
  </si>
  <si>
    <t>981.36万</t>
  </si>
  <si>
    <t>7743.09万</t>
  </si>
  <si>
    <t xml:space="preserve">
市值35.930022亿, 利润6441.27万; PE39.71, PB1.24; ROIC5.96%; ROE4.03%; 股利率0%; 毛利37.4167%; 净利16.36%; 上一年度营收增19.53%, 利润增-40.36%; 当季营收增14.56%, 利润增93.97%; 过往5年营收增75.76%, 利润增231.19%
Income profile:
</t>
  </si>
  <si>
    <t>356.60亿</t>
  </si>
  <si>
    <t>396.69亿</t>
  </si>
  <si>
    <t>24245719000亿</t>
  </si>
  <si>
    <t>292.03亿</t>
  </si>
  <si>
    <t>3.13亿</t>
  </si>
  <si>
    <t>220.95亿</t>
  </si>
  <si>
    <t>209.53亿</t>
  </si>
  <si>
    <t>2297.24万</t>
  </si>
  <si>
    <t>5.29亿</t>
  </si>
  <si>
    <t>4.16亿</t>
  </si>
  <si>
    <t>227144320亿</t>
  </si>
  <si>
    <t>3451.49万</t>
  </si>
  <si>
    <t>1991200000亿</t>
  </si>
  <si>
    <t>42.68亿</t>
  </si>
  <si>
    <t>17557421000亿</t>
  </si>
  <si>
    <t>1067.48万</t>
  </si>
  <si>
    <t>26508709000亿</t>
  </si>
  <si>
    <t>24.60亿</t>
  </si>
  <si>
    <t>60.34亿</t>
  </si>
  <si>
    <t>91.21亿</t>
  </si>
  <si>
    <t>195.43亿</t>
  </si>
  <si>
    <t>-4.71亿</t>
  </si>
  <si>
    <t>41.21亿</t>
  </si>
  <si>
    <t>-46.82亿</t>
  </si>
  <si>
    <t>289.59亿</t>
  </si>
  <si>
    <t>311.35亿</t>
  </si>
  <si>
    <t>219.46亿</t>
  </si>
  <si>
    <t>175.16亿</t>
  </si>
  <si>
    <t>151.52亿</t>
  </si>
  <si>
    <t>27.03亿</t>
  </si>
  <si>
    <t>25.02亿</t>
  </si>
  <si>
    <t>7080.23万</t>
  </si>
  <si>
    <t>4277.17万</t>
  </si>
  <si>
    <t>-114.56亿</t>
  </si>
  <si>
    <t>152.13亿</t>
  </si>
  <si>
    <t>198.82亿</t>
  </si>
  <si>
    <t>127.35亿</t>
  </si>
  <si>
    <t>14.53亿</t>
  </si>
  <si>
    <t>油服工程</t>
  </si>
  <si>
    <t>5056.23万</t>
  </si>
  <si>
    <t>公司的主营业务涉及石油及天然气勘探、开发及生产的各个阶段,主要分为钻井服务、油田技术服务、船舶服务、物探勘察服务四大板块。公司占据了中国近海油田技术服务市场大部分份额,其中固井、泥浆等服务在中国近海拥有绝对市场优势;公司在市场上拥有和操作规模最庞大和功能最广泛的大型装备群,具有较强的竞争能力,可服务于整个中国海域的油田服务市场。
市值786.83552亿, 利润3.13亿; PE85.17, PB2.01; ROIC4.7033%; ROE5.0167%; 股利率.9096%; 毛利18.0233%; 净利8.2667%; 上一年度营收增.84%, 利润增-88.42%; 当季营收增26.38%, 利润增47.27%; 过往5年营收增15.32%, 利润增703.86%
Income profile:
油田技术服务 150.85亿 51.65% 92.28% 29.33%
钻井服务 87.79亿 30.06% 0.56% 0.31%
船舶服务 33.07亿 11.33% 6.08% 8.82%
物探采集和工程勘察服务 20.32亿 6.96% 1.07% 2.52%</t>
  </si>
  <si>
    <t>604.01亿</t>
  </si>
  <si>
    <t>76.26亿</t>
  </si>
  <si>
    <t>50955067000亿</t>
  </si>
  <si>
    <t>695.33亿</t>
  </si>
  <si>
    <t>1.80亿</t>
  </si>
  <si>
    <t>506.38亿</t>
  </si>
  <si>
    <t>473.72亿</t>
  </si>
  <si>
    <t>4167.60万</t>
  </si>
  <si>
    <t>15.55亿</t>
  </si>
  <si>
    <t>17653000亿</t>
  </si>
  <si>
    <t>9402.50万</t>
  </si>
  <si>
    <t>173122000亿</t>
  </si>
  <si>
    <t>8779539000亿</t>
  </si>
  <si>
    <t>37940092000亿</t>
  </si>
  <si>
    <t>7.75亿</t>
  </si>
  <si>
    <t>196.95亿</t>
  </si>
  <si>
    <t>88.56亿</t>
  </si>
  <si>
    <t>213.90亿</t>
  </si>
  <si>
    <t>580.07亿</t>
  </si>
  <si>
    <t>15.32亿</t>
  </si>
  <si>
    <t>-9.74亿</t>
  </si>
  <si>
    <t>-10.45亿</t>
  </si>
  <si>
    <t>680.73亿</t>
  </si>
  <si>
    <t>698.70亿</t>
  </si>
  <si>
    <t>584.09亿</t>
  </si>
  <si>
    <t>485.94亿</t>
  </si>
  <si>
    <t>429.24亿</t>
  </si>
  <si>
    <t>7897.80万</t>
  </si>
  <si>
    <t>9.14亿</t>
  </si>
  <si>
    <t>-105.90亿</t>
  </si>
  <si>
    <t>-161.15亿</t>
  </si>
  <si>
    <t>331.49亿</t>
  </si>
  <si>
    <t>467.14亿</t>
  </si>
  <si>
    <t>315.70亿</t>
  </si>
  <si>
    <t>3.20亿</t>
  </si>
  <si>
    <t>3.69亿</t>
  </si>
  <si>
    <t>11.00亿</t>
  </si>
  <si>
    <t>公司主要油气勘探开发工程施工与技术服务；公司的主要产品为地球物理、钻井、测录井、井下特种作业、工程建设；
市值404.36644亿, 利润1.80亿; PE297.7, PB5.3; ROIC4.2433%; ROE6.1533%; 股利率0%; 毛利8.0567%; 净利.6767%; 上一年度营收增2.14%, 利润增127.91%; 当季营收增17.58%, 利润增255.87%; 过往5年营收增10.52%, 利润增143.17%
Income profile:
钻井 166.36亿 50.19% 48.73% 7.09%
工程建设 83.26亿 25.12% 26.17% 7.61%
井下特种作业 42.93亿 12.95% 11.51% 6.49%</t>
  </si>
  <si>
    <t>142.23亿</t>
  </si>
  <si>
    <t>225.03亿</t>
  </si>
  <si>
    <t>31360823000亿</t>
  </si>
  <si>
    <t>387.39亿</t>
  </si>
  <si>
    <t>295.16亿</t>
  </si>
  <si>
    <t>274.73亿</t>
  </si>
  <si>
    <t>9.82亿</t>
  </si>
  <si>
    <t>5.39亿</t>
  </si>
  <si>
    <t>265241290亿</t>
  </si>
  <si>
    <t>405.93万</t>
  </si>
  <si>
    <t>1637146600亿</t>
  </si>
  <si>
    <t>25.52亿</t>
  </si>
  <si>
    <t>10208727900亿</t>
  </si>
  <si>
    <t>6195.52万</t>
  </si>
  <si>
    <t>20261566000亿</t>
  </si>
  <si>
    <t>16.97亿</t>
  </si>
  <si>
    <t>8008.22万</t>
  </si>
  <si>
    <t>8840.45万</t>
  </si>
  <si>
    <t>77.64亿</t>
  </si>
  <si>
    <t>1114.92万</t>
  </si>
  <si>
    <t>125.13亿</t>
  </si>
  <si>
    <t>4.56亿</t>
  </si>
  <si>
    <t>-21.07亿</t>
  </si>
  <si>
    <t>-6.49亿</t>
  </si>
  <si>
    <t>332.08亿</t>
  </si>
  <si>
    <t>334.63亿</t>
  </si>
  <si>
    <t>289.75亿</t>
  </si>
  <si>
    <t>237.04亿</t>
  </si>
  <si>
    <t>193.76亿</t>
  </si>
  <si>
    <t>15.22亿</t>
  </si>
  <si>
    <t>12.33亿</t>
  </si>
  <si>
    <t>10.66亿</t>
  </si>
  <si>
    <t>11.77亿</t>
  </si>
  <si>
    <t>6.22亿</t>
  </si>
  <si>
    <t>202.75亿</t>
  </si>
  <si>
    <t>255.00亿</t>
  </si>
  <si>
    <t>155.70亿</t>
  </si>
  <si>
    <t>13.42亿</t>
  </si>
  <si>
    <t>7.03亿</t>
  </si>
  <si>
    <t>10派0.55元(含税)</t>
  </si>
  <si>
    <t>公司主营业务是能源技术服务、低碳环保与数字化、能源物流服务。公司主要产品包括工程技术服务、装备设计制造、绿色涂料等。
市值310.03568亿, 利润12.84亿; PE17.4, PB1.42; ROIC8.0933%; ROE7.34%; 股利率1.8033%; 毛利12.1833%; 净利4.6867%; 上一年度营收增16.66%, 利润增-15.64%; 当季营收增11.64%, 利润增26.14%; 过往5年营收增15.19%, 利润增20.65%
Income profile:
能源物流服务产业 121.48亿 59.92% 39.42% 7.44%
能源技术服务产业 54.41亿 26.84% 32.98% 13.89%
低碳环保与数字化产业 33.42亿 16.49% 28.31% 19.41%</t>
  </si>
  <si>
    <t>144.44亿</t>
  </si>
  <si>
    <t>230.50亿</t>
  </si>
  <si>
    <t>19475558000亿</t>
  </si>
  <si>
    <t>197.95亿</t>
  </si>
  <si>
    <t>3.70亿</t>
  </si>
  <si>
    <t>185.53亿</t>
  </si>
  <si>
    <t>175.78亿</t>
  </si>
  <si>
    <t>1312.20万</t>
  </si>
  <si>
    <t>188198300亿</t>
  </si>
  <si>
    <t>1393.44万</t>
  </si>
  <si>
    <t>619039600亿</t>
  </si>
  <si>
    <t>10.25亿</t>
  </si>
  <si>
    <t>3900476100亿</t>
  </si>
  <si>
    <t>21502714000亿</t>
  </si>
  <si>
    <t>96.00亿</t>
  </si>
  <si>
    <t>138.81亿</t>
  </si>
  <si>
    <t>28.40亿</t>
  </si>
  <si>
    <t>-24.34亿</t>
  </si>
  <si>
    <t>-5.89亿</t>
  </si>
  <si>
    <t>178.63亿</t>
  </si>
  <si>
    <t>147.10亿</t>
  </si>
  <si>
    <t>110.52亿</t>
  </si>
  <si>
    <t>102.53亿</t>
  </si>
  <si>
    <t>119.92亿</t>
  </si>
  <si>
    <t>2792.68万</t>
  </si>
  <si>
    <t>7977.80万</t>
  </si>
  <si>
    <t>13.15亿</t>
  </si>
  <si>
    <t>117.34亿</t>
  </si>
  <si>
    <t>119.48亿</t>
  </si>
  <si>
    <t>74.71亿</t>
  </si>
  <si>
    <t>5.49亿</t>
  </si>
  <si>
    <t>4.00亿</t>
  </si>
  <si>
    <t>10派0.80元(含税)</t>
  </si>
  <si>
    <t>7.65亿</t>
  </si>
  <si>
    <t xml:space="preserve">
市值297.55718亿, 利润3.70亿; PE45.39, PB1.29; ROIC1.5767%; ROE1.1233%; 股利率1.1887%; 毛利10.1033%; 净利2.1%; 上一年度营收增10.82%, 利润增1.93%; 当季营收增72.92%, 利润增137.51%; 过往5年营收增11.73%, 利润增198.07%
Income profile:
</t>
  </si>
  <si>
    <t>782.73亿</t>
  </si>
  <si>
    <t>256.34亿</t>
  </si>
  <si>
    <t>57440739000亿</t>
  </si>
  <si>
    <t>798.32亿</t>
  </si>
  <si>
    <t>4.59亿</t>
  </si>
  <si>
    <t>561.82亿</t>
  </si>
  <si>
    <t>538.93亿</t>
  </si>
  <si>
    <t>7977.55万</t>
  </si>
  <si>
    <t>9837582亿</t>
  </si>
  <si>
    <t>4386.38万</t>
  </si>
  <si>
    <t>853914040亿</t>
  </si>
  <si>
    <t>207.80亿</t>
  </si>
  <si>
    <t>14460458000亿</t>
  </si>
  <si>
    <t>95613255000亿</t>
  </si>
  <si>
    <t>6128.56万</t>
  </si>
  <si>
    <t>57.52亿</t>
  </si>
  <si>
    <t>338.81亿</t>
  </si>
  <si>
    <t>760.97亿</t>
  </si>
  <si>
    <t>-111.24亿</t>
  </si>
  <si>
    <t>92.50亿</t>
  </si>
  <si>
    <t>13.04亿</t>
  </si>
  <si>
    <t>706.98亿</t>
  </si>
  <si>
    <t>650.54亿</t>
  </si>
  <si>
    <t>593.74亿</t>
  </si>
  <si>
    <t>553.62亿</t>
  </si>
  <si>
    <t>506.59亿</t>
  </si>
  <si>
    <t>8.55亿</t>
  </si>
  <si>
    <t>12.88亿</t>
  </si>
  <si>
    <t>402.08亿</t>
  </si>
  <si>
    <t>522.35亿</t>
  </si>
  <si>
    <t>327.04亿</t>
  </si>
  <si>
    <t>6.38亿</t>
  </si>
  <si>
    <t>10派0.25元(含税)</t>
  </si>
  <si>
    <t>1.89亿</t>
  </si>
  <si>
    <t>12.98亿</t>
  </si>
  <si>
    <t xml:space="preserve">
市值173.63589亿, 利润4.59亿; PE32.96, PB.679; ROIC3.3767%; ROE2.93%; 股利率.8039%; 毛利7.2%; 净利1.3567%; 上一年度营收增12.92%, 利润增-46.32%; 当季营收增-11.77%, 利润增-26.93%; 过往5年营收增9.54%, 利润增-12.11%
Income profile:
</t>
  </si>
  <si>
    <t>48.07亿</t>
  </si>
  <si>
    <t>21.72亿</t>
  </si>
  <si>
    <t>2216108500亿</t>
  </si>
  <si>
    <t>6614.15万</t>
  </si>
  <si>
    <t>16.91亿</t>
  </si>
  <si>
    <t>1578.11万</t>
  </si>
  <si>
    <t>3881.57万</t>
  </si>
  <si>
    <t>6.89万</t>
  </si>
  <si>
    <t>371541900亿</t>
  </si>
  <si>
    <t>569529040亿</t>
  </si>
  <si>
    <t>6381.84万</t>
  </si>
  <si>
    <t>2626125000亿</t>
  </si>
  <si>
    <t>2.72亿</t>
  </si>
  <si>
    <t>32.91亿</t>
  </si>
  <si>
    <t>8.39亿</t>
  </si>
  <si>
    <t>-4.63亿</t>
  </si>
  <si>
    <t>15.85亿</t>
  </si>
  <si>
    <t>24.63亿</t>
  </si>
  <si>
    <t>13.90亿</t>
  </si>
  <si>
    <t>17.72亿</t>
  </si>
  <si>
    <t>-4.86亿</t>
  </si>
  <si>
    <t>1722.49万</t>
  </si>
  <si>
    <t>2996.86万</t>
  </si>
  <si>
    <t>3.95亿</t>
  </si>
  <si>
    <t>13.96亿</t>
  </si>
  <si>
    <t>7.51亿</t>
  </si>
  <si>
    <t>4408.51万</t>
  </si>
  <si>
    <t>2419.33万</t>
  </si>
  <si>
    <t>10派1元(含税)</t>
  </si>
  <si>
    <t>4160.65万</t>
  </si>
  <si>
    <t>1.67亿</t>
  </si>
  <si>
    <t xml:space="preserve">
市值78.24002亿, 利润6614.15万; PE19.88, PB3.6; ROIC.0067%; ROE-6.2333%; 股利率.5112%; 毛利25.75%; 净利-4.94%; 上一年度营收增10.66%, 利润增113.61%; 当季营收增102.5%, 利润增702.05%; 过往5年营收增8.35%, 利润增-588.51%
Income profile:
</t>
  </si>
  <si>
    <t>5.24亿</t>
  </si>
  <si>
    <t>12.69亿</t>
  </si>
  <si>
    <t>364942140亿</t>
  </si>
  <si>
    <t>3428.36万</t>
  </si>
  <si>
    <t>6456.84万</t>
  </si>
  <si>
    <t>515.84万</t>
  </si>
  <si>
    <t>-443064亿</t>
  </si>
  <si>
    <t>41218272亿</t>
  </si>
  <si>
    <t>4.76亿</t>
  </si>
  <si>
    <t>50893423亿</t>
  </si>
  <si>
    <t>40.00万</t>
  </si>
  <si>
    <t>710354220亿</t>
  </si>
  <si>
    <t>6.15亿</t>
  </si>
  <si>
    <t>4856.08万</t>
  </si>
  <si>
    <t>625.47万</t>
  </si>
  <si>
    <t>22.97万</t>
  </si>
  <si>
    <t>-2.01亿</t>
  </si>
  <si>
    <t>8210.83万</t>
  </si>
  <si>
    <t>8038.89万</t>
  </si>
  <si>
    <t>1048.37万</t>
  </si>
  <si>
    <t>2617.84万</t>
  </si>
  <si>
    <t>2899.85万</t>
  </si>
  <si>
    <t>-1677.88万</t>
  </si>
  <si>
    <t>1136.35万</t>
  </si>
  <si>
    <t>1.99亿</t>
  </si>
  <si>
    <t>2651.33万</t>
  </si>
  <si>
    <t>2576.76万</t>
  </si>
  <si>
    <t>1500.34万</t>
  </si>
  <si>
    <t>10派0.2元(含税)</t>
  </si>
  <si>
    <t>1085.98万</t>
  </si>
  <si>
    <t>6740.19万</t>
  </si>
  <si>
    <t xml:space="preserve">
市值59.488亿, 利润3428.36万; PE116.4, PB4.69; ROIC2.15%; ROE1.96%; 股利率.1076%; 毛利51.2067%; 净利9.8933%; 上一年度营收增-4.47%, 利润增227.02%; 当季营收增28.79%, 利润增49.42%; 过往5年营收增46.77%, 利润增36.5%
Income profile:
</t>
  </si>
  <si>
    <t>23.10亿</t>
  </si>
  <si>
    <t>1466855000亿</t>
  </si>
  <si>
    <t>15.94亿</t>
  </si>
  <si>
    <t>8919.10万</t>
  </si>
  <si>
    <t>13.25亿</t>
  </si>
  <si>
    <t>7203.06万</t>
  </si>
  <si>
    <t>2853.22万</t>
  </si>
  <si>
    <t>30199432亿</t>
  </si>
  <si>
    <t>30.71万</t>
  </si>
  <si>
    <t>107958400亿</t>
  </si>
  <si>
    <t>644564810亿</t>
  </si>
  <si>
    <t>563.50万</t>
  </si>
  <si>
    <t>3204900600亿</t>
  </si>
  <si>
    <t>7208.57万</t>
  </si>
  <si>
    <t>5.80亿</t>
  </si>
  <si>
    <t>35.41万</t>
  </si>
  <si>
    <t>5.09亿</t>
  </si>
  <si>
    <t>25.90万</t>
  </si>
  <si>
    <t>14.84亿</t>
  </si>
  <si>
    <t>7.54亿</t>
  </si>
  <si>
    <t>-4.00亿</t>
  </si>
  <si>
    <t>-4525.05万</t>
  </si>
  <si>
    <t>11.36亿</t>
  </si>
  <si>
    <t>22.93亿</t>
  </si>
  <si>
    <t>14.85亿</t>
  </si>
  <si>
    <t>10.50亿</t>
  </si>
  <si>
    <t>-1.78亿</t>
  </si>
  <si>
    <t>8524.44万</t>
  </si>
  <si>
    <t>-4.94亿</t>
  </si>
  <si>
    <t>8890.02万</t>
  </si>
  <si>
    <t>8043.98万</t>
  </si>
  <si>
    <t>8602.81万</t>
  </si>
  <si>
    <t>10派0.07元(含税)</t>
  </si>
  <si>
    <t xml:space="preserve">
市值56.837398亿, 利润8919.10万; PE69.43, PB2.33; ROIC1.7667%; ROE-.5433%; 股利率.1659%; 毛利21.77%; 净利-.8533%; 上一年度营收增40.32%, 利润增150.11%; 当季营收增44.76%, 利润增-6.5%; 过往5年营收增16.23%, 利润增-145.85%
Income profile:
</t>
  </si>
  <si>
    <r>
      <t>1.。法国石油巨头道达尔今年 5 月正式宣布更名为“道达尔能源”，同时启用了最新的“能源之旅”标识，展现其以传统石油业务为起点，逐渐向天然气、电力、氢能、生物质能、风能和太阳能不断延伸的发展战略。在道达尔能源的投资排序中，</t>
    </r>
    <r>
      <rPr>
        <b/>
        <sz val="9"/>
        <color rgb="FFFF0000"/>
        <rFont val="宋体"/>
        <family val="3"/>
        <charset val="134"/>
        <scheme val="minor"/>
      </rPr>
      <t>天然气排在了第一
位。</t>
    </r>
    <r>
      <rPr>
        <sz val="9"/>
        <color theme="1"/>
        <rFont val="宋体"/>
        <family val="2"/>
        <charset val="134"/>
        <scheme val="minor"/>
      </rPr>
      <t>其官网信息显示，道达尔能源将不断提高天然气产量，预计到 2035 年，天然气产量将占总碳
氢化合物产量的 60%；2.乌东事件催化了天然气的市场供需格局变化的可能；</t>
    </r>
    <phoneticPr fontId="1" type="noConversion"/>
  </si>
  <si>
    <t>16.37亿</t>
  </si>
  <si>
    <t>33.30亿</t>
  </si>
  <si>
    <t>2308311100亿</t>
  </si>
  <si>
    <t>40.81亿</t>
  </si>
  <si>
    <t>23.20亿</t>
  </si>
  <si>
    <t>20.30亿</t>
  </si>
  <si>
    <t>352.26万</t>
  </si>
  <si>
    <t>5398.92万</t>
  </si>
  <si>
    <t>6455.44万</t>
  </si>
  <si>
    <t>2156844亿</t>
  </si>
  <si>
    <t>308.37万</t>
  </si>
  <si>
    <t>14303426亿</t>
  </si>
  <si>
    <t>19.42亿</t>
  </si>
  <si>
    <t>326043900亿</t>
  </si>
  <si>
    <t>10.00万</t>
  </si>
  <si>
    <t>3390241700亿</t>
  </si>
  <si>
    <t>212.63万</t>
  </si>
  <si>
    <t>10.70亿</t>
  </si>
  <si>
    <t>5279.73万</t>
  </si>
  <si>
    <t>-9217.68万</t>
  </si>
  <si>
    <t>25.79亿</t>
  </si>
  <si>
    <t>13.54亿</t>
  </si>
  <si>
    <t>3.97亿</t>
  </si>
  <si>
    <t>26.84亿</t>
  </si>
  <si>
    <t>1.32亿</t>
  </si>
  <si>
    <t>3465.42万</t>
  </si>
  <si>
    <t>715.28万</t>
  </si>
  <si>
    <t>15.63亿</t>
  </si>
  <si>
    <t>29.21亿</t>
  </si>
  <si>
    <t>19.95亿</t>
  </si>
  <si>
    <t>5068.57万</t>
  </si>
  <si>
    <t>10派2.5元(含税)</t>
  </si>
  <si>
    <t>1549.22万</t>
  </si>
  <si>
    <t>9048.67万</t>
  </si>
  <si>
    <t>公司主营业务为面向国内和国际市场，专注于天然气液化、海洋油气开发、矿业开采等行业的高端客户，为其提供专用模块集成设计与建造服务;
市值34.679643亿, 利润1.66亿; PE76.24, PB1.07; ROIC3.28%; ROE4.4767%; 股利率2.0309%; 毛利11.03%; 净利3.6333%; 上一年度营收增58.24%, 利润增25.76%; 当季营收增-19.51%, 利润增-65.39%; 过往5年营收增57.84%, 利润增108.97%
Income profile:
天然气液化模块 14.11亿 54.70% 利润占比155.07% 28.47%
海洋油气资源开发模块 7.56亿 29.31% 利润占比-36.02% -12.34%
矿业开采模块 4.07亿 15.77% 利润占比-20.10% -12.80%
其他业务 567.56万 0.22% 利润占比1.04% 47.45%</t>
  </si>
  <si>
    <t>17.74亿</t>
  </si>
  <si>
    <t>380101430亿</t>
  </si>
  <si>
    <t>4.21亿</t>
  </si>
  <si>
    <t>-7.19亿</t>
  </si>
  <si>
    <t>4.83亿</t>
  </si>
  <si>
    <t>2.99亿</t>
  </si>
  <si>
    <t>875.37万</t>
  </si>
  <si>
    <t>7008.15万</t>
  </si>
  <si>
    <t>925.65万</t>
  </si>
  <si>
    <t>31884831亿</t>
  </si>
  <si>
    <t>24.89万</t>
  </si>
  <si>
    <t>-101981920亿</t>
  </si>
  <si>
    <t>296319250亿</t>
  </si>
  <si>
    <t>991290210亿</t>
  </si>
  <si>
    <t>1091.98万</t>
  </si>
  <si>
    <t>1760.00万</t>
  </si>
  <si>
    <t>19.03万</t>
  </si>
  <si>
    <t>15.50亿</t>
  </si>
  <si>
    <t>95.00万</t>
  </si>
  <si>
    <t>2831.21万</t>
  </si>
  <si>
    <t>-622.18万</t>
  </si>
  <si>
    <t>344.65万</t>
  </si>
  <si>
    <t>6.96亿</t>
  </si>
  <si>
    <t>14.88亿</t>
  </si>
  <si>
    <t>29.33亿</t>
  </si>
  <si>
    <t>13.52亿</t>
  </si>
  <si>
    <t>-12.09亿</t>
  </si>
  <si>
    <t>-12.08亿</t>
  </si>
  <si>
    <t>2619.51万</t>
  </si>
  <si>
    <t>-4.46亿</t>
  </si>
  <si>
    <t>8495.38万</t>
  </si>
  <si>
    <t>3.06亿</t>
  </si>
  <si>
    <t>-7964.12万</t>
  </si>
  <si>
    <t>-1.27亿</t>
  </si>
  <si>
    <t>-9397.81万</t>
  </si>
  <si>
    <t>4654.25万</t>
  </si>
  <si>
    <t xml:space="preserve">
市值24.354273亿, 利润-7.19亿; PE, PB44.65; ROIC-39.11%; ROE-80.3267%; 股利率0%; 毛利23.5367%; 净利-112.7233%; 上一年度营收增-39.51%, 利润增40.53%; 当季营收增198.8%, 利润增-22.33%; 过往5年营收增-6.98%, 利润增-1038.04%
Income profile:
</t>
  </si>
  <si>
    <t>501701070亿</t>
  </si>
  <si>
    <t>7.47亿</t>
  </si>
  <si>
    <t>1458.50万</t>
  </si>
  <si>
    <t>4.96亿</t>
  </si>
  <si>
    <t>7091.84万</t>
  </si>
  <si>
    <t>8715.44万</t>
  </si>
  <si>
    <t>440.24万</t>
  </si>
  <si>
    <t>597646亿</t>
  </si>
  <si>
    <t>12150858亿</t>
  </si>
  <si>
    <t>9717.99万</t>
  </si>
  <si>
    <t>355940010亿</t>
  </si>
  <si>
    <t>3107.91万</t>
  </si>
  <si>
    <t>767118680亿</t>
  </si>
  <si>
    <t>6157.29万</t>
  </si>
  <si>
    <t>56.55万</t>
  </si>
  <si>
    <t>165.82万</t>
  </si>
  <si>
    <t>-3157.68万</t>
  </si>
  <si>
    <t>2113.56万</t>
  </si>
  <si>
    <t>6.32亿</t>
  </si>
  <si>
    <t>15.56亿</t>
  </si>
  <si>
    <t>15.93亿</t>
  </si>
  <si>
    <t>-10.53亿</t>
  </si>
  <si>
    <t>4513.52万</t>
  </si>
  <si>
    <t>4412.33万</t>
  </si>
  <si>
    <t>2197.44万</t>
  </si>
  <si>
    <t>1210.08万</t>
  </si>
  <si>
    <t>1538.83万</t>
  </si>
  <si>
    <t>1798.11万</t>
  </si>
  <si>
    <t>4105.00万</t>
  </si>
  <si>
    <t xml:space="preserve">
市值22.369143亿, 利润1458.50万; PE147.1, PB2.02; ROIC-15.4867%; ROE-22.8333%; 股利率0%; 毛利26.4633%; 净利-57.42%; 上一年度营收增18.2%, 利润增101.39%; 当季营收增11.47%, 利润增250.9%; 过往5年营收增31.14%, 利润增-430.34%
Income profile:
</t>
  </si>
  <si>
    <t>136502640亿</t>
  </si>
  <si>
    <t>766.72万</t>
  </si>
  <si>
    <t>1114.61万</t>
  </si>
  <si>
    <t>106.73万</t>
  </si>
  <si>
    <t>35563444亿</t>
  </si>
  <si>
    <t>5.68万</t>
  </si>
  <si>
    <t>-33112438亿</t>
  </si>
  <si>
    <t>1924.81万</t>
  </si>
  <si>
    <t>44379646亿</t>
  </si>
  <si>
    <t>1637.34万</t>
  </si>
  <si>
    <t>174175300亿</t>
  </si>
  <si>
    <t>4405.78万</t>
  </si>
  <si>
    <t>423.18万</t>
  </si>
  <si>
    <t>9095.19万</t>
  </si>
  <si>
    <t>1.94亿</t>
  </si>
  <si>
    <t>-2390.02万</t>
  </si>
  <si>
    <t>-382.86万</t>
  </si>
  <si>
    <t>3484.22万</t>
  </si>
  <si>
    <t>2.60亿</t>
  </si>
  <si>
    <t>2.24亿</t>
  </si>
  <si>
    <t>-829.94万</t>
  </si>
  <si>
    <t>5188.70万</t>
  </si>
  <si>
    <t>-3.40亿</t>
  </si>
  <si>
    <t>989.16万</t>
  </si>
  <si>
    <t>-9172.49万</t>
  </si>
  <si>
    <t>8402.49万</t>
  </si>
  <si>
    <t>7457.47万</t>
  </si>
  <si>
    <t>1191.82万</t>
  </si>
  <si>
    <t>-2287.55万</t>
  </si>
  <si>
    <t>-1651.77万</t>
  </si>
  <si>
    <t>2487.64万</t>
  </si>
  <si>
    <t>07667200</t>
  </si>
  <si>
    <t>023001600</t>
  </si>
  <si>
    <t>046003200</t>
  </si>
  <si>
    <t>076672000</t>
  </si>
  <si>
    <t>0153344000</t>
  </si>
  <si>
    <t xml:space="preserve">
市值19.313481亿, 利润766.72万; PE58.14, PB15.74; ROIC15.55%; ROE35.9633%; 股利率0%; 毛利2.52%; 净利9.0133%; 上一年度营收增-2.04%, 利润增192.38%; 当季营收增-3.58%, 利润增-45.37%; 过往5年营收增-.56%, 利润增-646.97%
Income profile:
</t>
  </si>
  <si>
    <t>2.28亿</t>
  </si>
  <si>
    <t>3254.19万</t>
  </si>
  <si>
    <t>127330426亿</t>
  </si>
  <si>
    <t>-2640.55万</t>
  </si>
  <si>
    <t>587.41万</t>
  </si>
  <si>
    <t>2234.44万</t>
  </si>
  <si>
    <t>90.19万</t>
  </si>
  <si>
    <t>2534521亿</t>
  </si>
  <si>
    <t>4533.77万</t>
  </si>
  <si>
    <t>-26796213亿</t>
  </si>
  <si>
    <t>7984.36万</t>
  </si>
  <si>
    <t>100075710亿</t>
  </si>
  <si>
    <t>1115.12万</t>
  </si>
  <si>
    <t>221897570亿</t>
  </si>
  <si>
    <t>3774.40万</t>
  </si>
  <si>
    <t>7798.68万</t>
  </si>
  <si>
    <t>-8650.00万</t>
  </si>
  <si>
    <t>5645.86万</t>
  </si>
  <si>
    <t>696.43万</t>
  </si>
  <si>
    <t>9683.68万</t>
  </si>
  <si>
    <t>25.47亿</t>
  </si>
  <si>
    <t>32.23亿</t>
  </si>
  <si>
    <t>3.15亿</t>
  </si>
  <si>
    <t>-1469.02万</t>
  </si>
  <si>
    <t>2897.02万</t>
  </si>
  <si>
    <t>-6.20亿</t>
  </si>
  <si>
    <t>-3017.14万</t>
  </si>
  <si>
    <t>2452.35万</t>
  </si>
  <si>
    <t>6339.20万</t>
  </si>
  <si>
    <t>9097.93万</t>
  </si>
  <si>
    <t>6173.04万</t>
  </si>
  <si>
    <t>-882.30万</t>
  </si>
  <si>
    <t>-1252.17万</t>
  </si>
  <si>
    <t>-674.98万</t>
  </si>
  <si>
    <t>7235.46万</t>
  </si>
  <si>
    <t xml:space="preserve">
市值18.55754亿, 利润-2640.55万; PE327.4, PB55.34; ROIC.3067%; ROE-28.11%; 股利率0%; 毛利14.1867%; 净利.49%; 上一年度营收增16.67%, 利润增-79.75%; 当季营收增118.6%, 利润增591.62%; 过往5年营收增166.84%, 利润增-460.75%
Income profile:
</t>
  </si>
  <si>
    <t>16.95亿</t>
  </si>
  <si>
    <t>7.79亿</t>
  </si>
  <si>
    <t>579377510亿</t>
  </si>
  <si>
    <t>2138.00万</t>
  </si>
  <si>
    <t>171.35万</t>
  </si>
  <si>
    <t>5543.17万</t>
  </si>
  <si>
    <t>573.63万</t>
  </si>
  <si>
    <t>2679332亿</t>
  </si>
  <si>
    <t>14.98万</t>
  </si>
  <si>
    <t>-20271531亿</t>
  </si>
  <si>
    <t>678040290亿</t>
  </si>
  <si>
    <t>4.85亿</t>
  </si>
  <si>
    <t>1573572000亿</t>
  </si>
  <si>
    <t>5.23亿</t>
  </si>
  <si>
    <t>15.16亿</t>
  </si>
  <si>
    <t>1.71亿</t>
  </si>
  <si>
    <t>7675.09万</t>
  </si>
  <si>
    <t>-1842.09万</t>
  </si>
  <si>
    <t>-8728.83万</t>
  </si>
  <si>
    <t>2492.82万</t>
  </si>
  <si>
    <t>4350.21万</t>
  </si>
  <si>
    <t>4544.69万</t>
  </si>
  <si>
    <t>7001.50万</t>
  </si>
  <si>
    <t>6260.89万</t>
  </si>
  <si>
    <t>-1.89亿</t>
  </si>
  <si>
    <t>1873.36万</t>
  </si>
  <si>
    <t>2748.03万</t>
  </si>
  <si>
    <t>10派0.6元(含税)</t>
  </si>
  <si>
    <t>3242.13万</t>
  </si>
  <si>
    <t xml:space="preserve">
市值18.068785亿, 利润2138.00万; PE, PB2.51; ROIC3.68%; ROE3.0567%; 股利率.6674%; 毛利18.5767%; 净利-16.85%; 上一年度营收增22.12%, 利润增-14.23%; 当季营收增5.72%, 利润增-54.67%; 过往5年营收增27.05%, 利润增-16.89%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</si>
</sst>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b/>
      <sz val="9"/>
      <color rgb="FFFF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14" fontId="5" fillId="0" borderId="0" xfId="2" applyNumberFormat="1" applyBorder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0" fontId="9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xueqiu.com/9508834377/203550705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22"/>
  <sheetViews>
    <sheetView topLeftCell="A18" workbookViewId="0">
      <selection activeCell="D22" sqref="D22"/>
    </sheetView>
  </sheetViews>
  <sheetFormatPr defaultRowHeight="14.4" x14ac:dyDescent="0.25"/>
  <cols>
    <col min="2" max="2" width="23.77734375" customWidth="1"/>
    <col min="3" max="3" width="29.33203125" customWidth="1"/>
    <col min="4" max="4" width="40" customWidth="1"/>
  </cols>
  <sheetData>
    <row r="1" spans="1:147" s="14" customFormat="1" x14ac:dyDescent="0.25">
      <c r="A1" s="15" t="s">
        <v>47</v>
      </c>
      <c r="B1" s="18" t="s">
        <v>117</v>
      </c>
      <c r="C1" s="19" t="s">
        <v>118</v>
      </c>
      <c r="D1" s="18" t="s">
        <v>119</v>
      </c>
      <c r="E1" t="s">
        <v>2</v>
      </c>
      <c r="F1" t="s">
        <v>3</v>
      </c>
      <c r="G1" t="s">
        <v>0</v>
      </c>
      <c r="H1" t="s">
        <v>90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121</v>
      </c>
      <c r="R1" t="s">
        <v>91</v>
      </c>
      <c r="S1" t="s">
        <v>122</v>
      </c>
      <c r="T1" t="s">
        <v>10</v>
      </c>
      <c r="U1" t="s">
        <v>92</v>
      </c>
      <c r="V1" t="s">
        <v>93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94</v>
      </c>
      <c r="AD1" t="s">
        <v>74</v>
      </c>
      <c r="AE1" t="s">
        <v>123</v>
      </c>
      <c r="AF1" t="s">
        <v>12</v>
      </c>
      <c r="AG1" t="s">
        <v>13</v>
      </c>
      <c r="AH1" t="s">
        <v>95</v>
      </c>
      <c r="AI1" t="s">
        <v>124</v>
      </c>
      <c r="AJ1" t="s">
        <v>96</v>
      </c>
      <c r="AK1" t="s">
        <v>14</v>
      </c>
      <c r="AL1" t="s">
        <v>97</v>
      </c>
      <c r="AM1" t="s">
        <v>48</v>
      </c>
      <c r="AN1" t="s">
        <v>98</v>
      </c>
      <c r="AO1" t="s">
        <v>99</v>
      </c>
      <c r="AP1" t="s">
        <v>100</v>
      </c>
      <c r="AQ1" t="s">
        <v>101</v>
      </c>
      <c r="AR1" t="s">
        <v>102</v>
      </c>
      <c r="AS1" t="s">
        <v>103</v>
      </c>
      <c r="AT1" t="s">
        <v>104</v>
      </c>
      <c r="AU1" t="s">
        <v>105</v>
      </c>
      <c r="AV1" t="s">
        <v>106</v>
      </c>
      <c r="AW1" t="s">
        <v>107</v>
      </c>
      <c r="AX1" t="s">
        <v>108</v>
      </c>
      <c r="AY1" t="s">
        <v>125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126</v>
      </c>
      <c r="BJ1" t="s">
        <v>109</v>
      </c>
      <c r="BK1" t="s">
        <v>57</v>
      </c>
      <c r="BL1" t="s">
        <v>110</v>
      </c>
      <c r="BM1" t="s">
        <v>111</v>
      </c>
      <c r="BN1" t="s">
        <v>112</v>
      </c>
      <c r="BO1" t="s">
        <v>113</v>
      </c>
      <c r="BP1" t="s">
        <v>59</v>
      </c>
      <c r="BQ1" t="s">
        <v>60</v>
      </c>
      <c r="BR1" t="s">
        <v>61</v>
      </c>
      <c r="BS1" t="s">
        <v>114</v>
      </c>
      <c r="BT1" t="s">
        <v>62</v>
      </c>
      <c r="BU1" t="s">
        <v>63</v>
      </c>
      <c r="BV1" t="s">
        <v>64</v>
      </c>
      <c r="BW1" t="s">
        <v>115</v>
      </c>
      <c r="BX1" t="s">
        <v>65</v>
      </c>
      <c r="BY1" t="s">
        <v>66</v>
      </c>
      <c r="BZ1" t="s">
        <v>116</v>
      </c>
      <c r="CA1" t="s">
        <v>67</v>
      </c>
      <c r="CB1" t="s">
        <v>68</v>
      </c>
      <c r="CC1" t="s">
        <v>127</v>
      </c>
      <c r="CD1" t="s">
        <v>128</v>
      </c>
      <c r="CE1" t="s">
        <v>129</v>
      </c>
      <c r="CF1" t="s">
        <v>130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28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87</v>
      </c>
      <c r="DN1" t="s">
        <v>88</v>
      </c>
      <c r="DO1" s="2" t="s">
        <v>89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4" customFormat="1" ht="71.55" customHeight="1" x14ac:dyDescent="0.25">
      <c r="A2" s="20" t="s">
        <v>694</v>
      </c>
      <c r="B2" s="21"/>
      <c r="C2" s="22">
        <v>3</v>
      </c>
      <c r="D2" s="22">
        <v>22</v>
      </c>
      <c r="T2" s="16"/>
      <c r="U2" s="16"/>
      <c r="V2" s="16"/>
      <c r="AB2" s="17"/>
    </row>
    <row r="3" spans="1:147" ht="172.8" x14ac:dyDescent="0.25">
      <c r="B3" s="23"/>
      <c r="C3" s="23"/>
      <c r="D3" s="23" t="s">
        <v>739</v>
      </c>
      <c r="E3" t="s">
        <v>575</v>
      </c>
      <c r="F3" t="s">
        <v>576</v>
      </c>
      <c r="G3">
        <v>5.19</v>
      </c>
      <c r="H3">
        <v>1.7600000000000001E-2</v>
      </c>
      <c r="I3" t="s">
        <v>577</v>
      </c>
      <c r="J3">
        <v>949878870000</v>
      </c>
      <c r="K3">
        <v>6.92</v>
      </c>
      <c r="L3">
        <v>0.70699999999999996</v>
      </c>
      <c r="M3" t="s">
        <v>578</v>
      </c>
      <c r="N3" t="s">
        <v>695</v>
      </c>
      <c r="O3" t="s">
        <v>696</v>
      </c>
      <c r="P3" t="s">
        <v>697</v>
      </c>
      <c r="Q3">
        <v>30.58</v>
      </c>
      <c r="R3" t="s">
        <v>698</v>
      </c>
      <c r="S3">
        <v>120266000000</v>
      </c>
      <c r="T3" s="24">
        <v>0.60089999999999999</v>
      </c>
      <c r="U3" t="s">
        <v>699</v>
      </c>
      <c r="V3">
        <v>161922080000</v>
      </c>
      <c r="W3">
        <v>183020980000</v>
      </c>
      <c r="X3">
        <v>1.85</v>
      </c>
      <c r="Y3">
        <v>0.93</v>
      </c>
      <c r="Z3">
        <v>5.44</v>
      </c>
      <c r="AA3" t="s">
        <v>700</v>
      </c>
      <c r="AB3" t="s">
        <v>701</v>
      </c>
      <c r="AC3" t="s">
        <v>702</v>
      </c>
      <c r="AD3" t="s">
        <v>703</v>
      </c>
      <c r="AE3" t="s">
        <v>704</v>
      </c>
      <c r="AF3">
        <v>15086000000</v>
      </c>
      <c r="AG3" t="s">
        <v>705</v>
      </c>
      <c r="AH3" t="s">
        <v>706</v>
      </c>
      <c r="AI3" t="s">
        <v>707</v>
      </c>
      <c r="AJ3" t="s">
        <v>708</v>
      </c>
      <c r="AK3" t="s">
        <v>709</v>
      </c>
      <c r="AL3" t="s">
        <v>167</v>
      </c>
      <c r="AM3" t="s">
        <v>710</v>
      </c>
      <c r="AN3" t="s">
        <v>167</v>
      </c>
      <c r="AO3" t="s">
        <v>711</v>
      </c>
      <c r="AP3" t="s">
        <v>712</v>
      </c>
      <c r="AQ3" t="s">
        <v>713</v>
      </c>
      <c r="AR3" t="s">
        <v>714</v>
      </c>
      <c r="AS3" t="s">
        <v>167</v>
      </c>
      <c r="AT3" t="s">
        <v>715</v>
      </c>
      <c r="AU3" t="s">
        <v>716</v>
      </c>
      <c r="AV3" t="s">
        <v>717</v>
      </c>
      <c r="AW3" t="s">
        <v>718</v>
      </c>
      <c r="AX3" t="s">
        <v>719</v>
      </c>
      <c r="AY3" t="s">
        <v>720</v>
      </c>
      <c r="AZ3" t="s">
        <v>721</v>
      </c>
      <c r="BA3" t="s">
        <v>722</v>
      </c>
      <c r="BB3" t="s">
        <v>723</v>
      </c>
      <c r="BC3" t="s">
        <v>724</v>
      </c>
      <c r="BD3" t="s">
        <v>725</v>
      </c>
      <c r="BE3" t="s">
        <v>726</v>
      </c>
      <c r="BF3" t="s">
        <v>727</v>
      </c>
      <c r="BG3" t="s">
        <v>728</v>
      </c>
      <c r="BH3" t="s">
        <v>729</v>
      </c>
      <c r="BI3" t="s">
        <v>730</v>
      </c>
      <c r="BJ3" t="s">
        <v>731</v>
      </c>
      <c r="BK3" t="s">
        <v>732</v>
      </c>
      <c r="BL3" t="s">
        <v>733</v>
      </c>
      <c r="BM3" t="s">
        <v>734</v>
      </c>
      <c r="BN3" t="s">
        <v>735</v>
      </c>
      <c r="BO3">
        <v>7.47</v>
      </c>
      <c r="BP3">
        <v>3.27</v>
      </c>
      <c r="BQ3">
        <v>5.24</v>
      </c>
      <c r="BR3">
        <v>7.4</v>
      </c>
      <c r="BS3">
        <v>1.6</v>
      </c>
      <c r="BT3">
        <v>3.7</v>
      </c>
      <c r="BU3" t="s">
        <v>736</v>
      </c>
      <c r="BV3" t="s">
        <v>737</v>
      </c>
      <c r="BW3">
        <v>21.75</v>
      </c>
      <c r="BX3">
        <v>20.02</v>
      </c>
      <c r="BY3">
        <v>20.440000000000001</v>
      </c>
      <c r="BZ3">
        <v>5.68</v>
      </c>
      <c r="CA3">
        <v>1.73</v>
      </c>
      <c r="CB3">
        <v>2.66</v>
      </c>
      <c r="CC3">
        <v>1.96</v>
      </c>
      <c r="CD3">
        <v>0.78</v>
      </c>
      <c r="CE3" t="s">
        <v>247</v>
      </c>
      <c r="CF3" t="s">
        <v>738</v>
      </c>
      <c r="CG3" s="25">
        <v>0.22964197964197963</v>
      </c>
      <c r="CH3" s="26">
        <v>0.71502309155120891</v>
      </c>
      <c r="CI3" s="25">
        <v>0.35189798474311829</v>
      </c>
      <c r="CJ3" s="25">
        <v>-0.23163208365440369</v>
      </c>
      <c r="CK3" s="25">
        <v>5.9738926589488983E-2</v>
      </c>
      <c r="CL3" s="25">
        <v>0.17810691893100739</v>
      </c>
      <c r="CM3" s="25">
        <v>0.24675999581813812</v>
      </c>
      <c r="CN3" s="26">
        <v>3.8500685691833496</v>
      </c>
      <c r="CO3" s="26">
        <v>-0.58399194478988647</v>
      </c>
      <c r="CP3" s="26">
        <v>-0.13865736126899719</v>
      </c>
      <c r="CQ3" s="26">
        <v>1.3265913724899292</v>
      </c>
      <c r="CR3" s="26">
        <v>1.8851898908615112</v>
      </c>
      <c r="CS3">
        <v>0.3633328488277579</v>
      </c>
      <c r="CT3">
        <v>140631069.54134613</v>
      </c>
      <c r="CU3">
        <v>1.8539499036608862</v>
      </c>
      <c r="CV3" s="25">
        <v>0.12097434848546981</v>
      </c>
      <c r="CW3" s="26">
        <v>1.2678401052951813</v>
      </c>
      <c r="CX3">
        <v>0.06</v>
      </c>
      <c r="CY3">
        <v>7.3619165750211097</v>
      </c>
      <c r="CZ3">
        <v>97462374462.989975</v>
      </c>
      <c r="DA3">
        <v>0.12097434848546981</v>
      </c>
      <c r="DB3">
        <v>2.343743037515484</v>
      </c>
      <c r="DC3">
        <v>306138453966.61139</v>
      </c>
      <c r="DD3">
        <v>0.11492563106119631</v>
      </c>
      <c r="DE3">
        <v>1.1136887779125204</v>
      </c>
      <c r="DF3">
        <v>644264254278.37073</v>
      </c>
      <c r="DG3">
        <v>0.10645742666721343</v>
      </c>
      <c r="DH3">
        <v>0.64228014696666202</v>
      </c>
      <c r="DI3">
        <v>1117129142771.4685</v>
      </c>
      <c r="DJ3">
        <v>9.6779478788375853E-2</v>
      </c>
      <c r="DK3">
        <v>0.30301761348596085</v>
      </c>
      <c r="DL3">
        <v>2367881727222.5762</v>
      </c>
      <c r="DM3">
        <v>8.4682043939828866E-2</v>
      </c>
      <c r="DN3">
        <v>92161000000</v>
      </c>
      <c r="DO3">
        <v>0.12097434848546981</v>
      </c>
      <c r="DP3">
        <v>717509870000</v>
      </c>
      <c r="DQ3">
        <v>16016000000</v>
      </c>
      <c r="DR3">
        <v>3701</v>
      </c>
      <c r="DS3">
        <v>0.10866763115650982</v>
      </c>
      <c r="DT3">
        <v>-0.55281701374397241</v>
      </c>
      <c r="DU3" s="27">
        <v>0.6</v>
      </c>
      <c r="DV3">
        <v>0.6</v>
      </c>
      <c r="DW3">
        <v>1.2</v>
      </c>
      <c r="DX3">
        <v>7.8000000000000005E-3</v>
      </c>
      <c r="DY3">
        <v>0.69072259620784648</v>
      </c>
      <c r="DZ3">
        <v>1.5656362504212285E-3</v>
      </c>
      <c r="EA3">
        <v>203</v>
      </c>
      <c r="EB3">
        <v>1.5010640929983294E-3</v>
      </c>
      <c r="EC3">
        <v>0</v>
      </c>
      <c r="ED3">
        <v>2.7319272358830118E-3</v>
      </c>
      <c r="EE3">
        <v>1.3610461489169166E-2</v>
      </c>
      <c r="EF3" s="28">
        <v>3.1109999999999995E-2</v>
      </c>
      <c r="EG3">
        <v>3.0934E-2</v>
      </c>
      <c r="EH3">
        <v>49.200722596207846</v>
      </c>
      <c r="EI3">
        <v>-1</v>
      </c>
      <c r="EJ3">
        <v>0</v>
      </c>
      <c r="EK3">
        <v>1</v>
      </c>
      <c r="EL3" s="29">
        <v>44946</v>
      </c>
      <c r="EM3" s="30">
        <v>3.8999999999999998E-3</v>
      </c>
      <c r="EN3" s="30">
        <v>-0.59</v>
      </c>
      <c r="EO3" s="30">
        <v>0.2</v>
      </c>
      <c r="EP3" s="30">
        <v>0.2</v>
      </c>
      <c r="EQ3" s="30">
        <v>1.7600000000000001E-2</v>
      </c>
    </row>
    <row r="4" spans="1:147" ht="172.8" x14ac:dyDescent="0.25">
      <c r="D4" s="23" t="s">
        <v>783</v>
      </c>
      <c r="E4" t="s">
        <v>579</v>
      </c>
      <c r="F4" t="s">
        <v>580</v>
      </c>
      <c r="G4">
        <v>4.54</v>
      </c>
      <c r="H4">
        <v>1.11E-2</v>
      </c>
      <c r="I4" t="s">
        <v>274</v>
      </c>
      <c r="J4">
        <v>544329690000</v>
      </c>
      <c r="K4">
        <v>8.02</v>
      </c>
      <c r="L4">
        <v>0.70399999999999996</v>
      </c>
      <c r="M4" t="s">
        <v>578</v>
      </c>
      <c r="N4" t="s">
        <v>740</v>
      </c>
      <c r="O4" t="s">
        <v>741</v>
      </c>
      <c r="P4" t="s">
        <v>742</v>
      </c>
      <c r="Q4">
        <v>22.56</v>
      </c>
      <c r="R4" t="s">
        <v>743</v>
      </c>
      <c r="S4">
        <v>56660000000</v>
      </c>
      <c r="T4" s="24">
        <v>-5.6099999999999997E-2</v>
      </c>
      <c r="U4" t="s">
        <v>744</v>
      </c>
      <c r="V4">
        <v>95557771000</v>
      </c>
      <c r="W4">
        <v>121016796000</v>
      </c>
      <c r="X4">
        <v>2.2200000000000002</v>
      </c>
      <c r="Y4">
        <v>1.25</v>
      </c>
      <c r="Z4">
        <v>2.56</v>
      </c>
      <c r="AA4" t="s">
        <v>745</v>
      </c>
      <c r="AB4" t="s">
        <v>746</v>
      </c>
      <c r="AC4" t="s">
        <v>747</v>
      </c>
      <c r="AD4" t="s">
        <v>748</v>
      </c>
      <c r="AE4" t="s">
        <v>749</v>
      </c>
      <c r="AF4">
        <v>7941000000</v>
      </c>
      <c r="AG4" t="s">
        <v>750</v>
      </c>
      <c r="AH4" t="s">
        <v>751</v>
      </c>
      <c r="AI4" t="s">
        <v>752</v>
      </c>
      <c r="AJ4" t="s">
        <v>753</v>
      </c>
      <c r="AK4" t="s">
        <v>754</v>
      </c>
      <c r="AL4" t="s">
        <v>167</v>
      </c>
      <c r="AM4" t="s">
        <v>755</v>
      </c>
      <c r="AN4" t="s">
        <v>167</v>
      </c>
      <c r="AO4" t="s">
        <v>756</v>
      </c>
      <c r="AP4" t="s">
        <v>757</v>
      </c>
      <c r="AQ4" t="s">
        <v>758</v>
      </c>
      <c r="AR4" t="s">
        <v>759</v>
      </c>
      <c r="AS4" t="s">
        <v>167</v>
      </c>
      <c r="AT4" t="s">
        <v>760</v>
      </c>
      <c r="AU4" t="s">
        <v>761</v>
      </c>
      <c r="AV4" t="s">
        <v>762</v>
      </c>
      <c r="AW4" t="s">
        <v>763</v>
      </c>
      <c r="AX4" t="s">
        <v>764</v>
      </c>
      <c r="AY4" t="s">
        <v>765</v>
      </c>
      <c r="AZ4" t="s">
        <v>766</v>
      </c>
      <c r="BA4" t="s">
        <v>767</v>
      </c>
      <c r="BB4" t="s">
        <v>768</v>
      </c>
      <c r="BC4" t="s">
        <v>769</v>
      </c>
      <c r="BD4" t="s">
        <v>770</v>
      </c>
      <c r="BE4" t="s">
        <v>771</v>
      </c>
      <c r="BF4" t="s">
        <v>772</v>
      </c>
      <c r="BG4" t="s">
        <v>773</v>
      </c>
      <c r="BH4" t="s">
        <v>774</v>
      </c>
      <c r="BI4" t="s">
        <v>775</v>
      </c>
      <c r="BJ4" t="s">
        <v>776</v>
      </c>
      <c r="BK4" t="s">
        <v>777</v>
      </c>
      <c r="BL4" t="s">
        <v>778</v>
      </c>
      <c r="BM4" t="s">
        <v>779</v>
      </c>
      <c r="BN4" t="s">
        <v>780</v>
      </c>
      <c r="BO4">
        <v>8.3699999999999992</v>
      </c>
      <c r="BP4">
        <v>4.1500000000000004</v>
      </c>
      <c r="BQ4">
        <v>7.14</v>
      </c>
      <c r="BR4">
        <v>9.35</v>
      </c>
      <c r="BS4">
        <v>4.4400000000000004</v>
      </c>
      <c r="BT4">
        <v>7.9</v>
      </c>
      <c r="BU4" t="s">
        <v>781</v>
      </c>
      <c r="BV4" t="s">
        <v>737</v>
      </c>
      <c r="BW4">
        <v>17.45</v>
      </c>
      <c r="BX4">
        <v>19.829999999999998</v>
      </c>
      <c r="BY4">
        <v>16.09</v>
      </c>
      <c r="BZ4">
        <v>3.07</v>
      </c>
      <c r="CA4">
        <v>1.98</v>
      </c>
      <c r="CB4">
        <v>2.4300000000000002</v>
      </c>
      <c r="CC4">
        <v>2.02</v>
      </c>
      <c r="CD4">
        <v>0.22</v>
      </c>
      <c r="CE4" t="s">
        <v>286</v>
      </c>
      <c r="CF4" t="s">
        <v>782</v>
      </c>
      <c r="CG4" s="25">
        <v>0.13534291244105284</v>
      </c>
      <c r="CH4" s="26">
        <v>-0.362714167839635</v>
      </c>
      <c r="CI4" s="25">
        <v>0.30225342512130737</v>
      </c>
      <c r="CJ4" s="25">
        <v>-0.28889629244804382</v>
      </c>
      <c r="CK4" s="25">
        <v>2.3734213784337044E-2</v>
      </c>
      <c r="CL4" s="25">
        <v>0.22497567534446716</v>
      </c>
      <c r="CM4" s="25">
        <v>0.22232098877429962</v>
      </c>
      <c r="CN4" s="26">
        <v>1.1402424573898315</v>
      </c>
      <c r="CO4" s="26">
        <v>-0.42256897687911987</v>
      </c>
      <c r="CP4" s="26">
        <v>-8.6702898144721985E-2</v>
      </c>
      <c r="CQ4" s="26">
        <v>0.23415948450565338</v>
      </c>
      <c r="CR4" s="26">
        <v>0.10132288187742233</v>
      </c>
      <c r="CS4">
        <v>0.19859639809638058</v>
      </c>
      <c r="CT4">
        <v>77873272.665992588</v>
      </c>
      <c r="CU4">
        <v>6.8281938325991192</v>
      </c>
      <c r="CV4" s="25">
        <v>9.6877602115273478E-2</v>
      </c>
      <c r="CW4" s="26">
        <v>0.19329058974981309</v>
      </c>
      <c r="CX4">
        <v>0.06</v>
      </c>
      <c r="CY4">
        <v>10.093930367070564</v>
      </c>
      <c r="CZ4">
        <v>73685339897.570175</v>
      </c>
      <c r="DA4">
        <v>9.6877602115273478E-2</v>
      </c>
      <c r="DB4">
        <v>3.2794625126950194</v>
      </c>
      <c r="DC4">
        <v>226797741130.07791</v>
      </c>
      <c r="DD4">
        <v>9.2033722009509794E-2</v>
      </c>
      <c r="DE4">
        <v>1.6018557105668889</v>
      </c>
      <c r="DF4">
        <v>464320653285.79541</v>
      </c>
      <c r="DG4">
        <v>8.5252289861440664E-2</v>
      </c>
      <c r="DH4">
        <v>0.95348720650330698</v>
      </c>
      <c r="DI4">
        <v>780057335774.45776</v>
      </c>
      <c r="DJ4">
        <v>7.7502081692218783E-2</v>
      </c>
      <c r="DK4">
        <v>0.48305821036934921</v>
      </c>
      <c r="DL4">
        <v>1539720625866.8191</v>
      </c>
      <c r="DM4">
        <v>6.7814321480691428E-2</v>
      </c>
      <c r="DN4">
        <v>71208000000</v>
      </c>
      <c r="DO4">
        <v>9.6877602115273478E-2</v>
      </c>
      <c r="DP4">
        <v>743774689999.99988</v>
      </c>
      <c r="DQ4">
        <v>-107498000000</v>
      </c>
      <c r="DR4">
        <v>2765</v>
      </c>
      <c r="DS4">
        <v>3.8465310325779364E-2</v>
      </c>
      <c r="DT4">
        <v>-0.55600475758944812</v>
      </c>
      <c r="DU4" s="27">
        <v>0.6</v>
      </c>
      <c r="DV4">
        <v>0</v>
      </c>
      <c r="DW4">
        <v>0.6</v>
      </c>
      <c r="DX4">
        <v>2.2000000000000001E-3</v>
      </c>
      <c r="DY4">
        <v>0.49632075471698073</v>
      </c>
      <c r="DZ4">
        <v>4.099056603773585E-4</v>
      </c>
      <c r="EA4">
        <v>1368</v>
      </c>
      <c r="EB4">
        <v>2.9597820336877941E-4</v>
      </c>
      <c r="EC4">
        <v>0</v>
      </c>
      <c r="ED4">
        <v>3.9168116795952855E-3</v>
      </c>
      <c r="EE4">
        <v>2.1021875343650645E-2</v>
      </c>
      <c r="EF4" s="28">
        <v>8.709999999999999E-3</v>
      </c>
      <c r="EG4">
        <v>8.598999999999999E-3</v>
      </c>
      <c r="EH4">
        <v>31.186320754716981</v>
      </c>
      <c r="EI4" t="s">
        <v>180</v>
      </c>
      <c r="EJ4">
        <v>0</v>
      </c>
      <c r="EK4">
        <v>1</v>
      </c>
      <c r="EL4" s="29">
        <v>44946</v>
      </c>
      <c r="EM4" s="30">
        <v>4.4999999999999997E-3</v>
      </c>
      <c r="EN4" s="30">
        <v>-0.45</v>
      </c>
      <c r="EO4" s="30">
        <v>0.45</v>
      </c>
      <c r="EP4" s="30">
        <v>0.45</v>
      </c>
      <c r="EQ4" s="30">
        <v>1.11E-2</v>
      </c>
    </row>
    <row r="5" spans="1:147" ht="172.8" x14ac:dyDescent="0.25">
      <c r="B5" s="23"/>
      <c r="C5" s="23"/>
      <c r="D5" s="23" t="s">
        <v>826</v>
      </c>
      <c r="E5" t="s">
        <v>581</v>
      </c>
      <c r="F5" t="s">
        <v>582</v>
      </c>
      <c r="G5">
        <v>12.72</v>
      </c>
      <c r="H5">
        <v>2.5000000000000001E-2</v>
      </c>
      <c r="I5" t="s">
        <v>583</v>
      </c>
      <c r="J5">
        <v>128796678000</v>
      </c>
      <c r="K5">
        <v>15.8</v>
      </c>
      <c r="L5">
        <v>2.6</v>
      </c>
      <c r="M5" t="s">
        <v>578</v>
      </c>
      <c r="N5" t="s">
        <v>784</v>
      </c>
      <c r="O5" t="s">
        <v>785</v>
      </c>
      <c r="P5" t="s">
        <v>786</v>
      </c>
      <c r="Q5">
        <v>74.03</v>
      </c>
      <c r="R5" t="s">
        <v>787</v>
      </c>
      <c r="S5">
        <v>5450590400</v>
      </c>
      <c r="T5" s="24">
        <v>-0.46150000000000002</v>
      </c>
      <c r="U5" t="s">
        <v>788</v>
      </c>
      <c r="V5">
        <v>9498281300</v>
      </c>
      <c r="W5">
        <v>10125525000</v>
      </c>
      <c r="X5">
        <v>3.49</v>
      </c>
      <c r="Y5">
        <v>0.65</v>
      </c>
      <c r="Z5">
        <v>4.45</v>
      </c>
      <c r="AA5" t="s">
        <v>789</v>
      </c>
      <c r="AB5" t="s">
        <v>790</v>
      </c>
      <c r="AC5" t="s">
        <v>791</v>
      </c>
      <c r="AD5" t="s">
        <v>792</v>
      </c>
      <c r="AE5" t="s">
        <v>793</v>
      </c>
      <c r="AF5">
        <v>3860848100</v>
      </c>
      <c r="AG5" t="s">
        <v>794</v>
      </c>
      <c r="AH5" t="s">
        <v>795</v>
      </c>
      <c r="AI5" t="s">
        <v>796</v>
      </c>
      <c r="AJ5" t="s">
        <v>797</v>
      </c>
      <c r="AK5" t="s">
        <v>798</v>
      </c>
      <c r="AL5" t="s">
        <v>167</v>
      </c>
      <c r="AM5" t="s">
        <v>799</v>
      </c>
      <c r="AN5" t="s">
        <v>167</v>
      </c>
      <c r="AO5" t="s">
        <v>800</v>
      </c>
      <c r="AP5" t="s">
        <v>801</v>
      </c>
      <c r="AQ5" t="s">
        <v>802</v>
      </c>
      <c r="AR5" t="s">
        <v>803</v>
      </c>
      <c r="AS5" t="s">
        <v>167</v>
      </c>
      <c r="AT5" t="s">
        <v>804</v>
      </c>
      <c r="AU5" t="s">
        <v>805</v>
      </c>
      <c r="AV5" t="s">
        <v>806</v>
      </c>
      <c r="AW5" t="s">
        <v>807</v>
      </c>
      <c r="AX5" t="s">
        <v>808</v>
      </c>
      <c r="AY5" t="s">
        <v>809</v>
      </c>
      <c r="AZ5" t="s">
        <v>810</v>
      </c>
      <c r="BA5" t="s">
        <v>811</v>
      </c>
      <c r="BB5" t="s">
        <v>812</v>
      </c>
      <c r="BC5" t="s">
        <v>813</v>
      </c>
      <c r="BD5" t="s">
        <v>814</v>
      </c>
      <c r="BE5" t="s">
        <v>815</v>
      </c>
      <c r="BF5" t="s">
        <v>816</v>
      </c>
      <c r="BG5" t="s">
        <v>817</v>
      </c>
      <c r="BH5" t="s">
        <v>818</v>
      </c>
      <c r="BI5" t="s">
        <v>819</v>
      </c>
      <c r="BJ5" t="s">
        <v>820</v>
      </c>
      <c r="BK5" t="s">
        <v>821</v>
      </c>
      <c r="BL5" t="s">
        <v>822</v>
      </c>
      <c r="BM5" t="s">
        <v>823</v>
      </c>
      <c r="BN5" t="s">
        <v>824</v>
      </c>
      <c r="BO5">
        <v>11.51</v>
      </c>
      <c r="BP5">
        <v>9</v>
      </c>
      <c r="BQ5">
        <v>2.4500000000000002</v>
      </c>
      <c r="BR5">
        <v>29.95</v>
      </c>
      <c r="BS5">
        <v>26.34</v>
      </c>
      <c r="BT5">
        <v>10.18</v>
      </c>
      <c r="BU5" t="s">
        <v>287</v>
      </c>
      <c r="BV5" t="s">
        <v>737</v>
      </c>
      <c r="BW5">
        <v>16.829999999999998</v>
      </c>
      <c r="BX5">
        <v>19.71</v>
      </c>
      <c r="BY5">
        <v>6.83</v>
      </c>
      <c r="BZ5">
        <v>6.55</v>
      </c>
      <c r="CA5">
        <v>12.47</v>
      </c>
      <c r="CB5">
        <v>3.58</v>
      </c>
      <c r="CC5">
        <v>11.68</v>
      </c>
      <c r="CD5">
        <v>-3.64</v>
      </c>
      <c r="CE5" t="s">
        <v>184</v>
      </c>
      <c r="CF5" t="s">
        <v>825</v>
      </c>
      <c r="CG5" s="25">
        <v>0.72426581517990252</v>
      </c>
      <c r="CH5" s="26">
        <v>-0.97649313835770524</v>
      </c>
      <c r="CI5" s="25">
        <v>0.65034270286560059</v>
      </c>
      <c r="CJ5" s="25">
        <v>0.30018177628517151</v>
      </c>
      <c r="CK5" s="25">
        <v>-9.7620956599712372E-2</v>
      </c>
      <c r="CL5" s="25">
        <v>0.2691042423248291</v>
      </c>
      <c r="CM5" s="25">
        <v>0.5832398533821106</v>
      </c>
      <c r="CN5" s="26">
        <v>0.75454920530319214</v>
      </c>
      <c r="CO5" s="26">
        <v>2.3117353916168213</v>
      </c>
      <c r="CP5" s="26">
        <v>0.37251248955726624</v>
      </c>
      <c r="CQ5" s="26">
        <v>-0.20277643203735352</v>
      </c>
      <c r="CR5" s="26">
        <v>4.9974039196968079E-2</v>
      </c>
      <c r="CS5">
        <v>0.72756619441431669</v>
      </c>
      <c r="CT5">
        <v>42142308.951965064</v>
      </c>
      <c r="CU5">
        <v>1.1792452830188678</v>
      </c>
      <c r="CV5" s="25">
        <v>0.34104952365159991</v>
      </c>
      <c r="CW5" s="26">
        <v>0.65719893872737889</v>
      </c>
      <c r="CX5">
        <v>0.06</v>
      </c>
      <c r="CY5">
        <v>17.148285301251434</v>
      </c>
      <c r="CZ5">
        <v>16224168954.064259</v>
      </c>
      <c r="DA5">
        <v>0.34104952365159991</v>
      </c>
      <c r="DB5">
        <v>4.5598016234798813</v>
      </c>
      <c r="DC5">
        <v>61015083763.156067</v>
      </c>
      <c r="DD5">
        <v>0.32399704746901992</v>
      </c>
      <c r="DE5">
        <v>1.6663174605489137</v>
      </c>
      <c r="DF5">
        <v>166964989917.55786</v>
      </c>
      <c r="DG5">
        <v>0.3001235808134079</v>
      </c>
      <c r="DH5">
        <v>0.69328252409035673</v>
      </c>
      <c r="DI5">
        <v>401303463353.62048</v>
      </c>
      <c r="DJ5">
        <v>0.27283961892127995</v>
      </c>
      <c r="DK5">
        <v>0.1451532917879009</v>
      </c>
      <c r="DL5">
        <v>1916709394414.0952</v>
      </c>
      <c r="DM5">
        <v>0.23873466655611991</v>
      </c>
      <c r="DN5">
        <v>12824000000</v>
      </c>
      <c r="DO5">
        <v>0.34104952365159991</v>
      </c>
      <c r="DP5">
        <v>278216678000</v>
      </c>
      <c r="DQ5">
        <v>-46320433000</v>
      </c>
      <c r="DR5">
        <v>991</v>
      </c>
      <c r="DS5">
        <v>0.38321629152830261</v>
      </c>
      <c r="DT5">
        <v>-1.633692077085084</v>
      </c>
      <c r="DU5" s="27">
        <v>0.6</v>
      </c>
      <c r="DV5">
        <v>-0.22</v>
      </c>
      <c r="DW5">
        <v>0.38</v>
      </c>
      <c r="DX5">
        <v>5.3116438356164384</v>
      </c>
      <c r="DY5">
        <v>0.3778932178932165</v>
      </c>
      <c r="DZ5">
        <v>5.0679050781790504</v>
      </c>
      <c r="EA5">
        <v>439</v>
      </c>
      <c r="EB5">
        <v>5.0618485301659248</v>
      </c>
      <c r="EC5">
        <v>5</v>
      </c>
      <c r="ED5">
        <v>1.4912806990254827E-2</v>
      </c>
      <c r="EE5">
        <v>6.8440895657262218E-2</v>
      </c>
      <c r="EF5" s="28">
        <v>2.7010000000000003E-2</v>
      </c>
      <c r="EG5">
        <v>2.6759999999999999E-2</v>
      </c>
      <c r="EH5">
        <v>16.217893217893216</v>
      </c>
      <c r="EI5" t="s">
        <v>180</v>
      </c>
      <c r="EJ5">
        <v>1</v>
      </c>
      <c r="EK5">
        <v>1</v>
      </c>
      <c r="EL5" s="29">
        <v>44946</v>
      </c>
      <c r="EM5" s="30">
        <v>6.6699999999999995E-2</v>
      </c>
      <c r="EN5" s="30">
        <v>2.06</v>
      </c>
      <c r="EO5" s="30">
        <v>-0.56000000000000005</v>
      </c>
      <c r="EP5" s="30">
        <v>0.65</v>
      </c>
      <c r="EQ5" s="30">
        <v>2.5000000000000001E-2</v>
      </c>
    </row>
    <row r="6" spans="1:147" ht="162" x14ac:dyDescent="0.25">
      <c r="B6" s="23"/>
      <c r="C6" s="23"/>
      <c r="D6" s="23" t="s">
        <v>870</v>
      </c>
      <c r="E6" t="s">
        <v>584</v>
      </c>
      <c r="F6" t="s">
        <v>585</v>
      </c>
      <c r="G6">
        <v>16.899999999999999</v>
      </c>
      <c r="H6">
        <v>1.0800000000000001E-2</v>
      </c>
      <c r="I6" t="s">
        <v>586</v>
      </c>
      <c r="J6">
        <v>118960786000</v>
      </c>
      <c r="K6">
        <v>13.36</v>
      </c>
      <c r="L6">
        <v>2.09</v>
      </c>
      <c r="M6" t="s">
        <v>578</v>
      </c>
      <c r="N6" t="s">
        <v>827</v>
      </c>
      <c r="O6" t="s">
        <v>828</v>
      </c>
      <c r="P6" t="s">
        <v>829</v>
      </c>
      <c r="Q6">
        <v>12.46</v>
      </c>
      <c r="R6" t="s">
        <v>830</v>
      </c>
      <c r="S6">
        <v>6086688800</v>
      </c>
      <c r="T6" s="24">
        <v>-0.5212</v>
      </c>
      <c r="U6" t="s">
        <v>831</v>
      </c>
      <c r="V6">
        <v>7039099800</v>
      </c>
      <c r="W6">
        <v>7039099800</v>
      </c>
      <c r="X6">
        <v>4.33</v>
      </c>
      <c r="Y6">
        <v>0.75</v>
      </c>
      <c r="Z6">
        <v>3.58</v>
      </c>
      <c r="AA6" t="s">
        <v>832</v>
      </c>
      <c r="AB6" t="s">
        <v>833</v>
      </c>
      <c r="AC6" t="s">
        <v>834</v>
      </c>
      <c r="AD6" t="s">
        <v>835</v>
      </c>
      <c r="AE6" t="s">
        <v>836</v>
      </c>
      <c r="AF6">
        <v>4220087900</v>
      </c>
      <c r="AG6" t="s">
        <v>837</v>
      </c>
      <c r="AH6" t="s">
        <v>838</v>
      </c>
      <c r="AI6" t="s">
        <v>839</v>
      </c>
      <c r="AJ6" t="s">
        <v>840</v>
      </c>
      <c r="AK6" t="s">
        <v>841</v>
      </c>
      <c r="AL6" t="s">
        <v>842</v>
      </c>
      <c r="AM6" t="s">
        <v>843</v>
      </c>
      <c r="AN6" t="s">
        <v>167</v>
      </c>
      <c r="AO6" t="s">
        <v>844</v>
      </c>
      <c r="AP6" t="s">
        <v>845</v>
      </c>
      <c r="AQ6" t="s">
        <v>846</v>
      </c>
      <c r="AR6" t="s">
        <v>847</v>
      </c>
      <c r="AS6" t="s">
        <v>167</v>
      </c>
      <c r="AT6" t="s">
        <v>848</v>
      </c>
      <c r="AU6" t="s">
        <v>849</v>
      </c>
      <c r="AV6" t="s">
        <v>850</v>
      </c>
      <c r="AW6" t="s">
        <v>851</v>
      </c>
      <c r="AX6" t="s">
        <v>852</v>
      </c>
      <c r="AY6" t="s">
        <v>853</v>
      </c>
      <c r="AZ6" t="s">
        <v>854</v>
      </c>
      <c r="BA6" t="s">
        <v>855</v>
      </c>
      <c r="BB6" t="s">
        <v>856</v>
      </c>
      <c r="BC6" t="s">
        <v>857</v>
      </c>
      <c r="BD6" t="s">
        <v>858</v>
      </c>
      <c r="BE6" t="s">
        <v>859</v>
      </c>
      <c r="BF6" t="s">
        <v>191</v>
      </c>
      <c r="BG6" t="s">
        <v>436</v>
      </c>
      <c r="BH6" t="s">
        <v>860</v>
      </c>
      <c r="BI6" t="s">
        <v>861</v>
      </c>
      <c r="BJ6" t="s">
        <v>862</v>
      </c>
      <c r="BK6" t="s">
        <v>863</v>
      </c>
      <c r="BL6" t="s">
        <v>864</v>
      </c>
      <c r="BM6" t="s">
        <v>865</v>
      </c>
      <c r="BN6" t="s">
        <v>866</v>
      </c>
      <c r="BO6">
        <v>11.34</v>
      </c>
      <c r="BP6">
        <v>11.53</v>
      </c>
      <c r="BQ6">
        <v>10.53</v>
      </c>
      <c r="BR6">
        <v>30.07</v>
      </c>
      <c r="BS6">
        <v>32.549999999999997</v>
      </c>
      <c r="BT6">
        <v>31.77</v>
      </c>
      <c r="BU6" t="s">
        <v>867</v>
      </c>
      <c r="BV6" t="s">
        <v>737</v>
      </c>
      <c r="BW6">
        <v>14.07</v>
      </c>
      <c r="BX6">
        <v>18.54</v>
      </c>
      <c r="BY6">
        <v>20.75</v>
      </c>
      <c r="BZ6">
        <v>6.74</v>
      </c>
      <c r="CA6">
        <v>8.86</v>
      </c>
      <c r="CB6">
        <v>10.029999999999999</v>
      </c>
      <c r="CC6">
        <v>5.36</v>
      </c>
      <c r="CD6">
        <v>-2.59</v>
      </c>
      <c r="CE6" t="s">
        <v>868</v>
      </c>
      <c r="CF6" t="s">
        <v>869</v>
      </c>
      <c r="CG6" s="25">
        <v>9.1381647660662896E-2</v>
      </c>
      <c r="CH6" s="26">
        <v>-1.4764892383292385</v>
      </c>
      <c r="CI6" s="25">
        <v>0.29942312836647034</v>
      </c>
      <c r="CJ6" s="25">
        <v>0.51190692186355591</v>
      </c>
      <c r="CK6" s="25">
        <v>0.6778264045715332</v>
      </c>
      <c r="CL6" s="25">
        <v>0.2650744616985321</v>
      </c>
      <c r="CM6" s="25">
        <v>1.4678275585174561</v>
      </c>
      <c r="CN6" s="26">
        <v>0.15369188785552979</v>
      </c>
      <c r="CO6" s="26">
        <v>0.34284287691116333</v>
      </c>
      <c r="CP6" s="26">
        <v>2.0168521404266357</v>
      </c>
      <c r="CQ6" s="26">
        <v>4.0062595158815384E-2</v>
      </c>
      <c r="CR6" s="26">
        <v>1.7076271772384644</v>
      </c>
      <c r="CS6">
        <v>0.60082115385586654</v>
      </c>
      <c r="CT6">
        <v>30846799.948490117</v>
      </c>
      <c r="CU6">
        <v>5.9763313609467454</v>
      </c>
      <c r="CV6" s="25">
        <v>0.64441169500350948</v>
      </c>
      <c r="CW6" s="26">
        <v>0.85221533551812167</v>
      </c>
      <c r="CX6">
        <v>0.06</v>
      </c>
      <c r="CY6">
        <v>10.449014920157538</v>
      </c>
      <c r="CZ6">
        <v>24093733995.376888</v>
      </c>
      <c r="DA6">
        <v>0.64441169500350948</v>
      </c>
      <c r="DB6">
        <v>2.2046858680030832</v>
      </c>
      <c r="DC6">
        <v>114191227718.09227</v>
      </c>
      <c r="DD6">
        <v>0.61219111025333395</v>
      </c>
      <c r="DE6">
        <v>0.55562011185689597</v>
      </c>
      <c r="DF6">
        <v>453107763069.67371</v>
      </c>
      <c r="DG6">
        <v>0.56708229160308832</v>
      </c>
      <c r="DH6">
        <v>0.14043919198209684</v>
      </c>
      <c r="DI6">
        <v>1792631974357.2278</v>
      </c>
      <c r="DJ6">
        <v>0.51552935600280758</v>
      </c>
      <c r="DK6">
        <v>8.1924867493446026E-3</v>
      </c>
      <c r="DL6">
        <v>30730081561638.219</v>
      </c>
      <c r="DM6">
        <v>0.45108818650245658</v>
      </c>
      <c r="DN6">
        <v>15531000000</v>
      </c>
      <c r="DO6">
        <v>0.64441169500350948</v>
      </c>
      <c r="DP6">
        <v>251755786000</v>
      </c>
      <c r="DQ6">
        <v>-39886286000</v>
      </c>
      <c r="DR6">
        <v>3020</v>
      </c>
      <c r="DS6">
        <v>-0.55303004734284655</v>
      </c>
      <c r="DT6">
        <v>-2.32870457384736</v>
      </c>
      <c r="DU6" s="27">
        <v>0.6</v>
      </c>
      <c r="DV6">
        <v>-0.22</v>
      </c>
      <c r="DW6">
        <v>0.38</v>
      </c>
      <c r="DX6">
        <v>4.4832089552238807</v>
      </c>
      <c r="DY6">
        <v>0.38641975931232181</v>
      </c>
      <c r="DZ6">
        <v>4.0997438762348715</v>
      </c>
      <c r="EA6">
        <v>604</v>
      </c>
      <c r="EB6">
        <v>4.0875038719183614</v>
      </c>
      <c r="EC6">
        <v>4</v>
      </c>
      <c r="ED6">
        <v>1.023433422552128E-2</v>
      </c>
      <c r="EE6">
        <v>4.9580203423170675E-2</v>
      </c>
      <c r="EF6" s="28">
        <v>5.7700000000000001E-2</v>
      </c>
      <c r="EG6">
        <v>5.7807999999999998E-2</v>
      </c>
      <c r="EH6">
        <v>18.206419759312322</v>
      </c>
      <c r="EI6">
        <v>-1</v>
      </c>
      <c r="EJ6">
        <v>0</v>
      </c>
      <c r="EK6">
        <v>1</v>
      </c>
      <c r="EL6" s="29">
        <v>44946</v>
      </c>
      <c r="EM6" s="30">
        <v>4.5499999999999999E-2</v>
      </c>
      <c r="EN6" s="30">
        <v>0.54</v>
      </c>
      <c r="EO6" s="30">
        <v>-0.95</v>
      </c>
      <c r="EP6" s="30">
        <v>0.12</v>
      </c>
      <c r="EQ6" s="30">
        <v>1.0800000000000001E-2</v>
      </c>
    </row>
    <row r="7" spans="1:147" ht="162" x14ac:dyDescent="0.25">
      <c r="B7" s="23"/>
      <c r="C7" s="23"/>
      <c r="D7" s="23" t="s">
        <v>912</v>
      </c>
      <c r="E7" t="s">
        <v>587</v>
      </c>
      <c r="F7" t="s">
        <v>588</v>
      </c>
      <c r="G7">
        <v>3.25</v>
      </c>
      <c r="H7">
        <v>1.5599999999999999E-2</v>
      </c>
      <c r="I7" t="s">
        <v>589</v>
      </c>
      <c r="J7">
        <v>35177394000</v>
      </c>
      <c r="L7">
        <v>1.29</v>
      </c>
      <c r="M7" t="s">
        <v>578</v>
      </c>
      <c r="N7" t="s">
        <v>871</v>
      </c>
      <c r="O7" t="s">
        <v>872</v>
      </c>
      <c r="P7" t="s">
        <v>873</v>
      </c>
      <c r="Q7">
        <v>-6.6</v>
      </c>
      <c r="R7" t="s">
        <v>874</v>
      </c>
      <c r="S7">
        <v>-2002785000</v>
      </c>
      <c r="T7" s="24">
        <v>-2.0190000000000001</v>
      </c>
      <c r="U7" t="s">
        <v>875</v>
      </c>
      <c r="V7">
        <v>7328813500</v>
      </c>
      <c r="W7">
        <v>10823813500</v>
      </c>
      <c r="X7">
        <v>1.63</v>
      </c>
      <c r="Y7">
        <v>1.26</v>
      </c>
      <c r="Z7">
        <v>-3.46</v>
      </c>
      <c r="AA7" t="s">
        <v>876</v>
      </c>
      <c r="AB7" t="s">
        <v>877</v>
      </c>
      <c r="AC7" t="s">
        <v>878</v>
      </c>
      <c r="AD7" t="s">
        <v>879</v>
      </c>
      <c r="AE7" t="s">
        <v>880</v>
      </c>
      <c r="AF7">
        <v>-374135000</v>
      </c>
      <c r="AG7" t="s">
        <v>881</v>
      </c>
      <c r="AH7" t="s">
        <v>882</v>
      </c>
      <c r="AI7" t="s">
        <v>883</v>
      </c>
      <c r="AJ7" t="s">
        <v>884</v>
      </c>
      <c r="AK7" t="s">
        <v>885</v>
      </c>
      <c r="AL7" t="s">
        <v>167</v>
      </c>
      <c r="AM7" t="s">
        <v>886</v>
      </c>
      <c r="AN7" t="s">
        <v>167</v>
      </c>
      <c r="AO7" t="s">
        <v>177</v>
      </c>
      <c r="AP7" t="s">
        <v>887</v>
      </c>
      <c r="AQ7" t="s">
        <v>390</v>
      </c>
      <c r="AR7" t="s">
        <v>888</v>
      </c>
      <c r="AS7" t="s">
        <v>167</v>
      </c>
      <c r="AT7" t="s">
        <v>889</v>
      </c>
      <c r="AU7" t="s">
        <v>890</v>
      </c>
      <c r="AV7" t="s">
        <v>891</v>
      </c>
      <c r="AW7" t="s">
        <v>892</v>
      </c>
      <c r="AX7" t="s">
        <v>893</v>
      </c>
      <c r="AY7" t="s">
        <v>894</v>
      </c>
      <c r="AZ7" t="s">
        <v>895</v>
      </c>
      <c r="BA7" t="s">
        <v>896</v>
      </c>
      <c r="BB7" t="s">
        <v>897</v>
      </c>
      <c r="BC7" t="s">
        <v>898</v>
      </c>
      <c r="BD7" t="s">
        <v>899</v>
      </c>
      <c r="BE7" t="s">
        <v>900</v>
      </c>
      <c r="BF7" t="s">
        <v>901</v>
      </c>
      <c r="BG7" t="s">
        <v>902</v>
      </c>
      <c r="BH7" t="s">
        <v>903</v>
      </c>
      <c r="BI7" t="s">
        <v>904</v>
      </c>
      <c r="BJ7" t="s">
        <v>905</v>
      </c>
      <c r="BK7" t="s">
        <v>906</v>
      </c>
      <c r="BL7" t="s">
        <v>907</v>
      </c>
      <c r="BM7" t="s">
        <v>908</v>
      </c>
      <c r="BN7" t="s">
        <v>233</v>
      </c>
      <c r="BO7">
        <v>5.27</v>
      </c>
      <c r="BP7">
        <v>0.56999999999999995</v>
      </c>
      <c r="BQ7">
        <v>5.54</v>
      </c>
      <c r="BR7">
        <v>6.73</v>
      </c>
      <c r="BS7">
        <v>2.13</v>
      </c>
      <c r="BT7">
        <v>7.14</v>
      </c>
      <c r="BU7" t="s">
        <v>909</v>
      </c>
      <c r="BV7" t="s">
        <v>737</v>
      </c>
      <c r="BW7">
        <v>14.78</v>
      </c>
      <c r="BX7">
        <v>20.9</v>
      </c>
      <c r="BY7">
        <v>16.510000000000002</v>
      </c>
      <c r="BZ7">
        <v>-0.94</v>
      </c>
      <c r="CA7">
        <v>0.86</v>
      </c>
      <c r="CB7">
        <v>2.2200000000000002</v>
      </c>
      <c r="CC7">
        <v>5.18</v>
      </c>
      <c r="CD7">
        <v>-1.52</v>
      </c>
      <c r="CE7" t="s">
        <v>910</v>
      </c>
      <c r="CF7" t="s">
        <v>911</v>
      </c>
      <c r="CG7" s="25">
        <v>-0.51959229151500441</v>
      </c>
      <c r="CH7" s="26">
        <v>-3.1730721220527056</v>
      </c>
      <c r="CI7" s="25">
        <v>0.19510073959827423</v>
      </c>
      <c r="CJ7" s="25">
        <v>-0.25552588701248169</v>
      </c>
      <c r="CK7" s="25">
        <v>-6.8844199180603027E-2</v>
      </c>
      <c r="CL7" s="25">
        <v>0.17118042707443237</v>
      </c>
      <c r="CM7" s="25">
        <v>0.1812720000743866</v>
      </c>
      <c r="CN7" s="26">
        <v>2.1863057613372803</v>
      </c>
      <c r="CO7" s="26">
        <v>-0.7163504958152771</v>
      </c>
      <c r="CP7" s="26">
        <v>-0.58044344186782837</v>
      </c>
      <c r="CQ7" s="26">
        <v>-0.14083358645439148</v>
      </c>
      <c r="CR7" s="26">
        <v>3.1229078769683838E-2</v>
      </c>
      <c r="CS7">
        <v>0.39401202956989245</v>
      </c>
      <c r="CT7">
        <v>-96535082.458770603</v>
      </c>
      <c r="CU7">
        <v>3.0769230769230771</v>
      </c>
      <c r="CV7" s="25">
        <v>4.4636616110801698E-2</v>
      </c>
      <c r="CW7" s="26">
        <v>0.15598146319389344</v>
      </c>
      <c r="CX7">
        <v>0.06</v>
      </c>
      <c r="CY7">
        <v>12.723336501346637</v>
      </c>
      <c r="CZ7">
        <v>1971997989.4695415</v>
      </c>
      <c r="DA7">
        <v>4.4636616110801698E-2</v>
      </c>
      <c r="DB7">
        <v>4.3215298420625805</v>
      </c>
      <c r="DC7">
        <v>5805905528.1277084</v>
      </c>
      <c r="DD7">
        <v>4.2404785305261608E-2</v>
      </c>
      <c r="DE7">
        <v>2.2380437573980054</v>
      </c>
      <c r="DF7">
        <v>11210859446.810188</v>
      </c>
      <c r="DG7">
        <v>3.9280222177505493E-2</v>
      </c>
      <c r="DH7">
        <v>1.4212550113455071</v>
      </c>
      <c r="DI7">
        <v>17653689028.154655</v>
      </c>
      <c r="DJ7">
        <v>3.5709292888641359E-2</v>
      </c>
      <c r="DK7">
        <v>0.82640438797298688</v>
      </c>
      <c r="DL7">
        <v>30360915751.599499</v>
      </c>
      <c r="DM7">
        <v>3.1245631277561185E-2</v>
      </c>
      <c r="DN7">
        <v>2001000000.0000002</v>
      </c>
      <c r="DO7">
        <v>4.4636616110801698E-2</v>
      </c>
      <c r="DP7">
        <v>25090394000</v>
      </c>
      <c r="DQ7">
        <v>3950304000</v>
      </c>
      <c r="DR7">
        <v>3287</v>
      </c>
      <c r="DS7">
        <v>-0.56422890762580613</v>
      </c>
      <c r="DT7">
        <v>-3.3290535852465992</v>
      </c>
      <c r="DU7" s="27">
        <v>0</v>
      </c>
      <c r="DV7">
        <v>-0.89833333333333332</v>
      </c>
      <c r="DW7">
        <v>-0.89833333333333332</v>
      </c>
      <c r="DX7">
        <v>4.2934362934362937</v>
      </c>
      <c r="DY7">
        <v>0.4780126272912415</v>
      </c>
      <c r="DZ7">
        <v>4.0581040914059248</v>
      </c>
      <c r="EA7">
        <v>4083</v>
      </c>
      <c r="EB7">
        <v>4.0099043747845533</v>
      </c>
      <c r="EC7">
        <v>4</v>
      </c>
      <c r="ED7">
        <v>8.9824348876669027E-3</v>
      </c>
      <c r="EE7">
        <v>4.5362939780882218E-2</v>
      </c>
      <c r="EF7" s="28">
        <v>1.8610000000000002E-2</v>
      </c>
      <c r="EG7">
        <v>1.8453999999999998E-2</v>
      </c>
      <c r="EH7">
        <v>28.198012627291241</v>
      </c>
      <c r="EI7">
        <v>-1</v>
      </c>
      <c r="EJ7">
        <v>0</v>
      </c>
      <c r="EK7">
        <v>0</v>
      </c>
      <c r="EL7" s="29">
        <v>44946</v>
      </c>
      <c r="EM7" s="30">
        <v>2.2700000000000001E-2</v>
      </c>
      <c r="EN7" s="30">
        <v>0</v>
      </c>
      <c r="EO7" s="30">
        <v>0.95</v>
      </c>
      <c r="EP7" s="30">
        <v>0.31</v>
      </c>
      <c r="EQ7" s="30">
        <v>1.5599999999999999E-2</v>
      </c>
    </row>
    <row r="8" spans="1:147" ht="86.4" x14ac:dyDescent="0.25">
      <c r="B8" s="23"/>
      <c r="C8" s="23"/>
      <c r="D8" s="23" t="s">
        <v>955</v>
      </c>
      <c r="E8" t="s">
        <v>590</v>
      </c>
      <c r="F8" t="s">
        <v>591</v>
      </c>
      <c r="G8">
        <v>7.12</v>
      </c>
      <c r="H8">
        <v>7.1000000000000004E-3</v>
      </c>
      <c r="I8" t="s">
        <v>592</v>
      </c>
      <c r="J8">
        <v>20240656000</v>
      </c>
      <c r="K8">
        <v>15.82</v>
      </c>
      <c r="L8">
        <v>1.47</v>
      </c>
      <c r="M8" t="s">
        <v>578</v>
      </c>
      <c r="N8" t="s">
        <v>913</v>
      </c>
      <c r="O8" t="s">
        <v>914</v>
      </c>
      <c r="P8" t="s">
        <v>915</v>
      </c>
      <c r="Q8">
        <v>-9.6199999999999992</v>
      </c>
      <c r="R8" t="s">
        <v>916</v>
      </c>
      <c r="S8">
        <v>1049276620</v>
      </c>
      <c r="T8" s="24">
        <v>-0.51490000000000002</v>
      </c>
      <c r="U8" t="s">
        <v>917</v>
      </c>
      <c r="V8">
        <v>2763863100</v>
      </c>
      <c r="W8">
        <v>2842788300</v>
      </c>
      <c r="X8">
        <v>1.97</v>
      </c>
      <c r="Y8">
        <v>0.85</v>
      </c>
      <c r="Z8">
        <v>4.46</v>
      </c>
      <c r="AA8" t="s">
        <v>918</v>
      </c>
      <c r="AB8" t="s">
        <v>919</v>
      </c>
      <c r="AC8" t="s">
        <v>920</v>
      </c>
      <c r="AD8" t="s">
        <v>921</v>
      </c>
      <c r="AE8" t="s">
        <v>922</v>
      </c>
      <c r="AF8">
        <v>159972110</v>
      </c>
      <c r="AG8" t="s">
        <v>923</v>
      </c>
      <c r="AH8" t="s">
        <v>924</v>
      </c>
      <c r="AI8" t="s">
        <v>925</v>
      </c>
      <c r="AJ8" t="s">
        <v>926</v>
      </c>
      <c r="AK8" t="s">
        <v>927</v>
      </c>
      <c r="AL8" t="s">
        <v>928</v>
      </c>
      <c r="AM8" t="s">
        <v>929</v>
      </c>
      <c r="AN8" t="s">
        <v>167</v>
      </c>
      <c r="AO8" t="s">
        <v>930</v>
      </c>
      <c r="AP8" t="s">
        <v>931</v>
      </c>
      <c r="AQ8" t="s">
        <v>932</v>
      </c>
      <c r="AR8" t="s">
        <v>933</v>
      </c>
      <c r="AS8" t="s">
        <v>167</v>
      </c>
      <c r="AT8" t="s">
        <v>934</v>
      </c>
      <c r="AU8" t="s">
        <v>935</v>
      </c>
      <c r="AV8" t="s">
        <v>936</v>
      </c>
      <c r="AW8" t="s">
        <v>937</v>
      </c>
      <c r="AX8" t="s">
        <v>485</v>
      </c>
      <c r="AY8" t="s">
        <v>938</v>
      </c>
      <c r="AZ8" t="s">
        <v>939</v>
      </c>
      <c r="BA8" t="s">
        <v>940</v>
      </c>
      <c r="BB8" t="s">
        <v>941</v>
      </c>
      <c r="BC8" t="s">
        <v>942</v>
      </c>
      <c r="BD8" t="s">
        <v>943</v>
      </c>
      <c r="BE8" t="s">
        <v>944</v>
      </c>
      <c r="BF8" t="s">
        <v>945</v>
      </c>
      <c r="BG8" t="s">
        <v>946</v>
      </c>
      <c r="BH8" t="s">
        <v>424</v>
      </c>
      <c r="BI8" t="s">
        <v>947</v>
      </c>
      <c r="BJ8" t="s">
        <v>948</v>
      </c>
      <c r="BK8" t="s">
        <v>949</v>
      </c>
      <c r="BL8" t="s">
        <v>950</v>
      </c>
      <c r="BM8" t="s">
        <v>951</v>
      </c>
      <c r="BN8" t="s">
        <v>952</v>
      </c>
      <c r="BO8">
        <v>13.5</v>
      </c>
      <c r="BP8">
        <v>7.9</v>
      </c>
      <c r="BQ8">
        <v>6.63</v>
      </c>
      <c r="BR8">
        <v>21.27</v>
      </c>
      <c r="BS8">
        <v>11.94</v>
      </c>
      <c r="BT8">
        <v>8.27</v>
      </c>
      <c r="BU8" t="s">
        <v>215</v>
      </c>
      <c r="BV8" t="s">
        <v>737</v>
      </c>
      <c r="BW8">
        <v>10.77</v>
      </c>
      <c r="BX8">
        <v>9.2799999999999994</v>
      </c>
      <c r="BY8">
        <v>5.91</v>
      </c>
      <c r="BZ8">
        <v>5.46</v>
      </c>
      <c r="CA8">
        <v>4.17</v>
      </c>
      <c r="CB8">
        <v>2.1</v>
      </c>
      <c r="CC8">
        <v>1.28</v>
      </c>
      <c r="CD8">
        <v>-3.39</v>
      </c>
      <c r="CE8" t="s">
        <v>953</v>
      </c>
      <c r="CF8" t="s">
        <v>954</v>
      </c>
      <c r="CG8" s="25">
        <v>-0.14157849381790957</v>
      </c>
      <c r="CH8" s="26">
        <v>-0.78634492795389044</v>
      </c>
      <c r="CI8" s="25">
        <v>0.41343274712562561</v>
      </c>
      <c r="CJ8" s="25">
        <v>-0.17872114479541779</v>
      </c>
      <c r="CK8" s="25">
        <v>7.6421700417995453E-2</v>
      </c>
      <c r="CL8" s="25">
        <v>0.25636646151542664</v>
      </c>
      <c r="CM8" s="25">
        <v>2.783149242401123</v>
      </c>
      <c r="CN8" s="26">
        <v>1.4518442153930664</v>
      </c>
      <c r="CO8" s="26">
        <v>0.57419353723526001</v>
      </c>
      <c r="CP8" s="26">
        <v>-0.26453143358230591</v>
      </c>
      <c r="CQ8" s="26">
        <v>-8.235294371843338E-3</v>
      </c>
      <c r="CR8" s="26">
        <v>0.69322711229324341</v>
      </c>
      <c r="CS8">
        <v>0.58009446291413502</v>
      </c>
      <c r="CT8">
        <v>42829559.966569163</v>
      </c>
      <c r="CU8">
        <v>0</v>
      </c>
      <c r="CV8" s="25">
        <v>0.67012980133295064</v>
      </c>
      <c r="CW8" s="26">
        <v>0.48929962739348409</v>
      </c>
      <c r="CX8">
        <v>0.06</v>
      </c>
      <c r="CY8">
        <v>5.2425930255956432</v>
      </c>
      <c r="CZ8">
        <v>3770396806.2167459</v>
      </c>
      <c r="DA8">
        <v>0.67012980133295064</v>
      </c>
      <c r="DB8">
        <v>1.0856460370894971</v>
      </c>
      <c r="DC8">
        <v>18207275046.102802</v>
      </c>
      <c r="DD8">
        <v>0.63662331126630312</v>
      </c>
      <c r="DE8">
        <v>0.26520694771486986</v>
      </c>
      <c r="DF8">
        <v>74532949345.096313</v>
      </c>
      <c r="DG8">
        <v>0.58971422517299654</v>
      </c>
      <c r="DH8">
        <v>6.4252403898261784E-2</v>
      </c>
      <c r="DI8">
        <v>307640723159.53839</v>
      </c>
      <c r="DJ8">
        <v>0.53610384106636055</v>
      </c>
      <c r="DK8">
        <v>3.3693139638081809E-3</v>
      </c>
      <c r="DL8">
        <v>5866670845259.7441</v>
      </c>
      <c r="DM8">
        <v>0.4690908609330654</v>
      </c>
      <c r="DN8">
        <v>2393000000</v>
      </c>
      <c r="DO8">
        <v>0.67012980133295064</v>
      </c>
      <c r="DP8">
        <v>19766656000</v>
      </c>
      <c r="DQ8">
        <v>-1282319100</v>
      </c>
      <c r="DR8">
        <v>911</v>
      </c>
      <c r="DS8">
        <v>-0.81170829515086018</v>
      </c>
      <c r="DT8">
        <v>-1.2756445553473745</v>
      </c>
      <c r="DU8" s="27">
        <v>0</v>
      </c>
      <c r="DV8">
        <v>-0.22</v>
      </c>
      <c r="DW8">
        <v>-0.22</v>
      </c>
      <c r="DX8">
        <v>-1.0339</v>
      </c>
      <c r="DY8">
        <v>0.45886490066225333</v>
      </c>
      <c r="DZ8">
        <v>-1.0057245201324503</v>
      </c>
      <c r="EA8">
        <v>1646</v>
      </c>
      <c r="EB8">
        <v>-1.0038101438346012</v>
      </c>
      <c r="EC8">
        <v>1</v>
      </c>
      <c r="ED8">
        <v>1.7939147983689112E-2</v>
      </c>
      <c r="EE8">
        <v>0.10623372834340145</v>
      </c>
      <c r="EF8" s="28">
        <v>2.6110000000000001E-2</v>
      </c>
      <c r="EG8">
        <v>2.6039E-2</v>
      </c>
      <c r="EH8">
        <v>29.168864900662253</v>
      </c>
      <c r="EI8">
        <v>-1</v>
      </c>
      <c r="EJ8">
        <v>0</v>
      </c>
      <c r="EK8">
        <v>0</v>
      </c>
      <c r="EL8" s="29">
        <v>44946</v>
      </c>
      <c r="EM8" s="30">
        <v>4.3E-3</v>
      </c>
      <c r="EN8" s="30">
        <v>0</v>
      </c>
      <c r="EO8" s="30">
        <v>0.14000000000000001</v>
      </c>
      <c r="EP8" s="30">
        <v>0</v>
      </c>
      <c r="EQ8" s="30">
        <v>7.1000000000000004E-3</v>
      </c>
    </row>
    <row r="9" spans="1:147" ht="97.2" x14ac:dyDescent="0.25">
      <c r="B9" s="23"/>
      <c r="C9" s="23"/>
      <c r="D9" s="23" t="s">
        <v>997</v>
      </c>
      <c r="E9" t="s">
        <v>593</v>
      </c>
      <c r="F9" t="s">
        <v>594</v>
      </c>
      <c r="G9">
        <v>8.94</v>
      </c>
      <c r="H9">
        <v>4.4999999999999997E-3</v>
      </c>
      <c r="I9" t="s">
        <v>595</v>
      </c>
      <c r="J9">
        <v>14090582000</v>
      </c>
      <c r="K9">
        <v>50.83</v>
      </c>
      <c r="L9">
        <v>1.37</v>
      </c>
      <c r="M9" t="s">
        <v>578</v>
      </c>
      <c r="N9" t="s">
        <v>956</v>
      </c>
      <c r="O9" t="s">
        <v>957</v>
      </c>
      <c r="P9" t="s">
        <v>958</v>
      </c>
      <c r="Q9">
        <v>2.58</v>
      </c>
      <c r="R9" t="s">
        <v>959</v>
      </c>
      <c r="S9">
        <v>158523860</v>
      </c>
      <c r="T9" s="24">
        <v>-0.8448</v>
      </c>
      <c r="U9" t="s">
        <v>960</v>
      </c>
      <c r="V9">
        <v>1458422900</v>
      </c>
      <c r="W9">
        <v>1576127800</v>
      </c>
      <c r="X9">
        <v>3.29</v>
      </c>
      <c r="Y9">
        <v>0.57999999999999996</v>
      </c>
      <c r="Z9">
        <v>0.82</v>
      </c>
      <c r="AA9" t="s">
        <v>961</v>
      </c>
      <c r="AB9" t="s">
        <v>962</v>
      </c>
      <c r="AC9" t="s">
        <v>963</v>
      </c>
      <c r="AD9" t="s">
        <v>525</v>
      </c>
      <c r="AE9" t="s">
        <v>964</v>
      </c>
      <c r="AF9">
        <v>560085170</v>
      </c>
      <c r="AG9" t="s">
        <v>965</v>
      </c>
      <c r="AH9" t="s">
        <v>966</v>
      </c>
      <c r="AI9" t="s">
        <v>967</v>
      </c>
      <c r="AJ9" t="s">
        <v>968</v>
      </c>
      <c r="AK9" t="s">
        <v>969</v>
      </c>
      <c r="AL9" t="s">
        <v>970</v>
      </c>
      <c r="AM9" t="s">
        <v>971</v>
      </c>
      <c r="AN9" t="s">
        <v>167</v>
      </c>
      <c r="AO9" t="s">
        <v>972</v>
      </c>
      <c r="AP9" t="s">
        <v>973</v>
      </c>
      <c r="AQ9" t="s">
        <v>974</v>
      </c>
      <c r="AR9" t="s">
        <v>250</v>
      </c>
      <c r="AS9" t="s">
        <v>975</v>
      </c>
      <c r="AT9" t="s">
        <v>976</v>
      </c>
      <c r="AU9" t="s">
        <v>977</v>
      </c>
      <c r="AV9" t="s">
        <v>978</v>
      </c>
      <c r="AW9" t="s">
        <v>979</v>
      </c>
      <c r="AX9" t="s">
        <v>980</v>
      </c>
      <c r="AY9" t="s">
        <v>981</v>
      </c>
      <c r="AZ9" t="s">
        <v>982</v>
      </c>
      <c r="BA9" t="s">
        <v>983</v>
      </c>
      <c r="BB9" t="s">
        <v>984</v>
      </c>
      <c r="BC9" t="s">
        <v>985</v>
      </c>
      <c r="BD9" t="s">
        <v>277</v>
      </c>
      <c r="BE9" t="s">
        <v>986</v>
      </c>
      <c r="BF9" t="s">
        <v>417</v>
      </c>
      <c r="BG9" t="s">
        <v>987</v>
      </c>
      <c r="BH9" t="s">
        <v>988</v>
      </c>
      <c r="BI9" t="s">
        <v>989</v>
      </c>
      <c r="BJ9" t="s">
        <v>990</v>
      </c>
      <c r="BK9" t="s">
        <v>991</v>
      </c>
      <c r="BL9" t="s">
        <v>179</v>
      </c>
      <c r="BM9" t="s">
        <v>992</v>
      </c>
      <c r="BN9" t="s">
        <v>993</v>
      </c>
      <c r="BO9">
        <v>5.18</v>
      </c>
      <c r="BP9">
        <v>6.2</v>
      </c>
      <c r="BQ9">
        <v>6.51</v>
      </c>
      <c r="BR9">
        <v>10.82</v>
      </c>
      <c r="BS9">
        <v>12.37</v>
      </c>
      <c r="BT9">
        <v>12.46</v>
      </c>
      <c r="BU9" t="s">
        <v>994</v>
      </c>
      <c r="BV9" t="s">
        <v>737</v>
      </c>
      <c r="BW9">
        <v>4.5999999999999996</v>
      </c>
      <c r="BX9">
        <v>8.6300000000000008</v>
      </c>
      <c r="BY9">
        <v>5.31</v>
      </c>
      <c r="BZ9">
        <v>1.0900000000000001</v>
      </c>
      <c r="CA9">
        <v>4.17</v>
      </c>
      <c r="CB9">
        <v>2.4</v>
      </c>
      <c r="CC9">
        <v>8.6300000000000008</v>
      </c>
      <c r="CD9">
        <v>10.1</v>
      </c>
      <c r="CE9" t="s">
        <v>995</v>
      </c>
      <c r="CF9" t="s">
        <v>996</v>
      </c>
      <c r="CG9" s="25">
        <v>-5.2707337409671776E-2</v>
      </c>
      <c r="CH9" s="26">
        <v>-0.95344289962825279</v>
      </c>
      <c r="CI9" s="25">
        <v>-9.3356676399707794E-2</v>
      </c>
      <c r="CJ9" s="25">
        <v>-0.37035593390464783</v>
      </c>
      <c r="CK9" s="25">
        <v>-5.6290015578269958E-2</v>
      </c>
      <c r="CL9" s="25">
        <v>0.49773550033569336</v>
      </c>
      <c r="CM9" s="25">
        <v>0.63594496250152588</v>
      </c>
      <c r="CN9" s="26">
        <v>-5.7851240038871765E-2</v>
      </c>
      <c r="CO9" s="26">
        <v>9.6014492213726044E-2</v>
      </c>
      <c r="CP9" s="26">
        <v>2.4118738248944283E-2</v>
      </c>
      <c r="CQ9" s="26">
        <v>1.4111006632447243E-2</v>
      </c>
      <c r="CR9" s="26">
        <v>1.2617021799087524</v>
      </c>
      <c r="CS9">
        <v>0.53440216937838969</v>
      </c>
      <c r="CT9">
        <v>10884321.578947369</v>
      </c>
      <c r="CU9">
        <v>2.4272930648769577</v>
      </c>
      <c r="CV9" s="25">
        <v>0.12273556739091873</v>
      </c>
      <c r="CW9" s="26">
        <v>0.26761903539299964</v>
      </c>
      <c r="CX9">
        <v>0.06</v>
      </c>
      <c r="CY9">
        <v>24.388658948194955</v>
      </c>
      <c r="CZ9">
        <v>1207470327.1940067</v>
      </c>
      <c r="DA9">
        <v>0.12273556739091873</v>
      </c>
      <c r="DB9">
        <v>7.7528980802565499</v>
      </c>
      <c r="DC9">
        <v>3798396637.6384406</v>
      </c>
      <c r="DD9">
        <v>0.11659878902137279</v>
      </c>
      <c r="DE9">
        <v>3.6765271406891804</v>
      </c>
      <c r="DF9">
        <v>8009891093.7128944</v>
      </c>
      <c r="DG9">
        <v>0.10800729930400849</v>
      </c>
      <c r="DH9">
        <v>2.1153256821661421</v>
      </c>
      <c r="DI9">
        <v>13921535699.33684</v>
      </c>
      <c r="DJ9">
        <v>9.8188453912734994E-2</v>
      </c>
      <c r="DK9">
        <v>0.99261577707640669</v>
      </c>
      <c r="DL9">
        <v>29667654575.001976</v>
      </c>
      <c r="DM9">
        <v>8.5914897173643104E-2</v>
      </c>
      <c r="DN9">
        <v>1140000000</v>
      </c>
      <c r="DO9">
        <v>0.12273556739091873</v>
      </c>
      <c r="DP9">
        <v>29448582000</v>
      </c>
      <c r="DQ9">
        <v>1696341000</v>
      </c>
      <c r="DR9">
        <v>727</v>
      </c>
      <c r="DS9">
        <v>-0.17544290480059049</v>
      </c>
      <c r="DT9">
        <v>-1.2210619350212524</v>
      </c>
      <c r="DU9" s="27">
        <v>0.6</v>
      </c>
      <c r="DV9">
        <v>-0.44</v>
      </c>
      <c r="DW9">
        <v>0.15999999999999998</v>
      </c>
      <c r="DX9">
        <v>9.8544554455445539</v>
      </c>
      <c r="DY9">
        <v>0.47775124210526371</v>
      </c>
      <c r="DZ9">
        <v>9.2544151702344966</v>
      </c>
      <c r="EA9">
        <v>3502</v>
      </c>
      <c r="EB9">
        <v>9.073398931680817</v>
      </c>
      <c r="EC9">
        <v>9</v>
      </c>
      <c r="ED9">
        <v>5.3840240620081699E-2</v>
      </c>
      <c r="EE9">
        <v>0.180822900274965</v>
      </c>
      <c r="EF9" s="28">
        <v>5.8500000000000003E-2</v>
      </c>
      <c r="EG9">
        <v>5.8545000000000007E-2</v>
      </c>
      <c r="EH9">
        <v>18.297751242105264</v>
      </c>
      <c r="EI9" t="s">
        <v>180</v>
      </c>
      <c r="EJ9">
        <v>1</v>
      </c>
      <c r="EK9">
        <v>0</v>
      </c>
      <c r="EL9" s="29">
        <v>44946</v>
      </c>
      <c r="EM9" s="30">
        <v>6.4399999999999999E-2</v>
      </c>
      <c r="EN9" s="30">
        <v>0.23</v>
      </c>
      <c r="EO9" s="30">
        <v>1.37</v>
      </c>
      <c r="EP9" s="30">
        <v>0</v>
      </c>
      <c r="EQ9" s="30">
        <v>4.4999999999999997E-3</v>
      </c>
    </row>
    <row r="10" spans="1:147" ht="97.2" x14ac:dyDescent="0.25">
      <c r="B10" s="23"/>
      <c r="C10" s="23"/>
      <c r="D10" s="23" t="s">
        <v>1040</v>
      </c>
      <c r="E10" t="s">
        <v>596</v>
      </c>
      <c r="F10" t="s">
        <v>597</v>
      </c>
      <c r="G10">
        <v>7.14</v>
      </c>
      <c r="H10">
        <v>1.2800000000000001E-2</v>
      </c>
      <c r="I10" t="s">
        <v>598</v>
      </c>
      <c r="J10">
        <v>11420019700</v>
      </c>
      <c r="K10">
        <v>12.31</v>
      </c>
      <c r="L10">
        <v>0.79100000000000004</v>
      </c>
      <c r="M10" t="s">
        <v>578</v>
      </c>
      <c r="N10" t="s">
        <v>998</v>
      </c>
      <c r="O10" t="s">
        <v>999</v>
      </c>
      <c r="P10" t="s">
        <v>1000</v>
      </c>
      <c r="Q10">
        <v>42.85</v>
      </c>
      <c r="R10" t="s">
        <v>1001</v>
      </c>
      <c r="S10">
        <v>512772690</v>
      </c>
      <c r="T10" s="24">
        <v>7.1300000000000002E-2</v>
      </c>
      <c r="U10" t="s">
        <v>1002</v>
      </c>
      <c r="V10">
        <v>1599442500</v>
      </c>
      <c r="W10">
        <v>1599442500</v>
      </c>
      <c r="X10">
        <v>2.06</v>
      </c>
      <c r="Y10">
        <v>1.1299999999999999</v>
      </c>
      <c r="Z10">
        <v>1.55</v>
      </c>
      <c r="AA10" t="s">
        <v>1003</v>
      </c>
      <c r="AB10" t="s">
        <v>1004</v>
      </c>
      <c r="AC10" t="s">
        <v>1005</v>
      </c>
      <c r="AD10" t="s">
        <v>1006</v>
      </c>
      <c r="AE10" t="s">
        <v>1007</v>
      </c>
      <c r="AF10">
        <v>170230240</v>
      </c>
      <c r="AG10" t="s">
        <v>1008</v>
      </c>
      <c r="AH10" t="s">
        <v>1009</v>
      </c>
      <c r="AI10" t="s">
        <v>1010</v>
      </c>
      <c r="AJ10" t="s">
        <v>1011</v>
      </c>
      <c r="AK10" t="s">
        <v>1012</v>
      </c>
      <c r="AL10" t="s">
        <v>1013</v>
      </c>
      <c r="AM10" t="s">
        <v>1014</v>
      </c>
      <c r="AN10" t="s">
        <v>167</v>
      </c>
      <c r="AO10" t="s">
        <v>1015</v>
      </c>
      <c r="AP10" t="s">
        <v>1016</v>
      </c>
      <c r="AQ10" t="s">
        <v>167</v>
      </c>
      <c r="AR10" t="s">
        <v>1017</v>
      </c>
      <c r="AS10" t="s">
        <v>1018</v>
      </c>
      <c r="AT10" t="s">
        <v>1019</v>
      </c>
      <c r="AU10" t="s">
        <v>1020</v>
      </c>
      <c r="AV10" t="s">
        <v>1021</v>
      </c>
      <c r="AW10" t="s">
        <v>1022</v>
      </c>
      <c r="AX10" t="s">
        <v>1023</v>
      </c>
      <c r="AY10" t="s">
        <v>1024</v>
      </c>
      <c r="AZ10" t="s">
        <v>1025</v>
      </c>
      <c r="BA10" t="s">
        <v>1026</v>
      </c>
      <c r="BB10" t="s">
        <v>1027</v>
      </c>
      <c r="BC10" t="s">
        <v>1028</v>
      </c>
      <c r="BD10" t="s">
        <v>564</v>
      </c>
      <c r="BE10" t="s">
        <v>1029</v>
      </c>
      <c r="BF10" t="s">
        <v>1030</v>
      </c>
      <c r="BG10" t="s">
        <v>1031</v>
      </c>
      <c r="BH10" t="s">
        <v>1032</v>
      </c>
      <c r="BI10" t="s">
        <v>1033</v>
      </c>
      <c r="BJ10" t="s">
        <v>1034</v>
      </c>
      <c r="BK10" t="s">
        <v>1035</v>
      </c>
      <c r="BL10" t="s">
        <v>1036</v>
      </c>
      <c r="BM10" t="s">
        <v>1037</v>
      </c>
      <c r="BN10" t="s">
        <v>1038</v>
      </c>
      <c r="BO10">
        <v>4.01</v>
      </c>
      <c r="BP10">
        <v>2.2799999999999998</v>
      </c>
      <c r="BQ10">
        <v>4.53</v>
      </c>
      <c r="BR10">
        <v>6.43</v>
      </c>
      <c r="BS10">
        <v>2.4</v>
      </c>
      <c r="BT10">
        <v>7.34</v>
      </c>
      <c r="BU10" t="s">
        <v>1039</v>
      </c>
      <c r="BV10" t="s">
        <v>737</v>
      </c>
      <c r="BW10">
        <v>22.06</v>
      </c>
      <c r="BX10">
        <v>12.35</v>
      </c>
      <c r="BY10">
        <v>14.56</v>
      </c>
      <c r="BZ10">
        <v>2.12</v>
      </c>
      <c r="CA10">
        <v>1.1299999999999999</v>
      </c>
      <c r="CB10">
        <v>2.65</v>
      </c>
      <c r="CC10">
        <v>7.05</v>
      </c>
      <c r="CD10">
        <v>-9.39</v>
      </c>
      <c r="CE10" t="s">
        <v>285</v>
      </c>
      <c r="CF10" t="s">
        <v>570</v>
      </c>
      <c r="CG10" s="25">
        <v>0.83239259259259257</v>
      </c>
      <c r="CH10" s="26">
        <v>1.0616371204188482</v>
      </c>
      <c r="CI10" s="25">
        <v>0.26661628484725952</v>
      </c>
      <c r="CJ10" s="25">
        <v>-0.23154416680335999</v>
      </c>
      <c r="CK10" s="25">
        <v>6.9445982575416565E-2</v>
      </c>
      <c r="CL10" s="25">
        <v>9.8534718155860901E-2</v>
      </c>
      <c r="CM10" s="25">
        <v>0.15839742124080658</v>
      </c>
      <c r="CN10" s="26">
        <v>1.7592592239379883</v>
      </c>
      <c r="CO10" s="26">
        <v>-0.67371600866317749</v>
      </c>
      <c r="CP10" s="26">
        <v>-0.13199301064014435</v>
      </c>
      <c r="CQ10" s="26">
        <v>-0.3799457848072052</v>
      </c>
      <c r="CR10" s="26">
        <v>2.3294437676668167E-2</v>
      </c>
      <c r="CS10">
        <v>0.29622379383689562</v>
      </c>
      <c r="CT10">
        <v>54223410.514541388</v>
      </c>
      <c r="CU10">
        <v>3.0532212885154064</v>
      </c>
      <c r="CV10" s="25">
        <v>7.2290048003196716E-2</v>
      </c>
      <c r="CW10" s="26">
        <v>0.11937977150082588</v>
      </c>
      <c r="CX10">
        <v>0.06</v>
      </c>
      <c r="CY10">
        <v>13.600719322677159</v>
      </c>
      <c r="CZ10">
        <v>904365380.10835648</v>
      </c>
      <c r="DA10">
        <v>7.2290048003196716E-2</v>
      </c>
      <c r="DB10">
        <v>4.5118785671639738</v>
      </c>
      <c r="DC10">
        <v>2726141565.4037442</v>
      </c>
      <c r="DD10">
        <v>6.8675545603036875E-2</v>
      </c>
      <c r="DE10">
        <v>2.2658663545106426</v>
      </c>
      <c r="DF10">
        <v>5428395931.4345455</v>
      </c>
      <c r="DG10">
        <v>6.3615242242813105E-2</v>
      </c>
      <c r="DH10">
        <v>1.3913971147903639</v>
      </c>
      <c r="DI10">
        <v>8840049737.959383</v>
      </c>
      <c r="DJ10">
        <v>5.7832038402557379E-2</v>
      </c>
      <c r="DK10">
        <v>0.75434792730955424</v>
      </c>
      <c r="DL10">
        <v>16305499431.633703</v>
      </c>
      <c r="DM10">
        <v>5.0603033602237696E-2</v>
      </c>
      <c r="DN10">
        <v>894000000</v>
      </c>
      <c r="DO10">
        <v>7.2290048003196716E-2</v>
      </c>
      <c r="DP10">
        <v>12300019699.999998</v>
      </c>
      <c r="DQ10">
        <v>6980613000</v>
      </c>
      <c r="DR10">
        <v>43</v>
      </c>
      <c r="DS10">
        <v>0.76010254458939586</v>
      </c>
      <c r="DT10">
        <v>0.94225734891802226</v>
      </c>
      <c r="DU10" s="27">
        <v>0.6</v>
      </c>
      <c r="DV10">
        <v>0.44</v>
      </c>
      <c r="DW10">
        <v>1.04</v>
      </c>
      <c r="DX10">
        <v>7.4288321167883211</v>
      </c>
      <c r="DY10">
        <v>0.50599250936329487</v>
      </c>
      <c r="DZ10">
        <v>7.0883362038328004</v>
      </c>
      <c r="EA10">
        <v>2273</v>
      </c>
      <c r="EB10">
        <v>7.0475421787795787</v>
      </c>
      <c r="EC10">
        <v>7</v>
      </c>
      <c r="ED10">
        <v>6.8773963427881918E-2</v>
      </c>
      <c r="EE10">
        <v>0.33386633154989942</v>
      </c>
      <c r="EF10" s="28">
        <v>2.3200000000000002E-2</v>
      </c>
      <c r="EG10">
        <v>2.3327999999999998E-2</v>
      </c>
      <c r="EH10">
        <v>30.205992509363295</v>
      </c>
      <c r="EI10">
        <v>-1</v>
      </c>
      <c r="EJ10">
        <v>1</v>
      </c>
      <c r="EK10">
        <v>0</v>
      </c>
      <c r="EL10" s="29">
        <v>44946</v>
      </c>
      <c r="EM10" s="30">
        <v>1.35E-2</v>
      </c>
      <c r="EN10" s="30">
        <v>0.44</v>
      </c>
      <c r="EO10" s="30">
        <v>2.21</v>
      </c>
      <c r="EP10" s="30">
        <v>1.59</v>
      </c>
      <c r="EQ10" s="30">
        <v>1.2800000000000001E-2</v>
      </c>
    </row>
    <row r="11" spans="1:147" ht="86.4" x14ac:dyDescent="0.25">
      <c r="B11" s="23"/>
      <c r="C11" s="23"/>
      <c r="D11" s="23" t="s">
        <v>1077</v>
      </c>
      <c r="E11" t="s">
        <v>599</v>
      </c>
      <c r="F11" t="s">
        <v>600</v>
      </c>
      <c r="G11">
        <v>23.36</v>
      </c>
      <c r="H11">
        <v>9.1000000000000004E-3</v>
      </c>
      <c r="I11" t="s">
        <v>601</v>
      </c>
      <c r="J11">
        <v>7155758000</v>
      </c>
      <c r="K11">
        <v>85.91</v>
      </c>
      <c r="L11">
        <v>7.47</v>
      </c>
      <c r="M11" t="s">
        <v>578</v>
      </c>
      <c r="N11" t="s">
        <v>566</v>
      </c>
      <c r="O11" t="s">
        <v>1041</v>
      </c>
      <c r="P11" t="s">
        <v>1042</v>
      </c>
      <c r="Q11">
        <v>84.14</v>
      </c>
      <c r="R11" t="s">
        <v>1043</v>
      </c>
      <c r="S11">
        <v>50239824</v>
      </c>
      <c r="T11" s="24">
        <v>0.6341</v>
      </c>
      <c r="U11" t="s">
        <v>1044</v>
      </c>
      <c r="V11">
        <v>299150260</v>
      </c>
      <c r="W11">
        <v>306325260</v>
      </c>
      <c r="X11">
        <v>1.23</v>
      </c>
      <c r="Y11">
        <v>1.91</v>
      </c>
      <c r="Z11">
        <v>2.57</v>
      </c>
      <c r="AA11" t="s">
        <v>1045</v>
      </c>
      <c r="AB11" t="s">
        <v>1046</v>
      </c>
      <c r="AC11" t="s">
        <v>1047</v>
      </c>
      <c r="AD11" t="s">
        <v>1048</v>
      </c>
      <c r="AE11" t="s">
        <v>1049</v>
      </c>
      <c r="AF11">
        <v>-3192692</v>
      </c>
      <c r="AG11" t="s">
        <v>1050</v>
      </c>
      <c r="AH11" t="s">
        <v>1051</v>
      </c>
      <c r="AI11" t="s">
        <v>1052</v>
      </c>
      <c r="AJ11" t="s">
        <v>1015</v>
      </c>
      <c r="AK11" t="s">
        <v>1053</v>
      </c>
      <c r="AL11" t="s">
        <v>1054</v>
      </c>
      <c r="AM11" t="s">
        <v>1055</v>
      </c>
      <c r="AN11" t="s">
        <v>167</v>
      </c>
      <c r="AO11" t="s">
        <v>197</v>
      </c>
      <c r="AP11" t="s">
        <v>1056</v>
      </c>
      <c r="AQ11" t="s">
        <v>167</v>
      </c>
      <c r="AR11" t="s">
        <v>1057</v>
      </c>
      <c r="AS11" t="s">
        <v>1058</v>
      </c>
      <c r="AT11" t="s">
        <v>1059</v>
      </c>
      <c r="AU11" t="s">
        <v>167</v>
      </c>
      <c r="AV11" t="s">
        <v>1060</v>
      </c>
      <c r="AW11" t="s">
        <v>1061</v>
      </c>
      <c r="AX11" t="s">
        <v>1062</v>
      </c>
      <c r="AY11" t="s">
        <v>1063</v>
      </c>
      <c r="AZ11" t="s">
        <v>1064</v>
      </c>
      <c r="BA11" t="s">
        <v>793</v>
      </c>
      <c r="BB11" t="s">
        <v>1065</v>
      </c>
      <c r="BC11" t="s">
        <v>289</v>
      </c>
      <c r="BD11" t="s">
        <v>1066</v>
      </c>
      <c r="BE11" t="s">
        <v>1067</v>
      </c>
      <c r="BF11" t="s">
        <v>1068</v>
      </c>
      <c r="BG11" t="s">
        <v>1069</v>
      </c>
      <c r="BH11" t="s">
        <v>1070</v>
      </c>
      <c r="BI11" t="s">
        <v>1071</v>
      </c>
      <c r="BJ11" t="s">
        <v>1072</v>
      </c>
      <c r="BK11" t="s">
        <v>401</v>
      </c>
      <c r="BL11" t="s">
        <v>1073</v>
      </c>
      <c r="BM11" t="s">
        <v>1074</v>
      </c>
      <c r="BN11" t="s">
        <v>1075</v>
      </c>
      <c r="BO11">
        <v>6.93</v>
      </c>
      <c r="BP11">
        <v>2.69</v>
      </c>
      <c r="BQ11">
        <v>6.76</v>
      </c>
      <c r="BR11">
        <v>7.3</v>
      </c>
      <c r="BS11">
        <v>3.27</v>
      </c>
      <c r="BT11">
        <v>7.87</v>
      </c>
      <c r="BU11" t="s">
        <v>215</v>
      </c>
      <c r="BV11" t="s">
        <v>737</v>
      </c>
      <c r="BW11">
        <v>7.32</v>
      </c>
      <c r="BX11">
        <v>9.8000000000000007</v>
      </c>
      <c r="BY11">
        <v>11.07</v>
      </c>
      <c r="BZ11">
        <v>2.42</v>
      </c>
      <c r="CA11">
        <v>1.88</v>
      </c>
      <c r="CB11">
        <v>3.36</v>
      </c>
      <c r="CC11">
        <v>4.8499999999999996</v>
      </c>
      <c r="CD11">
        <v>9.31</v>
      </c>
      <c r="CE11" t="s">
        <v>1076</v>
      </c>
      <c r="CF11" t="s">
        <v>563</v>
      </c>
      <c r="CG11" s="25">
        <v>0.31924334975369456</v>
      </c>
      <c r="CH11" s="26">
        <v>6.0090416588828695E-2</v>
      </c>
      <c r="CI11" s="25">
        <v>0.34065935015678406</v>
      </c>
      <c r="CJ11" s="25">
        <v>-0.16561602056026459</v>
      </c>
      <c r="CK11" s="25">
        <v>-0.13227255642414093</v>
      </c>
      <c r="CL11" s="25">
        <v>0.26637282967567444</v>
      </c>
      <c r="CM11" s="25">
        <v>0.16507698595523834</v>
      </c>
      <c r="CN11" s="26">
        <v>1.3503870964050293</v>
      </c>
      <c r="CO11" s="26">
        <v>-0.54988741874694824</v>
      </c>
      <c r="CP11" s="26">
        <v>0.1579725593328476</v>
      </c>
      <c r="CQ11" s="26">
        <v>6.2863378524780273</v>
      </c>
      <c r="CR11" s="26">
        <v>-1.3246994018554687</v>
      </c>
      <c r="CS11">
        <v>3.6658596311475411</v>
      </c>
      <c r="CT11">
        <v>77873068.572816983</v>
      </c>
      <c r="CU11">
        <v>0</v>
      </c>
      <c r="CV11" s="25">
        <v>9.4844117760658264E-2</v>
      </c>
      <c r="CW11" s="26">
        <v>1.1840221375226974</v>
      </c>
      <c r="CX11">
        <v>0.06</v>
      </c>
      <c r="CY11">
        <v>96.413857107761032</v>
      </c>
      <c r="CZ11">
        <v>65890507.760721274</v>
      </c>
      <c r="DA11">
        <v>9.4844117760658264E-2</v>
      </c>
      <c r="DB11">
        <v>31.378244885872913</v>
      </c>
      <c r="DC11">
        <v>202457403.94677502</v>
      </c>
      <c r="DD11">
        <v>9.010191187262534E-2</v>
      </c>
      <c r="DE11">
        <v>15.362170504586043</v>
      </c>
      <c r="DF11">
        <v>413532579.79421085</v>
      </c>
      <c r="DG11">
        <v>8.3462823629379276E-2</v>
      </c>
      <c r="DH11">
        <v>9.1681494002390505</v>
      </c>
      <c r="DI11">
        <v>692916064.37329197</v>
      </c>
      <c r="DJ11">
        <v>7.5875294208526622E-2</v>
      </c>
      <c r="DK11">
        <v>4.6717992951516978</v>
      </c>
      <c r="DL11">
        <v>1359809700.4280062</v>
      </c>
      <c r="DM11">
        <v>6.6390882432460774E-2</v>
      </c>
      <c r="DN11">
        <v>63793500</v>
      </c>
      <c r="DO11">
        <v>9.4844117760658264E-2</v>
      </c>
      <c r="DP11">
        <v>6352758000</v>
      </c>
      <c r="DQ11">
        <v>215981570</v>
      </c>
      <c r="DR11">
        <v>320</v>
      </c>
      <c r="DS11">
        <v>0.2243992319930363</v>
      </c>
      <c r="DT11">
        <v>-1.1239317209338686</v>
      </c>
      <c r="DU11" s="27">
        <v>0.6</v>
      </c>
      <c r="DV11">
        <v>0.6</v>
      </c>
      <c r="DW11">
        <v>1.2</v>
      </c>
      <c r="DX11">
        <v>8.5209452201933402</v>
      </c>
      <c r="DY11">
        <v>0.24838834080717553</v>
      </c>
      <c r="DZ11">
        <v>8.0668832924720508</v>
      </c>
      <c r="EA11">
        <v>834</v>
      </c>
      <c r="EB11">
        <v>8.0555503656289602</v>
      </c>
      <c r="EC11">
        <v>8</v>
      </c>
      <c r="ED11">
        <v>9.346470480429854E-2</v>
      </c>
      <c r="EE11">
        <v>0.72798436537685463</v>
      </c>
      <c r="EF11" s="28">
        <v>6.4009999999999997E-2</v>
      </c>
      <c r="EG11">
        <v>6.3919000000000004E-2</v>
      </c>
      <c r="EH11">
        <v>12.128388340807176</v>
      </c>
      <c r="EI11">
        <v>-1</v>
      </c>
      <c r="EJ11">
        <v>0</v>
      </c>
      <c r="EK11">
        <v>1</v>
      </c>
      <c r="EL11" s="29">
        <v>44946</v>
      </c>
      <c r="EM11" s="30">
        <v>7.2300000000000003E-2</v>
      </c>
      <c r="EN11" s="30">
        <v>-2.2599999999999998</v>
      </c>
      <c r="EO11" s="30">
        <v>-0.56000000000000005</v>
      </c>
      <c r="EP11" s="30">
        <v>-0.3</v>
      </c>
      <c r="EQ11" s="30">
        <v>9.1000000000000004E-3</v>
      </c>
    </row>
    <row r="12" spans="1:147" ht="86.4" x14ac:dyDescent="0.25">
      <c r="B12" s="23"/>
      <c r="C12" s="23"/>
      <c r="D12" s="23" t="s">
        <v>1116</v>
      </c>
      <c r="E12" t="s">
        <v>602</v>
      </c>
      <c r="F12" t="s">
        <v>603</v>
      </c>
      <c r="G12">
        <v>8.7200000000000006</v>
      </c>
      <c r="H12">
        <v>9.2999999999999992E-3</v>
      </c>
      <c r="I12" t="s">
        <v>604</v>
      </c>
      <c r="J12">
        <v>7002995000</v>
      </c>
      <c r="K12">
        <v>75.12</v>
      </c>
      <c r="L12">
        <v>1.4</v>
      </c>
      <c r="M12" t="s">
        <v>578</v>
      </c>
      <c r="N12" t="s">
        <v>1078</v>
      </c>
      <c r="O12" t="s">
        <v>1079</v>
      </c>
      <c r="P12" t="s">
        <v>1080</v>
      </c>
      <c r="Q12">
        <v>39.42</v>
      </c>
      <c r="R12" t="s">
        <v>1081</v>
      </c>
      <c r="S12">
        <v>102326005</v>
      </c>
      <c r="T12" s="24">
        <v>-0.5373</v>
      </c>
      <c r="U12" t="s">
        <v>1082</v>
      </c>
      <c r="V12">
        <v>621977180</v>
      </c>
      <c r="W12">
        <v>803095760</v>
      </c>
      <c r="X12">
        <v>1.43</v>
      </c>
      <c r="Y12">
        <v>0.26</v>
      </c>
      <c r="Z12">
        <v>6.53</v>
      </c>
      <c r="AA12" t="s">
        <v>1083</v>
      </c>
      <c r="AB12" t="s">
        <v>1084</v>
      </c>
      <c r="AC12" t="s">
        <v>1085</v>
      </c>
      <c r="AD12" t="s">
        <v>1086</v>
      </c>
      <c r="AE12" t="s">
        <v>1087</v>
      </c>
      <c r="AF12">
        <v>-8369910</v>
      </c>
      <c r="AG12" t="s">
        <v>1088</v>
      </c>
      <c r="AH12" t="s">
        <v>1089</v>
      </c>
      <c r="AI12" t="s">
        <v>1090</v>
      </c>
      <c r="AJ12" t="s">
        <v>1091</v>
      </c>
      <c r="AK12" t="s">
        <v>1092</v>
      </c>
      <c r="AL12" t="s">
        <v>167</v>
      </c>
      <c r="AM12" t="s">
        <v>1093</v>
      </c>
      <c r="AN12" t="s">
        <v>167</v>
      </c>
      <c r="AO12" t="s">
        <v>1094</v>
      </c>
      <c r="AP12" t="s">
        <v>167</v>
      </c>
      <c r="AQ12" t="s">
        <v>1095</v>
      </c>
      <c r="AR12" t="s">
        <v>1096</v>
      </c>
      <c r="AS12" t="s">
        <v>167</v>
      </c>
      <c r="AT12" t="s">
        <v>1097</v>
      </c>
      <c r="AU12" t="s">
        <v>1098</v>
      </c>
      <c r="AV12" t="s">
        <v>1099</v>
      </c>
      <c r="AW12" t="s">
        <v>1100</v>
      </c>
      <c r="AX12" t="s">
        <v>1101</v>
      </c>
      <c r="AY12" t="s">
        <v>259</v>
      </c>
      <c r="AZ12" t="s">
        <v>204</v>
      </c>
      <c r="BA12" t="s">
        <v>1102</v>
      </c>
      <c r="BB12" t="s">
        <v>206</v>
      </c>
      <c r="BC12" t="s">
        <v>1103</v>
      </c>
      <c r="BD12" t="s">
        <v>1104</v>
      </c>
      <c r="BE12" t="s">
        <v>1105</v>
      </c>
      <c r="BF12" t="s">
        <v>1106</v>
      </c>
      <c r="BG12" t="s">
        <v>492</v>
      </c>
      <c r="BH12" t="s">
        <v>1107</v>
      </c>
      <c r="BI12" t="s">
        <v>1108</v>
      </c>
      <c r="BJ12" t="s">
        <v>289</v>
      </c>
      <c r="BK12" t="s">
        <v>1109</v>
      </c>
      <c r="BL12" t="s">
        <v>1110</v>
      </c>
      <c r="BM12" t="s">
        <v>1111</v>
      </c>
      <c r="BN12" t="s">
        <v>1112</v>
      </c>
      <c r="BO12">
        <v>4.34</v>
      </c>
      <c r="BP12">
        <v>-6.85</v>
      </c>
      <c r="BQ12">
        <v>-0.65</v>
      </c>
      <c r="BR12">
        <v>4.09</v>
      </c>
      <c r="BS12">
        <v>-6.77</v>
      </c>
      <c r="BT12">
        <v>1.31</v>
      </c>
      <c r="BU12" t="s">
        <v>1113</v>
      </c>
      <c r="BV12" t="s">
        <v>737</v>
      </c>
      <c r="BW12">
        <v>13.57</v>
      </c>
      <c r="BX12">
        <v>25.76</v>
      </c>
      <c r="BY12">
        <v>34.32</v>
      </c>
      <c r="BZ12">
        <v>5.78</v>
      </c>
      <c r="CA12">
        <v>-59.63</v>
      </c>
      <c r="CB12">
        <v>8.4499999999999993</v>
      </c>
      <c r="CC12">
        <v>2.4700000000000002</v>
      </c>
      <c r="CD12">
        <v>-2.68</v>
      </c>
      <c r="CE12" t="s">
        <v>1114</v>
      </c>
      <c r="CF12" t="s">
        <v>1115</v>
      </c>
      <c r="CG12" s="25">
        <v>0.19430539130434782</v>
      </c>
      <c r="CH12" s="26">
        <v>-0.11237710526315789</v>
      </c>
      <c r="CI12" s="25">
        <v>2.1838350296020508</v>
      </c>
      <c r="CJ12" s="25">
        <v>-0.24880951642990112</v>
      </c>
      <c r="CK12" s="25">
        <v>-0.365558922290802</v>
      </c>
      <c r="CL12" s="25">
        <v>-0.36069533228874207</v>
      </c>
      <c r="CM12" s="25">
        <v>0.22908011078834534</v>
      </c>
      <c r="CN12" s="26">
        <v>1.565333366394043</v>
      </c>
      <c r="CO12" s="26">
        <v>-6.0256509780883789</v>
      </c>
      <c r="CP12" s="26">
        <v>1.82584547996521</v>
      </c>
      <c r="CQ12" s="26">
        <v>-1.2972122430801392</v>
      </c>
      <c r="CR12" s="26">
        <v>0.16030533611774445</v>
      </c>
      <c r="CS12">
        <v>3.4858113489298157</v>
      </c>
      <c r="CT12">
        <v>47657331.603773586</v>
      </c>
      <c r="CU12">
        <v>0.34403669724770636</v>
      </c>
      <c r="CV12" s="25">
        <v>0.28757027387619016</v>
      </c>
      <c r="CW12" s="26">
        <v>-0.75427580773830416</v>
      </c>
      <c r="CX12">
        <v>0.06</v>
      </c>
      <c r="CY12">
        <v>15.482630660605714</v>
      </c>
      <c r="CZ12">
        <v>257514054.77523804</v>
      </c>
      <c r="DA12">
        <v>0.28757027387619016</v>
      </c>
      <c r="DB12">
        <v>4.2969915243385985</v>
      </c>
      <c r="DC12">
        <v>927857310.72943795</v>
      </c>
      <c r="DD12">
        <v>0.27319176018238062</v>
      </c>
      <c r="DE12">
        <v>1.675886540003267</v>
      </c>
      <c r="DF12">
        <v>2379036351.7044702</v>
      </c>
      <c r="DG12">
        <v>0.25306184101104734</v>
      </c>
      <c r="DH12">
        <v>0.75850436944029387</v>
      </c>
      <c r="DI12">
        <v>5256390286.7718925</v>
      </c>
      <c r="DJ12">
        <v>0.23005621910095214</v>
      </c>
      <c r="DK12">
        <v>0.19723544857089872</v>
      </c>
      <c r="DL12">
        <v>20214393654.327435</v>
      </c>
      <c r="DM12">
        <v>0.2012991917133331</v>
      </c>
      <c r="DN12">
        <v>212000000</v>
      </c>
      <c r="DO12">
        <v>0.28757027387619016</v>
      </c>
      <c r="DP12">
        <v>3986995000</v>
      </c>
      <c r="DQ12">
        <v>1238961500</v>
      </c>
      <c r="DR12">
        <v>1558</v>
      </c>
      <c r="DS12">
        <v>-9.3264882571842345E-2</v>
      </c>
      <c r="DT12">
        <v>0.64189870247514624</v>
      </c>
      <c r="DU12" s="27">
        <v>0.6</v>
      </c>
      <c r="DV12">
        <v>-0.22</v>
      </c>
      <c r="DW12">
        <v>0.38</v>
      </c>
      <c r="DX12">
        <v>-1.0267999999999999</v>
      </c>
      <c r="DY12">
        <v>0.40825579915434362</v>
      </c>
      <c r="DZ12">
        <v>-1.0037052554173365</v>
      </c>
      <c r="EA12">
        <v>4074</v>
      </c>
      <c r="EB12">
        <v>-1.0006383698890495</v>
      </c>
      <c r="EC12">
        <v>1</v>
      </c>
      <c r="ED12">
        <v>1.4608469605168877E-2</v>
      </c>
      <c r="EE12">
        <v>0.10566261736956499</v>
      </c>
      <c r="EF12" s="28">
        <v>2.7699999999999999E-2</v>
      </c>
      <c r="EG12">
        <v>2.7792999999999998E-2</v>
      </c>
      <c r="EH12">
        <v>27.138255799154344</v>
      </c>
      <c r="EI12" t="s">
        <v>180</v>
      </c>
      <c r="EJ12">
        <v>0</v>
      </c>
      <c r="EK12">
        <v>0</v>
      </c>
      <c r="EL12" s="29">
        <v>44946</v>
      </c>
      <c r="EM12" s="30">
        <v>2.3999999999999998E-3</v>
      </c>
      <c r="EN12" s="30">
        <v>0.47</v>
      </c>
      <c r="EO12" s="30">
        <v>-0.35</v>
      </c>
      <c r="EP12" s="30">
        <v>1.17</v>
      </c>
      <c r="EQ12" s="30">
        <v>9.2999999999999992E-3</v>
      </c>
    </row>
    <row r="13" spans="1:147" ht="86.4" x14ac:dyDescent="0.25">
      <c r="B13" s="23"/>
      <c r="C13" s="23"/>
      <c r="D13" s="23" t="s">
        <v>1155</v>
      </c>
      <c r="E13" t="s">
        <v>605</v>
      </c>
      <c r="F13" t="s">
        <v>606</v>
      </c>
      <c r="G13">
        <v>22.3</v>
      </c>
      <c r="H13">
        <v>1.46E-2</v>
      </c>
      <c r="I13" t="s">
        <v>607</v>
      </c>
      <c r="J13">
        <v>5087776200</v>
      </c>
      <c r="K13">
        <v>14.82</v>
      </c>
      <c r="L13">
        <v>2.1</v>
      </c>
      <c r="M13" t="s">
        <v>578</v>
      </c>
      <c r="N13" t="s">
        <v>1117</v>
      </c>
      <c r="O13" t="s">
        <v>1118</v>
      </c>
      <c r="P13" t="s">
        <v>1119</v>
      </c>
      <c r="Q13">
        <v>118.7</v>
      </c>
      <c r="R13" t="s">
        <v>1120</v>
      </c>
      <c r="S13">
        <v>335338930</v>
      </c>
      <c r="T13" s="24">
        <v>1.5229999999999999</v>
      </c>
      <c r="U13" t="s">
        <v>1121</v>
      </c>
      <c r="V13">
        <v>149258900</v>
      </c>
      <c r="W13">
        <v>228151400</v>
      </c>
      <c r="X13">
        <v>1.59</v>
      </c>
      <c r="Y13">
        <v>1.43</v>
      </c>
      <c r="Z13">
        <v>7.05</v>
      </c>
      <c r="AA13" t="s">
        <v>1122</v>
      </c>
      <c r="AB13" t="s">
        <v>1123</v>
      </c>
      <c r="AC13" t="s">
        <v>1124</v>
      </c>
      <c r="AD13" t="s">
        <v>1125</v>
      </c>
      <c r="AE13" t="s">
        <v>1126</v>
      </c>
      <c r="AF13">
        <v>-14564938</v>
      </c>
      <c r="AG13" t="s">
        <v>1127</v>
      </c>
      <c r="AH13" t="s">
        <v>1128</v>
      </c>
      <c r="AI13" t="s">
        <v>1129</v>
      </c>
      <c r="AJ13" t="s">
        <v>208</v>
      </c>
      <c r="AK13" t="s">
        <v>1130</v>
      </c>
      <c r="AL13" t="s">
        <v>167</v>
      </c>
      <c r="AM13" t="s">
        <v>1131</v>
      </c>
      <c r="AN13" t="s">
        <v>167</v>
      </c>
      <c r="AO13" t="s">
        <v>1132</v>
      </c>
      <c r="AP13" t="s">
        <v>1133</v>
      </c>
      <c r="AQ13" t="s">
        <v>1134</v>
      </c>
      <c r="AR13" t="s">
        <v>1135</v>
      </c>
      <c r="AS13" t="s">
        <v>167</v>
      </c>
      <c r="AT13" t="s">
        <v>1136</v>
      </c>
      <c r="AU13" t="s">
        <v>195</v>
      </c>
      <c r="AV13" t="s">
        <v>1137</v>
      </c>
      <c r="AW13" t="s">
        <v>1138</v>
      </c>
      <c r="AX13" t="s">
        <v>1139</v>
      </c>
      <c r="AY13" t="s">
        <v>1140</v>
      </c>
      <c r="AZ13" t="s">
        <v>1141</v>
      </c>
      <c r="BA13" t="s">
        <v>1142</v>
      </c>
      <c r="BB13" t="s">
        <v>1143</v>
      </c>
      <c r="BC13" t="s">
        <v>193</v>
      </c>
      <c r="BD13" t="s">
        <v>1144</v>
      </c>
      <c r="BE13" t="s">
        <v>415</v>
      </c>
      <c r="BF13" t="s">
        <v>543</v>
      </c>
      <c r="BG13" t="s">
        <v>1145</v>
      </c>
      <c r="BH13" t="s">
        <v>1146</v>
      </c>
      <c r="BI13" t="s">
        <v>1147</v>
      </c>
      <c r="BJ13" t="s">
        <v>1148</v>
      </c>
      <c r="BK13" t="s">
        <v>1149</v>
      </c>
      <c r="BL13" t="s">
        <v>1150</v>
      </c>
      <c r="BM13" t="s">
        <v>236</v>
      </c>
      <c r="BN13" t="s">
        <v>1151</v>
      </c>
      <c r="BO13">
        <v>4.96</v>
      </c>
      <c r="BP13">
        <v>1.25</v>
      </c>
      <c r="BQ13">
        <v>22.13</v>
      </c>
      <c r="BR13">
        <v>7.15</v>
      </c>
      <c r="BS13">
        <v>2.12</v>
      </c>
      <c r="BT13">
        <v>27.97</v>
      </c>
      <c r="BU13" t="s">
        <v>1152</v>
      </c>
      <c r="BV13" t="s">
        <v>737</v>
      </c>
      <c r="BW13">
        <v>12.6</v>
      </c>
      <c r="BX13">
        <v>6.12</v>
      </c>
      <c r="BY13">
        <v>16.55</v>
      </c>
      <c r="BZ13">
        <v>7.49</v>
      </c>
      <c r="CA13">
        <v>1.34</v>
      </c>
      <c r="CB13">
        <v>7.56</v>
      </c>
      <c r="CC13">
        <v>2.76</v>
      </c>
      <c r="CD13">
        <v>-6.3</v>
      </c>
      <c r="CE13" t="s">
        <v>1153</v>
      </c>
      <c r="CF13" t="s">
        <v>1154</v>
      </c>
      <c r="CG13" s="25">
        <v>1.118077135980746</v>
      </c>
      <c r="CH13" s="26">
        <v>4.2224554166666701</v>
      </c>
      <c r="CI13" s="25">
        <v>0.39338567852973938</v>
      </c>
      <c r="CJ13" s="25">
        <v>-0.27301490306854248</v>
      </c>
      <c r="CK13" s="25">
        <v>-5.1320549100637436E-2</v>
      </c>
      <c r="CL13" s="25">
        <v>0.19899241626262665</v>
      </c>
      <c r="CM13" s="25">
        <v>0.40708860754966736</v>
      </c>
      <c r="CN13" s="26">
        <v>3.290839672088623</v>
      </c>
      <c r="CO13" s="26">
        <v>-0.86477077007293701</v>
      </c>
      <c r="CP13" s="26">
        <v>0.37288135290145874</v>
      </c>
      <c r="CQ13" s="26">
        <v>0.20408163964748383</v>
      </c>
      <c r="CR13" s="26">
        <v>-8.6956523358821869E-2</v>
      </c>
      <c r="CS13">
        <v>1.5889369768894439</v>
      </c>
      <c r="CT13">
        <v>242967056.73758864</v>
      </c>
      <c r="CU13">
        <v>0.44843049327354256</v>
      </c>
      <c r="CV13" s="25">
        <v>0.13502625003457069</v>
      </c>
      <c r="CW13" s="26">
        <v>0.58321507424116137</v>
      </c>
      <c r="CX13">
        <v>0.06</v>
      </c>
      <c r="CY13">
        <v>27.108085344249581</v>
      </c>
      <c r="CZ13">
        <v>150979906.8442212</v>
      </c>
      <c r="DA13">
        <v>0.13502625003457069</v>
      </c>
      <c r="DB13">
        <v>8.5289506780561268</v>
      </c>
      <c r="DC13">
        <v>479868667.84564453</v>
      </c>
      <c r="DD13">
        <v>0.12827493753284216</v>
      </c>
      <c r="DE13">
        <v>3.9875617569330526</v>
      </c>
      <c r="DF13">
        <v>1026385658.5754476</v>
      </c>
      <c r="DG13">
        <v>0.11882310003042221</v>
      </c>
      <c r="DH13">
        <v>2.2566083885079244</v>
      </c>
      <c r="DI13">
        <v>1813684740.712213</v>
      </c>
      <c r="DJ13">
        <v>0.10802100002765656</v>
      </c>
      <c r="DK13">
        <v>1.0191759739137922</v>
      </c>
      <c r="DL13">
        <v>4015769901.1320992</v>
      </c>
      <c r="DM13">
        <v>9.4518375024199477E-2</v>
      </c>
      <c r="DN13">
        <v>141000000</v>
      </c>
      <c r="DO13">
        <v>0.13502625003457069</v>
      </c>
      <c r="DP13">
        <v>4092776200</v>
      </c>
      <c r="DQ13">
        <v>285904970</v>
      </c>
      <c r="DR13">
        <v>1452</v>
      </c>
      <c r="DS13">
        <v>0.98305088594617529</v>
      </c>
      <c r="DT13">
        <v>3.6392403424255089</v>
      </c>
      <c r="DU13" s="27">
        <v>0.6</v>
      </c>
      <c r="DV13">
        <v>0.6</v>
      </c>
      <c r="DW13">
        <v>1.2</v>
      </c>
      <c r="DX13">
        <v>6.3046357615894042</v>
      </c>
      <c r="DY13">
        <v>0.43120837525753331</v>
      </c>
      <c r="DZ13">
        <v>6.0552025514029575</v>
      </c>
      <c r="EA13">
        <v>560</v>
      </c>
      <c r="EB13">
        <v>6.0489218872855952</v>
      </c>
      <c r="EC13">
        <v>6</v>
      </c>
      <c r="ED13">
        <v>2.486506766997704E-2</v>
      </c>
      <c r="EE13">
        <v>0.13721809289796161</v>
      </c>
      <c r="EF13" s="28">
        <v>3.1000000000000016E-4</v>
      </c>
      <c r="EG13">
        <v>1.6399999999999997E-4</v>
      </c>
      <c r="EH13">
        <v>25.181208375257533</v>
      </c>
      <c r="EI13" t="s">
        <v>180</v>
      </c>
      <c r="EJ13">
        <v>0</v>
      </c>
      <c r="EK13">
        <v>1</v>
      </c>
      <c r="EL13" s="29">
        <v>44946</v>
      </c>
      <c r="EM13" s="30">
        <v>1.24E-2</v>
      </c>
      <c r="EN13" s="30">
        <v>-0.27</v>
      </c>
      <c r="EO13" s="30">
        <v>0.46</v>
      </c>
      <c r="EP13" s="30">
        <v>-0.14000000000000001</v>
      </c>
      <c r="EQ13" s="30">
        <v>1.46E-2</v>
      </c>
    </row>
    <row r="14" spans="1:147" ht="86.4" x14ac:dyDescent="0.25">
      <c r="B14" s="23" t="s">
        <v>1156</v>
      </c>
      <c r="C14" s="23"/>
      <c r="D14" s="23" t="s">
        <v>1189</v>
      </c>
      <c r="E14" t="s">
        <v>608</v>
      </c>
      <c r="F14" t="s">
        <v>609</v>
      </c>
      <c r="G14">
        <v>3.71</v>
      </c>
      <c r="H14">
        <v>8.2000000000000007E-3</v>
      </c>
      <c r="I14" t="s">
        <v>610</v>
      </c>
      <c r="J14">
        <v>4399271900</v>
      </c>
      <c r="L14">
        <v>1.65</v>
      </c>
      <c r="M14" t="s">
        <v>578</v>
      </c>
      <c r="N14" t="s">
        <v>1157</v>
      </c>
      <c r="O14" t="s">
        <v>1158</v>
      </c>
      <c r="P14" t="s">
        <v>1159</v>
      </c>
      <c r="Q14">
        <v>4.79</v>
      </c>
      <c r="R14" t="s">
        <v>1160</v>
      </c>
      <c r="S14">
        <v>-277223310</v>
      </c>
      <c r="T14" s="24">
        <v>-3.359</v>
      </c>
      <c r="U14" t="s">
        <v>1161</v>
      </c>
      <c r="V14">
        <v>794337360</v>
      </c>
      <c r="W14">
        <v>1185787580</v>
      </c>
      <c r="X14">
        <v>1.69</v>
      </c>
      <c r="Y14">
        <v>0.69</v>
      </c>
      <c r="Z14">
        <v>-8.5500000000000007</v>
      </c>
      <c r="AA14" t="s">
        <v>1162</v>
      </c>
      <c r="AB14" t="s">
        <v>275</v>
      </c>
      <c r="AC14" t="s">
        <v>1163</v>
      </c>
      <c r="AD14" t="s">
        <v>1164</v>
      </c>
      <c r="AE14" t="s">
        <v>1165</v>
      </c>
      <c r="AF14">
        <v>69279996</v>
      </c>
      <c r="AG14" t="s">
        <v>1166</v>
      </c>
      <c r="AH14" t="s">
        <v>1167</v>
      </c>
      <c r="AI14" t="s">
        <v>1168</v>
      </c>
      <c r="AJ14" t="s">
        <v>288</v>
      </c>
      <c r="AK14" t="s">
        <v>1169</v>
      </c>
      <c r="AL14" t="s">
        <v>167</v>
      </c>
      <c r="AM14" t="s">
        <v>1170</v>
      </c>
      <c r="AN14" t="s">
        <v>167</v>
      </c>
      <c r="AO14" t="s">
        <v>1171</v>
      </c>
      <c r="AP14" t="s">
        <v>1172</v>
      </c>
      <c r="AQ14" t="s">
        <v>1173</v>
      </c>
      <c r="AR14" t="s">
        <v>256</v>
      </c>
      <c r="AS14" t="s">
        <v>167</v>
      </c>
      <c r="AT14" t="s">
        <v>1174</v>
      </c>
      <c r="AU14" t="s">
        <v>167</v>
      </c>
      <c r="AV14" t="s">
        <v>1175</v>
      </c>
      <c r="AW14" t="s">
        <v>1176</v>
      </c>
      <c r="AX14" t="s">
        <v>1177</v>
      </c>
      <c r="AY14" t="s">
        <v>1178</v>
      </c>
      <c r="AZ14" t="s">
        <v>1179</v>
      </c>
      <c r="BA14" t="s">
        <v>273</v>
      </c>
      <c r="BB14" t="s">
        <v>1180</v>
      </c>
      <c r="BC14" t="s">
        <v>236</v>
      </c>
      <c r="BD14" t="s">
        <v>219</v>
      </c>
      <c r="BE14" t="s">
        <v>1145</v>
      </c>
      <c r="BF14" t="s">
        <v>1181</v>
      </c>
      <c r="BG14" t="s">
        <v>1182</v>
      </c>
      <c r="BH14" t="s">
        <v>1183</v>
      </c>
      <c r="BI14" t="s">
        <v>183</v>
      </c>
      <c r="BJ14" t="s">
        <v>1184</v>
      </c>
      <c r="BK14" t="s">
        <v>1185</v>
      </c>
      <c r="BL14" t="s">
        <v>1186</v>
      </c>
      <c r="BM14" t="s">
        <v>189</v>
      </c>
      <c r="BN14" t="s">
        <v>1187</v>
      </c>
      <c r="BO14">
        <v>5.25</v>
      </c>
      <c r="BP14">
        <v>6.99</v>
      </c>
      <c r="BQ14">
        <v>-3.76</v>
      </c>
      <c r="BR14">
        <v>6.55</v>
      </c>
      <c r="BS14">
        <v>7.84</v>
      </c>
      <c r="BT14">
        <v>-70.62</v>
      </c>
      <c r="BU14" t="s">
        <v>215</v>
      </c>
      <c r="BV14" t="s">
        <v>737</v>
      </c>
      <c r="BW14">
        <v>1.63</v>
      </c>
      <c r="BX14">
        <v>20.55</v>
      </c>
      <c r="BY14">
        <v>7.83</v>
      </c>
      <c r="BZ14">
        <v>-8.9600000000000009</v>
      </c>
      <c r="CA14">
        <v>6.78</v>
      </c>
      <c r="CB14">
        <v>-76.94</v>
      </c>
      <c r="CC14">
        <v>2.4900000000000002</v>
      </c>
      <c r="CD14">
        <v>-6.08</v>
      </c>
      <c r="CE14" t="s">
        <v>1188</v>
      </c>
      <c r="CF14" t="s">
        <v>1180</v>
      </c>
      <c r="CG14" s="25">
        <v>-3.9216748768472909E-3</v>
      </c>
      <c r="CH14" s="26">
        <v>-4.1897080054801314</v>
      </c>
      <c r="CI14" s="25">
        <v>0.55283361673355103</v>
      </c>
      <c r="CJ14" s="25">
        <v>-0.28496730327606201</v>
      </c>
      <c r="CK14" s="25">
        <v>25.379310607910156</v>
      </c>
      <c r="CL14" s="25">
        <v>2.1126760169863701E-2</v>
      </c>
      <c r="CM14" s="25">
        <v>6.7669175565242767E-2</v>
      </c>
      <c r="CN14" s="26">
        <v>1.075268816202879E-2</v>
      </c>
      <c r="CO14" s="26">
        <v>0.26530611515045166</v>
      </c>
      <c r="CP14" s="26">
        <v>1.0280646085739136</v>
      </c>
      <c r="CQ14" s="26">
        <v>2.2177517414093018</v>
      </c>
      <c r="CR14" s="26">
        <v>-4.0739226341247559</v>
      </c>
      <c r="CS14">
        <v>1.0358539910525077</v>
      </c>
      <c r="CT14">
        <v>-138239984.04255319</v>
      </c>
      <c r="CU14">
        <v>0</v>
      </c>
      <c r="CV14" s="25">
        <v>5.1471945714205507</v>
      </c>
      <c r="CW14" s="26">
        <v>-0.11040949616581201</v>
      </c>
      <c r="CX14">
        <v>0.06</v>
      </c>
      <c r="CY14">
        <v>3.2829611790918571</v>
      </c>
      <c r="CZ14">
        <v>1090257150.40289</v>
      </c>
      <c r="DA14">
        <v>5.1471945714205507</v>
      </c>
      <c r="DB14">
        <v>9.1540492087911166E-2</v>
      </c>
      <c r="DC14">
        <v>39100422319.803963</v>
      </c>
      <c r="DD14">
        <v>4.8898348428495231</v>
      </c>
      <c r="DE14">
        <v>7.6372561803903232E-4</v>
      </c>
      <c r="DF14">
        <v>4686594001115.5566</v>
      </c>
      <c r="DG14">
        <v>4.5295312228500846</v>
      </c>
      <c r="DH14">
        <v>2.1933423890087195E-6</v>
      </c>
      <c r="DI14">
        <v>1631880146910237.2</v>
      </c>
      <c r="DJ14">
        <v>4.1177556571364411</v>
      </c>
      <c r="DK14">
        <v>2.5774932640415828E-12</v>
      </c>
      <c r="DL14">
        <v>1.3886639200707745E+21</v>
      </c>
      <c r="DM14">
        <v>3.6030361999943854</v>
      </c>
      <c r="DN14">
        <v>188000000</v>
      </c>
      <c r="DO14">
        <v>5.1471945714205507</v>
      </c>
      <c r="DP14">
        <v>3579271900</v>
      </c>
      <c r="DQ14">
        <v>302115700</v>
      </c>
      <c r="DR14">
        <v>3387</v>
      </c>
      <c r="DS14">
        <v>-5.1511162462973976</v>
      </c>
      <c r="DT14">
        <v>-4.0792985093143193</v>
      </c>
      <c r="DU14" s="27">
        <v>0.6</v>
      </c>
      <c r="DV14">
        <v>-0.89833333333333332</v>
      </c>
      <c r="DW14">
        <v>-0.29833333333333334</v>
      </c>
      <c r="DX14">
        <v>-2.0608</v>
      </c>
      <c r="DY14">
        <v>0.45171760563380275</v>
      </c>
      <c r="DZ14">
        <v>-2.0080084304225352</v>
      </c>
      <c r="EA14">
        <v>3625</v>
      </c>
      <c r="EB14">
        <v>-2.0021103076509608</v>
      </c>
      <c r="EC14">
        <v>2</v>
      </c>
      <c r="ED14">
        <v>1.5773398469901331E-2</v>
      </c>
      <c r="EE14">
        <v>0.11975163376226289</v>
      </c>
      <c r="EF14" s="28">
        <v>6.1100000000000002E-2</v>
      </c>
      <c r="EG14">
        <v>6.1182E-2</v>
      </c>
      <c r="EH14">
        <v>32.131717605633803</v>
      </c>
      <c r="EI14" t="s">
        <v>180</v>
      </c>
      <c r="EJ14">
        <v>0</v>
      </c>
      <c r="EK14">
        <v>0</v>
      </c>
      <c r="EL14" s="29">
        <v>44946</v>
      </c>
      <c r="EM14" s="30">
        <v>5.4999999999999997E-3</v>
      </c>
      <c r="EN14" s="30">
        <v>-0.27</v>
      </c>
      <c r="EO14" s="30">
        <v>1.1000000000000001</v>
      </c>
      <c r="EP14" s="30">
        <v>0.27</v>
      </c>
      <c r="EQ14" s="30">
        <v>8.2000000000000007E-3</v>
      </c>
    </row>
    <row r="15" spans="1:147" ht="151.19999999999999" x14ac:dyDescent="0.25">
      <c r="B15" s="23"/>
      <c r="C15" s="23"/>
      <c r="D15" s="23" t="s">
        <v>1222</v>
      </c>
      <c r="E15" t="s">
        <v>611</v>
      </c>
      <c r="F15" t="s">
        <v>612</v>
      </c>
      <c r="G15">
        <v>4.8899999999999997</v>
      </c>
      <c r="H15">
        <v>1.03E-2</v>
      </c>
      <c r="I15" t="s">
        <v>613</v>
      </c>
      <c r="J15">
        <v>4007425400</v>
      </c>
      <c r="L15">
        <v>1.03</v>
      </c>
      <c r="M15" t="s">
        <v>578</v>
      </c>
      <c r="N15" t="s">
        <v>1190</v>
      </c>
      <c r="O15" t="s">
        <v>1191</v>
      </c>
      <c r="P15" t="s">
        <v>1192</v>
      </c>
      <c r="Q15">
        <v>-40.799999999999997</v>
      </c>
      <c r="R15" t="s">
        <v>1193</v>
      </c>
      <c r="S15">
        <v>-243169810</v>
      </c>
      <c r="T15" s="24">
        <v>-1.7529999999999999</v>
      </c>
      <c r="U15" t="s">
        <v>249</v>
      </c>
      <c r="V15">
        <v>785710470</v>
      </c>
      <c r="W15">
        <v>819514400</v>
      </c>
      <c r="X15">
        <v>2.21</v>
      </c>
      <c r="Y15">
        <v>0.51</v>
      </c>
      <c r="Z15">
        <v>-5.1100000000000003</v>
      </c>
      <c r="AA15" t="s">
        <v>1194</v>
      </c>
      <c r="AB15" t="s">
        <v>1195</v>
      </c>
      <c r="AC15" t="s">
        <v>1196</v>
      </c>
      <c r="AD15" t="s">
        <v>168</v>
      </c>
      <c r="AE15" t="s">
        <v>573</v>
      </c>
      <c r="AF15">
        <v>53762700</v>
      </c>
      <c r="AG15" t="s">
        <v>248</v>
      </c>
      <c r="AH15" t="s">
        <v>1197</v>
      </c>
      <c r="AI15" t="s">
        <v>1198</v>
      </c>
      <c r="AJ15" t="s">
        <v>187</v>
      </c>
      <c r="AK15" t="s">
        <v>1199</v>
      </c>
      <c r="AL15" t="s">
        <v>167</v>
      </c>
      <c r="AM15" t="s">
        <v>1200</v>
      </c>
      <c r="AN15" t="s">
        <v>167</v>
      </c>
      <c r="AO15" t="s">
        <v>1201</v>
      </c>
      <c r="AP15" t="s">
        <v>1202</v>
      </c>
      <c r="AQ15" t="s">
        <v>1203</v>
      </c>
      <c r="AR15" t="s">
        <v>1204</v>
      </c>
      <c r="AS15" t="s">
        <v>565</v>
      </c>
      <c r="AT15" t="s">
        <v>1205</v>
      </c>
      <c r="AU15" t="s">
        <v>890</v>
      </c>
      <c r="AV15" t="s">
        <v>260</v>
      </c>
      <c r="AW15" t="s">
        <v>1206</v>
      </c>
      <c r="AX15" t="s">
        <v>1207</v>
      </c>
      <c r="AY15" t="s">
        <v>1208</v>
      </c>
      <c r="AZ15" t="s">
        <v>1209</v>
      </c>
      <c r="BA15" t="s">
        <v>1210</v>
      </c>
      <c r="BB15" t="s">
        <v>1211</v>
      </c>
      <c r="BC15" t="s">
        <v>1212</v>
      </c>
      <c r="BD15" t="s">
        <v>1213</v>
      </c>
      <c r="BE15" t="s">
        <v>1214</v>
      </c>
      <c r="BF15" t="s">
        <v>222</v>
      </c>
      <c r="BG15" t="s">
        <v>567</v>
      </c>
      <c r="BH15" t="s">
        <v>279</v>
      </c>
      <c r="BI15" t="s">
        <v>1215</v>
      </c>
      <c r="BJ15" t="s">
        <v>1216</v>
      </c>
      <c r="BK15" t="s">
        <v>931</v>
      </c>
      <c r="BL15" t="s">
        <v>1217</v>
      </c>
      <c r="BM15" t="s">
        <v>1218</v>
      </c>
      <c r="BN15" t="s">
        <v>1219</v>
      </c>
      <c r="BO15">
        <v>3.25</v>
      </c>
      <c r="BP15">
        <v>7.25</v>
      </c>
      <c r="BQ15">
        <v>-6.39</v>
      </c>
      <c r="BR15">
        <v>2.6</v>
      </c>
      <c r="BS15">
        <v>9.18</v>
      </c>
      <c r="BT15">
        <v>-18.13</v>
      </c>
      <c r="BU15" t="s">
        <v>215</v>
      </c>
      <c r="BV15" t="s">
        <v>737</v>
      </c>
      <c r="BW15">
        <v>3.32</v>
      </c>
      <c r="BX15">
        <v>13.34</v>
      </c>
      <c r="BY15">
        <v>3.46</v>
      </c>
      <c r="BZ15">
        <v>-5.75</v>
      </c>
      <c r="CA15">
        <v>3.74</v>
      </c>
      <c r="CB15">
        <v>-6.76</v>
      </c>
      <c r="CC15">
        <v>-4.3099999999999996</v>
      </c>
      <c r="CD15">
        <v>9.4</v>
      </c>
      <c r="CE15" t="s">
        <v>1220</v>
      </c>
      <c r="CF15" t="s">
        <v>1221</v>
      </c>
      <c r="CG15" s="25">
        <v>-0.35397977409106951</v>
      </c>
      <c r="CH15" s="26">
        <v>-0.41829830188679246</v>
      </c>
      <c r="CI15" s="25">
        <v>5.8503970503807068E-2</v>
      </c>
      <c r="CJ15" s="25">
        <v>-0.13139750063419342</v>
      </c>
      <c r="CK15" s="25">
        <v>2.1221406757831573E-2</v>
      </c>
      <c r="CL15" s="25">
        <v>-9.3802459537982941E-2</v>
      </c>
      <c r="CM15" s="25">
        <v>0.3459930419921875</v>
      </c>
      <c r="CN15" s="26">
        <v>-0.70308125019073486</v>
      </c>
      <c r="CO15" s="26">
        <v>1.4785523414611816</v>
      </c>
      <c r="CP15" s="26">
        <v>-7.3220338821411133</v>
      </c>
      <c r="CQ15" s="26">
        <v>-0.47555556893348694</v>
      </c>
      <c r="CR15" s="26">
        <v>-0.3382352888584137</v>
      </c>
      <c r="CS15">
        <v>0.39552165416502172</v>
      </c>
      <c r="CT15">
        <v>-237710716.98113209</v>
      </c>
      <c r="CU15">
        <v>0</v>
      </c>
      <c r="CV15" s="25">
        <v>4.0103691816329959E-2</v>
      </c>
      <c r="CW15" s="26">
        <v>-1.4720707297325135</v>
      </c>
      <c r="CX15">
        <v>0.06</v>
      </c>
      <c r="CY15">
        <v>46.374466680114047</v>
      </c>
      <c r="CZ15">
        <v>104010369.181633</v>
      </c>
      <c r="DA15">
        <v>4.0103691816329959E-2</v>
      </c>
      <c r="DB15">
        <v>15.812478308801269</v>
      </c>
      <c r="DC15">
        <v>305039178.91955417</v>
      </c>
      <c r="DD15">
        <v>3.8098507225513459E-2</v>
      </c>
      <c r="DE15">
        <v>8.2299615288826562</v>
      </c>
      <c r="DF15">
        <v>586081160.04824805</v>
      </c>
      <c r="DG15">
        <v>3.5291248798370367E-2</v>
      </c>
      <c r="DH15">
        <v>5.254437718100565</v>
      </c>
      <c r="DI15">
        <v>917971752.40733993</v>
      </c>
      <c r="DJ15">
        <v>3.2082953453063966E-2</v>
      </c>
      <c r="DK15">
        <v>3.0885127539972643</v>
      </c>
      <c r="DL15">
        <v>1561730769.5289097</v>
      </c>
      <c r="DM15">
        <v>2.8072584271430969E-2</v>
      </c>
      <c r="DN15">
        <v>106000000</v>
      </c>
      <c r="DO15">
        <v>4.0103691816329959E-2</v>
      </c>
      <c r="DP15">
        <v>4823425400</v>
      </c>
      <c r="DQ15">
        <v>476067100</v>
      </c>
      <c r="DR15">
        <v>238</v>
      </c>
      <c r="DS15">
        <v>-0.39408346590739946</v>
      </c>
      <c r="DT15">
        <v>1.053772427845721</v>
      </c>
      <c r="DU15" s="27">
        <v>-0.22</v>
      </c>
      <c r="DV15">
        <v>-0.89833333333333332</v>
      </c>
      <c r="DW15">
        <v>-1.1183333333333334</v>
      </c>
      <c r="DX15">
        <v>-6.3143690736688551</v>
      </c>
      <c r="DY15">
        <v>0.19171735241502674</v>
      </c>
      <c r="DZ15">
        <v>-6.019402026908006</v>
      </c>
      <c r="EA15">
        <v>4638</v>
      </c>
      <c r="EB15">
        <v>-6.0011194993177313</v>
      </c>
      <c r="EC15">
        <v>6</v>
      </c>
      <c r="ED15">
        <v>0.16839240408710329</v>
      </c>
      <c r="EE15">
        <v>2.7284450401359632</v>
      </c>
      <c r="EF15" s="28">
        <v>3.9210000000000002E-2</v>
      </c>
      <c r="EG15">
        <v>3.9107000000000003E-2</v>
      </c>
      <c r="EH15">
        <v>13.061717352415027</v>
      </c>
      <c r="EI15">
        <v>-1</v>
      </c>
      <c r="EJ15">
        <v>0</v>
      </c>
      <c r="EK15">
        <v>0</v>
      </c>
      <c r="EL15" s="29">
        <v>44946</v>
      </c>
      <c r="EM15" s="30">
        <v>-9.7999999999999997E-3</v>
      </c>
      <c r="EN15" s="30">
        <v>-1.19</v>
      </c>
      <c r="EO15" s="30">
        <v>-1.2</v>
      </c>
      <c r="EP15" s="30">
        <v>-2.02</v>
      </c>
      <c r="EQ15" s="30">
        <v>1.03E-2</v>
      </c>
    </row>
    <row r="16" spans="1:147" ht="86.4" x14ac:dyDescent="0.25">
      <c r="B16" s="23"/>
      <c r="C16" s="23"/>
      <c r="D16" s="23" t="s">
        <v>1263</v>
      </c>
      <c r="E16" t="s">
        <v>614</v>
      </c>
      <c r="F16" t="s">
        <v>615</v>
      </c>
      <c r="G16">
        <v>5.63</v>
      </c>
      <c r="H16">
        <v>1.6199999999999999E-2</v>
      </c>
      <c r="I16" t="s">
        <v>616</v>
      </c>
      <c r="J16">
        <v>3445560000</v>
      </c>
      <c r="K16">
        <v>102.1</v>
      </c>
      <c r="L16">
        <v>3.94</v>
      </c>
      <c r="M16" t="s">
        <v>578</v>
      </c>
      <c r="N16" t="s">
        <v>1223</v>
      </c>
      <c r="O16" t="s">
        <v>1224</v>
      </c>
      <c r="P16" t="s">
        <v>1225</v>
      </c>
      <c r="Q16">
        <v>-12.13</v>
      </c>
      <c r="R16" t="s">
        <v>1226</v>
      </c>
      <c r="S16">
        <v>31460820</v>
      </c>
      <c r="T16" s="24">
        <v>1.01</v>
      </c>
      <c r="U16" t="s">
        <v>1227</v>
      </c>
      <c r="V16">
        <v>611948630</v>
      </c>
      <c r="W16">
        <v>612000000</v>
      </c>
      <c r="X16">
        <v>1.27</v>
      </c>
      <c r="Y16">
        <v>0.4</v>
      </c>
      <c r="Z16">
        <v>7.44</v>
      </c>
      <c r="AA16" t="s">
        <v>1228</v>
      </c>
      <c r="AB16" t="s">
        <v>1229</v>
      </c>
      <c r="AC16" t="s">
        <v>1230</v>
      </c>
      <c r="AD16" t="s">
        <v>1231</v>
      </c>
      <c r="AE16" t="s">
        <v>1232</v>
      </c>
      <c r="AF16">
        <v>-10167708</v>
      </c>
      <c r="AG16" t="s">
        <v>1233</v>
      </c>
      <c r="AH16" t="s">
        <v>1234</v>
      </c>
      <c r="AI16" t="s">
        <v>1235</v>
      </c>
      <c r="AJ16" t="s">
        <v>1236</v>
      </c>
      <c r="AK16" t="s">
        <v>1237</v>
      </c>
      <c r="AL16" t="s">
        <v>1238</v>
      </c>
      <c r="AM16" t="s">
        <v>1239</v>
      </c>
      <c r="AN16" t="s">
        <v>167</v>
      </c>
      <c r="AO16" t="s">
        <v>1240</v>
      </c>
      <c r="AP16" t="s">
        <v>1241</v>
      </c>
      <c r="AQ16" t="s">
        <v>1242</v>
      </c>
      <c r="AR16" t="s">
        <v>1243</v>
      </c>
      <c r="AS16" t="s">
        <v>1244</v>
      </c>
      <c r="AT16" t="s">
        <v>241</v>
      </c>
      <c r="AU16" t="s">
        <v>167</v>
      </c>
      <c r="AV16" t="s">
        <v>1245</v>
      </c>
      <c r="AW16" t="s">
        <v>1246</v>
      </c>
      <c r="AX16" t="s">
        <v>1247</v>
      </c>
      <c r="AY16" t="s">
        <v>1248</v>
      </c>
      <c r="AZ16" t="s">
        <v>1249</v>
      </c>
      <c r="BA16" t="s">
        <v>1250</v>
      </c>
      <c r="BB16" t="s">
        <v>1251</v>
      </c>
      <c r="BC16" t="s">
        <v>1252</v>
      </c>
      <c r="BD16" t="s">
        <v>1253</v>
      </c>
      <c r="BE16" t="s">
        <v>1254</v>
      </c>
      <c r="BF16" t="s">
        <v>1255</v>
      </c>
      <c r="BG16" t="s">
        <v>1256</v>
      </c>
      <c r="BH16" t="s">
        <v>1257</v>
      </c>
      <c r="BI16" t="s">
        <v>1096</v>
      </c>
      <c r="BJ16" t="s">
        <v>1258</v>
      </c>
      <c r="BK16" t="s">
        <v>571</v>
      </c>
      <c r="BL16" t="s">
        <v>1259</v>
      </c>
      <c r="BM16" t="s">
        <v>1260</v>
      </c>
      <c r="BN16" t="s">
        <v>1261</v>
      </c>
      <c r="BO16">
        <v>1.43</v>
      </c>
      <c r="BP16">
        <v>1.75</v>
      </c>
      <c r="BQ16">
        <v>8.0399999999999991</v>
      </c>
      <c r="BR16">
        <v>2.16</v>
      </c>
      <c r="BS16">
        <v>1.62</v>
      </c>
      <c r="BT16">
        <v>11.96</v>
      </c>
      <c r="BU16" t="s">
        <v>215</v>
      </c>
      <c r="BV16" t="s">
        <v>737</v>
      </c>
      <c r="BW16">
        <v>19.66</v>
      </c>
      <c r="BX16">
        <v>18.71</v>
      </c>
      <c r="BY16">
        <v>12.42</v>
      </c>
      <c r="BZ16">
        <v>4.97</v>
      </c>
      <c r="CA16">
        <v>2.95</v>
      </c>
      <c r="CB16">
        <v>21.89</v>
      </c>
      <c r="CC16">
        <v>6.43</v>
      </c>
      <c r="CD16">
        <v>-1.23</v>
      </c>
      <c r="CE16" t="s">
        <v>1262</v>
      </c>
      <c r="CF16" t="s">
        <v>1223</v>
      </c>
      <c r="CG16" s="25">
        <v>-0.44035541284403656</v>
      </c>
      <c r="CH16" s="26">
        <v>1.2215511084158759</v>
      </c>
      <c r="CI16" s="25">
        <v>0.46979865431785583</v>
      </c>
      <c r="CJ16" s="25">
        <v>7.1942448616027832E-2</v>
      </c>
      <c r="CK16" s="25">
        <v>-7.3333330452442169E-2</v>
      </c>
      <c r="CL16" s="25">
        <v>9.7560971975326538E-2</v>
      </c>
      <c r="CM16" s="25">
        <v>-0.54342985153198242</v>
      </c>
      <c r="CN16" s="26">
        <v>0.36149924993515015</v>
      </c>
      <c r="CO16" s="26">
        <v>-0.85552668571472168</v>
      </c>
      <c r="CP16" s="26">
        <v>1.3456283807754517</v>
      </c>
      <c r="CQ16" s="26">
        <v>-32.921066284179688</v>
      </c>
      <c r="CR16" s="26">
        <v>-0.44230833649635315</v>
      </c>
      <c r="CS16">
        <v>5.2443835616438355</v>
      </c>
      <c r="CT16">
        <v>153661752.49747884</v>
      </c>
      <c r="CU16">
        <v>0</v>
      </c>
      <c r="CV16" s="25">
        <v>4.5077785849571231E-3</v>
      </c>
      <c r="CW16" s="26">
        <v>-6.5023547351360325</v>
      </c>
      <c r="CX16">
        <v>0.06</v>
      </c>
      <c r="CY16">
        <v>164.89170783853396</v>
      </c>
      <c r="CZ16">
        <v>17008496.283793084</v>
      </c>
      <c r="DA16">
        <v>4.5077785849571231E-3</v>
      </c>
      <c r="DB16">
        <v>57.969969562088934</v>
      </c>
      <c r="DC16">
        <v>48379532.043675929</v>
      </c>
      <c r="DD16">
        <v>4.2823896557092666E-3</v>
      </c>
      <c r="DE16">
        <v>31.360381290996767</v>
      </c>
      <c r="DF16">
        <v>89430035.112652138</v>
      </c>
      <c r="DG16">
        <v>3.9668451547622682E-3</v>
      </c>
      <c r="DH16">
        <v>20.849197104545762</v>
      </c>
      <c r="DI16">
        <v>134516450.96628302</v>
      </c>
      <c r="DJ16">
        <v>3.6062228679656985E-3</v>
      </c>
      <c r="DK16">
        <v>13.256985007082937</v>
      </c>
      <c r="DL16">
        <v>211553380.99134764</v>
      </c>
      <c r="DM16">
        <v>3.1554450094699862E-3</v>
      </c>
      <c r="DN16">
        <v>17948100</v>
      </c>
      <c r="DO16">
        <v>4.5077785849571231E-3</v>
      </c>
      <c r="DP16">
        <v>2804560000</v>
      </c>
      <c r="DQ16">
        <v>583906320</v>
      </c>
      <c r="DR16">
        <v>975</v>
      </c>
      <c r="DS16">
        <v>-0.44486319142899367</v>
      </c>
      <c r="DT16">
        <v>7.7239058435519086</v>
      </c>
      <c r="DU16" s="27">
        <v>0</v>
      </c>
      <c r="DV16">
        <v>0.6</v>
      </c>
      <c r="DW16">
        <v>0.6</v>
      </c>
      <c r="DX16">
        <v>5.1912908242612756</v>
      </c>
      <c r="DY16">
        <v>0.43572446351931332</v>
      </c>
      <c r="DZ16">
        <v>5.0259628444990287</v>
      </c>
      <c r="EA16">
        <v>3316</v>
      </c>
      <c r="EB16">
        <v>5.0084714198019995</v>
      </c>
      <c r="EC16">
        <v>5</v>
      </c>
      <c r="ED16">
        <v>5.1672875816993466E-2</v>
      </c>
      <c r="EE16">
        <v>0.38071895424836599</v>
      </c>
      <c r="EF16" s="28">
        <v>2.12E-2</v>
      </c>
      <c r="EG16">
        <v>2.1361999999999999E-2</v>
      </c>
      <c r="EH16">
        <v>30.135724463519313</v>
      </c>
      <c r="EI16" t="s">
        <v>180</v>
      </c>
      <c r="EJ16">
        <v>1</v>
      </c>
      <c r="EK16">
        <v>0</v>
      </c>
      <c r="EL16" s="29">
        <v>44946</v>
      </c>
      <c r="EM16" s="30">
        <v>2.0799999999999999E-2</v>
      </c>
      <c r="EN16" s="30">
        <v>-0.74</v>
      </c>
      <c r="EO16" s="30">
        <v>1.68</v>
      </c>
      <c r="EP16" s="30">
        <v>1.65</v>
      </c>
      <c r="EQ16" s="30">
        <v>1.6199999999999999E-2</v>
      </c>
    </row>
    <row r="17" spans="2:147" ht="86.4" x14ac:dyDescent="0.25">
      <c r="B17" s="23"/>
      <c r="C17" s="23"/>
      <c r="D17" s="23" t="s">
        <v>1302</v>
      </c>
      <c r="E17" t="s">
        <v>617</v>
      </c>
      <c r="F17" t="s">
        <v>618</v>
      </c>
      <c r="G17">
        <v>18.47</v>
      </c>
      <c r="H17">
        <v>-1.2800000000000001E-2</v>
      </c>
      <c r="I17" t="s">
        <v>619</v>
      </c>
      <c r="J17">
        <v>3246287200</v>
      </c>
      <c r="K17">
        <v>24.14</v>
      </c>
      <c r="L17">
        <v>3.5</v>
      </c>
      <c r="M17" t="s">
        <v>578</v>
      </c>
      <c r="N17" t="s">
        <v>1264</v>
      </c>
      <c r="O17" t="s">
        <v>231</v>
      </c>
      <c r="P17" t="s">
        <v>1265</v>
      </c>
      <c r="Q17">
        <v>143.15</v>
      </c>
      <c r="R17" t="s">
        <v>1266</v>
      </c>
      <c r="S17">
        <v>84168657</v>
      </c>
      <c r="T17" s="24">
        <v>11.33</v>
      </c>
      <c r="U17" t="s">
        <v>1267</v>
      </c>
      <c r="V17">
        <v>79187609</v>
      </c>
      <c r="W17">
        <v>175760000</v>
      </c>
      <c r="X17">
        <v>2.4900000000000002</v>
      </c>
      <c r="Y17">
        <v>1.29</v>
      </c>
      <c r="Z17">
        <v>3.19</v>
      </c>
      <c r="AA17" t="s">
        <v>1268</v>
      </c>
      <c r="AB17" t="s">
        <v>1269</v>
      </c>
      <c r="AC17" t="s">
        <v>1270</v>
      </c>
      <c r="AD17" t="s">
        <v>1271</v>
      </c>
      <c r="AE17" t="s">
        <v>1272</v>
      </c>
      <c r="AF17">
        <v>32379650</v>
      </c>
      <c r="AG17" t="s">
        <v>1273</v>
      </c>
      <c r="AH17" t="s">
        <v>1274</v>
      </c>
      <c r="AI17" t="s">
        <v>1275</v>
      </c>
      <c r="AJ17" t="s">
        <v>1276</v>
      </c>
      <c r="AK17" t="s">
        <v>1277</v>
      </c>
      <c r="AL17" t="s">
        <v>167</v>
      </c>
      <c r="AM17" t="s">
        <v>1278</v>
      </c>
      <c r="AN17" t="s">
        <v>167</v>
      </c>
      <c r="AO17" t="s">
        <v>1279</v>
      </c>
      <c r="AP17" t="s">
        <v>1280</v>
      </c>
      <c r="AQ17" t="s">
        <v>167</v>
      </c>
      <c r="AR17" t="s">
        <v>1281</v>
      </c>
      <c r="AS17" t="s">
        <v>167</v>
      </c>
      <c r="AT17" t="s">
        <v>1282</v>
      </c>
      <c r="AU17" t="s">
        <v>198</v>
      </c>
      <c r="AV17" t="s">
        <v>1283</v>
      </c>
      <c r="AW17" t="s">
        <v>1284</v>
      </c>
      <c r="AX17" t="s">
        <v>1285</v>
      </c>
      <c r="AY17" t="s">
        <v>1286</v>
      </c>
      <c r="AZ17" t="s">
        <v>200</v>
      </c>
      <c r="BA17" t="s">
        <v>1287</v>
      </c>
      <c r="BB17" t="s">
        <v>1288</v>
      </c>
      <c r="BC17" t="s">
        <v>571</v>
      </c>
      <c r="BD17" t="s">
        <v>1289</v>
      </c>
      <c r="BE17" t="s">
        <v>1290</v>
      </c>
      <c r="BF17" t="s">
        <v>1291</v>
      </c>
      <c r="BG17" t="s">
        <v>1292</v>
      </c>
      <c r="BH17" t="s">
        <v>1293</v>
      </c>
      <c r="BI17" t="s">
        <v>1294</v>
      </c>
      <c r="BJ17" t="s">
        <v>1295</v>
      </c>
      <c r="BK17" t="s">
        <v>1137</v>
      </c>
      <c r="BL17" t="s">
        <v>1296</v>
      </c>
      <c r="BM17" t="s">
        <v>1297</v>
      </c>
      <c r="BN17" t="s">
        <v>1298</v>
      </c>
      <c r="BO17">
        <v>4.1100000000000003</v>
      </c>
      <c r="BP17">
        <v>5.85</v>
      </c>
      <c r="BQ17">
        <v>10.47</v>
      </c>
      <c r="BR17">
        <v>4.96</v>
      </c>
      <c r="BS17">
        <v>9.06</v>
      </c>
      <c r="BT17">
        <v>18.670000000000002</v>
      </c>
      <c r="BU17" t="s">
        <v>1299</v>
      </c>
      <c r="BV17" t="s">
        <v>737</v>
      </c>
      <c r="BW17">
        <v>7.85</v>
      </c>
      <c r="BX17">
        <v>17.149999999999999</v>
      </c>
      <c r="BY17">
        <v>18.739999999999998</v>
      </c>
      <c r="BZ17">
        <v>2.95</v>
      </c>
      <c r="CA17">
        <v>5.94</v>
      </c>
      <c r="CB17">
        <v>9.16</v>
      </c>
      <c r="CC17">
        <v>-2.12</v>
      </c>
      <c r="CD17">
        <v>-8.6999999999999993</v>
      </c>
      <c r="CE17" t="s">
        <v>1300</v>
      </c>
      <c r="CF17" t="s">
        <v>1301</v>
      </c>
      <c r="CG17" s="25">
        <v>1.6605763919821825</v>
      </c>
      <c r="CH17" s="26">
        <v>4.0107703257319578</v>
      </c>
      <c r="CI17" s="25">
        <v>0.5</v>
      </c>
      <c r="CJ17" s="25">
        <v>0.17533253133296967</v>
      </c>
      <c r="CK17" s="25">
        <v>0.42096218466758728</v>
      </c>
      <c r="CL17" s="25">
        <v>0.6077347993850708</v>
      </c>
      <c r="CM17" s="25">
        <v>0.37642586231231689</v>
      </c>
      <c r="CN17" s="26">
        <v>-0.27015995979309082</v>
      </c>
      <c r="CO17" s="26">
        <v>-0.23687337338924408</v>
      </c>
      <c r="CP17" s="26">
        <v>-0.15340083837509155</v>
      </c>
      <c r="CQ17" s="26">
        <v>7.1263186633586884E-2</v>
      </c>
      <c r="CR17" s="26">
        <v>0.19637233018875122</v>
      </c>
      <c r="CS17">
        <v>2.2265344307270234</v>
      </c>
      <c r="CT17">
        <v>182964302.56404176</v>
      </c>
      <c r="CU17">
        <v>0.43313481321061187</v>
      </c>
      <c r="CV17" s="25">
        <v>0.41609107553958891</v>
      </c>
      <c r="CW17" s="26">
        <v>-7.8559730947017667E-2</v>
      </c>
      <c r="CX17">
        <v>0.06</v>
      </c>
      <c r="CY17">
        <v>65.826946960859615</v>
      </c>
      <c r="CZ17">
        <v>56349069.359171778</v>
      </c>
      <c r="DA17">
        <v>0.41609107553958891</v>
      </c>
      <c r="DB17">
        <v>16.50009390749458</v>
      </c>
      <c r="DC17">
        <v>224804005.40721703</v>
      </c>
      <c r="DD17">
        <v>0.39528652176260942</v>
      </c>
      <c r="DE17">
        <v>5.4999377684617112</v>
      </c>
      <c r="DF17">
        <v>674423485.52926588</v>
      </c>
      <c r="DG17">
        <v>0.36616014647483824</v>
      </c>
      <c r="DH17">
        <v>2.0270663505458724</v>
      </c>
      <c r="DI17">
        <v>1829879519.7311225</v>
      </c>
      <c r="DJ17">
        <v>0.33287286043167114</v>
      </c>
      <c r="DK17">
        <v>0.31014779970078538</v>
      </c>
      <c r="DL17">
        <v>11959740496.55851</v>
      </c>
      <c r="DM17">
        <v>0.29126375287771222</v>
      </c>
      <c r="DN17">
        <v>42179500</v>
      </c>
      <c r="DO17">
        <v>0.41609107553958891</v>
      </c>
      <c r="DP17">
        <v>3709287200</v>
      </c>
      <c r="DQ17">
        <v>549258300</v>
      </c>
      <c r="DR17">
        <v>2312</v>
      </c>
      <c r="DS17">
        <v>1.2444853164425935</v>
      </c>
      <c r="DT17">
        <v>4.0893300566789756</v>
      </c>
      <c r="DU17" s="27">
        <v>0.6</v>
      </c>
      <c r="DV17">
        <v>0.6</v>
      </c>
      <c r="DW17">
        <v>1.2</v>
      </c>
      <c r="DX17">
        <v>-2.0870000000000002</v>
      </c>
      <c r="DY17">
        <v>0.41159541619729056</v>
      </c>
      <c r="DZ17">
        <v>-2.0123188012091644</v>
      </c>
      <c r="EA17">
        <v>603</v>
      </c>
      <c r="EB17">
        <v>-2.0108096104068225</v>
      </c>
      <c r="EC17">
        <v>2</v>
      </c>
      <c r="ED17">
        <v>4.9703004096495224E-2</v>
      </c>
      <c r="EE17">
        <v>0.35102127901684116</v>
      </c>
      <c r="EF17" s="28">
        <v>4.0099999999999997E-3</v>
      </c>
      <c r="EG17">
        <v>4.1379999999999993E-3</v>
      </c>
      <c r="EH17">
        <v>27.141595416197291</v>
      </c>
      <c r="EI17">
        <v>-1</v>
      </c>
      <c r="EJ17">
        <v>0</v>
      </c>
      <c r="EK17">
        <v>1</v>
      </c>
      <c r="EL17" s="29">
        <v>44946</v>
      </c>
      <c r="EM17" s="30">
        <v>1.6000000000000001E-3</v>
      </c>
      <c r="EN17" s="30">
        <v>-1.06</v>
      </c>
      <c r="EO17" s="30">
        <v>0.64</v>
      </c>
      <c r="EP17" s="30">
        <v>-0.57999999999999996</v>
      </c>
      <c r="EQ17" s="30">
        <v>-1.2800000000000001E-2</v>
      </c>
    </row>
    <row r="18" spans="2:147" ht="86.4" x14ac:dyDescent="0.25">
      <c r="B18" s="23"/>
      <c r="C18" s="23"/>
      <c r="D18" s="23" t="s">
        <v>1345</v>
      </c>
      <c r="E18" t="s">
        <v>620</v>
      </c>
      <c r="F18" t="s">
        <v>621</v>
      </c>
      <c r="G18" t="s">
        <v>167</v>
      </c>
      <c r="H18">
        <v>0</v>
      </c>
      <c r="I18">
        <v>0</v>
      </c>
      <c r="J18">
        <v>2884608000</v>
      </c>
      <c r="L18">
        <v>2.44</v>
      </c>
      <c r="M18" t="s">
        <v>578</v>
      </c>
      <c r="N18" t="s">
        <v>1303</v>
      </c>
      <c r="O18" t="s">
        <v>1304</v>
      </c>
      <c r="P18" t="s">
        <v>1305</v>
      </c>
      <c r="Q18">
        <v>-12.12</v>
      </c>
      <c r="R18" t="s">
        <v>1306</v>
      </c>
      <c r="S18">
        <v>9094336</v>
      </c>
      <c r="T18" s="24">
        <v>1.9650000000000001</v>
      </c>
      <c r="U18" t="s">
        <v>1307</v>
      </c>
      <c r="V18">
        <v>709769300</v>
      </c>
      <c r="W18">
        <v>921600000</v>
      </c>
      <c r="X18">
        <v>2.2000000000000002</v>
      </c>
      <c r="Y18">
        <v>0.56999999999999995</v>
      </c>
      <c r="Z18">
        <v>0.5</v>
      </c>
      <c r="AA18" t="s">
        <v>1308</v>
      </c>
      <c r="AB18" t="s">
        <v>1309</v>
      </c>
      <c r="AC18" t="s">
        <v>1310</v>
      </c>
      <c r="AD18" t="s">
        <v>1311</v>
      </c>
      <c r="AE18" t="s">
        <v>1312</v>
      </c>
      <c r="AF18">
        <v>27627145</v>
      </c>
      <c r="AG18" t="s">
        <v>1313</v>
      </c>
      <c r="AH18" t="s">
        <v>1314</v>
      </c>
      <c r="AI18" t="s">
        <v>1315</v>
      </c>
      <c r="AJ18" t="s">
        <v>1316</v>
      </c>
      <c r="AK18" t="s">
        <v>1317</v>
      </c>
      <c r="AL18" t="s">
        <v>167</v>
      </c>
      <c r="AM18" t="s">
        <v>1318</v>
      </c>
      <c r="AN18" t="s">
        <v>167</v>
      </c>
      <c r="AO18" t="s">
        <v>1319</v>
      </c>
      <c r="AP18" t="s">
        <v>1320</v>
      </c>
      <c r="AQ18" t="s">
        <v>1321</v>
      </c>
      <c r="AR18" t="s">
        <v>1322</v>
      </c>
      <c r="AS18" t="s">
        <v>1323</v>
      </c>
      <c r="AT18" t="s">
        <v>1324</v>
      </c>
      <c r="AU18" t="s">
        <v>167</v>
      </c>
      <c r="AV18" t="s">
        <v>1325</v>
      </c>
      <c r="AW18" t="s">
        <v>1326</v>
      </c>
      <c r="AX18" t="s">
        <v>1327</v>
      </c>
      <c r="AY18" t="s">
        <v>1328</v>
      </c>
      <c r="AZ18" t="s">
        <v>1329</v>
      </c>
      <c r="BA18" t="s">
        <v>1330</v>
      </c>
      <c r="BB18" t="s">
        <v>1331</v>
      </c>
      <c r="BC18" t="s">
        <v>1332</v>
      </c>
      <c r="BD18" t="s">
        <v>1333</v>
      </c>
      <c r="BE18" t="s">
        <v>1334</v>
      </c>
      <c r="BF18" t="s">
        <v>1335</v>
      </c>
      <c r="BG18" t="s">
        <v>1336</v>
      </c>
      <c r="BH18" t="s">
        <v>1337</v>
      </c>
      <c r="BI18" t="s">
        <v>1338</v>
      </c>
      <c r="BJ18" t="s">
        <v>1339</v>
      </c>
      <c r="BK18" t="s">
        <v>1340</v>
      </c>
      <c r="BL18" t="s">
        <v>1341</v>
      </c>
      <c r="BM18" t="s">
        <v>1342</v>
      </c>
      <c r="BN18" t="s">
        <v>1343</v>
      </c>
      <c r="BO18">
        <v>-1.47</v>
      </c>
      <c r="BP18">
        <v>1.8</v>
      </c>
      <c r="BQ18">
        <v>3.55</v>
      </c>
      <c r="BR18">
        <v>-6.07</v>
      </c>
      <c r="BS18">
        <v>0.31</v>
      </c>
      <c r="BT18">
        <v>3.19</v>
      </c>
      <c r="BU18" t="s">
        <v>215</v>
      </c>
      <c r="BV18" t="s">
        <v>737</v>
      </c>
      <c r="BW18">
        <v>10.96</v>
      </c>
      <c r="BX18">
        <v>9.7799999999999994</v>
      </c>
      <c r="BY18">
        <v>12.7</v>
      </c>
      <c r="BZ18">
        <v>-2.0099999999999998</v>
      </c>
      <c r="CA18">
        <v>-0.12</v>
      </c>
      <c r="CB18">
        <v>1.42</v>
      </c>
      <c r="CC18" t="s">
        <v>167</v>
      </c>
      <c r="CD18" t="s">
        <v>167</v>
      </c>
      <c r="CE18" t="s">
        <v>1344</v>
      </c>
      <c r="CF18" t="s">
        <v>181</v>
      </c>
      <c r="CG18" s="25">
        <v>0.25246327212019981</v>
      </c>
      <c r="CH18" s="26">
        <v>2.9072952258156941</v>
      </c>
      <c r="CI18" s="25">
        <v>0.13082253932952881</v>
      </c>
      <c r="CJ18" s="25">
        <v>-0.16954736411571503</v>
      </c>
      <c r="CK18" s="25">
        <v>0.18536591529846191</v>
      </c>
      <c r="CL18" s="25">
        <v>0.1388888955116272</v>
      </c>
      <c r="CM18" s="25">
        <v>0.30434781312942505</v>
      </c>
      <c r="CN18" s="26">
        <v>-19.618263244628906</v>
      </c>
      <c r="CO18" s="26">
        <v>-0.90003693103790283</v>
      </c>
      <c r="CP18" s="26">
        <v>-4.7616060823202133E-2</v>
      </c>
      <c r="CQ18" s="26">
        <v>0.10554751753807068</v>
      </c>
      <c r="CR18" s="26">
        <v>0.37724614143371582</v>
      </c>
      <c r="CS18">
        <v>1.2640701139351447</v>
      </c>
      <c r="CT18">
        <v>-30506806.329723421</v>
      </c>
      <c r="CU18">
        <v>0</v>
      </c>
      <c r="CV18" s="25">
        <v>0.11797555983066559</v>
      </c>
      <c r="CW18" s="26">
        <v>-4.0166245155036453</v>
      </c>
      <c r="CX18">
        <v>0.06</v>
      </c>
      <c r="CY18" t="e">
        <v>#VALUE!</v>
      </c>
      <c r="CZ18" t="s">
        <v>217</v>
      </c>
      <c r="DA18">
        <v>0.11797555983066559</v>
      </c>
      <c r="DB18" t="e">
        <v>#VALUE!</v>
      </c>
      <c r="DC18" t="s">
        <v>217</v>
      </c>
      <c r="DD18">
        <v>0.11207678183913231</v>
      </c>
      <c r="DE18" t="e">
        <v>#VALUE!</v>
      </c>
      <c r="DF18" t="s">
        <v>217</v>
      </c>
      <c r="DG18">
        <v>0.10381849265098572</v>
      </c>
      <c r="DH18" t="e">
        <v>#VALUE!</v>
      </c>
      <c r="DI18" t="s">
        <v>217</v>
      </c>
      <c r="DJ18">
        <v>9.438044786453248E-2</v>
      </c>
      <c r="DK18" t="e">
        <v>#VALUE!</v>
      </c>
      <c r="DL18" t="s">
        <v>217</v>
      </c>
      <c r="DM18">
        <v>8.2582891881465906E-2</v>
      </c>
      <c r="DN18">
        <v>-73519800</v>
      </c>
      <c r="DO18">
        <v>0.11797555983066559</v>
      </c>
      <c r="DP18">
        <v>3120608000</v>
      </c>
      <c r="DQ18">
        <v>477726900</v>
      </c>
      <c r="DR18">
        <v>1634</v>
      </c>
      <c r="DS18">
        <v>0.13448771228953421</v>
      </c>
      <c r="DT18">
        <v>6.9239197413193398</v>
      </c>
      <c r="DU18" s="27">
        <v>0</v>
      </c>
      <c r="DV18" t="e">
        <v>#VALUE!</v>
      </c>
      <c r="DW18" t="e">
        <v>#VALUE!</v>
      </c>
      <c r="DX18" t="e">
        <v>#VALUE!</v>
      </c>
      <c r="DY18">
        <v>0.1144</v>
      </c>
      <c r="DZ18" t="e">
        <v>#VALUE!</v>
      </c>
      <c r="EA18">
        <v>3691</v>
      </c>
      <c r="EB18" t="e">
        <v>#VALUE!</v>
      </c>
      <c r="EC18" t="e">
        <v>#VALUE!</v>
      </c>
      <c r="ED18">
        <v>8.5278645833333333E-2</v>
      </c>
      <c r="EE18">
        <v>0.74544270833333337</v>
      </c>
      <c r="EF18" s="28">
        <v>6.3500000000000001E-2</v>
      </c>
      <c r="EG18">
        <v>6.3500000000000001E-2</v>
      </c>
      <c r="EH18">
        <v>0.1144</v>
      </c>
      <c r="EI18" t="s">
        <v>180</v>
      </c>
      <c r="EJ18" t="e">
        <v>#VALUE!</v>
      </c>
      <c r="EK18">
        <v>0</v>
      </c>
      <c r="EL18" s="29">
        <v>44946</v>
      </c>
      <c r="EM18" s="30">
        <v>4.4699999999999997E-2</v>
      </c>
      <c r="EN18" s="30">
        <v>0.99</v>
      </c>
      <c r="EO18" s="30">
        <v>1.95</v>
      </c>
      <c r="EP18" s="30">
        <v>0</v>
      </c>
      <c r="EQ18" s="30">
        <v>0</v>
      </c>
    </row>
    <row r="19" spans="2:147" ht="86.4" x14ac:dyDescent="0.25">
      <c r="B19" s="23"/>
      <c r="C19" s="23"/>
      <c r="D19" s="23" t="s">
        <v>1386</v>
      </c>
      <c r="E19" t="s">
        <v>622</v>
      </c>
      <c r="F19" t="s">
        <v>623</v>
      </c>
      <c r="G19">
        <v>5.21</v>
      </c>
      <c r="H19">
        <v>1.5599999999999999E-2</v>
      </c>
      <c r="I19" t="s">
        <v>624</v>
      </c>
      <c r="J19">
        <v>2708550600</v>
      </c>
      <c r="K19">
        <v>52.55</v>
      </c>
      <c r="L19">
        <v>2.6</v>
      </c>
      <c r="M19" t="s">
        <v>578</v>
      </c>
      <c r="N19" t="s">
        <v>1346</v>
      </c>
      <c r="O19" t="s">
        <v>1347</v>
      </c>
      <c r="P19" t="s">
        <v>1348</v>
      </c>
      <c r="Q19">
        <v>38.729999999999997</v>
      </c>
      <c r="R19" t="s">
        <v>1349</v>
      </c>
      <c r="S19">
        <v>4646424</v>
      </c>
      <c r="T19" s="24">
        <v>-0.8679</v>
      </c>
      <c r="U19" t="s">
        <v>1350</v>
      </c>
      <c r="V19">
        <v>368004140</v>
      </c>
      <c r="W19">
        <v>519875360</v>
      </c>
      <c r="X19">
        <v>2.4500000000000002</v>
      </c>
      <c r="Y19">
        <v>1.74</v>
      </c>
      <c r="Z19">
        <v>0.63</v>
      </c>
      <c r="AA19" t="s">
        <v>1351</v>
      </c>
      <c r="AB19" t="s">
        <v>1352</v>
      </c>
      <c r="AC19" t="s">
        <v>1353</v>
      </c>
      <c r="AD19" t="s">
        <v>1354</v>
      </c>
      <c r="AE19" t="s">
        <v>1355</v>
      </c>
      <c r="AF19">
        <v>38595639</v>
      </c>
      <c r="AG19" t="s">
        <v>1356</v>
      </c>
      <c r="AH19" t="s">
        <v>1357</v>
      </c>
      <c r="AI19" t="s">
        <v>1358</v>
      </c>
      <c r="AJ19" t="s">
        <v>257</v>
      </c>
      <c r="AK19" t="s">
        <v>1359</v>
      </c>
      <c r="AL19" t="s">
        <v>1360</v>
      </c>
      <c r="AM19" t="s">
        <v>1361</v>
      </c>
      <c r="AN19" t="s">
        <v>167</v>
      </c>
      <c r="AO19" t="s">
        <v>1362</v>
      </c>
      <c r="AP19" t="s">
        <v>1363</v>
      </c>
      <c r="AQ19" t="s">
        <v>1364</v>
      </c>
      <c r="AR19" t="s">
        <v>296</v>
      </c>
      <c r="AS19" t="s">
        <v>1365</v>
      </c>
      <c r="AT19" t="s">
        <v>1366</v>
      </c>
      <c r="AU19" t="s">
        <v>257</v>
      </c>
      <c r="AV19" t="s">
        <v>282</v>
      </c>
      <c r="AW19" t="s">
        <v>1367</v>
      </c>
      <c r="AX19" t="s">
        <v>1368</v>
      </c>
      <c r="AY19" t="s">
        <v>1369</v>
      </c>
      <c r="AZ19" t="s">
        <v>1370</v>
      </c>
      <c r="BA19" t="s">
        <v>1371</v>
      </c>
      <c r="BB19" t="s">
        <v>1372</v>
      </c>
      <c r="BC19" t="s">
        <v>1373</v>
      </c>
      <c r="BD19" t="s">
        <v>1374</v>
      </c>
      <c r="BE19" t="s">
        <v>1375</v>
      </c>
      <c r="BF19" t="s">
        <v>1376</v>
      </c>
      <c r="BG19" t="s">
        <v>1377</v>
      </c>
      <c r="BH19" t="s">
        <v>1378</v>
      </c>
      <c r="BI19" t="s">
        <v>1379</v>
      </c>
      <c r="BJ19" t="s">
        <v>1380</v>
      </c>
      <c r="BK19" t="s">
        <v>1381</v>
      </c>
      <c r="BL19" t="s">
        <v>1382</v>
      </c>
      <c r="BM19" t="s">
        <v>1383</v>
      </c>
      <c r="BN19" t="s">
        <v>1384</v>
      </c>
      <c r="BO19">
        <v>5.84</v>
      </c>
      <c r="BP19">
        <v>0.14000000000000001</v>
      </c>
      <c r="BQ19">
        <v>9.4</v>
      </c>
      <c r="BR19">
        <v>7.97</v>
      </c>
      <c r="BS19">
        <v>0.83</v>
      </c>
      <c r="BT19">
        <v>9.0299999999999994</v>
      </c>
      <c r="BU19" t="s">
        <v>215</v>
      </c>
      <c r="BV19" t="s">
        <v>737</v>
      </c>
      <c r="BW19">
        <v>4.07</v>
      </c>
      <c r="BX19">
        <v>5.42</v>
      </c>
      <c r="BY19">
        <v>6.26</v>
      </c>
      <c r="BZ19">
        <v>0.61</v>
      </c>
      <c r="CA19">
        <v>-0.01</v>
      </c>
      <c r="CB19">
        <v>2.63</v>
      </c>
      <c r="CC19">
        <v>-5.79</v>
      </c>
      <c r="CD19">
        <v>9.4499999999999993</v>
      </c>
      <c r="CE19" t="s">
        <v>192</v>
      </c>
      <c r="CF19" t="s">
        <v>1385</v>
      </c>
      <c r="CG19" s="25">
        <v>-0.15968383579217416</v>
      </c>
      <c r="CH19" s="26">
        <v>-1.7771359710010797</v>
      </c>
      <c r="CI19" s="25">
        <v>0.39369681477546692</v>
      </c>
      <c r="CJ19" s="25">
        <v>-6.9799907505512238E-2</v>
      </c>
      <c r="CK19" s="25">
        <v>-5.0926222465932369E-3</v>
      </c>
      <c r="CL19" s="25">
        <v>-1.9963702186942101E-2</v>
      </c>
      <c r="CM19" s="25">
        <v>0.48918917775154114</v>
      </c>
      <c r="CN19" s="26">
        <v>4.6395201683044434</v>
      </c>
      <c r="CO19" s="26">
        <v>-0.83970415592193604</v>
      </c>
      <c r="CP19" s="26">
        <v>1.4368044137954712</v>
      </c>
      <c r="CQ19" s="26">
        <v>-0.62515813112258911</v>
      </c>
      <c r="CR19" s="26">
        <v>0.61836397647857666</v>
      </c>
      <c r="CS19">
        <v>0.48610025125628142</v>
      </c>
      <c r="CT19">
        <v>11917846.314332232</v>
      </c>
      <c r="CU19">
        <v>0</v>
      </c>
      <c r="CV19" s="25">
        <v>0.1576059521175921</v>
      </c>
      <c r="CW19" s="26">
        <v>1.0459652543067932</v>
      </c>
      <c r="CX19">
        <v>0.06</v>
      </c>
      <c r="CY19">
        <v>36.395374288538427</v>
      </c>
      <c r="CZ19">
        <v>89614426.66155304</v>
      </c>
      <c r="DA19">
        <v>0.1576059521175921</v>
      </c>
      <c r="DB19">
        <v>11.236934624084602</v>
      </c>
      <c r="DC19">
        <v>290252698.72171181</v>
      </c>
      <c r="DD19">
        <v>0.14972565451171249</v>
      </c>
      <c r="DE19">
        <v>5.1174530429170941</v>
      </c>
      <c r="DF19">
        <v>637338647.30116272</v>
      </c>
      <c r="DG19">
        <v>0.13869323786348103</v>
      </c>
      <c r="DH19">
        <v>2.8074370236729456</v>
      </c>
      <c r="DI19">
        <v>1161753789.1314626</v>
      </c>
      <c r="DJ19">
        <v>0.12608476169407368</v>
      </c>
      <c r="DK19">
        <v>1.1785191633166101</v>
      </c>
      <c r="DL19">
        <v>2767498994.9431834</v>
      </c>
      <c r="DM19">
        <v>0.11032416648231445</v>
      </c>
      <c r="DN19">
        <v>82058400</v>
      </c>
      <c r="DO19">
        <v>0.1576059521175921</v>
      </c>
      <c r="DP19">
        <v>3261550600</v>
      </c>
      <c r="DQ19">
        <v>-218351580</v>
      </c>
      <c r="DR19">
        <v>202</v>
      </c>
      <c r="DS19">
        <v>-0.31728978790976625</v>
      </c>
      <c r="DT19">
        <v>-2.8231012253078731</v>
      </c>
      <c r="DU19" s="27">
        <v>0.6</v>
      </c>
      <c r="DV19">
        <v>-0.44</v>
      </c>
      <c r="DW19">
        <v>0.15999999999999998</v>
      </c>
      <c r="DX19">
        <v>-6.3799212598425195</v>
      </c>
      <c r="DY19">
        <v>0.22875912408759091</v>
      </c>
      <c r="DZ19">
        <v>-6.0413199034427265</v>
      </c>
      <c r="EA19">
        <v>2237</v>
      </c>
      <c r="EB19">
        <v>-6.0225404186801548</v>
      </c>
      <c r="EC19">
        <v>6</v>
      </c>
      <c r="ED19">
        <v>0.28660715906982009</v>
      </c>
      <c r="EE19">
        <v>2.6352470330580777</v>
      </c>
      <c r="EF19" s="28">
        <v>0.10161000000000001</v>
      </c>
      <c r="EG19">
        <v>0.10145399999999999</v>
      </c>
      <c r="EH19">
        <v>12.108759124087591</v>
      </c>
      <c r="EI19">
        <v>-1</v>
      </c>
      <c r="EJ19">
        <v>0</v>
      </c>
      <c r="EK19">
        <v>0</v>
      </c>
      <c r="EL19" s="29">
        <v>44946</v>
      </c>
      <c r="EM19" s="30">
        <v>-1.0800000000000001E-2</v>
      </c>
      <c r="EN19" s="30">
        <v>-1.83</v>
      </c>
      <c r="EO19" s="30">
        <v>-2.42</v>
      </c>
      <c r="EP19" s="30">
        <v>-2.1</v>
      </c>
      <c r="EQ19" s="30">
        <v>1.5599999999999999E-2</v>
      </c>
    </row>
    <row r="20" spans="2:147" ht="86.4" x14ac:dyDescent="0.25">
      <c r="B20" s="23"/>
      <c r="C20" s="23"/>
      <c r="D20" s="23" t="s">
        <v>1426</v>
      </c>
      <c r="E20" t="s">
        <v>625</v>
      </c>
      <c r="F20" t="s">
        <v>626</v>
      </c>
      <c r="G20">
        <v>17.670000000000002</v>
      </c>
      <c r="H20">
        <v>3.5799999999999998E-2</v>
      </c>
      <c r="I20" t="s">
        <v>627</v>
      </c>
      <c r="J20">
        <v>2290730000</v>
      </c>
      <c r="K20">
        <v>104</v>
      </c>
      <c r="L20">
        <v>3.72</v>
      </c>
      <c r="M20" t="s">
        <v>578</v>
      </c>
      <c r="N20" t="s">
        <v>1387</v>
      </c>
      <c r="O20" t="s">
        <v>1388</v>
      </c>
      <c r="P20" t="s">
        <v>1389</v>
      </c>
      <c r="Q20">
        <v>32.75</v>
      </c>
      <c r="R20" t="s">
        <v>1390</v>
      </c>
      <c r="S20">
        <v>22226240</v>
      </c>
      <c r="T20" s="24">
        <v>0.70350000000000001</v>
      </c>
      <c r="U20" t="s">
        <v>1391</v>
      </c>
      <c r="V20">
        <v>129639500</v>
      </c>
      <c r="W20">
        <v>129639500</v>
      </c>
      <c r="X20">
        <v>1.28</v>
      </c>
      <c r="Y20">
        <v>2.74</v>
      </c>
      <c r="Z20">
        <v>1.0900000000000001</v>
      </c>
      <c r="AA20" t="s">
        <v>1328</v>
      </c>
      <c r="AB20" t="s">
        <v>1392</v>
      </c>
      <c r="AC20" t="s">
        <v>1393</v>
      </c>
      <c r="AD20" t="s">
        <v>1394</v>
      </c>
      <c r="AE20" t="s">
        <v>1395</v>
      </c>
      <c r="AF20">
        <v>-3435052</v>
      </c>
      <c r="AG20" t="s">
        <v>1396</v>
      </c>
      <c r="AH20" t="s">
        <v>1397</v>
      </c>
      <c r="AI20" t="s">
        <v>1398</v>
      </c>
      <c r="AJ20" t="s">
        <v>1399</v>
      </c>
      <c r="AK20" t="s">
        <v>1400</v>
      </c>
      <c r="AL20" t="s">
        <v>167</v>
      </c>
      <c r="AM20" t="s">
        <v>1401</v>
      </c>
      <c r="AN20" t="s">
        <v>167</v>
      </c>
      <c r="AO20" t="s">
        <v>1402</v>
      </c>
      <c r="AP20" t="s">
        <v>167</v>
      </c>
      <c r="AQ20" t="s">
        <v>167</v>
      </c>
      <c r="AR20" t="s">
        <v>1403</v>
      </c>
      <c r="AS20" t="s">
        <v>167</v>
      </c>
      <c r="AT20" t="s">
        <v>199</v>
      </c>
      <c r="AU20" t="s">
        <v>167</v>
      </c>
      <c r="AV20" t="s">
        <v>1404</v>
      </c>
      <c r="AW20" t="s">
        <v>1405</v>
      </c>
      <c r="AX20" t="s">
        <v>1406</v>
      </c>
      <c r="AY20" t="s">
        <v>1407</v>
      </c>
      <c r="AZ20" t="s">
        <v>1408</v>
      </c>
      <c r="BA20" t="s">
        <v>1409</v>
      </c>
      <c r="BB20" t="s">
        <v>1410</v>
      </c>
      <c r="BC20" t="s">
        <v>1411</v>
      </c>
      <c r="BD20" t="s">
        <v>1412</v>
      </c>
      <c r="BE20" t="s">
        <v>1413</v>
      </c>
      <c r="BF20" t="s">
        <v>1414</v>
      </c>
      <c r="BG20" t="s">
        <v>1415</v>
      </c>
      <c r="BH20" t="s">
        <v>1416</v>
      </c>
      <c r="BI20" t="s">
        <v>1417</v>
      </c>
      <c r="BJ20" t="s">
        <v>1418</v>
      </c>
      <c r="BK20" t="s">
        <v>1419</v>
      </c>
      <c r="BL20" t="s">
        <v>1420</v>
      </c>
      <c r="BM20" t="s">
        <v>1421</v>
      </c>
      <c r="BN20" t="s">
        <v>1422</v>
      </c>
      <c r="BO20">
        <v>1.07</v>
      </c>
      <c r="BP20">
        <v>1.25</v>
      </c>
      <c r="BQ20">
        <v>5.98</v>
      </c>
      <c r="BR20">
        <v>2.19</v>
      </c>
      <c r="BS20">
        <v>2.08</v>
      </c>
      <c r="BT20">
        <v>8.1</v>
      </c>
      <c r="BU20" t="s">
        <v>1423</v>
      </c>
      <c r="BV20" t="s">
        <v>737</v>
      </c>
      <c r="BW20">
        <v>4.96</v>
      </c>
      <c r="BX20">
        <v>7.38</v>
      </c>
      <c r="BY20">
        <v>8.06</v>
      </c>
      <c r="BZ20">
        <v>0.68</v>
      </c>
      <c r="CA20">
        <v>0.69</v>
      </c>
      <c r="CB20">
        <v>2.0699999999999998</v>
      </c>
      <c r="CC20">
        <v>5.37</v>
      </c>
      <c r="CD20">
        <v>-7</v>
      </c>
      <c r="CE20" t="s">
        <v>1424</v>
      </c>
      <c r="CF20" t="s">
        <v>1425</v>
      </c>
      <c r="CG20" s="25">
        <v>0.31963981481481479</v>
      </c>
      <c r="CH20" s="26">
        <v>0.54212112715547456</v>
      </c>
      <c r="CI20" s="25">
        <v>0.17583656311035156</v>
      </c>
      <c r="CJ20" s="25">
        <v>-0.1822819709777832</v>
      </c>
      <c r="CK20" s="25">
        <v>0.2757396399974823</v>
      </c>
      <c r="CL20" s="25">
        <v>0.10457516461610794</v>
      </c>
      <c r="CM20" s="25">
        <v>0.4811229407787323</v>
      </c>
      <c r="CN20" s="26">
        <v>5.8789581060409546E-2</v>
      </c>
      <c r="CO20" s="26">
        <v>-0.72880947589874268</v>
      </c>
      <c r="CP20" s="26">
        <v>16.530416488647461</v>
      </c>
      <c r="CQ20" s="26">
        <v>-1.0598067045211792</v>
      </c>
      <c r="CR20" s="26">
        <v>0.44427749514579773</v>
      </c>
      <c r="CS20">
        <v>1.1050313555233962</v>
      </c>
      <c r="CT20">
        <v>154958178.90179712</v>
      </c>
      <c r="CU20">
        <v>0.26032823995472548</v>
      </c>
      <c r="CV20" s="25">
        <v>0.17099846750497819</v>
      </c>
      <c r="CW20" s="26">
        <v>3.0489734768867494</v>
      </c>
      <c r="CX20">
        <v>0.06</v>
      </c>
      <c r="CY20">
        <v>130.02373276100244</v>
      </c>
      <c r="CZ20">
        <v>14187640.677804656</v>
      </c>
      <c r="DA20">
        <v>0.17099846750497819</v>
      </c>
      <c r="DB20">
        <v>39.699473550944901</v>
      </c>
      <c r="DC20">
        <v>46467366.818673916</v>
      </c>
      <c r="DD20">
        <v>0.16244854412972926</v>
      </c>
      <c r="DE20">
        <v>17.798236007618577</v>
      </c>
      <c r="DF20">
        <v>103646788.32275057</v>
      </c>
      <c r="DG20">
        <v>0.1504786514043808</v>
      </c>
      <c r="DH20">
        <v>9.5822261748760624</v>
      </c>
      <c r="DI20">
        <v>192515806.48730198</v>
      </c>
      <c r="DJ20">
        <v>0.13679877400398255</v>
      </c>
      <c r="DK20">
        <v>3.8452945322304015</v>
      </c>
      <c r="DL20">
        <v>479736983.61409885</v>
      </c>
      <c r="DM20">
        <v>0.11969892725348472</v>
      </c>
      <c r="DN20">
        <v>12842800</v>
      </c>
      <c r="DO20">
        <v>0.17099846750497819</v>
      </c>
      <c r="DP20">
        <v>1844730000</v>
      </c>
      <c r="DQ20">
        <v>317956400</v>
      </c>
      <c r="DR20">
        <v>433</v>
      </c>
      <c r="DS20">
        <v>0.14864134730983661</v>
      </c>
      <c r="DT20">
        <v>-2.5068523497312749</v>
      </c>
      <c r="DU20" s="27">
        <v>0.6</v>
      </c>
      <c r="DV20">
        <v>0.6</v>
      </c>
      <c r="DW20">
        <v>1.2</v>
      </c>
      <c r="DX20">
        <v>6.4341147938561036</v>
      </c>
      <c r="DY20">
        <v>0.60877768757972572</v>
      </c>
      <c r="DZ20">
        <v>6.0602454472355003</v>
      </c>
      <c r="EA20">
        <v>2676</v>
      </c>
      <c r="EB20">
        <v>6.0274911163126639</v>
      </c>
      <c r="EC20">
        <v>6</v>
      </c>
      <c r="ED20">
        <v>4.6154142834552742E-2</v>
      </c>
      <c r="EE20">
        <v>0.33257610527655534</v>
      </c>
      <c r="EF20" s="28">
        <v>4.1200000000000001E-2</v>
      </c>
      <c r="EG20">
        <v>4.1557999999999998E-2</v>
      </c>
      <c r="EH20">
        <v>47.138777687579726</v>
      </c>
      <c r="EI20" t="s">
        <v>180</v>
      </c>
      <c r="EJ20">
        <v>0</v>
      </c>
      <c r="EK20">
        <v>0</v>
      </c>
      <c r="EL20" s="29">
        <v>44946</v>
      </c>
      <c r="EM20" s="30">
        <v>1.0699999999999999E-2</v>
      </c>
      <c r="EN20" s="30">
        <v>-1.65</v>
      </c>
      <c r="EO20" s="30">
        <v>0.78</v>
      </c>
      <c r="EP20" s="30">
        <v>1.55</v>
      </c>
      <c r="EQ20" s="30">
        <v>3.5799999999999998E-2</v>
      </c>
    </row>
    <row r="21" spans="2:147" ht="86.4" x14ac:dyDescent="0.25">
      <c r="B21" s="23"/>
      <c r="C21" s="23"/>
      <c r="D21" s="23" t="s">
        <v>1465</v>
      </c>
      <c r="E21" t="s">
        <v>628</v>
      </c>
      <c r="F21" t="s">
        <v>629</v>
      </c>
      <c r="G21">
        <v>11.74</v>
      </c>
      <c r="H21">
        <v>1.29E-2</v>
      </c>
      <c r="I21" t="s">
        <v>630</v>
      </c>
      <c r="J21">
        <v>2254302300</v>
      </c>
      <c r="L21">
        <v>5.07</v>
      </c>
      <c r="M21" t="s">
        <v>578</v>
      </c>
      <c r="N21" t="s">
        <v>1427</v>
      </c>
      <c r="O21" t="s">
        <v>261</v>
      </c>
      <c r="P21" t="s">
        <v>1428</v>
      </c>
      <c r="Q21">
        <v>1347.45</v>
      </c>
      <c r="R21" t="s">
        <v>265</v>
      </c>
      <c r="S21">
        <v>-89617099</v>
      </c>
      <c r="T21" s="24">
        <v>-11.44</v>
      </c>
      <c r="U21" t="s">
        <v>1429</v>
      </c>
      <c r="V21">
        <v>147706870</v>
      </c>
      <c r="W21">
        <v>147706870</v>
      </c>
      <c r="X21">
        <v>16.21</v>
      </c>
      <c r="Y21">
        <v>0.54</v>
      </c>
      <c r="Z21">
        <v>-5.48</v>
      </c>
      <c r="AA21" t="s">
        <v>1430</v>
      </c>
      <c r="AB21" t="s">
        <v>1431</v>
      </c>
      <c r="AC21" t="s">
        <v>1432</v>
      </c>
      <c r="AD21" t="s">
        <v>1433</v>
      </c>
      <c r="AE21" t="s">
        <v>1434</v>
      </c>
      <c r="AF21">
        <v>69993099</v>
      </c>
      <c r="AG21" t="s">
        <v>1435</v>
      </c>
      <c r="AH21" t="s">
        <v>1436</v>
      </c>
      <c r="AI21" t="s">
        <v>1437</v>
      </c>
      <c r="AJ21" t="s">
        <v>454</v>
      </c>
      <c r="AK21" t="s">
        <v>1438</v>
      </c>
      <c r="AL21" t="s">
        <v>1439</v>
      </c>
      <c r="AM21" t="s">
        <v>1440</v>
      </c>
      <c r="AN21" t="s">
        <v>167</v>
      </c>
      <c r="AO21" t="s">
        <v>1441</v>
      </c>
      <c r="AP21" t="s">
        <v>1442</v>
      </c>
      <c r="AQ21" t="s">
        <v>441</v>
      </c>
      <c r="AR21" t="s">
        <v>1443</v>
      </c>
      <c r="AS21" t="s">
        <v>1444</v>
      </c>
      <c r="AT21" t="s">
        <v>1445</v>
      </c>
      <c r="AU21" t="s">
        <v>1446</v>
      </c>
      <c r="AV21" t="s">
        <v>1447</v>
      </c>
      <c r="AW21" t="s">
        <v>1448</v>
      </c>
      <c r="AX21" t="s">
        <v>1449</v>
      </c>
      <c r="AY21" t="s">
        <v>169</v>
      </c>
      <c r="AZ21" t="s">
        <v>1450</v>
      </c>
      <c r="BA21" t="s">
        <v>1451</v>
      </c>
      <c r="BB21" t="s">
        <v>1452</v>
      </c>
      <c r="BC21" t="s">
        <v>1453</v>
      </c>
      <c r="BD21" t="s">
        <v>1454</v>
      </c>
      <c r="BE21" t="s">
        <v>1455</v>
      </c>
      <c r="BF21" t="s">
        <v>1456</v>
      </c>
      <c r="BG21" t="s">
        <v>1457</v>
      </c>
      <c r="BH21" t="s">
        <v>1458</v>
      </c>
      <c r="BI21" t="s">
        <v>1459</v>
      </c>
      <c r="BJ21" t="s">
        <v>274</v>
      </c>
      <c r="BK21" t="s">
        <v>1460</v>
      </c>
      <c r="BL21" t="s">
        <v>1461</v>
      </c>
      <c r="BM21" t="s">
        <v>1462</v>
      </c>
      <c r="BN21" t="s">
        <v>1463</v>
      </c>
      <c r="BO21">
        <v>-2.58</v>
      </c>
      <c r="BP21">
        <v>1.93</v>
      </c>
      <c r="BQ21">
        <v>-3.63</v>
      </c>
      <c r="BR21">
        <v>-13.79</v>
      </c>
      <c r="BS21">
        <v>1.61</v>
      </c>
      <c r="BT21">
        <v>-2.78</v>
      </c>
      <c r="BU21" t="s">
        <v>215</v>
      </c>
      <c r="BV21" t="s">
        <v>737</v>
      </c>
      <c r="BW21">
        <v>16.79</v>
      </c>
      <c r="BX21">
        <v>1.93</v>
      </c>
      <c r="BY21">
        <v>-1.38</v>
      </c>
      <c r="BZ21">
        <v>-3.35</v>
      </c>
      <c r="CA21">
        <v>3.76</v>
      </c>
      <c r="CB21">
        <v>-35.06</v>
      </c>
      <c r="CC21">
        <v>0</v>
      </c>
      <c r="CD21">
        <v>3.44</v>
      </c>
      <c r="CE21" t="s">
        <v>1464</v>
      </c>
      <c r="CF21" t="s">
        <v>192</v>
      </c>
      <c r="CG21" s="25">
        <v>15.445906438277941</v>
      </c>
      <c r="CH21" s="26">
        <v>-13.110996601844709</v>
      </c>
      <c r="CI21" s="25">
        <v>1.9411764144897461</v>
      </c>
      <c r="CJ21" s="25">
        <v>4.4018721580505371</v>
      </c>
      <c r="CK21" s="25">
        <v>-0.48233839869499207</v>
      </c>
      <c r="CL21" s="25">
        <v>-0.34849086403846741</v>
      </c>
      <c r="CM21" s="25">
        <v>-3.9885643869638443E-2</v>
      </c>
      <c r="CN21" s="26">
        <v>-9.0665826797485352</v>
      </c>
      <c r="CO21" s="26">
        <v>1.5766919851303101</v>
      </c>
      <c r="CP21" s="26">
        <v>-2.7059941291809082</v>
      </c>
      <c r="CQ21" s="26">
        <v>-0.10817411541938782</v>
      </c>
      <c r="CR21" s="26">
        <v>1.8677297830581665</v>
      </c>
      <c r="CS21">
        <v>6.4408637142857144</v>
      </c>
      <c r="CT21">
        <v>259988667.92454931</v>
      </c>
      <c r="CU21">
        <v>0</v>
      </c>
      <c r="CV21" s="25">
        <v>1.0944667331874371</v>
      </c>
      <c r="CW21" s="26">
        <v>-1.687265831232071</v>
      </c>
      <c r="CX21">
        <v>0.06</v>
      </c>
      <c r="CY21" t="e">
        <v>#VALUE!</v>
      </c>
      <c r="CZ21" t="s">
        <v>216</v>
      </c>
      <c r="DA21">
        <v>1.0944667331874371</v>
      </c>
      <c r="DB21" t="e">
        <v>#VALUE!</v>
      </c>
      <c r="DC21" t="s">
        <v>217</v>
      </c>
      <c r="DD21">
        <v>1.0397433965280651</v>
      </c>
      <c r="DE21" t="e">
        <v>#VALUE!</v>
      </c>
      <c r="DF21" t="s">
        <v>217</v>
      </c>
      <c r="DG21">
        <v>0.96313072520494469</v>
      </c>
      <c r="DH21" t="e">
        <v>#VALUE!</v>
      </c>
      <c r="DI21" t="s">
        <v>217</v>
      </c>
      <c r="DJ21">
        <v>0.87557338654994976</v>
      </c>
      <c r="DK21" t="e">
        <v>#VALUE!</v>
      </c>
      <c r="DL21" t="s">
        <v>217</v>
      </c>
      <c r="DM21">
        <v>0.76612671323120596</v>
      </c>
      <c r="DN21">
        <v>-35933400</v>
      </c>
      <c r="DO21">
        <v>1.0944667331874371</v>
      </c>
      <c r="DP21">
        <v>4428302300</v>
      </c>
      <c r="DQ21">
        <v>116885180</v>
      </c>
      <c r="DR21">
        <v>3134</v>
      </c>
      <c r="DS21">
        <v>14.351439705090504</v>
      </c>
      <c r="DT21">
        <v>-11.423730770612638</v>
      </c>
      <c r="DU21" s="27">
        <v>0.6</v>
      </c>
      <c r="DV21" t="e">
        <v>#VALUE!</v>
      </c>
      <c r="DW21" t="e">
        <v>#VALUE!</v>
      </c>
      <c r="DX21">
        <v>1.0344</v>
      </c>
      <c r="DY21">
        <v>0.43388724832214931</v>
      </c>
      <c r="DZ21">
        <v>1.0028857213422819</v>
      </c>
      <c r="EA21">
        <v>4000</v>
      </c>
      <c r="EB21">
        <v>1.0005405597475789</v>
      </c>
      <c r="EC21">
        <v>1</v>
      </c>
      <c r="ED21">
        <v>8.4621656392827233E-2</v>
      </c>
      <c r="EE21">
        <v>1.0087547045035887</v>
      </c>
      <c r="EF21" s="28">
        <v>7.7699999999999991E-2</v>
      </c>
      <c r="EG21">
        <v>7.7829000000000009E-2</v>
      </c>
      <c r="EH21">
        <v>35.083887248322149</v>
      </c>
      <c r="EI21">
        <v>-1</v>
      </c>
      <c r="EJ21">
        <v>0</v>
      </c>
      <c r="EK21">
        <v>0</v>
      </c>
      <c r="EL21" s="29">
        <v>44946</v>
      </c>
      <c r="EM21" s="30">
        <v>-1.11E-2</v>
      </c>
      <c r="EN21" s="30">
        <v>-1.1200000000000001</v>
      </c>
      <c r="EO21" s="30">
        <v>1.1299999999999999</v>
      </c>
      <c r="EP21" s="30">
        <v>-0.17</v>
      </c>
      <c r="EQ21" s="30">
        <v>1.29E-2</v>
      </c>
    </row>
    <row r="22" spans="2:147" ht="86.4" x14ac:dyDescent="0.25">
      <c r="B22" s="23"/>
      <c r="C22" s="23"/>
      <c r="D22" s="23" t="s">
        <v>1498</v>
      </c>
      <c r="E22" t="s">
        <v>631</v>
      </c>
      <c r="F22" t="s">
        <v>632</v>
      </c>
      <c r="G22">
        <v>10.88</v>
      </c>
      <c r="H22">
        <v>5.4999999999999997E-3</v>
      </c>
      <c r="I22" t="s">
        <v>633</v>
      </c>
      <c r="J22">
        <v>2176000000</v>
      </c>
      <c r="K22">
        <v>44.43</v>
      </c>
      <c r="L22">
        <v>1.99</v>
      </c>
      <c r="M22" t="s">
        <v>578</v>
      </c>
      <c r="N22" t="s">
        <v>1111</v>
      </c>
      <c r="O22" t="s">
        <v>1466</v>
      </c>
      <c r="P22" t="s">
        <v>1467</v>
      </c>
      <c r="Q22">
        <v>-31.12</v>
      </c>
      <c r="R22" t="s">
        <v>1468</v>
      </c>
      <c r="S22">
        <v>38744097</v>
      </c>
      <c r="T22" s="24">
        <v>-0.59399999999999997</v>
      </c>
      <c r="U22" t="s">
        <v>249</v>
      </c>
      <c r="V22">
        <v>200000000</v>
      </c>
      <c r="W22">
        <v>200000000</v>
      </c>
      <c r="X22">
        <v>1.2</v>
      </c>
      <c r="Y22">
        <v>0.46</v>
      </c>
      <c r="Z22">
        <v>6.46</v>
      </c>
      <c r="AA22" t="s">
        <v>1469</v>
      </c>
      <c r="AB22" t="s">
        <v>1285</v>
      </c>
      <c r="AC22" t="s">
        <v>1470</v>
      </c>
      <c r="AD22" t="s">
        <v>1471</v>
      </c>
      <c r="AE22" t="s">
        <v>1472</v>
      </c>
      <c r="AF22">
        <v>-2564483</v>
      </c>
      <c r="AG22" t="s">
        <v>1473</v>
      </c>
      <c r="AH22" t="s">
        <v>1474</v>
      </c>
      <c r="AI22" t="s">
        <v>1475</v>
      </c>
      <c r="AJ22" t="s">
        <v>996</v>
      </c>
      <c r="AK22" t="s">
        <v>1476</v>
      </c>
      <c r="AL22" t="s">
        <v>1477</v>
      </c>
      <c r="AM22" t="s">
        <v>1478</v>
      </c>
      <c r="AN22" t="s">
        <v>167</v>
      </c>
      <c r="AO22" t="s">
        <v>1479</v>
      </c>
      <c r="AP22" t="s">
        <v>1480</v>
      </c>
      <c r="AQ22" t="s">
        <v>1481</v>
      </c>
      <c r="AR22" t="s">
        <v>1482</v>
      </c>
      <c r="AS22" t="s">
        <v>167</v>
      </c>
      <c r="AT22" t="s">
        <v>292</v>
      </c>
      <c r="AU22" t="s">
        <v>167</v>
      </c>
      <c r="AV22" t="s">
        <v>1483</v>
      </c>
      <c r="AW22" t="s">
        <v>1484</v>
      </c>
      <c r="AX22" t="s">
        <v>1485</v>
      </c>
      <c r="AY22" t="s">
        <v>1486</v>
      </c>
      <c r="AZ22" t="s">
        <v>542</v>
      </c>
      <c r="BA22" t="s">
        <v>245</v>
      </c>
      <c r="BB22" t="s">
        <v>1487</v>
      </c>
      <c r="BC22" t="s">
        <v>1488</v>
      </c>
      <c r="BD22" t="s">
        <v>573</v>
      </c>
      <c r="BE22" t="s">
        <v>1489</v>
      </c>
      <c r="BF22" t="s">
        <v>1490</v>
      </c>
      <c r="BG22" t="s">
        <v>211</v>
      </c>
      <c r="BH22" t="s">
        <v>274</v>
      </c>
      <c r="BI22" t="s">
        <v>453</v>
      </c>
      <c r="BJ22" t="s">
        <v>1491</v>
      </c>
      <c r="BK22" t="s">
        <v>1492</v>
      </c>
      <c r="BL22" t="s">
        <v>1493</v>
      </c>
      <c r="BM22" t="s">
        <v>1494</v>
      </c>
      <c r="BN22" t="s">
        <v>1495</v>
      </c>
      <c r="BO22">
        <v>8.86</v>
      </c>
      <c r="BP22">
        <v>9.4</v>
      </c>
      <c r="BQ22">
        <v>7.89</v>
      </c>
      <c r="BR22">
        <v>10.08</v>
      </c>
      <c r="BS22">
        <v>11.14</v>
      </c>
      <c r="BT22">
        <v>9.33</v>
      </c>
      <c r="BU22" t="s">
        <v>1496</v>
      </c>
      <c r="BV22" t="s">
        <v>737</v>
      </c>
      <c r="BW22">
        <v>24.02</v>
      </c>
      <c r="BX22">
        <v>35.35</v>
      </c>
      <c r="BY22">
        <v>32.340000000000003</v>
      </c>
      <c r="BZ22">
        <v>7.21</v>
      </c>
      <c r="CA22">
        <v>11.33</v>
      </c>
      <c r="CB22">
        <v>8.67</v>
      </c>
      <c r="CC22">
        <v>1.02</v>
      </c>
      <c r="CD22">
        <v>-2.86</v>
      </c>
      <c r="CE22" t="s">
        <v>1497</v>
      </c>
      <c r="CF22" t="s">
        <v>273</v>
      </c>
      <c r="CG22" s="25">
        <v>1.4000059523809524E-2</v>
      </c>
      <c r="CH22" s="26">
        <v>-0.4549432417981662</v>
      </c>
      <c r="CI22" s="25">
        <v>0.20434781908988953</v>
      </c>
      <c r="CJ22" s="25">
        <v>-5.1546391099691391E-2</v>
      </c>
      <c r="CK22" s="25">
        <v>0.14521841704845428</v>
      </c>
      <c r="CL22" s="25">
        <v>-5.46875E-2</v>
      </c>
      <c r="CM22" s="25">
        <v>9.1352008283138275E-2</v>
      </c>
      <c r="CN22" s="26">
        <v>9.5238098874688148E-3</v>
      </c>
      <c r="CO22" s="26">
        <v>0.24015411734580994</v>
      </c>
      <c r="CP22" s="26">
        <v>0.11616763472557068</v>
      </c>
      <c r="CQ22" s="26">
        <v>-0.36787500977516174</v>
      </c>
      <c r="CR22" s="26">
        <v>6.1946902424097061E-2</v>
      </c>
      <c r="CS22">
        <v>1.963898916967509</v>
      </c>
      <c r="CT22">
        <v>30776775.471698113</v>
      </c>
      <c r="CU22">
        <v>1.525735294117647</v>
      </c>
      <c r="CV22" s="25">
        <v>6.6936870664358133E-2</v>
      </c>
      <c r="CW22" s="26">
        <v>1.198349092155695E-2</v>
      </c>
      <c r="CX22">
        <v>0.06</v>
      </c>
      <c r="CY22">
        <v>11.950097846052369</v>
      </c>
      <c r="CZ22">
        <v>106693687.0664358</v>
      </c>
      <c r="DA22">
        <v>6.6936870664358133E-2</v>
      </c>
      <c r="DB22">
        <v>3.9823976909598131</v>
      </c>
      <c r="DC22">
        <v>320158883.90411037</v>
      </c>
      <c r="DD22">
        <v>6.3590027131140217E-2</v>
      </c>
      <c r="DE22">
        <v>2.0119825921041072</v>
      </c>
      <c r="DF22">
        <v>633703295.94483232</v>
      </c>
      <c r="DG22">
        <v>5.8904446184635161E-2</v>
      </c>
      <c r="DH22">
        <v>1.2437057490658696</v>
      </c>
      <c r="DI22">
        <v>1025162102.0145924</v>
      </c>
      <c r="DJ22">
        <v>5.354949653148651E-2</v>
      </c>
      <c r="DK22">
        <v>0.68383331995817009</v>
      </c>
      <c r="DL22">
        <v>1864489434.4691939</v>
      </c>
      <c r="DM22">
        <v>4.6855809465050691E-2</v>
      </c>
      <c r="DN22">
        <v>106000000</v>
      </c>
      <c r="DO22">
        <v>6.6936870664358133E-2</v>
      </c>
      <c r="DP22">
        <v>1275000000</v>
      </c>
      <c r="DQ22">
        <v>651259610</v>
      </c>
      <c r="DR22">
        <v>4186</v>
      </c>
      <c r="DS22">
        <v>-5.2936811140548608E-2</v>
      </c>
      <c r="DT22">
        <v>-0.46692673271972313</v>
      </c>
      <c r="DU22" s="27">
        <v>-0.22</v>
      </c>
      <c r="DV22">
        <v>-0.22</v>
      </c>
      <c r="DW22">
        <v>-0.44</v>
      </c>
      <c r="DX22">
        <v>-1.0286</v>
      </c>
      <c r="DY22">
        <v>0.32585034482758446</v>
      </c>
      <c r="DZ22">
        <v>-1.0018833198620689</v>
      </c>
      <c r="EA22">
        <v>3672</v>
      </c>
      <c r="EB22">
        <v>-1.0004782913099526</v>
      </c>
      <c r="EC22">
        <v>1</v>
      </c>
      <c r="ED22">
        <v>4.7741499999999999E-2</v>
      </c>
      <c r="EE22">
        <v>0.72499999999999998</v>
      </c>
      <c r="EF22" s="28">
        <v>8.7110000000000007E-2</v>
      </c>
      <c r="EG22">
        <v>8.7054999999999993E-2</v>
      </c>
      <c r="EH22">
        <v>26.065850344827584</v>
      </c>
      <c r="EI22" t="s">
        <v>180</v>
      </c>
      <c r="EJ22">
        <v>0</v>
      </c>
      <c r="EK22">
        <v>0</v>
      </c>
      <c r="EL22" s="29">
        <v>44946</v>
      </c>
      <c r="EM22" s="30">
        <v>4.5999999999999999E-3</v>
      </c>
      <c r="EN22" s="30">
        <v>-1.29</v>
      </c>
      <c r="EO22" s="30">
        <v>0.84</v>
      </c>
      <c r="EP22" s="30">
        <v>0.46</v>
      </c>
      <c r="EQ22" s="30">
        <v>5.4999999999999997E-3</v>
      </c>
    </row>
  </sheetData>
  <phoneticPr fontId="1" type="noConversion"/>
  <hyperlinks>
    <hyperlink ref="A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8"/>
  <sheetViews>
    <sheetView workbookViewId="0">
      <selection activeCell="D8" sqref="D8"/>
    </sheetView>
  </sheetViews>
  <sheetFormatPr defaultRowHeight="14.4" x14ac:dyDescent="0.25"/>
  <cols>
    <col min="2" max="2" width="23.77734375" customWidth="1"/>
    <col min="3" max="3" width="29.33203125" customWidth="1"/>
    <col min="4" max="4" width="40" customWidth="1"/>
  </cols>
  <sheetData>
    <row r="1" spans="1:147" s="14" customFormat="1" x14ac:dyDescent="0.25">
      <c r="A1" s="15" t="s">
        <v>47</v>
      </c>
      <c r="B1" s="18" t="s">
        <v>117</v>
      </c>
      <c r="C1" s="19" t="s">
        <v>118</v>
      </c>
      <c r="D1" s="18" t="s">
        <v>119</v>
      </c>
      <c r="E1" t="s">
        <v>2</v>
      </c>
      <c r="F1" t="s">
        <v>3</v>
      </c>
      <c r="G1" t="s">
        <v>0</v>
      </c>
      <c r="H1" t="s">
        <v>90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121</v>
      </c>
      <c r="R1" t="s">
        <v>91</v>
      </c>
      <c r="S1" t="s">
        <v>122</v>
      </c>
      <c r="T1" t="s">
        <v>10</v>
      </c>
      <c r="U1" t="s">
        <v>92</v>
      </c>
      <c r="V1" t="s">
        <v>93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94</v>
      </c>
      <c r="AD1" t="s">
        <v>74</v>
      </c>
      <c r="AE1" t="s">
        <v>123</v>
      </c>
      <c r="AF1" t="s">
        <v>12</v>
      </c>
      <c r="AG1" t="s">
        <v>13</v>
      </c>
      <c r="AH1" t="s">
        <v>95</v>
      </c>
      <c r="AI1" t="s">
        <v>124</v>
      </c>
      <c r="AJ1" t="s">
        <v>96</v>
      </c>
      <c r="AK1" t="s">
        <v>14</v>
      </c>
      <c r="AL1" t="s">
        <v>97</v>
      </c>
      <c r="AM1" t="s">
        <v>48</v>
      </c>
      <c r="AN1" t="s">
        <v>98</v>
      </c>
      <c r="AO1" t="s">
        <v>99</v>
      </c>
      <c r="AP1" t="s">
        <v>100</v>
      </c>
      <c r="AQ1" t="s">
        <v>101</v>
      </c>
      <c r="AR1" t="s">
        <v>102</v>
      </c>
      <c r="AS1" t="s">
        <v>103</v>
      </c>
      <c r="AT1" t="s">
        <v>104</v>
      </c>
      <c r="AU1" t="s">
        <v>105</v>
      </c>
      <c r="AV1" t="s">
        <v>106</v>
      </c>
      <c r="AW1" t="s">
        <v>107</v>
      </c>
      <c r="AX1" t="s">
        <v>108</v>
      </c>
      <c r="AY1" t="s">
        <v>125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126</v>
      </c>
      <c r="BJ1" t="s">
        <v>109</v>
      </c>
      <c r="BK1" t="s">
        <v>57</v>
      </c>
      <c r="BL1" t="s">
        <v>110</v>
      </c>
      <c r="BM1" t="s">
        <v>111</v>
      </c>
      <c r="BN1" t="s">
        <v>112</v>
      </c>
      <c r="BO1" t="s">
        <v>113</v>
      </c>
      <c r="BP1" t="s">
        <v>59</v>
      </c>
      <c r="BQ1" t="s">
        <v>60</v>
      </c>
      <c r="BR1" t="s">
        <v>61</v>
      </c>
      <c r="BS1" t="s">
        <v>114</v>
      </c>
      <c r="BT1" t="s">
        <v>62</v>
      </c>
      <c r="BU1" t="s">
        <v>63</v>
      </c>
      <c r="BV1" t="s">
        <v>64</v>
      </c>
      <c r="BW1" t="s">
        <v>115</v>
      </c>
      <c r="BX1" t="s">
        <v>65</v>
      </c>
      <c r="BY1" t="s">
        <v>66</v>
      </c>
      <c r="BZ1" t="s">
        <v>116</v>
      </c>
      <c r="CA1" t="s">
        <v>67</v>
      </c>
      <c r="CB1" t="s">
        <v>68</v>
      </c>
      <c r="CC1" t="s">
        <v>127</v>
      </c>
      <c r="CD1" t="s">
        <v>128</v>
      </c>
      <c r="CE1" t="s">
        <v>129</v>
      </c>
      <c r="CF1" t="s">
        <v>130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28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87</v>
      </c>
      <c r="DN1" t="s">
        <v>88</v>
      </c>
      <c r="DO1" s="2" t="s">
        <v>89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4" customFormat="1" ht="71.55" customHeight="1" x14ac:dyDescent="0.25">
      <c r="A2" s="20"/>
      <c r="B2" s="21"/>
      <c r="C2" s="22">
        <v>3</v>
      </c>
      <c r="D2" s="22">
        <v>8</v>
      </c>
      <c r="T2" s="16"/>
      <c r="U2" s="16"/>
      <c r="V2" s="16"/>
      <c r="AB2" s="17"/>
    </row>
    <row r="3" spans="1:147" ht="172.8" x14ac:dyDescent="0.25">
      <c r="B3" s="23"/>
      <c r="C3" s="23"/>
      <c r="D3" s="23" t="s">
        <v>1537</v>
      </c>
      <c r="E3" t="s">
        <v>634</v>
      </c>
      <c r="F3" t="s">
        <v>635</v>
      </c>
      <c r="G3">
        <v>20.85</v>
      </c>
      <c r="H3">
        <v>5.0000000000000001E-4</v>
      </c>
      <c r="I3" t="s">
        <v>636</v>
      </c>
      <c r="J3">
        <v>10636285600</v>
      </c>
      <c r="K3">
        <v>126</v>
      </c>
      <c r="L3">
        <v>2.93</v>
      </c>
      <c r="M3" t="s">
        <v>578</v>
      </c>
      <c r="N3" t="s">
        <v>240</v>
      </c>
      <c r="O3" t="s">
        <v>1499</v>
      </c>
      <c r="P3" t="s">
        <v>1500</v>
      </c>
      <c r="Q3">
        <v>-29.14</v>
      </c>
      <c r="R3" t="s">
        <v>1501</v>
      </c>
      <c r="S3">
        <v>55785503</v>
      </c>
      <c r="T3" s="24">
        <v>-0.21029999999999999</v>
      </c>
      <c r="U3" t="s">
        <v>1502</v>
      </c>
      <c r="V3">
        <v>395136000</v>
      </c>
      <c r="W3">
        <v>510133600</v>
      </c>
      <c r="X3">
        <v>1.22</v>
      </c>
      <c r="Y3">
        <v>1.17</v>
      </c>
      <c r="Z3">
        <v>1.4</v>
      </c>
      <c r="AA3" t="s">
        <v>1503</v>
      </c>
      <c r="AB3" t="s">
        <v>1504</v>
      </c>
      <c r="AC3" t="s">
        <v>1505</v>
      </c>
      <c r="AD3" t="s">
        <v>1506</v>
      </c>
      <c r="AE3" t="s">
        <v>167</v>
      </c>
      <c r="AF3">
        <v>-1695109</v>
      </c>
      <c r="AG3" t="s">
        <v>1507</v>
      </c>
      <c r="AH3" t="s">
        <v>1508</v>
      </c>
      <c r="AI3" t="s">
        <v>1509</v>
      </c>
      <c r="AJ3" t="s">
        <v>1510</v>
      </c>
      <c r="AK3" t="s">
        <v>1511</v>
      </c>
      <c r="AL3" t="s">
        <v>1512</v>
      </c>
      <c r="AM3" t="s">
        <v>1513</v>
      </c>
      <c r="AN3" t="s">
        <v>167</v>
      </c>
      <c r="AO3" t="s">
        <v>577</v>
      </c>
      <c r="AP3" t="s">
        <v>266</v>
      </c>
      <c r="AQ3" t="s">
        <v>1514</v>
      </c>
      <c r="AR3" t="s">
        <v>504</v>
      </c>
      <c r="AS3" t="s">
        <v>167</v>
      </c>
      <c r="AT3" t="s">
        <v>1250</v>
      </c>
      <c r="AU3" t="s">
        <v>1515</v>
      </c>
      <c r="AV3" t="s">
        <v>1516</v>
      </c>
      <c r="AW3" t="s">
        <v>1517</v>
      </c>
      <c r="AX3" t="s">
        <v>1518</v>
      </c>
      <c r="AY3" t="s">
        <v>1519</v>
      </c>
      <c r="AZ3" t="s">
        <v>1520</v>
      </c>
      <c r="BA3" t="s">
        <v>1521</v>
      </c>
      <c r="BB3" t="s">
        <v>268</v>
      </c>
      <c r="BC3" t="s">
        <v>1522</v>
      </c>
      <c r="BD3" t="s">
        <v>199</v>
      </c>
      <c r="BE3" t="s">
        <v>1523</v>
      </c>
      <c r="BF3" t="s">
        <v>1524</v>
      </c>
      <c r="BG3" t="s">
        <v>1525</v>
      </c>
      <c r="BH3" t="s">
        <v>1526</v>
      </c>
      <c r="BI3" t="s">
        <v>1527</v>
      </c>
      <c r="BJ3" t="s">
        <v>1528</v>
      </c>
      <c r="BK3" t="s">
        <v>1529</v>
      </c>
      <c r="BL3" t="s">
        <v>1530</v>
      </c>
      <c r="BM3" t="s">
        <v>1531</v>
      </c>
      <c r="BN3" t="s">
        <v>1532</v>
      </c>
      <c r="BO3">
        <v>7.24</v>
      </c>
      <c r="BP3">
        <v>10.38</v>
      </c>
      <c r="BQ3">
        <v>1.67</v>
      </c>
      <c r="BR3">
        <v>8.2100000000000009</v>
      </c>
      <c r="BS3">
        <v>11.24</v>
      </c>
      <c r="BT3">
        <v>0.25</v>
      </c>
      <c r="BU3" t="s">
        <v>1533</v>
      </c>
      <c r="BV3" t="s">
        <v>1534</v>
      </c>
      <c r="BW3">
        <v>2.84</v>
      </c>
      <c r="BX3">
        <v>5.89</v>
      </c>
      <c r="BY3">
        <v>2.13</v>
      </c>
      <c r="BZ3">
        <v>1.26</v>
      </c>
      <c r="CA3">
        <v>2.86</v>
      </c>
      <c r="CB3">
        <v>0.2</v>
      </c>
      <c r="CC3">
        <v>-0.28999999999999998</v>
      </c>
      <c r="CD3">
        <v>-0.43</v>
      </c>
      <c r="CE3" t="s">
        <v>1535</v>
      </c>
      <c r="CF3" t="s">
        <v>1536</v>
      </c>
      <c r="CG3" s="25">
        <v>-0.32147305644302432</v>
      </c>
      <c r="CH3" s="26">
        <v>7.1333684281416962</v>
      </c>
      <c r="CI3" s="25">
        <v>0.26532062888145447</v>
      </c>
      <c r="CJ3" s="25">
        <v>-0.2045196145772934</v>
      </c>
      <c r="CK3" s="25">
        <v>0.16432243585586548</v>
      </c>
      <c r="CL3" s="25">
        <v>0.47678393125534058</v>
      </c>
      <c r="CM3" s="25">
        <v>0.88919657468795776</v>
      </c>
      <c r="CN3" s="26">
        <v>-0.18636393547058105</v>
      </c>
      <c r="CO3" s="26">
        <v>46.544815063476563</v>
      </c>
      <c r="CP3" s="26">
        <v>-0.94548487663269043</v>
      </c>
      <c r="CQ3" s="26">
        <v>-0.24025328457355499</v>
      </c>
      <c r="CR3" s="26">
        <v>6.4506985247135162E-2</v>
      </c>
      <c r="CS3">
        <v>1.5018759672408926</v>
      </c>
      <c r="CT3">
        <v>35627908.921296425</v>
      </c>
      <c r="CU3">
        <v>0.52757793764988015</v>
      </c>
      <c r="CV3" s="25">
        <v>0.31822079122066499</v>
      </c>
      <c r="CW3" s="26">
        <v>9.0474439904093735</v>
      </c>
      <c r="CX3">
        <v>0.06</v>
      </c>
      <c r="CY3">
        <v>62.896892399102285</v>
      </c>
      <c r="CZ3">
        <v>123444661.63340716</v>
      </c>
      <c r="DA3">
        <v>0.31822079122066499</v>
      </c>
      <c r="DB3">
        <v>17.031754547981095</v>
      </c>
      <c r="DC3">
        <v>455871153.97458333</v>
      </c>
      <c r="DD3">
        <v>0.3023097516596317</v>
      </c>
      <c r="DE3">
        <v>6.399779452236559</v>
      </c>
      <c r="DF3">
        <v>1213211432.9793944</v>
      </c>
      <c r="DG3">
        <v>0.28003429627418519</v>
      </c>
      <c r="DH3">
        <v>2.7608450563038058</v>
      </c>
      <c r="DI3">
        <v>2812285891.3331251</v>
      </c>
      <c r="DJ3">
        <v>0.25457663297653199</v>
      </c>
      <c r="DK3">
        <v>0.63465104375467563</v>
      </c>
      <c r="DL3">
        <v>12233944427.264322</v>
      </c>
      <c r="DM3">
        <v>0.22275455385446546</v>
      </c>
      <c r="DN3">
        <v>99263600</v>
      </c>
      <c r="DO3">
        <v>0.31822079122066499</v>
      </c>
      <c r="DP3">
        <v>7764285600</v>
      </c>
      <c r="DQ3">
        <v>2927922100</v>
      </c>
      <c r="DR3">
        <v>3914</v>
      </c>
      <c r="DS3">
        <v>-0.63969384766368931</v>
      </c>
      <c r="DT3">
        <v>-1.9140755622676773</v>
      </c>
      <c r="DU3" s="27">
        <v>-0.22</v>
      </c>
      <c r="DV3">
        <v>-0.22</v>
      </c>
      <c r="DW3">
        <v>-0.44</v>
      </c>
      <c r="DX3">
        <v>-4.3E-3</v>
      </c>
      <c r="DY3">
        <v>0.31224346541054643</v>
      </c>
      <c r="DZ3">
        <v>-5.6864690126535512E-4</v>
      </c>
      <c r="EA3">
        <v>3628</v>
      </c>
      <c r="EB3">
        <v>-1.4949798663904296E-4</v>
      </c>
      <c r="EC3">
        <v>0</v>
      </c>
      <c r="ED3">
        <v>9.8235050582827707E-3</v>
      </c>
      <c r="EE3">
        <v>7.4283481817312175E-2</v>
      </c>
      <c r="EF3" s="28">
        <v>4.0999999999999995E-2</v>
      </c>
      <c r="EG3">
        <v>4.1005E-2</v>
      </c>
      <c r="EH3">
        <v>18.132243465410546</v>
      </c>
      <c r="EI3" t="s">
        <v>180</v>
      </c>
      <c r="EJ3">
        <v>0</v>
      </c>
      <c r="EK3">
        <v>0</v>
      </c>
      <c r="EL3" s="29">
        <v>44946</v>
      </c>
      <c r="EM3" s="30">
        <v>1.9E-3</v>
      </c>
      <c r="EN3" s="30">
        <v>0.53</v>
      </c>
      <c r="EO3" s="30">
        <v>-0.24</v>
      </c>
      <c r="EP3" s="30">
        <v>-0.81</v>
      </c>
      <c r="EQ3" s="30">
        <v>5.0000000000000001E-4</v>
      </c>
    </row>
    <row r="4" spans="1:147" ht="151.19999999999999" x14ac:dyDescent="0.25">
      <c r="B4" s="23"/>
      <c r="C4" s="23"/>
      <c r="D4" s="23" t="s">
        <v>1567</v>
      </c>
      <c r="E4" t="s">
        <v>637</v>
      </c>
      <c r="F4" t="s">
        <v>638</v>
      </c>
      <c r="G4">
        <v>8.3699999999999992</v>
      </c>
      <c r="H4">
        <v>4.7999999999999996E-3</v>
      </c>
      <c r="I4" t="s">
        <v>639</v>
      </c>
      <c r="J4">
        <v>4419360000</v>
      </c>
      <c r="K4">
        <v>142.1</v>
      </c>
      <c r="L4">
        <v>1.71</v>
      </c>
      <c r="M4" t="s">
        <v>578</v>
      </c>
      <c r="N4" t="s">
        <v>577</v>
      </c>
      <c r="O4" t="s">
        <v>1538</v>
      </c>
      <c r="P4" t="s">
        <v>1539</v>
      </c>
      <c r="Q4">
        <v>38.82</v>
      </c>
      <c r="R4" t="s">
        <v>1540</v>
      </c>
      <c r="S4">
        <v>61009324</v>
      </c>
      <c r="T4" s="24">
        <v>-0.375</v>
      </c>
      <c r="U4" t="s">
        <v>1541</v>
      </c>
      <c r="V4">
        <v>510848000</v>
      </c>
      <c r="W4">
        <v>528000000</v>
      </c>
      <c r="X4">
        <v>1.06</v>
      </c>
      <c r="Y4">
        <v>0.54</v>
      </c>
      <c r="Z4">
        <v>4.0199999999999996</v>
      </c>
      <c r="AA4" t="s">
        <v>1542</v>
      </c>
      <c r="AB4" t="s">
        <v>1543</v>
      </c>
      <c r="AC4" t="s">
        <v>1544</v>
      </c>
      <c r="AD4" t="s">
        <v>1545</v>
      </c>
      <c r="AE4" t="s">
        <v>167</v>
      </c>
      <c r="AF4">
        <v>-33392364</v>
      </c>
      <c r="AG4" t="s">
        <v>1546</v>
      </c>
      <c r="AH4" t="s">
        <v>1547</v>
      </c>
      <c r="AI4" t="s">
        <v>1548</v>
      </c>
      <c r="AJ4" t="s">
        <v>209</v>
      </c>
      <c r="AK4" t="s">
        <v>1549</v>
      </c>
      <c r="AL4" t="s">
        <v>167</v>
      </c>
      <c r="AM4" t="s">
        <v>1550</v>
      </c>
      <c r="AN4" t="s">
        <v>167</v>
      </c>
      <c r="AO4">
        <v>0</v>
      </c>
      <c r="AP4" t="s">
        <v>1241</v>
      </c>
      <c r="AQ4" t="s">
        <v>167</v>
      </c>
      <c r="AR4" t="s">
        <v>1551</v>
      </c>
      <c r="AS4" t="s">
        <v>1552</v>
      </c>
      <c r="AT4" t="s">
        <v>249</v>
      </c>
      <c r="AU4" t="s">
        <v>167</v>
      </c>
      <c r="AV4" t="s">
        <v>1553</v>
      </c>
      <c r="AW4" t="s">
        <v>1554</v>
      </c>
      <c r="AX4" t="s">
        <v>1555</v>
      </c>
      <c r="AY4" t="s">
        <v>1556</v>
      </c>
      <c r="AZ4" t="s">
        <v>1557</v>
      </c>
      <c r="BA4" t="s">
        <v>1558</v>
      </c>
      <c r="BB4" t="s">
        <v>1559</v>
      </c>
      <c r="BC4" t="s">
        <v>196</v>
      </c>
      <c r="BD4" t="s">
        <v>207</v>
      </c>
      <c r="BE4" t="s">
        <v>224</v>
      </c>
      <c r="BF4" t="s">
        <v>227</v>
      </c>
      <c r="BG4" t="s">
        <v>1442</v>
      </c>
      <c r="BH4" t="s">
        <v>1204</v>
      </c>
      <c r="BI4" t="s">
        <v>1560</v>
      </c>
      <c r="BJ4" t="s">
        <v>1561</v>
      </c>
      <c r="BK4" t="s">
        <v>890</v>
      </c>
      <c r="BL4" t="s">
        <v>1562</v>
      </c>
      <c r="BM4" t="s">
        <v>1563</v>
      </c>
      <c r="BN4" t="s">
        <v>1564</v>
      </c>
      <c r="BO4">
        <v>2.17</v>
      </c>
      <c r="BP4">
        <v>3.44</v>
      </c>
      <c r="BQ4">
        <v>3.57</v>
      </c>
      <c r="BR4">
        <v>2.36</v>
      </c>
      <c r="BS4">
        <v>4.68</v>
      </c>
      <c r="BT4">
        <v>4.72</v>
      </c>
      <c r="BU4" t="s">
        <v>194</v>
      </c>
      <c r="BV4" t="s">
        <v>1534</v>
      </c>
      <c r="BW4">
        <v>9.1999999999999993</v>
      </c>
      <c r="BX4">
        <v>10.53</v>
      </c>
      <c r="BY4">
        <v>10.56</v>
      </c>
      <c r="BZ4">
        <v>3.94</v>
      </c>
      <c r="CA4">
        <v>10.83</v>
      </c>
      <c r="CB4">
        <v>7.95</v>
      </c>
      <c r="CC4">
        <v>2.2000000000000002</v>
      </c>
      <c r="CD4">
        <v>-2.4500000000000002</v>
      </c>
      <c r="CE4" t="s">
        <v>1565</v>
      </c>
      <c r="CF4" t="s">
        <v>1566</v>
      </c>
      <c r="CG4" s="25">
        <v>0.48737084282460164</v>
      </c>
      <c r="CH4" s="26">
        <v>-0.5381736518339657</v>
      </c>
      <c r="CI4" s="25">
        <v>0.31814488768577576</v>
      </c>
      <c r="CJ4" s="25">
        <v>-0.24276039004325867</v>
      </c>
      <c r="CK4" s="25">
        <v>-1.8742403015494347E-2</v>
      </c>
      <c r="CL4" s="25">
        <v>0.33065158128738403</v>
      </c>
      <c r="CM4" s="25">
        <v>0.37348073720932007</v>
      </c>
      <c r="CN4" s="26">
        <v>-0.4791969358921051</v>
      </c>
      <c r="CO4" s="26">
        <v>3.9999999105930328E-2</v>
      </c>
      <c r="CP4" s="26">
        <v>0.15740740299224854</v>
      </c>
      <c r="CQ4" s="26">
        <v>-0.2800000011920929</v>
      </c>
      <c r="CR4" s="26">
        <v>-0.48805460333824158</v>
      </c>
      <c r="CS4">
        <v>2.7280000000000002</v>
      </c>
      <c r="CT4">
        <v>75550506.318643987</v>
      </c>
      <c r="CU4">
        <v>8.3632019115890088</v>
      </c>
      <c r="CV4" s="25">
        <v>0.15215488262474536</v>
      </c>
      <c r="CW4" s="26">
        <v>-0.20996882766485214</v>
      </c>
      <c r="CX4">
        <v>0.06</v>
      </c>
      <c r="CY4">
        <v>26.869763969363024</v>
      </c>
      <c r="CZ4">
        <v>73590523.618093222</v>
      </c>
      <c r="DA4">
        <v>0.15215488262474536</v>
      </c>
      <c r="DB4">
        <v>8.3337381333064489</v>
      </c>
      <c r="DC4">
        <v>237271674.29191509</v>
      </c>
      <c r="DD4">
        <v>0.14454713849350809</v>
      </c>
      <c r="DE4">
        <v>3.8195228222509692</v>
      </c>
      <c r="DF4">
        <v>517698176.45301497</v>
      </c>
      <c r="DG4">
        <v>0.1338962967097759</v>
      </c>
      <c r="DH4">
        <v>2.1113246584165783</v>
      </c>
      <c r="DI4">
        <v>936549474.81310284</v>
      </c>
      <c r="DJ4">
        <v>0.12172390609979629</v>
      </c>
      <c r="DK4">
        <v>0.9023889371340611</v>
      </c>
      <c r="DL4">
        <v>2191250267.62849</v>
      </c>
      <c r="DM4">
        <v>0.10650841783732175</v>
      </c>
      <c r="DN4">
        <v>67704400</v>
      </c>
      <c r="DO4">
        <v>0.15215488262474536</v>
      </c>
      <c r="DP4">
        <v>1977360000</v>
      </c>
      <c r="DQ4">
        <v>1394741400</v>
      </c>
      <c r="DR4">
        <v>57</v>
      </c>
      <c r="DS4">
        <v>0.33521596019985628</v>
      </c>
      <c r="DT4">
        <v>-0.32820482416911356</v>
      </c>
      <c r="DU4" s="27">
        <v>0.6</v>
      </c>
      <c r="DV4">
        <v>-0.22</v>
      </c>
      <c r="DW4">
        <v>0.38</v>
      </c>
      <c r="DX4">
        <v>-2.4500000000000001E-2</v>
      </c>
      <c r="DY4">
        <v>0.36855348988910475</v>
      </c>
      <c r="DZ4">
        <v>-3.8845605022831053E-3</v>
      </c>
      <c r="EA4">
        <v>2798</v>
      </c>
      <c r="EB4">
        <v>-1.6763117649023396E-3</v>
      </c>
      <c r="EC4">
        <v>0</v>
      </c>
      <c r="ED4">
        <v>1.5467613636363639E-2</v>
      </c>
      <c r="EE4">
        <v>9.7554545454545449E-2</v>
      </c>
      <c r="EF4" s="28">
        <v>3.0899999999999997E-2</v>
      </c>
      <c r="EG4">
        <v>3.0948E-2</v>
      </c>
      <c r="EH4">
        <v>21.158553489889105</v>
      </c>
      <c r="EI4" t="s">
        <v>180</v>
      </c>
      <c r="EJ4">
        <v>0</v>
      </c>
      <c r="EK4">
        <v>0</v>
      </c>
      <c r="EL4" s="29">
        <v>44946</v>
      </c>
      <c r="EM4" s="30">
        <v>2.3999999999999998E-3</v>
      </c>
      <c r="EN4" s="30">
        <v>1.1000000000000001</v>
      </c>
      <c r="EO4" s="30">
        <v>-0.24</v>
      </c>
      <c r="EP4" s="30">
        <v>0.6</v>
      </c>
      <c r="EQ4" s="30">
        <v>4.7999999999999996E-3</v>
      </c>
    </row>
    <row r="5" spans="1:147" ht="86.4" x14ac:dyDescent="0.25">
      <c r="B5" s="23"/>
      <c r="C5" s="23"/>
      <c r="D5" s="23" t="s">
        <v>1607</v>
      </c>
      <c r="E5" t="s">
        <v>640</v>
      </c>
      <c r="F5" t="s">
        <v>641</v>
      </c>
      <c r="G5">
        <v>7.79</v>
      </c>
      <c r="H5">
        <v>1.5599999999999999E-2</v>
      </c>
      <c r="I5" t="s">
        <v>642</v>
      </c>
      <c r="J5">
        <v>3646845400</v>
      </c>
      <c r="K5">
        <v>28.31</v>
      </c>
      <c r="L5">
        <v>1.17</v>
      </c>
      <c r="M5" t="s">
        <v>578</v>
      </c>
      <c r="N5" t="s">
        <v>1568</v>
      </c>
      <c r="O5" t="s">
        <v>1569</v>
      </c>
      <c r="P5" t="s">
        <v>1570</v>
      </c>
      <c r="Q5">
        <v>61.29</v>
      </c>
      <c r="R5" t="s">
        <v>1571</v>
      </c>
      <c r="S5">
        <v>70399004</v>
      </c>
      <c r="T5" s="24">
        <v>2.8929999999999998</v>
      </c>
      <c r="U5" t="s">
        <v>1572</v>
      </c>
      <c r="V5">
        <v>404048490</v>
      </c>
      <c r="W5">
        <v>468144460</v>
      </c>
      <c r="X5">
        <v>1.42</v>
      </c>
      <c r="Y5">
        <v>2.0099999999999998</v>
      </c>
      <c r="Z5">
        <v>0.89</v>
      </c>
      <c r="AA5" t="s">
        <v>1573</v>
      </c>
      <c r="AB5" t="s">
        <v>1574</v>
      </c>
      <c r="AC5" t="s">
        <v>1575</v>
      </c>
      <c r="AD5" t="s">
        <v>1576</v>
      </c>
      <c r="AE5" t="s">
        <v>167</v>
      </c>
      <c r="AF5">
        <v>-12353761</v>
      </c>
      <c r="AG5" t="s">
        <v>1577</v>
      </c>
      <c r="AH5" t="s">
        <v>1578</v>
      </c>
      <c r="AI5" t="s">
        <v>1579</v>
      </c>
      <c r="AJ5" t="s">
        <v>1580</v>
      </c>
      <c r="AK5" t="s">
        <v>1581</v>
      </c>
      <c r="AL5" t="s">
        <v>167</v>
      </c>
      <c r="AM5" t="s">
        <v>1582</v>
      </c>
      <c r="AN5" t="s">
        <v>167</v>
      </c>
      <c r="AO5" t="s">
        <v>1583</v>
      </c>
      <c r="AP5" t="s">
        <v>425</v>
      </c>
      <c r="AQ5" t="s">
        <v>296</v>
      </c>
      <c r="AR5" t="s">
        <v>1584</v>
      </c>
      <c r="AS5" t="s">
        <v>1585</v>
      </c>
      <c r="AT5" t="s">
        <v>1586</v>
      </c>
      <c r="AU5" t="s">
        <v>167</v>
      </c>
      <c r="AV5" t="s">
        <v>1587</v>
      </c>
      <c r="AW5" t="s">
        <v>1588</v>
      </c>
      <c r="AX5" t="s">
        <v>1589</v>
      </c>
      <c r="AY5" t="s">
        <v>1590</v>
      </c>
      <c r="AZ5" t="s">
        <v>340</v>
      </c>
      <c r="BA5" t="s">
        <v>1591</v>
      </c>
      <c r="BB5" t="s">
        <v>1592</v>
      </c>
      <c r="BC5" t="s">
        <v>1593</v>
      </c>
      <c r="BD5" t="s">
        <v>1594</v>
      </c>
      <c r="BE5" t="s">
        <v>1595</v>
      </c>
      <c r="BF5" t="s">
        <v>1596</v>
      </c>
      <c r="BG5" t="s">
        <v>285</v>
      </c>
      <c r="BH5" t="s">
        <v>1597</v>
      </c>
      <c r="BI5" t="s">
        <v>1598</v>
      </c>
      <c r="BJ5" t="s">
        <v>1599</v>
      </c>
      <c r="BK5" t="s">
        <v>1600</v>
      </c>
      <c r="BL5" t="s">
        <v>1601</v>
      </c>
      <c r="BM5" t="s">
        <v>1602</v>
      </c>
      <c r="BN5" t="s">
        <v>1603</v>
      </c>
      <c r="BO5">
        <v>2.54</v>
      </c>
      <c r="BP5">
        <v>2.19</v>
      </c>
      <c r="BQ5">
        <v>7.62</v>
      </c>
      <c r="BR5">
        <v>2.41</v>
      </c>
      <c r="BS5">
        <v>2.29</v>
      </c>
      <c r="BT5">
        <v>16.809999999999999</v>
      </c>
      <c r="BU5" t="s">
        <v>1604</v>
      </c>
      <c r="BV5" t="s">
        <v>1534</v>
      </c>
      <c r="BW5">
        <v>2.35</v>
      </c>
      <c r="BX5">
        <v>4.07</v>
      </c>
      <c r="BY5">
        <v>4.21</v>
      </c>
      <c r="BZ5">
        <v>0.82</v>
      </c>
      <c r="CA5">
        <v>1.52</v>
      </c>
      <c r="CB5">
        <v>3.65</v>
      </c>
      <c r="CC5">
        <v>2.1</v>
      </c>
      <c r="CD5">
        <v>-5</v>
      </c>
      <c r="CE5" t="s">
        <v>1605</v>
      </c>
      <c r="CF5" t="s">
        <v>1606</v>
      </c>
      <c r="CG5" s="25">
        <v>0.22958424801005423</v>
      </c>
      <c r="CH5" s="26">
        <v>8.2740623590287914</v>
      </c>
      <c r="CI5" s="25">
        <v>0.67957824468612671</v>
      </c>
      <c r="CJ5" s="25">
        <v>-0.58770906925201416</v>
      </c>
      <c r="CK5" s="25">
        <v>-0.44146075844764709</v>
      </c>
      <c r="CL5" s="25">
        <v>0.86167615652084351</v>
      </c>
      <c r="CM5" s="25">
        <v>0.17463237047195435</v>
      </c>
      <c r="CN5" s="26">
        <v>7.9334728419780731E-2</v>
      </c>
      <c r="CO5" s="26">
        <v>-0.85169833898544312</v>
      </c>
      <c r="CP5" s="26">
        <v>0.55700325965881348</v>
      </c>
      <c r="CQ5" s="26">
        <v>1.7909090518951416</v>
      </c>
      <c r="CR5" s="26">
        <v>1.7482204437255859</v>
      </c>
      <c r="CS5">
        <v>0.44033390485390006</v>
      </c>
      <c r="CT5">
        <v>70096421.350348502</v>
      </c>
      <c r="CU5">
        <v>0.66752246469833121</v>
      </c>
      <c r="CV5" s="25">
        <v>0.13734338879585267</v>
      </c>
      <c r="CW5" s="26">
        <v>0.66475382894277568</v>
      </c>
      <c r="CX5">
        <v>0.06</v>
      </c>
      <c r="CY5">
        <v>20.961675376907564</v>
      </c>
      <c r="CZ5">
        <v>82094840.6583841</v>
      </c>
      <c r="DA5">
        <v>0.13734338879585267</v>
      </c>
      <c r="DB5">
        <v>6.5823310401741493</v>
      </c>
      <c r="DC5">
        <v>261434040.53930286</v>
      </c>
      <c r="DD5">
        <v>0.13047621935606002</v>
      </c>
      <c r="DE5">
        <v>3.0692061908724222</v>
      </c>
      <c r="DF5">
        <v>560680936.04061496</v>
      </c>
      <c r="DG5">
        <v>0.12086218214035035</v>
      </c>
      <c r="DH5">
        <v>1.7314374171553815</v>
      </c>
      <c r="DI5">
        <v>993882529.59625685</v>
      </c>
      <c r="DJ5">
        <v>0.10987471103668214</v>
      </c>
      <c r="DK5">
        <v>0.77627072255862795</v>
      </c>
      <c r="DL5">
        <v>2216810901.1351166</v>
      </c>
      <c r="DM5">
        <v>9.6140372157096865E-2</v>
      </c>
      <c r="DN5">
        <v>76512100</v>
      </c>
      <c r="DO5">
        <v>0.13734338879585267</v>
      </c>
      <c r="DP5">
        <v>1720845400</v>
      </c>
      <c r="DQ5">
        <v>1786639300</v>
      </c>
      <c r="DR5">
        <v>3054</v>
      </c>
      <c r="DS5">
        <v>9.2240859214201554E-2</v>
      </c>
      <c r="DT5">
        <v>7.6093085300860155</v>
      </c>
      <c r="DU5" s="27">
        <v>0.6</v>
      </c>
      <c r="DV5">
        <v>0.6</v>
      </c>
      <c r="DW5">
        <v>1.2</v>
      </c>
      <c r="DX5">
        <v>-1.05</v>
      </c>
      <c r="DY5">
        <v>0.38361777108433742</v>
      </c>
      <c r="DZ5">
        <v>-1.0096808885542168</v>
      </c>
      <c r="EA5">
        <v>408</v>
      </c>
      <c r="EB5">
        <v>-1.0088784093729652</v>
      </c>
      <c r="EC5">
        <v>1</v>
      </c>
      <c r="ED5">
        <v>0.13731039346273585</v>
      </c>
      <c r="EE5">
        <v>0.70918280224869046</v>
      </c>
      <c r="EF5" s="28">
        <v>1.72E-2</v>
      </c>
      <c r="EG5">
        <v>1.7356E-2</v>
      </c>
      <c r="EH5">
        <v>19.193617771084337</v>
      </c>
      <c r="EI5" t="s">
        <v>180</v>
      </c>
      <c r="EJ5">
        <v>0</v>
      </c>
      <c r="EK5">
        <v>1</v>
      </c>
      <c r="EL5" s="29">
        <v>44946</v>
      </c>
      <c r="EM5" s="30">
        <v>-6.6E-3</v>
      </c>
      <c r="EN5" s="30">
        <v>1.58</v>
      </c>
      <c r="EO5" s="30">
        <v>-0.13</v>
      </c>
      <c r="EP5" s="30">
        <v>-0.26</v>
      </c>
      <c r="EQ5" s="30">
        <v>1.5599999999999999E-2</v>
      </c>
    </row>
    <row r="6" spans="1:147" ht="97.2" x14ac:dyDescent="0.25">
      <c r="B6" s="23"/>
      <c r="C6" s="23"/>
      <c r="D6" s="23" t="s">
        <v>1638</v>
      </c>
      <c r="E6" t="s">
        <v>643</v>
      </c>
      <c r="F6" t="s">
        <v>644</v>
      </c>
      <c r="G6">
        <v>18.239999999999998</v>
      </c>
      <c r="H6">
        <v>1.3899999999999999E-2</v>
      </c>
      <c r="I6" t="s">
        <v>645</v>
      </c>
      <c r="J6">
        <v>3162706600</v>
      </c>
      <c r="K6">
        <v>31.99</v>
      </c>
      <c r="L6">
        <v>1.88</v>
      </c>
      <c r="M6" t="s">
        <v>578</v>
      </c>
      <c r="N6" t="s">
        <v>225</v>
      </c>
      <c r="O6" t="s">
        <v>1608</v>
      </c>
      <c r="P6" t="s">
        <v>1609</v>
      </c>
      <c r="Q6">
        <v>31.98</v>
      </c>
      <c r="R6" t="s">
        <v>1610</v>
      </c>
      <c r="S6">
        <v>90346302</v>
      </c>
      <c r="T6" s="24">
        <v>8.9399999999999993E-2</v>
      </c>
      <c r="U6" t="s">
        <v>1611</v>
      </c>
      <c r="V6">
        <v>61802000</v>
      </c>
      <c r="W6">
        <v>173394000</v>
      </c>
      <c r="X6">
        <v>1.39</v>
      </c>
      <c r="Y6">
        <v>1.54</v>
      </c>
      <c r="Z6">
        <v>2.5</v>
      </c>
      <c r="AA6" t="s">
        <v>1612</v>
      </c>
      <c r="AB6" t="s">
        <v>1613</v>
      </c>
      <c r="AC6" t="s">
        <v>290</v>
      </c>
      <c r="AD6" t="s">
        <v>1614</v>
      </c>
      <c r="AE6" t="s">
        <v>167</v>
      </c>
      <c r="AF6">
        <v>1379271</v>
      </c>
      <c r="AG6" t="s">
        <v>1615</v>
      </c>
      <c r="AH6" t="s">
        <v>1616</v>
      </c>
      <c r="AI6" t="s">
        <v>1617</v>
      </c>
      <c r="AJ6" t="s">
        <v>567</v>
      </c>
      <c r="AK6" t="s">
        <v>1618</v>
      </c>
      <c r="AL6" t="s">
        <v>167</v>
      </c>
      <c r="AM6" t="s">
        <v>1619</v>
      </c>
      <c r="AN6" t="s">
        <v>167</v>
      </c>
      <c r="AO6" t="s">
        <v>1620</v>
      </c>
      <c r="AP6" t="s">
        <v>167</v>
      </c>
      <c r="AQ6" t="s">
        <v>167</v>
      </c>
      <c r="AR6" t="s">
        <v>1621</v>
      </c>
      <c r="AS6" t="s">
        <v>1622</v>
      </c>
      <c r="AT6" t="s">
        <v>297</v>
      </c>
      <c r="AU6" t="s">
        <v>167</v>
      </c>
      <c r="AV6" t="s">
        <v>1623</v>
      </c>
      <c r="AW6" t="s">
        <v>1624</v>
      </c>
      <c r="AX6" t="s">
        <v>1625</v>
      </c>
      <c r="AY6" t="s">
        <v>1626</v>
      </c>
      <c r="AZ6" t="s">
        <v>1627</v>
      </c>
      <c r="BA6" t="s">
        <v>1628</v>
      </c>
      <c r="BB6" t="s">
        <v>1629</v>
      </c>
      <c r="BC6" t="s">
        <v>1558</v>
      </c>
      <c r="BD6" t="s">
        <v>1387</v>
      </c>
      <c r="BE6" t="s">
        <v>295</v>
      </c>
      <c r="BF6" t="s">
        <v>202</v>
      </c>
      <c r="BG6" t="s">
        <v>299</v>
      </c>
      <c r="BH6" t="s">
        <v>327</v>
      </c>
      <c r="BI6" t="s">
        <v>1630</v>
      </c>
      <c r="BJ6" t="s">
        <v>1631</v>
      </c>
      <c r="BK6" t="s">
        <v>1632</v>
      </c>
      <c r="BL6" t="s">
        <v>1633</v>
      </c>
      <c r="BM6" t="s">
        <v>1634</v>
      </c>
      <c r="BN6" t="s">
        <v>1635</v>
      </c>
      <c r="BO6">
        <v>5.6</v>
      </c>
      <c r="BP6">
        <v>13.77</v>
      </c>
      <c r="BQ6">
        <v>22.3</v>
      </c>
      <c r="BR6">
        <v>5.55</v>
      </c>
      <c r="BS6">
        <v>12.84</v>
      </c>
      <c r="BT6">
        <v>26.89</v>
      </c>
      <c r="BU6" t="s">
        <v>284</v>
      </c>
      <c r="BV6" t="s">
        <v>1534</v>
      </c>
      <c r="BW6">
        <v>7.92</v>
      </c>
      <c r="BX6">
        <v>20.67</v>
      </c>
      <c r="BY6">
        <v>19.190000000000001</v>
      </c>
      <c r="BZ6">
        <v>2.19</v>
      </c>
      <c r="CA6">
        <v>9.25</v>
      </c>
      <c r="CB6">
        <v>8.34</v>
      </c>
      <c r="CC6">
        <v>2.13</v>
      </c>
      <c r="CD6">
        <v>-7.27</v>
      </c>
      <c r="CE6" t="s">
        <v>1636</v>
      </c>
      <c r="CF6" t="s">
        <v>1637</v>
      </c>
      <c r="CG6" s="25">
        <v>-6.0232022932022934E-2</v>
      </c>
      <c r="CH6" s="26">
        <v>0.57643149646217651</v>
      </c>
      <c r="CI6" s="25">
        <v>1.1328632831573486</v>
      </c>
      <c r="CJ6" s="25">
        <v>-4.9484536051750183E-2</v>
      </c>
      <c r="CK6" s="25">
        <v>-0.17058573663234711</v>
      </c>
      <c r="CL6" s="25">
        <v>0.1321394294500351</v>
      </c>
      <c r="CM6" s="25">
        <v>0.24909310042858124</v>
      </c>
      <c r="CN6" s="26">
        <v>-0.46200823783874512</v>
      </c>
      <c r="CO6" s="26">
        <v>4.9382716417312622E-2</v>
      </c>
      <c r="CP6" s="26">
        <v>3.8461539894342422E-2</v>
      </c>
      <c r="CQ6" s="26">
        <v>-0.1875</v>
      </c>
      <c r="CR6" s="26">
        <v>0.34265735745429993</v>
      </c>
      <c r="CS6">
        <v>0.80414609712687513</v>
      </c>
      <c r="CT6">
        <v>94398795.739274383</v>
      </c>
      <c r="CU6">
        <v>1.0964912280701755</v>
      </c>
      <c r="CV6" s="25">
        <v>0.25880510807037355</v>
      </c>
      <c r="CW6" s="26">
        <v>-4.3801324814558028E-2</v>
      </c>
      <c r="CX6">
        <v>0.06</v>
      </c>
      <c r="CY6">
        <v>19.682076598454465</v>
      </c>
      <c r="CZ6">
        <v>108611842.31789157</v>
      </c>
      <c r="DA6">
        <v>0.25880510807037355</v>
      </c>
      <c r="DB6">
        <v>5.5911571335249928</v>
      </c>
      <c r="DC6">
        <v>382337063.5001747</v>
      </c>
      <c r="DD6">
        <v>0.24586485266685484</v>
      </c>
      <c r="DE6">
        <v>2.2577713421652166</v>
      </c>
      <c r="DF6">
        <v>946821566.94837224</v>
      </c>
      <c r="DG6">
        <v>0.22774849510192871</v>
      </c>
      <c r="DH6">
        <v>1.0681076928747031</v>
      </c>
      <c r="DI6">
        <v>2001396127.2449787</v>
      </c>
      <c r="DJ6">
        <v>0.20704408645629885</v>
      </c>
      <c r="DK6">
        <v>0.31092615780973643</v>
      </c>
      <c r="DL6">
        <v>6875287094.0762625</v>
      </c>
      <c r="DM6">
        <v>0.18116357564926147</v>
      </c>
      <c r="DN6">
        <v>91458600</v>
      </c>
      <c r="DO6">
        <v>0.25880510807037355</v>
      </c>
      <c r="DP6">
        <v>2137706600</v>
      </c>
      <c r="DQ6">
        <v>564465140</v>
      </c>
      <c r="DR6">
        <v>3989</v>
      </c>
      <c r="DS6">
        <v>-0.3190371310023965</v>
      </c>
      <c r="DT6">
        <v>0.62023282127673451</v>
      </c>
      <c r="DU6" s="27">
        <v>0.6</v>
      </c>
      <c r="DV6">
        <v>0.6</v>
      </c>
      <c r="DW6">
        <v>1.2</v>
      </c>
      <c r="DX6">
        <v>-2.0727000000000002</v>
      </c>
      <c r="DY6">
        <v>0.45146774691496899</v>
      </c>
      <c r="DZ6">
        <v>-2.0117387052007181</v>
      </c>
      <c r="EA6">
        <v>2012</v>
      </c>
      <c r="EB6">
        <v>-2.006940193444553</v>
      </c>
      <c r="EC6">
        <v>2</v>
      </c>
      <c r="ED6">
        <v>3.1067972363518923E-2</v>
      </c>
      <c r="EE6">
        <v>0.19240977196442782</v>
      </c>
      <c r="EF6" s="28">
        <v>4.65E-2</v>
      </c>
      <c r="EG6">
        <v>4.6639E-2</v>
      </c>
      <c r="EH6">
        <v>29.161467746914969</v>
      </c>
      <c r="EI6">
        <v>-1</v>
      </c>
      <c r="EJ6">
        <v>0</v>
      </c>
      <c r="EK6">
        <v>0</v>
      </c>
      <c r="EL6" s="29">
        <v>44946</v>
      </c>
      <c r="EM6" s="30">
        <v>1.18E-2</v>
      </c>
      <c r="EN6" s="30">
        <v>-0.66</v>
      </c>
      <c r="EO6" s="30">
        <v>0.06</v>
      </c>
      <c r="EP6" s="30">
        <v>0.17</v>
      </c>
      <c r="EQ6" s="30">
        <v>1.3899999999999999E-2</v>
      </c>
    </row>
    <row r="7" spans="1:147" ht="86.4" x14ac:dyDescent="0.25">
      <c r="B7" s="23"/>
      <c r="C7" s="23"/>
      <c r="D7" s="23" t="s">
        <v>1673</v>
      </c>
      <c r="E7" t="s">
        <v>646</v>
      </c>
      <c r="F7" t="s">
        <v>647</v>
      </c>
      <c r="G7">
        <v>39.32</v>
      </c>
      <c r="H7">
        <v>1.8E-3</v>
      </c>
      <c r="I7" t="s">
        <v>648</v>
      </c>
      <c r="J7">
        <v>3145600000</v>
      </c>
      <c r="K7">
        <v>24.39</v>
      </c>
      <c r="L7">
        <v>3.05</v>
      </c>
      <c r="M7" t="s">
        <v>578</v>
      </c>
      <c r="N7" t="s">
        <v>1639</v>
      </c>
      <c r="O7" t="s">
        <v>1411</v>
      </c>
      <c r="P7" t="s">
        <v>1640</v>
      </c>
      <c r="Q7">
        <v>-22.41</v>
      </c>
      <c r="R7" t="s">
        <v>1641</v>
      </c>
      <c r="S7">
        <v>60021627</v>
      </c>
      <c r="T7" s="24">
        <v>-5.5999999999999999E-3</v>
      </c>
      <c r="U7" t="s">
        <v>1642</v>
      </c>
      <c r="V7">
        <v>20000000</v>
      </c>
      <c r="W7">
        <v>80000000</v>
      </c>
      <c r="X7">
        <v>1.0900000000000001</v>
      </c>
      <c r="Y7">
        <v>0.48</v>
      </c>
      <c r="Z7">
        <v>14.79</v>
      </c>
      <c r="AA7" t="s">
        <v>182</v>
      </c>
      <c r="AB7" t="s">
        <v>996</v>
      </c>
      <c r="AC7" t="s">
        <v>1643</v>
      </c>
      <c r="AD7" t="s">
        <v>1644</v>
      </c>
      <c r="AE7" t="s">
        <v>1645</v>
      </c>
      <c r="AF7">
        <v>7400842</v>
      </c>
      <c r="AG7" t="s">
        <v>1646</v>
      </c>
      <c r="AH7" t="s">
        <v>1647</v>
      </c>
      <c r="AI7" t="s">
        <v>1648</v>
      </c>
      <c r="AJ7" t="s">
        <v>932</v>
      </c>
      <c r="AK7" t="s">
        <v>1649</v>
      </c>
      <c r="AL7" t="s">
        <v>1650</v>
      </c>
      <c r="AM7" t="s">
        <v>1651</v>
      </c>
      <c r="AN7" t="s">
        <v>167</v>
      </c>
      <c r="AO7" t="s">
        <v>1652</v>
      </c>
      <c r="AP7" t="s">
        <v>167</v>
      </c>
      <c r="AQ7" t="s">
        <v>167</v>
      </c>
      <c r="AR7" t="s">
        <v>1653</v>
      </c>
      <c r="AS7" t="s">
        <v>167</v>
      </c>
      <c r="AT7" t="s">
        <v>1654</v>
      </c>
      <c r="AU7" t="s">
        <v>167</v>
      </c>
      <c r="AV7" t="s">
        <v>1655</v>
      </c>
      <c r="AW7" t="s">
        <v>1656</v>
      </c>
      <c r="AX7" t="s">
        <v>286</v>
      </c>
      <c r="AY7" t="s">
        <v>237</v>
      </c>
      <c r="AZ7" t="s">
        <v>444</v>
      </c>
      <c r="BA7" t="s">
        <v>1657</v>
      </c>
      <c r="BB7" t="s">
        <v>167</v>
      </c>
      <c r="BC7" t="s">
        <v>167</v>
      </c>
      <c r="BD7" t="s">
        <v>1658</v>
      </c>
      <c r="BE7" t="s">
        <v>1659</v>
      </c>
      <c r="BF7" t="s">
        <v>1660</v>
      </c>
      <c r="BG7" t="s">
        <v>167</v>
      </c>
      <c r="BH7" t="s">
        <v>167</v>
      </c>
      <c r="BI7" t="s">
        <v>1661</v>
      </c>
      <c r="BJ7" t="s">
        <v>1662</v>
      </c>
      <c r="BK7" t="s">
        <v>1288</v>
      </c>
      <c r="BL7" t="s">
        <v>1663</v>
      </c>
      <c r="BM7" t="s">
        <v>1664</v>
      </c>
      <c r="BN7" t="s">
        <v>1665</v>
      </c>
      <c r="BO7">
        <v>28.48</v>
      </c>
      <c r="BP7">
        <v>17.04</v>
      </c>
      <c r="BQ7">
        <v>19.989999999999998</v>
      </c>
      <c r="BR7">
        <v>31.36</v>
      </c>
      <c r="BS7" t="s">
        <v>167</v>
      </c>
      <c r="BT7" t="s">
        <v>167</v>
      </c>
      <c r="BU7" t="s">
        <v>167</v>
      </c>
      <c r="BV7" t="s">
        <v>1534</v>
      </c>
      <c r="BW7">
        <v>30.46</v>
      </c>
      <c r="BX7">
        <v>30.8</v>
      </c>
      <c r="BY7">
        <v>26.06</v>
      </c>
      <c r="BZ7">
        <v>18.16</v>
      </c>
      <c r="CA7">
        <v>9.2100000000000009</v>
      </c>
      <c r="CB7">
        <v>9.1300000000000008</v>
      </c>
      <c r="CC7">
        <v>6.47</v>
      </c>
      <c r="CD7">
        <v>-6.25</v>
      </c>
      <c r="CE7" t="s">
        <v>1666</v>
      </c>
      <c r="CF7" t="s">
        <v>1667</v>
      </c>
      <c r="CG7" s="25">
        <v>-2.3278562500000186E-2</v>
      </c>
      <c r="CH7" s="26">
        <v>-0.36776247383411687</v>
      </c>
      <c r="CI7" s="25">
        <v>-3.4626040607690811E-2</v>
      </c>
      <c r="CJ7" s="25">
        <v>-0.15258215367794037</v>
      </c>
      <c r="CK7" s="25">
        <v>3.2727271318435669E-2</v>
      </c>
      <c r="CL7" s="25" t="s">
        <v>167</v>
      </c>
      <c r="CM7" s="25" t="s">
        <v>167</v>
      </c>
      <c r="CN7" s="26">
        <v>0.93710565567016602</v>
      </c>
      <c r="CO7" s="26">
        <v>-0.14365257322788239</v>
      </c>
      <c r="CP7" s="26">
        <v>-0.10070980340242386</v>
      </c>
      <c r="CQ7" s="26" t="s">
        <v>167</v>
      </c>
      <c r="CR7" s="26" t="s">
        <v>167</v>
      </c>
      <c r="CS7">
        <v>4.5130559540889523</v>
      </c>
      <c r="CT7">
        <v>38230021.705426358</v>
      </c>
      <c r="CU7">
        <v>0</v>
      </c>
      <c r="CV7" s="25">
        <v>-5.149364098906517E-2</v>
      </c>
      <c r="CW7" s="26">
        <v>0.23091442634661993</v>
      </c>
      <c r="CX7">
        <v>0.06</v>
      </c>
      <c r="CY7">
        <v>17.065220930232559</v>
      </c>
      <c r="CZ7" t="s">
        <v>1668</v>
      </c>
      <c r="DA7">
        <v>-5.149364098906517E-2</v>
      </c>
      <c r="DB7">
        <v>5.6884069767441856</v>
      </c>
      <c r="DC7" t="s">
        <v>1669</v>
      </c>
      <c r="DD7">
        <v>-4.8918958939611908E-2</v>
      </c>
      <c r="DE7">
        <v>2.8442034883720928</v>
      </c>
      <c r="DF7" t="s">
        <v>1670</v>
      </c>
      <c r="DG7">
        <v>-4.5314404070377352E-2</v>
      </c>
      <c r="DH7">
        <v>1.7065220930232559</v>
      </c>
      <c r="DI7" t="s">
        <v>1671</v>
      </c>
      <c r="DJ7">
        <v>-4.119491279125214E-2</v>
      </c>
      <c r="DK7">
        <v>0.85326104651162793</v>
      </c>
      <c r="DL7" t="s">
        <v>1672</v>
      </c>
      <c r="DM7">
        <v>-3.6045548692345615E-2</v>
      </c>
      <c r="DN7">
        <v>129000000</v>
      </c>
      <c r="DO7">
        <v>-5.149364098906517E-2</v>
      </c>
      <c r="DP7">
        <v>2201413500</v>
      </c>
      <c r="DQ7">
        <v>958315050</v>
      </c>
      <c r="DR7">
        <v>494</v>
      </c>
      <c r="DS7">
        <v>2.8215078489064984E-2</v>
      </c>
      <c r="DT7">
        <v>-0.59867690018073683</v>
      </c>
      <c r="DU7" s="27">
        <v>-0.22</v>
      </c>
      <c r="DV7">
        <v>0</v>
      </c>
      <c r="DW7">
        <v>-0.22</v>
      </c>
      <c r="DX7">
        <v>5.9659969088098919</v>
      </c>
      <c r="DY7">
        <v>0.42096647476409088</v>
      </c>
      <c r="DZ7">
        <v>5.1748130552203335</v>
      </c>
      <c r="EA7">
        <v>3478</v>
      </c>
      <c r="EB7">
        <v>5.0512860730878018</v>
      </c>
      <c r="EC7">
        <v>5</v>
      </c>
      <c r="ED7">
        <v>8.3613750000000001E-2</v>
      </c>
      <c r="EE7">
        <v>0.46204000000000001</v>
      </c>
      <c r="EF7" s="28">
        <v>1.5509999999999996E-2</v>
      </c>
      <c r="EG7">
        <v>1.5491999999999999E-2</v>
      </c>
      <c r="EH7">
        <v>24.180966474764091</v>
      </c>
      <c r="EI7" t="s">
        <v>180</v>
      </c>
      <c r="EJ7">
        <v>1</v>
      </c>
      <c r="EK7">
        <v>0</v>
      </c>
      <c r="EL7" s="29">
        <v>44946</v>
      </c>
      <c r="EM7" s="30">
        <v>1.6E-2</v>
      </c>
      <c r="EN7" s="30">
        <v>2.0499999999999998</v>
      </c>
      <c r="EO7" s="30">
        <v>-0.5</v>
      </c>
      <c r="EP7" s="30">
        <v>3.02</v>
      </c>
      <c r="EQ7" s="30">
        <v>1.8E-3</v>
      </c>
    </row>
    <row r="8" spans="1:147" ht="86.4" x14ac:dyDescent="0.25">
      <c r="B8" s="23"/>
      <c r="C8" s="23"/>
      <c r="D8" s="23" t="s">
        <v>1708</v>
      </c>
      <c r="E8" t="s">
        <v>649</v>
      </c>
      <c r="F8" t="s">
        <v>650</v>
      </c>
      <c r="G8">
        <v>5.92</v>
      </c>
      <c r="H8">
        <v>1.89E-2</v>
      </c>
      <c r="I8" t="s">
        <v>651</v>
      </c>
      <c r="J8">
        <v>2846296400</v>
      </c>
      <c r="K8">
        <v>242</v>
      </c>
      <c r="L8">
        <v>3.04</v>
      </c>
      <c r="M8" t="s">
        <v>578</v>
      </c>
      <c r="N8" t="s">
        <v>1674</v>
      </c>
      <c r="O8" t="s">
        <v>1675</v>
      </c>
      <c r="P8" t="s">
        <v>1676</v>
      </c>
      <c r="Q8">
        <v>25.12</v>
      </c>
      <c r="R8" t="s">
        <v>1677</v>
      </c>
      <c r="S8">
        <v>7518000</v>
      </c>
      <c r="T8" s="24">
        <v>0.88390000000000002</v>
      </c>
      <c r="U8" t="s">
        <v>1678</v>
      </c>
      <c r="V8">
        <v>362647690</v>
      </c>
      <c r="W8">
        <v>480793320</v>
      </c>
      <c r="X8">
        <v>1.52</v>
      </c>
      <c r="Y8">
        <v>1.71</v>
      </c>
      <c r="Z8">
        <v>0.28999999999999998</v>
      </c>
      <c r="AA8" t="s">
        <v>738</v>
      </c>
      <c r="AB8" t="s">
        <v>1679</v>
      </c>
      <c r="AC8" t="s">
        <v>504</v>
      </c>
      <c r="AD8" t="s">
        <v>1680</v>
      </c>
      <c r="AE8" t="s">
        <v>167</v>
      </c>
      <c r="AF8">
        <v>7303758</v>
      </c>
      <c r="AG8" t="s">
        <v>1681</v>
      </c>
      <c r="AH8">
        <v>1900.04</v>
      </c>
      <c r="AI8" t="s">
        <v>1682</v>
      </c>
      <c r="AJ8" t="s">
        <v>207</v>
      </c>
      <c r="AK8" t="s">
        <v>1683</v>
      </c>
      <c r="AL8" t="s">
        <v>167</v>
      </c>
      <c r="AM8" t="s">
        <v>1684</v>
      </c>
      <c r="AN8" t="s">
        <v>167</v>
      </c>
      <c r="AO8" t="s">
        <v>1685</v>
      </c>
      <c r="AP8" t="s">
        <v>167</v>
      </c>
      <c r="AQ8" t="s">
        <v>167</v>
      </c>
      <c r="AR8" t="s">
        <v>1686</v>
      </c>
      <c r="AS8" t="s">
        <v>167</v>
      </c>
      <c r="AT8" t="s">
        <v>1687</v>
      </c>
      <c r="AU8" t="s">
        <v>167</v>
      </c>
      <c r="AV8" t="s">
        <v>1688</v>
      </c>
      <c r="AW8" t="s">
        <v>1689</v>
      </c>
      <c r="AX8" t="s">
        <v>1690</v>
      </c>
      <c r="AY8" t="s">
        <v>1269</v>
      </c>
      <c r="AZ8" t="s">
        <v>1691</v>
      </c>
      <c r="BA8" t="s">
        <v>1692</v>
      </c>
      <c r="BB8" t="s">
        <v>1693</v>
      </c>
      <c r="BC8" t="s">
        <v>1694</v>
      </c>
      <c r="BD8" t="s">
        <v>1695</v>
      </c>
      <c r="BE8" t="s">
        <v>1696</v>
      </c>
      <c r="BF8" t="s">
        <v>1697</v>
      </c>
      <c r="BG8" t="s">
        <v>1698</v>
      </c>
      <c r="BH8" t="s">
        <v>1699</v>
      </c>
      <c r="BI8" t="s">
        <v>1700</v>
      </c>
      <c r="BJ8" t="s">
        <v>1701</v>
      </c>
      <c r="BK8" t="s">
        <v>1702</v>
      </c>
      <c r="BL8" t="s">
        <v>1703</v>
      </c>
      <c r="BM8" t="s">
        <v>1704</v>
      </c>
      <c r="BN8" t="s">
        <v>1705</v>
      </c>
      <c r="BO8">
        <v>1.76</v>
      </c>
      <c r="BP8">
        <v>0.95</v>
      </c>
      <c r="BQ8">
        <v>1.61</v>
      </c>
      <c r="BR8">
        <v>0.89</v>
      </c>
      <c r="BS8">
        <v>0.8</v>
      </c>
      <c r="BT8">
        <v>0.67</v>
      </c>
      <c r="BU8" t="s">
        <v>215</v>
      </c>
      <c r="BV8" t="s">
        <v>1534</v>
      </c>
      <c r="BW8">
        <v>8.19</v>
      </c>
      <c r="BX8">
        <v>11.29</v>
      </c>
      <c r="BY8">
        <v>9.69</v>
      </c>
      <c r="BZ8">
        <v>0.27</v>
      </c>
      <c r="CA8">
        <v>0.31</v>
      </c>
      <c r="CB8">
        <v>0.21</v>
      </c>
      <c r="CC8">
        <v>2.78</v>
      </c>
      <c r="CD8">
        <v>1.2</v>
      </c>
      <c r="CE8" t="s">
        <v>1706</v>
      </c>
      <c r="CF8" t="s">
        <v>1707</v>
      </c>
      <c r="CG8" s="25">
        <v>0.30105490196078433</v>
      </c>
      <c r="CH8" s="26">
        <v>0.34169595604573183</v>
      </c>
      <c r="CI8" s="25">
        <v>0.1551155149936676</v>
      </c>
      <c r="CJ8" s="25">
        <v>-0.17128203809261322</v>
      </c>
      <c r="CK8" s="25">
        <v>-4.9707662314176559E-2</v>
      </c>
      <c r="CL8" s="25">
        <v>0.13203385472297668</v>
      </c>
      <c r="CM8" s="25">
        <v>-1.7347307875752449E-2</v>
      </c>
      <c r="CN8" s="26">
        <v>0.12954171001911163</v>
      </c>
      <c r="CO8" s="26">
        <v>0.22997991740703583</v>
      </c>
      <c r="CP8" s="26">
        <v>2.1567926406860352</v>
      </c>
      <c r="CQ8" s="26">
        <v>-0.29936543107032776</v>
      </c>
      <c r="CR8" s="26">
        <v>-0.38093587756156921</v>
      </c>
      <c r="CS8">
        <v>1.0165344285714286</v>
      </c>
      <c r="CT8">
        <v>109465749.93015148</v>
      </c>
      <c r="CU8">
        <v>0</v>
      </c>
      <c r="CV8" s="25">
        <v>9.7624722868204124E-3</v>
      </c>
      <c r="CW8" s="26">
        <v>0.36720259189605714</v>
      </c>
      <c r="CX8">
        <v>0.06</v>
      </c>
      <c r="CY8">
        <v>305.82913561601345</v>
      </c>
      <c r="CZ8">
        <v>7841948.7246342767</v>
      </c>
      <c r="DA8">
        <v>9.7624722868204124E-3</v>
      </c>
      <c r="DB8">
        <v>107.03262651096037</v>
      </c>
      <c r="DC8">
        <v>22407152.642885104</v>
      </c>
      <c r="DD8">
        <v>9.2743486724793916E-3</v>
      </c>
      <c r="DE8">
        <v>57.57640859436286</v>
      </c>
      <c r="DF8">
        <v>41654150.693845294</v>
      </c>
      <c r="DG8">
        <v>8.5909756124019632E-3</v>
      </c>
      <c r="DH8">
        <v>38.057030498335131</v>
      </c>
      <c r="DI8">
        <v>63018484.852750599</v>
      </c>
      <c r="DJ8">
        <v>7.8099778294563301E-3</v>
      </c>
      <c r="DK8">
        <v>23.936741217501741</v>
      </c>
      <c r="DL8">
        <v>100193103.90699492</v>
      </c>
      <c r="DM8">
        <v>6.8337306007742885E-3</v>
      </c>
      <c r="DN8">
        <v>8232100</v>
      </c>
      <c r="DO8">
        <v>9.7624722868204124E-3</v>
      </c>
      <c r="DP8">
        <v>2398296400</v>
      </c>
      <c r="DQ8">
        <v>64589050</v>
      </c>
      <c r="DR8">
        <v>141</v>
      </c>
      <c r="DS8">
        <v>0.2912924296739639</v>
      </c>
      <c r="DT8">
        <v>-2.550663585032531E-2</v>
      </c>
      <c r="DU8" s="27">
        <v>0.6</v>
      </c>
      <c r="DV8">
        <v>0.6</v>
      </c>
      <c r="DW8">
        <v>1.2</v>
      </c>
      <c r="DX8">
        <v>4.4316546762589928</v>
      </c>
      <c r="DY8">
        <v>0.34778430656934445</v>
      </c>
      <c r="DZ8">
        <v>4.05084214672058</v>
      </c>
      <c r="EA8">
        <v>700</v>
      </c>
      <c r="EB8">
        <v>4.0436114472682423</v>
      </c>
      <c r="EC8">
        <v>4</v>
      </c>
      <c r="ED8">
        <v>0.13424853739648462</v>
      </c>
      <c r="EE8">
        <v>1.1397828904944021</v>
      </c>
      <c r="EF8" s="28">
        <v>4.5999999999999999E-3</v>
      </c>
      <c r="EG8">
        <v>4.7889999999999999E-3</v>
      </c>
      <c r="EH8">
        <v>23.117784306569344</v>
      </c>
      <c r="EI8" t="s">
        <v>180</v>
      </c>
      <c r="EJ8">
        <v>0</v>
      </c>
      <c r="EK8">
        <v>1</v>
      </c>
      <c r="EL8" s="29">
        <v>44946</v>
      </c>
      <c r="EM8" s="30">
        <v>2.7799999999999998E-2</v>
      </c>
      <c r="EN8" s="30">
        <v>-1.69</v>
      </c>
      <c r="EO8" s="30">
        <v>0.17</v>
      </c>
      <c r="EP8" s="30">
        <v>-0.34</v>
      </c>
      <c r="EQ8" s="30">
        <v>1.89E-2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Q9"/>
  <sheetViews>
    <sheetView workbookViewId="0">
      <selection activeCell="D3" sqref="D3"/>
    </sheetView>
  </sheetViews>
  <sheetFormatPr defaultRowHeight="14.4" x14ac:dyDescent="0.25"/>
  <cols>
    <col min="2" max="2" width="23.77734375" customWidth="1"/>
    <col min="3" max="3" width="29.33203125" customWidth="1"/>
    <col min="4" max="4" width="40" customWidth="1"/>
  </cols>
  <sheetData>
    <row r="1" spans="1:147" s="14" customFormat="1" x14ac:dyDescent="0.25">
      <c r="A1" s="15" t="s">
        <v>47</v>
      </c>
      <c r="B1" s="18" t="s">
        <v>117</v>
      </c>
      <c r="C1" s="19" t="s">
        <v>118</v>
      </c>
      <c r="D1" s="18" t="s">
        <v>119</v>
      </c>
      <c r="E1" t="s">
        <v>2</v>
      </c>
      <c r="F1" t="s">
        <v>3</v>
      </c>
      <c r="G1" t="s">
        <v>0</v>
      </c>
      <c r="H1" t="s">
        <v>90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121</v>
      </c>
      <c r="R1" t="s">
        <v>91</v>
      </c>
      <c r="S1" t="s">
        <v>122</v>
      </c>
      <c r="T1" t="s">
        <v>10</v>
      </c>
      <c r="U1" t="s">
        <v>92</v>
      </c>
      <c r="V1" t="s">
        <v>93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94</v>
      </c>
      <c r="AD1" t="s">
        <v>74</v>
      </c>
      <c r="AE1" t="s">
        <v>123</v>
      </c>
      <c r="AF1" t="s">
        <v>12</v>
      </c>
      <c r="AG1" t="s">
        <v>13</v>
      </c>
      <c r="AH1" t="s">
        <v>95</v>
      </c>
      <c r="AI1" t="s">
        <v>124</v>
      </c>
      <c r="AJ1" t="s">
        <v>96</v>
      </c>
      <c r="AK1" t="s">
        <v>14</v>
      </c>
      <c r="AL1" t="s">
        <v>97</v>
      </c>
      <c r="AM1" t="s">
        <v>48</v>
      </c>
      <c r="AN1" t="s">
        <v>98</v>
      </c>
      <c r="AO1" t="s">
        <v>99</v>
      </c>
      <c r="AP1" t="s">
        <v>100</v>
      </c>
      <c r="AQ1" t="s">
        <v>101</v>
      </c>
      <c r="AR1" t="s">
        <v>102</v>
      </c>
      <c r="AS1" t="s">
        <v>103</v>
      </c>
      <c r="AT1" t="s">
        <v>104</v>
      </c>
      <c r="AU1" t="s">
        <v>105</v>
      </c>
      <c r="AV1" t="s">
        <v>106</v>
      </c>
      <c r="AW1" t="s">
        <v>107</v>
      </c>
      <c r="AX1" t="s">
        <v>108</v>
      </c>
      <c r="AY1" t="s">
        <v>125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126</v>
      </c>
      <c r="BJ1" t="s">
        <v>109</v>
      </c>
      <c r="BK1" t="s">
        <v>57</v>
      </c>
      <c r="BL1" t="s">
        <v>110</v>
      </c>
      <c r="BM1" t="s">
        <v>111</v>
      </c>
      <c r="BN1" t="s">
        <v>112</v>
      </c>
      <c r="BO1" t="s">
        <v>113</v>
      </c>
      <c r="BP1" t="s">
        <v>59</v>
      </c>
      <c r="BQ1" t="s">
        <v>60</v>
      </c>
      <c r="BR1" t="s">
        <v>61</v>
      </c>
      <c r="BS1" t="s">
        <v>114</v>
      </c>
      <c r="BT1" t="s">
        <v>62</v>
      </c>
      <c r="BU1" t="s">
        <v>63</v>
      </c>
      <c r="BV1" t="s">
        <v>64</v>
      </c>
      <c r="BW1" t="s">
        <v>115</v>
      </c>
      <c r="BX1" t="s">
        <v>65</v>
      </c>
      <c r="BY1" t="s">
        <v>66</v>
      </c>
      <c r="BZ1" t="s">
        <v>116</v>
      </c>
      <c r="CA1" t="s">
        <v>67</v>
      </c>
      <c r="CB1" t="s">
        <v>68</v>
      </c>
      <c r="CC1" t="s">
        <v>127</v>
      </c>
      <c r="CD1" t="s">
        <v>128</v>
      </c>
      <c r="CE1" t="s">
        <v>129</v>
      </c>
      <c r="CF1" t="s">
        <v>130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136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87</v>
      </c>
      <c r="DN1" t="s">
        <v>88</v>
      </c>
      <c r="DO1" s="2" t="s">
        <v>89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4" customFormat="1" ht="71.55" customHeight="1" x14ac:dyDescent="0.25">
      <c r="A2" s="20"/>
      <c r="B2" s="21"/>
      <c r="C2" s="22">
        <v>3</v>
      </c>
      <c r="D2" s="22">
        <v>9</v>
      </c>
      <c r="T2" s="16"/>
      <c r="U2" s="16"/>
      <c r="V2" s="16"/>
      <c r="AB2" s="17"/>
    </row>
    <row r="3" spans="1:147" ht="151.19999999999999" x14ac:dyDescent="0.25">
      <c r="B3" s="23" t="s">
        <v>1709</v>
      </c>
      <c r="C3" s="23"/>
      <c r="D3" s="23" t="s">
        <v>1711</v>
      </c>
      <c r="E3" t="s">
        <v>170</v>
      </c>
      <c r="F3" t="s">
        <v>171</v>
      </c>
      <c r="G3">
        <v>16.190000000000001</v>
      </c>
      <c r="H3">
        <v>3.0599999999999999E-2</v>
      </c>
      <c r="I3" t="s">
        <v>1710</v>
      </c>
      <c r="J3">
        <v>770105910000</v>
      </c>
      <c r="K3">
        <v>6.1</v>
      </c>
      <c r="L3">
        <v>1.36</v>
      </c>
      <c r="M3" t="s">
        <v>172</v>
      </c>
      <c r="N3" t="s">
        <v>355</v>
      </c>
      <c r="O3" t="s">
        <v>356</v>
      </c>
      <c r="P3" t="s">
        <v>357</v>
      </c>
      <c r="Q3">
        <v>78.97</v>
      </c>
      <c r="R3" t="s">
        <v>358</v>
      </c>
      <c r="S3">
        <v>108768000000</v>
      </c>
      <c r="T3" s="24">
        <v>1.0589999999999999</v>
      </c>
      <c r="U3" t="s">
        <v>359</v>
      </c>
      <c r="V3">
        <v>1750185200</v>
      </c>
      <c r="W3">
        <v>47566764000</v>
      </c>
      <c r="X3">
        <v>1.64</v>
      </c>
      <c r="Y3">
        <v>0.36</v>
      </c>
      <c r="Z3">
        <v>34.950000000000003</v>
      </c>
      <c r="AA3" t="s">
        <v>360</v>
      </c>
      <c r="AB3" t="s">
        <v>361</v>
      </c>
      <c r="AC3" t="s">
        <v>362</v>
      </c>
      <c r="AD3" t="s">
        <v>363</v>
      </c>
      <c r="AE3" t="s">
        <v>364</v>
      </c>
      <c r="AF3">
        <v>2172000000</v>
      </c>
      <c r="AG3" t="s">
        <v>365</v>
      </c>
      <c r="AH3" t="s">
        <v>173</v>
      </c>
      <c r="AI3" t="s">
        <v>366</v>
      </c>
      <c r="AJ3" t="s">
        <v>367</v>
      </c>
      <c r="AK3" t="s">
        <v>368</v>
      </c>
      <c r="AL3" t="s">
        <v>174</v>
      </c>
      <c r="AM3" t="s">
        <v>369</v>
      </c>
      <c r="AN3" t="s">
        <v>167</v>
      </c>
      <c r="AO3" t="s">
        <v>370</v>
      </c>
      <c r="AP3" t="s">
        <v>371</v>
      </c>
      <c r="AQ3" t="s">
        <v>167</v>
      </c>
      <c r="AR3" t="s">
        <v>372</v>
      </c>
      <c r="AS3" t="s">
        <v>167</v>
      </c>
      <c r="AT3" t="s">
        <v>373</v>
      </c>
      <c r="AU3" t="s">
        <v>374</v>
      </c>
      <c r="AV3" t="s">
        <v>375</v>
      </c>
      <c r="AW3" t="s">
        <v>376</v>
      </c>
      <c r="AX3" t="s">
        <v>377</v>
      </c>
      <c r="AY3" t="s">
        <v>378</v>
      </c>
      <c r="AZ3" t="s">
        <v>379</v>
      </c>
      <c r="BA3" t="s">
        <v>380</v>
      </c>
      <c r="BB3" t="s">
        <v>167</v>
      </c>
      <c r="BC3" t="s">
        <v>167</v>
      </c>
      <c r="BD3" t="s">
        <v>381</v>
      </c>
      <c r="BE3" t="s">
        <v>382</v>
      </c>
      <c r="BF3" t="s">
        <v>383</v>
      </c>
      <c r="BG3" t="s">
        <v>167</v>
      </c>
      <c r="BH3" t="s">
        <v>167</v>
      </c>
      <c r="BI3" t="s">
        <v>384</v>
      </c>
      <c r="BJ3" t="s">
        <v>385</v>
      </c>
      <c r="BK3" t="s">
        <v>386</v>
      </c>
      <c r="BL3" t="s">
        <v>387</v>
      </c>
      <c r="BM3" t="s">
        <v>388</v>
      </c>
      <c r="BN3" t="s">
        <v>389</v>
      </c>
      <c r="BO3">
        <v>12.25</v>
      </c>
      <c r="BP3">
        <v>4.68</v>
      </c>
      <c r="BQ3">
        <v>11.22</v>
      </c>
      <c r="BR3">
        <v>15.36</v>
      </c>
      <c r="BS3" t="s">
        <v>167</v>
      </c>
      <c r="BT3" t="s">
        <v>167</v>
      </c>
      <c r="BU3" t="s">
        <v>167</v>
      </c>
      <c r="BV3" t="s">
        <v>175</v>
      </c>
      <c r="BW3">
        <v>54.91</v>
      </c>
      <c r="BX3">
        <v>37.32</v>
      </c>
      <c r="BY3">
        <v>44.52</v>
      </c>
      <c r="BZ3">
        <v>35.520000000000003</v>
      </c>
      <c r="CA3">
        <v>16.059999999999999</v>
      </c>
      <c r="CB3">
        <v>26.18</v>
      </c>
      <c r="CC3">
        <v>2.73</v>
      </c>
      <c r="CD3">
        <v>-0.06</v>
      </c>
      <c r="CE3" t="s">
        <v>186</v>
      </c>
      <c r="CF3" t="s">
        <v>245</v>
      </c>
      <c r="CG3" s="25">
        <v>0.70994310144289707</v>
      </c>
      <c r="CH3" s="26">
        <v>0.89055771990978094</v>
      </c>
      <c r="CI3" s="25">
        <v>0.58400112390518188</v>
      </c>
      <c r="CJ3" s="25">
        <v>-0.33373212814331055</v>
      </c>
      <c r="CK3" s="25">
        <v>2.4105224758386612E-2</v>
      </c>
      <c r="CL3" s="25" t="s">
        <v>167</v>
      </c>
      <c r="CM3" s="25" t="s">
        <v>167</v>
      </c>
      <c r="CN3" s="26">
        <v>1.8176461458206177</v>
      </c>
      <c r="CO3" s="26">
        <v>-0.59117043018341064</v>
      </c>
      <c r="CP3" s="26">
        <v>0.15889890491962433</v>
      </c>
      <c r="CQ3" s="26" t="s">
        <v>167</v>
      </c>
      <c r="CR3" s="26" t="s">
        <v>167</v>
      </c>
      <c r="CS3">
        <v>3.1290999183295343</v>
      </c>
      <c r="CT3">
        <v>152566837.31513083</v>
      </c>
      <c r="CU3">
        <v>0</v>
      </c>
      <c r="CV3" s="25">
        <v>9.1458073506752655E-2</v>
      </c>
      <c r="CW3" s="26">
        <v>0.46179154018561047</v>
      </c>
      <c r="CX3">
        <v>0.06</v>
      </c>
      <c r="CY3">
        <v>7.8363219380177496</v>
      </c>
      <c r="CZ3">
        <v>72406916725.466827</v>
      </c>
      <c r="DA3">
        <v>9.1458073506752655E-2</v>
      </c>
      <c r="DB3">
        <v>2.5576775870617485</v>
      </c>
      <c r="DC3">
        <v>221843407030.76328</v>
      </c>
      <c r="DD3">
        <v>8.6885169831415018E-2</v>
      </c>
      <c r="DE3">
        <v>1.2570073911075783</v>
      </c>
      <c r="DF3">
        <v>451392660070.23816</v>
      </c>
      <c r="DG3">
        <v>8.048310468594233E-2</v>
      </c>
      <c r="DH3">
        <v>0.75344881582206591</v>
      </c>
      <c r="DI3">
        <v>753075587995.87769</v>
      </c>
      <c r="DJ3">
        <v>7.3166458805402124E-2</v>
      </c>
      <c r="DK3">
        <v>0.38762874025183375</v>
      </c>
      <c r="DL3">
        <v>1463781838341.9412</v>
      </c>
      <c r="DM3">
        <v>6.4020651454726851E-2</v>
      </c>
      <c r="DN3">
        <v>70320000000</v>
      </c>
      <c r="DO3">
        <v>9.1458073506752655E-2</v>
      </c>
      <c r="DP3">
        <v>567403910000</v>
      </c>
      <c r="DQ3">
        <v>147215000000</v>
      </c>
      <c r="DR3">
        <v>3491</v>
      </c>
      <c r="DS3">
        <v>0.61848502793614446</v>
      </c>
      <c r="DT3">
        <v>0.42876617972417047</v>
      </c>
      <c r="DU3" s="27">
        <v>0.6</v>
      </c>
      <c r="DV3">
        <v>0.6</v>
      </c>
      <c r="DW3">
        <v>1.2</v>
      </c>
      <c r="DX3">
        <v>4.0219780219780219</v>
      </c>
      <c r="DY3">
        <v>0.73258559622195918</v>
      </c>
      <c r="DZ3">
        <v>4.005111771345538</v>
      </c>
      <c r="EA3">
        <v>174</v>
      </c>
      <c r="EB3">
        <v>4.0049310626470165</v>
      </c>
      <c r="EC3">
        <v>4</v>
      </c>
      <c r="ED3">
        <v>4.14154723663775E-3</v>
      </c>
      <c r="EE3">
        <v>1.7806550809300378E-2</v>
      </c>
      <c r="EF3" s="28">
        <v>2.3310000000000001E-2</v>
      </c>
      <c r="EG3">
        <v>2.3004E-2</v>
      </c>
      <c r="EH3">
        <v>50.232585596221959</v>
      </c>
      <c r="EI3" t="s">
        <v>180</v>
      </c>
      <c r="EJ3">
        <v>0</v>
      </c>
      <c r="EK3">
        <v>1</v>
      </c>
      <c r="EL3" s="29">
        <v>44946</v>
      </c>
      <c r="EM3" s="30">
        <v>-5.9999999999999995E-4</v>
      </c>
      <c r="EN3" s="30">
        <v>-1.78</v>
      </c>
      <c r="EO3" s="30">
        <v>2.13</v>
      </c>
      <c r="EP3" s="30">
        <v>-0.56999999999999995</v>
      </c>
      <c r="EQ3" s="30">
        <v>3.0599999999999999E-2</v>
      </c>
    </row>
    <row r="4" spans="1:147" ht="151.19999999999999" x14ac:dyDescent="0.25">
      <c r="B4" s="23"/>
      <c r="C4" s="23"/>
      <c r="D4" s="23" t="s">
        <v>1715</v>
      </c>
      <c r="E4" t="s">
        <v>306</v>
      </c>
      <c r="F4" t="s">
        <v>307</v>
      </c>
      <c r="G4">
        <v>10.56</v>
      </c>
      <c r="H4">
        <v>1.54E-2</v>
      </c>
      <c r="I4" t="s">
        <v>1712</v>
      </c>
      <c r="J4">
        <v>69334374000</v>
      </c>
      <c r="K4">
        <v>6.51</v>
      </c>
      <c r="L4">
        <v>2.62</v>
      </c>
      <c r="M4" t="s">
        <v>172</v>
      </c>
      <c r="N4" t="s">
        <v>319</v>
      </c>
      <c r="O4" t="s">
        <v>320</v>
      </c>
      <c r="P4" t="s">
        <v>321</v>
      </c>
      <c r="Q4">
        <v>126.36</v>
      </c>
      <c r="R4" t="s">
        <v>322</v>
      </c>
      <c r="S4">
        <v>8401924000</v>
      </c>
      <c r="T4" s="24">
        <v>2.044</v>
      </c>
      <c r="U4" t="s">
        <v>323</v>
      </c>
      <c r="V4">
        <v>6565755100</v>
      </c>
      <c r="W4">
        <v>6565755100</v>
      </c>
      <c r="X4">
        <v>2.6</v>
      </c>
      <c r="Y4">
        <v>0.57999999999999996</v>
      </c>
      <c r="Z4">
        <v>22.37</v>
      </c>
      <c r="AA4" t="s">
        <v>324</v>
      </c>
      <c r="AB4" t="s">
        <v>325</v>
      </c>
      <c r="AC4" t="s">
        <v>176</v>
      </c>
      <c r="AD4" t="s">
        <v>326</v>
      </c>
      <c r="AE4" t="s">
        <v>327</v>
      </c>
      <c r="AF4">
        <v>822856160</v>
      </c>
      <c r="AG4" t="s">
        <v>328</v>
      </c>
      <c r="AH4" t="s">
        <v>329</v>
      </c>
      <c r="AI4" t="s">
        <v>330</v>
      </c>
      <c r="AJ4" t="s">
        <v>331</v>
      </c>
      <c r="AK4" t="s">
        <v>332</v>
      </c>
      <c r="AL4" t="s">
        <v>333</v>
      </c>
      <c r="AM4" t="s">
        <v>334</v>
      </c>
      <c r="AN4" t="s">
        <v>167</v>
      </c>
      <c r="AO4" t="s">
        <v>335</v>
      </c>
      <c r="AP4" t="s">
        <v>336</v>
      </c>
      <c r="AQ4" t="s">
        <v>337</v>
      </c>
      <c r="AR4" t="s">
        <v>338</v>
      </c>
      <c r="AS4" t="s">
        <v>167</v>
      </c>
      <c r="AT4" t="s">
        <v>339</v>
      </c>
      <c r="AU4" t="s">
        <v>340</v>
      </c>
      <c r="AV4" t="s">
        <v>304</v>
      </c>
      <c r="AW4" t="s">
        <v>341</v>
      </c>
      <c r="AX4" t="s">
        <v>342</v>
      </c>
      <c r="AY4" t="s">
        <v>343</v>
      </c>
      <c r="AZ4" t="s">
        <v>344</v>
      </c>
      <c r="BA4" t="s">
        <v>345</v>
      </c>
      <c r="BB4" t="s">
        <v>346</v>
      </c>
      <c r="BC4" t="s">
        <v>347</v>
      </c>
      <c r="BD4" t="s">
        <v>212</v>
      </c>
      <c r="BE4" t="s">
        <v>348</v>
      </c>
      <c r="BF4" t="s">
        <v>349</v>
      </c>
      <c r="BG4" t="s">
        <v>260</v>
      </c>
      <c r="BH4" t="s">
        <v>350</v>
      </c>
      <c r="BI4" t="s">
        <v>351</v>
      </c>
      <c r="BJ4" t="s">
        <v>352</v>
      </c>
      <c r="BK4" t="s">
        <v>353</v>
      </c>
      <c r="BL4" t="s">
        <v>228</v>
      </c>
      <c r="BM4" t="s">
        <v>354</v>
      </c>
      <c r="BN4" t="s">
        <v>226</v>
      </c>
      <c r="BO4">
        <v>12.34</v>
      </c>
      <c r="BP4">
        <v>4.4800000000000004</v>
      </c>
      <c r="BQ4">
        <v>5.17</v>
      </c>
      <c r="BR4">
        <v>26.77</v>
      </c>
      <c r="BS4">
        <v>8.16</v>
      </c>
      <c r="BT4">
        <v>10.38</v>
      </c>
      <c r="BU4" t="s">
        <v>220</v>
      </c>
      <c r="BV4" t="s">
        <v>175</v>
      </c>
      <c r="BW4">
        <v>35.770000000000003</v>
      </c>
      <c r="BX4">
        <v>28.17</v>
      </c>
      <c r="BY4">
        <v>31.72</v>
      </c>
      <c r="BZ4">
        <v>23.87</v>
      </c>
      <c r="CA4">
        <v>7.34</v>
      </c>
      <c r="CB4">
        <v>10.32</v>
      </c>
      <c r="CC4">
        <v>2.82</v>
      </c>
      <c r="CD4">
        <v>4.24</v>
      </c>
      <c r="CE4" t="s">
        <v>1713</v>
      </c>
      <c r="CF4" t="s">
        <v>1714</v>
      </c>
      <c r="CG4" s="25">
        <v>1.4988787973692452</v>
      </c>
      <c r="CH4" s="26">
        <v>1.4175343680709533</v>
      </c>
      <c r="CI4" s="25">
        <v>0.64298921823501587</v>
      </c>
      <c r="CJ4" s="25">
        <v>7.7766679227352142E-2</v>
      </c>
      <c r="CK4" s="25">
        <v>8.8105417788028717E-2</v>
      </c>
      <c r="CL4" s="25">
        <v>0.58577048778533936</v>
      </c>
      <c r="CM4" s="25">
        <v>0.94039106369018555</v>
      </c>
      <c r="CN4" s="26">
        <v>2.744760274887085</v>
      </c>
      <c r="CO4" s="26">
        <v>-0.16343140602111816</v>
      </c>
      <c r="CP4" s="26">
        <v>-8.4289029240608215E-2</v>
      </c>
      <c r="CQ4" s="26">
        <v>1.6666666269302368</v>
      </c>
      <c r="CR4" s="26">
        <v>2.1747572422027588</v>
      </c>
      <c r="CS4">
        <v>2.7884324954755679</v>
      </c>
      <c r="CT4">
        <v>167082512.49250451</v>
      </c>
      <c r="CU4">
        <v>3.7878787878787876</v>
      </c>
      <c r="CV4" s="25">
        <v>0.4670045733451843</v>
      </c>
      <c r="CW4" s="26">
        <v>1.2676927417516708</v>
      </c>
      <c r="CX4">
        <v>0.06</v>
      </c>
      <c r="CY4">
        <v>12.290375635658069</v>
      </c>
      <c r="CZ4">
        <v>6923984792.8735447</v>
      </c>
      <c r="DA4">
        <v>0.4670045733451843</v>
      </c>
      <c r="DB4">
        <v>2.9617542799918755</v>
      </c>
      <c r="DC4">
        <v>28732422056.374454</v>
      </c>
      <c r="DD4">
        <v>0.44365434467792508</v>
      </c>
      <c r="DE4">
        <v>0.92735541461537896</v>
      </c>
      <c r="DF4">
        <v>91764573386.671371</v>
      </c>
      <c r="DG4">
        <v>0.41096402454376219</v>
      </c>
      <c r="DH4">
        <v>0.31438584424834709</v>
      </c>
      <c r="DI4">
        <v>270681315831.69211</v>
      </c>
      <c r="DJ4">
        <v>0.37360365867614748</v>
      </c>
      <c r="DK4">
        <v>3.8764180433788334E-2</v>
      </c>
      <c r="DL4">
        <v>2195283714184.3716</v>
      </c>
      <c r="DM4">
        <v>0.32690320134162898</v>
      </c>
      <c r="DN4">
        <v>5003000000</v>
      </c>
      <c r="DO4">
        <v>0.4670045733451843</v>
      </c>
      <c r="DP4">
        <v>85098374000</v>
      </c>
      <c r="DQ4">
        <v>-10319652000</v>
      </c>
      <c r="DR4">
        <v>2947</v>
      </c>
      <c r="DS4">
        <v>1.0318742240240608</v>
      </c>
      <c r="DT4">
        <v>0.14984162631928255</v>
      </c>
      <c r="DU4" s="27">
        <v>0.6</v>
      </c>
      <c r="DV4">
        <v>0.6</v>
      </c>
      <c r="DW4">
        <v>1.2</v>
      </c>
      <c r="DX4">
        <v>8.665094339622641</v>
      </c>
      <c r="DY4">
        <v>0.35095639943741075</v>
      </c>
      <c r="DZ4">
        <v>8.0804474166069582</v>
      </c>
      <c r="EA4">
        <v>71</v>
      </c>
      <c r="EB4">
        <v>8.0792869601707338</v>
      </c>
      <c r="EC4">
        <v>8</v>
      </c>
      <c r="ED4">
        <v>5.239305986298514E-2</v>
      </c>
      <c r="EE4">
        <v>0.4331565763090981</v>
      </c>
      <c r="EF4" s="28">
        <v>4.7710000000000002E-2</v>
      </c>
      <c r="EG4">
        <v>4.7556000000000001E-2</v>
      </c>
      <c r="EH4">
        <v>23.120956399437411</v>
      </c>
      <c r="EI4" t="s">
        <v>180</v>
      </c>
      <c r="EJ4">
        <v>0</v>
      </c>
      <c r="EK4">
        <v>1</v>
      </c>
      <c r="EL4" s="29">
        <v>44946</v>
      </c>
      <c r="EM4" s="30">
        <v>1.9E-3</v>
      </c>
      <c r="EN4" s="30">
        <v>-0.97</v>
      </c>
      <c r="EO4" s="30">
        <v>1.37</v>
      </c>
      <c r="EP4" s="30">
        <v>0.68</v>
      </c>
      <c r="EQ4" s="30">
        <v>1.54E-2</v>
      </c>
    </row>
    <row r="5" spans="1:147" ht="140.4" x14ac:dyDescent="0.25">
      <c r="B5" s="23"/>
      <c r="C5" s="23"/>
      <c r="D5" s="23" t="s">
        <v>1717</v>
      </c>
      <c r="E5" t="s">
        <v>308</v>
      </c>
      <c r="F5" t="s">
        <v>309</v>
      </c>
      <c r="G5">
        <v>2.34</v>
      </c>
      <c r="H5">
        <v>3.0800000000000001E-2</v>
      </c>
      <c r="I5" t="s">
        <v>562</v>
      </c>
      <c r="J5">
        <v>15913160000</v>
      </c>
      <c r="K5">
        <v>6.35</v>
      </c>
      <c r="L5">
        <v>0.93100000000000005</v>
      </c>
      <c r="M5" t="s">
        <v>172</v>
      </c>
      <c r="N5" t="s">
        <v>391</v>
      </c>
      <c r="O5" t="s">
        <v>392</v>
      </c>
      <c r="P5" t="s">
        <v>393</v>
      </c>
      <c r="Q5">
        <v>101.16</v>
      </c>
      <c r="R5" t="s">
        <v>394</v>
      </c>
      <c r="S5">
        <v>2643762200</v>
      </c>
      <c r="T5" s="24">
        <v>4.2610000000000001</v>
      </c>
      <c r="U5" t="s">
        <v>395</v>
      </c>
      <c r="V5">
        <v>6366152400</v>
      </c>
      <c r="W5">
        <v>6800495800</v>
      </c>
      <c r="X5">
        <v>1.81</v>
      </c>
      <c r="Y5">
        <v>0.24</v>
      </c>
      <c r="Z5">
        <v>39.19</v>
      </c>
      <c r="AA5" t="s">
        <v>396</v>
      </c>
      <c r="AB5" t="s">
        <v>397</v>
      </c>
      <c r="AC5" t="s">
        <v>167</v>
      </c>
      <c r="AD5" t="s">
        <v>398</v>
      </c>
      <c r="AE5" t="s">
        <v>167</v>
      </c>
      <c r="AF5">
        <v>316048580</v>
      </c>
      <c r="AG5" t="s">
        <v>248</v>
      </c>
      <c r="AH5" t="s">
        <v>399</v>
      </c>
      <c r="AI5" t="s">
        <v>400</v>
      </c>
      <c r="AJ5" t="s">
        <v>401</v>
      </c>
      <c r="AK5" t="s">
        <v>402</v>
      </c>
      <c r="AL5" t="s">
        <v>167</v>
      </c>
      <c r="AM5" t="s">
        <v>403</v>
      </c>
      <c r="AN5" t="s">
        <v>167</v>
      </c>
      <c r="AO5">
        <v>0</v>
      </c>
      <c r="AP5" t="s">
        <v>167</v>
      </c>
      <c r="AQ5" t="s">
        <v>167</v>
      </c>
      <c r="AR5" t="s">
        <v>404</v>
      </c>
      <c r="AS5" t="s">
        <v>405</v>
      </c>
      <c r="AT5" t="s">
        <v>406</v>
      </c>
      <c r="AU5" t="s">
        <v>407</v>
      </c>
      <c r="AV5" t="s">
        <v>408</v>
      </c>
      <c r="AW5" t="s">
        <v>409</v>
      </c>
      <c r="AX5" t="s">
        <v>410</v>
      </c>
      <c r="AY5" t="s">
        <v>411</v>
      </c>
      <c r="AZ5" t="s">
        <v>412</v>
      </c>
      <c r="BA5" t="s">
        <v>413</v>
      </c>
      <c r="BB5" t="s">
        <v>414</v>
      </c>
      <c r="BC5" t="s">
        <v>415</v>
      </c>
      <c r="BD5" t="s">
        <v>416</v>
      </c>
      <c r="BE5" t="s">
        <v>417</v>
      </c>
      <c r="BF5" t="s">
        <v>418</v>
      </c>
      <c r="BG5" t="s">
        <v>419</v>
      </c>
      <c r="BH5" t="s">
        <v>420</v>
      </c>
      <c r="BI5" t="s">
        <v>421</v>
      </c>
      <c r="BJ5" t="s">
        <v>230</v>
      </c>
      <c r="BK5" t="s">
        <v>422</v>
      </c>
      <c r="BL5" t="s">
        <v>423</v>
      </c>
      <c r="BM5" t="s">
        <v>424</v>
      </c>
      <c r="BN5" t="s">
        <v>425</v>
      </c>
      <c r="BO5">
        <v>3.83</v>
      </c>
      <c r="BP5">
        <v>-8.4700000000000006</v>
      </c>
      <c r="BQ5">
        <v>5.14</v>
      </c>
      <c r="BR5">
        <v>2.9</v>
      </c>
      <c r="BS5">
        <v>-17.96</v>
      </c>
      <c r="BT5">
        <v>7.02</v>
      </c>
      <c r="BU5" t="s">
        <v>215</v>
      </c>
      <c r="BV5" t="s">
        <v>175</v>
      </c>
      <c r="BW5">
        <v>64.77</v>
      </c>
      <c r="BX5">
        <v>26.93</v>
      </c>
      <c r="BY5">
        <v>47.49</v>
      </c>
      <c r="BZ5">
        <v>37.81</v>
      </c>
      <c r="CA5">
        <v>-64.099999999999994</v>
      </c>
      <c r="CB5">
        <v>17.75</v>
      </c>
      <c r="CC5">
        <v>5.41</v>
      </c>
      <c r="CD5">
        <v>-4.88</v>
      </c>
      <c r="CE5" t="s">
        <v>235</v>
      </c>
      <c r="CF5" t="s">
        <v>1716</v>
      </c>
      <c r="CG5" s="25">
        <v>0.99256717618664558</v>
      </c>
      <c r="CH5" s="26">
        <v>4.1746844221105537</v>
      </c>
      <c r="CI5" s="25">
        <v>0.16336877644062042</v>
      </c>
      <c r="CJ5" s="25">
        <v>-0.31729820370674133</v>
      </c>
      <c r="CK5" s="25">
        <v>0.26960885524749756</v>
      </c>
      <c r="CL5" s="25">
        <v>2.1391990184783936</v>
      </c>
      <c r="CM5" s="25">
        <v>5.2674899101257324</v>
      </c>
      <c r="CN5" s="26">
        <v>1.1374247074127197</v>
      </c>
      <c r="CO5" s="26">
        <v>-3.4638221263885498</v>
      </c>
      <c r="CP5" s="26">
        <v>0.79367721080780029</v>
      </c>
      <c r="CQ5" s="26">
        <v>0.63760215044021606</v>
      </c>
      <c r="CR5" s="26">
        <v>3.0276243686676025</v>
      </c>
      <c r="CS5">
        <v>3.300800663762705</v>
      </c>
      <c r="CT5">
        <v>719699561.64383566</v>
      </c>
      <c r="CU5">
        <v>0</v>
      </c>
      <c r="CV5" s="25">
        <v>1.5044736713171005</v>
      </c>
      <c r="CW5" s="26">
        <v>0.42650126218795775</v>
      </c>
      <c r="CX5">
        <v>0.06</v>
      </c>
      <c r="CY5">
        <v>14.606114434358645</v>
      </c>
      <c r="CZ5">
        <v>862389518.89692616</v>
      </c>
      <c r="DA5">
        <v>1.5044736713171005</v>
      </c>
      <c r="DB5">
        <v>1.7624863775108397</v>
      </c>
      <c r="DC5">
        <v>7146812685.0373516</v>
      </c>
      <c r="DD5">
        <v>1.4292499877512455</v>
      </c>
      <c r="DE5">
        <v>0.17055490740151993</v>
      </c>
      <c r="DF5">
        <v>73853987504.130569</v>
      </c>
      <c r="DG5">
        <v>1.3239368307590484</v>
      </c>
      <c r="DH5">
        <v>1.1888951939934127E-2</v>
      </c>
      <c r="DI5">
        <v>1059484474631.478</v>
      </c>
      <c r="DJ5">
        <v>1.2035789370536805</v>
      </c>
      <c r="DK5">
        <v>3.022162295190832E-5</v>
      </c>
      <c r="DL5">
        <v>416792970385616.75</v>
      </c>
      <c r="DM5">
        <v>1.0531315699219703</v>
      </c>
      <c r="DN5">
        <v>365000000</v>
      </c>
      <c r="DO5">
        <v>1.5044736713171005</v>
      </c>
      <c r="DP5">
        <v>12596160000</v>
      </c>
      <c r="DQ5">
        <v>-513416900</v>
      </c>
      <c r="DR5">
        <v>3367</v>
      </c>
      <c r="DS5">
        <v>-0.51190649513045494</v>
      </c>
      <c r="DT5">
        <v>3.7481831599225961</v>
      </c>
      <c r="DU5" s="27">
        <v>0.6</v>
      </c>
      <c r="DV5">
        <v>0.6</v>
      </c>
      <c r="DW5">
        <v>1.2</v>
      </c>
      <c r="DX5">
        <v>4.9020332717190387</v>
      </c>
      <c r="DY5">
        <v>0.65762937850808667</v>
      </c>
      <c r="DZ5">
        <v>4.1602276094490689</v>
      </c>
      <c r="EA5">
        <v>63</v>
      </c>
      <c r="EB5">
        <v>4.1581767481334877</v>
      </c>
      <c r="EC5">
        <v>4</v>
      </c>
      <c r="ED5">
        <v>7.8229590260168971E-2</v>
      </c>
      <c r="EE5">
        <v>0.44040906546843245</v>
      </c>
      <c r="EF5" s="28">
        <v>5.6399999999999999E-2</v>
      </c>
      <c r="EG5">
        <v>5.6708000000000001E-2</v>
      </c>
      <c r="EH5">
        <v>48.177629378508087</v>
      </c>
      <c r="EI5">
        <v>-1</v>
      </c>
      <c r="EJ5">
        <v>0</v>
      </c>
      <c r="EK5">
        <v>1</v>
      </c>
      <c r="EL5" s="29">
        <v>44946</v>
      </c>
      <c r="EM5" s="30">
        <v>8.9999999999999993E-3</v>
      </c>
      <c r="EN5" s="30">
        <v>0</v>
      </c>
      <c r="EO5" s="30">
        <v>1.79</v>
      </c>
      <c r="EP5" s="30">
        <v>-0.44</v>
      </c>
      <c r="EQ5" s="30">
        <v>3.0800000000000001E-2</v>
      </c>
    </row>
    <row r="6" spans="1:147" ht="183.6" x14ac:dyDescent="0.25">
      <c r="B6" s="23"/>
      <c r="C6" s="23"/>
      <c r="D6" s="23" t="s">
        <v>1720</v>
      </c>
      <c r="E6" t="s">
        <v>311</v>
      </c>
      <c r="F6" t="s">
        <v>312</v>
      </c>
      <c r="G6">
        <v>22.84</v>
      </c>
      <c r="H6">
        <v>9.2999999999999992E-3</v>
      </c>
      <c r="I6" t="s">
        <v>1718</v>
      </c>
      <c r="J6">
        <v>9682363100</v>
      </c>
      <c r="K6">
        <v>11.49</v>
      </c>
      <c r="L6">
        <v>1.94</v>
      </c>
      <c r="M6" t="s">
        <v>172</v>
      </c>
      <c r="N6" t="s">
        <v>426</v>
      </c>
      <c r="O6" t="s">
        <v>427</v>
      </c>
      <c r="P6" t="s">
        <v>428</v>
      </c>
      <c r="Q6">
        <v>40.36</v>
      </c>
      <c r="R6" t="s">
        <v>429</v>
      </c>
      <c r="S6">
        <v>722310910</v>
      </c>
      <c r="T6" s="24">
        <v>-0.20449999999999999</v>
      </c>
      <c r="U6" t="s">
        <v>178</v>
      </c>
      <c r="V6">
        <v>376127960</v>
      </c>
      <c r="W6">
        <v>423921330</v>
      </c>
      <c r="X6">
        <v>1.42</v>
      </c>
      <c r="Y6">
        <v>0.21</v>
      </c>
      <c r="Z6">
        <v>52.01</v>
      </c>
      <c r="AA6" t="s">
        <v>430</v>
      </c>
      <c r="AB6" t="s">
        <v>431</v>
      </c>
      <c r="AC6" t="s">
        <v>432</v>
      </c>
      <c r="AD6" t="s">
        <v>227</v>
      </c>
      <c r="AE6" t="s">
        <v>167</v>
      </c>
      <c r="AF6">
        <v>-117440897</v>
      </c>
      <c r="AG6" t="s">
        <v>433</v>
      </c>
      <c r="AH6" t="s">
        <v>434</v>
      </c>
      <c r="AI6" t="s">
        <v>435</v>
      </c>
      <c r="AJ6" t="s">
        <v>436</v>
      </c>
      <c r="AK6" t="s">
        <v>437</v>
      </c>
      <c r="AL6" t="s">
        <v>438</v>
      </c>
      <c r="AM6" t="s">
        <v>439</v>
      </c>
      <c r="AN6" t="s">
        <v>167</v>
      </c>
      <c r="AO6" t="s">
        <v>440</v>
      </c>
      <c r="AP6" t="s">
        <v>441</v>
      </c>
      <c r="AQ6" t="s">
        <v>167</v>
      </c>
      <c r="AR6" t="s">
        <v>442</v>
      </c>
      <c r="AS6" t="s">
        <v>167</v>
      </c>
      <c r="AT6" t="s">
        <v>443</v>
      </c>
      <c r="AU6" t="s">
        <v>444</v>
      </c>
      <c r="AV6" t="s">
        <v>445</v>
      </c>
      <c r="AW6" t="s">
        <v>251</v>
      </c>
      <c r="AX6" t="s">
        <v>446</v>
      </c>
      <c r="AY6" t="s">
        <v>447</v>
      </c>
      <c r="AZ6" t="s">
        <v>448</v>
      </c>
      <c r="BA6" t="s">
        <v>449</v>
      </c>
      <c r="BB6" t="s">
        <v>450</v>
      </c>
      <c r="BC6" t="s">
        <v>451</v>
      </c>
      <c r="BD6" t="s">
        <v>452</v>
      </c>
      <c r="BE6" t="s">
        <v>453</v>
      </c>
      <c r="BF6" t="s">
        <v>398</v>
      </c>
      <c r="BG6" t="s">
        <v>454</v>
      </c>
      <c r="BH6" t="s">
        <v>455</v>
      </c>
      <c r="BI6" t="s">
        <v>190</v>
      </c>
      <c r="BJ6" t="s">
        <v>456</v>
      </c>
      <c r="BK6" t="s">
        <v>291</v>
      </c>
      <c r="BL6" t="s">
        <v>239</v>
      </c>
      <c r="BM6" t="s">
        <v>457</v>
      </c>
      <c r="BN6" t="s">
        <v>458</v>
      </c>
      <c r="BO6">
        <v>19.399999999999999</v>
      </c>
      <c r="BP6">
        <v>11.03</v>
      </c>
      <c r="BQ6">
        <v>12.5</v>
      </c>
      <c r="BR6">
        <v>31.03</v>
      </c>
      <c r="BS6">
        <v>13.75</v>
      </c>
      <c r="BT6">
        <v>17.73</v>
      </c>
      <c r="BU6" t="s">
        <v>459</v>
      </c>
      <c r="BV6" t="s">
        <v>175</v>
      </c>
      <c r="BW6">
        <v>53.71</v>
      </c>
      <c r="BX6">
        <v>42.59</v>
      </c>
      <c r="BY6">
        <v>47.54</v>
      </c>
      <c r="BZ6">
        <v>48.24</v>
      </c>
      <c r="CA6">
        <v>28.51</v>
      </c>
      <c r="CB6">
        <v>34</v>
      </c>
      <c r="CC6">
        <v>2.88</v>
      </c>
      <c r="CD6">
        <v>-2.06</v>
      </c>
      <c r="CE6" t="s">
        <v>1719</v>
      </c>
      <c r="CF6" t="s">
        <v>211</v>
      </c>
      <c r="CG6" s="25">
        <v>0.20827031802120149</v>
      </c>
      <c r="CH6" s="26">
        <v>1.3299125961538434</v>
      </c>
      <c r="CI6" s="25">
        <v>0.23910981416702271</v>
      </c>
      <c r="CJ6" s="25">
        <v>-8.0139376223087311E-2</v>
      </c>
      <c r="CK6" s="25">
        <v>0.40686273574829102</v>
      </c>
      <c r="CL6" s="25">
        <v>0.60629922151565552</v>
      </c>
      <c r="CM6" s="25">
        <v>0.11038251221179962</v>
      </c>
      <c r="CN6" s="26">
        <v>1.8635097742080688</v>
      </c>
      <c r="CO6" s="26">
        <v>-0.14928910136222839</v>
      </c>
      <c r="CP6" s="26">
        <v>0.25970149040222168</v>
      </c>
      <c r="CQ6" s="26">
        <v>0.26893940567970276</v>
      </c>
      <c r="CR6" s="26">
        <v>0.30049261450767517</v>
      </c>
      <c r="CS6">
        <v>3.699794841421475</v>
      </c>
      <c r="CT6">
        <v>71210051.556420237</v>
      </c>
      <c r="CU6">
        <v>2.4080560420315238</v>
      </c>
      <c r="CV6" s="25">
        <v>0.2565029814839363</v>
      </c>
      <c r="CW6" s="26">
        <v>0.50867083668708801</v>
      </c>
      <c r="CX6">
        <v>0.06</v>
      </c>
      <c r="CY6">
        <v>3.902410132871426</v>
      </c>
      <c r="CZ6">
        <v>1218570816.0051758</v>
      </c>
      <c r="DA6">
        <v>0.2565029814839363</v>
      </c>
      <c r="DB6">
        <v>1.1106473566495982</v>
      </c>
      <c r="DC6">
        <v>4281613845.7711067</v>
      </c>
      <c r="DD6">
        <v>0.24367783240973948</v>
      </c>
      <c r="DE6">
        <v>0.44973723924499492</v>
      </c>
      <c r="DF6">
        <v>10573647643.640001</v>
      </c>
      <c r="DG6">
        <v>0.22572262370586393</v>
      </c>
      <c r="DH6">
        <v>0.21350932330971459</v>
      </c>
      <c r="DI6">
        <v>22272390855.278557</v>
      </c>
      <c r="DJ6">
        <v>0.20520238518714906</v>
      </c>
      <c r="DK6">
        <v>6.270793863368633E-2</v>
      </c>
      <c r="DL6">
        <v>75833510136.234131</v>
      </c>
      <c r="DM6">
        <v>0.17955208703875539</v>
      </c>
      <c r="DN6">
        <v>1027999999.9999999</v>
      </c>
      <c r="DO6">
        <v>0.2565029814839363</v>
      </c>
      <c r="DP6">
        <v>4755363100</v>
      </c>
      <c r="DQ6">
        <v>2710405500</v>
      </c>
      <c r="DR6">
        <v>4014</v>
      </c>
      <c r="DS6">
        <v>-4.8232663462734804E-2</v>
      </c>
      <c r="DT6">
        <v>0.82124175946675537</v>
      </c>
      <c r="DU6" s="27">
        <v>0.6</v>
      </c>
      <c r="DV6">
        <v>-0.22</v>
      </c>
      <c r="DW6">
        <v>0.38</v>
      </c>
      <c r="DX6">
        <v>4.7152777777777777</v>
      </c>
      <c r="DY6">
        <v>0.41374416666666636</v>
      </c>
      <c r="DZ6">
        <v>4.0956642303240738</v>
      </c>
      <c r="EA6">
        <v>1279</v>
      </c>
      <c r="EB6">
        <v>4.070805524394677</v>
      </c>
      <c r="EC6">
        <v>4</v>
      </c>
      <c r="ED6">
        <v>3.7859147120528236E-2</v>
      </c>
      <c r="EE6">
        <v>0.28307138968449641</v>
      </c>
      <c r="EF6" s="28">
        <v>3.771E-2</v>
      </c>
      <c r="EG6">
        <v>3.7616999999999998E-2</v>
      </c>
      <c r="EH6">
        <v>28.133744166666666</v>
      </c>
      <c r="EI6">
        <v>-1</v>
      </c>
      <c r="EJ6">
        <v>0</v>
      </c>
      <c r="EK6">
        <v>1</v>
      </c>
      <c r="EL6" s="29">
        <v>44946</v>
      </c>
      <c r="EM6" s="30">
        <v>7.7000000000000002E-3</v>
      </c>
      <c r="EN6" s="30">
        <v>0.57999999999999996</v>
      </c>
      <c r="EO6" s="30">
        <v>0.57999999999999996</v>
      </c>
      <c r="EP6" s="30">
        <v>0</v>
      </c>
      <c r="EQ6" s="30">
        <v>9.2999999999999992E-3</v>
      </c>
    </row>
    <row r="7" spans="1:147" ht="151.19999999999999" x14ac:dyDescent="0.25">
      <c r="B7" s="23"/>
      <c r="C7" s="23"/>
      <c r="D7" s="23" t="s">
        <v>1723</v>
      </c>
      <c r="E7" t="s">
        <v>313</v>
      </c>
      <c r="F7" t="s">
        <v>314</v>
      </c>
      <c r="G7">
        <v>9.0399999999999991</v>
      </c>
      <c r="H7">
        <v>2.1499999999999998E-2</v>
      </c>
      <c r="I7" t="s">
        <v>1721</v>
      </c>
      <c r="J7">
        <v>8746224000</v>
      </c>
      <c r="K7">
        <v>16.37</v>
      </c>
      <c r="L7">
        <v>1.72</v>
      </c>
      <c r="M7" t="s">
        <v>172</v>
      </c>
      <c r="N7" t="s">
        <v>460</v>
      </c>
      <c r="O7" t="s">
        <v>461</v>
      </c>
      <c r="P7" t="s">
        <v>462</v>
      </c>
      <c r="Q7">
        <v>31.98</v>
      </c>
      <c r="R7" t="s">
        <v>463</v>
      </c>
      <c r="S7">
        <v>459342530</v>
      </c>
      <c r="T7" s="24">
        <v>0.99460000000000004</v>
      </c>
      <c r="U7" t="s">
        <v>464</v>
      </c>
      <c r="V7">
        <v>967502660</v>
      </c>
      <c r="W7">
        <v>967502660</v>
      </c>
      <c r="X7">
        <v>2.2000000000000002</v>
      </c>
      <c r="Y7">
        <v>0.16</v>
      </c>
      <c r="Z7">
        <v>24.13</v>
      </c>
      <c r="AA7" t="s">
        <v>465</v>
      </c>
      <c r="AB7" t="s">
        <v>466</v>
      </c>
      <c r="AC7" t="s">
        <v>467</v>
      </c>
      <c r="AD7" t="s">
        <v>271</v>
      </c>
      <c r="AE7" t="s">
        <v>468</v>
      </c>
      <c r="AF7">
        <v>67856458</v>
      </c>
      <c r="AG7" t="s">
        <v>248</v>
      </c>
      <c r="AH7" t="s">
        <v>469</v>
      </c>
      <c r="AI7" t="s">
        <v>470</v>
      </c>
      <c r="AJ7" t="s">
        <v>471</v>
      </c>
      <c r="AK7" t="s">
        <v>472</v>
      </c>
      <c r="AL7" t="s">
        <v>167</v>
      </c>
      <c r="AM7" t="s">
        <v>473</v>
      </c>
      <c r="AN7" t="s">
        <v>167</v>
      </c>
      <c r="AO7" t="s">
        <v>474</v>
      </c>
      <c r="AP7" t="s">
        <v>475</v>
      </c>
      <c r="AQ7" t="s">
        <v>476</v>
      </c>
      <c r="AR7" t="s">
        <v>477</v>
      </c>
      <c r="AS7" t="s">
        <v>167</v>
      </c>
      <c r="AT7" t="s">
        <v>478</v>
      </c>
      <c r="AU7" t="s">
        <v>479</v>
      </c>
      <c r="AV7" t="s">
        <v>243</v>
      </c>
      <c r="AW7" t="s">
        <v>480</v>
      </c>
      <c r="AX7" t="s">
        <v>481</v>
      </c>
      <c r="AY7" t="s">
        <v>482</v>
      </c>
      <c r="AZ7" t="s">
        <v>483</v>
      </c>
      <c r="BA7" t="s">
        <v>484</v>
      </c>
      <c r="BB7" t="s">
        <v>485</v>
      </c>
      <c r="BC7" t="s">
        <v>283</v>
      </c>
      <c r="BD7" t="s">
        <v>224</v>
      </c>
      <c r="BE7" t="s">
        <v>486</v>
      </c>
      <c r="BF7" t="s">
        <v>294</v>
      </c>
      <c r="BG7" t="s">
        <v>487</v>
      </c>
      <c r="BH7" t="s">
        <v>488</v>
      </c>
      <c r="BI7" t="s">
        <v>262</v>
      </c>
      <c r="BJ7" t="s">
        <v>489</v>
      </c>
      <c r="BK7" t="s">
        <v>490</v>
      </c>
      <c r="BL7" t="s">
        <v>491</v>
      </c>
      <c r="BM7" t="s">
        <v>213</v>
      </c>
      <c r="BN7" t="s">
        <v>270</v>
      </c>
      <c r="BO7">
        <v>4.9000000000000004</v>
      </c>
      <c r="BP7">
        <v>2.72</v>
      </c>
      <c r="BQ7">
        <v>9.26</v>
      </c>
      <c r="BR7">
        <v>6.73</v>
      </c>
      <c r="BS7">
        <v>2.81</v>
      </c>
      <c r="BT7">
        <v>13.56</v>
      </c>
      <c r="BU7" t="s">
        <v>269</v>
      </c>
      <c r="BV7" t="s">
        <v>175</v>
      </c>
      <c r="BW7">
        <v>38.11</v>
      </c>
      <c r="BX7">
        <v>27.43</v>
      </c>
      <c r="BY7">
        <v>41.83</v>
      </c>
      <c r="BZ7">
        <v>29.74</v>
      </c>
      <c r="CA7">
        <v>6.83</v>
      </c>
      <c r="CB7">
        <v>28.46</v>
      </c>
      <c r="CC7">
        <v>3.31</v>
      </c>
      <c r="CD7">
        <v>-8.32</v>
      </c>
      <c r="CE7" t="s">
        <v>1722</v>
      </c>
      <c r="CF7" t="s">
        <v>213</v>
      </c>
      <c r="CG7" s="25">
        <v>0.39177632093933462</v>
      </c>
      <c r="CH7" s="26">
        <v>0.53020540983606634</v>
      </c>
      <c r="CI7" s="25">
        <v>0.37265792489051819</v>
      </c>
      <c r="CJ7" s="25">
        <v>-0.23635406792163849</v>
      </c>
      <c r="CK7" s="25">
        <v>-0.1911701112985611</v>
      </c>
      <c r="CL7" s="25">
        <v>0.22531509399414063</v>
      </c>
      <c r="CM7" s="25">
        <v>0.52198231220245361</v>
      </c>
      <c r="CN7" s="26">
        <v>1.440000057220459</v>
      </c>
      <c r="CO7" s="26">
        <v>-0.77558350563049316</v>
      </c>
      <c r="CP7" s="26">
        <v>-0.17967599630355835</v>
      </c>
      <c r="CQ7" s="26">
        <v>0.38854804635047913</v>
      </c>
      <c r="CR7" s="26">
        <v>0.2734375</v>
      </c>
      <c r="CS7">
        <v>4.4217512639029319</v>
      </c>
      <c r="CT7">
        <v>144894796.72131148</v>
      </c>
      <c r="CU7">
        <v>0.55309734513274345</v>
      </c>
      <c r="CV7" s="25">
        <v>0.13848623037338256</v>
      </c>
      <c r="CW7" s="26">
        <v>0.22934522032737731</v>
      </c>
      <c r="CX7">
        <v>0.06</v>
      </c>
      <c r="CY7">
        <v>29.834316756323457</v>
      </c>
      <c r="CZ7">
        <v>327583302.13573742</v>
      </c>
      <c r="DA7">
        <v>0.13848623037338256</v>
      </c>
      <c r="DB7">
        <v>9.3595335291929569</v>
      </c>
      <c r="DC7">
        <v>1044199902.6465065</v>
      </c>
      <c r="DD7">
        <v>0.13156191885471344</v>
      </c>
      <c r="DE7">
        <v>4.3583819892468085</v>
      </c>
      <c r="DF7">
        <v>2242397298.8400116</v>
      </c>
      <c r="DG7">
        <v>0.12186788272857665</v>
      </c>
      <c r="DH7">
        <v>2.4548777174292788</v>
      </c>
      <c r="DI7">
        <v>3981144938.7525558</v>
      </c>
      <c r="DJ7">
        <v>0.11078898429870605</v>
      </c>
      <c r="DK7">
        <v>1.0966254130645019</v>
      </c>
      <c r="DL7">
        <v>8912089655.745697</v>
      </c>
      <c r="DM7">
        <v>9.6940361261367791E-2</v>
      </c>
      <c r="DN7">
        <v>305000000</v>
      </c>
      <c r="DO7">
        <v>0.13848623037338256</v>
      </c>
      <c r="DP7">
        <v>9773224000</v>
      </c>
      <c r="DQ7">
        <v>471225300</v>
      </c>
      <c r="DR7">
        <v>419</v>
      </c>
      <c r="DS7">
        <v>0.25329009056595209</v>
      </c>
      <c r="DT7">
        <v>0.30086018950868904</v>
      </c>
      <c r="DU7" s="27">
        <v>0.6</v>
      </c>
      <c r="DV7">
        <v>0.6</v>
      </c>
      <c r="DW7">
        <v>1.2</v>
      </c>
      <c r="DX7">
        <v>6.2846087704213245</v>
      </c>
      <c r="DY7">
        <v>0.44800782608695683</v>
      </c>
      <c r="DZ7">
        <v>6.0421243253953421</v>
      </c>
      <c r="EA7">
        <v>896</v>
      </c>
      <c r="EB7">
        <v>6.0344560207317448</v>
      </c>
      <c r="EC7">
        <v>6</v>
      </c>
      <c r="ED7">
        <v>3.5185226260773278E-2</v>
      </c>
      <c r="EE7">
        <v>0.23772544459981121</v>
      </c>
      <c r="EF7" s="28">
        <v>2.2599999999999999E-2</v>
      </c>
      <c r="EG7">
        <v>2.2814999999999998E-2</v>
      </c>
      <c r="EH7">
        <v>30.148007826086957</v>
      </c>
      <c r="EI7">
        <v>-1</v>
      </c>
      <c r="EJ7">
        <v>0</v>
      </c>
      <c r="EK7">
        <v>1</v>
      </c>
      <c r="EL7" s="29">
        <v>44946</v>
      </c>
      <c r="EM7" s="30">
        <v>8.0000000000000002E-3</v>
      </c>
      <c r="EN7" s="30">
        <v>-0.91</v>
      </c>
      <c r="EO7" s="30">
        <v>1.83</v>
      </c>
      <c r="EP7" s="30">
        <v>-0.56000000000000005</v>
      </c>
      <c r="EQ7" s="30">
        <v>2.1499999999999998E-2</v>
      </c>
    </row>
    <row r="8" spans="1:147" ht="86.4" x14ac:dyDescent="0.25">
      <c r="B8" s="23"/>
      <c r="C8" s="23"/>
      <c r="D8" s="23" t="s">
        <v>1727</v>
      </c>
      <c r="E8" t="s">
        <v>315</v>
      </c>
      <c r="F8" t="s">
        <v>316</v>
      </c>
      <c r="G8">
        <v>2.4</v>
      </c>
      <c r="H8">
        <v>4.1999999999999997E-3</v>
      </c>
      <c r="I8" t="s">
        <v>1724</v>
      </c>
      <c r="J8">
        <v>5432418000</v>
      </c>
      <c r="L8">
        <v>1.1399999999999999</v>
      </c>
      <c r="M8" t="s">
        <v>172</v>
      </c>
      <c r="N8" t="s">
        <v>493</v>
      </c>
      <c r="O8" t="s">
        <v>494</v>
      </c>
      <c r="P8" t="s">
        <v>495</v>
      </c>
      <c r="Q8">
        <v>18.27</v>
      </c>
      <c r="R8" t="s">
        <v>496</v>
      </c>
      <c r="S8">
        <v>64036212</v>
      </c>
      <c r="T8" s="24">
        <v>1.3540000000000001</v>
      </c>
      <c r="U8" t="s">
        <v>497</v>
      </c>
      <c r="V8">
        <v>2258184000</v>
      </c>
      <c r="W8">
        <v>2263507500</v>
      </c>
      <c r="X8">
        <v>2.81</v>
      </c>
      <c r="Y8">
        <v>0.15</v>
      </c>
      <c r="Z8">
        <v>4.04</v>
      </c>
      <c r="AA8" t="s">
        <v>498</v>
      </c>
      <c r="AB8" t="s">
        <v>499</v>
      </c>
      <c r="AC8" t="s">
        <v>500</v>
      </c>
      <c r="AD8" t="s">
        <v>173</v>
      </c>
      <c r="AE8" t="s">
        <v>167</v>
      </c>
      <c r="AF8">
        <v>226515010</v>
      </c>
      <c r="AG8" t="s">
        <v>248</v>
      </c>
      <c r="AH8" t="s">
        <v>501</v>
      </c>
      <c r="AI8" t="s">
        <v>502</v>
      </c>
      <c r="AJ8" t="s">
        <v>453</v>
      </c>
      <c r="AK8" t="s">
        <v>167</v>
      </c>
      <c r="AL8" t="s">
        <v>167</v>
      </c>
      <c r="AM8" t="s">
        <v>503</v>
      </c>
      <c r="AN8" t="s">
        <v>167</v>
      </c>
      <c r="AO8" t="s">
        <v>504</v>
      </c>
      <c r="AP8" t="s">
        <v>505</v>
      </c>
      <c r="AQ8" t="s">
        <v>167</v>
      </c>
      <c r="AR8" t="s">
        <v>506</v>
      </c>
      <c r="AS8" t="s">
        <v>507</v>
      </c>
      <c r="AT8" t="s">
        <v>508</v>
      </c>
      <c r="AU8" t="s">
        <v>509</v>
      </c>
      <c r="AV8" t="s">
        <v>510</v>
      </c>
      <c r="AW8" t="s">
        <v>511</v>
      </c>
      <c r="AX8" t="s">
        <v>512</v>
      </c>
      <c r="AY8" t="s">
        <v>513</v>
      </c>
      <c r="AZ8" t="s">
        <v>514</v>
      </c>
      <c r="BA8" t="s">
        <v>515</v>
      </c>
      <c r="BB8" t="s">
        <v>516</v>
      </c>
      <c r="BC8" t="s">
        <v>517</v>
      </c>
      <c r="BD8" t="s">
        <v>293</v>
      </c>
      <c r="BE8" t="s">
        <v>518</v>
      </c>
      <c r="BF8" t="s">
        <v>519</v>
      </c>
      <c r="BG8" t="s">
        <v>520</v>
      </c>
      <c r="BH8" t="s">
        <v>521</v>
      </c>
      <c r="BI8" t="s">
        <v>522</v>
      </c>
      <c r="BJ8" t="s">
        <v>523</v>
      </c>
      <c r="BK8" t="s">
        <v>524</v>
      </c>
      <c r="BL8" t="s">
        <v>525</v>
      </c>
      <c r="BM8" t="s">
        <v>420</v>
      </c>
      <c r="BN8" t="s">
        <v>526</v>
      </c>
      <c r="BO8">
        <v>-2.69</v>
      </c>
      <c r="BP8">
        <v>5.03</v>
      </c>
      <c r="BQ8">
        <v>4.99</v>
      </c>
      <c r="BR8">
        <v>-19.670000000000002</v>
      </c>
      <c r="BS8">
        <v>3.28</v>
      </c>
      <c r="BT8">
        <v>1.05</v>
      </c>
      <c r="BU8" t="s">
        <v>215</v>
      </c>
      <c r="BV8" t="s">
        <v>175</v>
      </c>
      <c r="BW8">
        <v>67.290000000000006</v>
      </c>
      <c r="BX8">
        <v>42.27</v>
      </c>
      <c r="BY8">
        <v>71.27</v>
      </c>
      <c r="BZ8">
        <v>10.41</v>
      </c>
      <c r="CA8">
        <v>15.12</v>
      </c>
      <c r="CB8">
        <v>2.84</v>
      </c>
      <c r="CC8">
        <v>3.45</v>
      </c>
      <c r="CD8">
        <v>1.69</v>
      </c>
      <c r="CE8" t="s">
        <v>1725</v>
      </c>
      <c r="CF8" t="s">
        <v>1726</v>
      </c>
      <c r="CG8" s="25">
        <v>0.23424743589743591</v>
      </c>
      <c r="CH8" s="26">
        <v>0.7478213833621411</v>
      </c>
      <c r="CI8" s="25">
        <v>0.51233041286468506</v>
      </c>
      <c r="CJ8" s="25">
        <v>-0.41738507151603699</v>
      </c>
      <c r="CK8" s="25">
        <v>-0.1629585474729538</v>
      </c>
      <c r="CL8" s="25">
        <v>0.16660822927951813</v>
      </c>
      <c r="CM8" s="25">
        <v>1.3640133142471313</v>
      </c>
      <c r="CN8" s="26">
        <v>-6.3885712623596191</v>
      </c>
      <c r="CO8" s="26">
        <v>2.125044584274292</v>
      </c>
      <c r="CP8" s="26">
        <v>-0.1957038938999176</v>
      </c>
      <c r="CQ8" s="26">
        <v>1.3080756664276123</v>
      </c>
      <c r="CR8" s="26">
        <v>-6.2427067756652832</v>
      </c>
      <c r="CS8">
        <v>2.2146017121891561</v>
      </c>
      <c r="CT8">
        <v>-23609408.271474019</v>
      </c>
      <c r="CU8">
        <v>0</v>
      </c>
      <c r="CV8" s="25">
        <v>0.29252166748046876</v>
      </c>
      <c r="CW8" s="26">
        <v>-1.8787723362445832</v>
      </c>
      <c r="CX8">
        <v>0.06</v>
      </c>
      <c r="CY8" t="e">
        <v>#VALUE!</v>
      </c>
      <c r="CZ8" t="s">
        <v>217</v>
      </c>
      <c r="DA8">
        <v>0.29252166748046876</v>
      </c>
      <c r="DB8" t="e">
        <v>#VALUE!</v>
      </c>
      <c r="DC8" t="s">
        <v>217</v>
      </c>
      <c r="DD8">
        <v>0.27789558410644533</v>
      </c>
      <c r="DE8" t="e">
        <v>#VALUE!</v>
      </c>
      <c r="DF8" t="s">
        <v>217</v>
      </c>
      <c r="DG8">
        <v>0.25741906738281251</v>
      </c>
      <c r="DH8" t="e">
        <v>#VALUE!</v>
      </c>
      <c r="DI8" t="s">
        <v>217</v>
      </c>
      <c r="DJ8">
        <v>0.23401733398437502</v>
      </c>
      <c r="DK8" t="e">
        <v>#VALUE!</v>
      </c>
      <c r="DL8" t="s">
        <v>217</v>
      </c>
      <c r="DM8">
        <v>0.20476516723632812</v>
      </c>
      <c r="DN8">
        <v>-943000000</v>
      </c>
      <c r="DO8">
        <v>0.29252166748046876</v>
      </c>
      <c r="DP8">
        <v>9540418000</v>
      </c>
      <c r="DQ8">
        <v>-3436224300</v>
      </c>
      <c r="DR8">
        <v>3351</v>
      </c>
      <c r="DS8">
        <v>-5.8274231583032854E-2</v>
      </c>
      <c r="DT8">
        <v>2.6265937196067242</v>
      </c>
      <c r="DU8" s="27">
        <v>0.6</v>
      </c>
      <c r="DV8" t="e">
        <v>#VALUE!</v>
      </c>
      <c r="DW8" t="e">
        <v>#VALUE!</v>
      </c>
      <c r="DX8">
        <v>4.4898550724637678</v>
      </c>
      <c r="DY8">
        <v>0.37445264550264384</v>
      </c>
      <c r="DZ8">
        <v>4.0854565133041945</v>
      </c>
      <c r="EA8">
        <v>3786</v>
      </c>
      <c r="EB8">
        <v>4.0197234049397732</v>
      </c>
      <c r="EC8">
        <v>4</v>
      </c>
      <c r="ED8">
        <v>2.9133148443289899E-2</v>
      </c>
      <c r="EE8">
        <v>0.16699745859026313</v>
      </c>
      <c r="EF8" s="28">
        <v>3.2399999999999998E-2</v>
      </c>
      <c r="EG8">
        <v>3.2441999999999999E-2</v>
      </c>
      <c r="EH8">
        <v>20.174452645502644</v>
      </c>
      <c r="EI8">
        <v>-1</v>
      </c>
      <c r="EJ8">
        <v>0</v>
      </c>
      <c r="EK8">
        <v>0</v>
      </c>
      <c r="EL8" s="29">
        <v>44946</v>
      </c>
      <c r="EM8" s="30">
        <v>0</v>
      </c>
      <c r="EN8" s="30">
        <v>1.72</v>
      </c>
      <c r="EO8" s="30">
        <v>0.85</v>
      </c>
      <c r="EP8" s="30">
        <v>0.42</v>
      </c>
      <c r="EQ8" s="30">
        <v>4.1999999999999997E-3</v>
      </c>
    </row>
    <row r="9" spans="1:147" ht="86.4" x14ac:dyDescent="0.25">
      <c r="B9" s="23"/>
      <c r="C9" s="23"/>
      <c r="D9" s="23" t="s">
        <v>1731</v>
      </c>
      <c r="E9" t="s">
        <v>317</v>
      </c>
      <c r="F9" t="s">
        <v>318</v>
      </c>
      <c r="G9">
        <v>13.38</v>
      </c>
      <c r="H9">
        <v>1.52E-2</v>
      </c>
      <c r="I9" t="s">
        <v>1728</v>
      </c>
      <c r="J9">
        <v>3593002200</v>
      </c>
      <c r="K9">
        <v>39.71</v>
      </c>
      <c r="L9">
        <v>1.24</v>
      </c>
      <c r="M9" t="s">
        <v>172</v>
      </c>
      <c r="N9" t="s">
        <v>527</v>
      </c>
      <c r="O9" t="s">
        <v>528</v>
      </c>
      <c r="P9" t="s">
        <v>529</v>
      </c>
      <c r="Q9">
        <v>17.82</v>
      </c>
      <c r="R9" t="s">
        <v>530</v>
      </c>
      <c r="S9">
        <v>98195898</v>
      </c>
      <c r="T9" s="24">
        <v>0.36120000000000002</v>
      </c>
      <c r="U9" t="s">
        <v>531</v>
      </c>
      <c r="V9">
        <v>223168610</v>
      </c>
      <c r="W9">
        <v>268535100</v>
      </c>
      <c r="X9">
        <v>1.71</v>
      </c>
      <c r="Y9">
        <v>0.19</v>
      </c>
      <c r="Z9">
        <v>10.77</v>
      </c>
      <c r="AA9" t="s">
        <v>532</v>
      </c>
      <c r="AB9" t="s">
        <v>533</v>
      </c>
      <c r="AC9" t="s">
        <v>534</v>
      </c>
      <c r="AD9" t="s">
        <v>535</v>
      </c>
      <c r="AE9" t="s">
        <v>536</v>
      </c>
      <c r="AF9">
        <v>61267971</v>
      </c>
      <c r="AG9" t="s">
        <v>537</v>
      </c>
      <c r="AH9" t="s">
        <v>538</v>
      </c>
      <c r="AI9" t="s">
        <v>539</v>
      </c>
      <c r="AJ9" t="s">
        <v>264</v>
      </c>
      <c r="AK9" t="s">
        <v>540</v>
      </c>
      <c r="AL9" t="s">
        <v>167</v>
      </c>
      <c r="AM9" t="s">
        <v>541</v>
      </c>
      <c r="AN9" t="s">
        <v>167</v>
      </c>
      <c r="AO9" t="s">
        <v>542</v>
      </c>
      <c r="AP9" t="s">
        <v>167</v>
      </c>
      <c r="AQ9" t="s">
        <v>543</v>
      </c>
      <c r="AR9" t="s">
        <v>544</v>
      </c>
      <c r="AS9" t="s">
        <v>545</v>
      </c>
      <c r="AT9" t="s">
        <v>546</v>
      </c>
      <c r="AU9" t="s">
        <v>305</v>
      </c>
      <c r="AV9" t="s">
        <v>547</v>
      </c>
      <c r="AW9" t="s">
        <v>548</v>
      </c>
      <c r="AX9" t="s">
        <v>549</v>
      </c>
      <c r="AY9" t="s">
        <v>550</v>
      </c>
      <c r="AZ9" t="s">
        <v>551</v>
      </c>
      <c r="BA9" t="s">
        <v>272</v>
      </c>
      <c r="BB9" t="s">
        <v>276</v>
      </c>
      <c r="BC9" t="s">
        <v>552</v>
      </c>
      <c r="BD9" t="s">
        <v>227</v>
      </c>
      <c r="BE9" t="s">
        <v>553</v>
      </c>
      <c r="BF9" t="s">
        <v>554</v>
      </c>
      <c r="BG9" t="s">
        <v>555</v>
      </c>
      <c r="BH9" t="s">
        <v>556</v>
      </c>
      <c r="BI9" t="s">
        <v>210</v>
      </c>
      <c r="BJ9" t="s">
        <v>557</v>
      </c>
      <c r="BK9" t="s">
        <v>558</v>
      </c>
      <c r="BL9" t="s">
        <v>559</v>
      </c>
      <c r="BM9" t="s">
        <v>560</v>
      </c>
      <c r="BN9" t="s">
        <v>561</v>
      </c>
      <c r="BO9">
        <v>3.78</v>
      </c>
      <c r="BP9">
        <v>5.85</v>
      </c>
      <c r="BQ9">
        <v>8.25</v>
      </c>
      <c r="BR9">
        <v>2.33</v>
      </c>
      <c r="BS9">
        <v>4.76</v>
      </c>
      <c r="BT9">
        <v>5</v>
      </c>
      <c r="BU9" t="s">
        <v>215</v>
      </c>
      <c r="BV9" t="s">
        <v>175</v>
      </c>
      <c r="BW9">
        <v>27.43</v>
      </c>
      <c r="BX9">
        <v>36.270000000000003</v>
      </c>
      <c r="BY9">
        <v>48.55</v>
      </c>
      <c r="BZ9">
        <v>9.75</v>
      </c>
      <c r="CA9">
        <v>18.89</v>
      </c>
      <c r="CB9">
        <v>20.440000000000001</v>
      </c>
      <c r="CC9">
        <v>0.9</v>
      </c>
      <c r="CD9">
        <v>-9.41</v>
      </c>
      <c r="CE9" t="s">
        <v>1729</v>
      </c>
      <c r="CF9" t="s">
        <v>1730</v>
      </c>
      <c r="CG9" s="25">
        <v>0.14555494791666668</v>
      </c>
      <c r="CH9" s="26">
        <v>0.93969989665093157</v>
      </c>
      <c r="CI9" s="25">
        <v>0.19528178870677948</v>
      </c>
      <c r="CJ9" s="25">
        <v>-3.2658809795975685E-3</v>
      </c>
      <c r="CK9" s="25">
        <v>3.5162241458892822</v>
      </c>
      <c r="CL9" s="25">
        <v>-0.11948052048683167</v>
      </c>
      <c r="CM9" s="25">
        <v>0.19937694072723389</v>
      </c>
      <c r="CN9" s="26">
        <v>-0.40358611941337585</v>
      </c>
      <c r="CO9" s="26">
        <v>0.46440279483795166</v>
      </c>
      <c r="CP9" s="26">
        <v>12.139644622802734</v>
      </c>
      <c r="CQ9" s="26">
        <v>-3.4672535955905914E-2</v>
      </c>
      <c r="CR9" s="26">
        <v>-0.6061931848526001</v>
      </c>
      <c r="CS9">
        <v>1.9698476973684214</v>
      </c>
      <c r="CT9">
        <v>146275051.34856945</v>
      </c>
      <c r="CU9">
        <v>0</v>
      </c>
      <c r="CV9" s="25">
        <v>0.75762729477137325</v>
      </c>
      <c r="CW9" s="26">
        <v>2.3119191154837608</v>
      </c>
      <c r="CX9">
        <v>0.06</v>
      </c>
      <c r="CY9">
        <v>21.00086932507693</v>
      </c>
      <c r="CZ9">
        <v>106805207.2169057</v>
      </c>
      <c r="DA9">
        <v>0.75762729477137325</v>
      </c>
      <c r="DB9">
        <v>4.0847076414013364</v>
      </c>
      <c r="DC9">
        <v>549121845.89800787</v>
      </c>
      <c r="DD9">
        <v>0.71974593003280452</v>
      </c>
      <c r="DE9">
        <v>0.89822460538993354</v>
      </c>
      <c r="DF9">
        <v>2497150697.6545997</v>
      </c>
      <c r="DG9">
        <v>0.66671201939880842</v>
      </c>
      <c r="DH9">
        <v>0.18860361901696124</v>
      </c>
      <c r="DI9">
        <v>11892678473.991983</v>
      </c>
      <c r="DJ9">
        <v>0.60610183581709864</v>
      </c>
      <c r="DK9">
        <v>6.9203190372923639E-3</v>
      </c>
      <c r="DL9">
        <v>324118322856.62866</v>
      </c>
      <c r="DM9">
        <v>0.53033910633996129</v>
      </c>
      <c r="DN9">
        <v>64412700.000000007</v>
      </c>
      <c r="DO9">
        <v>0.75762729477137325</v>
      </c>
      <c r="DP9">
        <v>2243002200</v>
      </c>
      <c r="DQ9">
        <v>392507000</v>
      </c>
      <c r="DR9">
        <v>1970</v>
      </c>
      <c r="DS9">
        <v>-0.61207234685470657</v>
      </c>
      <c r="DT9">
        <v>-1.3722192188328293</v>
      </c>
      <c r="DU9" s="27">
        <v>0.6</v>
      </c>
      <c r="DV9">
        <v>0.6</v>
      </c>
      <c r="DW9">
        <v>1.2</v>
      </c>
      <c r="DX9">
        <v>-2.0941000000000001</v>
      </c>
      <c r="DY9">
        <v>0.42674010642986743</v>
      </c>
      <c r="DZ9">
        <v>-2.0119262440150507</v>
      </c>
      <c r="EA9">
        <v>1060</v>
      </c>
      <c r="EB9">
        <v>-2.0093578127562224</v>
      </c>
      <c r="EC9">
        <v>2</v>
      </c>
      <c r="ED9">
        <v>3.6544943286743521E-2</v>
      </c>
      <c r="EE9">
        <v>0.28834554588953176</v>
      </c>
      <c r="EF9" s="28">
        <v>6.7510000000000001E-2</v>
      </c>
      <c r="EG9">
        <v>6.7358000000000001E-2</v>
      </c>
      <c r="EH9">
        <v>30.126740106429867</v>
      </c>
      <c r="EI9" t="s">
        <v>180</v>
      </c>
      <c r="EJ9">
        <v>0</v>
      </c>
      <c r="EK9">
        <v>1</v>
      </c>
      <c r="EL9" s="29">
        <v>44946</v>
      </c>
      <c r="EM9" s="30">
        <v>2.3E-3</v>
      </c>
      <c r="EN9" s="30">
        <v>-0.6</v>
      </c>
      <c r="EO9" s="30">
        <v>0.08</v>
      </c>
      <c r="EP9" s="30">
        <v>-0.3</v>
      </c>
      <c r="EQ9" s="30">
        <v>1.52E-2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Q16"/>
  <sheetViews>
    <sheetView tabSelected="1" workbookViewId="0">
      <selection activeCell="D16" sqref="D16"/>
    </sheetView>
  </sheetViews>
  <sheetFormatPr defaultRowHeight="14.4" x14ac:dyDescent="0.25"/>
  <cols>
    <col min="2" max="2" width="23.77734375" customWidth="1"/>
    <col min="3" max="3" width="29.33203125" customWidth="1"/>
    <col min="4" max="4" width="40" customWidth="1"/>
  </cols>
  <sheetData>
    <row r="1" spans="1:147" s="14" customFormat="1" x14ac:dyDescent="0.25">
      <c r="A1" s="15" t="s">
        <v>47</v>
      </c>
      <c r="B1" s="18" t="s">
        <v>117</v>
      </c>
      <c r="C1" s="19" t="s">
        <v>118</v>
      </c>
      <c r="D1" s="18" t="s">
        <v>119</v>
      </c>
      <c r="E1" t="s">
        <v>2</v>
      </c>
      <c r="F1" t="s">
        <v>3</v>
      </c>
      <c r="G1" t="s">
        <v>0</v>
      </c>
      <c r="H1" t="s">
        <v>90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121</v>
      </c>
      <c r="R1" t="s">
        <v>91</v>
      </c>
      <c r="S1" t="s">
        <v>122</v>
      </c>
      <c r="T1" t="s">
        <v>10</v>
      </c>
      <c r="U1" t="s">
        <v>92</v>
      </c>
      <c r="V1" t="s">
        <v>93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94</v>
      </c>
      <c r="AD1" t="s">
        <v>74</v>
      </c>
      <c r="AE1" t="s">
        <v>123</v>
      </c>
      <c r="AF1" t="s">
        <v>12</v>
      </c>
      <c r="AG1" t="s">
        <v>13</v>
      </c>
      <c r="AH1" t="s">
        <v>95</v>
      </c>
      <c r="AI1" t="s">
        <v>124</v>
      </c>
      <c r="AJ1" t="s">
        <v>96</v>
      </c>
      <c r="AK1" t="s">
        <v>14</v>
      </c>
      <c r="AL1" t="s">
        <v>97</v>
      </c>
      <c r="AM1" t="s">
        <v>48</v>
      </c>
      <c r="AN1" t="s">
        <v>98</v>
      </c>
      <c r="AO1" t="s">
        <v>99</v>
      </c>
      <c r="AP1" t="s">
        <v>100</v>
      </c>
      <c r="AQ1" t="s">
        <v>101</v>
      </c>
      <c r="AR1" t="s">
        <v>102</v>
      </c>
      <c r="AS1" t="s">
        <v>103</v>
      </c>
      <c r="AT1" t="s">
        <v>104</v>
      </c>
      <c r="AU1" t="s">
        <v>105</v>
      </c>
      <c r="AV1" t="s">
        <v>106</v>
      </c>
      <c r="AW1" t="s">
        <v>107</v>
      </c>
      <c r="AX1" t="s">
        <v>108</v>
      </c>
      <c r="AY1" t="s">
        <v>125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126</v>
      </c>
      <c r="BJ1" t="s">
        <v>109</v>
      </c>
      <c r="BK1" t="s">
        <v>57</v>
      </c>
      <c r="BL1" t="s">
        <v>110</v>
      </c>
      <c r="BM1" t="s">
        <v>111</v>
      </c>
      <c r="BN1" t="s">
        <v>112</v>
      </c>
      <c r="BO1" t="s">
        <v>113</v>
      </c>
      <c r="BP1" t="s">
        <v>59</v>
      </c>
      <c r="BQ1" t="s">
        <v>60</v>
      </c>
      <c r="BR1" t="s">
        <v>61</v>
      </c>
      <c r="BS1" t="s">
        <v>114</v>
      </c>
      <c r="BT1" t="s">
        <v>62</v>
      </c>
      <c r="BU1" t="s">
        <v>63</v>
      </c>
      <c r="BV1" t="s">
        <v>64</v>
      </c>
      <c r="BW1" t="s">
        <v>115</v>
      </c>
      <c r="BX1" t="s">
        <v>65</v>
      </c>
      <c r="BY1" t="s">
        <v>66</v>
      </c>
      <c r="BZ1" t="s">
        <v>116</v>
      </c>
      <c r="CA1" t="s">
        <v>67</v>
      </c>
      <c r="CB1" t="s">
        <v>68</v>
      </c>
      <c r="CC1" t="s">
        <v>127</v>
      </c>
      <c r="CD1" t="s">
        <v>128</v>
      </c>
      <c r="CE1" t="s">
        <v>129</v>
      </c>
      <c r="CF1" t="s">
        <v>130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28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87</v>
      </c>
      <c r="DN1" t="s">
        <v>88</v>
      </c>
      <c r="DO1" s="2" t="s">
        <v>89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4" customFormat="1" ht="71.55" customHeight="1" x14ac:dyDescent="0.25">
      <c r="A2" s="20"/>
      <c r="B2" s="21"/>
      <c r="C2" s="22">
        <v>3</v>
      </c>
      <c r="D2" s="22">
        <v>16</v>
      </c>
      <c r="T2" s="16"/>
      <c r="U2" s="16"/>
      <c r="V2" s="16"/>
      <c r="AB2" s="17"/>
    </row>
    <row r="3" spans="1:147" ht="194.4" x14ac:dyDescent="0.25">
      <c r="B3" s="23"/>
      <c r="C3" s="23"/>
      <c r="D3" s="23" t="s">
        <v>1772</v>
      </c>
      <c r="E3" t="s">
        <v>652</v>
      </c>
      <c r="F3" t="s">
        <v>653</v>
      </c>
      <c r="G3">
        <v>16.489999999999998</v>
      </c>
      <c r="H3">
        <v>1.66E-2</v>
      </c>
      <c r="I3" t="s">
        <v>654</v>
      </c>
      <c r="J3">
        <v>78683552000</v>
      </c>
      <c r="K3">
        <v>85.17</v>
      </c>
      <c r="L3">
        <v>2.0099999999999998</v>
      </c>
      <c r="M3" t="s">
        <v>172</v>
      </c>
      <c r="N3" t="s">
        <v>1732</v>
      </c>
      <c r="O3" t="s">
        <v>1733</v>
      </c>
      <c r="P3" t="s">
        <v>1734</v>
      </c>
      <c r="Q3">
        <v>21.95</v>
      </c>
      <c r="R3" t="s">
        <v>1735</v>
      </c>
      <c r="S3">
        <v>2063212700</v>
      </c>
      <c r="T3" s="24">
        <v>0.4204</v>
      </c>
      <c r="U3" t="s">
        <v>1736</v>
      </c>
      <c r="V3">
        <v>2960468000</v>
      </c>
      <c r="W3">
        <v>4771592000</v>
      </c>
      <c r="X3">
        <v>1.9</v>
      </c>
      <c r="Y3">
        <v>0.33</v>
      </c>
      <c r="Z3">
        <v>8.7200000000000006</v>
      </c>
      <c r="AA3" t="s">
        <v>1737</v>
      </c>
      <c r="AB3" t="s">
        <v>1738</v>
      </c>
      <c r="AC3" t="s">
        <v>1739</v>
      </c>
      <c r="AD3" t="s">
        <v>1740</v>
      </c>
      <c r="AE3" t="s">
        <v>1741</v>
      </c>
      <c r="AF3">
        <v>-64601355</v>
      </c>
      <c r="AG3" t="s">
        <v>1742</v>
      </c>
      <c r="AH3" t="s">
        <v>1743</v>
      </c>
      <c r="AI3" t="s">
        <v>1744</v>
      </c>
      <c r="AJ3" t="s">
        <v>1745</v>
      </c>
      <c r="AK3" t="s">
        <v>1746</v>
      </c>
      <c r="AL3" t="s">
        <v>1747</v>
      </c>
      <c r="AM3" t="s">
        <v>1748</v>
      </c>
      <c r="AN3" t="s">
        <v>167</v>
      </c>
      <c r="AO3" t="s">
        <v>1749</v>
      </c>
      <c r="AP3" t="s">
        <v>1750</v>
      </c>
      <c r="AQ3" t="s">
        <v>167</v>
      </c>
      <c r="AR3" t="s">
        <v>1751</v>
      </c>
      <c r="AS3" t="s">
        <v>167</v>
      </c>
      <c r="AT3" t="s">
        <v>1752</v>
      </c>
      <c r="AU3" t="s">
        <v>1381</v>
      </c>
      <c r="AV3" t="s">
        <v>1753</v>
      </c>
      <c r="AW3" t="s">
        <v>1754</v>
      </c>
      <c r="AX3" t="s">
        <v>1755</v>
      </c>
      <c r="AY3" t="s">
        <v>1756</v>
      </c>
      <c r="AZ3" t="s">
        <v>1757</v>
      </c>
      <c r="BA3" t="s">
        <v>1758</v>
      </c>
      <c r="BB3" t="s">
        <v>1759</v>
      </c>
      <c r="BC3" t="s">
        <v>1760</v>
      </c>
      <c r="BD3" t="s">
        <v>1761</v>
      </c>
      <c r="BE3" t="s">
        <v>1762</v>
      </c>
      <c r="BF3" t="s">
        <v>1763</v>
      </c>
      <c r="BG3" t="s">
        <v>1764</v>
      </c>
      <c r="BH3" t="s">
        <v>1765</v>
      </c>
      <c r="BI3" t="s">
        <v>1766</v>
      </c>
      <c r="BJ3" t="s">
        <v>1767</v>
      </c>
      <c r="BK3" t="s">
        <v>1768</v>
      </c>
      <c r="BL3" t="s">
        <v>250</v>
      </c>
      <c r="BM3" t="s">
        <v>1769</v>
      </c>
      <c r="BN3" t="s">
        <v>234</v>
      </c>
      <c r="BO3">
        <v>2.42</v>
      </c>
      <c r="BP3">
        <v>5.63</v>
      </c>
      <c r="BQ3">
        <v>6.06</v>
      </c>
      <c r="BR3">
        <v>0.82</v>
      </c>
      <c r="BS3">
        <v>7.2</v>
      </c>
      <c r="BT3">
        <v>7.03</v>
      </c>
      <c r="BU3" t="s">
        <v>287</v>
      </c>
      <c r="BV3" t="s">
        <v>1770</v>
      </c>
      <c r="BW3">
        <v>12.25</v>
      </c>
      <c r="BX3">
        <v>23.05</v>
      </c>
      <c r="BY3">
        <v>18.77</v>
      </c>
      <c r="BZ3">
        <v>7.29</v>
      </c>
      <c r="CA3">
        <v>9.39</v>
      </c>
      <c r="CB3">
        <v>8.1199999999999992</v>
      </c>
      <c r="CC3">
        <v>-3.57</v>
      </c>
      <c r="CD3">
        <v>-4.13</v>
      </c>
      <c r="CE3" t="s">
        <v>1771</v>
      </c>
      <c r="CF3" t="s">
        <v>310</v>
      </c>
      <c r="CG3" s="25">
        <v>0.26384762837554221</v>
      </c>
      <c r="CH3" s="26">
        <v>0.47271886503067484</v>
      </c>
      <c r="CI3" s="25">
        <v>8.4256613627076149E-3</v>
      </c>
      <c r="CJ3" s="25">
        <v>-6.9889187812805176E-2</v>
      </c>
      <c r="CK3" s="25">
        <v>0.41870963573455811</v>
      </c>
      <c r="CL3" s="25">
        <v>0.25291162729263306</v>
      </c>
      <c r="CM3" s="25">
        <v>0.15601895749568939</v>
      </c>
      <c r="CN3" s="26">
        <v>-0.88420277833938599</v>
      </c>
      <c r="CO3" s="26">
        <v>8.0335699021816254E-2</v>
      </c>
      <c r="CP3" s="26">
        <v>34.337833404541016</v>
      </c>
      <c r="CQ3" s="26">
        <v>0.65535396337509155</v>
      </c>
      <c r="CR3" s="26">
        <v>1.0037335157394409</v>
      </c>
      <c r="CS3">
        <v>2.6943653734205393</v>
      </c>
      <c r="CT3">
        <v>636166134.18530357</v>
      </c>
      <c r="CU3">
        <v>0.90964220739842339</v>
      </c>
      <c r="CV3" s="25">
        <v>0.15323533881455659</v>
      </c>
      <c r="CW3" s="26">
        <v>7.0386107608675959</v>
      </c>
      <c r="CX3">
        <v>0.06</v>
      </c>
      <c r="CY3">
        <v>219.28867902839528</v>
      </c>
      <c r="CZ3">
        <v>340530812.31033605</v>
      </c>
      <c r="DA3">
        <v>0.15323533881455659</v>
      </c>
      <c r="DB3">
        <v>67.951753740421367</v>
      </c>
      <c r="DC3">
        <v>1098934874.959372</v>
      </c>
      <c r="DD3">
        <v>0.14557357187382874</v>
      </c>
      <c r="DE3">
        <v>31.104462762394324</v>
      </c>
      <c r="DF3">
        <v>2400766493.5554667</v>
      </c>
      <c r="DG3">
        <v>0.13484709815680979</v>
      </c>
      <c r="DH3">
        <v>17.16793898868378</v>
      </c>
      <c r="DI3">
        <v>4349651524.8115463</v>
      </c>
      <c r="DJ3">
        <v>0.12258827105164527</v>
      </c>
      <c r="DK3">
        <v>7.3116526352927265</v>
      </c>
      <c r="DL3">
        <v>10213088028.765518</v>
      </c>
      <c r="DM3">
        <v>0.10726473717018961</v>
      </c>
      <c r="DN3">
        <v>313000000</v>
      </c>
      <c r="DO3">
        <v>0.15323533881455659</v>
      </c>
      <c r="DP3">
        <v>74674552000</v>
      </c>
      <c r="DQ3">
        <v>6965709000</v>
      </c>
      <c r="DR3">
        <v>3693</v>
      </c>
      <c r="DS3">
        <v>0.11061228956098562</v>
      </c>
      <c r="DT3">
        <v>-6.5658918958369208</v>
      </c>
      <c r="DU3" s="27">
        <v>0.6</v>
      </c>
      <c r="DV3">
        <v>0.6</v>
      </c>
      <c r="DW3">
        <v>1.2</v>
      </c>
      <c r="DX3">
        <v>-8.8644067796610173</v>
      </c>
      <c r="DY3">
        <v>0.50155373134328229</v>
      </c>
      <c r="DZ3">
        <v>-8.2174447508221604</v>
      </c>
      <c r="EA3">
        <v>1141</v>
      </c>
      <c r="EB3">
        <v>-8.167037505660014</v>
      </c>
      <c r="EC3">
        <v>8</v>
      </c>
      <c r="ED3">
        <v>1.0596526274668915E-2</v>
      </c>
      <c r="EE3">
        <v>4.2124305682464044E-2</v>
      </c>
      <c r="EF3" s="28">
        <v>3.3110000000000007E-2</v>
      </c>
      <c r="EG3">
        <v>3.2944000000000001E-2</v>
      </c>
      <c r="EH3">
        <v>25.251553731343282</v>
      </c>
      <c r="EI3">
        <v>-1</v>
      </c>
      <c r="EJ3">
        <v>0</v>
      </c>
      <c r="EK3">
        <v>1</v>
      </c>
      <c r="EL3" s="29">
        <v>44946</v>
      </c>
      <c r="EM3" s="30">
        <v>4.7000000000000002E-3</v>
      </c>
      <c r="EN3" s="30">
        <v>-2.97</v>
      </c>
      <c r="EO3" s="30">
        <v>0.48</v>
      </c>
      <c r="EP3" s="30">
        <v>-3.16</v>
      </c>
      <c r="EQ3" s="30">
        <v>1.66E-2</v>
      </c>
    </row>
    <row r="4" spans="1:147" ht="129.6" x14ac:dyDescent="0.25">
      <c r="B4" s="23"/>
      <c r="C4" s="23"/>
      <c r="D4" s="23" t="s">
        <v>1810</v>
      </c>
      <c r="E4" t="s">
        <v>655</v>
      </c>
      <c r="F4" t="s">
        <v>656</v>
      </c>
      <c r="G4">
        <v>2.13</v>
      </c>
      <c r="H4">
        <v>1.9099999999999999E-2</v>
      </c>
      <c r="I4" t="s">
        <v>657</v>
      </c>
      <c r="J4">
        <v>40436644000</v>
      </c>
      <c r="K4">
        <v>297.7</v>
      </c>
      <c r="L4">
        <v>5.3</v>
      </c>
      <c r="M4" t="s">
        <v>172</v>
      </c>
      <c r="N4" t="s">
        <v>1773</v>
      </c>
      <c r="O4" t="s">
        <v>1774</v>
      </c>
      <c r="P4" t="s">
        <v>1775</v>
      </c>
      <c r="Q4">
        <v>9.08</v>
      </c>
      <c r="R4" t="s">
        <v>1776</v>
      </c>
      <c r="S4">
        <v>276374000</v>
      </c>
      <c r="T4" s="24">
        <v>-0.13730000000000001</v>
      </c>
      <c r="U4" t="s">
        <v>1777</v>
      </c>
      <c r="V4">
        <v>13569379000</v>
      </c>
      <c r="W4">
        <v>18984340000</v>
      </c>
      <c r="X4">
        <v>8.92</v>
      </c>
      <c r="Y4">
        <v>0.77</v>
      </c>
      <c r="Z4">
        <v>0.54</v>
      </c>
      <c r="AA4" t="s">
        <v>1778</v>
      </c>
      <c r="AB4" t="s">
        <v>1779</v>
      </c>
      <c r="AC4" t="s">
        <v>1780</v>
      </c>
      <c r="AD4" t="s">
        <v>1781</v>
      </c>
      <c r="AE4" t="s">
        <v>278</v>
      </c>
      <c r="AF4">
        <v>405266000</v>
      </c>
      <c r="AG4" t="s">
        <v>1782</v>
      </c>
      <c r="AH4" t="s">
        <v>1783</v>
      </c>
      <c r="AI4" t="s">
        <v>1784</v>
      </c>
      <c r="AJ4" t="s">
        <v>477</v>
      </c>
      <c r="AK4" t="s">
        <v>1785</v>
      </c>
      <c r="AL4" t="s">
        <v>167</v>
      </c>
      <c r="AM4" t="s">
        <v>1786</v>
      </c>
      <c r="AN4" t="s">
        <v>167</v>
      </c>
      <c r="AO4" t="s">
        <v>1787</v>
      </c>
      <c r="AP4" t="s">
        <v>1788</v>
      </c>
      <c r="AQ4" t="s">
        <v>1789</v>
      </c>
      <c r="AR4" t="s">
        <v>1790</v>
      </c>
      <c r="AS4" t="s">
        <v>167</v>
      </c>
      <c r="AT4" t="s">
        <v>1791</v>
      </c>
      <c r="AU4" t="s">
        <v>1792</v>
      </c>
      <c r="AV4" t="s">
        <v>1793</v>
      </c>
      <c r="AW4" t="s">
        <v>1794</v>
      </c>
      <c r="AX4" t="s">
        <v>229</v>
      </c>
      <c r="AY4" t="s">
        <v>1795</v>
      </c>
      <c r="AZ4" t="s">
        <v>1796</v>
      </c>
      <c r="BA4" t="s">
        <v>1797</v>
      </c>
      <c r="BB4" t="s">
        <v>1798</v>
      </c>
      <c r="BC4" t="s">
        <v>1799</v>
      </c>
      <c r="BD4" t="s">
        <v>1800</v>
      </c>
      <c r="BE4" t="s">
        <v>1801</v>
      </c>
      <c r="BF4" t="s">
        <v>1180</v>
      </c>
      <c r="BG4" t="s">
        <v>1802</v>
      </c>
      <c r="BH4" t="s">
        <v>1803</v>
      </c>
      <c r="BI4" t="s">
        <v>1804</v>
      </c>
      <c r="BJ4" t="s">
        <v>1805</v>
      </c>
      <c r="BK4" t="s">
        <v>1806</v>
      </c>
      <c r="BL4" t="s">
        <v>266</v>
      </c>
      <c r="BM4" t="s">
        <v>1807</v>
      </c>
      <c r="BN4" t="s">
        <v>1808</v>
      </c>
      <c r="BO4">
        <v>3.32</v>
      </c>
      <c r="BP4">
        <v>3.2</v>
      </c>
      <c r="BQ4">
        <v>6.21</v>
      </c>
      <c r="BR4">
        <v>2.64</v>
      </c>
      <c r="BS4">
        <v>1.1599999999999999</v>
      </c>
      <c r="BT4">
        <v>14.66</v>
      </c>
      <c r="BU4" t="s">
        <v>215</v>
      </c>
      <c r="BV4" t="s">
        <v>1770</v>
      </c>
      <c r="BW4">
        <v>7.3</v>
      </c>
      <c r="BX4">
        <v>8.0299999999999994</v>
      </c>
      <c r="BY4">
        <v>8.84</v>
      </c>
      <c r="BZ4">
        <v>0.6</v>
      </c>
      <c r="CA4">
        <v>0.12</v>
      </c>
      <c r="CB4">
        <v>1.31</v>
      </c>
      <c r="CC4">
        <v>7.58</v>
      </c>
      <c r="CD4">
        <v>3.4</v>
      </c>
      <c r="CE4" t="s">
        <v>569</v>
      </c>
      <c r="CF4" t="s">
        <v>1809</v>
      </c>
      <c r="CG4" s="25">
        <v>0.17578361067089276</v>
      </c>
      <c r="CH4" s="26">
        <v>2.55865306122449</v>
      </c>
      <c r="CI4" s="25">
        <v>2.1447544917464256E-2</v>
      </c>
      <c r="CJ4" s="25">
        <v>-2.5719208642840385E-2</v>
      </c>
      <c r="CK4" s="25">
        <v>0.19621977210044861</v>
      </c>
      <c r="CL4" s="25">
        <v>0.20197963714599609</v>
      </c>
      <c r="CM4" s="25">
        <v>0.13209399580955505</v>
      </c>
      <c r="CN4" s="26">
        <v>1.2791156768798828</v>
      </c>
      <c r="CO4" s="26">
        <v>-0.91359084844589233</v>
      </c>
      <c r="CP4" s="26">
        <v>5.436619758605957</v>
      </c>
      <c r="CQ4" s="26">
        <v>1.013408899307251</v>
      </c>
      <c r="CR4" s="26">
        <v>0.3428482711315155</v>
      </c>
      <c r="CS4">
        <v>0.58154608603109315</v>
      </c>
      <c r="CT4">
        <v>96178888.888888896</v>
      </c>
      <c r="CU4">
        <v>0</v>
      </c>
      <c r="CV4" s="25">
        <v>0.10520434826612472</v>
      </c>
      <c r="CW4" s="26">
        <v>1.4316803514957428</v>
      </c>
      <c r="CX4">
        <v>0.06</v>
      </c>
      <c r="CY4">
        <v>496.6620114441431</v>
      </c>
      <c r="CZ4">
        <v>187676210.08292681</v>
      </c>
      <c r="DA4">
        <v>0.10520434826612472</v>
      </c>
      <c r="DB4">
        <v>160.23184247192208</v>
      </c>
      <c r="DC4">
        <v>581729839.47515774</v>
      </c>
      <c r="DD4">
        <v>9.9944130852818489E-2</v>
      </c>
      <c r="DE4">
        <v>77.526567936332384</v>
      </c>
      <c r="DF4">
        <v>1202318720.9389789</v>
      </c>
      <c r="DG4">
        <v>9.2579826474189761E-2</v>
      </c>
      <c r="DH4">
        <v>45.650855083886576</v>
      </c>
      <c r="DI4">
        <v>2041837854.4874399</v>
      </c>
      <c r="DJ4">
        <v>8.4163478612899786E-2</v>
      </c>
      <c r="DK4">
        <v>22.577192600706645</v>
      </c>
      <c r="DL4">
        <v>4128575489.8101263</v>
      </c>
      <c r="DM4">
        <v>7.3643043786287304E-2</v>
      </c>
      <c r="DN4">
        <v>180000000</v>
      </c>
      <c r="DO4">
        <v>0.10520434826612472</v>
      </c>
      <c r="DP4">
        <v>93211644000</v>
      </c>
      <c r="DQ4">
        <v>-20066908000.000008</v>
      </c>
      <c r="DR4">
        <v>3449</v>
      </c>
      <c r="DS4">
        <v>7.0579262404768042E-2</v>
      </c>
      <c r="DT4">
        <v>1.1269727097287472</v>
      </c>
      <c r="DU4" s="27">
        <v>0.6</v>
      </c>
      <c r="DV4">
        <v>0</v>
      </c>
      <c r="DW4">
        <v>0.6</v>
      </c>
      <c r="DX4">
        <v>5.4485488126649075</v>
      </c>
      <c r="DY4">
        <v>0.57454545454545247</v>
      </c>
      <c r="DZ4">
        <v>5.1096905732789635</v>
      </c>
      <c r="EA4">
        <v>2337</v>
      </c>
      <c r="EB4">
        <v>5.0576087224555302</v>
      </c>
      <c r="EC4">
        <v>5</v>
      </c>
      <c r="ED4">
        <v>1.4169573448431708E-2</v>
      </c>
      <c r="EE4">
        <v>5.7942493655296946E-2</v>
      </c>
      <c r="EF4" s="28">
        <v>2.0200000000000003E-2</v>
      </c>
      <c r="EG4">
        <v>2.0390999999999999E-2</v>
      </c>
      <c r="EH4">
        <v>33.244545454545452</v>
      </c>
      <c r="EI4" t="s">
        <v>180</v>
      </c>
      <c r="EJ4">
        <v>1</v>
      </c>
      <c r="EK4">
        <v>0</v>
      </c>
      <c r="EL4" s="29">
        <v>44946</v>
      </c>
      <c r="EM4" s="30">
        <v>4.0399999999999998E-2</v>
      </c>
      <c r="EN4" s="30">
        <v>-1.46</v>
      </c>
      <c r="EO4" s="30">
        <v>1.97</v>
      </c>
      <c r="EP4" s="30">
        <v>0.97</v>
      </c>
      <c r="EQ4" s="30">
        <v>1.9099999999999999E-2</v>
      </c>
    </row>
    <row r="5" spans="1:147" ht="140.4" x14ac:dyDescent="0.25">
      <c r="B5" s="23"/>
      <c r="C5" s="23"/>
      <c r="D5" s="23" t="s">
        <v>1851</v>
      </c>
      <c r="E5" t="s">
        <v>658</v>
      </c>
      <c r="F5" t="s">
        <v>659</v>
      </c>
      <c r="G5">
        <v>3.05</v>
      </c>
      <c r="H5">
        <v>1.3299999999999999E-2</v>
      </c>
      <c r="I5" t="s">
        <v>660</v>
      </c>
      <c r="J5">
        <v>31003568000</v>
      </c>
      <c r="K5">
        <v>17.399999999999999</v>
      </c>
      <c r="L5">
        <v>1.42</v>
      </c>
      <c r="M5" t="s">
        <v>172</v>
      </c>
      <c r="N5" t="s">
        <v>1811</v>
      </c>
      <c r="O5" t="s">
        <v>1812</v>
      </c>
      <c r="P5" t="s">
        <v>1813</v>
      </c>
      <c r="Q5">
        <v>22.98</v>
      </c>
      <c r="R5" t="s">
        <v>1814</v>
      </c>
      <c r="S5">
        <v>1841031000</v>
      </c>
      <c r="T5" s="24">
        <v>0.3715</v>
      </c>
      <c r="U5" t="s">
        <v>1072</v>
      </c>
      <c r="V5">
        <v>10165104200</v>
      </c>
      <c r="W5">
        <v>10165104200</v>
      </c>
      <c r="X5">
        <v>1.63</v>
      </c>
      <c r="Y5">
        <v>0.87</v>
      </c>
      <c r="Z5">
        <v>6.1</v>
      </c>
      <c r="AA5" t="s">
        <v>1815</v>
      </c>
      <c r="AB5" t="s">
        <v>1816</v>
      </c>
      <c r="AC5" t="s">
        <v>198</v>
      </c>
      <c r="AD5" t="s">
        <v>1817</v>
      </c>
      <c r="AE5" t="s">
        <v>1818</v>
      </c>
      <c r="AF5">
        <v>-54862933</v>
      </c>
      <c r="AG5" t="s">
        <v>1819</v>
      </c>
      <c r="AH5" t="s">
        <v>1820</v>
      </c>
      <c r="AI5" t="s">
        <v>1821</v>
      </c>
      <c r="AJ5" t="s">
        <v>1822</v>
      </c>
      <c r="AK5" t="s">
        <v>1823</v>
      </c>
      <c r="AL5" t="s">
        <v>1824</v>
      </c>
      <c r="AM5" t="s">
        <v>1825</v>
      </c>
      <c r="AN5" t="s">
        <v>167</v>
      </c>
      <c r="AO5" t="s">
        <v>1826</v>
      </c>
      <c r="AP5" t="s">
        <v>1827</v>
      </c>
      <c r="AQ5" t="s">
        <v>1828</v>
      </c>
      <c r="AR5" t="s">
        <v>1829</v>
      </c>
      <c r="AS5" t="s">
        <v>1830</v>
      </c>
      <c r="AT5" t="s">
        <v>1831</v>
      </c>
      <c r="AU5" t="s">
        <v>1832</v>
      </c>
      <c r="AV5" t="s">
        <v>185</v>
      </c>
      <c r="AW5" t="s">
        <v>1833</v>
      </c>
      <c r="AX5" t="s">
        <v>1834</v>
      </c>
      <c r="AY5" t="s">
        <v>1835</v>
      </c>
      <c r="AZ5" t="s">
        <v>1836</v>
      </c>
      <c r="BA5" t="s">
        <v>1837</v>
      </c>
      <c r="BB5" t="s">
        <v>1838</v>
      </c>
      <c r="BC5" t="s">
        <v>1839</v>
      </c>
      <c r="BD5" t="s">
        <v>1840</v>
      </c>
      <c r="BE5" t="s">
        <v>1841</v>
      </c>
      <c r="BF5" t="s">
        <v>1842</v>
      </c>
      <c r="BG5" t="s">
        <v>1843</v>
      </c>
      <c r="BH5" t="s">
        <v>1844</v>
      </c>
      <c r="BI5" t="s">
        <v>1845</v>
      </c>
      <c r="BJ5" t="s">
        <v>1846</v>
      </c>
      <c r="BK5" t="s">
        <v>1847</v>
      </c>
      <c r="BL5" t="s">
        <v>223</v>
      </c>
      <c r="BM5" t="s">
        <v>1848</v>
      </c>
      <c r="BN5" t="s">
        <v>1849</v>
      </c>
      <c r="BO5">
        <v>7.64</v>
      </c>
      <c r="BP5">
        <v>8.65</v>
      </c>
      <c r="BQ5">
        <v>7.99</v>
      </c>
      <c r="BR5">
        <v>6.3</v>
      </c>
      <c r="BS5">
        <v>8.01</v>
      </c>
      <c r="BT5">
        <v>7.71</v>
      </c>
      <c r="BU5" t="s">
        <v>1850</v>
      </c>
      <c r="BV5" t="s">
        <v>1770</v>
      </c>
      <c r="BW5">
        <v>11.3</v>
      </c>
      <c r="BX5">
        <v>13.08</v>
      </c>
      <c r="BY5">
        <v>12.17</v>
      </c>
      <c r="BZ5">
        <v>5.35</v>
      </c>
      <c r="CA5">
        <v>4.82</v>
      </c>
      <c r="CB5">
        <v>3.89</v>
      </c>
      <c r="CC5">
        <v>2.35</v>
      </c>
      <c r="CD5">
        <v>-4.6900000000000004</v>
      </c>
      <c r="CE5" t="s">
        <v>261</v>
      </c>
      <c r="CF5" t="s">
        <v>1286</v>
      </c>
      <c r="CG5" s="25">
        <v>0.11639707955689807</v>
      </c>
      <c r="CH5" s="26">
        <v>0.26139436619718309</v>
      </c>
      <c r="CI5" s="25">
        <v>0.16655626893043518</v>
      </c>
      <c r="CJ5" s="25">
        <v>-7.6203132048249245E-3</v>
      </c>
      <c r="CK5" s="25">
        <v>0.15489213168621063</v>
      </c>
      <c r="CL5" s="25">
        <v>0.22236748039722443</v>
      </c>
      <c r="CM5" s="25">
        <v>0.22336907684803009</v>
      </c>
      <c r="CN5" s="26">
        <v>-0.15637318789958954</v>
      </c>
      <c r="CO5" s="26">
        <v>0.23438774049282074</v>
      </c>
      <c r="CP5" s="26">
        <v>0.15666034817695618</v>
      </c>
      <c r="CQ5" s="26">
        <v>-9.4307512044906616E-2</v>
      </c>
      <c r="CR5" s="26">
        <v>0.89228284358978271</v>
      </c>
      <c r="CS5">
        <v>0.80031926482356286</v>
      </c>
      <c r="CT5">
        <v>127503629.28348909</v>
      </c>
      <c r="CU5">
        <v>1.8032786885245904</v>
      </c>
      <c r="CV5" s="25">
        <v>0.15191292893141509</v>
      </c>
      <c r="CW5" s="26">
        <v>0.20653004646301271</v>
      </c>
      <c r="CX5">
        <v>0.06</v>
      </c>
      <c r="CY5">
        <v>16.285373110108708</v>
      </c>
      <c r="CZ5">
        <v>1395336038.4414501</v>
      </c>
      <c r="DA5">
        <v>0.15191292893141509</v>
      </c>
      <c r="DB5">
        <v>5.0519774735487983</v>
      </c>
      <c r="DC5">
        <v>4497955131.2285767</v>
      </c>
      <c r="DD5">
        <v>0.14431728248484432</v>
      </c>
      <c r="DE5">
        <v>2.3160779716437419</v>
      </c>
      <c r="DF5">
        <v>9811227548.5582523</v>
      </c>
      <c r="DG5">
        <v>0.13368337745964529</v>
      </c>
      <c r="DH5">
        <v>1.2806918251058732</v>
      </c>
      <c r="DI5">
        <v>17743197508.20731</v>
      </c>
      <c r="DJ5">
        <v>0.12153034314513207</v>
      </c>
      <c r="DK5">
        <v>0.54780761081845375</v>
      </c>
      <c r="DL5">
        <v>41480927886.434036</v>
      </c>
      <c r="DM5">
        <v>0.10633905025199056</v>
      </c>
      <c r="DN5">
        <v>1284000000</v>
      </c>
      <c r="DO5">
        <v>0.15191292893141509</v>
      </c>
      <c r="DP5">
        <v>22723568000</v>
      </c>
      <c r="DQ5">
        <v>7748566000</v>
      </c>
      <c r="DR5">
        <v>3505</v>
      </c>
      <c r="DS5">
        <v>-3.5515849374517017E-2</v>
      </c>
      <c r="DT5">
        <v>5.4864319734170386E-2</v>
      </c>
      <c r="DU5" s="27">
        <v>0.6</v>
      </c>
      <c r="DV5">
        <v>0.6</v>
      </c>
      <c r="DW5">
        <v>1.2</v>
      </c>
      <c r="DX5">
        <v>-1.0468999999999999</v>
      </c>
      <c r="DY5">
        <v>0.40740740740740833</v>
      </c>
      <c r="DZ5">
        <v>-1.0073824074074074</v>
      </c>
      <c r="EA5">
        <v>1109</v>
      </c>
      <c r="EB5">
        <v>-1.0057190409273555</v>
      </c>
      <c r="EC5">
        <v>1</v>
      </c>
      <c r="ED5">
        <v>1.5051493520351714E-2</v>
      </c>
      <c r="EE5">
        <v>9.5621252952822672E-2</v>
      </c>
      <c r="EF5" s="28">
        <v>5.8400000000000001E-2</v>
      </c>
      <c r="EG5">
        <v>5.8533000000000002E-2</v>
      </c>
      <c r="EH5">
        <v>25.157407407407408</v>
      </c>
      <c r="EI5">
        <v>-1</v>
      </c>
      <c r="EJ5">
        <v>0</v>
      </c>
      <c r="EK5">
        <v>1</v>
      </c>
      <c r="EL5" s="29">
        <v>44946</v>
      </c>
      <c r="EM5" s="30">
        <v>6.7000000000000002E-3</v>
      </c>
      <c r="EN5" s="30">
        <v>-1</v>
      </c>
      <c r="EO5" s="30">
        <v>1.68</v>
      </c>
      <c r="EP5" s="30">
        <v>-0.33</v>
      </c>
      <c r="EQ5" s="30">
        <v>1.3299999999999999E-2</v>
      </c>
    </row>
    <row r="6" spans="1:147" ht="86.4" x14ac:dyDescent="0.25">
      <c r="B6" s="23"/>
      <c r="C6" s="23"/>
      <c r="D6" s="23" t="s">
        <v>1886</v>
      </c>
      <c r="E6" t="s">
        <v>661</v>
      </c>
      <c r="F6" t="s">
        <v>662</v>
      </c>
      <c r="G6">
        <v>6.73</v>
      </c>
      <c r="H6">
        <v>4.4999999999999998E-2</v>
      </c>
      <c r="I6" t="s">
        <v>663</v>
      </c>
      <c r="J6">
        <v>29755718000</v>
      </c>
      <c r="K6">
        <v>45.39</v>
      </c>
      <c r="L6">
        <v>1.29</v>
      </c>
      <c r="M6" t="s">
        <v>172</v>
      </c>
      <c r="N6" t="s">
        <v>1852</v>
      </c>
      <c r="O6" t="s">
        <v>1853</v>
      </c>
      <c r="P6" t="s">
        <v>1854</v>
      </c>
      <c r="Q6">
        <v>63</v>
      </c>
      <c r="R6" t="s">
        <v>1855</v>
      </c>
      <c r="S6">
        <v>834884300</v>
      </c>
      <c r="T6" s="24">
        <v>0.52049999999999996</v>
      </c>
      <c r="U6" t="s">
        <v>1856</v>
      </c>
      <c r="V6">
        <v>4421354800</v>
      </c>
      <c r="W6">
        <v>4421354800</v>
      </c>
      <c r="X6">
        <v>1.63</v>
      </c>
      <c r="Y6">
        <v>0.54</v>
      </c>
      <c r="Z6">
        <v>4.25</v>
      </c>
      <c r="AA6" t="s">
        <v>1857</v>
      </c>
      <c r="AB6" t="s">
        <v>1858</v>
      </c>
      <c r="AC6" t="s">
        <v>1859</v>
      </c>
      <c r="AD6" t="s">
        <v>565</v>
      </c>
      <c r="AE6" t="s">
        <v>241</v>
      </c>
      <c r="AF6">
        <v>-89031700</v>
      </c>
      <c r="AG6" t="s">
        <v>1860</v>
      </c>
      <c r="AH6" t="s">
        <v>1861</v>
      </c>
      <c r="AI6" t="s">
        <v>1862</v>
      </c>
      <c r="AJ6" t="s">
        <v>1863</v>
      </c>
      <c r="AK6" t="s">
        <v>1864</v>
      </c>
      <c r="AL6" t="s">
        <v>167</v>
      </c>
      <c r="AM6" t="s">
        <v>1865</v>
      </c>
      <c r="AN6" t="s">
        <v>167</v>
      </c>
      <c r="AO6" t="s">
        <v>263</v>
      </c>
      <c r="AP6" t="s">
        <v>167</v>
      </c>
      <c r="AQ6" t="s">
        <v>491</v>
      </c>
      <c r="AR6" t="s">
        <v>1866</v>
      </c>
      <c r="AS6">
        <v>2200</v>
      </c>
      <c r="AT6" t="s">
        <v>1867</v>
      </c>
      <c r="AU6" t="s">
        <v>257</v>
      </c>
      <c r="AV6" t="s">
        <v>1868</v>
      </c>
      <c r="AW6" t="s">
        <v>1869</v>
      </c>
      <c r="AX6" t="s">
        <v>1870</v>
      </c>
      <c r="AY6" t="s">
        <v>1871</v>
      </c>
      <c r="AZ6" t="s">
        <v>1872</v>
      </c>
      <c r="BA6" t="s">
        <v>1873</v>
      </c>
      <c r="BB6" t="s">
        <v>1874</v>
      </c>
      <c r="BC6" t="s">
        <v>1875</v>
      </c>
      <c r="BD6" t="s">
        <v>1515</v>
      </c>
      <c r="BE6" t="s">
        <v>1876</v>
      </c>
      <c r="BF6" t="s">
        <v>1877</v>
      </c>
      <c r="BG6" t="s">
        <v>911</v>
      </c>
      <c r="BH6" t="s">
        <v>1878</v>
      </c>
      <c r="BI6" t="s">
        <v>1879</v>
      </c>
      <c r="BJ6" t="s">
        <v>1880</v>
      </c>
      <c r="BK6" t="s">
        <v>1881</v>
      </c>
      <c r="BL6" t="s">
        <v>1258</v>
      </c>
      <c r="BM6" t="s">
        <v>1882</v>
      </c>
      <c r="BN6" t="s">
        <v>1883</v>
      </c>
      <c r="BO6">
        <v>2.0699999999999998</v>
      </c>
      <c r="BP6">
        <v>1.95</v>
      </c>
      <c r="BQ6">
        <v>0.71</v>
      </c>
      <c r="BR6">
        <v>1.64</v>
      </c>
      <c r="BS6">
        <v>1.61</v>
      </c>
      <c r="BT6">
        <v>0.12</v>
      </c>
      <c r="BU6" t="s">
        <v>1884</v>
      </c>
      <c r="BV6" t="s">
        <v>1770</v>
      </c>
      <c r="BW6">
        <v>7.85</v>
      </c>
      <c r="BX6">
        <v>10.3</v>
      </c>
      <c r="BY6">
        <v>12.16</v>
      </c>
      <c r="BZ6">
        <v>4.0599999999999996</v>
      </c>
      <c r="CA6">
        <v>2.0499999999999998</v>
      </c>
      <c r="CB6">
        <v>0.19</v>
      </c>
      <c r="CC6">
        <v>8.5500000000000007</v>
      </c>
      <c r="CD6">
        <v>10.51</v>
      </c>
      <c r="CE6" t="s">
        <v>281</v>
      </c>
      <c r="CF6" t="s">
        <v>1885</v>
      </c>
      <c r="CG6" s="25">
        <v>0.72918427518427487</v>
      </c>
      <c r="CH6" s="26">
        <v>1.375062416107383</v>
      </c>
      <c r="CI6" s="25">
        <v>0.1081564798951149</v>
      </c>
      <c r="CJ6" s="25">
        <v>0.21434402465820313</v>
      </c>
      <c r="CK6" s="25">
        <v>0.33098074793815613</v>
      </c>
      <c r="CL6" s="25">
        <v>7.7928468585014343E-2</v>
      </c>
      <c r="CM6" s="25">
        <v>-0.14501340687274933</v>
      </c>
      <c r="CN6" s="26">
        <v>1.9283747300505638E-2</v>
      </c>
      <c r="CO6" s="26">
        <v>11.99826717376709</v>
      </c>
      <c r="CP6" s="26">
        <v>-0.64994359016418457</v>
      </c>
      <c r="CQ6" s="26">
        <v>-0.83751940727233887</v>
      </c>
      <c r="CR6" s="26">
        <v>-0.62661600112915039</v>
      </c>
      <c r="CS6">
        <v>1.5031936347562516</v>
      </c>
      <c r="CT6">
        <v>167308000</v>
      </c>
      <c r="CU6">
        <v>1.1887072808320951</v>
      </c>
      <c r="CV6" s="25">
        <v>0.11727926284074783</v>
      </c>
      <c r="CW6" s="26">
        <v>1.9806943845003844</v>
      </c>
      <c r="CX6">
        <v>0.06</v>
      </c>
      <c r="CY6">
        <v>54.230921502958566</v>
      </c>
      <c r="CZ6">
        <v>389993704.95384592</v>
      </c>
      <c r="DA6">
        <v>0.11727926284074783</v>
      </c>
      <c r="DB6">
        <v>17.318723366464706</v>
      </c>
      <c r="DC6">
        <v>1221205371.347029</v>
      </c>
      <c r="DD6">
        <v>0.11141529969871043</v>
      </c>
      <c r="DE6">
        <v>8.2644495186038611</v>
      </c>
      <c r="DF6">
        <v>2559119993.7019987</v>
      </c>
      <c r="DG6">
        <v>0.1032057512998581</v>
      </c>
      <c r="DH6">
        <v>4.7897122728232446</v>
      </c>
      <c r="DI6">
        <v>4415655220.0438385</v>
      </c>
      <c r="DJ6">
        <v>9.3823410272598273E-2</v>
      </c>
      <c r="DK6">
        <v>2.2852154008879086</v>
      </c>
      <c r="DL6">
        <v>9255021645.5667095</v>
      </c>
      <c r="DM6">
        <v>8.2095483988523468E-2</v>
      </c>
      <c r="DN6">
        <v>370000000</v>
      </c>
      <c r="DO6">
        <v>0.11727926284074783</v>
      </c>
      <c r="DP6">
        <v>21149718000</v>
      </c>
      <c r="DQ6">
        <v>7621714000</v>
      </c>
      <c r="DR6">
        <v>3200</v>
      </c>
      <c r="DS6">
        <v>0.61190501234352701</v>
      </c>
      <c r="DT6">
        <v>-0.60563196839300137</v>
      </c>
      <c r="DU6" s="27">
        <v>0.6</v>
      </c>
      <c r="DV6">
        <v>0.6</v>
      </c>
      <c r="DW6">
        <v>1.2</v>
      </c>
      <c r="DX6">
        <v>9.8135109419600379</v>
      </c>
      <c r="DY6">
        <v>0.57470588235294051</v>
      </c>
      <c r="DZ6">
        <v>9.1339900374993004</v>
      </c>
      <c r="EA6">
        <v>2048</v>
      </c>
      <c r="EB6">
        <v>9.0782379861383564</v>
      </c>
      <c r="EC6">
        <v>9</v>
      </c>
      <c r="ED6">
        <v>2.849805222598286E-2</v>
      </c>
      <c r="EE6">
        <v>0.17302388851489592</v>
      </c>
      <c r="EF6" s="28">
        <v>3.8410000000000007E-2</v>
      </c>
      <c r="EG6">
        <v>3.7960000000000001E-2</v>
      </c>
      <c r="EH6">
        <v>41.164705882352941</v>
      </c>
      <c r="EI6" t="s">
        <v>180</v>
      </c>
      <c r="EJ6">
        <v>1</v>
      </c>
      <c r="EK6">
        <v>0</v>
      </c>
      <c r="EL6" s="29">
        <v>44946</v>
      </c>
      <c r="EM6" s="30">
        <v>1.9400000000000001E-2</v>
      </c>
      <c r="EN6" s="30">
        <v>1.42</v>
      </c>
      <c r="EO6" s="30">
        <v>1.72</v>
      </c>
      <c r="EP6" s="30">
        <v>-1.23</v>
      </c>
      <c r="EQ6" s="30">
        <v>4.4999999999999998E-2</v>
      </c>
    </row>
    <row r="7" spans="1:147" ht="86.4" x14ac:dyDescent="0.25">
      <c r="B7" s="23"/>
      <c r="C7" s="23"/>
      <c r="D7" s="23" t="s">
        <v>1922</v>
      </c>
      <c r="E7" t="s">
        <v>664</v>
      </c>
      <c r="F7" t="s">
        <v>665</v>
      </c>
      <c r="G7">
        <v>3.11</v>
      </c>
      <c r="H7">
        <v>1.9699999999999999E-2</v>
      </c>
      <c r="I7" t="s">
        <v>666</v>
      </c>
      <c r="J7">
        <v>17363589000</v>
      </c>
      <c r="K7">
        <v>32.96</v>
      </c>
      <c r="L7">
        <v>0.67900000000000005</v>
      </c>
      <c r="M7" t="s">
        <v>172</v>
      </c>
      <c r="N7" t="s">
        <v>1887</v>
      </c>
      <c r="O7" t="s">
        <v>1888</v>
      </c>
      <c r="P7" t="s">
        <v>1889</v>
      </c>
      <c r="Q7">
        <v>9.9700000000000006</v>
      </c>
      <c r="R7" t="s">
        <v>1890</v>
      </c>
      <c r="S7">
        <v>880585560</v>
      </c>
      <c r="T7" s="24">
        <v>8.2900000000000001E-2</v>
      </c>
      <c r="U7" t="s">
        <v>1891</v>
      </c>
      <c r="V7">
        <v>5583147500</v>
      </c>
      <c r="W7">
        <v>5583147500</v>
      </c>
      <c r="X7">
        <v>4.05</v>
      </c>
      <c r="Y7">
        <v>0.55000000000000004</v>
      </c>
      <c r="Z7">
        <v>1.54</v>
      </c>
      <c r="AA7" t="s">
        <v>1892</v>
      </c>
      <c r="AB7" t="s">
        <v>1893</v>
      </c>
      <c r="AC7" t="s">
        <v>1894</v>
      </c>
      <c r="AD7" t="s">
        <v>1627</v>
      </c>
      <c r="AE7" t="s">
        <v>303</v>
      </c>
      <c r="AF7">
        <v>-528200790</v>
      </c>
      <c r="AG7" t="s">
        <v>1895</v>
      </c>
      <c r="AH7" t="s">
        <v>1896</v>
      </c>
      <c r="AI7" t="s">
        <v>1897</v>
      </c>
      <c r="AJ7" t="s">
        <v>1898</v>
      </c>
      <c r="AK7" t="s">
        <v>1899</v>
      </c>
      <c r="AL7" t="s">
        <v>167</v>
      </c>
      <c r="AM7" t="s">
        <v>1900</v>
      </c>
      <c r="AN7" t="s">
        <v>167</v>
      </c>
      <c r="AO7" t="s">
        <v>1901</v>
      </c>
      <c r="AP7" t="s">
        <v>167</v>
      </c>
      <c r="AQ7" t="s">
        <v>1902</v>
      </c>
      <c r="AR7" t="s">
        <v>1903</v>
      </c>
      <c r="AS7" t="s">
        <v>167</v>
      </c>
      <c r="AT7" t="s">
        <v>1904</v>
      </c>
      <c r="AU7" t="s">
        <v>167</v>
      </c>
      <c r="AV7" t="s">
        <v>1905</v>
      </c>
      <c r="AW7" t="s">
        <v>1906</v>
      </c>
      <c r="AX7" t="s">
        <v>1907</v>
      </c>
      <c r="AY7" t="s">
        <v>1908</v>
      </c>
      <c r="AZ7" t="s">
        <v>1909</v>
      </c>
      <c r="BA7" t="s">
        <v>1910</v>
      </c>
      <c r="BB7" t="s">
        <v>1911</v>
      </c>
      <c r="BC7" t="s">
        <v>1912</v>
      </c>
      <c r="BD7" t="s">
        <v>1913</v>
      </c>
      <c r="BE7" t="s">
        <v>458</v>
      </c>
      <c r="BF7" t="s">
        <v>1095</v>
      </c>
      <c r="BG7" t="s">
        <v>1038</v>
      </c>
      <c r="BH7" t="s">
        <v>1914</v>
      </c>
      <c r="BI7" t="s">
        <v>1915</v>
      </c>
      <c r="BJ7" t="s">
        <v>1916</v>
      </c>
      <c r="BK7" t="s">
        <v>1917</v>
      </c>
      <c r="BL7" t="s">
        <v>1918</v>
      </c>
      <c r="BM7" t="s">
        <v>263</v>
      </c>
      <c r="BN7" t="s">
        <v>1258</v>
      </c>
      <c r="BO7">
        <v>2.31</v>
      </c>
      <c r="BP7">
        <v>3.82</v>
      </c>
      <c r="BQ7">
        <v>4</v>
      </c>
      <c r="BR7">
        <v>1.86</v>
      </c>
      <c r="BS7">
        <v>3.55</v>
      </c>
      <c r="BT7">
        <v>3.38</v>
      </c>
      <c r="BU7" t="s">
        <v>1919</v>
      </c>
      <c r="BV7" t="s">
        <v>1770</v>
      </c>
      <c r="BW7">
        <v>5.75</v>
      </c>
      <c r="BX7">
        <v>7.91</v>
      </c>
      <c r="BY7">
        <v>7.94</v>
      </c>
      <c r="BZ7">
        <v>1.6</v>
      </c>
      <c r="CA7">
        <v>1.23</v>
      </c>
      <c r="CB7">
        <v>1.24</v>
      </c>
      <c r="CC7">
        <v>4.71</v>
      </c>
      <c r="CD7">
        <v>-9.33</v>
      </c>
      <c r="CE7" t="s">
        <v>1920</v>
      </c>
      <c r="CF7" t="s">
        <v>1921</v>
      </c>
      <c r="CG7" s="25">
        <v>-0.11767246940760824</v>
      </c>
      <c r="CH7" s="26">
        <v>-0.26932060240963895</v>
      </c>
      <c r="CI7" s="25">
        <v>0.12919740378856659</v>
      </c>
      <c r="CJ7" s="25">
        <v>8.6758710443973541E-2</v>
      </c>
      <c r="CK7" s="25">
        <v>9.5664791762828827E-2</v>
      </c>
      <c r="CL7" s="25">
        <v>7.2468467056751251E-2</v>
      </c>
      <c r="CM7" s="25">
        <v>9.2836387455463409E-2</v>
      </c>
      <c r="CN7" s="26">
        <v>-0.46315789222717285</v>
      </c>
      <c r="CO7" s="26">
        <v>6.3432835042476654E-2</v>
      </c>
      <c r="CP7" s="26">
        <v>-0.16770187020301819</v>
      </c>
      <c r="CQ7" s="26">
        <v>0.44179105758666992</v>
      </c>
      <c r="CR7" s="26">
        <v>-0.47981366515159607</v>
      </c>
      <c r="CS7">
        <v>0.21750161589337608</v>
      </c>
      <c r="CT7">
        <v>186037917.21132898</v>
      </c>
      <c r="CU7">
        <v>0.80385852090032162</v>
      </c>
      <c r="CV7" s="25">
        <v>9.5385152101516726E-2</v>
      </c>
      <c r="CW7" s="26">
        <v>-0.1210899069905281</v>
      </c>
      <c r="CX7">
        <v>0.06</v>
      </c>
      <c r="CY7">
        <v>147.58439263539094</v>
      </c>
      <c r="CZ7">
        <v>474322438.504336</v>
      </c>
      <c r="DA7">
        <v>9.5385152101516726E-2</v>
      </c>
      <c r="DB7">
        <v>48.009909470981476</v>
      </c>
      <c r="DC7">
        <v>1458086252.8456028</v>
      </c>
      <c r="DD7">
        <v>9.0615894496440891E-2</v>
      </c>
      <c r="DE7">
        <v>23.490269955790453</v>
      </c>
      <c r="DF7">
        <v>2980067454.8120322</v>
      </c>
      <c r="DG7">
        <v>8.3938933849334721E-2</v>
      </c>
      <c r="DH7">
        <v>14.009245867183502</v>
      </c>
      <c r="DI7">
        <v>4996884890.4265623</v>
      </c>
      <c r="DJ7">
        <v>7.6308121681213384E-2</v>
      </c>
      <c r="DK7">
        <v>7.1276896095475513</v>
      </c>
      <c r="DL7">
        <v>9821217369.8236561</v>
      </c>
      <c r="DM7">
        <v>6.6769606471061699E-2</v>
      </c>
      <c r="DN7">
        <v>459000000</v>
      </c>
      <c r="DO7">
        <v>9.5385152101516726E-2</v>
      </c>
      <c r="DP7">
        <v>70002589000</v>
      </c>
      <c r="DQ7">
        <v>19516255000</v>
      </c>
      <c r="DR7">
        <v>3016</v>
      </c>
      <c r="DS7">
        <v>-0.21305762150912497</v>
      </c>
      <c r="DT7">
        <v>-0.14823069541911085</v>
      </c>
      <c r="DU7" s="27">
        <v>0.6</v>
      </c>
      <c r="DV7">
        <v>0.6</v>
      </c>
      <c r="DW7">
        <v>1.2</v>
      </c>
      <c r="DX7">
        <v>6.3354700854700852</v>
      </c>
      <c r="DY7">
        <v>0.40560862865947755</v>
      </c>
      <c r="DZ7">
        <v>6.0488473391015765</v>
      </c>
      <c r="EA7">
        <v>2895</v>
      </c>
      <c r="EB7">
        <v>6.0201165291261471</v>
      </c>
      <c r="EC7">
        <v>6</v>
      </c>
      <c r="ED7">
        <v>3.3851872980249942E-2</v>
      </c>
      <c r="EE7">
        <v>0.23248534988552605</v>
      </c>
      <c r="EF7" s="28">
        <v>2.8709999999999999E-2</v>
      </c>
      <c r="EG7">
        <v>2.8513E-2</v>
      </c>
      <c r="EH7">
        <v>26.145608628659478</v>
      </c>
      <c r="EI7">
        <v>-1</v>
      </c>
      <c r="EJ7">
        <v>0</v>
      </c>
      <c r="EK7">
        <v>0</v>
      </c>
      <c r="EL7" s="29">
        <v>44946</v>
      </c>
      <c r="EM7" s="30">
        <v>6.7000000000000002E-3</v>
      </c>
      <c r="EN7" s="30">
        <v>-0.33</v>
      </c>
      <c r="EO7" s="30">
        <v>2.68</v>
      </c>
      <c r="EP7" s="30">
        <v>-0.33</v>
      </c>
      <c r="EQ7" s="30">
        <v>1.9699999999999999E-2</v>
      </c>
    </row>
    <row r="8" spans="1:147" ht="97.2" x14ac:dyDescent="0.25">
      <c r="B8" s="23"/>
      <c r="C8" s="23"/>
      <c r="D8" s="23" t="s">
        <v>1954</v>
      </c>
      <c r="E8" t="s">
        <v>667</v>
      </c>
      <c r="F8" t="s">
        <v>668</v>
      </c>
      <c r="G8">
        <v>19.559999999999999</v>
      </c>
      <c r="H8">
        <v>3.49E-2</v>
      </c>
      <c r="I8" t="s">
        <v>669</v>
      </c>
      <c r="J8">
        <v>7824002000</v>
      </c>
      <c r="K8">
        <v>19.88</v>
      </c>
      <c r="L8">
        <v>3.6</v>
      </c>
      <c r="M8" t="s">
        <v>172</v>
      </c>
      <c r="N8" t="s">
        <v>1923</v>
      </c>
      <c r="O8" t="s">
        <v>1924</v>
      </c>
      <c r="P8" t="s">
        <v>1925</v>
      </c>
      <c r="Q8">
        <v>91.74</v>
      </c>
      <c r="R8" t="s">
        <v>201</v>
      </c>
      <c r="S8">
        <v>371543070</v>
      </c>
      <c r="T8" s="24">
        <v>7.4279999999999999</v>
      </c>
      <c r="U8" t="s">
        <v>1926</v>
      </c>
      <c r="V8">
        <v>400000100</v>
      </c>
      <c r="W8">
        <v>400000100</v>
      </c>
      <c r="X8">
        <v>3.21</v>
      </c>
      <c r="Y8">
        <v>0.34</v>
      </c>
      <c r="Z8">
        <v>16.760000000000002</v>
      </c>
      <c r="AA8" t="s">
        <v>1927</v>
      </c>
      <c r="AB8" t="s">
        <v>246</v>
      </c>
      <c r="AC8" t="s">
        <v>1928</v>
      </c>
      <c r="AD8" t="s">
        <v>293</v>
      </c>
      <c r="AE8" t="s">
        <v>1929</v>
      </c>
      <c r="AF8">
        <v>59320400</v>
      </c>
      <c r="AG8" t="s">
        <v>248</v>
      </c>
      <c r="AH8" t="s">
        <v>1930</v>
      </c>
      <c r="AI8" t="s">
        <v>1931</v>
      </c>
      <c r="AJ8" t="s">
        <v>218</v>
      </c>
      <c r="AK8" t="s">
        <v>1932</v>
      </c>
      <c r="AL8" t="s">
        <v>1933</v>
      </c>
      <c r="AM8" t="s">
        <v>1934</v>
      </c>
      <c r="AN8" t="s">
        <v>167</v>
      </c>
      <c r="AO8" t="s">
        <v>1736</v>
      </c>
      <c r="AP8" t="s">
        <v>1560</v>
      </c>
      <c r="AQ8" t="s">
        <v>1935</v>
      </c>
      <c r="AR8" t="s">
        <v>218</v>
      </c>
      <c r="AS8" t="s">
        <v>167</v>
      </c>
      <c r="AT8" t="s">
        <v>1936</v>
      </c>
      <c r="AU8" t="s">
        <v>1937</v>
      </c>
      <c r="AV8" t="s">
        <v>253</v>
      </c>
      <c r="AW8" t="s">
        <v>1938</v>
      </c>
      <c r="AX8" t="s">
        <v>255</v>
      </c>
      <c r="AY8" t="s">
        <v>1939</v>
      </c>
      <c r="AZ8" t="s">
        <v>1940</v>
      </c>
      <c r="BA8" t="s">
        <v>1941</v>
      </c>
      <c r="BB8" t="s">
        <v>1942</v>
      </c>
      <c r="BC8" t="s">
        <v>1202</v>
      </c>
      <c r="BD8" t="s">
        <v>1943</v>
      </c>
      <c r="BE8" t="s">
        <v>1944</v>
      </c>
      <c r="BF8" t="s">
        <v>1945</v>
      </c>
      <c r="BG8" t="s">
        <v>1946</v>
      </c>
      <c r="BH8" t="s">
        <v>302</v>
      </c>
      <c r="BI8" t="s">
        <v>1947</v>
      </c>
      <c r="BJ8" t="s">
        <v>524</v>
      </c>
      <c r="BK8" t="s">
        <v>1948</v>
      </c>
      <c r="BL8" t="s">
        <v>1082</v>
      </c>
      <c r="BM8" t="s">
        <v>1949</v>
      </c>
      <c r="BN8" t="s">
        <v>1950</v>
      </c>
      <c r="BO8">
        <v>4.5999999999999996</v>
      </c>
      <c r="BP8">
        <v>-8.92</v>
      </c>
      <c r="BQ8">
        <v>4.34</v>
      </c>
      <c r="BR8">
        <v>3.42</v>
      </c>
      <c r="BS8">
        <v>-22.85</v>
      </c>
      <c r="BT8">
        <v>0.73</v>
      </c>
      <c r="BU8" t="s">
        <v>1951</v>
      </c>
      <c r="BV8" t="s">
        <v>1770</v>
      </c>
      <c r="BW8">
        <v>44.24</v>
      </c>
      <c r="BX8">
        <v>12.41</v>
      </c>
      <c r="BY8">
        <v>20.6</v>
      </c>
      <c r="BZ8">
        <v>15.22</v>
      </c>
      <c r="CA8">
        <v>-30.74</v>
      </c>
      <c r="CB8">
        <v>0.7</v>
      </c>
      <c r="CC8">
        <v>8.7899999999999991</v>
      </c>
      <c r="CD8">
        <v>3.55</v>
      </c>
      <c r="CE8" t="s">
        <v>1952</v>
      </c>
      <c r="CF8" t="s">
        <v>1953</v>
      </c>
      <c r="CG8" s="25">
        <v>1.0249592592592593</v>
      </c>
      <c r="CH8" s="26">
        <v>7.0205446465377692</v>
      </c>
      <c r="CI8" s="25">
        <v>0.10662464797496796</v>
      </c>
      <c r="CJ8" s="25">
        <v>-0.35647588968276978</v>
      </c>
      <c r="CK8" s="25">
        <v>0.77194249629974365</v>
      </c>
      <c r="CL8" s="25">
        <v>-0.21557562053203583</v>
      </c>
      <c r="CM8" s="25">
        <v>0.11097174137830734</v>
      </c>
      <c r="CN8" s="26">
        <v>1.1360936164855957</v>
      </c>
      <c r="CO8" s="26">
        <v>-29.214967727661133</v>
      </c>
      <c r="CP8" s="26">
        <v>-0.4252350926399231</v>
      </c>
      <c r="CQ8" s="26">
        <v>-0.92413008213043213</v>
      </c>
      <c r="CR8" s="26">
        <v>2.5380710139870644E-3</v>
      </c>
      <c r="CS8">
        <v>4.4606624857468642</v>
      </c>
      <c r="CT8">
        <v>561737940.62729144</v>
      </c>
      <c r="CU8">
        <v>0.5112474437627812</v>
      </c>
      <c r="CV8" s="25">
        <v>8.3497475087642672E-2</v>
      </c>
      <c r="CW8" s="26">
        <v>-5.8851402429863811</v>
      </c>
      <c r="CX8">
        <v>0.06</v>
      </c>
      <c r="CY8">
        <v>154.7013728755314</v>
      </c>
      <c r="CZ8">
        <v>67607687.026895583</v>
      </c>
      <c r="DA8">
        <v>8.3497475087642672E-2</v>
      </c>
      <c r="DB8">
        <v>50.834305986051994</v>
      </c>
      <c r="DC8">
        <v>205746922.22354248</v>
      </c>
      <c r="DD8">
        <v>7.9322601333260537E-2</v>
      </c>
      <c r="DE8">
        <v>25.209177663768408</v>
      </c>
      <c r="DF8">
        <v>414888662.35538006</v>
      </c>
      <c r="DG8">
        <v>7.347777807712555E-2</v>
      </c>
      <c r="DH8">
        <v>15.264171622902456</v>
      </c>
      <c r="DI8">
        <v>685199449.95293748</v>
      </c>
      <c r="DJ8">
        <v>6.6797980070114144E-2</v>
      </c>
      <c r="DK8">
        <v>8.0288116201813775</v>
      </c>
      <c r="DL8">
        <v>1302683696.5149424</v>
      </c>
      <c r="DM8">
        <v>5.8448232561349865E-2</v>
      </c>
      <c r="DN8">
        <v>66141500</v>
      </c>
      <c r="DO8">
        <v>8.3497475087642672E-2</v>
      </c>
      <c r="DP8">
        <v>10459002000</v>
      </c>
      <c r="DQ8">
        <v>-664874999.99999952</v>
      </c>
      <c r="DR8">
        <v>4097</v>
      </c>
      <c r="DS8">
        <v>0.94146178417161663</v>
      </c>
      <c r="DT8">
        <v>12.905684889524149</v>
      </c>
      <c r="DU8" s="27">
        <v>0.6</v>
      </c>
      <c r="DV8">
        <v>0.6</v>
      </c>
      <c r="DW8">
        <v>1.2</v>
      </c>
      <c r="DX8">
        <v>5.4038680318543797</v>
      </c>
      <c r="DY8">
        <v>0.55914071856287384</v>
      </c>
      <c r="DZ8">
        <v>5.1006199716607741</v>
      </c>
      <c r="EA8">
        <v>2632</v>
      </c>
      <c r="EB8">
        <v>5.0468142493098682</v>
      </c>
      <c r="EC8">
        <v>5</v>
      </c>
      <c r="ED8">
        <v>0.104016223995944</v>
      </c>
      <c r="EE8">
        <v>0.4174998956250261</v>
      </c>
      <c r="EF8" s="28">
        <v>3.0500000000000003E-2</v>
      </c>
      <c r="EG8">
        <v>3.0848999999999998E-2</v>
      </c>
      <c r="EH8">
        <v>31.249140718562874</v>
      </c>
      <c r="EI8">
        <v>-1</v>
      </c>
      <c r="EJ8">
        <v>1</v>
      </c>
      <c r="EK8">
        <v>0</v>
      </c>
      <c r="EL8" s="29">
        <v>44946</v>
      </c>
      <c r="EM8" s="30">
        <v>3.1099999999999999E-2</v>
      </c>
      <c r="EN8" s="30">
        <v>-1.02</v>
      </c>
      <c r="EO8" s="30">
        <v>5.61</v>
      </c>
      <c r="EP8" s="30">
        <v>-2.48</v>
      </c>
      <c r="EQ8" s="30">
        <v>3.49E-2</v>
      </c>
    </row>
    <row r="9" spans="1:147" ht="86.4" x14ac:dyDescent="0.25">
      <c r="B9" s="23"/>
      <c r="C9" s="23"/>
      <c r="D9" s="23" t="s">
        <v>1986</v>
      </c>
      <c r="E9" t="s">
        <v>670</v>
      </c>
      <c r="F9" t="s">
        <v>671</v>
      </c>
      <c r="G9">
        <v>18.59</v>
      </c>
      <c r="H9">
        <v>1.9699999999999999E-2</v>
      </c>
      <c r="I9" t="s">
        <v>672</v>
      </c>
      <c r="J9">
        <v>5948800000</v>
      </c>
      <c r="K9">
        <v>116.4</v>
      </c>
      <c r="L9">
        <v>4.6900000000000004</v>
      </c>
      <c r="M9" t="s">
        <v>172</v>
      </c>
      <c r="N9" t="s">
        <v>1955</v>
      </c>
      <c r="O9" t="s">
        <v>1956</v>
      </c>
      <c r="P9" t="s">
        <v>1957</v>
      </c>
      <c r="Q9">
        <v>20.63</v>
      </c>
      <c r="R9" t="s">
        <v>326</v>
      </c>
      <c r="S9">
        <v>42596719</v>
      </c>
      <c r="T9" s="24">
        <v>0.65310000000000001</v>
      </c>
      <c r="U9" t="s">
        <v>1958</v>
      </c>
      <c r="V9">
        <v>220070000</v>
      </c>
      <c r="W9">
        <v>320000000</v>
      </c>
      <c r="X9">
        <v>1.41</v>
      </c>
      <c r="Y9">
        <v>0.22</v>
      </c>
      <c r="Z9">
        <v>11.73</v>
      </c>
      <c r="AA9" t="s">
        <v>1098</v>
      </c>
      <c r="AB9" t="s">
        <v>244</v>
      </c>
      <c r="AC9" t="s">
        <v>167</v>
      </c>
      <c r="AD9" t="s">
        <v>1959</v>
      </c>
      <c r="AE9" t="s">
        <v>1960</v>
      </c>
      <c r="AF9">
        <v>-4942664</v>
      </c>
      <c r="AG9" t="s">
        <v>1961</v>
      </c>
      <c r="AH9" t="s">
        <v>167</v>
      </c>
      <c r="AI9" t="s">
        <v>1962</v>
      </c>
      <c r="AJ9" t="s">
        <v>1963</v>
      </c>
      <c r="AK9" t="s">
        <v>1964</v>
      </c>
      <c r="AL9" t="s">
        <v>1965</v>
      </c>
      <c r="AM9" t="s">
        <v>1966</v>
      </c>
      <c r="AN9" t="s">
        <v>167</v>
      </c>
      <c r="AO9" t="s">
        <v>1967</v>
      </c>
      <c r="AP9" t="s">
        <v>1968</v>
      </c>
      <c r="AQ9" t="s">
        <v>1969</v>
      </c>
      <c r="AR9" t="s">
        <v>791</v>
      </c>
      <c r="AS9" t="s">
        <v>1970</v>
      </c>
      <c r="AT9" t="s">
        <v>298</v>
      </c>
      <c r="AU9" t="s">
        <v>791</v>
      </c>
      <c r="AV9" t="s">
        <v>271</v>
      </c>
      <c r="AW9" t="s">
        <v>1971</v>
      </c>
      <c r="AX9" t="s">
        <v>285</v>
      </c>
      <c r="AY9" t="s">
        <v>1099</v>
      </c>
      <c r="AZ9" t="s">
        <v>293</v>
      </c>
      <c r="BA9" t="s">
        <v>1151</v>
      </c>
      <c r="BB9" t="s">
        <v>1972</v>
      </c>
      <c r="BC9" t="s">
        <v>1973</v>
      </c>
      <c r="BD9" t="s">
        <v>1974</v>
      </c>
      <c r="BE9" t="s">
        <v>1975</v>
      </c>
      <c r="BF9" t="s">
        <v>1976</v>
      </c>
      <c r="BG9" t="s">
        <v>1977</v>
      </c>
      <c r="BH9" t="s">
        <v>1978</v>
      </c>
      <c r="BI9" t="s">
        <v>241</v>
      </c>
      <c r="BJ9" t="s">
        <v>425</v>
      </c>
      <c r="BK9" t="s">
        <v>1979</v>
      </c>
      <c r="BL9" t="s">
        <v>1980</v>
      </c>
      <c r="BM9" t="s">
        <v>1981</v>
      </c>
      <c r="BN9" t="s">
        <v>1982</v>
      </c>
      <c r="BO9">
        <v>3.02</v>
      </c>
      <c r="BP9">
        <v>1.1499999999999999</v>
      </c>
      <c r="BQ9">
        <v>2.2799999999999998</v>
      </c>
      <c r="BR9">
        <v>2.82</v>
      </c>
      <c r="BS9">
        <v>0.87</v>
      </c>
      <c r="BT9">
        <v>2.19</v>
      </c>
      <c r="BU9" t="s">
        <v>1983</v>
      </c>
      <c r="BV9" t="s">
        <v>1770</v>
      </c>
      <c r="BW9">
        <v>52.25</v>
      </c>
      <c r="BX9">
        <v>35.06</v>
      </c>
      <c r="BY9">
        <v>66.31</v>
      </c>
      <c r="BZ9">
        <v>11.59</v>
      </c>
      <c r="CA9">
        <v>2.62</v>
      </c>
      <c r="CB9">
        <v>15.47</v>
      </c>
      <c r="CC9">
        <v>3.51</v>
      </c>
      <c r="CD9">
        <v>2.09</v>
      </c>
      <c r="CE9" t="s">
        <v>1984</v>
      </c>
      <c r="CF9" t="s">
        <v>1985</v>
      </c>
      <c r="CG9" s="25">
        <v>0.28790519230769229</v>
      </c>
      <c r="CH9" s="26">
        <v>0.49415832110142827</v>
      </c>
      <c r="CI9" s="25">
        <v>-4.4705882668495178E-2</v>
      </c>
      <c r="CJ9" s="25">
        <v>1.4285714626312256</v>
      </c>
      <c r="CK9" s="25">
        <v>0.60550457239151001</v>
      </c>
      <c r="CL9" s="25">
        <v>0.32751494646072388</v>
      </c>
      <c r="CM9" s="25">
        <v>2.1388625726103783E-2</v>
      </c>
      <c r="CN9" s="26">
        <v>2.27018141746521</v>
      </c>
      <c r="CO9" s="26">
        <v>-0.59952861070632935</v>
      </c>
      <c r="CP9" s="26">
        <v>-9.724985808134079E-2</v>
      </c>
      <c r="CQ9" s="26">
        <v>2.7282822132110596</v>
      </c>
      <c r="CR9" s="26">
        <v>-2.4765520095825195</v>
      </c>
      <c r="CS9">
        <v>14.652216748768476</v>
      </c>
      <c r="CT9">
        <v>120227374.02139799</v>
      </c>
      <c r="CU9">
        <v>0.10758472296933837</v>
      </c>
      <c r="CV9" s="25">
        <v>0.46765474490821363</v>
      </c>
      <c r="CW9" s="26">
        <v>0.36502663046121597</v>
      </c>
      <c r="CX9">
        <v>0.06</v>
      </c>
      <c r="CY9">
        <v>109.62664915525255</v>
      </c>
      <c r="CZ9">
        <v>47468385.106165312</v>
      </c>
      <c r="DA9">
        <v>0.46765474490821363</v>
      </c>
      <c r="DB9">
        <v>26.404820082272369</v>
      </c>
      <c r="DC9">
        <v>197077654.14746076</v>
      </c>
      <c r="DD9">
        <v>0.44427200766280295</v>
      </c>
      <c r="DE9">
        <v>8.2610135808984122</v>
      </c>
      <c r="DF9">
        <v>629922702.46747005</v>
      </c>
      <c r="DG9">
        <v>0.411536175519228</v>
      </c>
      <c r="DH9">
        <v>2.7975937090094933</v>
      </c>
      <c r="DI9">
        <v>1860098549.4217601</v>
      </c>
      <c r="DJ9">
        <v>0.37412379592657091</v>
      </c>
      <c r="DK9">
        <v>0.34399543739502692</v>
      </c>
      <c r="DL9">
        <v>15127526223.623194</v>
      </c>
      <c r="DM9">
        <v>0.3273583214357495</v>
      </c>
      <c r="DN9">
        <v>34283600</v>
      </c>
      <c r="DO9">
        <v>0.46765474490821363</v>
      </c>
      <c r="DP9">
        <v>5203800000</v>
      </c>
      <c r="DQ9">
        <v>470354220</v>
      </c>
      <c r="DR9">
        <v>1687</v>
      </c>
      <c r="DS9">
        <v>-0.17974955260052133</v>
      </c>
      <c r="DT9">
        <v>0.12913169064021229</v>
      </c>
      <c r="DU9" s="27">
        <v>0.6</v>
      </c>
      <c r="DV9">
        <v>0.6</v>
      </c>
      <c r="DW9">
        <v>1.2</v>
      </c>
      <c r="DX9">
        <v>4.5954415954415957</v>
      </c>
      <c r="DY9">
        <v>0.50112007755745602</v>
      </c>
      <c r="DZ9">
        <v>4.0959375960384836</v>
      </c>
      <c r="EA9">
        <v>1054</v>
      </c>
      <c r="EB9">
        <v>4.0753934623073658</v>
      </c>
      <c r="EC9">
        <v>4</v>
      </c>
      <c r="ED9">
        <v>3.3936874999999998E-2</v>
      </c>
      <c r="EE9">
        <v>0.2106309375</v>
      </c>
      <c r="EF9" s="28">
        <v>2.1399999999999999E-2</v>
      </c>
      <c r="EG9">
        <v>2.1596999999999998E-2</v>
      </c>
      <c r="EH9">
        <v>34.161120077557456</v>
      </c>
      <c r="EI9" t="s">
        <v>180</v>
      </c>
      <c r="EJ9">
        <v>0</v>
      </c>
      <c r="EK9">
        <v>1</v>
      </c>
      <c r="EL9" s="29">
        <v>44946</v>
      </c>
      <c r="EM9" s="30">
        <v>7.7999999999999996E-3</v>
      </c>
      <c r="EN9" s="30">
        <v>-0.11</v>
      </c>
      <c r="EO9" s="30">
        <v>0.61</v>
      </c>
      <c r="EP9" s="30">
        <v>0.22</v>
      </c>
      <c r="EQ9" s="30">
        <v>1.9699999999999999E-2</v>
      </c>
    </row>
    <row r="10" spans="1:147" ht="97.2" x14ac:dyDescent="0.25">
      <c r="B10" s="23"/>
      <c r="C10" s="23"/>
      <c r="D10" s="23" t="s">
        <v>2020</v>
      </c>
      <c r="E10" t="s">
        <v>673</v>
      </c>
      <c r="F10" t="s">
        <v>674</v>
      </c>
      <c r="G10">
        <v>4.22</v>
      </c>
      <c r="H10">
        <v>0</v>
      </c>
      <c r="I10" t="s">
        <v>675</v>
      </c>
      <c r="J10">
        <v>5683739800</v>
      </c>
      <c r="K10">
        <v>69.430000000000007</v>
      </c>
      <c r="L10">
        <v>2.33</v>
      </c>
      <c r="M10" t="s">
        <v>172</v>
      </c>
      <c r="N10" t="s">
        <v>1987</v>
      </c>
      <c r="O10" t="s">
        <v>238</v>
      </c>
      <c r="P10" t="s">
        <v>1988</v>
      </c>
      <c r="Q10">
        <v>43.11</v>
      </c>
      <c r="R10" t="s">
        <v>1989</v>
      </c>
      <c r="S10">
        <v>104723189</v>
      </c>
      <c r="T10" s="24">
        <v>-6.54E-2</v>
      </c>
      <c r="U10" t="s">
        <v>1990</v>
      </c>
      <c r="V10">
        <v>853854400</v>
      </c>
      <c r="W10">
        <v>1346857800</v>
      </c>
      <c r="X10">
        <v>1.92</v>
      </c>
      <c r="Y10">
        <v>0.34</v>
      </c>
      <c r="Z10">
        <v>7.34</v>
      </c>
      <c r="AA10" t="s">
        <v>1991</v>
      </c>
      <c r="AB10" t="s">
        <v>1304</v>
      </c>
      <c r="AC10" t="s">
        <v>1992</v>
      </c>
      <c r="AD10" t="s">
        <v>271</v>
      </c>
      <c r="AE10" t="s">
        <v>1993</v>
      </c>
      <c r="AF10">
        <v>-77589568</v>
      </c>
      <c r="AG10" t="s">
        <v>1994</v>
      </c>
      <c r="AH10" t="s">
        <v>1995</v>
      </c>
      <c r="AI10" t="s">
        <v>1996</v>
      </c>
      <c r="AJ10" t="s">
        <v>181</v>
      </c>
      <c r="AK10" t="s">
        <v>1997</v>
      </c>
      <c r="AL10" t="s">
        <v>1998</v>
      </c>
      <c r="AM10" t="s">
        <v>1999</v>
      </c>
      <c r="AN10" t="s">
        <v>167</v>
      </c>
      <c r="AO10" t="s">
        <v>2000</v>
      </c>
      <c r="AP10" t="s">
        <v>2001</v>
      </c>
      <c r="AQ10" t="s">
        <v>2002</v>
      </c>
      <c r="AR10" t="s">
        <v>2003</v>
      </c>
      <c r="AS10" t="s">
        <v>2004</v>
      </c>
      <c r="AT10" t="s">
        <v>2005</v>
      </c>
      <c r="AU10" t="s">
        <v>2006</v>
      </c>
      <c r="AV10" t="s">
        <v>2007</v>
      </c>
      <c r="AW10" t="s">
        <v>2008</v>
      </c>
      <c r="AX10" t="s">
        <v>1918</v>
      </c>
      <c r="AY10" t="s">
        <v>2009</v>
      </c>
      <c r="AZ10" t="s">
        <v>2010</v>
      </c>
      <c r="BA10" t="s">
        <v>1084</v>
      </c>
      <c r="BB10" t="s">
        <v>2011</v>
      </c>
      <c r="BC10" t="s">
        <v>2012</v>
      </c>
      <c r="BD10" t="s">
        <v>2013</v>
      </c>
      <c r="BE10" t="s">
        <v>2014</v>
      </c>
      <c r="BF10" t="s">
        <v>2015</v>
      </c>
      <c r="BG10" t="s">
        <v>2016</v>
      </c>
      <c r="BH10" t="s">
        <v>504</v>
      </c>
      <c r="BI10" t="s">
        <v>258</v>
      </c>
      <c r="BJ10" t="s">
        <v>1863</v>
      </c>
      <c r="BK10" t="s">
        <v>300</v>
      </c>
      <c r="BL10" t="s">
        <v>2017</v>
      </c>
      <c r="BM10" t="s">
        <v>271</v>
      </c>
      <c r="BN10" t="s">
        <v>2018</v>
      </c>
      <c r="BO10">
        <v>3.6</v>
      </c>
      <c r="BP10">
        <v>-3.75</v>
      </c>
      <c r="BQ10">
        <v>5.45</v>
      </c>
      <c r="BR10">
        <v>3.95</v>
      </c>
      <c r="BS10">
        <v>-10.52</v>
      </c>
      <c r="BT10">
        <v>4.9400000000000004</v>
      </c>
      <c r="BU10" t="s">
        <v>2019</v>
      </c>
      <c r="BV10" t="s">
        <v>1770</v>
      </c>
      <c r="BW10">
        <v>21.8</v>
      </c>
      <c r="BX10">
        <v>19.86</v>
      </c>
      <c r="BY10">
        <v>23.65</v>
      </c>
      <c r="BZ10">
        <v>8.81</v>
      </c>
      <c r="CA10">
        <v>-15.52</v>
      </c>
      <c r="CB10">
        <v>4.1500000000000004</v>
      </c>
      <c r="CC10">
        <v>7.93</v>
      </c>
      <c r="CD10">
        <v>7.93</v>
      </c>
      <c r="CE10" t="s">
        <v>301</v>
      </c>
      <c r="CF10" t="s">
        <v>205</v>
      </c>
      <c r="CG10" s="25">
        <v>0.44761333333333331</v>
      </c>
      <c r="CH10" s="26">
        <v>-6.5012994813626032E-2</v>
      </c>
      <c r="CI10" s="25">
        <v>0.40316900610923767</v>
      </c>
      <c r="CJ10" s="25">
        <v>-0.50457912683486938</v>
      </c>
      <c r="CK10" s="25">
        <v>0.37966302037239075</v>
      </c>
      <c r="CL10" s="25">
        <v>0.1191919669508934</v>
      </c>
      <c r="CM10" s="25">
        <v>0.41428565979003906</v>
      </c>
      <c r="CN10" s="26">
        <v>1.5010731220245361</v>
      </c>
      <c r="CO10" s="26">
        <v>-3.0881137847900391</v>
      </c>
      <c r="CP10" s="26">
        <v>1.1725594997406006</v>
      </c>
      <c r="CQ10" s="26">
        <v>-6.556793212890625</v>
      </c>
      <c r="CR10" s="26">
        <v>-0.32137250900268555</v>
      </c>
      <c r="CS10">
        <v>3.5657087829360101</v>
      </c>
      <c r="CT10">
        <v>121041809.15114754</v>
      </c>
      <c r="CU10">
        <v>0.16587677725118485</v>
      </c>
      <c r="CV10" s="25">
        <v>0.16234610527753829</v>
      </c>
      <c r="CW10" s="26">
        <v>-1.4585293769836425</v>
      </c>
      <c r="CX10">
        <v>0.06</v>
      </c>
      <c r="CY10">
        <v>56.069438497222329</v>
      </c>
      <c r="CZ10">
        <v>97802652.335668802</v>
      </c>
      <c r="DA10">
        <v>0.16234610527753829</v>
      </c>
      <c r="DB10">
        <v>17.24301275469238</v>
      </c>
      <c r="DC10">
        <v>318026778.61545384</v>
      </c>
      <c r="DD10">
        <v>0.15422880001366138</v>
      </c>
      <c r="DE10">
        <v>7.8092884409659948</v>
      </c>
      <c r="DF10">
        <v>702207357.48898411</v>
      </c>
      <c r="DG10">
        <v>0.14286457264423369</v>
      </c>
      <c r="DH10">
        <v>4.255892271324349</v>
      </c>
      <c r="DI10">
        <v>1288505312.2581906</v>
      </c>
      <c r="DJ10">
        <v>0.12987688422203064</v>
      </c>
      <c r="DK10">
        <v>1.7585402686321991</v>
      </c>
      <c r="DL10">
        <v>3118347585.1055026</v>
      </c>
      <c r="DM10">
        <v>0.11364227369427679</v>
      </c>
      <c r="DN10">
        <v>89191000</v>
      </c>
      <c r="DO10">
        <v>0.16234610527753829</v>
      </c>
      <c r="DP10">
        <v>5483739800</v>
      </c>
      <c r="DQ10">
        <v>1720900600</v>
      </c>
      <c r="DR10">
        <v>1050</v>
      </c>
      <c r="DS10">
        <v>0.28526722805579502</v>
      </c>
      <c r="DT10">
        <v>1.3935163821700165</v>
      </c>
      <c r="DU10" s="27">
        <v>0.6</v>
      </c>
      <c r="DV10">
        <v>0</v>
      </c>
      <c r="DW10">
        <v>0.6</v>
      </c>
      <c r="DX10">
        <v>5.9999000000000002</v>
      </c>
      <c r="DY10">
        <v>0.43604914933837291</v>
      </c>
      <c r="DZ10">
        <v>5.2060285444234404</v>
      </c>
      <c r="EA10">
        <v>3873</v>
      </c>
      <c r="EB10">
        <v>5.0439097812068647</v>
      </c>
      <c r="EC10">
        <v>5</v>
      </c>
      <c r="ED10">
        <v>0.16185821547011128</v>
      </c>
      <c r="EE10">
        <v>0.78553207324485186</v>
      </c>
      <c r="EF10" s="28">
        <v>0.13119999999999998</v>
      </c>
      <c r="EG10">
        <v>0.13120000000000001</v>
      </c>
      <c r="EH10">
        <v>23.206049149338373</v>
      </c>
      <c r="EI10" t="s">
        <v>180</v>
      </c>
      <c r="EJ10">
        <v>1</v>
      </c>
      <c r="EK10">
        <v>0</v>
      </c>
      <c r="EL10" s="29">
        <v>44946</v>
      </c>
      <c r="EM10" s="30">
        <v>2.3E-2</v>
      </c>
      <c r="EN10" s="30">
        <v>0.75</v>
      </c>
      <c r="EO10" s="30">
        <v>0.99</v>
      </c>
      <c r="EP10" s="30">
        <v>3.69</v>
      </c>
      <c r="EQ10" s="30">
        <v>0</v>
      </c>
    </row>
    <row r="11" spans="1:147" ht="172.8" x14ac:dyDescent="0.25">
      <c r="B11" s="23" t="s">
        <v>2021</v>
      </c>
      <c r="C11" s="23"/>
      <c r="D11" s="23" t="s">
        <v>2056</v>
      </c>
      <c r="E11" t="s">
        <v>676</v>
      </c>
      <c r="F11" t="s">
        <v>677</v>
      </c>
      <c r="G11">
        <v>12.31</v>
      </c>
      <c r="H11">
        <v>3.1899999999999998E-2</v>
      </c>
      <c r="I11" t="s">
        <v>678</v>
      </c>
      <c r="J11">
        <v>3467964300</v>
      </c>
      <c r="K11">
        <v>76.239999999999995</v>
      </c>
      <c r="L11">
        <v>1.07</v>
      </c>
      <c r="M11" t="s">
        <v>172</v>
      </c>
      <c r="N11" t="s">
        <v>2022</v>
      </c>
      <c r="O11" t="s">
        <v>2023</v>
      </c>
      <c r="P11" t="s">
        <v>2024</v>
      </c>
      <c r="Q11">
        <v>-20.98</v>
      </c>
      <c r="R11" t="s">
        <v>2025</v>
      </c>
      <c r="S11">
        <v>64874647</v>
      </c>
      <c r="T11" s="24">
        <v>-0.65039999999999998</v>
      </c>
      <c r="U11" t="s">
        <v>577</v>
      </c>
      <c r="V11">
        <v>288334690</v>
      </c>
      <c r="W11">
        <v>288334690</v>
      </c>
      <c r="X11">
        <v>1.49</v>
      </c>
      <c r="Y11">
        <v>0.45</v>
      </c>
      <c r="Z11">
        <v>2.81</v>
      </c>
      <c r="AA11" t="s">
        <v>2026</v>
      </c>
      <c r="AB11" t="s">
        <v>2027</v>
      </c>
      <c r="AC11" t="s">
        <v>2028</v>
      </c>
      <c r="AD11" t="s">
        <v>2029</v>
      </c>
      <c r="AE11" t="s">
        <v>2030</v>
      </c>
      <c r="AF11">
        <v>120326126</v>
      </c>
      <c r="AG11" t="s">
        <v>2031</v>
      </c>
      <c r="AH11" t="s">
        <v>2032</v>
      </c>
      <c r="AI11" t="s">
        <v>2033</v>
      </c>
      <c r="AJ11" t="s">
        <v>2034</v>
      </c>
      <c r="AK11" t="s">
        <v>2035</v>
      </c>
      <c r="AL11" t="s">
        <v>2036</v>
      </c>
      <c r="AM11" t="s">
        <v>2037</v>
      </c>
      <c r="AN11" t="s">
        <v>167</v>
      </c>
      <c r="AO11" t="s">
        <v>2038</v>
      </c>
      <c r="AP11" t="s">
        <v>2039</v>
      </c>
      <c r="AQ11" t="s">
        <v>2040</v>
      </c>
      <c r="AR11" t="s">
        <v>491</v>
      </c>
      <c r="AS11" t="s">
        <v>167</v>
      </c>
      <c r="AT11" t="s">
        <v>254</v>
      </c>
      <c r="AU11" t="s">
        <v>167</v>
      </c>
      <c r="AV11" t="s">
        <v>2041</v>
      </c>
      <c r="AW11" t="s">
        <v>1180</v>
      </c>
      <c r="AX11" t="s">
        <v>878</v>
      </c>
      <c r="AY11" t="s">
        <v>2042</v>
      </c>
      <c r="AZ11" t="s">
        <v>2043</v>
      </c>
      <c r="BA11" t="s">
        <v>2044</v>
      </c>
      <c r="BB11" t="s">
        <v>487</v>
      </c>
      <c r="BC11" t="s">
        <v>2045</v>
      </c>
      <c r="BD11" t="s">
        <v>2046</v>
      </c>
      <c r="BE11" t="s">
        <v>2047</v>
      </c>
      <c r="BF11" t="s">
        <v>2048</v>
      </c>
      <c r="BG11" t="s">
        <v>285</v>
      </c>
      <c r="BH11" t="s">
        <v>1223</v>
      </c>
      <c r="BI11" t="s">
        <v>2049</v>
      </c>
      <c r="BJ11" t="s">
        <v>2050</v>
      </c>
      <c r="BK11" t="s">
        <v>2051</v>
      </c>
      <c r="BL11" t="s">
        <v>2052</v>
      </c>
      <c r="BM11" t="s">
        <v>219</v>
      </c>
      <c r="BN11" t="s">
        <v>273</v>
      </c>
      <c r="BO11">
        <v>4.1399999999999997</v>
      </c>
      <c r="BP11">
        <v>4.76</v>
      </c>
      <c r="BQ11">
        <v>0.94</v>
      </c>
      <c r="BR11">
        <v>6.19</v>
      </c>
      <c r="BS11">
        <v>5.78</v>
      </c>
      <c r="BT11">
        <v>1.46</v>
      </c>
      <c r="BU11" t="s">
        <v>2053</v>
      </c>
      <c r="BV11" t="s">
        <v>1770</v>
      </c>
      <c r="BW11">
        <v>10.4</v>
      </c>
      <c r="BX11">
        <v>10.039999999999999</v>
      </c>
      <c r="BY11">
        <v>12.65</v>
      </c>
      <c r="BZ11">
        <v>3.24</v>
      </c>
      <c r="CA11">
        <v>5.0999999999999996</v>
      </c>
      <c r="CB11">
        <v>2.56</v>
      </c>
      <c r="CC11">
        <v>5.94</v>
      </c>
      <c r="CD11">
        <v>-0.49</v>
      </c>
      <c r="CE11" t="s">
        <v>2054</v>
      </c>
      <c r="CF11" t="s">
        <v>2055</v>
      </c>
      <c r="CG11" s="25">
        <v>-0.19512840172786178</v>
      </c>
      <c r="CH11" s="26">
        <v>-0.65392812195121952</v>
      </c>
      <c r="CI11" s="25">
        <v>0.58239620923995972</v>
      </c>
      <c r="CJ11" s="25">
        <v>0.90472680330276489</v>
      </c>
      <c r="CK11" s="25">
        <v>2.4105794429779053</v>
      </c>
      <c r="CL11" s="25">
        <v>-0.18813906610012054</v>
      </c>
      <c r="CM11" s="25">
        <v>-0.81780928373336792</v>
      </c>
      <c r="CN11" s="26">
        <v>0.25757575035095215</v>
      </c>
      <c r="CO11" s="26">
        <v>2.8090620040893555</v>
      </c>
      <c r="CP11" s="26">
        <v>3.844843864440918</v>
      </c>
      <c r="CQ11" s="26">
        <v>-0.9349745512008667</v>
      </c>
      <c r="CR11" s="26">
        <v>-0.52789700031280518</v>
      </c>
      <c r="CS11">
        <v>0.84978296986032831</v>
      </c>
      <c r="CT11">
        <v>8616521.6867469884</v>
      </c>
      <c r="CU11">
        <v>2.0308692120227456</v>
      </c>
      <c r="CV11" s="25">
        <v>0.57835082113742831</v>
      </c>
      <c r="CW11" s="26">
        <v>1.0897220134735108</v>
      </c>
      <c r="CX11">
        <v>0.06</v>
      </c>
      <c r="CY11">
        <v>7.1809823480018977</v>
      </c>
      <c r="CZ11">
        <v>247175694.63095573</v>
      </c>
      <c r="DA11">
        <v>0.57835082113742831</v>
      </c>
      <c r="DB11">
        <v>1.5907773921321571</v>
      </c>
      <c r="DC11">
        <v>1115784212.6615674</v>
      </c>
      <c r="DD11">
        <v>0.54943328008055692</v>
      </c>
      <c r="DE11">
        <v>0.43450248828519311</v>
      </c>
      <c r="DF11">
        <v>4085049793.3972073</v>
      </c>
      <c r="DG11">
        <v>0.50894872260093693</v>
      </c>
      <c r="DH11">
        <v>0.122507970953341</v>
      </c>
      <c r="DI11">
        <v>14488561733.473019</v>
      </c>
      <c r="DJ11">
        <v>0.46268065690994264</v>
      </c>
      <c r="DK11">
        <v>9.4227898436025914E-3</v>
      </c>
      <c r="DL11">
        <v>188369297146.64874</v>
      </c>
      <c r="DM11">
        <v>0.40484557479619981</v>
      </c>
      <c r="DN11">
        <v>166000000</v>
      </c>
      <c r="DO11">
        <v>0.57835082113742831</v>
      </c>
      <c r="DP11">
        <v>1774964300.0000005</v>
      </c>
      <c r="DQ11">
        <v>1845241700</v>
      </c>
      <c r="DR11">
        <v>4160</v>
      </c>
      <c r="DS11">
        <v>-0.77347922286529003</v>
      </c>
      <c r="DT11">
        <v>-1.7436501354247302</v>
      </c>
      <c r="DU11" s="27">
        <v>-0.22</v>
      </c>
      <c r="DV11">
        <v>-0.44</v>
      </c>
      <c r="DW11">
        <v>-0.66</v>
      </c>
      <c r="DX11">
        <v>4.0824915824915822</v>
      </c>
      <c r="DY11">
        <v>0.87120968402164745</v>
      </c>
      <c r="DZ11">
        <v>4.0141233577728288</v>
      </c>
      <c r="EA11">
        <v>2426</v>
      </c>
      <c r="EB11">
        <v>4.0071621091021905</v>
      </c>
      <c r="EC11">
        <v>4</v>
      </c>
      <c r="ED11">
        <v>5.3729920600257983E-2</v>
      </c>
      <c r="EE11">
        <v>0.31382522859112094</v>
      </c>
      <c r="EF11" s="28">
        <v>5.8099999999999992E-3</v>
      </c>
      <c r="EG11">
        <v>5.4909999999999994E-3</v>
      </c>
      <c r="EH11">
        <v>70.171209684021647</v>
      </c>
      <c r="EI11" t="s">
        <v>180</v>
      </c>
      <c r="EJ11">
        <v>0</v>
      </c>
      <c r="EK11">
        <v>0</v>
      </c>
      <c r="EL11" s="29">
        <v>44946</v>
      </c>
      <c r="EM11" s="30">
        <v>9.4999999999999998E-3</v>
      </c>
      <c r="EN11" s="30">
        <v>0.51</v>
      </c>
      <c r="EO11" s="30">
        <v>1.02</v>
      </c>
      <c r="EP11" s="30">
        <v>0.17</v>
      </c>
      <c r="EQ11" s="30">
        <v>3.1899999999999998E-2</v>
      </c>
    </row>
    <row r="12" spans="1:147" ht="97.2" x14ac:dyDescent="0.25">
      <c r="B12" s="23"/>
      <c r="C12" s="23"/>
      <c r="D12" s="23" t="s">
        <v>2093</v>
      </c>
      <c r="E12" t="s">
        <v>679</v>
      </c>
      <c r="F12" t="s">
        <v>680</v>
      </c>
      <c r="G12">
        <v>3.42</v>
      </c>
      <c r="H12">
        <v>5.8999999999999999E-3</v>
      </c>
      <c r="I12" t="s">
        <v>681</v>
      </c>
      <c r="J12">
        <v>2435427300</v>
      </c>
      <c r="L12">
        <v>44.65</v>
      </c>
      <c r="M12" t="s">
        <v>172</v>
      </c>
      <c r="N12" t="s">
        <v>2057</v>
      </c>
      <c r="O12" t="s">
        <v>921</v>
      </c>
      <c r="P12" t="s">
        <v>2058</v>
      </c>
      <c r="Q12">
        <v>24.17</v>
      </c>
      <c r="R12" t="s">
        <v>2059</v>
      </c>
      <c r="S12">
        <v>-120038039</v>
      </c>
      <c r="T12" s="24">
        <v>5.2299999999999999E-2</v>
      </c>
      <c r="U12" t="s">
        <v>2060</v>
      </c>
      <c r="V12">
        <v>697840610</v>
      </c>
      <c r="W12">
        <v>712113260</v>
      </c>
      <c r="X12">
        <v>6.01</v>
      </c>
      <c r="Y12">
        <v>0.18</v>
      </c>
      <c r="Z12">
        <v>-30.44</v>
      </c>
      <c r="AA12" t="s">
        <v>2061</v>
      </c>
      <c r="AB12" t="s">
        <v>2062</v>
      </c>
      <c r="AC12" t="s">
        <v>2063</v>
      </c>
      <c r="AD12" t="s">
        <v>2064</v>
      </c>
      <c r="AE12" t="s">
        <v>2065</v>
      </c>
      <c r="AF12">
        <v>80918749</v>
      </c>
      <c r="AG12" t="s">
        <v>2066</v>
      </c>
      <c r="AH12" t="s">
        <v>2067</v>
      </c>
      <c r="AI12" t="s">
        <v>2068</v>
      </c>
      <c r="AJ12" t="s">
        <v>184</v>
      </c>
      <c r="AK12" t="s">
        <v>2069</v>
      </c>
      <c r="AL12" t="s">
        <v>197</v>
      </c>
      <c r="AM12" t="s">
        <v>2070</v>
      </c>
      <c r="AN12" t="s">
        <v>167</v>
      </c>
      <c r="AO12" t="s">
        <v>2071</v>
      </c>
      <c r="AP12" t="s">
        <v>2072</v>
      </c>
      <c r="AQ12" t="s">
        <v>167</v>
      </c>
      <c r="AR12" t="s">
        <v>295</v>
      </c>
      <c r="AS12" t="s">
        <v>2073</v>
      </c>
      <c r="AT12" t="s">
        <v>2074</v>
      </c>
      <c r="AU12" t="s">
        <v>2075</v>
      </c>
      <c r="AV12" t="s">
        <v>2076</v>
      </c>
      <c r="AW12" t="s">
        <v>2077</v>
      </c>
      <c r="AX12" t="s">
        <v>2078</v>
      </c>
      <c r="AY12" t="s">
        <v>2079</v>
      </c>
      <c r="AZ12" t="s">
        <v>210</v>
      </c>
      <c r="BA12" t="s">
        <v>2080</v>
      </c>
      <c r="BB12" t="s">
        <v>2081</v>
      </c>
      <c r="BC12" t="s">
        <v>2082</v>
      </c>
      <c r="BD12" t="s">
        <v>2083</v>
      </c>
      <c r="BE12" t="s">
        <v>2084</v>
      </c>
      <c r="BF12" t="s">
        <v>2085</v>
      </c>
      <c r="BG12" t="s">
        <v>2086</v>
      </c>
      <c r="BH12" t="s">
        <v>2087</v>
      </c>
      <c r="BI12" t="s">
        <v>202</v>
      </c>
      <c r="BJ12" t="s">
        <v>2088</v>
      </c>
      <c r="BK12" t="s">
        <v>241</v>
      </c>
      <c r="BL12" t="s">
        <v>2089</v>
      </c>
      <c r="BM12" t="s">
        <v>2090</v>
      </c>
      <c r="BN12" t="s">
        <v>2091</v>
      </c>
      <c r="BO12">
        <v>-57.85</v>
      </c>
      <c r="BP12">
        <v>-36.21</v>
      </c>
      <c r="BQ12">
        <v>-23.27</v>
      </c>
      <c r="BR12">
        <v>-127.39</v>
      </c>
      <c r="BS12">
        <v>-75.7</v>
      </c>
      <c r="BT12">
        <v>-37.89</v>
      </c>
      <c r="BU12" t="s">
        <v>215</v>
      </c>
      <c r="BV12" t="s">
        <v>1770</v>
      </c>
      <c r="BW12">
        <v>22.62</v>
      </c>
      <c r="BX12">
        <v>25.27</v>
      </c>
      <c r="BY12">
        <v>22.72</v>
      </c>
      <c r="BZ12">
        <v>-51.75</v>
      </c>
      <c r="CA12">
        <v>-173.57</v>
      </c>
      <c r="CB12">
        <v>-112.85</v>
      </c>
      <c r="CC12">
        <v>4.2699999999999996</v>
      </c>
      <c r="CD12">
        <v>-1.72</v>
      </c>
      <c r="CE12" t="s">
        <v>2092</v>
      </c>
      <c r="CF12" t="s">
        <v>1443</v>
      </c>
      <c r="CG12" s="25">
        <v>1.9880190666666666</v>
      </c>
      <c r="CH12" s="26">
        <v>-0.2233347869141388</v>
      </c>
      <c r="CI12" s="25">
        <v>-0.39511492848396301</v>
      </c>
      <c r="CJ12" s="25">
        <v>-0.34586465358734131</v>
      </c>
      <c r="CK12" s="25">
        <v>-0.28494623303413391</v>
      </c>
      <c r="CL12" s="25">
        <v>-0.49266961216926575</v>
      </c>
      <c r="CM12" s="25">
        <v>1.1693786382675171</v>
      </c>
      <c r="CN12" s="26">
        <v>0.40529361367225647</v>
      </c>
      <c r="CO12" s="26">
        <v>-8.2776159979403019E-4</v>
      </c>
      <c r="CP12" s="26">
        <v>-47.115493774414063</v>
      </c>
      <c r="CQ12" s="26">
        <v>1.0587334632873535</v>
      </c>
      <c r="CR12" s="26">
        <v>-6.2499122619628906</v>
      </c>
      <c r="CS12">
        <v>5.7848629453681708</v>
      </c>
      <c r="CT12">
        <v>14183855.354659248</v>
      </c>
      <c r="CU12">
        <v>0</v>
      </c>
      <c r="CV12" s="25">
        <v>-6.9843357801437383E-2</v>
      </c>
      <c r="CW12" s="26">
        <v>-10.380441344203428</v>
      </c>
      <c r="CX12">
        <v>0.06</v>
      </c>
      <c r="CY12" t="e">
        <v>#VALUE!</v>
      </c>
      <c r="CZ12" t="s">
        <v>216</v>
      </c>
      <c r="DA12">
        <v>-6.9843357801437383E-2</v>
      </c>
      <c r="DB12" t="e">
        <v>#VALUE!</v>
      </c>
      <c r="DC12" t="s">
        <v>217</v>
      </c>
      <c r="DD12">
        <v>-6.6351189911365516E-2</v>
      </c>
      <c r="DE12" t="e">
        <v>#VALUE!</v>
      </c>
      <c r="DF12" t="s">
        <v>217</v>
      </c>
      <c r="DG12">
        <v>-6.1462154865264899E-2</v>
      </c>
      <c r="DH12" t="e">
        <v>#VALUE!</v>
      </c>
      <c r="DI12" t="s">
        <v>217</v>
      </c>
      <c r="DJ12">
        <v>-5.5874686241149912E-2</v>
      </c>
      <c r="DK12" t="e">
        <v>#VALUE!</v>
      </c>
      <c r="DL12" t="s">
        <v>217</v>
      </c>
      <c r="DM12">
        <v>-4.8890350461006163E-2</v>
      </c>
      <c r="DN12">
        <v>-719000000</v>
      </c>
      <c r="DO12">
        <v>-6.9843357801437383E-2</v>
      </c>
      <c r="DP12">
        <v>3855427300</v>
      </c>
      <c r="DQ12">
        <v>-558709790</v>
      </c>
      <c r="DR12">
        <v>1655</v>
      </c>
      <c r="DS12">
        <v>2.0578624244681039</v>
      </c>
      <c r="DT12">
        <v>10.157106557289289</v>
      </c>
      <c r="DU12" s="27">
        <v>0.6</v>
      </c>
      <c r="DV12" t="e">
        <v>#VALUE!</v>
      </c>
      <c r="DW12" t="e">
        <v>#VALUE!</v>
      </c>
      <c r="DX12">
        <v>4.4028103044496492</v>
      </c>
      <c r="DY12">
        <v>0.42115284974093142</v>
      </c>
      <c r="DZ12">
        <v>4.0971388528230452</v>
      </c>
      <c r="EA12">
        <v>4619</v>
      </c>
      <c r="EB12">
        <v>4.0059799009356727</v>
      </c>
      <c r="EC12">
        <v>4</v>
      </c>
      <c r="ED12">
        <v>6.5358283034920597E-2</v>
      </c>
      <c r="EE12">
        <v>0.27102430307223879</v>
      </c>
      <c r="EF12" s="28">
        <v>3.1800000000000002E-2</v>
      </c>
      <c r="EG12">
        <v>3.1858999999999998E-2</v>
      </c>
      <c r="EH12">
        <v>18.241152849740931</v>
      </c>
      <c r="EI12" t="s">
        <v>180</v>
      </c>
      <c r="EJ12">
        <v>0</v>
      </c>
      <c r="EK12">
        <v>0</v>
      </c>
      <c r="EL12" s="29">
        <v>44946</v>
      </c>
      <c r="EM12" s="30">
        <v>1.52E-2</v>
      </c>
      <c r="EN12" s="30">
        <v>-1.2</v>
      </c>
      <c r="EO12" s="30">
        <v>2.4300000000000002</v>
      </c>
      <c r="EP12" s="30">
        <v>0.89</v>
      </c>
      <c r="EQ12" s="30">
        <v>5.8999999999999999E-3</v>
      </c>
    </row>
    <row r="13" spans="1:147" ht="86.4" x14ac:dyDescent="0.25">
      <c r="B13" s="23"/>
      <c r="C13" s="23"/>
      <c r="D13" s="23" t="s">
        <v>2123</v>
      </c>
      <c r="E13" t="s">
        <v>682</v>
      </c>
      <c r="F13" t="s">
        <v>683</v>
      </c>
      <c r="G13">
        <v>4.1100000000000003</v>
      </c>
      <c r="H13">
        <v>1.4800000000000001E-2</v>
      </c>
      <c r="I13" t="s">
        <v>684</v>
      </c>
      <c r="J13">
        <v>2236914300</v>
      </c>
      <c r="K13">
        <v>147.1</v>
      </c>
      <c r="L13">
        <v>2.02</v>
      </c>
      <c r="M13" t="s">
        <v>172</v>
      </c>
      <c r="N13" t="s">
        <v>221</v>
      </c>
      <c r="O13" t="s">
        <v>445</v>
      </c>
      <c r="P13" t="s">
        <v>2094</v>
      </c>
      <c r="Q13">
        <v>-4.47</v>
      </c>
      <c r="R13" t="s">
        <v>2095</v>
      </c>
      <c r="S13">
        <v>16013253</v>
      </c>
      <c r="T13" s="24">
        <v>4.0599999999999997E-2</v>
      </c>
      <c r="U13" t="s">
        <v>2096</v>
      </c>
      <c r="V13">
        <v>485016370</v>
      </c>
      <c r="W13">
        <v>544261400</v>
      </c>
      <c r="X13">
        <v>1.49</v>
      </c>
      <c r="Y13">
        <v>0.3</v>
      </c>
      <c r="Z13">
        <v>3.03</v>
      </c>
      <c r="AA13" t="s">
        <v>2097</v>
      </c>
      <c r="AB13" t="s">
        <v>1606</v>
      </c>
      <c r="AC13" t="s">
        <v>2098</v>
      </c>
      <c r="AD13" t="s">
        <v>2099</v>
      </c>
      <c r="AE13" t="s">
        <v>2100</v>
      </c>
      <c r="AF13">
        <v>-1428501</v>
      </c>
      <c r="AG13" t="s">
        <v>2101</v>
      </c>
      <c r="AH13" t="s">
        <v>167</v>
      </c>
      <c r="AI13" t="s">
        <v>2102</v>
      </c>
      <c r="AJ13" t="s">
        <v>2103</v>
      </c>
      <c r="AK13" t="s">
        <v>2104</v>
      </c>
      <c r="AL13" t="s">
        <v>2105</v>
      </c>
      <c r="AM13" t="s">
        <v>2106</v>
      </c>
      <c r="AN13" t="s">
        <v>167</v>
      </c>
      <c r="AO13">
        <v>0</v>
      </c>
      <c r="AP13" t="s">
        <v>2107</v>
      </c>
      <c r="AQ13" t="s">
        <v>438</v>
      </c>
      <c r="AR13" t="s">
        <v>280</v>
      </c>
      <c r="AS13" t="s">
        <v>2108</v>
      </c>
      <c r="AT13" t="s">
        <v>242</v>
      </c>
      <c r="AU13" t="s">
        <v>167</v>
      </c>
      <c r="AV13" t="s">
        <v>2109</v>
      </c>
      <c r="AW13" t="s">
        <v>2110</v>
      </c>
      <c r="AX13" t="s">
        <v>2111</v>
      </c>
      <c r="AY13" t="s">
        <v>2112</v>
      </c>
      <c r="AZ13" t="s">
        <v>2113</v>
      </c>
      <c r="BA13" t="s">
        <v>2114</v>
      </c>
      <c r="BB13" t="s">
        <v>267</v>
      </c>
      <c r="BC13" t="s">
        <v>1883</v>
      </c>
      <c r="BD13" t="s">
        <v>2115</v>
      </c>
      <c r="BE13" t="s">
        <v>2116</v>
      </c>
      <c r="BF13" t="s">
        <v>1364</v>
      </c>
      <c r="BG13" t="s">
        <v>2117</v>
      </c>
      <c r="BH13" t="s">
        <v>2118</v>
      </c>
      <c r="BI13" t="s">
        <v>1807</v>
      </c>
      <c r="BJ13" t="s">
        <v>568</v>
      </c>
      <c r="BK13" t="s">
        <v>1288</v>
      </c>
      <c r="BL13" t="s">
        <v>2119</v>
      </c>
      <c r="BM13" t="s">
        <v>2120</v>
      </c>
      <c r="BN13" t="s">
        <v>2121</v>
      </c>
      <c r="BO13">
        <v>1.5</v>
      </c>
      <c r="BP13">
        <v>-51.12</v>
      </c>
      <c r="BQ13">
        <v>3.16</v>
      </c>
      <c r="BR13">
        <v>1.57</v>
      </c>
      <c r="BS13">
        <v>-72.64</v>
      </c>
      <c r="BT13">
        <v>2.57</v>
      </c>
      <c r="BU13" t="s">
        <v>215</v>
      </c>
      <c r="BV13" t="s">
        <v>1770</v>
      </c>
      <c r="BW13">
        <v>34.29</v>
      </c>
      <c r="BX13">
        <v>10.24</v>
      </c>
      <c r="BY13">
        <v>34.86</v>
      </c>
      <c r="BZ13">
        <v>3.77</v>
      </c>
      <c r="CA13">
        <v>-179.28</v>
      </c>
      <c r="CB13">
        <v>3.25</v>
      </c>
      <c r="CC13">
        <v>3.53</v>
      </c>
      <c r="CD13">
        <v>-3.75</v>
      </c>
      <c r="CE13" t="s">
        <v>2122</v>
      </c>
      <c r="CF13" t="s">
        <v>571</v>
      </c>
      <c r="CG13" s="25">
        <v>0.11473049079754601</v>
      </c>
      <c r="CH13" s="26">
        <v>2.5089682968219686</v>
      </c>
      <c r="CI13" s="25">
        <v>0.1819620281457901</v>
      </c>
      <c r="CJ13" s="25">
        <v>-0.59383034706115723</v>
      </c>
      <c r="CK13" s="25">
        <v>-2.3226577788591385E-2</v>
      </c>
      <c r="CL13" s="25">
        <v>0.94981634616851807</v>
      </c>
      <c r="CM13" s="25">
        <v>1.0425000190734863</v>
      </c>
      <c r="CN13" s="26">
        <v>1.0138509273529053</v>
      </c>
      <c r="CO13" s="26">
        <v>-24.329906463623047</v>
      </c>
      <c r="CP13" s="26">
        <v>-0.56600767374038696</v>
      </c>
      <c r="CQ13" s="26">
        <v>1.3570313453674316</v>
      </c>
      <c r="CR13" s="26">
        <v>1.0079410076141357</v>
      </c>
      <c r="CS13">
        <v>2.9945305220883536</v>
      </c>
      <c r="CT13">
        <v>83310647.925951317</v>
      </c>
      <c r="CU13">
        <v>0</v>
      </c>
      <c r="CV13" s="25">
        <v>0.31144429370760918</v>
      </c>
      <c r="CW13" s="26">
        <v>-4.3034181714057924</v>
      </c>
      <c r="CX13">
        <v>0.06</v>
      </c>
      <c r="CY13">
        <v>92.432205596365307</v>
      </c>
      <c r="CZ13">
        <v>18044731.154457998</v>
      </c>
      <c r="DA13">
        <v>0.31144429370760918</v>
      </c>
      <c r="DB13">
        <v>25.165719753587702</v>
      </c>
      <c r="DC13">
        <v>66277234.123701826</v>
      </c>
      <c r="DD13">
        <v>0.29587207902222873</v>
      </c>
      <c r="DE13">
        <v>9.5344955346960294</v>
      </c>
      <c r="DF13">
        <v>174934719.29694232</v>
      </c>
      <c r="DG13">
        <v>0.27407097846269607</v>
      </c>
      <c r="DH13">
        <v>4.1572887525070312</v>
      </c>
      <c r="DI13">
        <v>401202418.04088616</v>
      </c>
      <c r="DJ13">
        <v>0.24915543496608736</v>
      </c>
      <c r="DK13">
        <v>0.98229071633866261</v>
      </c>
      <c r="DL13">
        <v>1697984387.164824</v>
      </c>
      <c r="DM13">
        <v>0.21801100559532641</v>
      </c>
      <c r="DN13">
        <v>14585000</v>
      </c>
      <c r="DO13">
        <v>0.31144429370760918</v>
      </c>
      <c r="DP13">
        <v>1667914300</v>
      </c>
      <c r="DQ13">
        <v>262118680</v>
      </c>
      <c r="DR13">
        <v>1662</v>
      </c>
      <c r="DS13">
        <v>-0.19671380291006318</v>
      </c>
      <c r="DT13">
        <v>6.8123864682277606</v>
      </c>
      <c r="DU13" s="27">
        <v>0</v>
      </c>
      <c r="DV13">
        <v>0.6</v>
      </c>
      <c r="DW13">
        <v>0.6</v>
      </c>
      <c r="DX13">
        <v>6.4848901098901095</v>
      </c>
      <c r="DY13">
        <v>0.42608365019011574</v>
      </c>
      <c r="DZ13">
        <v>6.0756834182927335</v>
      </c>
      <c r="EA13">
        <v>1666</v>
      </c>
      <c r="EB13">
        <v>6.0500660727267652</v>
      </c>
      <c r="EC13">
        <v>6</v>
      </c>
      <c r="ED13">
        <v>7.542331681063548E-2</v>
      </c>
      <c r="EE13">
        <v>0.48322368626545992</v>
      </c>
      <c r="EF13" s="28">
        <v>1.8799999999999997E-2</v>
      </c>
      <c r="EG13">
        <v>1.8948E-2</v>
      </c>
      <c r="EH13">
        <v>27.156083650190116</v>
      </c>
      <c r="EI13" t="s">
        <v>180</v>
      </c>
      <c r="EJ13">
        <v>0</v>
      </c>
      <c r="EK13">
        <v>0</v>
      </c>
      <c r="EL13" s="29">
        <v>44946</v>
      </c>
      <c r="EM13" s="30">
        <v>1.26E-2</v>
      </c>
      <c r="EN13" s="30">
        <v>-1.24</v>
      </c>
      <c r="EO13" s="30">
        <v>1.26</v>
      </c>
      <c r="EP13" s="30">
        <v>0.75</v>
      </c>
      <c r="EQ13" s="30">
        <v>1.4800000000000001E-2</v>
      </c>
    </row>
    <row r="14" spans="1:147" ht="86.4" x14ac:dyDescent="0.25">
      <c r="B14" s="23"/>
      <c r="C14" s="23"/>
      <c r="D14" s="23" t="s">
        <v>2160</v>
      </c>
      <c r="E14" t="s">
        <v>685</v>
      </c>
      <c r="F14" t="s">
        <v>686</v>
      </c>
      <c r="G14">
        <v>7.37</v>
      </c>
      <c r="H14">
        <v>1.24E-2</v>
      </c>
      <c r="I14" t="s">
        <v>687</v>
      </c>
      <c r="J14">
        <v>1931348100</v>
      </c>
      <c r="K14">
        <v>58.14</v>
      </c>
      <c r="L14">
        <v>15.74</v>
      </c>
      <c r="M14" t="s">
        <v>172</v>
      </c>
      <c r="N14" t="s">
        <v>232</v>
      </c>
      <c r="O14" t="s">
        <v>525</v>
      </c>
      <c r="P14" t="s">
        <v>2124</v>
      </c>
      <c r="Q14">
        <v>5.49</v>
      </c>
      <c r="R14" t="s">
        <v>299</v>
      </c>
      <c r="S14">
        <v>2675696</v>
      </c>
      <c r="T14" s="24">
        <v>1.117</v>
      </c>
      <c r="U14" t="s">
        <v>2125</v>
      </c>
      <c r="V14">
        <v>260106130</v>
      </c>
      <c r="W14">
        <v>262055380</v>
      </c>
      <c r="X14">
        <v>2.58</v>
      </c>
      <c r="Y14">
        <v>0.41</v>
      </c>
      <c r="Z14">
        <v>1.85</v>
      </c>
      <c r="AA14" t="s">
        <v>1387</v>
      </c>
      <c r="AB14" t="s">
        <v>1432</v>
      </c>
      <c r="AC14" t="s">
        <v>167</v>
      </c>
      <c r="AD14" t="s">
        <v>2126</v>
      </c>
      <c r="AE14" t="s">
        <v>2127</v>
      </c>
      <c r="AF14">
        <v>2538134</v>
      </c>
      <c r="AG14" t="s">
        <v>2128</v>
      </c>
      <c r="AH14" t="s">
        <v>2129</v>
      </c>
      <c r="AI14" t="s">
        <v>2130</v>
      </c>
      <c r="AJ14" t="s">
        <v>2131</v>
      </c>
      <c r="AK14" t="s">
        <v>2132</v>
      </c>
      <c r="AL14" t="s">
        <v>2133</v>
      </c>
      <c r="AM14" t="s">
        <v>2134</v>
      </c>
      <c r="AN14" t="s">
        <v>167</v>
      </c>
      <c r="AO14">
        <v>0</v>
      </c>
      <c r="AP14" t="s">
        <v>2135</v>
      </c>
      <c r="AQ14" t="s">
        <v>2136</v>
      </c>
      <c r="AR14" t="s">
        <v>2137</v>
      </c>
      <c r="AS14" t="s">
        <v>167</v>
      </c>
      <c r="AT14" t="s">
        <v>2138</v>
      </c>
      <c r="AU14" t="s">
        <v>167</v>
      </c>
      <c r="AV14" t="s">
        <v>2139</v>
      </c>
      <c r="AW14" t="s">
        <v>2140</v>
      </c>
      <c r="AX14" t="s">
        <v>2141</v>
      </c>
      <c r="AY14" t="s">
        <v>232</v>
      </c>
      <c r="AZ14" t="s">
        <v>954</v>
      </c>
      <c r="BA14" t="s">
        <v>2142</v>
      </c>
      <c r="BB14" t="s">
        <v>350</v>
      </c>
      <c r="BC14" t="s">
        <v>2143</v>
      </c>
      <c r="BD14" t="s">
        <v>2144</v>
      </c>
      <c r="BE14" t="s">
        <v>2145</v>
      </c>
      <c r="BF14" t="s">
        <v>2146</v>
      </c>
      <c r="BG14" t="s">
        <v>2147</v>
      </c>
      <c r="BH14" t="s">
        <v>2148</v>
      </c>
      <c r="BI14" t="s">
        <v>2149</v>
      </c>
      <c r="BJ14" t="s">
        <v>1642</v>
      </c>
      <c r="BK14" t="s">
        <v>2150</v>
      </c>
      <c r="BL14" t="s">
        <v>2151</v>
      </c>
      <c r="BM14" t="s">
        <v>2152</v>
      </c>
      <c r="BN14" t="s">
        <v>2153</v>
      </c>
      <c r="BO14">
        <v>4.53</v>
      </c>
      <c r="BP14">
        <v>2.34</v>
      </c>
      <c r="BQ14">
        <v>39.78</v>
      </c>
      <c r="BR14">
        <v>5.0599999999999996</v>
      </c>
      <c r="BS14">
        <v>-8.92</v>
      </c>
      <c r="BT14">
        <v>111.75</v>
      </c>
      <c r="BU14" t="s">
        <v>215</v>
      </c>
      <c r="BV14" t="s">
        <v>1770</v>
      </c>
      <c r="BW14">
        <v>-14.68</v>
      </c>
      <c r="BX14">
        <v>6.59</v>
      </c>
      <c r="BY14">
        <v>15.65</v>
      </c>
      <c r="BZ14">
        <v>14.1</v>
      </c>
      <c r="CA14">
        <v>-4.24</v>
      </c>
      <c r="CB14">
        <v>17.18</v>
      </c>
      <c r="CC14">
        <v>2.36</v>
      </c>
      <c r="CD14">
        <v>-6.83</v>
      </c>
      <c r="CE14" t="s">
        <v>2154</v>
      </c>
      <c r="CF14" t="s">
        <v>577</v>
      </c>
      <c r="CG14" s="25">
        <v>-3.5784093059661591E-2</v>
      </c>
      <c r="CH14" s="26">
        <v>-0.45372676082921765</v>
      </c>
      <c r="CI14" s="25">
        <v>-2.0408162847161293E-2</v>
      </c>
      <c r="CJ14" s="25">
        <v>-0.35099336504936218</v>
      </c>
      <c r="CK14" s="25">
        <v>0.16153846681118011</v>
      </c>
      <c r="CL14" s="25">
        <v>0.26213592290878296</v>
      </c>
      <c r="CM14" s="25">
        <v>-8.03571417927742E-2</v>
      </c>
      <c r="CN14" s="26">
        <v>1.9238258600234985</v>
      </c>
      <c r="CO14" s="26">
        <v>-1.1599514484405518</v>
      </c>
      <c r="CP14" s="26">
        <v>1.1526088714599609</v>
      </c>
      <c r="CQ14" s="26">
        <v>-35.372596740722656</v>
      </c>
      <c r="CR14" s="26">
        <v>1.107839822769165</v>
      </c>
      <c r="CS14">
        <v>10.0591046875</v>
      </c>
      <c r="CT14">
        <v>-431871321.99499166</v>
      </c>
      <c r="CU14">
        <v>0</v>
      </c>
      <c r="CV14" s="25">
        <v>-5.6168559938669206E-3</v>
      </c>
      <c r="CW14" s="26">
        <v>-6.4696547269821165</v>
      </c>
      <c r="CX14">
        <v>0.06</v>
      </c>
      <c r="CY14">
        <v>261.28809734974959</v>
      </c>
      <c r="CZ14" t="s">
        <v>2155</v>
      </c>
      <c r="DA14">
        <v>-5.6168559938669206E-3</v>
      </c>
      <c r="DB14">
        <v>87.096032449916521</v>
      </c>
      <c r="DC14" t="s">
        <v>2156</v>
      </c>
      <c r="DD14">
        <v>-5.3360131941735745E-3</v>
      </c>
      <c r="DE14">
        <v>43.548016224958261</v>
      </c>
      <c r="DF14" t="s">
        <v>2157</v>
      </c>
      <c r="DG14">
        <v>-4.9428332746028905E-3</v>
      </c>
      <c r="DH14">
        <v>26.128809734974958</v>
      </c>
      <c r="DI14" t="s">
        <v>2158</v>
      </c>
      <c r="DJ14">
        <v>-4.4934847950935369E-3</v>
      </c>
      <c r="DK14">
        <v>13.064404867487479</v>
      </c>
      <c r="DL14" t="s">
        <v>2159</v>
      </c>
      <c r="DM14">
        <v>-3.9317991957068445E-3</v>
      </c>
      <c r="DN14">
        <v>7667200</v>
      </c>
      <c r="DO14">
        <v>-5.6168559938669206E-3</v>
      </c>
      <c r="DP14">
        <v>2003348100</v>
      </c>
      <c r="DQ14">
        <v>-19824700</v>
      </c>
      <c r="DR14">
        <v>714</v>
      </c>
      <c r="DS14">
        <v>-3.0167237065794671E-2</v>
      </c>
      <c r="DT14">
        <v>6.0159279661528986</v>
      </c>
      <c r="DU14" s="27">
        <v>0.6</v>
      </c>
      <c r="DV14">
        <v>0.22</v>
      </c>
      <c r="DW14">
        <v>0.82</v>
      </c>
      <c r="DX14">
        <v>-2.0682999999999998</v>
      </c>
      <c r="DY14">
        <v>0.57985783132529911</v>
      </c>
      <c r="DZ14">
        <v>-2.0102352898795179</v>
      </c>
      <c r="EA14">
        <v>3164</v>
      </c>
      <c r="EB14">
        <v>-2.0036557577424201</v>
      </c>
      <c r="EC14">
        <v>2</v>
      </c>
      <c r="ED14">
        <v>9.4928026282078234E-2</v>
      </c>
      <c r="EE14">
        <v>0.63345389054786816</v>
      </c>
      <c r="EF14" s="28">
        <v>3.0100000000000002E-2</v>
      </c>
      <c r="EG14">
        <v>3.0223999999999997E-2</v>
      </c>
      <c r="EH14">
        <v>43.149857831325299</v>
      </c>
      <c r="EI14">
        <v>-1</v>
      </c>
      <c r="EJ14">
        <v>0</v>
      </c>
      <c r="EK14">
        <v>0</v>
      </c>
      <c r="EL14" s="29">
        <v>44946</v>
      </c>
      <c r="EM14" s="30">
        <v>9.7000000000000003E-3</v>
      </c>
      <c r="EN14" s="30">
        <v>-0.96</v>
      </c>
      <c r="EO14" s="30">
        <v>1.39</v>
      </c>
      <c r="EP14" s="30">
        <v>-0.27</v>
      </c>
      <c r="EQ14" s="30">
        <v>1.24E-2</v>
      </c>
    </row>
    <row r="15" spans="1:147" ht="86.4" x14ac:dyDescent="0.25">
      <c r="B15" s="23"/>
      <c r="C15" s="23"/>
      <c r="D15" s="23" t="s">
        <v>2196</v>
      </c>
      <c r="E15" t="s">
        <v>688</v>
      </c>
      <c r="F15" t="s">
        <v>689</v>
      </c>
      <c r="G15">
        <v>4.25</v>
      </c>
      <c r="H15">
        <v>9.4999999999999998E-3</v>
      </c>
      <c r="I15" t="s">
        <v>690</v>
      </c>
      <c r="J15">
        <v>1855754000</v>
      </c>
      <c r="K15">
        <v>327.39999999999998</v>
      </c>
      <c r="L15">
        <v>55.34</v>
      </c>
      <c r="M15" t="s">
        <v>172</v>
      </c>
      <c r="N15" t="s">
        <v>2161</v>
      </c>
      <c r="O15" t="s">
        <v>2162</v>
      </c>
      <c r="P15" t="s">
        <v>2163</v>
      </c>
      <c r="Q15">
        <v>39.96</v>
      </c>
      <c r="R15" t="s">
        <v>281</v>
      </c>
      <c r="S15">
        <v>19552766</v>
      </c>
      <c r="T15" s="24">
        <v>2.5619999999999998</v>
      </c>
      <c r="U15" t="s">
        <v>2164</v>
      </c>
      <c r="V15">
        <v>344594810</v>
      </c>
      <c r="W15">
        <v>436648000</v>
      </c>
      <c r="X15">
        <v>7.99</v>
      </c>
      <c r="Y15">
        <v>0.41</v>
      </c>
      <c r="Z15">
        <v>15.35</v>
      </c>
      <c r="AA15" t="s">
        <v>261</v>
      </c>
      <c r="AB15" t="s">
        <v>211</v>
      </c>
      <c r="AC15" t="s">
        <v>2165</v>
      </c>
      <c r="AD15" t="s">
        <v>2166</v>
      </c>
      <c r="AE15" t="s">
        <v>2167</v>
      </c>
      <c r="AF15">
        <v>2239285</v>
      </c>
      <c r="AG15" t="s">
        <v>2168</v>
      </c>
      <c r="AH15" t="s">
        <v>2169</v>
      </c>
      <c r="AI15" t="s">
        <v>2170</v>
      </c>
      <c r="AJ15" t="s">
        <v>2171</v>
      </c>
      <c r="AK15" t="s">
        <v>2172</v>
      </c>
      <c r="AL15" t="s">
        <v>2173</v>
      </c>
      <c r="AM15" t="s">
        <v>2174</v>
      </c>
      <c r="AN15" t="s">
        <v>167</v>
      </c>
      <c r="AO15">
        <v>0</v>
      </c>
      <c r="AP15" t="s">
        <v>438</v>
      </c>
      <c r="AQ15" t="s">
        <v>2175</v>
      </c>
      <c r="AR15" t="s">
        <v>2176</v>
      </c>
      <c r="AS15" t="s">
        <v>167</v>
      </c>
      <c r="AT15" t="s">
        <v>2143</v>
      </c>
      <c r="AU15" t="s">
        <v>167</v>
      </c>
      <c r="AV15" t="s">
        <v>2177</v>
      </c>
      <c r="AW15" t="s">
        <v>2178</v>
      </c>
      <c r="AX15" t="s">
        <v>2179</v>
      </c>
      <c r="AY15" t="s">
        <v>227</v>
      </c>
      <c r="AZ15" t="s">
        <v>2180</v>
      </c>
      <c r="BA15" t="s">
        <v>2181</v>
      </c>
      <c r="BB15" t="s">
        <v>2182</v>
      </c>
      <c r="BC15" t="s">
        <v>2183</v>
      </c>
      <c r="BD15" t="s">
        <v>2184</v>
      </c>
      <c r="BE15" t="s">
        <v>2185</v>
      </c>
      <c r="BF15" t="s">
        <v>2186</v>
      </c>
      <c r="BG15" t="s">
        <v>2187</v>
      </c>
      <c r="BH15" t="s">
        <v>2188</v>
      </c>
      <c r="BI15" t="s">
        <v>2189</v>
      </c>
      <c r="BJ15" t="s">
        <v>2190</v>
      </c>
      <c r="BK15" t="s">
        <v>2191</v>
      </c>
      <c r="BL15" t="s">
        <v>2192</v>
      </c>
      <c r="BM15" t="s">
        <v>2193</v>
      </c>
      <c r="BN15" t="s">
        <v>2194</v>
      </c>
      <c r="BO15">
        <v>-20.48</v>
      </c>
      <c r="BP15">
        <v>-6.04</v>
      </c>
      <c r="BQ15">
        <v>27.44</v>
      </c>
      <c r="BR15">
        <v>-126.94</v>
      </c>
      <c r="BS15">
        <v>-34.18</v>
      </c>
      <c r="BT15">
        <v>76.790000000000006</v>
      </c>
      <c r="BU15" t="s">
        <v>215</v>
      </c>
      <c r="BV15" t="s">
        <v>1770</v>
      </c>
      <c r="BW15">
        <v>6.41</v>
      </c>
      <c r="BX15">
        <v>15.69</v>
      </c>
      <c r="BY15">
        <v>20.46</v>
      </c>
      <c r="BZ15">
        <v>-13.93</v>
      </c>
      <c r="CA15">
        <v>-13.61</v>
      </c>
      <c r="CB15">
        <v>29.01</v>
      </c>
      <c r="CC15">
        <v>2.66</v>
      </c>
      <c r="CD15">
        <v>-0.93</v>
      </c>
      <c r="CE15" t="s">
        <v>2195</v>
      </c>
      <c r="CF15" t="s">
        <v>492</v>
      </c>
      <c r="CG15" s="25">
        <v>1.1860113029891723</v>
      </c>
      <c r="CH15" s="26">
        <v>5.9161915487101302</v>
      </c>
      <c r="CI15" s="25">
        <v>0.1666666716337204</v>
      </c>
      <c r="CJ15" s="25">
        <v>0.11527848988771439</v>
      </c>
      <c r="CK15" s="25">
        <v>-0.96198004484176636</v>
      </c>
      <c r="CL15" s="25">
        <v>-0.209742471575737</v>
      </c>
      <c r="CM15" s="25">
        <v>9.231745719909668</v>
      </c>
      <c r="CN15" s="26">
        <v>-0.79749083518981934</v>
      </c>
      <c r="CO15" s="26">
        <v>-1.5070797204971313</v>
      </c>
      <c r="CP15" s="26">
        <v>1.0467261075973511</v>
      </c>
      <c r="CQ15" s="26">
        <v>-19.549263000488281</v>
      </c>
      <c r="CR15" s="26">
        <v>-2.2303056716918945</v>
      </c>
      <c r="CS15">
        <v>14.728206349206349</v>
      </c>
      <c r="CT15">
        <v>101479665.22126073</v>
      </c>
      <c r="CU15">
        <v>0</v>
      </c>
      <c r="CV15" s="25">
        <v>1.6683936730027198</v>
      </c>
      <c r="CW15" s="26">
        <v>-4.6074826240539553</v>
      </c>
      <c r="CX15">
        <v>0.06</v>
      </c>
      <c r="CY15" t="e">
        <v>#VALUE!</v>
      </c>
      <c r="CZ15" t="s">
        <v>217</v>
      </c>
      <c r="DA15">
        <v>1.6683936730027198</v>
      </c>
      <c r="DB15" t="e">
        <v>#VALUE!</v>
      </c>
      <c r="DC15" t="s">
        <v>217</v>
      </c>
      <c r="DD15">
        <v>1.5849739893525838</v>
      </c>
      <c r="DE15" t="e">
        <v>#VALUE!</v>
      </c>
      <c r="DF15" t="s">
        <v>217</v>
      </c>
      <c r="DG15">
        <v>1.4681864322423934</v>
      </c>
      <c r="DH15" t="e">
        <v>#VALUE!</v>
      </c>
      <c r="DI15" t="s">
        <v>217</v>
      </c>
      <c r="DJ15">
        <v>1.3347149384021759</v>
      </c>
      <c r="DK15" t="e">
        <v>#VALUE!</v>
      </c>
      <c r="DL15" t="s">
        <v>217</v>
      </c>
      <c r="DM15">
        <v>1.1678755711019038</v>
      </c>
      <c r="DN15">
        <v>-26405500</v>
      </c>
      <c r="DO15">
        <v>1.6683936730027198</v>
      </c>
      <c r="DP15">
        <v>2051212100</v>
      </c>
      <c r="DQ15">
        <v>-2102430.0000000298</v>
      </c>
      <c r="DR15">
        <v>1122</v>
      </c>
      <c r="DS15">
        <v>-0.48238237001354745</v>
      </c>
      <c r="DT15">
        <v>10.523674172764085</v>
      </c>
      <c r="DU15" s="27">
        <v>0.6</v>
      </c>
      <c r="DV15" t="e">
        <v>#VALUE!</v>
      </c>
      <c r="DW15" t="e">
        <v>#VALUE!</v>
      </c>
      <c r="DX15">
        <v>4.3496240601503757</v>
      </c>
      <c r="DY15">
        <v>0.5780085526315768</v>
      </c>
      <c r="DZ15">
        <v>4.0832135165215675</v>
      </c>
      <c r="EA15">
        <v>4395</v>
      </c>
      <c r="EB15">
        <v>4.0089096958973718</v>
      </c>
      <c r="EC15">
        <v>4</v>
      </c>
      <c r="ED15">
        <v>0.16570464080907277</v>
      </c>
      <c r="EE15">
        <v>0.69621296788259646</v>
      </c>
      <c r="EF15" s="28">
        <v>9.8100000000000027E-3</v>
      </c>
      <c r="EG15">
        <v>9.7149999999999997E-3</v>
      </c>
      <c r="EH15">
        <v>34.238008552631577</v>
      </c>
      <c r="EI15">
        <v>-1</v>
      </c>
      <c r="EJ15">
        <v>0</v>
      </c>
      <c r="EK15">
        <v>0</v>
      </c>
      <c r="EL15" s="29">
        <v>44946</v>
      </c>
      <c r="EM15" s="30">
        <v>1.21E-2</v>
      </c>
      <c r="EN15" s="30">
        <v>-2.15</v>
      </c>
      <c r="EO15" s="30">
        <v>0.98</v>
      </c>
      <c r="EP15" s="30">
        <v>1.69</v>
      </c>
      <c r="EQ15" s="30">
        <v>9.4999999999999998E-3</v>
      </c>
    </row>
    <row r="16" spans="1:147" ht="86.4" x14ac:dyDescent="0.25">
      <c r="B16" s="23"/>
      <c r="C16" s="23"/>
      <c r="D16" s="23" t="s">
        <v>2226</v>
      </c>
      <c r="E16" t="s">
        <v>691</v>
      </c>
      <c r="F16" t="s">
        <v>692</v>
      </c>
      <c r="G16">
        <v>8.99</v>
      </c>
      <c r="H16">
        <v>1.7000000000000001E-2</v>
      </c>
      <c r="I16" t="s">
        <v>693</v>
      </c>
      <c r="J16">
        <v>1806878500</v>
      </c>
      <c r="L16">
        <v>2.5099999999999998</v>
      </c>
      <c r="M16" t="s">
        <v>172</v>
      </c>
      <c r="N16" t="s">
        <v>2197</v>
      </c>
      <c r="O16" t="s">
        <v>2198</v>
      </c>
      <c r="P16" t="s">
        <v>2199</v>
      </c>
      <c r="Q16">
        <v>-13.32</v>
      </c>
      <c r="R16" t="s">
        <v>546</v>
      </c>
      <c r="S16">
        <v>-202528870</v>
      </c>
      <c r="T16" s="24">
        <v>-11.81</v>
      </c>
      <c r="U16" t="s">
        <v>2200</v>
      </c>
      <c r="V16">
        <v>150797810</v>
      </c>
      <c r="W16">
        <v>200987600</v>
      </c>
      <c r="X16">
        <v>3.18</v>
      </c>
      <c r="Y16">
        <v>0.22</v>
      </c>
      <c r="Z16">
        <v>-34.6</v>
      </c>
      <c r="AA16" t="s">
        <v>1287</v>
      </c>
      <c r="AB16" t="s">
        <v>2003</v>
      </c>
      <c r="AC16" t="s">
        <v>2201</v>
      </c>
      <c r="AD16" t="s">
        <v>2202</v>
      </c>
      <c r="AE16" t="s">
        <v>2203</v>
      </c>
      <c r="AF16">
        <v>3412093</v>
      </c>
      <c r="AG16" t="s">
        <v>2204</v>
      </c>
      <c r="AH16" t="s">
        <v>2205</v>
      </c>
      <c r="AI16" t="s">
        <v>2206</v>
      </c>
      <c r="AJ16" t="s">
        <v>285</v>
      </c>
      <c r="AK16" t="s">
        <v>2207</v>
      </c>
      <c r="AL16" t="s">
        <v>2208</v>
      </c>
      <c r="AM16" t="s">
        <v>2209</v>
      </c>
      <c r="AN16" t="s">
        <v>167</v>
      </c>
      <c r="AO16">
        <v>0</v>
      </c>
      <c r="AP16" t="s">
        <v>572</v>
      </c>
      <c r="AQ16" t="s">
        <v>1276</v>
      </c>
      <c r="AR16" t="s">
        <v>2210</v>
      </c>
      <c r="AS16" t="s">
        <v>167</v>
      </c>
      <c r="AT16" t="s">
        <v>2211</v>
      </c>
      <c r="AU16" t="s">
        <v>2212</v>
      </c>
      <c r="AV16" t="s">
        <v>2213</v>
      </c>
      <c r="AW16" t="s">
        <v>2214</v>
      </c>
      <c r="AX16" t="s">
        <v>2215</v>
      </c>
      <c r="AY16" t="s">
        <v>214</v>
      </c>
      <c r="AZ16" t="s">
        <v>1264</v>
      </c>
      <c r="BA16" t="s">
        <v>203</v>
      </c>
      <c r="BB16" t="s">
        <v>1203</v>
      </c>
      <c r="BC16" t="s">
        <v>574</v>
      </c>
      <c r="BD16" t="s">
        <v>2216</v>
      </c>
      <c r="BE16" t="s">
        <v>2217</v>
      </c>
      <c r="BF16" t="s">
        <v>2218</v>
      </c>
      <c r="BG16" t="s">
        <v>2219</v>
      </c>
      <c r="BH16" t="s">
        <v>2220</v>
      </c>
      <c r="BI16" t="s">
        <v>1606</v>
      </c>
      <c r="BJ16" t="s">
        <v>252</v>
      </c>
      <c r="BK16" t="s">
        <v>188</v>
      </c>
      <c r="BL16" t="s">
        <v>2221</v>
      </c>
      <c r="BM16" t="s">
        <v>2222</v>
      </c>
      <c r="BN16" t="s">
        <v>2223</v>
      </c>
      <c r="BO16">
        <v>3.53</v>
      </c>
      <c r="BP16">
        <v>3.31</v>
      </c>
      <c r="BQ16">
        <v>4.2</v>
      </c>
      <c r="BR16">
        <v>2.19</v>
      </c>
      <c r="BS16">
        <v>2.56</v>
      </c>
      <c r="BT16">
        <v>4.42</v>
      </c>
      <c r="BU16" t="s">
        <v>2224</v>
      </c>
      <c r="BV16" t="s">
        <v>1770</v>
      </c>
      <c r="BW16">
        <v>17.39</v>
      </c>
      <c r="BX16">
        <v>22.63</v>
      </c>
      <c r="BY16">
        <v>15.71</v>
      </c>
      <c r="BZ16">
        <v>-56.52</v>
      </c>
      <c r="CA16">
        <v>2.88</v>
      </c>
      <c r="CB16">
        <v>3.09</v>
      </c>
      <c r="CC16">
        <v>2.5099999999999998</v>
      </c>
      <c r="CD16">
        <v>-9.01</v>
      </c>
      <c r="CE16" t="s">
        <v>2225</v>
      </c>
      <c r="CF16" t="s">
        <v>869</v>
      </c>
      <c r="CG16" s="25">
        <v>5.7168846153846153E-2</v>
      </c>
      <c r="CH16" s="26">
        <v>-0.54673991333874428</v>
      </c>
      <c r="CI16" s="25">
        <v>0.22115391492843628</v>
      </c>
      <c r="CJ16" s="25">
        <v>-0.33522728085517883</v>
      </c>
      <c r="CK16" s="25">
        <v>0.55752211809158325</v>
      </c>
      <c r="CL16" s="25">
        <v>0.39291217923164368</v>
      </c>
      <c r="CM16" s="25">
        <v>0.51635515689849854</v>
      </c>
      <c r="CN16" s="26">
        <v>-0.14233678579330444</v>
      </c>
      <c r="CO16" s="26">
        <v>-0.42696559429168701</v>
      </c>
      <c r="CP16" s="26">
        <v>-4.2792797088623047E-2</v>
      </c>
      <c r="CQ16" s="26">
        <v>-0.35089766979217529</v>
      </c>
      <c r="CR16" s="26">
        <v>0.11829148977994919</v>
      </c>
      <c r="CS16">
        <v>1.580821084864392</v>
      </c>
      <c r="CT16">
        <v>-94815392.890551925</v>
      </c>
      <c r="CU16">
        <v>0.66740823136818683</v>
      </c>
      <c r="CV16" s="25">
        <v>0.27054321765899658</v>
      </c>
      <c r="CW16" s="26">
        <v>-0.16894027143716811</v>
      </c>
      <c r="CX16">
        <v>0.06</v>
      </c>
      <c r="CY16">
        <v>106.25196851583465</v>
      </c>
      <c r="CZ16">
        <v>25626616.975046553</v>
      </c>
      <c r="DA16">
        <v>0.27054321765899658</v>
      </c>
      <c r="DB16">
        <v>29.897341702546587</v>
      </c>
      <c r="DC16">
        <v>91074267.641931236</v>
      </c>
      <c r="DD16">
        <v>0.25701605677604672</v>
      </c>
      <c r="DE16">
        <v>11.903109193363932</v>
      </c>
      <c r="DF16">
        <v>228753551.34253699</v>
      </c>
      <c r="DG16">
        <v>0.238078031539917</v>
      </c>
      <c r="DH16">
        <v>5.530876479463207</v>
      </c>
      <c r="DI16">
        <v>492305064.14496279</v>
      </c>
      <c r="DJ16">
        <v>0.21643457412719727</v>
      </c>
      <c r="DK16">
        <v>1.5381374713263896</v>
      </c>
      <c r="DL16">
        <v>1770243915.6182621</v>
      </c>
      <c r="DM16">
        <v>0.1893802523612976</v>
      </c>
      <c r="DN16">
        <v>21380000</v>
      </c>
      <c r="DO16">
        <v>0.27054321765899658</v>
      </c>
      <c r="DP16">
        <v>2722878500</v>
      </c>
      <c r="DQ16">
        <v>57572000</v>
      </c>
      <c r="DR16">
        <v>1307</v>
      </c>
      <c r="DS16">
        <v>-0.21337437150515043</v>
      </c>
      <c r="DT16">
        <v>-0.37779964190157617</v>
      </c>
      <c r="DU16" s="27">
        <v>0</v>
      </c>
      <c r="DV16">
        <v>-0.89833333333333332</v>
      </c>
      <c r="DW16">
        <v>-0.89833333333333332</v>
      </c>
      <c r="DX16">
        <v>6.2178819444444446</v>
      </c>
      <c r="DY16">
        <v>0.36289770773639107</v>
      </c>
      <c r="DZ16">
        <v>6.0202407331960366</v>
      </c>
      <c r="EA16">
        <v>4082</v>
      </c>
      <c r="EB16">
        <v>6.0034543307364228</v>
      </c>
      <c r="EC16">
        <v>6</v>
      </c>
      <c r="ED16">
        <v>0.16130995145969204</v>
      </c>
      <c r="EE16">
        <v>1.7364255307292589</v>
      </c>
      <c r="EF16" s="28">
        <v>9.8000000000000014E-3</v>
      </c>
      <c r="EG16">
        <v>9.9699999999999997E-3</v>
      </c>
      <c r="EH16">
        <v>27.092897707736391</v>
      </c>
      <c r="EI16" t="s">
        <v>180</v>
      </c>
      <c r="EJ16">
        <v>0</v>
      </c>
      <c r="EK16">
        <v>0</v>
      </c>
      <c r="EL16" s="29">
        <v>44946</v>
      </c>
      <c r="EM16" s="30">
        <v>1.4800000000000001E-2</v>
      </c>
      <c r="EN16" s="30">
        <v>-1.57</v>
      </c>
      <c r="EO16" s="30">
        <v>1.94</v>
      </c>
      <c r="EP16" s="30">
        <v>-1.01</v>
      </c>
      <c r="EQ16" s="30">
        <v>1.7000000000000001E-2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5" customFormat="1" ht="57.6" x14ac:dyDescent="0.25">
      <c r="A1" s="4" t="s">
        <v>15</v>
      </c>
      <c r="B1" s="5" t="s">
        <v>19</v>
      </c>
      <c r="C1" s="5" t="s">
        <v>16</v>
      </c>
      <c r="D1" s="5" t="s">
        <v>20</v>
      </c>
      <c r="E1" s="6" t="s">
        <v>17</v>
      </c>
      <c r="F1" s="6" t="s">
        <v>18</v>
      </c>
      <c r="G1" s="6" t="s">
        <v>26</v>
      </c>
      <c r="H1" s="6" t="s">
        <v>21</v>
      </c>
      <c r="I1" s="6" t="s">
        <v>22</v>
      </c>
      <c r="J1" s="6" t="s">
        <v>23</v>
      </c>
      <c r="K1" s="6" t="s">
        <v>24</v>
      </c>
      <c r="L1" s="5" t="s">
        <v>25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9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41</v>
      </c>
      <c r="AB1" s="5" t="s">
        <v>42</v>
      </c>
      <c r="AC1" s="5" t="s">
        <v>43</v>
      </c>
      <c r="AD1" s="13" t="s">
        <v>44</v>
      </c>
      <c r="AE1" s="5" t="s">
        <v>45</v>
      </c>
      <c r="AF1" s="5" t="s">
        <v>46</v>
      </c>
    </row>
    <row r="2" spans="1:32" x14ac:dyDescent="0.25">
      <c r="A2" s="2">
        <v>1</v>
      </c>
      <c r="B2">
        <v>1</v>
      </c>
      <c r="C2" s="3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7">
        <v>7.06</v>
      </c>
      <c r="I2" s="8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3">
        <v>0.37</v>
      </c>
      <c r="U2" s="3">
        <v>0.06</v>
      </c>
      <c r="V2">
        <f>SUM($R$2:R2)</f>
        <v>7.06</v>
      </c>
      <c r="W2" s="2">
        <f>X2-Y2</f>
        <v>474.26</v>
      </c>
      <c r="X2" s="12">
        <f>579-579*10%</f>
        <v>521.1</v>
      </c>
      <c r="Y2" s="12">
        <f>57.79-10.95</f>
        <v>46.84</v>
      </c>
      <c r="Z2">
        <f>$W$2/S2</f>
        <v>67.175637393767701</v>
      </c>
      <c r="AA2" s="3">
        <v>0.3</v>
      </c>
      <c r="AB2">
        <f>S2/AA2</f>
        <v>23.533333333333331</v>
      </c>
      <c r="AC2">
        <f>AC3*(1-$U$2)</f>
        <v>222.37291878719995</v>
      </c>
      <c r="AD2" s="3">
        <v>0</v>
      </c>
      <c r="AE2">
        <f>AC2*AD2</f>
        <v>0</v>
      </c>
      <c r="AF2">
        <f>IF(AB2&gt;AE2, 1, 0)</f>
        <v>1</v>
      </c>
    </row>
    <row r="3" spans="1:32" x14ac:dyDescent="0.25">
      <c r="A3" s="2">
        <v>2</v>
      </c>
      <c r="B3">
        <f>B2+B2*C2</f>
        <v>1.08</v>
      </c>
      <c r="C3" s="3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3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3">
        <v>0.3</v>
      </c>
      <c r="AB3">
        <f t="shared" ref="AB3:AB66" si="1">S3/AA3</f>
        <v>32.240666666666669</v>
      </c>
      <c r="AC3">
        <f>AC4*(1-$U$2)</f>
        <v>236.56693487999996</v>
      </c>
      <c r="AD3" s="3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x14ac:dyDescent="0.25">
      <c r="A4" s="2">
        <v>3</v>
      </c>
      <c r="B4">
        <f t="shared" ref="B4:B51" si="4">B3+B3*C3</f>
        <v>1.1664000000000001</v>
      </c>
      <c r="C4" s="3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3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3">
        <v>0.3</v>
      </c>
      <c r="AB4">
        <f t="shared" si="1"/>
        <v>44.169713333333341</v>
      </c>
      <c r="AC4">
        <f>AC5*(1-$U$2)</f>
        <v>251.66695199999998</v>
      </c>
      <c r="AD4" s="3">
        <v>0.15</v>
      </c>
      <c r="AE4">
        <f t="shared" si="2"/>
        <v>37.750042799999996</v>
      </c>
      <c r="AF4">
        <f t="shared" si="3"/>
        <v>1</v>
      </c>
    </row>
    <row r="5" spans="1:32" x14ac:dyDescent="0.25">
      <c r="A5" s="2">
        <v>4</v>
      </c>
      <c r="B5">
        <f t="shared" si="4"/>
        <v>1.2597120000000002</v>
      </c>
      <c r="C5" s="3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3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3">
        <v>0.3</v>
      </c>
      <c r="AB5">
        <f t="shared" si="1"/>
        <v>60.512507266666688</v>
      </c>
      <c r="AC5">
        <f>AC6*(1-$U$2)</f>
        <v>267.73079999999999</v>
      </c>
      <c r="AD5" s="3">
        <v>0.15</v>
      </c>
      <c r="AE5">
        <f t="shared" si="2"/>
        <v>40.159619999999997</v>
      </c>
      <c r="AF5">
        <f t="shared" si="3"/>
        <v>1</v>
      </c>
    </row>
    <row r="6" spans="1:32" x14ac:dyDescent="0.25">
      <c r="A6" s="2">
        <v>5</v>
      </c>
      <c r="B6">
        <f t="shared" si="4"/>
        <v>1.3604889600000001</v>
      </c>
      <c r="C6" s="3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3">
        <v>0.37</v>
      </c>
      <c r="V6">
        <f>SUM($R$2:R6)</f>
        <v>62.920100387891438</v>
      </c>
      <c r="W6" s="10">
        <f t="shared" si="8"/>
        <v>0.13267005521842754</v>
      </c>
      <c r="Z6">
        <f t="shared" si="0"/>
        <v>19.06907062789659</v>
      </c>
      <c r="AA6" s="3">
        <v>0.3</v>
      </c>
      <c r="AB6">
        <f t="shared" si="1"/>
        <v>82.902134955333366</v>
      </c>
      <c r="AC6">
        <f>AC7*(1-$U$2)</f>
        <v>284.82</v>
      </c>
      <c r="AD6" s="3">
        <v>0.2</v>
      </c>
      <c r="AE6">
        <f t="shared" si="2"/>
        <v>56.963999999999999</v>
      </c>
      <c r="AF6">
        <f t="shared" si="3"/>
        <v>1</v>
      </c>
    </row>
    <row r="7" spans="1:32" x14ac:dyDescent="0.25">
      <c r="A7" s="2">
        <v>6</v>
      </c>
      <c r="B7">
        <f t="shared" si="4"/>
        <v>1.4693280768000001</v>
      </c>
      <c r="C7" s="3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3">
        <v>0.37</v>
      </c>
      <c r="V7">
        <f>SUM($R$2:R7)</f>
        <v>88.381261822086103</v>
      </c>
      <c r="W7" s="11">
        <f t="shared" si="8"/>
        <v>0.18635613760824465</v>
      </c>
      <c r="Z7">
        <f t="shared" si="0"/>
        <v>13.919029655398969</v>
      </c>
      <c r="AA7" s="3">
        <v>0.3</v>
      </c>
      <c r="AB7">
        <f t="shared" si="1"/>
        <v>113.57592488880672</v>
      </c>
      <c r="AC7">
        <v>303</v>
      </c>
      <c r="AD7" s="3">
        <v>0.2</v>
      </c>
      <c r="AE7">
        <f t="shared" si="2"/>
        <v>60.6</v>
      </c>
      <c r="AF7">
        <f t="shared" si="3"/>
        <v>1</v>
      </c>
    </row>
    <row r="8" spans="1:32" x14ac:dyDescent="0.25">
      <c r="A8" s="2">
        <v>7</v>
      </c>
      <c r="B8">
        <f t="shared" si="4"/>
        <v>1.5868743229440001</v>
      </c>
      <c r="C8" s="3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3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3">
        <v>0.3</v>
      </c>
      <c r="AB8">
        <f t="shared" si="1"/>
        <v>155.59901709766521</v>
      </c>
      <c r="AC8">
        <f t="shared" ref="AC8:AC67" si="10">AC7*(1+$U$2)</f>
        <v>321.18</v>
      </c>
      <c r="AD8" s="3">
        <v>0.2</v>
      </c>
      <c r="AE8">
        <f t="shared" si="2"/>
        <v>64.236000000000004</v>
      </c>
      <c r="AF8">
        <f t="shared" si="3"/>
        <v>1</v>
      </c>
    </row>
    <row r="9" spans="1:32" x14ac:dyDescent="0.25">
      <c r="A9" s="2">
        <v>8</v>
      </c>
      <c r="B9">
        <f t="shared" si="4"/>
        <v>1.7138242687795202</v>
      </c>
      <c r="C9" s="3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3">
        <v>0.1</v>
      </c>
      <c r="V9">
        <f>SUM($R$2:R9)</f>
        <v>163.81980982010805</v>
      </c>
      <c r="W9" s="10">
        <f t="shared" si="8"/>
        <v>0.34542194117173713</v>
      </c>
      <c r="Z9">
        <f t="shared" si="0"/>
        <v>7.4159676356752984</v>
      </c>
      <c r="AA9" s="3">
        <v>0.3</v>
      </c>
      <c r="AB9">
        <f t="shared" si="1"/>
        <v>213.17065342380135</v>
      </c>
      <c r="AC9">
        <f t="shared" si="10"/>
        <v>340.45080000000002</v>
      </c>
      <c r="AD9" s="3">
        <v>0.2</v>
      </c>
      <c r="AE9">
        <f t="shared" si="2"/>
        <v>68.090160000000012</v>
      </c>
      <c r="AF9" s="2">
        <f t="shared" si="3"/>
        <v>1</v>
      </c>
    </row>
    <row r="10" spans="1:32" x14ac:dyDescent="0.25">
      <c r="A10" s="2">
        <v>9</v>
      </c>
      <c r="B10">
        <f t="shared" si="4"/>
        <v>1.8509302102818819</v>
      </c>
      <c r="C10" s="3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3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3">
        <v>0.3</v>
      </c>
      <c r="AB10">
        <f t="shared" si="1"/>
        <v>234.4877187661815</v>
      </c>
      <c r="AC10">
        <f t="shared" si="10"/>
        <v>360.87784800000003</v>
      </c>
      <c r="AD10" s="3">
        <v>0.2</v>
      </c>
      <c r="AE10">
        <f t="shared" si="2"/>
        <v>72.175569600000003</v>
      </c>
      <c r="AF10" s="1">
        <f t="shared" si="3"/>
        <v>1</v>
      </c>
    </row>
    <row r="11" spans="1:32" x14ac:dyDescent="0.25">
      <c r="A11" s="2">
        <v>10</v>
      </c>
      <c r="B11">
        <f t="shared" si="4"/>
        <v>1.9990046271044324</v>
      </c>
      <c r="C11" s="3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3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3">
        <v>0.3</v>
      </c>
      <c r="AB11">
        <f t="shared" si="1"/>
        <v>257.9364906427997</v>
      </c>
      <c r="AC11">
        <f t="shared" si="10"/>
        <v>382.53051888000005</v>
      </c>
      <c r="AD11" s="3">
        <v>0.2</v>
      </c>
      <c r="AE11">
        <f t="shared" si="2"/>
        <v>76.506103776000018</v>
      </c>
      <c r="AF11">
        <f t="shared" si="3"/>
        <v>1</v>
      </c>
    </row>
    <row r="12" spans="1:32" x14ac:dyDescent="0.25">
      <c r="A12" s="2">
        <v>11</v>
      </c>
      <c r="B12">
        <f t="shared" si="4"/>
        <v>2.1589249972727869</v>
      </c>
      <c r="C12" s="3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3">
        <v>0.08</v>
      </c>
      <c r="V12">
        <f>SUM($R$2:R12)</f>
        <v>301.28765069428454</v>
      </c>
      <c r="W12" s="11">
        <f t="shared" si="8"/>
        <v>0.6352794895084648</v>
      </c>
      <c r="Z12">
        <f t="shared" si="0"/>
        <v>5.5717262476899307</v>
      </c>
      <c r="AA12" s="3">
        <v>0.3</v>
      </c>
      <c r="AB12">
        <f t="shared" si="1"/>
        <v>283.73013970707967</v>
      </c>
      <c r="AC12">
        <f t="shared" si="10"/>
        <v>405.48235001280005</v>
      </c>
      <c r="AD12" s="3">
        <v>0.2</v>
      </c>
      <c r="AE12">
        <f t="shared" si="2"/>
        <v>81.096470002560011</v>
      </c>
      <c r="AF12" s="1">
        <f t="shared" si="3"/>
        <v>1</v>
      </c>
    </row>
    <row r="13" spans="1:32" x14ac:dyDescent="0.25">
      <c r="A13" s="2">
        <v>12</v>
      </c>
      <c r="B13">
        <f t="shared" si="4"/>
        <v>2.3316389970546099</v>
      </c>
      <c r="C13" s="3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3">
        <v>0.08</v>
      </c>
      <c r="V13">
        <f>SUM($R$2:R13)</f>
        <v>349.71447210308537</v>
      </c>
      <c r="W13" s="11">
        <f t="shared" si="8"/>
        <v>0.73738976954220337</v>
      </c>
      <c r="Z13">
        <f t="shared" si="0"/>
        <v>5.1590057848980839</v>
      </c>
      <c r="AA13" s="3">
        <v>0.3</v>
      </c>
      <c r="AB13">
        <f t="shared" si="1"/>
        <v>306.42855088364604</v>
      </c>
      <c r="AC13">
        <f t="shared" si="10"/>
        <v>429.81129101356805</v>
      </c>
      <c r="AD13" s="3">
        <v>0.2</v>
      </c>
      <c r="AE13">
        <f t="shared" si="2"/>
        <v>85.962258202713613</v>
      </c>
      <c r="AF13">
        <f t="shared" si="3"/>
        <v>1</v>
      </c>
    </row>
    <row r="14" spans="1:32" x14ac:dyDescent="0.25">
      <c r="A14" s="2">
        <v>13</v>
      </c>
      <c r="B14">
        <f t="shared" si="4"/>
        <v>2.5181701168189785</v>
      </c>
      <c r="C14" s="3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3">
        <v>0.08</v>
      </c>
      <c r="V14">
        <f>SUM($R$2:R14)</f>
        <v>399.055007123373</v>
      </c>
      <c r="W14" s="11">
        <f t="shared" si="8"/>
        <v>0.84142665863318222</v>
      </c>
      <c r="Z14">
        <f>$W$2/S14</f>
        <v>4.7768572082389662</v>
      </c>
      <c r="AA14" s="3">
        <v>0.3</v>
      </c>
      <c r="AB14">
        <f>S14/AA14</f>
        <v>330.94283495433774</v>
      </c>
      <c r="AC14">
        <f t="shared" si="10"/>
        <v>455.59996847438214</v>
      </c>
      <c r="AD14" s="3">
        <v>0.2</v>
      </c>
      <c r="AE14">
        <f t="shared" si="2"/>
        <v>91.119993694876428</v>
      </c>
      <c r="AF14">
        <f t="shared" si="3"/>
        <v>1</v>
      </c>
    </row>
    <row r="15" spans="1:32" x14ac:dyDescent="0.25">
      <c r="A15" s="2">
        <v>14</v>
      </c>
      <c r="B15">
        <f t="shared" si="4"/>
        <v>2.7196237261644969</v>
      </c>
      <c r="C15" s="3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3">
        <v>0.08</v>
      </c>
      <c r="V15">
        <f>SUM($R$2:R15)</f>
        <v>449.3264956346095</v>
      </c>
      <c r="W15" s="11">
        <f t="shared" si="8"/>
        <v>0.94742650789568905</v>
      </c>
      <c r="Z15">
        <f t="shared" ref="Z15:Z78" si="11">$W$2/S15</f>
        <v>4.4230159335545975</v>
      </c>
      <c r="AA15" s="3">
        <v>0.3</v>
      </c>
      <c r="AB15">
        <f t="shared" si="1"/>
        <v>357.41826175068479</v>
      </c>
      <c r="AC15">
        <f t="shared" si="10"/>
        <v>482.93596658284508</v>
      </c>
      <c r="AD15" s="3">
        <v>0.2</v>
      </c>
      <c r="AE15">
        <f t="shared" si="2"/>
        <v>96.587193316569028</v>
      </c>
      <c r="AF15">
        <f t="shared" si="3"/>
        <v>1</v>
      </c>
    </row>
    <row r="16" spans="1:32" x14ac:dyDescent="0.25">
      <c r="A16" s="2">
        <v>15</v>
      </c>
      <c r="B16">
        <f t="shared" si="4"/>
        <v>2.9371936242576568</v>
      </c>
      <c r="C16" s="3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3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3">
        <v>0.3</v>
      </c>
      <c r="AB16">
        <f t="shared" si="1"/>
        <v>386.01172269073959</v>
      </c>
      <c r="AC16">
        <f t="shared" si="10"/>
        <v>511.9121245778158</v>
      </c>
      <c r="AD16" s="3">
        <v>0.2</v>
      </c>
      <c r="AE16">
        <f t="shared" si="2"/>
        <v>102.38242491556316</v>
      </c>
      <c r="AF16">
        <f t="shared" si="3"/>
        <v>1</v>
      </c>
    </row>
    <row r="17" spans="1:32" x14ac:dyDescent="0.25">
      <c r="A17" s="2">
        <v>16</v>
      </c>
      <c r="B17">
        <f t="shared" si="4"/>
        <v>3.1721691141982693</v>
      </c>
      <c r="C17" s="3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3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3">
        <v>0.3</v>
      </c>
      <c r="AB17">
        <f t="shared" si="1"/>
        <v>416.89266050599878</v>
      </c>
      <c r="AC17">
        <f t="shared" si="10"/>
        <v>542.62685205248476</v>
      </c>
      <c r="AD17" s="3">
        <v>0.2</v>
      </c>
      <c r="AE17">
        <f t="shared" si="2"/>
        <v>108.52537041049696</v>
      </c>
      <c r="AF17">
        <f t="shared" si="3"/>
        <v>1</v>
      </c>
    </row>
    <row r="18" spans="1:32" x14ac:dyDescent="0.25">
      <c r="A18" s="2">
        <v>17</v>
      </c>
      <c r="B18">
        <f t="shared" si="4"/>
        <v>3.4259426433341309</v>
      </c>
      <c r="C18" s="3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3">
        <v>0.08</v>
      </c>
      <c r="V18">
        <f>SUM($R$2:R18)</f>
        <v>605.90399705983532</v>
      </c>
      <c r="W18" s="11">
        <f t="shared" si="8"/>
        <v>1.2775776937963044</v>
      </c>
      <c r="Z18">
        <f t="shared" si="11"/>
        <v>3.5111326506015637</v>
      </c>
      <c r="AA18" s="3">
        <v>0.3</v>
      </c>
      <c r="AB18">
        <f t="shared" si="1"/>
        <v>450.24407334647873</v>
      </c>
      <c r="AC18">
        <f t="shared" si="10"/>
        <v>575.18446317563382</v>
      </c>
      <c r="AD18" s="3">
        <v>0.2</v>
      </c>
      <c r="AE18">
        <f t="shared" si="2"/>
        <v>115.03689263512678</v>
      </c>
      <c r="AF18">
        <f t="shared" si="3"/>
        <v>1</v>
      </c>
    </row>
    <row r="19" spans="1:32" x14ac:dyDescent="0.25">
      <c r="A19" s="2">
        <v>18</v>
      </c>
      <c r="B19">
        <f t="shared" si="4"/>
        <v>3.7000180548008612</v>
      </c>
      <c r="C19" s="3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3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3">
        <v>0.3</v>
      </c>
      <c r="AB19">
        <f t="shared" si="1"/>
        <v>486.26359921419703</v>
      </c>
      <c r="AC19">
        <f t="shared" si="10"/>
        <v>609.69553096617187</v>
      </c>
      <c r="AD19" s="3">
        <v>0.2</v>
      </c>
      <c r="AE19">
        <f t="shared" si="2"/>
        <v>121.93910619323438</v>
      </c>
      <c r="AF19">
        <f t="shared" si="3"/>
        <v>1</v>
      </c>
    </row>
    <row r="20" spans="1:32" x14ac:dyDescent="0.25">
      <c r="A20" s="2">
        <v>19</v>
      </c>
      <c r="B20">
        <f t="shared" si="4"/>
        <v>3.9960194991849303</v>
      </c>
      <c r="C20" s="3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3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3">
        <v>0.3</v>
      </c>
      <c r="AB20">
        <f t="shared" si="1"/>
        <v>525.16468715133283</v>
      </c>
      <c r="AC20">
        <f t="shared" si="10"/>
        <v>646.27726282414221</v>
      </c>
      <c r="AD20" s="3">
        <v>0.2</v>
      </c>
      <c r="AE20">
        <f t="shared" si="2"/>
        <v>129.25545256482846</v>
      </c>
      <c r="AF20">
        <f t="shared" si="3"/>
        <v>1</v>
      </c>
    </row>
    <row r="21" spans="1:32" x14ac:dyDescent="0.25">
      <c r="A21" s="2">
        <v>20</v>
      </c>
      <c r="B21">
        <f t="shared" si="4"/>
        <v>4.3157010591197249</v>
      </c>
      <c r="C21" s="3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3">
        <v>0.08</v>
      </c>
      <c r="V21">
        <f>SUM($R$2:R21)</f>
        <v>771.51265175076651</v>
      </c>
      <c r="W21" s="10">
        <f t="shared" si="8"/>
        <v>1.626771500338984</v>
      </c>
      <c r="Z21">
        <f t="shared" si="11"/>
        <v>2.7872503005461273</v>
      </c>
      <c r="AA21" s="3">
        <v>0.3</v>
      </c>
      <c r="AB21">
        <f t="shared" si="1"/>
        <v>567.17786212343947</v>
      </c>
      <c r="AC21">
        <f t="shared" si="10"/>
        <v>685.05389859359082</v>
      </c>
      <c r="AD21" s="3">
        <v>0.2</v>
      </c>
      <c r="AE21">
        <f t="shared" si="2"/>
        <v>137.01077971871817</v>
      </c>
      <c r="AF21">
        <f t="shared" si="3"/>
        <v>1</v>
      </c>
    </row>
    <row r="22" spans="1:32" x14ac:dyDescent="0.25">
      <c r="A22" s="2">
        <v>21</v>
      </c>
      <c r="B22">
        <f t="shared" si="4"/>
        <v>4.6609571438493029</v>
      </c>
      <c r="C22" s="3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3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3">
        <v>0.3</v>
      </c>
      <c r="AB22">
        <f t="shared" si="1"/>
        <v>612.55209109331463</v>
      </c>
      <c r="AC22">
        <f t="shared" si="10"/>
        <v>726.15713250920635</v>
      </c>
      <c r="AD22" s="3">
        <v>0.2</v>
      </c>
      <c r="AE22">
        <f t="shared" si="2"/>
        <v>145.23142650184127</v>
      </c>
      <c r="AF22">
        <f t="shared" si="3"/>
        <v>1</v>
      </c>
    </row>
    <row r="23" spans="1:32" x14ac:dyDescent="0.25">
      <c r="A23" s="2">
        <v>22</v>
      </c>
      <c r="B23">
        <f t="shared" si="4"/>
        <v>5.0338337153572468</v>
      </c>
      <c r="C23" s="3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3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3">
        <v>0.3</v>
      </c>
      <c r="AB23">
        <f t="shared" si="1"/>
        <v>661.55625838077992</v>
      </c>
      <c r="AC23">
        <f t="shared" si="10"/>
        <v>769.72656045975873</v>
      </c>
      <c r="AD23" s="3">
        <v>0.2</v>
      </c>
      <c r="AE23">
        <f t="shared" si="2"/>
        <v>153.94531209195176</v>
      </c>
      <c r="AF23">
        <f t="shared" si="3"/>
        <v>1</v>
      </c>
    </row>
    <row r="24" spans="1:32" x14ac:dyDescent="0.25">
      <c r="A24" s="2">
        <v>23</v>
      </c>
      <c r="B24">
        <f t="shared" si="4"/>
        <v>5.4365404125858268</v>
      </c>
      <c r="C24" s="3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3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3">
        <v>0.3</v>
      </c>
      <c r="AB24">
        <f t="shared" si="1"/>
        <v>714.48075905124244</v>
      </c>
      <c r="AC24">
        <f t="shared" si="10"/>
        <v>815.91015408734427</v>
      </c>
      <c r="AD24" s="3">
        <v>0.2</v>
      </c>
      <c r="AE24">
        <f t="shared" si="2"/>
        <v>163.18203081746887</v>
      </c>
      <c r="AF24">
        <f t="shared" si="3"/>
        <v>1</v>
      </c>
    </row>
    <row r="25" spans="1:32" x14ac:dyDescent="0.25">
      <c r="A25" s="2">
        <v>24</v>
      </c>
      <c r="B25">
        <f t="shared" si="4"/>
        <v>5.8714636455926925</v>
      </c>
      <c r="C25" s="3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3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3">
        <v>0.3</v>
      </c>
      <c r="AB25">
        <f t="shared" si="1"/>
        <v>771.63921977534176</v>
      </c>
      <c r="AC25">
        <f t="shared" si="10"/>
        <v>864.86476333258497</v>
      </c>
      <c r="AD25" s="3">
        <v>0.2</v>
      </c>
      <c r="AE25">
        <f t="shared" si="2"/>
        <v>172.97295266651702</v>
      </c>
      <c r="AF25">
        <f t="shared" si="3"/>
        <v>1</v>
      </c>
    </row>
    <row r="26" spans="1:32" x14ac:dyDescent="0.25">
      <c r="A26" s="2">
        <v>25</v>
      </c>
      <c r="B26">
        <f t="shared" si="4"/>
        <v>6.3411807372401077</v>
      </c>
      <c r="C26" s="3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3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3">
        <v>0.3</v>
      </c>
      <c r="AB26">
        <f t="shared" si="1"/>
        <v>833.37035735736924</v>
      </c>
      <c r="AC26">
        <f t="shared" si="10"/>
        <v>916.75664913254013</v>
      </c>
      <c r="AD26" s="3">
        <v>0.2</v>
      </c>
      <c r="AE26">
        <f t="shared" si="2"/>
        <v>183.35132982650805</v>
      </c>
      <c r="AF26">
        <f t="shared" si="3"/>
        <v>1</v>
      </c>
    </row>
    <row r="27" spans="1:32" x14ac:dyDescent="0.25">
      <c r="A27" s="2">
        <v>26</v>
      </c>
      <c r="B27">
        <f t="shared" si="4"/>
        <v>6.848475196219316</v>
      </c>
      <c r="C27" s="3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3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3">
        <v>0.3</v>
      </c>
      <c r="AB27">
        <f t="shared" si="1"/>
        <v>900.03998594595885</v>
      </c>
      <c r="AC27">
        <f t="shared" si="10"/>
        <v>971.7620480804926</v>
      </c>
      <c r="AD27" s="3">
        <v>0.2</v>
      </c>
      <c r="AE27">
        <f t="shared" si="2"/>
        <v>194.35240961609853</v>
      </c>
      <c r="AF27">
        <f t="shared" si="3"/>
        <v>1</v>
      </c>
    </row>
    <row r="28" spans="1:32" x14ac:dyDescent="0.25">
      <c r="A28" s="2">
        <v>27</v>
      </c>
      <c r="B28">
        <f t="shared" si="4"/>
        <v>7.3963532119168613</v>
      </c>
      <c r="C28" s="3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3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3">
        <v>0.3</v>
      </c>
      <c r="AB28">
        <f t="shared" si="1"/>
        <v>972.04318482163558</v>
      </c>
      <c r="AC28">
        <f t="shared" si="10"/>
        <v>1030.0677709653223</v>
      </c>
      <c r="AD28" s="3">
        <v>0.2</v>
      </c>
      <c r="AE28">
        <f t="shared" si="2"/>
        <v>206.01355419306446</v>
      </c>
      <c r="AF28">
        <f t="shared" si="3"/>
        <v>1</v>
      </c>
    </row>
    <row r="29" spans="1:32" x14ac:dyDescent="0.25">
      <c r="A29" s="2">
        <v>28</v>
      </c>
      <c r="B29">
        <f t="shared" si="4"/>
        <v>7.9880614688702103</v>
      </c>
      <c r="C29" s="3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3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3">
        <v>0.3</v>
      </c>
      <c r="AB29">
        <f t="shared" si="1"/>
        <v>1049.8066396073666</v>
      </c>
      <c r="AC29">
        <f t="shared" si="10"/>
        <v>1091.8718372232418</v>
      </c>
      <c r="AD29" s="3">
        <v>0.2</v>
      </c>
      <c r="AE29">
        <f t="shared" si="2"/>
        <v>218.37436744464836</v>
      </c>
      <c r="AF29">
        <f t="shared" si="3"/>
        <v>1</v>
      </c>
    </row>
    <row r="30" spans="1:32" x14ac:dyDescent="0.25">
      <c r="A30" s="2">
        <v>29</v>
      </c>
      <c r="B30">
        <f t="shared" si="4"/>
        <v>8.6271063863798272</v>
      </c>
      <c r="C30" s="3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3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3">
        <v>0.3</v>
      </c>
      <c r="AB30">
        <f t="shared" si="1"/>
        <v>1133.7911707759561</v>
      </c>
      <c r="AC30">
        <f t="shared" si="10"/>
        <v>1157.3841474566364</v>
      </c>
      <c r="AD30" s="3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3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3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3">
        <v>0.3</v>
      </c>
      <c r="AB31">
        <f t="shared" si="1"/>
        <v>1224.4944644380325</v>
      </c>
      <c r="AC31">
        <f t="shared" si="10"/>
        <v>1226.8271963040345</v>
      </c>
      <c r="AD31" s="3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3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3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3">
        <v>0.3</v>
      </c>
      <c r="AB32">
        <f t="shared" si="1"/>
        <v>1322.4540215930754</v>
      </c>
      <c r="AC32">
        <f t="shared" si="10"/>
        <v>1300.4368280822766</v>
      </c>
      <c r="AD32" s="3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3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3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3">
        <v>0.3</v>
      </c>
      <c r="AB33">
        <f t="shared" si="1"/>
        <v>1428.2503433205213</v>
      </c>
      <c r="AC33">
        <f t="shared" si="10"/>
        <v>1378.4630377672133</v>
      </c>
      <c r="AD33" s="3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3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3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3">
        <v>0.3</v>
      </c>
      <c r="AB34">
        <f t="shared" si="1"/>
        <v>1542.5103707861633</v>
      </c>
      <c r="AC34">
        <f t="shared" si="10"/>
        <v>1461.1708200332462</v>
      </c>
      <c r="AD34" s="3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3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3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3">
        <v>0.3</v>
      </c>
      <c r="AB35">
        <f t="shared" si="1"/>
        <v>1665.9112004490564</v>
      </c>
      <c r="AC35">
        <f t="shared" si="10"/>
        <v>1548.8410692352411</v>
      </c>
      <c r="AD35" s="3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3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3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3">
        <v>0.3</v>
      </c>
      <c r="AB36">
        <f t="shared" si="1"/>
        <v>1799.1840964849812</v>
      </c>
      <c r="AC36">
        <f t="shared" si="10"/>
        <v>1641.7715333893557</v>
      </c>
      <c r="AD36" s="3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3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3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3">
        <v>0.3</v>
      </c>
      <c r="AB37">
        <f t="shared" si="1"/>
        <v>1943.1188242037797</v>
      </c>
      <c r="AC37">
        <f t="shared" si="10"/>
        <v>1740.2778253927172</v>
      </c>
      <c r="AD37" s="3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3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3">
        <v>0.08</v>
      </c>
      <c r="V38">
        <f>SUM($R$2:R38)</f>
        <v>1907.4604458080742</v>
      </c>
      <c r="W38" s="11">
        <f t="shared" si="8"/>
        <v>4.0219720107284491</v>
      </c>
      <c r="Z38">
        <f t="shared" si="11"/>
        <v>0.75330721614441876</v>
      </c>
      <c r="AA38" s="3">
        <v>0.3</v>
      </c>
      <c r="AB38">
        <f t="shared" si="1"/>
        <v>2098.5683301400823</v>
      </c>
      <c r="AC38">
        <f t="shared" si="10"/>
        <v>1844.6944949162803</v>
      </c>
      <c r="AD38" s="3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3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3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3">
        <v>0.3</v>
      </c>
      <c r="AB39">
        <f t="shared" si="1"/>
        <v>2266.4537965512886</v>
      </c>
      <c r="AC39">
        <f t="shared" si="10"/>
        <v>1955.3761646112573</v>
      </c>
      <c r="AD39" s="3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3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3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3">
        <v>0.3</v>
      </c>
      <c r="AB40">
        <f t="shared" si="1"/>
        <v>2447.770100275392</v>
      </c>
      <c r="AC40">
        <f t="shared" si="10"/>
        <v>2072.6987344879331</v>
      </c>
      <c r="AD40" s="3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3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3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3">
        <v>0.3</v>
      </c>
      <c r="AB41">
        <f t="shared" si="1"/>
        <v>2643.5917082974233</v>
      </c>
      <c r="AC41">
        <f t="shared" si="10"/>
        <v>2197.0606585572091</v>
      </c>
      <c r="AD41" s="3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3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3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3">
        <v>0.3</v>
      </c>
      <c r="AB42">
        <f t="shared" si="1"/>
        <v>2855.0790449612173</v>
      </c>
      <c r="AC42">
        <f t="shared" si="10"/>
        <v>2328.8842980706418</v>
      </c>
      <c r="AD42" s="3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3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3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3">
        <v>0.3</v>
      </c>
      <c r="AB43">
        <f t="shared" si="1"/>
        <v>3083.4853685581147</v>
      </c>
      <c r="AC43">
        <f t="shared" si="10"/>
        <v>2468.6173559548802</v>
      </c>
      <c r="AD43" s="3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3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3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3">
        <v>0.3</v>
      </c>
      <c r="AB44">
        <f t="shared" si="1"/>
        <v>3330.1641980427639</v>
      </c>
      <c r="AC44">
        <f t="shared" si="10"/>
        <v>2616.7343973121733</v>
      </c>
      <c r="AD44" s="3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3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3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3">
        <v>0.3</v>
      </c>
      <c r="AB45">
        <f t="shared" si="1"/>
        <v>3596.5773338861854</v>
      </c>
      <c r="AC45">
        <f t="shared" si="10"/>
        <v>2773.7384611509037</v>
      </c>
      <c r="AD45" s="3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3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3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3">
        <v>0.3</v>
      </c>
      <c r="AB46">
        <f t="shared" si="1"/>
        <v>3884.3035205970805</v>
      </c>
      <c r="AC46">
        <f t="shared" si="10"/>
        <v>2940.1627688199583</v>
      </c>
      <c r="AD46" s="3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3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3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3">
        <v>0.3</v>
      </c>
      <c r="AB47">
        <f t="shared" si="1"/>
        <v>4195.0478022448478</v>
      </c>
      <c r="AC47">
        <f t="shared" si="10"/>
        <v>3116.5725349491559</v>
      </c>
      <c r="AD47" s="3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3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3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3">
        <v>0.3</v>
      </c>
      <c r="AB48">
        <f t="shared" si="1"/>
        <v>4530.6516264244356</v>
      </c>
      <c r="AC48">
        <f t="shared" si="10"/>
        <v>3303.5668870461054</v>
      </c>
      <c r="AD48" s="3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3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3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3">
        <v>0.3</v>
      </c>
      <c r="AB49">
        <f t="shared" si="1"/>
        <v>4893.1037565383904</v>
      </c>
      <c r="AC49">
        <f t="shared" si="10"/>
        <v>3501.7809002688718</v>
      </c>
      <c r="AD49" s="3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3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3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3">
        <v>0.3</v>
      </c>
      <c r="AB50">
        <f t="shared" si="1"/>
        <v>5284.5520570614617</v>
      </c>
      <c r="AC50">
        <f t="shared" si="10"/>
        <v>3711.8877542850041</v>
      </c>
      <c r="AD50" s="3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3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3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3">
        <v>0.3</v>
      </c>
      <c r="AB51">
        <f t="shared" si="1"/>
        <v>5707.316221626379</v>
      </c>
      <c r="AC51">
        <f t="shared" si="10"/>
        <v>3934.6010195421045</v>
      </c>
      <c r="AD51" s="3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3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3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3">
        <v>0.3</v>
      </c>
      <c r="AB52">
        <f t="shared" si="1"/>
        <v>6163.9015193564901</v>
      </c>
      <c r="AC52">
        <f t="shared" si="10"/>
        <v>4170.6770807146313</v>
      </c>
      <c r="AD52" s="3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3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3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3">
        <v>0.3</v>
      </c>
      <c r="AB53">
        <f t="shared" si="1"/>
        <v>6657.0136409050092</v>
      </c>
      <c r="AC53">
        <f t="shared" si="10"/>
        <v>4420.9177055575092</v>
      </c>
      <c r="AD53" s="3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3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3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3">
        <v>0.3</v>
      </c>
      <c r="AB54">
        <f t="shared" si="1"/>
        <v>7189.5747321774106</v>
      </c>
      <c r="AC54">
        <f t="shared" si="10"/>
        <v>4686.1727678909601</v>
      </c>
      <c r="AD54" s="3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3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3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3">
        <v>0.3</v>
      </c>
      <c r="AB55">
        <f t="shared" si="1"/>
        <v>7764.7407107516028</v>
      </c>
      <c r="AC55">
        <f t="shared" si="10"/>
        <v>4967.3431339644176</v>
      </c>
      <c r="AD55" s="3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3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3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3">
        <v>0.3</v>
      </c>
      <c r="AB56">
        <f t="shared" si="1"/>
        <v>8385.9199676117332</v>
      </c>
      <c r="AC56">
        <f t="shared" si="10"/>
        <v>5265.3837220022833</v>
      </c>
      <c r="AD56" s="3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3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3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3">
        <v>0.3</v>
      </c>
      <c r="AB57">
        <f t="shared" si="1"/>
        <v>9056.7935650206709</v>
      </c>
      <c r="AC57">
        <f t="shared" si="10"/>
        <v>5581.3067453224203</v>
      </c>
      <c r="AD57" s="3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3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3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3">
        <v>0.3</v>
      </c>
      <c r="AB58">
        <f t="shared" si="1"/>
        <v>9781.3370502223261</v>
      </c>
      <c r="AC58">
        <f t="shared" si="10"/>
        <v>5916.1851500417661</v>
      </c>
      <c r="AD58" s="3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3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3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3">
        <v>0.3</v>
      </c>
      <c r="AB59">
        <f t="shared" si="1"/>
        <v>10563.84401424011</v>
      </c>
      <c r="AC59">
        <f t="shared" si="10"/>
        <v>6271.1562590442727</v>
      </c>
      <c r="AD59" s="3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3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3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3">
        <v>0.3</v>
      </c>
      <c r="AB60">
        <f t="shared" si="1"/>
        <v>11408.951535379321</v>
      </c>
      <c r="AC60">
        <f t="shared" si="10"/>
        <v>6647.4256345869298</v>
      </c>
      <c r="AD60" s="3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3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3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3">
        <v>0.3</v>
      </c>
      <c r="AB61">
        <f t="shared" si="1"/>
        <v>12321.667658209668</v>
      </c>
      <c r="AC61">
        <f t="shared" si="10"/>
        <v>7046.2711726621455</v>
      </c>
      <c r="AD61" s="3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3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3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3">
        <v>0.3</v>
      </c>
      <c r="AB62">
        <f t="shared" si="1"/>
        <v>13307.401070866443</v>
      </c>
      <c r="AC62">
        <f t="shared" si="10"/>
        <v>7469.0474430218746</v>
      </c>
      <c r="AD62" s="3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3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3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3">
        <v>0.3</v>
      </c>
      <c r="AB63">
        <f t="shared" si="1"/>
        <v>14371.993156535758</v>
      </c>
      <c r="AC63">
        <f t="shared" si="10"/>
        <v>7917.1902896031879</v>
      </c>
      <c r="AD63" s="3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3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3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3">
        <v>0.3</v>
      </c>
      <c r="AB64">
        <f t="shared" si="1"/>
        <v>15521.75260905862</v>
      </c>
      <c r="AC64">
        <f t="shared" si="10"/>
        <v>8392.2217069793787</v>
      </c>
      <c r="AD64" s="3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3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3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3">
        <v>0.3</v>
      </c>
      <c r="AB65">
        <f t="shared" si="1"/>
        <v>16763.49281778331</v>
      </c>
      <c r="AC65">
        <f t="shared" si="10"/>
        <v>8895.7550093981426</v>
      </c>
      <c r="AD65" s="3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3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3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3">
        <v>0.3</v>
      </c>
      <c r="AB66">
        <f t="shared" si="1"/>
        <v>18104.572243205974</v>
      </c>
      <c r="AC66">
        <f t="shared" si="10"/>
        <v>9429.5003099620317</v>
      </c>
      <c r="AD66" s="3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3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3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3">
        <v>0.3</v>
      </c>
      <c r="AB67">
        <f t="shared" ref="AB67:AB130" si="15">S67/AA67</f>
        <v>19552.938022662453</v>
      </c>
      <c r="AC67">
        <f t="shared" si="10"/>
        <v>9995.2703285597545</v>
      </c>
      <c r="AD67" s="3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3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3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3">
        <v>0.3</v>
      </c>
      <c r="AB68">
        <f t="shared" si="15"/>
        <v>21117.173064475453</v>
      </c>
      <c r="AC68">
        <f t="shared" ref="AC68:AC131" si="21">AC67*(1+$U$2)</f>
        <v>10594.98654827334</v>
      </c>
      <c r="AD68" s="3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3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3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3">
        <v>0.3</v>
      </c>
      <c r="AB69">
        <f t="shared" si="15"/>
        <v>22806.546909633489</v>
      </c>
      <c r="AC69">
        <f t="shared" si="21"/>
        <v>11230.685741169742</v>
      </c>
      <c r="AD69" s="3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3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3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3">
        <v>0.3</v>
      </c>
      <c r="AB70">
        <f t="shared" si="15"/>
        <v>24631.07066240417</v>
      </c>
      <c r="AC70">
        <f t="shared" si="21"/>
        <v>11904.526885639927</v>
      </c>
      <c r="AD70" s="3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3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3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3">
        <v>0.3</v>
      </c>
      <c r="AB71">
        <f t="shared" si="15"/>
        <v>26601.556315396505</v>
      </c>
      <c r="AC71">
        <f t="shared" si="21"/>
        <v>12618.798498778324</v>
      </c>
      <c r="AD71" s="3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3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3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3">
        <v>0.3</v>
      </c>
      <c r="AB72">
        <f t="shared" si="15"/>
        <v>28729.680820628226</v>
      </c>
      <c r="AC72">
        <f t="shared" si="21"/>
        <v>13375.926408705023</v>
      </c>
      <c r="AD72" s="3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3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3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3">
        <v>0.3</v>
      </c>
      <c r="AB73">
        <f t="shared" si="15"/>
        <v>31028.055286278486</v>
      </c>
      <c r="AC73">
        <f t="shared" si="21"/>
        <v>14178.481993227326</v>
      </c>
      <c r="AD73" s="3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3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3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3">
        <v>0.3</v>
      </c>
      <c r="AB74">
        <f t="shared" si="15"/>
        <v>33510.29970918077</v>
      </c>
      <c r="AC74">
        <f t="shared" si="21"/>
        <v>15029.190912820966</v>
      </c>
      <c r="AD74" s="3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3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3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3">
        <v>0.3</v>
      </c>
      <c r="AB75">
        <f t="shared" si="15"/>
        <v>36191.123685915234</v>
      </c>
      <c r="AC75">
        <f t="shared" si="21"/>
        <v>15930.942367590225</v>
      </c>
      <c r="AD75" s="3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3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3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3">
        <v>0.3</v>
      </c>
      <c r="AB76">
        <f t="shared" si="15"/>
        <v>39086.41358078846</v>
      </c>
      <c r="AC76">
        <f t="shared" si="21"/>
        <v>16886.79890964564</v>
      </c>
      <c r="AD76" s="3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3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3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3">
        <v>0.3</v>
      </c>
      <c r="AB77">
        <f t="shared" si="15"/>
        <v>42213.326667251531</v>
      </c>
      <c r="AC77">
        <f t="shared" si="21"/>
        <v>17900.006844224379</v>
      </c>
      <c r="AD77" s="3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3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3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3">
        <v>0.3</v>
      </c>
      <c r="AB78">
        <f t="shared" si="15"/>
        <v>45590.392800631664</v>
      </c>
      <c r="AC78">
        <f t="shared" si="21"/>
        <v>18974.007254877844</v>
      </c>
      <c r="AD78" s="3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3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3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3">
        <v>0.3</v>
      </c>
      <c r="AB79">
        <f t="shared" si="15"/>
        <v>49237.624224682193</v>
      </c>
      <c r="AC79">
        <f t="shared" si="21"/>
        <v>20112.447690170517</v>
      </c>
      <c r="AD79" s="3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3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3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3">
        <v>0.3</v>
      </c>
      <c r="AB80">
        <f t="shared" si="15"/>
        <v>53176.634162656766</v>
      </c>
      <c r="AC80">
        <f t="shared" si="21"/>
        <v>21319.194551580749</v>
      </c>
      <c r="AD80" s="3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3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3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3">
        <v>0.3</v>
      </c>
      <c r="AB81">
        <f t="shared" si="15"/>
        <v>57430.764895669308</v>
      </c>
      <c r="AC81">
        <f t="shared" si="21"/>
        <v>22598.346224675595</v>
      </c>
      <c r="AD81" s="3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3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3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3">
        <v>0.3</v>
      </c>
      <c r="AB82">
        <f t="shared" si="15"/>
        <v>62025.226087322859</v>
      </c>
      <c r="AC82">
        <f t="shared" si="21"/>
        <v>23954.246998156133</v>
      </c>
      <c r="AD82" s="3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3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3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3">
        <v>0.3</v>
      </c>
      <c r="AB83">
        <f t="shared" si="15"/>
        <v>66987.244174308697</v>
      </c>
      <c r="AC83">
        <f t="shared" si="21"/>
        <v>25391.501818045504</v>
      </c>
      <c r="AD83" s="3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3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3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3">
        <v>0.3</v>
      </c>
      <c r="AB84">
        <f t="shared" si="15"/>
        <v>72346.223708253397</v>
      </c>
      <c r="AC84">
        <f t="shared" si="21"/>
        <v>26914.991927128238</v>
      </c>
      <c r="AD84" s="3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3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3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3">
        <v>0.3</v>
      </c>
      <c r="AB85">
        <f t="shared" si="15"/>
        <v>78133.921604913674</v>
      </c>
      <c r="AC85">
        <f t="shared" si="21"/>
        <v>28529.891442755932</v>
      </c>
      <c r="AD85" s="3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3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3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3">
        <v>0.3</v>
      </c>
      <c r="AB86">
        <f t="shared" si="15"/>
        <v>84384.635333306767</v>
      </c>
      <c r="AC86">
        <f t="shared" si="21"/>
        <v>30241.684929321291</v>
      </c>
      <c r="AD86" s="3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3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3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3">
        <v>0.3</v>
      </c>
      <c r="AB87">
        <f t="shared" si="15"/>
        <v>91135.406159971302</v>
      </c>
      <c r="AC87">
        <f t="shared" si="21"/>
        <v>32056.186025080569</v>
      </c>
      <c r="AD87" s="3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3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3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3">
        <v>0.3</v>
      </c>
      <c r="AB88">
        <f t="shared" si="15"/>
        <v>98426.238652769011</v>
      </c>
      <c r="AC88">
        <f t="shared" si="21"/>
        <v>33979.557186585407</v>
      </c>
      <c r="AD88" s="3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3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3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3">
        <v>0.3</v>
      </c>
      <c r="AB89">
        <f t="shared" si="15"/>
        <v>106300.33774499054</v>
      </c>
      <c r="AC89">
        <f t="shared" si="21"/>
        <v>36018.330617780535</v>
      </c>
      <c r="AD89" s="3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3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3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3">
        <v>0.3</v>
      </c>
      <c r="AB90">
        <f t="shared" si="15"/>
        <v>114804.3647645898</v>
      </c>
      <c r="AC90">
        <f t="shared" si="21"/>
        <v>38179.430454847366</v>
      </c>
      <c r="AD90" s="3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3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3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3">
        <v>0.3</v>
      </c>
      <c r="AB91">
        <f t="shared" si="15"/>
        <v>123988.713945757</v>
      </c>
      <c r="AC91">
        <f t="shared" si="21"/>
        <v>40470.196282138211</v>
      </c>
      <c r="AD91" s="3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3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3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3">
        <v>0.3</v>
      </c>
      <c r="AB92">
        <f t="shared" si="15"/>
        <v>133907.81106141757</v>
      </c>
      <c r="AC92">
        <f t="shared" si="21"/>
        <v>42898.408059066503</v>
      </c>
      <c r="AD92" s="3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3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3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3">
        <v>0.3</v>
      </c>
      <c r="AB93">
        <f t="shared" si="15"/>
        <v>144620.43594633098</v>
      </c>
      <c r="AC93">
        <f t="shared" si="21"/>
        <v>45472.312542610496</v>
      </c>
      <c r="AD93" s="3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3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3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3">
        <v>0.3</v>
      </c>
      <c r="AB94">
        <f t="shared" si="15"/>
        <v>156190.07082203749</v>
      </c>
      <c r="AC94">
        <f t="shared" si="21"/>
        <v>48200.651295167125</v>
      </c>
      <c r="AD94" s="3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3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3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3">
        <v>0.3</v>
      </c>
      <c r="AB95">
        <f t="shared" si="15"/>
        <v>168685.2764878005</v>
      </c>
      <c r="AC95">
        <f t="shared" si="21"/>
        <v>51092.690372877158</v>
      </c>
      <c r="AD95" s="3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3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3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3">
        <v>0.3</v>
      </c>
      <c r="AB96">
        <f t="shared" si="15"/>
        <v>182180.09860682455</v>
      </c>
      <c r="AC96">
        <f t="shared" si="21"/>
        <v>54158.251795249787</v>
      </c>
      <c r="AD96" s="3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3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3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3">
        <v>0.3</v>
      </c>
      <c r="AB97">
        <f t="shared" si="15"/>
        <v>196754.50649537053</v>
      </c>
      <c r="AC97">
        <f t="shared" si="21"/>
        <v>57407.746902964776</v>
      </c>
      <c r="AD97" s="3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3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3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3">
        <v>0.3</v>
      </c>
      <c r="AB98">
        <f t="shared" si="15"/>
        <v>212494.86701500017</v>
      </c>
      <c r="AC98">
        <f t="shared" si="21"/>
        <v>60852.211717142665</v>
      </c>
      <c r="AD98" s="3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3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3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3">
        <v>0.3</v>
      </c>
      <c r="AB99">
        <f t="shared" si="15"/>
        <v>229494.45637620022</v>
      </c>
      <c r="AC99">
        <f t="shared" si="21"/>
        <v>64503.344420171226</v>
      </c>
      <c r="AD99" s="3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3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3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3">
        <v>0.3</v>
      </c>
      <c r="AB100">
        <f t="shared" si="15"/>
        <v>247854.01288629623</v>
      </c>
      <c r="AC100">
        <f t="shared" si="21"/>
        <v>68373.545085381498</v>
      </c>
      <c r="AD100" s="3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3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3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3">
        <v>0.3</v>
      </c>
      <c r="AB101">
        <f t="shared" si="15"/>
        <v>267682.33391719993</v>
      </c>
      <c r="AC101">
        <f t="shared" si="21"/>
        <v>72475.957790504399</v>
      </c>
      <c r="AD101" s="3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3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3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3">
        <v>0.3</v>
      </c>
      <c r="AB102">
        <f t="shared" si="15"/>
        <v>289096.92063057591</v>
      </c>
      <c r="AC102">
        <f t="shared" si="21"/>
        <v>76824.515257934661</v>
      </c>
      <c r="AD102" s="3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3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3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3">
        <v>0.3</v>
      </c>
      <c r="AB103">
        <f t="shared" si="15"/>
        <v>312224.67428102205</v>
      </c>
      <c r="AC103">
        <f t="shared" si="21"/>
        <v>81433.98617341074</v>
      </c>
      <c r="AD103" s="3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3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3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3">
        <v>0.3</v>
      </c>
      <c r="AB104">
        <f t="shared" si="15"/>
        <v>337202.64822350378</v>
      </c>
      <c r="AC104">
        <f t="shared" si="21"/>
        <v>86320.025343815389</v>
      </c>
      <c r="AD104" s="3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3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3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3">
        <v>0.3</v>
      </c>
      <c r="AB105">
        <f t="shared" si="15"/>
        <v>364178.86008138413</v>
      </c>
      <c r="AC105">
        <f t="shared" si="21"/>
        <v>91499.22686444431</v>
      </c>
      <c r="AD105" s="3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3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3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3">
        <v>0.3</v>
      </c>
      <c r="AB106">
        <f t="shared" si="15"/>
        <v>393313.16888789489</v>
      </c>
      <c r="AC106">
        <f t="shared" si="21"/>
        <v>96989.180476310969</v>
      </c>
      <c r="AD106" s="3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3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3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3">
        <v>0.3</v>
      </c>
      <c r="AB107">
        <f t="shared" si="15"/>
        <v>424778.2223989265</v>
      </c>
      <c r="AC107">
        <f t="shared" si="21"/>
        <v>102808.53130488964</v>
      </c>
      <c r="AD107" s="3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3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3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3">
        <v>0.3</v>
      </c>
      <c r="AB108">
        <f t="shared" si="15"/>
        <v>458760.48019084061</v>
      </c>
      <c r="AC108">
        <f t="shared" si="21"/>
        <v>108977.04318318302</v>
      </c>
      <c r="AD108" s="3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3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3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3">
        <v>0.3</v>
      </c>
      <c r="AB109">
        <f t="shared" si="15"/>
        <v>495461.3186061079</v>
      </c>
      <c r="AC109">
        <f t="shared" si="21"/>
        <v>115515.66577417401</v>
      </c>
      <c r="AD109" s="3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3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3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3">
        <v>0.3</v>
      </c>
      <c r="AB110">
        <f t="shared" si="15"/>
        <v>535098.22409459658</v>
      </c>
      <c r="AC110">
        <f t="shared" si="21"/>
        <v>122446.60572062446</v>
      </c>
      <c r="AD110" s="3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3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3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3">
        <v>0.3</v>
      </c>
      <c r="AB111">
        <f t="shared" si="15"/>
        <v>577906.08202216437</v>
      </c>
      <c r="AC111">
        <f t="shared" si="21"/>
        <v>129793.40206386193</v>
      </c>
      <c r="AD111" s="3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3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3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3">
        <v>0.3</v>
      </c>
      <c r="AB112">
        <f t="shared" si="15"/>
        <v>624138.56858393748</v>
      </c>
      <c r="AC112">
        <f t="shared" si="21"/>
        <v>137581.00618769365</v>
      </c>
      <c r="AD112" s="3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3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3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3">
        <v>0.3</v>
      </c>
      <c r="AB113">
        <f t="shared" si="15"/>
        <v>674069.65407065256</v>
      </c>
      <c r="AC113">
        <f t="shared" si="21"/>
        <v>145835.86655895528</v>
      </c>
      <c r="AD113" s="3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3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3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3">
        <v>0.3</v>
      </c>
      <c r="AB114">
        <f t="shared" si="15"/>
        <v>727995.22639630479</v>
      </c>
      <c r="AC114">
        <f t="shared" si="21"/>
        <v>154586.01855249261</v>
      </c>
      <c r="AD114" s="3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3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3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3">
        <v>0.3</v>
      </c>
      <c r="AB115">
        <f t="shared" si="15"/>
        <v>786234.84450800926</v>
      </c>
      <c r="AC115">
        <f t="shared" si="21"/>
        <v>163861.17966564218</v>
      </c>
      <c r="AD115" s="3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3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3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3">
        <v>0.3</v>
      </c>
      <c r="AB116">
        <f t="shared" si="15"/>
        <v>849133.6320686501</v>
      </c>
      <c r="AC116">
        <f t="shared" si="21"/>
        <v>173692.85044558073</v>
      </c>
      <c r="AD116" s="3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3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3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3">
        <v>0.3</v>
      </c>
      <c r="AB117">
        <f t="shared" si="15"/>
        <v>917064.32263414201</v>
      </c>
      <c r="AC117">
        <f t="shared" si="21"/>
        <v>184114.42147231559</v>
      </c>
      <c r="AD117" s="3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3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3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3">
        <v>0.3</v>
      </c>
      <c r="AB118">
        <f t="shared" si="15"/>
        <v>990429.46844487335</v>
      </c>
      <c r="AC118">
        <f t="shared" si="21"/>
        <v>195161.28676065453</v>
      </c>
      <c r="AD118" s="3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3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3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3">
        <v>0.3</v>
      </c>
      <c r="AB119">
        <f t="shared" si="15"/>
        <v>1069663.8259204633</v>
      </c>
      <c r="AC119">
        <f t="shared" si="21"/>
        <v>206870.96396629381</v>
      </c>
      <c r="AD119" s="3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3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3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3">
        <v>0.3</v>
      </c>
      <c r="AB120">
        <f t="shared" si="15"/>
        <v>1155236.9319941006</v>
      </c>
      <c r="AC120">
        <f t="shared" si="21"/>
        <v>219283.22180427145</v>
      </c>
      <c r="AD120" s="3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3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3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3">
        <v>0.3</v>
      </c>
      <c r="AB121">
        <f t="shared" si="15"/>
        <v>1247655.8865536286</v>
      </c>
      <c r="AC121">
        <f t="shared" si="21"/>
        <v>232440.21511252775</v>
      </c>
      <c r="AD121" s="3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3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3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3">
        <v>0.3</v>
      </c>
      <c r="AB122">
        <f t="shared" si="15"/>
        <v>1347468.357477919</v>
      </c>
      <c r="AC122">
        <f t="shared" si="21"/>
        <v>246386.62801927942</v>
      </c>
      <c r="AD122" s="3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3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3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3">
        <v>0.3</v>
      </c>
      <c r="AB123">
        <f t="shared" si="15"/>
        <v>1455265.8260761525</v>
      </c>
      <c r="AC123">
        <f t="shared" si="21"/>
        <v>261169.82570043619</v>
      </c>
      <c r="AD123" s="3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3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3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3">
        <v>0.3</v>
      </c>
      <c r="AB124">
        <f t="shared" si="15"/>
        <v>1571687.0921622447</v>
      </c>
      <c r="AC124">
        <f t="shared" si="21"/>
        <v>276840.0152424624</v>
      </c>
      <c r="AD124" s="3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3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3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3">
        <v>0.3</v>
      </c>
      <c r="AB125">
        <f t="shared" si="15"/>
        <v>1697422.0595352245</v>
      </c>
      <c r="AC125">
        <f t="shared" si="21"/>
        <v>293450.41615701013</v>
      </c>
      <c r="AD125" s="3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3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3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3">
        <v>0.3</v>
      </c>
      <c r="AB126">
        <f t="shared" si="15"/>
        <v>1833215.8242980426</v>
      </c>
      <c r="AC126">
        <f t="shared" si="21"/>
        <v>311057.44112643076</v>
      </c>
      <c r="AD126" s="3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3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3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3">
        <v>0.3</v>
      </c>
      <c r="AB127">
        <f t="shared" si="15"/>
        <v>1979873.0902418864</v>
      </c>
      <c r="AC127">
        <f t="shared" si="21"/>
        <v>329720.88759401662</v>
      </c>
      <c r="AD127" s="3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3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3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3">
        <v>0.3</v>
      </c>
      <c r="AB128">
        <f t="shared" si="15"/>
        <v>2138262.9374612374</v>
      </c>
      <c r="AC128">
        <f t="shared" si="21"/>
        <v>349504.14084965765</v>
      </c>
      <c r="AD128" s="3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3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3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3">
        <v>0.3</v>
      </c>
      <c r="AB129">
        <f t="shared" si="15"/>
        <v>2309323.9724581367</v>
      </c>
      <c r="AC129">
        <f t="shared" si="21"/>
        <v>370474.38930063712</v>
      </c>
      <c r="AD129" s="3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3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3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3">
        <v>0.3</v>
      </c>
      <c r="AB130">
        <f t="shared" si="15"/>
        <v>2494069.8902547881</v>
      </c>
      <c r="AC130">
        <f t="shared" si="21"/>
        <v>392702.85265867534</v>
      </c>
      <c r="AD130" s="3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3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3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3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3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3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3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3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3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3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3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3">
        <v>0.3</v>
      </c>
      <c r="AB133">
        <f t="shared" si="29"/>
        <v>3141809.76959264</v>
      </c>
      <c r="AC133">
        <f t="shared" si="32"/>
        <v>467715.3807621249</v>
      </c>
      <c r="AD133" s="3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3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3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3">
        <v>0.3</v>
      </c>
      <c r="AB134">
        <f t="shared" si="29"/>
        <v>3393154.551160051</v>
      </c>
      <c r="AC134">
        <f t="shared" si="32"/>
        <v>495778.30360785243</v>
      </c>
      <c r="AD134" s="3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3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3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3">
        <v>0.3</v>
      </c>
      <c r="AB135">
        <f t="shared" si="29"/>
        <v>3664606.9152528555</v>
      </c>
      <c r="AC135">
        <f t="shared" si="32"/>
        <v>525525.00182432355</v>
      </c>
      <c r="AD135" s="3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3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3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3">
        <v>0.3</v>
      </c>
      <c r="AB136">
        <f t="shared" si="29"/>
        <v>3957775.4684730838</v>
      </c>
      <c r="AC136">
        <f t="shared" si="32"/>
        <v>557056.50193378294</v>
      </c>
      <c r="AD136" s="3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3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3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3">
        <v>0.3</v>
      </c>
      <c r="AB137">
        <f t="shared" si="29"/>
        <v>4274397.5059509315</v>
      </c>
      <c r="AC137">
        <f t="shared" si="32"/>
        <v>590479.89204980992</v>
      </c>
      <c r="AD137" s="3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3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3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3">
        <v>0.3</v>
      </c>
      <c r="AB138">
        <f t="shared" si="29"/>
        <v>4616349.3064270066</v>
      </c>
      <c r="AC138">
        <f t="shared" si="32"/>
        <v>625908.6855727986</v>
      </c>
      <c r="AD138" s="3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3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3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3">
        <v>0.3</v>
      </c>
      <c r="AB139">
        <f t="shared" si="29"/>
        <v>4985657.2509411667</v>
      </c>
      <c r="AC139">
        <f t="shared" si="32"/>
        <v>663463.20670716651</v>
      </c>
      <c r="AD139" s="3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3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3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3">
        <v>0.3</v>
      </c>
      <c r="AB140">
        <f t="shared" si="29"/>
        <v>5384509.8310164604</v>
      </c>
      <c r="AC140">
        <f t="shared" si="32"/>
        <v>703270.99910959648</v>
      </c>
      <c r="AD140" s="3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3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3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3">
        <v>0.3</v>
      </c>
      <c r="AB141">
        <f t="shared" si="29"/>
        <v>5815270.6174977776</v>
      </c>
      <c r="AC141">
        <f t="shared" si="32"/>
        <v>745467.25905617233</v>
      </c>
      <c r="AD141" s="3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3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3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3">
        <v>0.3</v>
      </c>
      <c r="AB142">
        <f t="shared" si="29"/>
        <v>6280492.2668976001</v>
      </c>
      <c r="AC142">
        <f t="shared" si="32"/>
        <v>790195.29459954274</v>
      </c>
      <c r="AD142" s="3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3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3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3">
        <v>0.3</v>
      </c>
      <c r="AB143">
        <f t="shared" si="29"/>
        <v>6782931.6482494092</v>
      </c>
      <c r="AC143">
        <f t="shared" si="32"/>
        <v>837607.01227551536</v>
      </c>
      <c r="AD143" s="3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3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3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3">
        <v>0.3</v>
      </c>
      <c r="AB144">
        <f t="shared" si="29"/>
        <v>7325566.1801093621</v>
      </c>
      <c r="AC144">
        <f t="shared" si="32"/>
        <v>887863.43301204627</v>
      </c>
      <c r="AD144" s="3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3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3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3">
        <v>0.3</v>
      </c>
      <c r="AB145">
        <f t="shared" si="29"/>
        <v>7911611.4745181119</v>
      </c>
      <c r="AC145">
        <f t="shared" si="32"/>
        <v>941135.23899276904</v>
      </c>
      <c r="AD145" s="3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3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3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3">
        <v>0.3</v>
      </c>
      <c r="AB146">
        <f t="shared" si="29"/>
        <v>8544540.3924795613</v>
      </c>
      <c r="AC146">
        <f t="shared" si="32"/>
        <v>997603.35333233525</v>
      </c>
      <c r="AD146" s="3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3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3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3">
        <v>0.3</v>
      </c>
      <c r="AB147">
        <f t="shared" si="29"/>
        <v>9228103.6238779277</v>
      </c>
      <c r="AC147">
        <f t="shared" si="32"/>
        <v>1057459.5545322753</v>
      </c>
      <c r="AD147" s="3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3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3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3">
        <v>0.3</v>
      </c>
      <c r="AB148">
        <f t="shared" si="29"/>
        <v>9966351.9137881622</v>
      </c>
      <c r="AC148">
        <f t="shared" si="32"/>
        <v>1120907.1278042118</v>
      </c>
      <c r="AD148" s="3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3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3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3">
        <v>0.3</v>
      </c>
      <c r="AB149">
        <f t="shared" si="29"/>
        <v>10763660.066891216</v>
      </c>
      <c r="AC149">
        <f t="shared" si="32"/>
        <v>1188161.5554724645</v>
      </c>
      <c r="AD149" s="3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3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3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3">
        <v>0.3</v>
      </c>
      <c r="AB150">
        <f t="shared" si="29"/>
        <v>11624752.872242514</v>
      </c>
      <c r="AC150">
        <f t="shared" si="32"/>
        <v>1259451.2488008125</v>
      </c>
      <c r="AD150" s="3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3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3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3">
        <v>0.3</v>
      </c>
      <c r="AB151">
        <f t="shared" si="29"/>
        <v>12554733.102021914</v>
      </c>
      <c r="AC151">
        <f t="shared" si="32"/>
        <v>1335018.3237288613</v>
      </c>
      <c r="AD151" s="3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3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3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3">
        <v>0.3</v>
      </c>
      <c r="AB152">
        <f t="shared" si="29"/>
        <v>13559111.75018367</v>
      </c>
      <c r="AC152">
        <f t="shared" si="32"/>
        <v>1415119.423152593</v>
      </c>
      <c r="AD152" s="3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3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3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3">
        <v>0.3</v>
      </c>
      <c r="AB153">
        <f t="shared" si="29"/>
        <v>14643840.690198364</v>
      </c>
      <c r="AC153">
        <f t="shared" si="32"/>
        <v>1500026.5885417487</v>
      </c>
      <c r="AD153" s="3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3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3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3">
        <v>0.3</v>
      </c>
      <c r="AB154">
        <f t="shared" si="29"/>
        <v>15815347.945414236</v>
      </c>
      <c r="AC154">
        <f t="shared" si="32"/>
        <v>1590028.1838542537</v>
      </c>
      <c r="AD154" s="3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3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3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3">
        <v>0.3</v>
      </c>
      <c r="AB155">
        <f t="shared" si="29"/>
        <v>17080575.781047378</v>
      </c>
      <c r="AC155">
        <f t="shared" si="32"/>
        <v>1685429.874885509</v>
      </c>
      <c r="AD155" s="3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3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3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3">
        <v>0.3</v>
      </c>
      <c r="AB156">
        <f t="shared" si="29"/>
        <v>18447021.843531165</v>
      </c>
      <c r="AC156">
        <f t="shared" si="32"/>
        <v>1786555.6673786396</v>
      </c>
      <c r="AD156" s="3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3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3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3">
        <v>0.3</v>
      </c>
      <c r="AB157">
        <f t="shared" si="29"/>
        <v>19922783.591013659</v>
      </c>
      <c r="AC157">
        <f t="shared" si="32"/>
        <v>1893749.007421358</v>
      </c>
      <c r="AD157" s="3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3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3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3">
        <v>0.3</v>
      </c>
      <c r="AB158">
        <f t="shared" si="29"/>
        <v>21516606.278294753</v>
      </c>
      <c r="AC158">
        <f t="shared" si="32"/>
        <v>2007373.9478666396</v>
      </c>
      <c r="AD158" s="3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3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3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3">
        <v>0.3</v>
      </c>
      <c r="AB159">
        <f t="shared" si="29"/>
        <v>23237934.780558337</v>
      </c>
      <c r="AC159">
        <f t="shared" si="32"/>
        <v>2127816.3847386381</v>
      </c>
      <c r="AD159" s="3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3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3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3">
        <v>0.3</v>
      </c>
      <c r="AB160">
        <f t="shared" si="29"/>
        <v>25096969.563003004</v>
      </c>
      <c r="AC160">
        <f t="shared" si="32"/>
        <v>2255485.3678229563</v>
      </c>
      <c r="AD160" s="3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3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3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3">
        <v>0.3</v>
      </c>
      <c r="AB161">
        <f t="shared" si="29"/>
        <v>27104727.128043246</v>
      </c>
      <c r="AC161">
        <f t="shared" si="32"/>
        <v>2390814.4898923337</v>
      </c>
      <c r="AD161" s="3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3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3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3">
        <v>0.3</v>
      </c>
      <c r="AB162">
        <f t="shared" si="29"/>
        <v>29273105.29828671</v>
      </c>
      <c r="AC162">
        <f t="shared" si="32"/>
        <v>2534263.3592858738</v>
      </c>
      <c r="AD162" s="3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3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3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3">
        <v>0.3</v>
      </c>
      <c r="AB163">
        <f t="shared" si="29"/>
        <v>31614953.722149651</v>
      </c>
      <c r="AC163">
        <f t="shared" si="32"/>
        <v>2686319.1608430264</v>
      </c>
      <c r="AD163" s="3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3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3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3">
        <v>0.3</v>
      </c>
      <c r="AB164">
        <f t="shared" si="29"/>
        <v>34144150.019921623</v>
      </c>
      <c r="AC164">
        <f t="shared" si="32"/>
        <v>2847498.310493608</v>
      </c>
      <c r="AD164" s="3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3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3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3">
        <v>0.3</v>
      </c>
      <c r="AB165">
        <f t="shared" si="29"/>
        <v>36875682.021515362</v>
      </c>
      <c r="AC165">
        <f t="shared" si="32"/>
        <v>3018348.2091232245</v>
      </c>
      <c r="AD165" s="3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3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3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3">
        <v>0.3</v>
      </c>
      <c r="AB166">
        <f t="shared" si="29"/>
        <v>39825736.58323659</v>
      </c>
      <c r="AC166">
        <f t="shared" si="32"/>
        <v>3199449.1016706182</v>
      </c>
      <c r="AD166" s="3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3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3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3">
        <v>0.3</v>
      </c>
      <c r="AB167">
        <f t="shared" si="29"/>
        <v>43011795.509895518</v>
      </c>
      <c r="AC167">
        <f t="shared" si="32"/>
        <v>3391416.0477708555</v>
      </c>
      <c r="AD167" s="3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3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3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3">
        <v>0.3</v>
      </c>
      <c r="AB168">
        <f t="shared" si="29"/>
        <v>46452739.150687158</v>
      </c>
      <c r="AC168">
        <f t="shared" si="32"/>
        <v>3594901.0106371068</v>
      </c>
      <c r="AD168" s="3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3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3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3">
        <v>0.3</v>
      </c>
      <c r="AB169">
        <f t="shared" si="29"/>
        <v>50168958.282742135</v>
      </c>
      <c r="AC169">
        <f t="shared" si="32"/>
        <v>3810595.0712753334</v>
      </c>
      <c r="AD169" s="3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3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3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3">
        <v>0.3</v>
      </c>
      <c r="AB170">
        <f t="shared" si="29"/>
        <v>54182474.94536151</v>
      </c>
      <c r="AC170">
        <f t="shared" si="32"/>
        <v>4039230.7755518537</v>
      </c>
      <c r="AD170" s="3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3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3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3">
        <v>0.3</v>
      </c>
      <c r="AB171">
        <f t="shared" si="29"/>
        <v>58517072.940990433</v>
      </c>
      <c r="AC171">
        <f t="shared" si="32"/>
        <v>4281584.622084965</v>
      </c>
      <c r="AD171" s="3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3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3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3">
        <v>0.3</v>
      </c>
      <c r="AB172">
        <f t="shared" si="29"/>
        <v>63198438.776269667</v>
      </c>
      <c r="AC172">
        <f t="shared" si="32"/>
        <v>4538479.6994100632</v>
      </c>
      <c r="AD172" s="3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3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3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3">
        <v>0.3</v>
      </c>
      <c r="AB173">
        <f t="shared" si="29"/>
        <v>68254313.878371254</v>
      </c>
      <c r="AC173">
        <f t="shared" si="32"/>
        <v>4810788.481374667</v>
      </c>
      <c r="AD173" s="3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3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3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3">
        <v>0.3</v>
      </c>
      <c r="AB174">
        <f t="shared" si="29"/>
        <v>73714658.988640964</v>
      </c>
      <c r="AC174">
        <f t="shared" si="32"/>
        <v>5099435.7902571475</v>
      </c>
      <c r="AD174" s="3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3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3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3">
        <v>0.3</v>
      </c>
      <c r="AB175">
        <f t="shared" si="29"/>
        <v>79611831.70773223</v>
      </c>
      <c r="AC175">
        <f t="shared" si="32"/>
        <v>5405401.9376725769</v>
      </c>
      <c r="AD175" s="3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3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3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3">
        <v>0.3</v>
      </c>
      <c r="AB176">
        <f t="shared" si="29"/>
        <v>85980778.244350821</v>
      </c>
      <c r="AC176">
        <f t="shared" si="32"/>
        <v>5729726.0539329322</v>
      </c>
      <c r="AD176" s="3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3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3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3">
        <v>0.3</v>
      </c>
      <c r="AB177">
        <f t="shared" si="29"/>
        <v>92859240.503898889</v>
      </c>
      <c r="AC177">
        <f t="shared" si="32"/>
        <v>6073509.617168908</v>
      </c>
      <c r="AD177" s="3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3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3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3">
        <v>0.3</v>
      </c>
      <c r="AB178">
        <f t="shared" si="29"/>
        <v>100287979.74421081</v>
      </c>
      <c r="AC178">
        <f t="shared" si="32"/>
        <v>6437920.1941990424</v>
      </c>
      <c r="AD178" s="3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3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3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3">
        <v>0.3</v>
      </c>
      <c r="AB179">
        <f t="shared" si="29"/>
        <v>108311018.12374768</v>
      </c>
      <c r="AC179">
        <f t="shared" si="32"/>
        <v>6824195.4058509851</v>
      </c>
      <c r="AD179" s="3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3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3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3">
        <v>0.3</v>
      </c>
      <c r="AB180">
        <f t="shared" si="29"/>
        <v>116975899.57364748</v>
      </c>
      <c r="AC180">
        <f t="shared" si="32"/>
        <v>7233647.1302020447</v>
      </c>
      <c r="AD180" s="3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3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3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3">
        <v>0.3</v>
      </c>
      <c r="AB181">
        <f t="shared" si="29"/>
        <v>126333971.53953931</v>
      </c>
      <c r="AC181">
        <f t="shared" si="32"/>
        <v>7667665.9580141678</v>
      </c>
      <c r="AD181" s="3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3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3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3">
        <v>0.3</v>
      </c>
      <c r="AB182">
        <f t="shared" si="29"/>
        <v>136440689.26270244</v>
      </c>
      <c r="AC182">
        <f t="shared" si="32"/>
        <v>8127725.9154950185</v>
      </c>
      <c r="AD182" s="3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3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3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3">
        <v>0.3</v>
      </c>
      <c r="AB183">
        <f t="shared" si="29"/>
        <v>147355944.40371865</v>
      </c>
      <c r="AC183">
        <f t="shared" si="32"/>
        <v>8615389.4704247192</v>
      </c>
      <c r="AD183" s="3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3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3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3">
        <v>0.3</v>
      </c>
      <c r="AB184">
        <f t="shared" si="29"/>
        <v>159144419.95601615</v>
      </c>
      <c r="AC184">
        <f t="shared" si="32"/>
        <v>9132312.8386502024</v>
      </c>
      <c r="AD184" s="3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3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3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3">
        <v>0.3</v>
      </c>
      <c r="AB185">
        <f t="shared" si="29"/>
        <v>171875973.55249745</v>
      </c>
      <c r="AC185">
        <f t="shared" si="32"/>
        <v>9680251.6089692153</v>
      </c>
      <c r="AD185" s="3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3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3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3">
        <v>0.3</v>
      </c>
      <c r="AB186">
        <f t="shared" si="29"/>
        <v>185626051.43669727</v>
      </c>
      <c r="AC186">
        <f t="shared" si="32"/>
        <v>10261066.705507368</v>
      </c>
      <c r="AD186" s="3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3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3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3">
        <v>0.3</v>
      </c>
      <c r="AB187">
        <f t="shared" si="29"/>
        <v>200476135.55163306</v>
      </c>
      <c r="AC187">
        <f t="shared" si="32"/>
        <v>10876730.707837811</v>
      </c>
      <c r="AD187" s="3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3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3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3">
        <v>0.3</v>
      </c>
      <c r="AB188">
        <f t="shared" si="29"/>
        <v>216514226.39576373</v>
      </c>
      <c r="AC188">
        <f t="shared" si="32"/>
        <v>11529334.55030808</v>
      </c>
      <c r="AD188" s="3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3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3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3">
        <v>0.3</v>
      </c>
      <c r="AB189">
        <f t="shared" si="29"/>
        <v>233835364.50742483</v>
      </c>
      <c r="AC189">
        <f t="shared" si="32"/>
        <v>12221094.623326566</v>
      </c>
      <c r="AD189" s="3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3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3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3">
        <v>0.3</v>
      </c>
      <c r="AB190">
        <f t="shared" si="29"/>
        <v>252542193.66801885</v>
      </c>
      <c r="AC190">
        <f t="shared" si="32"/>
        <v>12954360.30072616</v>
      </c>
      <c r="AD190" s="3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3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3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3">
        <v>0.3</v>
      </c>
      <c r="AB191">
        <f t="shared" si="29"/>
        <v>272745569.16146034</v>
      </c>
      <c r="AC191">
        <f t="shared" si="32"/>
        <v>13731621.91876973</v>
      </c>
      <c r="AD191" s="3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3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3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3">
        <v>0.3</v>
      </c>
      <c r="AB192">
        <f t="shared" si="29"/>
        <v>294565214.69437718</v>
      </c>
      <c r="AC192">
        <f t="shared" si="32"/>
        <v>14555519.233895915</v>
      </c>
      <c r="AD192" s="3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3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3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3">
        <v>0.3</v>
      </c>
      <c r="AB193">
        <f t="shared" si="29"/>
        <v>318130431.86992741</v>
      </c>
      <c r="AC193">
        <f t="shared" si="32"/>
        <v>15428850.387929671</v>
      </c>
      <c r="AD193" s="3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3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3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3">
        <v>0.3</v>
      </c>
      <c r="AB194">
        <f t="shared" si="29"/>
        <v>343580866.41952163</v>
      </c>
      <c r="AC194">
        <f t="shared" si="32"/>
        <v>16354581.411205452</v>
      </c>
      <c r="AD194" s="3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3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3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3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3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3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3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3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3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3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3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3">
        <v>0.3</v>
      </c>
      <c r="AB197">
        <f t="shared" si="40"/>
        <v>432812940.39906853</v>
      </c>
      <c r="AC197">
        <f t="shared" si="43"/>
        <v>19478568.134048279</v>
      </c>
      <c r="AD197" s="3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3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3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3">
        <v>0.3</v>
      </c>
      <c r="AB198">
        <f t="shared" si="40"/>
        <v>467437975.63099408</v>
      </c>
      <c r="AC198">
        <f t="shared" si="43"/>
        <v>20647282.222091176</v>
      </c>
      <c r="AD198" s="3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3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3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3">
        <v>0.3</v>
      </c>
      <c r="AB199">
        <f t="shared" si="40"/>
        <v>504833013.68147367</v>
      </c>
      <c r="AC199">
        <f t="shared" si="43"/>
        <v>21886119.155416649</v>
      </c>
      <c r="AD199" s="3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3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3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3">
        <v>0.3</v>
      </c>
      <c r="AB200">
        <f t="shared" si="40"/>
        <v>545219654.77599156</v>
      </c>
      <c r="AC200">
        <f t="shared" si="43"/>
        <v>23199286.304741647</v>
      </c>
      <c r="AD200" s="3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3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3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3">
        <v>0.3</v>
      </c>
      <c r="AB201">
        <f t="shared" si="40"/>
        <v>588837227.15807092</v>
      </c>
      <c r="AC201">
        <f t="shared" si="43"/>
        <v>24591243.483026147</v>
      </c>
      <c r="AD201" s="3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石油加工</vt:lpstr>
      <vt:lpstr>油品石化贸易</vt:lpstr>
      <vt:lpstr>油气开采</vt:lpstr>
      <vt:lpstr>油服工程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