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石油煤炭类\"/>
    </mc:Choice>
  </mc:AlternateContent>
  <bookViews>
    <workbookView xWindow="-108" yWindow="-108" windowWidth="20268" windowHeight="9132" activeTab="1"/>
  </bookViews>
  <sheets>
    <sheet name="煤炭开采" sheetId="43" r:id="rId1"/>
    <sheet name="焦炭加工" sheetId="44" r:id="rId2"/>
    <sheet name="公司价值折现" sheetId="42" r:id="rId3"/>
    <sheet name="基本面模型" sheetId="23" r:id="rId4"/>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<sst xmlns="http://schemas.openxmlformats.org/spreadsheetml/2006/main" count="2153" uniqueCount="1774">
  <si>
    <t>现价</t>
  </si>
  <si>
    <t>市净率</t>
  </si>
  <si>
    <t>代码</t>
  </si>
  <si>
    <t xml:space="preserve">    名称</t>
  </si>
  <si>
    <t>总市值</t>
  </si>
  <si>
    <t>TTM市盈率</t>
  </si>
  <si>
    <t>所属行业</t>
  </si>
  <si>
    <t>负债合计</t>
  </si>
  <si>
    <t>所有者权益合计</t>
  </si>
  <si>
    <t>主营业务收入</t>
  </si>
  <si>
    <t>净利润增长率</t>
  </si>
  <si>
    <t>总股本</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</si>
  <si>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</si>
  <si>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</si>
  <si>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</si>
  <si>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</si>
  <si>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</si>
  <si>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</si>
  <si>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</si>
  <si>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</si>
  <si>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</si>
  <si>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</si>
  <si>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</si>
  <si>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</si>
  <si>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</si>
  <si>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</si>
  <si>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</si>
  <si>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</si>
  <si>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</si>
  <si>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</si>
  <si>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</si>
  <si>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</si>
  <si>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</si>
  <si>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</si>
  <si>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</si>
  <si>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</si>
  <si>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</si>
  <si>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</si>
  <si>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</si>
  <si>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</si>
  <si>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</si>
  <si>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</si>
  <si>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</si>
  <si>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</si>
  <si>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</si>
  <si>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</si>
  <si>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</si>
  <si>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</si>
  <si>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</si>
  <si>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</si>
  <si>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</si>
  <si>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</si>
  <si>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</si>
  <si>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</si>
  <si>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</si>
  <si>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</si>
  <si>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</si>
  <si>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</si>
  <si>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</si>
  <si>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</si>
  <si>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</si>
  <si>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</si>
  <si>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</si>
  <si>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</si>
  <si>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</si>
  <si>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</si>
  <si>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</si>
  <si>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</si>
  <si>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</si>
  <si>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</si>
  <si>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</si>
  <si>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</si>
  <si>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</si>
  <si>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</si>
  <si>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</si>
  <si>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</si>
  <si>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</si>
  <si>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</si>
  <si>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</si>
  <si>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</si>
  <si>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</si>
  <si>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</si>
  <si>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</si>
  <si>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</si>
  <si>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</si>
  <si>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</si>
  <si>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</si>
  <si>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</si>
  <si>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</si>
  <si>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</si>
  <si>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</si>
  <si>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</si>
  <si>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</si>
  <si>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</si>
  <si>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</si>
  <si>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</si>
  <si>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</si>
  <si>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</si>
  <si>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</si>
  <si>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</si>
  <si>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</si>
  <si>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</si>
  <si>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</si>
  <si>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</si>
  <si>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</si>
  <si>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</si>
  <si>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</si>
  <si>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</si>
  <si>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</si>
  <si>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</si>
  <si>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</si>
  <si>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</si>
  <si>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</si>
  <si>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</si>
  <si>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</si>
  <si>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</si>
  <si>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</si>
  <si>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</si>
  <si>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</si>
  <si>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</si>
  <si>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</si>
  <si>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</si>
  <si>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</si>
  <si>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</si>
  <si>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</si>
  <si>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</si>
  <si>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</si>
  <si>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</si>
  <si>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</si>
  <si>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</si>
  <si>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</si>
  <si>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</si>
  <si>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</si>
  <si>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</si>
  <si>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</si>
  <si>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</si>
  <si>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</si>
  <si>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</si>
  <si>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</si>
  <si>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</si>
  <si>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</si>
  <si>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</si>
  <si>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</si>
  <si>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</si>
  <si>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</si>
  <si>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</si>
  <si>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</si>
  <si>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</si>
  <si>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</si>
  <si>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</si>
  <si>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</si>
  <si>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</si>
  <si>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</si>
  <si>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</si>
  <si>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</si>
  <si>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</si>
  <si>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</si>
  <si>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</si>
  <si>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</si>
  <si>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</si>
  <si>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</si>
  <si>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</si>
  <si>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</si>
  <si>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</si>
  <si>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</si>
  <si>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</si>
  <si>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</si>
  <si>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t>
  </si>
  <si>
    <t>1.15亿</t>
  </si>
  <si>
    <t>1.11亿</t>
  </si>
  <si>
    <t>3.55亿</t>
  </si>
  <si>
    <t>5.65亿</t>
  </si>
  <si>
    <t>2.44亿</t>
  </si>
  <si>
    <t>1.19亿</t>
  </si>
  <si>
    <t>油气开采及服务</t>
  </si>
  <si>
    <t>SH601225</t>
  </si>
  <si>
    <t>陕西煤业</t>
  </si>
  <si>
    <t>煤炭开采加工</t>
  </si>
  <si>
    <t>1.48亿</t>
  </si>
  <si>
    <t>11.53亿</t>
  </si>
  <si>
    <t>油气开采</t>
  </si>
  <si>
    <t>732.60亿</t>
  </si>
  <si>
    <t>1385.31亿</t>
  </si>
  <si>
    <t>130739225000亿</t>
  </si>
  <si>
    <t>1522.66亿</t>
  </si>
  <si>
    <t>211.40亿</t>
  </si>
  <si>
    <t>907.93亿</t>
  </si>
  <si>
    <t>772.94亿</t>
  </si>
  <si>
    <t>6.02亿</t>
  </si>
  <si>
    <t>54.20亿</t>
  </si>
  <si>
    <t>4680391700亿</t>
  </si>
  <si>
    <t>4051.13万</t>
  </si>
  <si>
    <t>22531296000亿</t>
  </si>
  <si>
    <t>771.37亿</t>
  </si>
  <si>
    <t>2109275800亿</t>
  </si>
  <si>
    <t>103054913000亿</t>
  </si>
  <si>
    <t>88.64亿</t>
  </si>
  <si>
    <t>9999.05万</t>
  </si>
  <si>
    <t>2.08亿</t>
  </si>
  <si>
    <t>142.84亿</t>
  </si>
  <si>
    <t>157.46万</t>
  </si>
  <si>
    <t>503.14亿</t>
  </si>
  <si>
    <t>51.84亿</t>
  </si>
  <si>
    <t>384.87亿</t>
  </si>
  <si>
    <t>-160.30亿</t>
  </si>
  <si>
    <t>950.63亿</t>
  </si>
  <si>
    <t>737.32亿</t>
  </si>
  <si>
    <t>572.24亿</t>
  </si>
  <si>
    <t>509.27亿</t>
  </si>
  <si>
    <t>331.32亿</t>
  </si>
  <si>
    <t>148.60亿</t>
  </si>
  <si>
    <t>116.40亿</t>
  </si>
  <si>
    <t>109.93亿</t>
  </si>
  <si>
    <t>104.49亿</t>
  </si>
  <si>
    <t>27.55亿</t>
  </si>
  <si>
    <t>836.90亿</t>
  </si>
  <si>
    <t>1213.10亿</t>
  </si>
  <si>
    <t>728.60亿</t>
  </si>
  <si>
    <t>245.98亿</t>
  </si>
  <si>
    <t>142.57亿</t>
  </si>
  <si>
    <t>82.93亿</t>
  </si>
  <si>
    <t>煤炭开采</t>
  </si>
  <si>
    <t>SH601088</t>
  </si>
  <si>
    <t>中国神华</t>
  </si>
  <si>
    <t>250489000000亿</t>
  </si>
  <si>
    <t>2131000000亿</t>
  </si>
  <si>
    <t>11754000000亿</t>
  </si>
  <si>
    <t>227503000000亿</t>
  </si>
  <si>
    <t>1605.12亿</t>
  </si>
  <si>
    <t>4683.35亿</t>
  </si>
  <si>
    <t>3352.16亿</t>
  </si>
  <si>
    <t>502.69亿</t>
  </si>
  <si>
    <t>1735.36亿</t>
  </si>
  <si>
    <t>1501.71亿</t>
  </si>
  <si>
    <t>4.58亿</t>
  </si>
  <si>
    <t>67.65亿</t>
  </si>
  <si>
    <t>10.28亿</t>
  </si>
  <si>
    <t>58407000000亿</t>
  </si>
  <si>
    <t>1830.79亿</t>
  </si>
  <si>
    <t>13.67亿</t>
  </si>
  <si>
    <t>281.52亿</t>
  </si>
  <si>
    <t>49.72亿</t>
  </si>
  <si>
    <t>9.57亿</t>
  </si>
  <si>
    <t>326.05亿</t>
  </si>
  <si>
    <t>948.14亿</t>
  </si>
  <si>
    <t>448.20亿</t>
  </si>
  <si>
    <t>910.90亿</t>
  </si>
  <si>
    <t>-219.98亿</t>
  </si>
  <si>
    <t>-572.45亿</t>
  </si>
  <si>
    <t>2332.63亿</t>
  </si>
  <si>
    <t>2418.71亿</t>
  </si>
  <si>
    <t>2641.01亿</t>
  </si>
  <si>
    <t>2487.46亿</t>
  </si>
  <si>
    <t>1831.27亿</t>
  </si>
  <si>
    <t>391.70亿</t>
  </si>
  <si>
    <t>432.50亿</t>
  </si>
  <si>
    <t>438.67亿</t>
  </si>
  <si>
    <t>450.37亿</t>
  </si>
  <si>
    <t>227.12亿</t>
  </si>
  <si>
    <t>1655.79亿</t>
  </si>
  <si>
    <t>2330.44亿</t>
  </si>
  <si>
    <t>1439.79亿</t>
  </si>
  <si>
    <t>411.44亿</t>
  </si>
  <si>
    <t>407.70亿</t>
  </si>
  <si>
    <t>260.26亿</t>
  </si>
  <si>
    <t>8.67亿</t>
  </si>
  <si>
    <t>SH600188</t>
  </si>
  <si>
    <t>兖矿能源</t>
  </si>
  <si>
    <t>SH601898</t>
  </si>
  <si>
    <t>中煤能源</t>
  </si>
  <si>
    <t>SH601699</t>
  </si>
  <si>
    <t>潞安环能</t>
  </si>
  <si>
    <t>SZ000983</t>
  </si>
  <si>
    <t>山西焦煤</t>
  </si>
  <si>
    <t>SH600348</t>
  </si>
  <si>
    <t>华阳股份</t>
  </si>
  <si>
    <t>SH600985</t>
  </si>
  <si>
    <t>淮北矿业</t>
  </si>
  <si>
    <t>SH600546</t>
  </si>
  <si>
    <t>山煤国际</t>
  </si>
  <si>
    <t>SH601666</t>
  </si>
  <si>
    <t>平煤股份</t>
  </si>
  <si>
    <t>SZ002128</t>
  </si>
  <si>
    <t>电投能源</t>
  </si>
  <si>
    <t>SZ000937</t>
  </si>
  <si>
    <t>冀中能源</t>
  </si>
  <si>
    <t>SH600726</t>
  </si>
  <si>
    <t>*ST华源</t>
  </si>
  <si>
    <t>SH601001</t>
  </si>
  <si>
    <t>晋控煤业</t>
  </si>
  <si>
    <t>SH600123</t>
  </si>
  <si>
    <t>兰花科创</t>
  </si>
  <si>
    <t>SH600395</t>
  </si>
  <si>
    <t>盘江股份</t>
  </si>
  <si>
    <t>SH600403</t>
  </si>
  <si>
    <t>大有能源</t>
  </si>
  <si>
    <t>SH601918</t>
  </si>
  <si>
    <t>新集能源</t>
  </si>
  <si>
    <t>SH600508</t>
  </si>
  <si>
    <t>上海能源</t>
  </si>
  <si>
    <t>SH601101</t>
  </si>
  <si>
    <t>昊华能源</t>
  </si>
  <si>
    <t>SH600971</t>
  </si>
  <si>
    <t>恒源煤电</t>
  </si>
  <si>
    <t>SZ000552</t>
  </si>
  <si>
    <t>靖远煤电</t>
  </si>
  <si>
    <t>SH600121</t>
  </si>
  <si>
    <t>郑州煤电</t>
  </si>
  <si>
    <t>SH600758</t>
  </si>
  <si>
    <t>辽宁能源</t>
  </si>
  <si>
    <t>SH600397</t>
  </si>
  <si>
    <t>安源煤业</t>
  </si>
  <si>
    <t>SZ000571</t>
  </si>
  <si>
    <t>ST大洲</t>
  </si>
  <si>
    <t>10派25.4元(含税)</t>
  </si>
  <si>
    <t>1.46亿</t>
  </si>
  <si>
    <r>
      <t>1.公司拥有煤炭储量 149 亿吨、可开采储量 86 亿吨，</t>
    </r>
    <r>
      <rPr>
        <sz val="9"/>
        <color rgb="FFFF0000"/>
        <rFont val="宋体"/>
        <family val="3"/>
        <charset val="134"/>
        <scheme val="minor"/>
      </rPr>
      <t>可开采年限 70 年以上</t>
    </r>
    <r>
      <rPr>
        <sz val="9"/>
        <color theme="1"/>
        <rFont val="宋体"/>
        <family val="2"/>
        <charset val="134"/>
        <scheme val="minor"/>
      </rPr>
      <t>，公司核定产能 1.43 亿吨。</t>
    </r>
    <phoneticPr fontId="1" type="noConversion"/>
  </si>
  <si>
    <t>10派13.5元(含税)</t>
  </si>
  <si>
    <t>2.48亿</t>
  </si>
  <si>
    <t>15.57亿</t>
  </si>
  <si>
    <t>1734.29亿</t>
  </si>
  <si>
    <t>1220.23亿</t>
  </si>
  <si>
    <t>151347330000亿</t>
  </si>
  <si>
    <t>1519.91亿</t>
  </si>
  <si>
    <t>162.59亿</t>
  </si>
  <si>
    <t>1064.78亿</t>
  </si>
  <si>
    <t>898.92亿</t>
  </si>
  <si>
    <t>42.39亿</t>
  </si>
  <si>
    <t>45.11亿</t>
  </si>
  <si>
    <t>2.83亿</t>
  </si>
  <si>
    <t>1954626000亿</t>
  </si>
  <si>
    <t>2.65亿</t>
  </si>
  <si>
    <t>26840325000亿</t>
  </si>
  <si>
    <t>498.59亿</t>
  </si>
  <si>
    <t>8930814000亿</t>
  </si>
  <si>
    <t>99037693000亿</t>
  </si>
  <si>
    <t>180.81亿</t>
  </si>
  <si>
    <t>26.58亿</t>
  </si>
  <si>
    <t>103.00亿</t>
  </si>
  <si>
    <t>129.91亿</t>
  </si>
  <si>
    <t>741.59亿</t>
  </si>
  <si>
    <t>522.62亿</t>
  </si>
  <si>
    <t>324.42亿</t>
  </si>
  <si>
    <t>-38.89亿</t>
  </si>
  <si>
    <t>-265.67亿</t>
  </si>
  <si>
    <t>2149.92亿</t>
  </si>
  <si>
    <t>2146.88亿</t>
  </si>
  <si>
    <t>1630.08亿</t>
  </si>
  <si>
    <t>1512.28亿</t>
  </si>
  <si>
    <t>1022.82亿</t>
  </si>
  <si>
    <t>71.22亿</t>
  </si>
  <si>
    <t>99.18亿</t>
  </si>
  <si>
    <t>79.09亿</t>
  </si>
  <si>
    <t>67.71亿</t>
  </si>
  <si>
    <t>21.62亿</t>
  </si>
  <si>
    <t>1002.85亿</t>
  </si>
  <si>
    <t>1050.36亿</t>
  </si>
  <si>
    <t>653.80亿</t>
  </si>
  <si>
    <t>180.37亿</t>
  </si>
  <si>
    <t>115.32亿</t>
  </si>
  <si>
    <t>60.42亿</t>
  </si>
  <si>
    <t>10派20元(含税)</t>
  </si>
  <si>
    <t/>
  </si>
  <si>
    <t>1751.88亿</t>
  </si>
  <si>
    <t>1680.77亿</t>
  </si>
  <si>
    <t>175344940000亿</t>
  </si>
  <si>
    <t>2311.27亿</t>
  </si>
  <si>
    <t>132.82亿</t>
  </si>
  <si>
    <t>1431.76亿</t>
  </si>
  <si>
    <t>1301.48亿</t>
  </si>
  <si>
    <t>6.87亿</t>
  </si>
  <si>
    <t>30.41亿</t>
  </si>
  <si>
    <t>3.41亿</t>
  </si>
  <si>
    <t>3928092000亿</t>
  </si>
  <si>
    <t>1.03亿</t>
  </si>
  <si>
    <t>19231860000亿</t>
  </si>
  <si>
    <t>908.21亿</t>
  </si>
  <si>
    <t>7775987000亿</t>
  </si>
  <si>
    <t>126239653000亿</t>
  </si>
  <si>
    <t>128.71亿</t>
  </si>
  <si>
    <t>1.91亿</t>
  </si>
  <si>
    <t>27.23亿</t>
  </si>
  <si>
    <t>217.99亿</t>
  </si>
  <si>
    <t>1038.26亿</t>
  </si>
  <si>
    <t>399.90亿</t>
  </si>
  <si>
    <t>378.18亿</t>
  </si>
  <si>
    <t>-160.89亿</t>
  </si>
  <si>
    <t>-192.23亿</t>
  </si>
  <si>
    <t>1409.65亿</t>
  </si>
  <si>
    <t>1293.35亿</t>
  </si>
  <si>
    <t>1041.40亿</t>
  </si>
  <si>
    <t>815.13亿</t>
  </si>
  <si>
    <t>606.64亿</t>
  </si>
  <si>
    <t>59.07亿</t>
  </si>
  <si>
    <t>56.29亿</t>
  </si>
  <si>
    <t>33.52亿</t>
  </si>
  <si>
    <t>22.92亿</t>
  </si>
  <si>
    <t>20.28亿</t>
  </si>
  <si>
    <t>1180.39亿</t>
  </si>
  <si>
    <t>1675.72亿</t>
  </si>
  <si>
    <t>1021.79亿</t>
  </si>
  <si>
    <t>133.77亿</t>
  </si>
  <si>
    <t>119.21亿</t>
  </si>
  <si>
    <t>76.15亿</t>
  </si>
  <si>
    <t>10派3.01元(含税)</t>
  </si>
  <si>
    <t>1.炼焦煤。</t>
    <phoneticPr fontId="1" type="noConversion"/>
  </si>
  <si>
    <t>5.66亿</t>
  </si>
  <si>
    <t>383.57亿</t>
  </si>
  <si>
    <t>321.66亿</t>
  </si>
  <si>
    <t>41178675000亿</t>
  </si>
  <si>
    <t>452.85亿</t>
  </si>
  <si>
    <t>41.66亿</t>
  </si>
  <si>
    <t>294.56亿</t>
  </si>
  <si>
    <t>242.44亿</t>
  </si>
  <si>
    <t>1.51亿</t>
  </si>
  <si>
    <t>20.64亿</t>
  </si>
  <si>
    <t>2.95亿</t>
  </si>
  <si>
    <t>254513840亿</t>
  </si>
  <si>
    <t>2494.60万</t>
  </si>
  <si>
    <t>8278988200亿</t>
  </si>
  <si>
    <t>82.79亿</t>
  </si>
  <si>
    <t>2261808800亿</t>
  </si>
  <si>
    <t>1.97亿</t>
  </si>
  <si>
    <t>17337328000亿</t>
  </si>
  <si>
    <t>30.47亿</t>
  </si>
  <si>
    <t>10.26亿</t>
  </si>
  <si>
    <t>12.89亿</t>
  </si>
  <si>
    <t>102.01亿</t>
  </si>
  <si>
    <t>198.65亿</t>
  </si>
  <si>
    <t>80.63亿</t>
  </si>
  <si>
    <t>84.80亿</t>
  </si>
  <si>
    <t>-12.06亿</t>
  </si>
  <si>
    <t>-58.39亿</t>
  </si>
  <si>
    <t>337.57亿</t>
  </si>
  <si>
    <t>360.08亿</t>
  </si>
  <si>
    <t>322.71亿</t>
  </si>
  <si>
    <t>286.55亿</t>
  </si>
  <si>
    <t>196.11亿</t>
  </si>
  <si>
    <t>19.56亿</t>
  </si>
  <si>
    <t>21.16亿</t>
  </si>
  <si>
    <t>18.02亿</t>
  </si>
  <si>
    <t>15.69亿</t>
  </si>
  <si>
    <t>4.34亿</t>
  </si>
  <si>
    <t>277.13亿</t>
  </si>
  <si>
    <t>296.92亿</t>
  </si>
  <si>
    <t>192.27亿</t>
  </si>
  <si>
    <t>56.94亿</t>
  </si>
  <si>
    <t>31.74亿</t>
  </si>
  <si>
    <t>19.44亿</t>
  </si>
  <si>
    <t>10派8元(含税)</t>
  </si>
  <si>
    <t>1.无烟煤。</t>
    <phoneticPr fontId="1" type="noConversion"/>
  </si>
  <si>
    <t>385.09亿</t>
  </si>
  <si>
    <t>293.69亿</t>
  </si>
  <si>
    <t>26363539000亿</t>
  </si>
  <si>
    <t>380.07亿</t>
  </si>
  <si>
    <t>35.34亿</t>
  </si>
  <si>
    <t>187.40亿</t>
  </si>
  <si>
    <t>154.76亿</t>
  </si>
  <si>
    <t>1.17亿</t>
  </si>
  <si>
    <t>8.24亿</t>
  </si>
  <si>
    <t>8230.05万</t>
  </si>
  <si>
    <t>52348141亿</t>
  </si>
  <si>
    <t>2023.69万</t>
  </si>
  <si>
    <t>4939432000亿</t>
  </si>
  <si>
    <t>161.26亿</t>
  </si>
  <si>
    <t>2239751700亿</t>
  </si>
  <si>
    <t>21004159000亿</t>
  </si>
  <si>
    <t>112.80亿</t>
  </si>
  <si>
    <t>66.36亿</t>
  </si>
  <si>
    <t>2.35亿</t>
  </si>
  <si>
    <t>111.39亿</t>
  </si>
  <si>
    <t>248.37亿</t>
  </si>
  <si>
    <t>78.91亿</t>
  </si>
  <si>
    <t>45.93亿</t>
  </si>
  <si>
    <t>-22.93亿</t>
  </si>
  <si>
    <t>-21.51亿</t>
  </si>
  <si>
    <t>311.81亿</t>
  </si>
  <si>
    <t>326.58亿</t>
  </si>
  <si>
    <t>326.84亿</t>
  </si>
  <si>
    <t>281.46亿</t>
  </si>
  <si>
    <t>187.01亿</t>
  </si>
  <si>
    <t>15.05亿</t>
  </si>
  <si>
    <t>17.01亿</t>
  </si>
  <si>
    <t>19.71亿</t>
  </si>
  <si>
    <t>16.36亿</t>
  </si>
  <si>
    <t>4.29亿</t>
  </si>
  <si>
    <t>183.34亿</t>
  </si>
  <si>
    <t>280.04亿</t>
  </si>
  <si>
    <t>188.87亿</t>
  </si>
  <si>
    <t>33.23亿</t>
  </si>
  <si>
    <t>22.91亿</t>
  </si>
  <si>
    <t>11.52亿</t>
  </si>
  <si>
    <t>10派5.00元(含税)</t>
  </si>
  <si>
    <t>433.03亿</t>
  </si>
  <si>
    <t>365.49亿</t>
  </si>
  <si>
    <t>57313951000亿</t>
  </si>
  <si>
    <t>650.38亿</t>
  </si>
  <si>
    <t>47.80亿</t>
  </si>
  <si>
    <t>508.42亿</t>
  </si>
  <si>
    <t>446.42亿</t>
  </si>
  <si>
    <t>1.49亿</t>
  </si>
  <si>
    <t>36.15亿</t>
  </si>
  <si>
    <t>7.23亿</t>
  </si>
  <si>
    <t>91250883亿</t>
  </si>
  <si>
    <t>3168.59万</t>
  </si>
  <si>
    <t>5351162000亿</t>
  </si>
  <si>
    <t>94.56亿</t>
  </si>
  <si>
    <t>1869655500亿</t>
  </si>
  <si>
    <t>10.98亿</t>
  </si>
  <si>
    <t>22505416000亿</t>
  </si>
  <si>
    <t>25.45亿</t>
  </si>
  <si>
    <t>34.18亿</t>
  </si>
  <si>
    <t>19.75亿</t>
  </si>
  <si>
    <t>111.16亿</t>
  </si>
  <si>
    <t>276.61亿</t>
  </si>
  <si>
    <t>67.07亿</t>
  </si>
  <si>
    <t>103.94亿</t>
  </si>
  <si>
    <t>-25.91亿</t>
  </si>
  <si>
    <t>-35.31亿</t>
  </si>
  <si>
    <t>523.69亿</t>
  </si>
  <si>
    <t>600.86亿</t>
  </si>
  <si>
    <t>577.75亿</t>
  </si>
  <si>
    <t>499.05亿</t>
  </si>
  <si>
    <t>8.36亿</t>
  </si>
  <si>
    <t>34.68亿</t>
  </si>
  <si>
    <t>36.31亿</t>
  </si>
  <si>
    <t>35.61亿</t>
  </si>
  <si>
    <t>28.84亿</t>
  </si>
  <si>
    <t>9006.22万</t>
  </si>
  <si>
    <t>384.24亿</t>
  </si>
  <si>
    <t>490.08亿</t>
  </si>
  <si>
    <t>280.74亿</t>
  </si>
  <si>
    <t>35.62亿</t>
  </si>
  <si>
    <t>37.88亿</t>
  </si>
  <si>
    <t>25.30亿</t>
  </si>
  <si>
    <t>10派7元(含税)</t>
  </si>
  <si>
    <t>247.16亿</t>
  </si>
  <si>
    <t>189.78亿</t>
  </si>
  <si>
    <t>35631410000亿</t>
  </si>
  <si>
    <t>480.54亿</t>
  </si>
  <si>
    <t>49.38亿</t>
  </si>
  <si>
    <t>239.49亿</t>
  </si>
  <si>
    <t>203.21亿</t>
  </si>
  <si>
    <t>4.63亿</t>
  </si>
  <si>
    <t>9.05亿</t>
  </si>
  <si>
    <t>1.07亿</t>
  </si>
  <si>
    <t>-35655250亿</t>
  </si>
  <si>
    <t>584.53万</t>
  </si>
  <si>
    <t>5504676800亿</t>
  </si>
  <si>
    <t>99.24亿</t>
  </si>
  <si>
    <t>1614596100亿</t>
  </si>
  <si>
    <t>1.63亿</t>
  </si>
  <si>
    <t>14470016000亿</t>
  </si>
  <si>
    <t>49.42亿</t>
  </si>
  <si>
    <t>9.94亿</t>
  </si>
  <si>
    <t>1.22亿</t>
  </si>
  <si>
    <t>45.75亿</t>
  </si>
  <si>
    <t>93.82万</t>
  </si>
  <si>
    <t>173.34亿</t>
  </si>
  <si>
    <t>46.86亿</t>
  </si>
  <si>
    <t>82.22亿</t>
  </si>
  <si>
    <t>-9.73亿</t>
  </si>
  <si>
    <t>-93.59亿</t>
  </si>
  <si>
    <t>354.22亿</t>
  </si>
  <si>
    <t>376.57亿</t>
  </si>
  <si>
    <t>381.43亿</t>
  </si>
  <si>
    <t>409.22亿</t>
  </si>
  <si>
    <t>491.60亿</t>
  </si>
  <si>
    <t>8.27亿</t>
  </si>
  <si>
    <t>11.73亿</t>
  </si>
  <si>
    <t>2.20亿</t>
  </si>
  <si>
    <t>4.15亿</t>
  </si>
  <si>
    <t>3.08亿</t>
  </si>
  <si>
    <t>211.55亿</t>
  </si>
  <si>
    <t>305.17亿</t>
  </si>
  <si>
    <t>175.42亿</t>
  </si>
  <si>
    <t>35.41亿</t>
  </si>
  <si>
    <t>17.54亿</t>
  </si>
  <si>
    <t>8.46亿</t>
  </si>
  <si>
    <t>10派15.67元(含税)</t>
  </si>
  <si>
    <t>504.04亿</t>
  </si>
  <si>
    <t>237.35亿</t>
  </si>
  <si>
    <t>28198689000亿</t>
  </si>
  <si>
    <t>296.99亿</t>
  </si>
  <si>
    <t>29.22亿</t>
  </si>
  <si>
    <t>214.32亿</t>
  </si>
  <si>
    <t>185.32亿</t>
  </si>
  <si>
    <t>1.65亿</t>
  </si>
  <si>
    <t>6.12亿</t>
  </si>
  <si>
    <t>1.56亿</t>
  </si>
  <si>
    <t>74590922亿</t>
  </si>
  <si>
    <t>1060.87万</t>
  </si>
  <si>
    <t>4766033200亿</t>
  </si>
  <si>
    <t>142.24亿</t>
  </si>
  <si>
    <t>4755067800亿</t>
  </si>
  <si>
    <t>23553590000亿</t>
  </si>
  <si>
    <t>38.85亿</t>
  </si>
  <si>
    <t>69.64亿</t>
  </si>
  <si>
    <t>122.98亿</t>
  </si>
  <si>
    <t>43.11亿</t>
  </si>
  <si>
    <t>801.90万</t>
  </si>
  <si>
    <t>362.14亿</t>
  </si>
  <si>
    <t>9.04亿</t>
  </si>
  <si>
    <t>63.37亿</t>
  </si>
  <si>
    <t>-52.61亿</t>
  </si>
  <si>
    <t>24.86亿</t>
  </si>
  <si>
    <t>223.97亿</t>
  </si>
  <si>
    <t>236.53亿</t>
  </si>
  <si>
    <t>208.30亿</t>
  </si>
  <si>
    <t>207.42亿</t>
  </si>
  <si>
    <t>153.62亿</t>
  </si>
  <si>
    <t>13.88亿</t>
  </si>
  <si>
    <t>7.15亿</t>
  </si>
  <si>
    <t>13.77亿</t>
  </si>
  <si>
    <t>8.40亿</t>
  </si>
  <si>
    <t>194.03亿</t>
  </si>
  <si>
    <t>195.73亿</t>
  </si>
  <si>
    <t>126.51亿</t>
  </si>
  <si>
    <t>33.65亿</t>
  </si>
  <si>
    <t>17.68亿</t>
  </si>
  <si>
    <t>10.58亿</t>
  </si>
  <si>
    <t>10派7.6元(含税)</t>
  </si>
  <si>
    <t>8.00亿</t>
  </si>
  <si>
    <t>145.17亿</t>
  </si>
  <si>
    <t>268.43亿</t>
  </si>
  <si>
    <t>19868220000亿</t>
  </si>
  <si>
    <t>246.49亿</t>
  </si>
  <si>
    <t>35.60亿</t>
  </si>
  <si>
    <t>150.51亿</t>
  </si>
  <si>
    <t>132.31亿</t>
  </si>
  <si>
    <t>3729.76万</t>
  </si>
  <si>
    <t>3.80亿</t>
  </si>
  <si>
    <t>382.87万</t>
  </si>
  <si>
    <t>59394627亿</t>
  </si>
  <si>
    <t>762.64万</t>
  </si>
  <si>
    <t>3186181700亿</t>
  </si>
  <si>
    <t>32.07亿</t>
  </si>
  <si>
    <t>2455665400亿</t>
  </si>
  <si>
    <t>10689532300亿</t>
  </si>
  <si>
    <t>31.82亿</t>
  </si>
  <si>
    <t>6.61亿</t>
  </si>
  <si>
    <t>21.45亿</t>
  </si>
  <si>
    <t>372.72万</t>
  </si>
  <si>
    <t>57.74亿</t>
  </si>
  <si>
    <t>78.03亿</t>
  </si>
  <si>
    <t>68.31亿</t>
  </si>
  <si>
    <t>-31.89亿</t>
  </si>
  <si>
    <t>-20.43亿</t>
  </si>
  <si>
    <t>200.74亿</t>
  </si>
  <si>
    <t>191.55亿</t>
  </si>
  <si>
    <t>177.68亿</t>
  </si>
  <si>
    <t>75.88亿</t>
  </si>
  <si>
    <t>55.01亿</t>
  </si>
  <si>
    <t>20.71亿</t>
  </si>
  <si>
    <t>24.66亿</t>
  </si>
  <si>
    <t>20.29亿</t>
  </si>
  <si>
    <t>17.55亿</t>
  </si>
  <si>
    <t>136.23亿</t>
  </si>
  <si>
    <t>180.16亿</t>
  </si>
  <si>
    <t>115.95亿</t>
  </si>
  <si>
    <t>23.32亿</t>
  </si>
  <si>
    <t>28.93亿</t>
  </si>
  <si>
    <t>18.53亿</t>
  </si>
  <si>
    <t>10派5元(含税)</t>
  </si>
  <si>
    <t>247.96亿</t>
  </si>
  <si>
    <t>245.38亿</t>
  </si>
  <si>
    <t>29050288000亿</t>
  </si>
  <si>
    <t>314.24亿</t>
  </si>
  <si>
    <t>27.39亿</t>
  </si>
  <si>
    <t>229.63亿</t>
  </si>
  <si>
    <t>196.03亿</t>
  </si>
  <si>
    <t>1.30亿</t>
  </si>
  <si>
    <t>13.46亿</t>
  </si>
  <si>
    <t>2.73亿</t>
  </si>
  <si>
    <t>82273451亿</t>
  </si>
  <si>
    <t>1511.89万</t>
  </si>
  <si>
    <t>4009647000亿</t>
  </si>
  <si>
    <t>94.96亿</t>
  </si>
  <si>
    <t>3071529500亿</t>
  </si>
  <si>
    <t>8.06亿</t>
  </si>
  <si>
    <t>16221527000亿</t>
  </si>
  <si>
    <t>26.65亿</t>
  </si>
  <si>
    <t>113.63亿</t>
  </si>
  <si>
    <t>3.89亿</t>
  </si>
  <si>
    <t>40.41亿</t>
  </si>
  <si>
    <t>2279.40万</t>
  </si>
  <si>
    <t>211.01亿</t>
  </si>
  <si>
    <t>12.14亿</t>
  </si>
  <si>
    <t>43.50亿</t>
  </si>
  <si>
    <t>-15.74亿</t>
  </si>
  <si>
    <t>-58.15亿</t>
  </si>
  <si>
    <t>206.43亿</t>
  </si>
  <si>
    <t>225.27亿</t>
  </si>
  <si>
    <t>214.58亿</t>
  </si>
  <si>
    <t>203.82亿</t>
  </si>
  <si>
    <t>136.36亿</t>
  </si>
  <si>
    <t>7.86亿</t>
  </si>
  <si>
    <t>7.83亿</t>
  </si>
  <si>
    <t>8.72亿</t>
  </si>
  <si>
    <t>10.64亿</t>
  </si>
  <si>
    <t>199.87亿</t>
  </si>
  <si>
    <t>219.80亿</t>
  </si>
  <si>
    <t>129.68亿</t>
  </si>
  <si>
    <t>25.71亿</t>
  </si>
  <si>
    <t>6.60亿</t>
  </si>
  <si>
    <t>10派10元(含税)</t>
  </si>
  <si>
    <t xml:space="preserve">
市值227.20706亿, 利润27.39亿; PE4.24, PB1.09; ROIC6.2133%; ROE7.31%; 股利率15.5521%; 毛利25.9567%; 净利8.6367%; 上一年度营收增52.23%, 利润增248.47%; 当季营收增0.57%, 利润增99.97%; 过往5年营收增20.72%, 利润增111.33%
Income profile:
</t>
  </si>
  <si>
    <t>256.99亿</t>
  </si>
  <si>
    <t>-44.09亿</t>
  </si>
  <si>
    <t>6885526000亿</t>
  </si>
  <si>
    <t>98.02亿</t>
  </si>
  <si>
    <t>-29.37亿</t>
  </si>
  <si>
    <t>89.33亿</t>
  </si>
  <si>
    <t>81.19亿</t>
  </si>
  <si>
    <t>598.42万</t>
  </si>
  <si>
    <t>5807.27万</t>
  </si>
  <si>
    <t>497.99万</t>
  </si>
  <si>
    <t>-247099100亿</t>
  </si>
  <si>
    <t>547.68万</t>
  </si>
  <si>
    <t>-2140827000亿</t>
  </si>
  <si>
    <t>16.04亿</t>
  </si>
  <si>
    <t>150.00万</t>
  </si>
  <si>
    <t>4171668900亿</t>
  </si>
  <si>
    <t>13.36亿</t>
  </si>
  <si>
    <t>49.37亿</t>
  </si>
  <si>
    <t>2.30亿</t>
  </si>
  <si>
    <t>12.42亿</t>
  </si>
  <si>
    <t>9.36亿</t>
  </si>
  <si>
    <t>127.99亿</t>
  </si>
  <si>
    <t>86.90亿</t>
  </si>
  <si>
    <t>-5.53亿</t>
  </si>
  <si>
    <t>2.05亿</t>
  </si>
  <si>
    <t>3.22亿</t>
  </si>
  <si>
    <t>106.71亿</t>
  </si>
  <si>
    <t>108.28亿</t>
  </si>
  <si>
    <t>98.07亿</t>
  </si>
  <si>
    <t>90.81亿</t>
  </si>
  <si>
    <t>86.33亿</t>
  </si>
  <si>
    <t>-11.07亿</t>
  </si>
  <si>
    <t>7556.02万</t>
  </si>
  <si>
    <t>-7.62亿</t>
  </si>
  <si>
    <t>-11.04亿</t>
  </si>
  <si>
    <t>51.71亿</t>
  </si>
  <si>
    <t>69.17亿</t>
  </si>
  <si>
    <t>52.25亿</t>
  </si>
  <si>
    <t>-14.53亿</t>
  </si>
  <si>
    <t>-14.68亿</t>
  </si>
  <si>
    <t>-5.23亿</t>
  </si>
  <si>
    <t>不分配不转增</t>
  </si>
  <si>
    <t>1.82亿</t>
  </si>
  <si>
    <t>亏损</t>
  </si>
  <si>
    <t>扭亏</t>
  </si>
  <si>
    <t>200.23亿</t>
  </si>
  <si>
    <t>223.87亿</t>
  </si>
  <si>
    <t>12789387700亿</t>
  </si>
  <si>
    <t>182.65亿</t>
  </si>
  <si>
    <t>46.58亿</t>
  </si>
  <si>
    <t>72.01亿</t>
  </si>
  <si>
    <t>56.05亿</t>
  </si>
  <si>
    <t>9961.68万</t>
  </si>
  <si>
    <t>2.52亿</t>
  </si>
  <si>
    <t>17.79万</t>
  </si>
  <si>
    <t>776170480亿</t>
  </si>
  <si>
    <t>56.19万</t>
  </si>
  <si>
    <t>3413945000亿</t>
  </si>
  <si>
    <t>183.48亿</t>
  </si>
  <si>
    <t>1183662870亿</t>
  </si>
  <si>
    <t>21510679000亿</t>
  </si>
  <si>
    <t>5.31亿</t>
  </si>
  <si>
    <t>24.85亿</t>
  </si>
  <si>
    <t>40.80亿</t>
  </si>
  <si>
    <t>122.69亿</t>
  </si>
  <si>
    <t>18.70亿</t>
  </si>
  <si>
    <t>38.27亿</t>
  </si>
  <si>
    <t>-3.23亿</t>
  </si>
  <si>
    <t>-13.69亿</t>
  </si>
  <si>
    <t>109.05亿</t>
  </si>
  <si>
    <t>113.58亿</t>
  </si>
  <si>
    <t>112.59亿</t>
  </si>
  <si>
    <t>91.62亿</t>
  </si>
  <si>
    <t>73.91亿</t>
  </si>
  <si>
    <t>8.76亿</t>
  </si>
  <si>
    <t>8.97亿</t>
  </si>
  <si>
    <t>5.99亿</t>
  </si>
  <si>
    <t>1.86亿</t>
  </si>
  <si>
    <t>88.66亿</t>
  </si>
  <si>
    <t>113.13亿</t>
  </si>
  <si>
    <t>71.46亿</t>
  </si>
  <si>
    <t>25.96亿</t>
  </si>
  <si>
    <t>13.62亿</t>
  </si>
  <si>
    <t>10派4元(含税)</t>
  </si>
  <si>
    <t>5.56亿</t>
  </si>
  <si>
    <t xml:space="preserve">
市值212.22516亿, 利润46.58亿; PE3.9, PB1.41; ROIC14.83%; ROE25.4633%; 股利率3.1546%; 毛利48.9133%; 净利20.2233%; 上一年度营收增67.49%, 利润增431.74%; 当季营收增-5.85%, 利润增-14.87%; 过往5年营收增22.25%, 利润增139.51%
Income profile:
</t>
  </si>
  <si>
    <t>159.15亿</t>
  </si>
  <si>
    <t>11443870600亿</t>
  </si>
  <si>
    <t>128.60亿</t>
  </si>
  <si>
    <t>23.53亿</t>
  </si>
  <si>
    <t>74.26亿</t>
  </si>
  <si>
    <t>52.23亿</t>
  </si>
  <si>
    <t>1.18亿</t>
  </si>
  <si>
    <t>10.35亿</t>
  </si>
  <si>
    <t>1058.20万</t>
  </si>
  <si>
    <t>394116490亿</t>
  </si>
  <si>
    <t>470.84万</t>
  </si>
  <si>
    <t>3203056600亿</t>
  </si>
  <si>
    <t>52.99亿</t>
  </si>
  <si>
    <t>140744870亿</t>
  </si>
  <si>
    <t>3.75亿</t>
  </si>
  <si>
    <t>9369356300亿</t>
  </si>
  <si>
    <t>34.19亿</t>
  </si>
  <si>
    <t>41.83亿</t>
  </si>
  <si>
    <t>1.25亿</t>
  </si>
  <si>
    <t>23.61亿</t>
  </si>
  <si>
    <t>114.86亿</t>
  </si>
  <si>
    <t>16.16亿</t>
  </si>
  <si>
    <t>52.34亿</t>
  </si>
  <si>
    <t>-3.33亿</t>
  </si>
  <si>
    <t>-21.79亿</t>
  </si>
  <si>
    <t>66.26亿</t>
  </si>
  <si>
    <t>79.47亿</t>
  </si>
  <si>
    <t>85.29亿</t>
  </si>
  <si>
    <t>75.66亿</t>
  </si>
  <si>
    <t>43.58亿</t>
  </si>
  <si>
    <t>6.63亿</t>
  </si>
  <si>
    <t>10.81亿</t>
  </si>
  <si>
    <t>7.82亿</t>
  </si>
  <si>
    <t>-6.60亿</t>
  </si>
  <si>
    <t>76.58亿</t>
  </si>
  <si>
    <t>88.11亿</t>
  </si>
  <si>
    <t>52.63亿</t>
  </si>
  <si>
    <t>19.86亿</t>
  </si>
  <si>
    <t>14.07亿</t>
  </si>
  <si>
    <t>6.95亿</t>
  </si>
  <si>
    <t>10派7.5元(含税)</t>
  </si>
  <si>
    <t>公司主营业务是煤炭、化肥、建筑材料的生产和销售。公司主要产品为无烟煤
市值166.10496亿, 利润23.53亿; PE4.49, PB1.1; ROIC6.3167%; ROE9.9133%; 股利率5.1582%; 毛利42.8533%; 净利12.6833%; 上一年度营收增94.08%, 利润增527.47%; 当季营收增6.7%, 利润增8.44%; 过往5年营收增31.4%, 利润增140.42%
Income profile:
煤炭分部 54.75亿 71.48% 104.88% 62.36%
煤化工分部 21.70亿 28.34% -3.52% -5.27%</t>
  </si>
  <si>
    <t>139.83亿</t>
  </si>
  <si>
    <t>124.24亿</t>
  </si>
  <si>
    <t>9056154700亿</t>
  </si>
  <si>
    <t>97.26亿</t>
  </si>
  <si>
    <t>11.72亿</t>
  </si>
  <si>
    <t>69.56亿</t>
  </si>
  <si>
    <t>51.31亿</t>
  </si>
  <si>
    <t>1678.38万</t>
  </si>
  <si>
    <t>10.94亿</t>
  </si>
  <si>
    <t>9136.12万</t>
  </si>
  <si>
    <t>57228831亿</t>
  </si>
  <si>
    <t>303.60万</t>
  </si>
  <si>
    <t>1925977300亿</t>
  </si>
  <si>
    <t>58.53亿</t>
  </si>
  <si>
    <t>470888010亿</t>
  </si>
  <si>
    <t>29.26亿</t>
  </si>
  <si>
    <t>10640168300亿</t>
  </si>
  <si>
    <t>69.84亿</t>
  </si>
  <si>
    <t>17.71亿</t>
  </si>
  <si>
    <t>5.30亿</t>
  </si>
  <si>
    <t>20.98亿</t>
  </si>
  <si>
    <t>64.03亿</t>
  </si>
  <si>
    <t>33.53亿</t>
  </si>
  <si>
    <t>27.13亿</t>
  </si>
  <si>
    <t>-34.39亿</t>
  </si>
  <si>
    <t>32.53亿</t>
  </si>
  <si>
    <t>65.63亿</t>
  </si>
  <si>
    <t>74.13亿</t>
  </si>
  <si>
    <t>60.90亿</t>
  </si>
  <si>
    <t>60.81亿</t>
  </si>
  <si>
    <t>39.14亿</t>
  </si>
  <si>
    <t>12.12亿</t>
  </si>
  <si>
    <t>9.45亿</t>
  </si>
  <si>
    <t>8.77亿</t>
  </si>
  <si>
    <t>1.96亿</t>
  </si>
  <si>
    <t>62.49亿</t>
  </si>
  <si>
    <t>61.49亿</t>
  </si>
  <si>
    <t>36.14亿</t>
  </si>
  <si>
    <t>12.44亿</t>
  </si>
  <si>
    <t>8.01亿</t>
  </si>
  <si>
    <t>4.62亿</t>
  </si>
  <si>
    <t>139.01亿</t>
  </si>
  <si>
    <t>83.41亿</t>
  </si>
  <si>
    <t>6719696500亿</t>
  </si>
  <si>
    <t>79.11亿</t>
  </si>
  <si>
    <t>48.87亿</t>
  </si>
  <si>
    <t>34.71亿</t>
  </si>
  <si>
    <t>8330.82万</t>
  </si>
  <si>
    <t>5.32亿</t>
  </si>
  <si>
    <t>1.33亿</t>
  </si>
  <si>
    <t>48349351亿</t>
  </si>
  <si>
    <t>3820.24万</t>
  </si>
  <si>
    <t>1355524400亿</t>
  </si>
  <si>
    <t>54.68亿</t>
  </si>
  <si>
    <t>937692510亿</t>
  </si>
  <si>
    <t>1500.00万</t>
  </si>
  <si>
    <t>7288848200亿</t>
  </si>
  <si>
    <t>9.11亿</t>
  </si>
  <si>
    <t>50.60亿</t>
  </si>
  <si>
    <t>6.24亿</t>
  </si>
  <si>
    <t>26.49亿</t>
  </si>
  <si>
    <t>118.67亿</t>
  </si>
  <si>
    <t>7.22亿</t>
  </si>
  <si>
    <t>25.10亿</t>
  </si>
  <si>
    <t>-3.32亿</t>
  </si>
  <si>
    <t>-13.88亿</t>
  </si>
  <si>
    <t>68.26亿</t>
  </si>
  <si>
    <t>59.03亿</t>
  </si>
  <si>
    <t>78.61亿</t>
  </si>
  <si>
    <t>68.34亿</t>
  </si>
  <si>
    <t>51.81亿</t>
  </si>
  <si>
    <t>-9.29亿</t>
  </si>
  <si>
    <t>7686.29万</t>
  </si>
  <si>
    <t>6.51亿</t>
  </si>
  <si>
    <t>4.80亿</t>
  </si>
  <si>
    <t>-19.63亿</t>
  </si>
  <si>
    <t>42.16亿</t>
  </si>
  <si>
    <t>59.58亿</t>
  </si>
  <si>
    <t>39.36亿</t>
  </si>
  <si>
    <t>8.23亿</t>
  </si>
  <si>
    <t>5.41亿</t>
  </si>
  <si>
    <t>2.31亿</t>
  </si>
  <si>
    <t>10派3.50元(含税)</t>
  </si>
  <si>
    <t>193.72亿</t>
  </si>
  <si>
    <t>121.68亿</t>
  </si>
  <si>
    <t>8907721600亿</t>
  </si>
  <si>
    <t>124.89亿</t>
  </si>
  <si>
    <t>24.34亿</t>
  </si>
  <si>
    <t>63.05亿</t>
  </si>
  <si>
    <t>49.39亿</t>
  </si>
  <si>
    <t>4520.23万</t>
  </si>
  <si>
    <t>5.05亿</t>
  </si>
  <si>
    <t>90236141亿</t>
  </si>
  <si>
    <t>4533.22万</t>
  </si>
  <si>
    <t>1799102600亿</t>
  </si>
  <si>
    <t>13.32亿</t>
  </si>
  <si>
    <t>558087040亿</t>
  </si>
  <si>
    <t>2542444100亿</t>
  </si>
  <si>
    <t>4.44亿</t>
  </si>
  <si>
    <t>12.61亿</t>
  </si>
  <si>
    <t>1.76亿</t>
  </si>
  <si>
    <t>14.12亿</t>
  </si>
  <si>
    <t>22.09万</t>
  </si>
  <si>
    <t>78.86亿</t>
  </si>
  <si>
    <t>25.13亿</t>
  </si>
  <si>
    <t>-10.22亿</t>
  </si>
  <si>
    <t>-18.10亿</t>
  </si>
  <si>
    <t>83.55亿</t>
  </si>
  <si>
    <t>92.24亿</t>
  </si>
  <si>
    <t>87.50亿</t>
  </si>
  <si>
    <t>74.67亿</t>
  </si>
  <si>
    <t>54.04亿</t>
  </si>
  <si>
    <t>8.47亿</t>
  </si>
  <si>
    <t>5.76亿</t>
  </si>
  <si>
    <t>2.61亿</t>
  </si>
  <si>
    <t>2213.36万</t>
  </si>
  <si>
    <t>2.42亿</t>
  </si>
  <si>
    <t>56.13亿</t>
  </si>
  <si>
    <t>89.72亿</t>
  </si>
  <si>
    <t>53.62亿</t>
  </si>
  <si>
    <t>11.32亿</t>
  </si>
  <si>
    <t>20.25亿</t>
  </si>
  <si>
    <t>12.20亿</t>
  </si>
  <si>
    <t>10派0.7元(含税)</t>
  </si>
  <si>
    <t>72.87亿</t>
  </si>
  <si>
    <t>126.02亿</t>
  </si>
  <si>
    <t>9947324600亿</t>
  </si>
  <si>
    <t>101.56亿</t>
  </si>
  <si>
    <t>3.73亿</t>
  </si>
  <si>
    <t>67.94亿</t>
  </si>
  <si>
    <t>58.30亿</t>
  </si>
  <si>
    <t>2226.56万</t>
  </si>
  <si>
    <t>5.00亿</t>
  </si>
  <si>
    <t>3156.13万</t>
  </si>
  <si>
    <t>0亿</t>
  </si>
  <si>
    <t>4799.88万</t>
  </si>
  <si>
    <t>2076445400亿</t>
  </si>
  <si>
    <t>28.78亿</t>
  </si>
  <si>
    <t>412826110亿</t>
  </si>
  <si>
    <t>4944960000亿</t>
  </si>
  <si>
    <t>21.15亿</t>
  </si>
  <si>
    <t>10000.00万</t>
  </si>
  <si>
    <t>1.06亿</t>
  </si>
  <si>
    <t>11.03亿</t>
  </si>
  <si>
    <t>43.65亿</t>
  </si>
  <si>
    <t>8.11亿</t>
  </si>
  <si>
    <t>30.46亿</t>
  </si>
  <si>
    <t>-5.98亿</t>
  </si>
  <si>
    <t>-6.39亿</t>
  </si>
  <si>
    <t>76.54亿</t>
  </si>
  <si>
    <t>76.23亿</t>
  </si>
  <si>
    <t>68.49亿</t>
  </si>
  <si>
    <t>63.34亿</t>
  </si>
  <si>
    <t>51.80亿</t>
  </si>
  <si>
    <t>6.68亿</t>
  </si>
  <si>
    <t>5.75亿</t>
  </si>
  <si>
    <t>5.19亿</t>
  </si>
  <si>
    <t>4.52亿</t>
  </si>
  <si>
    <t>67.73亿</t>
  </si>
  <si>
    <t>70.09亿</t>
  </si>
  <si>
    <t>44.62亿</t>
  </si>
  <si>
    <t>15.45亿</t>
  </si>
  <si>
    <t>4.38亿</t>
  </si>
  <si>
    <t>10派1.55元(含税)</t>
  </si>
  <si>
    <t>167.27亿</t>
  </si>
  <si>
    <t>138.72亿</t>
  </si>
  <si>
    <t>6811641000亿</t>
  </si>
  <si>
    <t>83.69亿</t>
  </si>
  <si>
    <t>20.14亿</t>
  </si>
  <si>
    <t>40.33亿</t>
  </si>
  <si>
    <t>28.09亿</t>
  </si>
  <si>
    <t>1.02亿</t>
  </si>
  <si>
    <t>2.90亿</t>
  </si>
  <si>
    <t>37.86万</t>
  </si>
  <si>
    <t>-5962365亿</t>
  </si>
  <si>
    <t>123.95万</t>
  </si>
  <si>
    <t>1542470700亿</t>
  </si>
  <si>
    <t>59.88亿</t>
  </si>
  <si>
    <t>262298090亿</t>
  </si>
  <si>
    <t>7442.46万</t>
  </si>
  <si>
    <t>7324758700亿</t>
  </si>
  <si>
    <t>47.97亿</t>
  </si>
  <si>
    <t>3.00亿</t>
  </si>
  <si>
    <t>17.12亿</t>
  </si>
  <si>
    <t>45.89亿</t>
  </si>
  <si>
    <t>75.81亿</t>
  </si>
  <si>
    <t>38.18亿</t>
  </si>
  <si>
    <t>-10.24亿</t>
  </si>
  <si>
    <t>-8.33亿</t>
  </si>
  <si>
    <t>43.62亿</t>
  </si>
  <si>
    <t>55.33亿</t>
  </si>
  <si>
    <t>58.10亿</t>
  </si>
  <si>
    <t>55.81亿</t>
  </si>
  <si>
    <t>51.03亿</t>
  </si>
  <si>
    <t>4789.58万</t>
  </si>
  <si>
    <t>2.91亿</t>
  </si>
  <si>
    <t>7.21亿</t>
  </si>
  <si>
    <t>6.26亿</t>
  </si>
  <si>
    <t>-835.49万</t>
  </si>
  <si>
    <t>42.14亿</t>
  </si>
  <si>
    <t>55.80亿</t>
  </si>
  <si>
    <t>31.26亿</t>
  </si>
  <si>
    <t>9.24亿</t>
  </si>
  <si>
    <t>12.87亿</t>
  </si>
  <si>
    <t>6.31亿</t>
  </si>
  <si>
    <t>10转2股派5.5元(含税)</t>
  </si>
  <si>
    <t>82.17亿</t>
  </si>
  <si>
    <t>111.74亿</t>
  </si>
  <si>
    <t>6749159500亿</t>
  </si>
  <si>
    <t>67.49亿</t>
  </si>
  <si>
    <t>13.87亿</t>
  </si>
  <si>
    <t>48.89亿</t>
  </si>
  <si>
    <t>37.13亿</t>
  </si>
  <si>
    <t>4841.27万</t>
  </si>
  <si>
    <t>6.54亿</t>
  </si>
  <si>
    <t>63051514亿</t>
  </si>
  <si>
    <t>246.18万</t>
  </si>
  <si>
    <t>1612035100亿</t>
  </si>
  <si>
    <t>70.56亿</t>
  </si>
  <si>
    <t>107699507亿</t>
  </si>
  <si>
    <t>10789418000亿</t>
  </si>
  <si>
    <t>15.42亿</t>
  </si>
  <si>
    <t>11.23亿</t>
  </si>
  <si>
    <t>1.53亿</t>
  </si>
  <si>
    <t>63.16亿</t>
  </si>
  <si>
    <t>7.96亿</t>
  </si>
  <si>
    <t>15.75亿</t>
  </si>
  <si>
    <t>-4.62亿</t>
  </si>
  <si>
    <t>-3.35亿</t>
  </si>
  <si>
    <t>52.10亿</t>
  </si>
  <si>
    <t>60.02亿</t>
  </si>
  <si>
    <t>59.06亿</t>
  </si>
  <si>
    <t>65.36亿</t>
  </si>
  <si>
    <t>46.26亿</t>
  </si>
  <si>
    <t>7.71亿</t>
  </si>
  <si>
    <t>11.28亿</t>
  </si>
  <si>
    <t>11.05亿</t>
  </si>
  <si>
    <t>3528.66万</t>
  </si>
  <si>
    <t>44.49亿</t>
  </si>
  <si>
    <t>47.96亿</t>
  </si>
  <si>
    <t>30.50亿</t>
  </si>
  <si>
    <t>8.80亿</t>
  </si>
  <si>
    <t>8.13亿</t>
  </si>
  <si>
    <t>4.94亿</t>
  </si>
  <si>
    <t>63.39亿</t>
  </si>
  <si>
    <t>97.81亿</t>
  </si>
  <si>
    <t>4284776700亿</t>
  </si>
  <si>
    <t>48.41亿</t>
  </si>
  <si>
    <t>7.24亿</t>
  </si>
  <si>
    <t>35.22亿</t>
  </si>
  <si>
    <t>30.14亿</t>
  </si>
  <si>
    <t>3742.20万</t>
  </si>
  <si>
    <t>2.19亿</t>
  </si>
  <si>
    <t>6190.01万</t>
  </si>
  <si>
    <t>21897727亿</t>
  </si>
  <si>
    <t>402.77万</t>
  </si>
  <si>
    <t>677841980亿</t>
  </si>
  <si>
    <t>38.05亿</t>
  </si>
  <si>
    <t>730441030亿</t>
  </si>
  <si>
    <t>4158.00万</t>
  </si>
  <si>
    <t>8487918500亿</t>
  </si>
  <si>
    <t>11.78亿</t>
  </si>
  <si>
    <t>3.50亿</t>
  </si>
  <si>
    <t>1.01亿</t>
  </si>
  <si>
    <t>14.13亿</t>
  </si>
  <si>
    <t>942.97万</t>
  </si>
  <si>
    <t>35.04亿</t>
  </si>
  <si>
    <t>2.00亿</t>
  </si>
  <si>
    <t>8.17亿</t>
  </si>
  <si>
    <t>-16.45亿</t>
  </si>
  <si>
    <t>-1.25亿</t>
  </si>
  <si>
    <t>36.87亿</t>
  </si>
  <si>
    <t>40.65亿</t>
  </si>
  <si>
    <t>40.92亿</t>
  </si>
  <si>
    <t>39.81亿</t>
  </si>
  <si>
    <t>29.78亿</t>
  </si>
  <si>
    <t>4.45亿</t>
  </si>
  <si>
    <t>5.73亿</t>
  </si>
  <si>
    <t>5.52亿</t>
  </si>
  <si>
    <t>2.22亿</t>
  </si>
  <si>
    <t>29.55亿</t>
  </si>
  <si>
    <t>39.07亿</t>
  </si>
  <si>
    <t>26.11亿</t>
  </si>
  <si>
    <t>6.46亿</t>
  </si>
  <si>
    <t>10派0.5元(含税)</t>
  </si>
  <si>
    <t xml:space="preserve">
市值81.002795亿, 利润7.24亿; PE8.62, PB0.888; ROIC5.79%; ROE7.06%; 股利率1.548%; 毛利31.1067%; 净利15.6267%; 上一年度营收增31.3%, 利润增62.7%; 当季营收增2.61%, 利润增-68.75%; 过往5年营收增11.56%, 利润增38.29%
Income profile:
</t>
  </si>
  <si>
    <t>113.86亿</t>
  </si>
  <si>
    <t>26.53亿</t>
  </si>
  <si>
    <t>3229404400亿</t>
  </si>
  <si>
    <t>32.12亿</t>
  </si>
  <si>
    <t>-2.15亿</t>
  </si>
  <si>
    <t>28.47亿</t>
  </si>
  <si>
    <t>21.04亿</t>
  </si>
  <si>
    <t>5092.40万</t>
  </si>
  <si>
    <t>3.86亿</t>
  </si>
  <si>
    <t>470.20万</t>
  </si>
  <si>
    <t>-19919885亿</t>
  </si>
  <si>
    <t>2471.43万</t>
  </si>
  <si>
    <t>73625365亿</t>
  </si>
  <si>
    <t>38.56亿</t>
  </si>
  <si>
    <t>1187220200亿</t>
  </si>
  <si>
    <t>5345338000亿</t>
  </si>
  <si>
    <t>11.86亿</t>
  </si>
  <si>
    <t>24.11亿</t>
  </si>
  <si>
    <t>45.87亿</t>
  </si>
  <si>
    <t>13.12亿</t>
  </si>
  <si>
    <t>105.88亿</t>
  </si>
  <si>
    <t>-1459.14万</t>
  </si>
  <si>
    <t>-3.89亿</t>
  </si>
  <si>
    <t>27.93亿</t>
  </si>
  <si>
    <t>35.96亿</t>
  </si>
  <si>
    <t>48.10亿</t>
  </si>
  <si>
    <t>57.12亿</t>
  </si>
  <si>
    <t>94.94亿</t>
  </si>
  <si>
    <t>-9.44亿</t>
  </si>
  <si>
    <t>-9.19亿</t>
  </si>
  <si>
    <t>1.69亿</t>
  </si>
  <si>
    <t>6.27亿</t>
  </si>
  <si>
    <t>-6.28亿</t>
  </si>
  <si>
    <t>22.46亿</t>
  </si>
  <si>
    <t>21.42亿</t>
  </si>
  <si>
    <t>15.17亿</t>
  </si>
  <si>
    <t>-7258.96万</t>
  </si>
  <si>
    <t>1.12亿</t>
  </si>
  <si>
    <t>91.57亿</t>
  </si>
  <si>
    <t>54.11亿</t>
  </si>
  <si>
    <t>4650187000亿</t>
  </si>
  <si>
    <t>59.15亿</t>
  </si>
  <si>
    <t>2662.23万</t>
  </si>
  <si>
    <t>41.76亿</t>
  </si>
  <si>
    <t>34.22亿</t>
  </si>
  <si>
    <t>3106.51万</t>
  </si>
  <si>
    <t>3.39亿</t>
  </si>
  <si>
    <t>13869135亿</t>
  </si>
  <si>
    <t>303.94万</t>
  </si>
  <si>
    <t>198785350亿</t>
  </si>
  <si>
    <t>571262860亿</t>
  </si>
  <si>
    <t>13.72亿</t>
  </si>
  <si>
    <t>4846037700亿</t>
  </si>
  <si>
    <t>9773.83万</t>
  </si>
  <si>
    <t>41.84亿</t>
  </si>
  <si>
    <t>9.13亿</t>
  </si>
  <si>
    <t>13.20亿</t>
  </si>
  <si>
    <t>478.74万</t>
  </si>
  <si>
    <t>81.18亿</t>
  </si>
  <si>
    <t>1.45亿</t>
  </si>
  <si>
    <t>11.46亿</t>
  </si>
  <si>
    <t>-6710.56万</t>
  </si>
  <si>
    <t>-7.02亿</t>
  </si>
  <si>
    <t>50.55亿</t>
  </si>
  <si>
    <t>66.90亿</t>
  </si>
  <si>
    <t>73.12亿</t>
  </si>
  <si>
    <t>76.91亿</t>
  </si>
  <si>
    <t>71.61亿</t>
  </si>
  <si>
    <t>-4.67亿</t>
  </si>
  <si>
    <t>2621.29万</t>
  </si>
  <si>
    <t>1.13亿</t>
  </si>
  <si>
    <t>4.65亿</t>
  </si>
  <si>
    <t>1.74亿</t>
  </si>
  <si>
    <t>32.55亿</t>
  </si>
  <si>
    <t>42.80亿</t>
  </si>
  <si>
    <t>28.17亿</t>
  </si>
  <si>
    <t>751.97万</t>
  </si>
  <si>
    <t>-5299.85万</t>
  </si>
  <si>
    <t>026622300</t>
  </si>
  <si>
    <t>079866900</t>
  </si>
  <si>
    <t>0159733800</t>
  </si>
  <si>
    <t>0266223000</t>
  </si>
  <si>
    <t>0532446000</t>
  </si>
  <si>
    <t>80.02亿</t>
  </si>
  <si>
    <t>3.85亿</t>
  </si>
  <si>
    <t>6934259500亿</t>
  </si>
  <si>
    <t>93.84亿</t>
  </si>
  <si>
    <t>5514.72万</t>
  </si>
  <si>
    <t>71.20亿</t>
  </si>
  <si>
    <t>2867.65万</t>
  </si>
  <si>
    <t>34.78万</t>
  </si>
  <si>
    <t>6890677亿</t>
  </si>
  <si>
    <t>689.18万</t>
  </si>
  <si>
    <t>-189371480亿</t>
  </si>
  <si>
    <t>12.10亿</t>
  </si>
  <si>
    <t>755649930亿</t>
  </si>
  <si>
    <t>6.67亿</t>
  </si>
  <si>
    <t>3698377800亿</t>
  </si>
  <si>
    <t>1.54亿</t>
  </si>
  <si>
    <t>29.58亿</t>
  </si>
  <si>
    <t>24.51亿</t>
  </si>
  <si>
    <t>3.40亿</t>
  </si>
  <si>
    <t>68.54亿</t>
  </si>
  <si>
    <t>1.68亿</t>
  </si>
  <si>
    <t>7563.56万</t>
  </si>
  <si>
    <t>-6718.11万</t>
  </si>
  <si>
    <t>-22.78万</t>
  </si>
  <si>
    <t>76.03亿</t>
  </si>
  <si>
    <t>55.54亿</t>
  </si>
  <si>
    <t>50.49亿</t>
  </si>
  <si>
    <t>41.30亿</t>
  </si>
  <si>
    <t>32.61亿</t>
  </si>
  <si>
    <t>-2.23亿</t>
  </si>
  <si>
    <t>1897.15万</t>
  </si>
  <si>
    <t>6427.00万</t>
  </si>
  <si>
    <t>-6.90亿</t>
  </si>
  <si>
    <t>-20.56亿</t>
  </si>
  <si>
    <t>49.29亿</t>
  </si>
  <si>
    <t>82.84亿</t>
  </si>
  <si>
    <t>41.01亿</t>
  </si>
  <si>
    <t>-2.34亿</t>
  </si>
  <si>
    <t>-3031.21万</t>
  </si>
  <si>
    <t>-6014.29万</t>
  </si>
  <si>
    <t>647.26万</t>
  </si>
  <si>
    <t>1.39亿</t>
  </si>
  <si>
    <t>-8.78亿</t>
  </si>
  <si>
    <t xml:space="preserve">
市值19.45613亿, 利润-1.47亿; PE, PB4.12; ROIC-8.5%; ROE-49.3867%; 股利率0%; 毛利37.6567%; 净利-16.7933%; 上一年度营收增20.02%, 利润增55.72%; 当季营收增-23.23%, 利润增95%; 过往5年营收增12.54%, 利润增-821.47%
Income profile:
</t>
  </si>
  <si>
    <t>SZ000723</t>
  </si>
  <si>
    <t>美锦能源</t>
  </si>
  <si>
    <t>3423.45万</t>
  </si>
  <si>
    <t>SH600740</t>
  </si>
  <si>
    <t>山西焦化</t>
  </si>
  <si>
    <t>4600.30万</t>
  </si>
  <si>
    <t>SH600997</t>
  </si>
  <si>
    <t>开滦股份</t>
  </si>
  <si>
    <t>1579.68万</t>
  </si>
  <si>
    <t>SH601015</t>
  </si>
  <si>
    <t>陕西黑猫</t>
  </si>
  <si>
    <t>6254.61万</t>
  </si>
  <si>
    <t>SH603113</t>
  </si>
  <si>
    <t>金能科技</t>
  </si>
  <si>
    <t>565.67万</t>
  </si>
  <si>
    <t>SH601011</t>
  </si>
  <si>
    <t>宝泰隆</t>
  </si>
  <si>
    <t>2212.12万</t>
  </si>
  <si>
    <t>SH600792</t>
  </si>
  <si>
    <t>云煤能源</t>
  </si>
  <si>
    <t>797.06万</t>
  </si>
  <si>
    <t>SH600408</t>
  </si>
  <si>
    <t>安泰集团</t>
  </si>
  <si>
    <t>1593.20万</t>
  </si>
  <si>
    <t>1.氢能业务板块产业链布局：公司是从2017年开始涉足氢能，经过5年的发展，公司已完成“一点一线一网”的战略布局；一点即飞驰汽车，一线即燃料电池核心零部件产业线（参股了国鸿氢能及鸿基创能。国鸿氢能是全球最大的燃料电池电堆生产企业之一，电堆年产能两万套。鸿基创能是国内首家将膜电极国产化并规模化生产的公司），一网就是加氢站网络的建设</t>
    <phoneticPr fontId="1" type="noConversion"/>
  </si>
  <si>
    <t>1.问：一辆重卡车一年大概消耗多少氢气？答：根据目前测算的数据情况来看，如嘉兴港区，经过一个月的运营监测，百公里耗氢8公斤；在河钢的运营区域内，百公里耗氢约为10-11公斤。按照一年行驶十万公里算的话，大概一辆氢燃料电池重卡车一年消耗8-10吨氢气。假设氢气的成本降低到25元以内的话，运营费用基本可以与柴油车持平。</t>
    <phoneticPr fontId="1" type="noConversion"/>
  </si>
  <si>
    <t>193.20亿</t>
  </si>
  <si>
    <t>159.89亿</t>
  </si>
  <si>
    <t>18712747000亿</t>
  </si>
  <si>
    <t>212.88亿</t>
  </si>
  <si>
    <t>25.67亿</t>
  </si>
  <si>
    <t>163.66亿</t>
  </si>
  <si>
    <t>149.36亿</t>
  </si>
  <si>
    <t>1.26亿</t>
  </si>
  <si>
    <t>6.09亿</t>
  </si>
  <si>
    <t>5047.05万</t>
  </si>
  <si>
    <t>30956350亿</t>
  </si>
  <si>
    <t>1663319400亿</t>
  </si>
  <si>
    <t>43.38亿</t>
  </si>
  <si>
    <t>1198835090亿</t>
  </si>
  <si>
    <t>224.27万</t>
  </si>
  <si>
    <t>11186607400亿</t>
  </si>
  <si>
    <t>23.51亿</t>
  </si>
  <si>
    <t>37.87亿</t>
  </si>
  <si>
    <t>46.29亿</t>
  </si>
  <si>
    <t>139.31亿</t>
  </si>
  <si>
    <t>24.19亿</t>
  </si>
  <si>
    <t>-42.04亿</t>
  </si>
  <si>
    <t>32.38亿</t>
  </si>
  <si>
    <t>128.46亿</t>
  </si>
  <si>
    <t>140.90亿</t>
  </si>
  <si>
    <t>151.47亿</t>
  </si>
  <si>
    <t>122.38亿</t>
  </si>
  <si>
    <t>71.10亿</t>
  </si>
  <si>
    <t>9.56亿</t>
  </si>
  <si>
    <t>17.97亿</t>
  </si>
  <si>
    <t>10.48亿</t>
  </si>
  <si>
    <t>6.80亿</t>
  </si>
  <si>
    <t>133.55亿</t>
  </si>
  <si>
    <t>157.80亿</t>
  </si>
  <si>
    <t>89.02亿</t>
  </si>
  <si>
    <t>13.59亿</t>
  </si>
  <si>
    <t>20.27亿</t>
  </si>
  <si>
    <t>12.51亿</t>
  </si>
  <si>
    <t>10派2元(含税)</t>
  </si>
  <si>
    <t>焦炭加工</t>
  </si>
  <si>
    <t>1.35亿</t>
  </si>
  <si>
    <t>9.78亿</t>
  </si>
  <si>
    <t xml:space="preserve">公司主要从事煤炭、焦化、天然气、氢燃料电池汽车为主的新能源汽车等商品的生产销售。拥有储量丰富的煤炭和煤层气资源，具备“煤-焦-气-化”一体化的完整产业链，是全国最大的独立商品焦和炼焦煤生产商之一，并在氢能产业链广泛布局，正在形成“产业链+区域+综合能源站网络”的三维格局。公司旗下控股子公司飞驰汽车是全国最具规模的氢燃料电池汽车生产基地，具备新能源客车5000台/年产能
市值402.35961亿, 利润25.67亿; PE17.87, PB3.01; ROIC12.32%; ROE14.2367%; 股利率2.1505%; 毛利22.7067%; 净利8.41%; 上一年度营收增65.72%, 利润增269.35%; 当季营收增-22.1%, 利润增-54.57%; 过往5年营收增29.16%, 利润增64.17%
Income profile:
焦化产品及副产品 130.47亿 97.70% 100.00% 23.47%
其他 3.08亿 2.30% </t>
  </si>
  <si>
    <t>83.02亿</t>
  </si>
  <si>
    <t>148.02亿</t>
  </si>
  <si>
    <t>9399857400亿</t>
  </si>
  <si>
    <t>112.27亿</t>
  </si>
  <si>
    <t>12.60亿</t>
  </si>
  <si>
    <t>98.76亿</t>
  </si>
  <si>
    <t>93.69亿</t>
  </si>
  <si>
    <t>4461.72万</t>
  </si>
  <si>
    <t>3873.03万</t>
  </si>
  <si>
    <t>3161927800亿</t>
  </si>
  <si>
    <t>704.61万</t>
  </si>
  <si>
    <t>2666569600亿</t>
  </si>
  <si>
    <t>17.32亿</t>
  </si>
  <si>
    <t>36190413亿</t>
  </si>
  <si>
    <t>2625285200亿</t>
  </si>
  <si>
    <t>9.97亿</t>
  </si>
  <si>
    <t>38.20亿</t>
  </si>
  <si>
    <t>16.53亿</t>
  </si>
  <si>
    <t>3.96亿</t>
  </si>
  <si>
    <t>277.48万</t>
  </si>
  <si>
    <t>70.42亿</t>
  </si>
  <si>
    <t>11.38亿</t>
  </si>
  <si>
    <t>-4.02亿</t>
  </si>
  <si>
    <t>1.10亿</t>
  </si>
  <si>
    <t>-7636.91万</t>
  </si>
  <si>
    <t>71.01亿</t>
  </si>
  <si>
    <t>66.42亿</t>
  </si>
  <si>
    <t>72.29亿</t>
  </si>
  <si>
    <t>59.95亿</t>
  </si>
  <si>
    <t>40.38亿</t>
  </si>
  <si>
    <t>10.97亿</t>
  </si>
  <si>
    <t>4.74亿</t>
  </si>
  <si>
    <t>15.33亿</t>
  </si>
  <si>
    <t>9191.97万</t>
  </si>
  <si>
    <t>4421.64万</t>
  </si>
  <si>
    <t>65.61亿</t>
  </si>
  <si>
    <t>81.82亿</t>
  </si>
  <si>
    <t>50.29亿</t>
  </si>
  <si>
    <t>20.89亿</t>
  </si>
  <si>
    <t>18.46亿</t>
  </si>
  <si>
    <t>13.75亿</t>
  </si>
  <si>
    <t>10派1.5元(含税)</t>
  </si>
  <si>
    <t>6.05亿</t>
  </si>
  <si>
    <t>公司的主营业务为焦炭及相关化工产品的生产和销售，主要产品有焦炭、甲醇、纯苯、硬质炭黑、炭黑油2号、液体改质沥青、软质炭黑、焦化甲苯、工业萘、蒽油、重苯、焦化二甲苯等。
市值144.24742亿, 利润12.60亿; PE6.8, PB0.989; ROIC5.38%; ROE8.4267%; 股利率2.6643%; 毛利1.9767%; 净利17.5867%; 上一年度营收增58.1%, 利润增14.86%; 当季营收增-9.96%, 利润增31.08%; 过往5年营收增25.19%, 利润增350.57%
Income profile:
焦炭 87.43亿 77.88% 60.44% 5.14%
甲醇 5.01亿 4.46% 9.84% 14.60%
纯苯 5.00亿 4.45% 14.93% 22.21%
炭黑 4.36亿 3.88% 9.41% 16.05%
改质液体沥青 2.39亿 2.13% 2.68% 8.33%</t>
  </si>
  <si>
    <t>131.34亿</t>
  </si>
  <si>
    <t>159.44亿</t>
  </si>
  <si>
    <t>19630630000亿</t>
  </si>
  <si>
    <t>223.54亿</t>
  </si>
  <si>
    <t>18.15亿</t>
  </si>
  <si>
    <t>174.80亿</t>
  </si>
  <si>
    <t>159.69亿</t>
  </si>
  <si>
    <t>5.33亿</t>
  </si>
  <si>
    <t>110615537亿</t>
  </si>
  <si>
    <t>868.80万</t>
  </si>
  <si>
    <t>1669471900亿</t>
  </si>
  <si>
    <t>78.88亿</t>
  </si>
  <si>
    <t>1288014340亿</t>
  </si>
  <si>
    <t>35.08亿</t>
  </si>
  <si>
    <t>14716919000亿</t>
  </si>
  <si>
    <t>8.48亿</t>
  </si>
  <si>
    <t>17.00亿</t>
  </si>
  <si>
    <t>7.37亿</t>
  </si>
  <si>
    <t>44.14亿</t>
  </si>
  <si>
    <t>17.78万</t>
  </si>
  <si>
    <t>86.10亿</t>
  </si>
  <si>
    <t>12.59亿</t>
  </si>
  <si>
    <t>30.45亿</t>
  </si>
  <si>
    <t>-7.63亿</t>
  </si>
  <si>
    <t>-36.63亿</t>
  </si>
  <si>
    <t>181.77亿</t>
  </si>
  <si>
    <t>200.72亿</t>
  </si>
  <si>
    <t>204.60亿</t>
  </si>
  <si>
    <t>185.62亿</t>
  </si>
  <si>
    <t>117.29亿</t>
  </si>
  <si>
    <t>10.79亿</t>
  </si>
  <si>
    <t>11.50亿</t>
  </si>
  <si>
    <t>13.63亿</t>
  </si>
  <si>
    <t>5.17亿</t>
  </si>
  <si>
    <t>4.32亿</t>
  </si>
  <si>
    <t>132.32亿</t>
  </si>
  <si>
    <t>169.22亿</t>
  </si>
  <si>
    <t>113.03亿</t>
  </si>
  <si>
    <t>13.47亿</t>
  </si>
  <si>
    <t>16.76亿</t>
  </si>
  <si>
    <t>11.75亿</t>
  </si>
  <si>
    <t>10派4.60元(含税)</t>
  </si>
  <si>
    <t>4427.88万</t>
  </si>
  <si>
    <t>2.58亿</t>
  </si>
  <si>
    <t>公司主要业务包括煤炭开采、原煤洗选加工、炼焦及煤化工产品的生产销售，主要产品包括洗精煤、焦炭以及甲醇、纯苯、己二酸、聚甲醛等化工产品。
市值109.55819亿, 利润18.15亿; PE5.59, PB0.778; ROIC7.9767%; ROE11.38%; 股利率6.6667%; 毛利17.4767%; 净利7.8%; 上一年度营收增22.98%, 利润增68.21%; 当季营收增13.87%, 利润增-5.49%; 过往5年营收增16.02%, 利润增45.94%
Income profile:
冶金焦 70.30亿 53.13% 24.10% 9.33%
洗精煤 36.92亿 27.90% 77.26% 56.95%
其他煤化工产品 23.03亿 17.40% -9.36% -11.06%
聚甲醛 4.19亿 3.17% 6.54% 42.46%</t>
  </si>
  <si>
    <t>97.18亿</t>
  </si>
  <si>
    <t>110.39亿</t>
  </si>
  <si>
    <t>17949197000亿</t>
  </si>
  <si>
    <t>188.95亿</t>
  </si>
  <si>
    <t>15.27亿</t>
  </si>
  <si>
    <t>175.70亿</t>
  </si>
  <si>
    <t>170.56亿</t>
  </si>
  <si>
    <t>5687.08万</t>
  </si>
  <si>
    <t>1.60亿</t>
  </si>
  <si>
    <t>170985140亿</t>
  </si>
  <si>
    <t>35.52万</t>
  </si>
  <si>
    <t>254452130亿</t>
  </si>
  <si>
    <t>18.79亿</t>
  </si>
  <si>
    <t>107032566亿</t>
  </si>
  <si>
    <t>4946468700亿</t>
  </si>
  <si>
    <t>14.20亿</t>
  </si>
  <si>
    <t>22.26亿</t>
  </si>
  <si>
    <t>27.88亿</t>
  </si>
  <si>
    <t>11.33亿</t>
  </si>
  <si>
    <t>85.65亿</t>
  </si>
  <si>
    <t>8.15亿</t>
  </si>
  <si>
    <t>6.03亿</t>
  </si>
  <si>
    <t>-8109.16万</t>
  </si>
  <si>
    <t>-6.71亿</t>
  </si>
  <si>
    <t>95.88亿</t>
  </si>
  <si>
    <t>93.88亿</t>
  </si>
  <si>
    <t>104.72亿</t>
  </si>
  <si>
    <t>95.83亿</t>
  </si>
  <si>
    <t>55.58亿</t>
  </si>
  <si>
    <t>1.98亿</t>
  </si>
  <si>
    <t>2879.26万</t>
  </si>
  <si>
    <t>3.25亿</t>
  </si>
  <si>
    <t>2.14亿</t>
  </si>
  <si>
    <t>125.71亿</t>
  </si>
  <si>
    <t>146.89亿</t>
  </si>
  <si>
    <t>95.18亿</t>
  </si>
  <si>
    <t>4.36亿</t>
  </si>
  <si>
    <t>13.38亿</t>
  </si>
  <si>
    <t>9.73亿</t>
  </si>
  <si>
    <t>9165.27万</t>
  </si>
  <si>
    <t>3.74亿</t>
  </si>
  <si>
    <t>公司主营业务为煤焦化及相应化工产品的生产和销售。公司的主要产品有焦炭、焦油、甲醇、合成氨、LNG、BDO、精煤、中煤。
市值102.533381亿, 利润15.27亿; PE23.88, PB1.17; ROIC6.9567%; ROE9.0033%; 股利率0%; 毛利9.1967%; 净利3.2433%; 上一年度营收增97.07%, 利润增671.21%; 当季营收增4.01%, 利润增-153.74%; 过往5年营收增34.11%, 利润增242.94%
Income profile:
焦炭 143.08亿 75.72% 19.28% 3.42%
BDO 11.25亿 5.96% 13.87% 31.30%
精煤 7.98亿 4.23% 16.25% 51.69%
合成氨 7.20亿 3.81% 13.61% 47.98%
焦油 7.17亿 3.80% 18.55% 65.65%
LNG 5.66亿 3.00% 6.83% 30.64%</t>
  </si>
  <si>
    <t>72.13亿</t>
  </si>
  <si>
    <t>87.16亿</t>
  </si>
  <si>
    <t>14101235000亿</t>
  </si>
  <si>
    <t>119.76亿</t>
  </si>
  <si>
    <t>9.35亿</t>
  </si>
  <si>
    <t>139.69亿</t>
  </si>
  <si>
    <t>133.74亿</t>
  </si>
  <si>
    <t>1550.44万</t>
  </si>
  <si>
    <t>1.75亿</t>
  </si>
  <si>
    <t>8240524亿</t>
  </si>
  <si>
    <t>375.17万</t>
  </si>
  <si>
    <t>72395395亿</t>
  </si>
  <si>
    <t>19.07亿</t>
  </si>
  <si>
    <t>1113212470亿</t>
  </si>
  <si>
    <t>3981.29万</t>
  </si>
  <si>
    <t>7494065300亿</t>
  </si>
  <si>
    <t>15.07亿</t>
  </si>
  <si>
    <t>59.96亿</t>
  </si>
  <si>
    <t>9980.00万</t>
  </si>
  <si>
    <t>18.29亿</t>
  </si>
  <si>
    <t>-15.50亿</t>
  </si>
  <si>
    <t>-1887.53万</t>
  </si>
  <si>
    <t>75.45亿</t>
  </si>
  <si>
    <t>81.50亿</t>
  </si>
  <si>
    <t>88.12亿</t>
  </si>
  <si>
    <t>66.52亿</t>
  </si>
  <si>
    <t>42.38亿</t>
  </si>
  <si>
    <t>8.89亿</t>
  </si>
  <si>
    <t>7.62亿</t>
  </si>
  <si>
    <t>12.70亿</t>
  </si>
  <si>
    <t>6.79亿</t>
  </si>
  <si>
    <t>4.20亿</t>
  </si>
  <si>
    <t>88.25亿</t>
  </si>
  <si>
    <t>79.19亿</t>
  </si>
  <si>
    <t>52.12亿</t>
  </si>
  <si>
    <t>11.31亿</t>
  </si>
  <si>
    <t>9.23亿</t>
  </si>
  <si>
    <t>10派3.5元(含税)</t>
  </si>
  <si>
    <t>1810.69万</t>
  </si>
  <si>
    <t xml:space="preserve">
市值80.976596亿, 利润9.35亿; PE126.6, PB0.956; ROIC11.02%; ROE13.07%; 股利率3.6959%; 毛利13.0167%; 净利7.7033%; 上一年度营收增58.73%, 利润增5.17%; 当季营收增94.91%, 利润增-58.66%; 过往5年营收增26.64%, 利润增26.11%
Income profile:
</t>
  </si>
  <si>
    <t>46.65亿</t>
  </si>
  <si>
    <t>83.37亿</t>
  </si>
  <si>
    <t>2719818200亿</t>
  </si>
  <si>
    <t>35.79亿</t>
  </si>
  <si>
    <t>25.99亿</t>
  </si>
  <si>
    <t>23.64亿</t>
  </si>
  <si>
    <t>655.11万</t>
  </si>
  <si>
    <t>100.99万</t>
  </si>
  <si>
    <t>-4153385亿</t>
  </si>
  <si>
    <t>34.89万</t>
  </si>
  <si>
    <t>105006592亿</t>
  </si>
  <si>
    <t>56536606亿</t>
  </si>
  <si>
    <t>308.74万</t>
  </si>
  <si>
    <t>2093852200亿</t>
  </si>
  <si>
    <t>66.72亿</t>
  </si>
  <si>
    <t>2.89亿</t>
  </si>
  <si>
    <t>4000.00万</t>
  </si>
  <si>
    <t>12.40亿</t>
  </si>
  <si>
    <t>29.96亿</t>
  </si>
  <si>
    <t>8.51亿</t>
  </si>
  <si>
    <t>4700.69万</t>
  </si>
  <si>
    <t>26.75亿</t>
  </si>
  <si>
    <t>27.26亿</t>
  </si>
  <si>
    <t>29.35亿</t>
  </si>
  <si>
    <t>17.98亿</t>
  </si>
  <si>
    <t>5355.34万</t>
  </si>
  <si>
    <t>7041.05万</t>
  </si>
  <si>
    <t>1.62亿</t>
  </si>
  <si>
    <t>9334.00万</t>
  </si>
  <si>
    <t>19.70亿</t>
  </si>
  <si>
    <t>25.95亿</t>
  </si>
  <si>
    <t>15.83亿</t>
  </si>
  <si>
    <t>1.23亿</t>
  </si>
  <si>
    <t>8051.61万</t>
  </si>
  <si>
    <t>6785.91万</t>
  </si>
  <si>
    <t>4.12亿</t>
  </si>
  <si>
    <t xml:space="preserve">
市值68.006091亿, 利润1.51亿; PE48.77, PB0.887; ROIC1.71%; ROE1.48%; 股利率0%; 毛利14.6333%; 净利2.5633%; 上一年度营收增33.79%, 利润增181.96%; 当季营收增-25.91%, 利润增-78.88%; 过往5年营收增18.61%, 利润增52.43%
Income profile:
</t>
  </si>
  <si>
    <t>52.71亿</t>
  </si>
  <si>
    <t>33.36亿</t>
  </si>
  <si>
    <t>5708369800亿</t>
  </si>
  <si>
    <t>61.01亿</t>
  </si>
  <si>
    <t>-2972.17万</t>
  </si>
  <si>
    <t>58.17亿</t>
  </si>
  <si>
    <t>55.37亿</t>
  </si>
  <si>
    <t>1055.48万</t>
  </si>
  <si>
    <t>1.85亿</t>
  </si>
  <si>
    <t>807.21万</t>
  </si>
  <si>
    <t>12993447亿</t>
  </si>
  <si>
    <t>1119.92万</t>
  </si>
  <si>
    <t>-77990576亿</t>
  </si>
  <si>
    <t>8.38亿</t>
  </si>
  <si>
    <t>755921990亿</t>
  </si>
  <si>
    <t>9.81亿</t>
  </si>
  <si>
    <t>3460333700亿</t>
  </si>
  <si>
    <t>26.00亿</t>
  </si>
  <si>
    <t>7.67亿</t>
  </si>
  <si>
    <t>11.29亿</t>
  </si>
  <si>
    <t>16.58亿</t>
  </si>
  <si>
    <t>500.24万</t>
  </si>
  <si>
    <t>5.03亿</t>
  </si>
  <si>
    <t>4.87亿</t>
  </si>
  <si>
    <t>4.13亿</t>
  </si>
  <si>
    <t>47.20亿</t>
  </si>
  <si>
    <t>57.26亿</t>
  </si>
  <si>
    <t>53.99亿</t>
  </si>
  <si>
    <t>44.23亿</t>
  </si>
  <si>
    <t>33.75亿</t>
  </si>
  <si>
    <t>5903.30万</t>
  </si>
  <si>
    <t>2.40亿</t>
  </si>
  <si>
    <t>1.92亿</t>
  </si>
  <si>
    <t>-4863.87万</t>
  </si>
  <si>
    <t>4854.26万</t>
  </si>
  <si>
    <t>39.82亿</t>
  </si>
  <si>
    <t>43.64亿</t>
  </si>
  <si>
    <t>27.36亿</t>
  </si>
  <si>
    <t>-6076.38万</t>
  </si>
  <si>
    <t>2422.62万</t>
  </si>
  <si>
    <t xml:space="preserve">
市值35.043295亿, 利润-2972.17万; PE, PB1.07; ROIC3.8067%; ROE2.7667%; 股利率0%; 毛利8.8233%; 净利1.42%; 上一年度营收增29.26%, 利润增-150.35%; 当季营收增6.04%, 利润增-346.61%; 过往5年营收增14.17%, 利润增18.76%
Income profile:
</t>
  </si>
  <si>
    <t>31.08亿</t>
  </si>
  <si>
    <t>27.59亿</t>
  </si>
  <si>
    <t>10153960300亿</t>
  </si>
  <si>
    <t>129.90亿</t>
  </si>
  <si>
    <t>102.48亿</t>
  </si>
  <si>
    <t>99.37亿</t>
  </si>
  <si>
    <t>403.86万</t>
  </si>
  <si>
    <t>9978.37万</t>
  </si>
  <si>
    <t>5713.53万</t>
  </si>
  <si>
    <t>-175152亿</t>
  </si>
  <si>
    <t>365.94万</t>
  </si>
  <si>
    <t>-93368937亿</t>
  </si>
  <si>
    <t>6.50亿</t>
  </si>
  <si>
    <t>29385327亿</t>
  </si>
  <si>
    <t>1410087500亿</t>
  </si>
  <si>
    <t>8334.16万</t>
  </si>
  <si>
    <t>2.18亿</t>
  </si>
  <si>
    <t>3.94亿</t>
  </si>
  <si>
    <t>22.72亿</t>
  </si>
  <si>
    <t>9524.14万</t>
  </si>
  <si>
    <t>-9201.18万</t>
  </si>
  <si>
    <t>-1.86亿</t>
  </si>
  <si>
    <t>87.90亿</t>
  </si>
  <si>
    <t>95.63亿</t>
  </si>
  <si>
    <t>88.16亿</t>
  </si>
  <si>
    <t>33.85亿</t>
  </si>
  <si>
    <t>3.33亿</t>
  </si>
  <si>
    <t>4.57亿</t>
  </si>
  <si>
    <t>8.20亿</t>
  </si>
  <si>
    <t>-2.82亿</t>
  </si>
  <si>
    <t>-5.82亿</t>
  </si>
  <si>
    <t>70.68亿</t>
  </si>
  <si>
    <t>94.37亿</t>
  </si>
  <si>
    <t>56.87亿</t>
  </si>
  <si>
    <t>4.53亿</t>
  </si>
  <si>
    <t>4.43亿</t>
  </si>
  <si>
    <t>6738.44万</t>
  </si>
  <si>
    <t>5.42亿</t>
  </si>
  <si>
    <t xml:space="preserve">
市值26.6802亿, 利润2.83亿; PE, PB0.969; ROIC11.2567%; ROE17.61%; 股利率0%; 毛利7.26%; 净利3.39%; 上一年度营收增47.78%, 利润增-15.02%; 当季营收增-17.71%, 利润增-1865.99%; 过往5年营收增34.87%, 利润增71.18%
Income profile:
</t>
  </si>
  <si>
    <t>SH600256</t>
  </si>
  <si>
    <t>广汇能源</t>
  </si>
  <si>
    <t>2.39亿</t>
  </si>
  <si>
    <t>419.70亿</t>
  </si>
  <si>
    <t>262.06亿</t>
  </si>
  <si>
    <t>37278840000亿</t>
  </si>
  <si>
    <t>248.65亿</t>
  </si>
  <si>
    <t>50.03亿</t>
  </si>
  <si>
    <t>271.37亿</t>
  </si>
  <si>
    <t>249.09亿</t>
  </si>
  <si>
    <t>4.06亿</t>
  </si>
  <si>
    <t>1.43亿</t>
  </si>
  <si>
    <t>13918196亿</t>
  </si>
  <si>
    <t>2722.44万</t>
  </si>
  <si>
    <t>8359138100亿</t>
  </si>
  <si>
    <t>60.69亿</t>
  </si>
  <si>
    <t>3618924400亿</t>
  </si>
  <si>
    <t>33.40亿</t>
  </si>
  <si>
    <t>17304348000亿</t>
  </si>
  <si>
    <t>66.88亿</t>
  </si>
  <si>
    <t>100.38亿</t>
  </si>
  <si>
    <t>22.27亿</t>
  </si>
  <si>
    <t>35.77亿</t>
  </si>
  <si>
    <t>276.24亿</t>
  </si>
  <si>
    <t>119.60亿</t>
  </si>
  <si>
    <t>-23.49亿</t>
  </si>
  <si>
    <t>-20.77亿</t>
  </si>
  <si>
    <t>151.34亿</t>
  </si>
  <si>
    <t>140.42亿</t>
  </si>
  <si>
    <t>129.05亿</t>
  </si>
  <si>
    <t>81.38亿</t>
  </si>
  <si>
    <t>41.94亿</t>
  </si>
  <si>
    <t>15.97亿</t>
  </si>
  <si>
    <t>17.44亿</t>
  </si>
  <si>
    <t>2.06亿</t>
  </si>
  <si>
    <t>213.21亿</t>
  </si>
  <si>
    <t>164.69亿</t>
  </si>
  <si>
    <t>100.83亿</t>
  </si>
  <si>
    <t>27.60亿</t>
  </si>
  <si>
    <t>7.04亿</t>
  </si>
  <si>
    <t>30.51亿</t>
  </si>
  <si>
    <t>公司是以煤炭、LNG、醇醚、煤焦油、石油为核心产品，以能源物流为支撑的天然气液化、煤炭开采、煤化工转换、油气勘探开发四大业务板块。主要产品是中高压开关柜、接触器、断路器等电器元件、低压控制电器、自动化装置系统、光伏项目。
市值678.89908亿, 利润50.03亿; PE6.38, PB2.56; ROIC7.33%; ROE15.1033%; 股利率3.8685%; 毛利31.8867%; 净利13.8433%; 上一年度营收增64.3%, 利润增274.48%; 当季营收增149.89%, 利润增141.75%; 过往5年营收增46.7%, 利润增126.77%
Income profile:
天然气销售 118.57亿 47.68% 39.09% 31.49%
煤炭 86.39亿 34.74% 38.21% 42.24%
煤化工产品 41.08亿 16.52% 21.89% 50.90%</t>
  </si>
  <si>
    <t>1.31亿</t>
  </si>
  <si>
    <t>3834.22万</t>
  </si>
  <si>
    <t>1.73亿</t>
  </si>
  <si>
    <t>7.10亿</t>
  </si>
  <si>
    <t>公司成立于2004年11月8日。主营业务是煤炭、电力的生产和销售，铁路、港口和船舶运输，煤制烯烃等业务。主要产品及服务为商品煤、煤炭、聚乙烯、聚丙烯、运输、发电。
市值5686.3704亿, 利润502.69亿; PE8.29, PB1.46; ROIC10.7533%; ROE12.4567%; 股利率8.8749%; 毛利40.6133%; 净利23.48%; 上一年度营收增43.71%, 利润增28.34%; 当季营收增-4.67%, 利润增22%; 过往5年营收增14.75%, 利润增22.64%
Income profile:
煤炭 2926.61亿 87.31% 73.02% 27.55%
发电 641.24亿 19.13% 4.48% 7.72%
铁路 406.99亿 12.14% 17.34% 47.06%
港口 64.40亿 1.92% 2.90% 49.67%
航运 61.95亿 1.85% 1.08% 19.19%
煤化工 58.51亿 1.75% 1.10% 20.82%</t>
  </si>
  <si>
    <t>4594.20万</t>
  </si>
  <si>
    <t>2.23亿</t>
  </si>
  <si>
    <t>公司主营业务为从事煤炭开采、洗选、运输、销售以及生产服务等业务。公司的主要产品及服务为原选煤、洗煤、运输。
市值1902.159亿, 利润211.40亿; PE5.41, PB1.88; ROIC19.8033%; ROE23.98%; 股利率6.8807%; 毛利36.7533%; 净利27.7867%; 上一年度营收增60.17%, 利润增42.26%; 当季营收增-2.89%, 利润增-37.81%; 过往5年营收增36.81%, 利润增72.06%
Income profile:
原选煤 589.89亿 38.74% 70.78% 65.49%
洗煤 235.16亿 15.44% 26.22% 60.85%</t>
  </si>
  <si>
    <t>2229.34万</t>
  </si>
  <si>
    <t>公司的主营业务为从事煤炭采选、销售、矿区自有铁路货物运输、公路货物运输、港口经营、煤矿综合科学技术服务、甲醇生产销售。产品主要包括自产煤、贸易煤、铁路运输、煤化工、电力、热力、机电装备。
市值1744.418亿, 利润162.59亿; PE5.48, PB2.24; ROIC7.9833%; ROE17.0267%; 股利率5.6738%; 毛利22.1433%; 净利10.29%; 上一年度营收增-29.3%, 利润增128.29%; 当季营收增28.76%, 利润增65.59%; 过往5年营收增11.64%, 利润增71.1%
Income profile:
煤炭业务 837.97亿 55.13% 82.34% 43.88%
其他 433.75亿 28.54% 2.10% 2.16%
煤化工业务 214.02亿 14.08% 15.34% 32.01%
电力业务 19.34亿 1.27% -0.02% -0.41%</t>
  </si>
  <si>
    <t>2741.44万</t>
  </si>
  <si>
    <t>7.56亿</t>
  </si>
  <si>
    <t>公司的主营业务是集煤炭生产和贸易、煤化工、煤矿装备制造、坑口发电、金融及相关服务。主要产品为动力煤、炼焦煤、聚烯烃、尿素、甲醇等。
市值1145.54852亿, 利润132.82亿; PE5.54, PB0.871; ROIC7.0467%; ROE8.0433%; 股利率3.4838%; 毛利26.6833%; 净利9.54%; 上一年度营收增63.96%, 利润增124.85%; 当季营收增-12.37%, 利润增38.21%; 过往5年营收增31.85%, 利润增51.4%
Income profile:
煤炭业务 1015.34亿 86.02% 85.50% 26.10%
煤化工业务 123.29亿 10.44% 7.88% 19.81%
煤矿装备业务 50.65亿 4.29% 2.49% 15.21%
其他业务 40.53亿 3.43% 1.46% 11.16%
金融业务 11.25亿 0.95% 2.08% 57.45%</t>
  </si>
  <si>
    <t>1792.10万</t>
  </si>
  <si>
    <t>542.08亿</t>
  </si>
  <si>
    <t>442.42亿</t>
  </si>
  <si>
    <t>39971719000亿</t>
  </si>
  <si>
    <t>451.47亿</t>
  </si>
  <si>
    <t>67.08亿</t>
  </si>
  <si>
    <t>258.16亿</t>
  </si>
  <si>
    <t>191.20亿</t>
  </si>
  <si>
    <t>9683.61万</t>
  </si>
  <si>
    <t>18.78亿</t>
  </si>
  <si>
    <t>4.95亿</t>
  </si>
  <si>
    <t>104735012亿</t>
  </si>
  <si>
    <t>3759.77万</t>
  </si>
  <si>
    <t>9245471300亿</t>
  </si>
  <si>
    <t>331.50亿</t>
  </si>
  <si>
    <t>3615717500亿</t>
  </si>
  <si>
    <t>8361.00万</t>
  </si>
  <si>
    <t>49221533000亿</t>
  </si>
  <si>
    <t>26.83亿</t>
  </si>
  <si>
    <t>45.65亿</t>
  </si>
  <si>
    <t>23.38亿</t>
  </si>
  <si>
    <t>167.48亿</t>
  </si>
  <si>
    <t>464.31亿</t>
  </si>
  <si>
    <t>3.24亿</t>
  </si>
  <si>
    <t>259.84亿</t>
  </si>
  <si>
    <t>-22.89亿</t>
  </si>
  <si>
    <t>-80.71亿</t>
  </si>
  <si>
    <t>260.48亿</t>
  </si>
  <si>
    <t>267.91亿</t>
  </si>
  <si>
    <t>266.82亿</t>
  </si>
  <si>
    <t>235.44亿</t>
  </si>
  <si>
    <t>142.29亿</t>
  </si>
  <si>
    <t>19.46亿</t>
  </si>
  <si>
    <t>23.79亿</t>
  </si>
  <si>
    <t>23.46亿</t>
  </si>
  <si>
    <t>27.82亿</t>
  </si>
  <si>
    <t>8.57亿</t>
  </si>
  <si>
    <t>282.86亿</t>
  </si>
  <si>
    <t>310.17亿</t>
  </si>
  <si>
    <t>178.28亿</t>
  </si>
  <si>
    <t>58.49亿</t>
  </si>
  <si>
    <t>58.39亿</t>
  </si>
  <si>
    <t>33.41亿</t>
  </si>
  <si>
    <t>10派6.73元(含税)</t>
  </si>
  <si>
    <t>1.34亿</t>
  </si>
  <si>
    <t>公司主营业务包括原煤开采、煤炭洗选、煤焦冶炼;洁净煤技术的开发与利用;煤层气开发;煤炭的综合利用、地质勘探等。
市值549.52187亿, 利润67.08亿; PE5.42, PB1.25; ROIC11.0967%; ROE13.0233%; 股利率3.6636%; 毛利40.16%; 净利13.3767%; 上一年度营收增73.32%, 利润增244.71%; 当季营收增-11.4%, 利润增36.88%; 过往5年营收增29.95%, 利润增87.37%
Income profile:
煤炭 399.76亿 88.55% 96.18% 52.88%
焦炭 48.49亿 10.74% 3.15% 14.28%
其他业务 3.23亿 0.71% 0.67% 45.47%</t>
  </si>
  <si>
    <t>4138.52万</t>
  </si>
  <si>
    <t>2.41亿</t>
  </si>
  <si>
    <t>14.29亿</t>
  </si>
  <si>
    <t>公司主营业务是煤炭的生产、洗选加工、销售及发供电，矿山开发设计施工、矿用及电力器材生产经营等。公司主要产品有焦煤、肥煤、瘦煤、贫瘦煤、气煤、电力热力、焦炭及化工产品。
市值473.56234亿, 利润41.66亿; PE5.1, PB1.68; ROIC8.3833%; ROE12.61%; 股利率6.9204%; 毛利33.2733%; 净利11.7467%; 上一年度营收增34.15%, 利润增112.99%; 当季营收增28.67%, 利润增111.59%; 过往5年营收增19.64%, 利润增79.84%
Income profile:
煤炭 164.39亿 59.32% 100.77% 70.36%
焦炭 63.88亿 23.05% 1.64% 2.94%
电力热力 32.42亿 11.70% -2.41% -8.52%</t>
  </si>
  <si>
    <t>1.无烟煤。</t>
    <phoneticPr fontId="1" type="noConversion"/>
  </si>
  <si>
    <t>4376.18万</t>
  </si>
  <si>
    <t>2.25亿</t>
  </si>
  <si>
    <t>10.56亿</t>
  </si>
  <si>
    <t>公司主要从事煤炭生产、洗选加工、销售，电力生产、销售，热力生产、销售，以及道路普通货物运输、设备租赁、施工机械配件。公司主要产品分为煤炭产品、电力、热力等三大类。其中：煤炭产品主要是优质无烟煤
市值351.3705亿, 利润35.34亿; PE5.67, PB1.48; ROIC7.99%; ROE12.8867%; 股利率3.4223%; 毛利25.1133%; 净利10.45%; 上一年度营收增21.89%, 利润增134.82%; 当季营收增-11.93%, 利润增43.64%; 过往5年营收增16.78%, 利润增82.28%
Income profile:
洗末煤 131.34亿 71.64% 66.56% 36.15%
洗块煤 25.89亿 14.12% 20.49% 56.44%
洗粉煤 12.32亿 6.72% 9.56% 55.33%
其他业务 9.73亿 5.31% 3.44% 25.20%</t>
  </si>
  <si>
    <t>1317.60万</t>
  </si>
  <si>
    <t>6021.21万</t>
  </si>
  <si>
    <t>3.46亿</t>
  </si>
  <si>
    <t xml:space="preserve">
市值325.01571亿, 利润47.80亿; PE5.23, PB1.03; ROIC9.3633%; ROE19.12%; 股利率5.3435%; 毛利19.2067%; 净利7.6667%; 上一年度营收增24.19%, 利润增37.83%; 当季营收增-9.76%, 利润增31.61%; 过往5年营收增1180.12%, 利润增632.2%
Income profile:
</t>
  </si>
  <si>
    <t>3094.67万</t>
  </si>
  <si>
    <t>9.17亿</t>
  </si>
  <si>
    <t xml:space="preserve">
市值306.68596亿, 利润49.38亿; PE3.58, PB2.26; ROIC15.65%; ROE23.2833%; 股利率10.1293%; 毛利29.2333%; 净利10.65%; 上一年度营收增35.66%, 利润增497.1%; 当季营收增11.57%, 利润增104.04%; 过往5年营收增0.98%, 利润增177.71%
Income profile:
</t>
  </si>
  <si>
    <t>2435.85万</t>
  </si>
  <si>
    <t>7.69亿</t>
  </si>
  <si>
    <t xml:space="preserve">
市值258.84114亿, 利润29.22亿; PE4.4, PB1.25; ROIC8.0433%; ROE11.5967%; 股利率6.7979%; 毛利27.9667%; 净利10.5867%; 上一年度营收增32.6%, 利润增110.52%; 当季营收增27.07%, 利润增91.9%; 过往5年营收增15.26%, 利润增41.6%
Income profile:
</t>
  </si>
  <si>
    <t>928.53万</t>
  </si>
  <si>
    <t>5536.08万</t>
  </si>
  <si>
    <t xml:space="preserve">
市值245.19278亿, 利润35.60亿; PE6.24, PB1.07; ROIC11.9533%; ROE15.66%; 股利率3.9185%; 毛利31.4233%; 净利16.5133%; 上一年度营收增22.79%, 利润增71.9%; 当季营收增-2.74%, 利润增-10.74%; 过往5年营收增41.5%, 利润增41.2%
Income profile:
</t>
  </si>
  <si>
    <t>1979.50万</t>
  </si>
  <si>
    <t>1155.95万</t>
  </si>
  <si>
    <t>2220.78万</t>
  </si>
  <si>
    <t xml:space="preserve">
市值204.00927亿, 利润-29.37亿; PE, PB; ROIC-2.1033%; ROE-46.5%; 股利率0%; 毛利-3.9967%; 净利-13.45%; 上一年度营收增-8.14%, 利润增-165.31%; 当季营收增1.33%, 利润增35.91%; 过往5年营收增2.8%, 利润增-487.08%
Income profile:
</t>
  </si>
  <si>
    <t>1577.93万</t>
  </si>
  <si>
    <t>5.25亿</t>
  </si>
  <si>
    <t>1294.75万</t>
  </si>
  <si>
    <t>9237.13万</t>
  </si>
  <si>
    <t>4.31亿</t>
  </si>
  <si>
    <t>1600.92万</t>
  </si>
  <si>
    <t>8680.68万</t>
  </si>
  <si>
    <t xml:space="preserve">
市值147.47313亿, 利润11.72亿; PE7.26, PB1.31; ROIC9.7567%; ROE14.3467%; 股利率5.8224%; 毛利37.4467%; 净利17.2433%; 上一年度营收增48.19%, 利润增35.18%; 当季营收增10.74%, 利润增22.22%; 过往5年营收增22.79%, 利润增78.03%
Income profile:
</t>
  </si>
  <si>
    <t>696.35万</t>
  </si>
  <si>
    <t>4599.43万</t>
  </si>
  <si>
    <t>2.69亿</t>
  </si>
  <si>
    <t xml:space="preserve">
市值112.129102亿, 利润12.89亿; PE5.29, PB1.44; ROIC1.0567%; ROE0.7733%; 股利率7.4627%; 毛利34.07%; 净利1.1833%; 上一年度营收增15.9%, 利润增238.75%; 当季营收增23.82%, 利润增76.69%; 过往5年营收增10.71%, 利润增-199.6%
Income profile:
</t>
  </si>
  <si>
    <t>2157.12万</t>
  </si>
  <si>
    <t>5.34亿</t>
  </si>
  <si>
    <t xml:space="preserve">
市值106.989376亿, 利润24.34亿; PE4.76, PB0.924; ROIC9.6067%; ROE16.87%; 股利率1.6949%; 毛利40.8033%; 净利14.23%; 上一年度营收增49.48%, 利润增187.37%; 当季营收增-8.73%, 利润增-11.93%; 过往5年营收增20.17%, 利润增268.69%
Income profile:
</t>
  </si>
  <si>
    <t>833.21万</t>
  </si>
  <si>
    <t>5576.70万</t>
  </si>
  <si>
    <t>2.63亿</t>
  </si>
  <si>
    <t xml:space="preserve">
市值107.974069亿, 利润3.73亿; PE5.77, PB0.861; ROIC4.99%; ROE5.39%; 股利率1.0375%; 毛利31.5033%; 净利12.3533%; 上一年度营收增32.69%, 利润增-44.16%; 当季营收增24.63%, 利润增210.14%; 过往5年营收增14.96%, 利润增0.24%
Income profile:
</t>
  </si>
  <si>
    <t>902.38万</t>
  </si>
  <si>
    <t>6117.39万</t>
  </si>
  <si>
    <t>2.76亿</t>
  </si>
  <si>
    <t xml:space="preserve">
市值91.151869亿, 利润20.14亿; PE4.04, PB0.86; ROIC5.96%; ROE9.2833%; 股利率8.6888%; 毛利49.76%; 净利13.6567%; 上一年度营收增91.86%, 利润增4104.96%; 当季营收增5.85%, 利润增-7.87%; 过往5年营收增15.88%, 利润增2313.91%
Income profile:
</t>
  </si>
  <si>
    <t>1328.08万</t>
  </si>
  <si>
    <t>7802.82万</t>
  </si>
  <si>
    <t>5.13亿</t>
  </si>
  <si>
    <t xml:space="preserve">
市值88.920362亿, 利润13.87亿; PE4.08, PB0.802; ROIC9.1333%; ROE12.2533%; 股利率6.7476%; 毛利41.4233%; 净利17.7767%; 上一年度营收增29.54%, 利润增79.9%; 当季营收增31.74%, 利润增127.97%; 过往5年营收增9.92%, 利润增616.52%
Income profile:
</t>
  </si>
  <si>
    <t>1456.63万</t>
  </si>
  <si>
    <t>1.05亿</t>
  </si>
  <si>
    <t>7.46亿</t>
  </si>
  <si>
    <t>7820.68万</t>
  </si>
  <si>
    <t>4.28亿</t>
  </si>
  <si>
    <t>11.41亿</t>
  </si>
  <si>
    <t xml:space="preserve">
市值63.601108亿, 利润-2.15亿; PE, PB3.77; ROIC-2.0567%; ROE-27.6467%; 股利率0%; 毛利24.4467%; 净利-13.4867%; 上一年度营收增15%, 利润增77.22%; 当季营收增57.34%, 利润增51.05%; 过往5年营收增-17.64%, 利润增-88.5%
Income profile:
</t>
  </si>
  <si>
    <t>871.76万</t>
  </si>
  <si>
    <t>4831.42万</t>
  </si>
  <si>
    <t>3.51亿</t>
  </si>
  <si>
    <t xml:space="preserve">
市值51.162073亿, 利润2662.23万; PE21.91, PB0.946; ROIC1.5167%; ROE-2.6133%; 股利率0%; 毛利17.0767%; 净利-0.42%; 上一年度营收增17.01%, 利润增105.7%; 当季营收增-4.64%, 利润增-155.58%; 过往5年营收增-2.69%, 利润增-352.23%
Income profile:
</t>
  </si>
  <si>
    <t>1154.55万</t>
  </si>
  <si>
    <t>8412.44万</t>
  </si>
  <si>
    <t>4.09亿</t>
  </si>
  <si>
    <t xml:space="preserve">
市值30.490764亿, 利润5514.72万; PE, PB6.14; ROIC3.5633%; ROE-6.7433%; 股利率0%; 毛利4.97%; 净利-2.48%; 上一年度营收增23.42%, 利润增124.73%; 当季营收增-52.06%, 利润增59.21%; 过往5年营收增23.84%, 利润增-209.09%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</si>
</sst>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theme="1"/>
      <name val="宋体"/>
      <family val="2"/>
      <charset val="134"/>
      <scheme val="minor"/>
    </font>
    <font>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2">
    <xf numFmtId="0" fontId="0" fillId="0" borderId="0" xfId="0">
      <alignment vertical="center"/>
    </xf>
    <xf numFmtId="0" fontId="0" fillId="0" borderId="0" xfId="0" applyFill="1">
      <alignment vertical="center"/>
    </xf>
    <xf numFmtId="0" fontId="0" fillId="2" borderId="0" xfId="0" applyFill="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0" fillId="0" borderId="0" xfId="0" applyAlignment="1">
      <alignment vertical="center" wrapText="1"/>
    </xf>
    <xf numFmtId="14" fontId="5" fillId="0" borderId="0" xfId="2" applyNumberFormat="1" applyBorder="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9" fillId="0" borderId="0" xfId="0" applyFont="1" applyAlignment="1">
      <alignment vertical="center" wrapText="1"/>
    </xf>
    <xf numFmtId="10" fontId="0" fillId="0" borderId="0" xfId="0" applyNumberForma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14" fontId="0" fillId="0" borderId="0" xfId="0" applyNumberFormat="1">
      <alignment vertical="center"/>
    </xf>
    <xf numFmtId="0" fontId="0" fillId="0" borderId="0" xfId="0" applyNumberForma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29"/>
  <sheetViews>
    <sheetView topLeftCell="A4" workbookViewId="0">
      <selection activeCell="D5" sqref="D5"/>
    </sheetView>
  </sheetViews>
  <sheetFormatPr defaultRowHeight="14.4" x14ac:dyDescent="0.25"/>
  <cols>
    <col min="1" max="1" width="16.109375" style="20" customWidth="1"/>
    <col min="2" max="2" width="34.77734375" customWidth="1"/>
    <col min="3" max="3" width="36.109375" customWidth="1"/>
    <col min="4" max="4" width="44.88671875" customWidth="1"/>
    <col min="13" max="13" width="12.77734375" customWidth="1"/>
    <col min="24" max="24" width="10.55468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136</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c r="B2" s="22"/>
      <c r="C2" s="23">
        <v>3</v>
      </c>
      <c r="D2" s="23">
        <v>29</v>
      </c>
      <c r="T2" s="16"/>
      <c r="U2" s="16"/>
      <c r="V2" s="16"/>
      <c r="AB2" s="17"/>
    </row>
    <row r="3" spans="1:147" ht="162" x14ac:dyDescent="0.25">
      <c r="B3" s="24"/>
      <c r="C3" s="24"/>
      <c r="D3" s="24" t="s">
        <v>1651</v>
      </c>
      <c r="E3" t="s">
        <v>222</v>
      </c>
      <c r="F3" t="s">
        <v>223</v>
      </c>
      <c r="G3">
        <v>28.62</v>
      </c>
      <c r="H3">
        <v>-1.24E-2</v>
      </c>
      <c r="I3" t="s">
        <v>1648</v>
      </c>
      <c r="J3">
        <v>568637040000</v>
      </c>
      <c r="K3">
        <v>8.2899999999999991</v>
      </c>
      <c r="L3">
        <v>1.46</v>
      </c>
      <c r="M3" t="s">
        <v>177</v>
      </c>
      <c r="N3" t="s">
        <v>228</v>
      </c>
      <c r="O3" t="s">
        <v>229</v>
      </c>
      <c r="P3" t="s">
        <v>224</v>
      </c>
      <c r="Q3">
        <v>7.49</v>
      </c>
      <c r="R3" t="s">
        <v>230</v>
      </c>
      <c r="S3">
        <v>59131000000</v>
      </c>
      <c r="T3" s="25">
        <v>0.45040000000000002</v>
      </c>
      <c r="U3" t="s">
        <v>231</v>
      </c>
      <c r="V3">
        <v>16491038000</v>
      </c>
      <c r="W3">
        <v>19868520000</v>
      </c>
      <c r="X3">
        <v>1.34</v>
      </c>
      <c r="Y3">
        <v>0.41</v>
      </c>
      <c r="Z3">
        <v>27.59</v>
      </c>
      <c r="AA3" t="s">
        <v>232</v>
      </c>
      <c r="AB3" t="s">
        <v>233</v>
      </c>
      <c r="AC3" t="s">
        <v>234</v>
      </c>
      <c r="AD3" t="s">
        <v>235</v>
      </c>
      <c r="AE3" t="s">
        <v>236</v>
      </c>
      <c r="AF3">
        <v>-83000000</v>
      </c>
      <c r="AG3" t="s">
        <v>225</v>
      </c>
      <c r="AH3" t="s">
        <v>170</v>
      </c>
      <c r="AI3" t="s">
        <v>237</v>
      </c>
      <c r="AJ3" t="s">
        <v>238</v>
      </c>
      <c r="AK3" t="s">
        <v>226</v>
      </c>
      <c r="AL3" t="s">
        <v>239</v>
      </c>
      <c r="AM3" t="s">
        <v>227</v>
      </c>
      <c r="AN3" t="s">
        <v>167</v>
      </c>
      <c r="AO3" t="s">
        <v>240</v>
      </c>
      <c r="AP3" t="s">
        <v>241</v>
      </c>
      <c r="AQ3" t="s">
        <v>242</v>
      </c>
      <c r="AR3" t="s">
        <v>243</v>
      </c>
      <c r="AS3" t="s">
        <v>167</v>
      </c>
      <c r="AT3" t="s">
        <v>244</v>
      </c>
      <c r="AU3" t="s">
        <v>245</v>
      </c>
      <c r="AV3" t="s">
        <v>246</v>
      </c>
      <c r="AW3" t="s">
        <v>247</v>
      </c>
      <c r="AX3" t="s">
        <v>248</v>
      </c>
      <c r="AY3" t="s">
        <v>249</v>
      </c>
      <c r="AZ3" t="s">
        <v>250</v>
      </c>
      <c r="BA3" t="s">
        <v>251</v>
      </c>
      <c r="BB3" t="s">
        <v>252</v>
      </c>
      <c r="BC3" t="s">
        <v>253</v>
      </c>
      <c r="BD3" t="s">
        <v>254</v>
      </c>
      <c r="BE3" t="s">
        <v>255</v>
      </c>
      <c r="BF3" t="s">
        <v>256</v>
      </c>
      <c r="BG3" t="s">
        <v>257</v>
      </c>
      <c r="BH3" t="s">
        <v>258</v>
      </c>
      <c r="BI3" t="s">
        <v>259</v>
      </c>
      <c r="BJ3" t="s">
        <v>260</v>
      </c>
      <c r="BK3" t="s">
        <v>261</v>
      </c>
      <c r="BL3" t="s">
        <v>262</v>
      </c>
      <c r="BM3" t="s">
        <v>263</v>
      </c>
      <c r="BN3" t="s">
        <v>264</v>
      </c>
      <c r="BO3">
        <v>11.53</v>
      </c>
      <c r="BP3">
        <v>9.99</v>
      </c>
      <c r="BQ3">
        <v>10.74</v>
      </c>
      <c r="BR3">
        <v>13.64</v>
      </c>
      <c r="BS3">
        <v>11</v>
      </c>
      <c r="BT3">
        <v>12.73</v>
      </c>
      <c r="BU3" t="s">
        <v>314</v>
      </c>
      <c r="BV3" t="s">
        <v>221</v>
      </c>
      <c r="BW3">
        <v>40.729999999999997</v>
      </c>
      <c r="BX3">
        <v>40.4</v>
      </c>
      <c r="BY3">
        <v>40.71</v>
      </c>
      <c r="BZ3">
        <v>28.87</v>
      </c>
      <c r="CA3">
        <v>20.260000000000002</v>
      </c>
      <c r="CB3">
        <v>21.31</v>
      </c>
      <c r="CC3">
        <v>3.32</v>
      </c>
      <c r="CD3">
        <v>-2.62</v>
      </c>
      <c r="CE3" t="s">
        <v>1649</v>
      </c>
      <c r="CF3" t="s">
        <v>1650</v>
      </c>
      <c r="CG3" s="26">
        <v>-4.6651322068152472E-2</v>
      </c>
      <c r="CH3" s="27">
        <v>0.21995387954422138</v>
      </c>
      <c r="CI3" s="26">
        <v>0.43707308173179626</v>
      </c>
      <c r="CJ3" s="26">
        <v>-3.5589177161455154E-2</v>
      </c>
      <c r="CK3" s="26">
        <v>-8.4172368049621582E-2</v>
      </c>
      <c r="CL3" s="26">
        <v>6.1729647219181061E-2</v>
      </c>
      <c r="CM3" s="26">
        <v>0.35832509398460388</v>
      </c>
      <c r="CN3" s="27">
        <v>0.28335464000701904</v>
      </c>
      <c r="CO3" s="27">
        <v>-9.4335280358791351E-2</v>
      </c>
      <c r="CP3" s="27">
        <v>-1.4065264724195004E-2</v>
      </c>
      <c r="CQ3" s="27">
        <v>-2.5978593155741692E-2</v>
      </c>
      <c r="CR3" s="27">
        <v>0.98296046257019043</v>
      </c>
      <c r="CS3">
        <v>1.6963302467662642</v>
      </c>
      <c r="CT3">
        <v>116188903.6981042</v>
      </c>
      <c r="CU3">
        <v>8.8749126484975527</v>
      </c>
      <c r="CV3" s="26">
        <v>0.1474732555449009</v>
      </c>
      <c r="CW3" s="27">
        <v>0.22638719286769629</v>
      </c>
      <c r="CX3">
        <v>0.06</v>
      </c>
      <c r="CY3">
        <v>4.7928519465788133</v>
      </c>
      <c r="CZ3">
        <v>54417295361.308136</v>
      </c>
      <c r="DA3">
        <v>0.1474732555449009</v>
      </c>
      <c r="DB3">
        <v>1.4923398610328915</v>
      </c>
      <c r="DC3">
        <v>174768527471.67325</v>
      </c>
      <c r="DD3">
        <v>0.14009959276765585</v>
      </c>
      <c r="DE3">
        <v>0.68771002439110041</v>
      </c>
      <c r="DF3">
        <v>379250019266.36902</v>
      </c>
      <c r="DG3">
        <v>0.1297764648795128</v>
      </c>
      <c r="DH3">
        <v>0.38261359651731974</v>
      </c>
      <c r="DI3">
        <v>681664327598.44092</v>
      </c>
      <c r="DJ3">
        <v>0.11797860443592073</v>
      </c>
      <c r="DK3">
        <v>0.16604922339321149</v>
      </c>
      <c r="DL3">
        <v>1570703160606.668</v>
      </c>
      <c r="DM3">
        <v>0.10323127888143062</v>
      </c>
      <c r="DN3">
        <v>50269000000</v>
      </c>
      <c r="DO3">
        <v>0.1474732555449009</v>
      </c>
      <c r="DP3">
        <v>260814039999.99994</v>
      </c>
      <c r="DQ3">
        <v>132689000000</v>
      </c>
      <c r="DR3">
        <v>3560</v>
      </c>
      <c r="DS3">
        <v>-0.19412457761305338</v>
      </c>
      <c r="DT3">
        <v>-6.4333133234749096E-3</v>
      </c>
      <c r="DU3" s="28">
        <v>0.26666666666666666</v>
      </c>
      <c r="DV3">
        <v>0.58666666666666667</v>
      </c>
      <c r="DW3">
        <v>0.85333333333333328</v>
      </c>
      <c r="DX3">
        <v>4.7891566265060241</v>
      </c>
      <c r="DY3">
        <v>0.52366197183098495</v>
      </c>
      <c r="DZ3">
        <v>4.1922874596979467</v>
      </c>
      <c r="EA3">
        <v>1858</v>
      </c>
      <c r="EB3">
        <v>4.1196863420147958</v>
      </c>
      <c r="EC3">
        <v>4</v>
      </c>
      <c r="ED3">
        <v>8.7072414049964471E-3</v>
      </c>
      <c r="EE3">
        <v>3.5734921373106805E-2</v>
      </c>
      <c r="EF3" s="29">
        <v>1.2809999999999998E-2</v>
      </c>
      <c r="EG3">
        <v>1.2934000000000001E-2</v>
      </c>
      <c r="EH3">
        <v>28.243661971830985</v>
      </c>
      <c r="EI3">
        <v>-1</v>
      </c>
      <c r="EJ3">
        <v>0</v>
      </c>
      <c r="EK3">
        <v>0</v>
      </c>
      <c r="EL3" s="30">
        <v>44942</v>
      </c>
      <c r="EM3" s="31">
        <v>-9.4000000000000004E-3</v>
      </c>
      <c r="EN3" s="31">
        <v>5.0299999999999997E-2</v>
      </c>
      <c r="EO3" s="31">
        <v>-6.9999999999999999E-4</v>
      </c>
      <c r="EP3" s="31">
        <v>0.63</v>
      </c>
      <c r="EQ3" s="31">
        <v>-1.24E-2</v>
      </c>
    </row>
    <row r="4" spans="1:147" ht="118.8" x14ac:dyDescent="0.25">
      <c r="B4" s="24" t="s">
        <v>316</v>
      </c>
      <c r="C4" s="24"/>
      <c r="D4" s="24" t="s">
        <v>1654</v>
      </c>
      <c r="E4" t="s">
        <v>175</v>
      </c>
      <c r="F4" t="s">
        <v>176</v>
      </c>
      <c r="G4">
        <v>19.62</v>
      </c>
      <c r="H4">
        <v>-5.5999999999999999E-3</v>
      </c>
      <c r="I4" t="s">
        <v>1652</v>
      </c>
      <c r="J4">
        <v>190215900000</v>
      </c>
      <c r="K4">
        <v>5.41</v>
      </c>
      <c r="L4">
        <v>1.88</v>
      </c>
      <c r="M4" t="s">
        <v>177</v>
      </c>
      <c r="N4" t="s">
        <v>181</v>
      </c>
      <c r="O4" t="s">
        <v>182</v>
      </c>
      <c r="P4" t="s">
        <v>183</v>
      </c>
      <c r="Q4">
        <v>7.77</v>
      </c>
      <c r="R4" t="s">
        <v>184</v>
      </c>
      <c r="S4">
        <v>28306857000</v>
      </c>
      <c r="T4" s="25">
        <v>0.98540000000000005</v>
      </c>
      <c r="U4" t="s">
        <v>185</v>
      </c>
      <c r="V4">
        <v>9695000000</v>
      </c>
      <c r="W4">
        <v>9695000000</v>
      </c>
      <c r="X4">
        <v>1.53</v>
      </c>
      <c r="Y4">
        <v>0.66</v>
      </c>
      <c r="Z4">
        <v>31.71</v>
      </c>
      <c r="AA4" t="s">
        <v>186</v>
      </c>
      <c r="AB4" t="s">
        <v>187</v>
      </c>
      <c r="AC4" t="s">
        <v>188</v>
      </c>
      <c r="AD4" t="s">
        <v>189</v>
      </c>
      <c r="AE4" t="s">
        <v>173</v>
      </c>
      <c r="AF4">
        <v>-542893020</v>
      </c>
      <c r="AG4" t="s">
        <v>190</v>
      </c>
      <c r="AH4" t="s">
        <v>191</v>
      </c>
      <c r="AI4" t="s">
        <v>192</v>
      </c>
      <c r="AJ4" t="s">
        <v>193</v>
      </c>
      <c r="AK4" t="s">
        <v>194</v>
      </c>
      <c r="AL4" t="s">
        <v>168</v>
      </c>
      <c r="AM4" t="s">
        <v>195</v>
      </c>
      <c r="AN4" t="s">
        <v>167</v>
      </c>
      <c r="AO4" t="s">
        <v>196</v>
      </c>
      <c r="AP4" t="s">
        <v>197</v>
      </c>
      <c r="AQ4" t="s">
        <v>198</v>
      </c>
      <c r="AR4" t="s">
        <v>199</v>
      </c>
      <c r="AS4" t="s">
        <v>200</v>
      </c>
      <c r="AT4" t="s">
        <v>201</v>
      </c>
      <c r="AU4" t="s">
        <v>202</v>
      </c>
      <c r="AV4" t="s">
        <v>203</v>
      </c>
      <c r="AW4" t="s">
        <v>171</v>
      </c>
      <c r="AX4" t="s">
        <v>204</v>
      </c>
      <c r="AY4" t="s">
        <v>205</v>
      </c>
      <c r="AZ4" t="s">
        <v>206</v>
      </c>
      <c r="BA4" t="s">
        <v>207</v>
      </c>
      <c r="BB4" t="s">
        <v>208</v>
      </c>
      <c r="BC4" t="s">
        <v>209</v>
      </c>
      <c r="BD4" t="s">
        <v>210</v>
      </c>
      <c r="BE4" t="s">
        <v>211</v>
      </c>
      <c r="BF4" t="s">
        <v>212</v>
      </c>
      <c r="BG4" t="s">
        <v>213</v>
      </c>
      <c r="BH4" t="s">
        <v>214</v>
      </c>
      <c r="BI4" t="s">
        <v>215</v>
      </c>
      <c r="BJ4" t="s">
        <v>216</v>
      </c>
      <c r="BK4" t="s">
        <v>217</v>
      </c>
      <c r="BL4" t="s">
        <v>218</v>
      </c>
      <c r="BM4" t="s">
        <v>219</v>
      </c>
      <c r="BN4" t="s">
        <v>220</v>
      </c>
      <c r="BO4">
        <v>25.85</v>
      </c>
      <c r="BP4">
        <v>17.600000000000001</v>
      </c>
      <c r="BQ4">
        <v>15.96</v>
      </c>
      <c r="BR4">
        <v>27.24</v>
      </c>
      <c r="BS4">
        <v>23.18</v>
      </c>
      <c r="BT4">
        <v>21.52</v>
      </c>
      <c r="BU4" t="s">
        <v>317</v>
      </c>
      <c r="BV4" t="s">
        <v>221</v>
      </c>
      <c r="BW4">
        <v>41.87</v>
      </c>
      <c r="BX4">
        <v>27.46</v>
      </c>
      <c r="BY4">
        <v>40.93</v>
      </c>
      <c r="BZ4">
        <v>39.869999999999997</v>
      </c>
      <c r="CA4">
        <v>20.83</v>
      </c>
      <c r="CB4">
        <v>22.66</v>
      </c>
      <c r="CC4">
        <v>2.4500000000000002</v>
      </c>
      <c r="CD4">
        <v>2.35</v>
      </c>
      <c r="CE4" t="s">
        <v>1653</v>
      </c>
      <c r="CF4" t="s">
        <v>831</v>
      </c>
      <c r="CG4" s="26">
        <v>-2.8911764705882047E-2</v>
      </c>
      <c r="CH4" s="27">
        <v>-0.37812592219986574</v>
      </c>
      <c r="CI4" s="26">
        <v>0.60173779726028442</v>
      </c>
      <c r="CJ4" s="26">
        <v>0.28930452466011047</v>
      </c>
      <c r="CK4" s="26">
        <v>0.28848034143447876</v>
      </c>
      <c r="CL4" s="26">
        <v>0.12364752590656281</v>
      </c>
      <c r="CM4" s="26">
        <v>0.5370941162109375</v>
      </c>
      <c r="CN4" s="27">
        <v>0.4226110577583313</v>
      </c>
      <c r="CO4" s="27">
        <v>0.27663227915763855</v>
      </c>
      <c r="CP4" s="27">
        <v>5.8855637907981873E-2</v>
      </c>
      <c r="CQ4" s="27">
        <v>5.2062395960092545E-2</v>
      </c>
      <c r="CR4" s="27">
        <v>2.7927403450012207</v>
      </c>
      <c r="CS4">
        <v>1.2492342348258967</v>
      </c>
      <c r="CT4">
        <v>106581343.42478713</v>
      </c>
      <c r="CU4">
        <v>6.8807339449541285</v>
      </c>
      <c r="CV4" s="26">
        <v>0.36805286109447477</v>
      </c>
      <c r="CW4" s="27">
        <v>0.72058034315705299</v>
      </c>
      <c r="CX4">
        <v>0.06</v>
      </c>
      <c r="CY4">
        <v>4.579483909211584</v>
      </c>
      <c r="CZ4">
        <v>27283620267.487923</v>
      </c>
      <c r="DA4">
        <v>0.36805286109447477</v>
      </c>
      <c r="DB4">
        <v>1.1919387747384906</v>
      </c>
      <c r="DC4">
        <v>104824931152.53568</v>
      </c>
      <c r="DD4">
        <v>0.34965021803975099</v>
      </c>
      <c r="DE4">
        <v>0.42142470931414772</v>
      </c>
      <c r="DF4">
        <v>296482140791.75128</v>
      </c>
      <c r="DG4">
        <v>0.32388651776313782</v>
      </c>
      <c r="DH4">
        <v>0.16791109413571711</v>
      </c>
      <c r="DI4">
        <v>744113428854.2666</v>
      </c>
      <c r="DJ4">
        <v>0.29444228887557983</v>
      </c>
      <c r="DK4">
        <v>3.143345776646312E-2</v>
      </c>
      <c r="DL4">
        <v>3974901550070.8228</v>
      </c>
      <c r="DM4">
        <v>0.25763700276613233</v>
      </c>
      <c r="DN4">
        <v>21140000000</v>
      </c>
      <c r="DO4">
        <v>0.36805286109447477</v>
      </c>
      <c r="DP4">
        <v>124944900000</v>
      </c>
      <c r="DQ4">
        <v>52740913000</v>
      </c>
      <c r="DR4">
        <v>3603</v>
      </c>
      <c r="DS4">
        <v>-0.3969646258003568</v>
      </c>
      <c r="DT4">
        <v>-1.0987062653569186</v>
      </c>
      <c r="DU4" s="28">
        <v>0.71666666666666667</v>
      </c>
      <c r="DV4">
        <v>1.2883333333333333</v>
      </c>
      <c r="DW4">
        <v>2.0049999999999999</v>
      </c>
      <c r="DX4">
        <v>2.35E-2</v>
      </c>
      <c r="DY4">
        <v>0.4084932408361297</v>
      </c>
      <c r="DZ4">
        <v>3.724591159649016E-3</v>
      </c>
      <c r="EA4">
        <v>287</v>
      </c>
      <c r="EB4">
        <v>3.5073674931545501E-3</v>
      </c>
      <c r="EC4">
        <v>0</v>
      </c>
      <c r="ED4">
        <v>2.300154718927282E-2</v>
      </c>
      <c r="EE4">
        <v>0.14512635379061373</v>
      </c>
      <c r="EF4" s="29">
        <v>2.6499999999999999E-2</v>
      </c>
      <c r="EG4">
        <v>2.6443999999999999E-2</v>
      </c>
      <c r="EH4">
        <v>25.15849324083613</v>
      </c>
      <c r="EI4">
        <v>-1</v>
      </c>
      <c r="EJ4">
        <v>0</v>
      </c>
      <c r="EK4">
        <v>1</v>
      </c>
      <c r="EL4" s="30">
        <v>44942</v>
      </c>
      <c r="EM4" s="31">
        <v>-7.7999999999999996E-3</v>
      </c>
      <c r="EN4" s="31">
        <v>3.32E-2</v>
      </c>
      <c r="EO4" s="31">
        <v>1.5E-3</v>
      </c>
      <c r="EP4" s="31">
        <v>0.36</v>
      </c>
      <c r="EQ4" s="31">
        <v>-5.5999999999999999E-3</v>
      </c>
    </row>
    <row r="5" spans="1:147" ht="151.19999999999999" x14ac:dyDescent="0.25">
      <c r="B5" s="24"/>
      <c r="C5" s="24"/>
      <c r="D5" s="24" t="s">
        <v>1656</v>
      </c>
      <c r="E5" t="s">
        <v>266</v>
      </c>
      <c r="F5" t="s">
        <v>267</v>
      </c>
      <c r="G5">
        <v>35.25</v>
      </c>
      <c r="H5">
        <v>3.0999999999999999E-3</v>
      </c>
      <c r="I5" t="s">
        <v>1655</v>
      </c>
      <c r="J5">
        <v>174441800000</v>
      </c>
      <c r="K5">
        <v>5.48</v>
      </c>
      <c r="L5">
        <v>2.2400000000000002</v>
      </c>
      <c r="M5" t="s">
        <v>177</v>
      </c>
      <c r="N5" t="s">
        <v>320</v>
      </c>
      <c r="O5" t="s">
        <v>321</v>
      </c>
      <c r="P5" t="s">
        <v>322</v>
      </c>
      <c r="Q5">
        <v>44.09</v>
      </c>
      <c r="R5" t="s">
        <v>323</v>
      </c>
      <c r="S5">
        <v>27127917000</v>
      </c>
      <c r="T5" s="25">
        <v>1.3520000000000001</v>
      </c>
      <c r="U5" t="s">
        <v>324</v>
      </c>
      <c r="V5">
        <v>2986963600</v>
      </c>
      <c r="W5">
        <v>4948703600</v>
      </c>
      <c r="X5">
        <v>2.42</v>
      </c>
      <c r="Y5">
        <v>0.52</v>
      </c>
      <c r="Z5">
        <v>22.63</v>
      </c>
      <c r="AA5" t="s">
        <v>325</v>
      </c>
      <c r="AB5" t="s">
        <v>326</v>
      </c>
      <c r="AC5" t="s">
        <v>327</v>
      </c>
      <c r="AD5" t="s">
        <v>328</v>
      </c>
      <c r="AE5" t="s">
        <v>329</v>
      </c>
      <c r="AF5">
        <v>2399817000</v>
      </c>
      <c r="AG5" t="s">
        <v>330</v>
      </c>
      <c r="AH5" t="s">
        <v>331</v>
      </c>
      <c r="AI5" t="s">
        <v>332</v>
      </c>
      <c r="AJ5" t="s">
        <v>333</v>
      </c>
      <c r="AK5" t="s">
        <v>334</v>
      </c>
      <c r="AL5" t="s">
        <v>169</v>
      </c>
      <c r="AM5" t="s">
        <v>335</v>
      </c>
      <c r="AN5" t="s">
        <v>167</v>
      </c>
      <c r="AO5" t="s">
        <v>336</v>
      </c>
      <c r="AP5" t="s">
        <v>337</v>
      </c>
      <c r="AQ5" t="s">
        <v>338</v>
      </c>
      <c r="AR5" t="s">
        <v>339</v>
      </c>
      <c r="AS5" t="s">
        <v>167</v>
      </c>
      <c r="AT5" t="s">
        <v>340</v>
      </c>
      <c r="AU5" t="s">
        <v>341</v>
      </c>
      <c r="AV5" t="s">
        <v>342</v>
      </c>
      <c r="AW5" t="s">
        <v>343</v>
      </c>
      <c r="AX5" t="s">
        <v>344</v>
      </c>
      <c r="AY5" t="s">
        <v>345</v>
      </c>
      <c r="AZ5" t="s">
        <v>346</v>
      </c>
      <c r="BA5" t="s">
        <v>347</v>
      </c>
      <c r="BB5" t="s">
        <v>348</v>
      </c>
      <c r="BC5" t="s">
        <v>349</v>
      </c>
      <c r="BD5" t="s">
        <v>350</v>
      </c>
      <c r="BE5" t="s">
        <v>351</v>
      </c>
      <c r="BF5" t="s">
        <v>352</v>
      </c>
      <c r="BG5" t="s">
        <v>353</v>
      </c>
      <c r="BH5" t="s">
        <v>354</v>
      </c>
      <c r="BI5" t="s">
        <v>355</v>
      </c>
      <c r="BJ5" t="s">
        <v>356</v>
      </c>
      <c r="BK5" t="s">
        <v>357</v>
      </c>
      <c r="BL5" t="s">
        <v>358</v>
      </c>
      <c r="BM5" t="s">
        <v>359</v>
      </c>
      <c r="BN5" t="s">
        <v>360</v>
      </c>
      <c r="BO5">
        <v>11.49</v>
      </c>
      <c r="BP5">
        <v>4.99</v>
      </c>
      <c r="BQ5">
        <v>7.47</v>
      </c>
      <c r="BR5">
        <v>27.78</v>
      </c>
      <c r="BS5">
        <v>9.4600000000000009</v>
      </c>
      <c r="BT5">
        <v>13.84</v>
      </c>
      <c r="BU5" t="s">
        <v>361</v>
      </c>
      <c r="BV5" t="s">
        <v>221</v>
      </c>
      <c r="BW5">
        <v>39.299999999999997</v>
      </c>
      <c r="BX5">
        <v>13.22</v>
      </c>
      <c r="BY5">
        <v>13.91</v>
      </c>
      <c r="BZ5">
        <v>22.15</v>
      </c>
      <c r="CA5">
        <v>3.18</v>
      </c>
      <c r="CB5">
        <v>5.54</v>
      </c>
      <c r="CC5">
        <v>6.5</v>
      </c>
      <c r="CD5">
        <v>-10.28</v>
      </c>
      <c r="CE5" t="s">
        <v>587</v>
      </c>
      <c r="CF5" t="s">
        <v>783</v>
      </c>
      <c r="CG5" s="26">
        <v>0.28763188420415597</v>
      </c>
      <c r="CH5" s="27">
        <v>0.65590473588342446</v>
      </c>
      <c r="CI5" s="26">
        <v>-0.29303881525993347</v>
      </c>
      <c r="CJ5" s="26">
        <v>1.4159558340907097E-3</v>
      </c>
      <c r="CK5" s="26">
        <v>0.31703966856002808</v>
      </c>
      <c r="CL5" s="26">
        <v>7.7895611524581909E-2</v>
      </c>
      <c r="CM5" s="26">
        <v>0.47853976488113403</v>
      </c>
      <c r="CN5" s="27">
        <v>1.2829262018203735</v>
      </c>
      <c r="CO5" s="27">
        <v>-0.281911700963974</v>
      </c>
      <c r="CP5" s="27">
        <v>0.25401440262794495</v>
      </c>
      <c r="CQ5" s="27">
        <v>0.16806976497173309</v>
      </c>
      <c r="CR5" s="27">
        <v>2.1318225860595703</v>
      </c>
      <c r="CS5">
        <v>1.1477113776473606</v>
      </c>
      <c r="CT5">
        <v>165079801.95583984</v>
      </c>
      <c r="CU5">
        <v>5.6737588652482271</v>
      </c>
      <c r="CV5" s="26">
        <v>0.11637043710798026</v>
      </c>
      <c r="CW5" s="27">
        <v>0.71098425090312956</v>
      </c>
      <c r="CX5">
        <v>0.06</v>
      </c>
      <c r="CY5">
        <v>13.189233934937869</v>
      </c>
      <c r="CZ5">
        <v>17123648053.715708</v>
      </c>
      <c r="DA5">
        <v>0.11637043710798026</v>
      </c>
      <c r="DB5">
        <v>4.2152237131463925</v>
      </c>
      <c r="DC5">
        <v>53579077972.926659</v>
      </c>
      <c r="DD5">
        <v>0.11055191525258123</v>
      </c>
      <c r="DE5">
        <v>2.0135934139465896</v>
      </c>
      <c r="DF5">
        <v>112161570670.4882</v>
      </c>
      <c r="DG5">
        <v>0.10240598465502262</v>
      </c>
      <c r="DH5">
        <v>1.1683978659767327</v>
      </c>
      <c r="DI5">
        <v>193296998031.74539</v>
      </c>
      <c r="DJ5">
        <v>9.3096349686384208E-2</v>
      </c>
      <c r="DK5">
        <v>0.55898514783251352</v>
      </c>
      <c r="DL5">
        <v>404031843915.23383</v>
      </c>
      <c r="DM5">
        <v>8.1459305975586177E-2</v>
      </c>
      <c r="DN5">
        <v>16259000000</v>
      </c>
      <c r="DO5">
        <v>0.11637043710798026</v>
      </c>
      <c r="DP5">
        <v>225847800000</v>
      </c>
      <c r="DQ5">
        <v>24878693000</v>
      </c>
      <c r="DR5">
        <v>2891</v>
      </c>
      <c r="DS5">
        <v>0.17126144709617572</v>
      </c>
      <c r="DT5">
        <v>-5.5079515019705094E-2</v>
      </c>
      <c r="DU5" s="28">
        <v>0.66666666666666663</v>
      </c>
      <c r="DV5">
        <v>1.4166666666666667</v>
      </c>
      <c r="DW5">
        <v>2.0833333333333335</v>
      </c>
      <c r="DX5">
        <v>7.3873659117997619</v>
      </c>
      <c r="DY5">
        <v>0.42545909849749608</v>
      </c>
      <c r="DZ5">
        <v>7.1067034648530232</v>
      </c>
      <c r="EA5">
        <v>240</v>
      </c>
      <c r="EB5">
        <v>7.101499475508434</v>
      </c>
      <c r="EC5">
        <v>7</v>
      </c>
      <c r="ED5">
        <v>3.3342065586631615E-2</v>
      </c>
      <c r="EE5">
        <v>0.12104180173571115</v>
      </c>
      <c r="EF5" s="29">
        <v>0.1118</v>
      </c>
      <c r="EG5">
        <v>0.111831</v>
      </c>
      <c r="EH5">
        <v>15.275459098497496</v>
      </c>
      <c r="EI5">
        <v>-1</v>
      </c>
      <c r="EJ5">
        <v>1</v>
      </c>
      <c r="EK5">
        <v>1</v>
      </c>
      <c r="EL5" s="30">
        <v>44942</v>
      </c>
      <c r="EM5" s="31">
        <v>-2.3999999999999998E-3</v>
      </c>
      <c r="EN5" s="31">
        <v>7.7499999999999999E-2</v>
      </c>
      <c r="EO5" s="31">
        <v>-1.18E-2</v>
      </c>
      <c r="EP5" s="31">
        <v>-0.06</v>
      </c>
      <c r="EQ5" s="31">
        <v>3.0999999999999999E-3</v>
      </c>
    </row>
    <row r="6" spans="1:147" ht="151.19999999999999" x14ac:dyDescent="0.25">
      <c r="B6" s="24"/>
      <c r="C6" s="24"/>
      <c r="D6" s="24" t="s">
        <v>1659</v>
      </c>
      <c r="E6" t="s">
        <v>268</v>
      </c>
      <c r="F6" t="s">
        <v>269</v>
      </c>
      <c r="G6">
        <v>8.64</v>
      </c>
      <c r="H6">
        <v>-9.1999999999999998E-3</v>
      </c>
      <c r="I6" t="s">
        <v>1657</v>
      </c>
      <c r="J6">
        <v>114554852000</v>
      </c>
      <c r="K6">
        <v>5.54</v>
      </c>
      <c r="L6">
        <v>0.871</v>
      </c>
      <c r="M6" t="s">
        <v>177</v>
      </c>
      <c r="N6" t="s">
        <v>363</v>
      </c>
      <c r="O6" t="s">
        <v>364</v>
      </c>
      <c r="P6" t="s">
        <v>365</v>
      </c>
      <c r="Q6">
        <v>4.6399999999999997</v>
      </c>
      <c r="R6" t="s">
        <v>366</v>
      </c>
      <c r="S6">
        <v>19328210000</v>
      </c>
      <c r="T6" s="25">
        <v>0.62139999999999995</v>
      </c>
      <c r="U6" t="s">
        <v>367</v>
      </c>
      <c r="V6">
        <v>9152000400</v>
      </c>
      <c r="W6">
        <v>13258663400</v>
      </c>
      <c r="X6">
        <v>2.04</v>
      </c>
      <c r="Y6">
        <v>0.53</v>
      </c>
      <c r="Z6">
        <v>15.28</v>
      </c>
      <c r="AA6" t="s">
        <v>368</v>
      </c>
      <c r="AB6" t="s">
        <v>369</v>
      </c>
      <c r="AC6" t="s">
        <v>370</v>
      </c>
      <c r="AD6" t="s">
        <v>371</v>
      </c>
      <c r="AE6" t="s">
        <v>372</v>
      </c>
      <c r="AF6">
        <v>2922597000</v>
      </c>
      <c r="AG6" t="s">
        <v>373</v>
      </c>
      <c r="AH6" t="s">
        <v>374</v>
      </c>
      <c r="AI6" t="s">
        <v>375</v>
      </c>
      <c r="AJ6" t="s">
        <v>376</v>
      </c>
      <c r="AK6" t="s">
        <v>377</v>
      </c>
      <c r="AL6" t="s">
        <v>167</v>
      </c>
      <c r="AM6" t="s">
        <v>378</v>
      </c>
      <c r="AN6" t="s">
        <v>167</v>
      </c>
      <c r="AO6" t="s">
        <v>379</v>
      </c>
      <c r="AP6" t="s">
        <v>380</v>
      </c>
      <c r="AQ6" t="s">
        <v>381</v>
      </c>
      <c r="AR6" t="s">
        <v>382</v>
      </c>
      <c r="AS6" t="s">
        <v>167</v>
      </c>
      <c r="AT6" t="s">
        <v>383</v>
      </c>
      <c r="AU6" t="s">
        <v>384</v>
      </c>
      <c r="AV6" t="s">
        <v>385</v>
      </c>
      <c r="AW6" t="s">
        <v>386</v>
      </c>
      <c r="AX6" t="s">
        <v>387</v>
      </c>
      <c r="AY6" t="s">
        <v>388</v>
      </c>
      <c r="AZ6" t="s">
        <v>389</v>
      </c>
      <c r="BA6" t="s">
        <v>390</v>
      </c>
      <c r="BB6" t="s">
        <v>391</v>
      </c>
      <c r="BC6" t="s">
        <v>392</v>
      </c>
      <c r="BD6" t="s">
        <v>393</v>
      </c>
      <c r="BE6" t="s">
        <v>394</v>
      </c>
      <c r="BF6" t="s">
        <v>395</v>
      </c>
      <c r="BG6" t="s">
        <v>396</v>
      </c>
      <c r="BH6" t="s">
        <v>397</v>
      </c>
      <c r="BI6" t="s">
        <v>398</v>
      </c>
      <c r="BJ6" t="s">
        <v>399</v>
      </c>
      <c r="BK6" t="s">
        <v>400</v>
      </c>
      <c r="BL6" t="s">
        <v>401</v>
      </c>
      <c r="BM6" t="s">
        <v>402</v>
      </c>
      <c r="BN6" t="s">
        <v>403</v>
      </c>
      <c r="BO6">
        <v>9.4499999999999993</v>
      </c>
      <c r="BP6">
        <v>5.74</v>
      </c>
      <c r="BQ6">
        <v>5.95</v>
      </c>
      <c r="BR6">
        <v>12.26</v>
      </c>
      <c r="BS6">
        <v>5.94</v>
      </c>
      <c r="BT6">
        <v>5.93</v>
      </c>
      <c r="BU6" t="s">
        <v>404</v>
      </c>
      <c r="BV6" t="s">
        <v>221</v>
      </c>
      <c r="BW6">
        <v>26.26</v>
      </c>
      <c r="BX6">
        <v>25.86</v>
      </c>
      <c r="BY6">
        <v>27.93</v>
      </c>
      <c r="BZ6">
        <v>15.64</v>
      </c>
      <c r="CA6">
        <v>6.33</v>
      </c>
      <c r="CB6">
        <v>6.65</v>
      </c>
      <c r="CC6">
        <v>1.89</v>
      </c>
      <c r="CD6">
        <v>-8.57</v>
      </c>
      <c r="CE6" t="s">
        <v>869</v>
      </c>
      <c r="CF6" t="s">
        <v>1658</v>
      </c>
      <c r="CG6" s="26">
        <v>-0.12366858838101961</v>
      </c>
      <c r="CH6" s="27">
        <v>0.38207385044124464</v>
      </c>
      <c r="CI6" s="26">
        <v>0.63960558176040649</v>
      </c>
      <c r="CJ6" s="26">
        <v>8.9921534061431885E-2</v>
      </c>
      <c r="CK6" s="26">
        <v>0.24193398654460907</v>
      </c>
      <c r="CL6" s="26">
        <v>0.2775876522064209</v>
      </c>
      <c r="CM6" s="26">
        <v>0.34367987513542175</v>
      </c>
      <c r="CN6" s="27">
        <v>1.248518705368042</v>
      </c>
      <c r="CO6" s="27">
        <v>4.9387034028768539E-2</v>
      </c>
      <c r="CP6" s="27">
        <v>0.67929601669311523</v>
      </c>
      <c r="CQ6" s="27">
        <v>0.46247819066047668</v>
      </c>
      <c r="CR6" s="27">
        <v>0.13017751276493073</v>
      </c>
      <c r="CS6">
        <v>0.4956359577202144</v>
      </c>
      <c r="CT6">
        <v>144796416.20237917</v>
      </c>
      <c r="CU6">
        <v>3.4837962962962958</v>
      </c>
      <c r="CV6" s="26">
        <v>0.31854572594165803</v>
      </c>
      <c r="CW6" s="27">
        <v>0.51397149190306668</v>
      </c>
      <c r="CX6">
        <v>0.06</v>
      </c>
      <c r="CY6">
        <v>7.3640358786149021</v>
      </c>
      <c r="CZ6">
        <v>16521626728.261415</v>
      </c>
      <c r="DA6">
        <v>0.31854572594165803</v>
      </c>
      <c r="DB6">
        <v>1.9935780404090189</v>
      </c>
      <c r="DC6">
        <v>61028888528.004669</v>
      </c>
      <c r="DD6">
        <v>0.30261843964457513</v>
      </c>
      <c r="DE6">
        <v>0.74880196842972369</v>
      </c>
      <c r="DF6">
        <v>162480678643.43301</v>
      </c>
      <c r="DG6">
        <v>0.28032023882865909</v>
      </c>
      <c r="DH6">
        <v>0.3228652809400484</v>
      </c>
      <c r="DI6">
        <v>376831635924.92828</v>
      </c>
      <c r="DJ6">
        <v>0.25483658075332644</v>
      </c>
      <c r="DK6">
        <v>7.4120887593193366E-2</v>
      </c>
      <c r="DL6">
        <v>1641451633279.8579</v>
      </c>
      <c r="DM6">
        <v>0.22298200815916061</v>
      </c>
      <c r="DN6">
        <v>13282000000</v>
      </c>
      <c r="DO6">
        <v>0.31854572594165803</v>
      </c>
      <c r="DP6">
        <v>121665852000</v>
      </c>
      <c r="DQ6">
        <v>22413653000</v>
      </c>
      <c r="DR6">
        <v>3717</v>
      </c>
      <c r="DS6">
        <v>-0.44221431432267766</v>
      </c>
      <c r="DT6">
        <v>-0.13189764146182203</v>
      </c>
      <c r="DU6" s="28">
        <v>0.68333333333333324</v>
      </c>
      <c r="DV6">
        <v>1.1566666666666665</v>
      </c>
      <c r="DW6">
        <v>1.8399999999999999</v>
      </c>
      <c r="DX6">
        <v>-2.0857000000000001</v>
      </c>
      <c r="DY6">
        <v>0.41925925925925955</v>
      </c>
      <c r="DZ6">
        <v>-2.0222185185185184</v>
      </c>
      <c r="EA6">
        <v>413</v>
      </c>
      <c r="EB6">
        <v>-2.0203538064380169</v>
      </c>
      <c r="EC6">
        <v>2</v>
      </c>
      <c r="ED6">
        <v>1.4782787230272397E-2</v>
      </c>
      <c r="EE6">
        <v>5.7019322173907816E-2</v>
      </c>
      <c r="EF6" s="29">
        <v>3.6900000000000002E-2</v>
      </c>
      <c r="EG6">
        <v>3.6808E-2</v>
      </c>
      <c r="EH6">
        <v>16.25925925925926</v>
      </c>
      <c r="EI6">
        <v>-1</v>
      </c>
      <c r="EJ6">
        <v>0</v>
      </c>
      <c r="EK6">
        <v>1</v>
      </c>
      <c r="EL6" s="30">
        <v>44942</v>
      </c>
      <c r="EM6" s="31">
        <v>-1.77E-2</v>
      </c>
      <c r="EN6" s="31">
        <v>5.8799999999999998E-2</v>
      </c>
      <c r="EO6" s="31">
        <v>-1.3599999999999999E-2</v>
      </c>
      <c r="EP6" s="31">
        <v>0.23</v>
      </c>
      <c r="EQ6" s="31">
        <v>-9.1999999999999998E-3</v>
      </c>
    </row>
    <row r="7" spans="1:147" ht="151.19999999999999" x14ac:dyDescent="0.25">
      <c r="B7" s="24"/>
      <c r="C7" s="24"/>
      <c r="D7" s="24" t="s">
        <v>1646</v>
      </c>
      <c r="E7" t="s">
        <v>1605</v>
      </c>
      <c r="F7" t="s">
        <v>1606</v>
      </c>
      <c r="G7">
        <v>10.34</v>
      </c>
      <c r="H7">
        <v>8.3900000000000002E-2</v>
      </c>
      <c r="I7" t="s">
        <v>1607</v>
      </c>
      <c r="J7">
        <v>67889908000</v>
      </c>
      <c r="K7">
        <v>6.38</v>
      </c>
      <c r="L7">
        <v>2.56</v>
      </c>
      <c r="M7" t="s">
        <v>174</v>
      </c>
      <c r="N7" t="s">
        <v>1608</v>
      </c>
      <c r="O7" t="s">
        <v>1609</v>
      </c>
      <c r="P7" t="s">
        <v>1610</v>
      </c>
      <c r="Q7">
        <v>126.36</v>
      </c>
      <c r="R7" t="s">
        <v>1611</v>
      </c>
      <c r="S7">
        <v>8401924000</v>
      </c>
      <c r="T7" s="25">
        <v>2.044</v>
      </c>
      <c r="U7" t="s">
        <v>1612</v>
      </c>
      <c r="V7">
        <v>6565755100</v>
      </c>
      <c r="W7">
        <v>6565755100</v>
      </c>
      <c r="X7">
        <v>2.6</v>
      </c>
      <c r="Y7">
        <v>0.57999999999999996</v>
      </c>
      <c r="Z7">
        <v>22.37</v>
      </c>
      <c r="AA7" t="s">
        <v>1613</v>
      </c>
      <c r="AB7" t="s">
        <v>1614</v>
      </c>
      <c r="AC7" t="s">
        <v>198</v>
      </c>
      <c r="AD7" t="s">
        <v>1615</v>
      </c>
      <c r="AE7" t="s">
        <v>1616</v>
      </c>
      <c r="AF7">
        <v>822856160</v>
      </c>
      <c r="AG7" t="s">
        <v>1617</v>
      </c>
      <c r="AH7" t="s">
        <v>1618</v>
      </c>
      <c r="AI7" t="s">
        <v>1619</v>
      </c>
      <c r="AJ7" t="s">
        <v>1620</v>
      </c>
      <c r="AK7" t="s">
        <v>1621</v>
      </c>
      <c r="AL7" t="s">
        <v>1622</v>
      </c>
      <c r="AM7" t="s">
        <v>1623</v>
      </c>
      <c r="AN7" t="s">
        <v>167</v>
      </c>
      <c r="AO7" t="s">
        <v>1624</v>
      </c>
      <c r="AP7" t="s">
        <v>1625</v>
      </c>
      <c r="AQ7" t="s">
        <v>1626</v>
      </c>
      <c r="AR7" t="s">
        <v>1627</v>
      </c>
      <c r="AS7" t="s">
        <v>167</v>
      </c>
      <c r="AT7" t="s">
        <v>1628</v>
      </c>
      <c r="AU7" t="s">
        <v>1629</v>
      </c>
      <c r="AV7" t="s">
        <v>1597</v>
      </c>
      <c r="AW7" t="s">
        <v>1630</v>
      </c>
      <c r="AX7" t="s">
        <v>1631</v>
      </c>
      <c r="AY7" t="s">
        <v>1632</v>
      </c>
      <c r="AZ7" t="s">
        <v>1633</v>
      </c>
      <c r="BA7" t="s">
        <v>1634</v>
      </c>
      <c r="BB7" t="s">
        <v>1635</v>
      </c>
      <c r="BC7" t="s">
        <v>1636</v>
      </c>
      <c r="BD7" t="s">
        <v>723</v>
      </c>
      <c r="BE7" t="s">
        <v>1637</v>
      </c>
      <c r="BF7" t="s">
        <v>1638</v>
      </c>
      <c r="BG7" t="s">
        <v>1049</v>
      </c>
      <c r="BH7" t="s">
        <v>1639</v>
      </c>
      <c r="BI7" t="s">
        <v>1640</v>
      </c>
      <c r="BJ7" t="s">
        <v>1641</v>
      </c>
      <c r="BK7" t="s">
        <v>1642</v>
      </c>
      <c r="BL7" t="s">
        <v>841</v>
      </c>
      <c r="BM7" t="s">
        <v>1643</v>
      </c>
      <c r="BN7" t="s">
        <v>831</v>
      </c>
      <c r="BO7">
        <v>12.34</v>
      </c>
      <c r="BP7">
        <v>4.4800000000000004</v>
      </c>
      <c r="BQ7">
        <v>5.17</v>
      </c>
      <c r="BR7">
        <v>26.77</v>
      </c>
      <c r="BS7">
        <v>8.16</v>
      </c>
      <c r="BT7">
        <v>10.38</v>
      </c>
      <c r="BU7" t="s">
        <v>790</v>
      </c>
      <c r="BV7" t="s">
        <v>180</v>
      </c>
      <c r="BW7">
        <v>35.770000000000003</v>
      </c>
      <c r="BX7">
        <v>28.17</v>
      </c>
      <c r="BY7">
        <v>31.72</v>
      </c>
      <c r="BZ7">
        <v>23.87</v>
      </c>
      <c r="CA7">
        <v>7.34</v>
      </c>
      <c r="CB7">
        <v>10.32</v>
      </c>
      <c r="CC7">
        <v>16.18</v>
      </c>
      <c r="CD7">
        <v>-1.34</v>
      </c>
      <c r="CE7" t="s">
        <v>1644</v>
      </c>
      <c r="CF7" t="s">
        <v>1645</v>
      </c>
      <c r="CG7" s="26">
        <v>1.4988787973692452</v>
      </c>
      <c r="CH7" s="27">
        <v>1.4175343680709533</v>
      </c>
      <c r="CI7" s="26">
        <v>0.64298921823501587</v>
      </c>
      <c r="CJ7" s="26">
        <v>7.7766679227352142E-2</v>
      </c>
      <c r="CK7" s="26">
        <v>8.8105417788028717E-2</v>
      </c>
      <c r="CL7" s="26">
        <v>0.58577048778533936</v>
      </c>
      <c r="CM7" s="26">
        <v>0.94039106369018555</v>
      </c>
      <c r="CN7" s="27">
        <v>2.744760274887085</v>
      </c>
      <c r="CO7" s="27">
        <v>-0.16343140602111816</v>
      </c>
      <c r="CP7" s="27">
        <v>-8.4289029240608215E-2</v>
      </c>
      <c r="CQ7" s="27">
        <v>1.6666666269302368</v>
      </c>
      <c r="CR7" s="27">
        <v>2.1747572422027588</v>
      </c>
      <c r="CS7">
        <v>2.7303401568469736</v>
      </c>
      <c r="CT7">
        <v>167082512.49250451</v>
      </c>
      <c r="CU7">
        <v>3.8684719535783367</v>
      </c>
      <c r="CV7" s="26">
        <v>0.4670045733451843</v>
      </c>
      <c r="CW7" s="27">
        <v>1.2676927417516708</v>
      </c>
      <c r="CX7">
        <v>0.06</v>
      </c>
      <c r="CY7">
        <v>12.08175790422014</v>
      </c>
      <c r="CZ7">
        <v>6923984792.8735447</v>
      </c>
      <c r="DA7">
        <v>0.4670045733451843</v>
      </c>
      <c r="DB7">
        <v>2.9114812470687927</v>
      </c>
      <c r="DC7">
        <v>28732422056.374462</v>
      </c>
      <c r="DD7">
        <v>0.44365434467792508</v>
      </c>
      <c r="DE7">
        <v>0.91161441624650508</v>
      </c>
      <c r="DF7">
        <v>91764573386.671371</v>
      </c>
      <c r="DG7">
        <v>0.41096402454376219</v>
      </c>
      <c r="DH7">
        <v>0.30904943602393109</v>
      </c>
      <c r="DI7">
        <v>270681315831.69208</v>
      </c>
      <c r="DJ7">
        <v>0.37360365867614748</v>
      </c>
      <c r="DK7">
        <v>3.8106194410994609E-2</v>
      </c>
      <c r="DL7">
        <v>2195283714184.3718</v>
      </c>
      <c r="DM7">
        <v>0.32690320134162898</v>
      </c>
      <c r="DN7">
        <v>5003000000</v>
      </c>
      <c r="DO7">
        <v>0.4670045733451843</v>
      </c>
      <c r="DP7">
        <v>83653908000</v>
      </c>
      <c r="DQ7">
        <v>-10319652000</v>
      </c>
      <c r="DR7">
        <v>2944</v>
      </c>
      <c r="DS7">
        <v>1.0318742240240608</v>
      </c>
      <c r="DT7">
        <v>0.14984162631928255</v>
      </c>
      <c r="DU7" s="28">
        <v>0.6</v>
      </c>
      <c r="DV7">
        <v>0.6</v>
      </c>
      <c r="DW7">
        <v>1.2</v>
      </c>
      <c r="DX7">
        <v>5.0828182941903588</v>
      </c>
      <c r="DY7">
        <v>0.74074401351438213</v>
      </c>
      <c r="DZ7">
        <v>5.0191098255938984</v>
      </c>
      <c r="EA7">
        <v>71</v>
      </c>
      <c r="EB7">
        <v>5.0188338854643142</v>
      </c>
      <c r="EC7">
        <v>5</v>
      </c>
      <c r="ED7">
        <v>0.10722300623122541</v>
      </c>
      <c r="EE7">
        <v>0.46468379547083627</v>
      </c>
      <c r="EF7" s="29">
        <v>6.83E-2</v>
      </c>
      <c r="EG7">
        <v>6.9139000000000006E-2</v>
      </c>
      <c r="EH7">
        <v>51.230744013514382</v>
      </c>
      <c r="EI7">
        <v>-1</v>
      </c>
      <c r="EJ7">
        <v>1</v>
      </c>
      <c r="EK7">
        <v>1</v>
      </c>
      <c r="EL7" s="30">
        <v>44937</v>
      </c>
      <c r="EM7" s="31">
        <v>1.01E-2</v>
      </c>
      <c r="EN7" s="31">
        <v>3.8899999999999997E-2</v>
      </c>
      <c r="EO7" s="31">
        <v>2.1399999999999999E-2</v>
      </c>
      <c r="EP7" s="31">
        <v>0</v>
      </c>
      <c r="EQ7" s="31">
        <v>8.3900000000000002E-2</v>
      </c>
    </row>
    <row r="8" spans="1:147" ht="129.6" x14ac:dyDescent="0.25">
      <c r="B8" s="24" t="s">
        <v>405</v>
      </c>
      <c r="C8" s="24"/>
      <c r="D8" s="24" t="s">
        <v>1705</v>
      </c>
      <c r="E8" t="s">
        <v>270</v>
      </c>
      <c r="F8" t="s">
        <v>271</v>
      </c>
      <c r="G8">
        <v>18.37</v>
      </c>
      <c r="H8">
        <v>-1.34E-2</v>
      </c>
      <c r="I8" t="s">
        <v>1660</v>
      </c>
      <c r="J8">
        <v>54952187000</v>
      </c>
      <c r="K8">
        <v>5.42</v>
      </c>
      <c r="L8">
        <v>1.25</v>
      </c>
      <c r="M8" t="s">
        <v>177</v>
      </c>
      <c r="N8" t="s">
        <v>1661</v>
      </c>
      <c r="O8" t="s">
        <v>1662</v>
      </c>
      <c r="P8" t="s">
        <v>1663</v>
      </c>
      <c r="Q8">
        <v>28.87</v>
      </c>
      <c r="R8" t="s">
        <v>1664</v>
      </c>
      <c r="S8">
        <v>9268167400</v>
      </c>
      <c r="T8" s="25">
        <v>0.58730000000000004</v>
      </c>
      <c r="U8" t="s">
        <v>1665</v>
      </c>
      <c r="V8">
        <v>2991409200</v>
      </c>
      <c r="W8">
        <v>2991409200</v>
      </c>
      <c r="X8">
        <v>2.23</v>
      </c>
      <c r="Y8">
        <v>0.41</v>
      </c>
      <c r="Z8">
        <v>26.78</v>
      </c>
      <c r="AA8" t="s">
        <v>1666</v>
      </c>
      <c r="AB8" t="s">
        <v>1667</v>
      </c>
      <c r="AC8" t="s">
        <v>1668</v>
      </c>
      <c r="AD8" t="s">
        <v>1669</v>
      </c>
      <c r="AE8" t="s">
        <v>1670</v>
      </c>
      <c r="AF8">
        <v>677755710</v>
      </c>
      <c r="AG8" t="s">
        <v>1671</v>
      </c>
      <c r="AH8" t="s">
        <v>1672</v>
      </c>
      <c r="AI8" t="s">
        <v>1673</v>
      </c>
      <c r="AJ8" t="s">
        <v>1674</v>
      </c>
      <c r="AK8" t="s">
        <v>1675</v>
      </c>
      <c r="AL8" t="s">
        <v>1676</v>
      </c>
      <c r="AM8" t="s">
        <v>1677</v>
      </c>
      <c r="AN8" t="s">
        <v>167</v>
      </c>
      <c r="AO8" t="s">
        <v>1678</v>
      </c>
      <c r="AP8" t="s">
        <v>1679</v>
      </c>
      <c r="AQ8" t="s">
        <v>1680</v>
      </c>
      <c r="AR8" t="s">
        <v>1681</v>
      </c>
      <c r="AS8" t="s">
        <v>167</v>
      </c>
      <c r="AT8" t="s">
        <v>1682</v>
      </c>
      <c r="AU8" t="s">
        <v>1683</v>
      </c>
      <c r="AV8" t="s">
        <v>1684</v>
      </c>
      <c r="AW8" t="s">
        <v>1685</v>
      </c>
      <c r="AX8" t="s">
        <v>1686</v>
      </c>
      <c r="AY8" t="s">
        <v>1687</v>
      </c>
      <c r="AZ8" t="s">
        <v>1688</v>
      </c>
      <c r="BA8" t="s">
        <v>1689</v>
      </c>
      <c r="BB8" t="s">
        <v>1690</v>
      </c>
      <c r="BC8" t="s">
        <v>1691</v>
      </c>
      <c r="BD8" t="s">
        <v>1692</v>
      </c>
      <c r="BE8" t="s">
        <v>1693</v>
      </c>
      <c r="BF8" t="s">
        <v>1694</v>
      </c>
      <c r="BG8" t="s">
        <v>1695</v>
      </c>
      <c r="BH8" t="s">
        <v>1696</v>
      </c>
      <c r="BI8" t="s">
        <v>1697</v>
      </c>
      <c r="BJ8" t="s">
        <v>1698</v>
      </c>
      <c r="BK8" t="s">
        <v>1699</v>
      </c>
      <c r="BL8" t="s">
        <v>1700</v>
      </c>
      <c r="BM8" t="s">
        <v>1701</v>
      </c>
      <c r="BN8" t="s">
        <v>1702</v>
      </c>
      <c r="BO8">
        <v>17.39</v>
      </c>
      <c r="BP8">
        <v>7.34</v>
      </c>
      <c r="BQ8">
        <v>8.56</v>
      </c>
      <c r="BR8">
        <v>22.02</v>
      </c>
      <c r="BS8">
        <v>7.55</v>
      </c>
      <c r="BT8">
        <v>9.5</v>
      </c>
      <c r="BU8" t="s">
        <v>1703</v>
      </c>
      <c r="BV8" t="s">
        <v>221</v>
      </c>
      <c r="BW8">
        <v>48.12</v>
      </c>
      <c r="BX8">
        <v>33.619999999999997</v>
      </c>
      <c r="BY8">
        <v>38.74</v>
      </c>
      <c r="BZ8">
        <v>24.3</v>
      </c>
      <c r="CA8">
        <v>7.25</v>
      </c>
      <c r="CB8">
        <v>8.58</v>
      </c>
      <c r="CC8">
        <v>7.93</v>
      </c>
      <c r="CD8">
        <v>-2.29</v>
      </c>
      <c r="CE8" t="s">
        <v>1704</v>
      </c>
      <c r="CF8" t="s">
        <v>791</v>
      </c>
      <c r="CG8" s="26">
        <v>-0.11397990749867314</v>
      </c>
      <c r="CH8" s="27">
        <v>0.36876196957566026</v>
      </c>
      <c r="CI8" s="26">
        <v>0.7332233190536499</v>
      </c>
      <c r="CJ8" s="26">
        <v>-2.7733195573091507E-2</v>
      </c>
      <c r="CK8" s="26">
        <v>4.085177555680275E-3</v>
      </c>
      <c r="CL8" s="26">
        <v>0.13328231871128082</v>
      </c>
      <c r="CM8" s="26">
        <v>0.65464895963668823</v>
      </c>
      <c r="CN8" s="27">
        <v>2.447070837020874</v>
      </c>
      <c r="CO8" s="27">
        <v>-0.1820092648267746</v>
      </c>
      <c r="CP8" s="27">
        <v>1.4066578820347786E-2</v>
      </c>
      <c r="CQ8" s="27">
        <v>-0.15672187507152557</v>
      </c>
      <c r="CR8" s="27">
        <v>2.2462079524993896</v>
      </c>
      <c r="CS8">
        <v>1.2171835780893525</v>
      </c>
      <c r="CT8">
        <v>137827538.75968993</v>
      </c>
      <c r="CU8">
        <v>3.663581927054981</v>
      </c>
      <c r="CV8" s="26">
        <v>0.29950131587684153</v>
      </c>
      <c r="CW8" s="27">
        <v>0.87372284568846226</v>
      </c>
      <c r="CX8">
        <v>0.06</v>
      </c>
      <c r="CY8">
        <v>7.8940972136178553</v>
      </c>
      <c r="CZ8">
        <v>8223636629.1526918</v>
      </c>
      <c r="DA8">
        <v>0.29950131587684153</v>
      </c>
      <c r="DB8">
        <v>2.1699555743524988</v>
      </c>
      <c r="DC8">
        <v>29916827684.074219</v>
      </c>
      <c r="DD8">
        <v>0.28452625008299942</v>
      </c>
      <c r="DE8">
        <v>0.83415059210984266</v>
      </c>
      <c r="DF8">
        <v>77825500112.396301</v>
      </c>
      <c r="DG8">
        <v>0.26356115797162055</v>
      </c>
      <c r="DH8">
        <v>0.37058484267082858</v>
      </c>
      <c r="DI8">
        <v>175177663857.29779</v>
      </c>
      <c r="DJ8">
        <v>0.23960105270147325</v>
      </c>
      <c r="DK8">
        <v>9.1879791360395063E-2</v>
      </c>
      <c r="DL8">
        <v>706555664078.08679</v>
      </c>
      <c r="DM8">
        <v>0.20965092111378905</v>
      </c>
      <c r="DN8">
        <v>6708000000</v>
      </c>
      <c r="DO8">
        <v>0.29950131587684153</v>
      </c>
      <c r="DP8">
        <v>64918187000</v>
      </c>
      <c r="DQ8">
        <v>2790533000</v>
      </c>
      <c r="DR8">
        <v>3677</v>
      </c>
      <c r="DS8">
        <v>-0.41348122337551468</v>
      </c>
      <c r="DT8">
        <v>-0.50496087611280194</v>
      </c>
      <c r="DU8" s="28">
        <v>0.75333333333333341</v>
      </c>
      <c r="DV8">
        <v>0.72666666666666657</v>
      </c>
      <c r="DW8">
        <v>1.48</v>
      </c>
      <c r="DX8">
        <v>5.2887767969735187</v>
      </c>
      <c r="DY8">
        <v>0.39100719424460417</v>
      </c>
      <c r="DZ8">
        <v>5.0695972856015317</v>
      </c>
      <c r="EA8">
        <v>807</v>
      </c>
      <c r="EB8">
        <v>5.0581839530511488</v>
      </c>
      <c r="EC8">
        <v>5</v>
      </c>
      <c r="ED8">
        <v>4.4794941461034493E-2</v>
      </c>
      <c r="EE8">
        <v>0.18586557800250131</v>
      </c>
      <c r="EF8" s="29">
        <v>7.3209999999999997E-2</v>
      </c>
      <c r="EG8">
        <v>7.3343999999999993E-2</v>
      </c>
      <c r="EH8">
        <v>15.241007194244604</v>
      </c>
      <c r="EI8">
        <v>-1</v>
      </c>
      <c r="EJ8">
        <v>1</v>
      </c>
      <c r="EK8">
        <v>1</v>
      </c>
      <c r="EL8" s="30">
        <v>44942</v>
      </c>
      <c r="EM8" s="31">
        <v>-1.18E-2</v>
      </c>
      <c r="EN8" s="31">
        <v>7.7899999999999997E-2</v>
      </c>
      <c r="EO8" s="31">
        <v>2.4299999999999999E-2</v>
      </c>
      <c r="EP8" s="31">
        <v>0.27</v>
      </c>
      <c r="EQ8" s="31">
        <v>-1.34E-2</v>
      </c>
    </row>
    <row r="9" spans="1:147" ht="140.4" x14ac:dyDescent="0.25">
      <c r="B9" s="24" t="s">
        <v>405</v>
      </c>
      <c r="C9" s="24"/>
      <c r="D9" s="24" t="s">
        <v>1709</v>
      </c>
      <c r="E9" t="s">
        <v>272</v>
      </c>
      <c r="F9" t="s">
        <v>273</v>
      </c>
      <c r="G9">
        <v>11.56</v>
      </c>
      <c r="H9">
        <v>8.6999999999999994E-3</v>
      </c>
      <c r="I9" t="s">
        <v>1706</v>
      </c>
      <c r="J9">
        <v>47356234000</v>
      </c>
      <c r="K9">
        <v>5.0999999999999996</v>
      </c>
      <c r="L9">
        <v>1.68</v>
      </c>
      <c r="M9" t="s">
        <v>177</v>
      </c>
      <c r="N9" t="s">
        <v>407</v>
      </c>
      <c r="O9" t="s">
        <v>408</v>
      </c>
      <c r="P9" t="s">
        <v>409</v>
      </c>
      <c r="Q9">
        <v>38.68</v>
      </c>
      <c r="R9" t="s">
        <v>410</v>
      </c>
      <c r="S9">
        <v>8296499400</v>
      </c>
      <c r="T9" s="25">
        <v>1.6140000000000001</v>
      </c>
      <c r="U9" t="s">
        <v>411</v>
      </c>
      <c r="V9">
        <v>4096560000</v>
      </c>
      <c r="W9">
        <v>4096560000</v>
      </c>
      <c r="X9">
        <v>2.19</v>
      </c>
      <c r="Y9">
        <v>0.57999999999999996</v>
      </c>
      <c r="Z9">
        <v>22.04</v>
      </c>
      <c r="AA9" t="s">
        <v>412</v>
      </c>
      <c r="AB9" t="s">
        <v>413</v>
      </c>
      <c r="AC9" t="s">
        <v>414</v>
      </c>
      <c r="AD9" t="s">
        <v>415</v>
      </c>
      <c r="AE9" t="s">
        <v>416</v>
      </c>
      <c r="AF9">
        <v>515251680</v>
      </c>
      <c r="AG9" t="s">
        <v>417</v>
      </c>
      <c r="AH9" t="s">
        <v>418</v>
      </c>
      <c r="AI9" t="s">
        <v>419</v>
      </c>
      <c r="AJ9" t="s">
        <v>420</v>
      </c>
      <c r="AK9" t="s">
        <v>421</v>
      </c>
      <c r="AL9" t="s">
        <v>422</v>
      </c>
      <c r="AM9" t="s">
        <v>423</v>
      </c>
      <c r="AN9" t="s">
        <v>167</v>
      </c>
      <c r="AO9" t="s">
        <v>424</v>
      </c>
      <c r="AP9" t="s">
        <v>425</v>
      </c>
      <c r="AQ9" t="s">
        <v>426</v>
      </c>
      <c r="AR9" t="s">
        <v>427</v>
      </c>
      <c r="AS9" t="s">
        <v>167</v>
      </c>
      <c r="AT9" t="s">
        <v>428</v>
      </c>
      <c r="AU9" t="s">
        <v>429</v>
      </c>
      <c r="AV9" t="s">
        <v>430</v>
      </c>
      <c r="AW9" t="s">
        <v>431</v>
      </c>
      <c r="AX9" t="s">
        <v>432</v>
      </c>
      <c r="AY9" t="s">
        <v>433</v>
      </c>
      <c r="AZ9" t="s">
        <v>434</v>
      </c>
      <c r="BA9" t="s">
        <v>435</v>
      </c>
      <c r="BB9" t="s">
        <v>436</v>
      </c>
      <c r="BC9" t="s">
        <v>437</v>
      </c>
      <c r="BD9" t="s">
        <v>438</v>
      </c>
      <c r="BE9" t="s">
        <v>439</v>
      </c>
      <c r="BF9" t="s">
        <v>440</v>
      </c>
      <c r="BG9" t="s">
        <v>441</v>
      </c>
      <c r="BH9" t="s">
        <v>442</v>
      </c>
      <c r="BI9" t="s">
        <v>443</v>
      </c>
      <c r="BJ9" t="s">
        <v>444</v>
      </c>
      <c r="BK9" t="s">
        <v>445</v>
      </c>
      <c r="BL9" t="s">
        <v>446</v>
      </c>
      <c r="BM9" t="s">
        <v>447</v>
      </c>
      <c r="BN9" t="s">
        <v>448</v>
      </c>
      <c r="BO9">
        <v>13.27</v>
      </c>
      <c r="BP9">
        <v>6.06</v>
      </c>
      <c r="BQ9">
        <v>5.82</v>
      </c>
      <c r="BR9">
        <v>20.16</v>
      </c>
      <c r="BS9">
        <v>9.17</v>
      </c>
      <c r="BT9">
        <v>8.5</v>
      </c>
      <c r="BU9" t="s">
        <v>449</v>
      </c>
      <c r="BV9" t="s">
        <v>221</v>
      </c>
      <c r="BW9">
        <v>41.7</v>
      </c>
      <c r="BX9">
        <v>26.24</v>
      </c>
      <c r="BY9">
        <v>31.88</v>
      </c>
      <c r="BZ9">
        <v>22.59</v>
      </c>
      <c r="CA9">
        <v>6.52</v>
      </c>
      <c r="CB9">
        <v>6.13</v>
      </c>
      <c r="CC9">
        <v>3.31</v>
      </c>
      <c r="CD9">
        <v>-10.53</v>
      </c>
      <c r="CE9" t="s">
        <v>1707</v>
      </c>
      <c r="CF9" t="s">
        <v>1708</v>
      </c>
      <c r="CG9" s="26">
        <v>0.28673435260391783</v>
      </c>
      <c r="CH9" s="27">
        <v>1.1158531707317076</v>
      </c>
      <c r="CI9" s="26">
        <v>0.34149953722953796</v>
      </c>
      <c r="CJ9" s="26">
        <v>-6.2513932585716248E-2</v>
      </c>
      <c r="CK9" s="26">
        <v>0.11580062657594681</v>
      </c>
      <c r="CL9" s="26">
        <v>0.1261909008026123</v>
      </c>
      <c r="CM9" s="26">
        <v>0.46116966009140015</v>
      </c>
      <c r="CN9" s="27">
        <v>1.1298568248748779</v>
      </c>
      <c r="CO9" s="27">
        <v>-7.5614370405673981E-2</v>
      </c>
      <c r="CP9" s="27">
        <v>0.17425082623958588</v>
      </c>
      <c r="CQ9" s="27">
        <v>0.14850227534770966</v>
      </c>
      <c r="CR9" s="27">
        <v>2.6152071952819824</v>
      </c>
      <c r="CS9">
        <v>1.0457377498067792</v>
      </c>
      <c r="CT9">
        <v>198727513.20211235</v>
      </c>
      <c r="CU9">
        <v>6.9204152249134943</v>
      </c>
      <c r="CV9" s="26">
        <v>0.19642935842275619</v>
      </c>
      <c r="CW9" s="27">
        <v>0.79844055026769634</v>
      </c>
      <c r="CX9">
        <v>0.06</v>
      </c>
      <c r="CY9">
        <v>11.387714760663851</v>
      </c>
      <c r="CZ9">
        <v>4702193119.9898129</v>
      </c>
      <c r="DA9">
        <v>0.19642935842275619</v>
      </c>
      <c r="DB9">
        <v>3.4044957914815392</v>
      </c>
      <c r="DC9">
        <v>15728388953.800932</v>
      </c>
      <c r="DD9">
        <v>0.18660789050161838</v>
      </c>
      <c r="DE9">
        <v>1.4812060856305418</v>
      </c>
      <c r="DF9">
        <v>36151103158.076225</v>
      </c>
      <c r="DG9">
        <v>0.17285783541202546</v>
      </c>
      <c r="DH9">
        <v>0.76892553381722284</v>
      </c>
      <c r="DI9">
        <v>69639037390.489914</v>
      </c>
      <c r="DJ9">
        <v>0.15714348673820497</v>
      </c>
      <c r="DK9">
        <v>0.28238121794418691</v>
      </c>
      <c r="DL9">
        <v>189627463150.12952</v>
      </c>
      <c r="DM9">
        <v>0.13750055089592933</v>
      </c>
      <c r="DN9">
        <v>4165999999.9999995</v>
      </c>
      <c r="DO9">
        <v>0.19642935842275619</v>
      </c>
      <c r="DP9">
        <v>53547234000</v>
      </c>
      <c r="DQ9">
        <v>-2527672000</v>
      </c>
      <c r="DR9">
        <v>432</v>
      </c>
      <c r="DS9">
        <v>9.0304994181161641E-2</v>
      </c>
      <c r="DT9">
        <v>0.31741262046401131</v>
      </c>
      <c r="DU9" s="28">
        <v>0.48666666666666664</v>
      </c>
      <c r="DV9">
        <v>1.6133333333333333</v>
      </c>
      <c r="DW9">
        <v>2.1</v>
      </c>
      <c r="DX9">
        <v>6.2391618497109826</v>
      </c>
      <c r="DY9">
        <v>0.3686494127316749</v>
      </c>
      <c r="DZ9">
        <v>6.040334505501578</v>
      </c>
      <c r="EA9">
        <v>228</v>
      </c>
      <c r="EB9">
        <v>6.0384657253238991</v>
      </c>
      <c r="EC9">
        <v>6</v>
      </c>
      <c r="ED9">
        <v>5.8829847481789599E-2</v>
      </c>
      <c r="EE9">
        <v>0.34882926162438727</v>
      </c>
      <c r="EF9" s="29">
        <v>0.09</v>
      </c>
      <c r="EG9">
        <v>9.0087E-2</v>
      </c>
      <c r="EH9">
        <v>20.168649412731675</v>
      </c>
      <c r="EI9" t="s">
        <v>362</v>
      </c>
      <c r="EJ9">
        <v>0</v>
      </c>
      <c r="EK9">
        <v>1</v>
      </c>
      <c r="EL9" s="30">
        <v>44942</v>
      </c>
      <c r="EM9" s="31">
        <v>-1.43E-2</v>
      </c>
      <c r="EN9" s="31">
        <v>4.6199999999999998E-2</v>
      </c>
      <c r="EO9" s="31">
        <v>-3.5000000000000001E-3</v>
      </c>
      <c r="EP9" s="31">
        <v>-0.35</v>
      </c>
      <c r="EQ9" s="31">
        <v>8.6999999999999994E-3</v>
      </c>
    </row>
    <row r="10" spans="1:147" ht="151.19999999999999" x14ac:dyDescent="0.25">
      <c r="B10" s="24" t="s">
        <v>1710</v>
      </c>
      <c r="C10" s="24"/>
      <c r="D10" s="24" t="s">
        <v>1714</v>
      </c>
      <c r="E10" t="s">
        <v>274</v>
      </c>
      <c r="F10" t="s">
        <v>275</v>
      </c>
      <c r="G10">
        <v>14.61</v>
      </c>
      <c r="H10">
        <v>1.18E-2</v>
      </c>
      <c r="I10" t="s">
        <v>1711</v>
      </c>
      <c r="J10">
        <v>35137050000</v>
      </c>
      <c r="K10">
        <v>5.67</v>
      </c>
      <c r="L10">
        <v>1.48</v>
      </c>
      <c r="M10" t="s">
        <v>177</v>
      </c>
      <c r="N10" t="s">
        <v>451</v>
      </c>
      <c r="O10" t="s">
        <v>452</v>
      </c>
      <c r="P10" t="s">
        <v>453</v>
      </c>
      <c r="Q10">
        <v>-5.86</v>
      </c>
      <c r="R10" t="s">
        <v>454</v>
      </c>
      <c r="S10">
        <v>4959027400</v>
      </c>
      <c r="T10" s="25">
        <v>1.1639999999999999</v>
      </c>
      <c r="U10" t="s">
        <v>455</v>
      </c>
      <c r="V10">
        <v>2405000000</v>
      </c>
      <c r="W10">
        <v>2405000000</v>
      </c>
      <c r="X10">
        <v>2.31</v>
      </c>
      <c r="Y10">
        <v>0.39</v>
      </c>
      <c r="Z10">
        <v>21.36</v>
      </c>
      <c r="AA10" t="s">
        <v>456</v>
      </c>
      <c r="AB10" t="s">
        <v>457</v>
      </c>
      <c r="AC10" t="s">
        <v>458</v>
      </c>
      <c r="AD10" t="s">
        <v>459</v>
      </c>
      <c r="AE10" t="s">
        <v>460</v>
      </c>
      <c r="AF10">
        <v>325386420</v>
      </c>
      <c r="AG10" t="s">
        <v>461</v>
      </c>
      <c r="AH10" t="s">
        <v>462</v>
      </c>
      <c r="AI10" t="s">
        <v>463</v>
      </c>
      <c r="AJ10" t="s">
        <v>464</v>
      </c>
      <c r="AK10" t="s">
        <v>465</v>
      </c>
      <c r="AL10" t="s">
        <v>167</v>
      </c>
      <c r="AM10" t="s">
        <v>466</v>
      </c>
      <c r="AN10" t="s">
        <v>167</v>
      </c>
      <c r="AO10" t="s">
        <v>467</v>
      </c>
      <c r="AP10" t="s">
        <v>468</v>
      </c>
      <c r="AQ10" t="s">
        <v>469</v>
      </c>
      <c r="AR10" t="s">
        <v>470</v>
      </c>
      <c r="AS10" t="s">
        <v>167</v>
      </c>
      <c r="AT10" t="s">
        <v>471</v>
      </c>
      <c r="AU10" t="s">
        <v>472</v>
      </c>
      <c r="AV10" t="s">
        <v>473</v>
      </c>
      <c r="AW10" t="s">
        <v>474</v>
      </c>
      <c r="AX10" t="s">
        <v>475</v>
      </c>
      <c r="AY10" t="s">
        <v>476</v>
      </c>
      <c r="AZ10" t="s">
        <v>477</v>
      </c>
      <c r="BA10" t="s">
        <v>478</v>
      </c>
      <c r="BB10" t="s">
        <v>479</v>
      </c>
      <c r="BC10" t="s">
        <v>480</v>
      </c>
      <c r="BD10" t="s">
        <v>481</v>
      </c>
      <c r="BE10" t="s">
        <v>482</v>
      </c>
      <c r="BF10" t="s">
        <v>483</v>
      </c>
      <c r="BG10" t="s">
        <v>484</v>
      </c>
      <c r="BH10" t="s">
        <v>485</v>
      </c>
      <c r="BI10" t="s">
        <v>486</v>
      </c>
      <c r="BJ10" t="s">
        <v>487</v>
      </c>
      <c r="BK10" t="s">
        <v>488</v>
      </c>
      <c r="BL10" t="s">
        <v>489</v>
      </c>
      <c r="BM10" t="s">
        <v>490</v>
      </c>
      <c r="BN10" t="s">
        <v>491</v>
      </c>
      <c r="BO10">
        <v>12.58</v>
      </c>
      <c r="BP10">
        <v>5.04</v>
      </c>
      <c r="BQ10">
        <v>6.35</v>
      </c>
      <c r="BR10">
        <v>19.420000000000002</v>
      </c>
      <c r="BS10">
        <v>9.0299999999999994</v>
      </c>
      <c r="BT10">
        <v>10.210000000000001</v>
      </c>
      <c r="BU10" t="s">
        <v>492</v>
      </c>
      <c r="BV10" t="s">
        <v>221</v>
      </c>
      <c r="BW10">
        <v>40.369999999999997</v>
      </c>
      <c r="BX10">
        <v>16.899999999999999</v>
      </c>
      <c r="BY10">
        <v>18.07</v>
      </c>
      <c r="BZ10">
        <v>20.54</v>
      </c>
      <c r="CA10">
        <v>5.33</v>
      </c>
      <c r="CB10">
        <v>5.48</v>
      </c>
      <c r="CC10">
        <v>-1.35</v>
      </c>
      <c r="CD10">
        <v>-11.93</v>
      </c>
      <c r="CE10" t="s">
        <v>1712</v>
      </c>
      <c r="CF10" t="s">
        <v>1713</v>
      </c>
      <c r="CG10" s="26">
        <v>-0.11927838104639721</v>
      </c>
      <c r="CH10" s="27">
        <v>0.43637172958735776</v>
      </c>
      <c r="CI10" s="26">
        <v>0.21891537308692932</v>
      </c>
      <c r="CJ10" s="26">
        <v>-4.5226261019706726E-2</v>
      </c>
      <c r="CK10" s="26">
        <v>-7.9547672066837549E-4</v>
      </c>
      <c r="CL10" s="26">
        <v>0.16123069822788239</v>
      </c>
      <c r="CM10" s="26">
        <v>0.50505316257476807</v>
      </c>
      <c r="CN10" s="27">
        <v>1.3481729030609131</v>
      </c>
      <c r="CO10" s="27">
        <v>-0.11522641032934189</v>
      </c>
      <c r="CP10" s="27">
        <v>-0.13698630034923553</v>
      </c>
      <c r="CQ10" s="27">
        <v>0.20476776361465454</v>
      </c>
      <c r="CR10" s="27">
        <v>2.8135199546813965</v>
      </c>
      <c r="CS10">
        <v>0.9244889099376431</v>
      </c>
      <c r="CT10">
        <v>139768873.79739669</v>
      </c>
      <c r="CU10">
        <v>3.4223134839151266</v>
      </c>
      <c r="CV10" s="26">
        <v>0.16783549922984092</v>
      </c>
      <c r="CW10" s="27">
        <v>0.82284958213567738</v>
      </c>
      <c r="CX10">
        <v>0.06</v>
      </c>
      <c r="CY10">
        <v>11.371986237302108</v>
      </c>
      <c r="CZ10">
        <v>3893519485.1681681</v>
      </c>
      <c r="DA10">
        <v>0.16783549922984092</v>
      </c>
      <c r="DB10">
        <v>3.4812882971987329</v>
      </c>
      <c r="DC10">
        <v>12718581806.519197</v>
      </c>
      <c r="DD10">
        <v>0.15944372426834888</v>
      </c>
      <c r="DE10">
        <v>1.5665510878701716</v>
      </c>
      <c r="DF10">
        <v>28264031950.721466</v>
      </c>
      <c r="DG10">
        <v>0.14769523932226</v>
      </c>
      <c r="DH10">
        <v>0.84717550709333656</v>
      </c>
      <c r="DI10">
        <v>52264317876.60479</v>
      </c>
      <c r="DJ10">
        <v>0.13426839938387275</v>
      </c>
      <c r="DK10">
        <v>0.34363979205964623</v>
      </c>
      <c r="DL10">
        <v>128847272705.58569</v>
      </c>
      <c r="DM10">
        <v>0.11748484946088864</v>
      </c>
      <c r="DN10">
        <v>3534000000.0000005</v>
      </c>
      <c r="DO10">
        <v>0.16783549922984092</v>
      </c>
      <c r="DP10">
        <v>44277050000</v>
      </c>
      <c r="DQ10">
        <v>-3832841000</v>
      </c>
      <c r="DR10">
        <v>3021</v>
      </c>
      <c r="DS10">
        <v>-0.28711388027623813</v>
      </c>
      <c r="DT10">
        <v>-0.38647785254831962</v>
      </c>
      <c r="DU10" s="28">
        <v>0.3833333333333333</v>
      </c>
      <c r="DV10">
        <v>1.4350000000000003</v>
      </c>
      <c r="DW10">
        <v>1.8183333333333336</v>
      </c>
      <c r="DX10">
        <v>-2.1193</v>
      </c>
      <c r="DY10">
        <v>0.45306818181818342</v>
      </c>
      <c r="DZ10">
        <v>-2.0254190340909091</v>
      </c>
      <c r="EA10">
        <v>435</v>
      </c>
      <c r="EB10">
        <v>-2.0231720761901681</v>
      </c>
      <c r="EC10">
        <v>2</v>
      </c>
      <c r="ED10">
        <v>9.355509355509356E-2</v>
      </c>
      <c r="EE10">
        <v>0.43908523908523911</v>
      </c>
      <c r="EF10" s="29">
        <v>2.9700000000000001E-2</v>
      </c>
      <c r="EG10">
        <v>2.9818000000000001E-2</v>
      </c>
      <c r="EH10">
        <v>24.213068181818183</v>
      </c>
      <c r="EI10">
        <v>-1</v>
      </c>
      <c r="EJ10">
        <v>0</v>
      </c>
      <c r="EK10">
        <v>1</v>
      </c>
      <c r="EL10" s="30">
        <v>44942</v>
      </c>
      <c r="EM10" s="31">
        <v>-1.9599999999999999E-2</v>
      </c>
      <c r="EN10" s="31">
        <v>2.4799999999999999E-2</v>
      </c>
      <c r="EO10" s="31">
        <v>-1.61E-2</v>
      </c>
      <c r="EP10" s="31">
        <v>-1.37</v>
      </c>
      <c r="EQ10" s="31">
        <v>1.18E-2</v>
      </c>
    </row>
    <row r="11" spans="1:147" ht="86.4" x14ac:dyDescent="0.25">
      <c r="B11" s="24"/>
      <c r="C11" s="24"/>
      <c r="D11" s="24" t="s">
        <v>1718</v>
      </c>
      <c r="E11" t="s">
        <v>276</v>
      </c>
      <c r="F11" t="s">
        <v>277</v>
      </c>
      <c r="G11">
        <v>13.1</v>
      </c>
      <c r="H11">
        <v>-4.5999999999999999E-3</v>
      </c>
      <c r="I11" t="s">
        <v>1715</v>
      </c>
      <c r="J11">
        <v>32501571000</v>
      </c>
      <c r="K11">
        <v>5.23</v>
      </c>
      <c r="L11">
        <v>1.03</v>
      </c>
      <c r="M11" t="s">
        <v>177</v>
      </c>
      <c r="N11" t="s">
        <v>493</v>
      </c>
      <c r="O11" t="s">
        <v>494</v>
      </c>
      <c r="P11" t="s">
        <v>495</v>
      </c>
      <c r="Q11">
        <v>16.95</v>
      </c>
      <c r="R11" t="s">
        <v>496</v>
      </c>
      <c r="S11">
        <v>5217598900</v>
      </c>
      <c r="T11" s="25">
        <v>0.37730000000000002</v>
      </c>
      <c r="U11" t="s">
        <v>497</v>
      </c>
      <c r="V11">
        <v>2481035900</v>
      </c>
      <c r="W11">
        <v>2481035900</v>
      </c>
      <c r="X11">
        <v>2.1800000000000002</v>
      </c>
      <c r="Y11">
        <v>0.75</v>
      </c>
      <c r="Z11">
        <v>9.56</v>
      </c>
      <c r="AA11" t="s">
        <v>498</v>
      </c>
      <c r="AB11" t="s">
        <v>499</v>
      </c>
      <c r="AC11" t="s">
        <v>500</v>
      </c>
      <c r="AD11" t="s">
        <v>501</v>
      </c>
      <c r="AE11" t="s">
        <v>502</v>
      </c>
      <c r="AF11">
        <v>485196090</v>
      </c>
      <c r="AG11" t="s">
        <v>503</v>
      </c>
      <c r="AH11" t="s">
        <v>504</v>
      </c>
      <c r="AI11" t="s">
        <v>505</v>
      </c>
      <c r="AJ11" t="s">
        <v>506</v>
      </c>
      <c r="AK11" t="s">
        <v>507</v>
      </c>
      <c r="AL11" t="s">
        <v>508</v>
      </c>
      <c r="AM11" t="s">
        <v>509</v>
      </c>
      <c r="AN11" t="s">
        <v>167</v>
      </c>
      <c r="AO11" t="s">
        <v>510</v>
      </c>
      <c r="AP11" t="s">
        <v>511</v>
      </c>
      <c r="AQ11" t="s">
        <v>512</v>
      </c>
      <c r="AR11" t="s">
        <v>513</v>
      </c>
      <c r="AS11" t="s">
        <v>167</v>
      </c>
      <c r="AT11" t="s">
        <v>514</v>
      </c>
      <c r="AU11" t="s">
        <v>515</v>
      </c>
      <c r="AV11" t="s">
        <v>516</v>
      </c>
      <c r="AW11" t="s">
        <v>517</v>
      </c>
      <c r="AX11" t="s">
        <v>518</v>
      </c>
      <c r="AY11" t="s">
        <v>519</v>
      </c>
      <c r="AZ11" t="s">
        <v>520</v>
      </c>
      <c r="BA11" t="s">
        <v>521</v>
      </c>
      <c r="BB11" t="s">
        <v>522</v>
      </c>
      <c r="BC11" t="s">
        <v>523</v>
      </c>
      <c r="BD11" t="s">
        <v>524</v>
      </c>
      <c r="BE11" t="s">
        <v>525</v>
      </c>
      <c r="BF11" t="s">
        <v>526</v>
      </c>
      <c r="BG11" t="s">
        <v>527</v>
      </c>
      <c r="BH11" t="s">
        <v>528</v>
      </c>
      <c r="BI11" t="s">
        <v>529</v>
      </c>
      <c r="BJ11" t="s">
        <v>530</v>
      </c>
      <c r="BK11" t="s">
        <v>531</v>
      </c>
      <c r="BL11" t="s">
        <v>532</v>
      </c>
      <c r="BM11" t="s">
        <v>533</v>
      </c>
      <c r="BN11" t="s">
        <v>534</v>
      </c>
      <c r="BO11">
        <v>10.28</v>
      </c>
      <c r="BP11">
        <v>8.34</v>
      </c>
      <c r="BQ11">
        <v>9.4700000000000006</v>
      </c>
      <c r="BR11">
        <v>19.649999999999999</v>
      </c>
      <c r="BS11">
        <v>17.14</v>
      </c>
      <c r="BT11">
        <v>20.57</v>
      </c>
      <c r="BU11" t="s">
        <v>535</v>
      </c>
      <c r="BV11" t="s">
        <v>221</v>
      </c>
      <c r="BW11">
        <v>22.92</v>
      </c>
      <c r="BX11">
        <v>18.170000000000002</v>
      </c>
      <c r="BY11">
        <v>16.53</v>
      </c>
      <c r="BZ11">
        <v>9.9700000000000006</v>
      </c>
      <c r="CA11">
        <v>7.02</v>
      </c>
      <c r="CB11">
        <v>6.01</v>
      </c>
      <c r="CC11">
        <v>0.38</v>
      </c>
      <c r="CD11">
        <v>-6.56</v>
      </c>
      <c r="CE11" t="s">
        <v>1716</v>
      </c>
      <c r="CF11" t="s">
        <v>1717</v>
      </c>
      <c r="CG11" s="26">
        <v>-9.7642543231107284E-2</v>
      </c>
      <c r="CH11" s="27">
        <v>0.31605635930047682</v>
      </c>
      <c r="CI11" s="26">
        <v>0.24191796779632568</v>
      </c>
      <c r="CJ11" s="26">
        <v>-0.12843263149261475</v>
      </c>
      <c r="CK11" s="26">
        <v>3.9999999105930328E-2</v>
      </c>
      <c r="CL11" s="26">
        <v>0.15769964456558228</v>
      </c>
      <c r="CM11" s="26">
        <v>58.694972991943359</v>
      </c>
      <c r="CN11" s="27">
        <v>0.37831610441207886</v>
      </c>
      <c r="CO11" s="27">
        <v>-4.4891230762004852E-2</v>
      </c>
      <c r="CP11" s="27">
        <v>1.96574367582798E-2</v>
      </c>
      <c r="CQ11" s="27">
        <v>0.2347433865070343</v>
      </c>
      <c r="CR11" s="27">
        <v>31.022314071655273</v>
      </c>
      <c r="CS11">
        <v>0.49973201820474183</v>
      </c>
      <c r="CT11">
        <v>111948995.81589958</v>
      </c>
      <c r="CU11">
        <v>5.3435114503816799</v>
      </c>
      <c r="CV11" s="26">
        <v>11.801231594383717</v>
      </c>
      <c r="CW11" s="27">
        <v>6.322027953714132</v>
      </c>
      <c r="CX11">
        <v>0.06</v>
      </c>
      <c r="CY11">
        <v>0.6800291238585644</v>
      </c>
      <c r="CZ11">
        <v>57726308510.522789</v>
      </c>
      <c r="DA11">
        <v>11.801231594383717</v>
      </c>
      <c r="DB11">
        <v>4.9086999898482865E-3</v>
      </c>
      <c r="DC11">
        <v>7997142029699.2471</v>
      </c>
      <c r="DD11">
        <v>11.21117001466453</v>
      </c>
      <c r="DE11">
        <v>4.8511962068196689E-6</v>
      </c>
      <c r="DF11">
        <v>8091936365058925</v>
      </c>
      <c r="DG11">
        <v>10.385083803057672</v>
      </c>
      <c r="DH11">
        <v>8.5827051490056751E-10</v>
      </c>
      <c r="DI11">
        <v>4.5737993229964149E+19</v>
      </c>
      <c r="DJ11">
        <v>9.4409852755069732</v>
      </c>
      <c r="DK11">
        <v>1.083354116047763E-18</v>
      </c>
      <c r="DL11">
        <v>3.6235216554315742E+28</v>
      </c>
      <c r="DM11">
        <v>8.2608621160686013</v>
      </c>
      <c r="DN11">
        <v>4780000000</v>
      </c>
      <c r="DO11">
        <v>11.801231594383717</v>
      </c>
      <c r="DP11">
        <v>39255571000</v>
      </c>
      <c r="DQ11">
        <v>-5155584000</v>
      </c>
      <c r="DR11">
        <v>3519</v>
      </c>
      <c r="DS11">
        <v>-11.898874137614824</v>
      </c>
      <c r="DT11">
        <v>-6.0059715944136549</v>
      </c>
      <c r="DU11" s="28">
        <v>1.0316666666666667</v>
      </c>
      <c r="DV11">
        <v>1.0316666666666667</v>
      </c>
      <c r="DW11">
        <v>2.0633333333333335</v>
      </c>
      <c r="DX11">
        <v>-2.0655999999999999</v>
      </c>
      <c r="DY11">
        <v>0.4540234104046259</v>
      </c>
      <c r="DZ11">
        <v>-2.0114159357225434</v>
      </c>
      <c r="EA11">
        <v>259</v>
      </c>
      <c r="EB11">
        <v>-2.0108150970003043</v>
      </c>
      <c r="EC11">
        <v>2</v>
      </c>
      <c r="ED11">
        <v>2.4268935407182137E-2</v>
      </c>
      <c r="EE11">
        <v>0.13945787725199785</v>
      </c>
      <c r="EF11" s="29">
        <v>5.1610000000000003E-2</v>
      </c>
      <c r="EG11">
        <v>5.1656000000000001E-2</v>
      </c>
      <c r="EH11">
        <v>28.174023410404626</v>
      </c>
      <c r="EI11" t="s">
        <v>362</v>
      </c>
      <c r="EJ11">
        <v>0</v>
      </c>
      <c r="EK11">
        <v>1</v>
      </c>
      <c r="EL11" s="30">
        <v>44942</v>
      </c>
      <c r="EM11" s="31">
        <v>-7.7000000000000002E-3</v>
      </c>
      <c r="EN11" s="31">
        <v>2.7799999999999998E-2</v>
      </c>
      <c r="EO11" s="31">
        <v>-2.3E-3</v>
      </c>
      <c r="EP11" s="31">
        <v>-0.9</v>
      </c>
      <c r="EQ11" s="31">
        <v>-4.5999999999999999E-3</v>
      </c>
    </row>
    <row r="12" spans="1:147" ht="86.4" x14ac:dyDescent="0.25">
      <c r="B12" s="24"/>
      <c r="C12" s="24"/>
      <c r="D12" s="24" t="s">
        <v>1721</v>
      </c>
      <c r="E12" t="s">
        <v>278</v>
      </c>
      <c r="F12" t="s">
        <v>279</v>
      </c>
      <c r="G12">
        <v>15.47</v>
      </c>
      <c r="H12">
        <v>-1.0200000000000001E-2</v>
      </c>
      <c r="I12" t="s">
        <v>1719</v>
      </c>
      <c r="J12">
        <v>30668596000</v>
      </c>
      <c r="K12">
        <v>3.58</v>
      </c>
      <c r="L12">
        <v>2.2599999999999998</v>
      </c>
      <c r="M12" t="s">
        <v>177</v>
      </c>
      <c r="N12" t="s">
        <v>536</v>
      </c>
      <c r="O12" t="s">
        <v>537</v>
      </c>
      <c r="P12" t="s">
        <v>538</v>
      </c>
      <c r="Q12">
        <v>16.760000000000002</v>
      </c>
      <c r="R12" t="s">
        <v>539</v>
      </c>
      <c r="S12">
        <v>5393682700</v>
      </c>
      <c r="T12" s="25">
        <v>2.0739999999999998</v>
      </c>
      <c r="U12" t="s">
        <v>540</v>
      </c>
      <c r="V12">
        <v>1982456100</v>
      </c>
      <c r="W12">
        <v>1982456100</v>
      </c>
      <c r="X12">
        <v>2.2999999999999998</v>
      </c>
      <c r="Y12">
        <v>0.79</v>
      </c>
      <c r="Z12">
        <v>23.66</v>
      </c>
      <c r="AA12" t="s">
        <v>541</v>
      </c>
      <c r="AB12" t="s">
        <v>542</v>
      </c>
      <c r="AC12" t="s">
        <v>543</v>
      </c>
      <c r="AD12" t="s">
        <v>544</v>
      </c>
      <c r="AE12" t="s">
        <v>545</v>
      </c>
      <c r="AF12">
        <v>351210950</v>
      </c>
      <c r="AG12" t="s">
        <v>546</v>
      </c>
      <c r="AH12" t="s">
        <v>547</v>
      </c>
      <c r="AI12" t="s">
        <v>548</v>
      </c>
      <c r="AJ12" t="s">
        <v>549</v>
      </c>
      <c r="AK12" t="s">
        <v>550</v>
      </c>
      <c r="AL12" t="s">
        <v>551</v>
      </c>
      <c r="AM12" t="s">
        <v>552</v>
      </c>
      <c r="AN12" t="s">
        <v>167</v>
      </c>
      <c r="AO12" t="s">
        <v>553</v>
      </c>
      <c r="AP12" t="s">
        <v>554</v>
      </c>
      <c r="AQ12" t="s">
        <v>555</v>
      </c>
      <c r="AR12" t="s">
        <v>556</v>
      </c>
      <c r="AS12" t="s">
        <v>557</v>
      </c>
      <c r="AT12" t="s">
        <v>558</v>
      </c>
      <c r="AU12" t="s">
        <v>559</v>
      </c>
      <c r="AV12" t="s">
        <v>560</v>
      </c>
      <c r="AW12" t="s">
        <v>561</v>
      </c>
      <c r="AX12" t="s">
        <v>562</v>
      </c>
      <c r="AY12" t="s">
        <v>563</v>
      </c>
      <c r="AZ12" t="s">
        <v>564</v>
      </c>
      <c r="BA12" t="s">
        <v>565</v>
      </c>
      <c r="BB12" t="s">
        <v>566</v>
      </c>
      <c r="BC12" t="s">
        <v>567</v>
      </c>
      <c r="BD12" t="s">
        <v>568</v>
      </c>
      <c r="BE12" t="s">
        <v>569</v>
      </c>
      <c r="BF12" t="s">
        <v>570</v>
      </c>
      <c r="BG12" t="s">
        <v>571</v>
      </c>
      <c r="BH12" t="s">
        <v>572</v>
      </c>
      <c r="BI12" t="s">
        <v>573</v>
      </c>
      <c r="BJ12" t="s">
        <v>574</v>
      </c>
      <c r="BK12" t="s">
        <v>575</v>
      </c>
      <c r="BL12" t="s">
        <v>576</v>
      </c>
      <c r="BM12" t="s">
        <v>577</v>
      </c>
      <c r="BN12" t="s">
        <v>578</v>
      </c>
      <c r="BO12">
        <v>31.82</v>
      </c>
      <c r="BP12">
        <v>6.95</v>
      </c>
      <c r="BQ12">
        <v>8.18</v>
      </c>
      <c r="BR12">
        <v>43.62</v>
      </c>
      <c r="BS12">
        <v>9.34</v>
      </c>
      <c r="BT12">
        <v>16.89</v>
      </c>
      <c r="BU12" t="s">
        <v>579</v>
      </c>
      <c r="BV12" t="s">
        <v>221</v>
      </c>
      <c r="BW12">
        <v>45.71</v>
      </c>
      <c r="BX12">
        <v>19.96</v>
      </c>
      <c r="BY12">
        <v>22.03</v>
      </c>
      <c r="BZ12">
        <v>25.11</v>
      </c>
      <c r="CA12">
        <v>2.64</v>
      </c>
      <c r="CB12">
        <v>4.2</v>
      </c>
      <c r="CC12">
        <v>6.32</v>
      </c>
      <c r="CD12">
        <v>-6.64</v>
      </c>
      <c r="CE12" t="s">
        <v>1114</v>
      </c>
      <c r="CF12" t="s">
        <v>1720</v>
      </c>
      <c r="CG12" s="26">
        <v>0.11571560693641618</v>
      </c>
      <c r="CH12" s="27">
        <v>1.0403994493392079</v>
      </c>
      <c r="CI12" s="26">
        <v>0.3566146194934845</v>
      </c>
      <c r="CJ12" s="26">
        <v>-5.9351589530706406E-2</v>
      </c>
      <c r="CK12" s="26">
        <v>-1.274148840457201E-2</v>
      </c>
      <c r="CL12" s="26">
        <v>-6.7909702658653259E-2</v>
      </c>
      <c r="CM12" s="26">
        <v>-0.16757522523403168</v>
      </c>
      <c r="CN12" s="27">
        <v>4.9709792137145996</v>
      </c>
      <c r="CO12" s="27">
        <v>-0.29497012495994568</v>
      </c>
      <c r="CP12" s="27">
        <v>4.3318181037902832</v>
      </c>
      <c r="CQ12" s="27">
        <v>-0.46987950801849365</v>
      </c>
      <c r="CR12" s="27">
        <v>0.34740260243415833</v>
      </c>
      <c r="CS12">
        <v>0.63821109585050151</v>
      </c>
      <c r="CT12">
        <v>111475836.37100041</v>
      </c>
      <c r="CU12">
        <v>10.129282482223658</v>
      </c>
      <c r="CV12" s="26">
        <v>9.8073227331042286E-3</v>
      </c>
      <c r="CW12" s="27">
        <v>1.7770700573921203</v>
      </c>
      <c r="CX12">
        <v>0.06</v>
      </c>
      <c r="CY12">
        <v>7.7392047832049489</v>
      </c>
      <c r="CZ12">
        <v>4704177886.467988</v>
      </c>
      <c r="DA12">
        <v>9.8073227331042286E-3</v>
      </c>
      <c r="DB12">
        <v>2.7084254408538881</v>
      </c>
      <c r="DC12">
        <v>13441978298.845861</v>
      </c>
      <c r="DD12">
        <v>9.3169565964490164E-3</v>
      </c>
      <c r="DE12">
        <v>1.4568818101672734</v>
      </c>
      <c r="DF12">
        <v>24989395670.895184</v>
      </c>
      <c r="DG12">
        <v>8.6304440051317207E-3</v>
      </c>
      <c r="DH12">
        <v>0.96292628279608317</v>
      </c>
      <c r="DI12">
        <v>37808289845.703323</v>
      </c>
      <c r="DJ12">
        <v>7.8458581864833832E-3</v>
      </c>
      <c r="DK12">
        <v>0.60559512088220224</v>
      </c>
      <c r="DL12">
        <v>60117056337.845985</v>
      </c>
      <c r="DM12">
        <v>6.8651259131729597E-3</v>
      </c>
      <c r="DN12">
        <v>4938000000</v>
      </c>
      <c r="DO12">
        <v>9.8073227331042286E-3</v>
      </c>
      <c r="DP12">
        <v>36406596000</v>
      </c>
      <c r="DQ12">
        <v>-2863984000</v>
      </c>
      <c r="DR12">
        <v>3168</v>
      </c>
      <c r="DS12">
        <v>0.10590828420331196</v>
      </c>
      <c r="DT12">
        <v>-0.7366706080529124</v>
      </c>
      <c r="DU12" s="28">
        <v>0.66666666666666663</v>
      </c>
      <c r="DV12">
        <v>1.1183333333333334</v>
      </c>
      <c r="DW12">
        <v>1.7850000000000001</v>
      </c>
      <c r="DX12">
        <v>7.4876543209876543</v>
      </c>
      <c r="DY12">
        <v>0.40209378407851648</v>
      </c>
      <c r="DZ12">
        <v>7.1180580798901412</v>
      </c>
      <c r="EA12">
        <v>471</v>
      </c>
      <c r="EB12">
        <v>7.106758475007342</v>
      </c>
      <c r="EC12">
        <v>7</v>
      </c>
      <c r="ED12">
        <v>0.11198230316424158</v>
      </c>
      <c r="EE12">
        <v>0.4625575315387816</v>
      </c>
      <c r="EF12" s="29">
        <v>0.11950999999999999</v>
      </c>
      <c r="EG12">
        <v>0.119612</v>
      </c>
      <c r="EH12">
        <v>16.242093784078516</v>
      </c>
      <c r="EI12">
        <v>-1</v>
      </c>
      <c r="EJ12">
        <v>1</v>
      </c>
      <c r="EK12">
        <v>1</v>
      </c>
      <c r="EL12" s="30">
        <v>44942</v>
      </c>
      <c r="EM12" s="31">
        <v>-8.2000000000000007E-3</v>
      </c>
      <c r="EN12" s="31">
        <v>7.3499999999999996E-2</v>
      </c>
      <c r="EO12" s="31">
        <v>2.3199999999999998E-2</v>
      </c>
      <c r="EP12" s="31">
        <v>-1.39</v>
      </c>
      <c r="EQ12" s="31">
        <v>-1.0200000000000001E-2</v>
      </c>
    </row>
    <row r="13" spans="1:147" ht="86.4" x14ac:dyDescent="0.25">
      <c r="B13" s="24"/>
      <c r="C13" s="24"/>
      <c r="D13" s="24" t="s">
        <v>1724</v>
      </c>
      <c r="E13" t="s">
        <v>280</v>
      </c>
      <c r="F13" t="s">
        <v>281</v>
      </c>
      <c r="G13">
        <v>11.18</v>
      </c>
      <c r="H13">
        <v>0</v>
      </c>
      <c r="I13" t="s">
        <v>1722</v>
      </c>
      <c r="J13">
        <v>25884114000</v>
      </c>
      <c r="K13">
        <v>4.4000000000000004</v>
      </c>
      <c r="L13">
        <v>1.25</v>
      </c>
      <c r="M13" t="s">
        <v>177</v>
      </c>
      <c r="N13" t="s">
        <v>580</v>
      </c>
      <c r="O13" t="s">
        <v>581</v>
      </c>
      <c r="P13" t="s">
        <v>582</v>
      </c>
      <c r="Q13">
        <v>44.07</v>
      </c>
      <c r="R13" t="s">
        <v>583</v>
      </c>
      <c r="S13">
        <v>4727489900</v>
      </c>
      <c r="T13" s="25">
        <v>1.6739999999999999</v>
      </c>
      <c r="U13" t="s">
        <v>584</v>
      </c>
      <c r="V13">
        <v>2294244000</v>
      </c>
      <c r="W13">
        <v>2315216000</v>
      </c>
      <c r="X13">
        <v>3.12</v>
      </c>
      <c r="Y13">
        <v>0.41</v>
      </c>
      <c r="Z13">
        <v>18.05</v>
      </c>
      <c r="AA13" t="s">
        <v>585</v>
      </c>
      <c r="AB13" t="s">
        <v>586</v>
      </c>
      <c r="AC13" t="s">
        <v>587</v>
      </c>
      <c r="AD13" t="s">
        <v>588</v>
      </c>
      <c r="AE13" t="s">
        <v>589</v>
      </c>
      <c r="AF13">
        <v>789555890</v>
      </c>
      <c r="AG13" t="s">
        <v>590</v>
      </c>
      <c r="AH13" t="s">
        <v>591</v>
      </c>
      <c r="AI13" t="s">
        <v>592</v>
      </c>
      <c r="AJ13" t="s">
        <v>593</v>
      </c>
      <c r="AK13" t="s">
        <v>594</v>
      </c>
      <c r="AL13" t="s">
        <v>167</v>
      </c>
      <c r="AM13" t="s">
        <v>595</v>
      </c>
      <c r="AN13" t="s">
        <v>167</v>
      </c>
      <c r="AO13" t="s">
        <v>596</v>
      </c>
      <c r="AP13" t="s">
        <v>597</v>
      </c>
      <c r="AQ13" t="s">
        <v>598</v>
      </c>
      <c r="AR13" t="s">
        <v>599</v>
      </c>
      <c r="AS13" t="s">
        <v>600</v>
      </c>
      <c r="AT13" t="s">
        <v>601</v>
      </c>
      <c r="AU13" t="s">
        <v>602</v>
      </c>
      <c r="AV13" t="s">
        <v>603</v>
      </c>
      <c r="AW13" t="s">
        <v>604</v>
      </c>
      <c r="AX13" t="s">
        <v>605</v>
      </c>
      <c r="AY13" t="s">
        <v>606</v>
      </c>
      <c r="AZ13" t="s">
        <v>607</v>
      </c>
      <c r="BA13" t="s">
        <v>608</v>
      </c>
      <c r="BB13" t="s">
        <v>609</v>
      </c>
      <c r="BC13" t="s">
        <v>610</v>
      </c>
      <c r="BD13" t="s">
        <v>611</v>
      </c>
      <c r="BE13" t="s">
        <v>179</v>
      </c>
      <c r="BF13" t="s">
        <v>612</v>
      </c>
      <c r="BG13" t="s">
        <v>613</v>
      </c>
      <c r="BH13" t="s">
        <v>614</v>
      </c>
      <c r="BI13" t="s">
        <v>615</v>
      </c>
      <c r="BJ13" t="s">
        <v>616</v>
      </c>
      <c r="BK13" t="s">
        <v>617</v>
      </c>
      <c r="BL13" t="s">
        <v>618</v>
      </c>
      <c r="BM13" t="s">
        <v>619</v>
      </c>
      <c r="BN13" t="s">
        <v>620</v>
      </c>
      <c r="BO13">
        <v>10.66</v>
      </c>
      <c r="BP13">
        <v>7.16</v>
      </c>
      <c r="BQ13">
        <v>6.31</v>
      </c>
      <c r="BR13">
        <v>17.09</v>
      </c>
      <c r="BS13">
        <v>9.17</v>
      </c>
      <c r="BT13">
        <v>8.5299999999999994</v>
      </c>
      <c r="BU13" t="s">
        <v>621</v>
      </c>
      <c r="BV13" t="s">
        <v>221</v>
      </c>
      <c r="BW13">
        <v>35.200000000000003</v>
      </c>
      <c r="BX13">
        <v>27.99</v>
      </c>
      <c r="BY13">
        <v>20.71</v>
      </c>
      <c r="BZ13">
        <v>18.87</v>
      </c>
      <c r="CA13">
        <v>7.27</v>
      </c>
      <c r="CB13">
        <v>5.62</v>
      </c>
      <c r="CC13">
        <v>4.1900000000000004</v>
      </c>
      <c r="CD13">
        <v>-8.59</v>
      </c>
      <c r="CE13" t="s">
        <v>671</v>
      </c>
      <c r="CF13" t="s">
        <v>1723</v>
      </c>
      <c r="CG13" s="26">
        <v>0.27068607338919387</v>
      </c>
      <c r="CH13" s="27">
        <v>0.91899985915492954</v>
      </c>
      <c r="CI13" s="26">
        <v>0.32602584362030029</v>
      </c>
      <c r="CJ13" s="26">
        <v>-5.3101066499948502E-2</v>
      </c>
      <c r="CK13" s="26">
        <v>0.13552568852901459</v>
      </c>
      <c r="CL13" s="26">
        <v>4.2425254359841347E-3</v>
      </c>
      <c r="CM13" s="26">
        <v>0.35021486878395081</v>
      </c>
      <c r="CN13" s="27">
        <v>1.1051871776580811</v>
      </c>
      <c r="CO13" s="27">
        <v>0.20381620526313782</v>
      </c>
      <c r="CP13" s="27">
        <v>0.6125873327255249</v>
      </c>
      <c r="CQ13" s="27">
        <v>-0.48075523972511292</v>
      </c>
      <c r="CR13" s="27">
        <v>0.6392856240272522</v>
      </c>
      <c r="CS13">
        <v>0.87154833496077311</v>
      </c>
      <c r="CT13">
        <v>163108596.8514716</v>
      </c>
      <c r="CU13">
        <v>6.7978533094812166</v>
      </c>
      <c r="CV13" s="26">
        <v>0.15258157197386027</v>
      </c>
      <c r="CW13" s="27">
        <v>0.41602421998977662</v>
      </c>
      <c r="CX13">
        <v>0.06</v>
      </c>
      <c r="CY13">
        <v>16.540644856682494</v>
      </c>
      <c r="CZ13">
        <v>3177210710.6675658</v>
      </c>
      <c r="DA13">
        <v>0.15258157197386027</v>
      </c>
      <c r="DB13">
        <v>5.1283044243682481</v>
      </c>
      <c r="DC13">
        <v>10247658807.1259</v>
      </c>
      <c r="DD13">
        <v>0.14495249337516725</v>
      </c>
      <c r="DE13">
        <v>2.3492377883214339</v>
      </c>
      <c r="DF13">
        <v>22370282932.2995</v>
      </c>
      <c r="DG13">
        <v>0.13427178333699705</v>
      </c>
      <c r="DH13">
        <v>1.2978249216020474</v>
      </c>
      <c r="DI13">
        <v>40493223026.668297</v>
      </c>
      <c r="DJ13">
        <v>0.12206525757908822</v>
      </c>
      <c r="DK13">
        <v>0.5539193905026103</v>
      </c>
      <c r="DL13">
        <v>94875021349.793945</v>
      </c>
      <c r="DM13">
        <v>0.10680710038170219</v>
      </c>
      <c r="DN13">
        <v>2922000000</v>
      </c>
      <c r="DO13">
        <v>0.15258157197386027</v>
      </c>
      <c r="DP13">
        <v>52553114000</v>
      </c>
      <c r="DQ13">
        <v>-12660410000</v>
      </c>
      <c r="DR13">
        <v>3667</v>
      </c>
      <c r="DS13">
        <v>0.1181045014153336</v>
      </c>
      <c r="DT13">
        <v>0.50297563916515298</v>
      </c>
      <c r="DU13" s="28">
        <v>0.8666666666666667</v>
      </c>
      <c r="DV13">
        <v>1.4333333333333333</v>
      </c>
      <c r="DW13">
        <v>2.2999999999999998</v>
      </c>
      <c r="DX13">
        <v>6.3278560250391234</v>
      </c>
      <c r="DY13">
        <v>0.39905071521456348</v>
      </c>
      <c r="DZ13">
        <v>6.0554242955202682</v>
      </c>
      <c r="EA13">
        <v>165</v>
      </c>
      <c r="EB13">
        <v>6.0535659316184507</v>
      </c>
      <c r="EC13">
        <v>6</v>
      </c>
      <c r="ED13">
        <v>5.6150268484668385E-2</v>
      </c>
      <c r="EE13">
        <v>0.332150434343923</v>
      </c>
      <c r="EF13" s="29">
        <v>9.8000000000000004E-2</v>
      </c>
      <c r="EG13">
        <v>9.8000000000000004E-2</v>
      </c>
      <c r="EH13">
        <v>23.169050715214563</v>
      </c>
      <c r="EI13" t="s">
        <v>362</v>
      </c>
      <c r="EJ13">
        <v>0</v>
      </c>
      <c r="EK13">
        <v>1</v>
      </c>
      <c r="EL13" s="30">
        <v>44942</v>
      </c>
      <c r="EM13" s="31">
        <v>-1.4E-2</v>
      </c>
      <c r="EN13" s="31">
        <v>4.6300000000000001E-2</v>
      </c>
      <c r="EO13" s="31">
        <v>8.9999999999999993E-3</v>
      </c>
      <c r="EP13" s="31">
        <v>0.09</v>
      </c>
      <c r="EQ13" s="31">
        <v>0</v>
      </c>
    </row>
    <row r="14" spans="1:147" ht="86.4" x14ac:dyDescent="0.25">
      <c r="B14" s="24"/>
      <c r="C14" s="24"/>
      <c r="D14" s="24" t="s">
        <v>1727</v>
      </c>
      <c r="E14" t="s">
        <v>282</v>
      </c>
      <c r="F14" t="s">
        <v>283</v>
      </c>
      <c r="G14">
        <v>12.76</v>
      </c>
      <c r="H14">
        <v>-5.4999999999999997E-3</v>
      </c>
      <c r="I14" t="s">
        <v>1725</v>
      </c>
      <c r="J14">
        <v>24519278000</v>
      </c>
      <c r="K14">
        <v>6.24</v>
      </c>
      <c r="L14">
        <v>1.07</v>
      </c>
      <c r="M14" t="s">
        <v>177</v>
      </c>
      <c r="N14" t="s">
        <v>623</v>
      </c>
      <c r="O14" t="s">
        <v>624</v>
      </c>
      <c r="P14" t="s">
        <v>625</v>
      </c>
      <c r="Q14">
        <v>10.28</v>
      </c>
      <c r="R14" t="s">
        <v>626</v>
      </c>
      <c r="S14">
        <v>3260330100</v>
      </c>
      <c r="T14" s="25">
        <v>0.127</v>
      </c>
      <c r="U14" t="s">
        <v>627</v>
      </c>
      <c r="V14">
        <v>1767411300</v>
      </c>
      <c r="W14">
        <v>1921573500</v>
      </c>
      <c r="X14">
        <v>1.54</v>
      </c>
      <c r="Y14">
        <v>0.5</v>
      </c>
      <c r="Z14">
        <v>20.57</v>
      </c>
      <c r="AA14" t="s">
        <v>628</v>
      </c>
      <c r="AB14" t="s">
        <v>629</v>
      </c>
      <c r="AC14" t="s">
        <v>630</v>
      </c>
      <c r="AD14" t="s">
        <v>631</v>
      </c>
      <c r="AE14" t="s">
        <v>632</v>
      </c>
      <c r="AF14">
        <v>243218320</v>
      </c>
      <c r="AG14" t="s">
        <v>633</v>
      </c>
      <c r="AH14" t="s">
        <v>634</v>
      </c>
      <c r="AI14" t="s">
        <v>635</v>
      </c>
      <c r="AJ14" t="s">
        <v>636</v>
      </c>
      <c r="AK14" t="s">
        <v>637</v>
      </c>
      <c r="AL14" t="s">
        <v>167</v>
      </c>
      <c r="AM14" t="s">
        <v>638</v>
      </c>
      <c r="AN14" t="s">
        <v>167</v>
      </c>
      <c r="AO14" t="s">
        <v>639</v>
      </c>
      <c r="AP14" t="s">
        <v>640</v>
      </c>
      <c r="AQ14" t="s">
        <v>167</v>
      </c>
      <c r="AR14" t="s">
        <v>641</v>
      </c>
      <c r="AS14" t="s">
        <v>642</v>
      </c>
      <c r="AT14" t="s">
        <v>643</v>
      </c>
      <c r="AU14" t="s">
        <v>644</v>
      </c>
      <c r="AV14" t="s">
        <v>645</v>
      </c>
      <c r="AW14" t="s">
        <v>646</v>
      </c>
      <c r="AX14" t="s">
        <v>647</v>
      </c>
      <c r="AY14" t="s">
        <v>648</v>
      </c>
      <c r="AZ14" t="s">
        <v>649</v>
      </c>
      <c r="BA14" t="s">
        <v>650</v>
      </c>
      <c r="BB14" t="s">
        <v>651</v>
      </c>
      <c r="BC14" t="s">
        <v>652</v>
      </c>
      <c r="BD14" t="s">
        <v>653</v>
      </c>
      <c r="BE14" t="s">
        <v>654</v>
      </c>
      <c r="BF14" t="s">
        <v>655</v>
      </c>
      <c r="BG14" t="s">
        <v>656</v>
      </c>
      <c r="BH14" t="s">
        <v>459</v>
      </c>
      <c r="BI14" t="s">
        <v>657</v>
      </c>
      <c r="BJ14" t="s">
        <v>658</v>
      </c>
      <c r="BK14" t="s">
        <v>659</v>
      </c>
      <c r="BL14" t="s">
        <v>660</v>
      </c>
      <c r="BM14" t="s">
        <v>661</v>
      </c>
      <c r="BN14" t="s">
        <v>662</v>
      </c>
      <c r="BO14">
        <v>15.83</v>
      </c>
      <c r="BP14">
        <v>9.24</v>
      </c>
      <c r="BQ14">
        <v>10.79</v>
      </c>
      <c r="BR14">
        <v>18.809999999999999</v>
      </c>
      <c r="BS14">
        <v>12.3</v>
      </c>
      <c r="BT14">
        <v>15.87</v>
      </c>
      <c r="BU14" t="s">
        <v>663</v>
      </c>
      <c r="BV14" t="s">
        <v>221</v>
      </c>
      <c r="BW14">
        <v>35.79</v>
      </c>
      <c r="BX14">
        <v>31.2</v>
      </c>
      <c r="BY14">
        <v>27.28</v>
      </c>
      <c r="BZ14">
        <v>22.61</v>
      </c>
      <c r="CA14">
        <v>12.81</v>
      </c>
      <c r="CB14">
        <v>14.12</v>
      </c>
      <c r="CC14">
        <v>1.51</v>
      </c>
      <c r="CD14">
        <v>-3.19</v>
      </c>
      <c r="CE14" t="s">
        <v>1726</v>
      </c>
      <c r="CF14" t="s">
        <v>1437</v>
      </c>
      <c r="CG14" s="26">
        <v>-2.7375798162279721E-2</v>
      </c>
      <c r="CH14" s="27">
        <v>-0.10737490384615385</v>
      </c>
      <c r="CI14" s="26">
        <v>0.22790676355361938</v>
      </c>
      <c r="CJ14" s="26">
        <v>4.7977089881896973E-2</v>
      </c>
      <c r="CK14" s="26">
        <v>7.8061677515506744E-2</v>
      </c>
      <c r="CL14" s="26">
        <v>1.3415919542312622</v>
      </c>
      <c r="CM14" s="26">
        <v>0.37938547134399414</v>
      </c>
      <c r="CN14" s="27">
        <v>0.71897625923156738</v>
      </c>
      <c r="CO14" s="27">
        <v>-0.16017836332321167</v>
      </c>
      <c r="CP14" s="27">
        <v>0.21537700295448303</v>
      </c>
      <c r="CQ14" s="27">
        <v>0.1561252772808075</v>
      </c>
      <c r="CR14" s="27">
        <v>1.1298544406890869</v>
      </c>
      <c r="CS14">
        <v>0.99473723071929898</v>
      </c>
      <c r="CT14">
        <v>89499485.955056176</v>
      </c>
      <c r="CU14">
        <v>3.9184952978056429</v>
      </c>
      <c r="CV14" s="26">
        <v>0.41498459130525589</v>
      </c>
      <c r="CW14" s="27">
        <v>0.41203092336654662</v>
      </c>
      <c r="CX14">
        <v>0.06</v>
      </c>
      <c r="CY14">
        <v>2.5658108205488368</v>
      </c>
      <c r="CZ14">
        <v>4752212400.987463</v>
      </c>
      <c r="DA14">
        <v>0.41498459130525589</v>
      </c>
      <c r="DB14">
        <v>0.64369719732506192</v>
      </c>
      <c r="DC14">
        <v>18942568106.044575</v>
      </c>
      <c r="DD14">
        <v>0.39423536173999307</v>
      </c>
      <c r="DE14">
        <v>0.21485389299630753</v>
      </c>
      <c r="DF14">
        <v>56751487394.317558</v>
      </c>
      <c r="DG14">
        <v>0.36518644034862519</v>
      </c>
      <c r="DH14">
        <v>7.9330109456524162E-2</v>
      </c>
      <c r="DI14">
        <v>153703027558.31149</v>
      </c>
      <c r="DJ14">
        <v>0.33198767304420473</v>
      </c>
      <c r="DK14">
        <v>1.2194630521295333E-2</v>
      </c>
      <c r="DL14">
        <v>999889088784.36523</v>
      </c>
      <c r="DM14">
        <v>0.2904892139136791</v>
      </c>
      <c r="DN14">
        <v>3560000000</v>
      </c>
      <c r="DO14">
        <v>0.41498459130525589</v>
      </c>
      <c r="DP14">
        <v>12193278000</v>
      </c>
      <c r="DQ14">
        <v>4915532300</v>
      </c>
      <c r="DR14">
        <v>637</v>
      </c>
      <c r="DS14">
        <v>-0.44236038946753559</v>
      </c>
      <c r="DT14">
        <v>-0.51940582721270045</v>
      </c>
      <c r="DU14" s="28">
        <v>0.5</v>
      </c>
      <c r="DV14">
        <v>0.63333333333333341</v>
      </c>
      <c r="DW14">
        <v>1.1333333333333333</v>
      </c>
      <c r="DX14">
        <v>-1.0319</v>
      </c>
      <c r="DY14">
        <v>0.37034092307692462</v>
      </c>
      <c r="DZ14">
        <v>-1.0054338754461538</v>
      </c>
      <c r="EA14">
        <v>1363</v>
      </c>
      <c r="EB14">
        <v>-1.0039288211415192</v>
      </c>
      <c r="EC14">
        <v>1</v>
      </c>
      <c r="ED14">
        <v>2.8810139190616441E-2</v>
      </c>
      <c r="EE14">
        <v>0.16913222419022744</v>
      </c>
      <c r="EF14" s="29">
        <v>3.8300000000000001E-2</v>
      </c>
      <c r="EG14">
        <v>3.8245000000000001E-2</v>
      </c>
      <c r="EH14">
        <v>20.170340923076925</v>
      </c>
      <c r="EI14">
        <v>-1</v>
      </c>
      <c r="EJ14">
        <v>0</v>
      </c>
      <c r="EK14">
        <v>1</v>
      </c>
      <c r="EL14" s="30">
        <v>44942</v>
      </c>
      <c r="EM14" s="31">
        <v>8.0000000000000002E-3</v>
      </c>
      <c r="EN14" s="31">
        <v>2.4500000000000001E-2</v>
      </c>
      <c r="EO14" s="31">
        <v>-6.1999999999999998E-3</v>
      </c>
      <c r="EP14" s="31">
        <v>-0.54</v>
      </c>
      <c r="EQ14" s="31">
        <v>-5.4999999999999997E-3</v>
      </c>
    </row>
    <row r="15" spans="1:147" ht="86.4" x14ac:dyDescent="0.25">
      <c r="B15" s="24"/>
      <c r="C15" s="24"/>
      <c r="D15" s="24" t="s">
        <v>706</v>
      </c>
      <c r="E15" t="s">
        <v>284</v>
      </c>
      <c r="F15" t="s">
        <v>285</v>
      </c>
      <c r="G15">
        <v>6.43</v>
      </c>
      <c r="H15">
        <v>-3.0999999999999999E-3</v>
      </c>
      <c r="I15" t="s">
        <v>1728</v>
      </c>
      <c r="J15">
        <v>22720706000</v>
      </c>
      <c r="K15">
        <v>4.24</v>
      </c>
      <c r="L15">
        <v>1.0900000000000001</v>
      </c>
      <c r="M15" t="s">
        <v>177</v>
      </c>
      <c r="N15" t="s">
        <v>664</v>
      </c>
      <c r="O15" t="s">
        <v>665</v>
      </c>
      <c r="P15" t="s">
        <v>666</v>
      </c>
      <c r="Q15">
        <v>32.17</v>
      </c>
      <c r="R15" t="s">
        <v>667</v>
      </c>
      <c r="S15">
        <v>3984820900</v>
      </c>
      <c r="T15" s="25">
        <v>1.915</v>
      </c>
      <c r="U15" t="s">
        <v>668</v>
      </c>
      <c r="V15">
        <v>2906599800</v>
      </c>
      <c r="W15">
        <v>3533546900</v>
      </c>
      <c r="X15">
        <v>2.0099999999999998</v>
      </c>
      <c r="Y15">
        <v>0.59</v>
      </c>
      <c r="Z15">
        <v>15.73</v>
      </c>
      <c r="AA15" t="s">
        <v>669</v>
      </c>
      <c r="AB15" t="s">
        <v>670</v>
      </c>
      <c r="AC15" t="s">
        <v>671</v>
      </c>
      <c r="AD15" t="s">
        <v>672</v>
      </c>
      <c r="AE15" t="s">
        <v>673</v>
      </c>
      <c r="AF15">
        <v>382962180</v>
      </c>
      <c r="AG15" t="s">
        <v>674</v>
      </c>
      <c r="AH15" t="s">
        <v>675</v>
      </c>
      <c r="AI15" t="s">
        <v>676</v>
      </c>
      <c r="AJ15" t="s">
        <v>677</v>
      </c>
      <c r="AK15" t="s">
        <v>678</v>
      </c>
      <c r="AL15" t="s">
        <v>679</v>
      </c>
      <c r="AM15" t="s">
        <v>680</v>
      </c>
      <c r="AN15" t="s">
        <v>167</v>
      </c>
      <c r="AO15" t="s">
        <v>681</v>
      </c>
      <c r="AP15" t="s">
        <v>682</v>
      </c>
      <c r="AQ15" t="s">
        <v>683</v>
      </c>
      <c r="AR15" t="s">
        <v>684</v>
      </c>
      <c r="AS15" t="s">
        <v>685</v>
      </c>
      <c r="AT15" t="s">
        <v>686</v>
      </c>
      <c r="AU15" t="s">
        <v>687</v>
      </c>
      <c r="AV15" t="s">
        <v>688</v>
      </c>
      <c r="AW15" t="s">
        <v>689</v>
      </c>
      <c r="AX15" t="s">
        <v>690</v>
      </c>
      <c r="AY15" t="s">
        <v>691</v>
      </c>
      <c r="AZ15" t="s">
        <v>692</v>
      </c>
      <c r="BA15" t="s">
        <v>693</v>
      </c>
      <c r="BB15" t="s">
        <v>694</v>
      </c>
      <c r="BC15" t="s">
        <v>695</v>
      </c>
      <c r="BD15" t="s">
        <v>696</v>
      </c>
      <c r="BE15" t="s">
        <v>697</v>
      </c>
      <c r="BF15" t="s">
        <v>698</v>
      </c>
      <c r="BG15" t="s">
        <v>699</v>
      </c>
      <c r="BH15" t="s">
        <v>172</v>
      </c>
      <c r="BI15" t="s">
        <v>700</v>
      </c>
      <c r="BJ15" t="s">
        <v>701</v>
      </c>
      <c r="BK15" t="s">
        <v>702</v>
      </c>
      <c r="BL15" t="s">
        <v>703</v>
      </c>
      <c r="BM15" t="s">
        <v>239</v>
      </c>
      <c r="BN15" t="s">
        <v>704</v>
      </c>
      <c r="BO15">
        <v>9.77</v>
      </c>
      <c r="BP15">
        <v>4.26</v>
      </c>
      <c r="BQ15">
        <v>4.6100000000000003</v>
      </c>
      <c r="BR15">
        <v>13.58</v>
      </c>
      <c r="BS15">
        <v>3.89</v>
      </c>
      <c r="BT15">
        <v>4.46</v>
      </c>
      <c r="BU15" t="s">
        <v>705</v>
      </c>
      <c r="BV15" t="s">
        <v>221</v>
      </c>
      <c r="BW15">
        <v>31.06</v>
      </c>
      <c r="BX15">
        <v>23.62</v>
      </c>
      <c r="BY15">
        <v>23.19</v>
      </c>
      <c r="BZ15">
        <v>14.79</v>
      </c>
      <c r="CA15">
        <v>5.59</v>
      </c>
      <c r="CB15">
        <v>5.53</v>
      </c>
      <c r="CC15">
        <v>2.23</v>
      </c>
      <c r="CD15">
        <v>-4.32</v>
      </c>
      <c r="CE15" t="s">
        <v>1520</v>
      </c>
      <c r="CF15" t="s">
        <v>894</v>
      </c>
      <c r="CG15" s="26">
        <v>5.6910785619174436E-3</v>
      </c>
      <c r="CH15" s="27">
        <v>0.99974667609618106</v>
      </c>
      <c r="CI15" s="26">
        <v>0.52225935459136963</v>
      </c>
      <c r="CJ15" s="26">
        <v>-8.3632983267307281E-2</v>
      </c>
      <c r="CK15" s="26">
        <v>4.9818281084299088E-2</v>
      </c>
      <c r="CL15" s="26">
        <v>5.2791718393564224E-2</v>
      </c>
      <c r="CM15" s="26">
        <v>0.49471983313560486</v>
      </c>
      <c r="CN15" s="27">
        <v>2.4847328662872314</v>
      </c>
      <c r="CO15" s="27">
        <v>3.8314175326377153E-3</v>
      </c>
      <c r="CP15" s="27">
        <v>-0.10206422209739685</v>
      </c>
      <c r="CQ15" s="27">
        <v>-0.18045112490653992</v>
      </c>
      <c r="CR15" s="27">
        <v>3.3606557846069336</v>
      </c>
      <c r="CS15">
        <v>0.72303672352342163</v>
      </c>
      <c r="CT15">
        <v>146390909.09090909</v>
      </c>
      <c r="CU15">
        <v>15.552099533437016</v>
      </c>
      <c r="CV15" s="26">
        <v>0.20719124078750611</v>
      </c>
      <c r="CW15" s="27">
        <v>1.1133409442845732</v>
      </c>
      <c r="CX15">
        <v>0.06</v>
      </c>
      <c r="CY15">
        <v>7.3665361772796425</v>
      </c>
      <c r="CZ15">
        <v>3119336611.8084702</v>
      </c>
      <c r="DA15">
        <v>0.20719124078750611</v>
      </c>
      <c r="DB15">
        <v>2.1828637317025898</v>
      </c>
      <c r="DC15">
        <v>10526862335.138561</v>
      </c>
      <c r="DD15">
        <v>0.19683167874813079</v>
      </c>
      <c r="DE15">
        <v>0.9376535201842785</v>
      </c>
      <c r="DF15">
        <v>24506606657.311924</v>
      </c>
      <c r="DG15">
        <v>0.1823282918930054</v>
      </c>
      <c r="DH15">
        <v>0.47918140921065078</v>
      </c>
      <c r="DI15">
        <v>47954084942.177788</v>
      </c>
      <c r="DJ15">
        <v>0.1657529926300049</v>
      </c>
      <c r="DK15">
        <v>0.16929918859479023</v>
      </c>
      <c r="DL15">
        <v>135728388249.97838</v>
      </c>
      <c r="DM15">
        <v>0.14503386855125427</v>
      </c>
      <c r="DN15">
        <v>2739000000</v>
      </c>
      <c r="DO15">
        <v>0.20719124078750611</v>
      </c>
      <c r="DP15">
        <v>22978706000</v>
      </c>
      <c r="DQ15">
        <v>-4879473000</v>
      </c>
      <c r="DR15">
        <v>400</v>
      </c>
      <c r="DS15">
        <v>-0.20150016222558867</v>
      </c>
      <c r="DT15">
        <v>-0.11359426818839213</v>
      </c>
      <c r="DU15" s="28">
        <v>0.48666666666666664</v>
      </c>
      <c r="DV15">
        <v>1.2716666666666667</v>
      </c>
      <c r="DW15">
        <v>1.7583333333333333</v>
      </c>
      <c r="DX15">
        <v>-1.0431999999999999</v>
      </c>
      <c r="DY15">
        <v>0.38711538461538325</v>
      </c>
      <c r="DZ15">
        <v>-1.0085153846153847</v>
      </c>
      <c r="EA15">
        <v>491</v>
      </c>
      <c r="EB15">
        <v>-1.0076657496131181</v>
      </c>
      <c r="EC15">
        <v>1</v>
      </c>
      <c r="ED15">
        <v>3.4809216767435577E-2</v>
      </c>
      <c r="EE15">
        <v>0.17659309969820974</v>
      </c>
      <c r="EF15" s="29">
        <v>7.0500000000000007E-2</v>
      </c>
      <c r="EG15">
        <v>7.046899999999999E-2</v>
      </c>
      <c r="EH15">
        <v>19.197115384615383</v>
      </c>
      <c r="EI15" t="s">
        <v>362</v>
      </c>
      <c r="EJ15">
        <v>0</v>
      </c>
      <c r="EK15">
        <v>1</v>
      </c>
      <c r="EL15" s="30">
        <v>44942</v>
      </c>
      <c r="EM15" s="31">
        <v>-9.4999999999999998E-3</v>
      </c>
      <c r="EN15" s="31">
        <v>3.2099999999999997E-2</v>
      </c>
      <c r="EO15" s="31">
        <v>-4.7000000000000002E-3</v>
      </c>
      <c r="EP15" s="31">
        <v>0.78</v>
      </c>
      <c r="EQ15" s="31">
        <v>-3.0999999999999999E-3</v>
      </c>
    </row>
    <row r="16" spans="1:147" ht="86.4" x14ac:dyDescent="0.25">
      <c r="D16" s="24" t="s">
        <v>1731</v>
      </c>
      <c r="E16" t="s">
        <v>286</v>
      </c>
      <c r="F16" t="s">
        <v>287</v>
      </c>
      <c r="G16">
        <v>2.58</v>
      </c>
      <c r="H16">
        <v>-5.1499999999999997E-2</v>
      </c>
      <c r="I16" t="s">
        <v>1729</v>
      </c>
      <c r="J16">
        <v>20400927000</v>
      </c>
      <c r="M16" t="s">
        <v>177</v>
      </c>
      <c r="N16" t="s">
        <v>707</v>
      </c>
      <c r="O16" t="s">
        <v>708</v>
      </c>
      <c r="P16" t="s">
        <v>709</v>
      </c>
      <c r="Q16" s="25">
        <v>-0.45</v>
      </c>
      <c r="R16" t="s">
        <v>710</v>
      </c>
      <c r="S16">
        <v>-2058605000</v>
      </c>
      <c r="T16">
        <v>-0.40200000000000002</v>
      </c>
      <c r="U16" t="s">
        <v>711</v>
      </c>
      <c r="V16">
        <v>1534675200</v>
      </c>
      <c r="W16">
        <v>1966675200</v>
      </c>
      <c r="X16" t="s">
        <v>167</v>
      </c>
      <c r="Y16">
        <v>0.31</v>
      </c>
      <c r="Z16">
        <v>-32.21</v>
      </c>
      <c r="AA16" t="s">
        <v>712</v>
      </c>
      <c r="AB16" t="s">
        <v>713</v>
      </c>
      <c r="AC16" t="s">
        <v>714</v>
      </c>
      <c r="AD16" t="s">
        <v>715</v>
      </c>
      <c r="AE16" t="s">
        <v>716</v>
      </c>
      <c r="AF16">
        <v>674478130</v>
      </c>
      <c r="AG16" t="s">
        <v>717</v>
      </c>
      <c r="AH16" t="s">
        <v>718</v>
      </c>
      <c r="AI16" t="s">
        <v>719</v>
      </c>
      <c r="AJ16" t="s">
        <v>720</v>
      </c>
      <c r="AK16" t="s">
        <v>167</v>
      </c>
      <c r="AL16" t="s">
        <v>721</v>
      </c>
      <c r="AM16" t="s">
        <v>722</v>
      </c>
      <c r="AN16" t="s">
        <v>167</v>
      </c>
      <c r="AO16" t="s">
        <v>723</v>
      </c>
      <c r="AP16" t="s">
        <v>724</v>
      </c>
      <c r="AQ16" t="s">
        <v>725</v>
      </c>
      <c r="AR16" t="s">
        <v>726</v>
      </c>
      <c r="AS16" t="s">
        <v>727</v>
      </c>
      <c r="AT16" t="s">
        <v>728</v>
      </c>
      <c r="AU16" t="s">
        <v>729</v>
      </c>
      <c r="AV16" t="s">
        <v>730</v>
      </c>
      <c r="AW16" t="s">
        <v>731</v>
      </c>
      <c r="AX16" t="s">
        <v>732</v>
      </c>
      <c r="AY16" t="s">
        <v>733</v>
      </c>
      <c r="AZ16" t="s">
        <v>734</v>
      </c>
      <c r="BA16" t="s">
        <v>735</v>
      </c>
      <c r="BB16" t="s">
        <v>736</v>
      </c>
      <c r="BC16" t="s">
        <v>737</v>
      </c>
      <c r="BD16" t="s">
        <v>738</v>
      </c>
      <c r="BE16" t="s">
        <v>739</v>
      </c>
      <c r="BF16" t="s">
        <v>740</v>
      </c>
      <c r="BG16" t="s">
        <v>741</v>
      </c>
      <c r="BH16" t="s">
        <v>178</v>
      </c>
      <c r="BI16" t="s">
        <v>742</v>
      </c>
      <c r="BJ16" t="s">
        <v>743</v>
      </c>
      <c r="BK16" t="s">
        <v>744</v>
      </c>
      <c r="BL16" t="s">
        <v>745</v>
      </c>
      <c r="BM16" t="s">
        <v>746</v>
      </c>
      <c r="BN16" t="s">
        <v>747</v>
      </c>
      <c r="BO16">
        <v>-8.9600000000000009</v>
      </c>
      <c r="BP16">
        <v>-1.21</v>
      </c>
      <c r="BQ16">
        <v>3.86</v>
      </c>
      <c r="BR16" t="s">
        <v>167</v>
      </c>
      <c r="BS16">
        <v>-97.67</v>
      </c>
      <c r="BT16">
        <v>4.67</v>
      </c>
      <c r="BU16" t="s">
        <v>748</v>
      </c>
      <c r="BV16" t="s">
        <v>221</v>
      </c>
      <c r="BW16">
        <v>-16.53</v>
      </c>
      <c r="BX16">
        <v>-1.27</v>
      </c>
      <c r="BY16">
        <v>5.81</v>
      </c>
      <c r="BZ16">
        <v>-30.12</v>
      </c>
      <c r="CA16">
        <v>-10.96</v>
      </c>
      <c r="CB16">
        <v>0.73</v>
      </c>
      <c r="CC16">
        <v>-6.52</v>
      </c>
      <c r="CD16" s="1">
        <v>-7.86</v>
      </c>
      <c r="CE16" s="1" t="s">
        <v>1730</v>
      </c>
      <c r="CF16" s="1" t="s">
        <v>1649</v>
      </c>
      <c r="CG16" s="26">
        <v>1.3313238770685579E-2</v>
      </c>
      <c r="CH16" s="27">
        <v>0.35914814814814816</v>
      </c>
      <c r="CI16" s="26">
        <v>-8.1435590982437134E-2</v>
      </c>
      <c r="CJ16" s="26">
        <v>-1.4499510638415813E-2</v>
      </c>
      <c r="CK16" s="26">
        <v>0.10410938411951065</v>
      </c>
      <c r="CL16" s="26">
        <v>7.9947099089622498E-2</v>
      </c>
      <c r="CM16" s="26">
        <v>5.1893897354602814E-2</v>
      </c>
      <c r="CN16" s="27">
        <v>-1.6531163454055786</v>
      </c>
      <c r="CO16" s="27">
        <v>-15.650570869445801</v>
      </c>
      <c r="CP16" s="27">
        <v>1.0991603136062622</v>
      </c>
      <c r="CQ16" s="27">
        <v>0.30978259444236755</v>
      </c>
      <c r="CR16" s="27">
        <v>-8.4594593048095703</v>
      </c>
      <c r="CS16" s="1">
        <v>2.0813024892879004</v>
      </c>
      <c r="CT16" s="1">
        <v>72891624.106230855</v>
      </c>
      <c r="CU16" s="1">
        <v>0</v>
      </c>
      <c r="CV16" s="26">
        <v>2.8003055788576602E-2</v>
      </c>
      <c r="CW16" s="27">
        <v>-4.8708407223224643</v>
      </c>
      <c r="CX16">
        <v>0.06</v>
      </c>
      <c r="CY16" t="e">
        <v>#VALUE!</v>
      </c>
      <c r="CZ16" t="s">
        <v>750</v>
      </c>
      <c r="DA16">
        <v>2.8003055788576602E-2</v>
      </c>
      <c r="DB16" t="e">
        <v>#VALUE!</v>
      </c>
      <c r="DC16" t="s">
        <v>751</v>
      </c>
      <c r="DD16">
        <v>2.6602902999147769E-2</v>
      </c>
      <c r="DE16" t="e">
        <v>#VALUE!</v>
      </c>
      <c r="DF16" t="s">
        <v>751</v>
      </c>
      <c r="DG16">
        <v>2.4642689093947411E-2</v>
      </c>
      <c r="DH16" t="e">
        <v>#VALUE!</v>
      </c>
      <c r="DI16" t="s">
        <v>751</v>
      </c>
      <c r="DJ16">
        <v>2.2402444630861284E-2</v>
      </c>
      <c r="DK16" t="e">
        <v>#VALUE!</v>
      </c>
      <c r="DL16" t="s">
        <v>751</v>
      </c>
      <c r="DM16">
        <v>1.9602139052003621E-2</v>
      </c>
      <c r="DN16">
        <v>-2937000000</v>
      </c>
      <c r="DO16">
        <v>2.8003055788576602E-2</v>
      </c>
      <c r="DP16">
        <v>50508927000</v>
      </c>
      <c r="DQ16">
        <v>-8627331100</v>
      </c>
      <c r="DR16" s="28">
        <v>3320</v>
      </c>
      <c r="DS16">
        <v>-1.4689817017891023E-2</v>
      </c>
      <c r="DT16">
        <v>5.2299888704706126</v>
      </c>
      <c r="DU16">
        <v>0</v>
      </c>
      <c r="DV16">
        <v>-3.0150000000000001</v>
      </c>
      <c r="DW16">
        <v>-3.0150000000000001</v>
      </c>
      <c r="DX16">
        <v>-9.8295165394402026</v>
      </c>
      <c r="DY16">
        <v>1.2083687861271688</v>
      </c>
      <c r="DZ16">
        <v>-9.1064840312403472</v>
      </c>
      <c r="EA16">
        <v>4856</v>
      </c>
      <c r="EB16">
        <v>-9.0014065153486325</v>
      </c>
      <c r="EC16" s="29">
        <v>9</v>
      </c>
      <c r="ED16" s="29">
        <v>1.1292052698889986E-2</v>
      </c>
      <c r="EE16">
        <v>8.7965720013147064E-2</v>
      </c>
      <c r="EF16">
        <v>1.541E-2</v>
      </c>
      <c r="EG16">
        <v>1.5925000000000002E-2</v>
      </c>
      <c r="EH16">
        <v>108.12836878612717</v>
      </c>
      <c r="EI16" s="30">
        <v>-1</v>
      </c>
      <c r="EJ16" s="31">
        <v>0</v>
      </c>
      <c r="EK16" s="31">
        <v>0</v>
      </c>
      <c r="EL16" s="31">
        <v>44942</v>
      </c>
      <c r="EM16" s="31">
        <v>-3.5999999999999999E-3</v>
      </c>
      <c r="EN16" s="31">
        <v>-3.5999999999999999E-3</v>
      </c>
      <c r="EO16" s="31">
        <v>-1.46E-2</v>
      </c>
      <c r="EP16" s="31">
        <v>0.74</v>
      </c>
      <c r="EQ16" s="31">
        <v>-5.1499999999999997E-2</v>
      </c>
    </row>
    <row r="17" spans="2:147" ht="86.4" x14ac:dyDescent="0.25">
      <c r="B17" s="24"/>
      <c r="C17" s="24"/>
      <c r="D17" s="24" t="s">
        <v>792</v>
      </c>
      <c r="E17" t="s">
        <v>288</v>
      </c>
      <c r="F17" t="s">
        <v>289</v>
      </c>
      <c r="G17">
        <v>12.68</v>
      </c>
      <c r="H17">
        <v>8.0000000000000004E-4</v>
      </c>
      <c r="I17" t="s">
        <v>1732</v>
      </c>
      <c r="J17">
        <v>21222516000</v>
      </c>
      <c r="K17">
        <v>3.9</v>
      </c>
      <c r="L17">
        <v>1.41</v>
      </c>
      <c r="M17" t="s">
        <v>177</v>
      </c>
      <c r="N17" t="s">
        <v>752</v>
      </c>
      <c r="O17" t="s">
        <v>753</v>
      </c>
      <c r="P17" t="s">
        <v>754</v>
      </c>
      <c r="Q17">
        <v>13.05</v>
      </c>
      <c r="R17" t="s">
        <v>755</v>
      </c>
      <c r="S17">
        <v>3382504300</v>
      </c>
      <c r="T17" s="25">
        <v>0.3029</v>
      </c>
      <c r="U17" t="s">
        <v>756</v>
      </c>
      <c r="V17">
        <v>1673700000</v>
      </c>
      <c r="W17">
        <v>1673700000</v>
      </c>
      <c r="X17">
        <v>1.89</v>
      </c>
      <c r="Y17">
        <v>0.31</v>
      </c>
      <c r="Z17">
        <v>36.76</v>
      </c>
      <c r="AA17" t="s">
        <v>757</v>
      </c>
      <c r="AB17" t="s">
        <v>758</v>
      </c>
      <c r="AC17" t="s">
        <v>759</v>
      </c>
      <c r="AD17" t="s">
        <v>760</v>
      </c>
      <c r="AE17" t="s">
        <v>761</v>
      </c>
      <c r="AF17">
        <v>238469350</v>
      </c>
      <c r="AG17" t="s">
        <v>762</v>
      </c>
      <c r="AH17" t="s">
        <v>763</v>
      </c>
      <c r="AI17" t="s">
        <v>764</v>
      </c>
      <c r="AJ17" t="s">
        <v>765</v>
      </c>
      <c r="AK17" t="s">
        <v>766</v>
      </c>
      <c r="AL17" t="s">
        <v>167</v>
      </c>
      <c r="AM17" t="s">
        <v>767</v>
      </c>
      <c r="AN17" t="s">
        <v>167</v>
      </c>
      <c r="AO17" t="s">
        <v>768</v>
      </c>
      <c r="AP17" t="s">
        <v>769</v>
      </c>
      <c r="AQ17" t="s">
        <v>167</v>
      </c>
      <c r="AR17" t="s">
        <v>770</v>
      </c>
      <c r="AS17" t="s">
        <v>167</v>
      </c>
      <c r="AT17" t="s">
        <v>771</v>
      </c>
      <c r="AU17" t="s">
        <v>772</v>
      </c>
      <c r="AV17" t="s">
        <v>773</v>
      </c>
      <c r="AW17" t="s">
        <v>774</v>
      </c>
      <c r="AX17" t="s">
        <v>775</v>
      </c>
      <c r="AY17" t="s">
        <v>776</v>
      </c>
      <c r="AZ17" t="s">
        <v>777</v>
      </c>
      <c r="BA17" t="s">
        <v>778</v>
      </c>
      <c r="BB17" t="s">
        <v>779</v>
      </c>
      <c r="BC17" t="s">
        <v>780</v>
      </c>
      <c r="BD17" t="s">
        <v>781</v>
      </c>
      <c r="BE17" t="s">
        <v>782</v>
      </c>
      <c r="BF17" t="s">
        <v>704</v>
      </c>
      <c r="BG17" t="s">
        <v>783</v>
      </c>
      <c r="BH17" t="s">
        <v>784</v>
      </c>
      <c r="BI17" t="s">
        <v>785</v>
      </c>
      <c r="BJ17" t="s">
        <v>786</v>
      </c>
      <c r="BK17" t="s">
        <v>787</v>
      </c>
      <c r="BL17" t="s">
        <v>660</v>
      </c>
      <c r="BM17" t="s">
        <v>788</v>
      </c>
      <c r="BN17" t="s">
        <v>789</v>
      </c>
      <c r="BO17">
        <v>25.58</v>
      </c>
      <c r="BP17">
        <v>8.57</v>
      </c>
      <c r="BQ17">
        <v>10.34</v>
      </c>
      <c r="BR17">
        <v>48.55</v>
      </c>
      <c r="BS17">
        <v>12.78</v>
      </c>
      <c r="BT17">
        <v>15.06</v>
      </c>
      <c r="BU17" t="s">
        <v>790</v>
      </c>
      <c r="BV17" t="s">
        <v>221</v>
      </c>
      <c r="BW17">
        <v>56</v>
      </c>
      <c r="BX17">
        <v>35.450000000000003</v>
      </c>
      <c r="BY17">
        <v>55.29</v>
      </c>
      <c r="BZ17">
        <v>36.43</v>
      </c>
      <c r="CA17">
        <v>12.2</v>
      </c>
      <c r="CB17">
        <v>12.04</v>
      </c>
      <c r="CC17">
        <v>4.53</v>
      </c>
      <c r="CD17">
        <v>-5.16</v>
      </c>
      <c r="CE17" t="s">
        <v>1647</v>
      </c>
      <c r="CF17" t="s">
        <v>1733</v>
      </c>
      <c r="CG17" s="26">
        <v>-5.8462275017998777E-2</v>
      </c>
      <c r="CH17" s="27">
        <v>-0.14869991896272286</v>
      </c>
      <c r="CI17" s="26">
        <v>0.67491978406906128</v>
      </c>
      <c r="CJ17" s="26">
        <v>-3.9883799850940704E-2</v>
      </c>
      <c r="CK17" s="26">
        <v>8.7929945439100266E-3</v>
      </c>
      <c r="CL17" s="26">
        <v>0.22888007760047913</v>
      </c>
      <c r="CM17" s="26">
        <v>0.2396157830953598</v>
      </c>
      <c r="CN17" s="27">
        <v>4.3173513412475586</v>
      </c>
      <c r="CO17" s="27">
        <v>-2.3411370813846588E-2</v>
      </c>
      <c r="CP17" s="27">
        <v>0.3590908944606781</v>
      </c>
      <c r="CQ17" s="27">
        <v>0.10183639079332352</v>
      </c>
      <c r="CR17" s="27">
        <v>2.2204301357269287</v>
      </c>
      <c r="CS17">
        <v>1.1619225841773884</v>
      </c>
      <c r="CT17">
        <v>73292078.145126671</v>
      </c>
      <c r="CU17">
        <v>3.1545741324921135</v>
      </c>
      <c r="CV17" s="26">
        <v>0.22246496789157391</v>
      </c>
      <c r="CW17" s="27">
        <v>1.3950594782829284</v>
      </c>
      <c r="CX17">
        <v>0.06</v>
      </c>
      <c r="CY17">
        <v>3.5105686745244395</v>
      </c>
      <c r="CZ17">
        <v>5371926245.6971235</v>
      </c>
      <c r="DA17">
        <v>0.22246496789157391</v>
      </c>
      <c r="DB17">
        <v>1.0272839347680947</v>
      </c>
      <c r="DC17">
        <v>18357647152.592957</v>
      </c>
      <c r="DD17">
        <v>0.21134171949699521</v>
      </c>
      <c r="DE17">
        <v>0.43331420675996812</v>
      </c>
      <c r="DF17">
        <v>43521573273.609665</v>
      </c>
      <c r="DG17">
        <v>0.19576917174458505</v>
      </c>
      <c r="DH17">
        <v>0.21651236639564045</v>
      </c>
      <c r="DI17">
        <v>87101334274.547577</v>
      </c>
      <c r="DJ17">
        <v>0.17797197431325915</v>
      </c>
      <c r="DK17">
        <v>7.2332058632096199E-2</v>
      </c>
      <c r="DL17">
        <v>260721405648.36398</v>
      </c>
      <c r="DM17">
        <v>0.15572547752410174</v>
      </c>
      <c r="DN17">
        <v>4658000000</v>
      </c>
      <c r="DO17">
        <v>0.22246496789157391</v>
      </c>
      <c r="DP17">
        <v>18858516000</v>
      </c>
      <c r="DQ17">
        <v>9241679000</v>
      </c>
      <c r="DR17">
        <v>3533</v>
      </c>
      <c r="DS17">
        <v>-0.28092724290957272</v>
      </c>
      <c r="DT17">
        <v>-1.5437593972456514</v>
      </c>
      <c r="DU17" s="28">
        <v>0.54999999999999993</v>
      </c>
      <c r="DV17">
        <v>1.1666666666666667</v>
      </c>
      <c r="DW17">
        <v>1.7166666666666668</v>
      </c>
      <c r="DX17">
        <v>6.4674922600619196</v>
      </c>
      <c r="DY17">
        <v>0.37952380952380971</v>
      </c>
      <c r="DZ17">
        <v>6.1166504496535454</v>
      </c>
      <c r="EA17">
        <v>531</v>
      </c>
      <c r="EB17">
        <v>6.1040632948545142</v>
      </c>
      <c r="EC17">
        <v>6</v>
      </c>
      <c r="ED17">
        <v>7.8269701858158569E-2</v>
      </c>
      <c r="EE17">
        <v>0.31367628607277293</v>
      </c>
      <c r="EF17" s="29">
        <v>5.800000000000001E-2</v>
      </c>
      <c r="EG17">
        <v>5.8008000000000004E-2</v>
      </c>
      <c r="EH17">
        <v>13.24952380952381</v>
      </c>
      <c r="EI17">
        <v>-1</v>
      </c>
      <c r="EJ17">
        <v>0</v>
      </c>
      <c r="EK17">
        <v>1</v>
      </c>
      <c r="EL17" s="30">
        <v>44942</v>
      </c>
      <c r="EM17" s="31">
        <v>-1.32E-2</v>
      </c>
      <c r="EN17" s="31">
        <v>5.9299999999999999E-2</v>
      </c>
      <c r="EO17" s="31">
        <v>3.8999999999999998E-3</v>
      </c>
      <c r="EP17" s="31">
        <v>-0.47</v>
      </c>
      <c r="EQ17" s="31">
        <v>8.0000000000000004E-4</v>
      </c>
    </row>
    <row r="18" spans="2:147" ht="108" x14ac:dyDescent="0.25">
      <c r="B18" s="24" t="s">
        <v>450</v>
      </c>
      <c r="C18" s="24"/>
      <c r="D18" s="24" t="s">
        <v>834</v>
      </c>
      <c r="E18" t="s">
        <v>290</v>
      </c>
      <c r="F18" t="s">
        <v>291</v>
      </c>
      <c r="G18">
        <v>14.54</v>
      </c>
      <c r="H18">
        <v>-2.0999999999999999E-3</v>
      </c>
      <c r="I18" t="s">
        <v>1734</v>
      </c>
      <c r="J18">
        <v>16610496000</v>
      </c>
      <c r="K18">
        <v>4.49</v>
      </c>
      <c r="L18">
        <v>1.1000000000000001</v>
      </c>
      <c r="M18" t="s">
        <v>177</v>
      </c>
      <c r="N18" t="s">
        <v>793</v>
      </c>
      <c r="O18" t="s">
        <v>628</v>
      </c>
      <c r="P18" t="s">
        <v>794</v>
      </c>
      <c r="Q18">
        <v>29.88</v>
      </c>
      <c r="R18" t="s">
        <v>795</v>
      </c>
      <c r="S18">
        <v>2758066700</v>
      </c>
      <c r="T18" s="25">
        <v>0.96020000000000005</v>
      </c>
      <c r="U18" t="s">
        <v>796</v>
      </c>
      <c r="V18">
        <v>1142400000</v>
      </c>
      <c r="W18">
        <v>1142400000</v>
      </c>
      <c r="X18">
        <v>2.06</v>
      </c>
      <c r="Y18">
        <v>0.38</v>
      </c>
      <c r="Z18">
        <v>25.53</v>
      </c>
      <c r="AA18" t="s">
        <v>797</v>
      </c>
      <c r="AB18" t="s">
        <v>798</v>
      </c>
      <c r="AC18" t="s">
        <v>799</v>
      </c>
      <c r="AD18" t="s">
        <v>800</v>
      </c>
      <c r="AE18" t="s">
        <v>801</v>
      </c>
      <c r="AF18">
        <v>243025220</v>
      </c>
      <c r="AG18" t="s">
        <v>802</v>
      </c>
      <c r="AH18" t="s">
        <v>803</v>
      </c>
      <c r="AI18" t="s">
        <v>804</v>
      </c>
      <c r="AJ18" t="s">
        <v>805</v>
      </c>
      <c r="AK18" t="s">
        <v>806</v>
      </c>
      <c r="AL18" t="s">
        <v>807</v>
      </c>
      <c r="AM18" t="s">
        <v>808</v>
      </c>
      <c r="AN18" t="s">
        <v>167</v>
      </c>
      <c r="AO18" t="s">
        <v>809</v>
      </c>
      <c r="AP18" t="s">
        <v>810</v>
      </c>
      <c r="AQ18" t="s">
        <v>811</v>
      </c>
      <c r="AR18" t="s">
        <v>812</v>
      </c>
      <c r="AS18" t="s">
        <v>167</v>
      </c>
      <c r="AT18" t="s">
        <v>813</v>
      </c>
      <c r="AU18" t="s">
        <v>814</v>
      </c>
      <c r="AV18" t="s">
        <v>815</v>
      </c>
      <c r="AW18" t="s">
        <v>816</v>
      </c>
      <c r="AX18" t="s">
        <v>817</v>
      </c>
      <c r="AY18" t="s">
        <v>818</v>
      </c>
      <c r="AZ18" t="s">
        <v>819</v>
      </c>
      <c r="BA18" t="s">
        <v>820</v>
      </c>
      <c r="BB18" t="s">
        <v>821</v>
      </c>
      <c r="BC18" t="s">
        <v>822</v>
      </c>
      <c r="BD18" t="s">
        <v>807</v>
      </c>
      <c r="BE18" t="s">
        <v>823</v>
      </c>
      <c r="BF18" t="s">
        <v>824</v>
      </c>
      <c r="BG18" t="s">
        <v>825</v>
      </c>
      <c r="BH18" t="s">
        <v>826</v>
      </c>
      <c r="BI18" t="s">
        <v>827</v>
      </c>
      <c r="BJ18" t="s">
        <v>828</v>
      </c>
      <c r="BK18" t="s">
        <v>829</v>
      </c>
      <c r="BL18" t="s">
        <v>830</v>
      </c>
      <c r="BM18" t="s">
        <v>831</v>
      </c>
      <c r="BN18" t="s">
        <v>832</v>
      </c>
      <c r="BO18">
        <v>11.75</v>
      </c>
      <c r="BP18">
        <v>2.87</v>
      </c>
      <c r="BQ18">
        <v>4.33</v>
      </c>
      <c r="BR18">
        <v>19.79</v>
      </c>
      <c r="BS18">
        <v>3.53</v>
      </c>
      <c r="BT18">
        <v>6.42</v>
      </c>
      <c r="BU18" t="s">
        <v>833</v>
      </c>
      <c r="BV18" t="s">
        <v>221</v>
      </c>
      <c r="BW18">
        <v>57.76</v>
      </c>
      <c r="BX18">
        <v>34.36</v>
      </c>
      <c r="BY18">
        <v>36.44</v>
      </c>
      <c r="BZ18">
        <v>27.6</v>
      </c>
      <c r="CA18">
        <v>3.79</v>
      </c>
      <c r="CB18">
        <v>6.66</v>
      </c>
      <c r="CC18">
        <v>2.97</v>
      </c>
      <c r="CD18">
        <v>1.75</v>
      </c>
      <c r="CE18" t="s">
        <v>1735</v>
      </c>
      <c r="CF18" t="s">
        <v>1736</v>
      </c>
      <c r="CG18" s="26">
        <v>6.7043573844419391E-2</v>
      </c>
      <c r="CH18" s="27">
        <v>8.4363342696629207E-2</v>
      </c>
      <c r="CI18" s="26">
        <v>0.94083917140960693</v>
      </c>
      <c r="CJ18" s="26">
        <v>-0.16622623801231384</v>
      </c>
      <c r="CK18" s="26">
        <v>-6.82377889752388E-2</v>
      </c>
      <c r="CL18" s="26">
        <v>0.12727990746498108</v>
      </c>
      <c r="CM18" s="26">
        <v>0.73611748218536377</v>
      </c>
      <c r="CN18" s="27">
        <v>5.2746663093566895</v>
      </c>
      <c r="CO18" s="27">
        <v>-0.4343891441822052</v>
      </c>
      <c r="CP18" s="27">
        <v>-0.38667896389961243</v>
      </c>
      <c r="CQ18" s="27">
        <v>0.38235285878181458</v>
      </c>
      <c r="CR18" s="27">
        <v>2.1848485469818115</v>
      </c>
      <c r="CS18">
        <v>1.2916404354587869</v>
      </c>
      <c r="CT18">
        <v>136126502.33744156</v>
      </c>
      <c r="CU18">
        <v>5.1581843191196706</v>
      </c>
      <c r="CV18" s="26">
        <v>0.31395450681447984</v>
      </c>
      <c r="CW18" s="27">
        <v>1.4041599214076996</v>
      </c>
      <c r="CX18">
        <v>0.06</v>
      </c>
      <c r="CY18">
        <v>5.9911234411712515</v>
      </c>
      <c r="CZ18">
        <v>2916731089.1834626</v>
      </c>
      <c r="DA18">
        <v>0.31395450681447984</v>
      </c>
      <c r="DB18">
        <v>1.6278753193369933</v>
      </c>
      <c r="DC18">
        <v>10734542008.485683</v>
      </c>
      <c r="DD18">
        <v>0.29825678147375584</v>
      </c>
      <c r="DE18">
        <v>0.61486923481869449</v>
      </c>
      <c r="DF18">
        <v>28419857443.595589</v>
      </c>
      <c r="DG18">
        <v>0.27627996599674226</v>
      </c>
      <c r="DH18">
        <v>0.26704222693093593</v>
      </c>
      <c r="DI18">
        <v>65437201452.485489</v>
      </c>
      <c r="DJ18">
        <v>0.25116360545158389</v>
      </c>
      <c r="DK18">
        <v>6.2458886638269873E-2</v>
      </c>
      <c r="DL18">
        <v>279775976494.80048</v>
      </c>
      <c r="DM18">
        <v>0.21976815477013587</v>
      </c>
      <c r="DN18">
        <v>2353000000</v>
      </c>
      <c r="DO18">
        <v>0.31395450681447984</v>
      </c>
      <c r="DP18">
        <v>17474496000</v>
      </c>
      <c r="DQ18">
        <v>-2116643700</v>
      </c>
      <c r="DR18">
        <v>2839</v>
      </c>
      <c r="DS18">
        <v>-0.24691093297006045</v>
      </c>
      <c r="DT18">
        <v>-1.3197965787110704</v>
      </c>
      <c r="DU18" s="28">
        <v>0.60333333333333328</v>
      </c>
      <c r="DV18">
        <v>1.0566666666666664</v>
      </c>
      <c r="DW18">
        <v>1.6599999999999997</v>
      </c>
      <c r="DX18">
        <v>4.5892255892255891</v>
      </c>
      <c r="DY18">
        <v>0.3743185522041762</v>
      </c>
      <c r="DZ18">
        <v>4.1262819752044813</v>
      </c>
      <c r="EA18">
        <v>579</v>
      </c>
      <c r="EB18">
        <v>4.1114237627185242</v>
      </c>
      <c r="EC18">
        <v>4</v>
      </c>
      <c r="ED18">
        <v>8.0857230392156851E-2</v>
      </c>
      <c r="EE18">
        <v>0.37727591036414559</v>
      </c>
      <c r="EF18" s="29">
        <v>4.6100000000000002E-2</v>
      </c>
      <c r="EG18">
        <v>4.6079000000000002E-2</v>
      </c>
      <c r="EH18">
        <v>16.214318552204176</v>
      </c>
      <c r="EI18" t="s">
        <v>362</v>
      </c>
      <c r="EJ18">
        <v>0</v>
      </c>
      <c r="EK18">
        <v>1</v>
      </c>
      <c r="EL18" s="30">
        <v>44942</v>
      </c>
      <c r="EM18" s="31">
        <v>2.8E-3</v>
      </c>
      <c r="EN18" s="31">
        <v>2.6800000000000001E-2</v>
      </c>
      <c r="EO18" s="31">
        <v>4.7999999999999996E-3</v>
      </c>
      <c r="EP18" s="31">
        <v>-0.27</v>
      </c>
      <c r="EQ18" s="31">
        <v>-2.0999999999999999E-3</v>
      </c>
    </row>
    <row r="19" spans="2:147" ht="86.4" x14ac:dyDescent="0.25">
      <c r="B19" s="24"/>
      <c r="C19" s="24"/>
      <c r="D19" s="24" t="s">
        <v>1739</v>
      </c>
      <c r="E19" t="s">
        <v>292</v>
      </c>
      <c r="F19" t="s">
        <v>293</v>
      </c>
      <c r="G19">
        <v>6.87</v>
      </c>
      <c r="H19">
        <v>4.4000000000000003E-3</v>
      </c>
      <c r="I19" t="s">
        <v>1737</v>
      </c>
      <c r="J19">
        <v>14747313000</v>
      </c>
      <c r="K19">
        <v>7.26</v>
      </c>
      <c r="L19">
        <v>1.31</v>
      </c>
      <c r="M19" t="s">
        <v>177</v>
      </c>
      <c r="N19" t="s">
        <v>835</v>
      </c>
      <c r="O19" t="s">
        <v>836</v>
      </c>
      <c r="P19" t="s">
        <v>837</v>
      </c>
      <c r="Q19">
        <v>47.27</v>
      </c>
      <c r="R19" t="s">
        <v>838</v>
      </c>
      <c r="S19">
        <v>1658312800</v>
      </c>
      <c r="T19" s="25">
        <v>1.071</v>
      </c>
      <c r="U19" t="s">
        <v>839</v>
      </c>
      <c r="V19">
        <v>2146624900</v>
      </c>
      <c r="W19">
        <v>2146624900</v>
      </c>
      <c r="X19">
        <v>2.13</v>
      </c>
      <c r="Y19">
        <v>0.39</v>
      </c>
      <c r="Z19">
        <v>19.36</v>
      </c>
      <c r="AA19" t="s">
        <v>840</v>
      </c>
      <c r="AB19" t="s">
        <v>841</v>
      </c>
      <c r="AC19" t="s">
        <v>842</v>
      </c>
      <c r="AD19" t="s">
        <v>843</v>
      </c>
      <c r="AE19" t="s">
        <v>844</v>
      </c>
      <c r="AF19">
        <v>118374377</v>
      </c>
      <c r="AG19" t="s">
        <v>845</v>
      </c>
      <c r="AH19" t="s">
        <v>846</v>
      </c>
      <c r="AI19" t="s">
        <v>847</v>
      </c>
      <c r="AJ19" t="s">
        <v>848</v>
      </c>
      <c r="AK19" t="s">
        <v>849</v>
      </c>
      <c r="AL19" t="s">
        <v>850</v>
      </c>
      <c r="AM19" t="s">
        <v>851</v>
      </c>
      <c r="AN19" t="s">
        <v>167</v>
      </c>
      <c r="AO19" t="s">
        <v>852</v>
      </c>
      <c r="AP19" t="s">
        <v>853</v>
      </c>
      <c r="AQ19" t="s">
        <v>854</v>
      </c>
      <c r="AR19" t="s">
        <v>855</v>
      </c>
      <c r="AS19" t="s">
        <v>167</v>
      </c>
      <c r="AT19" t="s">
        <v>856</v>
      </c>
      <c r="AU19" t="s">
        <v>857</v>
      </c>
      <c r="AV19" t="s">
        <v>858</v>
      </c>
      <c r="AW19" t="s">
        <v>859</v>
      </c>
      <c r="AX19" t="s">
        <v>860</v>
      </c>
      <c r="AY19" t="s">
        <v>861</v>
      </c>
      <c r="AZ19" t="s">
        <v>862</v>
      </c>
      <c r="BA19" t="s">
        <v>863</v>
      </c>
      <c r="BB19" t="s">
        <v>864</v>
      </c>
      <c r="BC19" t="s">
        <v>865</v>
      </c>
      <c r="BD19" t="s">
        <v>265</v>
      </c>
      <c r="BE19" t="s">
        <v>866</v>
      </c>
      <c r="BF19" t="s">
        <v>867</v>
      </c>
      <c r="BG19" t="s">
        <v>868</v>
      </c>
      <c r="BH19" t="s">
        <v>869</v>
      </c>
      <c r="BI19" t="s">
        <v>870</v>
      </c>
      <c r="BJ19" t="s">
        <v>871</v>
      </c>
      <c r="BK19" t="s">
        <v>872</v>
      </c>
      <c r="BL19" t="s">
        <v>873</v>
      </c>
      <c r="BM19" t="s">
        <v>874</v>
      </c>
      <c r="BN19" t="s">
        <v>875</v>
      </c>
      <c r="BO19">
        <v>10.38</v>
      </c>
      <c r="BP19">
        <v>7.89</v>
      </c>
      <c r="BQ19">
        <v>11</v>
      </c>
      <c r="BR19">
        <v>16.54</v>
      </c>
      <c r="BS19">
        <v>11.01</v>
      </c>
      <c r="BT19">
        <v>15.49</v>
      </c>
      <c r="BU19" t="s">
        <v>790</v>
      </c>
      <c r="BV19" t="s">
        <v>221</v>
      </c>
      <c r="BW19">
        <v>44.82</v>
      </c>
      <c r="BX19">
        <v>31.84</v>
      </c>
      <c r="BY19">
        <v>35.68</v>
      </c>
      <c r="BZ19">
        <v>20.52</v>
      </c>
      <c r="CA19">
        <v>14.32</v>
      </c>
      <c r="CB19">
        <v>16.89</v>
      </c>
      <c r="CC19">
        <v>0.88</v>
      </c>
      <c r="CD19">
        <v>-4.18</v>
      </c>
      <c r="CE19" t="s">
        <v>1738</v>
      </c>
      <c r="CF19" t="s">
        <v>1548</v>
      </c>
      <c r="CG19" s="26">
        <v>0.10735885601577909</v>
      </c>
      <c r="CH19" s="27">
        <v>0.22216165191740414</v>
      </c>
      <c r="CI19" s="26">
        <v>0.48194429278373718</v>
      </c>
      <c r="CJ19" s="26">
        <v>-0.11466347426176071</v>
      </c>
      <c r="CK19" s="26">
        <v>0.21724143624305725</v>
      </c>
      <c r="CL19" s="26">
        <v>1.4800091739743948E-3</v>
      </c>
      <c r="CM19" s="26">
        <v>0.55365359783172607</v>
      </c>
      <c r="CN19" s="27">
        <v>0.35178777575492859</v>
      </c>
      <c r="CO19" s="27">
        <v>-0.28465345501899719</v>
      </c>
      <c r="CP19" s="27">
        <v>0.28253969550132751</v>
      </c>
      <c r="CQ19" s="27">
        <v>7.7537059783935547E-2</v>
      </c>
      <c r="CR19" s="27">
        <v>3.474489688873291</v>
      </c>
      <c r="CS19">
        <v>1.5162772979642196</v>
      </c>
      <c r="CT19">
        <v>164332534.12969282</v>
      </c>
      <c r="CU19">
        <v>5.8224163027656477</v>
      </c>
      <c r="CV19" s="26">
        <v>0.22793117235414684</v>
      </c>
      <c r="CW19" s="27">
        <v>0.78034015297889714</v>
      </c>
      <c r="CX19">
        <v>0.06</v>
      </c>
      <c r="CY19">
        <v>12.01047001741623</v>
      </c>
      <c r="CZ19">
        <v>1357674843.3953395</v>
      </c>
      <c r="DA19">
        <v>0.22793117235414684</v>
      </c>
      <c r="DB19">
        <v>3.4988683975734078</v>
      </c>
      <c r="DC19">
        <v>4660453365.810792</v>
      </c>
      <c r="DD19">
        <v>0.21653461373643948</v>
      </c>
      <c r="DE19">
        <v>1.4662338742610741</v>
      </c>
      <c r="DF19">
        <v>11121222395.859432</v>
      </c>
      <c r="DG19">
        <v>0.20057943167164921</v>
      </c>
      <c r="DH19">
        <v>0.72669704136130087</v>
      </c>
      <c r="DI19">
        <v>22438942326.576488</v>
      </c>
      <c r="DJ19">
        <v>0.18234493788331749</v>
      </c>
      <c r="DK19">
        <v>0.23789002314934182</v>
      </c>
      <c r="DL19">
        <v>68545594237.734283</v>
      </c>
      <c r="DM19">
        <v>0.15955182064790277</v>
      </c>
      <c r="DN19">
        <v>1172000000</v>
      </c>
      <c r="DO19">
        <v>0.22793117235414684</v>
      </c>
      <c r="DP19">
        <v>16306313000</v>
      </c>
      <c r="DQ19">
        <v>4237168300</v>
      </c>
      <c r="DR19">
        <v>3061</v>
      </c>
      <c r="DS19">
        <v>-0.12057231633836775</v>
      </c>
      <c r="DT19">
        <v>-0.55817850106149303</v>
      </c>
      <c r="DU19" s="28">
        <v>1</v>
      </c>
      <c r="DV19">
        <v>1.105</v>
      </c>
      <c r="DW19">
        <v>2.105</v>
      </c>
      <c r="DX19">
        <v>-1.0418000000000001</v>
      </c>
      <c r="DY19">
        <v>0.39824804928131496</v>
      </c>
      <c r="DZ19">
        <v>-1.007450768459959</v>
      </c>
      <c r="EA19">
        <v>227</v>
      </c>
      <c r="EB19">
        <v>-1.007107073186557</v>
      </c>
      <c r="EC19">
        <v>1</v>
      </c>
      <c r="ED19">
        <v>4.0438737107726642E-2</v>
      </c>
      <c r="EE19">
        <v>0.22686776809492892</v>
      </c>
      <c r="EF19" s="29">
        <v>4.5110000000000004E-2</v>
      </c>
      <c r="EG19">
        <v>4.5066000000000002E-2</v>
      </c>
      <c r="EH19">
        <v>22.178248049281315</v>
      </c>
      <c r="EI19" t="s">
        <v>362</v>
      </c>
      <c r="EJ19">
        <v>0</v>
      </c>
      <c r="EK19">
        <v>1</v>
      </c>
      <c r="EL19" s="30">
        <v>44942</v>
      </c>
      <c r="EM19" s="31">
        <v>-1.03E-2</v>
      </c>
      <c r="EN19" s="31">
        <v>2.52E-2</v>
      </c>
      <c r="EO19" s="31">
        <v>-1.01E-2</v>
      </c>
      <c r="EP19" s="31">
        <v>0</v>
      </c>
      <c r="EQ19" s="31">
        <v>4.4000000000000003E-3</v>
      </c>
    </row>
    <row r="20" spans="2:147" ht="86.4" x14ac:dyDescent="0.25">
      <c r="B20" s="24"/>
      <c r="C20" s="24"/>
      <c r="D20" s="24" t="s">
        <v>1743</v>
      </c>
      <c r="E20" t="s">
        <v>294</v>
      </c>
      <c r="F20" t="s">
        <v>295</v>
      </c>
      <c r="G20">
        <v>4.6900000000000004</v>
      </c>
      <c r="H20">
        <v>6.4000000000000003E-3</v>
      </c>
      <c r="I20" t="s">
        <v>1740</v>
      </c>
      <c r="J20">
        <v>11212910200</v>
      </c>
      <c r="K20">
        <v>5.29</v>
      </c>
      <c r="L20">
        <v>1.44</v>
      </c>
      <c r="M20" t="s">
        <v>177</v>
      </c>
      <c r="N20" t="s">
        <v>876</v>
      </c>
      <c r="O20" t="s">
        <v>877</v>
      </c>
      <c r="P20" t="s">
        <v>878</v>
      </c>
      <c r="Q20">
        <v>12.78</v>
      </c>
      <c r="R20" t="s">
        <v>879</v>
      </c>
      <c r="S20">
        <v>1370741500</v>
      </c>
      <c r="T20" s="25">
        <v>1.5349999999999999</v>
      </c>
      <c r="U20" t="s">
        <v>426</v>
      </c>
      <c r="V20">
        <v>2390812400</v>
      </c>
      <c r="W20">
        <v>2390812400</v>
      </c>
      <c r="X20">
        <v>2.67</v>
      </c>
      <c r="Y20">
        <v>0.31</v>
      </c>
      <c r="Z20">
        <v>22.8</v>
      </c>
      <c r="AA20" t="s">
        <v>880</v>
      </c>
      <c r="AB20" t="s">
        <v>881</v>
      </c>
      <c r="AC20" t="s">
        <v>882</v>
      </c>
      <c r="AD20" t="s">
        <v>883</v>
      </c>
      <c r="AE20" t="s">
        <v>884</v>
      </c>
      <c r="AF20">
        <v>271597000</v>
      </c>
      <c r="AG20" t="s">
        <v>885</v>
      </c>
      <c r="AH20" t="s">
        <v>886</v>
      </c>
      <c r="AI20" t="s">
        <v>887</v>
      </c>
      <c r="AJ20" t="s">
        <v>888</v>
      </c>
      <c r="AK20" t="s">
        <v>889</v>
      </c>
      <c r="AL20" t="s">
        <v>890</v>
      </c>
      <c r="AM20" t="s">
        <v>891</v>
      </c>
      <c r="AN20" t="s">
        <v>167</v>
      </c>
      <c r="AO20" t="s">
        <v>892</v>
      </c>
      <c r="AP20" t="s">
        <v>893</v>
      </c>
      <c r="AQ20" t="s">
        <v>894</v>
      </c>
      <c r="AR20" t="s">
        <v>895</v>
      </c>
      <c r="AS20" t="s">
        <v>167</v>
      </c>
      <c r="AT20" t="s">
        <v>896</v>
      </c>
      <c r="AU20" t="s">
        <v>897</v>
      </c>
      <c r="AV20" t="s">
        <v>898</v>
      </c>
      <c r="AW20" t="s">
        <v>899</v>
      </c>
      <c r="AX20" t="s">
        <v>900</v>
      </c>
      <c r="AY20" t="s">
        <v>901</v>
      </c>
      <c r="AZ20" t="s">
        <v>902</v>
      </c>
      <c r="BA20" t="s">
        <v>903</v>
      </c>
      <c r="BB20" t="s">
        <v>904</v>
      </c>
      <c r="BC20" t="s">
        <v>905</v>
      </c>
      <c r="BD20" t="s">
        <v>906</v>
      </c>
      <c r="BE20" t="s">
        <v>907</v>
      </c>
      <c r="BF20" t="s">
        <v>908</v>
      </c>
      <c r="BG20" t="s">
        <v>909</v>
      </c>
      <c r="BH20" t="s">
        <v>910</v>
      </c>
      <c r="BI20" t="s">
        <v>911</v>
      </c>
      <c r="BJ20" t="s">
        <v>912</v>
      </c>
      <c r="BK20" t="s">
        <v>913</v>
      </c>
      <c r="BL20" t="s">
        <v>914</v>
      </c>
      <c r="BM20" t="s">
        <v>915</v>
      </c>
      <c r="BN20" t="s">
        <v>916</v>
      </c>
      <c r="BO20">
        <v>8.59</v>
      </c>
      <c r="BP20">
        <v>-5.63</v>
      </c>
      <c r="BQ20">
        <v>0.21</v>
      </c>
      <c r="BR20">
        <v>17.329999999999998</v>
      </c>
      <c r="BS20">
        <v>-15.14</v>
      </c>
      <c r="BT20">
        <v>0.13</v>
      </c>
      <c r="BU20" t="s">
        <v>917</v>
      </c>
      <c r="BV20" t="s">
        <v>221</v>
      </c>
      <c r="BW20">
        <v>51.17</v>
      </c>
      <c r="BX20">
        <v>24.01</v>
      </c>
      <c r="BY20">
        <v>27.03</v>
      </c>
      <c r="BZ20">
        <v>22.76</v>
      </c>
      <c r="CA20">
        <v>-19.37</v>
      </c>
      <c r="CB20">
        <v>0.16</v>
      </c>
      <c r="CC20">
        <v>0.64</v>
      </c>
      <c r="CD20">
        <v>-6.2</v>
      </c>
      <c r="CE20" t="s">
        <v>1741</v>
      </c>
      <c r="CF20" t="s">
        <v>1742</v>
      </c>
      <c r="CG20" s="26">
        <v>0.23822774480712189</v>
      </c>
      <c r="CH20" s="27">
        <v>0.76690806451612903</v>
      </c>
      <c r="CI20" s="26">
        <v>0.15895110368728638</v>
      </c>
      <c r="CJ20" s="26">
        <v>0.15636113286018372</v>
      </c>
      <c r="CK20" s="26">
        <v>-0.24907773733139038</v>
      </c>
      <c r="CL20" s="26">
        <v>0.15027807652950287</v>
      </c>
      <c r="CM20" s="26">
        <v>0.31905031204223633</v>
      </c>
      <c r="CN20" s="27">
        <v>2.3875133991241455</v>
      </c>
      <c r="CO20" s="27">
        <v>-13.086456298828125</v>
      </c>
      <c r="CP20" s="27">
        <v>-0.88193100690841675</v>
      </c>
      <c r="CQ20" s="27">
        <v>0.35624998807907104</v>
      </c>
      <c r="CR20" s="27">
        <v>1.2445236444473267</v>
      </c>
      <c r="CS20">
        <v>1.4173821514347111</v>
      </c>
      <c r="CT20">
        <v>105160930.95422809</v>
      </c>
      <c r="CU20">
        <v>7.4626865671641784</v>
      </c>
      <c r="CV20" s="26">
        <v>0.10711257755756379</v>
      </c>
      <c r="CW20" s="27">
        <v>-1.9960200548171998</v>
      </c>
      <c r="CX20">
        <v>0.06</v>
      </c>
      <c r="CY20">
        <v>12.458609828514813</v>
      </c>
      <c r="CZ20">
        <v>1346290672.1431129</v>
      </c>
      <c r="DA20">
        <v>0.10711257755756379</v>
      </c>
      <c r="DB20">
        <v>4.0128996604757718</v>
      </c>
      <c r="DC20">
        <v>4179748216.7823234</v>
      </c>
      <c r="DD20">
        <v>0.1017569486796856</v>
      </c>
      <c r="DE20">
        <v>1.9373747340799661</v>
      </c>
      <c r="DF20">
        <v>8657545649.2495422</v>
      </c>
      <c r="DG20">
        <v>9.4259068250656136E-2</v>
      </c>
      <c r="DH20">
        <v>1.1379644483342644</v>
      </c>
      <c r="DI20">
        <v>14739397372.696432</v>
      </c>
      <c r="DJ20">
        <v>8.5690062046051035E-2</v>
      </c>
      <c r="DK20">
        <v>0.55965119192274093</v>
      </c>
      <c r="DL20">
        <v>29970293000.493561</v>
      </c>
      <c r="DM20">
        <v>7.4978804290294646E-2</v>
      </c>
      <c r="DN20">
        <v>1289000000</v>
      </c>
      <c r="DO20">
        <v>0.10711257755756379</v>
      </c>
      <c r="DP20">
        <v>16772910200</v>
      </c>
      <c r="DQ20">
        <v>-4578151800</v>
      </c>
      <c r="DR20">
        <v>3067</v>
      </c>
      <c r="DS20">
        <v>0.1311151672495581</v>
      </c>
      <c r="DT20">
        <v>2.7629281193333286</v>
      </c>
      <c r="DU20" s="28">
        <v>0.39999999999999997</v>
      </c>
      <c r="DV20">
        <v>0.23333333333333328</v>
      </c>
      <c r="DW20">
        <v>0.6333333333333333</v>
      </c>
      <c r="DX20">
        <v>-2.0619999999999998</v>
      </c>
      <c r="DY20">
        <v>0.34098252788104066</v>
      </c>
      <c r="DZ20">
        <v>-2.0106009167286247</v>
      </c>
      <c r="EA20">
        <v>2275</v>
      </c>
      <c r="EB20">
        <v>-2.0057000661784072</v>
      </c>
      <c r="EC20">
        <v>2</v>
      </c>
      <c r="ED20">
        <v>1.9237937698499474E-2</v>
      </c>
      <c r="EE20">
        <v>0.11251405589162913</v>
      </c>
      <c r="EF20" s="29">
        <v>6.8600000000000008E-2</v>
      </c>
      <c r="EG20">
        <v>6.8663999999999989E-2</v>
      </c>
      <c r="EH20">
        <v>17.170982527881041</v>
      </c>
      <c r="EI20" t="s">
        <v>362</v>
      </c>
      <c r="EJ20">
        <v>0</v>
      </c>
      <c r="EK20">
        <v>0</v>
      </c>
      <c r="EL20" s="30">
        <v>44942</v>
      </c>
      <c r="EM20" s="31">
        <v>-1.29E-2</v>
      </c>
      <c r="EN20" s="31">
        <v>2.6100000000000002E-2</v>
      </c>
      <c r="EO20" s="31">
        <v>-8.5000000000000006E-3</v>
      </c>
      <c r="EP20" s="31">
        <v>-0.43</v>
      </c>
      <c r="EQ20" s="31">
        <v>6.4000000000000003E-3</v>
      </c>
    </row>
    <row r="21" spans="2:147" ht="86.4" x14ac:dyDescent="0.25">
      <c r="B21" s="24"/>
      <c r="C21" s="24"/>
      <c r="D21" s="24" t="s">
        <v>1746</v>
      </c>
      <c r="E21" t="s">
        <v>296</v>
      </c>
      <c r="F21" t="s">
        <v>297</v>
      </c>
      <c r="G21">
        <v>4.13</v>
      </c>
      <c r="H21">
        <v>4.8999999999999998E-3</v>
      </c>
      <c r="I21" t="s">
        <v>1744</v>
      </c>
      <c r="J21">
        <v>10698937600</v>
      </c>
      <c r="K21">
        <v>4.76</v>
      </c>
      <c r="L21">
        <v>0.92400000000000004</v>
      </c>
      <c r="M21" t="s">
        <v>177</v>
      </c>
      <c r="N21" t="s">
        <v>918</v>
      </c>
      <c r="O21" t="s">
        <v>919</v>
      </c>
      <c r="P21" t="s">
        <v>920</v>
      </c>
      <c r="Q21">
        <v>-0.71</v>
      </c>
      <c r="R21" t="s">
        <v>921</v>
      </c>
      <c r="S21">
        <v>1840991500</v>
      </c>
      <c r="T21" s="25">
        <v>-9.0899999999999995E-2</v>
      </c>
      <c r="U21" t="s">
        <v>922</v>
      </c>
      <c r="V21">
        <v>2590541800</v>
      </c>
      <c r="W21">
        <v>2590541800</v>
      </c>
      <c r="X21">
        <v>2.59</v>
      </c>
      <c r="Y21">
        <v>0.28000000000000003</v>
      </c>
      <c r="Z21">
        <v>23.01</v>
      </c>
      <c r="AA21" t="s">
        <v>923</v>
      </c>
      <c r="AB21" t="s">
        <v>924</v>
      </c>
      <c r="AC21" t="s">
        <v>925</v>
      </c>
      <c r="AD21" t="s">
        <v>926</v>
      </c>
      <c r="AE21" t="s">
        <v>167</v>
      </c>
      <c r="AF21">
        <v>498234630</v>
      </c>
      <c r="AG21" t="s">
        <v>927</v>
      </c>
      <c r="AH21" t="s">
        <v>928</v>
      </c>
      <c r="AI21" t="s">
        <v>929</v>
      </c>
      <c r="AJ21" t="s">
        <v>930</v>
      </c>
      <c r="AK21" t="s">
        <v>931</v>
      </c>
      <c r="AL21" t="s">
        <v>167</v>
      </c>
      <c r="AM21" t="s">
        <v>932</v>
      </c>
      <c r="AN21" t="s">
        <v>167</v>
      </c>
      <c r="AO21" t="s">
        <v>933</v>
      </c>
      <c r="AP21" t="s">
        <v>934</v>
      </c>
      <c r="AQ21" t="s">
        <v>935</v>
      </c>
      <c r="AR21" t="s">
        <v>936</v>
      </c>
      <c r="AS21" t="s">
        <v>937</v>
      </c>
      <c r="AT21" t="s">
        <v>938</v>
      </c>
      <c r="AU21" t="s">
        <v>785</v>
      </c>
      <c r="AV21" t="s">
        <v>939</v>
      </c>
      <c r="AW21" t="s">
        <v>940</v>
      </c>
      <c r="AX21" t="s">
        <v>941</v>
      </c>
      <c r="AY21" t="s">
        <v>942</v>
      </c>
      <c r="AZ21" t="s">
        <v>943</v>
      </c>
      <c r="BA21" t="s">
        <v>944</v>
      </c>
      <c r="BB21" t="s">
        <v>945</v>
      </c>
      <c r="BC21" t="s">
        <v>946</v>
      </c>
      <c r="BD21" t="s">
        <v>947</v>
      </c>
      <c r="BE21" t="s">
        <v>948</v>
      </c>
      <c r="BF21" t="s">
        <v>949</v>
      </c>
      <c r="BG21" t="s">
        <v>950</v>
      </c>
      <c r="BH21" t="s">
        <v>951</v>
      </c>
      <c r="BI21" t="s">
        <v>952</v>
      </c>
      <c r="BJ21" t="s">
        <v>953</v>
      </c>
      <c r="BK21" t="s">
        <v>954</v>
      </c>
      <c r="BL21" t="s">
        <v>955</v>
      </c>
      <c r="BM21" t="s">
        <v>956</v>
      </c>
      <c r="BN21" t="s">
        <v>957</v>
      </c>
      <c r="BO21">
        <v>12.54</v>
      </c>
      <c r="BP21">
        <v>8.06</v>
      </c>
      <c r="BQ21">
        <v>8.2200000000000006</v>
      </c>
      <c r="BR21">
        <v>29.79</v>
      </c>
      <c r="BS21">
        <v>11.69</v>
      </c>
      <c r="BT21">
        <v>9.1300000000000008</v>
      </c>
      <c r="BU21" t="s">
        <v>958</v>
      </c>
      <c r="BV21" t="s">
        <v>221</v>
      </c>
      <c r="BW21">
        <v>45.18</v>
      </c>
      <c r="BX21">
        <v>37.07</v>
      </c>
      <c r="BY21">
        <v>40.159999999999997</v>
      </c>
      <c r="BZ21">
        <v>22.23</v>
      </c>
      <c r="CA21">
        <v>12.28</v>
      </c>
      <c r="CB21">
        <v>8.18</v>
      </c>
      <c r="CC21">
        <v>-1.2</v>
      </c>
      <c r="CD21">
        <v>-8.43</v>
      </c>
      <c r="CE21" t="s">
        <v>315</v>
      </c>
      <c r="CF21" t="s">
        <v>1745</v>
      </c>
      <c r="CG21" s="26">
        <v>-8.7334736842105257E-2</v>
      </c>
      <c r="CH21" s="27">
        <v>-0.11926521739130434</v>
      </c>
      <c r="CI21" s="26">
        <v>0.49479356408119202</v>
      </c>
      <c r="CJ21" s="26">
        <v>-9.4210721552371979E-2</v>
      </c>
      <c r="CK21" s="26">
        <v>5.4171353578567505E-2</v>
      </c>
      <c r="CL21" s="26">
        <v>0.17182272672653198</v>
      </c>
      <c r="CM21" s="26">
        <v>0.38175415992736816</v>
      </c>
      <c r="CN21" s="27">
        <v>1.8736715316772461</v>
      </c>
      <c r="CO21" s="27">
        <v>0.4704861044883728</v>
      </c>
      <c r="CP21" s="27">
        <v>1.2068965435028076</v>
      </c>
      <c r="CQ21" s="27">
        <v>10.792026519775391</v>
      </c>
      <c r="CR21" s="27">
        <v>-0.908538818359375</v>
      </c>
      <c r="CS21">
        <v>0.856668876611418</v>
      </c>
      <c r="CT21">
        <v>73915472.473294988</v>
      </c>
      <c r="CU21">
        <v>1.6949152542372881</v>
      </c>
      <c r="CV21" s="26">
        <v>0.20166621655225753</v>
      </c>
      <c r="CW21" s="27">
        <v>2.6869083762168886</v>
      </c>
      <c r="CX21">
        <v>0.06</v>
      </c>
      <c r="CY21">
        <v>6.4882225445886039</v>
      </c>
      <c r="CZ21">
        <v>2759297708.5737686</v>
      </c>
      <c r="DA21">
        <v>0.20166621655225753</v>
      </c>
      <c r="DB21">
        <v>1.9313713248042494</v>
      </c>
      <c r="DC21">
        <v>9269547171.0053062</v>
      </c>
      <c r="DD21">
        <v>0.19158290572464465</v>
      </c>
      <c r="DE21">
        <v>0.835086760889866</v>
      </c>
      <c r="DF21">
        <v>21438416268.176353</v>
      </c>
      <c r="DG21">
        <v>0.17746627056598663</v>
      </c>
      <c r="DH21">
        <v>0.43022364276966335</v>
      </c>
      <c r="DI21">
        <v>41613095655.891281</v>
      </c>
      <c r="DJ21">
        <v>0.16133297324180604</v>
      </c>
      <c r="DK21">
        <v>0.15506281518018572</v>
      </c>
      <c r="DL21">
        <v>115456033602.87553</v>
      </c>
      <c r="DM21">
        <v>0.14116635158658025</v>
      </c>
      <c r="DN21">
        <v>2434000000</v>
      </c>
      <c r="DO21">
        <v>0.20166621655225753</v>
      </c>
      <c r="DP21">
        <v>17902937600</v>
      </c>
      <c r="DQ21">
        <v>-5343555900</v>
      </c>
      <c r="DR21">
        <v>3723</v>
      </c>
      <c r="DS21">
        <v>-0.28900095339436277</v>
      </c>
      <c r="DT21">
        <v>-2.8061735936081931</v>
      </c>
      <c r="DU21" s="28">
        <v>0.3833333333333333</v>
      </c>
      <c r="DV21">
        <v>1.0083333333333333</v>
      </c>
      <c r="DW21">
        <v>1.3916666666666666</v>
      </c>
      <c r="DX21">
        <v>-2.0842999999999998</v>
      </c>
      <c r="DY21">
        <v>0.44340823970037324</v>
      </c>
      <c r="DZ21">
        <v>-2.0230483146067417</v>
      </c>
      <c r="EA21">
        <v>934</v>
      </c>
      <c r="EB21">
        <v>-2.0186737716596381</v>
      </c>
      <c r="EC21">
        <v>2</v>
      </c>
      <c r="ED21">
        <v>5.6358866705026725E-2</v>
      </c>
      <c r="EE21">
        <v>0.20613448507181006</v>
      </c>
      <c r="EF21" s="29">
        <v>3.0900000000000004E-2</v>
      </c>
      <c r="EG21">
        <v>3.0949000000000001E-2</v>
      </c>
      <c r="EH21">
        <v>17.273408239700373</v>
      </c>
      <c r="EI21" t="s">
        <v>362</v>
      </c>
      <c r="EJ21">
        <v>0</v>
      </c>
      <c r="EK21">
        <v>1</v>
      </c>
      <c r="EL21" s="30">
        <v>44942</v>
      </c>
      <c r="EM21" s="31">
        <v>-1.67E-2</v>
      </c>
      <c r="EN21" s="31">
        <v>2.4299999999999999E-2</v>
      </c>
      <c r="EO21" s="31">
        <v>-2.1399999999999999E-2</v>
      </c>
      <c r="EP21" s="31">
        <v>-0.24</v>
      </c>
      <c r="EQ21" s="31">
        <v>4.8999999999999998E-3</v>
      </c>
    </row>
    <row r="22" spans="2:147" ht="86.4" x14ac:dyDescent="0.25">
      <c r="B22" s="24"/>
      <c r="C22" s="24"/>
      <c r="D22" s="24" t="s">
        <v>1750</v>
      </c>
      <c r="E22" t="s">
        <v>298</v>
      </c>
      <c r="F22" t="s">
        <v>299</v>
      </c>
      <c r="G22">
        <v>14.94</v>
      </c>
      <c r="H22">
        <v>-6.9999999999999999E-4</v>
      </c>
      <c r="I22" t="s">
        <v>1747</v>
      </c>
      <c r="J22">
        <v>10797406900</v>
      </c>
      <c r="K22">
        <v>5.77</v>
      </c>
      <c r="L22">
        <v>0.86099999999999999</v>
      </c>
      <c r="M22" t="s">
        <v>177</v>
      </c>
      <c r="N22" t="s">
        <v>959</v>
      </c>
      <c r="O22" t="s">
        <v>960</v>
      </c>
      <c r="P22" t="s">
        <v>961</v>
      </c>
      <c r="Q22">
        <v>41.92</v>
      </c>
      <c r="R22" t="s">
        <v>962</v>
      </c>
      <c r="S22">
        <v>2121860300</v>
      </c>
      <c r="T22" s="25">
        <v>2.4</v>
      </c>
      <c r="U22" t="s">
        <v>963</v>
      </c>
      <c r="V22">
        <v>722718000</v>
      </c>
      <c r="W22">
        <v>722718000</v>
      </c>
      <c r="X22">
        <v>1.58</v>
      </c>
      <c r="Y22">
        <v>0.53</v>
      </c>
      <c r="Z22">
        <v>21.42</v>
      </c>
      <c r="AA22" t="s">
        <v>964</v>
      </c>
      <c r="AB22" t="s">
        <v>965</v>
      </c>
      <c r="AC22" t="s">
        <v>966</v>
      </c>
      <c r="AD22" t="s">
        <v>967</v>
      </c>
      <c r="AE22" t="s">
        <v>968</v>
      </c>
      <c r="AF22">
        <v>63743121</v>
      </c>
      <c r="AG22" t="s">
        <v>969</v>
      </c>
      <c r="AH22" t="s">
        <v>970</v>
      </c>
      <c r="AI22" t="s">
        <v>971</v>
      </c>
      <c r="AJ22" t="s">
        <v>972</v>
      </c>
      <c r="AK22" t="s">
        <v>973</v>
      </c>
      <c r="AL22" t="s">
        <v>167</v>
      </c>
      <c r="AM22" t="s">
        <v>974</v>
      </c>
      <c r="AN22" t="s">
        <v>167</v>
      </c>
      <c r="AO22" t="s">
        <v>975</v>
      </c>
      <c r="AP22" t="s">
        <v>976</v>
      </c>
      <c r="AQ22" t="s">
        <v>977</v>
      </c>
      <c r="AR22" t="s">
        <v>978</v>
      </c>
      <c r="AS22" t="s">
        <v>167</v>
      </c>
      <c r="AT22" t="s">
        <v>979</v>
      </c>
      <c r="AU22" t="s">
        <v>980</v>
      </c>
      <c r="AV22" t="s">
        <v>981</v>
      </c>
      <c r="AW22" t="s">
        <v>982</v>
      </c>
      <c r="AX22" t="s">
        <v>983</v>
      </c>
      <c r="AY22" t="s">
        <v>984</v>
      </c>
      <c r="AZ22" t="s">
        <v>985</v>
      </c>
      <c r="BA22" t="s">
        <v>986</v>
      </c>
      <c r="BB22" t="s">
        <v>987</v>
      </c>
      <c r="BC22" t="s">
        <v>988</v>
      </c>
      <c r="BD22" t="s">
        <v>989</v>
      </c>
      <c r="BE22" t="s">
        <v>990</v>
      </c>
      <c r="BF22" t="s">
        <v>640</v>
      </c>
      <c r="BG22" t="s">
        <v>991</v>
      </c>
      <c r="BH22" t="s">
        <v>992</v>
      </c>
      <c r="BI22" t="s">
        <v>993</v>
      </c>
      <c r="BJ22" t="s">
        <v>994</v>
      </c>
      <c r="BK22" t="s">
        <v>995</v>
      </c>
      <c r="BL22" t="s">
        <v>996</v>
      </c>
      <c r="BM22" t="s">
        <v>894</v>
      </c>
      <c r="BN22" t="s">
        <v>997</v>
      </c>
      <c r="BO22">
        <v>3.87</v>
      </c>
      <c r="BP22">
        <v>5.79</v>
      </c>
      <c r="BQ22">
        <v>5.31</v>
      </c>
      <c r="BR22">
        <v>3.59</v>
      </c>
      <c r="BS22">
        <v>6.63</v>
      </c>
      <c r="BT22">
        <v>5.95</v>
      </c>
      <c r="BU22" t="s">
        <v>998</v>
      </c>
      <c r="BV22" t="s">
        <v>221</v>
      </c>
      <c r="BW22">
        <v>45.65</v>
      </c>
      <c r="BX22">
        <v>24.04</v>
      </c>
      <c r="BY22">
        <v>24.82</v>
      </c>
      <c r="BZ22">
        <v>22.8</v>
      </c>
      <c r="CA22">
        <v>7.85</v>
      </c>
      <c r="CB22">
        <v>6.41</v>
      </c>
      <c r="CC22">
        <v>2.12</v>
      </c>
      <c r="CD22">
        <v>-5.44</v>
      </c>
      <c r="CE22" t="s">
        <v>1748</v>
      </c>
      <c r="CF22" t="s">
        <v>1749</v>
      </c>
      <c r="CG22" s="26">
        <v>0.24629941107184924</v>
      </c>
      <c r="CH22" s="27">
        <v>2.1013994623655914</v>
      </c>
      <c r="CI22" s="26">
        <v>0.32688790559768677</v>
      </c>
      <c r="CJ22" s="26">
        <v>4.0666488930583E-3</v>
      </c>
      <c r="CK22" s="26">
        <v>0.11300922185182571</v>
      </c>
      <c r="CL22" s="26">
        <v>8.1307202577590942E-2</v>
      </c>
      <c r="CM22" s="26">
        <v>0.22277988493442535</v>
      </c>
      <c r="CN22" s="27">
        <v>-0.44161677360534668</v>
      </c>
      <c r="CO22" s="27">
        <v>0.16173912584781647</v>
      </c>
      <c r="CP22" s="27">
        <v>-0.13010589778423309</v>
      </c>
      <c r="CQ22" s="27">
        <v>0.27360308170318604</v>
      </c>
      <c r="CR22" s="27">
        <v>0.14823009073734283</v>
      </c>
      <c r="CS22">
        <v>1.0631554647499015</v>
      </c>
      <c r="CT22">
        <v>556687774.79892766</v>
      </c>
      <c r="CU22">
        <v>1.0374832663989291</v>
      </c>
      <c r="CV22" s="26">
        <v>0.14961017277091743</v>
      </c>
      <c r="CW22" s="27">
        <v>2.3699253797531128E-3</v>
      </c>
      <c r="CX22">
        <v>0.06</v>
      </c>
      <c r="CY22">
        <v>13.552446473996458</v>
      </c>
      <c r="CZ22">
        <v>404532636.26750207</v>
      </c>
      <c r="DA22">
        <v>0.14961017277091743</v>
      </c>
      <c r="DB22">
        <v>4.2122706195894821</v>
      </c>
      <c r="DC22">
        <v>1301532450.1003456</v>
      </c>
      <c r="DD22">
        <v>0.14212966413237155</v>
      </c>
      <c r="DE22">
        <v>1.9363034196119311</v>
      </c>
      <c r="DF22">
        <v>2831377998.1335621</v>
      </c>
      <c r="DG22">
        <v>0.13165695203840733</v>
      </c>
      <c r="DH22">
        <v>1.0741084037829849</v>
      </c>
      <c r="DI22">
        <v>5104146732.9471493</v>
      </c>
      <c r="DJ22">
        <v>0.11968813821673395</v>
      </c>
      <c r="DK22">
        <v>0.46291696663820836</v>
      </c>
      <c r="DL22">
        <v>11843175547.905035</v>
      </c>
      <c r="DM22">
        <v>0.10472712093964219</v>
      </c>
      <c r="DN22">
        <v>373000000</v>
      </c>
      <c r="DO22">
        <v>0.14961017277091743</v>
      </c>
      <c r="DP22">
        <v>5482406900</v>
      </c>
      <c r="DQ22">
        <v>579960000</v>
      </c>
      <c r="DR22">
        <v>3136</v>
      </c>
      <c r="DS22">
        <v>9.6689238300931818E-2</v>
      </c>
      <c r="DT22">
        <v>2.0990295369858383</v>
      </c>
      <c r="DU22" s="28">
        <v>0.8666666666666667</v>
      </c>
      <c r="DV22">
        <v>0.70000000000000007</v>
      </c>
      <c r="DW22">
        <v>1.5666666666666669</v>
      </c>
      <c r="DX22">
        <v>-1.0544</v>
      </c>
      <c r="DY22">
        <v>0.38204182509505646</v>
      </c>
      <c r="DZ22">
        <v>-1.0115350752851711</v>
      </c>
      <c r="EA22">
        <v>692</v>
      </c>
      <c r="EB22">
        <v>-1.0099129919489918</v>
      </c>
      <c r="EC22">
        <v>1</v>
      </c>
      <c r="ED22">
        <v>7.7162876806721292E-2</v>
      </c>
      <c r="EE22">
        <v>0.36390404002667709</v>
      </c>
      <c r="EF22" s="29">
        <v>6.2100000000000002E-2</v>
      </c>
      <c r="EG22">
        <v>6.2093000000000002E-2</v>
      </c>
      <c r="EH22">
        <v>17.212041825095056</v>
      </c>
      <c r="EI22" t="s">
        <v>362</v>
      </c>
      <c r="EJ22">
        <v>0</v>
      </c>
      <c r="EK22">
        <v>1</v>
      </c>
      <c r="EL22" s="30">
        <v>44942</v>
      </c>
      <c r="EM22" s="31">
        <v>-8.2000000000000007E-3</v>
      </c>
      <c r="EN22" s="31">
        <v>0.04</v>
      </c>
      <c r="EO22" s="31">
        <v>-1.1900000000000001E-2</v>
      </c>
      <c r="EP22" s="31">
        <v>0.27</v>
      </c>
      <c r="EQ22" s="31">
        <v>-6.9999999999999999E-4</v>
      </c>
    </row>
    <row r="23" spans="2:147" ht="86.4" x14ac:dyDescent="0.25">
      <c r="B23" s="24"/>
      <c r="C23" s="24"/>
      <c r="D23" s="24" t="s">
        <v>1754</v>
      </c>
      <c r="E23" t="s">
        <v>300</v>
      </c>
      <c r="F23" t="s">
        <v>301</v>
      </c>
      <c r="G23">
        <v>6.33</v>
      </c>
      <c r="H23">
        <v>1.6000000000000001E-3</v>
      </c>
      <c r="I23" t="s">
        <v>1751</v>
      </c>
      <c r="J23">
        <v>9115186900</v>
      </c>
      <c r="K23">
        <v>4.04</v>
      </c>
      <c r="L23">
        <v>0.86</v>
      </c>
      <c r="M23" t="s">
        <v>177</v>
      </c>
      <c r="N23" t="s">
        <v>999</v>
      </c>
      <c r="O23" t="s">
        <v>1000</v>
      </c>
      <c r="P23" t="s">
        <v>1001</v>
      </c>
      <c r="Q23">
        <v>22.07</v>
      </c>
      <c r="R23" t="s">
        <v>1002</v>
      </c>
      <c r="S23">
        <v>1528386600</v>
      </c>
      <c r="T23" s="25">
        <v>0.18709999999999999</v>
      </c>
      <c r="U23" t="s">
        <v>1003</v>
      </c>
      <c r="V23">
        <v>1439997900</v>
      </c>
      <c r="W23">
        <v>1439997900</v>
      </c>
      <c r="X23">
        <v>2.21</v>
      </c>
      <c r="Y23">
        <v>0.23</v>
      </c>
      <c r="Z23">
        <v>32.950000000000003</v>
      </c>
      <c r="AA23" t="s">
        <v>1004</v>
      </c>
      <c r="AB23" t="s">
        <v>1005</v>
      </c>
      <c r="AC23" t="s">
        <v>1006</v>
      </c>
      <c r="AD23" t="s">
        <v>1007</v>
      </c>
      <c r="AE23" t="s">
        <v>1008</v>
      </c>
      <c r="AF23">
        <v>243218740</v>
      </c>
      <c r="AG23" t="s">
        <v>1009</v>
      </c>
      <c r="AH23" t="s">
        <v>1010</v>
      </c>
      <c r="AI23" t="s">
        <v>1011</v>
      </c>
      <c r="AJ23" t="s">
        <v>1012</v>
      </c>
      <c r="AK23" t="s">
        <v>1013</v>
      </c>
      <c r="AL23" t="s">
        <v>1014</v>
      </c>
      <c r="AM23" t="s">
        <v>1015</v>
      </c>
      <c r="AN23" t="s">
        <v>167</v>
      </c>
      <c r="AO23" t="s">
        <v>1016</v>
      </c>
      <c r="AP23" t="s">
        <v>1017</v>
      </c>
      <c r="AQ23" t="s">
        <v>167</v>
      </c>
      <c r="AR23" t="s">
        <v>1018</v>
      </c>
      <c r="AS23" t="s">
        <v>167</v>
      </c>
      <c r="AT23" t="s">
        <v>1019</v>
      </c>
      <c r="AU23" t="s">
        <v>1020</v>
      </c>
      <c r="AV23" t="s">
        <v>1021</v>
      </c>
      <c r="AW23" t="s">
        <v>1022</v>
      </c>
      <c r="AX23" t="s">
        <v>1023</v>
      </c>
      <c r="AY23" t="s">
        <v>1024</v>
      </c>
      <c r="AZ23" t="s">
        <v>1025</v>
      </c>
      <c r="BA23" t="s">
        <v>1026</v>
      </c>
      <c r="BB23" t="s">
        <v>1027</v>
      </c>
      <c r="BC23" t="s">
        <v>1028</v>
      </c>
      <c r="BD23" t="s">
        <v>1029</v>
      </c>
      <c r="BE23" t="s">
        <v>1030</v>
      </c>
      <c r="BF23" t="s">
        <v>1031</v>
      </c>
      <c r="BG23" t="s">
        <v>1032</v>
      </c>
      <c r="BH23" t="s">
        <v>1033</v>
      </c>
      <c r="BI23" t="s">
        <v>1034</v>
      </c>
      <c r="BJ23" t="s">
        <v>1035</v>
      </c>
      <c r="BK23" t="s">
        <v>1036</v>
      </c>
      <c r="BL23" t="s">
        <v>1037</v>
      </c>
      <c r="BM23" t="s">
        <v>1038</v>
      </c>
      <c r="BN23" t="s">
        <v>1039</v>
      </c>
      <c r="BO23">
        <v>12.07</v>
      </c>
      <c r="BP23">
        <v>2.0499999999999998</v>
      </c>
      <c r="BQ23">
        <v>3.76</v>
      </c>
      <c r="BR23">
        <v>23.34</v>
      </c>
      <c r="BS23">
        <v>0.61</v>
      </c>
      <c r="BT23">
        <v>3.9</v>
      </c>
      <c r="BU23" t="s">
        <v>1040</v>
      </c>
      <c r="BV23" t="s">
        <v>221</v>
      </c>
      <c r="BW23">
        <v>58.43</v>
      </c>
      <c r="BX23">
        <v>36.92</v>
      </c>
      <c r="BY23">
        <v>53.93</v>
      </c>
      <c r="BZ23">
        <v>32.17</v>
      </c>
      <c r="CA23">
        <v>1.43</v>
      </c>
      <c r="CB23">
        <v>7.37</v>
      </c>
      <c r="CC23">
        <v>0.96</v>
      </c>
      <c r="CD23">
        <v>-7.05</v>
      </c>
      <c r="CE23" t="s">
        <v>1752</v>
      </c>
      <c r="CF23" t="s">
        <v>1753</v>
      </c>
      <c r="CG23" s="26">
        <v>5.8533414832925838E-2</v>
      </c>
      <c r="CH23" s="27">
        <v>-7.8678963414634151E-2</v>
      </c>
      <c r="CI23" s="26">
        <v>0.91861534118652344</v>
      </c>
      <c r="CJ23" s="26">
        <v>-0.21163929998874664</v>
      </c>
      <c r="CK23" s="26">
        <v>-4.7676365822553635E-2</v>
      </c>
      <c r="CL23" s="26">
        <v>4.1032012552022934E-2</v>
      </c>
      <c r="CM23" s="26">
        <v>9.367041289806366E-2</v>
      </c>
      <c r="CN23" s="27">
        <v>41.049617767333984</v>
      </c>
      <c r="CO23" s="27">
        <v>-0.83540958166122437</v>
      </c>
      <c r="CP23" s="27">
        <v>-0.596393883228302</v>
      </c>
      <c r="CQ23" s="27">
        <v>0.15175719559192657</v>
      </c>
      <c r="CR23" s="27">
        <v>75.92608642578125</v>
      </c>
      <c r="CS23">
        <v>1.0891608196917195</v>
      </c>
      <c r="CT23">
        <v>76587423.038728893</v>
      </c>
      <c r="CU23">
        <v>8.6887835703001581</v>
      </c>
      <c r="CV23" s="26">
        <v>0.15880042016506196</v>
      </c>
      <c r="CW23" s="27">
        <v>23.139131584763525</v>
      </c>
      <c r="CX23">
        <v>0.06</v>
      </c>
      <c r="CY23">
        <v>5.4367415292476808</v>
      </c>
      <c r="CZ23">
        <v>2201720798.3136172</v>
      </c>
      <c r="DA23">
        <v>0.15880042016506196</v>
      </c>
      <c r="DB23">
        <v>1.6769035054841162</v>
      </c>
      <c r="DC23">
        <v>7138268159.6483688</v>
      </c>
      <c r="DD23">
        <v>0.15086039915680885</v>
      </c>
      <c r="DE23">
        <v>0.76261929570804299</v>
      </c>
      <c r="DF23">
        <v>15696150054.643518</v>
      </c>
      <c r="DG23">
        <v>0.13974436974525453</v>
      </c>
      <c r="DH23">
        <v>0.41767683676104611</v>
      </c>
      <c r="DI23">
        <v>28658967523.373032</v>
      </c>
      <c r="DJ23">
        <v>0.12704033613204957</v>
      </c>
      <c r="DK23">
        <v>0.17463985229530568</v>
      </c>
      <c r="DL23">
        <v>68542126797.949425</v>
      </c>
      <c r="DM23">
        <v>0.11116029411554336</v>
      </c>
      <c r="DN23">
        <v>2014000000</v>
      </c>
      <c r="DO23">
        <v>0.15880042016506196</v>
      </c>
      <c r="DP23">
        <v>11970186900</v>
      </c>
      <c r="DQ23">
        <v>2735758700</v>
      </c>
      <c r="DR23">
        <v>3565</v>
      </c>
      <c r="DS23">
        <v>-0.10026700533213612</v>
      </c>
      <c r="DT23">
        <v>-23.217810548178161</v>
      </c>
      <c r="DU23" s="28">
        <v>0.40333333333333332</v>
      </c>
      <c r="DV23">
        <v>0.67166666666666652</v>
      </c>
      <c r="DW23">
        <v>1.0749999999999997</v>
      </c>
      <c r="DX23">
        <v>-2.0705</v>
      </c>
      <c r="DY23">
        <v>0.39164456521739244</v>
      </c>
      <c r="DZ23">
        <v>-2.015625941847826</v>
      </c>
      <c r="EA23">
        <v>1474</v>
      </c>
      <c r="EB23">
        <v>-2.0109454626192758</v>
      </c>
      <c r="EC23">
        <v>2</v>
      </c>
      <c r="ED23">
        <v>4.248193695282472E-2</v>
      </c>
      <c r="EE23">
        <v>0.19166694618096319</v>
      </c>
      <c r="EF23" s="29">
        <v>6.0609999999999997E-2</v>
      </c>
      <c r="EG23">
        <v>6.0594000000000002E-2</v>
      </c>
      <c r="EH23">
        <v>17.221644565217392</v>
      </c>
      <c r="EI23" t="s">
        <v>362</v>
      </c>
      <c r="EJ23">
        <v>0</v>
      </c>
      <c r="EK23">
        <v>1</v>
      </c>
      <c r="EL23" s="30">
        <v>44942</v>
      </c>
      <c r="EM23" s="31">
        <v>-1.44E-2</v>
      </c>
      <c r="EN23" s="31">
        <v>3.2399999999999998E-2</v>
      </c>
      <c r="EO23" s="31">
        <v>-1.2500000000000001E-2</v>
      </c>
      <c r="EP23" s="31">
        <v>0.32</v>
      </c>
      <c r="EQ23" s="31">
        <v>1.6000000000000001E-3</v>
      </c>
    </row>
    <row r="24" spans="2:147" ht="86.4" x14ac:dyDescent="0.25">
      <c r="B24" s="24"/>
      <c r="C24" s="24"/>
      <c r="D24" s="24" t="s">
        <v>1758</v>
      </c>
      <c r="E24" t="s">
        <v>302</v>
      </c>
      <c r="F24" t="s">
        <v>303</v>
      </c>
      <c r="G24">
        <v>7.41</v>
      </c>
      <c r="H24">
        <v>2.7000000000000001E-3</v>
      </c>
      <c r="I24" t="s">
        <v>1755</v>
      </c>
      <c r="J24">
        <v>8892036200</v>
      </c>
      <c r="K24">
        <v>4.08</v>
      </c>
      <c r="L24">
        <v>0.80200000000000005</v>
      </c>
      <c r="M24" t="s">
        <v>177</v>
      </c>
      <c r="N24" t="s">
        <v>1041</v>
      </c>
      <c r="O24" t="s">
        <v>1042</v>
      </c>
      <c r="P24" t="s">
        <v>1043</v>
      </c>
      <c r="Q24">
        <v>40.71</v>
      </c>
      <c r="R24" t="s">
        <v>1044</v>
      </c>
      <c r="S24">
        <v>1607235200</v>
      </c>
      <c r="T24" s="25">
        <v>0.97689999999999999</v>
      </c>
      <c r="U24" t="s">
        <v>1045</v>
      </c>
      <c r="V24">
        <v>1200004880</v>
      </c>
      <c r="W24">
        <v>1200004880</v>
      </c>
      <c r="X24">
        <v>1.74</v>
      </c>
      <c r="Y24">
        <v>0.36</v>
      </c>
      <c r="Z24">
        <v>23.78</v>
      </c>
      <c r="AA24" t="s">
        <v>1046</v>
      </c>
      <c r="AB24" t="s">
        <v>1047</v>
      </c>
      <c r="AC24" t="s">
        <v>1048</v>
      </c>
      <c r="AD24" t="s">
        <v>1049</v>
      </c>
      <c r="AE24" t="s">
        <v>884</v>
      </c>
      <c r="AF24">
        <v>29835094</v>
      </c>
      <c r="AG24" t="s">
        <v>1050</v>
      </c>
      <c r="AH24" t="s">
        <v>1051</v>
      </c>
      <c r="AI24" t="s">
        <v>1052</v>
      </c>
      <c r="AJ24" t="s">
        <v>1053</v>
      </c>
      <c r="AK24" t="s">
        <v>1054</v>
      </c>
      <c r="AL24" t="s">
        <v>622</v>
      </c>
      <c r="AM24" t="s">
        <v>1055</v>
      </c>
      <c r="AN24" t="s">
        <v>167</v>
      </c>
      <c r="AO24" t="s">
        <v>1056</v>
      </c>
      <c r="AP24" t="s">
        <v>1057</v>
      </c>
      <c r="AQ24" t="s">
        <v>1058</v>
      </c>
      <c r="AR24" t="s">
        <v>544</v>
      </c>
      <c r="AS24" t="s">
        <v>167</v>
      </c>
      <c r="AT24" t="s">
        <v>1059</v>
      </c>
      <c r="AU24" t="s">
        <v>1060</v>
      </c>
      <c r="AV24" t="s">
        <v>1061</v>
      </c>
      <c r="AW24" t="s">
        <v>1062</v>
      </c>
      <c r="AX24" t="s">
        <v>1063</v>
      </c>
      <c r="AY24" t="s">
        <v>1064</v>
      </c>
      <c r="AZ24" t="s">
        <v>1065</v>
      </c>
      <c r="BA24" t="s">
        <v>1066</v>
      </c>
      <c r="BB24" t="s">
        <v>1067</v>
      </c>
      <c r="BC24" t="s">
        <v>1068</v>
      </c>
      <c r="BD24" t="s">
        <v>1069</v>
      </c>
      <c r="BE24" t="s">
        <v>1070</v>
      </c>
      <c r="BF24" t="s">
        <v>957</v>
      </c>
      <c r="BG24" t="s">
        <v>1071</v>
      </c>
      <c r="BH24" t="s">
        <v>1072</v>
      </c>
      <c r="BI24" t="s">
        <v>1073</v>
      </c>
      <c r="BJ24" t="s">
        <v>1074</v>
      </c>
      <c r="BK24" t="s">
        <v>1075</v>
      </c>
      <c r="BL24" t="s">
        <v>1076</v>
      </c>
      <c r="BM24" t="s">
        <v>1077</v>
      </c>
      <c r="BN24" t="s">
        <v>1078</v>
      </c>
      <c r="BO24">
        <v>10.91</v>
      </c>
      <c r="BP24">
        <v>6.99</v>
      </c>
      <c r="BQ24">
        <v>9.5</v>
      </c>
      <c r="BR24">
        <v>14.46</v>
      </c>
      <c r="BS24">
        <v>8.61</v>
      </c>
      <c r="BT24">
        <v>13.69</v>
      </c>
      <c r="BU24" t="s">
        <v>663</v>
      </c>
      <c r="BV24" t="s">
        <v>221</v>
      </c>
      <c r="BW24">
        <v>42.05</v>
      </c>
      <c r="BX24">
        <v>37.659999999999997</v>
      </c>
      <c r="BY24">
        <v>44.56</v>
      </c>
      <c r="BZ24">
        <v>19.77</v>
      </c>
      <c r="CA24">
        <v>14.8</v>
      </c>
      <c r="CB24">
        <v>18.760000000000002</v>
      </c>
      <c r="CC24">
        <v>1.93</v>
      </c>
      <c r="CD24">
        <v>-9.19</v>
      </c>
      <c r="CE24" t="s">
        <v>1756</v>
      </c>
      <c r="CF24" t="s">
        <v>1757</v>
      </c>
      <c r="CG24" s="26">
        <v>0.31738802978235969</v>
      </c>
      <c r="CH24" s="27">
        <v>1.2797341692789961</v>
      </c>
      <c r="CI24" s="26">
        <v>0.29539355635643005</v>
      </c>
      <c r="CJ24" s="26">
        <v>-0.13195601105690002</v>
      </c>
      <c r="CK24" s="26">
        <v>1.625465601682663E-2</v>
      </c>
      <c r="CL24" s="26">
        <v>-9.6389248967170715E-2</v>
      </c>
      <c r="CM24" s="26">
        <v>0.41288372874259949</v>
      </c>
      <c r="CN24" s="27">
        <v>0.79896247386932373</v>
      </c>
      <c r="CO24" s="27">
        <v>-0.31648936867713928</v>
      </c>
      <c r="CP24" s="27">
        <v>-7.5409837067127228E-2</v>
      </c>
      <c r="CQ24" s="27">
        <v>0.1040724590420723</v>
      </c>
      <c r="CR24" s="27">
        <v>30.31500244140625</v>
      </c>
      <c r="CS24">
        <v>1.3175338865017041</v>
      </c>
      <c r="CT24">
        <v>116224592.64599855</v>
      </c>
      <c r="CU24">
        <v>6.7476383265856947</v>
      </c>
      <c r="CV24" s="26">
        <v>9.9237336218357092E-2</v>
      </c>
      <c r="CW24" s="27">
        <v>6.1652276337146761</v>
      </c>
      <c r="CX24">
        <v>0.06</v>
      </c>
      <c r="CY24">
        <v>4.1263048028664251</v>
      </c>
      <c r="CZ24">
        <v>1438341684.2781711</v>
      </c>
      <c r="DA24">
        <v>9.9237336218357092E-2</v>
      </c>
      <c r="DB24">
        <v>1.3379425418198196</v>
      </c>
      <c r="DC24">
        <v>4435942512.0957623</v>
      </c>
      <c r="DD24">
        <v>9.4275469407439236E-2</v>
      </c>
      <c r="DE24">
        <v>0.65176747815909009</v>
      </c>
      <c r="DF24">
        <v>9106063740.3440914</v>
      </c>
      <c r="DG24">
        <v>8.7328855872154235E-2</v>
      </c>
      <c r="DH24">
        <v>0.38677626929817871</v>
      </c>
      <c r="DI24">
        <v>15344881966.955639</v>
      </c>
      <c r="DJ24">
        <v>7.9389868974685682E-2</v>
      </c>
      <c r="DK24">
        <v>0.19462743126105722</v>
      </c>
      <c r="DL24">
        <v>30494345846.034573</v>
      </c>
      <c r="DM24">
        <v>6.9466135352849956E-2</v>
      </c>
      <c r="DN24">
        <v>1387000000</v>
      </c>
      <c r="DO24">
        <v>9.9237336218357092E-2</v>
      </c>
      <c r="DP24">
        <v>5935036200</v>
      </c>
      <c r="DQ24">
        <v>4473418000</v>
      </c>
      <c r="DR24">
        <v>3508</v>
      </c>
      <c r="DS24">
        <v>0.2181506935640026</v>
      </c>
      <c r="DT24">
        <v>-4.8854934644356796</v>
      </c>
      <c r="DU24" s="28">
        <v>0.8666666666666667</v>
      </c>
      <c r="DV24">
        <v>1.1416666666666666</v>
      </c>
      <c r="DW24">
        <v>2.0083333333333333</v>
      </c>
      <c r="DX24">
        <v>-2.0918999999999999</v>
      </c>
      <c r="DY24">
        <v>0.35210175438596353</v>
      </c>
      <c r="DZ24">
        <v>-2.0139781512280703</v>
      </c>
      <c r="EA24">
        <v>286</v>
      </c>
      <c r="EB24">
        <v>-2.0131657652798429</v>
      </c>
      <c r="EC24">
        <v>2</v>
      </c>
      <c r="ED24">
        <v>6.5023235572175334E-2</v>
      </c>
      <c r="EE24">
        <v>0.42749826150706988</v>
      </c>
      <c r="EF24" s="29">
        <v>4.0710000000000003E-2</v>
      </c>
      <c r="EG24">
        <v>4.0683000000000004E-2</v>
      </c>
      <c r="EH24">
        <v>20.152101754385964</v>
      </c>
      <c r="EI24" t="s">
        <v>362</v>
      </c>
      <c r="EJ24">
        <v>0</v>
      </c>
      <c r="EK24">
        <v>1</v>
      </c>
      <c r="EL24" s="30">
        <v>44942</v>
      </c>
      <c r="EM24" s="31">
        <v>-9.5999999999999992E-3</v>
      </c>
      <c r="EN24" s="31">
        <v>2.3599999999999999E-2</v>
      </c>
      <c r="EO24" s="31">
        <v>0</v>
      </c>
      <c r="EP24" s="31">
        <v>0.27</v>
      </c>
      <c r="EQ24" s="31">
        <v>2.7000000000000001E-3</v>
      </c>
    </row>
    <row r="25" spans="2:147" ht="86.4" x14ac:dyDescent="0.25">
      <c r="B25" s="24"/>
      <c r="C25" s="24"/>
      <c r="D25" s="24" t="s">
        <v>1120</v>
      </c>
      <c r="E25" t="s">
        <v>304</v>
      </c>
      <c r="F25" t="s">
        <v>305</v>
      </c>
      <c r="G25">
        <v>3.23</v>
      </c>
      <c r="H25">
        <v>3.0999999999999999E-3</v>
      </c>
      <c r="I25" t="s">
        <v>1759</v>
      </c>
      <c r="J25">
        <v>8100279500</v>
      </c>
      <c r="K25">
        <v>8.6199999999999992</v>
      </c>
      <c r="L25">
        <v>0.88800000000000001</v>
      </c>
      <c r="M25" t="s">
        <v>177</v>
      </c>
      <c r="N25" t="s">
        <v>1079</v>
      </c>
      <c r="O25" t="s">
        <v>1080</v>
      </c>
      <c r="P25" t="s">
        <v>1081</v>
      </c>
      <c r="Q25">
        <v>9.66</v>
      </c>
      <c r="R25" t="s">
        <v>1082</v>
      </c>
      <c r="S25">
        <v>709746110</v>
      </c>
      <c r="T25" s="25">
        <v>0.43580000000000002</v>
      </c>
      <c r="U25" t="s">
        <v>1083</v>
      </c>
      <c r="V25">
        <v>2504573400</v>
      </c>
      <c r="W25">
        <v>2507824500</v>
      </c>
      <c r="X25">
        <v>1.65</v>
      </c>
      <c r="Y25">
        <v>0.28000000000000003</v>
      </c>
      <c r="Z25">
        <v>16.559999999999999</v>
      </c>
      <c r="AA25" t="s">
        <v>1084</v>
      </c>
      <c r="AB25" t="s">
        <v>1085</v>
      </c>
      <c r="AC25" t="s">
        <v>1086</v>
      </c>
      <c r="AD25" t="s">
        <v>1087</v>
      </c>
      <c r="AE25" t="s">
        <v>1088</v>
      </c>
      <c r="AF25">
        <v>14117976</v>
      </c>
      <c r="AG25" t="s">
        <v>1089</v>
      </c>
      <c r="AH25" t="s">
        <v>1090</v>
      </c>
      <c r="AI25" t="s">
        <v>1091</v>
      </c>
      <c r="AJ25" t="s">
        <v>1092</v>
      </c>
      <c r="AK25" t="s">
        <v>1093</v>
      </c>
      <c r="AL25" t="s">
        <v>1094</v>
      </c>
      <c r="AM25" t="s">
        <v>1095</v>
      </c>
      <c r="AN25" t="s">
        <v>167</v>
      </c>
      <c r="AO25" t="s">
        <v>1096</v>
      </c>
      <c r="AP25" t="s">
        <v>1097</v>
      </c>
      <c r="AQ25" t="s">
        <v>1098</v>
      </c>
      <c r="AR25" t="s">
        <v>1099</v>
      </c>
      <c r="AS25" t="s">
        <v>1100</v>
      </c>
      <c r="AT25" t="s">
        <v>1101</v>
      </c>
      <c r="AU25" t="s">
        <v>1102</v>
      </c>
      <c r="AV25" t="s">
        <v>1103</v>
      </c>
      <c r="AW25" t="s">
        <v>1104</v>
      </c>
      <c r="AX25" t="s">
        <v>1105</v>
      </c>
      <c r="AY25" t="s">
        <v>1106</v>
      </c>
      <c r="AZ25" t="s">
        <v>1107</v>
      </c>
      <c r="BA25" t="s">
        <v>1108</v>
      </c>
      <c r="BB25" t="s">
        <v>1109</v>
      </c>
      <c r="BC25" t="s">
        <v>1110</v>
      </c>
      <c r="BD25" t="s">
        <v>1111</v>
      </c>
      <c r="BE25" t="s">
        <v>991</v>
      </c>
      <c r="BF25" t="s">
        <v>1112</v>
      </c>
      <c r="BG25" t="s">
        <v>1113</v>
      </c>
      <c r="BH25" t="s">
        <v>1114</v>
      </c>
      <c r="BI25" t="s">
        <v>1115</v>
      </c>
      <c r="BJ25" t="s">
        <v>1116</v>
      </c>
      <c r="BK25" t="s">
        <v>1117</v>
      </c>
      <c r="BL25" t="s">
        <v>1118</v>
      </c>
      <c r="BM25" t="s">
        <v>1078</v>
      </c>
      <c r="BN25" t="s">
        <v>1007</v>
      </c>
      <c r="BO25">
        <v>6.25</v>
      </c>
      <c r="BP25">
        <v>4.63</v>
      </c>
      <c r="BQ25">
        <v>6.49</v>
      </c>
      <c r="BR25">
        <v>8.42</v>
      </c>
      <c r="BS25">
        <v>5.77</v>
      </c>
      <c r="BT25">
        <v>6.99</v>
      </c>
      <c r="BU25" t="s">
        <v>1119</v>
      </c>
      <c r="BV25" t="s">
        <v>221</v>
      </c>
      <c r="BW25">
        <v>35.08</v>
      </c>
      <c r="BX25">
        <v>30.27</v>
      </c>
      <c r="BY25">
        <v>27.97</v>
      </c>
      <c r="BZ25">
        <v>21.85</v>
      </c>
      <c r="CA25">
        <v>12.08</v>
      </c>
      <c r="CB25">
        <v>12.95</v>
      </c>
      <c r="CC25">
        <v>1.25</v>
      </c>
      <c r="CD25">
        <v>-5.56</v>
      </c>
      <c r="CE25" t="s">
        <v>1760</v>
      </c>
      <c r="CF25" t="s">
        <v>1761</v>
      </c>
      <c r="CG25" s="26">
        <v>2.6062268518518519E-2</v>
      </c>
      <c r="CH25" s="27">
        <v>-0.68751906862745105</v>
      </c>
      <c r="CI25" s="26">
        <v>0.31299155950546265</v>
      </c>
      <c r="CJ25" s="26">
        <v>-9.298890084028244E-2</v>
      </c>
      <c r="CK25" s="26">
        <v>-6.5982560627162457E-3</v>
      </c>
      <c r="CL25" s="26">
        <v>2.788245864212513E-2</v>
      </c>
      <c r="CM25" s="26">
        <v>0.33680325746536255</v>
      </c>
      <c r="CN25" s="27">
        <v>0.62696629762649536</v>
      </c>
      <c r="CO25" s="27">
        <v>-0.14258189499378204</v>
      </c>
      <c r="CP25" s="27">
        <v>-9.4240836799144745E-2</v>
      </c>
      <c r="CQ25" s="27">
        <v>3.8043476641178131E-2</v>
      </c>
      <c r="CR25" s="27">
        <v>1.4864864349365234</v>
      </c>
      <c r="CS25">
        <v>1.6732657508779178</v>
      </c>
      <c r="CT25">
        <v>93624582.872928172</v>
      </c>
      <c r="CU25">
        <v>1.5479876160990713</v>
      </c>
      <c r="CV25" s="26">
        <v>0.11561802374199033</v>
      </c>
      <c r="CW25" s="27">
        <v>0.38293469548225401</v>
      </c>
      <c r="CX25">
        <v>0.06</v>
      </c>
      <c r="CY25">
        <v>6.1133226825587359</v>
      </c>
      <c r="CZ25">
        <v>761988159.6124537</v>
      </c>
      <c r="DA25">
        <v>0.11561802374199033</v>
      </c>
      <c r="DB25">
        <v>1.9550300175300086</v>
      </c>
      <c r="DC25">
        <v>2382715077.6361408</v>
      </c>
      <c r="DD25">
        <v>0.10983712255489081</v>
      </c>
      <c r="DE25">
        <v>0.93471573101166672</v>
      </c>
      <c r="DF25">
        <v>4983632291.0263052</v>
      </c>
      <c r="DG25">
        <v>0.1017438608929515</v>
      </c>
      <c r="DH25">
        <v>0.54291448870973313</v>
      </c>
      <c r="DI25">
        <v>8580134803.6790533</v>
      </c>
      <c r="DJ25">
        <v>9.2494418993592273E-2</v>
      </c>
      <c r="DK25">
        <v>0.260330771881984</v>
      </c>
      <c r="DL25">
        <v>17893695264.391342</v>
      </c>
      <c r="DM25">
        <v>8.093261661939323E-2</v>
      </c>
      <c r="DN25">
        <v>724000000</v>
      </c>
      <c r="DO25">
        <v>0.11561802374199033</v>
      </c>
      <c r="DP25">
        <v>4658279500</v>
      </c>
      <c r="DQ25">
        <v>4983918500</v>
      </c>
      <c r="DR25">
        <v>139</v>
      </c>
      <c r="DS25">
        <v>-8.9555755223471811E-2</v>
      </c>
      <c r="DT25">
        <v>-1.0704537641097049</v>
      </c>
      <c r="DU25" s="28">
        <v>0.26666666666666666</v>
      </c>
      <c r="DV25">
        <v>0.75333333333333341</v>
      </c>
      <c r="DW25">
        <v>1.02</v>
      </c>
      <c r="DX25">
        <v>-1.0556000000000001</v>
      </c>
      <c r="DY25">
        <v>0.30075067024128532</v>
      </c>
      <c r="DZ25">
        <v>-1.0078257372654156</v>
      </c>
      <c r="EA25">
        <v>1549</v>
      </c>
      <c r="EB25">
        <v>-1.0053624031820729</v>
      </c>
      <c r="EC25">
        <v>1</v>
      </c>
      <c r="ED25">
        <v>4.1868958533581593E-2</v>
      </c>
      <c r="EE25">
        <v>0.29746898158144641</v>
      </c>
      <c r="EF25" s="29">
        <v>8.2199999999999995E-2</v>
      </c>
      <c r="EG25">
        <v>8.2230999999999999E-2</v>
      </c>
      <c r="EH25">
        <v>16.140750670241285</v>
      </c>
      <c r="EI25">
        <v>-1</v>
      </c>
      <c r="EJ25">
        <v>0</v>
      </c>
      <c r="EK25">
        <v>0</v>
      </c>
      <c r="EL25" s="30">
        <v>44942</v>
      </c>
      <c r="EM25" s="31">
        <v>-1.2500000000000001E-2</v>
      </c>
      <c r="EN25" s="31">
        <v>2.5399999999999999E-2</v>
      </c>
      <c r="EO25" s="31">
        <v>0</v>
      </c>
      <c r="EP25" s="31">
        <v>-0.31</v>
      </c>
      <c r="EQ25" s="31">
        <v>3.0999999999999999E-3</v>
      </c>
    </row>
    <row r="26" spans="2:147" ht="86.4" x14ac:dyDescent="0.25">
      <c r="B26" s="24"/>
      <c r="C26" s="24"/>
      <c r="D26" s="24" t="s">
        <v>1765</v>
      </c>
      <c r="E26" t="s">
        <v>306</v>
      </c>
      <c r="F26" t="s">
        <v>307</v>
      </c>
      <c r="G26">
        <v>5.22</v>
      </c>
      <c r="H26">
        <v>-1.8800000000000001E-2</v>
      </c>
      <c r="I26" t="s">
        <v>1762</v>
      </c>
      <c r="J26">
        <v>6360110800</v>
      </c>
      <c r="L26">
        <v>3.77</v>
      </c>
      <c r="M26" t="s">
        <v>177</v>
      </c>
      <c r="N26" t="s">
        <v>1121</v>
      </c>
      <c r="O26" t="s">
        <v>1122</v>
      </c>
      <c r="P26" t="s">
        <v>1123</v>
      </c>
      <c r="Q26">
        <v>50.76</v>
      </c>
      <c r="R26" t="s">
        <v>1124</v>
      </c>
      <c r="S26">
        <v>55644707</v>
      </c>
      <c r="T26" s="25">
        <v>1.7669999999999999</v>
      </c>
      <c r="U26" t="s">
        <v>1125</v>
      </c>
      <c r="V26">
        <v>1218412040</v>
      </c>
      <c r="W26">
        <v>1218412040</v>
      </c>
      <c r="X26">
        <v>5.29</v>
      </c>
      <c r="Y26">
        <v>0.23</v>
      </c>
      <c r="Z26">
        <v>7</v>
      </c>
      <c r="AA26" t="s">
        <v>1126</v>
      </c>
      <c r="AB26" t="s">
        <v>1127</v>
      </c>
      <c r="AC26" t="s">
        <v>1128</v>
      </c>
      <c r="AD26" t="s">
        <v>1129</v>
      </c>
      <c r="AE26" t="s">
        <v>1130</v>
      </c>
      <c r="AF26">
        <v>155907670</v>
      </c>
      <c r="AG26" t="s">
        <v>1131</v>
      </c>
      <c r="AH26" t="s">
        <v>1132</v>
      </c>
      <c r="AI26" t="s">
        <v>1133</v>
      </c>
      <c r="AJ26" t="s">
        <v>1134</v>
      </c>
      <c r="AK26" t="s">
        <v>1135</v>
      </c>
      <c r="AL26" t="s">
        <v>167</v>
      </c>
      <c r="AM26" t="s">
        <v>1136</v>
      </c>
      <c r="AN26" t="s">
        <v>167</v>
      </c>
      <c r="AO26" t="s">
        <v>1137</v>
      </c>
      <c r="AP26" t="s">
        <v>1138</v>
      </c>
      <c r="AQ26" t="s">
        <v>1139</v>
      </c>
      <c r="AR26" t="s">
        <v>1140</v>
      </c>
      <c r="AS26" t="s">
        <v>167</v>
      </c>
      <c r="AT26" t="s">
        <v>1141</v>
      </c>
      <c r="AU26" t="s">
        <v>167</v>
      </c>
      <c r="AV26" t="s">
        <v>554</v>
      </c>
      <c r="AW26" t="s">
        <v>1142</v>
      </c>
      <c r="AX26" t="s">
        <v>1143</v>
      </c>
      <c r="AY26" t="s">
        <v>1144</v>
      </c>
      <c r="AZ26" t="s">
        <v>1145</v>
      </c>
      <c r="BA26" t="s">
        <v>1146</v>
      </c>
      <c r="BB26" t="s">
        <v>1147</v>
      </c>
      <c r="BC26" t="s">
        <v>1148</v>
      </c>
      <c r="BD26" t="s">
        <v>1149</v>
      </c>
      <c r="BE26" t="s">
        <v>1150</v>
      </c>
      <c r="BF26" t="s">
        <v>1151</v>
      </c>
      <c r="BG26" t="s">
        <v>1152</v>
      </c>
      <c r="BH26" t="s">
        <v>1153</v>
      </c>
      <c r="BI26" t="s">
        <v>1154</v>
      </c>
      <c r="BJ26" t="s">
        <v>1155</v>
      </c>
      <c r="BK26" t="s">
        <v>1156</v>
      </c>
      <c r="BL26" t="s">
        <v>315</v>
      </c>
      <c r="BM26" t="s">
        <v>1157</v>
      </c>
      <c r="BN26" t="s">
        <v>1158</v>
      </c>
      <c r="BO26">
        <v>4.59</v>
      </c>
      <c r="BP26">
        <v>-6.14</v>
      </c>
      <c r="BQ26">
        <v>-4.62</v>
      </c>
      <c r="BR26">
        <v>-12.67</v>
      </c>
      <c r="BS26">
        <v>-41.25</v>
      </c>
      <c r="BT26">
        <v>-29.02</v>
      </c>
      <c r="BU26" t="s">
        <v>748</v>
      </c>
      <c r="BV26" t="s">
        <v>221</v>
      </c>
      <c r="BW26">
        <v>36.22</v>
      </c>
      <c r="BX26">
        <v>11.97</v>
      </c>
      <c r="BY26">
        <v>25.15</v>
      </c>
      <c r="BZ26">
        <v>12.41</v>
      </c>
      <c r="CA26">
        <v>-30.9</v>
      </c>
      <c r="CB26">
        <v>-21.97</v>
      </c>
      <c r="CC26">
        <v>1.56</v>
      </c>
      <c r="CD26">
        <v>-8.58</v>
      </c>
      <c r="CE26" t="s">
        <v>1763</v>
      </c>
      <c r="CF26" t="s">
        <v>1764</v>
      </c>
      <c r="CG26" s="26">
        <v>0.57344703999999935</v>
      </c>
      <c r="CH26" s="27">
        <v>0.51050713041254758</v>
      </c>
      <c r="CI26" s="26">
        <v>0.15001793205738068</v>
      </c>
      <c r="CJ26" s="26">
        <v>-0.22330369055271149</v>
      </c>
      <c r="CK26" s="26">
        <v>-0.25239083170890808</v>
      </c>
      <c r="CL26" s="26">
        <v>-0.15791319310665131</v>
      </c>
      <c r="CM26" s="26">
        <v>-0.39835682511329651</v>
      </c>
      <c r="CN26" s="27">
        <v>0.77224576473236084</v>
      </c>
      <c r="CO26" s="27">
        <v>-2.7203481644392014E-2</v>
      </c>
      <c r="CP26" s="27">
        <v>-6.4378700256347656</v>
      </c>
      <c r="CQ26" s="27">
        <v>-0.73046249151229858</v>
      </c>
      <c r="CR26" s="27">
        <v>1.9984077215194702</v>
      </c>
      <c r="CS26">
        <v>1.9801092154420925</v>
      </c>
      <c r="CT26">
        <v>-34244355.813953489</v>
      </c>
      <c r="CU26">
        <v>0</v>
      </c>
      <c r="CV26" s="26">
        <v>-0.17638932168483734</v>
      </c>
      <c r="CW26" s="27">
        <v>-0.88497650250792503</v>
      </c>
      <c r="CX26">
        <v>0.06</v>
      </c>
      <c r="CY26" t="e">
        <v>#VALUE!</v>
      </c>
      <c r="CZ26" t="s">
        <v>751</v>
      </c>
      <c r="DA26">
        <v>-0.17638932168483734</v>
      </c>
      <c r="DB26" t="e">
        <v>#VALUE!</v>
      </c>
      <c r="DC26" t="s">
        <v>751</v>
      </c>
      <c r="DD26">
        <v>-0.16756985560059548</v>
      </c>
      <c r="DE26" t="e">
        <v>#VALUE!</v>
      </c>
      <c r="DF26" t="s">
        <v>751</v>
      </c>
      <c r="DG26">
        <v>-0.15522260308265687</v>
      </c>
      <c r="DH26" t="e">
        <v>#VALUE!</v>
      </c>
      <c r="DI26" t="s">
        <v>751</v>
      </c>
      <c r="DJ26">
        <v>-0.14111145734786987</v>
      </c>
      <c r="DK26" t="e">
        <v>#VALUE!</v>
      </c>
      <c r="DL26" t="s">
        <v>751</v>
      </c>
      <c r="DM26">
        <v>-0.12347252517938613</v>
      </c>
      <c r="DN26">
        <v>-215000000</v>
      </c>
      <c r="DO26">
        <v>-0.17638932168483734</v>
      </c>
      <c r="DP26">
        <v>15093110800</v>
      </c>
      <c r="DQ26">
        <v>-5242662000</v>
      </c>
      <c r="DR26">
        <v>2837</v>
      </c>
      <c r="DS26">
        <v>0.74983636168483669</v>
      </c>
      <c r="DT26">
        <v>1.3954836329204725</v>
      </c>
      <c r="DU26" s="28">
        <v>0.26666666666666672</v>
      </c>
      <c r="DV26">
        <v>-0.45833333333333348</v>
      </c>
      <c r="DW26">
        <v>-0.19166666666666676</v>
      </c>
      <c r="DX26">
        <v>-2.0857999999999999</v>
      </c>
      <c r="DY26">
        <v>0.59510957406399112</v>
      </c>
      <c r="DZ26">
        <v>-2.0321844014546904</v>
      </c>
      <c r="EA26">
        <v>3631</v>
      </c>
      <c r="EB26">
        <v>-2.0084368782516866</v>
      </c>
      <c r="EC26">
        <v>2</v>
      </c>
      <c r="ED26">
        <v>0.3512768964430128</v>
      </c>
      <c r="EE26">
        <v>0.93646481037728424</v>
      </c>
      <c r="EF26" s="29">
        <v>2.0900000000000002E-2</v>
      </c>
      <c r="EG26">
        <v>2.0711999999999998E-2</v>
      </c>
      <c r="EH26">
        <v>22.375109574063991</v>
      </c>
      <c r="EI26">
        <v>-1</v>
      </c>
      <c r="EJ26">
        <v>0</v>
      </c>
      <c r="EK26">
        <v>0</v>
      </c>
      <c r="EL26" s="30">
        <v>44942</v>
      </c>
      <c r="EM26" s="31">
        <v>-1.3599999999999999E-2</v>
      </c>
      <c r="EN26" s="31">
        <v>0.10059999999999999</v>
      </c>
      <c r="EO26" s="31">
        <v>5.4000000000000003E-3</v>
      </c>
      <c r="EP26" s="31">
        <v>-5.17</v>
      </c>
      <c r="EQ26" s="31">
        <v>-1.8800000000000001E-2</v>
      </c>
    </row>
    <row r="27" spans="2:147" ht="86.4" x14ac:dyDescent="0.25">
      <c r="B27" s="24"/>
      <c r="C27" s="24"/>
      <c r="D27" s="24" t="s">
        <v>1769</v>
      </c>
      <c r="E27" t="s">
        <v>308</v>
      </c>
      <c r="F27" t="s">
        <v>309</v>
      </c>
      <c r="G27">
        <v>3.87</v>
      </c>
      <c r="H27">
        <v>7.7999999999999996E-3</v>
      </c>
      <c r="I27" t="s">
        <v>1766</v>
      </c>
      <c r="J27">
        <v>5116207300</v>
      </c>
      <c r="K27">
        <v>21.91</v>
      </c>
      <c r="L27">
        <v>0.94599999999999995</v>
      </c>
      <c r="M27" t="s">
        <v>177</v>
      </c>
      <c r="N27" t="s">
        <v>1159</v>
      </c>
      <c r="O27" t="s">
        <v>1160</v>
      </c>
      <c r="P27" t="s">
        <v>1161</v>
      </c>
      <c r="Q27">
        <v>8.66</v>
      </c>
      <c r="R27" t="s">
        <v>1162</v>
      </c>
      <c r="S27">
        <v>214366060</v>
      </c>
      <c r="T27" s="25">
        <v>27.51</v>
      </c>
      <c r="U27" t="s">
        <v>1163</v>
      </c>
      <c r="V27">
        <v>1320743390</v>
      </c>
      <c r="W27">
        <v>1322017390</v>
      </c>
      <c r="X27">
        <v>2.69</v>
      </c>
      <c r="Y27">
        <v>0.31</v>
      </c>
      <c r="Z27">
        <v>4.5999999999999996</v>
      </c>
      <c r="AA27" t="s">
        <v>1164</v>
      </c>
      <c r="AB27" t="s">
        <v>1165</v>
      </c>
      <c r="AC27" t="s">
        <v>1166</v>
      </c>
      <c r="AD27" t="s">
        <v>1167</v>
      </c>
      <c r="AE27" t="s">
        <v>167</v>
      </c>
      <c r="AF27">
        <v>186887480</v>
      </c>
      <c r="AG27" t="s">
        <v>1168</v>
      </c>
      <c r="AH27" t="s">
        <v>1169</v>
      </c>
      <c r="AI27" t="s">
        <v>1170</v>
      </c>
      <c r="AJ27" t="s">
        <v>939</v>
      </c>
      <c r="AK27" t="s">
        <v>1171</v>
      </c>
      <c r="AL27" t="s">
        <v>1172</v>
      </c>
      <c r="AM27" t="s">
        <v>1173</v>
      </c>
      <c r="AN27" t="s">
        <v>167</v>
      </c>
      <c r="AO27" t="s">
        <v>1174</v>
      </c>
      <c r="AP27" t="s">
        <v>1175</v>
      </c>
      <c r="AQ27" t="s">
        <v>1176</v>
      </c>
      <c r="AR27" t="s">
        <v>1177</v>
      </c>
      <c r="AS27" t="s">
        <v>1178</v>
      </c>
      <c r="AT27" t="s">
        <v>1179</v>
      </c>
      <c r="AU27" t="s">
        <v>1180</v>
      </c>
      <c r="AV27" t="s">
        <v>1181</v>
      </c>
      <c r="AW27" t="s">
        <v>1182</v>
      </c>
      <c r="AX27" t="s">
        <v>1183</v>
      </c>
      <c r="AY27" t="s">
        <v>1184</v>
      </c>
      <c r="AZ27" t="s">
        <v>1185</v>
      </c>
      <c r="BA27" t="s">
        <v>1186</v>
      </c>
      <c r="BB27" t="s">
        <v>1187</v>
      </c>
      <c r="BC27" t="s">
        <v>1188</v>
      </c>
      <c r="BD27" t="s">
        <v>1189</v>
      </c>
      <c r="BE27" t="s">
        <v>1190</v>
      </c>
      <c r="BF27" t="s">
        <v>1191</v>
      </c>
      <c r="BG27" t="s">
        <v>1192</v>
      </c>
      <c r="BH27" t="s">
        <v>1193</v>
      </c>
      <c r="BI27" t="s">
        <v>1194</v>
      </c>
      <c r="BJ27" t="s">
        <v>1195</v>
      </c>
      <c r="BK27" t="s">
        <v>1196</v>
      </c>
      <c r="BL27" t="s">
        <v>318</v>
      </c>
      <c r="BM27" t="s">
        <v>1197</v>
      </c>
      <c r="BN27" t="s">
        <v>1198</v>
      </c>
      <c r="BO27">
        <v>3.34</v>
      </c>
      <c r="BP27">
        <v>-1.27</v>
      </c>
      <c r="BQ27">
        <v>2.48</v>
      </c>
      <c r="BR27">
        <v>0.53</v>
      </c>
      <c r="BS27">
        <v>-8.85</v>
      </c>
      <c r="BT27">
        <v>0.48</v>
      </c>
      <c r="BU27" t="s">
        <v>748</v>
      </c>
      <c r="BV27" t="s">
        <v>221</v>
      </c>
      <c r="BW27">
        <v>25.96</v>
      </c>
      <c r="BX27">
        <v>9.58</v>
      </c>
      <c r="BY27">
        <v>15.69</v>
      </c>
      <c r="BZ27">
        <v>7.61</v>
      </c>
      <c r="CA27">
        <v>-9.25</v>
      </c>
      <c r="CB27">
        <v>0.38</v>
      </c>
      <c r="CC27">
        <v>0.26</v>
      </c>
      <c r="CD27">
        <v>-6.97</v>
      </c>
      <c r="CE27" t="s">
        <v>1767</v>
      </c>
      <c r="CF27" t="s">
        <v>1768</v>
      </c>
      <c r="CG27" s="26">
        <v>-4.6352016404647346E-2</v>
      </c>
      <c r="CH27" s="27">
        <v>-1.5557657035404227</v>
      </c>
      <c r="CI27" s="26">
        <v>0.17012853920459747</v>
      </c>
      <c r="CJ27" s="26">
        <v>-0.24439460039138794</v>
      </c>
      <c r="CK27" s="26">
        <v>-8.5065662860870361E-2</v>
      </c>
      <c r="CL27" s="26">
        <v>-4.9278352409601212E-2</v>
      </c>
      <c r="CM27" s="26">
        <v>7.4011988937854767E-2</v>
      </c>
      <c r="CN27" s="27">
        <v>1.0570070743560791</v>
      </c>
      <c r="CO27" s="27">
        <v>-18.815654754638672</v>
      </c>
      <c r="CP27" s="27">
        <v>-0.76802748441696167</v>
      </c>
      <c r="CQ27" s="27">
        <v>-0.7569892406463623</v>
      </c>
      <c r="CR27" s="27">
        <v>1.6724138259887695</v>
      </c>
      <c r="CS27">
        <v>0.86495474218089607</v>
      </c>
      <c r="CT27">
        <v>746687363.60119152</v>
      </c>
      <c r="CU27">
        <v>0</v>
      </c>
      <c r="CV27" s="26">
        <v>-2.6919617503881454E-2</v>
      </c>
      <c r="CW27" s="27">
        <v>-3.5222501158714294</v>
      </c>
      <c r="CX27">
        <v>0.06</v>
      </c>
      <c r="CY27">
        <v>332.88661385379925</v>
      </c>
      <c r="CZ27" t="s">
        <v>1199</v>
      </c>
      <c r="DA27">
        <v>-2.6919617503881454E-2</v>
      </c>
      <c r="DB27">
        <v>110.96220461793308</v>
      </c>
      <c r="DC27" t="s">
        <v>1200</v>
      </c>
      <c r="DD27">
        <v>-2.557363662868738E-2</v>
      </c>
      <c r="DE27">
        <v>55.481102308966541</v>
      </c>
      <c r="DF27" t="s">
        <v>1201</v>
      </c>
      <c r="DG27">
        <v>-2.3689263403415678E-2</v>
      </c>
      <c r="DH27">
        <v>33.288661385379925</v>
      </c>
      <c r="DI27" t="s">
        <v>1202</v>
      </c>
      <c r="DJ27">
        <v>-2.1535694003105163E-2</v>
      </c>
      <c r="DK27">
        <v>16.644330692689962</v>
      </c>
      <c r="DL27" t="s">
        <v>1203</v>
      </c>
      <c r="DM27">
        <v>-1.8843732252717016E-2</v>
      </c>
      <c r="DN27">
        <v>26622300</v>
      </c>
      <c r="DO27">
        <v>-2.6919617503881454E-2</v>
      </c>
      <c r="DP27">
        <v>8862207300</v>
      </c>
      <c r="DQ27">
        <v>-3271962300.000001</v>
      </c>
      <c r="DR27">
        <v>3350</v>
      </c>
      <c r="DS27">
        <v>-1.9432398900765892E-2</v>
      </c>
      <c r="DT27">
        <v>1.9664844123310068</v>
      </c>
      <c r="DU27" s="28">
        <v>0.61666666666666659</v>
      </c>
      <c r="DV27">
        <v>-8.3333333333333301E-2</v>
      </c>
      <c r="DW27">
        <v>0.53333333333333333</v>
      </c>
      <c r="DX27">
        <v>-2.0697000000000001</v>
      </c>
      <c r="DY27">
        <v>0.35764729344729429</v>
      </c>
      <c r="DZ27">
        <v>-2.0095940163532764</v>
      </c>
      <c r="EA27">
        <v>2484</v>
      </c>
      <c r="EB27">
        <v>-2.0047511924106756</v>
      </c>
      <c r="EC27">
        <v>2</v>
      </c>
      <c r="ED27">
        <v>3.6545812759694485E-2</v>
      </c>
      <c r="EE27">
        <v>0.26550331535351435</v>
      </c>
      <c r="EF27" s="29">
        <v>3.4299999999999997E-2</v>
      </c>
      <c r="EG27">
        <v>3.4377999999999999E-2</v>
      </c>
      <c r="EH27">
        <v>22.137647293447294</v>
      </c>
      <c r="EI27" t="s">
        <v>362</v>
      </c>
      <c r="EJ27">
        <v>0</v>
      </c>
      <c r="EK27">
        <v>0</v>
      </c>
      <c r="EL27" s="30">
        <v>44942</v>
      </c>
      <c r="EM27" s="31">
        <v>-1.2999999999999999E-2</v>
      </c>
      <c r="EN27" s="31">
        <v>1.84E-2</v>
      </c>
      <c r="EO27" s="31">
        <v>-1.03E-2</v>
      </c>
      <c r="EP27" s="31">
        <v>0</v>
      </c>
      <c r="EQ27" s="31">
        <v>7.7999999999999996E-3</v>
      </c>
    </row>
    <row r="28" spans="2:147" ht="86.4" x14ac:dyDescent="0.25">
      <c r="B28" s="24"/>
      <c r="C28" s="24"/>
      <c r="D28" s="24" t="s">
        <v>1773</v>
      </c>
      <c r="E28" t="s">
        <v>310</v>
      </c>
      <c r="F28" t="s">
        <v>311</v>
      </c>
      <c r="G28">
        <v>3.08</v>
      </c>
      <c r="H28">
        <v>6.4999999999999997E-3</v>
      </c>
      <c r="I28" t="s">
        <v>1770</v>
      </c>
      <c r="J28">
        <v>3049076400</v>
      </c>
      <c r="L28">
        <v>6.14</v>
      </c>
      <c r="M28" t="s">
        <v>177</v>
      </c>
      <c r="N28" t="s">
        <v>1204</v>
      </c>
      <c r="O28" t="s">
        <v>1205</v>
      </c>
      <c r="P28" t="s">
        <v>1206</v>
      </c>
      <c r="Q28">
        <v>-16.3</v>
      </c>
      <c r="R28" t="s">
        <v>1207</v>
      </c>
      <c r="S28">
        <v>-186506880</v>
      </c>
      <c r="T28" s="25">
        <v>-5.1529999999999996</v>
      </c>
      <c r="U28" t="s">
        <v>1208</v>
      </c>
      <c r="V28">
        <v>989959880</v>
      </c>
      <c r="W28">
        <v>989959880</v>
      </c>
      <c r="X28">
        <v>21.8</v>
      </c>
      <c r="Y28">
        <v>0.85</v>
      </c>
      <c r="Z28">
        <v>-2.65</v>
      </c>
      <c r="AA28" t="s">
        <v>1209</v>
      </c>
      <c r="AB28" t="s">
        <v>1044</v>
      </c>
      <c r="AC28" t="s">
        <v>1210</v>
      </c>
      <c r="AD28" t="s">
        <v>173</v>
      </c>
      <c r="AE28" t="s">
        <v>1211</v>
      </c>
      <c r="AF28">
        <v>186161650</v>
      </c>
      <c r="AG28" t="s">
        <v>1212</v>
      </c>
      <c r="AH28" t="s">
        <v>1213</v>
      </c>
      <c r="AI28" t="s">
        <v>1214</v>
      </c>
      <c r="AJ28" t="s">
        <v>1215</v>
      </c>
      <c r="AK28" t="s">
        <v>1216</v>
      </c>
      <c r="AL28" t="s">
        <v>1217</v>
      </c>
      <c r="AM28" t="s">
        <v>1218</v>
      </c>
      <c r="AN28" t="s">
        <v>167</v>
      </c>
      <c r="AO28" t="s">
        <v>1219</v>
      </c>
      <c r="AP28" t="s">
        <v>1220</v>
      </c>
      <c r="AQ28" t="s">
        <v>1221</v>
      </c>
      <c r="AR28" t="s">
        <v>1222</v>
      </c>
      <c r="AS28" t="s">
        <v>167</v>
      </c>
      <c r="AT28" t="s">
        <v>1223</v>
      </c>
      <c r="AU28" t="s">
        <v>1224</v>
      </c>
      <c r="AV28" t="s">
        <v>1225</v>
      </c>
      <c r="AW28" t="s">
        <v>1226</v>
      </c>
      <c r="AX28" t="s">
        <v>1227</v>
      </c>
      <c r="AY28" t="s">
        <v>1228</v>
      </c>
      <c r="AZ28" t="s">
        <v>1229</v>
      </c>
      <c r="BA28" t="s">
        <v>1230</v>
      </c>
      <c r="BB28" t="s">
        <v>1231</v>
      </c>
      <c r="BC28" t="s">
        <v>1232</v>
      </c>
      <c r="BD28" t="s">
        <v>1233</v>
      </c>
      <c r="BE28" t="s">
        <v>1234</v>
      </c>
      <c r="BF28" t="s">
        <v>1235</v>
      </c>
      <c r="BG28" t="s">
        <v>1236</v>
      </c>
      <c r="BH28" t="s">
        <v>1237</v>
      </c>
      <c r="BI28" t="s">
        <v>1238</v>
      </c>
      <c r="BJ28" t="s">
        <v>1239</v>
      </c>
      <c r="BK28" t="s">
        <v>1240</v>
      </c>
      <c r="BL28" t="s">
        <v>1241</v>
      </c>
      <c r="BM28" t="s">
        <v>1242</v>
      </c>
      <c r="BN28" t="s">
        <v>1243</v>
      </c>
      <c r="BO28">
        <v>5.17</v>
      </c>
      <c r="BP28">
        <v>1.1200000000000001</v>
      </c>
      <c r="BQ28">
        <v>4.4000000000000004</v>
      </c>
      <c r="BR28">
        <v>7.8</v>
      </c>
      <c r="BS28">
        <v>-30.25</v>
      </c>
      <c r="BT28">
        <v>2.2200000000000002</v>
      </c>
      <c r="BU28" t="s">
        <v>748</v>
      </c>
      <c r="BV28" t="s">
        <v>221</v>
      </c>
      <c r="BW28">
        <v>0.59</v>
      </c>
      <c r="BX28">
        <v>5.0599999999999996</v>
      </c>
      <c r="BY28">
        <v>9.26</v>
      </c>
      <c r="BZ28">
        <v>-4.7300000000000004</v>
      </c>
      <c r="CA28">
        <v>-2.92</v>
      </c>
      <c r="CB28">
        <v>0.21</v>
      </c>
      <c r="CC28">
        <v>-0.96</v>
      </c>
      <c r="CD28">
        <v>-9.68</v>
      </c>
      <c r="CE28" t="s">
        <v>1771</v>
      </c>
      <c r="CF28" t="s">
        <v>1772</v>
      </c>
      <c r="CG28" s="26">
        <v>-0.52061690174515896</v>
      </c>
      <c r="CH28" s="27">
        <v>0.59208335009453317</v>
      </c>
      <c r="CI28" s="26">
        <v>0.23424960672855377</v>
      </c>
      <c r="CJ28" s="26">
        <v>0.36892330646514893</v>
      </c>
      <c r="CK28" s="26">
        <v>0.10001979768276215</v>
      </c>
      <c r="CL28" s="26">
        <v>0.22251817584037781</v>
      </c>
      <c r="CM28" s="26">
        <v>0.2664826512336731</v>
      </c>
      <c r="CN28" s="27">
        <v>1.2472968101501465</v>
      </c>
      <c r="CO28" s="27">
        <v>-12.754473686218262</v>
      </c>
      <c r="CP28" s="27">
        <v>-0.70481562614440918</v>
      </c>
      <c r="CQ28" s="27">
        <v>1.0931448936462402</v>
      </c>
      <c r="CR28" s="27">
        <v>0.66439688205718994</v>
      </c>
      <c r="CS28">
        <v>0.32492289002557545</v>
      </c>
      <c r="CT28">
        <v>-343392737.98125744</v>
      </c>
      <c r="CU28">
        <v>0</v>
      </c>
      <c r="CV28" s="26">
        <v>0.23843870759010316</v>
      </c>
      <c r="CW28" s="27">
        <v>-2.0908901453018189</v>
      </c>
      <c r="CX28">
        <v>0.06</v>
      </c>
      <c r="CY28">
        <v>165.543666995026</v>
      </c>
      <c r="CZ28">
        <v>64430591.599257484</v>
      </c>
      <c r="DA28">
        <v>0.23843870759010316</v>
      </c>
      <c r="DB28">
        <v>47.813241861721032</v>
      </c>
      <c r="DC28">
        <v>223077875.18041506</v>
      </c>
      <c r="DD28">
        <v>0.22651677221059799</v>
      </c>
      <c r="DE28">
        <v>19.786050797249612</v>
      </c>
      <c r="DF28">
        <v>539070505.2411294</v>
      </c>
      <c r="DG28">
        <v>0.20982606267929077</v>
      </c>
      <c r="DH28">
        <v>9.6534233146548747</v>
      </c>
      <c r="DI28">
        <v>1104900930.2024305</v>
      </c>
      <c r="DJ28">
        <v>0.19075096607208253</v>
      </c>
      <c r="DK28">
        <v>3.0378277513253278</v>
      </c>
      <c r="DL28">
        <v>3511086629.3675337</v>
      </c>
      <c r="DM28">
        <v>0.16690709531307221</v>
      </c>
      <c r="DN28">
        <v>55147200</v>
      </c>
      <c r="DO28">
        <v>0.23843870759010316</v>
      </c>
      <c r="DP28">
        <v>10666076400</v>
      </c>
      <c r="DQ28">
        <v>-3155622200.000001</v>
      </c>
      <c r="DR28">
        <v>3063</v>
      </c>
      <c r="DS28">
        <v>-0.75905560933526206</v>
      </c>
      <c r="DT28">
        <v>2.682973495396352</v>
      </c>
      <c r="DU28" s="28">
        <v>0.3133333333333333</v>
      </c>
      <c r="DV28">
        <v>-1.5316666666666665</v>
      </c>
      <c r="DW28">
        <v>-1.2183333333333333</v>
      </c>
      <c r="DX28">
        <v>-2.0968</v>
      </c>
      <c r="DY28">
        <v>0.35568312958435266</v>
      </c>
      <c r="DZ28">
        <v>-2.0199101269437651</v>
      </c>
      <c r="EA28">
        <v>4304</v>
      </c>
      <c r="EB28">
        <v>-2.0024963520268853</v>
      </c>
      <c r="EC28">
        <v>2</v>
      </c>
      <c r="ED28">
        <v>8.4977585152238688E-2</v>
      </c>
      <c r="EE28">
        <v>0.41314805606061533</v>
      </c>
      <c r="EF28" s="29">
        <v>4.48E-2</v>
      </c>
      <c r="EG28">
        <v>4.4865000000000002E-2</v>
      </c>
      <c r="EH28">
        <v>15.205683129584353</v>
      </c>
      <c r="EI28" t="s">
        <v>362</v>
      </c>
      <c r="EJ28">
        <v>0</v>
      </c>
      <c r="EK28">
        <v>0</v>
      </c>
      <c r="EL28" s="30">
        <v>44942</v>
      </c>
      <c r="EM28" s="31">
        <v>-1.9300000000000001E-2</v>
      </c>
      <c r="EN28" s="31">
        <v>2.6200000000000001E-2</v>
      </c>
      <c r="EO28" s="31">
        <v>-1.2800000000000001E-2</v>
      </c>
      <c r="EP28" s="31">
        <v>-0.97</v>
      </c>
      <c r="EQ28" s="31">
        <v>6.4999999999999997E-3</v>
      </c>
    </row>
    <row r="29" spans="2:147" ht="86.4" x14ac:dyDescent="0.25">
      <c r="B29" s="24"/>
      <c r="C29" s="24"/>
      <c r="D29" s="24" t="s">
        <v>1247</v>
      </c>
      <c r="E29" t="s">
        <v>312</v>
      </c>
      <c r="F29" t="s">
        <v>313</v>
      </c>
      <c r="G29">
        <v>2.39</v>
      </c>
      <c r="H29">
        <v>0</v>
      </c>
      <c r="I29" t="s">
        <v>1244</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10"/>
  <sheetViews>
    <sheetView tabSelected="1" workbookViewId="0">
      <selection activeCell="B3" sqref="B3"/>
    </sheetView>
  </sheetViews>
  <sheetFormatPr defaultRowHeight="14.4" x14ac:dyDescent="0.25"/>
  <cols>
    <col min="2" max="2" width="23.77734375" customWidth="1"/>
    <col min="3" max="3" width="29.33203125" customWidth="1"/>
    <col min="4" max="4" width="40"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136</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c r="B2" s="22"/>
      <c r="C2" s="23">
        <v>3</v>
      </c>
      <c r="D2" s="23">
        <v>10</v>
      </c>
      <c r="T2" s="16"/>
      <c r="U2" s="16"/>
      <c r="V2" s="16"/>
      <c r="AB2" s="17"/>
    </row>
    <row r="3" spans="1:147" ht="194.4" x14ac:dyDescent="0.25">
      <c r="B3" s="24" t="s">
        <v>1272</v>
      </c>
      <c r="C3" s="24" t="s">
        <v>1273</v>
      </c>
      <c r="D3" s="24" t="s">
        <v>1316</v>
      </c>
      <c r="E3" t="s">
        <v>1248</v>
      </c>
      <c r="F3" t="s">
        <v>1249</v>
      </c>
      <c r="G3">
        <v>9.3000000000000007</v>
      </c>
      <c r="H3">
        <v>1.3100000000000001E-2</v>
      </c>
      <c r="I3" t="s">
        <v>1250</v>
      </c>
      <c r="J3">
        <v>40235961000</v>
      </c>
      <c r="K3">
        <v>17.87</v>
      </c>
      <c r="L3">
        <v>3.01</v>
      </c>
      <c r="M3" t="s">
        <v>177</v>
      </c>
      <c r="N3" t="s">
        <v>1274</v>
      </c>
      <c r="O3" t="s">
        <v>1275</v>
      </c>
      <c r="P3" t="s">
        <v>1276</v>
      </c>
      <c r="Q3">
        <v>18.59</v>
      </c>
      <c r="R3" t="s">
        <v>1277</v>
      </c>
      <c r="S3">
        <v>1711532000</v>
      </c>
      <c r="T3" s="25">
        <v>-0.15559999999999999</v>
      </c>
      <c r="U3" t="s">
        <v>1278</v>
      </c>
      <c r="V3">
        <v>3970707900</v>
      </c>
      <c r="W3">
        <v>4326444500</v>
      </c>
      <c r="X3">
        <v>2.21</v>
      </c>
      <c r="Y3">
        <v>0.57999999999999996</v>
      </c>
      <c r="Z3">
        <v>9.4499999999999993</v>
      </c>
      <c r="AA3" t="s">
        <v>1279</v>
      </c>
      <c r="AB3" t="s">
        <v>1280</v>
      </c>
      <c r="AC3" t="s">
        <v>1281</v>
      </c>
      <c r="AD3" t="s">
        <v>1282</v>
      </c>
      <c r="AE3" t="s">
        <v>1283</v>
      </c>
      <c r="AF3">
        <v>241903400</v>
      </c>
      <c r="AG3" t="s">
        <v>1284</v>
      </c>
      <c r="AH3" t="s">
        <v>749</v>
      </c>
      <c r="AI3" t="s">
        <v>1285</v>
      </c>
      <c r="AJ3" t="s">
        <v>1286</v>
      </c>
      <c r="AK3" t="s">
        <v>1287</v>
      </c>
      <c r="AL3" t="s">
        <v>1288</v>
      </c>
      <c r="AM3" t="s">
        <v>1289</v>
      </c>
      <c r="AN3" t="s">
        <v>167</v>
      </c>
      <c r="AO3" t="s">
        <v>1290</v>
      </c>
      <c r="AP3" t="s">
        <v>406</v>
      </c>
      <c r="AQ3" t="s">
        <v>1291</v>
      </c>
      <c r="AR3" t="s">
        <v>1292</v>
      </c>
      <c r="AS3" t="s">
        <v>167</v>
      </c>
      <c r="AT3" t="s">
        <v>1293</v>
      </c>
      <c r="AU3" t="s">
        <v>967</v>
      </c>
      <c r="AV3" t="s">
        <v>1294</v>
      </c>
      <c r="AW3" t="s">
        <v>1295</v>
      </c>
      <c r="AX3" t="s">
        <v>1296</v>
      </c>
      <c r="AY3" t="s">
        <v>1297</v>
      </c>
      <c r="AZ3" t="s">
        <v>1298</v>
      </c>
      <c r="BA3" t="s">
        <v>1299</v>
      </c>
      <c r="BB3" t="s">
        <v>1300</v>
      </c>
      <c r="BC3" t="s">
        <v>1301</v>
      </c>
      <c r="BD3" t="s">
        <v>832</v>
      </c>
      <c r="BE3" t="s">
        <v>1302</v>
      </c>
      <c r="BF3" t="s">
        <v>1303</v>
      </c>
      <c r="BG3" t="s">
        <v>1304</v>
      </c>
      <c r="BH3" t="s">
        <v>1305</v>
      </c>
      <c r="BI3" t="s">
        <v>1306</v>
      </c>
      <c r="BJ3" t="s">
        <v>1307</v>
      </c>
      <c r="BK3" t="s">
        <v>1308</v>
      </c>
      <c r="BL3" t="s">
        <v>1309</v>
      </c>
      <c r="BM3" t="s">
        <v>1310</v>
      </c>
      <c r="BN3" t="s">
        <v>1311</v>
      </c>
      <c r="BO3">
        <v>19.27</v>
      </c>
      <c r="BP3">
        <v>7.24</v>
      </c>
      <c r="BQ3">
        <v>10.45</v>
      </c>
      <c r="BR3">
        <v>21.85</v>
      </c>
      <c r="BS3">
        <v>8.27</v>
      </c>
      <c r="BT3">
        <v>12.59</v>
      </c>
      <c r="BU3" t="s">
        <v>1312</v>
      </c>
      <c r="BV3" t="s">
        <v>1313</v>
      </c>
      <c r="BW3">
        <v>23.26</v>
      </c>
      <c r="BX3">
        <v>21.32</v>
      </c>
      <c r="BY3">
        <v>23.54</v>
      </c>
      <c r="BZ3">
        <v>10.85</v>
      </c>
      <c r="CA3">
        <v>6.7</v>
      </c>
      <c r="CB3">
        <v>7.68</v>
      </c>
      <c r="CC3">
        <v>2.65</v>
      </c>
      <c r="CD3">
        <v>-6.44</v>
      </c>
      <c r="CE3" t="s">
        <v>1314</v>
      </c>
      <c r="CF3" t="s">
        <v>1315</v>
      </c>
      <c r="CG3" s="26">
        <v>-0.22103125908694438</v>
      </c>
      <c r="CH3" s="27">
        <v>-0.54570618556701034</v>
      </c>
      <c r="CI3" s="26">
        <v>0.65716946125030518</v>
      </c>
      <c r="CJ3" s="26">
        <v>-8.828958123922348E-2</v>
      </c>
      <c r="CK3" s="26">
        <v>-6.9782756268978119E-2</v>
      </c>
      <c r="CL3" s="26">
        <v>0.23770220577716827</v>
      </c>
      <c r="CM3" s="26">
        <v>0.7212376594543457</v>
      </c>
      <c r="CN3" s="27">
        <v>2.6935250759124756</v>
      </c>
      <c r="CO3" s="27">
        <v>-0.27301254868507385</v>
      </c>
      <c r="CP3" s="27">
        <v>-0.46800220012664795</v>
      </c>
      <c r="CQ3" s="27">
        <v>0.71469461917877197</v>
      </c>
      <c r="CR3" s="27">
        <v>0.54117649793624878</v>
      </c>
      <c r="CS3">
        <v>1.8900770856820743</v>
      </c>
      <c r="CT3">
        <v>64796236.852356836</v>
      </c>
      <c r="CU3">
        <v>2.150537634408602</v>
      </c>
      <c r="CV3" s="26">
        <v>0.2916073977947235</v>
      </c>
      <c r="CW3" s="27">
        <v>0.64167628884315486</v>
      </c>
      <c r="CX3">
        <v>0.06</v>
      </c>
      <c r="CY3">
        <v>13.928576688686176</v>
      </c>
      <c r="CZ3">
        <v>3127883198.2443919</v>
      </c>
      <c r="DA3">
        <v>0.2916073977947235</v>
      </c>
      <c r="DB3">
        <v>3.8531288758800635</v>
      </c>
      <c r="DC3">
        <v>11306904700.935862</v>
      </c>
      <c r="DD3">
        <v>0.27702702790498729</v>
      </c>
      <c r="DE3">
        <v>1.4954363932989478</v>
      </c>
      <c r="DF3">
        <v>29133275875.338867</v>
      </c>
      <c r="DG3">
        <v>0.2566145100593567</v>
      </c>
      <c r="DH3">
        <v>0.67259978664905007</v>
      </c>
      <c r="DI3">
        <v>64773973862.011383</v>
      </c>
      <c r="DJ3">
        <v>0.23328591823577882</v>
      </c>
      <c r="DK3">
        <v>0.17210884711086993</v>
      </c>
      <c r="DL3">
        <v>253136092254.07697</v>
      </c>
      <c r="DM3">
        <v>0.20412517845630643</v>
      </c>
      <c r="DN3">
        <v>2567000000</v>
      </c>
      <c r="DO3">
        <v>0.2916073977947235</v>
      </c>
      <c r="DP3">
        <v>43566961000</v>
      </c>
      <c r="DQ3">
        <v>-2744392600</v>
      </c>
      <c r="DR3">
        <v>259</v>
      </c>
      <c r="DS3">
        <v>-0.51263865688166788</v>
      </c>
      <c r="DT3">
        <v>-1.1873824744101653</v>
      </c>
      <c r="DU3" s="28">
        <v>0.6</v>
      </c>
      <c r="DV3">
        <v>-0.22</v>
      </c>
      <c r="DW3">
        <v>0.38</v>
      </c>
      <c r="DX3">
        <v>6.2915291529152917</v>
      </c>
      <c r="DY3">
        <v>0.46803680981595081</v>
      </c>
      <c r="DZ3">
        <v>6.0402417542367735</v>
      </c>
      <c r="EA3">
        <v>1606</v>
      </c>
      <c r="EB3">
        <v>6.0270979150453439</v>
      </c>
      <c r="EC3">
        <v>6</v>
      </c>
      <c r="ED3">
        <v>3.1203451240389191E-2</v>
      </c>
      <c r="EE3">
        <v>0.22605166898593057</v>
      </c>
      <c r="EF3" s="29">
        <v>2.8086E-2</v>
      </c>
      <c r="EG3">
        <v>2.8230999999999999E-2</v>
      </c>
      <c r="EH3">
        <v>33.138036809815951</v>
      </c>
      <c r="EI3">
        <v>-1</v>
      </c>
      <c r="EJ3">
        <v>0</v>
      </c>
      <c r="EK3">
        <v>0</v>
      </c>
      <c r="EL3" s="30">
        <v>44937</v>
      </c>
      <c r="EM3" s="31">
        <v>4.4000000000000003E-3</v>
      </c>
      <c r="EN3" s="31">
        <v>3.3E-3</v>
      </c>
      <c r="EO3" s="31">
        <v>1.3100000000000001E-2</v>
      </c>
      <c r="EP3" s="31">
        <v>-7.6E-3</v>
      </c>
      <c r="EQ3" s="31">
        <v>1.3100000000000001E-2</v>
      </c>
    </row>
    <row r="4" spans="1:147" ht="162" x14ac:dyDescent="0.25">
      <c r="B4" s="24"/>
      <c r="C4" s="24"/>
      <c r="D4" s="24" t="s">
        <v>1360</v>
      </c>
      <c r="E4" t="s">
        <v>1251</v>
      </c>
      <c r="F4" t="s">
        <v>1252</v>
      </c>
      <c r="G4">
        <v>5.63</v>
      </c>
      <c r="H4">
        <v>2.7400000000000001E-2</v>
      </c>
      <c r="I4" t="s">
        <v>1253</v>
      </c>
      <c r="J4">
        <v>14424742000</v>
      </c>
      <c r="K4">
        <v>6.8</v>
      </c>
      <c r="L4">
        <v>0.98899999999999999</v>
      </c>
      <c r="M4" t="s">
        <v>177</v>
      </c>
      <c r="N4" t="s">
        <v>1317</v>
      </c>
      <c r="O4" t="s">
        <v>1318</v>
      </c>
      <c r="P4" t="s">
        <v>1319</v>
      </c>
      <c r="Q4">
        <v>14.88</v>
      </c>
      <c r="R4" t="s">
        <v>1320</v>
      </c>
      <c r="S4">
        <v>2706370700</v>
      </c>
      <c r="T4" s="25">
        <v>0.46600000000000003</v>
      </c>
      <c r="U4" t="s">
        <v>1321</v>
      </c>
      <c r="V4">
        <v>2562121200</v>
      </c>
      <c r="W4">
        <v>2562121200</v>
      </c>
      <c r="X4">
        <v>1.56</v>
      </c>
      <c r="Y4">
        <v>0.43</v>
      </c>
      <c r="Z4">
        <v>28.71</v>
      </c>
      <c r="AA4" t="s">
        <v>1322</v>
      </c>
      <c r="AB4" t="s">
        <v>1323</v>
      </c>
      <c r="AC4" t="s">
        <v>1324</v>
      </c>
      <c r="AD4" t="s">
        <v>198</v>
      </c>
      <c r="AE4" t="s">
        <v>1325</v>
      </c>
      <c r="AF4">
        <v>158503780</v>
      </c>
      <c r="AG4" t="s">
        <v>1326</v>
      </c>
      <c r="AH4" t="s">
        <v>1327</v>
      </c>
      <c r="AI4" t="s">
        <v>1328</v>
      </c>
      <c r="AJ4" t="s">
        <v>1329</v>
      </c>
      <c r="AK4" t="s">
        <v>1330</v>
      </c>
      <c r="AL4" t="s">
        <v>167</v>
      </c>
      <c r="AM4" t="s">
        <v>1331</v>
      </c>
      <c r="AN4" t="s">
        <v>167</v>
      </c>
      <c r="AO4" t="s">
        <v>1332</v>
      </c>
      <c r="AP4" t="s">
        <v>1333</v>
      </c>
      <c r="AQ4" t="s">
        <v>1334</v>
      </c>
      <c r="AR4" t="s">
        <v>1335</v>
      </c>
      <c r="AS4" t="s">
        <v>1336</v>
      </c>
      <c r="AT4" t="s">
        <v>1337</v>
      </c>
      <c r="AU4" t="s">
        <v>1338</v>
      </c>
      <c r="AV4" t="s">
        <v>1339</v>
      </c>
      <c r="AW4" t="s">
        <v>1340</v>
      </c>
      <c r="AX4" t="s">
        <v>1341</v>
      </c>
      <c r="AY4" t="s">
        <v>1342</v>
      </c>
      <c r="AZ4" t="s">
        <v>1343</v>
      </c>
      <c r="BA4" t="s">
        <v>1344</v>
      </c>
      <c r="BB4" t="s">
        <v>1345</v>
      </c>
      <c r="BC4" t="s">
        <v>1346</v>
      </c>
      <c r="BD4" t="s">
        <v>1347</v>
      </c>
      <c r="BE4" t="s">
        <v>1348</v>
      </c>
      <c r="BF4" t="s">
        <v>1349</v>
      </c>
      <c r="BG4" t="s">
        <v>1350</v>
      </c>
      <c r="BH4" t="s">
        <v>1351</v>
      </c>
      <c r="BI4" t="s">
        <v>1352</v>
      </c>
      <c r="BJ4" t="s">
        <v>1353</v>
      </c>
      <c r="BK4" t="s">
        <v>1354</v>
      </c>
      <c r="BL4" t="s">
        <v>1355</v>
      </c>
      <c r="BM4" t="s">
        <v>1356</v>
      </c>
      <c r="BN4" t="s">
        <v>1357</v>
      </c>
      <c r="BO4">
        <v>5.78</v>
      </c>
      <c r="BP4">
        <v>6.35</v>
      </c>
      <c r="BQ4">
        <v>4.01</v>
      </c>
      <c r="BR4">
        <v>10.83</v>
      </c>
      <c r="BS4">
        <v>9.77</v>
      </c>
      <c r="BT4">
        <v>4.68</v>
      </c>
      <c r="BU4" t="s">
        <v>1358</v>
      </c>
      <c r="BV4" t="s">
        <v>1313</v>
      </c>
      <c r="BW4">
        <v>2.5099999999999998</v>
      </c>
      <c r="BX4">
        <v>5.68</v>
      </c>
      <c r="BY4">
        <v>-2.2599999999999998</v>
      </c>
      <c r="BZ4">
        <v>31.76</v>
      </c>
      <c r="CA4">
        <v>14.19</v>
      </c>
      <c r="CB4">
        <v>6.81</v>
      </c>
      <c r="CC4">
        <v>3.87</v>
      </c>
      <c r="CD4">
        <v>-3.26</v>
      </c>
      <c r="CE4" t="s">
        <v>545</v>
      </c>
      <c r="CF4" t="s">
        <v>1359</v>
      </c>
      <c r="CG4" s="26">
        <v>-9.9632921027592497E-2</v>
      </c>
      <c r="CH4" s="27">
        <v>0.31076581740976644</v>
      </c>
      <c r="CI4" s="26">
        <v>0.58104485273361206</v>
      </c>
      <c r="CJ4" s="26">
        <v>6.9105736911296844E-2</v>
      </c>
      <c r="CK4" s="26">
        <v>-8.1200763583183289E-2</v>
      </c>
      <c r="CL4" s="26">
        <v>0.20583826303482056</v>
      </c>
      <c r="CM4" s="26">
        <v>0.4846457839012146</v>
      </c>
      <c r="CN4" s="27">
        <v>0.14858712255954742</v>
      </c>
      <c r="CO4" s="27">
        <v>1.3143458366394043</v>
      </c>
      <c r="CP4" s="27">
        <v>-0.69080233573913574</v>
      </c>
      <c r="CQ4" s="27">
        <v>15.677599906921387</v>
      </c>
      <c r="CR4" s="27">
        <v>1.078859806060791</v>
      </c>
      <c r="CS4">
        <v>1.2848260443573527</v>
      </c>
      <c r="CT4">
        <v>211632507.93650794</v>
      </c>
      <c r="CU4">
        <v>2.6642984014209592</v>
      </c>
      <c r="CV4" s="26">
        <v>0.25188677459955217</v>
      </c>
      <c r="CW4" s="27">
        <v>3.5057180672883987</v>
      </c>
      <c r="CX4">
        <v>0.06</v>
      </c>
      <c r="CY4">
        <v>5.3254388333777261</v>
      </c>
      <c r="CZ4">
        <v>1488091826.4107883</v>
      </c>
      <c r="DA4">
        <v>0.25188677459955217</v>
      </c>
      <c r="DB4">
        <v>1.521350758033484</v>
      </c>
      <c r="DC4">
        <v>5209017025.2674761</v>
      </c>
      <c r="DD4">
        <v>0.23929243586957455</v>
      </c>
      <c r="DE4">
        <v>0.61947700002294359</v>
      </c>
      <c r="DF4">
        <v>12792633140.062487</v>
      </c>
      <c r="DG4">
        <v>0.22166036164760591</v>
      </c>
      <c r="DH4">
        <v>0.29616219361643253</v>
      </c>
      <c r="DI4">
        <v>26758114880.333244</v>
      </c>
      <c r="DJ4">
        <v>0.20150941967964175</v>
      </c>
      <c r="DK4">
        <v>8.8542878964368826E-2</v>
      </c>
      <c r="DL4">
        <v>89501743027.680969</v>
      </c>
      <c r="DM4">
        <v>0.17632074221968649</v>
      </c>
      <c r="DN4">
        <v>1260000000</v>
      </c>
      <c r="DO4">
        <v>0.25188677459955217</v>
      </c>
      <c r="DP4">
        <v>7924741999.9999981</v>
      </c>
      <c r="DQ4">
        <v>-4416714800</v>
      </c>
      <c r="DR4">
        <v>3331</v>
      </c>
      <c r="DS4">
        <v>-0.35151969562714469</v>
      </c>
      <c r="DT4">
        <v>-3.1949522498786322</v>
      </c>
      <c r="DU4" s="28">
        <v>0.6</v>
      </c>
      <c r="DV4">
        <v>0.6</v>
      </c>
      <c r="DW4">
        <v>1.2</v>
      </c>
      <c r="DX4">
        <v>4.8423772609819125</v>
      </c>
      <c r="DY4">
        <v>0.9268595041322385</v>
      </c>
      <c r="DZ4">
        <v>4.1489824246695282</v>
      </c>
      <c r="EA4">
        <v>1081</v>
      </c>
      <c r="EB4">
        <v>4.1162287128395993</v>
      </c>
      <c r="EC4">
        <v>4</v>
      </c>
      <c r="ED4">
        <v>4.1762271043227772E-2</v>
      </c>
      <c r="EE4">
        <v>0.2361324671135776</v>
      </c>
      <c r="EF4" s="29">
        <v>3.3182000000000003E-2</v>
      </c>
      <c r="EG4">
        <v>3.3474000000000004E-2</v>
      </c>
      <c r="EH4">
        <v>75.176859504132238</v>
      </c>
      <c r="EI4" t="s">
        <v>362</v>
      </c>
      <c r="EJ4">
        <v>0</v>
      </c>
      <c r="EK4">
        <v>1</v>
      </c>
      <c r="EL4" s="30">
        <v>44937</v>
      </c>
      <c r="EM4" s="31">
        <v>3.7000000000000002E-3</v>
      </c>
      <c r="EN4" s="31">
        <v>7.4000000000000003E-3</v>
      </c>
      <c r="EO4" s="31">
        <v>7.3000000000000001E-3</v>
      </c>
      <c r="EP4" s="31">
        <v>-7.1999999999999998E-3</v>
      </c>
      <c r="EQ4" s="31">
        <v>2.7400000000000001E-2</v>
      </c>
    </row>
    <row r="5" spans="1:147" ht="140.4" x14ac:dyDescent="0.25">
      <c r="B5" s="24"/>
      <c r="C5" s="24"/>
      <c r="D5" s="24" t="s">
        <v>1405</v>
      </c>
      <c r="E5" t="s">
        <v>1254</v>
      </c>
      <c r="F5" t="s">
        <v>1255</v>
      </c>
      <c r="G5">
        <v>6.9</v>
      </c>
      <c r="H5">
        <v>2.3699999999999999E-2</v>
      </c>
      <c r="I5" t="s">
        <v>1256</v>
      </c>
      <c r="J5">
        <v>10955819000</v>
      </c>
      <c r="K5">
        <v>5.59</v>
      </c>
      <c r="L5">
        <v>0.77800000000000002</v>
      </c>
      <c r="M5" t="s">
        <v>177</v>
      </c>
      <c r="N5" t="s">
        <v>1361</v>
      </c>
      <c r="O5" t="s">
        <v>1362</v>
      </c>
      <c r="P5" t="s">
        <v>1363</v>
      </c>
      <c r="Q5">
        <v>16.010000000000002</v>
      </c>
      <c r="R5" t="s">
        <v>1364</v>
      </c>
      <c r="S5">
        <v>1820519600</v>
      </c>
      <c r="T5" s="25">
        <v>8.5999999999999993E-2</v>
      </c>
      <c r="U5" t="s">
        <v>1365</v>
      </c>
      <c r="V5">
        <v>1587799900</v>
      </c>
      <c r="W5">
        <v>1587799900</v>
      </c>
      <c r="X5">
        <v>1.82</v>
      </c>
      <c r="Y5">
        <v>0.67</v>
      </c>
      <c r="Z5">
        <v>8.52</v>
      </c>
      <c r="AA5" t="s">
        <v>1366</v>
      </c>
      <c r="AB5" t="s">
        <v>1367</v>
      </c>
      <c r="AC5" t="s">
        <v>570</v>
      </c>
      <c r="AD5" t="s">
        <v>1368</v>
      </c>
      <c r="AE5" t="s">
        <v>173</v>
      </c>
      <c r="AF5">
        <v>182245130</v>
      </c>
      <c r="AG5" t="s">
        <v>1369</v>
      </c>
      <c r="AH5" t="s">
        <v>1370</v>
      </c>
      <c r="AI5" t="s">
        <v>1371</v>
      </c>
      <c r="AJ5" t="s">
        <v>1372</v>
      </c>
      <c r="AK5" t="s">
        <v>1373</v>
      </c>
      <c r="AL5" t="s">
        <v>1374</v>
      </c>
      <c r="AM5" t="s">
        <v>1375</v>
      </c>
      <c r="AN5" t="s">
        <v>167</v>
      </c>
      <c r="AO5" t="s">
        <v>1376</v>
      </c>
      <c r="AP5" t="s">
        <v>1377</v>
      </c>
      <c r="AQ5" t="s">
        <v>1378</v>
      </c>
      <c r="AR5" t="s">
        <v>1379</v>
      </c>
      <c r="AS5" t="s">
        <v>1380</v>
      </c>
      <c r="AT5" t="s">
        <v>1381</v>
      </c>
      <c r="AU5" t="s">
        <v>1382</v>
      </c>
      <c r="AV5" t="s">
        <v>1383</v>
      </c>
      <c r="AW5" t="s">
        <v>1384</v>
      </c>
      <c r="AX5" t="s">
        <v>1385</v>
      </c>
      <c r="AY5" t="s">
        <v>1386</v>
      </c>
      <c r="AZ5" t="s">
        <v>1387</v>
      </c>
      <c r="BA5" t="s">
        <v>1388</v>
      </c>
      <c r="BB5" t="s">
        <v>1389</v>
      </c>
      <c r="BC5" t="s">
        <v>1390</v>
      </c>
      <c r="BD5" t="s">
        <v>1391</v>
      </c>
      <c r="BE5" t="s">
        <v>1392</v>
      </c>
      <c r="BF5" t="s">
        <v>1393</v>
      </c>
      <c r="BG5" t="s">
        <v>1394</v>
      </c>
      <c r="BH5" t="s">
        <v>1395</v>
      </c>
      <c r="BI5" t="s">
        <v>1396</v>
      </c>
      <c r="BJ5" t="s">
        <v>1397</v>
      </c>
      <c r="BK5" t="s">
        <v>1398</v>
      </c>
      <c r="BL5" t="s">
        <v>1399</v>
      </c>
      <c r="BM5" t="s">
        <v>1400</v>
      </c>
      <c r="BN5" t="s">
        <v>1401</v>
      </c>
      <c r="BO5">
        <v>9.7799999999999994</v>
      </c>
      <c r="BP5">
        <v>6.75</v>
      </c>
      <c r="BQ5">
        <v>7.4</v>
      </c>
      <c r="BR5">
        <v>14.29</v>
      </c>
      <c r="BS5">
        <v>9.26</v>
      </c>
      <c r="BT5">
        <v>10.59</v>
      </c>
      <c r="BU5" t="s">
        <v>1402</v>
      </c>
      <c r="BV5" t="s">
        <v>1313</v>
      </c>
      <c r="BW5">
        <v>20.57</v>
      </c>
      <c r="BX5">
        <v>16.68</v>
      </c>
      <c r="BY5">
        <v>15.18</v>
      </c>
      <c r="BZ5">
        <v>10.27</v>
      </c>
      <c r="CA5">
        <v>6.75</v>
      </c>
      <c r="CB5">
        <v>6.38</v>
      </c>
      <c r="CC5">
        <v>2.5299999999999998</v>
      </c>
      <c r="CD5">
        <v>-4.7</v>
      </c>
      <c r="CE5" t="s">
        <v>1403</v>
      </c>
      <c r="CF5" t="s">
        <v>1404</v>
      </c>
      <c r="CG5" s="26">
        <v>0.13874888770243815</v>
      </c>
      <c r="CH5" s="27">
        <v>-5.4851097804391666E-2</v>
      </c>
      <c r="CI5" s="26">
        <v>0.22979593276977539</v>
      </c>
      <c r="CJ5" s="26">
        <v>-9.4410128891468048E-2</v>
      </c>
      <c r="CK5" s="26">
        <v>-1.8963819369673729E-2</v>
      </c>
      <c r="CL5" s="26">
        <v>0.1022518202662468</v>
      </c>
      <c r="CM5" s="26">
        <v>0.58257311582565308</v>
      </c>
      <c r="CN5" s="27">
        <v>0.6821129322052002</v>
      </c>
      <c r="CO5" s="27">
        <v>-6.1739075928926468E-2</v>
      </c>
      <c r="CP5" s="27">
        <v>-0.15627296268939972</v>
      </c>
      <c r="CQ5" s="27">
        <v>1.6363637447357178</v>
      </c>
      <c r="CR5" s="27">
        <v>0.19675925374031067</v>
      </c>
      <c r="CS5">
        <v>0.49010552921177419</v>
      </c>
      <c r="CT5">
        <v>91981922.865013793</v>
      </c>
      <c r="CU5">
        <v>6.6666666666666661</v>
      </c>
      <c r="CV5" s="26">
        <v>0.1602493841201067</v>
      </c>
      <c r="CW5" s="27">
        <v>0.45944477841258047</v>
      </c>
      <c r="CX5">
        <v>0.06</v>
      </c>
      <c r="CY5">
        <v>4.1002717892322949</v>
      </c>
      <c r="CZ5">
        <v>1986653426.5830128</v>
      </c>
      <c r="DA5">
        <v>0.1602493841201067</v>
      </c>
      <c r="DB5">
        <v>1.2631584152789666</v>
      </c>
      <c r="DC5">
        <v>6448770717.4883595</v>
      </c>
      <c r="DD5">
        <v>0.15223691491410135</v>
      </c>
      <c r="DE5">
        <v>0.57348449799032142</v>
      </c>
      <c r="DF5">
        <v>14204078799.942514</v>
      </c>
      <c r="DG5">
        <v>0.14101945802569391</v>
      </c>
      <c r="DH5">
        <v>0.31345505845586991</v>
      </c>
      <c r="DI5">
        <v>25987199058.543243</v>
      </c>
      <c r="DJ5">
        <v>0.12819950729608537</v>
      </c>
      <c r="DK5">
        <v>0.13043126009609074</v>
      </c>
      <c r="DL5">
        <v>62452965600.415482</v>
      </c>
      <c r="DM5">
        <v>0.11217456888407468</v>
      </c>
      <c r="DN5">
        <v>1814999999.9999998</v>
      </c>
      <c r="DO5">
        <v>0.1602493841201067</v>
      </c>
      <c r="DP5">
        <v>8145819000</v>
      </c>
      <c r="DQ5">
        <v>6106919000</v>
      </c>
      <c r="DR5">
        <v>3526</v>
      </c>
      <c r="DS5">
        <v>-2.1500496417668546E-2</v>
      </c>
      <c r="DT5">
        <v>-0.51429587621697215</v>
      </c>
      <c r="DU5" s="28">
        <v>0.6</v>
      </c>
      <c r="DV5">
        <v>0.6</v>
      </c>
      <c r="DW5">
        <v>1.2</v>
      </c>
      <c r="DX5">
        <v>6.349930843706777</v>
      </c>
      <c r="DY5">
        <v>0.72162325581395526</v>
      </c>
      <c r="DZ5">
        <v>6.0600562707066805</v>
      </c>
      <c r="EA5">
        <v>1554</v>
      </c>
      <c r="EB5">
        <v>6.0410757043698533</v>
      </c>
      <c r="EC5">
        <v>6</v>
      </c>
      <c r="ED5">
        <v>2.78868892736421E-2</v>
      </c>
      <c r="EE5">
        <v>0.16248898869435627</v>
      </c>
      <c r="EF5" s="29">
        <v>3.4897000000000004E-2</v>
      </c>
      <c r="EG5">
        <v>3.5137000000000002E-2</v>
      </c>
      <c r="EH5">
        <v>55.171623255813955</v>
      </c>
      <c r="EI5">
        <v>-1</v>
      </c>
      <c r="EJ5">
        <v>0</v>
      </c>
      <c r="EK5">
        <v>0</v>
      </c>
      <c r="EL5" s="30">
        <v>44937</v>
      </c>
      <c r="EM5" s="31">
        <v>1.5E-3</v>
      </c>
      <c r="EN5" s="31">
        <v>3.0000000000000001E-3</v>
      </c>
      <c r="EO5" s="31">
        <v>7.4000000000000003E-3</v>
      </c>
      <c r="EP5" s="31">
        <v>-1.03E-2</v>
      </c>
      <c r="EQ5" s="31">
        <v>2.3699999999999999E-2</v>
      </c>
    </row>
    <row r="6" spans="1:147" ht="172.8" x14ac:dyDescent="0.25">
      <c r="B6" s="24"/>
      <c r="C6" s="24"/>
      <c r="D6" s="24" t="s">
        <v>1447</v>
      </c>
      <c r="E6" t="s">
        <v>1257</v>
      </c>
      <c r="F6" t="s">
        <v>1258</v>
      </c>
      <c r="G6">
        <v>5.0199999999999996</v>
      </c>
      <c r="H6">
        <v>0.1009</v>
      </c>
      <c r="I6" t="s">
        <v>1259</v>
      </c>
      <c r="J6">
        <v>10253338100</v>
      </c>
      <c r="K6">
        <v>23.88</v>
      </c>
      <c r="L6">
        <v>1.17</v>
      </c>
      <c r="M6" t="s">
        <v>177</v>
      </c>
      <c r="N6" t="s">
        <v>1406</v>
      </c>
      <c r="O6" t="s">
        <v>1407</v>
      </c>
      <c r="P6" t="s">
        <v>1408</v>
      </c>
      <c r="Q6">
        <v>22.19</v>
      </c>
      <c r="R6" t="s">
        <v>1409</v>
      </c>
      <c r="S6">
        <v>239855310</v>
      </c>
      <c r="T6" s="25">
        <v>-0.82069999999999999</v>
      </c>
      <c r="U6" t="s">
        <v>1410</v>
      </c>
      <c r="V6">
        <v>2042497600</v>
      </c>
      <c r="W6">
        <v>2042497600</v>
      </c>
      <c r="X6">
        <v>1.88</v>
      </c>
      <c r="Y6">
        <v>0.87</v>
      </c>
      <c r="Z6">
        <v>1.34</v>
      </c>
      <c r="AA6" t="s">
        <v>1411</v>
      </c>
      <c r="AB6" t="s">
        <v>1412</v>
      </c>
      <c r="AC6" t="s">
        <v>1413</v>
      </c>
      <c r="AD6" t="s">
        <v>1414</v>
      </c>
      <c r="AE6" t="s">
        <v>167</v>
      </c>
      <c r="AF6">
        <v>221616760</v>
      </c>
      <c r="AG6" t="s">
        <v>1415</v>
      </c>
      <c r="AH6" t="s">
        <v>1416</v>
      </c>
      <c r="AI6" t="s">
        <v>1417</v>
      </c>
      <c r="AJ6" t="s">
        <v>1418</v>
      </c>
      <c r="AK6" t="s">
        <v>1419</v>
      </c>
      <c r="AL6" t="s">
        <v>1098</v>
      </c>
      <c r="AM6" t="s">
        <v>1420</v>
      </c>
      <c r="AN6" t="s">
        <v>167</v>
      </c>
      <c r="AO6" t="s">
        <v>1421</v>
      </c>
      <c r="AP6" t="s">
        <v>1422</v>
      </c>
      <c r="AQ6" t="s">
        <v>1423</v>
      </c>
      <c r="AR6" t="s">
        <v>1424</v>
      </c>
      <c r="AS6" t="s">
        <v>167</v>
      </c>
      <c r="AT6" t="s">
        <v>1425</v>
      </c>
      <c r="AU6" t="s">
        <v>1426</v>
      </c>
      <c r="AV6" t="s">
        <v>1427</v>
      </c>
      <c r="AW6" t="s">
        <v>1428</v>
      </c>
      <c r="AX6" t="s">
        <v>1429</v>
      </c>
      <c r="AY6" t="s">
        <v>1430</v>
      </c>
      <c r="AZ6" t="s">
        <v>1431</v>
      </c>
      <c r="BA6" t="s">
        <v>1432</v>
      </c>
      <c r="BB6" t="s">
        <v>1433</v>
      </c>
      <c r="BC6" t="s">
        <v>1434</v>
      </c>
      <c r="BD6" t="s">
        <v>1435</v>
      </c>
      <c r="BE6" t="s">
        <v>1436</v>
      </c>
      <c r="BF6" t="s">
        <v>1437</v>
      </c>
      <c r="BG6" t="s">
        <v>318</v>
      </c>
      <c r="BH6" t="s">
        <v>1438</v>
      </c>
      <c r="BI6" t="s">
        <v>1439</v>
      </c>
      <c r="BJ6" t="s">
        <v>1440</v>
      </c>
      <c r="BK6" t="s">
        <v>1441</v>
      </c>
      <c r="BL6" t="s">
        <v>1442</v>
      </c>
      <c r="BM6" t="s">
        <v>1443</v>
      </c>
      <c r="BN6" t="s">
        <v>1444</v>
      </c>
      <c r="BO6">
        <v>14.27</v>
      </c>
      <c r="BP6">
        <v>4.8600000000000003</v>
      </c>
      <c r="BQ6">
        <v>1.74</v>
      </c>
      <c r="BR6">
        <v>21.68</v>
      </c>
      <c r="BS6">
        <v>4.82</v>
      </c>
      <c r="BT6">
        <v>0.51</v>
      </c>
      <c r="BU6" t="s">
        <v>748</v>
      </c>
      <c r="BV6" t="s">
        <v>1313</v>
      </c>
      <c r="BW6">
        <v>8.23</v>
      </c>
      <c r="BX6">
        <v>10.14</v>
      </c>
      <c r="BY6">
        <v>9.2200000000000006</v>
      </c>
      <c r="BZ6">
        <v>4.03</v>
      </c>
      <c r="CA6">
        <v>4.97</v>
      </c>
      <c r="CB6">
        <v>0.73</v>
      </c>
      <c r="CC6">
        <v>10.09</v>
      </c>
      <c r="CD6">
        <v>0.8</v>
      </c>
      <c r="CE6" t="s">
        <v>1445</v>
      </c>
      <c r="CF6" t="s">
        <v>1446</v>
      </c>
      <c r="CG6" s="26">
        <v>4.0069038870625018E-2</v>
      </c>
      <c r="CH6" s="27">
        <v>-1.5373827123287671</v>
      </c>
      <c r="CI6" s="26">
        <v>0.97069251537322998</v>
      </c>
      <c r="CJ6" s="26">
        <v>2.1303737536072731E-2</v>
      </c>
      <c r="CK6" s="26">
        <v>-0.10351406782865524</v>
      </c>
      <c r="CL6" s="26">
        <v>9.2768438160419464E-2</v>
      </c>
      <c r="CM6" s="26">
        <v>0.72418123483657837</v>
      </c>
      <c r="CN6" s="27">
        <v>6.7121214866638184</v>
      </c>
      <c r="CO6" s="27">
        <v>5.8767666816711426</v>
      </c>
      <c r="CP6" s="27">
        <v>-0.91140735149383545</v>
      </c>
      <c r="CQ6" s="27">
        <v>0.31048387289047241</v>
      </c>
      <c r="CR6" s="27">
        <v>0.15887850522994995</v>
      </c>
      <c r="CS6">
        <v>0.54264821910558347</v>
      </c>
      <c r="CT6">
        <v>16663531.7616241</v>
      </c>
      <c r="CU6">
        <v>0</v>
      </c>
      <c r="CV6" s="26">
        <v>0.34108637161552907</v>
      </c>
      <c r="CW6" s="27">
        <v>2.4293686389923095</v>
      </c>
      <c r="CX6">
        <v>0.06</v>
      </c>
      <c r="CY6">
        <v>4.6235465273886796</v>
      </c>
      <c r="CZ6">
        <v>1931923480.619729</v>
      </c>
      <c r="DA6">
        <v>0.34108637161552907</v>
      </c>
      <c r="DB6">
        <v>1.2293845774478998</v>
      </c>
      <c r="DC6">
        <v>7265698841.4014368</v>
      </c>
      <c r="DD6">
        <v>0.32403205303475258</v>
      </c>
      <c r="DE6">
        <v>0.44924164472760497</v>
      </c>
      <c r="DF6">
        <v>19883147978.002064</v>
      </c>
      <c r="DG6">
        <v>0.30015600702166556</v>
      </c>
      <c r="DH6">
        <v>0.18689901288133226</v>
      </c>
      <c r="DI6">
        <v>47792323577.821182</v>
      </c>
      <c r="DJ6">
        <v>0.27286909729242326</v>
      </c>
      <c r="DK6">
        <v>3.912530496060538E-2</v>
      </c>
      <c r="DL6">
        <v>228300791750.85852</v>
      </c>
      <c r="DM6">
        <v>0.23876046013087032</v>
      </c>
      <c r="DN6">
        <v>1527000000</v>
      </c>
      <c r="DO6">
        <v>0.34108637161552907</v>
      </c>
      <c r="DP6">
        <v>8932338100</v>
      </c>
      <c r="DQ6">
        <v>-3618531300.000001</v>
      </c>
      <c r="DR6">
        <v>3541</v>
      </c>
      <c r="DS6">
        <v>-0.30101733274490405</v>
      </c>
      <c r="DT6">
        <v>-3.9667513513210766</v>
      </c>
      <c r="DU6" s="28">
        <v>0.6</v>
      </c>
      <c r="DV6">
        <v>-0.44</v>
      </c>
      <c r="DW6">
        <v>0.15999999999999998</v>
      </c>
      <c r="DX6">
        <v>5.0792864222001981</v>
      </c>
      <c r="DY6">
        <v>2.3850607058823665</v>
      </c>
      <c r="DZ6">
        <v>5.019429986591267</v>
      </c>
      <c r="EA6">
        <v>1752</v>
      </c>
      <c r="EB6">
        <v>5.0125067942976127</v>
      </c>
      <c r="EC6">
        <v>5</v>
      </c>
      <c r="ED6">
        <v>4.4872855664555004E-2</v>
      </c>
      <c r="EE6">
        <v>0.18310915028737365</v>
      </c>
      <c r="EF6" s="29">
        <v>4.9797000000000001E-2</v>
      </c>
      <c r="EG6">
        <v>5.0809E-2</v>
      </c>
      <c r="EH6">
        <v>214.24506070588237</v>
      </c>
      <c r="EI6">
        <v>-1</v>
      </c>
      <c r="EJ6">
        <v>1</v>
      </c>
      <c r="EK6">
        <v>0</v>
      </c>
      <c r="EL6" s="30">
        <v>44937</v>
      </c>
      <c r="EM6" s="31">
        <v>2.2000000000000001E-3</v>
      </c>
      <c r="EN6" s="31">
        <v>6.6E-3</v>
      </c>
      <c r="EO6" s="31">
        <v>0</v>
      </c>
      <c r="EP6" s="31">
        <v>-8.6999999999999994E-3</v>
      </c>
      <c r="EQ6" s="31">
        <v>0.1009</v>
      </c>
    </row>
    <row r="7" spans="1:147" ht="97.2" x14ac:dyDescent="0.25">
      <c r="B7" s="24"/>
      <c r="C7" s="24"/>
      <c r="D7" s="24" t="s">
        <v>1487</v>
      </c>
      <c r="E7" t="s">
        <v>1260</v>
      </c>
      <c r="F7" t="s">
        <v>1261</v>
      </c>
      <c r="G7">
        <v>9.4700000000000006</v>
      </c>
      <c r="H7">
        <v>2.0500000000000001E-2</v>
      </c>
      <c r="I7" t="s">
        <v>1262</v>
      </c>
      <c r="J7">
        <v>8097659600</v>
      </c>
      <c r="K7">
        <v>126.6</v>
      </c>
      <c r="L7">
        <v>0.95599999999999996</v>
      </c>
      <c r="M7" t="s">
        <v>177</v>
      </c>
      <c r="N7" t="s">
        <v>1448</v>
      </c>
      <c r="O7" t="s">
        <v>1449</v>
      </c>
      <c r="P7" t="s">
        <v>1450</v>
      </c>
      <c r="Q7">
        <v>78.06</v>
      </c>
      <c r="R7" t="s">
        <v>1451</v>
      </c>
      <c r="S7">
        <v>259986900</v>
      </c>
      <c r="T7" s="25">
        <v>-0.77010000000000001</v>
      </c>
      <c r="U7" t="s">
        <v>1452</v>
      </c>
      <c r="V7">
        <v>855085490</v>
      </c>
      <c r="W7">
        <v>855085490</v>
      </c>
      <c r="X7">
        <v>1.83</v>
      </c>
      <c r="Y7">
        <v>0.97</v>
      </c>
      <c r="Z7">
        <v>1.84</v>
      </c>
      <c r="AA7" t="s">
        <v>1453</v>
      </c>
      <c r="AB7" t="s">
        <v>1454</v>
      </c>
      <c r="AC7" t="s">
        <v>1455</v>
      </c>
      <c r="AD7" t="s">
        <v>1058</v>
      </c>
      <c r="AE7" t="s">
        <v>1456</v>
      </c>
      <c r="AF7">
        <v>69924744</v>
      </c>
      <c r="AG7" t="s">
        <v>1457</v>
      </c>
      <c r="AH7" t="s">
        <v>1458</v>
      </c>
      <c r="AI7" t="s">
        <v>1459</v>
      </c>
      <c r="AJ7" t="s">
        <v>1460</v>
      </c>
      <c r="AK7" t="s">
        <v>1461</v>
      </c>
      <c r="AL7" t="s">
        <v>1462</v>
      </c>
      <c r="AM7" t="s">
        <v>1463</v>
      </c>
      <c r="AN7" t="s">
        <v>167</v>
      </c>
      <c r="AO7" t="s">
        <v>1302</v>
      </c>
      <c r="AP7" t="s">
        <v>319</v>
      </c>
      <c r="AQ7" t="s">
        <v>438</v>
      </c>
      <c r="AR7" t="s">
        <v>1464</v>
      </c>
      <c r="AS7" t="s">
        <v>167</v>
      </c>
      <c r="AT7" t="s">
        <v>1465</v>
      </c>
      <c r="AU7" t="s">
        <v>1466</v>
      </c>
      <c r="AV7" t="s">
        <v>1467</v>
      </c>
      <c r="AW7" t="s">
        <v>1468</v>
      </c>
      <c r="AX7" t="s">
        <v>1469</v>
      </c>
      <c r="AY7" t="s">
        <v>1470</v>
      </c>
      <c r="AZ7" t="s">
        <v>1471</v>
      </c>
      <c r="BA7" t="s">
        <v>1472</v>
      </c>
      <c r="BB7" t="s">
        <v>1473</v>
      </c>
      <c r="BC7" t="s">
        <v>1474</v>
      </c>
      <c r="BD7" t="s">
        <v>1475</v>
      </c>
      <c r="BE7" t="s">
        <v>1476</v>
      </c>
      <c r="BF7" t="s">
        <v>1477</v>
      </c>
      <c r="BG7" t="s">
        <v>1478</v>
      </c>
      <c r="BH7" t="s">
        <v>1479</v>
      </c>
      <c r="BI7" t="s">
        <v>1480</v>
      </c>
      <c r="BJ7" t="s">
        <v>1481</v>
      </c>
      <c r="BK7" t="s">
        <v>1482</v>
      </c>
      <c r="BL7" t="s">
        <v>1193</v>
      </c>
      <c r="BM7" t="s">
        <v>1483</v>
      </c>
      <c r="BN7" t="s">
        <v>1484</v>
      </c>
      <c r="BO7">
        <v>9.67</v>
      </c>
      <c r="BP7">
        <v>10.81</v>
      </c>
      <c r="BQ7">
        <v>12.58</v>
      </c>
      <c r="BR7">
        <v>11.15</v>
      </c>
      <c r="BS7">
        <v>13.7</v>
      </c>
      <c r="BT7">
        <v>14.36</v>
      </c>
      <c r="BU7" t="s">
        <v>1485</v>
      </c>
      <c r="BV7" t="s">
        <v>1313</v>
      </c>
      <c r="BW7">
        <v>6.19</v>
      </c>
      <c r="BX7">
        <v>18.05</v>
      </c>
      <c r="BY7">
        <v>14.81</v>
      </c>
      <c r="BZ7">
        <v>1.97</v>
      </c>
      <c r="CA7">
        <v>11.79</v>
      </c>
      <c r="CB7">
        <v>9.35</v>
      </c>
      <c r="CC7">
        <v>2.6</v>
      </c>
      <c r="CD7">
        <v>-2.27</v>
      </c>
      <c r="CE7" t="s">
        <v>1486</v>
      </c>
      <c r="CF7" t="s">
        <v>458</v>
      </c>
      <c r="CG7" s="26">
        <v>0.94910786848910234</v>
      </c>
      <c r="CH7" s="27">
        <v>-0.58660144230769229</v>
      </c>
      <c r="CI7" s="26">
        <v>0.58727627992630005</v>
      </c>
      <c r="CJ7" s="26">
        <v>-7.4233151972293854E-2</v>
      </c>
      <c r="CK7" s="26">
        <v>-7.5124844908714294E-2</v>
      </c>
      <c r="CL7" s="26">
        <v>0.32471436262130737</v>
      </c>
      <c r="CM7" s="26">
        <v>0.56960833072662354</v>
      </c>
      <c r="CN7" s="27">
        <v>5.1743533462285995E-2</v>
      </c>
      <c r="CO7" s="27">
        <v>0.1666666716337204</v>
      </c>
      <c r="CP7" s="27">
        <v>-0.40000000596046448</v>
      </c>
      <c r="CQ7" s="27">
        <v>0.87039762735366821</v>
      </c>
      <c r="CR7" s="27">
        <v>0.61666667461395264</v>
      </c>
      <c r="CS7">
        <v>0.67615728122912488</v>
      </c>
      <c r="CT7">
        <v>7742822.9946524063</v>
      </c>
      <c r="CU7">
        <v>3.6958817317845827</v>
      </c>
      <c r="CV7" s="26">
        <v>0.26644819527864455</v>
      </c>
      <c r="CW7" s="27">
        <v>0.26109490022063253</v>
      </c>
      <c r="CX7">
        <v>0.06</v>
      </c>
      <c r="CY7">
        <v>5.903359183446331</v>
      </c>
      <c r="CZ7">
        <v>1117102889.2316346</v>
      </c>
      <c r="DA7">
        <v>0.26644819527864455</v>
      </c>
      <c r="DB7">
        <v>1.6666176764524139</v>
      </c>
      <c r="DC7">
        <v>3956912069.9820528</v>
      </c>
      <c r="DD7">
        <v>0.25312578551471232</v>
      </c>
      <c r="DE7">
        <v>0.66682402624492909</v>
      </c>
      <c r="DF7">
        <v>9889655052.0777664</v>
      </c>
      <c r="DG7">
        <v>0.2344744118452072</v>
      </c>
      <c r="DH7">
        <v>0.31179798219778954</v>
      </c>
      <c r="DI7">
        <v>21150424237.885757</v>
      </c>
      <c r="DJ7">
        <v>0.21315855622291566</v>
      </c>
      <c r="DK7">
        <v>8.8109494840129685E-2</v>
      </c>
      <c r="DL7">
        <v>74846185555.43512</v>
      </c>
      <c r="DM7">
        <v>0.18651373669505117</v>
      </c>
      <c r="DN7">
        <v>935000000</v>
      </c>
      <c r="DO7">
        <v>0.26644819527864455</v>
      </c>
      <c r="DP7">
        <v>6594659600</v>
      </c>
      <c r="DQ7">
        <v>1498065300</v>
      </c>
      <c r="DR7">
        <v>3837</v>
      </c>
      <c r="DS7">
        <v>0.68265967321045773</v>
      </c>
      <c r="DT7">
        <v>-0.84769634252832482</v>
      </c>
      <c r="DU7" s="28">
        <v>0.6</v>
      </c>
      <c r="DV7">
        <v>-0.44</v>
      </c>
      <c r="DW7">
        <v>0.15999999999999998</v>
      </c>
      <c r="DX7">
        <v>4.8730769230769226</v>
      </c>
      <c r="DY7">
        <v>0.60475982905982728</v>
      </c>
      <c r="DZ7">
        <v>4.1351172353714665</v>
      </c>
      <c r="EA7">
        <v>1611</v>
      </c>
      <c r="EB7">
        <v>4.0908475859544575</v>
      </c>
      <c r="EC7">
        <v>4</v>
      </c>
      <c r="ED7">
        <v>2.1175543512029424E-2</v>
      </c>
      <c r="EE7">
        <v>0.13682842402108822</v>
      </c>
      <c r="EF7" s="29">
        <v>7.1215000000000001E-2</v>
      </c>
      <c r="EG7">
        <v>7.1004999999999999E-2</v>
      </c>
      <c r="EH7">
        <v>45.154759829059827</v>
      </c>
      <c r="EI7" t="s">
        <v>362</v>
      </c>
      <c r="EJ7">
        <v>0</v>
      </c>
      <c r="EK7">
        <v>0</v>
      </c>
      <c r="EL7" s="30">
        <v>44937</v>
      </c>
      <c r="EM7" s="31">
        <v>8.6999999999999994E-3</v>
      </c>
      <c r="EN7" s="31">
        <v>6.4000000000000003E-3</v>
      </c>
      <c r="EO7">
        <v>-1.1000000000000001E-3</v>
      </c>
      <c r="EP7">
        <v>-8.5000000000000006E-3</v>
      </c>
      <c r="EQ7">
        <v>2.0500000000000001E-2</v>
      </c>
    </row>
    <row r="8" spans="1:147" ht="86.4" x14ac:dyDescent="0.25">
      <c r="B8" s="24"/>
      <c r="C8" s="24"/>
      <c r="D8" s="24" t="s">
        <v>1524</v>
      </c>
      <c r="E8" t="s">
        <v>1263</v>
      </c>
      <c r="F8" t="s">
        <v>1264</v>
      </c>
      <c r="G8">
        <v>3.55</v>
      </c>
      <c r="H8">
        <v>1.43E-2</v>
      </c>
      <c r="I8" t="s">
        <v>1265</v>
      </c>
      <c r="J8">
        <v>6800609100</v>
      </c>
      <c r="K8">
        <v>48.77</v>
      </c>
      <c r="L8">
        <v>0.88700000000000001</v>
      </c>
      <c r="M8" t="s">
        <v>177</v>
      </c>
      <c r="N8" t="s">
        <v>1488</v>
      </c>
      <c r="O8" t="s">
        <v>1489</v>
      </c>
      <c r="P8" t="s">
        <v>1490</v>
      </c>
      <c r="Q8">
        <v>4.79</v>
      </c>
      <c r="R8" t="s">
        <v>1491</v>
      </c>
      <c r="S8">
        <v>110974455</v>
      </c>
      <c r="T8" s="25">
        <v>-9.6100000000000005E-2</v>
      </c>
      <c r="U8" t="s">
        <v>414</v>
      </c>
      <c r="V8">
        <v>1915664500</v>
      </c>
      <c r="W8">
        <v>1915664500</v>
      </c>
      <c r="X8">
        <v>1.56</v>
      </c>
      <c r="Y8">
        <v>0.22</v>
      </c>
      <c r="Z8">
        <v>3.35</v>
      </c>
      <c r="AA8" t="s">
        <v>1492</v>
      </c>
      <c r="AB8" t="s">
        <v>1493</v>
      </c>
      <c r="AC8" t="s">
        <v>1494</v>
      </c>
      <c r="AD8" t="s">
        <v>1245</v>
      </c>
      <c r="AE8" t="s">
        <v>1495</v>
      </c>
      <c r="AF8">
        <v>61887555</v>
      </c>
      <c r="AG8" t="s">
        <v>1496</v>
      </c>
      <c r="AH8" t="s">
        <v>1497</v>
      </c>
      <c r="AI8" t="s">
        <v>1498</v>
      </c>
      <c r="AJ8" t="s">
        <v>673</v>
      </c>
      <c r="AK8" t="s">
        <v>1499</v>
      </c>
      <c r="AL8" t="s">
        <v>1500</v>
      </c>
      <c r="AM8" t="s">
        <v>1501</v>
      </c>
      <c r="AN8" t="s">
        <v>167</v>
      </c>
      <c r="AO8" t="s">
        <v>1502</v>
      </c>
      <c r="AP8" t="s">
        <v>1503</v>
      </c>
      <c r="AQ8" t="s">
        <v>1504</v>
      </c>
      <c r="AR8" t="s">
        <v>1505</v>
      </c>
      <c r="AS8" t="s">
        <v>167</v>
      </c>
      <c r="AT8" t="s">
        <v>1506</v>
      </c>
      <c r="AU8" t="s">
        <v>1507</v>
      </c>
      <c r="AV8" t="s">
        <v>1508</v>
      </c>
      <c r="AW8" t="s">
        <v>1246</v>
      </c>
      <c r="AX8" t="s">
        <v>1076</v>
      </c>
      <c r="AY8" t="s">
        <v>1509</v>
      </c>
      <c r="AZ8" t="s">
        <v>1510</v>
      </c>
      <c r="BA8" t="s">
        <v>526</v>
      </c>
      <c r="BB8" t="s">
        <v>1511</v>
      </c>
      <c r="BC8" t="s">
        <v>1512</v>
      </c>
      <c r="BD8" t="s">
        <v>1513</v>
      </c>
      <c r="BE8" t="s">
        <v>1514</v>
      </c>
      <c r="BF8" t="s">
        <v>1222</v>
      </c>
      <c r="BG8" t="s">
        <v>1515</v>
      </c>
      <c r="BH8" t="s">
        <v>1516</v>
      </c>
      <c r="BI8" t="s">
        <v>1517</v>
      </c>
      <c r="BJ8" t="s">
        <v>1518</v>
      </c>
      <c r="BK8" t="s">
        <v>1519</v>
      </c>
      <c r="BL8" t="s">
        <v>1006</v>
      </c>
      <c r="BM8" t="s">
        <v>1520</v>
      </c>
      <c r="BN8" t="s">
        <v>1521</v>
      </c>
      <c r="BO8">
        <v>2.5</v>
      </c>
      <c r="BP8">
        <v>1.31</v>
      </c>
      <c r="BQ8">
        <v>1.32</v>
      </c>
      <c r="BR8">
        <v>2.42</v>
      </c>
      <c r="BS8">
        <v>0.87</v>
      </c>
      <c r="BT8">
        <v>1.1499999999999999</v>
      </c>
      <c r="BU8" t="s">
        <v>748</v>
      </c>
      <c r="BV8" t="s">
        <v>1313</v>
      </c>
      <c r="BW8">
        <v>14.17</v>
      </c>
      <c r="BX8">
        <v>14.53</v>
      </c>
      <c r="BY8">
        <v>15.2</v>
      </c>
      <c r="BZ8">
        <v>4.6399999999999997</v>
      </c>
      <c r="CA8">
        <v>1.19</v>
      </c>
      <c r="CB8">
        <v>1.86</v>
      </c>
      <c r="CC8">
        <v>0.85</v>
      </c>
      <c r="CD8">
        <v>-4.3099999999999996</v>
      </c>
      <c r="CE8" t="s">
        <v>1522</v>
      </c>
      <c r="CF8" t="s">
        <v>1523</v>
      </c>
      <c r="CG8" s="26">
        <v>-0.25907292490118577</v>
      </c>
      <c r="CH8" s="27">
        <v>-0.78875632886811242</v>
      </c>
      <c r="CI8" s="26">
        <v>0.3379439115524292</v>
      </c>
      <c r="CJ8" s="26">
        <v>-1.870875246822834E-2</v>
      </c>
      <c r="CK8" s="26">
        <v>-0.23448464274406433</v>
      </c>
      <c r="CL8" s="26">
        <v>0.21328786015510559</v>
      </c>
      <c r="CM8" s="26">
        <v>0.63236933946609497</v>
      </c>
      <c r="CN8" s="27">
        <v>1.8196156024932861</v>
      </c>
      <c r="CO8" s="27">
        <v>-0.23941169679164886</v>
      </c>
      <c r="CP8" s="27">
        <v>-0.79291027784347534</v>
      </c>
      <c r="CQ8" s="27">
        <v>1.0987653732299805</v>
      </c>
      <c r="CR8" s="27">
        <v>0.73559033870697021</v>
      </c>
      <c r="CS8">
        <v>1.9001422464375524</v>
      </c>
      <c r="CT8">
        <v>69540789.403973505</v>
      </c>
      <c r="CU8">
        <v>0</v>
      </c>
      <c r="CV8" s="26">
        <v>0.18608154319226741</v>
      </c>
      <c r="CW8" s="27">
        <v>0.52432986795902248</v>
      </c>
      <c r="CX8">
        <v>0.06</v>
      </c>
      <c r="CY8">
        <v>18.516788852120744</v>
      </c>
      <c r="CZ8">
        <v>168960672.66229466</v>
      </c>
      <c r="DA8">
        <v>0.18608154319226741</v>
      </c>
      <c r="DB8">
        <v>5.5833697162041247</v>
      </c>
      <c r="DC8">
        <v>560344247.11659551</v>
      </c>
      <c r="DD8">
        <v>0.17677746603265404</v>
      </c>
      <c r="DE8">
        <v>2.4590904296000029</v>
      </c>
      <c r="DF8">
        <v>1272262728.666266</v>
      </c>
      <c r="DG8">
        <v>0.16375175800919534</v>
      </c>
      <c r="DH8">
        <v>1.2957717771582205</v>
      </c>
      <c r="DI8">
        <v>2414475415.4635215</v>
      </c>
      <c r="DJ8">
        <v>0.14886523455381392</v>
      </c>
      <c r="DK8">
        <v>0.49357944406911802</v>
      </c>
      <c r="DL8">
        <v>6338613039.0833044</v>
      </c>
      <c r="DM8">
        <v>0.13025708023458718</v>
      </c>
      <c r="DN8">
        <v>151000000</v>
      </c>
      <c r="DO8">
        <v>0.18608154319226741</v>
      </c>
      <c r="DP8">
        <v>3128609100</v>
      </c>
      <c r="DQ8">
        <v>-902147800</v>
      </c>
      <c r="DR8">
        <v>3539</v>
      </c>
      <c r="DS8">
        <v>-0.44515446809345316</v>
      </c>
      <c r="DT8">
        <v>-1.3130861968271348</v>
      </c>
      <c r="DU8" s="28">
        <v>0.6</v>
      </c>
      <c r="DV8">
        <v>0</v>
      </c>
      <c r="DW8">
        <v>0.6</v>
      </c>
      <c r="DX8">
        <v>-1.0430999999999999</v>
      </c>
      <c r="DY8">
        <v>0.64470656310679741</v>
      </c>
      <c r="DZ8">
        <v>-1.007098852869903</v>
      </c>
      <c r="EA8">
        <v>2232</v>
      </c>
      <c r="EB8">
        <v>-1.0038764327752063</v>
      </c>
      <c r="EC8">
        <v>1</v>
      </c>
      <c r="ED8">
        <v>3.5423269575648557E-2</v>
      </c>
      <c r="EE8">
        <v>0.21506897476045519</v>
      </c>
      <c r="EF8" s="29">
        <v>3.5138000000000003E-2</v>
      </c>
      <c r="EG8">
        <v>3.4967000000000005E-2</v>
      </c>
      <c r="EH8">
        <v>48.164706563106797</v>
      </c>
      <c r="EI8" t="s">
        <v>362</v>
      </c>
      <c r="EJ8">
        <v>0</v>
      </c>
      <c r="EK8">
        <v>0</v>
      </c>
      <c r="EL8" s="30">
        <v>44937</v>
      </c>
      <c r="EM8" s="31">
        <v>-5.7000000000000002E-3</v>
      </c>
      <c r="EN8" s="31">
        <v>0</v>
      </c>
      <c r="EO8" s="31">
        <v>2.8999999999999998E-3</v>
      </c>
      <c r="EP8" s="31">
        <v>-2.8E-3</v>
      </c>
      <c r="EQ8" s="31">
        <v>1.43E-2</v>
      </c>
    </row>
    <row r="9" spans="1:147" ht="86.4" x14ac:dyDescent="0.25">
      <c r="B9" s="24"/>
      <c r="C9" s="24"/>
      <c r="D9" s="24" t="s">
        <v>1565</v>
      </c>
      <c r="E9" t="s">
        <v>1266</v>
      </c>
      <c r="F9" t="s">
        <v>1267</v>
      </c>
      <c r="G9">
        <v>3.54</v>
      </c>
      <c r="H9">
        <v>2.0199999999999999E-2</v>
      </c>
      <c r="I9" t="s">
        <v>1268</v>
      </c>
      <c r="J9">
        <v>3504329500</v>
      </c>
      <c r="L9">
        <v>1.07</v>
      </c>
      <c r="M9" t="s">
        <v>177</v>
      </c>
      <c r="N9" t="s">
        <v>1525</v>
      </c>
      <c r="O9" t="s">
        <v>1526</v>
      </c>
      <c r="P9" t="s">
        <v>1527</v>
      </c>
      <c r="Q9">
        <v>30.8</v>
      </c>
      <c r="R9" t="s">
        <v>1528</v>
      </c>
      <c r="S9">
        <v>-95288900</v>
      </c>
      <c r="T9" s="25">
        <v>-1.7589999999999999</v>
      </c>
      <c r="U9" t="s">
        <v>1529</v>
      </c>
      <c r="V9">
        <v>989923600</v>
      </c>
      <c r="W9">
        <v>989923600</v>
      </c>
      <c r="X9">
        <v>2.58</v>
      </c>
      <c r="Y9">
        <v>0.77</v>
      </c>
      <c r="Z9">
        <v>-1.6</v>
      </c>
      <c r="AA9" t="s">
        <v>1530</v>
      </c>
      <c r="AB9" t="s">
        <v>1531</v>
      </c>
      <c r="AC9" t="s">
        <v>1532</v>
      </c>
      <c r="AD9" t="s">
        <v>1533</v>
      </c>
      <c r="AE9" t="s">
        <v>1534</v>
      </c>
      <c r="AF9">
        <v>57568291</v>
      </c>
      <c r="AG9" t="s">
        <v>1535</v>
      </c>
      <c r="AH9" t="s">
        <v>1536</v>
      </c>
      <c r="AI9" t="s">
        <v>1537</v>
      </c>
      <c r="AJ9" t="s">
        <v>1538</v>
      </c>
      <c r="AK9" t="s">
        <v>1539</v>
      </c>
      <c r="AL9" t="s">
        <v>1540</v>
      </c>
      <c r="AM9" t="s">
        <v>1541</v>
      </c>
      <c r="AN9" t="s">
        <v>167</v>
      </c>
      <c r="AO9" t="s">
        <v>1542</v>
      </c>
      <c r="AP9" t="s">
        <v>1543</v>
      </c>
      <c r="AQ9" t="s">
        <v>1544</v>
      </c>
      <c r="AR9" t="s">
        <v>1545</v>
      </c>
      <c r="AS9" t="s">
        <v>1546</v>
      </c>
      <c r="AT9" t="s">
        <v>684</v>
      </c>
      <c r="AU9" t="s">
        <v>1547</v>
      </c>
      <c r="AV9" t="s">
        <v>1548</v>
      </c>
      <c r="AW9" t="s">
        <v>826</v>
      </c>
      <c r="AX9" t="s">
        <v>1549</v>
      </c>
      <c r="AY9" t="s">
        <v>1550</v>
      </c>
      <c r="AZ9" t="s">
        <v>1551</v>
      </c>
      <c r="BA9" t="s">
        <v>1552</v>
      </c>
      <c r="BB9" t="s">
        <v>1553</v>
      </c>
      <c r="BC9" t="s">
        <v>1554</v>
      </c>
      <c r="BD9" t="s">
        <v>1555</v>
      </c>
      <c r="BE9" t="s">
        <v>1556</v>
      </c>
      <c r="BF9" t="s">
        <v>1557</v>
      </c>
      <c r="BG9" t="s">
        <v>1558</v>
      </c>
      <c r="BH9" t="s">
        <v>1559</v>
      </c>
      <c r="BI9" t="s">
        <v>1560</v>
      </c>
      <c r="BJ9" t="s">
        <v>1561</v>
      </c>
      <c r="BK9" t="s">
        <v>1562</v>
      </c>
      <c r="BL9" t="s">
        <v>1563</v>
      </c>
      <c r="BM9" t="s">
        <v>811</v>
      </c>
      <c r="BN9" t="s">
        <v>169</v>
      </c>
      <c r="BO9">
        <v>0.92</v>
      </c>
      <c r="BP9">
        <v>2.94</v>
      </c>
      <c r="BQ9">
        <v>7.56</v>
      </c>
      <c r="BR9">
        <v>-0.88</v>
      </c>
      <c r="BS9">
        <v>1.74</v>
      </c>
      <c r="BT9">
        <v>7.44</v>
      </c>
      <c r="BU9" t="s">
        <v>748</v>
      </c>
      <c r="BV9" t="s">
        <v>1313</v>
      </c>
      <c r="BW9">
        <v>3.49</v>
      </c>
      <c r="BX9">
        <v>10.02</v>
      </c>
      <c r="BY9">
        <v>12.96</v>
      </c>
      <c r="BZ9">
        <v>-1.45</v>
      </c>
      <c r="CA9">
        <v>1.4</v>
      </c>
      <c r="CB9">
        <v>4.3099999999999996</v>
      </c>
      <c r="CC9">
        <v>1.72</v>
      </c>
      <c r="CD9">
        <v>-5.35</v>
      </c>
      <c r="CE9" t="s">
        <v>1564</v>
      </c>
      <c r="CF9" t="s">
        <v>414</v>
      </c>
      <c r="CG9" s="26">
        <v>6.0423710073710071E-2</v>
      </c>
      <c r="CH9" s="27">
        <v>-3.4660785714285742</v>
      </c>
      <c r="CI9" s="26">
        <v>0.29258477687835693</v>
      </c>
      <c r="CJ9" s="26">
        <v>-0.17568986117839813</v>
      </c>
      <c r="CK9" s="26">
        <v>6.056678295135498E-2</v>
      </c>
      <c r="CL9" s="26">
        <v>0.22066470980644226</v>
      </c>
      <c r="CM9" s="26">
        <v>0.31051850318908691</v>
      </c>
      <c r="CN9" s="27">
        <v>-1.5034761428833008</v>
      </c>
      <c r="CO9" s="27">
        <v>-0.75402921438217163</v>
      </c>
      <c r="CP9" s="27">
        <v>0.25</v>
      </c>
      <c r="CQ9" s="27">
        <v>4.9474740028381348</v>
      </c>
      <c r="CR9" s="27">
        <v>-2.0019795894622803</v>
      </c>
      <c r="CS9">
        <v>0.57438608424848381</v>
      </c>
      <c r="CT9">
        <v>262402810.06806475</v>
      </c>
      <c r="CU9">
        <v>0</v>
      </c>
      <c r="CV9" s="26">
        <v>0.14172898232936859</v>
      </c>
      <c r="CW9" s="27">
        <v>0.18759781122207642</v>
      </c>
      <c r="CX9">
        <v>0.06</v>
      </c>
      <c r="CY9" t="e">
        <v>#VALUE!</v>
      </c>
      <c r="CZ9" t="s">
        <v>750</v>
      </c>
      <c r="DA9">
        <v>0.14172898232936859</v>
      </c>
      <c r="DB9" t="e">
        <v>#VALUE!</v>
      </c>
      <c r="DC9" t="s">
        <v>751</v>
      </c>
      <c r="DD9">
        <v>0.13464253321290015</v>
      </c>
      <c r="DE9" t="e">
        <v>#VALUE!</v>
      </c>
      <c r="DF9" t="s">
        <v>751</v>
      </c>
      <c r="DG9">
        <v>0.12472150444984437</v>
      </c>
      <c r="DH9" t="e">
        <v>#VALUE!</v>
      </c>
      <c r="DI9" t="s">
        <v>751</v>
      </c>
      <c r="DJ9">
        <v>0.11338318586349488</v>
      </c>
      <c r="DK9" t="e">
        <v>#VALUE!</v>
      </c>
      <c r="DL9" t="s">
        <v>751</v>
      </c>
      <c r="DM9">
        <v>9.9210287630558003E-2</v>
      </c>
      <c r="DN9">
        <v>-29721700</v>
      </c>
      <c r="DO9">
        <v>0.14172898232936859</v>
      </c>
      <c r="DP9">
        <v>5439329500</v>
      </c>
      <c r="DQ9">
        <v>-580666299.99999952</v>
      </c>
      <c r="DR9">
        <v>3377</v>
      </c>
      <c r="DS9">
        <v>-8.130527225565852E-2</v>
      </c>
      <c r="DT9">
        <v>-3.6536763826506506</v>
      </c>
      <c r="DU9" s="28">
        <v>0.6</v>
      </c>
      <c r="DV9" t="e">
        <v>#VALUE!</v>
      </c>
      <c r="DW9" t="e">
        <v>#VALUE!</v>
      </c>
      <c r="DX9">
        <v>-1.0535000000000001</v>
      </c>
      <c r="DY9">
        <v>0.65043841059602925</v>
      </c>
      <c r="DZ9">
        <v>-1.0085834549668875</v>
      </c>
      <c r="EA9">
        <v>4320</v>
      </c>
      <c r="EB9">
        <v>-1.0010421644529657</v>
      </c>
      <c r="EC9">
        <v>1</v>
      </c>
      <c r="ED9">
        <v>2.4472797698731497E-2</v>
      </c>
      <c r="EE9">
        <v>0.15253702406933223</v>
      </c>
      <c r="EF9" s="29">
        <v>4.5824000000000004E-2</v>
      </c>
      <c r="EG9">
        <v>4.5608000000000003E-2</v>
      </c>
      <c r="EH9">
        <v>49.160438410596029</v>
      </c>
      <c r="EI9">
        <v>-1</v>
      </c>
      <c r="EJ9">
        <v>0</v>
      </c>
      <c r="EK9">
        <v>0</v>
      </c>
      <c r="EL9" s="30">
        <v>44937</v>
      </c>
      <c r="EM9" s="31">
        <v>-5.7000000000000002E-3</v>
      </c>
      <c r="EN9" s="31">
        <v>5.7999999999999996E-3</v>
      </c>
      <c r="EO9" s="31">
        <v>8.6E-3</v>
      </c>
      <c r="EP9" s="31">
        <v>-1.14E-2</v>
      </c>
      <c r="EQ9" s="31">
        <v>2.0199999999999999E-2</v>
      </c>
    </row>
    <row r="10" spans="1:147" ht="86.4" x14ac:dyDescent="0.25">
      <c r="B10" s="24"/>
      <c r="C10" s="24"/>
      <c r="D10" s="24" t="s">
        <v>1604</v>
      </c>
      <c r="E10" t="s">
        <v>1269</v>
      </c>
      <c r="F10" t="s">
        <v>1270</v>
      </c>
      <c r="G10">
        <v>2.65</v>
      </c>
      <c r="H10">
        <v>1.9199999999999998E-2</v>
      </c>
      <c r="I10" t="s">
        <v>1271</v>
      </c>
      <c r="J10">
        <v>2668020000</v>
      </c>
      <c r="L10">
        <v>0.96899999999999997</v>
      </c>
      <c r="M10" t="s">
        <v>177</v>
      </c>
      <c r="N10" t="s">
        <v>1566</v>
      </c>
      <c r="O10" t="s">
        <v>1567</v>
      </c>
      <c r="P10" t="s">
        <v>1568</v>
      </c>
      <c r="Q10">
        <v>7.59</v>
      </c>
      <c r="R10" t="s">
        <v>1569</v>
      </c>
      <c r="S10">
        <v>-63599075</v>
      </c>
      <c r="T10" s="25">
        <v>-1.1399999999999999</v>
      </c>
      <c r="U10" t="s">
        <v>329</v>
      </c>
      <c r="V10">
        <v>1006800000</v>
      </c>
      <c r="W10">
        <v>1006800000</v>
      </c>
      <c r="X10">
        <v>2.13</v>
      </c>
      <c r="Y10">
        <v>1.82</v>
      </c>
      <c r="Z10">
        <v>-0.63</v>
      </c>
      <c r="AA10" t="s">
        <v>1570</v>
      </c>
      <c r="AB10" t="s">
        <v>1571</v>
      </c>
      <c r="AC10" t="s">
        <v>1572</v>
      </c>
      <c r="AD10" t="s">
        <v>1573</v>
      </c>
      <c r="AE10" t="s">
        <v>1574</v>
      </c>
      <c r="AF10">
        <v>101377903</v>
      </c>
      <c r="AG10" t="s">
        <v>1575</v>
      </c>
      <c r="AH10" t="s">
        <v>1576</v>
      </c>
      <c r="AI10" t="s">
        <v>1577</v>
      </c>
      <c r="AJ10" t="s">
        <v>1578</v>
      </c>
      <c r="AK10" t="s">
        <v>1579</v>
      </c>
      <c r="AL10" t="s">
        <v>167</v>
      </c>
      <c r="AM10" t="s">
        <v>1580</v>
      </c>
      <c r="AN10" t="s">
        <v>167</v>
      </c>
      <c r="AO10" t="s">
        <v>1581</v>
      </c>
      <c r="AP10" t="s">
        <v>1582</v>
      </c>
      <c r="AQ10" t="s">
        <v>1456</v>
      </c>
      <c r="AR10" t="s">
        <v>1583</v>
      </c>
      <c r="AS10" t="s">
        <v>167</v>
      </c>
      <c r="AT10" t="s">
        <v>1584</v>
      </c>
      <c r="AU10" t="s">
        <v>167</v>
      </c>
      <c r="AV10" t="s">
        <v>1585</v>
      </c>
      <c r="AW10" t="s">
        <v>1586</v>
      </c>
      <c r="AX10" t="s">
        <v>1587</v>
      </c>
      <c r="AY10" t="s">
        <v>1588</v>
      </c>
      <c r="AZ10" t="s">
        <v>1589</v>
      </c>
      <c r="BA10" t="s">
        <v>1590</v>
      </c>
      <c r="BB10" t="s">
        <v>1059</v>
      </c>
      <c r="BC10" t="s">
        <v>1591</v>
      </c>
      <c r="BD10" t="s">
        <v>1592</v>
      </c>
      <c r="BE10" t="s">
        <v>1593</v>
      </c>
      <c r="BF10" t="s">
        <v>1594</v>
      </c>
      <c r="BG10" t="s">
        <v>1595</v>
      </c>
      <c r="BH10" t="s">
        <v>1596</v>
      </c>
      <c r="BI10" t="s">
        <v>1597</v>
      </c>
      <c r="BJ10" t="s">
        <v>1598</v>
      </c>
      <c r="BK10" t="s">
        <v>1599</v>
      </c>
      <c r="BL10" t="s">
        <v>1191</v>
      </c>
      <c r="BM10" t="s">
        <v>1600</v>
      </c>
      <c r="BN10" t="s">
        <v>1601</v>
      </c>
      <c r="BO10">
        <v>8.67</v>
      </c>
      <c r="BP10">
        <v>11.17</v>
      </c>
      <c r="BQ10">
        <v>13.93</v>
      </c>
      <c r="BR10">
        <v>10.57</v>
      </c>
      <c r="BS10">
        <v>15.72</v>
      </c>
      <c r="BT10">
        <v>26.54</v>
      </c>
      <c r="BU10" t="s">
        <v>748</v>
      </c>
      <c r="BV10" t="s">
        <v>1313</v>
      </c>
      <c r="BW10">
        <v>4.16</v>
      </c>
      <c r="BX10">
        <v>9.3000000000000007</v>
      </c>
      <c r="BY10">
        <v>8.32</v>
      </c>
      <c r="BZ10">
        <v>1.6</v>
      </c>
      <c r="CA10">
        <v>3.79</v>
      </c>
      <c r="CB10">
        <v>4.78</v>
      </c>
      <c r="CC10">
        <v>-1.49</v>
      </c>
      <c r="CD10">
        <v>-6.69</v>
      </c>
      <c r="CE10" t="s">
        <v>1602</v>
      </c>
      <c r="CF10" t="s">
        <v>1603</v>
      </c>
      <c r="CG10" s="26">
        <v>-0.1770772533333336</v>
      </c>
      <c r="CH10" s="27">
        <v>-18.659907499999999</v>
      </c>
      <c r="CI10" s="26">
        <v>0.47781577706336975</v>
      </c>
      <c r="CJ10" s="26">
        <v>-8.0832399427890778E-2</v>
      </c>
      <c r="CK10" s="26">
        <v>8.4732286632061005E-2</v>
      </c>
      <c r="CL10" s="26">
        <v>0.39582008123397827</v>
      </c>
      <c r="CM10" s="26">
        <v>0.86587899923324585</v>
      </c>
      <c r="CN10" s="27">
        <v>-0.15015015006065369</v>
      </c>
      <c r="CO10" s="27">
        <v>-0.27133479714393616</v>
      </c>
      <c r="CP10" s="27">
        <v>-0.44268292188644409</v>
      </c>
      <c r="CQ10" s="27">
        <v>3.9078013896942139</v>
      </c>
      <c r="CR10" s="27">
        <v>0.51546388864517212</v>
      </c>
      <c r="CS10">
        <v>0.20539030023094687</v>
      </c>
      <c r="CT10">
        <v>-32992557.243816253</v>
      </c>
      <c r="CU10">
        <v>0</v>
      </c>
      <c r="CV10" s="26">
        <v>0.34868294894695284</v>
      </c>
      <c r="CW10" s="27">
        <v>0.71181948184967037</v>
      </c>
      <c r="CX10">
        <v>0.06</v>
      </c>
      <c r="CY10">
        <v>8.3789143688312535</v>
      </c>
      <c r="CZ10">
        <v>360072900.52074301</v>
      </c>
      <c r="DA10">
        <v>0.34868294894695284</v>
      </c>
      <c r="DB10">
        <v>2.2145249718972013</v>
      </c>
      <c r="DC10">
        <v>1362377953.8666906</v>
      </c>
      <c r="DD10">
        <v>0.33124880149960517</v>
      </c>
      <c r="DE10">
        <v>0.80175382171912513</v>
      </c>
      <c r="DF10">
        <v>3763025405.3930025</v>
      </c>
      <c r="DG10">
        <v>0.30684099507331852</v>
      </c>
      <c r="DH10">
        <v>0.32953451369105652</v>
      </c>
      <c r="DI10">
        <v>9155399130.1454411</v>
      </c>
      <c r="DJ10">
        <v>0.27894635915756227</v>
      </c>
      <c r="DK10">
        <v>6.6855654441972001E-2</v>
      </c>
      <c r="DL10">
        <v>45127372174.909317</v>
      </c>
      <c r="DM10">
        <v>0.24407806426286696</v>
      </c>
      <c r="DN10">
        <v>283000000</v>
      </c>
      <c r="DO10">
        <v>0.34868294894695284</v>
      </c>
      <c r="DP10">
        <v>3017020000</v>
      </c>
      <c r="DQ10">
        <v>-861912500</v>
      </c>
      <c r="DR10">
        <v>3067</v>
      </c>
      <c r="DS10">
        <v>-0.52576020228028642</v>
      </c>
      <c r="DT10">
        <v>-19.371726981849669</v>
      </c>
      <c r="DU10" s="28">
        <v>0.6</v>
      </c>
      <c r="DV10">
        <v>-0.89833333333333332</v>
      </c>
      <c r="DW10">
        <v>-0.29833333333333334</v>
      </c>
      <c r="DX10">
        <v>-2.0669</v>
      </c>
      <c r="DY10">
        <v>0.42432546125461384</v>
      </c>
      <c r="DZ10">
        <v>-2.0083173733579334</v>
      </c>
      <c r="EA10">
        <v>4068</v>
      </c>
      <c r="EB10">
        <v>-2.0014361297500276</v>
      </c>
      <c r="EC10">
        <v>2</v>
      </c>
      <c r="ED10">
        <v>6.6929280889948345E-2</v>
      </c>
      <c r="EE10">
        <v>0.53833929280889947</v>
      </c>
      <c r="EF10" s="29">
        <v>3.3647999999999997E-2</v>
      </c>
      <c r="EG10">
        <v>3.3418000000000003E-2</v>
      </c>
      <c r="EH10">
        <v>30.124325461254614</v>
      </c>
      <c r="EI10">
        <v>-1</v>
      </c>
      <c r="EJ10">
        <v>0</v>
      </c>
      <c r="EK10">
        <v>0</v>
      </c>
      <c r="EL10" s="30">
        <v>44937</v>
      </c>
      <c r="EM10" s="31">
        <v>-1.12E-2</v>
      </c>
      <c r="EN10" s="31">
        <v>0</v>
      </c>
      <c r="EO10" s="31">
        <v>-7.4999999999999997E-3</v>
      </c>
      <c r="EP10" s="31">
        <v>-1.52E-2</v>
      </c>
      <c r="EQ10" s="31">
        <v>1.9199999999999998E-2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6640625" customWidth="1"/>
    <col min="19" max="19" width="12.88671875" customWidth="1"/>
  </cols>
  <sheetData>
    <row r="1" spans="1:32" s="5" customFormat="1" ht="57.6" x14ac:dyDescent="0.25">
      <c r="A1" s="4" t="s">
        <v>15</v>
      </c>
      <c r="B1" s="5" t="s">
        <v>19</v>
      </c>
      <c r="C1" s="5" t="s">
        <v>16</v>
      </c>
      <c r="D1" s="5" t="s">
        <v>20</v>
      </c>
      <c r="E1" s="6" t="s">
        <v>17</v>
      </c>
      <c r="F1" s="6" t="s">
        <v>18</v>
      </c>
      <c r="G1" s="6" t="s">
        <v>26</v>
      </c>
      <c r="H1" s="6" t="s">
        <v>21</v>
      </c>
      <c r="I1" s="6" t="s">
        <v>22</v>
      </c>
      <c r="J1" s="6" t="s">
        <v>23</v>
      </c>
      <c r="K1" s="6" t="s">
        <v>24</v>
      </c>
      <c r="L1" s="5" t="s">
        <v>25</v>
      </c>
      <c r="M1" s="5" t="s">
        <v>27</v>
      </c>
      <c r="N1" s="5" t="s">
        <v>28</v>
      </c>
      <c r="O1" s="5" t="s">
        <v>29</v>
      </c>
      <c r="P1" s="5" t="s">
        <v>30</v>
      </c>
      <c r="Q1" s="5" t="s">
        <v>31</v>
      </c>
      <c r="R1" s="9" t="s">
        <v>32</v>
      </c>
      <c r="S1" s="5" t="s">
        <v>33</v>
      </c>
      <c r="T1" s="5" t="s">
        <v>34</v>
      </c>
      <c r="U1" s="5" t="s">
        <v>35</v>
      </c>
      <c r="V1" s="5" t="s">
        <v>36</v>
      </c>
      <c r="W1" s="5" t="s">
        <v>37</v>
      </c>
      <c r="X1" s="5" t="s">
        <v>38</v>
      </c>
      <c r="Y1" s="5" t="s">
        <v>39</v>
      </c>
      <c r="Z1" s="5" t="s">
        <v>40</v>
      </c>
      <c r="AA1" s="5" t="s">
        <v>41</v>
      </c>
      <c r="AB1" s="5" t="s">
        <v>42</v>
      </c>
      <c r="AC1" s="5" t="s">
        <v>43</v>
      </c>
      <c r="AD1" s="13" t="s">
        <v>44</v>
      </c>
      <c r="AE1" s="5" t="s">
        <v>45</v>
      </c>
      <c r="AF1" s="5" t="s">
        <v>46</v>
      </c>
    </row>
    <row r="2" spans="1:32" ht="13.95" x14ac:dyDescent="0.25">
      <c r="A2" s="2">
        <v>1</v>
      </c>
      <c r="B2">
        <v>1</v>
      </c>
      <c r="C2" s="3">
        <v>0.08</v>
      </c>
      <c r="D2">
        <f>H2</f>
        <v>7.06</v>
      </c>
      <c r="E2">
        <v>11.56</v>
      </c>
      <c r="F2">
        <v>20.440000000000001</v>
      </c>
      <c r="G2">
        <f>F2</f>
        <v>20.440000000000001</v>
      </c>
      <c r="H2" s="7">
        <v>7.06</v>
      </c>
      <c r="I2" s="8">
        <v>0.37</v>
      </c>
      <c r="J2">
        <v>9</v>
      </c>
      <c r="K2">
        <v>85</v>
      </c>
      <c r="L2">
        <f>K2-F2+E2</f>
        <v>76.12</v>
      </c>
      <c r="M2">
        <f>SUMIF(A2:A51,"&lt;"&amp;J2+1,D2:D51)</f>
        <v>88.162158341966133</v>
      </c>
      <c r="O2">
        <f>M2/L2</f>
        <v>1.1581996629265126</v>
      </c>
      <c r="R2">
        <f>S2</f>
        <v>7.06</v>
      </c>
      <c r="S2">
        <f>$H$2</f>
        <v>7.06</v>
      </c>
      <c r="T2" s="3">
        <v>0.37</v>
      </c>
      <c r="U2" s="3">
        <v>0.06</v>
      </c>
      <c r="V2">
        <f>SUM($R$2:R2)</f>
        <v>7.06</v>
      </c>
      <c r="W2" s="2">
        <f>X2-Y2</f>
        <v>474.26</v>
      </c>
      <c r="X2" s="12">
        <f>579-579*10%</f>
        <v>521.1</v>
      </c>
      <c r="Y2" s="12">
        <f>57.79-10.95</f>
        <v>46.84</v>
      </c>
      <c r="Z2">
        <f>$W$2/S2</f>
        <v>67.175637393767701</v>
      </c>
      <c r="AA2" s="3">
        <v>0.3</v>
      </c>
      <c r="AB2">
        <f>S2/AA2</f>
        <v>23.533333333333331</v>
      </c>
      <c r="AC2">
        <f>AC3*(1-$U$2)</f>
        <v>222.37291878719995</v>
      </c>
      <c r="AD2" s="3">
        <v>0</v>
      </c>
      <c r="AE2">
        <f>AC2*AD2</f>
        <v>0</v>
      </c>
      <c r="AF2">
        <f>IF(AB2&gt;AE2, 1, 0)</f>
        <v>1</v>
      </c>
    </row>
    <row r="3" spans="1:32" ht="13.95" x14ac:dyDescent="0.25">
      <c r="A3" s="2">
        <v>2</v>
      </c>
      <c r="B3">
        <f>B2+B2*C2</f>
        <v>1.08</v>
      </c>
      <c r="C3" s="3">
        <v>0.08</v>
      </c>
      <c r="D3">
        <f>D2+D2*C2</f>
        <v>7.6247999999999996</v>
      </c>
      <c r="Q3">
        <f>$D$2*((1+$C$2)^A2)</f>
        <v>7.6248000000000005</v>
      </c>
      <c r="R3">
        <f>S3/((1+$U$2)^A2)</f>
        <v>9.1247169811320745</v>
      </c>
      <c r="S3">
        <f>S2*(1+T2)</f>
        <v>9.6722000000000001</v>
      </c>
      <c r="T3" s="3">
        <v>0.37</v>
      </c>
      <c r="V3">
        <f>SUM($R$2:R3)</f>
        <v>16.184716981132073</v>
      </c>
      <c r="W3">
        <f>V3/$W$2</f>
        <v>3.4126253492034062E-2</v>
      </c>
      <c r="Z3">
        <f t="shared" ref="Z3:Z13" si="0">$W$2/S3</f>
        <v>49.033311966253798</v>
      </c>
      <c r="AA3" s="3">
        <v>0.3</v>
      </c>
      <c r="AB3">
        <f t="shared" ref="AB3:AB66" si="1">S3/AA3</f>
        <v>32.240666666666669</v>
      </c>
      <c r="AC3">
        <f>AC4*(1-$U$2)</f>
        <v>236.56693487999996</v>
      </c>
      <c r="AD3" s="3">
        <v>0.1</v>
      </c>
      <c r="AE3">
        <f t="shared" ref="AE3:AE66" si="2">AC3*AD3</f>
        <v>23.656693487999998</v>
      </c>
      <c r="AF3">
        <f t="shared" ref="AF3:AF66" si="3">IF(AB3&gt;AE3, 1, 0)</f>
        <v>1</v>
      </c>
    </row>
    <row r="4" spans="1:32" ht="13.95" x14ac:dyDescent="0.25">
      <c r="A4" s="2">
        <v>3</v>
      </c>
      <c r="B4">
        <f t="shared" ref="B4:B51" si="4">B3+B3*C3</f>
        <v>1.1664000000000001</v>
      </c>
      <c r="C4" s="3">
        <v>0.08</v>
      </c>
      <c r="D4">
        <f t="shared" ref="D4:D51" si="5">D3+D3*C3</f>
        <v>8.2347839999999994</v>
      </c>
      <c r="Q4">
        <f>$D$2*((1+$C$2)^A3)</f>
        <v>8.2347839999999994</v>
      </c>
      <c r="R4">
        <f t="shared" ref="R4:R67" si="6">S4/((1+$U$2)^A3)</f>
        <v>11.793266286934852</v>
      </c>
      <c r="S4">
        <f t="shared" ref="S4:S67" si="7">S3*(1+T3)</f>
        <v>13.250914000000002</v>
      </c>
      <c r="T4" s="3">
        <v>0.37</v>
      </c>
      <c r="V4">
        <f>SUM($R$2:R4)</f>
        <v>27.977983268066925</v>
      </c>
      <c r="W4">
        <f t="shared" ref="W4:W67" si="8">V4/$W$2</f>
        <v>5.8992922169415353E-2</v>
      </c>
      <c r="Z4">
        <f t="shared" si="0"/>
        <v>35.79073866149912</v>
      </c>
      <c r="AA4" s="3">
        <v>0.3</v>
      </c>
      <c r="AB4">
        <f t="shared" si="1"/>
        <v>44.169713333333341</v>
      </c>
      <c r="AC4">
        <f>AC5*(1-$U$2)</f>
        <v>251.66695199999998</v>
      </c>
      <c r="AD4" s="3">
        <v>0.15</v>
      </c>
      <c r="AE4">
        <f t="shared" si="2"/>
        <v>37.750042799999996</v>
      </c>
      <c r="AF4">
        <f t="shared" si="3"/>
        <v>1</v>
      </c>
    </row>
    <row r="5" spans="1:32" ht="13.95" x14ac:dyDescent="0.25">
      <c r="A5" s="2">
        <v>4</v>
      </c>
      <c r="B5">
        <f t="shared" si="4"/>
        <v>1.2597120000000002</v>
      </c>
      <c r="C5" s="3">
        <v>0.08</v>
      </c>
      <c r="D5">
        <f t="shared" si="5"/>
        <v>8.893566719999999</v>
      </c>
      <c r="Q5">
        <f t="shared" ref="Q5:Q51" si="9">$D$2*((1+$C$2)^A4)</f>
        <v>8.8935667200000008</v>
      </c>
      <c r="R5">
        <f t="shared" si="6"/>
        <v>15.242240389717686</v>
      </c>
      <c r="S5">
        <f>S4*(1+T4)</f>
        <v>18.153752180000005</v>
      </c>
      <c r="T5" s="3">
        <v>0.37</v>
      </c>
      <c r="V5">
        <f>SUM($R$2:R5)</f>
        <v>43.220223657784615</v>
      </c>
      <c r="W5">
        <f t="shared" si="8"/>
        <v>9.1131918478860999E-2</v>
      </c>
      <c r="Z5">
        <f t="shared" si="0"/>
        <v>26.12462676021833</v>
      </c>
      <c r="AA5" s="3">
        <v>0.3</v>
      </c>
      <c r="AB5">
        <f t="shared" si="1"/>
        <v>60.512507266666688</v>
      </c>
      <c r="AC5">
        <f>AC6*(1-$U$2)</f>
        <v>267.73079999999999</v>
      </c>
      <c r="AD5" s="3">
        <v>0.15</v>
      </c>
      <c r="AE5">
        <f t="shared" si="2"/>
        <v>40.159619999999997</v>
      </c>
      <c r="AF5">
        <f t="shared" si="3"/>
        <v>1</v>
      </c>
    </row>
    <row r="6" spans="1:32" ht="13.95" x14ac:dyDescent="0.25">
      <c r="A6" s="2">
        <v>5</v>
      </c>
      <c r="B6">
        <f t="shared" si="4"/>
        <v>1.3604889600000001</v>
      </c>
      <c r="C6" s="3">
        <v>0.08</v>
      </c>
      <c r="D6">
        <f t="shared" si="5"/>
        <v>9.6050520575999982</v>
      </c>
      <c r="Q6">
        <f t="shared" si="9"/>
        <v>9.6050520576000018</v>
      </c>
      <c r="R6">
        <f t="shared" si="6"/>
        <v>19.699876730106823</v>
      </c>
      <c r="S6">
        <f>S5*(1+T5)</f>
        <v>24.87064048660001</v>
      </c>
      <c r="T6" s="3">
        <v>0.37</v>
      </c>
      <c r="V6">
        <f>SUM($R$2:R6)</f>
        <v>62.920100387891438</v>
      </c>
      <c r="W6" s="10">
        <f t="shared" si="8"/>
        <v>0.13267005521842754</v>
      </c>
      <c r="Z6">
        <f t="shared" si="0"/>
        <v>19.06907062789659</v>
      </c>
      <c r="AA6" s="3">
        <v>0.3</v>
      </c>
      <c r="AB6">
        <f t="shared" si="1"/>
        <v>82.902134955333366</v>
      </c>
      <c r="AC6">
        <f>AC7*(1-$U$2)</f>
        <v>284.82</v>
      </c>
      <c r="AD6" s="3">
        <v>0.2</v>
      </c>
      <c r="AE6">
        <f t="shared" si="2"/>
        <v>56.963999999999999</v>
      </c>
      <c r="AF6">
        <f t="shared" si="3"/>
        <v>1</v>
      </c>
    </row>
    <row r="7" spans="1:32" ht="13.95" x14ac:dyDescent="0.25">
      <c r="A7" s="2">
        <v>6</v>
      </c>
      <c r="B7">
        <f t="shared" si="4"/>
        <v>1.4693280768000001</v>
      </c>
      <c r="C7" s="3">
        <v>0.08</v>
      </c>
      <c r="D7">
        <f t="shared" si="5"/>
        <v>10.373456222207999</v>
      </c>
      <c r="Q7">
        <f t="shared" si="9"/>
        <v>10.373456222208002</v>
      </c>
      <c r="R7">
        <f t="shared" si="6"/>
        <v>25.461161434194668</v>
      </c>
      <c r="S7">
        <f t="shared" si="7"/>
        <v>34.072777466642016</v>
      </c>
      <c r="T7" s="3">
        <v>0.37</v>
      </c>
      <c r="V7">
        <f>SUM($R$2:R7)</f>
        <v>88.381261822086103</v>
      </c>
      <c r="W7" s="11">
        <f t="shared" si="8"/>
        <v>0.18635613760824465</v>
      </c>
      <c r="Z7">
        <f t="shared" si="0"/>
        <v>13.919029655398969</v>
      </c>
      <c r="AA7" s="3">
        <v>0.3</v>
      </c>
      <c r="AB7">
        <f t="shared" si="1"/>
        <v>113.57592488880672</v>
      </c>
      <c r="AC7">
        <v>303</v>
      </c>
      <c r="AD7" s="3">
        <v>0.2</v>
      </c>
      <c r="AE7">
        <f t="shared" si="2"/>
        <v>60.6</v>
      </c>
      <c r="AF7">
        <f t="shared" si="3"/>
        <v>1</v>
      </c>
    </row>
    <row r="8" spans="1:32" ht="13.95" x14ac:dyDescent="0.25">
      <c r="A8" s="2">
        <v>7</v>
      </c>
      <c r="B8">
        <f t="shared" si="4"/>
        <v>1.5868743229440001</v>
      </c>
      <c r="C8" s="3">
        <v>0.08</v>
      </c>
      <c r="D8">
        <f t="shared" si="5"/>
        <v>11.203332719984639</v>
      </c>
      <c r="Q8">
        <f t="shared" si="9"/>
        <v>11.203332719984644</v>
      </c>
      <c r="R8">
        <f t="shared" si="6"/>
        <v>32.907350155515751</v>
      </c>
      <c r="S8">
        <f>S7*(1+T7)</f>
        <v>46.679705129299563</v>
      </c>
      <c r="T8" s="3">
        <v>0.37</v>
      </c>
      <c r="V8">
        <f>SUM($R$2:R8)</f>
        <v>121.28861197760185</v>
      </c>
      <c r="W8">
        <f t="shared" si="8"/>
        <v>0.25574286673470636</v>
      </c>
      <c r="Z8">
        <f t="shared" si="0"/>
        <v>10.15987566087516</v>
      </c>
      <c r="AA8" s="3">
        <v>0.3</v>
      </c>
      <c r="AB8">
        <f t="shared" si="1"/>
        <v>155.59901709766521</v>
      </c>
      <c r="AC8">
        <f t="shared" ref="AC8:AC67" si="10">AC7*(1+$U$2)</f>
        <v>321.18</v>
      </c>
      <c r="AD8" s="3">
        <v>0.2</v>
      </c>
      <c r="AE8">
        <f t="shared" si="2"/>
        <v>64.236000000000004</v>
      </c>
      <c r="AF8">
        <f t="shared" si="3"/>
        <v>1</v>
      </c>
    </row>
    <row r="9" spans="1:32" ht="13.95" x14ac:dyDescent="0.25">
      <c r="A9" s="2">
        <v>8</v>
      </c>
      <c r="B9">
        <f t="shared" si="4"/>
        <v>1.7138242687795202</v>
      </c>
      <c r="C9" s="3">
        <v>0.08</v>
      </c>
      <c r="D9">
        <f t="shared" si="5"/>
        <v>12.09959933758341</v>
      </c>
      <c r="Q9">
        <f t="shared" si="9"/>
        <v>12.099599337583415</v>
      </c>
      <c r="R9">
        <f t="shared" si="6"/>
        <v>42.531197842506202</v>
      </c>
      <c r="S9">
        <f t="shared" si="7"/>
        <v>63.951196027140405</v>
      </c>
      <c r="T9" s="3">
        <v>0.1</v>
      </c>
      <c r="V9">
        <f>SUM($R$2:R9)</f>
        <v>163.81980982010805</v>
      </c>
      <c r="W9" s="10">
        <f t="shared" si="8"/>
        <v>0.34542194117173713</v>
      </c>
      <c r="Z9">
        <f t="shared" si="0"/>
        <v>7.4159676356752984</v>
      </c>
      <c r="AA9" s="3">
        <v>0.3</v>
      </c>
      <c r="AB9">
        <f t="shared" si="1"/>
        <v>213.17065342380135</v>
      </c>
      <c r="AC9">
        <f t="shared" si="10"/>
        <v>340.45080000000002</v>
      </c>
      <c r="AD9" s="3">
        <v>0.2</v>
      </c>
      <c r="AE9">
        <f t="shared" si="2"/>
        <v>68.090160000000012</v>
      </c>
      <c r="AF9" s="2">
        <f t="shared" si="3"/>
        <v>1</v>
      </c>
    </row>
    <row r="10" spans="1:32" ht="13.95" x14ac:dyDescent="0.25">
      <c r="A10" s="2">
        <v>9</v>
      </c>
      <c r="B10">
        <f t="shared" si="4"/>
        <v>1.8509302102818819</v>
      </c>
      <c r="C10" s="3">
        <v>0.08</v>
      </c>
      <c r="D10">
        <f t="shared" si="5"/>
        <v>13.067567284590082</v>
      </c>
      <c r="Q10">
        <f t="shared" si="9"/>
        <v>13.067567284590089</v>
      </c>
      <c r="R10">
        <f t="shared" si="6"/>
        <v>44.136148704487567</v>
      </c>
      <c r="S10">
        <f t="shared" si="7"/>
        <v>70.346315629854445</v>
      </c>
      <c r="T10" s="3">
        <v>0.1</v>
      </c>
      <c r="V10">
        <f>SUM($R$2:R10)</f>
        <v>207.95595852459562</v>
      </c>
      <c r="W10">
        <f t="shared" si="8"/>
        <v>0.43848513162525959</v>
      </c>
      <c r="Z10">
        <f t="shared" si="0"/>
        <v>6.7417887597048169</v>
      </c>
      <c r="AA10" s="3">
        <v>0.3</v>
      </c>
      <c r="AB10">
        <f t="shared" si="1"/>
        <v>234.4877187661815</v>
      </c>
      <c r="AC10">
        <f t="shared" si="10"/>
        <v>360.87784800000003</v>
      </c>
      <c r="AD10" s="3">
        <v>0.2</v>
      </c>
      <c r="AE10">
        <f t="shared" si="2"/>
        <v>72.175569600000003</v>
      </c>
      <c r="AF10" s="1">
        <f t="shared" si="3"/>
        <v>1</v>
      </c>
    </row>
    <row r="11" spans="1:32" ht="13.95" x14ac:dyDescent="0.25">
      <c r="A11" s="2">
        <v>10</v>
      </c>
      <c r="B11">
        <f t="shared" si="4"/>
        <v>1.9990046271044324</v>
      </c>
      <c r="C11" s="3">
        <v>0.08</v>
      </c>
      <c r="D11">
        <f t="shared" si="5"/>
        <v>14.112972667357289</v>
      </c>
      <c r="Q11">
        <f t="shared" si="9"/>
        <v>14.112972667357296</v>
      </c>
      <c r="R11">
        <f t="shared" si="6"/>
        <v>45.801663749939934</v>
      </c>
      <c r="S11">
        <f t="shared" si="7"/>
        <v>77.380947192839898</v>
      </c>
      <c r="T11" s="3">
        <v>0.1</v>
      </c>
      <c r="V11">
        <f>SUM($R$2:R11)</f>
        <v>253.75762227453555</v>
      </c>
      <c r="W11">
        <f t="shared" si="8"/>
        <v>0.53506014058646223</v>
      </c>
      <c r="Z11">
        <f t="shared" si="0"/>
        <v>6.1288988724589242</v>
      </c>
      <c r="AA11" s="3">
        <v>0.3</v>
      </c>
      <c r="AB11">
        <f t="shared" si="1"/>
        <v>257.9364906427997</v>
      </c>
      <c r="AC11">
        <f t="shared" si="10"/>
        <v>382.53051888000005</v>
      </c>
      <c r="AD11" s="3">
        <v>0.2</v>
      </c>
      <c r="AE11">
        <f t="shared" si="2"/>
        <v>76.506103776000018</v>
      </c>
      <c r="AF11">
        <f t="shared" si="3"/>
        <v>1</v>
      </c>
    </row>
    <row r="12" spans="1:32" ht="13.95" x14ac:dyDescent="0.25">
      <c r="A12" s="2">
        <v>11</v>
      </c>
      <c r="B12">
        <f t="shared" si="4"/>
        <v>2.1589249972727869</v>
      </c>
      <c r="C12" s="3">
        <v>0.08</v>
      </c>
      <c r="D12">
        <f t="shared" si="5"/>
        <v>15.242010480745872</v>
      </c>
      <c r="Q12">
        <f t="shared" si="9"/>
        <v>15.242010480745881</v>
      </c>
      <c r="R12">
        <f t="shared" si="6"/>
        <v>47.530028419748987</v>
      </c>
      <c r="S12">
        <f t="shared" si="7"/>
        <v>85.11904191212389</v>
      </c>
      <c r="T12" s="3">
        <v>0.08</v>
      </c>
      <c r="V12">
        <f>SUM($R$2:R12)</f>
        <v>301.28765069428454</v>
      </c>
      <c r="W12" s="11">
        <f t="shared" si="8"/>
        <v>0.6352794895084648</v>
      </c>
      <c r="Z12">
        <f t="shared" si="0"/>
        <v>5.5717262476899307</v>
      </c>
      <c r="AA12" s="3">
        <v>0.3</v>
      </c>
      <c r="AB12">
        <f t="shared" si="1"/>
        <v>283.73013970707967</v>
      </c>
      <c r="AC12">
        <f t="shared" si="10"/>
        <v>405.48235001280005</v>
      </c>
      <c r="AD12" s="3">
        <v>0.2</v>
      </c>
      <c r="AE12">
        <f t="shared" si="2"/>
        <v>81.096470002560011</v>
      </c>
      <c r="AF12" s="1">
        <f t="shared" si="3"/>
        <v>1</v>
      </c>
    </row>
    <row r="13" spans="1:32" ht="13.95" x14ac:dyDescent="0.25">
      <c r="A13" s="2">
        <v>12</v>
      </c>
      <c r="B13">
        <f t="shared" si="4"/>
        <v>2.3316389970546099</v>
      </c>
      <c r="C13" s="3">
        <v>0.08</v>
      </c>
      <c r="D13">
        <f t="shared" si="5"/>
        <v>16.46137131920554</v>
      </c>
      <c r="Q13">
        <f t="shared" si="9"/>
        <v>16.461371319205551</v>
      </c>
      <c r="R13">
        <f t="shared" si="6"/>
        <v>48.426821408800855</v>
      </c>
      <c r="S13">
        <f t="shared" si="7"/>
        <v>91.928565265093809</v>
      </c>
      <c r="T13" s="3">
        <v>0.08</v>
      </c>
      <c r="V13">
        <f>SUM($R$2:R13)</f>
        <v>349.71447210308537</v>
      </c>
      <c r="W13" s="11">
        <f t="shared" si="8"/>
        <v>0.73738976954220337</v>
      </c>
      <c r="Z13">
        <f t="shared" si="0"/>
        <v>5.1590057848980839</v>
      </c>
      <c r="AA13" s="3">
        <v>0.3</v>
      </c>
      <c r="AB13">
        <f t="shared" si="1"/>
        <v>306.42855088364604</v>
      </c>
      <c r="AC13">
        <f t="shared" si="10"/>
        <v>429.81129101356805</v>
      </c>
      <c r="AD13" s="3">
        <v>0.2</v>
      </c>
      <c r="AE13">
        <f t="shared" si="2"/>
        <v>85.962258202713613</v>
      </c>
      <c r="AF13">
        <f t="shared" si="3"/>
        <v>1</v>
      </c>
    </row>
    <row r="14" spans="1:32" ht="13.95" x14ac:dyDescent="0.25">
      <c r="A14" s="2">
        <v>13</v>
      </c>
      <c r="B14">
        <f t="shared" si="4"/>
        <v>2.5181701168189785</v>
      </c>
      <c r="C14" s="3">
        <v>0.08</v>
      </c>
      <c r="D14">
        <f t="shared" si="5"/>
        <v>17.778281024741982</v>
      </c>
      <c r="Q14">
        <f t="shared" si="9"/>
        <v>17.778281024741997</v>
      </c>
      <c r="R14">
        <f t="shared" si="6"/>
        <v>49.34053502028766</v>
      </c>
      <c r="S14">
        <f t="shared" si="7"/>
        <v>99.282850486301314</v>
      </c>
      <c r="T14" s="3">
        <v>0.08</v>
      </c>
      <c r="V14">
        <f>SUM($R$2:R14)</f>
        <v>399.055007123373</v>
      </c>
      <c r="W14" s="11">
        <f t="shared" si="8"/>
        <v>0.84142665863318222</v>
      </c>
      <c r="Z14">
        <f>$W$2/S14</f>
        <v>4.7768572082389662</v>
      </c>
      <c r="AA14" s="3">
        <v>0.3</v>
      </c>
      <c r="AB14">
        <f>S14/AA14</f>
        <v>330.94283495433774</v>
      </c>
      <c r="AC14">
        <f t="shared" si="10"/>
        <v>455.59996847438214</v>
      </c>
      <c r="AD14" s="3">
        <v>0.2</v>
      </c>
      <c r="AE14">
        <f t="shared" si="2"/>
        <v>91.119993694876428</v>
      </c>
      <c r="AF14">
        <f t="shared" si="3"/>
        <v>1</v>
      </c>
    </row>
    <row r="15" spans="1:32" ht="13.95" x14ac:dyDescent="0.25">
      <c r="A15" s="2">
        <v>14</v>
      </c>
      <c r="B15">
        <f t="shared" si="4"/>
        <v>2.7196237261644969</v>
      </c>
      <c r="C15" s="3">
        <v>0.08</v>
      </c>
      <c r="D15">
        <f t="shared" si="5"/>
        <v>19.200543506721342</v>
      </c>
      <c r="Q15">
        <f t="shared" si="9"/>
        <v>19.200543506721356</v>
      </c>
      <c r="R15">
        <f t="shared" si="6"/>
        <v>50.271488511236484</v>
      </c>
      <c r="S15">
        <f t="shared" si="7"/>
        <v>107.22547852520543</v>
      </c>
      <c r="T15" s="3">
        <v>0.08</v>
      </c>
      <c r="V15">
        <f>SUM($R$2:R15)</f>
        <v>449.3264956346095</v>
      </c>
      <c r="W15" s="11">
        <f t="shared" si="8"/>
        <v>0.94742650789568905</v>
      </c>
      <c r="Z15">
        <f t="shared" ref="Z15:Z78" si="11">$W$2/S15</f>
        <v>4.4230159335545975</v>
      </c>
      <c r="AA15" s="3">
        <v>0.3</v>
      </c>
      <c r="AB15">
        <f t="shared" si="1"/>
        <v>357.41826175068479</v>
      </c>
      <c r="AC15">
        <f t="shared" si="10"/>
        <v>482.93596658284508</v>
      </c>
      <c r="AD15" s="3">
        <v>0.2</v>
      </c>
      <c r="AE15">
        <f t="shared" si="2"/>
        <v>96.587193316569028</v>
      </c>
      <c r="AF15">
        <f t="shared" si="3"/>
        <v>1</v>
      </c>
    </row>
    <row r="16" spans="1:32" ht="13.95" x14ac:dyDescent="0.25">
      <c r="A16" s="2">
        <v>15</v>
      </c>
      <c r="B16">
        <f t="shared" si="4"/>
        <v>2.9371936242576568</v>
      </c>
      <c r="C16" s="3">
        <v>0.08</v>
      </c>
      <c r="D16">
        <f t="shared" si="5"/>
        <v>20.736586987259049</v>
      </c>
      <c r="Q16">
        <f t="shared" si="9"/>
        <v>20.73658698725907</v>
      </c>
      <c r="R16">
        <f t="shared" si="6"/>
        <v>51.220007162391894</v>
      </c>
      <c r="S16">
        <f t="shared" si="7"/>
        <v>115.80351680722187</v>
      </c>
      <c r="T16" s="3">
        <v>0.08</v>
      </c>
      <c r="V16">
        <f>SUM($R$2:R16)</f>
        <v>500.54650279700138</v>
      </c>
      <c r="W16">
        <f t="shared" si="8"/>
        <v>1.0554263543140923</v>
      </c>
      <c r="Z16">
        <f t="shared" si="11"/>
        <v>4.0953851236616643</v>
      </c>
      <c r="AA16" s="3">
        <v>0.3</v>
      </c>
      <c r="AB16">
        <f t="shared" si="1"/>
        <v>386.01172269073959</v>
      </c>
      <c r="AC16">
        <f t="shared" si="10"/>
        <v>511.9121245778158</v>
      </c>
      <c r="AD16" s="3">
        <v>0.2</v>
      </c>
      <c r="AE16">
        <f t="shared" si="2"/>
        <v>102.38242491556316</v>
      </c>
      <c r="AF16">
        <f t="shared" si="3"/>
        <v>1</v>
      </c>
    </row>
    <row r="17" spans="1:32" ht="13.95" x14ac:dyDescent="0.25">
      <c r="A17" s="2">
        <v>16</v>
      </c>
      <c r="B17">
        <f t="shared" si="4"/>
        <v>3.1721691141982693</v>
      </c>
      <c r="C17" s="3">
        <v>0.08</v>
      </c>
      <c r="D17">
        <f t="shared" si="5"/>
        <v>22.395513946239774</v>
      </c>
      <c r="Q17">
        <f t="shared" si="9"/>
        <v>22.395513946239795</v>
      </c>
      <c r="R17">
        <f t="shared" si="6"/>
        <v>52.18642239187097</v>
      </c>
      <c r="S17">
        <f t="shared" si="7"/>
        <v>125.06779815179962</v>
      </c>
      <c r="T17" s="3">
        <v>0.08</v>
      </c>
      <c r="V17">
        <f>SUM($R$2:R17)</f>
        <v>552.7329251888724</v>
      </c>
      <c r="W17">
        <f t="shared" si="8"/>
        <v>1.1654639336837862</v>
      </c>
      <c r="Z17">
        <f t="shared" si="11"/>
        <v>3.7920232626496895</v>
      </c>
      <c r="AA17" s="3">
        <v>0.3</v>
      </c>
      <c r="AB17">
        <f t="shared" si="1"/>
        <v>416.89266050599878</v>
      </c>
      <c r="AC17">
        <f t="shared" si="10"/>
        <v>542.62685205248476</v>
      </c>
      <c r="AD17" s="3">
        <v>0.2</v>
      </c>
      <c r="AE17">
        <f t="shared" si="2"/>
        <v>108.52537041049696</v>
      </c>
      <c r="AF17">
        <f t="shared" si="3"/>
        <v>1</v>
      </c>
    </row>
    <row r="18" spans="1:32" ht="13.95" x14ac:dyDescent="0.25">
      <c r="A18" s="2">
        <v>17</v>
      </c>
      <c r="B18">
        <f t="shared" si="4"/>
        <v>3.4259426433341309</v>
      </c>
      <c r="C18" s="3">
        <v>0.08</v>
      </c>
      <c r="D18">
        <f t="shared" si="5"/>
        <v>24.187155061938956</v>
      </c>
      <c r="Q18">
        <f t="shared" si="9"/>
        <v>24.187155061938977</v>
      </c>
      <c r="R18">
        <f t="shared" si="6"/>
        <v>53.171071870962898</v>
      </c>
      <c r="S18">
        <f t="shared" si="7"/>
        <v>135.07322200394361</v>
      </c>
      <c r="T18" s="3">
        <v>0.08</v>
      </c>
      <c r="V18">
        <f>SUM($R$2:R18)</f>
        <v>605.90399705983532</v>
      </c>
      <c r="W18" s="11">
        <f t="shared" si="8"/>
        <v>1.2775776937963044</v>
      </c>
      <c r="Z18">
        <f t="shared" si="11"/>
        <v>3.5111326506015637</v>
      </c>
      <c r="AA18" s="3">
        <v>0.3</v>
      </c>
      <c r="AB18">
        <f t="shared" si="1"/>
        <v>450.24407334647873</v>
      </c>
      <c r="AC18">
        <f t="shared" si="10"/>
        <v>575.18446317563382</v>
      </c>
      <c r="AD18" s="3">
        <v>0.2</v>
      </c>
      <c r="AE18">
        <f t="shared" si="2"/>
        <v>115.03689263512678</v>
      </c>
      <c r="AF18">
        <f t="shared" si="3"/>
        <v>1</v>
      </c>
    </row>
    <row r="19" spans="1:32" ht="13.95" x14ac:dyDescent="0.25">
      <c r="A19" s="2">
        <v>18</v>
      </c>
      <c r="B19">
        <f t="shared" si="4"/>
        <v>3.7000180548008612</v>
      </c>
      <c r="C19" s="3">
        <v>0.08</v>
      </c>
      <c r="D19">
        <f t="shared" si="5"/>
        <v>26.122127466894071</v>
      </c>
      <c r="Q19">
        <f t="shared" si="9"/>
        <v>26.122127466894099</v>
      </c>
      <c r="R19">
        <f t="shared" si="6"/>
        <v>54.174299642113134</v>
      </c>
      <c r="S19">
        <f t="shared" si="7"/>
        <v>145.8790797642591</v>
      </c>
      <c r="T19" s="3">
        <v>0.08</v>
      </c>
      <c r="V19">
        <f>SUM($R$2:R19)</f>
        <v>660.07829670194849</v>
      </c>
      <c r="W19">
        <f t="shared" si="8"/>
        <v>1.3918068078732098</v>
      </c>
      <c r="Z19">
        <f t="shared" si="11"/>
        <v>3.2510487505570032</v>
      </c>
      <c r="AA19" s="3">
        <v>0.3</v>
      </c>
      <c r="AB19">
        <f t="shared" si="1"/>
        <v>486.26359921419703</v>
      </c>
      <c r="AC19">
        <f t="shared" si="10"/>
        <v>609.69553096617187</v>
      </c>
      <c r="AD19" s="3">
        <v>0.2</v>
      </c>
      <c r="AE19">
        <f t="shared" si="2"/>
        <v>121.93910619323438</v>
      </c>
      <c r="AF19">
        <f t="shared" si="3"/>
        <v>1</v>
      </c>
    </row>
    <row r="20" spans="1:32" ht="13.95" x14ac:dyDescent="0.25">
      <c r="A20" s="2">
        <v>19</v>
      </c>
      <c r="B20">
        <f t="shared" si="4"/>
        <v>3.9960194991849303</v>
      </c>
      <c r="C20" s="3">
        <v>0.08</v>
      </c>
      <c r="D20">
        <f t="shared" si="5"/>
        <v>28.211897664245598</v>
      </c>
      <c r="Q20">
        <f t="shared" si="9"/>
        <v>28.21189766424563</v>
      </c>
      <c r="R20">
        <f t="shared" si="6"/>
        <v>55.196456239134143</v>
      </c>
      <c r="S20">
        <f t="shared" si="7"/>
        <v>157.54940614539984</v>
      </c>
      <c r="T20" s="3">
        <v>0.08</v>
      </c>
      <c r="V20">
        <f>SUM($R$2:R20)</f>
        <v>715.27475294108262</v>
      </c>
      <c r="W20">
        <f t="shared" si="8"/>
        <v>1.5081911882534531</v>
      </c>
      <c r="Z20">
        <f t="shared" si="11"/>
        <v>3.0102303245898177</v>
      </c>
      <c r="AA20" s="3">
        <v>0.3</v>
      </c>
      <c r="AB20">
        <f t="shared" si="1"/>
        <v>525.16468715133283</v>
      </c>
      <c r="AC20">
        <f t="shared" si="10"/>
        <v>646.27726282414221</v>
      </c>
      <c r="AD20" s="3">
        <v>0.2</v>
      </c>
      <c r="AE20">
        <f t="shared" si="2"/>
        <v>129.25545256482846</v>
      </c>
      <c r="AF20">
        <f t="shared" si="3"/>
        <v>1</v>
      </c>
    </row>
    <row r="21" spans="1:32" ht="13.95" x14ac:dyDescent="0.25">
      <c r="A21" s="2">
        <v>20</v>
      </c>
      <c r="B21">
        <f t="shared" si="4"/>
        <v>4.3157010591197249</v>
      </c>
      <c r="C21" s="3">
        <v>0.08</v>
      </c>
      <c r="D21">
        <f t="shared" si="5"/>
        <v>30.468849477385245</v>
      </c>
      <c r="Q21">
        <f t="shared" si="9"/>
        <v>30.46884947738528</v>
      </c>
      <c r="R21">
        <f t="shared" si="6"/>
        <v>56.237898809683834</v>
      </c>
      <c r="S21">
        <f t="shared" si="7"/>
        <v>170.15335863703183</v>
      </c>
      <c r="T21" s="3">
        <v>0.08</v>
      </c>
      <c r="V21">
        <f>SUM($R$2:R21)</f>
        <v>771.51265175076651</v>
      </c>
      <c r="W21" s="10">
        <f t="shared" si="8"/>
        <v>1.626771500338984</v>
      </c>
      <c r="Z21">
        <f t="shared" si="11"/>
        <v>2.7872503005461273</v>
      </c>
      <c r="AA21" s="3">
        <v>0.3</v>
      </c>
      <c r="AB21">
        <f t="shared" si="1"/>
        <v>567.17786212343947</v>
      </c>
      <c r="AC21">
        <f t="shared" si="10"/>
        <v>685.05389859359082</v>
      </c>
      <c r="AD21" s="3">
        <v>0.2</v>
      </c>
      <c r="AE21">
        <f t="shared" si="2"/>
        <v>137.01077971871817</v>
      </c>
      <c r="AF21">
        <f t="shared" si="3"/>
        <v>1</v>
      </c>
    </row>
    <row r="22" spans="1:32" ht="13.95" x14ac:dyDescent="0.25">
      <c r="A22" s="2">
        <v>21</v>
      </c>
      <c r="B22">
        <f t="shared" si="4"/>
        <v>4.6609571438493029</v>
      </c>
      <c r="C22" s="3">
        <v>0.08</v>
      </c>
      <c r="D22">
        <f t="shared" si="5"/>
        <v>32.906357435576062</v>
      </c>
      <c r="Q22">
        <f t="shared" si="9"/>
        <v>32.906357435576105</v>
      </c>
      <c r="R22">
        <f t="shared" si="6"/>
        <v>57.298991240055237</v>
      </c>
      <c r="S22">
        <f t="shared" si="7"/>
        <v>183.76562732799439</v>
      </c>
      <c r="T22" s="3">
        <v>0.08</v>
      </c>
      <c r="V22">
        <f>SUM($R$2:R22)</f>
        <v>828.81164299082172</v>
      </c>
      <c r="W22">
        <f t="shared" si="8"/>
        <v>1.747589176803487</v>
      </c>
      <c r="Z22">
        <f t="shared" si="11"/>
        <v>2.5807873153204883</v>
      </c>
      <c r="AA22" s="3">
        <v>0.3</v>
      </c>
      <c r="AB22">
        <f t="shared" si="1"/>
        <v>612.55209109331463</v>
      </c>
      <c r="AC22">
        <f t="shared" si="10"/>
        <v>726.15713250920635</v>
      </c>
      <c r="AD22" s="3">
        <v>0.2</v>
      </c>
      <c r="AE22">
        <f t="shared" si="2"/>
        <v>145.23142650184127</v>
      </c>
      <c r="AF22">
        <f t="shared" si="3"/>
        <v>1</v>
      </c>
    </row>
    <row r="23" spans="1:32" ht="13.95" x14ac:dyDescent="0.25">
      <c r="A23" s="2">
        <v>22</v>
      </c>
      <c r="B23">
        <f t="shared" si="4"/>
        <v>5.0338337153572468</v>
      </c>
      <c r="C23" s="3">
        <v>0.08</v>
      </c>
      <c r="D23">
        <f t="shared" si="5"/>
        <v>35.538866030422149</v>
      </c>
      <c r="Q23">
        <f t="shared" si="9"/>
        <v>35.538866030422191</v>
      </c>
      <c r="R23">
        <f t="shared" si="6"/>
        <v>58.380104282320424</v>
      </c>
      <c r="S23">
        <f t="shared" si="7"/>
        <v>198.46687751423397</v>
      </c>
      <c r="T23" s="3">
        <v>0.08</v>
      </c>
      <c r="V23">
        <f>SUM($R$2:R23)</f>
        <v>887.19174727314214</v>
      </c>
      <c r="W23">
        <f t="shared" si="8"/>
        <v>1.8706864320692072</v>
      </c>
      <c r="Z23">
        <f t="shared" si="11"/>
        <v>2.3896178845560074</v>
      </c>
      <c r="AA23" s="3">
        <v>0.3</v>
      </c>
      <c r="AB23">
        <f t="shared" si="1"/>
        <v>661.55625838077992</v>
      </c>
      <c r="AC23">
        <f t="shared" si="10"/>
        <v>769.72656045975873</v>
      </c>
      <c r="AD23" s="3">
        <v>0.2</v>
      </c>
      <c r="AE23">
        <f t="shared" si="2"/>
        <v>153.94531209195176</v>
      </c>
      <c r="AF23">
        <f t="shared" si="3"/>
        <v>1</v>
      </c>
    </row>
    <row r="24" spans="1:32" ht="13.95" x14ac:dyDescent="0.25">
      <c r="A24" s="2">
        <v>23</v>
      </c>
      <c r="B24">
        <f t="shared" si="4"/>
        <v>5.4365404125858268</v>
      </c>
      <c r="C24" s="3">
        <v>0.08</v>
      </c>
      <c r="D24">
        <f t="shared" si="5"/>
        <v>38.381975312855921</v>
      </c>
      <c r="Q24">
        <f t="shared" si="9"/>
        <v>38.381975312855971</v>
      </c>
      <c r="R24">
        <f t="shared" si="6"/>
        <v>59.481615683873642</v>
      </c>
      <c r="S24">
        <f t="shared" si="7"/>
        <v>214.34422771537271</v>
      </c>
      <c r="T24" s="3">
        <v>0.08</v>
      </c>
      <c r="V24">
        <f>SUM($R$2:R24)</f>
        <v>946.6733629570158</v>
      </c>
      <c r="W24">
        <f t="shared" si="8"/>
        <v>1.996106277056922</v>
      </c>
      <c r="Z24">
        <f t="shared" si="11"/>
        <v>2.2126091523666731</v>
      </c>
      <c r="AA24" s="3">
        <v>0.3</v>
      </c>
      <c r="AB24">
        <f t="shared" si="1"/>
        <v>714.48075905124244</v>
      </c>
      <c r="AC24">
        <f t="shared" si="10"/>
        <v>815.91015408734427</v>
      </c>
      <c r="AD24" s="3">
        <v>0.2</v>
      </c>
      <c r="AE24">
        <f t="shared" si="2"/>
        <v>163.18203081746887</v>
      </c>
      <c r="AF24">
        <f t="shared" si="3"/>
        <v>1</v>
      </c>
    </row>
    <row r="25" spans="1:32" ht="13.95" x14ac:dyDescent="0.25">
      <c r="A25" s="2">
        <v>24</v>
      </c>
      <c r="B25">
        <f t="shared" si="4"/>
        <v>5.8714636455926925</v>
      </c>
      <c r="C25" s="3">
        <v>0.08</v>
      </c>
      <c r="D25">
        <f t="shared" si="5"/>
        <v>41.452533337884397</v>
      </c>
      <c r="Q25">
        <f t="shared" si="9"/>
        <v>41.452533337884454</v>
      </c>
      <c r="R25">
        <f t="shared" si="6"/>
        <v>60.603910319418425</v>
      </c>
      <c r="S25">
        <f t="shared" si="7"/>
        <v>231.49176593260253</v>
      </c>
      <c r="T25" s="3">
        <v>0.08</v>
      </c>
      <c r="V25">
        <f>SUM($R$2:R25)</f>
        <v>1007.2772732764342</v>
      </c>
      <c r="W25">
        <f t="shared" si="8"/>
        <v>2.1238925342142165</v>
      </c>
      <c r="Z25">
        <f t="shared" si="11"/>
        <v>2.0487121781172899</v>
      </c>
      <c r="AA25" s="3">
        <v>0.3</v>
      </c>
      <c r="AB25">
        <f t="shared" si="1"/>
        <v>771.63921977534176</v>
      </c>
      <c r="AC25">
        <f t="shared" si="10"/>
        <v>864.86476333258497</v>
      </c>
      <c r="AD25" s="3">
        <v>0.2</v>
      </c>
      <c r="AE25">
        <f t="shared" si="2"/>
        <v>172.97295266651702</v>
      </c>
      <c r="AF25">
        <f t="shared" si="3"/>
        <v>1</v>
      </c>
    </row>
    <row r="26" spans="1:32" ht="13.95" x14ac:dyDescent="0.25">
      <c r="A26" s="2">
        <v>25</v>
      </c>
      <c r="B26">
        <f t="shared" si="4"/>
        <v>6.3411807372401077</v>
      </c>
      <c r="C26" s="3">
        <v>0.08</v>
      </c>
      <c r="D26">
        <f t="shared" si="5"/>
        <v>44.768736004915148</v>
      </c>
      <c r="Q26">
        <f t="shared" si="9"/>
        <v>44.768736004915205</v>
      </c>
      <c r="R26">
        <f t="shared" si="6"/>
        <v>61.747380325445199</v>
      </c>
      <c r="S26">
        <f t="shared" si="7"/>
        <v>250.01110720721076</v>
      </c>
      <c r="T26" s="3">
        <v>0.08</v>
      </c>
      <c r="V26">
        <f>SUM($R$2:R26)</f>
        <v>1069.0246536018794</v>
      </c>
      <c r="W26">
        <f t="shared" si="8"/>
        <v>2.2540898528273088</v>
      </c>
      <c r="Z26">
        <f t="shared" si="11"/>
        <v>1.896955720478972</v>
      </c>
      <c r="AA26" s="3">
        <v>0.3</v>
      </c>
      <c r="AB26">
        <f t="shared" si="1"/>
        <v>833.37035735736924</v>
      </c>
      <c r="AC26">
        <f t="shared" si="10"/>
        <v>916.75664913254013</v>
      </c>
      <c r="AD26" s="3">
        <v>0.2</v>
      </c>
      <c r="AE26">
        <f t="shared" si="2"/>
        <v>183.35132982650805</v>
      </c>
      <c r="AF26">
        <f t="shared" si="3"/>
        <v>1</v>
      </c>
    </row>
    <row r="27" spans="1:32" ht="13.95" x14ac:dyDescent="0.25">
      <c r="A27" s="2">
        <v>26</v>
      </c>
      <c r="B27">
        <f t="shared" si="4"/>
        <v>6.848475196219316</v>
      </c>
      <c r="C27" s="3">
        <v>0.08</v>
      </c>
      <c r="D27">
        <f t="shared" si="5"/>
        <v>48.35023488530836</v>
      </c>
      <c r="Q27">
        <f t="shared" si="9"/>
        <v>48.350234885308431</v>
      </c>
      <c r="R27">
        <f t="shared" si="6"/>
        <v>62.912425237246062</v>
      </c>
      <c r="S27">
        <f t="shared" si="7"/>
        <v>270.01199578378765</v>
      </c>
      <c r="T27" s="3">
        <v>0.08</v>
      </c>
      <c r="V27">
        <f>SUM($R$2:R27)</f>
        <v>1131.9370788391254</v>
      </c>
      <c r="W27">
        <f t="shared" si="8"/>
        <v>2.38674372462178</v>
      </c>
      <c r="Z27">
        <f t="shared" si="11"/>
        <v>1.7564404819249739</v>
      </c>
      <c r="AA27" s="3">
        <v>0.3</v>
      </c>
      <c r="AB27">
        <f t="shared" si="1"/>
        <v>900.03998594595885</v>
      </c>
      <c r="AC27">
        <f t="shared" si="10"/>
        <v>971.7620480804926</v>
      </c>
      <c r="AD27" s="3">
        <v>0.2</v>
      </c>
      <c r="AE27">
        <f t="shared" si="2"/>
        <v>194.35240961609853</v>
      </c>
      <c r="AF27">
        <f t="shared" si="3"/>
        <v>1</v>
      </c>
    </row>
    <row r="28" spans="1:32" ht="13.95" x14ac:dyDescent="0.25">
      <c r="A28" s="2">
        <v>27</v>
      </c>
      <c r="B28">
        <f t="shared" si="4"/>
        <v>7.3963532119168613</v>
      </c>
      <c r="C28" s="3">
        <v>0.08</v>
      </c>
      <c r="D28">
        <f t="shared" si="5"/>
        <v>52.218253676133031</v>
      </c>
      <c r="Q28">
        <f t="shared" si="9"/>
        <v>52.218253676133102</v>
      </c>
      <c r="R28">
        <f t="shared" si="6"/>
        <v>64.099452128514855</v>
      </c>
      <c r="S28">
        <f t="shared" si="7"/>
        <v>291.61295544649067</v>
      </c>
      <c r="T28" s="3">
        <v>0.08</v>
      </c>
      <c r="V28">
        <f>SUM($R$2:R28)</f>
        <v>1196.0365309676404</v>
      </c>
      <c r="W28">
        <f t="shared" si="8"/>
        <v>2.5219004996576571</v>
      </c>
      <c r="Z28">
        <f t="shared" si="11"/>
        <v>1.6263337795601609</v>
      </c>
      <c r="AA28" s="3">
        <v>0.3</v>
      </c>
      <c r="AB28">
        <f t="shared" si="1"/>
        <v>972.04318482163558</v>
      </c>
      <c r="AC28">
        <f t="shared" si="10"/>
        <v>1030.0677709653223</v>
      </c>
      <c r="AD28" s="3">
        <v>0.2</v>
      </c>
      <c r="AE28">
        <f t="shared" si="2"/>
        <v>206.01355419306446</v>
      </c>
      <c r="AF28">
        <f t="shared" si="3"/>
        <v>1</v>
      </c>
    </row>
    <row r="29" spans="1:32" ht="13.95" x14ac:dyDescent="0.25">
      <c r="A29" s="2">
        <v>28</v>
      </c>
      <c r="B29">
        <f t="shared" si="4"/>
        <v>7.9880614688702103</v>
      </c>
      <c r="C29" s="3">
        <v>0.08</v>
      </c>
      <c r="D29">
        <f t="shared" si="5"/>
        <v>56.395713970223674</v>
      </c>
      <c r="Q29">
        <f t="shared" si="9"/>
        <v>56.395713970223753</v>
      </c>
      <c r="R29">
        <f t="shared" si="6"/>
        <v>65.308875753581162</v>
      </c>
      <c r="S29">
        <f t="shared" si="7"/>
        <v>314.94199188220995</v>
      </c>
      <c r="T29" s="3">
        <v>0.08</v>
      </c>
      <c r="V29">
        <f>SUM($R$2:R29)</f>
        <v>1261.3454067212215</v>
      </c>
      <c r="W29">
        <f t="shared" si="8"/>
        <v>2.659607402524399</v>
      </c>
      <c r="Z29">
        <f t="shared" si="11"/>
        <v>1.5058646107038527</v>
      </c>
      <c r="AA29" s="3">
        <v>0.3</v>
      </c>
      <c r="AB29">
        <f t="shared" si="1"/>
        <v>1049.8066396073666</v>
      </c>
      <c r="AC29">
        <f t="shared" si="10"/>
        <v>1091.8718372232418</v>
      </c>
      <c r="AD29" s="3">
        <v>0.2</v>
      </c>
      <c r="AE29">
        <f t="shared" si="2"/>
        <v>218.37436744464836</v>
      </c>
      <c r="AF29">
        <f t="shared" si="3"/>
        <v>1</v>
      </c>
    </row>
    <row r="30" spans="1:32" ht="13.95" x14ac:dyDescent="0.25">
      <c r="A30" s="2">
        <v>29</v>
      </c>
      <c r="B30">
        <f t="shared" si="4"/>
        <v>8.6271063863798272</v>
      </c>
      <c r="C30" s="3">
        <v>0.08</v>
      </c>
      <c r="D30">
        <f t="shared" si="5"/>
        <v>60.907371087841568</v>
      </c>
      <c r="Q30">
        <f t="shared" si="9"/>
        <v>60.907371087841653</v>
      </c>
      <c r="R30">
        <f t="shared" si="6"/>
        <v>66.541118692327984</v>
      </c>
      <c r="S30">
        <f t="shared" si="7"/>
        <v>340.13735123278678</v>
      </c>
      <c r="T30" s="3">
        <v>0.08</v>
      </c>
      <c r="V30">
        <f>SUM($R$2:R30)</f>
        <v>1327.8865254135494</v>
      </c>
      <c r="W30">
        <f t="shared" si="8"/>
        <v>2.7999125488414571</v>
      </c>
      <c r="Z30">
        <f t="shared" si="11"/>
        <v>1.3943190839850486</v>
      </c>
      <c r="AA30" s="3">
        <v>0.3</v>
      </c>
      <c r="AB30">
        <f t="shared" si="1"/>
        <v>1133.7911707759561</v>
      </c>
      <c r="AC30">
        <f t="shared" si="10"/>
        <v>1157.3841474566364</v>
      </c>
      <c r="AD30" s="3">
        <v>0.2</v>
      </c>
      <c r="AE30">
        <f t="shared" si="2"/>
        <v>231.47682949132729</v>
      </c>
      <c r="AF30">
        <f t="shared" si="3"/>
        <v>1</v>
      </c>
    </row>
    <row r="31" spans="1:32" x14ac:dyDescent="0.25">
      <c r="A31" s="2">
        <v>30</v>
      </c>
      <c r="B31">
        <f t="shared" si="4"/>
        <v>9.3172748972902131</v>
      </c>
      <c r="C31" s="3">
        <v>0.08</v>
      </c>
      <c r="D31">
        <f t="shared" si="5"/>
        <v>65.779960774868897</v>
      </c>
      <c r="Q31">
        <f t="shared" si="9"/>
        <v>65.779960774868982</v>
      </c>
      <c r="R31">
        <f t="shared" si="6"/>
        <v>67.796611497843614</v>
      </c>
      <c r="S31">
        <f t="shared" si="7"/>
        <v>367.34833933140976</v>
      </c>
      <c r="T31" s="3">
        <v>0.08</v>
      </c>
      <c r="V31">
        <f>SUM($R$2:R31)</f>
        <v>1395.6831369113929</v>
      </c>
      <c r="W31">
        <f t="shared" si="8"/>
        <v>2.9428649620701575</v>
      </c>
      <c r="Z31">
        <f t="shared" si="11"/>
        <v>1.2910361888750448</v>
      </c>
      <c r="AA31" s="3">
        <v>0.3</v>
      </c>
      <c r="AB31">
        <f t="shared" si="1"/>
        <v>1224.4944644380325</v>
      </c>
      <c r="AC31">
        <f t="shared" si="10"/>
        <v>1226.8271963040345</v>
      </c>
      <c r="AD31" s="3">
        <v>0.2</v>
      </c>
      <c r="AE31">
        <f t="shared" si="2"/>
        <v>245.36543926080691</v>
      </c>
      <c r="AF31">
        <f t="shared" si="3"/>
        <v>1</v>
      </c>
    </row>
    <row r="32" spans="1:32" x14ac:dyDescent="0.25">
      <c r="A32" s="2">
        <v>31</v>
      </c>
      <c r="B32">
        <f t="shared" si="4"/>
        <v>10.06265688907343</v>
      </c>
      <c r="C32" s="3">
        <v>0.08</v>
      </c>
      <c r="D32">
        <f t="shared" si="5"/>
        <v>71.042357636858412</v>
      </c>
      <c r="Q32">
        <f t="shared" si="9"/>
        <v>71.042357636858512</v>
      </c>
      <c r="R32">
        <f t="shared" si="6"/>
        <v>69.075792846859528</v>
      </c>
      <c r="S32">
        <f t="shared" si="7"/>
        <v>396.73620647792256</v>
      </c>
      <c r="T32" s="3">
        <v>0.08</v>
      </c>
      <c r="V32">
        <f>SUM($R$2:R32)</f>
        <v>1464.7589297582524</v>
      </c>
      <c r="W32">
        <f t="shared" si="8"/>
        <v>3.088514590642796</v>
      </c>
      <c r="Z32">
        <f t="shared" si="11"/>
        <v>1.1954038785880043</v>
      </c>
      <c r="AA32" s="3">
        <v>0.3</v>
      </c>
      <c r="AB32">
        <f t="shared" si="1"/>
        <v>1322.4540215930754</v>
      </c>
      <c r="AC32">
        <f t="shared" si="10"/>
        <v>1300.4368280822766</v>
      </c>
      <c r="AD32" s="3">
        <v>0.2</v>
      </c>
      <c r="AE32">
        <f t="shared" si="2"/>
        <v>260.08736561645532</v>
      </c>
      <c r="AF32">
        <f t="shared" si="3"/>
        <v>1</v>
      </c>
    </row>
    <row r="33" spans="1:32" x14ac:dyDescent="0.25">
      <c r="A33" s="2">
        <v>32</v>
      </c>
      <c r="B33">
        <f t="shared" si="4"/>
        <v>10.867669440199306</v>
      </c>
      <c r="C33" s="3">
        <v>0.08</v>
      </c>
      <c r="D33">
        <f t="shared" si="5"/>
        <v>76.725746247807081</v>
      </c>
      <c r="Q33">
        <f t="shared" si="9"/>
        <v>76.725746247807209</v>
      </c>
      <c r="R33">
        <f t="shared" si="6"/>
        <v>70.379109693026678</v>
      </c>
      <c r="S33">
        <f t="shared" si="7"/>
        <v>428.47510299615641</v>
      </c>
      <c r="T33" s="3">
        <v>0.08</v>
      </c>
      <c r="V33">
        <f>SUM($R$2:R33)</f>
        <v>1535.1380394512792</v>
      </c>
      <c r="W33">
        <f t="shared" si="8"/>
        <v>3.2369123254149184</v>
      </c>
      <c r="Z33">
        <f t="shared" si="11"/>
        <v>1.106855443137041</v>
      </c>
      <c r="AA33" s="3">
        <v>0.3</v>
      </c>
      <c r="AB33">
        <f t="shared" si="1"/>
        <v>1428.2503433205213</v>
      </c>
      <c r="AC33">
        <f t="shared" si="10"/>
        <v>1378.4630377672133</v>
      </c>
      <c r="AD33" s="3">
        <v>0.2</v>
      </c>
      <c r="AE33">
        <f t="shared" si="2"/>
        <v>275.69260755344266</v>
      </c>
      <c r="AF33">
        <f t="shared" si="3"/>
        <v>1</v>
      </c>
    </row>
    <row r="34" spans="1:32" x14ac:dyDescent="0.25">
      <c r="A34" s="2">
        <v>33</v>
      </c>
      <c r="B34">
        <f t="shared" si="4"/>
        <v>11.73708299541525</v>
      </c>
      <c r="C34" s="3">
        <v>0.08</v>
      </c>
      <c r="D34">
        <f t="shared" si="5"/>
        <v>82.863805947631647</v>
      </c>
      <c r="Q34">
        <f t="shared" si="9"/>
        <v>82.863805947631789</v>
      </c>
      <c r="R34">
        <f t="shared" si="6"/>
        <v>71.707017423083812</v>
      </c>
      <c r="S34">
        <f t="shared" si="7"/>
        <v>462.75311123584896</v>
      </c>
      <c r="T34" s="3">
        <v>0.08</v>
      </c>
      <c r="V34">
        <f>SUM($R$2:R34)</f>
        <v>1606.8450568743629</v>
      </c>
      <c r="W34">
        <f t="shared" si="8"/>
        <v>3.3881100174468917</v>
      </c>
      <c r="Z34">
        <f t="shared" si="11"/>
        <v>1.0248661510528156</v>
      </c>
      <c r="AA34" s="3">
        <v>0.3</v>
      </c>
      <c r="AB34">
        <f t="shared" si="1"/>
        <v>1542.5103707861633</v>
      </c>
      <c r="AC34">
        <f t="shared" si="10"/>
        <v>1461.1708200332462</v>
      </c>
      <c r="AD34" s="3">
        <v>0.2</v>
      </c>
      <c r="AE34">
        <f t="shared" si="2"/>
        <v>292.23416400664922</v>
      </c>
      <c r="AF34">
        <f t="shared" si="3"/>
        <v>1</v>
      </c>
    </row>
    <row r="35" spans="1:32" x14ac:dyDescent="0.25">
      <c r="A35" s="2">
        <v>34</v>
      </c>
      <c r="B35">
        <f t="shared" si="4"/>
        <v>12.67604963504847</v>
      </c>
      <c r="C35" s="3">
        <v>0.08</v>
      </c>
      <c r="D35">
        <f t="shared" si="5"/>
        <v>89.492910423442183</v>
      </c>
      <c r="Q35">
        <f t="shared" si="9"/>
        <v>89.492910423442325</v>
      </c>
      <c r="R35">
        <f t="shared" si="6"/>
        <v>73.059980015972187</v>
      </c>
      <c r="S35">
        <f t="shared" si="7"/>
        <v>499.77336013471694</v>
      </c>
      <c r="T35" s="3">
        <v>0.08</v>
      </c>
      <c r="V35">
        <f>SUM($R$2:R35)</f>
        <v>1679.9050368903349</v>
      </c>
      <c r="W35">
        <f t="shared" si="8"/>
        <v>3.5421604961209781</v>
      </c>
      <c r="Z35">
        <f t="shared" si="11"/>
        <v>0.94895013986371812</v>
      </c>
      <c r="AA35" s="3">
        <v>0.3</v>
      </c>
      <c r="AB35">
        <f t="shared" si="1"/>
        <v>1665.9112004490564</v>
      </c>
      <c r="AC35">
        <f t="shared" si="10"/>
        <v>1548.8410692352411</v>
      </c>
      <c r="AD35" s="3">
        <v>0.2</v>
      </c>
      <c r="AE35">
        <f t="shared" si="2"/>
        <v>309.76821384704823</v>
      </c>
      <c r="AF35">
        <f t="shared" si="3"/>
        <v>1</v>
      </c>
    </row>
    <row r="36" spans="1:32" x14ac:dyDescent="0.25">
      <c r="A36" s="2">
        <v>35</v>
      </c>
      <c r="B36">
        <f t="shared" si="4"/>
        <v>13.690133605852347</v>
      </c>
      <c r="C36" s="3">
        <v>0.08</v>
      </c>
      <c r="D36">
        <f t="shared" si="5"/>
        <v>96.652343257317554</v>
      </c>
      <c r="Q36">
        <f t="shared" si="9"/>
        <v>96.65234325731771</v>
      </c>
      <c r="R36">
        <f t="shared" si="6"/>
        <v>74.438470204952793</v>
      </c>
      <c r="S36">
        <f t="shared" si="7"/>
        <v>539.75522894549431</v>
      </c>
      <c r="T36" s="3">
        <v>0.08</v>
      </c>
      <c r="V36">
        <f>SUM($R$2:R36)</f>
        <v>1754.3435070952878</v>
      </c>
      <c r="W36">
        <f t="shared" si="8"/>
        <v>3.6991175876002358</v>
      </c>
      <c r="Z36">
        <f t="shared" si="11"/>
        <v>0.87865753691085002</v>
      </c>
      <c r="AA36" s="3">
        <v>0.3</v>
      </c>
      <c r="AB36">
        <f t="shared" si="1"/>
        <v>1799.1840964849812</v>
      </c>
      <c r="AC36">
        <f t="shared" si="10"/>
        <v>1641.7715333893557</v>
      </c>
      <c r="AD36" s="3">
        <v>0.2</v>
      </c>
      <c r="AE36">
        <f t="shared" si="2"/>
        <v>328.35430667787114</v>
      </c>
      <c r="AF36">
        <f t="shared" si="3"/>
        <v>1</v>
      </c>
    </row>
    <row r="37" spans="1:32" x14ac:dyDescent="0.25">
      <c r="A37" s="2">
        <v>36</v>
      </c>
      <c r="B37">
        <f t="shared" si="4"/>
        <v>14.785344294320534</v>
      </c>
      <c r="C37" s="3">
        <v>0.08</v>
      </c>
      <c r="D37">
        <f t="shared" si="5"/>
        <v>104.38453071790296</v>
      </c>
      <c r="Q37">
        <f t="shared" si="9"/>
        <v>104.38453071790315</v>
      </c>
      <c r="R37">
        <f t="shared" si="6"/>
        <v>75.84296964278208</v>
      </c>
      <c r="S37">
        <f t="shared" si="7"/>
        <v>582.93564726113391</v>
      </c>
      <c r="T37" s="3">
        <v>0.08</v>
      </c>
      <c r="V37">
        <f>SUM($R$2:R37)</f>
        <v>1830.1864767380698</v>
      </c>
      <c r="W37">
        <f t="shared" si="8"/>
        <v>3.8590361336357057</v>
      </c>
      <c r="Z37">
        <f t="shared" si="11"/>
        <v>0.81357179343597219</v>
      </c>
      <c r="AA37" s="3">
        <v>0.3</v>
      </c>
      <c r="AB37">
        <f t="shared" si="1"/>
        <v>1943.1188242037797</v>
      </c>
      <c r="AC37">
        <f t="shared" si="10"/>
        <v>1740.2778253927172</v>
      </c>
      <c r="AD37" s="3">
        <v>0.2</v>
      </c>
      <c r="AE37">
        <f t="shared" si="2"/>
        <v>348.05556507854345</v>
      </c>
      <c r="AF37">
        <f t="shared" si="3"/>
        <v>1</v>
      </c>
    </row>
    <row r="38" spans="1:32" x14ac:dyDescent="0.25">
      <c r="A38" s="2">
        <v>37</v>
      </c>
      <c r="B38">
        <f t="shared" si="4"/>
        <v>15.968171837866176</v>
      </c>
      <c r="C38" s="3">
        <v>0.08</v>
      </c>
      <c r="D38">
        <f t="shared" si="5"/>
        <v>112.7352931753352</v>
      </c>
      <c r="Q38">
        <f t="shared" si="9"/>
        <v>112.73529317533541</v>
      </c>
      <c r="R38">
        <f t="shared" si="6"/>
        <v>77.273969070004384</v>
      </c>
      <c r="S38">
        <f t="shared" si="7"/>
        <v>629.57049904202461</v>
      </c>
      <c r="T38" s="3">
        <v>0.08</v>
      </c>
      <c r="V38">
        <f>SUM($R$2:R38)</f>
        <v>1907.4604458080742</v>
      </c>
      <c r="W38" s="11">
        <f t="shared" si="8"/>
        <v>4.0219720107284491</v>
      </c>
      <c r="Z38">
        <f t="shared" si="11"/>
        <v>0.75330721614441876</v>
      </c>
      <c r="AA38" s="3">
        <v>0.3</v>
      </c>
      <c r="AB38">
        <f t="shared" si="1"/>
        <v>2098.5683301400823</v>
      </c>
      <c r="AC38">
        <f t="shared" si="10"/>
        <v>1844.6944949162803</v>
      </c>
      <c r="AD38" s="3">
        <v>0.2</v>
      </c>
      <c r="AE38">
        <f t="shared" si="2"/>
        <v>368.93889898325608</v>
      </c>
      <c r="AF38">
        <f t="shared" si="3"/>
        <v>1</v>
      </c>
    </row>
    <row r="39" spans="1:32" x14ac:dyDescent="0.25">
      <c r="A39" s="2">
        <v>38</v>
      </c>
      <c r="B39">
        <f t="shared" si="4"/>
        <v>17.245625584895471</v>
      </c>
      <c r="C39" s="3">
        <v>0.08</v>
      </c>
      <c r="D39">
        <f t="shared" si="5"/>
        <v>121.75411662936202</v>
      </c>
      <c r="Q39">
        <f t="shared" si="9"/>
        <v>121.75411662936224</v>
      </c>
      <c r="R39">
        <f t="shared" si="6"/>
        <v>78.731968486419561</v>
      </c>
      <c r="S39">
        <f t="shared" si="7"/>
        <v>679.93613896538659</v>
      </c>
      <c r="T39" s="3">
        <v>0.08</v>
      </c>
      <c r="V39">
        <f>SUM($R$2:R39)</f>
        <v>1986.1924142944938</v>
      </c>
      <c r="W39">
        <f t="shared" si="8"/>
        <v>4.1879821496531306</v>
      </c>
      <c r="Z39">
        <f t="shared" si="11"/>
        <v>0.69750668161520246</v>
      </c>
      <c r="AA39" s="3">
        <v>0.3</v>
      </c>
      <c r="AB39">
        <f t="shared" si="1"/>
        <v>2266.4537965512886</v>
      </c>
      <c r="AC39">
        <f t="shared" si="10"/>
        <v>1955.3761646112573</v>
      </c>
      <c r="AD39" s="3">
        <v>0.2</v>
      </c>
      <c r="AE39">
        <f t="shared" si="2"/>
        <v>391.07523292225147</v>
      </c>
      <c r="AF39">
        <f t="shared" si="3"/>
        <v>1</v>
      </c>
    </row>
    <row r="40" spans="1:32" x14ac:dyDescent="0.25">
      <c r="A40" s="2">
        <v>39</v>
      </c>
      <c r="B40">
        <f t="shared" si="4"/>
        <v>18.62527563168711</v>
      </c>
      <c r="C40" s="3">
        <v>0.08</v>
      </c>
      <c r="D40">
        <f t="shared" si="5"/>
        <v>131.49444595971099</v>
      </c>
      <c r="Q40">
        <f t="shared" si="9"/>
        <v>131.49444595971124</v>
      </c>
      <c r="R40">
        <f t="shared" si="6"/>
        <v>80.21747732578595</v>
      </c>
      <c r="S40">
        <f t="shared" si="7"/>
        <v>734.33103008261753</v>
      </c>
      <c r="T40" s="3">
        <v>0.08</v>
      </c>
      <c r="V40">
        <f>SUM($R$2:R40)</f>
        <v>2066.4098916202797</v>
      </c>
      <c r="W40">
        <f t="shared" si="8"/>
        <v>4.3571245553499764</v>
      </c>
      <c r="Z40">
        <f t="shared" si="11"/>
        <v>0.64583952001407641</v>
      </c>
      <c r="AA40" s="3">
        <v>0.3</v>
      </c>
      <c r="AB40">
        <f t="shared" si="1"/>
        <v>2447.770100275392</v>
      </c>
      <c r="AC40">
        <f t="shared" si="10"/>
        <v>2072.6987344879331</v>
      </c>
      <c r="AD40" s="3">
        <v>0.2</v>
      </c>
      <c r="AE40">
        <f t="shared" si="2"/>
        <v>414.53974689758661</v>
      </c>
      <c r="AF40">
        <f t="shared" si="3"/>
        <v>1</v>
      </c>
    </row>
    <row r="41" spans="1:32" x14ac:dyDescent="0.25">
      <c r="A41" s="2">
        <v>40</v>
      </c>
      <c r="B41">
        <f t="shared" si="4"/>
        <v>20.115297682222078</v>
      </c>
      <c r="C41" s="3">
        <v>0.08</v>
      </c>
      <c r="D41">
        <f t="shared" si="5"/>
        <v>142.01400163648788</v>
      </c>
      <c r="Q41">
        <f t="shared" si="9"/>
        <v>142.01400163648813</v>
      </c>
      <c r="R41">
        <f t="shared" si="6"/>
        <v>81.73101463381964</v>
      </c>
      <c r="S41">
        <f t="shared" si="7"/>
        <v>793.07751248922693</v>
      </c>
      <c r="T41" s="3">
        <v>0.08</v>
      </c>
      <c r="V41">
        <f>SUM($R$2:R41)</f>
        <v>2148.1409062540993</v>
      </c>
      <c r="W41">
        <f t="shared" si="8"/>
        <v>4.529458327192045</v>
      </c>
      <c r="Z41">
        <f t="shared" si="11"/>
        <v>0.59799955556858919</v>
      </c>
      <c r="AA41" s="3">
        <v>0.3</v>
      </c>
      <c r="AB41">
        <f t="shared" si="1"/>
        <v>2643.5917082974233</v>
      </c>
      <c r="AC41">
        <f t="shared" si="10"/>
        <v>2197.0606585572091</v>
      </c>
      <c r="AD41" s="3">
        <v>0.2</v>
      </c>
      <c r="AE41">
        <f t="shared" si="2"/>
        <v>439.41213171144182</v>
      </c>
      <c r="AF41">
        <f t="shared" si="3"/>
        <v>1</v>
      </c>
    </row>
    <row r="42" spans="1:32" x14ac:dyDescent="0.25">
      <c r="A42" s="2">
        <v>41</v>
      </c>
      <c r="B42">
        <f t="shared" si="4"/>
        <v>21.724521496799845</v>
      </c>
      <c r="C42" s="3">
        <v>0.08</v>
      </c>
      <c r="D42">
        <f t="shared" si="5"/>
        <v>153.37512176740691</v>
      </c>
      <c r="Q42">
        <f t="shared" si="9"/>
        <v>153.37512176740719</v>
      </c>
      <c r="R42">
        <f t="shared" si="6"/>
        <v>83.273109249552107</v>
      </c>
      <c r="S42">
        <f t="shared" si="7"/>
        <v>856.52371348836516</v>
      </c>
      <c r="T42" s="3">
        <v>0.08</v>
      </c>
      <c r="V42" s="1">
        <f>SUM($R$2:R42)</f>
        <v>2231.4140155036512</v>
      </c>
      <c r="W42">
        <f t="shared" si="8"/>
        <v>4.7050436796349073</v>
      </c>
      <c r="Z42">
        <f t="shared" si="11"/>
        <v>0.55370329219313819</v>
      </c>
      <c r="AA42" s="3">
        <v>0.3</v>
      </c>
      <c r="AB42">
        <f t="shared" si="1"/>
        <v>2855.0790449612173</v>
      </c>
      <c r="AC42">
        <f t="shared" si="10"/>
        <v>2328.8842980706418</v>
      </c>
      <c r="AD42" s="3">
        <v>0.2</v>
      </c>
      <c r="AE42">
        <f t="shared" si="2"/>
        <v>465.7768596141284</v>
      </c>
      <c r="AF42">
        <f t="shared" si="3"/>
        <v>1</v>
      </c>
    </row>
    <row r="43" spans="1:32" x14ac:dyDescent="0.25">
      <c r="A43" s="2">
        <v>42</v>
      </c>
      <c r="B43">
        <f t="shared" si="4"/>
        <v>23.462483216543834</v>
      </c>
      <c r="C43" s="3">
        <v>0.08</v>
      </c>
      <c r="D43">
        <f t="shared" si="5"/>
        <v>165.64513150879947</v>
      </c>
      <c r="Q43">
        <f t="shared" si="9"/>
        <v>165.64513150879978</v>
      </c>
      <c r="R43">
        <f t="shared" si="6"/>
        <v>84.844299990109704</v>
      </c>
      <c r="S43">
        <f t="shared" si="7"/>
        <v>925.04561056743444</v>
      </c>
      <c r="T43" s="3">
        <v>0.08</v>
      </c>
      <c r="V43">
        <f>SUM($R$2:R43)</f>
        <v>2316.2583154937611</v>
      </c>
      <c r="W43">
        <f t="shared" si="8"/>
        <v>4.8839419632559382</v>
      </c>
      <c r="Z43">
        <f t="shared" si="11"/>
        <v>0.51268823351216486</v>
      </c>
      <c r="AA43" s="3">
        <v>0.3</v>
      </c>
      <c r="AB43">
        <f t="shared" si="1"/>
        <v>3083.4853685581147</v>
      </c>
      <c r="AC43">
        <f t="shared" si="10"/>
        <v>2468.6173559548802</v>
      </c>
      <c r="AD43" s="3">
        <v>0.2</v>
      </c>
      <c r="AE43">
        <f t="shared" si="2"/>
        <v>493.72347119097606</v>
      </c>
      <c r="AF43">
        <f t="shared" si="3"/>
        <v>1</v>
      </c>
    </row>
    <row r="44" spans="1:32" x14ac:dyDescent="0.25">
      <c r="A44" s="2">
        <v>43</v>
      </c>
      <c r="B44">
        <f t="shared" si="4"/>
        <v>25.339481873867342</v>
      </c>
      <c r="C44" s="3">
        <v>0.08</v>
      </c>
      <c r="D44">
        <f t="shared" si="5"/>
        <v>178.89674202950343</v>
      </c>
      <c r="Q44">
        <f t="shared" si="9"/>
        <v>178.89674202950374</v>
      </c>
      <c r="R44">
        <f t="shared" si="6"/>
        <v>86.445135838979681</v>
      </c>
      <c r="S44">
        <f t="shared" si="7"/>
        <v>999.0492594128292</v>
      </c>
      <c r="T44" s="3">
        <v>0.08</v>
      </c>
      <c r="V44">
        <f>SUM($R$2:R44)</f>
        <v>2402.7034513327408</v>
      </c>
      <c r="W44">
        <f t="shared" si="8"/>
        <v>5.0662156861905725</v>
      </c>
      <c r="Z44">
        <f t="shared" si="11"/>
        <v>0.47471132732607862</v>
      </c>
      <c r="AA44" s="3">
        <v>0.3</v>
      </c>
      <c r="AB44">
        <f t="shared" si="1"/>
        <v>3330.1641980427639</v>
      </c>
      <c r="AC44">
        <f t="shared" si="10"/>
        <v>2616.7343973121733</v>
      </c>
      <c r="AD44" s="3">
        <v>0.2</v>
      </c>
      <c r="AE44">
        <f t="shared" si="2"/>
        <v>523.34687946243469</v>
      </c>
      <c r="AF44">
        <f t="shared" si="3"/>
        <v>1</v>
      </c>
    </row>
    <row r="45" spans="1:32" x14ac:dyDescent="0.25">
      <c r="A45" s="2">
        <v>44</v>
      </c>
      <c r="B45">
        <f t="shared" si="4"/>
        <v>27.36664042377673</v>
      </c>
      <c r="C45" s="3">
        <v>0.08</v>
      </c>
      <c r="D45">
        <f t="shared" si="5"/>
        <v>193.2084813918637</v>
      </c>
      <c r="Q45">
        <f t="shared" si="9"/>
        <v>193.20848139186404</v>
      </c>
      <c r="R45">
        <f t="shared" si="6"/>
        <v>88.076176137828355</v>
      </c>
      <c r="S45">
        <f t="shared" si="7"/>
        <v>1078.9732001658556</v>
      </c>
      <c r="T45" s="3">
        <v>0.08</v>
      </c>
      <c r="V45">
        <f>SUM($R$2:R45)</f>
        <v>2490.7796274705693</v>
      </c>
      <c r="W45">
        <f t="shared" si="8"/>
        <v>5.2519285359730299</v>
      </c>
      <c r="Z45">
        <f t="shared" si="11"/>
        <v>0.43954752530192465</v>
      </c>
      <c r="AA45" s="3">
        <v>0.3</v>
      </c>
      <c r="AB45">
        <f t="shared" si="1"/>
        <v>3596.5773338861854</v>
      </c>
      <c r="AC45">
        <f t="shared" si="10"/>
        <v>2773.7384611509037</v>
      </c>
      <c r="AD45" s="3">
        <v>0.2</v>
      </c>
      <c r="AE45">
        <f t="shared" si="2"/>
        <v>554.74769223018075</v>
      </c>
      <c r="AF45">
        <f t="shared" si="3"/>
        <v>1</v>
      </c>
    </row>
    <row r="46" spans="1:32" x14ac:dyDescent="0.25">
      <c r="A46" s="2">
        <v>45</v>
      </c>
      <c r="B46">
        <f t="shared" si="4"/>
        <v>29.555971657678867</v>
      </c>
      <c r="C46" s="3">
        <v>0.08</v>
      </c>
      <c r="D46">
        <f t="shared" si="5"/>
        <v>208.66515990321278</v>
      </c>
      <c r="Q46">
        <f t="shared" si="9"/>
        <v>208.66515990321321</v>
      </c>
      <c r="R46">
        <f t="shared" si="6"/>
        <v>89.737990781938322</v>
      </c>
      <c r="S46">
        <f t="shared" si="7"/>
        <v>1165.2910561791241</v>
      </c>
      <c r="T46" s="3">
        <v>0.08</v>
      </c>
      <c r="V46">
        <f>SUM($R$2:R46)</f>
        <v>2580.5176182525074</v>
      </c>
      <c r="W46">
        <f t="shared" si="8"/>
        <v>5.441145401789119</v>
      </c>
      <c r="Z46">
        <f t="shared" si="11"/>
        <v>0.40698844935363387</v>
      </c>
      <c r="AA46" s="3">
        <v>0.3</v>
      </c>
      <c r="AB46">
        <f t="shared" si="1"/>
        <v>3884.3035205970805</v>
      </c>
      <c r="AC46">
        <f t="shared" si="10"/>
        <v>2940.1627688199583</v>
      </c>
      <c r="AD46" s="3">
        <v>0.2</v>
      </c>
      <c r="AE46">
        <f t="shared" si="2"/>
        <v>588.0325537639917</v>
      </c>
      <c r="AF46">
        <f t="shared" si="3"/>
        <v>1</v>
      </c>
    </row>
    <row r="47" spans="1:32" x14ac:dyDescent="0.25">
      <c r="A47" s="2">
        <v>46</v>
      </c>
      <c r="B47">
        <f t="shared" si="4"/>
        <v>31.920449390293179</v>
      </c>
      <c r="C47" s="3">
        <v>0.08</v>
      </c>
      <c r="D47">
        <f t="shared" si="5"/>
        <v>225.3583726954698</v>
      </c>
      <c r="Q47">
        <f t="shared" si="9"/>
        <v>225.35837269547025</v>
      </c>
      <c r="R47">
        <f t="shared" si="6"/>
        <v>91.431160419333395</v>
      </c>
      <c r="S47">
        <f t="shared" si="7"/>
        <v>1258.5143406734542</v>
      </c>
      <c r="T47" s="3">
        <v>0.08</v>
      </c>
      <c r="V47">
        <f>SUM($R$2:R47)</f>
        <v>2671.948778671841</v>
      </c>
      <c r="W47">
        <f t="shared" si="8"/>
        <v>5.6339323971489081</v>
      </c>
      <c r="Z47">
        <f t="shared" si="11"/>
        <v>0.37684115680892022</v>
      </c>
      <c r="AA47" s="3">
        <v>0.3</v>
      </c>
      <c r="AB47">
        <f t="shared" si="1"/>
        <v>4195.0478022448478</v>
      </c>
      <c r="AC47">
        <f t="shared" si="10"/>
        <v>3116.5725349491559</v>
      </c>
      <c r="AD47" s="3">
        <v>0.2</v>
      </c>
      <c r="AE47">
        <f t="shared" si="2"/>
        <v>623.31450698983122</v>
      </c>
      <c r="AF47">
        <f t="shared" si="3"/>
        <v>1</v>
      </c>
    </row>
    <row r="48" spans="1:32" x14ac:dyDescent="0.25">
      <c r="A48" s="2">
        <v>47</v>
      </c>
      <c r="B48">
        <f t="shared" si="4"/>
        <v>34.474085341516634</v>
      </c>
      <c r="C48" s="3">
        <v>0.08</v>
      </c>
      <c r="D48">
        <f t="shared" si="5"/>
        <v>243.38704251110738</v>
      </c>
      <c r="Q48">
        <f t="shared" si="9"/>
        <v>243.38704251110792</v>
      </c>
      <c r="R48">
        <f t="shared" si="6"/>
        <v>93.156276653660441</v>
      </c>
      <c r="S48">
        <f t="shared" si="7"/>
        <v>1359.1954879273305</v>
      </c>
      <c r="T48" s="3">
        <v>0.08</v>
      </c>
      <c r="V48">
        <f>SUM($R$2:R48)</f>
        <v>2765.1050553255013</v>
      </c>
      <c r="W48">
        <f t="shared" si="8"/>
        <v>5.830356882987183</v>
      </c>
      <c r="Z48">
        <f t="shared" si="11"/>
        <v>0.34892699704529651</v>
      </c>
      <c r="AA48" s="3">
        <v>0.3</v>
      </c>
      <c r="AB48">
        <f t="shared" si="1"/>
        <v>4530.6516264244356</v>
      </c>
      <c r="AC48">
        <f t="shared" si="10"/>
        <v>3303.5668870461054</v>
      </c>
      <c r="AD48" s="3">
        <v>0.2</v>
      </c>
      <c r="AE48">
        <f t="shared" si="2"/>
        <v>660.71337740922115</v>
      </c>
      <c r="AF48">
        <f t="shared" si="3"/>
        <v>1</v>
      </c>
    </row>
    <row r="49" spans="1:32" x14ac:dyDescent="0.25">
      <c r="A49" s="2">
        <v>48</v>
      </c>
      <c r="B49">
        <f t="shared" si="4"/>
        <v>37.232012168837969</v>
      </c>
      <c r="C49" s="3">
        <v>0.08</v>
      </c>
      <c r="D49">
        <f t="shared" si="5"/>
        <v>262.85800591199597</v>
      </c>
      <c r="Q49">
        <f t="shared" si="9"/>
        <v>262.8580059119966</v>
      </c>
      <c r="R49">
        <f t="shared" si="6"/>
        <v>94.913942250899282</v>
      </c>
      <c r="S49">
        <f t="shared" si="7"/>
        <v>1467.9311269615171</v>
      </c>
      <c r="T49" s="3">
        <v>0.08</v>
      </c>
      <c r="V49" s="1">
        <f>SUM($R$2:R49)</f>
        <v>2860.0189975764006</v>
      </c>
      <c r="W49">
        <f t="shared" si="8"/>
        <v>6.0304874911997652</v>
      </c>
      <c r="Z49">
        <f t="shared" si="11"/>
        <v>0.32308055281971898</v>
      </c>
      <c r="AA49" s="3">
        <v>0.3</v>
      </c>
      <c r="AB49">
        <f t="shared" si="1"/>
        <v>4893.1037565383904</v>
      </c>
      <c r="AC49">
        <f t="shared" si="10"/>
        <v>3501.7809002688718</v>
      </c>
      <c r="AD49" s="3">
        <v>0.2</v>
      </c>
      <c r="AE49">
        <f t="shared" si="2"/>
        <v>700.35618005377444</v>
      </c>
      <c r="AF49">
        <f t="shared" si="3"/>
        <v>1</v>
      </c>
    </row>
    <row r="50" spans="1:32" x14ac:dyDescent="0.25">
      <c r="A50" s="2">
        <v>49</v>
      </c>
      <c r="B50">
        <f t="shared" si="4"/>
        <v>40.210573142345005</v>
      </c>
      <c r="C50" s="3">
        <v>0.08</v>
      </c>
      <c r="D50">
        <f t="shared" si="5"/>
        <v>283.88664638495567</v>
      </c>
      <c r="Q50">
        <f t="shared" si="9"/>
        <v>283.88664638495629</v>
      </c>
      <c r="R50">
        <f t="shared" si="6"/>
        <v>96.704771349972873</v>
      </c>
      <c r="S50">
        <f t="shared" si="7"/>
        <v>1585.3656171184384</v>
      </c>
      <c r="T50" s="3">
        <v>0.08</v>
      </c>
      <c r="V50">
        <f>SUM($R$2:R50)</f>
        <v>2956.7237689263734</v>
      </c>
      <c r="W50">
        <f t="shared" si="8"/>
        <v>6.2343941486239052</v>
      </c>
      <c r="Z50">
        <f t="shared" si="11"/>
        <v>0.29914866001825829</v>
      </c>
      <c r="AA50" s="3">
        <v>0.3</v>
      </c>
      <c r="AB50">
        <f t="shared" si="1"/>
        <v>5284.5520570614617</v>
      </c>
      <c r="AC50">
        <f t="shared" si="10"/>
        <v>3711.8877542850041</v>
      </c>
      <c r="AD50" s="3">
        <v>0.2</v>
      </c>
      <c r="AE50">
        <f t="shared" si="2"/>
        <v>742.37755085700087</v>
      </c>
      <c r="AF50">
        <f t="shared" si="3"/>
        <v>1</v>
      </c>
    </row>
    <row r="51" spans="1:32" x14ac:dyDescent="0.25">
      <c r="A51" s="2">
        <v>50</v>
      </c>
      <c r="B51">
        <f t="shared" si="4"/>
        <v>43.427418993732608</v>
      </c>
      <c r="C51" s="3">
        <v>0.08</v>
      </c>
      <c r="D51">
        <f t="shared" si="5"/>
        <v>306.59757809575211</v>
      </c>
      <c r="Q51">
        <f t="shared" si="9"/>
        <v>306.59757809575279</v>
      </c>
      <c r="R51">
        <f t="shared" si="6"/>
        <v>98.529389677330869</v>
      </c>
      <c r="S51">
        <f t="shared" si="7"/>
        <v>1712.1948664879137</v>
      </c>
      <c r="T51" s="3">
        <v>0.08</v>
      </c>
      <c r="V51">
        <f>SUM($R$2:R51)</f>
        <v>3055.2531586037044</v>
      </c>
      <c r="W51">
        <f t="shared" si="8"/>
        <v>6.442148101471143</v>
      </c>
      <c r="Z51">
        <f t="shared" si="11"/>
        <v>0.27698950001690581</v>
      </c>
      <c r="AA51" s="3">
        <v>0.3</v>
      </c>
      <c r="AB51">
        <f t="shared" si="1"/>
        <v>5707.316221626379</v>
      </c>
      <c r="AC51">
        <f t="shared" si="10"/>
        <v>3934.6010195421045</v>
      </c>
      <c r="AD51" s="3">
        <v>0.2</v>
      </c>
      <c r="AE51">
        <f t="shared" si="2"/>
        <v>786.92020390842094</v>
      </c>
      <c r="AF51">
        <f t="shared" si="3"/>
        <v>1</v>
      </c>
    </row>
    <row r="52" spans="1:32" x14ac:dyDescent="0.25">
      <c r="A52" s="2">
        <v>51</v>
      </c>
      <c r="B52">
        <f t="shared" ref="B52:B101" si="12">B51+B51*C51</f>
        <v>46.901612513231214</v>
      </c>
      <c r="C52" s="3">
        <v>0.08</v>
      </c>
      <c r="D52">
        <f t="shared" ref="D52:D101" si="13">D51+D51*C51</f>
        <v>331.12538434341229</v>
      </c>
      <c r="Q52">
        <f t="shared" ref="Q52:Q101" si="14">$D$2*((1+$C$2)^A51)</f>
        <v>331.12538434341303</v>
      </c>
      <c r="R52">
        <f t="shared" si="6"/>
        <v>100.3884347655824</v>
      </c>
      <c r="S52">
        <f t="shared" si="7"/>
        <v>1849.1704558069468</v>
      </c>
      <c r="T52" s="3">
        <v>0.08</v>
      </c>
      <c r="V52">
        <f>SUM($R$2:R52)</f>
        <v>3155.641593369287</v>
      </c>
      <c r="W52">
        <f t="shared" si="8"/>
        <v>6.6538219402211594</v>
      </c>
      <c r="Z52">
        <f t="shared" si="11"/>
        <v>0.25647175927491278</v>
      </c>
      <c r="AA52" s="3">
        <v>0.3</v>
      </c>
      <c r="AB52">
        <f t="shared" si="1"/>
        <v>6163.9015193564901</v>
      </c>
      <c r="AC52">
        <f t="shared" si="10"/>
        <v>4170.6770807146313</v>
      </c>
      <c r="AD52" s="3">
        <v>0.2</v>
      </c>
      <c r="AE52">
        <f t="shared" si="2"/>
        <v>834.13541614292626</v>
      </c>
      <c r="AF52">
        <f t="shared" si="3"/>
        <v>1</v>
      </c>
    </row>
    <row r="53" spans="1:32" x14ac:dyDescent="0.25">
      <c r="A53" s="2">
        <v>52</v>
      </c>
      <c r="B53">
        <f t="shared" si="12"/>
        <v>50.653741514289713</v>
      </c>
      <c r="C53" s="3">
        <v>0.08</v>
      </c>
      <c r="D53">
        <f t="shared" si="13"/>
        <v>357.61541509088528</v>
      </c>
      <c r="Q53">
        <f t="shared" si="14"/>
        <v>357.61541509088613</v>
      </c>
      <c r="R53">
        <f t="shared" si="6"/>
        <v>102.28255617625375</v>
      </c>
      <c r="S53">
        <f t="shared" si="7"/>
        <v>1997.1040922715026</v>
      </c>
      <c r="T53" s="3">
        <v>0.08</v>
      </c>
      <c r="V53">
        <f>SUM($R$2:R53)</f>
        <v>3257.9241495455408</v>
      </c>
      <c r="W53">
        <f t="shared" si="8"/>
        <v>6.8694896249853263</v>
      </c>
      <c r="Z53">
        <f t="shared" si="11"/>
        <v>0.23747385118047479</v>
      </c>
      <c r="AA53" s="3">
        <v>0.3</v>
      </c>
      <c r="AB53">
        <f t="shared" si="1"/>
        <v>6657.0136409050092</v>
      </c>
      <c r="AC53">
        <f t="shared" si="10"/>
        <v>4420.9177055575092</v>
      </c>
      <c r="AD53" s="3">
        <v>0.2</v>
      </c>
      <c r="AE53">
        <f t="shared" si="2"/>
        <v>884.18354111150188</v>
      </c>
      <c r="AF53">
        <f t="shared" si="3"/>
        <v>1</v>
      </c>
    </row>
    <row r="54" spans="1:32" x14ac:dyDescent="0.25">
      <c r="A54" s="2">
        <v>53</v>
      </c>
      <c r="B54">
        <f t="shared" si="12"/>
        <v>54.706040835432887</v>
      </c>
      <c r="C54" s="3">
        <v>0.08</v>
      </c>
      <c r="D54">
        <f t="shared" si="13"/>
        <v>386.22464829815613</v>
      </c>
      <c r="Q54">
        <f t="shared" si="14"/>
        <v>386.22464829815704</v>
      </c>
      <c r="R54">
        <f t="shared" si="6"/>
        <v>104.21241572674911</v>
      </c>
      <c r="S54">
        <f t="shared" si="7"/>
        <v>2156.872419653223</v>
      </c>
      <c r="T54" s="3">
        <v>0.08</v>
      </c>
      <c r="V54">
        <f>SUM($R$2:R54)</f>
        <v>3362.1365652722898</v>
      </c>
      <c r="W54">
        <f t="shared" si="8"/>
        <v>7.0892265113488167</v>
      </c>
      <c r="Z54">
        <f t="shared" si="11"/>
        <v>0.21988319553747662</v>
      </c>
      <c r="AA54" s="3">
        <v>0.3</v>
      </c>
      <c r="AB54">
        <f t="shared" si="1"/>
        <v>7189.5747321774106</v>
      </c>
      <c r="AC54">
        <f t="shared" si="10"/>
        <v>4686.1727678909601</v>
      </c>
      <c r="AD54" s="3">
        <v>0.2</v>
      </c>
      <c r="AE54">
        <f t="shared" si="2"/>
        <v>937.23455357819205</v>
      </c>
      <c r="AF54">
        <f t="shared" si="3"/>
        <v>1</v>
      </c>
    </row>
    <row r="55" spans="1:32" x14ac:dyDescent="0.25">
      <c r="A55" s="2">
        <v>54</v>
      </c>
      <c r="B55">
        <f t="shared" si="12"/>
        <v>59.08252410226752</v>
      </c>
      <c r="C55" s="3">
        <v>0.08</v>
      </c>
      <c r="D55">
        <f t="shared" si="13"/>
        <v>417.12262016200862</v>
      </c>
      <c r="Q55">
        <f t="shared" si="14"/>
        <v>417.12262016200958</v>
      </c>
      <c r="R55">
        <f t="shared" si="6"/>
        <v>106.17868772159341</v>
      </c>
      <c r="S55">
        <f t="shared" si="7"/>
        <v>2329.4222132254808</v>
      </c>
      <c r="T55" s="3">
        <v>0.08</v>
      </c>
      <c r="V55">
        <f>SUM($R$2:R55)</f>
        <v>3468.3152529938834</v>
      </c>
      <c r="W55">
        <f t="shared" si="8"/>
        <v>7.3131093767002984</v>
      </c>
      <c r="Z55">
        <f t="shared" si="11"/>
        <v>0.20359555142358948</v>
      </c>
      <c r="AA55" s="3">
        <v>0.3</v>
      </c>
      <c r="AB55">
        <f t="shared" si="1"/>
        <v>7764.7407107516028</v>
      </c>
      <c r="AC55">
        <f t="shared" si="10"/>
        <v>4967.3431339644176</v>
      </c>
      <c r="AD55" s="3">
        <v>0.2</v>
      </c>
      <c r="AE55">
        <f t="shared" si="2"/>
        <v>993.46862679288358</v>
      </c>
      <c r="AF55">
        <f t="shared" si="3"/>
        <v>1</v>
      </c>
    </row>
    <row r="56" spans="1:32" x14ac:dyDescent="0.25">
      <c r="A56" s="2">
        <v>55</v>
      </c>
      <c r="B56">
        <f t="shared" si="12"/>
        <v>63.809126030448923</v>
      </c>
      <c r="C56" s="3">
        <v>0.08</v>
      </c>
      <c r="D56">
        <f t="shared" si="13"/>
        <v>450.49242977496931</v>
      </c>
      <c r="Q56">
        <f t="shared" si="14"/>
        <v>450.49242977497045</v>
      </c>
      <c r="R56">
        <f t="shared" si="6"/>
        <v>108.18205918803858</v>
      </c>
      <c r="S56">
        <f t="shared" si="7"/>
        <v>2515.7759902835196</v>
      </c>
      <c r="T56" s="3">
        <v>0.08</v>
      </c>
      <c r="V56">
        <f>SUM($R$2:R56)</f>
        <v>3576.4973121819221</v>
      </c>
      <c r="W56">
        <f t="shared" si="8"/>
        <v>7.5412164470584111</v>
      </c>
      <c r="Z56">
        <f t="shared" si="11"/>
        <v>0.18851439946628654</v>
      </c>
      <c r="AA56" s="3">
        <v>0.3</v>
      </c>
      <c r="AB56">
        <f t="shared" si="1"/>
        <v>8385.9199676117332</v>
      </c>
      <c r="AC56">
        <f t="shared" si="10"/>
        <v>5265.3837220022833</v>
      </c>
      <c r="AD56" s="3">
        <v>0.2</v>
      </c>
      <c r="AE56">
        <f t="shared" si="2"/>
        <v>1053.0767444004566</v>
      </c>
      <c r="AF56">
        <f t="shared" si="3"/>
        <v>1</v>
      </c>
    </row>
    <row r="57" spans="1:32" x14ac:dyDescent="0.25">
      <c r="A57" s="2">
        <v>56</v>
      </c>
      <c r="B57">
        <f t="shared" si="12"/>
        <v>68.913856112884844</v>
      </c>
      <c r="C57" s="3">
        <v>0.08</v>
      </c>
      <c r="D57">
        <f t="shared" si="13"/>
        <v>486.53182415696688</v>
      </c>
      <c r="Q57">
        <f t="shared" si="14"/>
        <v>486.53182415696807</v>
      </c>
      <c r="R57">
        <f t="shared" si="6"/>
        <v>110.22323011611476</v>
      </c>
      <c r="S57">
        <f t="shared" si="7"/>
        <v>2717.0380695062013</v>
      </c>
      <c r="T57" s="3">
        <v>0.08</v>
      </c>
      <c r="V57">
        <f>SUM($R$2:R57)</f>
        <v>3686.7205422980369</v>
      </c>
      <c r="W57">
        <f t="shared" si="8"/>
        <v>7.7736274244044132</v>
      </c>
      <c r="Z57">
        <f t="shared" si="11"/>
        <v>0.17455036987619121</v>
      </c>
      <c r="AA57" s="3">
        <v>0.3</v>
      </c>
      <c r="AB57">
        <f t="shared" si="1"/>
        <v>9056.7935650206709</v>
      </c>
      <c r="AC57">
        <f t="shared" si="10"/>
        <v>5581.3067453224203</v>
      </c>
      <c r="AD57" s="3">
        <v>0.2</v>
      </c>
      <c r="AE57">
        <f t="shared" si="2"/>
        <v>1116.2613490644842</v>
      </c>
      <c r="AF57">
        <f t="shared" si="3"/>
        <v>1</v>
      </c>
    </row>
    <row r="58" spans="1:32" x14ac:dyDescent="0.25">
      <c r="A58" s="2">
        <v>57</v>
      </c>
      <c r="B58">
        <f t="shared" si="12"/>
        <v>74.426964601915628</v>
      </c>
      <c r="C58" s="3">
        <v>0.08</v>
      </c>
      <c r="D58">
        <f t="shared" si="13"/>
        <v>525.45437008952422</v>
      </c>
      <c r="Q58">
        <f t="shared" si="14"/>
        <v>525.45437008952547</v>
      </c>
      <c r="R58">
        <f t="shared" si="6"/>
        <v>112.3029137032113</v>
      </c>
      <c r="S58">
        <f t="shared" si="7"/>
        <v>2934.4011150666975</v>
      </c>
      <c r="T58" s="3">
        <v>0.08</v>
      </c>
      <c r="V58">
        <f>SUM($R$2:R58)</f>
        <v>3799.0234560012482</v>
      </c>
      <c r="W58">
        <f t="shared" si="8"/>
        <v>8.0104235145305278</v>
      </c>
      <c r="Z58">
        <f t="shared" si="11"/>
        <v>0.16162071284832522</v>
      </c>
      <c r="AA58" s="3">
        <v>0.3</v>
      </c>
      <c r="AB58">
        <f t="shared" si="1"/>
        <v>9781.3370502223261</v>
      </c>
      <c r="AC58">
        <f t="shared" si="10"/>
        <v>5916.1851500417661</v>
      </c>
      <c r="AD58" s="3">
        <v>0.2</v>
      </c>
      <c r="AE58">
        <f t="shared" si="2"/>
        <v>1183.2370300083533</v>
      </c>
      <c r="AF58">
        <f t="shared" si="3"/>
        <v>1</v>
      </c>
    </row>
    <row r="59" spans="1:32" x14ac:dyDescent="0.25">
      <c r="A59" s="2">
        <v>58</v>
      </c>
      <c r="B59">
        <f t="shared" si="12"/>
        <v>80.381121770068873</v>
      </c>
      <c r="C59" s="3">
        <v>0.08</v>
      </c>
      <c r="D59">
        <f t="shared" si="13"/>
        <v>567.49071969668614</v>
      </c>
      <c r="Q59">
        <f t="shared" si="14"/>
        <v>567.49071969668762</v>
      </c>
      <c r="R59">
        <f t="shared" si="6"/>
        <v>114.42183660327188</v>
      </c>
      <c r="S59">
        <f t="shared" si="7"/>
        <v>3169.1532042720332</v>
      </c>
      <c r="T59" s="3">
        <v>0.08</v>
      </c>
      <c r="V59">
        <f>SUM($R$2:R59)</f>
        <v>3913.4452926045201</v>
      </c>
      <c r="W59">
        <f t="shared" si="8"/>
        <v>8.2516874554137392</v>
      </c>
      <c r="Z59">
        <f t="shared" si="11"/>
        <v>0.1496488081928937</v>
      </c>
      <c r="AA59" s="3">
        <v>0.3</v>
      </c>
      <c r="AB59">
        <f t="shared" si="1"/>
        <v>10563.84401424011</v>
      </c>
      <c r="AC59">
        <f t="shared" si="10"/>
        <v>6271.1562590442727</v>
      </c>
      <c r="AD59" s="3">
        <v>0.2</v>
      </c>
      <c r="AE59">
        <f t="shared" si="2"/>
        <v>1254.2312518088547</v>
      </c>
      <c r="AF59">
        <f t="shared" si="3"/>
        <v>1</v>
      </c>
    </row>
    <row r="60" spans="1:32" x14ac:dyDescent="0.25">
      <c r="A60" s="2">
        <v>59</v>
      </c>
      <c r="B60">
        <f t="shared" si="12"/>
        <v>86.811611511674386</v>
      </c>
      <c r="C60" s="3">
        <v>0.08</v>
      </c>
      <c r="D60">
        <f t="shared" si="13"/>
        <v>612.88997727242099</v>
      </c>
      <c r="Q60">
        <f t="shared" si="14"/>
        <v>612.88997727242258</v>
      </c>
      <c r="R60">
        <f t="shared" si="6"/>
        <v>116.58073918069212</v>
      </c>
      <c r="S60">
        <f t="shared" si="7"/>
        <v>3422.6854606137963</v>
      </c>
      <c r="T60" s="3">
        <v>0.08</v>
      </c>
      <c r="V60">
        <f>SUM($R$2:R60)</f>
        <v>4030.0260317852121</v>
      </c>
      <c r="W60">
        <f t="shared" si="8"/>
        <v>8.4975035461249355</v>
      </c>
      <c r="Z60">
        <f t="shared" si="11"/>
        <v>0.13856371128971637</v>
      </c>
      <c r="AA60" s="3">
        <v>0.3</v>
      </c>
      <c r="AB60">
        <f t="shared" si="1"/>
        <v>11408.951535379321</v>
      </c>
      <c r="AC60">
        <f t="shared" si="10"/>
        <v>6647.4256345869298</v>
      </c>
      <c r="AD60" s="3">
        <v>0.2</v>
      </c>
      <c r="AE60">
        <f t="shared" si="2"/>
        <v>1329.485126917386</v>
      </c>
      <c r="AF60">
        <f t="shared" si="3"/>
        <v>1</v>
      </c>
    </row>
    <row r="61" spans="1:32" x14ac:dyDescent="0.25">
      <c r="A61" s="2">
        <v>60</v>
      </c>
      <c r="B61">
        <f t="shared" si="12"/>
        <v>93.756540432608332</v>
      </c>
      <c r="C61" s="3">
        <v>0.08</v>
      </c>
      <c r="D61">
        <f t="shared" si="13"/>
        <v>661.92117545421468</v>
      </c>
      <c r="Q61">
        <f t="shared" si="14"/>
        <v>661.92117545421638</v>
      </c>
      <c r="R61">
        <f t="shared" si="6"/>
        <v>118.78037576900705</v>
      </c>
      <c r="S61">
        <f t="shared" si="7"/>
        <v>3696.5002974629001</v>
      </c>
      <c r="T61" s="3">
        <v>0.08</v>
      </c>
      <c r="V61">
        <f>SUM($R$2:R61)</f>
        <v>4148.8064075542188</v>
      </c>
      <c r="W61">
        <f t="shared" si="8"/>
        <v>8.7479576762835123</v>
      </c>
      <c r="Z61">
        <f t="shared" si="11"/>
        <v>0.1282997326756633</v>
      </c>
      <c r="AA61" s="3">
        <v>0.3</v>
      </c>
      <c r="AB61">
        <f t="shared" si="1"/>
        <v>12321.667658209668</v>
      </c>
      <c r="AC61">
        <f t="shared" si="10"/>
        <v>7046.2711726621455</v>
      </c>
      <c r="AD61" s="3">
        <v>0.2</v>
      </c>
      <c r="AE61">
        <f t="shared" si="2"/>
        <v>1409.2542345324291</v>
      </c>
      <c r="AF61">
        <f t="shared" si="3"/>
        <v>1</v>
      </c>
    </row>
    <row r="62" spans="1:32" x14ac:dyDescent="0.25">
      <c r="A62" s="2">
        <v>61</v>
      </c>
      <c r="B62">
        <f t="shared" si="12"/>
        <v>101.257063667217</v>
      </c>
      <c r="C62" s="3">
        <v>0.08</v>
      </c>
      <c r="D62">
        <f t="shared" si="13"/>
        <v>714.87486949055187</v>
      </c>
      <c r="Q62">
        <f t="shared" si="14"/>
        <v>714.87486949055381</v>
      </c>
      <c r="R62">
        <f t="shared" si="6"/>
        <v>121.02151493446003</v>
      </c>
      <c r="S62">
        <f t="shared" si="7"/>
        <v>3992.2203212599325</v>
      </c>
      <c r="T62" s="3">
        <v>0.08</v>
      </c>
      <c r="V62">
        <f>SUM($R$2:R62)</f>
        <v>4269.8279224886792</v>
      </c>
      <c r="W62">
        <f t="shared" si="8"/>
        <v>9.0031373560677252</v>
      </c>
      <c r="Z62">
        <f t="shared" si="11"/>
        <v>0.11879604877376232</v>
      </c>
      <c r="AA62" s="3">
        <v>0.3</v>
      </c>
      <c r="AB62">
        <f t="shared" si="1"/>
        <v>13307.401070866443</v>
      </c>
      <c r="AC62">
        <f t="shared" si="10"/>
        <v>7469.0474430218746</v>
      </c>
      <c r="AD62" s="3">
        <v>0.2</v>
      </c>
      <c r="AE62">
        <f t="shared" si="2"/>
        <v>1493.809488604375</v>
      </c>
      <c r="AF62">
        <f t="shared" si="3"/>
        <v>1</v>
      </c>
    </row>
    <row r="63" spans="1:32" x14ac:dyDescent="0.25">
      <c r="A63" s="2">
        <v>62</v>
      </c>
      <c r="B63">
        <f t="shared" si="12"/>
        <v>109.35762876059435</v>
      </c>
      <c r="C63" s="3">
        <v>0.08</v>
      </c>
      <c r="D63">
        <f t="shared" si="13"/>
        <v>772.06485904979604</v>
      </c>
      <c r="Q63">
        <f t="shared" si="14"/>
        <v>772.06485904979809</v>
      </c>
      <c r="R63">
        <f t="shared" si="6"/>
        <v>123.30493974454416</v>
      </c>
      <c r="S63">
        <f t="shared" si="7"/>
        <v>4311.5979469607273</v>
      </c>
      <c r="T63" s="3">
        <v>0.08</v>
      </c>
      <c r="V63">
        <f>SUM($R$2:R63)</f>
        <v>4393.132862233223</v>
      </c>
      <c r="W63">
        <f t="shared" si="8"/>
        <v>9.2631317467912595</v>
      </c>
      <c r="Z63">
        <f t="shared" si="11"/>
        <v>0.10999634145718733</v>
      </c>
      <c r="AA63" s="3">
        <v>0.3</v>
      </c>
      <c r="AB63">
        <f t="shared" si="1"/>
        <v>14371.993156535758</v>
      </c>
      <c r="AC63">
        <f t="shared" si="10"/>
        <v>7917.1902896031879</v>
      </c>
      <c r="AD63" s="3">
        <v>0.2</v>
      </c>
      <c r="AE63">
        <f t="shared" si="2"/>
        <v>1583.4380579206377</v>
      </c>
      <c r="AF63">
        <f t="shared" si="3"/>
        <v>1</v>
      </c>
    </row>
    <row r="64" spans="1:32" x14ac:dyDescent="0.25">
      <c r="A64" s="2">
        <v>63</v>
      </c>
      <c r="B64">
        <f t="shared" si="12"/>
        <v>118.1062390614419</v>
      </c>
      <c r="C64" s="3">
        <v>0.08</v>
      </c>
      <c r="D64">
        <f t="shared" si="13"/>
        <v>833.83004777377971</v>
      </c>
      <c r="Q64">
        <f t="shared" si="14"/>
        <v>833.8300477737821</v>
      </c>
      <c r="R64">
        <f t="shared" si="6"/>
        <v>125.63144804161102</v>
      </c>
      <c r="S64">
        <f t="shared" si="7"/>
        <v>4656.5257827175856</v>
      </c>
      <c r="T64" s="3">
        <v>0.08</v>
      </c>
      <c r="V64">
        <f>SUM($R$2:R64)</f>
        <v>4518.7643102748343</v>
      </c>
      <c r="W64">
        <f t="shared" si="8"/>
        <v>9.52803169205675</v>
      </c>
      <c r="Z64">
        <f t="shared" si="11"/>
        <v>0.10184846431221048</v>
      </c>
      <c r="AA64" s="3">
        <v>0.3</v>
      </c>
      <c r="AB64">
        <f t="shared" si="1"/>
        <v>15521.75260905862</v>
      </c>
      <c r="AC64">
        <f t="shared" si="10"/>
        <v>8392.2217069793787</v>
      </c>
      <c r="AD64" s="3">
        <v>0.2</v>
      </c>
      <c r="AE64">
        <f t="shared" si="2"/>
        <v>1678.4443413958759</v>
      </c>
      <c r="AF64">
        <f t="shared" si="3"/>
        <v>1</v>
      </c>
    </row>
    <row r="65" spans="1:32" x14ac:dyDescent="0.25">
      <c r="A65" s="2">
        <v>64</v>
      </c>
      <c r="B65">
        <f t="shared" si="12"/>
        <v>127.55473818635726</v>
      </c>
      <c r="C65" s="3">
        <v>0.08</v>
      </c>
      <c r="D65">
        <f t="shared" si="13"/>
        <v>900.53645159568214</v>
      </c>
      <c r="Q65">
        <f t="shared" si="14"/>
        <v>900.53645159568475</v>
      </c>
      <c r="R65">
        <f t="shared" si="6"/>
        <v>128.0018527216414</v>
      </c>
      <c r="S65">
        <f t="shared" si="7"/>
        <v>5029.0478453349924</v>
      </c>
      <c r="T65" s="3">
        <v>0.08</v>
      </c>
      <c r="V65">
        <f>SUM($R$2:R65)</f>
        <v>4646.7661629964759</v>
      </c>
      <c r="W65">
        <f t="shared" si="8"/>
        <v>9.7979297494970616</v>
      </c>
      <c r="Z65">
        <f t="shared" si="11"/>
        <v>9.4304133622417116E-2</v>
      </c>
      <c r="AA65" s="3">
        <v>0.3</v>
      </c>
      <c r="AB65">
        <f t="shared" si="1"/>
        <v>16763.49281778331</v>
      </c>
      <c r="AC65">
        <f t="shared" si="10"/>
        <v>8895.7550093981426</v>
      </c>
      <c r="AD65" s="3">
        <v>0.2</v>
      </c>
      <c r="AE65">
        <f t="shared" si="2"/>
        <v>1779.1510018796287</v>
      </c>
      <c r="AF65">
        <f t="shared" si="3"/>
        <v>1</v>
      </c>
    </row>
    <row r="66" spans="1:32" x14ac:dyDescent="0.25">
      <c r="A66" s="2">
        <v>65</v>
      </c>
      <c r="B66">
        <f t="shared" si="12"/>
        <v>137.75911724126584</v>
      </c>
      <c r="C66" s="3">
        <v>0.08</v>
      </c>
      <c r="D66">
        <f t="shared" si="13"/>
        <v>972.57936772333676</v>
      </c>
      <c r="Q66">
        <f t="shared" si="14"/>
        <v>972.5793677233396</v>
      </c>
      <c r="R66">
        <f t="shared" si="6"/>
        <v>130.41698201827617</v>
      </c>
      <c r="S66">
        <f t="shared" si="7"/>
        <v>5431.3716729617918</v>
      </c>
      <c r="T66" s="3">
        <v>0.08</v>
      </c>
      <c r="V66">
        <f>SUM($R$2:R66)</f>
        <v>4777.183145014752</v>
      </c>
      <c r="W66">
        <f t="shared" si="8"/>
        <v>10.07292022311549</v>
      </c>
      <c r="Z66">
        <f t="shared" si="11"/>
        <v>8.7318642242978806E-2</v>
      </c>
      <c r="AA66" s="3">
        <v>0.3</v>
      </c>
      <c r="AB66">
        <f t="shared" si="1"/>
        <v>18104.572243205974</v>
      </c>
      <c r="AC66">
        <f t="shared" si="10"/>
        <v>9429.5003099620317</v>
      </c>
      <c r="AD66" s="3">
        <v>0.2</v>
      </c>
      <c r="AE66">
        <f t="shared" si="2"/>
        <v>1885.9000619924063</v>
      </c>
      <c r="AF66">
        <f t="shared" si="3"/>
        <v>1</v>
      </c>
    </row>
    <row r="67" spans="1:32" x14ac:dyDescent="0.25">
      <c r="A67" s="2">
        <v>66</v>
      </c>
      <c r="B67">
        <f t="shared" si="12"/>
        <v>148.7798466205671</v>
      </c>
      <c r="C67" s="3">
        <v>0.08</v>
      </c>
      <c r="D67">
        <f t="shared" si="13"/>
        <v>1050.3857171412037</v>
      </c>
      <c r="Q67">
        <f t="shared" si="14"/>
        <v>1050.3857171412069</v>
      </c>
      <c r="R67">
        <f t="shared" si="6"/>
        <v>132.87767979220592</v>
      </c>
      <c r="S67">
        <f t="shared" si="7"/>
        <v>5865.881406798736</v>
      </c>
      <c r="T67" s="3">
        <v>0.08</v>
      </c>
      <c r="V67">
        <f>SUM($R$2:R67)</f>
        <v>4910.0608248069575</v>
      </c>
      <c r="W67">
        <f t="shared" si="8"/>
        <v>10.353099196236153</v>
      </c>
      <c r="Z67">
        <f t="shared" si="11"/>
        <v>8.0850594669424805E-2</v>
      </c>
      <c r="AA67" s="3">
        <v>0.3</v>
      </c>
      <c r="AB67">
        <f t="shared" ref="AB67:AB130" si="15">S67/AA67</f>
        <v>19552.938022662453</v>
      </c>
      <c r="AC67">
        <f t="shared" si="10"/>
        <v>9995.2703285597545</v>
      </c>
      <c r="AD67" s="3">
        <v>0.2</v>
      </c>
      <c r="AE67">
        <f t="shared" ref="AE67:AE130" si="16">AC67*AD67</f>
        <v>1999.0540657119509</v>
      </c>
      <c r="AF67">
        <f t="shared" ref="AF67:AF130" si="17">IF(AB67&gt;AE67, 1, 0)</f>
        <v>1</v>
      </c>
    </row>
    <row r="68" spans="1:32" x14ac:dyDescent="0.25">
      <c r="A68" s="2">
        <v>67</v>
      </c>
      <c r="B68">
        <f t="shared" si="12"/>
        <v>160.68223435021247</v>
      </c>
      <c r="C68" s="3">
        <v>0.08</v>
      </c>
      <c r="D68">
        <f t="shared" si="13"/>
        <v>1134.4165745125001</v>
      </c>
      <c r="Q68">
        <f t="shared" si="14"/>
        <v>1134.4165745125033</v>
      </c>
      <c r="R68">
        <f t="shared" ref="R68:R101" si="18">S68/((1+$U$2)^A67)</f>
        <v>135.38480582602116</v>
      </c>
      <c r="S68">
        <f t="shared" ref="S68:S101" si="19">S67*(1+T67)</f>
        <v>6335.1519193426357</v>
      </c>
      <c r="T68" s="3">
        <v>0.08</v>
      </c>
      <c r="V68">
        <f>SUM($R$2:R68)</f>
        <v>5045.4456306329785</v>
      </c>
      <c r="W68">
        <f t="shared" ref="W68:W101" si="20">V68/$W$2</f>
        <v>10.638564565076074</v>
      </c>
      <c r="Z68">
        <f t="shared" si="11"/>
        <v>7.4861661730948895E-2</v>
      </c>
      <c r="AA68" s="3">
        <v>0.3</v>
      </c>
      <c r="AB68">
        <f t="shared" si="15"/>
        <v>21117.173064475453</v>
      </c>
      <c r="AC68">
        <f t="shared" ref="AC68:AC131" si="21">AC67*(1+$U$2)</f>
        <v>10594.98654827334</v>
      </c>
      <c r="AD68" s="3">
        <v>0.2</v>
      </c>
      <c r="AE68">
        <f t="shared" si="16"/>
        <v>2118.9973096546682</v>
      </c>
      <c r="AF68">
        <f t="shared" si="17"/>
        <v>1</v>
      </c>
    </row>
    <row r="69" spans="1:32" x14ac:dyDescent="0.25">
      <c r="A69" s="2">
        <v>68</v>
      </c>
      <c r="B69">
        <f t="shared" si="12"/>
        <v>173.53681309822946</v>
      </c>
      <c r="C69" s="3">
        <v>0.08</v>
      </c>
      <c r="D69">
        <f t="shared" si="13"/>
        <v>1225.1699004735001</v>
      </c>
      <c r="Q69">
        <f t="shared" si="14"/>
        <v>1225.1699004735037</v>
      </c>
      <c r="R69">
        <f t="shared" si="18"/>
        <v>137.93923612462532</v>
      </c>
      <c r="S69">
        <f t="shared" si="19"/>
        <v>6841.9640728900467</v>
      </c>
      <c r="T69" s="3">
        <v>0.08</v>
      </c>
      <c r="V69">
        <f>SUM($R$2:R69)</f>
        <v>5183.384866757604</v>
      </c>
      <c r="W69">
        <f t="shared" si="20"/>
        <v>10.92941607295071</v>
      </c>
      <c r="Z69">
        <f t="shared" si="11"/>
        <v>6.93163534545823E-2</v>
      </c>
      <c r="AA69" s="3">
        <v>0.3</v>
      </c>
      <c r="AB69">
        <f t="shared" si="15"/>
        <v>22806.546909633489</v>
      </c>
      <c r="AC69">
        <f t="shared" si="21"/>
        <v>11230.685741169742</v>
      </c>
      <c r="AD69" s="3">
        <v>0.2</v>
      </c>
      <c r="AE69">
        <f t="shared" si="16"/>
        <v>2246.1371482339487</v>
      </c>
      <c r="AF69">
        <f t="shared" si="17"/>
        <v>1</v>
      </c>
    </row>
    <row r="70" spans="1:32" x14ac:dyDescent="0.25">
      <c r="A70" s="2">
        <v>69</v>
      </c>
      <c r="B70">
        <f t="shared" si="12"/>
        <v>187.41975814608782</v>
      </c>
      <c r="C70" s="3">
        <v>0.08</v>
      </c>
      <c r="D70">
        <f t="shared" si="13"/>
        <v>1323.1834925113801</v>
      </c>
      <c r="Q70">
        <f t="shared" si="14"/>
        <v>1323.1834925113842</v>
      </c>
      <c r="R70">
        <f t="shared" si="18"/>
        <v>140.54186322131633</v>
      </c>
      <c r="S70">
        <f t="shared" si="19"/>
        <v>7389.3211987212508</v>
      </c>
      <c r="T70" s="3">
        <v>0.08</v>
      </c>
      <c r="V70">
        <f>SUM($R$2:R70)</f>
        <v>5323.9267299789199</v>
      </c>
      <c r="W70">
        <f t="shared" si="20"/>
        <v>11.225755345124869</v>
      </c>
      <c r="Z70">
        <f t="shared" si="11"/>
        <v>6.4181808754242869E-2</v>
      </c>
      <c r="AA70" s="3">
        <v>0.3</v>
      </c>
      <c r="AB70">
        <f t="shared" si="15"/>
        <v>24631.07066240417</v>
      </c>
      <c r="AC70">
        <f t="shared" si="21"/>
        <v>11904.526885639927</v>
      </c>
      <c r="AD70" s="3">
        <v>0.2</v>
      </c>
      <c r="AE70">
        <f t="shared" si="16"/>
        <v>2380.9053771279855</v>
      </c>
      <c r="AF70">
        <f t="shared" si="17"/>
        <v>1</v>
      </c>
    </row>
    <row r="71" spans="1:32" x14ac:dyDescent="0.25">
      <c r="A71" s="2">
        <v>70</v>
      </c>
      <c r="B71">
        <f t="shared" si="12"/>
        <v>202.41333879777483</v>
      </c>
      <c r="C71" s="3">
        <v>0.08</v>
      </c>
      <c r="D71">
        <f t="shared" si="13"/>
        <v>1429.0381719122906</v>
      </c>
      <c r="Q71">
        <f t="shared" si="14"/>
        <v>1429.0381719122947</v>
      </c>
      <c r="R71">
        <f t="shared" si="18"/>
        <v>143.19359648964306</v>
      </c>
      <c r="S71">
        <f t="shared" si="19"/>
        <v>7980.4668946189513</v>
      </c>
      <c r="T71" s="3">
        <v>0.08</v>
      </c>
      <c r="V71">
        <f>SUM($R$2:R71)</f>
        <v>5467.1203264685628</v>
      </c>
      <c r="W71">
        <f t="shared" si="20"/>
        <v>11.52768592432118</v>
      </c>
      <c r="Z71">
        <f t="shared" si="11"/>
        <v>5.9427600698373023E-2</v>
      </c>
      <c r="AA71" s="3">
        <v>0.3</v>
      </c>
      <c r="AB71">
        <f t="shared" si="15"/>
        <v>26601.556315396505</v>
      </c>
      <c r="AC71">
        <f t="shared" si="21"/>
        <v>12618.798498778324</v>
      </c>
      <c r="AD71" s="3">
        <v>0.2</v>
      </c>
      <c r="AE71">
        <f t="shared" si="16"/>
        <v>2523.7596997556648</v>
      </c>
      <c r="AF71">
        <f t="shared" si="17"/>
        <v>1</v>
      </c>
    </row>
    <row r="72" spans="1:32" x14ac:dyDescent="0.25">
      <c r="A72" s="2">
        <v>71</v>
      </c>
      <c r="B72">
        <f t="shared" si="12"/>
        <v>218.60640590159682</v>
      </c>
      <c r="C72" s="3">
        <v>0.08</v>
      </c>
      <c r="D72">
        <f t="shared" si="13"/>
        <v>1543.3612256652739</v>
      </c>
      <c r="Q72">
        <f t="shared" si="14"/>
        <v>1543.3612256652787</v>
      </c>
      <c r="R72">
        <f t="shared" si="18"/>
        <v>145.89536246114577</v>
      </c>
      <c r="S72">
        <f t="shared" si="19"/>
        <v>8618.9042461884674</v>
      </c>
      <c r="T72" s="3">
        <v>0.08</v>
      </c>
      <c r="V72">
        <f>SUM($R$2:R72)</f>
        <v>5613.0156889297086</v>
      </c>
      <c r="W72">
        <f t="shared" si="20"/>
        <v>11.835313306898556</v>
      </c>
      <c r="Z72">
        <f t="shared" si="11"/>
        <v>5.5025556202197248E-2</v>
      </c>
      <c r="AA72" s="3">
        <v>0.3</v>
      </c>
      <c r="AB72">
        <f t="shared" si="15"/>
        <v>28729.680820628226</v>
      </c>
      <c r="AC72">
        <f t="shared" si="21"/>
        <v>13375.926408705023</v>
      </c>
      <c r="AD72" s="3">
        <v>0.2</v>
      </c>
      <c r="AE72">
        <f t="shared" si="16"/>
        <v>2675.1852817410049</v>
      </c>
      <c r="AF72">
        <f t="shared" si="17"/>
        <v>1</v>
      </c>
    </row>
    <row r="73" spans="1:32" x14ac:dyDescent="0.25">
      <c r="A73" s="2">
        <v>72</v>
      </c>
      <c r="B73">
        <f t="shared" si="12"/>
        <v>236.09491837372457</v>
      </c>
      <c r="C73" s="3">
        <v>0.08</v>
      </c>
      <c r="D73">
        <f t="shared" si="13"/>
        <v>1666.8301237184958</v>
      </c>
      <c r="Q73">
        <f t="shared" si="14"/>
        <v>1666.830123718501</v>
      </c>
      <c r="R73">
        <f t="shared" si="18"/>
        <v>148.64810514909189</v>
      </c>
      <c r="S73">
        <f t="shared" si="19"/>
        <v>9308.4165858835458</v>
      </c>
      <c r="T73" s="3">
        <v>0.08</v>
      </c>
      <c r="V73">
        <f>SUM($R$2:R73)</f>
        <v>5761.6637940788005</v>
      </c>
      <c r="W73">
        <f t="shared" si="20"/>
        <v>12.148744979713239</v>
      </c>
      <c r="Z73">
        <f t="shared" si="11"/>
        <v>5.0949589076108553E-2</v>
      </c>
      <c r="AA73" s="3">
        <v>0.3</v>
      </c>
      <c r="AB73">
        <f t="shared" si="15"/>
        <v>31028.055286278486</v>
      </c>
      <c r="AC73">
        <f t="shared" si="21"/>
        <v>14178.481993227326</v>
      </c>
      <c r="AD73" s="3">
        <v>0.2</v>
      </c>
      <c r="AE73">
        <f t="shared" si="16"/>
        <v>2835.6963986454653</v>
      </c>
      <c r="AF73">
        <f t="shared" si="17"/>
        <v>1</v>
      </c>
    </row>
    <row r="74" spans="1:32" x14ac:dyDescent="0.25">
      <c r="A74" s="2">
        <v>73</v>
      </c>
      <c r="B74">
        <f t="shared" si="12"/>
        <v>254.98251184362255</v>
      </c>
      <c r="C74" s="3">
        <v>0.08</v>
      </c>
      <c r="D74">
        <f t="shared" si="13"/>
        <v>1800.1765336159754</v>
      </c>
      <c r="Q74">
        <f t="shared" si="14"/>
        <v>1800.176533615981</v>
      </c>
      <c r="R74">
        <f t="shared" si="18"/>
        <v>151.45278637832007</v>
      </c>
      <c r="S74">
        <f t="shared" si="19"/>
        <v>10053.089912754231</v>
      </c>
      <c r="T74" s="3">
        <v>0.08</v>
      </c>
      <c r="V74">
        <f>SUM($R$2:R74)</f>
        <v>5913.116580457121</v>
      </c>
      <c r="W74">
        <f t="shared" si="20"/>
        <v>12.46809045767537</v>
      </c>
      <c r="Z74">
        <f t="shared" si="11"/>
        <v>4.7175545440841252E-2</v>
      </c>
      <c r="AA74" s="3">
        <v>0.3</v>
      </c>
      <c r="AB74">
        <f t="shared" si="15"/>
        <v>33510.29970918077</v>
      </c>
      <c r="AC74">
        <f t="shared" si="21"/>
        <v>15029.190912820966</v>
      </c>
      <c r="AD74" s="3">
        <v>0.2</v>
      </c>
      <c r="AE74">
        <f t="shared" si="16"/>
        <v>3005.8381825641936</v>
      </c>
      <c r="AF74">
        <f t="shared" si="17"/>
        <v>1</v>
      </c>
    </row>
    <row r="75" spans="1:32" x14ac:dyDescent="0.25">
      <c r="A75" s="2">
        <v>74</v>
      </c>
      <c r="B75">
        <f t="shared" si="12"/>
        <v>275.38111279111234</v>
      </c>
      <c r="C75" s="3">
        <v>0.08</v>
      </c>
      <c r="D75">
        <f t="shared" si="13"/>
        <v>1944.1906563052535</v>
      </c>
      <c r="Q75">
        <f t="shared" si="14"/>
        <v>1944.1906563052598</v>
      </c>
      <c r="R75">
        <f t="shared" si="18"/>
        <v>154.31038612130729</v>
      </c>
      <c r="S75">
        <f t="shared" si="19"/>
        <v>10857.33710577457</v>
      </c>
      <c r="T75" s="3">
        <v>0.08</v>
      </c>
      <c r="V75">
        <f>SUM($R$2:R75)</f>
        <v>6067.4269665784286</v>
      </c>
      <c r="W75">
        <f t="shared" si="20"/>
        <v>12.793461322014146</v>
      </c>
      <c r="Z75">
        <f t="shared" si="11"/>
        <v>4.3681060593371526E-2</v>
      </c>
      <c r="AA75" s="3">
        <v>0.3</v>
      </c>
      <c r="AB75">
        <f t="shared" si="15"/>
        <v>36191.123685915234</v>
      </c>
      <c r="AC75">
        <f t="shared" si="21"/>
        <v>15930.942367590225</v>
      </c>
      <c r="AD75" s="3">
        <v>0.2</v>
      </c>
      <c r="AE75">
        <f t="shared" si="16"/>
        <v>3186.1884735180452</v>
      </c>
      <c r="AF75">
        <f t="shared" si="17"/>
        <v>1</v>
      </c>
    </row>
    <row r="76" spans="1:32" x14ac:dyDescent="0.25">
      <c r="A76" s="2">
        <v>75</v>
      </c>
      <c r="B76">
        <f t="shared" si="12"/>
        <v>297.41160181440131</v>
      </c>
      <c r="C76" s="3">
        <v>0.08</v>
      </c>
      <c r="D76">
        <f t="shared" si="13"/>
        <v>2099.7259088096739</v>
      </c>
      <c r="Q76">
        <f t="shared" si="14"/>
        <v>2099.7259088096807</v>
      </c>
      <c r="R76">
        <f t="shared" si="18"/>
        <v>157.22190284057723</v>
      </c>
      <c r="S76">
        <f t="shared" si="19"/>
        <v>11725.924074236536</v>
      </c>
      <c r="T76" s="3">
        <v>0.08</v>
      </c>
      <c r="V76">
        <f>SUM($R$2:R76)</f>
        <v>6224.6488694190057</v>
      </c>
      <c r="W76">
        <f t="shared" si="20"/>
        <v>13.124971259264973</v>
      </c>
      <c r="Z76">
        <f t="shared" si="11"/>
        <v>4.0445426475344E-2</v>
      </c>
      <c r="AA76" s="3">
        <v>0.3</v>
      </c>
      <c r="AB76">
        <f t="shared" si="15"/>
        <v>39086.41358078846</v>
      </c>
      <c r="AC76">
        <f t="shared" si="21"/>
        <v>16886.79890964564</v>
      </c>
      <c r="AD76" s="3">
        <v>0.2</v>
      </c>
      <c r="AE76">
        <f t="shared" si="16"/>
        <v>3377.3597819291281</v>
      </c>
      <c r="AF76">
        <f t="shared" si="17"/>
        <v>1</v>
      </c>
    </row>
    <row r="77" spans="1:32" x14ac:dyDescent="0.25">
      <c r="A77" s="2">
        <v>76</v>
      </c>
      <c r="B77">
        <f t="shared" si="12"/>
        <v>321.20452995955338</v>
      </c>
      <c r="C77" s="3">
        <v>0.08</v>
      </c>
      <c r="D77">
        <f t="shared" si="13"/>
        <v>2267.7039815144481</v>
      </c>
      <c r="Q77">
        <f t="shared" si="14"/>
        <v>2267.7039815144553</v>
      </c>
      <c r="R77">
        <f t="shared" si="18"/>
        <v>160.18835383756922</v>
      </c>
      <c r="S77">
        <f t="shared" si="19"/>
        <v>12663.998000175459</v>
      </c>
      <c r="T77" s="3">
        <v>0.08</v>
      </c>
      <c r="V77">
        <f>SUM($R$2:R77)</f>
        <v>6384.8372232565753</v>
      </c>
      <c r="W77">
        <f t="shared" si="20"/>
        <v>13.462736100992231</v>
      </c>
      <c r="Z77">
        <f t="shared" si="11"/>
        <v>3.7449468958651852E-2</v>
      </c>
      <c r="AA77" s="3">
        <v>0.3</v>
      </c>
      <c r="AB77">
        <f t="shared" si="15"/>
        <v>42213.326667251531</v>
      </c>
      <c r="AC77">
        <f t="shared" si="21"/>
        <v>17900.006844224379</v>
      </c>
      <c r="AD77" s="3">
        <v>0.2</v>
      </c>
      <c r="AE77">
        <f t="shared" si="16"/>
        <v>3580.0013688448762</v>
      </c>
      <c r="AF77">
        <f t="shared" si="17"/>
        <v>1</v>
      </c>
    </row>
    <row r="78" spans="1:32" x14ac:dyDescent="0.25">
      <c r="A78" s="2">
        <v>77</v>
      </c>
      <c r="B78">
        <f t="shared" si="12"/>
        <v>346.90089235631763</v>
      </c>
      <c r="C78" s="3">
        <v>0.08</v>
      </c>
      <c r="D78">
        <f t="shared" si="13"/>
        <v>2449.120300035604</v>
      </c>
      <c r="Q78">
        <f t="shared" si="14"/>
        <v>2449.1203000356118</v>
      </c>
      <c r="R78">
        <f t="shared" si="18"/>
        <v>163.21077560808939</v>
      </c>
      <c r="S78">
        <f t="shared" si="19"/>
        <v>13677.117840189498</v>
      </c>
      <c r="T78" s="3">
        <v>0.08</v>
      </c>
      <c r="V78">
        <f>SUM($R$2:R78)</f>
        <v>6548.0479988646648</v>
      </c>
      <c r="W78">
        <f t="shared" si="20"/>
        <v>13.806873864261512</v>
      </c>
      <c r="Z78">
        <f t="shared" si="11"/>
        <v>3.4675434220973932E-2</v>
      </c>
      <c r="AA78" s="3">
        <v>0.3</v>
      </c>
      <c r="AB78">
        <f t="shared" si="15"/>
        <v>45590.392800631664</v>
      </c>
      <c r="AC78">
        <f t="shared" si="21"/>
        <v>18974.007254877844</v>
      </c>
      <c r="AD78" s="3">
        <v>0.2</v>
      </c>
      <c r="AE78">
        <f t="shared" si="16"/>
        <v>3794.801450975569</v>
      </c>
      <c r="AF78">
        <f t="shared" si="17"/>
        <v>1</v>
      </c>
    </row>
    <row r="79" spans="1:32" x14ac:dyDescent="0.25">
      <c r="A79" s="2">
        <v>78</v>
      </c>
      <c r="B79">
        <f t="shared" si="12"/>
        <v>374.65296374482301</v>
      </c>
      <c r="C79" s="3">
        <v>0.08</v>
      </c>
      <c r="D79">
        <f t="shared" si="13"/>
        <v>2645.0499240384524</v>
      </c>
      <c r="Q79">
        <f t="shared" si="14"/>
        <v>2645.0499240384602</v>
      </c>
      <c r="R79">
        <f t="shared" si="18"/>
        <v>166.29022420446842</v>
      </c>
      <c r="S79">
        <f t="shared" si="19"/>
        <v>14771.287267404658</v>
      </c>
      <c r="T79" s="3">
        <v>0.08</v>
      </c>
      <c r="V79">
        <f>SUM($R$2:R79)</f>
        <v>6714.3382230691332</v>
      </c>
      <c r="W79">
        <f t="shared" si="20"/>
        <v>14.157504792875498</v>
      </c>
      <c r="Z79">
        <f t="shared" ref="Z79:Z142" si="22">$W$2/S79</f>
        <v>3.2106883537938828E-2</v>
      </c>
      <c r="AA79" s="3">
        <v>0.3</v>
      </c>
      <c r="AB79">
        <f t="shared" si="15"/>
        <v>49237.624224682193</v>
      </c>
      <c r="AC79">
        <f t="shared" si="21"/>
        <v>20112.447690170517</v>
      </c>
      <c r="AD79" s="3">
        <v>0.2</v>
      </c>
      <c r="AE79">
        <f t="shared" si="16"/>
        <v>4022.4895380341036</v>
      </c>
      <c r="AF79">
        <f t="shared" si="17"/>
        <v>1</v>
      </c>
    </row>
    <row r="80" spans="1:32" x14ac:dyDescent="0.25">
      <c r="A80" s="2">
        <v>79</v>
      </c>
      <c r="B80">
        <f t="shared" si="12"/>
        <v>404.62520084440882</v>
      </c>
      <c r="C80" s="3">
        <v>0.08</v>
      </c>
      <c r="D80">
        <f t="shared" si="13"/>
        <v>2856.6539179615288</v>
      </c>
      <c r="Q80">
        <f t="shared" si="14"/>
        <v>2856.6539179615379</v>
      </c>
      <c r="R80">
        <f t="shared" si="18"/>
        <v>169.42777560455275</v>
      </c>
      <c r="S80">
        <f t="shared" si="19"/>
        <v>15952.99024879703</v>
      </c>
      <c r="T80" s="3">
        <v>0.08</v>
      </c>
      <c r="V80">
        <f>SUM($R$2:R80)</f>
        <v>6883.7659986736862</v>
      </c>
      <c r="W80">
        <f t="shared" si="20"/>
        <v>14.51475139938786</v>
      </c>
      <c r="Z80">
        <f t="shared" si="22"/>
        <v>2.9728595868461875E-2</v>
      </c>
      <c r="AA80" s="3">
        <v>0.3</v>
      </c>
      <c r="AB80">
        <f t="shared" si="15"/>
        <v>53176.634162656766</v>
      </c>
      <c r="AC80">
        <f t="shared" si="21"/>
        <v>21319.194551580749</v>
      </c>
      <c r="AD80" s="3">
        <v>0.2</v>
      </c>
      <c r="AE80">
        <f t="shared" si="16"/>
        <v>4263.8389103161498</v>
      </c>
      <c r="AF80">
        <f t="shared" si="17"/>
        <v>1</v>
      </c>
    </row>
    <row r="81" spans="1:32" x14ac:dyDescent="0.25">
      <c r="A81" s="2">
        <v>80</v>
      </c>
      <c r="B81">
        <f t="shared" si="12"/>
        <v>436.99521691196151</v>
      </c>
      <c r="C81" s="3">
        <v>0.08</v>
      </c>
      <c r="D81">
        <f t="shared" si="13"/>
        <v>3085.1862313984511</v>
      </c>
      <c r="Q81">
        <f t="shared" si="14"/>
        <v>3085.1862313984611</v>
      </c>
      <c r="R81">
        <f t="shared" si="18"/>
        <v>172.62452608765747</v>
      </c>
      <c r="S81">
        <f t="shared" si="19"/>
        <v>17229.229468700792</v>
      </c>
      <c r="T81" s="3">
        <v>0.08</v>
      </c>
      <c r="V81">
        <f>SUM($R$2:R81)</f>
        <v>7056.3905247613438</v>
      </c>
      <c r="W81">
        <f t="shared" si="20"/>
        <v>14.878738507909889</v>
      </c>
      <c r="Z81">
        <f t="shared" si="22"/>
        <v>2.752647765598322E-2</v>
      </c>
      <c r="AA81" s="3">
        <v>0.3</v>
      </c>
      <c r="AB81">
        <f t="shared" si="15"/>
        <v>57430.764895669308</v>
      </c>
      <c r="AC81">
        <f t="shared" si="21"/>
        <v>22598.346224675595</v>
      </c>
      <c r="AD81" s="3">
        <v>0.2</v>
      </c>
      <c r="AE81">
        <f t="shared" si="16"/>
        <v>4519.6692449351194</v>
      </c>
      <c r="AF81">
        <f t="shared" si="17"/>
        <v>1</v>
      </c>
    </row>
    <row r="82" spans="1:32" x14ac:dyDescent="0.25">
      <c r="A82" s="2">
        <v>81</v>
      </c>
      <c r="B82">
        <f t="shared" si="12"/>
        <v>471.95483426491842</v>
      </c>
      <c r="C82" s="3">
        <v>0.08</v>
      </c>
      <c r="D82">
        <f t="shared" si="13"/>
        <v>3332.0011299103271</v>
      </c>
      <c r="Q82">
        <f t="shared" si="14"/>
        <v>3332.001129910338</v>
      </c>
      <c r="R82">
        <f t="shared" si="18"/>
        <v>175.88159261761334</v>
      </c>
      <c r="S82">
        <f t="shared" si="19"/>
        <v>18607.567826196857</v>
      </c>
      <c r="T82" s="3">
        <v>0.08</v>
      </c>
      <c r="V82">
        <f>SUM($R$2:R82)</f>
        <v>7232.2721173789569</v>
      </c>
      <c r="W82">
        <f t="shared" si="20"/>
        <v>15.249593297724786</v>
      </c>
      <c r="Z82">
        <f t="shared" si="22"/>
        <v>2.5487479311095573E-2</v>
      </c>
      <c r="AA82" s="3">
        <v>0.3</v>
      </c>
      <c r="AB82">
        <f t="shared" si="15"/>
        <v>62025.226087322859</v>
      </c>
      <c r="AC82">
        <f t="shared" si="21"/>
        <v>23954.246998156133</v>
      </c>
      <c r="AD82" s="3">
        <v>0.2</v>
      </c>
      <c r="AE82">
        <f t="shared" si="16"/>
        <v>4790.8493996312272</v>
      </c>
      <c r="AF82">
        <f t="shared" si="17"/>
        <v>1</v>
      </c>
    </row>
    <row r="83" spans="1:32" x14ac:dyDescent="0.25">
      <c r="A83" s="2">
        <v>82</v>
      </c>
      <c r="B83">
        <f t="shared" si="12"/>
        <v>509.71122100611188</v>
      </c>
      <c r="C83" s="3">
        <v>0.08</v>
      </c>
      <c r="D83">
        <f t="shared" si="13"/>
        <v>3598.5612203031533</v>
      </c>
      <c r="Q83">
        <f t="shared" si="14"/>
        <v>3598.5612203031651</v>
      </c>
      <c r="R83">
        <f t="shared" si="18"/>
        <v>179.20011323303999</v>
      </c>
      <c r="S83">
        <f t="shared" si="19"/>
        <v>20096.173252292607</v>
      </c>
      <c r="T83" s="3">
        <v>0.08</v>
      </c>
      <c r="V83">
        <f>SUM($R$2:R83)</f>
        <v>7411.4722306119966</v>
      </c>
      <c r="W83">
        <f t="shared" si="20"/>
        <v>15.627445347724869</v>
      </c>
      <c r="Z83">
        <f t="shared" si="22"/>
        <v>2.3599517880644048E-2</v>
      </c>
      <c r="AA83" s="3">
        <v>0.3</v>
      </c>
      <c r="AB83">
        <f t="shared" si="15"/>
        <v>66987.244174308697</v>
      </c>
      <c r="AC83">
        <f t="shared" si="21"/>
        <v>25391.501818045504</v>
      </c>
      <c r="AD83" s="3">
        <v>0.2</v>
      </c>
      <c r="AE83">
        <f t="shared" si="16"/>
        <v>5078.3003636091016</v>
      </c>
      <c r="AF83">
        <f t="shared" si="17"/>
        <v>1</v>
      </c>
    </row>
    <row r="84" spans="1:32" x14ac:dyDescent="0.25">
      <c r="A84" s="2">
        <v>83</v>
      </c>
      <c r="B84">
        <f t="shared" si="12"/>
        <v>550.48811868660084</v>
      </c>
      <c r="C84" s="3">
        <v>0.08</v>
      </c>
      <c r="D84">
        <f t="shared" si="13"/>
        <v>3886.4461179274058</v>
      </c>
      <c r="Q84">
        <f t="shared" si="14"/>
        <v>3886.4461179274185</v>
      </c>
      <c r="R84">
        <f t="shared" si="18"/>
        <v>182.58124744498417</v>
      </c>
      <c r="S84">
        <f t="shared" si="19"/>
        <v>21703.867112476019</v>
      </c>
      <c r="T84" s="3">
        <v>0.08</v>
      </c>
      <c r="V84">
        <f>SUM($R$2:R84)</f>
        <v>7594.0534780569806</v>
      </c>
      <c r="W84">
        <f t="shared" si="20"/>
        <v>16.01242668168722</v>
      </c>
      <c r="Z84">
        <f t="shared" si="22"/>
        <v>2.1851405445040779E-2</v>
      </c>
      <c r="AA84" s="3">
        <v>0.3</v>
      </c>
      <c r="AB84">
        <f t="shared" si="15"/>
        <v>72346.223708253397</v>
      </c>
      <c r="AC84">
        <f t="shared" si="21"/>
        <v>26914.991927128238</v>
      </c>
      <c r="AD84" s="3">
        <v>0.2</v>
      </c>
      <c r="AE84">
        <f t="shared" si="16"/>
        <v>5382.9983854256479</v>
      </c>
      <c r="AF84">
        <f t="shared" si="17"/>
        <v>1</v>
      </c>
    </row>
    <row r="85" spans="1:32" x14ac:dyDescent="0.25">
      <c r="A85" s="2">
        <v>84</v>
      </c>
      <c r="B85">
        <f t="shared" si="12"/>
        <v>594.52716818152885</v>
      </c>
      <c r="C85" s="3">
        <v>0.08</v>
      </c>
      <c r="D85">
        <f t="shared" si="13"/>
        <v>4197.361807361598</v>
      </c>
      <c r="Q85">
        <f t="shared" si="14"/>
        <v>4197.3618073616126</v>
      </c>
      <c r="R85">
        <f t="shared" si="18"/>
        <v>186.02617664205931</v>
      </c>
      <c r="S85">
        <f t="shared" si="19"/>
        <v>23440.1764814741</v>
      </c>
      <c r="T85" s="3">
        <v>0.08</v>
      </c>
      <c r="V85">
        <f>SUM($R$2:R85)</f>
        <v>7780.0796546990396</v>
      </c>
      <c r="W85">
        <f t="shared" si="20"/>
        <v>16.404671814403574</v>
      </c>
      <c r="Z85">
        <f t="shared" si="22"/>
        <v>2.0232782819482206E-2</v>
      </c>
      <c r="AA85" s="3">
        <v>0.3</v>
      </c>
      <c r="AB85">
        <f t="shared" si="15"/>
        <v>78133.921604913674</v>
      </c>
      <c r="AC85">
        <f t="shared" si="21"/>
        <v>28529.891442755932</v>
      </c>
      <c r="AD85" s="3">
        <v>0.2</v>
      </c>
      <c r="AE85">
        <f t="shared" si="16"/>
        <v>5705.9782885511868</v>
      </c>
      <c r="AF85">
        <f t="shared" si="17"/>
        <v>1</v>
      </c>
    </row>
    <row r="86" spans="1:32" x14ac:dyDescent="0.25">
      <c r="A86" s="2">
        <v>85</v>
      </c>
      <c r="B86">
        <f t="shared" si="12"/>
        <v>642.08934163605113</v>
      </c>
      <c r="C86" s="3">
        <v>0.08</v>
      </c>
      <c r="D86">
        <f t="shared" si="13"/>
        <v>4533.1507519505258</v>
      </c>
      <c r="Q86">
        <f t="shared" si="14"/>
        <v>4533.1507519505412</v>
      </c>
      <c r="R86">
        <f t="shared" si="18"/>
        <v>189.53610450323023</v>
      </c>
      <c r="S86">
        <f t="shared" si="19"/>
        <v>25315.390599992028</v>
      </c>
      <c r="T86" s="3">
        <v>0.08</v>
      </c>
      <c r="V86">
        <f>SUM($R$2:R86)</f>
        <v>7969.6157592022701</v>
      </c>
      <c r="W86">
        <f t="shared" si="20"/>
        <v>16.804317798680618</v>
      </c>
      <c r="Z86">
        <f t="shared" si="22"/>
        <v>1.8734058166187225E-2</v>
      </c>
      <c r="AA86" s="3">
        <v>0.3</v>
      </c>
      <c r="AB86">
        <f t="shared" si="15"/>
        <v>84384.635333306767</v>
      </c>
      <c r="AC86">
        <f t="shared" si="21"/>
        <v>30241.684929321291</v>
      </c>
      <c r="AD86" s="3">
        <v>0.2</v>
      </c>
      <c r="AE86">
        <f t="shared" si="16"/>
        <v>6048.3369858642582</v>
      </c>
      <c r="AF86">
        <f t="shared" si="17"/>
        <v>1</v>
      </c>
    </row>
    <row r="87" spans="1:32" x14ac:dyDescent="0.25">
      <c r="A87" s="2">
        <v>86</v>
      </c>
      <c r="B87">
        <f t="shared" si="12"/>
        <v>693.45648896693524</v>
      </c>
      <c r="C87" s="3">
        <v>0.08</v>
      </c>
      <c r="D87">
        <f t="shared" si="13"/>
        <v>4895.8028121065681</v>
      </c>
      <c r="Q87">
        <f t="shared" si="14"/>
        <v>4895.8028121065854</v>
      </c>
      <c r="R87">
        <f t="shared" si="18"/>
        <v>193.1122574183855</v>
      </c>
      <c r="S87">
        <f t="shared" si="19"/>
        <v>27340.621847991391</v>
      </c>
      <c r="T87" s="3">
        <v>0.08</v>
      </c>
      <c r="V87">
        <f>SUM($R$2:R87)</f>
        <v>8162.7280166206556</v>
      </c>
      <c r="W87">
        <f t="shared" si="20"/>
        <v>17.211504273227039</v>
      </c>
      <c r="Z87">
        <f t="shared" si="22"/>
        <v>1.734635015387706E-2</v>
      </c>
      <c r="AA87" s="3">
        <v>0.3</v>
      </c>
      <c r="AB87">
        <f t="shared" si="15"/>
        <v>91135.406159971302</v>
      </c>
      <c r="AC87">
        <f t="shared" si="21"/>
        <v>32056.186025080569</v>
      </c>
      <c r="AD87" s="3">
        <v>0.2</v>
      </c>
      <c r="AE87">
        <f t="shared" si="16"/>
        <v>6411.2372050161139</v>
      </c>
      <c r="AF87">
        <f t="shared" si="17"/>
        <v>1</v>
      </c>
    </row>
    <row r="88" spans="1:32" x14ac:dyDescent="0.25">
      <c r="A88" s="2">
        <v>87</v>
      </c>
      <c r="B88">
        <f t="shared" si="12"/>
        <v>748.93300808429001</v>
      </c>
      <c r="C88" s="3">
        <v>0.08</v>
      </c>
      <c r="D88">
        <f t="shared" si="13"/>
        <v>5287.4670370750937</v>
      </c>
      <c r="Q88">
        <f t="shared" si="14"/>
        <v>5287.4670370751119</v>
      </c>
      <c r="R88">
        <f t="shared" si="18"/>
        <v>196.75588491684559</v>
      </c>
      <c r="S88">
        <f t="shared" si="19"/>
        <v>29527.871595830704</v>
      </c>
      <c r="T88" s="3">
        <v>0.08</v>
      </c>
      <c r="V88">
        <f>SUM($R$2:R88)</f>
        <v>8359.4839015375019</v>
      </c>
      <c r="W88">
        <f t="shared" si="20"/>
        <v>17.62637351144415</v>
      </c>
      <c r="Z88">
        <f t="shared" si="22"/>
        <v>1.6061435327663943E-2</v>
      </c>
      <c r="AA88" s="3">
        <v>0.3</v>
      </c>
      <c r="AB88">
        <f t="shared" si="15"/>
        <v>98426.238652769011</v>
      </c>
      <c r="AC88">
        <f t="shared" si="21"/>
        <v>33979.557186585407</v>
      </c>
      <c r="AD88" s="3">
        <v>0.2</v>
      </c>
      <c r="AE88">
        <f t="shared" si="16"/>
        <v>6795.9114373170814</v>
      </c>
      <c r="AF88">
        <f t="shared" si="17"/>
        <v>1</v>
      </c>
    </row>
    <row r="89" spans="1:32" x14ac:dyDescent="0.25">
      <c r="A89" s="2">
        <v>88</v>
      </c>
      <c r="B89">
        <f t="shared" si="12"/>
        <v>808.84764873103325</v>
      </c>
      <c r="C89" s="3">
        <v>0.08</v>
      </c>
      <c r="D89">
        <f t="shared" si="13"/>
        <v>5710.4644000411008</v>
      </c>
      <c r="Q89">
        <f t="shared" si="14"/>
        <v>5710.4644000411217</v>
      </c>
      <c r="R89">
        <f t="shared" si="18"/>
        <v>200.46826010395588</v>
      </c>
      <c r="S89">
        <f t="shared" si="19"/>
        <v>31890.101323497162</v>
      </c>
      <c r="T89" s="3">
        <v>0.08</v>
      </c>
      <c r="V89">
        <f>SUM($R$2:R89)</f>
        <v>8559.9521616414586</v>
      </c>
      <c r="W89">
        <f t="shared" si="20"/>
        <v>18.049070471137053</v>
      </c>
      <c r="Z89">
        <f t="shared" si="22"/>
        <v>1.4871699377466614E-2</v>
      </c>
      <c r="AA89" s="3">
        <v>0.3</v>
      </c>
      <c r="AB89">
        <f t="shared" si="15"/>
        <v>106300.33774499054</v>
      </c>
      <c r="AC89">
        <f t="shared" si="21"/>
        <v>36018.330617780535</v>
      </c>
      <c r="AD89" s="3">
        <v>0.2</v>
      </c>
      <c r="AE89">
        <f t="shared" si="16"/>
        <v>7203.6661235561078</v>
      </c>
      <c r="AF89">
        <f t="shared" si="17"/>
        <v>1</v>
      </c>
    </row>
    <row r="90" spans="1:32" x14ac:dyDescent="0.25">
      <c r="A90" s="2">
        <v>89</v>
      </c>
      <c r="B90">
        <f t="shared" si="12"/>
        <v>873.55546062951589</v>
      </c>
      <c r="C90" s="3">
        <v>0.08</v>
      </c>
      <c r="D90">
        <f t="shared" si="13"/>
        <v>6167.3015520443887</v>
      </c>
      <c r="Q90">
        <f t="shared" si="14"/>
        <v>6167.3015520444114</v>
      </c>
      <c r="R90">
        <f t="shared" si="18"/>
        <v>204.25068010591735</v>
      </c>
      <c r="S90">
        <f t="shared" si="19"/>
        <v>34441.309429376939</v>
      </c>
      <c r="T90" s="3">
        <v>0.08</v>
      </c>
      <c r="V90">
        <f>SUM($R$2:R90)</f>
        <v>8764.2028417473757</v>
      </c>
      <c r="W90">
        <f t="shared" si="20"/>
        <v>18.479742845163784</v>
      </c>
      <c r="Z90">
        <f t="shared" si="22"/>
        <v>1.377009201617279E-2</v>
      </c>
      <c r="AA90" s="3">
        <v>0.3</v>
      </c>
      <c r="AB90">
        <f t="shared" si="15"/>
        <v>114804.3647645898</v>
      </c>
      <c r="AC90">
        <f t="shared" si="21"/>
        <v>38179.430454847366</v>
      </c>
      <c r="AD90" s="3">
        <v>0.2</v>
      </c>
      <c r="AE90">
        <f t="shared" si="16"/>
        <v>7635.886090969474</v>
      </c>
      <c r="AF90">
        <f t="shared" si="17"/>
        <v>1</v>
      </c>
    </row>
    <row r="91" spans="1:32" x14ac:dyDescent="0.25">
      <c r="A91" s="2">
        <v>90</v>
      </c>
      <c r="B91">
        <f t="shared" si="12"/>
        <v>943.43989747987712</v>
      </c>
      <c r="C91" s="3">
        <v>0.08</v>
      </c>
      <c r="D91">
        <f t="shared" si="13"/>
        <v>6660.6856762079397</v>
      </c>
      <c r="Q91">
        <f t="shared" si="14"/>
        <v>6660.6856762079651</v>
      </c>
      <c r="R91">
        <f t="shared" si="18"/>
        <v>208.10446652301019</v>
      </c>
      <c r="S91">
        <f t="shared" si="19"/>
        <v>37196.614183727099</v>
      </c>
      <c r="T91" s="3">
        <v>0.08</v>
      </c>
      <c r="V91">
        <f>SUM($R$2:R91)</f>
        <v>8972.3073082703868</v>
      </c>
      <c r="W91">
        <f t="shared" si="20"/>
        <v>18.918541113040078</v>
      </c>
      <c r="Z91">
        <f t="shared" si="22"/>
        <v>1.2750085200159989E-2</v>
      </c>
      <c r="AA91" s="3">
        <v>0.3</v>
      </c>
      <c r="AB91">
        <f t="shared" si="15"/>
        <v>123988.713945757</v>
      </c>
      <c r="AC91">
        <f t="shared" si="21"/>
        <v>40470.196282138211</v>
      </c>
      <c r="AD91" s="3">
        <v>0.2</v>
      </c>
      <c r="AE91">
        <f t="shared" si="16"/>
        <v>8094.0392564276426</v>
      </c>
      <c r="AF91">
        <f t="shared" si="17"/>
        <v>1</v>
      </c>
    </row>
    <row r="92" spans="1:32" x14ac:dyDescent="0.25">
      <c r="A92" s="2">
        <v>91</v>
      </c>
      <c r="B92">
        <f t="shared" si="12"/>
        <v>1018.9150892782673</v>
      </c>
      <c r="C92" s="3">
        <v>0.08</v>
      </c>
      <c r="D92">
        <f t="shared" si="13"/>
        <v>7193.5405303045745</v>
      </c>
      <c r="Q92">
        <f t="shared" si="14"/>
        <v>7193.5405303046018</v>
      </c>
      <c r="R92">
        <f t="shared" si="18"/>
        <v>212.03096589136888</v>
      </c>
      <c r="S92">
        <f t="shared" si="19"/>
        <v>40172.343318425272</v>
      </c>
      <c r="T92" s="3">
        <v>0.08</v>
      </c>
      <c r="V92">
        <f>SUM($R$2:R92)</f>
        <v>9184.3382741617552</v>
      </c>
      <c r="W92">
        <f t="shared" si="20"/>
        <v>19.365618593517809</v>
      </c>
      <c r="Z92">
        <f t="shared" si="22"/>
        <v>1.180563444459258E-2</v>
      </c>
      <c r="AA92" s="3">
        <v>0.3</v>
      </c>
      <c r="AB92">
        <f t="shared" si="15"/>
        <v>133907.81106141757</v>
      </c>
      <c r="AC92">
        <f t="shared" si="21"/>
        <v>42898.408059066503</v>
      </c>
      <c r="AD92" s="3">
        <v>0.2</v>
      </c>
      <c r="AE92">
        <f t="shared" si="16"/>
        <v>8579.6816118133011</v>
      </c>
      <c r="AF92">
        <f t="shared" si="17"/>
        <v>1</v>
      </c>
    </row>
    <row r="93" spans="1:32" x14ac:dyDescent="0.25">
      <c r="A93" s="2">
        <v>92</v>
      </c>
      <c r="B93">
        <f t="shared" si="12"/>
        <v>1100.4282964205286</v>
      </c>
      <c r="C93" s="3">
        <v>0.08</v>
      </c>
      <c r="D93">
        <f t="shared" si="13"/>
        <v>7769.0237727289405</v>
      </c>
      <c r="Q93">
        <f t="shared" si="14"/>
        <v>7769.0237727289696</v>
      </c>
      <c r="R93">
        <f t="shared" si="18"/>
        <v>216.03155015347014</v>
      </c>
      <c r="S93">
        <f t="shared" si="19"/>
        <v>43386.130783899294</v>
      </c>
      <c r="T93" s="3">
        <v>0.08</v>
      </c>
      <c r="V93">
        <f>SUM($R$2:R93)</f>
        <v>9400.3698243152248</v>
      </c>
      <c r="W93">
        <f t="shared" si="20"/>
        <v>19.821131498155495</v>
      </c>
      <c r="Z93">
        <f t="shared" si="22"/>
        <v>1.0931143004252389E-2</v>
      </c>
      <c r="AA93" s="3">
        <v>0.3</v>
      </c>
      <c r="AB93">
        <f t="shared" si="15"/>
        <v>144620.43594633098</v>
      </c>
      <c r="AC93">
        <f t="shared" si="21"/>
        <v>45472.312542610496</v>
      </c>
      <c r="AD93" s="3">
        <v>0.2</v>
      </c>
      <c r="AE93">
        <f t="shared" si="16"/>
        <v>9094.4625085220996</v>
      </c>
      <c r="AF93">
        <f t="shared" si="17"/>
        <v>1</v>
      </c>
    </row>
    <row r="94" spans="1:32" x14ac:dyDescent="0.25">
      <c r="A94" s="2">
        <v>93</v>
      </c>
      <c r="B94">
        <f t="shared" si="12"/>
        <v>1188.4625601341709</v>
      </c>
      <c r="C94" s="3">
        <v>0.08</v>
      </c>
      <c r="D94">
        <f t="shared" si="13"/>
        <v>8390.5456745472547</v>
      </c>
      <c r="Q94">
        <f t="shared" si="14"/>
        <v>8390.5456745472875</v>
      </c>
      <c r="R94">
        <f t="shared" si="18"/>
        <v>220.1076171374979</v>
      </c>
      <c r="S94">
        <f t="shared" si="19"/>
        <v>46857.021246611243</v>
      </c>
      <c r="T94" s="3">
        <v>0.08</v>
      </c>
      <c r="V94">
        <f>SUM($R$2:R94)</f>
        <v>9620.4774414527219</v>
      </c>
      <c r="W94">
        <f t="shared" si="20"/>
        <v>20.285238985899554</v>
      </c>
      <c r="Z94">
        <f t="shared" si="22"/>
        <v>1.01214287076411E-2</v>
      </c>
      <c r="AA94" s="3">
        <v>0.3</v>
      </c>
      <c r="AB94">
        <f t="shared" si="15"/>
        <v>156190.07082203749</v>
      </c>
      <c r="AC94">
        <f t="shared" si="21"/>
        <v>48200.651295167125</v>
      </c>
      <c r="AD94" s="3">
        <v>0.2</v>
      </c>
      <c r="AE94">
        <f t="shared" si="16"/>
        <v>9640.1302590334253</v>
      </c>
      <c r="AF94">
        <f t="shared" si="17"/>
        <v>1</v>
      </c>
    </row>
    <row r="95" spans="1:32" x14ac:dyDescent="0.25">
      <c r="A95" s="2">
        <v>94</v>
      </c>
      <c r="B95">
        <f t="shared" si="12"/>
        <v>1283.5395649449044</v>
      </c>
      <c r="C95" s="3">
        <v>0.08</v>
      </c>
      <c r="D95">
        <f t="shared" si="13"/>
        <v>9061.7893285110349</v>
      </c>
      <c r="Q95">
        <f t="shared" si="14"/>
        <v>9061.7893285110713</v>
      </c>
      <c r="R95">
        <f t="shared" si="18"/>
        <v>224.26059104575256</v>
      </c>
      <c r="S95">
        <f t="shared" si="19"/>
        <v>50605.582946340146</v>
      </c>
      <c r="T95" s="3">
        <v>0.08</v>
      </c>
      <c r="V95">
        <f>SUM($R$2:R95)</f>
        <v>9844.7380324984751</v>
      </c>
      <c r="W95">
        <f t="shared" si="20"/>
        <v>20.758103218695389</v>
      </c>
      <c r="Z95">
        <f t="shared" si="22"/>
        <v>9.3716932478158325E-3</v>
      </c>
      <c r="AA95" s="3">
        <v>0.3</v>
      </c>
      <c r="AB95">
        <f t="shared" si="15"/>
        <v>168685.2764878005</v>
      </c>
      <c r="AC95">
        <f t="shared" si="21"/>
        <v>51092.690372877158</v>
      </c>
      <c r="AD95" s="3">
        <v>0.2</v>
      </c>
      <c r="AE95">
        <f t="shared" si="16"/>
        <v>10218.538074575432</v>
      </c>
      <c r="AF95">
        <f t="shared" si="17"/>
        <v>1</v>
      </c>
    </row>
    <row r="96" spans="1:32" x14ac:dyDescent="0.25">
      <c r="A96" s="2">
        <v>95</v>
      </c>
      <c r="B96">
        <f t="shared" si="12"/>
        <v>1386.2227301404969</v>
      </c>
      <c r="C96" s="3">
        <v>0.08</v>
      </c>
      <c r="D96">
        <f t="shared" si="13"/>
        <v>9786.7324747919174</v>
      </c>
      <c r="Q96">
        <f t="shared" si="14"/>
        <v>9786.7324747919592</v>
      </c>
      <c r="R96">
        <f t="shared" si="18"/>
        <v>228.49192295227621</v>
      </c>
      <c r="S96">
        <f t="shared" si="19"/>
        <v>54654.029582047362</v>
      </c>
      <c r="T96" s="3">
        <v>0.08</v>
      </c>
      <c r="V96">
        <f>SUM($R$2:R96)</f>
        <v>10073.229955450752</v>
      </c>
      <c r="W96">
        <f t="shared" si="20"/>
        <v>21.239889418147751</v>
      </c>
      <c r="Z96">
        <f t="shared" si="22"/>
        <v>8.6774937479776222E-3</v>
      </c>
      <c r="AA96" s="3">
        <v>0.3</v>
      </c>
      <c r="AB96">
        <f t="shared" si="15"/>
        <v>182180.09860682455</v>
      </c>
      <c r="AC96">
        <f t="shared" si="21"/>
        <v>54158.251795249787</v>
      </c>
      <c r="AD96" s="3">
        <v>0.2</v>
      </c>
      <c r="AE96">
        <f t="shared" si="16"/>
        <v>10831.650359049958</v>
      </c>
      <c r="AF96">
        <f t="shared" si="17"/>
        <v>1</v>
      </c>
    </row>
    <row r="97" spans="1:32" x14ac:dyDescent="0.25">
      <c r="A97" s="2">
        <v>96</v>
      </c>
      <c r="B97">
        <f t="shared" si="12"/>
        <v>1497.1205485517366</v>
      </c>
      <c r="C97" s="3">
        <v>0.08</v>
      </c>
      <c r="D97">
        <f t="shared" si="13"/>
        <v>10569.671072775271</v>
      </c>
      <c r="Q97">
        <f t="shared" si="14"/>
        <v>10569.671072775316</v>
      </c>
      <c r="R97">
        <f t="shared" si="18"/>
        <v>232.80309130986629</v>
      </c>
      <c r="S97">
        <f t="shared" si="19"/>
        <v>59026.351948611155</v>
      </c>
      <c r="T97" s="3">
        <v>0.08</v>
      </c>
      <c r="V97">
        <f>SUM($R$2:R97)</f>
        <v>10306.033046760618</v>
      </c>
      <c r="W97">
        <f t="shared" si="20"/>
        <v>21.730765923250154</v>
      </c>
      <c r="Z97">
        <f t="shared" si="22"/>
        <v>8.0347164333126123E-3</v>
      </c>
      <c r="AA97" s="3">
        <v>0.3</v>
      </c>
      <c r="AB97">
        <f t="shared" si="15"/>
        <v>196754.50649537053</v>
      </c>
      <c r="AC97">
        <f t="shared" si="21"/>
        <v>57407.746902964776</v>
      </c>
      <c r="AD97" s="3">
        <v>0.2</v>
      </c>
      <c r="AE97">
        <f t="shared" si="16"/>
        <v>11481.549380592956</v>
      </c>
      <c r="AF97">
        <f t="shared" si="17"/>
        <v>1</v>
      </c>
    </row>
    <row r="98" spans="1:32" x14ac:dyDescent="0.25">
      <c r="A98" s="2">
        <v>97</v>
      </c>
      <c r="B98">
        <f t="shared" si="12"/>
        <v>1616.8901924358756</v>
      </c>
      <c r="C98" s="3">
        <v>0.08</v>
      </c>
      <c r="D98">
        <f t="shared" si="13"/>
        <v>11415.244758597291</v>
      </c>
      <c r="Q98">
        <f t="shared" si="14"/>
        <v>11415.244758597342</v>
      </c>
      <c r="R98">
        <f t="shared" si="18"/>
        <v>237.19560246665628</v>
      </c>
      <c r="S98">
        <f t="shared" si="19"/>
        <v>63748.460104500053</v>
      </c>
      <c r="T98" s="3">
        <v>0.08</v>
      </c>
      <c r="V98">
        <f>SUM($R$2:R98)</f>
        <v>10543.228649227274</v>
      </c>
      <c r="W98">
        <f t="shared" si="20"/>
        <v>22.230904249203547</v>
      </c>
      <c r="Z98">
        <f t="shared" si="22"/>
        <v>7.4395522530672333E-3</v>
      </c>
      <c r="AA98" s="3">
        <v>0.3</v>
      </c>
      <c r="AB98">
        <f t="shared" si="15"/>
        <v>212494.86701500017</v>
      </c>
      <c r="AC98">
        <f t="shared" si="21"/>
        <v>60852.211717142665</v>
      </c>
      <c r="AD98" s="3">
        <v>0.2</v>
      </c>
      <c r="AE98">
        <f t="shared" si="16"/>
        <v>12170.442343428535</v>
      </c>
      <c r="AF98">
        <f t="shared" si="17"/>
        <v>1</v>
      </c>
    </row>
    <row r="99" spans="1:32" x14ac:dyDescent="0.25">
      <c r="A99" s="2">
        <v>98</v>
      </c>
      <c r="B99">
        <f t="shared" si="12"/>
        <v>1746.2414078307456</v>
      </c>
      <c r="C99" s="3">
        <v>0.08</v>
      </c>
      <c r="D99">
        <f t="shared" si="13"/>
        <v>12328.464339285074</v>
      </c>
      <c r="Q99">
        <f t="shared" si="14"/>
        <v>12328.464339285129</v>
      </c>
      <c r="R99">
        <f t="shared" si="18"/>
        <v>241.67099119244227</v>
      </c>
      <c r="S99">
        <f t="shared" si="19"/>
        <v>68848.336912860061</v>
      </c>
      <c r="T99" s="3">
        <v>0.08</v>
      </c>
      <c r="V99">
        <f>SUM($R$2:R99)</f>
        <v>10784.899640419717</v>
      </c>
      <c r="W99">
        <f t="shared" si="20"/>
        <v>22.740479147344743</v>
      </c>
      <c r="Z99">
        <f t="shared" si="22"/>
        <v>6.8884743083955854E-3</v>
      </c>
      <c r="AA99" s="3">
        <v>0.3</v>
      </c>
      <c r="AB99">
        <f t="shared" si="15"/>
        <v>229494.45637620022</v>
      </c>
      <c r="AC99">
        <f t="shared" si="21"/>
        <v>64503.344420171226</v>
      </c>
      <c r="AD99" s="3">
        <v>0.2</v>
      </c>
      <c r="AE99">
        <f t="shared" si="16"/>
        <v>12900.668884034247</v>
      </c>
      <c r="AF99">
        <f t="shared" si="17"/>
        <v>1</v>
      </c>
    </row>
    <row r="100" spans="1:32" x14ac:dyDescent="0.25">
      <c r="A100" s="2">
        <v>99</v>
      </c>
      <c r="B100">
        <f t="shared" si="12"/>
        <v>1885.9407204572053</v>
      </c>
      <c r="C100" s="3">
        <v>0.08</v>
      </c>
      <c r="D100">
        <f t="shared" si="13"/>
        <v>13314.74148642788</v>
      </c>
      <c r="Q100">
        <f t="shared" si="14"/>
        <v>13314.74148642794</v>
      </c>
      <c r="R100">
        <f t="shared" si="18"/>
        <v>246.23082121494116</v>
      </c>
      <c r="S100">
        <f t="shared" si="19"/>
        <v>74356.203865888863</v>
      </c>
      <c r="T100" s="3">
        <v>0.08</v>
      </c>
      <c r="V100">
        <f>SUM($R$2:R100)</f>
        <v>11031.130461634659</v>
      </c>
      <c r="W100">
        <f t="shared" si="20"/>
        <v>23.259668666205581</v>
      </c>
      <c r="Z100">
        <f t="shared" si="22"/>
        <v>6.378216952218135E-3</v>
      </c>
      <c r="AA100" s="3">
        <v>0.3</v>
      </c>
      <c r="AB100">
        <f t="shared" si="15"/>
        <v>247854.01288629623</v>
      </c>
      <c r="AC100">
        <f t="shared" si="21"/>
        <v>68373.545085381498</v>
      </c>
      <c r="AD100" s="3">
        <v>0.2</v>
      </c>
      <c r="AE100">
        <f t="shared" si="16"/>
        <v>13674.7090170763</v>
      </c>
      <c r="AF100">
        <f t="shared" si="17"/>
        <v>1</v>
      </c>
    </row>
    <row r="101" spans="1:32" x14ac:dyDescent="0.25">
      <c r="A101" s="2">
        <v>100</v>
      </c>
      <c r="B101">
        <f t="shared" si="12"/>
        <v>2036.8159780937817</v>
      </c>
      <c r="C101" s="3">
        <v>0.08</v>
      </c>
      <c r="D101">
        <f t="shared" si="13"/>
        <v>14379.92080534211</v>
      </c>
      <c r="Q101">
        <f t="shared" si="14"/>
        <v>14379.920805342177</v>
      </c>
      <c r="R101">
        <f t="shared" si="18"/>
        <v>250.87668576616642</v>
      </c>
      <c r="S101">
        <f t="shared" si="19"/>
        <v>80304.700175159975</v>
      </c>
      <c r="T101" s="3">
        <v>0.08</v>
      </c>
      <c r="V101">
        <f>SUM($R$2:R101)</f>
        <v>11282.007147400825</v>
      </c>
      <c r="W101">
        <f t="shared" si="20"/>
        <v>23.788654213724172</v>
      </c>
      <c r="Z101">
        <f t="shared" si="22"/>
        <v>5.9057564372390139E-3</v>
      </c>
      <c r="AA101" s="3">
        <v>0.3</v>
      </c>
      <c r="AB101">
        <f t="shared" si="15"/>
        <v>267682.33391719993</v>
      </c>
      <c r="AC101">
        <f t="shared" si="21"/>
        <v>72475.957790504399</v>
      </c>
      <c r="AD101" s="3">
        <v>0.2</v>
      </c>
      <c r="AE101">
        <f t="shared" si="16"/>
        <v>14495.19155810088</v>
      </c>
      <c r="AF101">
        <f t="shared" si="17"/>
        <v>1</v>
      </c>
    </row>
    <row r="102" spans="1:32" x14ac:dyDescent="0.25">
      <c r="A102" s="2">
        <v>101</v>
      </c>
      <c r="B102">
        <f t="shared" ref="B102:B165" si="23">B101+B101*C101</f>
        <v>2199.761256341284</v>
      </c>
      <c r="C102" s="3">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3">
        <v>0.08</v>
      </c>
      <c r="V102">
        <f>SUM($R$2:R102)</f>
        <v>11537.617355539938</v>
      </c>
      <c r="W102">
        <f t="shared" ref="W102:W165" si="28">V102/$W$2</f>
        <v>24.327620620629904</v>
      </c>
      <c r="Z102">
        <f t="shared" si="22"/>
        <v>5.468292997443531E-3</v>
      </c>
      <c r="AA102" s="3">
        <v>0.3</v>
      </c>
      <c r="AB102">
        <f t="shared" si="15"/>
        <v>289096.92063057591</v>
      </c>
      <c r="AC102">
        <f t="shared" si="21"/>
        <v>76824.515257934661</v>
      </c>
      <c r="AD102" s="3">
        <v>0.2</v>
      </c>
      <c r="AE102">
        <f t="shared" si="16"/>
        <v>15364.903051586933</v>
      </c>
      <c r="AF102">
        <f t="shared" si="17"/>
        <v>1</v>
      </c>
    </row>
    <row r="103" spans="1:32" x14ac:dyDescent="0.25">
      <c r="A103" s="2">
        <v>102</v>
      </c>
      <c r="B103">
        <f t="shared" si="23"/>
        <v>2375.7421568485865</v>
      </c>
      <c r="C103" s="3">
        <v>0.08</v>
      </c>
      <c r="D103">
        <f t="shared" si="24"/>
        <v>16772.739627351039</v>
      </c>
      <c r="Q103">
        <f t="shared" si="25"/>
        <v>16772.739627351115</v>
      </c>
      <c r="R103">
        <f t="shared" si="26"/>
        <v>260.43304225494529</v>
      </c>
      <c r="S103">
        <f t="shared" si="27"/>
        <v>93667.402284306605</v>
      </c>
      <c r="T103" s="3">
        <v>0.08</v>
      </c>
      <c r="V103">
        <f>SUM($R$2:R103)</f>
        <v>11798.050397794883</v>
      </c>
      <c r="W103">
        <f t="shared" si="28"/>
        <v>24.876756205024424</v>
      </c>
      <c r="Z103">
        <f t="shared" si="22"/>
        <v>5.0632342568921584E-3</v>
      </c>
      <c r="AA103" s="3">
        <v>0.3</v>
      </c>
      <c r="AB103">
        <f t="shared" si="15"/>
        <v>312224.67428102205</v>
      </c>
      <c r="AC103">
        <f t="shared" si="21"/>
        <v>81433.98617341074</v>
      </c>
      <c r="AD103" s="3">
        <v>0.2</v>
      </c>
      <c r="AE103">
        <f t="shared" si="16"/>
        <v>16286.797234682148</v>
      </c>
      <c r="AF103">
        <f t="shared" si="17"/>
        <v>1</v>
      </c>
    </row>
    <row r="104" spans="1:32" x14ac:dyDescent="0.25">
      <c r="A104" s="2">
        <v>103</v>
      </c>
      <c r="B104">
        <f t="shared" si="23"/>
        <v>2565.8015293964736</v>
      </c>
      <c r="C104" s="3">
        <v>0.08</v>
      </c>
      <c r="D104">
        <f t="shared" si="24"/>
        <v>18114.558797539121</v>
      </c>
      <c r="Q104">
        <f t="shared" si="25"/>
        <v>18114.558797539208</v>
      </c>
      <c r="R104">
        <f t="shared" si="26"/>
        <v>265.34687324088759</v>
      </c>
      <c r="S104">
        <f t="shared" si="27"/>
        <v>101160.79446705114</v>
      </c>
      <c r="T104" s="3">
        <v>0.08</v>
      </c>
      <c r="V104">
        <f>SUM($R$2:R104)</f>
        <v>12063.39727103577</v>
      </c>
      <c r="W104">
        <f t="shared" si="28"/>
        <v>25.436252838181105</v>
      </c>
      <c r="Z104">
        <f t="shared" si="22"/>
        <v>4.6881798674927389E-3</v>
      </c>
      <c r="AA104" s="3">
        <v>0.3</v>
      </c>
      <c r="AB104">
        <f t="shared" si="15"/>
        <v>337202.64822350378</v>
      </c>
      <c r="AC104">
        <f t="shared" si="21"/>
        <v>86320.025343815389</v>
      </c>
      <c r="AD104" s="3">
        <v>0.2</v>
      </c>
      <c r="AE104">
        <f t="shared" si="16"/>
        <v>17264.005068763079</v>
      </c>
      <c r="AF104">
        <f t="shared" si="17"/>
        <v>1</v>
      </c>
    </row>
    <row r="105" spans="1:32" x14ac:dyDescent="0.25">
      <c r="A105" s="2">
        <v>104</v>
      </c>
      <c r="B105">
        <f t="shared" si="23"/>
        <v>2771.0656517481916</v>
      </c>
      <c r="C105" s="3">
        <v>0.08</v>
      </c>
      <c r="D105">
        <f t="shared" si="24"/>
        <v>19563.723501342251</v>
      </c>
      <c r="Q105">
        <f t="shared" si="25"/>
        <v>19563.723501342345</v>
      </c>
      <c r="R105">
        <f t="shared" si="26"/>
        <v>270.35341801901751</v>
      </c>
      <c r="S105">
        <f t="shared" si="27"/>
        <v>109253.65802441523</v>
      </c>
      <c r="T105" s="3">
        <v>0.08</v>
      </c>
      <c r="V105">
        <f>SUM($R$2:R105)</f>
        <v>12333.750689054788</v>
      </c>
      <c r="W105">
        <f t="shared" si="28"/>
        <v>26.006306011586027</v>
      </c>
      <c r="Z105">
        <f t="shared" si="22"/>
        <v>4.3409072847154992E-3</v>
      </c>
      <c r="AA105" s="3">
        <v>0.3</v>
      </c>
      <c r="AB105">
        <f t="shared" si="15"/>
        <v>364178.86008138413</v>
      </c>
      <c r="AC105">
        <f t="shared" si="21"/>
        <v>91499.22686444431</v>
      </c>
      <c r="AD105" s="3">
        <v>0.2</v>
      </c>
      <c r="AE105">
        <f t="shared" si="16"/>
        <v>18299.845372888863</v>
      </c>
      <c r="AF105">
        <f t="shared" si="17"/>
        <v>1</v>
      </c>
    </row>
    <row r="106" spans="1:32" x14ac:dyDescent="0.25">
      <c r="A106" s="2">
        <v>105</v>
      </c>
      <c r="B106">
        <f t="shared" si="23"/>
        <v>2992.7509038880471</v>
      </c>
      <c r="C106" s="3">
        <v>0.08</v>
      </c>
      <c r="D106">
        <f t="shared" si="24"/>
        <v>21128.82138144963</v>
      </c>
      <c r="Q106">
        <f t="shared" si="25"/>
        <v>21128.821381449732</v>
      </c>
      <c r="R106">
        <f t="shared" si="26"/>
        <v>275.45442590616886</v>
      </c>
      <c r="S106">
        <f t="shared" si="27"/>
        <v>117993.95066636846</v>
      </c>
      <c r="T106" s="3">
        <v>0.08</v>
      </c>
      <c r="V106">
        <f>SUM($R$2:R106)</f>
        <v>12609.205114960958</v>
      </c>
      <c r="W106">
        <f t="shared" si="28"/>
        <v>26.587114905243872</v>
      </c>
      <c r="Z106">
        <f t="shared" si="22"/>
        <v>4.0193585969587947E-3</v>
      </c>
      <c r="AA106" s="3">
        <v>0.3</v>
      </c>
      <c r="AB106">
        <f t="shared" si="15"/>
        <v>393313.16888789489</v>
      </c>
      <c r="AC106">
        <f t="shared" si="21"/>
        <v>96989.180476310969</v>
      </c>
      <c r="AD106" s="3">
        <v>0.2</v>
      </c>
      <c r="AE106">
        <f t="shared" si="16"/>
        <v>19397.836095262195</v>
      </c>
      <c r="AF106">
        <f t="shared" si="17"/>
        <v>1</v>
      </c>
    </row>
    <row r="107" spans="1:32" x14ac:dyDescent="0.25">
      <c r="A107" s="2">
        <v>106</v>
      </c>
      <c r="B107">
        <f t="shared" si="23"/>
        <v>3232.170976199091</v>
      </c>
      <c r="C107" s="3">
        <v>0.08</v>
      </c>
      <c r="D107">
        <f t="shared" si="24"/>
        <v>22819.127091965602</v>
      </c>
      <c r="Q107">
        <f t="shared" si="25"/>
        <v>22819.127091965714</v>
      </c>
      <c r="R107">
        <f t="shared" si="26"/>
        <v>280.65167922515326</v>
      </c>
      <c r="S107">
        <f t="shared" si="27"/>
        <v>127433.46671967795</v>
      </c>
      <c r="T107" s="3">
        <v>0.08</v>
      </c>
      <c r="V107">
        <f>SUM($R$2:R107)</f>
        <v>12889.856794186111</v>
      </c>
      <c r="W107">
        <f t="shared" si="28"/>
        <v>27.178882457272618</v>
      </c>
      <c r="Z107">
        <f t="shared" si="22"/>
        <v>3.7216283305174023E-3</v>
      </c>
      <c r="AA107" s="3">
        <v>0.3</v>
      </c>
      <c r="AB107">
        <f t="shared" si="15"/>
        <v>424778.2223989265</v>
      </c>
      <c r="AC107">
        <f t="shared" si="21"/>
        <v>102808.53130488964</v>
      </c>
      <c r="AD107" s="3">
        <v>0.2</v>
      </c>
      <c r="AE107">
        <f t="shared" si="16"/>
        <v>20561.706260977928</v>
      </c>
      <c r="AF107">
        <f t="shared" si="17"/>
        <v>1</v>
      </c>
    </row>
    <row r="108" spans="1:32" x14ac:dyDescent="0.25">
      <c r="A108" s="2">
        <v>107</v>
      </c>
      <c r="B108">
        <f t="shared" si="23"/>
        <v>3490.7446542950183</v>
      </c>
      <c r="C108" s="3">
        <v>0.08</v>
      </c>
      <c r="D108">
        <f t="shared" si="24"/>
        <v>24644.657259322848</v>
      </c>
      <c r="Q108">
        <f t="shared" si="25"/>
        <v>24644.657259322968</v>
      </c>
      <c r="R108">
        <f t="shared" si="26"/>
        <v>285.9469939275146</v>
      </c>
      <c r="S108">
        <f t="shared" si="27"/>
        <v>137628.14405725218</v>
      </c>
      <c r="T108" s="3">
        <v>0.08</v>
      </c>
      <c r="V108">
        <f>SUM($R$2:R108)</f>
        <v>13175.803788113626</v>
      </c>
      <c r="W108">
        <f t="shared" si="28"/>
        <v>27.781815434811339</v>
      </c>
      <c r="Z108">
        <f t="shared" si="22"/>
        <v>3.4459521578864838E-3</v>
      </c>
      <c r="AA108" s="3">
        <v>0.3</v>
      </c>
      <c r="AB108">
        <f t="shared" si="15"/>
        <v>458760.48019084061</v>
      </c>
      <c r="AC108">
        <f t="shared" si="21"/>
        <v>108977.04318318302</v>
      </c>
      <c r="AD108" s="3">
        <v>0.2</v>
      </c>
      <c r="AE108">
        <f t="shared" si="16"/>
        <v>21795.408636636606</v>
      </c>
      <c r="AF108">
        <f t="shared" si="17"/>
        <v>1</v>
      </c>
    </row>
    <row r="109" spans="1:32" x14ac:dyDescent="0.25">
      <c r="A109" s="2">
        <v>108</v>
      </c>
      <c r="B109">
        <f t="shared" si="23"/>
        <v>3770.0042266386199</v>
      </c>
      <c r="C109" s="3">
        <v>0.08</v>
      </c>
      <c r="D109">
        <f t="shared" si="24"/>
        <v>26616.229840068678</v>
      </c>
      <c r="Q109">
        <f t="shared" si="25"/>
        <v>26616.229840068805</v>
      </c>
      <c r="R109">
        <f t="shared" si="26"/>
        <v>291.34222022803368</v>
      </c>
      <c r="S109">
        <f t="shared" si="27"/>
        <v>148638.39558183236</v>
      </c>
      <c r="T109" s="3">
        <v>0.08</v>
      </c>
      <c r="V109">
        <f>SUM($R$2:R109)</f>
        <v>13467.14600834166</v>
      </c>
      <c r="W109">
        <f t="shared" si="28"/>
        <v>28.396124506265888</v>
      </c>
      <c r="Z109">
        <f t="shared" si="22"/>
        <v>3.1906964424874848E-3</v>
      </c>
      <c r="AA109" s="3">
        <v>0.3</v>
      </c>
      <c r="AB109">
        <f t="shared" si="15"/>
        <v>495461.3186061079</v>
      </c>
      <c r="AC109">
        <f t="shared" si="21"/>
        <v>115515.66577417401</v>
      </c>
      <c r="AD109" s="3">
        <v>0.2</v>
      </c>
      <c r="AE109">
        <f t="shared" si="16"/>
        <v>23103.133154834803</v>
      </c>
      <c r="AF109">
        <f t="shared" si="17"/>
        <v>1</v>
      </c>
    </row>
    <row r="110" spans="1:32" x14ac:dyDescent="0.25">
      <c r="A110" s="2">
        <v>109</v>
      </c>
      <c r="B110">
        <f t="shared" si="23"/>
        <v>4071.6045647697097</v>
      </c>
      <c r="C110" s="3">
        <v>0.08</v>
      </c>
      <c r="D110">
        <f t="shared" si="24"/>
        <v>28745.528227274172</v>
      </c>
      <c r="Q110">
        <f t="shared" si="25"/>
        <v>28745.528227274317</v>
      </c>
      <c r="R110">
        <f t="shared" si="26"/>
        <v>296.83924325120415</v>
      </c>
      <c r="S110">
        <f t="shared" si="27"/>
        <v>160529.46722837896</v>
      </c>
      <c r="T110" s="3">
        <v>0.08</v>
      </c>
      <c r="V110">
        <f>SUM($R$2:R110)</f>
        <v>13763.985251592865</v>
      </c>
      <c r="W110">
        <f t="shared" si="28"/>
        <v>29.022024314917694</v>
      </c>
      <c r="Z110">
        <f t="shared" si="22"/>
        <v>2.954348557858782E-3</v>
      </c>
      <c r="AA110" s="3">
        <v>0.3</v>
      </c>
      <c r="AB110">
        <f t="shared" si="15"/>
        <v>535098.22409459658</v>
      </c>
      <c r="AC110">
        <f t="shared" si="21"/>
        <v>122446.60572062446</v>
      </c>
      <c r="AD110" s="3">
        <v>0.2</v>
      </c>
      <c r="AE110">
        <f t="shared" si="16"/>
        <v>24489.321144124893</v>
      </c>
      <c r="AF110">
        <f t="shared" si="17"/>
        <v>1</v>
      </c>
    </row>
    <row r="111" spans="1:32" x14ac:dyDescent="0.25">
      <c r="A111" s="2">
        <v>110</v>
      </c>
      <c r="B111">
        <f t="shared" si="23"/>
        <v>4397.3329299512861</v>
      </c>
      <c r="C111" s="3">
        <v>0.08</v>
      </c>
      <c r="D111">
        <f t="shared" si="24"/>
        <v>31045.170485456107</v>
      </c>
      <c r="Q111">
        <f t="shared" si="25"/>
        <v>31045.170485456259</v>
      </c>
      <c r="R111">
        <f t="shared" si="26"/>
        <v>302.43998368990606</v>
      </c>
      <c r="S111">
        <f t="shared" si="27"/>
        <v>173371.82460664929</v>
      </c>
      <c r="T111" s="3">
        <v>0.08</v>
      </c>
      <c r="V111">
        <f>SUM($R$2:R111)</f>
        <v>14066.425235282772</v>
      </c>
      <c r="W111">
        <f t="shared" si="28"/>
        <v>29.65973355392142</v>
      </c>
      <c r="Z111">
        <f t="shared" si="22"/>
        <v>2.7355079239433167E-3</v>
      </c>
      <c r="AA111" s="3">
        <v>0.3</v>
      </c>
      <c r="AB111">
        <f t="shared" si="15"/>
        <v>577906.08202216437</v>
      </c>
      <c r="AC111">
        <f t="shared" si="21"/>
        <v>129793.40206386193</v>
      </c>
      <c r="AD111" s="3">
        <v>0.2</v>
      </c>
      <c r="AE111">
        <f t="shared" si="16"/>
        <v>25958.680412772388</v>
      </c>
      <c r="AF111">
        <f t="shared" si="17"/>
        <v>1</v>
      </c>
    </row>
    <row r="112" spans="1:32" x14ac:dyDescent="0.25">
      <c r="A112" s="2">
        <v>111</v>
      </c>
      <c r="B112">
        <f t="shared" si="23"/>
        <v>4749.1195643473893</v>
      </c>
      <c r="C112" s="3">
        <v>0.08</v>
      </c>
      <c r="D112">
        <f t="shared" si="24"/>
        <v>33528.784124292593</v>
      </c>
      <c r="Q112">
        <f t="shared" si="25"/>
        <v>33528.784124292768</v>
      </c>
      <c r="R112">
        <f t="shared" si="26"/>
        <v>308.14639847650812</v>
      </c>
      <c r="S112">
        <f t="shared" si="27"/>
        <v>187241.57057518125</v>
      </c>
      <c r="T112" s="3">
        <v>0.08</v>
      </c>
      <c r="V112">
        <f>SUM($R$2:R112)</f>
        <v>14374.57163375928</v>
      </c>
      <c r="W112">
        <f t="shared" si="28"/>
        <v>30.309475042717665</v>
      </c>
      <c r="Z112">
        <f t="shared" si="22"/>
        <v>2.5328777073549223E-3</v>
      </c>
      <c r="AA112" s="3">
        <v>0.3</v>
      </c>
      <c r="AB112">
        <f t="shared" si="15"/>
        <v>624138.56858393748</v>
      </c>
      <c r="AC112">
        <f t="shared" si="21"/>
        <v>137581.00618769365</v>
      </c>
      <c r="AD112" s="3">
        <v>0.2</v>
      </c>
      <c r="AE112">
        <f t="shared" si="16"/>
        <v>27516.201237538731</v>
      </c>
      <c r="AF112">
        <f t="shared" si="17"/>
        <v>1</v>
      </c>
    </row>
    <row r="113" spans="1:32" x14ac:dyDescent="0.25">
      <c r="A113" s="2">
        <v>112</v>
      </c>
      <c r="B113">
        <f t="shared" si="23"/>
        <v>5129.0491294951808</v>
      </c>
      <c r="C113" s="3">
        <v>0.08</v>
      </c>
      <c r="D113">
        <f t="shared" si="24"/>
        <v>36211.086854236004</v>
      </c>
      <c r="Q113">
        <f t="shared" si="25"/>
        <v>36211.086854236193</v>
      </c>
      <c r="R113">
        <f t="shared" si="26"/>
        <v>313.96048146663088</v>
      </c>
      <c r="S113">
        <f t="shared" si="27"/>
        <v>202220.89622119576</v>
      </c>
      <c r="T113" s="3">
        <v>0.08</v>
      </c>
      <c r="V113">
        <f>SUM($R$2:R113)</f>
        <v>14688.532115225911</v>
      </c>
      <c r="W113">
        <f t="shared" si="28"/>
        <v>30.971475804887429</v>
      </c>
      <c r="Z113">
        <f t="shared" si="22"/>
        <v>2.3452571364397431E-3</v>
      </c>
      <c r="AA113" s="3">
        <v>0.3</v>
      </c>
      <c r="AB113">
        <f t="shared" si="15"/>
        <v>674069.65407065256</v>
      </c>
      <c r="AC113">
        <f t="shared" si="21"/>
        <v>145835.86655895528</v>
      </c>
      <c r="AD113" s="3">
        <v>0.2</v>
      </c>
      <c r="AE113">
        <f t="shared" si="16"/>
        <v>29167.173311791059</v>
      </c>
      <c r="AF113">
        <f t="shared" si="17"/>
        <v>1</v>
      </c>
    </row>
    <row r="114" spans="1:32" x14ac:dyDescent="0.25">
      <c r="A114" s="2">
        <v>113</v>
      </c>
      <c r="B114">
        <f t="shared" si="23"/>
        <v>5539.3730598547954</v>
      </c>
      <c r="C114" s="3">
        <v>0.08</v>
      </c>
      <c r="D114">
        <f t="shared" si="24"/>
        <v>39107.973802574881</v>
      </c>
      <c r="Q114">
        <f t="shared" si="25"/>
        <v>39107.973802575085</v>
      </c>
      <c r="R114">
        <f t="shared" si="26"/>
        <v>319.88426413581266</v>
      </c>
      <c r="S114">
        <f t="shared" si="27"/>
        <v>218398.56791889144</v>
      </c>
      <c r="T114" s="3">
        <v>0.08</v>
      </c>
      <c r="V114">
        <f>SUM($R$2:R114)</f>
        <v>15008.416379361724</v>
      </c>
      <c r="W114">
        <f t="shared" si="28"/>
        <v>31.645967147475488</v>
      </c>
      <c r="Z114">
        <f t="shared" si="22"/>
        <v>2.1715343855923542E-3</v>
      </c>
      <c r="AA114" s="3">
        <v>0.3</v>
      </c>
      <c r="AB114">
        <f t="shared" si="15"/>
        <v>727995.22639630479</v>
      </c>
      <c r="AC114">
        <f t="shared" si="21"/>
        <v>154586.01855249261</v>
      </c>
      <c r="AD114" s="3">
        <v>0.2</v>
      </c>
      <c r="AE114">
        <f t="shared" si="16"/>
        <v>30917.203710498521</v>
      </c>
      <c r="AF114">
        <f t="shared" si="17"/>
        <v>1</v>
      </c>
    </row>
    <row r="115" spans="1:32" x14ac:dyDescent="0.25">
      <c r="A115" s="2">
        <v>114</v>
      </c>
      <c r="B115">
        <f t="shared" si="23"/>
        <v>5982.5229046431787</v>
      </c>
      <c r="C115" s="3">
        <v>0.08</v>
      </c>
      <c r="D115">
        <f t="shared" si="24"/>
        <v>42236.611706780874</v>
      </c>
      <c r="Q115">
        <f t="shared" si="25"/>
        <v>42236.611706781092</v>
      </c>
      <c r="R115">
        <f t="shared" si="26"/>
        <v>325.91981628931853</v>
      </c>
      <c r="S115">
        <f t="shared" si="27"/>
        <v>235870.45335240278</v>
      </c>
      <c r="T115" s="3">
        <v>0.08</v>
      </c>
      <c r="V115">
        <f>SUM($R$2:R115)</f>
        <v>15334.336195651043</v>
      </c>
      <c r="W115">
        <f t="shared" si="28"/>
        <v>32.333184741810491</v>
      </c>
      <c r="Z115">
        <f t="shared" si="22"/>
        <v>2.010679986659587E-3</v>
      </c>
      <c r="AA115" s="3">
        <v>0.3</v>
      </c>
      <c r="AB115">
        <f t="shared" si="15"/>
        <v>786234.84450800926</v>
      </c>
      <c r="AC115">
        <f t="shared" si="21"/>
        <v>163861.17966564218</v>
      </c>
      <c r="AD115" s="3">
        <v>0.2</v>
      </c>
      <c r="AE115">
        <f t="shared" si="16"/>
        <v>32772.235933128439</v>
      </c>
      <c r="AF115">
        <f t="shared" si="17"/>
        <v>1</v>
      </c>
    </row>
    <row r="116" spans="1:32" x14ac:dyDescent="0.25">
      <c r="A116" s="2">
        <v>115</v>
      </c>
      <c r="B116">
        <f t="shared" si="23"/>
        <v>6461.124737014633</v>
      </c>
      <c r="C116" s="3">
        <v>0.08</v>
      </c>
      <c r="D116">
        <f t="shared" si="24"/>
        <v>45615.540643323344</v>
      </c>
      <c r="Q116">
        <f t="shared" si="25"/>
        <v>45615.540643323584</v>
      </c>
      <c r="R116">
        <f t="shared" si="26"/>
        <v>332.06924678534347</v>
      </c>
      <c r="S116">
        <f t="shared" si="27"/>
        <v>254740.08962059501</v>
      </c>
      <c r="T116" s="3">
        <v>0.08</v>
      </c>
      <c r="V116">
        <f>SUM($R$2:R116)</f>
        <v>15666.405442436388</v>
      </c>
      <c r="W116">
        <f t="shared" si="28"/>
        <v>33.033368705849931</v>
      </c>
      <c r="Z116">
        <f t="shared" si="22"/>
        <v>1.8617407283885066E-3</v>
      </c>
      <c r="AA116" s="3">
        <v>0.3</v>
      </c>
      <c r="AB116">
        <f t="shared" si="15"/>
        <v>849133.6320686501</v>
      </c>
      <c r="AC116">
        <f t="shared" si="21"/>
        <v>173692.85044558073</v>
      </c>
      <c r="AD116" s="3">
        <v>0.2</v>
      </c>
      <c r="AE116">
        <f t="shared" si="16"/>
        <v>34738.570089116147</v>
      </c>
      <c r="AF116">
        <f t="shared" si="17"/>
        <v>1</v>
      </c>
    </row>
    <row r="117" spans="1:32" x14ac:dyDescent="0.25">
      <c r="A117" s="2">
        <v>116</v>
      </c>
      <c r="B117">
        <f t="shared" si="23"/>
        <v>6978.0147159758035</v>
      </c>
      <c r="C117" s="3">
        <v>0.08</v>
      </c>
      <c r="D117">
        <f t="shared" si="24"/>
        <v>49264.783894789209</v>
      </c>
      <c r="Q117">
        <f t="shared" si="25"/>
        <v>49264.783894789478</v>
      </c>
      <c r="R117">
        <f t="shared" si="26"/>
        <v>338.33470427185938</v>
      </c>
      <c r="S117">
        <f t="shared" si="27"/>
        <v>275119.2967902426</v>
      </c>
      <c r="T117" s="3">
        <v>0.08</v>
      </c>
      <c r="V117">
        <f>SUM($R$2:R117)</f>
        <v>16004.740146708247</v>
      </c>
      <c r="W117">
        <f t="shared" si="28"/>
        <v>33.746763688078794</v>
      </c>
      <c r="Z117">
        <f t="shared" si="22"/>
        <v>1.7238340077671357E-3</v>
      </c>
      <c r="AA117" s="3">
        <v>0.3</v>
      </c>
      <c r="AB117">
        <f t="shared" si="15"/>
        <v>917064.32263414201</v>
      </c>
      <c r="AC117">
        <f t="shared" si="21"/>
        <v>184114.42147231559</v>
      </c>
      <c r="AD117" s="3">
        <v>0.2</v>
      </c>
      <c r="AE117">
        <f t="shared" si="16"/>
        <v>36822.884294463118</v>
      </c>
      <c r="AF117">
        <f t="shared" si="17"/>
        <v>1</v>
      </c>
    </row>
    <row r="118" spans="1:32" x14ac:dyDescent="0.25">
      <c r="A118" s="2">
        <v>117</v>
      </c>
      <c r="B118">
        <f t="shared" si="23"/>
        <v>7536.2558932538677</v>
      </c>
      <c r="C118" s="3">
        <v>0.08</v>
      </c>
      <c r="D118">
        <f t="shared" si="24"/>
        <v>53205.966606372349</v>
      </c>
      <c r="Q118">
        <f t="shared" si="25"/>
        <v>53205.966606372633</v>
      </c>
      <c r="R118">
        <f t="shared" si="26"/>
        <v>344.71837793736609</v>
      </c>
      <c r="S118">
        <f t="shared" si="27"/>
        <v>297128.840533462</v>
      </c>
      <c r="T118" s="3">
        <v>0.08</v>
      </c>
      <c r="V118">
        <f>SUM($R$2:R118)</f>
        <v>16349.458524645614</v>
      </c>
      <c r="W118">
        <f t="shared" si="28"/>
        <v>34.473618952991217</v>
      </c>
      <c r="Z118">
        <f t="shared" si="22"/>
        <v>1.596142599784385E-3</v>
      </c>
      <c r="AA118" s="3">
        <v>0.3</v>
      </c>
      <c r="AB118">
        <f t="shared" si="15"/>
        <v>990429.46844487335</v>
      </c>
      <c r="AC118">
        <f t="shared" si="21"/>
        <v>195161.28676065453</v>
      </c>
      <c r="AD118" s="3">
        <v>0.2</v>
      </c>
      <c r="AE118">
        <f t="shared" si="16"/>
        <v>39032.25735213091</v>
      </c>
      <c r="AF118">
        <f t="shared" si="17"/>
        <v>1</v>
      </c>
    </row>
    <row r="119" spans="1:32" x14ac:dyDescent="0.25">
      <c r="A119" s="2">
        <v>118</v>
      </c>
      <c r="B119">
        <f t="shared" si="23"/>
        <v>8139.1563647141775</v>
      </c>
      <c r="C119" s="3">
        <v>0.08</v>
      </c>
      <c r="D119">
        <f t="shared" si="24"/>
        <v>57462.44393488214</v>
      </c>
      <c r="Q119">
        <f t="shared" si="25"/>
        <v>57462.443934882445</v>
      </c>
      <c r="R119">
        <f t="shared" si="26"/>
        <v>351.22249827580691</v>
      </c>
      <c r="S119">
        <f t="shared" si="27"/>
        <v>320899.14777613897</v>
      </c>
      <c r="T119" s="3">
        <v>0.08</v>
      </c>
      <c r="V119">
        <f>SUM($R$2:R119)</f>
        <v>16700.681022921421</v>
      </c>
      <c r="W119">
        <f t="shared" si="28"/>
        <v>35.214188468185007</v>
      </c>
      <c r="Z119">
        <f t="shared" si="22"/>
        <v>1.4779098146151712E-3</v>
      </c>
      <c r="AA119" s="3">
        <v>0.3</v>
      </c>
      <c r="AB119">
        <f t="shared" si="15"/>
        <v>1069663.8259204633</v>
      </c>
      <c r="AC119">
        <f t="shared" si="21"/>
        <v>206870.96396629381</v>
      </c>
      <c r="AD119" s="3">
        <v>0.2</v>
      </c>
      <c r="AE119">
        <f t="shared" si="16"/>
        <v>41374.192793258764</v>
      </c>
      <c r="AF119">
        <f t="shared" si="17"/>
        <v>1</v>
      </c>
    </row>
    <row r="120" spans="1:32" x14ac:dyDescent="0.25">
      <c r="A120" s="2">
        <v>119</v>
      </c>
      <c r="B120">
        <f t="shared" si="23"/>
        <v>8790.2888738913116</v>
      </c>
      <c r="C120" s="3">
        <v>0.08</v>
      </c>
      <c r="D120">
        <f t="shared" si="24"/>
        <v>62059.439449672711</v>
      </c>
      <c r="Q120">
        <f t="shared" si="25"/>
        <v>62059.439449673038</v>
      </c>
      <c r="R120">
        <f t="shared" si="26"/>
        <v>357.84933786591654</v>
      </c>
      <c r="S120">
        <f t="shared" si="27"/>
        <v>346571.07959823014</v>
      </c>
      <c r="T120" s="3">
        <v>0.08</v>
      </c>
      <c r="V120">
        <f>SUM($R$2:R120)</f>
        <v>17058.530360787336</v>
      </c>
      <c r="W120">
        <f t="shared" si="28"/>
        <v>35.968730993099427</v>
      </c>
      <c r="Z120">
        <f t="shared" si="22"/>
        <v>1.3684350135325658E-3</v>
      </c>
      <c r="AA120" s="3">
        <v>0.3</v>
      </c>
      <c r="AB120">
        <f t="shared" si="15"/>
        <v>1155236.9319941006</v>
      </c>
      <c r="AC120">
        <f t="shared" si="21"/>
        <v>219283.22180427145</v>
      </c>
      <c r="AD120" s="3">
        <v>0.2</v>
      </c>
      <c r="AE120">
        <f t="shared" si="16"/>
        <v>43856.64436085429</v>
      </c>
      <c r="AF120">
        <f t="shared" si="17"/>
        <v>1</v>
      </c>
    </row>
    <row r="121" spans="1:32" x14ac:dyDescent="0.25">
      <c r="A121" s="2">
        <v>120</v>
      </c>
      <c r="B121">
        <f t="shared" si="23"/>
        <v>9493.5119838026167</v>
      </c>
      <c r="C121" s="3">
        <v>0.08</v>
      </c>
      <c r="D121">
        <f t="shared" si="24"/>
        <v>67024.194605646524</v>
      </c>
      <c r="Q121">
        <f t="shared" si="25"/>
        <v>67024.194605646888</v>
      </c>
      <c r="R121">
        <f t="shared" si="26"/>
        <v>364.60121216527341</v>
      </c>
      <c r="S121">
        <f t="shared" si="27"/>
        <v>374296.76596608857</v>
      </c>
      <c r="T121" s="3">
        <v>0.08</v>
      </c>
      <c r="V121">
        <f>SUM($R$2:R121)</f>
        <v>17423.13157295261</v>
      </c>
      <c r="W121">
        <f t="shared" si="28"/>
        <v>36.737510169427338</v>
      </c>
      <c r="Z121">
        <f t="shared" si="22"/>
        <v>1.2670694569745979E-3</v>
      </c>
      <c r="AA121" s="3">
        <v>0.3</v>
      </c>
      <c r="AB121">
        <f t="shared" si="15"/>
        <v>1247655.8865536286</v>
      </c>
      <c r="AC121">
        <f t="shared" si="21"/>
        <v>232440.21511252775</v>
      </c>
      <c r="AD121" s="3">
        <v>0.2</v>
      </c>
      <c r="AE121">
        <f t="shared" si="16"/>
        <v>46488.043022505553</v>
      </c>
      <c r="AF121">
        <f t="shared" si="17"/>
        <v>1</v>
      </c>
    </row>
    <row r="122" spans="1:32" x14ac:dyDescent="0.25">
      <c r="A122" s="2">
        <v>121</v>
      </c>
      <c r="B122">
        <f t="shared" si="23"/>
        <v>10252.992942506826</v>
      </c>
      <c r="C122" s="3">
        <v>0.08</v>
      </c>
      <c r="D122">
        <f t="shared" si="24"/>
        <v>72386.130174098245</v>
      </c>
      <c r="Q122">
        <f t="shared" si="25"/>
        <v>72386.130174098653</v>
      </c>
      <c r="R122">
        <f t="shared" si="26"/>
        <v>371.4804803193353</v>
      </c>
      <c r="S122">
        <f t="shared" si="27"/>
        <v>404240.5072433757</v>
      </c>
      <c r="T122" s="3">
        <v>0.08</v>
      </c>
      <c r="V122">
        <f>SUM($R$2:R122)</f>
        <v>17794.612053271947</v>
      </c>
      <c r="W122">
        <f t="shared" si="28"/>
        <v>37.520794613233136</v>
      </c>
      <c r="Z122">
        <f t="shared" si="22"/>
        <v>1.1732124601616645E-3</v>
      </c>
      <c r="AA122" s="3">
        <v>0.3</v>
      </c>
      <c r="AB122">
        <f t="shared" si="15"/>
        <v>1347468.357477919</v>
      </c>
      <c r="AC122">
        <f t="shared" si="21"/>
        <v>246386.62801927942</v>
      </c>
      <c r="AD122" s="3">
        <v>0.2</v>
      </c>
      <c r="AE122">
        <f t="shared" si="16"/>
        <v>49277.32560385589</v>
      </c>
      <c r="AF122">
        <f t="shared" si="17"/>
        <v>1</v>
      </c>
    </row>
    <row r="123" spans="1:32" x14ac:dyDescent="0.25">
      <c r="A123" s="2">
        <v>122</v>
      </c>
      <c r="B123">
        <f t="shared" si="23"/>
        <v>11073.232377907372</v>
      </c>
      <c r="C123" s="3">
        <v>0.08</v>
      </c>
      <c r="D123">
        <f t="shared" si="24"/>
        <v>78177.020588026106</v>
      </c>
      <c r="Q123">
        <f t="shared" si="25"/>
        <v>78177.020588026542</v>
      </c>
      <c r="R123">
        <f t="shared" si="26"/>
        <v>378.48954598573783</v>
      </c>
      <c r="S123">
        <f t="shared" si="27"/>
        <v>436579.74782284576</v>
      </c>
      <c r="T123" s="3">
        <v>0.08</v>
      </c>
      <c r="V123">
        <f>SUM($R$2:R123)</f>
        <v>18173.101599257683</v>
      </c>
      <c r="W123">
        <f t="shared" si="28"/>
        <v>38.318858008808846</v>
      </c>
      <c r="Z123">
        <f t="shared" si="22"/>
        <v>1.0863078334830227E-3</v>
      </c>
      <c r="AA123" s="3">
        <v>0.3</v>
      </c>
      <c r="AB123">
        <f t="shared" si="15"/>
        <v>1455265.8260761525</v>
      </c>
      <c r="AC123">
        <f t="shared" si="21"/>
        <v>261169.82570043619</v>
      </c>
      <c r="AD123" s="3">
        <v>0.2</v>
      </c>
      <c r="AE123">
        <f t="shared" si="16"/>
        <v>52233.965140087239</v>
      </c>
      <c r="AF123">
        <f t="shared" si="17"/>
        <v>1</v>
      </c>
    </row>
    <row r="124" spans="1:32" x14ac:dyDescent="0.25">
      <c r="A124" s="2">
        <v>123</v>
      </c>
      <c r="B124">
        <f t="shared" si="23"/>
        <v>11959.090968139963</v>
      </c>
      <c r="C124" s="3">
        <v>0.08</v>
      </c>
      <c r="D124">
        <f t="shared" si="24"/>
        <v>84431.18223506819</v>
      </c>
      <c r="Q124">
        <f t="shared" si="25"/>
        <v>84431.182235068671</v>
      </c>
      <c r="R124">
        <f t="shared" si="26"/>
        <v>385.63085817414793</v>
      </c>
      <c r="S124">
        <f t="shared" si="27"/>
        <v>471506.12764867343</v>
      </c>
      <c r="T124" s="3">
        <v>0.08</v>
      </c>
      <c r="V124">
        <f>SUM($R$2:R124)</f>
        <v>18558.73245743183</v>
      </c>
      <c r="W124">
        <f t="shared" si="28"/>
        <v>39.131979204301082</v>
      </c>
      <c r="Z124">
        <f t="shared" si="22"/>
        <v>1.0058405865583544E-3</v>
      </c>
      <c r="AA124" s="3">
        <v>0.3</v>
      </c>
      <c r="AB124">
        <f t="shared" si="15"/>
        <v>1571687.0921622447</v>
      </c>
      <c r="AC124">
        <f t="shared" si="21"/>
        <v>276840.0152424624</v>
      </c>
      <c r="AD124" s="3">
        <v>0.2</v>
      </c>
      <c r="AE124">
        <f t="shared" si="16"/>
        <v>55368.003048492479</v>
      </c>
      <c r="AF124">
        <f t="shared" si="17"/>
        <v>1</v>
      </c>
    </row>
    <row r="125" spans="1:32" x14ac:dyDescent="0.25">
      <c r="A125" s="2">
        <v>124</v>
      </c>
      <c r="B125">
        <f t="shared" si="23"/>
        <v>12915.818245591159</v>
      </c>
      <c r="C125" s="3">
        <v>0.08</v>
      </c>
      <c r="D125">
        <f t="shared" si="24"/>
        <v>91185.676813873652</v>
      </c>
      <c r="Q125">
        <f t="shared" si="25"/>
        <v>91185.676813874161</v>
      </c>
      <c r="R125">
        <f t="shared" si="26"/>
        <v>392.90691210196206</v>
      </c>
      <c r="S125">
        <f t="shared" si="27"/>
        <v>509226.61786056735</v>
      </c>
      <c r="T125" s="3">
        <v>0.08</v>
      </c>
      <c r="V125">
        <f>SUM($R$2:R125)</f>
        <v>18951.639369533794</v>
      </c>
      <c r="W125">
        <f t="shared" si="28"/>
        <v>39.96044230914223</v>
      </c>
      <c r="Z125">
        <f t="shared" si="22"/>
        <v>9.3133387644292063E-4</v>
      </c>
      <c r="AA125" s="3">
        <v>0.3</v>
      </c>
      <c r="AB125">
        <f t="shared" si="15"/>
        <v>1697422.0595352245</v>
      </c>
      <c r="AC125">
        <f t="shared" si="21"/>
        <v>293450.41615701013</v>
      </c>
      <c r="AD125" s="3">
        <v>0.2</v>
      </c>
      <c r="AE125">
        <f t="shared" si="16"/>
        <v>58690.08323140203</v>
      </c>
      <c r="AF125">
        <f t="shared" si="17"/>
        <v>1</v>
      </c>
    </row>
    <row r="126" spans="1:32" x14ac:dyDescent="0.25">
      <c r="A126" s="2">
        <v>125</v>
      </c>
      <c r="B126">
        <f t="shared" si="23"/>
        <v>13949.083705238452</v>
      </c>
      <c r="C126" s="3">
        <v>0.08</v>
      </c>
      <c r="D126">
        <f t="shared" si="24"/>
        <v>98480.530958983538</v>
      </c>
      <c r="Q126">
        <f t="shared" si="25"/>
        <v>98480.530958984091</v>
      </c>
      <c r="R126">
        <f t="shared" si="26"/>
        <v>400.32025006615009</v>
      </c>
      <c r="S126">
        <f t="shared" si="27"/>
        <v>549964.74728941277</v>
      </c>
      <c r="T126" s="3">
        <v>0.08</v>
      </c>
      <c r="V126">
        <f>SUM($R$2:R126)</f>
        <v>19351.959619599944</v>
      </c>
      <c r="W126">
        <f t="shared" si="28"/>
        <v>40.804536793320004</v>
      </c>
      <c r="Z126">
        <f t="shared" si="22"/>
        <v>8.623461818915931E-4</v>
      </c>
      <c r="AA126" s="3">
        <v>0.3</v>
      </c>
      <c r="AB126">
        <f t="shared" si="15"/>
        <v>1833215.8242980426</v>
      </c>
      <c r="AC126">
        <f t="shared" si="21"/>
        <v>311057.44112643076</v>
      </c>
      <c r="AD126" s="3">
        <v>0.2</v>
      </c>
      <c r="AE126">
        <f t="shared" si="16"/>
        <v>62211.488225286157</v>
      </c>
      <c r="AF126">
        <f t="shared" si="17"/>
        <v>1</v>
      </c>
    </row>
    <row r="127" spans="1:32" x14ac:dyDescent="0.25">
      <c r="A127" s="2">
        <v>126</v>
      </c>
      <c r="B127">
        <f t="shared" si="23"/>
        <v>15065.010401657528</v>
      </c>
      <c r="C127" s="3">
        <v>0.08</v>
      </c>
      <c r="D127">
        <f t="shared" si="24"/>
        <v>106358.97343570222</v>
      </c>
      <c r="Q127">
        <f t="shared" si="25"/>
        <v>106358.97343570284</v>
      </c>
      <c r="R127">
        <f t="shared" si="26"/>
        <v>407.87346233154904</v>
      </c>
      <c r="S127">
        <f t="shared" si="27"/>
        <v>593961.92707256589</v>
      </c>
      <c r="T127" s="3">
        <v>0.08</v>
      </c>
      <c r="V127">
        <f>SUM($R$2:R127)</f>
        <v>19759.833081931494</v>
      </c>
      <c r="W127">
        <f t="shared" si="28"/>
        <v>41.664557588519997</v>
      </c>
      <c r="Z127">
        <f t="shared" si="22"/>
        <v>7.9846868693666021E-4</v>
      </c>
      <c r="AA127" s="3">
        <v>0.3</v>
      </c>
      <c r="AB127">
        <f t="shared" si="15"/>
        <v>1979873.0902418864</v>
      </c>
      <c r="AC127">
        <f t="shared" si="21"/>
        <v>329720.88759401662</v>
      </c>
      <c r="AD127" s="3">
        <v>0.2</v>
      </c>
      <c r="AE127">
        <f t="shared" si="16"/>
        <v>65944.177518803321</v>
      </c>
      <c r="AF127">
        <f t="shared" si="17"/>
        <v>1</v>
      </c>
    </row>
    <row r="128" spans="1:32" x14ac:dyDescent="0.25">
      <c r="A128" s="2">
        <v>127</v>
      </c>
      <c r="B128">
        <f t="shared" si="23"/>
        <v>16270.211233790131</v>
      </c>
      <c r="C128" s="3">
        <v>0.08</v>
      </c>
      <c r="D128">
        <f t="shared" si="24"/>
        <v>114867.69131055841</v>
      </c>
      <c r="Q128">
        <f t="shared" si="25"/>
        <v>114867.69131055908</v>
      </c>
      <c r="R128">
        <f t="shared" si="26"/>
        <v>415.56918803591799</v>
      </c>
      <c r="S128">
        <f t="shared" si="27"/>
        <v>641478.88123837125</v>
      </c>
      <c r="T128" s="3">
        <v>0.08</v>
      </c>
      <c r="V128">
        <f>SUM($R$2:R128)</f>
        <v>20175.402269967413</v>
      </c>
      <c r="W128">
        <f t="shared" si="28"/>
        <v>42.540805191176595</v>
      </c>
      <c r="Z128">
        <f t="shared" si="22"/>
        <v>7.393228582746852E-4</v>
      </c>
      <c r="AA128" s="3">
        <v>0.3</v>
      </c>
      <c r="AB128">
        <f t="shared" si="15"/>
        <v>2138262.9374612374</v>
      </c>
      <c r="AC128">
        <f t="shared" si="21"/>
        <v>349504.14084965765</v>
      </c>
      <c r="AD128" s="3">
        <v>0.2</v>
      </c>
      <c r="AE128">
        <f t="shared" si="16"/>
        <v>69900.828169931527</v>
      </c>
      <c r="AF128">
        <f t="shared" si="17"/>
        <v>1</v>
      </c>
    </row>
    <row r="129" spans="1:32" x14ac:dyDescent="0.25">
      <c r="A129" s="2">
        <v>128</v>
      </c>
      <c r="B129">
        <f t="shared" si="23"/>
        <v>17571.828132493341</v>
      </c>
      <c r="C129" s="3">
        <v>0.08</v>
      </c>
      <c r="D129">
        <f t="shared" si="24"/>
        <v>124057.10661540309</v>
      </c>
      <c r="Q129">
        <f t="shared" si="25"/>
        <v>124057.10661540383</v>
      </c>
      <c r="R129">
        <f t="shared" si="26"/>
        <v>423.41011611206733</v>
      </c>
      <c r="S129">
        <f t="shared" si="27"/>
        <v>692797.191737441</v>
      </c>
      <c r="T129" s="3">
        <v>0.08</v>
      </c>
      <c r="V129">
        <f>SUM($R$2:R129)</f>
        <v>20598.81238607948</v>
      </c>
      <c r="W129">
        <f t="shared" si="28"/>
        <v>43.433585767468223</v>
      </c>
      <c r="Z129">
        <f t="shared" si="22"/>
        <v>6.8455820210619001E-4</v>
      </c>
      <c r="AA129" s="3">
        <v>0.3</v>
      </c>
      <c r="AB129">
        <f t="shared" si="15"/>
        <v>2309323.9724581367</v>
      </c>
      <c r="AC129">
        <f t="shared" si="21"/>
        <v>370474.38930063712</v>
      </c>
      <c r="AD129" s="3">
        <v>0.2</v>
      </c>
      <c r="AE129">
        <f t="shared" si="16"/>
        <v>74094.877860127424</v>
      </c>
      <c r="AF129">
        <f t="shared" si="17"/>
        <v>1</v>
      </c>
    </row>
    <row r="130" spans="1:32" x14ac:dyDescent="0.25">
      <c r="A130" s="2">
        <v>129</v>
      </c>
      <c r="B130">
        <f t="shared" si="23"/>
        <v>18977.574383092808</v>
      </c>
      <c r="C130" s="3">
        <v>0.08</v>
      </c>
      <c r="D130">
        <f t="shared" si="24"/>
        <v>133981.67514463534</v>
      </c>
      <c r="Q130">
        <f t="shared" si="25"/>
        <v>133981.67514463613</v>
      </c>
      <c r="R130">
        <f t="shared" si="26"/>
        <v>431.39898622738957</v>
      </c>
      <c r="S130">
        <f t="shared" si="27"/>
        <v>748220.96707643638</v>
      </c>
      <c r="T130" s="3">
        <v>0.08</v>
      </c>
      <c r="V130">
        <f>SUM($R$2:R130)</f>
        <v>21030.211372306869</v>
      </c>
      <c r="W130">
        <f t="shared" si="28"/>
        <v>44.343211260293657</v>
      </c>
      <c r="Z130">
        <f t="shared" si="22"/>
        <v>6.3385018713536096E-4</v>
      </c>
      <c r="AA130" s="3">
        <v>0.3</v>
      </c>
      <c r="AB130">
        <f t="shared" si="15"/>
        <v>2494069.8902547881</v>
      </c>
      <c r="AC130">
        <f t="shared" si="21"/>
        <v>392702.85265867534</v>
      </c>
      <c r="AD130" s="3">
        <v>0.2</v>
      </c>
      <c r="AE130">
        <f t="shared" si="16"/>
        <v>78540.570531735066</v>
      </c>
      <c r="AF130">
        <f t="shared" si="17"/>
        <v>1</v>
      </c>
    </row>
    <row r="131" spans="1:32" x14ac:dyDescent="0.25">
      <c r="A131" s="2">
        <v>130</v>
      </c>
      <c r="B131">
        <f t="shared" si="23"/>
        <v>20495.780333740233</v>
      </c>
      <c r="C131" s="3">
        <v>0.08</v>
      </c>
      <c r="D131">
        <f t="shared" si="24"/>
        <v>144700.20915620617</v>
      </c>
      <c r="Q131">
        <f t="shared" si="25"/>
        <v>144700.20915620704</v>
      </c>
      <c r="R131">
        <f t="shared" si="26"/>
        <v>439.53858974111381</v>
      </c>
      <c r="S131">
        <f t="shared" si="27"/>
        <v>808078.6444425513</v>
      </c>
      <c r="T131" s="3">
        <v>0.08</v>
      </c>
      <c r="V131">
        <f>SUM($R$2:R131)</f>
        <v>21469.749962047983</v>
      </c>
      <c r="W131">
        <f t="shared" si="28"/>
        <v>45.269999498266742</v>
      </c>
      <c r="Z131">
        <f t="shared" si="22"/>
        <v>5.8689832142163061E-4</v>
      </c>
      <c r="AA131" s="3">
        <v>0.3</v>
      </c>
      <c r="AB131">
        <f t="shared" ref="AB131:AB194" si="29">S131/AA131</f>
        <v>2693595.4814751712</v>
      </c>
      <c r="AC131">
        <f t="shared" si="21"/>
        <v>416265.02381819586</v>
      </c>
      <c r="AD131" s="3">
        <v>0.2</v>
      </c>
      <c r="AE131">
        <f t="shared" ref="AE131:AE194" si="30">AC131*AD131</f>
        <v>83253.004763639183</v>
      </c>
      <c r="AF131">
        <f t="shared" ref="AF131:AF194" si="31">IF(AB131&gt;AE131, 1, 0)</f>
        <v>1</v>
      </c>
    </row>
    <row r="132" spans="1:32" x14ac:dyDescent="0.25">
      <c r="A132" s="2">
        <v>131</v>
      </c>
      <c r="B132">
        <f t="shared" si="23"/>
        <v>22135.442760439451</v>
      </c>
      <c r="C132" s="3">
        <v>0.08</v>
      </c>
      <c r="D132">
        <f t="shared" si="24"/>
        <v>156276.22588870267</v>
      </c>
      <c r="Q132">
        <f t="shared" si="25"/>
        <v>156276.2258887036</v>
      </c>
      <c r="R132">
        <f t="shared" si="26"/>
        <v>447.83177067962544</v>
      </c>
      <c r="S132">
        <f t="shared" si="27"/>
        <v>872724.9359979555</v>
      </c>
      <c r="T132" s="3">
        <v>0.08</v>
      </c>
      <c r="V132">
        <f>SUM($R$2:R132)</f>
        <v>21917.581732727609</v>
      </c>
      <c r="W132">
        <f t="shared" si="28"/>
        <v>46.214274306767614</v>
      </c>
      <c r="Z132">
        <f t="shared" si="22"/>
        <v>5.4342437168669491E-4</v>
      </c>
      <c r="AA132" s="3">
        <v>0.3</v>
      </c>
      <c r="AB132">
        <f t="shared" si="29"/>
        <v>2909083.1199931852</v>
      </c>
      <c r="AC132">
        <f t="shared" ref="AC132:AC195" si="32">AC131*(1+$U$2)</f>
        <v>441240.92524728761</v>
      </c>
      <c r="AD132" s="3">
        <v>0.2</v>
      </c>
      <c r="AE132">
        <f t="shared" si="30"/>
        <v>88248.185049457534</v>
      </c>
      <c r="AF132">
        <f t="shared" si="31"/>
        <v>1</v>
      </c>
    </row>
    <row r="133" spans="1:32" x14ac:dyDescent="0.25">
      <c r="A133" s="2">
        <v>132</v>
      </c>
      <c r="B133">
        <f t="shared" si="23"/>
        <v>23906.278181274607</v>
      </c>
      <c r="C133" s="3">
        <v>0.08</v>
      </c>
      <c r="D133">
        <f t="shared" si="24"/>
        <v>168778.32395979887</v>
      </c>
      <c r="Q133">
        <f t="shared" si="25"/>
        <v>168778.32395979989</v>
      </c>
      <c r="R133">
        <f t="shared" si="26"/>
        <v>456.28142673018436</v>
      </c>
      <c r="S133">
        <f t="shared" si="27"/>
        <v>942542.93087779195</v>
      </c>
      <c r="T133" s="3">
        <v>0.08</v>
      </c>
      <c r="V133">
        <f>SUM($R$2:R133)</f>
        <v>22373.863159457793</v>
      </c>
      <c r="W133">
        <f t="shared" si="28"/>
        <v>47.176365621089261</v>
      </c>
      <c r="Z133">
        <f t="shared" si="22"/>
        <v>5.0317071452471755E-4</v>
      </c>
      <c r="AA133" s="3">
        <v>0.3</v>
      </c>
      <c r="AB133">
        <f t="shared" si="29"/>
        <v>3141809.76959264</v>
      </c>
      <c r="AC133">
        <f t="shared" si="32"/>
        <v>467715.3807621249</v>
      </c>
      <c r="AD133" s="3">
        <v>0.2</v>
      </c>
      <c r="AE133">
        <f t="shared" si="30"/>
        <v>93543.076152424983</v>
      </c>
      <c r="AF133">
        <f t="shared" si="31"/>
        <v>1</v>
      </c>
    </row>
    <row r="134" spans="1:32" x14ac:dyDescent="0.25">
      <c r="A134" s="2">
        <v>133</v>
      </c>
      <c r="B134">
        <f t="shared" si="23"/>
        <v>25818.780435776574</v>
      </c>
      <c r="C134" s="3">
        <v>0.08</v>
      </c>
      <c r="D134">
        <f t="shared" si="24"/>
        <v>182280.58987658279</v>
      </c>
      <c r="Q134">
        <f t="shared" si="25"/>
        <v>182280.58987658392</v>
      </c>
      <c r="R134">
        <f t="shared" si="26"/>
        <v>464.89051025339541</v>
      </c>
      <c r="S134">
        <f t="shared" si="27"/>
        <v>1017946.3653480153</v>
      </c>
      <c r="T134" s="3">
        <v>0.08</v>
      </c>
      <c r="V134">
        <f>SUM($R$2:R134)</f>
        <v>22838.753669711186</v>
      </c>
      <c r="W134">
        <f t="shared" si="28"/>
        <v>48.156609601718863</v>
      </c>
      <c r="Z134">
        <f t="shared" si="22"/>
        <v>4.6589880974510876E-4</v>
      </c>
      <c r="AA134" s="3">
        <v>0.3</v>
      </c>
      <c r="AB134">
        <f t="shared" si="29"/>
        <v>3393154.551160051</v>
      </c>
      <c r="AC134">
        <f t="shared" si="32"/>
        <v>495778.30360785243</v>
      </c>
      <c r="AD134" s="3">
        <v>0.2</v>
      </c>
      <c r="AE134">
        <f t="shared" si="30"/>
        <v>99155.660721570486</v>
      </c>
      <c r="AF134">
        <f t="shared" si="31"/>
        <v>1</v>
      </c>
    </row>
    <row r="135" spans="1:32" x14ac:dyDescent="0.25">
      <c r="A135" s="2">
        <v>134</v>
      </c>
      <c r="B135">
        <f t="shared" si="23"/>
        <v>27884.282870638701</v>
      </c>
      <c r="C135" s="3">
        <v>0.08</v>
      </c>
      <c r="D135">
        <f t="shared" si="24"/>
        <v>196863.03706670942</v>
      </c>
      <c r="Q135">
        <f t="shared" si="25"/>
        <v>196863.03706671062</v>
      </c>
      <c r="R135">
        <f t="shared" si="26"/>
        <v>473.66202931478023</v>
      </c>
      <c r="S135">
        <f t="shared" si="27"/>
        <v>1099382.0745758566</v>
      </c>
      <c r="T135" s="3">
        <v>0.08</v>
      </c>
      <c r="V135">
        <f>SUM($R$2:R135)</f>
        <v>23312.415699025965</v>
      </c>
      <c r="W135">
        <f t="shared" si="28"/>
        <v>49.1553487517943</v>
      </c>
      <c r="Z135">
        <f t="shared" si="22"/>
        <v>4.3138778680102666E-4</v>
      </c>
      <c r="AA135" s="3">
        <v>0.3</v>
      </c>
      <c r="AB135">
        <f t="shared" si="29"/>
        <v>3664606.9152528555</v>
      </c>
      <c r="AC135">
        <f t="shared" si="32"/>
        <v>525525.00182432355</v>
      </c>
      <c r="AD135" s="3">
        <v>0.2</v>
      </c>
      <c r="AE135">
        <f t="shared" si="30"/>
        <v>105105.00036486471</v>
      </c>
      <c r="AF135">
        <f t="shared" si="31"/>
        <v>1</v>
      </c>
    </row>
    <row r="136" spans="1:32" x14ac:dyDescent="0.25">
      <c r="A136" s="2">
        <v>135</v>
      </c>
      <c r="B136">
        <f t="shared" si="23"/>
        <v>30115.025500289797</v>
      </c>
      <c r="C136" s="3">
        <v>0.08</v>
      </c>
      <c r="D136">
        <f t="shared" si="24"/>
        <v>212612.08003204619</v>
      </c>
      <c r="Q136">
        <f t="shared" si="25"/>
        <v>212612.0800320475</v>
      </c>
      <c r="R136">
        <f t="shared" si="26"/>
        <v>482.59904873581371</v>
      </c>
      <c r="S136">
        <f t="shared" si="27"/>
        <v>1187332.6405419251</v>
      </c>
      <c r="T136" s="3">
        <v>0.08</v>
      </c>
      <c r="V136">
        <f>SUM($R$2:R136)</f>
        <v>23795.014747761779</v>
      </c>
      <c r="W136">
        <f t="shared" si="28"/>
        <v>50.172932036776828</v>
      </c>
      <c r="Z136">
        <f t="shared" si="22"/>
        <v>3.9943313592687651E-4</v>
      </c>
      <c r="AA136" s="3">
        <v>0.3</v>
      </c>
      <c r="AB136">
        <f t="shared" si="29"/>
        <v>3957775.4684730838</v>
      </c>
      <c r="AC136">
        <f t="shared" si="32"/>
        <v>557056.50193378294</v>
      </c>
      <c r="AD136" s="3">
        <v>0.2</v>
      </c>
      <c r="AE136">
        <f t="shared" si="30"/>
        <v>111411.3003867566</v>
      </c>
      <c r="AF136">
        <f t="shared" si="31"/>
        <v>1</v>
      </c>
    </row>
    <row r="137" spans="1:32" x14ac:dyDescent="0.25">
      <c r="A137" s="2">
        <v>136</v>
      </c>
      <c r="B137">
        <f t="shared" si="23"/>
        <v>32524.227540312982</v>
      </c>
      <c r="C137" s="3">
        <v>0.08</v>
      </c>
      <c r="D137">
        <f t="shared" si="24"/>
        <v>229621.04643460989</v>
      </c>
      <c r="Q137">
        <f t="shared" si="25"/>
        <v>229621.04643461131</v>
      </c>
      <c r="R137">
        <f t="shared" si="26"/>
        <v>491.70469116479137</v>
      </c>
      <c r="S137">
        <f t="shared" si="27"/>
        <v>1282319.2517852793</v>
      </c>
      <c r="T137" s="3">
        <v>0.08</v>
      </c>
      <c r="V137">
        <f>SUM($R$2:R137)</f>
        <v>24286.719438926571</v>
      </c>
      <c r="W137">
        <f t="shared" si="28"/>
        <v>51.209715006381671</v>
      </c>
      <c r="Z137">
        <f t="shared" si="22"/>
        <v>3.6984549622858935E-4</v>
      </c>
      <c r="AA137" s="3">
        <v>0.3</v>
      </c>
      <c r="AB137">
        <f t="shared" si="29"/>
        <v>4274397.5059509315</v>
      </c>
      <c r="AC137">
        <f t="shared" si="32"/>
        <v>590479.89204980992</v>
      </c>
      <c r="AD137" s="3">
        <v>0.2</v>
      </c>
      <c r="AE137">
        <f t="shared" si="30"/>
        <v>118095.97840996199</v>
      </c>
      <c r="AF137">
        <f t="shared" si="31"/>
        <v>1</v>
      </c>
    </row>
    <row r="138" spans="1:32" x14ac:dyDescent="0.25">
      <c r="A138" s="2">
        <v>137</v>
      </c>
      <c r="B138">
        <f t="shared" si="23"/>
        <v>35126.165743538018</v>
      </c>
      <c r="C138" s="3">
        <v>0.08</v>
      </c>
      <c r="D138">
        <f t="shared" si="24"/>
        <v>247990.73014937868</v>
      </c>
      <c r="Q138">
        <f t="shared" si="25"/>
        <v>247990.73014938019</v>
      </c>
      <c r="R138">
        <f t="shared" si="26"/>
        <v>500.98213816790076</v>
      </c>
      <c r="S138">
        <f t="shared" si="27"/>
        <v>1384904.7919281018</v>
      </c>
      <c r="T138" s="3">
        <v>0.08</v>
      </c>
      <c r="V138">
        <f>SUM($R$2:R138)</f>
        <v>24787.701577094471</v>
      </c>
      <c r="W138">
        <f t="shared" si="28"/>
        <v>52.266059918809241</v>
      </c>
      <c r="Z138">
        <f t="shared" si="22"/>
        <v>3.4244953354499008E-4</v>
      </c>
      <c r="AA138" s="3">
        <v>0.3</v>
      </c>
      <c r="AB138">
        <f t="shared" si="29"/>
        <v>4616349.3064270066</v>
      </c>
      <c r="AC138">
        <f t="shared" si="32"/>
        <v>625908.6855727986</v>
      </c>
      <c r="AD138" s="3">
        <v>0.2</v>
      </c>
      <c r="AE138">
        <f t="shared" si="30"/>
        <v>125181.73711455973</v>
      </c>
      <c r="AF138">
        <f t="shared" si="31"/>
        <v>1</v>
      </c>
    </row>
    <row r="139" spans="1:32" x14ac:dyDescent="0.25">
      <c r="A139" s="2">
        <v>138</v>
      </c>
      <c r="B139">
        <f t="shared" si="23"/>
        <v>37936.259003021063</v>
      </c>
      <c r="C139" s="3">
        <v>0.08</v>
      </c>
      <c r="D139">
        <f t="shared" si="24"/>
        <v>267829.98856132897</v>
      </c>
      <c r="Q139">
        <f t="shared" si="25"/>
        <v>267829.98856133065</v>
      </c>
      <c r="R139">
        <f t="shared" si="26"/>
        <v>510.43463134088006</v>
      </c>
      <c r="S139">
        <f t="shared" si="27"/>
        <v>1495697.17528235</v>
      </c>
      <c r="T139" s="3">
        <v>0.08</v>
      </c>
      <c r="V139">
        <f>SUM($R$2:R139)</f>
        <v>25298.13620843535</v>
      </c>
      <c r="W139">
        <f t="shared" si="28"/>
        <v>53.342335867320351</v>
      </c>
      <c r="Z139">
        <f t="shared" si="22"/>
        <v>3.1708290143054636E-4</v>
      </c>
      <c r="AA139" s="3">
        <v>0.3</v>
      </c>
      <c r="AB139">
        <f t="shared" si="29"/>
        <v>4985657.2509411667</v>
      </c>
      <c r="AC139">
        <f t="shared" si="32"/>
        <v>663463.20670716651</v>
      </c>
      <c r="AD139" s="3">
        <v>0.2</v>
      </c>
      <c r="AE139">
        <f t="shared" si="30"/>
        <v>132692.64134143331</v>
      </c>
      <c r="AF139">
        <f t="shared" si="31"/>
        <v>1</v>
      </c>
    </row>
    <row r="140" spans="1:32" x14ac:dyDescent="0.25">
      <c r="A140" s="2">
        <v>139</v>
      </c>
      <c r="B140">
        <f t="shared" si="23"/>
        <v>40971.159723262746</v>
      </c>
      <c r="C140" s="3">
        <v>0.08</v>
      </c>
      <c r="D140">
        <f t="shared" si="24"/>
        <v>289256.38764623529</v>
      </c>
      <c r="Q140">
        <f t="shared" si="25"/>
        <v>289256.38764623716</v>
      </c>
      <c r="R140">
        <f t="shared" si="26"/>
        <v>520.06547344165131</v>
      </c>
      <c r="S140">
        <f t="shared" si="27"/>
        <v>1615352.9493049381</v>
      </c>
      <c r="T140" s="3">
        <v>0.08</v>
      </c>
      <c r="V140">
        <f>SUM($R$2:R140)</f>
        <v>25818.201681877003</v>
      </c>
      <c r="W140">
        <f t="shared" si="28"/>
        <v>54.4389189091996</v>
      </c>
      <c r="Z140">
        <f t="shared" si="22"/>
        <v>2.9359527910235772E-4</v>
      </c>
      <c r="AA140" s="3">
        <v>0.3</v>
      </c>
      <c r="AB140">
        <f t="shared" si="29"/>
        <v>5384509.8310164604</v>
      </c>
      <c r="AC140">
        <f t="shared" si="32"/>
        <v>703270.99910959648</v>
      </c>
      <c r="AD140" s="3">
        <v>0.2</v>
      </c>
      <c r="AE140">
        <f t="shared" si="30"/>
        <v>140654.19982191929</v>
      </c>
      <c r="AF140">
        <f t="shared" si="31"/>
        <v>1</v>
      </c>
    </row>
    <row r="141" spans="1:32" x14ac:dyDescent="0.25">
      <c r="A141" s="2">
        <v>140</v>
      </c>
      <c r="B141">
        <f t="shared" si="23"/>
        <v>44248.852501123765</v>
      </c>
      <c r="C141" s="3">
        <v>0.08</v>
      </c>
      <c r="D141">
        <f t="shared" si="24"/>
        <v>312396.8986579341</v>
      </c>
      <c r="Q141">
        <f t="shared" si="25"/>
        <v>312396.89865793608</v>
      </c>
      <c r="R141">
        <f t="shared" si="26"/>
        <v>529.87802954432402</v>
      </c>
      <c r="S141">
        <f t="shared" si="27"/>
        <v>1744581.1852493333</v>
      </c>
      <c r="T141" s="3">
        <v>0.08</v>
      </c>
      <c r="V141">
        <f>SUM($R$2:R141)</f>
        <v>26348.079711421327</v>
      </c>
      <c r="W141">
        <f t="shared" si="28"/>
        <v>55.556192197152043</v>
      </c>
      <c r="Z141">
        <f t="shared" si="22"/>
        <v>2.718474806503312E-4</v>
      </c>
      <c r="AA141" s="3">
        <v>0.3</v>
      </c>
      <c r="AB141">
        <f t="shared" si="29"/>
        <v>5815270.6174977776</v>
      </c>
      <c r="AC141">
        <f t="shared" si="32"/>
        <v>745467.25905617233</v>
      </c>
      <c r="AD141" s="3">
        <v>0.2</v>
      </c>
      <c r="AE141">
        <f t="shared" si="30"/>
        <v>149093.45181123447</v>
      </c>
      <c r="AF141">
        <f t="shared" si="31"/>
        <v>1</v>
      </c>
    </row>
    <row r="142" spans="1:32" x14ac:dyDescent="0.25">
      <c r="A142" s="2">
        <v>141</v>
      </c>
      <c r="B142">
        <f t="shared" si="23"/>
        <v>47788.760701213665</v>
      </c>
      <c r="C142" s="3">
        <v>0.08</v>
      </c>
      <c r="D142">
        <f t="shared" si="24"/>
        <v>337388.65055056883</v>
      </c>
      <c r="Q142">
        <f t="shared" si="25"/>
        <v>337388.65055057098</v>
      </c>
      <c r="R142">
        <f t="shared" si="26"/>
        <v>539.87572821497156</v>
      </c>
      <c r="S142">
        <f t="shared" si="27"/>
        <v>1884147.6800692801</v>
      </c>
      <c r="T142" s="3">
        <v>0.08</v>
      </c>
      <c r="V142">
        <f>SUM($R$2:R142)</f>
        <v>26887.955439636298</v>
      </c>
      <c r="W142">
        <f t="shared" si="28"/>
        <v>56.694546113179058</v>
      </c>
      <c r="Z142">
        <f t="shared" si="22"/>
        <v>2.5171063023178813E-4</v>
      </c>
      <c r="AA142" s="3">
        <v>0.3</v>
      </c>
      <c r="AB142">
        <f t="shared" si="29"/>
        <v>6280492.2668976001</v>
      </c>
      <c r="AC142">
        <f t="shared" si="32"/>
        <v>790195.29459954274</v>
      </c>
      <c r="AD142" s="3">
        <v>0.2</v>
      </c>
      <c r="AE142">
        <f t="shared" si="30"/>
        <v>158039.05891990857</v>
      </c>
      <c r="AF142">
        <f t="shared" si="31"/>
        <v>1</v>
      </c>
    </row>
    <row r="143" spans="1:32" x14ac:dyDescent="0.25">
      <c r="A143" s="2">
        <v>142</v>
      </c>
      <c r="B143">
        <f t="shared" si="23"/>
        <v>51611.86155731076</v>
      </c>
      <c r="C143" s="3">
        <v>0.08</v>
      </c>
      <c r="D143">
        <f t="shared" si="24"/>
        <v>364379.74259461433</v>
      </c>
      <c r="Q143">
        <f t="shared" si="25"/>
        <v>364379.74259461666</v>
      </c>
      <c r="R143">
        <f t="shared" si="26"/>
        <v>550.06206270959376</v>
      </c>
      <c r="S143">
        <f t="shared" si="27"/>
        <v>2034879.4944748227</v>
      </c>
      <c r="T143" s="3">
        <v>0.08</v>
      </c>
      <c r="V143">
        <f>SUM($R$2:R143)</f>
        <v>27438.017502345891</v>
      </c>
      <c r="W143">
        <f t="shared" si="28"/>
        <v>57.85437840498016</v>
      </c>
      <c r="Z143">
        <f t="shared" ref="Z143:Z201" si="33">$W$2/S143</f>
        <v>2.3306539836276676E-4</v>
      </c>
      <c r="AA143" s="3">
        <v>0.3</v>
      </c>
      <c r="AB143">
        <f t="shared" si="29"/>
        <v>6782931.6482494092</v>
      </c>
      <c r="AC143">
        <f t="shared" si="32"/>
        <v>837607.01227551536</v>
      </c>
      <c r="AD143" s="3">
        <v>0.2</v>
      </c>
      <c r="AE143">
        <f t="shared" si="30"/>
        <v>167521.40245510309</v>
      </c>
      <c r="AF143">
        <f t="shared" si="31"/>
        <v>1</v>
      </c>
    </row>
    <row r="144" spans="1:32" x14ac:dyDescent="0.25">
      <c r="A144" s="2">
        <v>143</v>
      </c>
      <c r="B144">
        <f t="shared" si="23"/>
        <v>55740.81048189562</v>
      </c>
      <c r="C144" s="3">
        <v>0.08</v>
      </c>
      <c r="D144">
        <f t="shared" si="24"/>
        <v>393530.12200218346</v>
      </c>
      <c r="Q144">
        <f t="shared" si="25"/>
        <v>393530.12200218608</v>
      </c>
      <c r="R144">
        <f t="shared" si="26"/>
        <v>560.44059219468033</v>
      </c>
      <c r="S144">
        <f t="shared" si="27"/>
        <v>2197669.8540328084</v>
      </c>
      <c r="T144" s="3">
        <v>0.08</v>
      </c>
      <c r="V144">
        <f>SUM($R$2:R144)</f>
        <v>27998.458094540572</v>
      </c>
      <c r="W144">
        <f t="shared" si="28"/>
        <v>59.036094324928463</v>
      </c>
      <c r="Z144">
        <f t="shared" si="33"/>
        <v>2.158012947803396E-4</v>
      </c>
      <c r="AA144" s="3">
        <v>0.3</v>
      </c>
      <c r="AB144">
        <f t="shared" si="29"/>
        <v>7325566.1801093621</v>
      </c>
      <c r="AC144">
        <f t="shared" si="32"/>
        <v>887863.43301204627</v>
      </c>
      <c r="AD144" s="3">
        <v>0.2</v>
      </c>
      <c r="AE144">
        <f t="shared" si="30"/>
        <v>177572.68660240926</v>
      </c>
      <c r="AF144">
        <f t="shared" si="31"/>
        <v>1</v>
      </c>
    </row>
    <row r="145" spans="1:32" x14ac:dyDescent="0.25">
      <c r="A145" s="2">
        <v>144</v>
      </c>
      <c r="B145">
        <f t="shared" si="23"/>
        <v>60200.075320447271</v>
      </c>
      <c r="C145" s="3">
        <v>0.08</v>
      </c>
      <c r="D145">
        <f t="shared" si="24"/>
        <v>425012.53176235815</v>
      </c>
      <c r="Q145">
        <f t="shared" si="25"/>
        <v>425012.531762361</v>
      </c>
      <c r="R145">
        <f t="shared" si="26"/>
        <v>571.01494299080628</v>
      </c>
      <c r="S145">
        <f t="shared" si="27"/>
        <v>2373483.4423554335</v>
      </c>
      <c r="T145" s="3">
        <v>0.08</v>
      </c>
      <c r="V145">
        <f>SUM($R$2:R145)</f>
        <v>28569.473037531377</v>
      </c>
      <c r="W145">
        <f t="shared" si="28"/>
        <v>60.240106771668238</v>
      </c>
      <c r="Z145">
        <f t="shared" si="33"/>
        <v>1.9981601368549961E-4</v>
      </c>
      <c r="AA145" s="3">
        <v>0.3</v>
      </c>
      <c r="AB145">
        <f t="shared" si="29"/>
        <v>7911611.4745181119</v>
      </c>
      <c r="AC145">
        <f t="shared" si="32"/>
        <v>941135.23899276904</v>
      </c>
      <c r="AD145" s="3">
        <v>0.2</v>
      </c>
      <c r="AE145">
        <f t="shared" si="30"/>
        <v>188227.04779855383</v>
      </c>
      <c r="AF145">
        <f t="shared" si="31"/>
        <v>1</v>
      </c>
    </row>
    <row r="146" spans="1:32" x14ac:dyDescent="0.25">
      <c r="A146" s="2">
        <v>145</v>
      </c>
      <c r="B146">
        <f t="shared" si="23"/>
        <v>65016.081346083054</v>
      </c>
      <c r="C146" s="3">
        <v>0.08</v>
      </c>
      <c r="D146">
        <f t="shared" si="24"/>
        <v>459013.53430334682</v>
      </c>
      <c r="Q146">
        <f t="shared" si="25"/>
        <v>459013.53430334991</v>
      </c>
      <c r="R146">
        <f t="shared" si="26"/>
        <v>581.78880983968975</v>
      </c>
      <c r="S146">
        <f t="shared" si="27"/>
        <v>2563362.1177438684</v>
      </c>
      <c r="T146" s="3">
        <v>0.08</v>
      </c>
      <c r="V146">
        <f>SUM($R$2:R146)</f>
        <v>29151.261847371068</v>
      </c>
      <c r="W146">
        <f t="shared" si="28"/>
        <v>61.466836434384241</v>
      </c>
      <c r="Z146">
        <f t="shared" si="33"/>
        <v>1.8501482748657368E-4</v>
      </c>
      <c r="AA146" s="3">
        <v>0.3</v>
      </c>
      <c r="AB146">
        <f t="shared" si="29"/>
        <v>8544540.3924795613</v>
      </c>
      <c r="AC146">
        <f t="shared" si="32"/>
        <v>997603.35333233525</v>
      </c>
      <c r="AD146" s="3">
        <v>0.2</v>
      </c>
      <c r="AE146">
        <f t="shared" si="30"/>
        <v>199520.67066646705</v>
      </c>
      <c r="AF146">
        <f t="shared" si="31"/>
        <v>1</v>
      </c>
    </row>
    <row r="147" spans="1:32" x14ac:dyDescent="0.25">
      <c r="A147" s="2">
        <v>146</v>
      </c>
      <c r="B147">
        <f t="shared" si="23"/>
        <v>70217.367853769698</v>
      </c>
      <c r="C147" s="3">
        <v>0.08</v>
      </c>
      <c r="D147">
        <f t="shared" si="24"/>
        <v>495734.61704761459</v>
      </c>
      <c r="Q147">
        <f t="shared" si="25"/>
        <v>495734.61704761785</v>
      </c>
      <c r="R147">
        <f t="shared" si="26"/>
        <v>592.76595719515547</v>
      </c>
      <c r="S147">
        <f t="shared" si="27"/>
        <v>2768431.087163378</v>
      </c>
      <c r="T147" s="3">
        <v>0.08</v>
      </c>
      <c r="V147">
        <f>SUM($R$2:R147)</f>
        <v>29744.027804566223</v>
      </c>
      <c r="W147">
        <f t="shared" si="28"/>
        <v>62.716711939792994</v>
      </c>
      <c r="Z147">
        <f t="shared" si="33"/>
        <v>1.7131002545053118E-4</v>
      </c>
      <c r="AA147" s="3">
        <v>0.3</v>
      </c>
      <c r="AB147">
        <f t="shared" si="29"/>
        <v>9228103.6238779277</v>
      </c>
      <c r="AC147">
        <f t="shared" si="32"/>
        <v>1057459.5545322753</v>
      </c>
      <c r="AD147" s="3">
        <v>0.2</v>
      </c>
      <c r="AE147">
        <f t="shared" si="30"/>
        <v>211491.91090645507</v>
      </c>
      <c r="AF147">
        <f t="shared" si="31"/>
        <v>1</v>
      </c>
    </row>
    <row r="148" spans="1:32" x14ac:dyDescent="0.25">
      <c r="A148" s="2">
        <v>147</v>
      </c>
      <c r="B148">
        <f t="shared" si="23"/>
        <v>75834.757282071281</v>
      </c>
      <c r="C148" s="3">
        <v>0.08</v>
      </c>
      <c r="D148">
        <f t="shared" si="24"/>
        <v>535393.38641142379</v>
      </c>
      <c r="Q148">
        <f t="shared" si="25"/>
        <v>535393.38641142729</v>
      </c>
      <c r="R148">
        <f t="shared" si="26"/>
        <v>603.95022053846037</v>
      </c>
      <c r="S148">
        <f t="shared" si="27"/>
        <v>2989905.5741364486</v>
      </c>
      <c r="T148" s="3">
        <v>0.08</v>
      </c>
      <c r="V148">
        <f>SUM($R$2:R148)</f>
        <v>30347.978025104683</v>
      </c>
      <c r="W148">
        <f t="shared" si="28"/>
        <v>63.990170001907572</v>
      </c>
      <c r="Z148">
        <f t="shared" si="33"/>
        <v>1.5862039393567699E-4</v>
      </c>
      <c r="AA148" s="3">
        <v>0.3</v>
      </c>
      <c r="AB148">
        <f t="shared" si="29"/>
        <v>9966351.9137881622</v>
      </c>
      <c r="AC148">
        <f t="shared" si="32"/>
        <v>1120907.1278042118</v>
      </c>
      <c r="AD148" s="3">
        <v>0.2</v>
      </c>
      <c r="AE148">
        <f t="shared" si="30"/>
        <v>224181.42556084238</v>
      </c>
      <c r="AF148">
        <f t="shared" si="31"/>
        <v>1</v>
      </c>
    </row>
    <row r="149" spans="1:32" x14ac:dyDescent="0.25">
      <c r="A149" s="2">
        <v>148</v>
      </c>
      <c r="B149">
        <f t="shared" si="23"/>
        <v>81901.537864636979</v>
      </c>
      <c r="C149" s="3">
        <v>0.08</v>
      </c>
      <c r="D149">
        <f t="shared" si="24"/>
        <v>578224.8573243377</v>
      </c>
      <c r="Q149">
        <f t="shared" si="25"/>
        <v>578224.85732434154</v>
      </c>
      <c r="R149">
        <f t="shared" si="26"/>
        <v>615.34550771843124</v>
      </c>
      <c r="S149">
        <f t="shared" si="27"/>
        <v>3229098.0200673644</v>
      </c>
      <c r="T149" s="3">
        <v>0.08</v>
      </c>
      <c r="V149">
        <f>SUM($R$2:R149)</f>
        <v>30963.323532823113</v>
      </c>
      <c r="W149">
        <f t="shared" si="28"/>
        <v>65.287655574628076</v>
      </c>
      <c r="Z149">
        <f t="shared" si="33"/>
        <v>1.4687073512562686E-4</v>
      </c>
      <c r="AA149" s="3">
        <v>0.3</v>
      </c>
      <c r="AB149">
        <f t="shared" si="29"/>
        <v>10763660.066891216</v>
      </c>
      <c r="AC149">
        <f t="shared" si="32"/>
        <v>1188161.5554724645</v>
      </c>
      <c r="AD149" s="3">
        <v>0.2</v>
      </c>
      <c r="AE149">
        <f t="shared" si="30"/>
        <v>237632.31109449291</v>
      </c>
      <c r="AF149">
        <f t="shared" si="31"/>
        <v>1</v>
      </c>
    </row>
    <row r="150" spans="1:32" x14ac:dyDescent="0.25">
      <c r="A150" s="2">
        <v>149</v>
      </c>
      <c r="B150">
        <f t="shared" si="23"/>
        <v>88453.660893807944</v>
      </c>
      <c r="C150" s="3">
        <v>0.08</v>
      </c>
      <c r="D150">
        <f t="shared" si="24"/>
        <v>624482.84591028467</v>
      </c>
      <c r="Q150">
        <f t="shared" si="25"/>
        <v>624482.84591028886</v>
      </c>
      <c r="R150">
        <f t="shared" si="26"/>
        <v>626.95580031689224</v>
      </c>
      <c r="S150">
        <f t="shared" si="27"/>
        <v>3487425.8616727539</v>
      </c>
      <c r="T150" s="3">
        <v>0.08</v>
      </c>
      <c r="V150">
        <f>SUM($R$2:R150)</f>
        <v>31590.279333140006</v>
      </c>
      <c r="W150">
        <f t="shared" si="28"/>
        <v>66.609622007211243</v>
      </c>
      <c r="Z150">
        <f t="shared" si="33"/>
        <v>1.3599142141261744E-4</v>
      </c>
      <c r="AA150" s="3">
        <v>0.3</v>
      </c>
      <c r="AB150">
        <f t="shared" si="29"/>
        <v>11624752.872242514</v>
      </c>
      <c r="AC150">
        <f t="shared" si="32"/>
        <v>1259451.2488008125</v>
      </c>
      <c r="AD150" s="3">
        <v>0.2</v>
      </c>
      <c r="AE150">
        <f t="shared" si="30"/>
        <v>251890.24976016252</v>
      </c>
      <c r="AF150">
        <f t="shared" si="31"/>
        <v>1</v>
      </c>
    </row>
    <row r="151" spans="1:32" x14ac:dyDescent="0.25">
      <c r="A151" s="2">
        <v>150</v>
      </c>
      <c r="B151">
        <f t="shared" si="23"/>
        <v>95529.953765312574</v>
      </c>
      <c r="C151" s="3">
        <v>0.08</v>
      </c>
      <c r="D151">
        <f t="shared" si="24"/>
        <v>674441.47358310746</v>
      </c>
      <c r="Q151">
        <f t="shared" si="25"/>
        <v>674441.47358311201</v>
      </c>
      <c r="R151">
        <f t="shared" si="26"/>
        <v>638.78515503985238</v>
      </c>
      <c r="S151">
        <f t="shared" si="27"/>
        <v>3766419.9306065743</v>
      </c>
      <c r="T151" s="3">
        <v>0.08</v>
      </c>
      <c r="V151">
        <f>SUM($R$2:R151)</f>
        <v>32229.064488179858</v>
      </c>
      <c r="W151">
        <f t="shared" si="28"/>
        <v>67.956531202673347</v>
      </c>
      <c r="Z151">
        <f t="shared" si="33"/>
        <v>1.2591798278946059E-4</v>
      </c>
      <c r="AA151" s="3">
        <v>0.3</v>
      </c>
      <c r="AB151">
        <f t="shared" si="29"/>
        <v>12554733.102021914</v>
      </c>
      <c r="AC151">
        <f t="shared" si="32"/>
        <v>1335018.3237288613</v>
      </c>
      <c r="AD151" s="3">
        <v>0.2</v>
      </c>
      <c r="AE151">
        <f t="shared" si="30"/>
        <v>267003.66474577226</v>
      </c>
      <c r="AF151">
        <f t="shared" si="31"/>
        <v>1</v>
      </c>
    </row>
    <row r="152" spans="1:32" x14ac:dyDescent="0.25">
      <c r="A152" s="2">
        <v>151</v>
      </c>
      <c r="B152">
        <f t="shared" si="23"/>
        <v>103172.35006653758</v>
      </c>
      <c r="C152" s="3">
        <v>0.08</v>
      </c>
      <c r="D152">
        <f t="shared" si="24"/>
        <v>728396.79146975605</v>
      </c>
      <c r="Q152">
        <f t="shared" si="25"/>
        <v>728396.79146976105</v>
      </c>
      <c r="R152">
        <f t="shared" si="26"/>
        <v>650.83770513494403</v>
      </c>
      <c r="S152">
        <f t="shared" si="27"/>
        <v>4067733.5250551007</v>
      </c>
      <c r="T152" s="3">
        <v>0.08</v>
      </c>
      <c r="V152">
        <f>SUM($R$2:R152)</f>
        <v>32879.902193314803</v>
      </c>
      <c r="W152">
        <f t="shared" si="28"/>
        <v>69.328853779181898</v>
      </c>
      <c r="Z152">
        <f t="shared" si="33"/>
        <v>1.165907248050561E-4</v>
      </c>
      <c r="AA152" s="3">
        <v>0.3</v>
      </c>
      <c r="AB152">
        <f t="shared" si="29"/>
        <v>13559111.75018367</v>
      </c>
      <c r="AC152">
        <f t="shared" si="32"/>
        <v>1415119.423152593</v>
      </c>
      <c r="AD152" s="3">
        <v>0.2</v>
      </c>
      <c r="AE152">
        <f t="shared" si="30"/>
        <v>283023.88463051862</v>
      </c>
      <c r="AF152">
        <f t="shared" si="31"/>
        <v>1</v>
      </c>
    </row>
    <row r="153" spans="1:32" x14ac:dyDescent="0.25">
      <c r="A153" s="2">
        <v>152</v>
      </c>
      <c r="B153">
        <f t="shared" si="23"/>
        <v>111426.13807186058</v>
      </c>
      <c r="C153" s="3">
        <v>0.08</v>
      </c>
      <c r="D153">
        <f t="shared" si="24"/>
        <v>786668.53478733648</v>
      </c>
      <c r="Q153">
        <f t="shared" si="25"/>
        <v>786668.53478734207</v>
      </c>
      <c r="R153">
        <f t="shared" si="26"/>
        <v>663.11766183560326</v>
      </c>
      <c r="S153">
        <f t="shared" si="27"/>
        <v>4393152.2070595091</v>
      </c>
      <c r="T153" s="3">
        <v>0.08</v>
      </c>
      <c r="V153">
        <f>SUM($R$2:R153)</f>
        <v>33543.019855150407</v>
      </c>
      <c r="W153">
        <f t="shared" si="28"/>
        <v>70.72706923449249</v>
      </c>
      <c r="Z153">
        <f t="shared" si="33"/>
        <v>1.0795437481949638E-4</v>
      </c>
      <c r="AA153" s="3">
        <v>0.3</v>
      </c>
      <c r="AB153">
        <f t="shared" si="29"/>
        <v>14643840.690198364</v>
      </c>
      <c r="AC153">
        <f t="shared" si="32"/>
        <v>1500026.5885417487</v>
      </c>
      <c r="AD153" s="3">
        <v>0.2</v>
      </c>
      <c r="AE153">
        <f t="shared" si="30"/>
        <v>300005.31770834973</v>
      </c>
      <c r="AF153">
        <f t="shared" si="31"/>
        <v>1</v>
      </c>
    </row>
    <row r="154" spans="1:32" x14ac:dyDescent="0.25">
      <c r="A154" s="2">
        <v>153</v>
      </c>
      <c r="B154">
        <f t="shared" si="23"/>
        <v>120340.22911760943</v>
      </c>
      <c r="C154" s="3">
        <v>0.08</v>
      </c>
      <c r="D154">
        <f t="shared" si="24"/>
        <v>849602.01757032343</v>
      </c>
      <c r="Q154">
        <f t="shared" si="25"/>
        <v>849602.01757032925</v>
      </c>
      <c r="R154">
        <f t="shared" si="26"/>
        <v>675.62931583250167</v>
      </c>
      <c r="S154">
        <f t="shared" si="27"/>
        <v>4744604.3836242706</v>
      </c>
      <c r="T154" s="3">
        <v>0.08</v>
      </c>
      <c r="V154">
        <f>SUM($R$2:R154)</f>
        <v>34218.649170982906</v>
      </c>
      <c r="W154">
        <f t="shared" si="28"/>
        <v>72.15166611348819</v>
      </c>
      <c r="Z154">
        <f t="shared" si="33"/>
        <v>9.9957754462496633E-5</v>
      </c>
      <c r="AA154" s="3">
        <v>0.3</v>
      </c>
      <c r="AB154">
        <f t="shared" si="29"/>
        <v>15815347.945414236</v>
      </c>
      <c r="AC154">
        <f t="shared" si="32"/>
        <v>1590028.1838542537</v>
      </c>
      <c r="AD154" s="3">
        <v>0.2</v>
      </c>
      <c r="AE154">
        <f t="shared" si="30"/>
        <v>318005.63677085075</v>
      </c>
      <c r="AF154">
        <f t="shared" si="31"/>
        <v>1</v>
      </c>
    </row>
    <row r="155" spans="1:32" x14ac:dyDescent="0.25">
      <c r="A155" s="2">
        <v>154</v>
      </c>
      <c r="B155">
        <f t="shared" si="23"/>
        <v>129967.44744701819</v>
      </c>
      <c r="C155" s="3">
        <v>0.08</v>
      </c>
      <c r="D155">
        <f t="shared" si="24"/>
        <v>917570.1789759493</v>
      </c>
      <c r="Q155">
        <f t="shared" si="25"/>
        <v>917570.17897595582</v>
      </c>
      <c r="R155">
        <f t="shared" si="26"/>
        <v>688.37703877273759</v>
      </c>
      <c r="S155">
        <f t="shared" si="27"/>
        <v>5124172.7343142126</v>
      </c>
      <c r="T155" s="3">
        <v>0.08</v>
      </c>
      <c r="V155">
        <f>SUM($R$2:R155)</f>
        <v>34907.026209755641</v>
      </c>
      <c r="W155">
        <f t="shared" si="28"/>
        <v>73.60314217888002</v>
      </c>
      <c r="Z155">
        <f t="shared" si="33"/>
        <v>9.2553476354163532E-5</v>
      </c>
      <c r="AA155" s="3">
        <v>0.3</v>
      </c>
      <c r="AB155">
        <f t="shared" si="29"/>
        <v>17080575.781047378</v>
      </c>
      <c r="AC155">
        <f t="shared" si="32"/>
        <v>1685429.874885509</v>
      </c>
      <c r="AD155" s="3">
        <v>0.2</v>
      </c>
      <c r="AE155">
        <f t="shared" si="30"/>
        <v>337085.97497710184</v>
      </c>
      <c r="AF155">
        <f t="shared" si="31"/>
        <v>1</v>
      </c>
    </row>
    <row r="156" spans="1:32" x14ac:dyDescent="0.25">
      <c r="A156" s="2">
        <v>155</v>
      </c>
      <c r="B156">
        <f t="shared" si="23"/>
        <v>140364.84324277964</v>
      </c>
      <c r="C156" s="3">
        <v>0.08</v>
      </c>
      <c r="D156">
        <f t="shared" si="24"/>
        <v>990975.79329402524</v>
      </c>
      <c r="Q156">
        <f t="shared" si="25"/>
        <v>990975.79329403222</v>
      </c>
      <c r="R156">
        <f t="shared" si="26"/>
        <v>701.36528478731759</v>
      </c>
      <c r="S156">
        <f t="shared" si="27"/>
        <v>5534106.5530593498</v>
      </c>
      <c r="T156" s="3">
        <v>0.08</v>
      </c>
      <c r="V156">
        <f>SUM($R$2:R156)</f>
        <v>35608.391494542957</v>
      </c>
      <c r="W156">
        <f t="shared" si="28"/>
        <v>75.082004585128317</v>
      </c>
      <c r="Z156">
        <f t="shared" si="33"/>
        <v>8.5697663290892158E-5</v>
      </c>
      <c r="AA156" s="3">
        <v>0.3</v>
      </c>
      <c r="AB156">
        <f t="shared" si="29"/>
        <v>18447021.843531165</v>
      </c>
      <c r="AC156">
        <f t="shared" si="32"/>
        <v>1786555.6673786396</v>
      </c>
      <c r="AD156" s="3">
        <v>0.2</v>
      </c>
      <c r="AE156">
        <f t="shared" si="30"/>
        <v>357311.13347572793</v>
      </c>
      <c r="AF156">
        <f t="shared" si="31"/>
        <v>1</v>
      </c>
    </row>
    <row r="157" spans="1:32" x14ac:dyDescent="0.25">
      <c r="A157" s="2">
        <v>156</v>
      </c>
      <c r="B157">
        <f t="shared" si="23"/>
        <v>151594.030702202</v>
      </c>
      <c r="C157" s="3">
        <v>0.08</v>
      </c>
      <c r="D157">
        <f t="shared" si="24"/>
        <v>1070253.8567575472</v>
      </c>
      <c r="Q157">
        <f t="shared" si="25"/>
        <v>1070253.8567575549</v>
      </c>
      <c r="R157">
        <f t="shared" si="26"/>
        <v>714.59859204745555</v>
      </c>
      <c r="S157">
        <f t="shared" si="27"/>
        <v>5976835.0773040978</v>
      </c>
      <c r="T157" s="3">
        <v>0.08</v>
      </c>
      <c r="V157">
        <f>SUM($R$2:R157)</f>
        <v>36322.990086590413</v>
      </c>
      <c r="W157">
        <f t="shared" si="28"/>
        <v>76.588770055645455</v>
      </c>
      <c r="Z157">
        <f t="shared" si="33"/>
        <v>7.9349688232307558E-5</v>
      </c>
      <c r="AA157" s="3">
        <v>0.3</v>
      </c>
      <c r="AB157">
        <f t="shared" si="29"/>
        <v>19922783.591013659</v>
      </c>
      <c r="AC157">
        <f t="shared" si="32"/>
        <v>1893749.007421358</v>
      </c>
      <c r="AD157" s="3">
        <v>0.2</v>
      </c>
      <c r="AE157">
        <f t="shared" si="30"/>
        <v>378749.80148427165</v>
      </c>
      <c r="AF157">
        <f t="shared" si="31"/>
        <v>1</v>
      </c>
    </row>
    <row r="158" spans="1:32" x14ac:dyDescent="0.25">
      <c r="A158" s="2">
        <v>157</v>
      </c>
      <c r="B158">
        <f t="shared" si="23"/>
        <v>163721.55315837817</v>
      </c>
      <c r="C158" s="3">
        <v>0.08</v>
      </c>
      <c r="D158">
        <f t="shared" si="24"/>
        <v>1155874.1652981511</v>
      </c>
      <c r="Q158">
        <f t="shared" si="25"/>
        <v>1155874.1652981592</v>
      </c>
      <c r="R158">
        <f t="shared" si="26"/>
        <v>728.08158435023768</v>
      </c>
      <c r="S158">
        <f t="shared" si="27"/>
        <v>6454981.883488426</v>
      </c>
      <c r="T158" s="3">
        <v>0.08</v>
      </c>
      <c r="V158">
        <f>SUM($R$2:R158)</f>
        <v>37051.071670940648</v>
      </c>
      <c r="W158">
        <f t="shared" si="28"/>
        <v>78.123965063342155</v>
      </c>
      <c r="Z158">
        <f t="shared" si="33"/>
        <v>7.3471933548432922E-5</v>
      </c>
      <c r="AA158" s="3">
        <v>0.3</v>
      </c>
      <c r="AB158">
        <f t="shared" si="29"/>
        <v>21516606.278294753</v>
      </c>
      <c r="AC158">
        <f t="shared" si="32"/>
        <v>2007373.9478666396</v>
      </c>
      <c r="AD158" s="3">
        <v>0.2</v>
      </c>
      <c r="AE158">
        <f t="shared" si="30"/>
        <v>401474.78957332793</v>
      </c>
      <c r="AF158">
        <f t="shared" si="31"/>
        <v>1</v>
      </c>
    </row>
    <row r="159" spans="1:32" x14ac:dyDescent="0.25">
      <c r="A159" s="2">
        <v>158</v>
      </c>
      <c r="B159">
        <f t="shared" si="23"/>
        <v>176819.27741104842</v>
      </c>
      <c r="C159" s="3">
        <v>0.08</v>
      </c>
      <c r="D159">
        <f t="shared" si="24"/>
        <v>1248344.0985220033</v>
      </c>
      <c r="Q159">
        <f t="shared" si="25"/>
        <v>1248344.0985220121</v>
      </c>
      <c r="R159">
        <f t="shared" si="26"/>
        <v>741.81897273420441</v>
      </c>
      <c r="S159">
        <f t="shared" si="27"/>
        <v>6971380.4341675006</v>
      </c>
      <c r="T159" s="3">
        <v>0.08</v>
      </c>
      <c r="V159">
        <f>SUM($R$2:R159)</f>
        <v>37792.890643674851</v>
      </c>
      <c r="W159">
        <f t="shared" si="28"/>
        <v>79.688126014580291</v>
      </c>
      <c r="Z159">
        <f t="shared" si="33"/>
        <v>6.8029568100400851E-5</v>
      </c>
      <c r="AA159" s="3">
        <v>0.3</v>
      </c>
      <c r="AB159">
        <f t="shared" si="29"/>
        <v>23237934.780558337</v>
      </c>
      <c r="AC159">
        <f t="shared" si="32"/>
        <v>2127816.3847386381</v>
      </c>
      <c r="AD159" s="3">
        <v>0.2</v>
      </c>
      <c r="AE159">
        <f t="shared" si="30"/>
        <v>425563.27694772766</v>
      </c>
      <c r="AF159">
        <f t="shared" si="31"/>
        <v>1</v>
      </c>
    </row>
    <row r="160" spans="1:32" x14ac:dyDescent="0.25">
      <c r="A160" s="2">
        <v>159</v>
      </c>
      <c r="B160">
        <f t="shared" si="23"/>
        <v>190964.81960393229</v>
      </c>
      <c r="C160" s="3">
        <v>0.08</v>
      </c>
      <c r="D160">
        <f t="shared" si="24"/>
        <v>1348211.6264037634</v>
      </c>
      <c r="Q160">
        <f t="shared" si="25"/>
        <v>1348211.6264037732</v>
      </c>
      <c r="R160">
        <f t="shared" si="26"/>
        <v>755.81555712541581</v>
      </c>
      <c r="S160">
        <f t="shared" si="27"/>
        <v>7529090.8689009007</v>
      </c>
      <c r="T160" s="3">
        <v>0.08</v>
      </c>
      <c r="V160">
        <f>SUM($R$2:R160)</f>
        <v>38548.706200800269</v>
      </c>
      <c r="W160">
        <f t="shared" si="28"/>
        <v>81.281799436596529</v>
      </c>
      <c r="Z160">
        <f t="shared" si="33"/>
        <v>6.2990340833704486E-5</v>
      </c>
      <c r="AA160" s="3">
        <v>0.3</v>
      </c>
      <c r="AB160">
        <f t="shared" si="29"/>
        <v>25096969.563003004</v>
      </c>
      <c r="AC160">
        <f t="shared" si="32"/>
        <v>2255485.3678229563</v>
      </c>
      <c r="AD160" s="3">
        <v>0.2</v>
      </c>
      <c r="AE160">
        <f t="shared" si="30"/>
        <v>451097.07356459129</v>
      </c>
      <c r="AF160">
        <f t="shared" si="31"/>
        <v>1</v>
      </c>
    </row>
    <row r="161" spans="1:32" x14ac:dyDescent="0.25">
      <c r="A161" s="2">
        <v>160</v>
      </c>
      <c r="B161">
        <f t="shared" si="23"/>
        <v>206242.00517224689</v>
      </c>
      <c r="C161" s="3">
        <v>0.08</v>
      </c>
      <c r="D161">
        <f t="shared" si="24"/>
        <v>1456068.5565160646</v>
      </c>
      <c r="Q161">
        <f t="shared" si="25"/>
        <v>1456068.5565160753</v>
      </c>
      <c r="R161">
        <f t="shared" si="26"/>
        <v>770.07622801457444</v>
      </c>
      <c r="S161">
        <f t="shared" si="27"/>
        <v>8131418.1384129729</v>
      </c>
      <c r="T161" s="3">
        <v>0.08</v>
      </c>
      <c r="V161">
        <f>SUM($R$2:R161)</f>
        <v>39318.78242881484</v>
      </c>
      <c r="W161">
        <f t="shared" si="28"/>
        <v>82.905542168462105</v>
      </c>
      <c r="Z161">
        <f t="shared" si="33"/>
        <v>5.8324389660837484E-5</v>
      </c>
      <c r="AA161" s="3">
        <v>0.3</v>
      </c>
      <c r="AB161">
        <f t="shared" si="29"/>
        <v>27104727.128043246</v>
      </c>
      <c r="AC161">
        <f t="shared" si="32"/>
        <v>2390814.4898923337</v>
      </c>
      <c r="AD161" s="3">
        <v>0.2</v>
      </c>
      <c r="AE161">
        <f t="shared" si="30"/>
        <v>478162.89797846676</v>
      </c>
      <c r="AF161">
        <f t="shared" si="31"/>
        <v>1</v>
      </c>
    </row>
    <row r="162" spans="1:32" x14ac:dyDescent="0.25">
      <c r="A162" s="2">
        <v>161</v>
      </c>
      <c r="B162">
        <f t="shared" si="23"/>
        <v>222741.36558602663</v>
      </c>
      <c r="C162" s="3">
        <v>0.08</v>
      </c>
      <c r="D162">
        <f t="shared" si="24"/>
        <v>1572554.0410373497</v>
      </c>
      <c r="Q162">
        <f t="shared" si="25"/>
        <v>1572554.0410373614</v>
      </c>
      <c r="R162">
        <f t="shared" si="26"/>
        <v>784.60596816579323</v>
      </c>
      <c r="S162">
        <f t="shared" si="27"/>
        <v>8781931.5894860122</v>
      </c>
      <c r="T162" s="3">
        <v>0.08</v>
      </c>
      <c r="V162">
        <f>SUM($R$2:R162)</f>
        <v>40103.388396980634</v>
      </c>
      <c r="W162">
        <f t="shared" si="28"/>
        <v>84.559921555645914</v>
      </c>
      <c r="Z162">
        <f t="shared" si="33"/>
        <v>5.4004064500775441E-5</v>
      </c>
      <c r="AA162" s="3">
        <v>0.3</v>
      </c>
      <c r="AB162">
        <f t="shared" si="29"/>
        <v>29273105.29828671</v>
      </c>
      <c r="AC162">
        <f t="shared" si="32"/>
        <v>2534263.3592858738</v>
      </c>
      <c r="AD162" s="3">
        <v>0.2</v>
      </c>
      <c r="AE162">
        <f t="shared" si="30"/>
        <v>506852.67185717478</v>
      </c>
      <c r="AF162">
        <f t="shared" si="31"/>
        <v>1</v>
      </c>
    </row>
    <row r="163" spans="1:32" x14ac:dyDescent="0.25">
      <c r="A163" s="2">
        <v>162</v>
      </c>
      <c r="B163">
        <f t="shared" si="23"/>
        <v>240560.67483290876</v>
      </c>
      <c r="C163" s="3">
        <v>0.08</v>
      </c>
      <c r="D163">
        <f t="shared" si="24"/>
        <v>1698358.3643203378</v>
      </c>
      <c r="Q163">
        <f t="shared" si="25"/>
        <v>1698358.3643203501</v>
      </c>
      <c r="R163">
        <f t="shared" si="26"/>
        <v>799.40985435760069</v>
      </c>
      <c r="S163">
        <f t="shared" si="27"/>
        <v>9484486.1166448947</v>
      </c>
      <c r="T163" s="3">
        <v>0.08</v>
      </c>
      <c r="V163">
        <f>SUM($R$2:R163)</f>
        <v>40902.798251338238</v>
      </c>
      <c r="W163">
        <f t="shared" si="28"/>
        <v>86.245515648248301</v>
      </c>
      <c r="Z163">
        <f t="shared" si="33"/>
        <v>5.0003763426643918E-5</v>
      </c>
      <c r="AA163" s="3">
        <v>0.3</v>
      </c>
      <c r="AB163">
        <f t="shared" si="29"/>
        <v>31614953.722149651</v>
      </c>
      <c r="AC163">
        <f t="shared" si="32"/>
        <v>2686319.1608430264</v>
      </c>
      <c r="AD163" s="3">
        <v>0.2</v>
      </c>
      <c r="AE163">
        <f t="shared" si="30"/>
        <v>537263.8321686053</v>
      </c>
      <c r="AF163">
        <f t="shared" si="31"/>
        <v>1</v>
      </c>
    </row>
    <row r="164" spans="1:32" x14ac:dyDescent="0.25">
      <c r="A164" s="2">
        <v>163</v>
      </c>
      <c r="B164">
        <f t="shared" si="23"/>
        <v>259805.52881954145</v>
      </c>
      <c r="C164" s="3">
        <v>0.08</v>
      </c>
      <c r="D164">
        <f t="shared" si="24"/>
        <v>1834227.0334659647</v>
      </c>
      <c r="Q164">
        <f t="shared" si="25"/>
        <v>1834227.0334659782</v>
      </c>
      <c r="R164">
        <f t="shared" si="26"/>
        <v>814.49305915680065</v>
      </c>
      <c r="S164">
        <f t="shared" si="27"/>
        <v>10243245.005976487</v>
      </c>
      <c r="T164" s="3">
        <v>0.08</v>
      </c>
      <c r="V164">
        <f>SUM($R$2:R164)</f>
        <v>41717.291310495035</v>
      </c>
      <c r="W164">
        <f t="shared" si="28"/>
        <v>87.962913402975232</v>
      </c>
      <c r="Z164">
        <f t="shared" si="33"/>
        <v>4.6299780950596215E-5</v>
      </c>
      <c r="AA164" s="3">
        <v>0.3</v>
      </c>
      <c r="AB164">
        <f t="shared" si="29"/>
        <v>34144150.019921623</v>
      </c>
      <c r="AC164">
        <f t="shared" si="32"/>
        <v>2847498.310493608</v>
      </c>
      <c r="AD164" s="3">
        <v>0.2</v>
      </c>
      <c r="AE164">
        <f t="shared" si="30"/>
        <v>569499.6620987216</v>
      </c>
      <c r="AF164">
        <f t="shared" si="31"/>
        <v>1</v>
      </c>
    </row>
    <row r="165" spans="1:32" x14ac:dyDescent="0.25">
      <c r="A165" s="2">
        <v>164</v>
      </c>
      <c r="B165">
        <f t="shared" si="23"/>
        <v>280589.97112510476</v>
      </c>
      <c r="C165" s="3">
        <v>0.08</v>
      </c>
      <c r="D165">
        <f t="shared" si="24"/>
        <v>1980965.1961432418</v>
      </c>
      <c r="Q165">
        <f t="shared" si="25"/>
        <v>1980965.1961432567</v>
      </c>
      <c r="R165">
        <f t="shared" si="26"/>
        <v>829.8608527257968</v>
      </c>
      <c r="S165">
        <f t="shared" si="27"/>
        <v>11062704.606454607</v>
      </c>
      <c r="T165" s="3">
        <v>0.08</v>
      </c>
      <c r="V165">
        <f>SUM($R$2:R165)</f>
        <v>42547.152163220831</v>
      </c>
      <c r="W165">
        <f t="shared" si="28"/>
        <v>89.712714888923443</v>
      </c>
      <c r="Z165">
        <f t="shared" si="33"/>
        <v>4.2870167546848345E-5</v>
      </c>
      <c r="AA165" s="3">
        <v>0.3</v>
      </c>
      <c r="AB165">
        <f t="shared" si="29"/>
        <v>36875682.021515362</v>
      </c>
      <c r="AC165">
        <f t="shared" si="32"/>
        <v>3018348.2091232245</v>
      </c>
      <c r="AD165" s="3">
        <v>0.2</v>
      </c>
      <c r="AE165">
        <f t="shared" si="30"/>
        <v>603669.64182464487</v>
      </c>
      <c r="AF165">
        <f t="shared" si="31"/>
        <v>1</v>
      </c>
    </row>
    <row r="166" spans="1:32" x14ac:dyDescent="0.25">
      <c r="A166" s="2">
        <v>165</v>
      </c>
      <c r="B166">
        <f t="shared" ref="B166:B200" si="34">B165+B165*C165</f>
        <v>303037.16881511314</v>
      </c>
      <c r="C166" s="3">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3">
        <v>0.08</v>
      </c>
      <c r="V166">
        <f>SUM($R$2:R166)</f>
        <v>43392.670767884854</v>
      </c>
      <c r="W166">
        <f t="shared" ref="W166:W200" si="39">V166/$W$2</f>
        <v>91.495531497248038</v>
      </c>
      <c r="Z166">
        <f t="shared" si="33"/>
        <v>3.9694599580415133E-5</v>
      </c>
      <c r="AA166" s="3">
        <v>0.3</v>
      </c>
      <c r="AB166">
        <f t="shared" si="29"/>
        <v>39825736.58323659</v>
      </c>
      <c r="AC166">
        <f t="shared" si="32"/>
        <v>3199449.1016706182</v>
      </c>
      <c r="AD166" s="3">
        <v>0.2</v>
      </c>
      <c r="AE166">
        <f t="shared" si="30"/>
        <v>639889.82033412368</v>
      </c>
      <c r="AF166">
        <f t="shared" si="31"/>
        <v>1</v>
      </c>
    </row>
    <row r="167" spans="1:32" x14ac:dyDescent="0.25">
      <c r="A167" s="2">
        <v>166</v>
      </c>
      <c r="B167">
        <f t="shared" si="34"/>
        <v>327280.14232032216</v>
      </c>
      <c r="C167" s="3">
        <v>0.08</v>
      </c>
      <c r="D167">
        <f t="shared" si="35"/>
        <v>2310597.804781477</v>
      </c>
      <c r="Q167">
        <f t="shared" si="36"/>
        <v>2310597.8047814951</v>
      </c>
      <c r="R167">
        <f t="shared" si="37"/>
        <v>861.47178588409531</v>
      </c>
      <c r="S167">
        <f t="shared" si="38"/>
        <v>12903538.652968654</v>
      </c>
      <c r="T167" s="3">
        <v>0.08</v>
      </c>
      <c r="V167">
        <f>SUM($R$2:R167)</f>
        <v>44254.14255376895</v>
      </c>
      <c r="W167">
        <f t="shared" si="39"/>
        <v>93.311986154786297</v>
      </c>
      <c r="Z167">
        <f t="shared" si="33"/>
        <v>3.6754258870754755E-5</v>
      </c>
      <c r="AA167" s="3">
        <v>0.3</v>
      </c>
      <c r="AB167">
        <f t="shared" si="29"/>
        <v>43011795.509895518</v>
      </c>
      <c r="AC167">
        <f t="shared" si="32"/>
        <v>3391416.0477708555</v>
      </c>
      <c r="AD167" s="3">
        <v>0.2</v>
      </c>
      <c r="AE167">
        <f t="shared" si="30"/>
        <v>678283.20955417119</v>
      </c>
      <c r="AF167">
        <f t="shared" si="31"/>
        <v>1</v>
      </c>
    </row>
    <row r="168" spans="1:32" x14ac:dyDescent="0.25">
      <c r="A168" s="2">
        <v>167</v>
      </c>
      <c r="B168">
        <f t="shared" si="34"/>
        <v>353462.55370594794</v>
      </c>
      <c r="C168" s="3">
        <v>0.08</v>
      </c>
      <c r="D168">
        <f t="shared" si="35"/>
        <v>2495445.6291639949</v>
      </c>
      <c r="Q168">
        <f t="shared" si="36"/>
        <v>2495445.6291640149</v>
      </c>
      <c r="R168">
        <f t="shared" si="37"/>
        <v>877.72597052341769</v>
      </c>
      <c r="S168">
        <f t="shared" si="38"/>
        <v>13935821.745206147</v>
      </c>
      <c r="T168" s="3">
        <v>0.08</v>
      </c>
      <c r="V168">
        <f>SUM($R$2:R168)</f>
        <v>45131.868524292368</v>
      </c>
      <c r="W168">
        <f t="shared" si="39"/>
        <v>95.16271354171208</v>
      </c>
      <c r="Z168">
        <f t="shared" si="33"/>
        <v>3.4031721176624766E-5</v>
      </c>
      <c r="AA168" s="3">
        <v>0.3</v>
      </c>
      <c r="AB168">
        <f t="shared" si="29"/>
        <v>46452739.150687158</v>
      </c>
      <c r="AC168">
        <f t="shared" si="32"/>
        <v>3594901.0106371068</v>
      </c>
      <c r="AD168" s="3">
        <v>0.2</v>
      </c>
      <c r="AE168">
        <f t="shared" si="30"/>
        <v>718980.20212742139</v>
      </c>
      <c r="AF168">
        <f t="shared" si="31"/>
        <v>1</v>
      </c>
    </row>
    <row r="169" spans="1:32" x14ac:dyDescent="0.25">
      <c r="A169" s="2">
        <v>168</v>
      </c>
      <c r="B169">
        <f t="shared" si="34"/>
        <v>381739.55800242379</v>
      </c>
      <c r="C169" s="3">
        <v>0.08</v>
      </c>
      <c r="D169">
        <f t="shared" si="35"/>
        <v>2695081.2794971145</v>
      </c>
      <c r="Q169">
        <f t="shared" si="36"/>
        <v>2695081.2794971359</v>
      </c>
      <c r="R169">
        <f t="shared" si="37"/>
        <v>894.28683789178399</v>
      </c>
      <c r="S169">
        <f t="shared" si="38"/>
        <v>15050687.48482264</v>
      </c>
      <c r="T169" s="3">
        <v>0.08</v>
      </c>
      <c r="V169">
        <f>SUM($R$2:R169)</f>
        <v>46026.155362184152</v>
      </c>
      <c r="W169">
        <f t="shared" si="39"/>
        <v>97.048360313296826</v>
      </c>
      <c r="Z169">
        <f t="shared" si="33"/>
        <v>3.1510852941319226E-5</v>
      </c>
      <c r="AA169" s="3">
        <v>0.3</v>
      </c>
      <c r="AB169">
        <f t="shared" si="29"/>
        <v>50168958.282742135</v>
      </c>
      <c r="AC169">
        <f t="shared" si="32"/>
        <v>3810595.0712753334</v>
      </c>
      <c r="AD169" s="3">
        <v>0.2</v>
      </c>
      <c r="AE169">
        <f t="shared" si="30"/>
        <v>762119.01425506675</v>
      </c>
      <c r="AF169">
        <f t="shared" si="31"/>
        <v>1</v>
      </c>
    </row>
    <row r="170" spans="1:32" x14ac:dyDescent="0.25">
      <c r="A170" s="2">
        <v>169</v>
      </c>
      <c r="B170">
        <f t="shared" si="34"/>
        <v>412278.72264261771</v>
      </c>
      <c r="C170" s="3">
        <v>0.08</v>
      </c>
      <c r="D170">
        <f t="shared" si="35"/>
        <v>2910687.7818568838</v>
      </c>
      <c r="Q170">
        <f t="shared" si="36"/>
        <v>2910687.7818569071</v>
      </c>
      <c r="R170">
        <f t="shared" si="37"/>
        <v>911.16017445578018</v>
      </c>
      <c r="S170">
        <f t="shared" si="38"/>
        <v>16254742.483608453</v>
      </c>
      <c r="T170" s="3">
        <v>0.08</v>
      </c>
      <c r="V170">
        <f>SUM($R$2:R170)</f>
        <v>46937.31553663993</v>
      </c>
      <c r="W170">
        <f t="shared" si="39"/>
        <v>98.969585325854865</v>
      </c>
      <c r="Z170">
        <f t="shared" si="33"/>
        <v>2.917671568640669E-5</v>
      </c>
      <c r="AA170" s="3">
        <v>0.3</v>
      </c>
      <c r="AB170">
        <f t="shared" si="29"/>
        <v>54182474.94536151</v>
      </c>
      <c r="AC170">
        <f t="shared" si="32"/>
        <v>4039230.7755518537</v>
      </c>
      <c r="AD170" s="3">
        <v>0.2</v>
      </c>
      <c r="AE170">
        <f t="shared" si="30"/>
        <v>807846.15511037083</v>
      </c>
      <c r="AF170">
        <f t="shared" si="31"/>
        <v>1</v>
      </c>
    </row>
    <row r="171" spans="1:32" x14ac:dyDescent="0.25">
      <c r="A171" s="2">
        <v>170</v>
      </c>
      <c r="B171">
        <f t="shared" si="34"/>
        <v>445261.02045402711</v>
      </c>
      <c r="C171" s="3">
        <v>0.08</v>
      </c>
      <c r="D171">
        <f t="shared" si="35"/>
        <v>3143542.8044054345</v>
      </c>
      <c r="Q171">
        <f t="shared" si="36"/>
        <v>3143542.8044054601</v>
      </c>
      <c r="R171">
        <f t="shared" si="37"/>
        <v>928.35187586060624</v>
      </c>
      <c r="S171">
        <f t="shared" si="38"/>
        <v>17555121.882297128</v>
      </c>
      <c r="T171" s="3">
        <v>0.08</v>
      </c>
      <c r="V171">
        <f>SUM($R$2:R171)</f>
        <v>47865.667412500537</v>
      </c>
      <c r="W171">
        <f t="shared" si="39"/>
        <v>100.92705986695175</v>
      </c>
      <c r="Z171">
        <f t="shared" si="33"/>
        <v>2.7015477487413603E-5</v>
      </c>
      <c r="AA171" s="3">
        <v>0.3</v>
      </c>
      <c r="AB171">
        <f t="shared" si="29"/>
        <v>58517072.940990433</v>
      </c>
      <c r="AC171">
        <f t="shared" si="32"/>
        <v>4281584.622084965</v>
      </c>
      <c r="AD171" s="3">
        <v>0.2</v>
      </c>
      <c r="AE171">
        <f t="shared" si="30"/>
        <v>856316.92441699305</v>
      </c>
      <c r="AF171">
        <f t="shared" si="31"/>
        <v>1</v>
      </c>
    </row>
    <row r="172" spans="1:32" x14ac:dyDescent="0.25">
      <c r="A172" s="2">
        <v>171</v>
      </c>
      <c r="B172">
        <f t="shared" si="34"/>
        <v>480881.90209034929</v>
      </c>
      <c r="C172" s="3">
        <v>0.08</v>
      </c>
      <c r="D172">
        <f t="shared" si="35"/>
        <v>3395026.2287578695</v>
      </c>
      <c r="Q172">
        <f t="shared" si="36"/>
        <v>3395026.2287578965</v>
      </c>
      <c r="R172">
        <f t="shared" si="37"/>
        <v>945.86794899005145</v>
      </c>
      <c r="S172">
        <f t="shared" si="38"/>
        <v>18959531.6328809</v>
      </c>
      <c r="T172" s="3">
        <v>0.08</v>
      </c>
      <c r="V172">
        <f>SUM($R$2:R172)</f>
        <v>48811.535361490591</v>
      </c>
      <c r="W172">
        <f t="shared" si="39"/>
        <v>102.92146788995612</v>
      </c>
      <c r="Z172">
        <f t="shared" si="33"/>
        <v>2.5014331006864447E-5</v>
      </c>
      <c r="AA172" s="3">
        <v>0.3</v>
      </c>
      <c r="AB172">
        <f t="shared" si="29"/>
        <v>63198438.776269667</v>
      </c>
      <c r="AC172">
        <f t="shared" si="32"/>
        <v>4538479.6994100632</v>
      </c>
      <c r="AD172" s="3">
        <v>0.2</v>
      </c>
      <c r="AE172">
        <f t="shared" si="30"/>
        <v>907695.93988201267</v>
      </c>
      <c r="AF172">
        <f t="shared" si="31"/>
        <v>1</v>
      </c>
    </row>
    <row r="173" spans="1:32" x14ac:dyDescent="0.25">
      <c r="A173" s="2">
        <v>172</v>
      </c>
      <c r="B173">
        <f t="shared" si="34"/>
        <v>519352.45425757725</v>
      </c>
      <c r="C173" s="3">
        <v>0.08</v>
      </c>
      <c r="D173">
        <f t="shared" si="35"/>
        <v>3666628.3270584992</v>
      </c>
      <c r="Q173">
        <f t="shared" si="36"/>
        <v>3666628.3270585281</v>
      </c>
      <c r="R173">
        <f t="shared" si="37"/>
        <v>963.71451406533538</v>
      </c>
      <c r="S173">
        <f t="shared" si="38"/>
        <v>20476294.163511373</v>
      </c>
      <c r="T173" s="3">
        <v>0.08</v>
      </c>
      <c r="V173">
        <f>SUM($R$2:R173)</f>
        <v>49775.249875555928</v>
      </c>
      <c r="W173">
        <f t="shared" si="39"/>
        <v>104.95350625301718</v>
      </c>
      <c r="Z173">
        <f t="shared" si="33"/>
        <v>2.3161417598948559E-5</v>
      </c>
      <c r="AA173" s="3">
        <v>0.3</v>
      </c>
      <c r="AB173">
        <f t="shared" si="29"/>
        <v>68254313.878371254</v>
      </c>
      <c r="AC173">
        <f t="shared" si="32"/>
        <v>4810788.481374667</v>
      </c>
      <c r="AD173" s="3">
        <v>0.2</v>
      </c>
      <c r="AE173">
        <f t="shared" si="30"/>
        <v>962157.69627493341</v>
      </c>
      <c r="AF173">
        <f t="shared" si="31"/>
        <v>1</v>
      </c>
    </row>
    <row r="174" spans="1:32" x14ac:dyDescent="0.25">
      <c r="A174" s="2">
        <v>173</v>
      </c>
      <c r="B174">
        <f t="shared" si="34"/>
        <v>560900.65059818339</v>
      </c>
      <c r="C174" s="3">
        <v>0.08</v>
      </c>
      <c r="D174">
        <f t="shared" si="35"/>
        <v>3959958.5932231792</v>
      </c>
      <c r="Q174">
        <f t="shared" si="36"/>
        <v>3959958.5932232109</v>
      </c>
      <c r="R174">
        <f t="shared" si="37"/>
        <v>981.89780678354941</v>
      </c>
      <c r="S174">
        <f t="shared" si="38"/>
        <v>22114397.696592286</v>
      </c>
      <c r="T174" s="3">
        <v>0.08</v>
      </c>
      <c r="V174">
        <f>SUM($R$2:R174)</f>
        <v>50757.147682339477</v>
      </c>
      <c r="W174">
        <f t="shared" si="39"/>
        <v>107.02388496255108</v>
      </c>
      <c r="Z174">
        <f t="shared" si="33"/>
        <v>2.1445757036063478E-5</v>
      </c>
      <c r="AA174" s="3">
        <v>0.3</v>
      </c>
      <c r="AB174">
        <f t="shared" si="29"/>
        <v>73714658.988640964</v>
      </c>
      <c r="AC174">
        <f t="shared" si="32"/>
        <v>5099435.7902571475</v>
      </c>
      <c r="AD174" s="3">
        <v>0.2</v>
      </c>
      <c r="AE174">
        <f t="shared" si="30"/>
        <v>1019887.1580514295</v>
      </c>
      <c r="AF174">
        <f t="shared" si="31"/>
        <v>1</v>
      </c>
    </row>
    <row r="175" spans="1:32" x14ac:dyDescent="0.25">
      <c r="A175" s="2">
        <v>174</v>
      </c>
      <c r="B175">
        <f t="shared" si="34"/>
        <v>605772.70264603803</v>
      </c>
      <c r="C175" s="3">
        <v>0.08</v>
      </c>
      <c r="D175">
        <f t="shared" si="35"/>
        <v>4276755.2806810336</v>
      </c>
      <c r="Q175">
        <f t="shared" si="36"/>
        <v>4276755.2806810681</v>
      </c>
      <c r="R175">
        <f t="shared" si="37"/>
        <v>1000.4241804964466</v>
      </c>
      <c r="S175">
        <f t="shared" si="38"/>
        <v>23883549.512319669</v>
      </c>
      <c r="T175" s="3">
        <v>0.08</v>
      </c>
      <c r="V175">
        <f>SUM($R$2:R175)</f>
        <v>51757.571862835925</v>
      </c>
      <c r="W175">
        <f t="shared" si="39"/>
        <v>109.13332742132148</v>
      </c>
      <c r="Z175">
        <f t="shared" si="33"/>
        <v>1.9857182440799518E-5</v>
      </c>
      <c r="AA175" s="3">
        <v>0.3</v>
      </c>
      <c r="AB175">
        <f t="shared" si="29"/>
        <v>79611831.70773223</v>
      </c>
      <c r="AC175">
        <f t="shared" si="32"/>
        <v>5405401.9376725769</v>
      </c>
      <c r="AD175" s="3">
        <v>0.2</v>
      </c>
      <c r="AE175">
        <f t="shared" si="30"/>
        <v>1081080.3875345155</v>
      </c>
      <c r="AF175">
        <f t="shared" si="31"/>
        <v>1</v>
      </c>
    </row>
    <row r="176" spans="1:32" x14ac:dyDescent="0.25">
      <c r="A176" s="2">
        <v>175</v>
      </c>
      <c r="B176">
        <f t="shared" si="34"/>
        <v>654234.51885772112</v>
      </c>
      <c r="C176" s="3">
        <v>0.08</v>
      </c>
      <c r="D176">
        <f t="shared" si="35"/>
        <v>4618895.7031355165</v>
      </c>
      <c r="Q176">
        <f t="shared" si="36"/>
        <v>4618895.7031355537</v>
      </c>
      <c r="R176">
        <f t="shared" si="37"/>
        <v>1019.3001084303418</v>
      </c>
      <c r="S176">
        <f t="shared" si="38"/>
        <v>25794233.473305244</v>
      </c>
      <c r="T176" s="3">
        <v>0.08</v>
      </c>
      <c r="V176">
        <f>SUM($R$2:R176)</f>
        <v>52776.871971266264</v>
      </c>
      <c r="W176">
        <f t="shared" si="39"/>
        <v>111.28257068120074</v>
      </c>
      <c r="Z176">
        <f t="shared" si="33"/>
        <v>1.838628003777733E-5</v>
      </c>
      <c r="AA176" s="3">
        <v>0.3</v>
      </c>
      <c r="AB176">
        <f t="shared" si="29"/>
        <v>85980778.244350821</v>
      </c>
      <c r="AC176">
        <f t="shared" si="32"/>
        <v>5729726.0539329322</v>
      </c>
      <c r="AD176" s="3">
        <v>0.2</v>
      </c>
      <c r="AE176">
        <f t="shared" si="30"/>
        <v>1145945.2107865864</v>
      </c>
      <c r="AF176">
        <f t="shared" si="31"/>
        <v>1</v>
      </c>
    </row>
    <row r="177" spans="1:32" x14ac:dyDescent="0.25">
      <c r="A177" s="2">
        <v>176</v>
      </c>
      <c r="B177">
        <f t="shared" si="34"/>
        <v>706573.28036633879</v>
      </c>
      <c r="C177" s="3">
        <v>0.08</v>
      </c>
      <c r="D177">
        <f t="shared" si="35"/>
        <v>4988407.3593863575</v>
      </c>
      <c r="Q177">
        <f t="shared" si="36"/>
        <v>4988407.3593863985</v>
      </c>
      <c r="R177">
        <f t="shared" si="37"/>
        <v>1038.5321859478952</v>
      </c>
      <c r="S177">
        <f t="shared" si="38"/>
        <v>27857772.151169665</v>
      </c>
      <c r="T177" s="3">
        <v>0.08</v>
      </c>
      <c r="V177">
        <f>SUM($R$2:R177)</f>
        <v>53815.404157214158</v>
      </c>
      <c r="W177">
        <f t="shared" si="39"/>
        <v>113.47236570070038</v>
      </c>
      <c r="Z177">
        <f t="shared" si="33"/>
        <v>1.7024333368312341E-5</v>
      </c>
      <c r="AA177" s="3">
        <v>0.3</v>
      </c>
      <c r="AB177">
        <f t="shared" si="29"/>
        <v>92859240.503898889</v>
      </c>
      <c r="AC177">
        <f t="shared" si="32"/>
        <v>6073509.617168908</v>
      </c>
      <c r="AD177" s="3">
        <v>0.2</v>
      </c>
      <c r="AE177">
        <f t="shared" si="30"/>
        <v>1214701.9234337816</v>
      </c>
      <c r="AF177">
        <f t="shared" si="31"/>
        <v>1</v>
      </c>
    </row>
    <row r="178" spans="1:32" x14ac:dyDescent="0.25">
      <c r="A178" s="2">
        <v>177</v>
      </c>
      <c r="B178">
        <f t="shared" si="34"/>
        <v>763099.14279564586</v>
      </c>
      <c r="C178" s="3">
        <v>0.08</v>
      </c>
      <c r="D178">
        <f t="shared" si="35"/>
        <v>5387479.9481372666</v>
      </c>
      <c r="Q178">
        <f t="shared" si="36"/>
        <v>5387479.9481373094</v>
      </c>
      <c r="R178">
        <f t="shared" si="37"/>
        <v>1058.1271328525727</v>
      </c>
      <c r="S178">
        <f t="shared" si="38"/>
        <v>30086393.923263241</v>
      </c>
      <c r="T178" s="3">
        <v>0.08</v>
      </c>
      <c r="V178">
        <f>SUM($R$2:R178)</f>
        <v>54873.531290066734</v>
      </c>
      <c r="W178">
        <f t="shared" si="39"/>
        <v>115.70347760736038</v>
      </c>
      <c r="Z178">
        <f t="shared" si="33"/>
        <v>1.5763271637326241E-5</v>
      </c>
      <c r="AA178" s="3">
        <v>0.3</v>
      </c>
      <c r="AB178">
        <f t="shared" si="29"/>
        <v>100287979.74421081</v>
      </c>
      <c r="AC178">
        <f t="shared" si="32"/>
        <v>6437920.1941990424</v>
      </c>
      <c r="AD178" s="3">
        <v>0.2</v>
      </c>
      <c r="AE178">
        <f t="shared" si="30"/>
        <v>1287584.0388398087</v>
      </c>
      <c r="AF178">
        <f t="shared" si="31"/>
        <v>1</v>
      </c>
    </row>
    <row r="179" spans="1:32" x14ac:dyDescent="0.25">
      <c r="A179" s="2">
        <v>178</v>
      </c>
      <c r="B179">
        <f t="shared" si="34"/>
        <v>824147.0742192975</v>
      </c>
      <c r="C179" s="3">
        <v>0.08</v>
      </c>
      <c r="D179">
        <f t="shared" si="35"/>
        <v>5818478.3439882481</v>
      </c>
      <c r="Q179">
        <f t="shared" si="36"/>
        <v>5818478.3439882947</v>
      </c>
      <c r="R179">
        <f t="shared" si="37"/>
        <v>1078.0917957365834</v>
      </c>
      <c r="S179">
        <f t="shared" si="38"/>
        <v>32493305.437124301</v>
      </c>
      <c r="T179" s="3">
        <v>0.08</v>
      </c>
      <c r="V179">
        <f>SUM($R$2:R179)</f>
        <v>55951.623085803316</v>
      </c>
      <c r="W179">
        <f t="shared" si="39"/>
        <v>117.97668596508944</v>
      </c>
      <c r="Z179">
        <f t="shared" si="33"/>
        <v>1.4595621886413185E-5</v>
      </c>
      <c r="AA179" s="3">
        <v>0.3</v>
      </c>
      <c r="AB179">
        <f t="shared" si="29"/>
        <v>108311018.12374768</v>
      </c>
      <c r="AC179">
        <f t="shared" si="32"/>
        <v>6824195.4058509851</v>
      </c>
      <c r="AD179" s="3">
        <v>0.2</v>
      </c>
      <c r="AE179">
        <f t="shared" si="30"/>
        <v>1364839.0811701971</v>
      </c>
      <c r="AF179">
        <f t="shared" si="31"/>
        <v>1</v>
      </c>
    </row>
    <row r="180" spans="1:32" x14ac:dyDescent="0.25">
      <c r="A180" s="2">
        <v>179</v>
      </c>
      <c r="B180">
        <f t="shared" si="34"/>
        <v>890078.84015684132</v>
      </c>
      <c r="C180" s="3">
        <v>0.08</v>
      </c>
      <c r="D180">
        <f t="shared" si="35"/>
        <v>6283956.6115073077</v>
      </c>
      <c r="Q180">
        <f t="shared" si="36"/>
        <v>6283956.611507359</v>
      </c>
      <c r="R180">
        <f t="shared" si="37"/>
        <v>1098.433150373123</v>
      </c>
      <c r="S180">
        <f t="shared" si="38"/>
        <v>35092769.872094244</v>
      </c>
      <c r="T180" s="3">
        <v>0.08</v>
      </c>
      <c r="V180">
        <f>SUM($R$2:R180)</f>
        <v>57050.056236176439</v>
      </c>
      <c r="W180">
        <f t="shared" si="39"/>
        <v>120.29278504654924</v>
      </c>
      <c r="Z180">
        <f t="shared" si="33"/>
        <v>1.3514464709641839E-5</v>
      </c>
      <c r="AA180" s="3">
        <v>0.3</v>
      </c>
      <c r="AB180">
        <f t="shared" si="29"/>
        <v>116975899.57364748</v>
      </c>
      <c r="AC180">
        <f t="shared" si="32"/>
        <v>7233647.1302020447</v>
      </c>
      <c r="AD180" s="3">
        <v>0.2</v>
      </c>
      <c r="AE180">
        <f t="shared" si="30"/>
        <v>1446729.4260404091</v>
      </c>
      <c r="AF180">
        <f t="shared" si="31"/>
        <v>1</v>
      </c>
    </row>
    <row r="181" spans="1:32" x14ac:dyDescent="0.25">
      <c r="A181" s="2">
        <v>180</v>
      </c>
      <c r="B181">
        <f t="shared" si="34"/>
        <v>961285.14736938861</v>
      </c>
      <c r="C181" s="3">
        <v>0.08</v>
      </c>
      <c r="D181">
        <f t="shared" si="35"/>
        <v>6786673.1404278921</v>
      </c>
      <c r="Q181">
        <f t="shared" si="36"/>
        <v>6786673.1404279489</v>
      </c>
      <c r="R181">
        <f t="shared" si="37"/>
        <v>1119.1583041537478</v>
      </c>
      <c r="S181">
        <f t="shared" si="38"/>
        <v>37900191.461861789</v>
      </c>
      <c r="T181" s="3">
        <v>0.08</v>
      </c>
      <c r="V181">
        <f>SUM($R$2:R181)</f>
        <v>58169.214540330184</v>
      </c>
      <c r="W181">
        <f t="shared" si="39"/>
        <v>122.65258411067808</v>
      </c>
      <c r="Z181">
        <f t="shared" si="33"/>
        <v>1.2513393249668367E-5</v>
      </c>
      <c r="AA181" s="3">
        <v>0.3</v>
      </c>
      <c r="AB181">
        <f t="shared" si="29"/>
        <v>126333971.53953931</v>
      </c>
      <c r="AC181">
        <f t="shared" si="32"/>
        <v>7667665.9580141678</v>
      </c>
      <c r="AD181" s="3">
        <v>0.2</v>
      </c>
      <c r="AE181">
        <f t="shared" si="30"/>
        <v>1533533.1916028336</v>
      </c>
      <c r="AF181">
        <f t="shared" si="31"/>
        <v>1</v>
      </c>
    </row>
    <row r="182" spans="1:32" x14ac:dyDescent="0.25">
      <c r="A182" s="2">
        <v>181</v>
      </c>
      <c r="B182">
        <f t="shared" si="34"/>
        <v>1038187.9591589397</v>
      </c>
      <c r="C182" s="3">
        <v>0.08</v>
      </c>
      <c r="D182">
        <f t="shared" si="35"/>
        <v>7329606.9916621232</v>
      </c>
      <c r="Q182">
        <f t="shared" si="36"/>
        <v>7329606.9916621847</v>
      </c>
      <c r="R182">
        <f t="shared" si="37"/>
        <v>1140.2744985717432</v>
      </c>
      <c r="S182">
        <f t="shared" si="38"/>
        <v>40932206.778810732</v>
      </c>
      <c r="T182" s="3">
        <v>0.08</v>
      </c>
      <c r="V182">
        <f>SUM($R$2:R182)</f>
        <v>59309.489038901927</v>
      </c>
      <c r="W182">
        <f t="shared" si="39"/>
        <v>125.05690768545087</v>
      </c>
      <c r="Z182">
        <f t="shared" si="33"/>
        <v>1.1586475231174414E-5</v>
      </c>
      <c r="AA182" s="3">
        <v>0.3</v>
      </c>
      <c r="AB182">
        <f t="shared" si="29"/>
        <v>136440689.26270244</v>
      </c>
      <c r="AC182">
        <f t="shared" si="32"/>
        <v>8127725.9154950185</v>
      </c>
      <c r="AD182" s="3">
        <v>0.2</v>
      </c>
      <c r="AE182">
        <f t="shared" si="30"/>
        <v>1625545.1830990037</v>
      </c>
      <c r="AF182">
        <f t="shared" si="31"/>
        <v>1</v>
      </c>
    </row>
    <row r="183" spans="1:32" x14ac:dyDescent="0.25">
      <c r="A183" s="2">
        <v>182</v>
      </c>
      <c r="B183">
        <f t="shared" si="34"/>
        <v>1121242.9958916549</v>
      </c>
      <c r="C183" s="3">
        <v>0.08</v>
      </c>
      <c r="D183">
        <f t="shared" si="35"/>
        <v>7915975.5509950928</v>
      </c>
      <c r="Q183">
        <f t="shared" si="36"/>
        <v>7915975.550995159</v>
      </c>
      <c r="R183">
        <f t="shared" si="37"/>
        <v>1161.7891117523416</v>
      </c>
      <c r="S183">
        <f t="shared" si="38"/>
        <v>44206783.321115591</v>
      </c>
      <c r="T183" s="3">
        <v>0.08</v>
      </c>
      <c r="V183">
        <f>SUM($R$2:R183)</f>
        <v>60471.278150654267</v>
      </c>
      <c r="W183">
        <f t="shared" si="39"/>
        <v>127.50659585597408</v>
      </c>
      <c r="Z183">
        <f t="shared" si="33"/>
        <v>1.0728217806642976E-5</v>
      </c>
      <c r="AA183" s="3">
        <v>0.3</v>
      </c>
      <c r="AB183">
        <f t="shared" si="29"/>
        <v>147355944.40371865</v>
      </c>
      <c r="AC183">
        <f t="shared" si="32"/>
        <v>8615389.4704247192</v>
      </c>
      <c r="AD183" s="3">
        <v>0.2</v>
      </c>
      <c r="AE183">
        <f t="shared" si="30"/>
        <v>1723077.8940849439</v>
      </c>
      <c r="AF183">
        <f t="shared" si="31"/>
        <v>1</v>
      </c>
    </row>
    <row r="184" spans="1:32" x14ac:dyDescent="0.25">
      <c r="A184" s="2">
        <v>183</v>
      </c>
      <c r="B184">
        <f t="shared" si="34"/>
        <v>1210942.4355629873</v>
      </c>
      <c r="C184" s="3">
        <v>0.08</v>
      </c>
      <c r="D184">
        <f t="shared" si="35"/>
        <v>8549253.5950747002</v>
      </c>
      <c r="Q184">
        <f t="shared" si="36"/>
        <v>8549253.5950747747</v>
      </c>
      <c r="R184">
        <f t="shared" si="37"/>
        <v>1183.7096610306878</v>
      </c>
      <c r="S184">
        <f t="shared" si="38"/>
        <v>47743325.986804843</v>
      </c>
      <c r="T184" s="3">
        <v>0.08</v>
      </c>
      <c r="V184">
        <f>SUM($R$2:R184)</f>
        <v>61654.987811684958</v>
      </c>
      <c r="W184">
        <f t="shared" si="39"/>
        <v>130.00250455801662</v>
      </c>
      <c r="Z184">
        <f t="shared" si="33"/>
        <v>9.9335350061509023E-6</v>
      </c>
      <c r="AA184" s="3">
        <v>0.3</v>
      </c>
      <c r="AB184">
        <f t="shared" si="29"/>
        <v>159144419.95601615</v>
      </c>
      <c r="AC184">
        <f t="shared" si="32"/>
        <v>9132312.8386502024</v>
      </c>
      <c r="AD184" s="3">
        <v>0.2</v>
      </c>
      <c r="AE184">
        <f t="shared" si="30"/>
        <v>1826462.5677300405</v>
      </c>
      <c r="AF184">
        <f t="shared" si="31"/>
        <v>1</v>
      </c>
    </row>
    <row r="185" spans="1:32" x14ac:dyDescent="0.25">
      <c r="A185" s="2">
        <v>184</v>
      </c>
      <c r="B185">
        <f t="shared" si="34"/>
        <v>1307817.8304080262</v>
      </c>
      <c r="C185" s="3">
        <v>0.08</v>
      </c>
      <c r="D185">
        <f t="shared" si="35"/>
        <v>9233193.8826806769</v>
      </c>
      <c r="Q185">
        <f t="shared" si="36"/>
        <v>9233193.8826807551</v>
      </c>
      <c r="R185">
        <f t="shared" si="37"/>
        <v>1206.0438055784366</v>
      </c>
      <c r="S185">
        <f t="shared" si="38"/>
        <v>51562792.065749235</v>
      </c>
      <c r="T185" s="3">
        <v>0.08</v>
      </c>
      <c r="V185">
        <f>SUM($R$2:R185)</f>
        <v>62861.031617263397</v>
      </c>
      <c r="W185">
        <f t="shared" si="39"/>
        <v>132.54550587707882</v>
      </c>
      <c r="Z185">
        <f t="shared" si="33"/>
        <v>9.1977175982878715E-6</v>
      </c>
      <c r="AA185" s="3">
        <v>0.3</v>
      </c>
      <c r="AB185">
        <f t="shared" si="29"/>
        <v>171875973.55249745</v>
      </c>
      <c r="AC185">
        <f t="shared" si="32"/>
        <v>9680251.6089692153</v>
      </c>
      <c r="AD185" s="3">
        <v>0.2</v>
      </c>
      <c r="AE185">
        <f t="shared" si="30"/>
        <v>1936050.3217938431</v>
      </c>
      <c r="AF185">
        <f t="shared" si="31"/>
        <v>1</v>
      </c>
    </row>
    <row r="186" spans="1:32" x14ac:dyDescent="0.25">
      <c r="A186" s="2">
        <v>185</v>
      </c>
      <c r="B186">
        <f t="shared" si="34"/>
        <v>1412443.2568406684</v>
      </c>
      <c r="C186" s="3">
        <v>0.08</v>
      </c>
      <c r="D186">
        <f t="shared" si="35"/>
        <v>9971849.3932951316</v>
      </c>
      <c r="Q186">
        <f t="shared" si="36"/>
        <v>9971849.3932952154</v>
      </c>
      <c r="R186">
        <f t="shared" si="37"/>
        <v>1228.799349079917</v>
      </c>
      <c r="S186">
        <f t="shared" si="38"/>
        <v>55687815.431009181</v>
      </c>
      <c r="T186" s="3">
        <v>0.08</v>
      </c>
      <c r="V186">
        <f>SUM($R$2:R186)</f>
        <v>64089.830966343317</v>
      </c>
      <c r="W186">
        <f t="shared" si="39"/>
        <v>135.13648835310445</v>
      </c>
      <c r="Z186">
        <f t="shared" si="33"/>
        <v>8.5164051835998808E-6</v>
      </c>
      <c r="AA186" s="3">
        <v>0.3</v>
      </c>
      <c r="AB186">
        <f t="shared" si="29"/>
        <v>185626051.43669727</v>
      </c>
      <c r="AC186">
        <f t="shared" si="32"/>
        <v>10261066.705507368</v>
      </c>
      <c r="AD186" s="3">
        <v>0.2</v>
      </c>
      <c r="AE186">
        <f t="shared" si="30"/>
        <v>2052213.3411014737</v>
      </c>
      <c r="AF186">
        <f t="shared" si="31"/>
        <v>1</v>
      </c>
    </row>
    <row r="187" spans="1:32" x14ac:dyDescent="0.25">
      <c r="A187" s="2">
        <v>186</v>
      </c>
      <c r="B187">
        <f t="shared" si="34"/>
        <v>1525438.7173879219</v>
      </c>
      <c r="C187" s="3">
        <v>0.08</v>
      </c>
      <c r="D187">
        <f t="shared" si="35"/>
        <v>10769597.344758742</v>
      </c>
      <c r="Q187">
        <f t="shared" si="36"/>
        <v>10769597.344758835</v>
      </c>
      <c r="R187">
        <f t="shared" si="37"/>
        <v>1251.9842424587835</v>
      </c>
      <c r="S187">
        <f t="shared" si="38"/>
        <v>60142840.665489919</v>
      </c>
      <c r="T187" s="3">
        <v>0.08</v>
      </c>
      <c r="V187">
        <f>SUM($R$2:R187)</f>
        <v>65341.815208802102</v>
      </c>
      <c r="W187">
        <f t="shared" si="39"/>
        <v>137.77635729094189</v>
      </c>
      <c r="Z187">
        <f t="shared" si="33"/>
        <v>7.885560355185074E-6</v>
      </c>
      <c r="AA187" s="3">
        <v>0.3</v>
      </c>
      <c r="AB187">
        <f t="shared" si="29"/>
        <v>200476135.55163306</v>
      </c>
      <c r="AC187">
        <f t="shared" si="32"/>
        <v>10876730.707837811</v>
      </c>
      <c r="AD187" s="3">
        <v>0.2</v>
      </c>
      <c r="AE187">
        <f t="shared" si="30"/>
        <v>2175346.1415675622</v>
      </c>
      <c r="AF187">
        <f t="shared" si="31"/>
        <v>1</v>
      </c>
    </row>
    <row r="188" spans="1:32" x14ac:dyDescent="0.25">
      <c r="A188" s="2">
        <v>187</v>
      </c>
      <c r="B188">
        <f t="shared" si="34"/>
        <v>1647473.8147789557</v>
      </c>
      <c r="C188" s="3">
        <v>0.08</v>
      </c>
      <c r="D188">
        <f t="shared" si="35"/>
        <v>11631165.13233944</v>
      </c>
      <c r="Q188">
        <f t="shared" si="36"/>
        <v>11631165.132339541</v>
      </c>
      <c r="R188">
        <f t="shared" si="37"/>
        <v>1275.6065866561191</v>
      </c>
      <c r="S188">
        <f t="shared" si="38"/>
        <v>64954267.918729119</v>
      </c>
      <c r="T188" s="3">
        <v>0.08</v>
      </c>
      <c r="V188">
        <f>SUM($R$2:R188)</f>
        <v>66617.421795458227</v>
      </c>
      <c r="W188">
        <f t="shared" si="39"/>
        <v>140.46603507666308</v>
      </c>
      <c r="Z188">
        <f t="shared" si="33"/>
        <v>7.3014447733195125E-6</v>
      </c>
      <c r="AA188" s="3">
        <v>0.3</v>
      </c>
      <c r="AB188">
        <f t="shared" si="29"/>
        <v>216514226.39576373</v>
      </c>
      <c r="AC188">
        <f t="shared" si="32"/>
        <v>11529334.55030808</v>
      </c>
      <c r="AD188" s="3">
        <v>0.2</v>
      </c>
      <c r="AE188">
        <f t="shared" si="30"/>
        <v>2305866.910061616</v>
      </c>
      <c r="AF188">
        <f t="shared" si="31"/>
        <v>1</v>
      </c>
    </row>
    <row r="189" spans="1:32" x14ac:dyDescent="0.25">
      <c r="A189" s="2">
        <v>188</v>
      </c>
      <c r="B189">
        <f t="shared" si="34"/>
        <v>1779271.7199612721</v>
      </c>
      <c r="C189" s="3">
        <v>0.08</v>
      </c>
      <c r="D189">
        <f t="shared" si="35"/>
        <v>12561658.342926595</v>
      </c>
      <c r="Q189">
        <f t="shared" si="36"/>
        <v>12561658.342926703</v>
      </c>
      <c r="R189">
        <f t="shared" si="37"/>
        <v>1299.6746354609513</v>
      </c>
      <c r="S189">
        <f t="shared" si="38"/>
        <v>70150609.352227449</v>
      </c>
      <c r="T189" s="3">
        <v>0.08</v>
      </c>
      <c r="V189">
        <f>SUM($R$2:R189)</f>
        <v>67917.096430919177</v>
      </c>
      <c r="W189">
        <f t="shared" si="39"/>
        <v>143.20646149985066</v>
      </c>
      <c r="Z189">
        <f t="shared" si="33"/>
        <v>6.7605970123328813E-6</v>
      </c>
      <c r="AA189" s="3">
        <v>0.3</v>
      </c>
      <c r="AB189">
        <f t="shared" si="29"/>
        <v>233835364.50742483</v>
      </c>
      <c r="AC189">
        <f t="shared" si="32"/>
        <v>12221094.623326566</v>
      </c>
      <c r="AD189" s="3">
        <v>0.2</v>
      </c>
      <c r="AE189">
        <f t="shared" si="30"/>
        <v>2444218.9246653132</v>
      </c>
      <c r="AF189">
        <f t="shared" si="31"/>
        <v>1</v>
      </c>
    </row>
    <row r="190" spans="1:32" x14ac:dyDescent="0.25">
      <c r="A190" s="2">
        <v>189</v>
      </c>
      <c r="B190">
        <f t="shared" si="34"/>
        <v>1921613.4575581739</v>
      </c>
      <c r="C190" s="3">
        <v>0.08</v>
      </c>
      <c r="D190">
        <f t="shared" si="35"/>
        <v>13566591.010360723</v>
      </c>
      <c r="Q190">
        <f t="shared" si="36"/>
        <v>13566591.010360841</v>
      </c>
      <c r="R190">
        <f t="shared" si="37"/>
        <v>1324.1967983941768</v>
      </c>
      <c r="S190">
        <f t="shared" si="38"/>
        <v>75762658.100405648</v>
      </c>
      <c r="T190" s="3">
        <v>0.08</v>
      </c>
      <c r="V190">
        <f>SUM($R$2:R190)</f>
        <v>69241.293229313349</v>
      </c>
      <c r="W190">
        <f t="shared" si="39"/>
        <v>145.99859408196633</v>
      </c>
      <c r="Z190">
        <f t="shared" si="33"/>
        <v>6.2598120484563715E-6</v>
      </c>
      <c r="AA190" s="3">
        <v>0.3</v>
      </c>
      <c r="AB190">
        <f t="shared" si="29"/>
        <v>252542193.66801885</v>
      </c>
      <c r="AC190">
        <f t="shared" si="32"/>
        <v>12954360.30072616</v>
      </c>
      <c r="AD190" s="3">
        <v>0.2</v>
      </c>
      <c r="AE190">
        <f t="shared" si="30"/>
        <v>2590872.0601452324</v>
      </c>
      <c r="AF190">
        <f t="shared" si="31"/>
        <v>1</v>
      </c>
    </row>
    <row r="191" spans="1:32" x14ac:dyDescent="0.25">
      <c r="A191" s="2">
        <v>190</v>
      </c>
      <c r="B191">
        <f t="shared" si="34"/>
        <v>2075342.5341628278</v>
      </c>
      <c r="C191" s="3">
        <v>0.08</v>
      </c>
      <c r="D191">
        <f t="shared" si="35"/>
        <v>14651918.291189581</v>
      </c>
      <c r="Q191">
        <f t="shared" si="36"/>
        <v>14651918.291189708</v>
      </c>
      <c r="R191">
        <f t="shared" si="37"/>
        <v>1349.1816436468969</v>
      </c>
      <c r="S191">
        <f t="shared" si="38"/>
        <v>81823670.748438105</v>
      </c>
      <c r="T191" s="3">
        <v>0.08</v>
      </c>
      <c r="V191">
        <f>SUM($R$2:R191)</f>
        <v>70590.474872960243</v>
      </c>
      <c r="W191">
        <f t="shared" si="39"/>
        <v>148.84340841091435</v>
      </c>
      <c r="Z191">
        <f t="shared" si="33"/>
        <v>5.7961222670892322E-6</v>
      </c>
      <c r="AA191" s="3">
        <v>0.3</v>
      </c>
      <c r="AB191">
        <f t="shared" si="29"/>
        <v>272745569.16146034</v>
      </c>
      <c r="AC191">
        <f t="shared" si="32"/>
        <v>13731621.91876973</v>
      </c>
      <c r="AD191" s="3">
        <v>0.2</v>
      </c>
      <c r="AE191">
        <f t="shared" si="30"/>
        <v>2746324.3837539461</v>
      </c>
      <c r="AF191">
        <f t="shared" si="31"/>
        <v>1</v>
      </c>
    </row>
    <row r="192" spans="1:32" x14ac:dyDescent="0.25">
      <c r="A192" s="2">
        <v>191</v>
      </c>
      <c r="B192">
        <f t="shared" si="34"/>
        <v>2241369.9368958538</v>
      </c>
      <c r="C192" s="3">
        <v>0.08</v>
      </c>
      <c r="D192">
        <f t="shared" si="35"/>
        <v>15824071.754484748</v>
      </c>
      <c r="Q192">
        <f t="shared" si="36"/>
        <v>15824071.754484888</v>
      </c>
      <c r="R192">
        <f t="shared" si="37"/>
        <v>1374.6379010741969</v>
      </c>
      <c r="S192">
        <f t="shared" si="38"/>
        <v>88369564.408313155</v>
      </c>
      <c r="T192" s="3">
        <v>0.08</v>
      </c>
      <c r="V192">
        <f>SUM($R$2:R192)</f>
        <v>71965.112774034438</v>
      </c>
      <c r="W192">
        <f t="shared" si="39"/>
        <v>151.74189848191801</v>
      </c>
      <c r="Z192">
        <f t="shared" si="33"/>
        <v>5.3667798769344741E-6</v>
      </c>
      <c r="AA192" s="3">
        <v>0.3</v>
      </c>
      <c r="AB192">
        <f t="shared" si="29"/>
        <v>294565214.69437718</v>
      </c>
      <c r="AC192">
        <f t="shared" si="32"/>
        <v>14555519.233895915</v>
      </c>
      <c r="AD192" s="3">
        <v>0.2</v>
      </c>
      <c r="AE192">
        <f t="shared" si="30"/>
        <v>2911103.846779183</v>
      </c>
      <c r="AF192">
        <f t="shared" si="31"/>
        <v>1</v>
      </c>
    </row>
    <row r="193" spans="1:32" x14ac:dyDescent="0.25">
      <c r="A193" s="2">
        <v>192</v>
      </c>
      <c r="B193">
        <f t="shared" si="34"/>
        <v>2420679.5318475221</v>
      </c>
      <c r="C193" s="3">
        <v>0.08</v>
      </c>
      <c r="D193">
        <f t="shared" si="35"/>
        <v>17089997.494843528</v>
      </c>
      <c r="Q193">
        <f t="shared" si="36"/>
        <v>17089997.494843684</v>
      </c>
      <c r="R193">
        <f t="shared" si="37"/>
        <v>1400.574465245408</v>
      </c>
      <c r="S193">
        <f t="shared" si="38"/>
        <v>95439129.560978219</v>
      </c>
      <c r="T193" s="3">
        <v>0.08</v>
      </c>
      <c r="V193">
        <f>SUM($R$2:R193)</f>
        <v>73365.68723927984</v>
      </c>
      <c r="W193">
        <f t="shared" si="39"/>
        <v>154.6950770448274</v>
      </c>
      <c r="Z193">
        <f t="shared" si="33"/>
        <v>4.9692406267911792E-6</v>
      </c>
      <c r="AA193" s="3">
        <v>0.3</v>
      </c>
      <c r="AB193">
        <f t="shared" si="29"/>
        <v>318130431.86992741</v>
      </c>
      <c r="AC193">
        <f t="shared" si="32"/>
        <v>15428850.387929671</v>
      </c>
      <c r="AD193" s="3">
        <v>0.2</v>
      </c>
      <c r="AE193">
        <f t="shared" si="30"/>
        <v>3085770.0775859342</v>
      </c>
      <c r="AF193">
        <f t="shared" si="31"/>
        <v>1</v>
      </c>
    </row>
    <row r="194" spans="1:32" x14ac:dyDescent="0.25">
      <c r="A194" s="2">
        <v>193</v>
      </c>
      <c r="B194">
        <f t="shared" si="34"/>
        <v>2614333.8943953239</v>
      </c>
      <c r="C194" s="3">
        <v>0.08</v>
      </c>
      <c r="D194">
        <f t="shared" si="35"/>
        <v>18457197.294431008</v>
      </c>
      <c r="Q194">
        <f t="shared" si="36"/>
        <v>18457197.294431176</v>
      </c>
      <c r="R194">
        <f t="shared" si="37"/>
        <v>1427.0003985519259</v>
      </c>
      <c r="S194">
        <f t="shared" si="38"/>
        <v>103074259.92585649</v>
      </c>
      <c r="T194" s="3">
        <v>0.08</v>
      </c>
      <c r="V194">
        <f>SUM($R$2:R194)</f>
        <v>74792.687637831768</v>
      </c>
      <c r="W194">
        <f t="shared" si="39"/>
        <v>157.70397595798036</v>
      </c>
      <c r="Z194">
        <f t="shared" si="33"/>
        <v>4.6011487285103514E-6</v>
      </c>
      <c r="AA194" s="3">
        <v>0.3</v>
      </c>
      <c r="AB194">
        <f t="shared" si="29"/>
        <v>343580866.41952163</v>
      </c>
      <c r="AC194">
        <f t="shared" si="32"/>
        <v>16354581.411205452</v>
      </c>
      <c r="AD194" s="3">
        <v>0.2</v>
      </c>
      <c r="AE194">
        <f t="shared" si="30"/>
        <v>3270916.2822410907</v>
      </c>
      <c r="AF194">
        <f t="shared" si="31"/>
        <v>1</v>
      </c>
    </row>
    <row r="195" spans="1:32" x14ac:dyDescent="0.25">
      <c r="A195" s="2">
        <v>194</v>
      </c>
      <c r="B195">
        <f t="shared" si="34"/>
        <v>2823480.6059469497</v>
      </c>
      <c r="C195" s="3">
        <v>0.08</v>
      </c>
      <c r="D195">
        <f t="shared" si="35"/>
        <v>19933773.077985488</v>
      </c>
      <c r="Q195">
        <f t="shared" si="36"/>
        <v>19933773.077985674</v>
      </c>
      <c r="R195">
        <f t="shared" si="37"/>
        <v>1453.9249343736603</v>
      </c>
      <c r="S195">
        <f t="shared" si="38"/>
        <v>111320200.71992502</v>
      </c>
      <c r="T195" s="3">
        <v>0.08</v>
      </c>
      <c r="V195">
        <f>SUM($R$2:R195)</f>
        <v>76246.612572205428</v>
      </c>
      <c r="W195">
        <f t="shared" si="39"/>
        <v>160.76964654873998</v>
      </c>
      <c r="Z195">
        <f t="shared" si="33"/>
        <v>4.2603228967688431E-6</v>
      </c>
      <c r="AA195" s="3">
        <v>0.3</v>
      </c>
      <c r="AB195">
        <f t="shared" ref="AB195:AB201" si="40">S195/AA195</f>
        <v>371067335.73308343</v>
      </c>
      <c r="AC195">
        <f t="shared" si="32"/>
        <v>17335856.295877781</v>
      </c>
      <c r="AD195" s="3">
        <v>0.2</v>
      </c>
      <c r="AE195">
        <f t="shared" ref="AE195:AE201" si="41">AC195*AD195</f>
        <v>3467171.2591755562</v>
      </c>
      <c r="AF195">
        <f t="shared" ref="AF195:AF201" si="42">IF(AB195&gt;AE195, 1, 0)</f>
        <v>1</v>
      </c>
    </row>
    <row r="196" spans="1:32" x14ac:dyDescent="0.25">
      <c r="A196" s="2">
        <v>195</v>
      </c>
      <c r="B196">
        <f t="shared" si="34"/>
        <v>3049359.0544227054</v>
      </c>
      <c r="C196" s="3">
        <v>0.08</v>
      </c>
      <c r="D196">
        <f t="shared" si="35"/>
        <v>21528474.924224328</v>
      </c>
      <c r="Q196">
        <f t="shared" si="36"/>
        <v>21528474.924224526</v>
      </c>
      <c r="R196">
        <f t="shared" si="37"/>
        <v>1481.3574803052388</v>
      </c>
      <c r="S196">
        <f t="shared" si="38"/>
        <v>120225816.77751903</v>
      </c>
      <c r="T196" s="3">
        <v>0.08</v>
      </c>
      <c r="V196">
        <f>SUM($R$2:R196)</f>
        <v>77727.97005251066</v>
      </c>
      <c r="W196">
        <f t="shared" si="39"/>
        <v>163.8931599808347</v>
      </c>
      <c r="Z196">
        <f t="shared" si="33"/>
        <v>3.9447434229341137E-6</v>
      </c>
      <c r="AA196" s="3">
        <v>0.3</v>
      </c>
      <c r="AB196">
        <f t="shared" si="40"/>
        <v>400752722.59173012</v>
      </c>
      <c r="AC196">
        <f t="shared" ref="AC196:AC201" si="43">AC195*(1+$U$2)</f>
        <v>18376007.67363045</v>
      </c>
      <c r="AD196" s="3">
        <v>0.2</v>
      </c>
      <c r="AE196">
        <f t="shared" si="41"/>
        <v>3675201.5347260903</v>
      </c>
      <c r="AF196">
        <f t="shared" si="42"/>
        <v>1</v>
      </c>
    </row>
    <row r="197" spans="1:32" x14ac:dyDescent="0.25">
      <c r="A197" s="2">
        <v>196</v>
      </c>
      <c r="B197">
        <f t="shared" si="34"/>
        <v>3293307.7787765218</v>
      </c>
      <c r="C197" s="3">
        <v>0.08</v>
      </c>
      <c r="D197">
        <f t="shared" si="35"/>
        <v>23250752.918162275</v>
      </c>
      <c r="Q197">
        <f t="shared" si="36"/>
        <v>23250752.918162487</v>
      </c>
      <c r="R197">
        <f t="shared" si="37"/>
        <v>1509.3076214430735</v>
      </c>
      <c r="S197">
        <f t="shared" si="38"/>
        <v>129843882.11972056</v>
      </c>
      <c r="T197" s="3">
        <v>0.08</v>
      </c>
      <c r="V197">
        <f>SUM($R$2:R197)</f>
        <v>79237.277673953737</v>
      </c>
      <c r="W197">
        <f t="shared" si="39"/>
        <v>167.07560762862931</v>
      </c>
      <c r="Z197">
        <f t="shared" si="33"/>
        <v>3.6525402064204753E-6</v>
      </c>
      <c r="AA197" s="3">
        <v>0.3</v>
      </c>
      <c r="AB197">
        <f t="shared" si="40"/>
        <v>432812940.39906853</v>
      </c>
      <c r="AC197">
        <f t="shared" si="43"/>
        <v>19478568.134048279</v>
      </c>
      <c r="AD197" s="3">
        <v>0.2</v>
      </c>
      <c r="AE197">
        <f t="shared" si="41"/>
        <v>3895713.6268096562</v>
      </c>
      <c r="AF197">
        <f t="shared" si="42"/>
        <v>1</v>
      </c>
    </row>
    <row r="198" spans="1:32" x14ac:dyDescent="0.25">
      <c r="A198" s="2">
        <v>197</v>
      </c>
      <c r="B198">
        <f t="shared" si="34"/>
        <v>3556772.4010786437</v>
      </c>
      <c r="C198" s="3">
        <v>0.08</v>
      </c>
      <c r="D198">
        <f t="shared" si="35"/>
        <v>25110813.151615258</v>
      </c>
      <c r="Q198">
        <f t="shared" si="36"/>
        <v>25110813.151615489</v>
      </c>
      <c r="R198">
        <f t="shared" si="37"/>
        <v>1537.7851237344521</v>
      </c>
      <c r="S198">
        <f t="shared" si="38"/>
        <v>140231392.68929821</v>
      </c>
      <c r="T198" s="3">
        <v>0.08</v>
      </c>
      <c r="V198">
        <f>SUM($R$2:R198)</f>
        <v>80775.062797688195</v>
      </c>
      <c r="W198">
        <f t="shared" si="39"/>
        <v>170.31810145845779</v>
      </c>
      <c r="Z198">
        <f t="shared" si="33"/>
        <v>3.381981672611551E-6</v>
      </c>
      <c r="AA198" s="3">
        <v>0.3</v>
      </c>
      <c r="AB198">
        <f t="shared" si="40"/>
        <v>467437975.63099408</v>
      </c>
      <c r="AC198">
        <f t="shared" si="43"/>
        <v>20647282.222091176</v>
      </c>
      <c r="AD198" s="3">
        <v>0.2</v>
      </c>
      <c r="AE198">
        <f t="shared" si="41"/>
        <v>4129456.4444182352</v>
      </c>
      <c r="AF198">
        <f t="shared" si="42"/>
        <v>1</v>
      </c>
    </row>
    <row r="199" spans="1:32" x14ac:dyDescent="0.25">
      <c r="A199" s="2">
        <v>198</v>
      </c>
      <c r="B199">
        <f t="shared" si="34"/>
        <v>3841314.1931649353</v>
      </c>
      <c r="C199" s="3">
        <v>0.08</v>
      </c>
      <c r="D199">
        <f t="shared" si="35"/>
        <v>27119678.203744479</v>
      </c>
      <c r="Q199">
        <f t="shared" si="36"/>
        <v>27119678.203744728</v>
      </c>
      <c r="R199">
        <f t="shared" si="37"/>
        <v>1566.7999373898194</v>
      </c>
      <c r="S199">
        <f t="shared" si="38"/>
        <v>151449904.10444209</v>
      </c>
      <c r="T199" s="3">
        <v>0.08</v>
      </c>
      <c r="V199">
        <f>SUM($R$2:R199)</f>
        <v>82341.862735078015</v>
      </c>
      <c r="W199">
        <f t="shared" si="39"/>
        <v>173.62177441715096</v>
      </c>
      <c r="Z199">
        <f t="shared" si="33"/>
        <v>3.1314645116773618E-6</v>
      </c>
      <c r="AA199" s="3">
        <v>0.3</v>
      </c>
      <c r="AB199">
        <f t="shared" si="40"/>
        <v>504833013.68147367</v>
      </c>
      <c r="AC199">
        <f t="shared" si="43"/>
        <v>21886119.155416649</v>
      </c>
      <c r="AD199" s="3">
        <v>0.2</v>
      </c>
      <c r="AE199">
        <f t="shared" si="41"/>
        <v>4377223.8310833303</v>
      </c>
      <c r="AF199">
        <f t="shared" si="42"/>
        <v>1</v>
      </c>
    </row>
    <row r="200" spans="1:32" x14ac:dyDescent="0.25">
      <c r="A200" s="2">
        <v>199</v>
      </c>
      <c r="B200">
        <f t="shared" si="34"/>
        <v>4148619.3286181302</v>
      </c>
      <c r="C200" s="3">
        <v>0.08</v>
      </c>
      <c r="D200">
        <f t="shared" si="35"/>
        <v>29289252.460044038</v>
      </c>
      <c r="Q200">
        <f t="shared" si="36"/>
        <v>29289252.460044313</v>
      </c>
      <c r="R200">
        <f t="shared" si="37"/>
        <v>1596.3622003594385</v>
      </c>
      <c r="S200">
        <f t="shared" si="38"/>
        <v>163565896.43279746</v>
      </c>
      <c r="T200" s="3">
        <v>0.08</v>
      </c>
      <c r="V200">
        <f>SUM($R$2:R200)</f>
        <v>83938.224935437451</v>
      </c>
      <c r="W200">
        <f t="shared" si="39"/>
        <v>176.98778082789494</v>
      </c>
      <c r="Z200">
        <f t="shared" si="33"/>
        <v>2.8995041774790384E-6</v>
      </c>
      <c r="AA200" s="3">
        <v>0.3</v>
      </c>
      <c r="AB200">
        <f t="shared" si="40"/>
        <v>545219654.77599156</v>
      </c>
      <c r="AC200">
        <f t="shared" si="43"/>
        <v>23199286.304741647</v>
      </c>
      <c r="AD200" s="3">
        <v>0.2</v>
      </c>
      <c r="AE200">
        <f t="shared" si="41"/>
        <v>4639857.2609483292</v>
      </c>
      <c r="AF200">
        <f t="shared" si="42"/>
        <v>1</v>
      </c>
    </row>
    <row r="201" spans="1:32" x14ac:dyDescent="0.25">
      <c r="A201" s="2">
        <v>200</v>
      </c>
      <c r="B201">
        <f>B200+B200*C200</f>
        <v>4480508.8749075802</v>
      </c>
      <c r="C201" s="3">
        <v>0.08</v>
      </c>
      <c r="D201">
        <f>D200+D200*C200</f>
        <v>31632392.656847559</v>
      </c>
      <c r="Q201">
        <f>$D$2*((1+$C$2)^A200)</f>
        <v>31632392.656847857</v>
      </c>
      <c r="R201">
        <f>S201/((1+$U$2)^A200)</f>
        <v>1626.4822418756539</v>
      </c>
      <c r="S201">
        <f>S200*(1+T200)</f>
        <v>176651168.14742127</v>
      </c>
      <c r="T201" s="3">
        <v>0.08</v>
      </c>
      <c r="V201">
        <f>SUM($R$2:R201)</f>
        <v>85564.707177313103</v>
      </c>
      <c r="W201">
        <f>V201/$W$2</f>
        <v>180.41729679355862</v>
      </c>
      <c r="Z201">
        <f t="shared" si="33"/>
        <v>2.6847260902583686E-6</v>
      </c>
      <c r="AA201" s="3">
        <v>0.3</v>
      </c>
      <c r="AB201">
        <f t="shared" si="40"/>
        <v>588837227.15807092</v>
      </c>
      <c r="AC201">
        <f t="shared" si="43"/>
        <v>24591243.483026147</v>
      </c>
      <c r="AD201" s="3">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煤炭开采</vt:lpstr>
      <vt:lpstr>焦炭加工</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2023-06-10T12:24:09Z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