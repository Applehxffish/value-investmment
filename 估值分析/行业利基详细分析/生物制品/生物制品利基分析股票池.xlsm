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08Investment\value-investment\估值分析\行业利基详细分析\生物制品\"/>
    </mc:Choice>
  </mc:AlternateContent>
  <bookViews>
    <workbookView xWindow="-113" yWindow="-113" windowWidth="20273" windowHeight="9143" activeTab="5"/>
  </bookViews>
  <sheets>
    <sheet name="血液制品" sheetId="54" r:id="rId1"/>
    <sheet name="疫苗" sheetId="53" r:id="rId2"/>
    <sheet name="mRNA疫苗" sheetId="56" r:id="rId3"/>
    <sheet name="生长素" sheetId="57" r:id="rId4"/>
    <sheet name="医美相关" sheetId="32" r:id="rId5"/>
    <sheet name="合成生物" sheetId="55" r:id="rId6"/>
    <sheet name="公司价值折现" sheetId="42" r:id="rId7"/>
    <sheet name="基本面模型" sheetId="23" r:id="rId8"/>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<sst xmlns="http://schemas.openxmlformats.org/spreadsheetml/2006/main" count="4874" uniqueCount="2840">
  <si>
    <t>现价</t>
  </si>
  <si>
    <t>市净率</t>
  </si>
  <si>
    <t>代码</t>
  </si>
  <si>
    <t xml:space="preserve">    名称</t>
  </si>
  <si>
    <t>总市值</t>
  </si>
  <si>
    <t>TTM市盈率</t>
  </si>
  <si>
    <t>所属行业</t>
  </si>
  <si>
    <t>--</t>
  </si>
  <si>
    <t>生物制品</t>
  </si>
  <si>
    <t>SZ002252</t>
  </si>
  <si>
    <t>上海莱士</t>
  </si>
  <si>
    <t>SH600161</t>
  </si>
  <si>
    <t>天坛生物</t>
  </si>
  <si>
    <t>SZ002007</t>
  </si>
  <si>
    <t>华兰生物</t>
  </si>
  <si>
    <t>SZ300294</t>
  </si>
  <si>
    <t>博雅生物</t>
  </si>
  <si>
    <t>SZ000403</t>
  </si>
  <si>
    <t>SZ002880</t>
  </si>
  <si>
    <t>卫光生物</t>
  </si>
  <si>
    <t>SZ300601</t>
  </si>
  <si>
    <t>康泰生物</t>
  </si>
  <si>
    <t>SZ300122</t>
  </si>
  <si>
    <t>智飞生物</t>
  </si>
  <si>
    <t>SZ300142</t>
  </si>
  <si>
    <t>沃森生物</t>
  </si>
  <si>
    <t>化学制药</t>
  </si>
  <si>
    <t>SH688363</t>
  </si>
  <si>
    <t>华熙生物</t>
  </si>
  <si>
    <t>SH688366</t>
  </si>
  <si>
    <t>昊海生科</t>
  </si>
  <si>
    <t>SH603983</t>
  </si>
  <si>
    <t>丸美股份</t>
  </si>
  <si>
    <t>SH603605</t>
  </si>
  <si>
    <t>珀莱雅</t>
  </si>
  <si>
    <t>预期多</t>
    <phoneticPr fontId="1" type="noConversion"/>
  </si>
  <si>
    <t>负债合计</t>
  </si>
  <si>
    <t>所有者权益合计</t>
  </si>
  <si>
    <t>主营业务收入</t>
  </si>
  <si>
    <t>净利润增长率</t>
  </si>
  <si>
    <t>总股本</t>
  </si>
  <si>
    <t>财务费用</t>
  </si>
  <si>
    <t>投资收益</t>
  </si>
  <si>
    <t>应收账款</t>
  </si>
  <si>
    <t>3.47亿</t>
  </si>
  <si>
    <t>1.35亿</t>
  </si>
  <si>
    <t>1.09亿</t>
  </si>
  <si>
    <t>2.84亿</t>
  </si>
  <si>
    <t>37.00亿</t>
  </si>
  <si>
    <t>12.83亿</t>
  </si>
  <si>
    <t>5.58亿</t>
  </si>
  <si>
    <t>4.65亿</t>
  </si>
  <si>
    <t>2.02亿</t>
  </si>
  <si>
    <t>1.79亿</t>
  </si>
  <si>
    <t>4.85亿</t>
  </si>
  <si>
    <t>2.77亿</t>
  </si>
  <si>
    <t>4.99亿</t>
  </si>
  <si>
    <t>8.42亿</t>
  </si>
  <si>
    <t>10.62亿</t>
  </si>
  <si>
    <t>2.87亿</t>
  </si>
  <si>
    <t>2.51亿</t>
  </si>
  <si>
    <t>5.31亿</t>
  </si>
  <si>
    <t>2.59亿</t>
  </si>
  <si>
    <t>0亿</t>
  </si>
  <si>
    <t>1.03亿</t>
  </si>
  <si>
    <t>14.12亿</t>
  </si>
  <si>
    <t>10.39亿</t>
  </si>
  <si>
    <t>1.83亿</t>
  </si>
  <si>
    <t>1.16亿</t>
  </si>
  <si>
    <t>16.13亿</t>
  </si>
  <si>
    <t>1.48亿</t>
  </si>
  <si>
    <t>1.63亿</t>
  </si>
  <si>
    <t>12.40亿</t>
  </si>
  <si>
    <t>2.96亿</t>
  </si>
  <si>
    <t>21.15亿</t>
  </si>
  <si>
    <t>1.69亿</t>
  </si>
  <si>
    <t>4.25亿</t>
  </si>
  <si>
    <t>1.51亿</t>
  </si>
  <si>
    <t>2.58亿</t>
  </si>
  <si>
    <t>3.45亿</t>
  </si>
  <si>
    <t>7.60亿</t>
  </si>
  <si>
    <t>2.19亿</t>
  </si>
  <si>
    <t>2.32亿</t>
  </si>
  <si>
    <t>2.30亿</t>
  </si>
  <si>
    <t>1.50亿</t>
  </si>
  <si>
    <t>3.12亿</t>
  </si>
  <si>
    <t>4.74亿</t>
  </si>
  <si>
    <t>11.13亿</t>
  </si>
  <si>
    <t>3.14亿</t>
  </si>
  <si>
    <t>2.22亿</t>
  </si>
  <si>
    <t>4.67亿</t>
  </si>
  <si>
    <t>2.53亿</t>
  </si>
  <si>
    <t>3.40亿</t>
  </si>
  <si>
    <t>2.83亿</t>
  </si>
  <si>
    <t>1.32亿</t>
  </si>
  <si>
    <t>18.86亿</t>
  </si>
  <si>
    <t>5.86亿</t>
  </si>
  <si>
    <t>6.79亿</t>
  </si>
  <si>
    <t>15.76亿</t>
  </si>
  <si>
    <t>5.42亿</t>
  </si>
  <si>
    <t>1.28亿</t>
  </si>
  <si>
    <t>3.02亿</t>
  </si>
  <si>
    <t>1.00亿</t>
  </si>
  <si>
    <t>5.34亿</t>
  </si>
  <si>
    <t>1.20亿</t>
  </si>
  <si>
    <t>2.37亿</t>
  </si>
  <si>
    <t>1.66亿</t>
  </si>
  <si>
    <t>2.76亿</t>
  </si>
  <si>
    <t>2.36亿</t>
  </si>
  <si>
    <t>2.03亿</t>
  </si>
  <si>
    <t>1.41亿</t>
  </si>
  <si>
    <t>4.28亿</t>
  </si>
  <si>
    <t>1.90亿</t>
  </si>
  <si>
    <t>3.00亿</t>
  </si>
  <si>
    <t>5.55亿</t>
  </si>
  <si>
    <t>1.97亿</t>
  </si>
  <si>
    <t>1.31亿</t>
  </si>
  <si>
    <t>2.33亿</t>
  </si>
  <si>
    <t>1.59亿</t>
  </si>
  <si>
    <t>4.32亿</t>
  </si>
  <si>
    <t>3.90亿</t>
  </si>
  <si>
    <t>2.00亿</t>
  </si>
  <si>
    <t>5.93亿</t>
  </si>
  <si>
    <t>1.42亿</t>
  </si>
  <si>
    <t>1.78亿</t>
  </si>
  <si>
    <t>2.09亿</t>
  </si>
  <si>
    <t>2.27亿</t>
  </si>
  <si>
    <t>8.55亿</t>
  </si>
  <si>
    <t>1.33亿</t>
  </si>
  <si>
    <t>1.11亿</t>
  </si>
  <si>
    <t>1.87亿</t>
  </si>
  <si>
    <t>4.76亿</t>
  </si>
  <si>
    <t>6.88亿</t>
  </si>
  <si>
    <t>2.62亿</t>
  </si>
  <si>
    <t>1.46亿</t>
  </si>
  <si>
    <t>3.50亿</t>
  </si>
  <si>
    <t>6.49亿</t>
  </si>
  <si>
    <t>1.86亿</t>
  </si>
  <si>
    <t>3.38亿</t>
  </si>
  <si>
    <t>1.14亿</t>
  </si>
  <si>
    <t>1.60亿</t>
  </si>
  <si>
    <t>4.69亿</t>
  </si>
  <si>
    <t>8.11亿</t>
  </si>
  <si>
    <t>32.82亿</t>
  </si>
  <si>
    <t>6.11亿</t>
  </si>
  <si>
    <t>1.07亿</t>
  </si>
  <si>
    <t>1.06亿</t>
  </si>
  <si>
    <t>8.21亿</t>
  </si>
  <si>
    <t>5.91亿</t>
  </si>
  <si>
    <t>1.24亿</t>
  </si>
  <si>
    <t>2.82亿</t>
  </si>
  <si>
    <t>6.39亿</t>
  </si>
  <si>
    <t>4.37亿</t>
  </si>
  <si>
    <t>1.54亿</t>
  </si>
  <si>
    <t>4.02亿</t>
  </si>
  <si>
    <t>21.38亿</t>
  </si>
  <si>
    <t>31.24亿</t>
  </si>
  <si>
    <t>3.93亿</t>
  </si>
  <si>
    <t>3.72亿</t>
  </si>
  <si>
    <t>18.01亿</t>
  </si>
  <si>
    <t>5.15亿</t>
  </si>
  <si>
    <t>5.32亿</t>
  </si>
  <si>
    <t>16.04亿</t>
  </si>
  <si>
    <t>3.71亿</t>
  </si>
  <si>
    <t>5.18亿</t>
  </si>
  <si>
    <t>3.01亿</t>
  </si>
  <si>
    <t>9.16亿</t>
  </si>
  <si>
    <t>4.08亿</t>
  </si>
  <si>
    <t>25.85亿</t>
  </si>
  <si>
    <t>6.08亿</t>
  </si>
  <si>
    <t>1.71亿</t>
  </si>
  <si>
    <t>2.60亿</t>
  </si>
  <si>
    <t>4.26亿</t>
  </si>
  <si>
    <t>1.53亿</t>
  </si>
  <si>
    <t>5.33亿</t>
  </si>
  <si>
    <t>1.08亿</t>
  </si>
  <si>
    <t>4.21亿</t>
  </si>
  <si>
    <t>5.71亿</t>
  </si>
  <si>
    <t>23.66亿</t>
  </si>
  <si>
    <t>1.40亿</t>
  </si>
  <si>
    <t>4.00亿</t>
  </si>
  <si>
    <t>11.21亿</t>
  </si>
  <si>
    <t>19.43亿</t>
  </si>
  <si>
    <t>5.75亿</t>
  </si>
  <si>
    <t>SH603392</t>
  </si>
  <si>
    <t>万泰生物</t>
  </si>
  <si>
    <t>11.84亿</t>
  </si>
  <si>
    <t>1.80亿</t>
  </si>
  <si>
    <t>1.30亿</t>
  </si>
  <si>
    <t>SH688185</t>
  </si>
  <si>
    <t>-1.57亿</t>
  </si>
  <si>
    <t>1.22亿</t>
  </si>
  <si>
    <t>5.51亿</t>
  </si>
  <si>
    <t>SZ300653</t>
  </si>
  <si>
    <t>正海生物</t>
  </si>
  <si>
    <t>2.80亿</t>
  </si>
  <si>
    <t>SZ300573</t>
  </si>
  <si>
    <t>兴齐眼药</t>
  </si>
  <si>
    <t>3589.38万</t>
  </si>
  <si>
    <t>SZ300326</t>
  </si>
  <si>
    <t>凯利泰</t>
  </si>
  <si>
    <t>12.22亿</t>
  </si>
  <si>
    <t>SZ300238</t>
  </si>
  <si>
    <t>冠昊生物</t>
  </si>
  <si>
    <t>4.46亿</t>
  </si>
  <si>
    <t>7.33亿</t>
  </si>
  <si>
    <t>4.38亿</t>
  </si>
  <si>
    <t>-4.65亿</t>
  </si>
  <si>
    <t>SZ002038</t>
  </si>
  <si>
    <t>双鹭药业</t>
  </si>
  <si>
    <t>20.30亿</t>
  </si>
  <si>
    <t>4.87亿</t>
  </si>
  <si>
    <t>4.61亿</t>
  </si>
  <si>
    <t>1.75亿</t>
  </si>
  <si>
    <t>SZ000908</t>
  </si>
  <si>
    <t>景峰医药</t>
  </si>
  <si>
    <t>13.44亿</t>
  </si>
  <si>
    <t>-8.83亿</t>
  </si>
  <si>
    <t>1.84亿</t>
  </si>
  <si>
    <t>1.02亿</t>
  </si>
  <si>
    <t>5.52亿</t>
  </si>
  <si>
    <t>SH688050</t>
  </si>
  <si>
    <t>爱博医疗</t>
  </si>
  <si>
    <t>1.95亿</t>
  </si>
  <si>
    <t>6668.51万</t>
  </si>
  <si>
    <t>2.48亿</t>
  </si>
  <si>
    <t>5.44亿</t>
  </si>
  <si>
    <t>SH603168</t>
  </si>
  <si>
    <t>莎普爱思</t>
  </si>
  <si>
    <t>5.16亿</t>
  </si>
  <si>
    <t>785.73万</t>
  </si>
  <si>
    <t>3.66亿</t>
  </si>
  <si>
    <t>5.09亿</t>
  </si>
  <si>
    <t>3.57亿</t>
  </si>
  <si>
    <t>1.29亿</t>
  </si>
  <si>
    <t>6.90亿</t>
  </si>
  <si>
    <t>1.21亿</t>
  </si>
  <si>
    <t>1.01亿</t>
  </si>
  <si>
    <t>4.40亿</t>
  </si>
  <si>
    <t>4.63亿</t>
  </si>
  <si>
    <t>1.27亿</t>
  </si>
  <si>
    <t>5.57亿</t>
  </si>
  <si>
    <t>4.12亿</t>
  </si>
  <si>
    <t>2.01亿</t>
  </si>
  <si>
    <t>1.56亿</t>
  </si>
  <si>
    <t>2.69亿</t>
  </si>
  <si>
    <t>2.06亿</t>
  </si>
  <si>
    <t>1.57亿</t>
  </si>
  <si>
    <t>2.15亿</t>
  </si>
  <si>
    <t>3.39亿</t>
  </si>
  <si>
    <t>1.72亿</t>
  </si>
  <si>
    <t>6.23亿</t>
  </si>
  <si>
    <t>1.58亿</t>
  </si>
  <si>
    <t>4.58亿</t>
  </si>
  <si>
    <t>1.62亿</t>
  </si>
  <si>
    <t>3.17亿</t>
  </si>
  <si>
    <t>7.80亿</t>
  </si>
  <si>
    <t>6.62亿</t>
  </si>
  <si>
    <t>2.44亿</t>
  </si>
  <si>
    <t>3.83亿</t>
  </si>
  <si>
    <t>5.05亿</t>
  </si>
  <si>
    <t>4.24亿</t>
  </si>
  <si>
    <t>1.93亿</t>
  </si>
  <si>
    <t>6.68亿</t>
  </si>
  <si>
    <t>1.18亿</t>
  </si>
  <si>
    <t>2.72亿</t>
  </si>
  <si>
    <t>5.94亿</t>
  </si>
  <si>
    <t>4.04亿</t>
  </si>
  <si>
    <t>4.13亿</t>
  </si>
  <si>
    <t>3.22亿</t>
  </si>
  <si>
    <t>9.38亿</t>
  </si>
  <si>
    <t>2.57亿</t>
  </si>
  <si>
    <t>2.40亿</t>
  </si>
  <si>
    <t>6.98亿</t>
  </si>
  <si>
    <t>1.10亿</t>
  </si>
  <si>
    <t>1.49亿</t>
  </si>
  <si>
    <t>3.54亿</t>
  </si>
  <si>
    <t>5.95亿</t>
  </si>
  <si>
    <t>4.31亿</t>
  </si>
  <si>
    <t>5000.00万</t>
  </si>
  <si>
    <t>3.06亿</t>
  </si>
  <si>
    <t>8.44亿</t>
  </si>
  <si>
    <t>4.33亿</t>
  </si>
  <si>
    <t>2.07亿</t>
  </si>
  <si>
    <t>3.24亿</t>
  </si>
  <si>
    <t>6.77亿</t>
  </si>
  <si>
    <t>5.61亿</t>
  </si>
  <si>
    <t>2.05亿</t>
  </si>
  <si>
    <t>9.69亿</t>
  </si>
  <si>
    <t>1.38亿</t>
  </si>
  <si>
    <t>3.21亿</t>
  </si>
  <si>
    <t>1.61亿</t>
  </si>
  <si>
    <t>1.23亿</t>
  </si>
  <si>
    <t>9.79亿</t>
  </si>
  <si>
    <t>13.24亿</t>
  </si>
  <si>
    <t>4.15亿</t>
  </si>
  <si>
    <t>3.13亿</t>
  </si>
  <si>
    <t>1.52亿</t>
  </si>
  <si>
    <t>3.85亿</t>
  </si>
  <si>
    <t>1.37亿</t>
  </si>
  <si>
    <t>1.96亿</t>
  </si>
  <si>
    <t>8.36亿</t>
  </si>
  <si>
    <t>1.89亿</t>
  </si>
  <si>
    <t>16.23亿</t>
  </si>
  <si>
    <t>1.55亿</t>
  </si>
  <si>
    <t>28.20亿</t>
  </si>
  <si>
    <t>7.91亿</t>
  </si>
  <si>
    <t>2.90亿</t>
  </si>
  <si>
    <t>1.19亿</t>
  </si>
  <si>
    <t>2.92亿</t>
  </si>
  <si>
    <t>23.02亿</t>
  </si>
  <si>
    <t>3.65亿</t>
  </si>
  <si>
    <t>2.93亿</t>
  </si>
  <si>
    <t>3.52亿</t>
  </si>
  <si>
    <t>1.74亿</t>
  </si>
  <si>
    <t>2.13亿</t>
  </si>
  <si>
    <t>2.75亿</t>
  </si>
  <si>
    <t>20.88亿</t>
  </si>
  <si>
    <t>2.61亿</t>
  </si>
  <si>
    <t>4.64亿</t>
  </si>
  <si>
    <t>6.89亿</t>
  </si>
  <si>
    <t>4.98亿</t>
  </si>
  <si>
    <t>4.78亿</t>
  </si>
  <si>
    <t>10.28亿</t>
  </si>
  <si>
    <t>3.60亿</t>
  </si>
  <si>
    <t>15.87亿</t>
  </si>
  <si>
    <t>3.05亿</t>
  </si>
  <si>
    <t>9.39亿</t>
  </si>
  <si>
    <t>7.98亿</t>
  </si>
  <si>
    <t>2.46亿</t>
  </si>
  <si>
    <t>8.02亿</t>
  </si>
  <si>
    <t>12.99亿</t>
  </si>
  <si>
    <t>7.18亿</t>
  </si>
  <si>
    <t>8.09亿</t>
  </si>
  <si>
    <t>13.91亿</t>
  </si>
  <si>
    <t>2.73亿</t>
  </si>
  <si>
    <t>11.61亿</t>
  </si>
  <si>
    <t>11.73亿</t>
  </si>
  <si>
    <t>6.20亿</t>
  </si>
  <si>
    <t>1.43亿</t>
  </si>
  <si>
    <t>7.09亿</t>
  </si>
  <si>
    <t>27.62亿</t>
  </si>
  <si>
    <t>13.52亿</t>
  </si>
  <si>
    <t>3.58亿</t>
  </si>
  <si>
    <t>17.83亿</t>
  </si>
  <si>
    <t>10.50亿</t>
  </si>
  <si>
    <t>3.11亿</t>
  </si>
  <si>
    <t>4.52亿</t>
  </si>
  <si>
    <t>5.66亿</t>
  </si>
  <si>
    <t>3.91亿</t>
  </si>
  <si>
    <t>13.96亿</t>
  </si>
  <si>
    <t>3.18亿</t>
  </si>
  <si>
    <t>6.85亿</t>
  </si>
  <si>
    <t>10.10亿</t>
  </si>
  <si>
    <t>8.29亿</t>
  </si>
  <si>
    <t>2.52亿</t>
  </si>
  <si>
    <t>1.64亿</t>
  </si>
  <si>
    <t>26.41亿</t>
  </si>
  <si>
    <t>6.06亿</t>
  </si>
  <si>
    <t>7.77亿</t>
  </si>
  <si>
    <t>3.64亿</t>
  </si>
  <si>
    <t>6.30亿</t>
  </si>
  <si>
    <t>12.11亿</t>
  </si>
  <si>
    <t>2.16亿</t>
  </si>
  <si>
    <t>5.76亿</t>
  </si>
  <si>
    <t>22.67亿</t>
  </si>
  <si>
    <t>14.51亿</t>
  </si>
  <si>
    <t>6.40亿</t>
  </si>
  <si>
    <t>6.07亿</t>
  </si>
  <si>
    <t>6.25亿</t>
  </si>
  <si>
    <t>7.22亿</t>
  </si>
  <si>
    <t>4.36亿</t>
  </si>
  <si>
    <t>10.03亿</t>
  </si>
  <si>
    <t>8.61亿</t>
  </si>
  <si>
    <t>27.61亿</t>
  </si>
  <si>
    <t>4.30亿</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</si>
  <si>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</si>
  <si>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</si>
  <si>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</si>
  <si>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</si>
  <si>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</si>
  <si>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</si>
  <si>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</si>
  <si>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</si>
  <si>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</si>
  <si>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</si>
  <si>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</si>
  <si>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</si>
  <si>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</si>
  <si>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</si>
  <si>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</si>
  <si>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</si>
  <si>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</si>
  <si>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</si>
  <si>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</si>
  <si>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</si>
  <si>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</si>
  <si>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</si>
  <si>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</si>
  <si>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</si>
  <si>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</si>
  <si>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</si>
  <si>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</si>
  <si>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</si>
  <si>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</si>
  <si>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</si>
  <si>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</si>
  <si>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</si>
  <si>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</si>
  <si>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</si>
  <si>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</si>
  <si>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</si>
  <si>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</si>
  <si>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</si>
  <si>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</si>
  <si>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</si>
  <si>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</si>
  <si>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</si>
  <si>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</si>
  <si>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</si>
  <si>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</si>
  <si>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</si>
  <si>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</si>
  <si>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</si>
  <si>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</si>
  <si>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</si>
  <si>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</si>
  <si>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</si>
  <si>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</si>
  <si>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</si>
  <si>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6.46亿</t>
  </si>
  <si>
    <t>4.89亿</t>
  </si>
  <si>
    <t>8.26亿</t>
  </si>
  <si>
    <t>16.77亿</t>
  </si>
  <si>
    <t>4.44亿</t>
  </si>
  <si>
    <t>6.73亿</t>
  </si>
  <si>
    <t>13.43亿</t>
  </si>
  <si>
    <t>-1.38亿</t>
  </si>
  <si>
    <t>4.09亿</t>
  </si>
  <si>
    <t>22.61亿</t>
  </si>
  <si>
    <t>派林生物</t>
  </si>
  <si>
    <t>8.60亿</t>
  </si>
  <si>
    <t>7998.28万</t>
  </si>
  <si>
    <t>2159.69万</t>
  </si>
  <si>
    <t>5008.91万</t>
  </si>
  <si>
    <t>50.23亿</t>
  </si>
  <si>
    <t>32.17亿</t>
  </si>
  <si>
    <t>23.68亿</t>
  </si>
  <si>
    <t>19.35亿</t>
  </si>
  <si>
    <t>11.40亿</t>
  </si>
  <si>
    <t>18.04亿</t>
  </si>
  <si>
    <t>19.28亿</t>
  </si>
  <si>
    <t>23.26亿</t>
  </si>
  <si>
    <t>-15.18亿</t>
  </si>
  <si>
    <t>9.05亿</t>
  </si>
  <si>
    <t>14.61亿</t>
  </si>
  <si>
    <t>9.47亿</t>
  </si>
  <si>
    <t>34.46亿</t>
  </si>
  <si>
    <t>29.31亿</t>
  </si>
  <si>
    <t>24.83亿</t>
  </si>
  <si>
    <t>7.58亿</t>
  </si>
  <si>
    <t>30.47亿</t>
  </si>
  <si>
    <t>8.79亿</t>
  </si>
  <si>
    <t>10.46亿</t>
  </si>
  <si>
    <t>SZ300841</t>
  </si>
  <si>
    <t>康华生物</t>
  </si>
  <si>
    <t>5.59亿</t>
  </si>
  <si>
    <t>23.54亿</t>
  </si>
  <si>
    <t>9.83亿</t>
  </si>
  <si>
    <t>9.50亿</t>
  </si>
  <si>
    <t>8.78亿</t>
  </si>
  <si>
    <t>25.86亿</t>
  </si>
  <si>
    <t>25.84亿</t>
  </si>
  <si>
    <t>SZ000963</t>
  </si>
  <si>
    <t>华东医药</t>
  </si>
  <si>
    <t>336.83亿</t>
  </si>
  <si>
    <t>9.18亿</t>
  </si>
  <si>
    <t>354.46亿</t>
  </si>
  <si>
    <t>306.63亿</t>
  </si>
  <si>
    <t>278.32亿</t>
  </si>
  <si>
    <t>253.80亿</t>
  </si>
  <si>
    <t>28.13亿</t>
  </si>
  <si>
    <t>17.80亿</t>
  </si>
  <si>
    <t>14.47亿</t>
  </si>
  <si>
    <t>21.67亿</t>
  </si>
  <si>
    <t>12.42亿</t>
  </si>
  <si>
    <t>4659.49万</t>
  </si>
  <si>
    <t>4574.65万</t>
  </si>
  <si>
    <t>4552.31万</t>
  </si>
  <si>
    <t>5695.58万</t>
  </si>
  <si>
    <t>-1.27亿</t>
  </si>
  <si>
    <t>9.31亿</t>
  </si>
  <si>
    <t>8797.86万</t>
  </si>
  <si>
    <t>1365.87万</t>
  </si>
  <si>
    <t>3943.71万</t>
  </si>
  <si>
    <t>5427.93万</t>
  </si>
  <si>
    <t>8581.51万</t>
  </si>
  <si>
    <t>6166.96万</t>
  </si>
  <si>
    <t>4547.01万</t>
  </si>
  <si>
    <t>SZ300896</t>
  </si>
  <si>
    <t>爱美客</t>
  </si>
  <si>
    <t>8219.35万</t>
  </si>
  <si>
    <t>5337.70万</t>
  </si>
  <si>
    <t>SZ300957</t>
  </si>
  <si>
    <t>贝泰妮</t>
  </si>
  <si>
    <t>26.36亿</t>
  </si>
  <si>
    <t>19.44亿</t>
  </si>
  <si>
    <t>-1.79亿</t>
  </si>
  <si>
    <t>-1.26亿</t>
  </si>
  <si>
    <t>37.52亿</t>
  </si>
  <si>
    <t>23.61亿</t>
  </si>
  <si>
    <t>17.45亿</t>
  </si>
  <si>
    <t>12.08亿</t>
  </si>
  <si>
    <t>9655.83万</t>
  </si>
  <si>
    <t>7481.11万</t>
  </si>
  <si>
    <t>4352.91万</t>
  </si>
  <si>
    <t>2031.08万</t>
  </si>
  <si>
    <t>-396.61万</t>
  </si>
  <si>
    <t>-148.95万</t>
  </si>
  <si>
    <t>26.33亿</t>
  </si>
  <si>
    <t>12.63亿</t>
  </si>
  <si>
    <t>8.18亿</t>
  </si>
  <si>
    <t>13.32亿</t>
  </si>
  <si>
    <t>15.58亿</t>
  </si>
  <si>
    <t>13.54亿</t>
  </si>
  <si>
    <t>3.07亿</t>
  </si>
  <si>
    <t>12.95亿</t>
  </si>
  <si>
    <t>9.58亿</t>
  </si>
  <si>
    <t>7.72亿</t>
  </si>
  <si>
    <t>1.99亿</t>
  </si>
  <si>
    <t>7.11亿</t>
  </si>
  <si>
    <t>3.75亿</t>
  </si>
  <si>
    <t>5.07亿</t>
  </si>
  <si>
    <t>4.42亿</t>
  </si>
  <si>
    <t>9.07亿</t>
  </si>
  <si>
    <t>11.71亿</t>
  </si>
  <si>
    <t>17.87亿</t>
  </si>
  <si>
    <t>已知和基本信息</t>
    <phoneticPr fontId="1" type="noConversion"/>
  </si>
  <si>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</si>
  <si>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</si>
  <si>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</si>
  <si>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</si>
  <si>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</si>
  <si>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</si>
  <si>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</si>
  <si>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</si>
  <si>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</si>
  <si>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</si>
  <si>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</si>
  <si>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</si>
  <si>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</si>
  <si>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</si>
  <si>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</si>
  <si>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</si>
  <si>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</si>
  <si>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</si>
  <si>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过往利润增速均值</t>
    <phoneticPr fontId="1" type="noConversion"/>
  </si>
  <si>
    <t>6增速</t>
    <phoneticPr fontId="1" type="noConversion"/>
  </si>
  <si>
    <t>20年自由现金流折现</t>
    <phoneticPr fontId="1" type="noConversion"/>
  </si>
  <si>
    <t>20增速</t>
  </si>
  <si>
    <t>当期自由现金流估计值</t>
  </si>
  <si>
    <t>自由现金流估计增速</t>
  </si>
  <si>
    <t>基本面排序</t>
    <phoneticPr fontId="1" type="noConversion"/>
  </si>
  <si>
    <t>7.66亿</t>
  </si>
  <si>
    <t>5.40亿</t>
  </si>
  <si>
    <t>19.96亿</t>
  </si>
  <si>
    <t>12.54亿</t>
  </si>
  <si>
    <t>12.55亿</t>
  </si>
  <si>
    <t>1.68亿</t>
  </si>
  <si>
    <t>4.34亿</t>
  </si>
  <si>
    <t>3.53亿</t>
  </si>
  <si>
    <t>8.47亿</t>
  </si>
  <si>
    <t>9.06亿</t>
  </si>
  <si>
    <t>12.57亿</t>
  </si>
  <si>
    <t>4.77亿</t>
  </si>
  <si>
    <t>23.88亿</t>
  </si>
  <si>
    <t>8.92亿</t>
  </si>
  <si>
    <t>22.45亿</t>
  </si>
  <si>
    <t>41.12亿</t>
  </si>
  <si>
    <t>12.15亿</t>
  </si>
  <si>
    <t>11.08亿</t>
  </si>
  <si>
    <t>8.63亿</t>
  </si>
  <si>
    <t>21.17亿</t>
  </si>
  <si>
    <t>10增速</t>
    <phoneticPr fontId="1" type="noConversion"/>
  </si>
  <si>
    <t>15.74亿</t>
  </si>
  <si>
    <t>7.82亿</t>
  </si>
  <si>
    <t>国防军工</t>
  </si>
  <si>
    <t>12.76亿</t>
  </si>
  <si>
    <t>-1.64亿</t>
  </si>
  <si>
    <t>血液制品</t>
  </si>
  <si>
    <t>医疗器械</t>
  </si>
  <si>
    <t>25.13亿</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</si>
  <si>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</si>
  <si>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</si>
  <si>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</si>
  <si>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</si>
  <si>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</si>
  <si>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</si>
  <si>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</si>
  <si>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</si>
  <si>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</si>
  <si>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</si>
  <si>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</si>
  <si>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</si>
  <si>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</si>
  <si>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</si>
  <si>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</si>
  <si>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</si>
  <si>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</si>
  <si>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</si>
  <si>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</si>
  <si>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</si>
  <si>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</si>
  <si>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</si>
  <si>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</si>
  <si>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</si>
  <si>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</si>
  <si>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</si>
  <si>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</si>
  <si>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
  </si>
  <si>
    <t>-2-0</t>
  </si>
  <si>
    <t>1-0</t>
  </si>
  <si>
    <t>-1-0</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</si>
  <si>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</si>
  <si>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</si>
  <si>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</si>
  <si>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</si>
  <si>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</si>
  <si>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</si>
  <si>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</si>
  <si>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</si>
  <si>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</si>
  <si>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</si>
  <si>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</si>
  <si>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</si>
  <si>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</si>
  <si>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</si>
  <si>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</si>
  <si>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</si>
  <si>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</si>
  <si>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</si>
  <si>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</si>
  <si>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</si>
  <si>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</si>
  <si>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</si>
  <si>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</si>
  <si>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</si>
  <si>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</si>
  <si>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</si>
  <si>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</si>
  <si>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</si>
  <si>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</si>
  <si>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</si>
  <si>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</si>
  <si>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</si>
  <si>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</si>
  <si>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</si>
  <si>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</si>
  <si>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</si>
  <si>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</si>
  <si>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</si>
  <si>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</si>
  <si>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</si>
  <si>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</si>
  <si>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</si>
  <si>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</si>
  <si>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</si>
  <si>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</si>
  <si>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</si>
  <si>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</si>
  <si>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</si>
  <si>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</si>
  <si>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</si>
  <si>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44.36亿</t>
  </si>
  <si>
    <t>306.52亿</t>
  </si>
  <si>
    <t>102.09亿</t>
  </si>
  <si>
    <t>34.63亿</t>
  </si>
  <si>
    <t>36.52亿</t>
  </si>
  <si>
    <t>12.92亿</t>
  </si>
  <si>
    <t>57.50亿</t>
  </si>
  <si>
    <t>20.21亿</t>
  </si>
  <si>
    <t>康希诺</t>
  </si>
  <si>
    <t>43.00亿</t>
  </si>
  <si>
    <t>19.14亿</t>
  </si>
  <si>
    <t>SH688739</t>
  </si>
  <si>
    <t>151.90亿</t>
  </si>
  <si>
    <t>105.87亿</t>
  </si>
  <si>
    <t>52.28亿</t>
  </si>
  <si>
    <t>33.01亿</t>
  </si>
  <si>
    <t>3252.03万</t>
  </si>
  <si>
    <t>29.39亿</t>
  </si>
  <si>
    <t>-5.37亿</t>
  </si>
  <si>
    <t>7045.87万</t>
  </si>
  <si>
    <t>20.17亿</t>
  </si>
  <si>
    <t>8621.35万</t>
  </si>
  <si>
    <t>8.71亿</t>
  </si>
  <si>
    <t>9291.64万</t>
  </si>
  <si>
    <t>7445.79万</t>
  </si>
  <si>
    <t>665.79万</t>
  </si>
  <si>
    <t>16.92亿</t>
  </si>
  <si>
    <t>1-1</t>
  </si>
  <si>
    <t>2489.00万</t>
  </si>
  <si>
    <t>228.34万</t>
  </si>
  <si>
    <t>281.19万</t>
  </si>
  <si>
    <t>18.72万</t>
  </si>
  <si>
    <t>15.47万</t>
  </si>
  <si>
    <t>-3.97亿</t>
  </si>
  <si>
    <t>-6444.91万</t>
  </si>
  <si>
    <t>-4985.20万</t>
  </si>
  <si>
    <t>10.30亿</t>
  </si>
  <si>
    <t>-1-1</t>
  </si>
  <si>
    <r>
      <t>1.公司是我国最大的流感疫苗生产基地，但疫苗属于</t>
    </r>
    <r>
      <rPr>
        <b/>
        <sz val="9"/>
        <color theme="1"/>
        <rFont val="宋体"/>
        <family val="3"/>
        <charset val="134"/>
        <scheme val="minor"/>
      </rPr>
      <t>签批</t>
    </r>
    <r>
      <rPr>
        <sz val="9"/>
        <color theme="1"/>
        <rFont val="宋体"/>
        <family val="2"/>
        <charset val="134"/>
        <scheme val="minor"/>
      </rPr>
      <t>，因此除非需求很大，引发销量超预期；2. 华兰疫苗单独上市，能否触发市场情绪提升;3.华兰涉足单抗行业，但比例较小；4.2021年虽然疫苗业务减速（但</t>
    </r>
    <r>
      <rPr>
        <sz val="9"/>
        <color rgb="FFFF0000"/>
        <rFont val="宋体"/>
        <family val="3"/>
        <charset val="134"/>
        <scheme val="minor"/>
      </rPr>
      <t>因下半年流感销售季节受到新冠疫苗加强针接种及12岁以下儿童补种新冠疫苗等因素影响，流感疫苗市场销售工作受到了较大的影响，导致公司营业收入和净利润出现了下滑</t>
    </r>
    <r>
      <rPr>
        <sz val="9"/>
        <color theme="1"/>
        <rFont val="宋体"/>
        <family val="2"/>
        <charset val="134"/>
        <scheme val="minor"/>
      </rPr>
      <t>），会不会随着2022年疫情控制，流感或者新疫苗业务给华兰带来新的增长机会；单独疫苗部分，毛利90%，净利30%；所以关键看疫苗每年H2的销售情况；如果能做到30亿营收，那么2022年会有很大利润预期，9亿（疫苗利润）+7亿血液利润=16亿；那么对应目前市值为21.35PE;</t>
    </r>
    <phoneticPr fontId="1" type="noConversion"/>
  </si>
  <si>
    <r>
      <t>1.2001年5月国务院办公厅实行血液制品生产企业总量控制，目前国内正常生产的血液制品企业共</t>
    </r>
    <r>
      <rPr>
        <b/>
        <sz val="9"/>
        <color rgb="FFFF0000"/>
        <rFont val="宋体"/>
        <family val="3"/>
        <charset val="134"/>
        <scheme val="minor"/>
      </rPr>
      <t>28家。</t>
    </r>
    <r>
      <rPr>
        <sz val="9"/>
        <rFont val="宋体"/>
        <family val="3"/>
        <charset val="134"/>
        <scheme val="minor"/>
      </rPr>
      <t>2.2021年28家血液制品生产企业的单采血浆站共采集血浆约9455吨，较2020年增长约</t>
    </r>
    <r>
      <rPr>
        <b/>
        <sz val="9"/>
        <rFont val="宋体"/>
        <family val="3"/>
        <charset val="134"/>
        <scheme val="minor"/>
      </rPr>
      <t>13.4%</t>
    </r>
    <r>
      <rPr>
        <sz val="9"/>
        <rFont val="宋体"/>
        <family val="3"/>
        <charset val="134"/>
        <scheme val="minor"/>
      </rPr>
      <t>，较2019年增长约2.7%。3.2021年，</t>
    </r>
    <r>
      <rPr>
        <sz val="9"/>
        <color rgb="FFFF0000"/>
        <rFont val="宋体"/>
        <family val="3"/>
        <charset val="134"/>
        <scheme val="minor"/>
      </rPr>
      <t>前四家</t>
    </r>
    <r>
      <rPr>
        <sz val="9"/>
        <rFont val="宋体"/>
        <family val="3"/>
        <charset val="134"/>
        <scheme val="minor"/>
      </rPr>
      <t>公司采集血浆均在1000吨以上，合计采浆5600多吨，</t>
    </r>
    <r>
      <rPr>
        <sz val="9"/>
        <color rgb="FFFF0000"/>
        <rFont val="宋体"/>
        <family val="3"/>
        <charset val="134"/>
        <scheme val="minor"/>
      </rPr>
      <t>占国内血浆采集量的60%</t>
    </r>
    <r>
      <rPr>
        <sz val="9"/>
        <rFont val="宋体"/>
        <family val="3"/>
        <charset val="134"/>
        <scheme val="minor"/>
      </rPr>
      <t>左右。4.乙型肝炎人免疫球蛋白：主要用于乙型肝炎</t>
    </r>
    <r>
      <rPr>
        <b/>
        <sz val="9"/>
        <color rgb="FFFF0000"/>
        <rFont val="宋体"/>
        <family val="3"/>
        <charset val="134"/>
        <scheme val="minor"/>
      </rPr>
      <t>预防</t>
    </r>
    <r>
      <rPr>
        <sz val="9"/>
        <rFont val="宋体"/>
        <family val="3"/>
        <charset val="134"/>
        <scheme val="minor"/>
      </rPr>
      <t>。适用于：乙型肝炎表面抗原（HBsAg）阳性的母亲所生的婴儿；意
外感染的人群；与乙型肝炎患者和乙型肝炎病毒携带者密切接触者。</t>
    </r>
    <phoneticPr fontId="1" type="noConversion"/>
  </si>
  <si>
    <t>市场预期先行，次新股，市场博弈对手需观察；康希诺-U</t>
    <phoneticPr fontId="1" type="noConversion"/>
  </si>
  <si>
    <t>19.72亿</t>
  </si>
  <si>
    <t>42.88亿</t>
  </si>
  <si>
    <t>26.51亿</t>
  </si>
  <si>
    <t>5-0</t>
  </si>
  <si>
    <t>亏损</t>
  </si>
  <si>
    <t>扭亏</t>
  </si>
  <si>
    <t>345.63亿</t>
  </si>
  <si>
    <t>53.89亿</t>
  </si>
  <si>
    <t>SZ002901</t>
  </si>
  <si>
    <t>大博医疗</t>
  </si>
  <si>
    <t>19.94亿</t>
  </si>
  <si>
    <t>7368.70万</t>
  </si>
  <si>
    <t>12.69亿</t>
  </si>
  <si>
    <t>SZ300740</t>
  </si>
  <si>
    <t>水羊股份</t>
  </si>
  <si>
    <t>美容护理</t>
  </si>
  <si>
    <t>50.10亿</t>
  </si>
  <si>
    <t>14.48亿</t>
  </si>
  <si>
    <t>SZ300955</t>
  </si>
  <si>
    <t>嘉亨家化</t>
  </si>
  <si>
    <t>9716.93万</t>
  </si>
  <si>
    <t>40.22亿</t>
  </si>
  <si>
    <t>SH600315</t>
  </si>
  <si>
    <t>上海家化</t>
  </si>
  <si>
    <t>76.46亿</t>
  </si>
  <si>
    <t>3565.61万</t>
  </si>
  <si>
    <t>46.33亿</t>
  </si>
  <si>
    <t>SH688085</t>
  </si>
  <si>
    <t>三友医疗</t>
  </si>
  <si>
    <t>SH688161</t>
  </si>
  <si>
    <t>威高骨科</t>
  </si>
  <si>
    <t>21.54亿</t>
  </si>
  <si>
    <t>SH688236</t>
  </si>
  <si>
    <t>春立医疗</t>
  </si>
  <si>
    <t>SH688314</t>
  </si>
  <si>
    <t>康拓医疗</t>
  </si>
  <si>
    <t>8162.65万</t>
  </si>
  <si>
    <t>49.48亿</t>
  </si>
  <si>
    <t>17.67亿</t>
  </si>
  <si>
    <t>SH688510</t>
  </si>
  <si>
    <t>航亚科技</t>
  </si>
  <si>
    <t>2427.11万</t>
  </si>
  <si>
    <t>SH688613</t>
  </si>
  <si>
    <t>奥精医疗</t>
  </si>
  <si>
    <t>-10.69亿</t>
  </si>
  <si>
    <t>2754.62万</t>
  </si>
  <si>
    <t>88.97亿</t>
  </si>
  <si>
    <t>9183.00万</t>
  </si>
  <si>
    <t>1.5月份已经演绎过一次</t>
    <phoneticPr fontId="1" type="noConversion"/>
  </si>
  <si>
    <t>20159987亿</t>
  </si>
  <si>
    <t>241.24万</t>
  </si>
  <si>
    <t>1824.71万</t>
  </si>
  <si>
    <t>5465.06万</t>
  </si>
  <si>
    <t>3320.63万</t>
  </si>
  <si>
    <t>4399.26万</t>
  </si>
  <si>
    <t>1.化妆品行业是中国最早向外资公司开放的行业之一。庞大的人口基数和可观的增长潜力吸引了众多国际品牌，我国化妆品市场环境是一个较为开放的国际化竞争环境。</t>
    <phoneticPr fontId="1" type="noConversion"/>
  </si>
  <si>
    <t>37.15亿</t>
  </si>
  <si>
    <t>24.12亿</t>
  </si>
  <si>
    <t>16.46亿</t>
  </si>
  <si>
    <t>2722.27万</t>
  </si>
  <si>
    <t>7377.08万</t>
  </si>
  <si>
    <t>8.17亿</t>
  </si>
  <si>
    <t>3055.46万</t>
  </si>
  <si>
    <t>7.86亿</t>
  </si>
  <si>
    <t>9341.15万</t>
  </si>
  <si>
    <t>6332.60万</t>
  </si>
  <si>
    <t>4293.19万</t>
  </si>
  <si>
    <t>1867.43万</t>
  </si>
  <si>
    <t>2079.64万</t>
  </si>
  <si>
    <r>
      <t>1.顾薇诺娜品牌以“舒敏”为核心，不断丰富产品线：以敏感为爆点，搭建多重功效护肤矩阵，助力品牌螺旋式扩圈。在舒敏基础上，陆续推出“敏感肌+防晒”、“敏感肌+抗初老”、“敏感肌+美白”、“敏感肌+修红”、“敏感肌+皮肤屏障修护”等；2.布局功能性食品：我们的研发实力将会随着云南省特色的6500多种植物的落地而加强，加强</t>
    </r>
    <r>
      <rPr>
        <b/>
        <sz val="9"/>
        <color rgb="FFFF0000"/>
        <rFont val="宋体"/>
        <family val="3"/>
        <charset val="134"/>
        <scheme val="minor"/>
      </rPr>
      <t>“内服美容”</t>
    </r>
    <phoneticPr fontId="1" type="noConversion"/>
  </si>
  <si>
    <t>1.关键看如何利用目前的销售平台和私域流量；产品投放的策略侧重在更精细化拆分，包括传统电商和抖快。不同平台随着不同的季节、时间段会有不同策略，会考核各品牌的ROI，看会员是否能够持续沉淀以及贡献产出;</t>
    <phoneticPr fontId="1" type="noConversion"/>
  </si>
  <si>
    <t>7859.36万</t>
  </si>
  <si>
    <t>70.32亿</t>
  </si>
  <si>
    <t>75.97亿</t>
  </si>
  <si>
    <t>71.38亿</t>
  </si>
  <si>
    <t>64.88亿</t>
  </si>
  <si>
    <t>59.62亿</t>
  </si>
  <si>
    <t>4-1</t>
  </si>
  <si>
    <t>1048.84万</t>
  </si>
  <si>
    <t>8440.94万</t>
  </si>
  <si>
    <t>3600.72万</t>
  </si>
  <si>
    <t>1.现在越来越多的医院开始开设运动医学科。我们做运动医学业务会有我们自己特有的战略发展计划，还是要在产品上和疗法上做出优势，为运动医学医生真正解决手术治疗中的临床痛点，相信这个业务未来将成为公司的整体发展中很重要的一个组成部分；2.公司目前主要在研项目有11项，分别为：新型骨与软组织损伤修复系统项目、通用创伤固定系统更新升级、微创脊柱椎间隙融合系统、退变性脊柱畸形矫正固定系统、颈椎减压矫形固定系统、脊柱矫形、融合器及骨水泥横向位移螺钉内固定系统、新型髓内钉及足踝内固定系统项目、3D打印定制椎间隙融合器系统、微创脊柱内固定系统、新型通用脊柱内固定系统、新型颈椎间盘假体。3.子公司水木天蓬的超声骨刀作为国产替代强生（外资80%的市占率）很有前途</t>
    <phoneticPr fontId="1" type="noConversion"/>
  </si>
  <si>
    <r>
      <t xml:space="preserve">1.注意骨科类的集采对企业的影响；这一块以价换量的影响相对难以估计，需要注意其对市场情绪的影响；2.2018年脊柱植入对手市占率：强生28.97% 美敦力23.35% </t>
    </r>
    <r>
      <rPr>
        <sz val="9"/>
        <color rgb="FFFF0000"/>
        <rFont val="宋体"/>
        <family val="3"/>
        <charset val="134"/>
        <scheme val="minor"/>
      </rPr>
      <t>威高骨科</t>
    </r>
    <r>
      <rPr>
        <sz val="9"/>
        <color theme="1"/>
        <rFont val="宋体"/>
        <family val="3"/>
        <charset val="134"/>
        <scheme val="minor"/>
      </rPr>
      <t xml:space="preserve">8.37% 史赛克6.59% </t>
    </r>
    <r>
      <rPr>
        <sz val="9"/>
        <color rgb="FFFF0000"/>
        <rFont val="宋体"/>
        <family val="3"/>
        <charset val="134"/>
        <scheme val="minor"/>
      </rPr>
      <t>天津正天</t>
    </r>
    <r>
      <rPr>
        <sz val="9"/>
        <color theme="1"/>
        <rFont val="宋体"/>
        <family val="3"/>
        <charset val="134"/>
        <scheme val="minor"/>
      </rPr>
      <t xml:space="preserve">3.91% </t>
    </r>
    <r>
      <rPr>
        <sz val="9"/>
        <color rgb="FFFF0000"/>
        <rFont val="宋体"/>
        <family val="3"/>
        <charset val="134"/>
        <scheme val="minor"/>
      </rPr>
      <t>三友医疗</t>
    </r>
    <r>
      <rPr>
        <sz val="9"/>
        <color theme="1"/>
        <rFont val="宋体"/>
        <family val="3"/>
        <charset val="134"/>
        <scheme val="minor"/>
      </rPr>
      <t xml:space="preserve">2.73% </t>
    </r>
    <r>
      <rPr>
        <sz val="9"/>
        <color rgb="FFFF0000"/>
        <rFont val="宋体"/>
        <family val="3"/>
        <charset val="134"/>
        <scheme val="minor"/>
      </rPr>
      <t>大博医疗</t>
    </r>
    <r>
      <rPr>
        <sz val="9"/>
        <color theme="1"/>
        <rFont val="宋体"/>
        <family val="3"/>
        <charset val="134"/>
        <scheme val="minor"/>
      </rPr>
      <t xml:space="preserve">1.98%
</t>
    </r>
    <phoneticPr fontId="1" type="noConversion"/>
  </si>
  <si>
    <t>7528.61万</t>
  </si>
  <si>
    <t>9781.84万</t>
  </si>
  <si>
    <t>6213.74万</t>
  </si>
  <si>
    <t>520.21万</t>
  </si>
  <si>
    <t>312.96万</t>
  </si>
  <si>
    <t>2994.63万</t>
  </si>
  <si>
    <t>18.24亿</t>
  </si>
  <si>
    <t>6828.40万</t>
  </si>
  <si>
    <t>6848.19万</t>
  </si>
  <si>
    <t>7248.70万</t>
  </si>
  <si>
    <t>5238.14万</t>
  </si>
  <si>
    <t>5193.27万</t>
  </si>
  <si>
    <t>2215.24万</t>
  </si>
  <si>
    <t>1005.95万</t>
  </si>
  <si>
    <t>5350.14万</t>
  </si>
  <si>
    <t>4110.79万</t>
  </si>
  <si>
    <t>1395.14万</t>
  </si>
  <si>
    <t>1.玻尿酸原料市场产能过剩导致价格走低在供给端给华熙生物的原料业务造成压力；2.拓展to C行业，销售费用拖累利润率；</t>
    <phoneticPr fontId="1" type="noConversion"/>
  </si>
  <si>
    <t>2-0</t>
  </si>
  <si>
    <t>-1.22亿</t>
  </si>
  <si>
    <t>9699.27万</t>
  </si>
  <si>
    <t>9755.32万</t>
  </si>
  <si>
    <t>3103.42万</t>
  </si>
  <si>
    <t>5989.66万</t>
  </si>
  <si>
    <t>4218.55万</t>
  </si>
  <si>
    <t>1398.70万</t>
  </si>
  <si>
    <t>-732.06万</t>
  </si>
  <si>
    <t>-1767.43万</t>
  </si>
  <si>
    <t>6181.33万</t>
  </si>
  <si>
    <t>5851.24万</t>
  </si>
  <si>
    <t>265.94万</t>
  </si>
  <si>
    <t>29927亿</t>
  </si>
  <si>
    <t>9137.64万</t>
  </si>
  <si>
    <t>8894.45万</t>
  </si>
  <si>
    <t>6778.49万</t>
  </si>
  <si>
    <t>3298.50万</t>
  </si>
  <si>
    <t>2353.20万</t>
  </si>
  <si>
    <t>4589.27万</t>
  </si>
  <si>
    <t>3668.61万</t>
  </si>
  <si>
    <t>1809.15万</t>
  </si>
  <si>
    <t>合成生物利基.docx</t>
  </si>
  <si>
    <t>化学制品</t>
  </si>
  <si>
    <t>SH688065</t>
  </si>
  <si>
    <t>凯赛生物</t>
  </si>
  <si>
    <t>SH688639</t>
  </si>
  <si>
    <t>华恒生物</t>
  </si>
  <si>
    <t>4.51亿</t>
  </si>
  <si>
    <t>食品及饲料添加剂</t>
  </si>
  <si>
    <t>1.13亿</t>
  </si>
  <si>
    <t>2.66亿</t>
  </si>
  <si>
    <t>其他化学制品</t>
  </si>
  <si>
    <t>2-1</t>
  </si>
  <si>
    <t>21.97亿</t>
  </si>
  <si>
    <t>8.37亿</t>
  </si>
  <si>
    <t>10.41亿</t>
  </si>
  <si>
    <t>3.61亿</t>
  </si>
  <si>
    <t>14.97亿</t>
  </si>
  <si>
    <t>19.16亿</t>
  </si>
  <si>
    <t>17.57亿</t>
  </si>
  <si>
    <t>4.79亿</t>
  </si>
  <si>
    <t>4.66亿</t>
  </si>
  <si>
    <t>3.33亿</t>
  </si>
  <si>
    <t>1.45亿</t>
  </si>
  <si>
    <t>9.54亿</t>
  </si>
  <si>
    <t>4.91亿</t>
  </si>
  <si>
    <t>1.26亿</t>
  </si>
  <si>
    <t>7550.67万</t>
  </si>
  <si>
    <t>2.70亿</t>
  </si>
  <si>
    <r>
      <t>1.做的和化学法不一样，只有（大类别下）同类的产品，但是没有和我们的产品性能有类似；2.从绝对成本来说呢，取决于原材料，我们跟化学法区别是化学法的原材料跟石油挂钩，我们</t>
    </r>
    <r>
      <rPr>
        <sz val="9"/>
        <color rgb="FFFF0000"/>
        <rFont val="宋体"/>
        <family val="3"/>
        <charset val="134"/>
        <scheme val="minor"/>
      </rPr>
      <t>跟农产品挂钩</t>
    </r>
    <r>
      <rPr>
        <sz val="9"/>
        <color theme="1"/>
        <rFont val="宋体"/>
        <family val="2"/>
        <charset val="134"/>
        <scheme val="minor"/>
      </rPr>
      <t>，过去生物法跟化学法没法竞争，因为生物法效率很低，生物法长链二元酸我们用了十年的时间，除了在性能上以外，我们在成本上面非常有竞争力，目前为止</t>
    </r>
    <r>
      <rPr>
        <sz val="9"/>
        <color rgb="FFFF0000"/>
        <rFont val="宋体"/>
        <family val="3"/>
        <charset val="134"/>
        <scheme val="minor"/>
      </rPr>
      <t>生物制造能够跟化学法竞争的就是我们这个生物基聚酰胺了</t>
    </r>
    <r>
      <rPr>
        <sz val="9"/>
        <color theme="1"/>
        <rFont val="宋体"/>
        <family val="2"/>
        <charset val="134"/>
        <scheme val="minor"/>
      </rPr>
      <t>，在工业上也是一个非常典型的案例;3.应用的成本，在机械性能上面，在制造过程当中有两个环节和成本有很大关系，因为制作过程非常困难，使用过程更困难，它融化不流动，比如说增强的话，纤维复合很难做成，这一块</t>
    </r>
    <r>
      <rPr>
        <sz val="9"/>
        <color rgb="FFFF0000"/>
        <rFont val="宋体"/>
        <family val="3"/>
        <charset val="134"/>
        <scheme val="minor"/>
      </rPr>
      <t>我们彻底解决了这个问题，生物基做出来的奇数碳的聚酰胺，解决了偶数碳所有的后面制造和使用的成本问题</t>
    </r>
    <r>
      <rPr>
        <sz val="9"/>
        <color theme="1"/>
        <rFont val="宋体"/>
        <family val="2"/>
        <charset val="134"/>
        <scheme val="minor"/>
      </rPr>
      <t>，我们可以做出跟常规的尼龙聚合一样的聚合材料。那我讲一个极端的情况下，即使它这个己二胺是免费的，做这一类材料还做不过我们，光它制作的工艺成本就远远高出我们的全成本;4.公司依托聚酰胺56产品打造的自有纺织材料“泰纶”，其在阻燃、吸湿排汗、染色能力等方面都有一定优势，在服装、箱包、地毯、工装等下游产业中都</t>
    </r>
    <r>
      <rPr>
        <b/>
        <sz val="9"/>
        <color theme="1"/>
        <rFont val="宋体"/>
        <family val="3"/>
        <charset val="134"/>
        <scheme val="minor"/>
      </rPr>
      <t>具备替代传统尼龙化纤等原料的潜力</t>
    </r>
    <r>
      <rPr>
        <sz val="9"/>
        <color theme="1"/>
        <rFont val="宋体"/>
        <family val="2"/>
        <charset val="134"/>
        <scheme val="minor"/>
      </rPr>
      <t>；</t>
    </r>
    <r>
      <rPr>
        <sz val="9"/>
        <color rgb="FFFF0000"/>
        <rFont val="宋体"/>
        <family val="3"/>
        <charset val="134"/>
        <scheme val="minor"/>
      </rPr>
      <t>生物基聚酰胺</t>
    </r>
    <r>
      <rPr>
        <sz val="9"/>
        <color theme="1"/>
        <rFont val="宋体"/>
        <family val="2"/>
        <charset val="134"/>
        <scheme val="minor"/>
      </rPr>
      <t>与</t>
    </r>
    <r>
      <rPr>
        <sz val="9"/>
        <color rgb="FFFF0000"/>
        <rFont val="宋体"/>
        <family val="3"/>
        <charset val="134"/>
        <scheme val="minor"/>
      </rPr>
      <t>玻璃纤维、碳纤维</t>
    </r>
    <r>
      <rPr>
        <sz val="9"/>
        <color theme="1"/>
        <rFont val="宋体"/>
        <family val="2"/>
        <charset val="134"/>
        <scheme val="minor"/>
      </rPr>
      <t>制备生物基热塑型纤维增强塑料，以塑代钢、以热塑型材料替代不可回收的热固性材料应用于风电/光伏等清洁能源设备、轻量化等需求应用于新能源汽车、高铁、集装箱等交通运输设施、综合阻燃保温建筑材料等众多复合材料类下游产业。5.公司生产的生物法长链二元酸系列产品在全球市场处于主导地位，于 2018年被工信部评为制造业单项冠军。传统石化产品通常由石油、天然气等化石能源提纯制造基本化工原料，并在此基础上进行化学合成。代表性的产品包括塑料、合成纤维、合成橡胶等，其全生产过程带来大量的碳排放。而生物基产品来源于玉米、秸秆等可再生的生物质原料，通过生物转化得到，可用于纺织材料、工程材料、生物燃料等，实现对石化基产品的替代。因而生物制造是通过植物的光合作用和工业微生物的“细胞工厂”间接地把空气中的 CO2转变成了生物基材料，用于人类的衣食住行用，实现碳的减排。</t>
    </r>
    <phoneticPr fontId="1" type="noConversion"/>
  </si>
  <si>
    <t>1014.50万</t>
  </si>
  <si>
    <t>402009290亿</t>
  </si>
  <si>
    <t>8722.87万</t>
  </si>
  <si>
    <t>1.98亿</t>
  </si>
  <si>
    <t>6626.99万</t>
  </si>
  <si>
    <t>1382.15万</t>
  </si>
  <si>
    <t>-1205655亿</t>
  </si>
  <si>
    <t>5.68万</t>
  </si>
  <si>
    <t>-13461961亿</t>
  </si>
  <si>
    <t>194013410亿</t>
  </si>
  <si>
    <t>1030.19万</t>
  </si>
  <si>
    <t>647962250亿</t>
  </si>
  <si>
    <t>6.02亿</t>
  </si>
  <si>
    <t>8824.54万</t>
  </si>
  <si>
    <t>11.77亿</t>
  </si>
  <si>
    <t>7695.19万</t>
  </si>
  <si>
    <t>5934.65万</t>
  </si>
  <si>
    <t>8454.16万</t>
  </si>
  <si>
    <t>-1.33亿</t>
  </si>
  <si>
    <t>1.81亿</t>
  </si>
  <si>
    <t>333.80万</t>
  </si>
  <si>
    <t>8378.70万</t>
  </si>
  <si>
    <t>化学制剂</t>
  </si>
  <si>
    <t>4234.65万</t>
  </si>
  <si>
    <t xml:space="preserve">
市值28.592666亿, 利润-1.64亿; PE, PB9.68; 毛利67.96%; 净利-64.4867%; 上一年度营收增-7.63%, 利润增84.66%; 当季营收增14.51%, 利润增-126.32%; 过往5年营收增-18.48%, 利润增-109.1%
Income profile:
</t>
  </si>
  <si>
    <t>1115.41万</t>
  </si>
  <si>
    <t>110.07亿</t>
  </si>
  <si>
    <t>177.54亿</t>
  </si>
  <si>
    <t>18197964000亿</t>
  </si>
  <si>
    <t>165.17亿</t>
  </si>
  <si>
    <t>122.43亿</t>
  </si>
  <si>
    <t>30.33亿</t>
  </si>
  <si>
    <t>5.72亿</t>
  </si>
  <si>
    <t>5.67亿</t>
  </si>
  <si>
    <t>-53479018亿</t>
  </si>
  <si>
    <t>434.16万</t>
  </si>
  <si>
    <t>1271839180亿</t>
  </si>
  <si>
    <t>36.83亿</t>
  </si>
  <si>
    <t>7454064300亿</t>
  </si>
  <si>
    <t>16602235000亿</t>
  </si>
  <si>
    <t>30.07亿</t>
  </si>
  <si>
    <t>8.59亿</t>
  </si>
  <si>
    <t>8.84亿</t>
  </si>
  <si>
    <t>41.18亿</t>
  </si>
  <si>
    <t>194.88万</t>
  </si>
  <si>
    <t>90.51亿</t>
  </si>
  <si>
    <t>-9.95亿</t>
  </si>
  <si>
    <t>2.78亿</t>
  </si>
  <si>
    <t>89.33亿</t>
  </si>
  <si>
    <t>171.79亿</t>
  </si>
  <si>
    <t>7.04亿</t>
  </si>
  <si>
    <t>13.00亿</t>
  </si>
  <si>
    <t>5353.36万</t>
  </si>
  <si>
    <t>3.48亿</t>
  </si>
  <si>
    <t>3-0</t>
  </si>
  <si>
    <t xml:space="preserve">
市值756.96761亿, 利润23.02亿; PE32.32, PB4.36; 毛利32.96%; 净利8.2933%; 上一年度营收增2.61%, 利润增-18.37%; 当季营收增11.87%, 利润增17.45%; 过往5年营收增6.61%, 利润增11.27%
Income profile:
</t>
  </si>
  <si>
    <t>884.59万</t>
  </si>
  <si>
    <t>554215130亿</t>
  </si>
  <si>
    <t>3.94亿</t>
  </si>
  <si>
    <t>8651.75万</t>
  </si>
  <si>
    <t>4760.11万</t>
  </si>
  <si>
    <t>42386943亿</t>
  </si>
  <si>
    <t>141441380亿</t>
  </si>
  <si>
    <t>305191990亿</t>
  </si>
  <si>
    <t>2329363300亿</t>
  </si>
  <si>
    <t>4.84亿</t>
  </si>
  <si>
    <t>58.51万</t>
  </si>
  <si>
    <t>1.76亿</t>
  </si>
  <si>
    <t>-6017.20万</t>
  </si>
  <si>
    <t>-1.03亿</t>
  </si>
  <si>
    <t>6329.59万</t>
  </si>
  <si>
    <t>其他生物制品</t>
  </si>
  <si>
    <t>3179.85万</t>
  </si>
  <si>
    <t>-2-1</t>
  </si>
  <si>
    <t xml:space="preserve">
市值88.3521亿, 利润4.26亿; PE30.5, PB1.64; 毛利82.42%; 净利26.2567%; 上一年度营收增9.16%, 利润增16.71%; 当季营收增-24.94%, 利润增-51.45%; 过往5年营收增11.02%, 利润增.4%
Income profile:
</t>
  </si>
  <si>
    <t>139.76万</t>
  </si>
  <si>
    <t>7.67亿</t>
  </si>
  <si>
    <t>30.96亿</t>
  </si>
  <si>
    <t>828018200亿</t>
  </si>
  <si>
    <t>6.47亿</t>
  </si>
  <si>
    <t>3.35亿</t>
  </si>
  <si>
    <t>5452.54万</t>
  </si>
  <si>
    <t>7624133亿</t>
  </si>
  <si>
    <t>10.87万</t>
  </si>
  <si>
    <t>144022270亿</t>
  </si>
  <si>
    <t>504424770亿</t>
  </si>
  <si>
    <t>2765323200亿</t>
  </si>
  <si>
    <t>6.76亿</t>
  </si>
  <si>
    <t>8098.10万</t>
  </si>
  <si>
    <t>6.71亿</t>
  </si>
  <si>
    <t>3053.12万</t>
  </si>
  <si>
    <t>942.69万</t>
  </si>
  <si>
    <t>-1.58亿</t>
  </si>
  <si>
    <t>1.12亿</t>
  </si>
  <si>
    <t>医疗耗材</t>
  </si>
  <si>
    <t>975.90万</t>
  </si>
  <si>
    <t>2704.75万</t>
  </si>
  <si>
    <t xml:space="preserve">
市值122.263681亿, 利润6.73亿; PE22.81, PB4.06; 毛利83.9867%; 净利34.4567%; 上一年度营收增25.65%, 利润增11.06%; 当季营收增-15.89%, 利润增-63.5%; 过往5年营收增34.6%, 利润增25.44%
Income profile:
</t>
  </si>
  <si>
    <t>199.84万</t>
  </si>
  <si>
    <t>202877080亿</t>
  </si>
  <si>
    <t>4865.67万</t>
  </si>
  <si>
    <t>7266.02万</t>
  </si>
  <si>
    <t>2395.10万</t>
  </si>
  <si>
    <t>3057.28万</t>
  </si>
  <si>
    <t>-1576925亿</t>
  </si>
  <si>
    <t>28.31万</t>
  </si>
  <si>
    <t>106147832亿</t>
  </si>
  <si>
    <t>362957130亿</t>
  </si>
  <si>
    <t>5055.69万</t>
  </si>
  <si>
    <t>201.27万</t>
  </si>
  <si>
    <t>3737.33万</t>
  </si>
  <si>
    <t>-623.29万</t>
  </si>
  <si>
    <t>-3168.72万</t>
  </si>
  <si>
    <t>2177.96万</t>
  </si>
  <si>
    <t>4022.45万</t>
  </si>
  <si>
    <t>810.04万</t>
  </si>
  <si>
    <t>6596.89万</t>
  </si>
  <si>
    <t>生物型硬脑(脊)膜补片29.18%（毛利92.17%） 人工晶体 26.89%（毛利54.79%） 本维莫德乳膏13.94%（毛利85.05%） 代理产品11.35%（毛利66.91%） B型硬脑(脊)膜补片 6.66%（毛利90.75%） 胸普外科修补膜5.61%（毛利90.63%） 细胞技术服务4.54%（毛利41.46%） 无菌生物护创膜 1.48%（毛利84.60%） 乳房补片0.19%（毛利61.43%）肤品0.16%（毛利12.72%）
2020Q2单季营收增速9.83%，Q3单季4.43%，不过利润增速明显，因为基数小，都是翻倍。历年全年4000万左右，今年前三季度就做到了3600万。
1. 脑膜片进入医保，人工晶体进入医保；2.皮肤的银屑病软膏本维莫德针对90%的轻度患者适用性广；</t>
  </si>
  <si>
    <t>688.57万</t>
  </si>
  <si>
    <t>6.38亿</t>
  </si>
  <si>
    <t>29.73亿</t>
  </si>
  <si>
    <t>602212940亿</t>
  </si>
  <si>
    <t>4.57亿</t>
  </si>
  <si>
    <t>6627.73万</t>
  </si>
  <si>
    <t>3418.69万</t>
  </si>
  <si>
    <t>-3287888亿</t>
  </si>
  <si>
    <t>223.89万</t>
  </si>
  <si>
    <t>126007231亿</t>
  </si>
  <si>
    <t>7.28亿</t>
  </si>
  <si>
    <t>461362900亿</t>
  </si>
  <si>
    <t>1893585400亿</t>
  </si>
  <si>
    <t>2.94亿</t>
  </si>
  <si>
    <t>1201.02万</t>
  </si>
  <si>
    <t>-8399.51万</t>
  </si>
  <si>
    <t>-6182.02万</t>
  </si>
  <si>
    <t>6.36亿</t>
  </si>
  <si>
    <t>7549.06万</t>
  </si>
  <si>
    <t>3103.68万</t>
  </si>
  <si>
    <t xml:space="preserve">
市值49.618082亿, 利润1.62亿; PE27.46, PB1.71; 毛利65.3367%; 净利12.3667%; 上一年度营收增19.49%, 利润增227.56%; 当季营收增-13.87%, 利润增-3.72%; 过往5年营收增19.86%, 利润增42.16%
Income profile:
</t>
  </si>
  <si>
    <t>142.52万</t>
  </si>
  <si>
    <t>14.67亿</t>
  </si>
  <si>
    <t>600572520亿</t>
  </si>
  <si>
    <t>7337.47万</t>
  </si>
  <si>
    <t>8210.10万</t>
  </si>
  <si>
    <t>6.73万</t>
  </si>
  <si>
    <t>128820599亿</t>
  </si>
  <si>
    <t>145753610亿</t>
  </si>
  <si>
    <t>1527.68万</t>
  </si>
  <si>
    <t>807097990亿</t>
  </si>
  <si>
    <t>6.14亿</t>
  </si>
  <si>
    <t>3278.25万</t>
  </si>
  <si>
    <t>1001.46万</t>
  </si>
  <si>
    <t>37.10万</t>
  </si>
  <si>
    <t>-2.14亿</t>
  </si>
  <si>
    <t>-1.40亿</t>
  </si>
  <si>
    <t>4.62亿</t>
  </si>
  <si>
    <t>7416.86万</t>
  </si>
  <si>
    <t>8013.83万</t>
  </si>
  <si>
    <t>826.55万</t>
  </si>
  <si>
    <t>6283.03万</t>
  </si>
  <si>
    <t xml:space="preserve">
市值79.373308亿, 利润1.95亿; PE33.75, PB5.41; 毛利75.5333%; 净利14.5233%; 上一年度营收增49.2%, 利润增121.64%; 当季营收增17.09%, 利润增-1%; 过往5年营收增25.6%, 利润增67.37%
Income profile:
</t>
  </si>
  <si>
    <t>285.46万</t>
  </si>
  <si>
    <t>7.84亿</t>
  </si>
  <si>
    <t>231435240亿</t>
  </si>
  <si>
    <t>2705.78万</t>
  </si>
  <si>
    <t>6022.15万</t>
  </si>
  <si>
    <t>1496.44万</t>
  </si>
  <si>
    <t>1645.89万</t>
  </si>
  <si>
    <t>49.75万</t>
  </si>
  <si>
    <t>103166857亿</t>
  </si>
  <si>
    <t>48116625亿</t>
  </si>
  <si>
    <t>193.47万</t>
  </si>
  <si>
    <t>657453790亿</t>
  </si>
  <si>
    <t>2.10亿</t>
  </si>
  <si>
    <t>708.19万</t>
  </si>
  <si>
    <t>1265.71万</t>
  </si>
  <si>
    <t>5424.04万</t>
  </si>
  <si>
    <t>-1381.01万</t>
  </si>
  <si>
    <t>-1.06亿</t>
  </si>
  <si>
    <t>5502.00万</t>
  </si>
  <si>
    <t>8108.89万</t>
  </si>
  <si>
    <t>1843.56万</t>
  </si>
  <si>
    <t>8409.00万</t>
  </si>
  <si>
    <t xml:space="preserve">
市值88.902亿, 利润1.69亿; PE46.41, PB11.33; 毛利91.47%; 净利41.82%; 上一年度营收增36.52%, 利润增43.22%; 当季营收增14.58%, 利润增32.26%; 过往5年营收增22%, 利润增30.59%
Income profile:
</t>
  </si>
  <si>
    <t>1135.38万</t>
  </si>
  <si>
    <t>16.67亿</t>
  </si>
  <si>
    <t>2201418400亿</t>
  </si>
  <si>
    <t>21.05亿</t>
  </si>
  <si>
    <t>9.91亿</t>
  </si>
  <si>
    <t>9.49亿</t>
  </si>
  <si>
    <t>9873.05万</t>
  </si>
  <si>
    <t>4300.50万</t>
  </si>
  <si>
    <t>-147204亿</t>
  </si>
  <si>
    <t>15.57万</t>
  </si>
  <si>
    <t>73080430亿</t>
  </si>
  <si>
    <t>7.14亿</t>
  </si>
  <si>
    <t>368965760亿</t>
  </si>
  <si>
    <t>2175605800亿</t>
  </si>
  <si>
    <t>3.74亿</t>
  </si>
  <si>
    <t>3248.21万</t>
  </si>
  <si>
    <t>1.88亿</t>
  </si>
  <si>
    <t>13.74亿</t>
  </si>
  <si>
    <t>-7077.66万</t>
  </si>
  <si>
    <t>4.59亿</t>
  </si>
  <si>
    <t>21.19亿</t>
  </si>
  <si>
    <t>4158.36万</t>
  </si>
  <si>
    <t>8893.87万</t>
  </si>
  <si>
    <t>化妆品</t>
  </si>
  <si>
    <t>4218.15万</t>
  </si>
  <si>
    <t>3-1</t>
  </si>
  <si>
    <t>水乳膏霜 19.13亿 51.48%（毛利42.12%）
面膜-贴式面膜 9.50亿 25.56%（毛利54.61%）
面膜-非贴式面膜 5.94亿 15.98%（毛利73.63%）
品牌管理服务 2.50亿 6.73%</t>
  </si>
  <si>
    <t>1.去颈纹的明星产品嗨体；</t>
    <phoneticPr fontId="1" type="noConversion"/>
  </si>
  <si>
    <t>1.嗨体也面临着如果激光刀可以在国内使用，且用于脖子皱纹去除，那么销售将会受到影响；</t>
    <phoneticPr fontId="1" type="noConversion"/>
  </si>
  <si>
    <t>105.59万</t>
  </si>
  <si>
    <t>51.59亿</t>
  </si>
  <si>
    <t>884913640亿</t>
  </si>
  <si>
    <t>2.17亿</t>
  </si>
  <si>
    <t>4965.77万</t>
  </si>
  <si>
    <t>8604.14万</t>
  </si>
  <si>
    <t>3814.20万</t>
  </si>
  <si>
    <t>6465.00万</t>
  </si>
  <si>
    <t>5571790亿</t>
  </si>
  <si>
    <t>6.59万</t>
  </si>
  <si>
    <t>570651770亿</t>
  </si>
  <si>
    <t>27.98亿</t>
  </si>
  <si>
    <t>95797918亿</t>
  </si>
  <si>
    <t>3845965900亿</t>
  </si>
  <si>
    <t>1353.69万</t>
  </si>
  <si>
    <t>-5.61亿</t>
  </si>
  <si>
    <t>-4.66亿</t>
  </si>
  <si>
    <t>6.33亿</t>
  </si>
  <si>
    <t>医疗美容</t>
  </si>
  <si>
    <t>508.43万</t>
  </si>
  <si>
    <t>3270.58万</t>
  </si>
  <si>
    <t>2020年：
溶液类注射产品 4.47亿 63.07% 毛利92.85%
凝胶类注射产品 2.52亿 35.55% 毛利92.27%
化妆品 788.54万 1.11% 毛利55.24%
面部埋植线 184.22万 0.26% 毛利73.12%</t>
  </si>
  <si>
    <t>55.81万</t>
  </si>
  <si>
    <t>3.97亿</t>
  </si>
  <si>
    <t>9.45亿</t>
  </si>
  <si>
    <t>459873600亿</t>
  </si>
  <si>
    <t>3.55亿</t>
  </si>
  <si>
    <t>318.81万</t>
  </si>
  <si>
    <t>6057.78万</t>
  </si>
  <si>
    <t>995.67万</t>
  </si>
  <si>
    <t>192489亿</t>
  </si>
  <si>
    <t>25196424亿</t>
  </si>
  <si>
    <t>264846520亿</t>
  </si>
  <si>
    <t>832.05万</t>
  </si>
  <si>
    <t>629386420亿</t>
  </si>
  <si>
    <t>2589.34万</t>
  </si>
  <si>
    <t>-3507.52万</t>
  </si>
  <si>
    <t>-4610.45万</t>
  </si>
  <si>
    <t>5.14亿</t>
  </si>
  <si>
    <t>1673.24万</t>
  </si>
  <si>
    <t>3719.20万</t>
  </si>
  <si>
    <t>233.70万</t>
  </si>
  <si>
    <t>1412.46万</t>
  </si>
  <si>
    <t xml:space="preserve">
市值21.68208亿, 利润9716.93万; PE25.06, PB2.29; 毛利25.4433%; 净利8.11%; 上一年度营收增19.81%, 利润增4.02%; 当季营收增-20.96%, 利润增-40.25%; 过往5年营收增21.82%, 利润增57.23%
Income profile:
</t>
  </si>
  <si>
    <t>138.71万</t>
  </si>
  <si>
    <t>9.82亿</t>
  </si>
  <si>
    <t>49.18亿</t>
  </si>
  <si>
    <t>2049698500亿</t>
  </si>
  <si>
    <t>16.32亿</t>
  </si>
  <si>
    <t>8756.59万</t>
  </si>
  <si>
    <t>44331344亿</t>
  </si>
  <si>
    <t>696.57万</t>
  </si>
  <si>
    <t>355416350亿</t>
  </si>
  <si>
    <t>15.88亿</t>
  </si>
  <si>
    <t>289439200亿</t>
  </si>
  <si>
    <t>5100294700亿</t>
  </si>
  <si>
    <t>1.44亿</t>
  </si>
  <si>
    <t>3222.34万</t>
  </si>
  <si>
    <t>8.05亿</t>
  </si>
  <si>
    <t>2.11亿</t>
  </si>
  <si>
    <t>-2.56亿</t>
  </si>
  <si>
    <t>2.65亿</t>
  </si>
  <si>
    <t>714.48万</t>
  </si>
  <si>
    <t>4729.94万</t>
  </si>
  <si>
    <t>公司的主营业务是应用纯天然的植物活性成分提供温和、专业的皮肤护理产品。公司产品主要包括霜、护肤水、面膜、精华、乳液等护肤品类产品及隔离霜、BB霜、卸妆水等彩妆类产品。2018年-2020年，公司旗下“薇诺娜”品牌已连续三年获得天猫金妆奖。公司已成为全国领先的化妆品生产企业之一；2021年营收增53%，利润增59%；2022Q1营收增59%，利润增86%；毛利78%，净利19%；
2021：
化妆品 36.82亿 91.54% 90.69% 75.30%
医疗器械 3.26亿 8.10% 9.03% 84.69%
服务及其他 1463.41万 0.36% 0.28% 59.37%</t>
  </si>
  <si>
    <t>328.95万</t>
  </si>
  <si>
    <t>55.27亿</t>
  </si>
  <si>
    <t>68.55亿</t>
  </si>
  <si>
    <t>3714775000亿</t>
  </si>
  <si>
    <t>35.05亿</t>
  </si>
  <si>
    <t>14.89亿</t>
  </si>
  <si>
    <t>16.07亿</t>
  </si>
  <si>
    <t>3.19亿</t>
  </si>
  <si>
    <t>6548.59万</t>
  </si>
  <si>
    <t>27186060亿</t>
  </si>
  <si>
    <t>186.14万</t>
  </si>
  <si>
    <t>200711220亿</t>
  </si>
  <si>
    <t>16.53亿</t>
  </si>
  <si>
    <t>1302930850亿</t>
  </si>
  <si>
    <t>6892239900亿</t>
  </si>
  <si>
    <t>8.93亿</t>
  </si>
  <si>
    <t>1615.27万</t>
  </si>
  <si>
    <t>8.53亿</t>
  </si>
  <si>
    <t>40.45亿</t>
  </si>
  <si>
    <t>7.32亿</t>
  </si>
  <si>
    <t>4.35亿</t>
  </si>
  <si>
    <t>-2.12亿</t>
  </si>
  <si>
    <t>42.10亿</t>
  </si>
  <si>
    <t>2.86亿</t>
  </si>
  <si>
    <t>1874.27万</t>
  </si>
  <si>
    <t>1.15亿</t>
  </si>
  <si>
    <t>公司的主营业务为护肤类、洗护类、家居护理类、婴幼儿喂哺类产品的研发、生产和销售。
2020年：
个护家清 24.00亿 34.12% 利润占比33.62% 59.07%
护肤 22.07亿 31.38% 利润占比37.47% 71.60%
母婴 20.71亿 29.45% 利润占比25.57% 52.05%
合作品牌 3.51亿 4.99% 利润占比3.30% 39.71%
其他业务 414.27万 0.06% 利润占比0.04% 36.57%</t>
  </si>
  <si>
    <t>190.56万</t>
  </si>
  <si>
    <t>13.88亿</t>
  </si>
  <si>
    <t>280093020亿</t>
  </si>
  <si>
    <t>4655.57万</t>
  </si>
  <si>
    <t>5503.50万</t>
  </si>
  <si>
    <t>3011.83万</t>
  </si>
  <si>
    <t>-1505992亿</t>
  </si>
  <si>
    <t>18791527亿</t>
  </si>
  <si>
    <t>19480980亿</t>
  </si>
  <si>
    <t>414332770亿</t>
  </si>
  <si>
    <t>2363.82万</t>
  </si>
  <si>
    <t>2416.09万</t>
  </si>
  <si>
    <t>3265.69万</t>
  </si>
  <si>
    <t>2590.01万</t>
  </si>
  <si>
    <t>2765.19万</t>
  </si>
  <si>
    <t>2695.54万</t>
  </si>
  <si>
    <t>964.55万</t>
  </si>
  <si>
    <t>6014.87万</t>
  </si>
  <si>
    <t>035656100</t>
  </si>
  <si>
    <t>0106968300</t>
  </si>
  <si>
    <t>0213936600</t>
  </si>
  <si>
    <t>0356561000</t>
  </si>
  <si>
    <t>0713122000</t>
  </si>
  <si>
    <t xml:space="preserve">
市值24.194437亿, 利润3565.61万; PE54.57, PB1.74; 毛利59.4167%; 净利-10.0133%; 上一年度营收增75.98%, 利润增119.92%; 当季营收增-20.07%, 利润增-51.54%; 过往5年营收增-1.82%, 利润增-477.08%
Income profile:
</t>
  </si>
  <si>
    <t>149.27万</t>
  </si>
  <si>
    <t>20.90亿</t>
  </si>
  <si>
    <t>29.82亿</t>
  </si>
  <si>
    <t>2625943200亿</t>
  </si>
  <si>
    <t>21.53亿</t>
  </si>
  <si>
    <t>11.17亿</t>
  </si>
  <si>
    <t>6106.67万</t>
  </si>
  <si>
    <t>-3658316亿</t>
  </si>
  <si>
    <t>30.89万</t>
  </si>
  <si>
    <t>280897420亿</t>
  </si>
  <si>
    <t>27.00亿</t>
  </si>
  <si>
    <t>74004643亿</t>
  </si>
  <si>
    <t>3505132100亿</t>
  </si>
  <si>
    <t>5.63亿</t>
  </si>
  <si>
    <t>5298.54万</t>
  </si>
  <si>
    <t>9.42万</t>
  </si>
  <si>
    <t>13.59亿</t>
  </si>
  <si>
    <t>-1.77亿</t>
  </si>
  <si>
    <t>-2.21亿</t>
  </si>
  <si>
    <t>19.18亿</t>
  </si>
  <si>
    <t>2.26亿</t>
  </si>
  <si>
    <t>836.49万</t>
  </si>
  <si>
    <t>4430.89万</t>
  </si>
  <si>
    <t xml:space="preserve">
市值455.52667亿, 利润5.76亿; PE70.41, PB15.55; 毛利65.0267%; 净利12.4233%; 上一年度营收增23.48%, 利润增21.01%; 当季营收增35.43%, 利润增19.78%; 过往5年营收增23.64%, 利润增30.47%
Income profile:
</t>
  </si>
  <si>
    <t>99.22万</t>
  </si>
  <si>
    <t>31.96亿</t>
  </si>
  <si>
    <t>817175490亿</t>
  </si>
  <si>
    <t>6.95亿</t>
  </si>
  <si>
    <t>5175.77万</t>
  </si>
  <si>
    <t>2464.27万</t>
  </si>
  <si>
    <t>15384716亿</t>
  </si>
  <si>
    <t>43.79万</t>
  </si>
  <si>
    <t>100847144亿</t>
  </si>
  <si>
    <t>9.85亿</t>
  </si>
  <si>
    <t>63716473亿</t>
  </si>
  <si>
    <t>542.71万</t>
  </si>
  <si>
    <t>1932781900亿</t>
  </si>
  <si>
    <t>5.88亿</t>
  </si>
  <si>
    <t>1307.75万</t>
  </si>
  <si>
    <t>-1181.42万</t>
  </si>
  <si>
    <t>8.74亿</t>
  </si>
  <si>
    <t>6547.61万</t>
  </si>
  <si>
    <t>516.66万</t>
  </si>
  <si>
    <t>4886.99万</t>
  </si>
  <si>
    <t xml:space="preserve">
市值97.109492亿, 利润2.48亿; PE55.23, PB3.11; 毛利67.0233%; 净利23.9367%; 上一年度营收增2.41%, 利润增-46.55%; 当季营收增-7.62%, 利润增-42.03%; 过往5年营收增8.41%, 利润增7.03%
Income profile:
</t>
  </si>
  <si>
    <t>67.56万</t>
  </si>
  <si>
    <t>18.35亿</t>
  </si>
  <si>
    <t>272979400亿</t>
  </si>
  <si>
    <t>4030.78万</t>
  </si>
  <si>
    <t>3803.30万</t>
  </si>
  <si>
    <t>2910.01万</t>
  </si>
  <si>
    <t>3122.56万</t>
  </si>
  <si>
    <t>7916074亿</t>
  </si>
  <si>
    <t>7.80万</t>
  </si>
  <si>
    <t>112029798亿</t>
  </si>
  <si>
    <t>103236152亿</t>
  </si>
  <si>
    <t>1166340700亿</t>
  </si>
  <si>
    <t>3.59亿</t>
  </si>
  <si>
    <t>391.38万</t>
  </si>
  <si>
    <t>-2.94亿</t>
  </si>
  <si>
    <t>655.66万</t>
  </si>
  <si>
    <t>5869.03万</t>
  </si>
  <si>
    <t>9144.88万</t>
  </si>
  <si>
    <t>411.33万</t>
  </si>
  <si>
    <t>2377.97万</t>
  </si>
  <si>
    <t xml:space="preserve">
市值207.31382亿, 利润1.71亿; PE102.1, PB11.72; 毛利84.9067%; 净利37.4267%; 上一年度营收增58.61%, 利润增77.1%; 当季营收增16.77%, 利润增16.29%; 过往5年营收增58.76%, 利润增159.21%
Income profile:
</t>
  </si>
  <si>
    <t>176.00万</t>
  </si>
  <si>
    <t>296652460亿</t>
  </si>
  <si>
    <t>2881.04万</t>
  </si>
  <si>
    <t>1318.16万</t>
  </si>
  <si>
    <t>2523.54万</t>
  </si>
  <si>
    <t>4133136亿</t>
  </si>
  <si>
    <t>12.97万</t>
  </si>
  <si>
    <t>71770400亿</t>
  </si>
  <si>
    <t>252545170亿</t>
  </si>
  <si>
    <t>1153017880亿</t>
  </si>
  <si>
    <t>7533.31万</t>
  </si>
  <si>
    <t>-2689.68万</t>
  </si>
  <si>
    <t>-3969.89万</t>
  </si>
  <si>
    <t>3316.74万</t>
  </si>
  <si>
    <t>7046.19万</t>
  </si>
  <si>
    <t>698.80万</t>
  </si>
  <si>
    <t>5314.71万</t>
  </si>
  <si>
    <t>4-0</t>
  </si>
  <si>
    <t>医用骨科植入物的研发、生产与销售；
脊柱类植入耗材 3.66亿 94.07% 毛利91.57%
创伤类植入耗材 2297.17万 5.91% 毛利85.65%</t>
  </si>
  <si>
    <t>1.发行人为港股上市公司威高股份（01066.HK）子公司；</t>
    <phoneticPr fontId="1" type="noConversion"/>
  </si>
  <si>
    <t>42.44万</t>
  </si>
  <si>
    <t>47.23亿</t>
  </si>
  <si>
    <t>1105226290亿</t>
  </si>
  <si>
    <t>2.39亿</t>
  </si>
  <si>
    <t>3324.42万</t>
  </si>
  <si>
    <t>5592.63万</t>
  </si>
  <si>
    <t>16946957亿</t>
  </si>
  <si>
    <t>21.22万</t>
  </si>
  <si>
    <t>392006440亿</t>
  </si>
  <si>
    <t>26.29亿</t>
  </si>
  <si>
    <t>474794160亿</t>
  </si>
  <si>
    <t>1626.84万</t>
  </si>
  <si>
    <t>4974995700亿</t>
  </si>
  <si>
    <t>4756.50万</t>
  </si>
  <si>
    <t>9.03亿</t>
  </si>
  <si>
    <t>-7709.77万</t>
  </si>
  <si>
    <t>-2.33亿</t>
  </si>
  <si>
    <t>10.95亿</t>
  </si>
  <si>
    <t>9788.43万</t>
  </si>
  <si>
    <t>3.69亿</t>
  </si>
  <si>
    <t>383.24万</t>
  </si>
  <si>
    <t>2936.33万</t>
  </si>
  <si>
    <t>2021H1：
脊柱类 8.17亿 44.80% 毛利90.47%
创伤类 5.38亿 29.48% 毛利84.63%
关节类 4.07亿 22.29% 毛利67.58%
手术器械 3943.03万 2.16% 毛利48.85%</t>
  </si>
  <si>
    <t>26.48万</t>
  </si>
  <si>
    <t>25.76亿</t>
  </si>
  <si>
    <t>571391620亿</t>
  </si>
  <si>
    <t>1546.41万</t>
  </si>
  <si>
    <t>7228.98万</t>
  </si>
  <si>
    <t>3557534亿</t>
  </si>
  <si>
    <t>4.40万</t>
  </si>
  <si>
    <t>156661880亿</t>
  </si>
  <si>
    <t>11.07亿</t>
  </si>
  <si>
    <t>603219970亿</t>
  </si>
  <si>
    <t>7939.10万</t>
  </si>
  <si>
    <t>2500429700亿</t>
  </si>
  <si>
    <t>689.22万</t>
  </si>
  <si>
    <t>-8151.27万</t>
  </si>
  <si>
    <t>-5.10亿</t>
  </si>
  <si>
    <t>-3813.31万</t>
  </si>
  <si>
    <t>4.83亿</t>
  </si>
  <si>
    <t>7402.14万</t>
  </si>
  <si>
    <t>175.43万</t>
  </si>
  <si>
    <t>1833.14万</t>
  </si>
  <si>
    <t xml:space="preserve">
市值78.96954亿, 利润3.22亿; PE24.39, PB3.07; 毛利74.0733%; 净利28.8967%; 上一年度营收增18.12%, 利润增13.78%; 当季营收增22.81%, 利润增-5.21%; 过往5年营收增41.38%, 利润增53%
Income profile:
</t>
  </si>
  <si>
    <t>16.33万</t>
  </si>
  <si>
    <t>9251.94万</t>
  </si>
  <si>
    <t>115394435亿</t>
  </si>
  <si>
    <t>6818.78万</t>
  </si>
  <si>
    <t>2192.82万</t>
  </si>
  <si>
    <t>1849.43万</t>
  </si>
  <si>
    <t>2044.44万</t>
  </si>
  <si>
    <t>600.88万</t>
  </si>
  <si>
    <t>1480590亿</t>
  </si>
  <si>
    <t>37795556亿</t>
  </si>
  <si>
    <t>2.12亿</t>
  </si>
  <si>
    <t>7772149亿</t>
  </si>
  <si>
    <t>370108560亿</t>
  </si>
  <si>
    <t>156.74万</t>
  </si>
  <si>
    <t>1483.52万</t>
  </si>
  <si>
    <t>8315.21万</t>
  </si>
  <si>
    <t>4663.24万</t>
  </si>
  <si>
    <t>-1.25亿</t>
  </si>
  <si>
    <t>-3683.65万</t>
  </si>
  <si>
    <t>9576.55万</t>
  </si>
  <si>
    <t>1803.19万</t>
  </si>
  <si>
    <t>3472.83万</t>
  </si>
  <si>
    <t>209.24万</t>
  </si>
  <si>
    <t>1724.94万</t>
  </si>
  <si>
    <t xml:space="preserve">
市值29.803171亿, 利润8162.65万; PE34.64, PB5.89; 毛利80.3433%; 净利32.7833%; 上一年度营收增29.88%, 利润增55.83%; 当季营收增13.24%, 利润增1.61%; 过往5年营收增31.75%, 利润增77.84%
Income profile:
</t>
  </si>
  <si>
    <t>1.原料都为自产；2.目前公司透明质酸发酵产率可达12-14g/L，产能为470吨，产业化规模位居国际前列；</t>
    <phoneticPr fontId="1" type="noConversion"/>
  </si>
  <si>
    <t>348.20万</t>
  </si>
  <si>
    <t>17.63亿</t>
  </si>
  <si>
    <t>60.68亿</t>
  </si>
  <si>
    <t>2935452200亿</t>
  </si>
  <si>
    <t>24.10亿</t>
  </si>
  <si>
    <t>13.87亿</t>
  </si>
  <si>
    <t>4467902亿</t>
  </si>
  <si>
    <t>121.81万</t>
  </si>
  <si>
    <t>412945060亿</t>
  </si>
  <si>
    <t>17.52亿</t>
  </si>
  <si>
    <t>393028590亿</t>
  </si>
  <si>
    <t>3836372300亿</t>
  </si>
  <si>
    <t>17.11亿</t>
  </si>
  <si>
    <t>6.44亿</t>
  </si>
  <si>
    <t>3899.36万</t>
  </si>
  <si>
    <t>14.13亿</t>
  </si>
  <si>
    <t>-2.61亿</t>
  </si>
  <si>
    <t>-1.49亿</t>
  </si>
  <si>
    <t>19.37亿</t>
  </si>
  <si>
    <t>1141.60万</t>
  </si>
  <si>
    <t>7452.31万</t>
  </si>
  <si>
    <t>研发、生产和销售透明质酸等生物活性物质原料产品及生物医用材料终端产品；公司的主要产品为玻璃酸钠、透明质酸钠等等玻尿酸各相关系列；2021年营收增88%，利润增21%；2022Q1营收增62%，利润增31%；毛利79%，净利15%；
2021年：
功能性护肤品 33.19亿 67.09% 67.87% 78.98%
原料产品 9.05亿 18.29% 16.91% 72.19%
医疗终端产品 7.00亿 14.15% 14.87% 82.05%
其他 2328.42万 0.47% 0.33% 55.27%</t>
  </si>
  <si>
    <t>41.57万</t>
  </si>
  <si>
    <t>10.89亿</t>
  </si>
  <si>
    <t>59.26亿</t>
  </si>
  <si>
    <t>967788770亿</t>
  </si>
  <si>
    <t>7671.13万</t>
  </si>
  <si>
    <t>3272117亿</t>
  </si>
  <si>
    <t>46.01万</t>
  </si>
  <si>
    <t>53190598亿</t>
  </si>
  <si>
    <t>27.97亿</t>
  </si>
  <si>
    <t>400529200亿</t>
  </si>
  <si>
    <t>3711533500亿</t>
  </si>
  <si>
    <t>7.89亿</t>
  </si>
  <si>
    <t>2603.29万</t>
  </si>
  <si>
    <t>7359.64万</t>
  </si>
  <si>
    <t>960.62万</t>
  </si>
  <si>
    <t>-3.24亿</t>
  </si>
  <si>
    <t>-1.02亿</t>
  </si>
  <si>
    <t>8.51亿</t>
  </si>
  <si>
    <t>6094.13万</t>
  </si>
  <si>
    <t>2.31亿</t>
  </si>
  <si>
    <t>235.29万</t>
  </si>
  <si>
    <t>1583.19万</t>
  </si>
  <si>
    <t>2020年：
眼科产品 5.66亿 42.45% 毛利65.97%
骨科产品 3.32亿 24.89% 毛利82.96%
医疗美容与创面护理产品 2.42亿 18.16% 毛利87.78%
防粘连及止血产品 1.72亿 12.93% 毛利76.01%
其他产品 1982.50万 1.49% 毛利28.83%</t>
  </si>
  <si>
    <t>227.55万</t>
  </si>
  <si>
    <t>9.87亿</t>
  </si>
  <si>
    <t>161803830亿</t>
  </si>
  <si>
    <t>307.96万</t>
  </si>
  <si>
    <t>1550.86万</t>
  </si>
  <si>
    <t>2093.44万</t>
  </si>
  <si>
    <t>-74233亿</t>
  </si>
  <si>
    <t>6532087亿</t>
  </si>
  <si>
    <t>202114810亿</t>
  </si>
  <si>
    <t>3009.54万</t>
  </si>
  <si>
    <t>727131880亿</t>
  </si>
  <si>
    <t>8689.31万</t>
  </si>
  <si>
    <t>5216.90万</t>
  </si>
  <si>
    <t>5418.99万</t>
  </si>
  <si>
    <t>2.99亿</t>
  </si>
  <si>
    <t>4665.00万</t>
  </si>
  <si>
    <t>-1508.71万</t>
  </si>
  <si>
    <t>-2173.86万</t>
  </si>
  <si>
    <t>192.85万</t>
  </si>
  <si>
    <t>1049.41万</t>
  </si>
  <si>
    <t>航空装备</t>
  </si>
  <si>
    <t>557.15万</t>
  </si>
  <si>
    <t>4745.75万</t>
  </si>
  <si>
    <t>121.04万</t>
  </si>
  <si>
    <t>13.02亿</t>
  </si>
  <si>
    <t>104339254亿</t>
  </si>
  <si>
    <t>7508.06万</t>
  </si>
  <si>
    <t>1806.40万</t>
  </si>
  <si>
    <t>829.30万</t>
  </si>
  <si>
    <t>1950.40万</t>
  </si>
  <si>
    <t>3000.31万</t>
  </si>
  <si>
    <t>28076522亿</t>
  </si>
  <si>
    <t>35016349亿</t>
  </si>
  <si>
    <t>1137582640亿</t>
  </si>
  <si>
    <t>8706.57万</t>
  </si>
  <si>
    <t>752.85万</t>
  </si>
  <si>
    <t>6680.56万</t>
  </si>
  <si>
    <t>5120.00万</t>
  </si>
  <si>
    <t>2448.21万</t>
  </si>
  <si>
    <t>-8386.10万</t>
  </si>
  <si>
    <t>-530.26万</t>
  </si>
  <si>
    <t>9123.40万</t>
  </si>
  <si>
    <t>1314.87万</t>
  </si>
  <si>
    <t>4728.48万</t>
  </si>
  <si>
    <t>844.02万</t>
  </si>
  <si>
    <t>4964.99万</t>
  </si>
  <si>
    <t xml:space="preserve">
市值32.413333亿, 利润1.21亿; PE30.48, PB2.54; 毛利82.9733%; 净利36.6367%; 上一年度营收增28.26%, 利润增36.04%; 当季营收增7.15%, 利润增-32.58%; 过往5年营收增27.28%, 利润增53.23%
Income profile:
</t>
  </si>
  <si>
    <t>3620.87万</t>
  </si>
  <si>
    <t>12.89亿</t>
  </si>
  <si>
    <t>疫苗</t>
  </si>
  <si>
    <t>6423.17万</t>
  </si>
  <si>
    <t>17.56亿</t>
  </si>
  <si>
    <t>9.10亿</t>
  </si>
  <si>
    <t>1442.01万</t>
  </si>
  <si>
    <t>3.36亿</t>
  </si>
  <si>
    <t>6996.00万</t>
  </si>
  <si>
    <t>3463.83万</t>
  </si>
  <si>
    <t>3.04亿</t>
  </si>
  <si>
    <t>3.10亿</t>
  </si>
  <si>
    <t>18.11亿</t>
  </si>
  <si>
    <t>3.37亿</t>
  </si>
  <si>
    <t>8.12亿</t>
  </si>
  <si>
    <t>131.71亿</t>
  </si>
  <si>
    <t>54.91亿</t>
  </si>
  <si>
    <t>13.50亿</t>
  </si>
  <si>
    <t>10.52亿</t>
  </si>
  <si>
    <t>2.74亿</t>
  </si>
  <si>
    <t>6819.04万</t>
  </si>
  <si>
    <t>5008030亿</t>
  </si>
  <si>
    <t>19.64亿</t>
  </si>
  <si>
    <t>3.26亿</t>
  </si>
  <si>
    <t>10.61亿</t>
  </si>
  <si>
    <t>20.61亿</t>
  </si>
  <si>
    <t>9.37亿</t>
  </si>
  <si>
    <t>公司的主营业务为研发、生产和商业化符合中国及国际标准的创新型疫苗。公司主要产品为埃博拉病毒病疫苗、脑膜炎疫苗、百白破疫苗、肺炎疫苗、结核病疫苗、带状疱疹疫苗、新冠肺炎疫苗、腺病毒疫苗、脊髓灰质炎疫苗。
市值483亿，利润19.14亿；毛利69%，净利为负（刚盈利）；2021营收增17200%，利润增582；2022Q1营收增7%，利润增960%；过往5年营收增3900%，利润增54%；
2021：
疫苗类产品 43.00亿 100.00% 100.00% 69.85%</t>
  </si>
  <si>
    <t>成大生物</t>
  </si>
  <si>
    <t>-4.19亿</t>
  </si>
  <si>
    <t>11.72亿</t>
  </si>
  <si>
    <t>9.43亿</t>
  </si>
  <si>
    <t>66.05亿</t>
  </si>
  <si>
    <t>1493472300亿</t>
  </si>
  <si>
    <t>7.52亿</t>
  </si>
  <si>
    <t>2.18亿</t>
  </si>
  <si>
    <t>2633361亿</t>
  </si>
  <si>
    <t>14.03万</t>
  </si>
  <si>
    <t>299074320亿</t>
  </si>
  <si>
    <t>8.10亿</t>
  </si>
  <si>
    <t>494222250亿</t>
  </si>
  <si>
    <t>1877.11万</t>
  </si>
  <si>
    <t>2767432200亿</t>
  </si>
  <si>
    <t>2.79亿</t>
  </si>
  <si>
    <t>2235.20万</t>
  </si>
  <si>
    <t>-4.67亿</t>
  </si>
  <si>
    <t>13.42亿</t>
  </si>
  <si>
    <t>2.21亿</t>
  </si>
  <si>
    <t>1.2018年的炒股行为导致的减值和股价暴跌，依然情绪尚未消除。等待更好的基本面回升。或者等待风口，这个点位感觉赔率够，向下空间小；上海莱士</t>
    <phoneticPr fontId="1" type="noConversion"/>
  </si>
  <si>
    <t>14.44亿</t>
  </si>
  <si>
    <t>287.84亿</t>
  </si>
  <si>
    <t>4951544000亿</t>
  </si>
  <si>
    <t>33.52亿</t>
  </si>
  <si>
    <t>27.17亿</t>
  </si>
  <si>
    <t>323640280亿</t>
  </si>
  <si>
    <t>36.85万</t>
  </si>
  <si>
    <t>1601021200亿</t>
  </si>
  <si>
    <t>31.69亿</t>
  </si>
  <si>
    <t>793537960亿</t>
  </si>
  <si>
    <t>7940771200亿</t>
  </si>
  <si>
    <t>6037.81万</t>
  </si>
  <si>
    <t>14.22亿</t>
  </si>
  <si>
    <t>12.03亿</t>
  </si>
  <si>
    <t>-10.91亿</t>
  </si>
  <si>
    <t>-1.94亿</t>
  </si>
  <si>
    <t>32.94亿</t>
  </si>
  <si>
    <t>18.19亿</t>
  </si>
  <si>
    <t>411433960亿</t>
  </si>
  <si>
    <t>1648.14万</t>
  </si>
  <si>
    <t>4516.71万</t>
  </si>
  <si>
    <t>11.60万</t>
  </si>
  <si>
    <t>67321244亿</t>
  </si>
  <si>
    <t>118451018亿</t>
  </si>
  <si>
    <t>3621.82万</t>
  </si>
  <si>
    <t>1279556410亿</t>
  </si>
  <si>
    <t>5.12亿</t>
  </si>
  <si>
    <t>10000.00万</t>
  </si>
  <si>
    <t>1589.42万</t>
  </si>
  <si>
    <t>-5112.32万</t>
  </si>
  <si>
    <t>-2.36亿</t>
  </si>
  <si>
    <t>6.17亿</t>
  </si>
  <si>
    <t>4688.67万</t>
  </si>
  <si>
    <t>2.56亿</t>
  </si>
  <si>
    <t>72.68亿</t>
  </si>
  <si>
    <t>2082744300亿</t>
  </si>
  <si>
    <t>16.47亿</t>
  </si>
  <si>
    <t>9.36亿</t>
  </si>
  <si>
    <t>48175581亿</t>
  </si>
  <si>
    <t>314.93万</t>
  </si>
  <si>
    <t>355981390亿</t>
  </si>
  <si>
    <t>10.99亿</t>
  </si>
  <si>
    <t>528745550亿</t>
  </si>
  <si>
    <t>5991275700亿</t>
  </si>
  <si>
    <t>6665.59万</t>
  </si>
  <si>
    <t>3066.08万</t>
  </si>
  <si>
    <t>2.68亿</t>
  </si>
  <si>
    <t>6.66亿</t>
  </si>
  <si>
    <t>3.77亿</t>
  </si>
  <si>
    <t>-7.79亿</t>
  </si>
  <si>
    <t>-7924.95万</t>
  </si>
  <si>
    <t>13.99亿</t>
  </si>
  <si>
    <t>20.11亿</t>
  </si>
  <si>
    <t>3.23亿</t>
  </si>
  <si>
    <t>18.99亿</t>
  </si>
  <si>
    <t>110.13亿</t>
  </si>
  <si>
    <t>2912615200亿</t>
  </si>
  <si>
    <t>19.92亿</t>
  </si>
  <si>
    <t>14.94亿</t>
  </si>
  <si>
    <t>20156250亿</t>
  </si>
  <si>
    <t>290.69万</t>
  </si>
  <si>
    <t>582646160亿</t>
  </si>
  <si>
    <t>42.13亿</t>
  </si>
  <si>
    <t>33836461亿</t>
  </si>
  <si>
    <t>7634247500亿</t>
  </si>
  <si>
    <t>8958.91万</t>
  </si>
  <si>
    <t>14.39亿</t>
  </si>
  <si>
    <t>-13.42亿</t>
  </si>
  <si>
    <t>-2.25亿</t>
  </si>
  <si>
    <t>18.91亿</t>
  </si>
  <si>
    <t>28.18亿</t>
  </si>
  <si>
    <t>血制品利基.docx</t>
  </si>
  <si>
    <t>疫苗利基.docx</t>
  </si>
  <si>
    <t>医美利基 .docx</t>
  </si>
  <si>
    <r>
      <t>1.</t>
    </r>
    <r>
      <rPr>
        <sz val="9"/>
        <color rgb="FFFF0000"/>
        <rFont val="宋体"/>
        <family val="3"/>
        <charset val="134"/>
        <scheme val="minor"/>
      </rPr>
      <t>国资委</t>
    </r>
    <r>
      <rPr>
        <sz val="9"/>
        <color theme="1"/>
        <rFont val="宋体"/>
        <family val="2"/>
        <charset val="134"/>
        <scheme val="minor"/>
      </rPr>
      <t>-中国医药集团控股；</t>
    </r>
    <phoneticPr fontId="1" type="noConversion"/>
  </si>
  <si>
    <t>1. 还继续持有万丰奥威的大约1.83%，折合3.34亿人民币；2.2020年3月30日发行新股，每股7.5元，定增132亿进行GDS子公司（基立福子公司）45%股权收购，股本增肌17.66亿股；3.购买GDS后基立福成为公司第一大股东；4.GDS是全球知名的血液检测仪器及试剂的生产商，是全球血液核酸检测细分市场的龙头公司；5.出口业务占2.38%；6.53亿商誉一直存在，此次收购GDS45%股份的132亿作为“长期股权投资”项纪录，因此也贡献在投资收益项；7. 258亿净资产，2.8亿负债，市值只有554亿，净利润今年估计接近15亿，且未来5年GDS新增会5年累计91亿息税前利润</t>
    <phoneticPr fontId="1" type="noConversion"/>
  </si>
  <si>
    <t>1521.94万</t>
  </si>
  <si>
    <t>688.85万</t>
  </si>
  <si>
    <t>SZ000513</t>
  </si>
  <si>
    <t>丽珠集团</t>
  </si>
  <si>
    <t>1084.53万</t>
  </si>
  <si>
    <t>SH688105</t>
  </si>
  <si>
    <t>诺唯赞</t>
  </si>
  <si>
    <t>394.22万</t>
  </si>
  <si>
    <t>SH688356</t>
  </si>
  <si>
    <t>键凯科技</t>
  </si>
  <si>
    <t>52.01万</t>
  </si>
  <si>
    <t>SH688137</t>
  </si>
  <si>
    <t>近岸蛋白</t>
  </si>
  <si>
    <t>107.44万</t>
  </si>
  <si>
    <t>40.85亿</t>
  </si>
  <si>
    <t>107.59亿</t>
  </si>
  <si>
    <t>3706258200亿</t>
  </si>
  <si>
    <t>27.49亿</t>
  </si>
  <si>
    <t>14.81亿</t>
  </si>
  <si>
    <t>4835290亿</t>
  </si>
  <si>
    <t>6.17万</t>
  </si>
  <si>
    <t>677401230亿</t>
  </si>
  <si>
    <t>36.24亿</t>
  </si>
  <si>
    <t>3369502400亿</t>
  </si>
  <si>
    <t>8486487100亿</t>
  </si>
  <si>
    <t>3113.88万</t>
  </si>
  <si>
    <t>13.60亿</t>
  </si>
  <si>
    <t>33.20亿</t>
  </si>
  <si>
    <t>-8.29亿</t>
  </si>
  <si>
    <t>7724.75万</t>
  </si>
  <si>
    <t>23.48亿</t>
  </si>
  <si>
    <t>21.29亿</t>
  </si>
  <si>
    <t>37.84亿</t>
  </si>
  <si>
    <t>77.55亿</t>
  </si>
  <si>
    <t>707395000亿</t>
  </si>
  <si>
    <t>9.42亿</t>
  </si>
  <si>
    <t>2.42亿</t>
  </si>
  <si>
    <t>69271000亿</t>
  </si>
  <si>
    <t>13.60万</t>
  </si>
  <si>
    <t>-582583000亿</t>
  </si>
  <si>
    <t>29.69亿</t>
  </si>
  <si>
    <t>312013000亿</t>
  </si>
  <si>
    <t>8094195000亿</t>
  </si>
  <si>
    <t>8.89亿</t>
  </si>
  <si>
    <t>15.47亿</t>
  </si>
  <si>
    <t>500.00万</t>
  </si>
  <si>
    <t>27.70亿</t>
  </si>
  <si>
    <t>6.03亿</t>
  </si>
  <si>
    <t>-13.93亿</t>
  </si>
  <si>
    <t>-19.24亿</t>
  </si>
  <si>
    <t>6.29亿</t>
  </si>
  <si>
    <t>30.86亿</t>
  </si>
  <si>
    <t>1223.80万</t>
  </si>
  <si>
    <t>13.34亿</t>
  </si>
  <si>
    <t>3094.76万</t>
  </si>
  <si>
    <t>90.58亿</t>
  </si>
  <si>
    <t>145.11亿</t>
  </si>
  <si>
    <t>9488253400亿</t>
  </si>
  <si>
    <t>120.64亿</t>
  </si>
  <si>
    <t>17.76亿</t>
  </si>
  <si>
    <t>75.60亿</t>
  </si>
  <si>
    <t>32.73亿</t>
  </si>
  <si>
    <t>29.02亿</t>
  </si>
  <si>
    <t>39625539亿</t>
  </si>
  <si>
    <t>370.34万</t>
  </si>
  <si>
    <t>1508954100亿</t>
  </si>
  <si>
    <t>96.25亿</t>
  </si>
  <si>
    <t>2482694100亿</t>
  </si>
  <si>
    <t>13.20亿</t>
  </si>
  <si>
    <t>15612873000亿</t>
  </si>
  <si>
    <t>6.99亿</t>
  </si>
  <si>
    <t>17.12亿</t>
  </si>
  <si>
    <t>10.51亿</t>
  </si>
  <si>
    <t>6.81亿</t>
  </si>
  <si>
    <t>67.34亿</t>
  </si>
  <si>
    <t>17.79亿</t>
  </si>
  <si>
    <t>18.48亿</t>
  </si>
  <si>
    <t>-7.69亿</t>
  </si>
  <si>
    <t>-7.58亿</t>
  </si>
  <si>
    <t>105.20亿</t>
  </si>
  <si>
    <t>93.85亿</t>
  </si>
  <si>
    <t>88.61亿</t>
  </si>
  <si>
    <t>85.31亿</t>
  </si>
  <si>
    <t>76.52亿</t>
  </si>
  <si>
    <t>17.15亿</t>
  </si>
  <si>
    <t>13.03亿</t>
  </si>
  <si>
    <t>10.82亿</t>
  </si>
  <si>
    <t>44.29亿</t>
  </si>
  <si>
    <t>63.03亿</t>
  </si>
  <si>
    <t>93.69亿</t>
  </si>
  <si>
    <t>62.36亿</t>
  </si>
  <si>
    <t>10.18亿</t>
  </si>
  <si>
    <t>14.53亿</t>
  </si>
  <si>
    <t>7582.59万</t>
  </si>
  <si>
    <t xml:space="preserve">
市值349.70959亿, 利润17.76亿; PE19.11, PB2.6; 毛利64.72%; 净利17.8533%; 上一年度营收增14.68%, 利润增3.56%; 当季营收增1.67%, 利润增25.01%; 过往5年营收增9.61%, 利润增88.99%
Income profile:
</t>
  </si>
  <si>
    <t>11.19亿</t>
  </si>
  <si>
    <t>47.66亿</t>
  </si>
  <si>
    <t>2305008900亿</t>
  </si>
  <si>
    <t>18.69亿</t>
  </si>
  <si>
    <t>6.78亿</t>
  </si>
  <si>
    <t>14.23亿</t>
  </si>
  <si>
    <t>6.26亿</t>
  </si>
  <si>
    <t>40076486亿</t>
  </si>
  <si>
    <t>85.48万</t>
  </si>
  <si>
    <t>698401630亿</t>
  </si>
  <si>
    <t>9.53亿</t>
  </si>
  <si>
    <t>645516610亿</t>
  </si>
  <si>
    <t>4283370300亿</t>
  </si>
  <si>
    <t>-7.30亿</t>
  </si>
  <si>
    <t>7829.97万</t>
  </si>
  <si>
    <t>15.64亿</t>
  </si>
  <si>
    <t>8.22亿</t>
  </si>
  <si>
    <t>2579.48万</t>
  </si>
  <si>
    <t>103.87万</t>
  </si>
  <si>
    <t>364.46万</t>
  </si>
  <si>
    <t>16.20亿</t>
  </si>
  <si>
    <t>5.50亿</t>
  </si>
  <si>
    <t>3.92亿</t>
  </si>
  <si>
    <t>2008.13万</t>
  </si>
  <si>
    <t>7350.04万</t>
  </si>
  <si>
    <t xml:space="preserve">
市值256.20641亿, 利润6.78亿; PE29.19, PB5.38; 毛利83.3033%; 净利33.3433%; 上一年度营收增19.5%, 利润增-17.52%; 当季营收增47.95%, 利润增-14.09%; 过往5年营收增153.12%, 利润增1345.26%
Income profile:
</t>
  </si>
  <si>
    <t>5763.25万</t>
  </si>
  <si>
    <t>11.93亿</t>
  </si>
  <si>
    <t>320956300亿</t>
  </si>
  <si>
    <t>3.51亿</t>
  </si>
  <si>
    <t>4769.30万</t>
  </si>
  <si>
    <t>891.03万</t>
  </si>
  <si>
    <t>3576.38万</t>
  </si>
  <si>
    <t>4293.65万</t>
  </si>
  <si>
    <t>8665327亿</t>
  </si>
  <si>
    <t>157216890亿</t>
  </si>
  <si>
    <t>97233066亿</t>
  </si>
  <si>
    <t>802688920亿</t>
  </si>
  <si>
    <t>604.38万</t>
  </si>
  <si>
    <t>5129.94万</t>
  </si>
  <si>
    <t>-2.32亿</t>
  </si>
  <si>
    <t>-4288.98万</t>
  </si>
  <si>
    <t>1.34亿</t>
  </si>
  <si>
    <t>7709.01万</t>
  </si>
  <si>
    <t>7428.17万</t>
  </si>
  <si>
    <t>8567.89万</t>
  </si>
  <si>
    <t>6154.37万</t>
  </si>
  <si>
    <t>3626.97万</t>
  </si>
  <si>
    <t>2117.20万</t>
  </si>
  <si>
    <t>398.72万</t>
  </si>
  <si>
    <t>8063.75万</t>
  </si>
  <si>
    <t>原料药</t>
  </si>
  <si>
    <t>339.77万</t>
  </si>
  <si>
    <t>2887.86万</t>
  </si>
  <si>
    <t xml:space="preserve">
市值105.395482亿, 利润1.76亿; PE53.07, PB8.83; 毛利85.1567%; 净利47.8667%; 上一年度营收增87.7%, 利润增105.42%; 当季营收增-.04%, 利润增-11.69%; 过往5年营收增38.94%, 利润增143.33%
Income profile:
</t>
  </si>
  <si>
    <t>212629890亿</t>
  </si>
  <si>
    <t>3.42亿</t>
  </si>
  <si>
    <t>2014.14万</t>
  </si>
  <si>
    <t>2074.54万</t>
  </si>
  <si>
    <t>2965.38万</t>
  </si>
  <si>
    <t>1800.99万</t>
  </si>
  <si>
    <t>204.96万</t>
  </si>
  <si>
    <t>86639728亿</t>
  </si>
  <si>
    <t>16.99亿</t>
  </si>
  <si>
    <t>118583616亿</t>
  </si>
  <si>
    <t>1200.00万</t>
  </si>
  <si>
    <t>2163914600亿</t>
  </si>
  <si>
    <t>2144.91万</t>
  </si>
  <si>
    <t>4402.32万</t>
  </si>
  <si>
    <t>9178.68万</t>
  </si>
  <si>
    <t>989.83万</t>
  </si>
  <si>
    <t>-2.62亿</t>
  </si>
  <si>
    <t>17.59亿</t>
  </si>
  <si>
    <t>3598.32万</t>
  </si>
  <si>
    <t>2600.46万</t>
  </si>
  <si>
    <t>8304.63万</t>
  </si>
  <si>
    <t>-849.83万</t>
  </si>
  <si>
    <t>-1238.25万</t>
  </si>
  <si>
    <t>7130.23万</t>
  </si>
  <si>
    <t>5326.22万</t>
  </si>
  <si>
    <t>903.87万</t>
  </si>
  <si>
    <t>7153.85万</t>
  </si>
  <si>
    <t xml:space="preserve">
市值73.866667亿, 利润1.49亿; PE66.37, PB3.36; 毛利83.2267%; 净利21.81%; 上一年度营收增90%, 利润增79.42%; 当季营收增-68.28%, 利润增-74.84%; 过往5年营收增176.2%, 利润增396%
Income profile:
</t>
  </si>
  <si>
    <t>1.疫苗业务过于单一；</t>
    <phoneticPr fontId="1" type="noConversion"/>
  </si>
  <si>
    <t>公司是一家专业从事人用疫苗产品研发、生产、销售的生物制药企业，公司主要产品13价肺炎球菌多糖结合疫苗、23价肺炎球菌多糖疫苗、b型流感嗜血杆菌结合疫苗、冻干AC疫苗群脑膜炎球菌多糖结合疫苗、A群C群脑膜炎球菌多糖疫苗、ACYW135群脑膜炎球菌多糖疫苗、吸附无细胞百白破联合疫苗。
市值695.71673亿, 利润4.28亿; PE117, PB7.82; 毛利84.56%; 净利26.6333%; 上一年度营收增17.83%, 利润增-57.33%; 当季营收增74.36%, 利润增145.32%; 过往5年营收增50.43%, 利润增-20.96%
Income profile:
13价肺炎球菌多糖结合疫苗 27.46亿 79.31% 1.76亿 89.16% 99.50% 93.60%
23价肺炎球菌多糖疫苗 2.26亿 6.54%
b型流感嗜血杆菌 1.52亿 4.39%
冻干AC疫苗群脑膜炎球菌多糖结合疫苗 1.04亿 3.00%
A群C群脑膜炎球菌多糖疫苗 1.00亿 2.89%
ACYW135群脑膜炎球菌多糖疫苗 8814.57万 2.55%</t>
  </si>
  <si>
    <t>1.公司研发的雾化吸入用新冠疫苗克威莎®作为加强接种疫苗，展示出非常强的免疫原性和良好的安全性，可高效诱导黏膜免疫。</t>
    <phoneticPr fontId="1" type="noConversion"/>
  </si>
  <si>
    <t>SH688163</t>
  </si>
  <si>
    <t>赛伦生物</t>
  </si>
  <si>
    <t>10派2元(含税)</t>
  </si>
  <si>
    <t>7962.82万</t>
  </si>
  <si>
    <t>10派0.28元(含税)</t>
  </si>
  <si>
    <t>14.84亿</t>
  </si>
  <si>
    <t>公司是一家主要致力于血液制品的研发、生产和销售的企业。公司主要产品为人血白蛋白、静脉注射用人免疫球蛋白、凝血因子产品等。公司是目前国内少数可从血浆中提取六种组分的血液制品生产企业之一，也是国内同行业中凝血因子类产品种类最为齐全的生产企业之一。
市值409.16583亿, 利润12.95亿; PE27.24, PB1.42; ROIC5.65%; ROE5.4467%; 股利率.4613%; 毛利56.92%; 净利34.4367%; 上一年度营收增55.25%, 利润增-2.19%; 当季营收增28.39%, 利润增11.69%; 过往5年营收增16.37%, 利润增-14.82%
Income profile:
白蛋白 21.45亿 65.12% 45.09% 30.90%
静丙 6.68亿 20.27% 27.25% 59.97%
其他血液制品 4.80亿 14.58% 27.63% 84.56%</t>
  </si>
  <si>
    <t>1461.63万</t>
  </si>
  <si>
    <t>2.35亿</t>
  </si>
  <si>
    <t>5824.55万</t>
  </si>
  <si>
    <t>14.15亿</t>
  </si>
  <si>
    <t>3.55万</t>
  </si>
  <si>
    <t>9.52亿</t>
  </si>
  <si>
    <t>10转2股派1元(含税)</t>
  </si>
  <si>
    <t>4.95亿</t>
  </si>
  <si>
    <t>公司从事的主要业务是以健康人血浆、经特异免疫的人血浆为原材料和采用基因重组技术研发、生产血液制品，开展血液制品经营业务。
市值400.5825亿, 利润7.60亿; PE49.9, PB4.7; ROIC12.6867%; ROE14.31%; 股利率.4114%; 毛利49.4333%; 净利27.5367%; 上一年度营收增19.33%, 利润增18.94%; 当季营收增1.45%, 利润增-2.33%; 过往5年营收增14.1%, 利润增68.67%
Income profile:
血液制品 18.83亿 99.58% 100.00% 48.70%</t>
  </si>
  <si>
    <t>10派9元(含税)</t>
  </si>
  <si>
    <t>778.35万</t>
  </si>
  <si>
    <t>10派1.5元(含税)</t>
  </si>
  <si>
    <t>5039.66万</t>
  </si>
  <si>
    <t>公司的主营业务为血液制品的研发、生产和销售。公司的主要产品为血液制品业务、天安药业的糖尿病用药业务、新百药业的生化类用药业务、博雅欣和化学药业务、复大医药经销业务。
市值184.05079亿, 利润3.45亿; PE41.89, PB2.57; ROIC7.56%; ROE8.5667%; 股利率.411%; 毛利59.1133%; 净利15.8133%; 上一年度营收增5.49%, 利润增32.69%; 当季营收增-4.5%, 利润增11.42%; 过往5年营收增25.97%, 利润增9.44%
Income profile:
血液制品业务 6.93亿 49.54% 61.32% 67.63%
药品经销 4.00亿 28.60% 6.91% 13.20%
生化制药业务 2.08亿 14.90% 21.92% 80.36%
糖尿病药品业务 1.01亿 7.24% 9.85% 74.40%</t>
  </si>
  <si>
    <t>2111.63万</t>
  </si>
  <si>
    <t>10派0.56元(含税)</t>
  </si>
  <si>
    <t>公司主营业务为血液制品的研究、开发、生产和销售，公司主要产品为人血白蛋白、静注人免疫球蛋白(pH4)、人免疫球蛋白、乙型肝炎人免疫球蛋白、破伤风人免疫球蛋白、狂犬病人免疫球蛋白、人凝血因子Ⅷ。
市值175.76642亿, 利润3.91亿; PE40.25, PB2.66; ROIC13.5633%; ROE16.8233%; 股利率.2333%; 毛利49.51%; 净利19%; 上一年度营收增87.81%, 利润增110.22%; 当季营收增-8.81%, 利润增.42%; 过往5年营收增31.32%, 利润增87.99%
Income profile:
血液制品 9.90亿 99.94% 99.92% 47.36%
其他 57.16万 0.06% 0.08% 69.30%</t>
  </si>
  <si>
    <t>395.48万</t>
  </si>
  <si>
    <t>1176.14万</t>
  </si>
  <si>
    <t>4233.87万</t>
  </si>
  <si>
    <t>公司是一家从事生物制品生产、销售及研发的国家级高新技术企业。公司的主要产品为人血白蛋白,静注人免疫球蛋白(pH4)、冻干静注人免疫球蛋白(pH4)、人免疫球蛋白、乙型肝炎人免疫球蛋白、狂犬病人免疫球蛋白、破伤风人免疫球蛋白、组织胺人免疫球蛋白,人纤维蛋白原等。
市值74.32236亿, 利润2.05亿; PE52.89, PB4.14; ROIC11.5967%; ROE12.39%; 股利率.6103%; 毛利40.0467%; 净利20.6633%; 上一年度营收增.22%, 利润增7.89%; 当季营收增-36.14%, 利润增-61.96%; 过往5年营收增10.06%, 利润增6.1%
Income profile:
静注人免疫球蛋白 8675.00万 37.42% 38.98% 35.14%
人血白蛋白 7021.96万 30.29% 34.86% 38.83%
狂犬病人免疫球蛋 2995.29万 12.92% 26.16% 68.30%</t>
  </si>
  <si>
    <t>326.14万</t>
  </si>
  <si>
    <t>4275.17万</t>
  </si>
  <si>
    <t>11.20亿</t>
  </si>
  <si>
    <t>149434600亿</t>
  </si>
  <si>
    <t>7648.28万</t>
  </si>
  <si>
    <t>8760.97万</t>
  </si>
  <si>
    <t>2341.95万</t>
  </si>
  <si>
    <t>3657.73万</t>
  </si>
  <si>
    <t>1937.35万</t>
  </si>
  <si>
    <t>579.11万</t>
  </si>
  <si>
    <t>8526916亿</t>
  </si>
  <si>
    <t>7.30万</t>
  </si>
  <si>
    <t>49245383亿</t>
  </si>
  <si>
    <t>21963755亿</t>
  </si>
  <si>
    <t>1005984210亿</t>
  </si>
  <si>
    <t>3749.72万</t>
  </si>
  <si>
    <t>345.85万</t>
  </si>
  <si>
    <t>2732.89万</t>
  </si>
  <si>
    <t>6279.55万</t>
  </si>
  <si>
    <t>-7.54亿</t>
  </si>
  <si>
    <t>8882.58万</t>
  </si>
  <si>
    <t>6317.38万</t>
  </si>
  <si>
    <t>6575.61万</t>
  </si>
  <si>
    <t>4206.32万</t>
  </si>
  <si>
    <t>699.40万</t>
  </si>
  <si>
    <t>7821.05万</t>
  </si>
  <si>
    <t>9591.97万</t>
  </si>
  <si>
    <t>3046.31万</t>
  </si>
  <si>
    <t>7215.82万</t>
  </si>
  <si>
    <t>3903.46万</t>
  </si>
  <si>
    <t>840.18万</t>
  </si>
  <si>
    <t>3982.21万</t>
  </si>
  <si>
    <t>1.国资委-华润控股；2.药品集采政策是大趋势，血液制品作为药品品类之一，也必然一定程度上受到政策影响，同时因血液制品原料属性特殊，整体影响相对有限。</t>
    <phoneticPr fontId="1" type="noConversion"/>
  </si>
  <si>
    <t>公司成立于1999年，是一家专注于抗血清抗毒素领域的生物医药企业，致力于研究、开发、生产及销售针对生物毒素及生物安全领域的预防和治疗药物。公司的主要产品为抗蛇毒血清、抗狂犬病血清、马破免疫球蛋白。
市值27.520346亿, 利润7648.28万; PE41.02, PB2.46; ROIC21.2467%; ROE23.08%; 股利率3.5391%; 毛利85.0833%; 净利35.9833%; 上一年度营收增12.37%, 利润增21.07%; 当季营收增-1.19%, 利润增-2.46%; 过往5年营收增19.39%, 利润增271.84%
Income profile:
抗蛇毒血清 1.23亿 58.70% 63.02% 89.83%
马破伤风免疫球蛋白 8499.74万 40.73% 36.31% 74.59%
其他业务 118.87万 0.57% 0.68% 99.62%</t>
  </si>
  <si>
    <t>2799.96万</t>
  </si>
  <si>
    <t>25.67亿</t>
  </si>
  <si>
    <t>120.23亿</t>
  </si>
  <si>
    <t>3602338500亿</t>
  </si>
  <si>
    <t>24.66亿</t>
  </si>
  <si>
    <t>11.87亿</t>
  </si>
  <si>
    <t>71239466亿</t>
  </si>
  <si>
    <t>943.24万</t>
  </si>
  <si>
    <t>758280480亿</t>
  </si>
  <si>
    <t>2744771200亿</t>
  </si>
  <si>
    <t>8210483800亿</t>
  </si>
  <si>
    <t>6.00亿</t>
  </si>
  <si>
    <t>2.20亿</t>
  </si>
  <si>
    <t>1.26万</t>
  </si>
  <si>
    <t>23.15亿</t>
  </si>
  <si>
    <t>-14.83亿</t>
  </si>
  <si>
    <t>18.29亿</t>
  </si>
  <si>
    <t>23.49亿</t>
  </si>
  <si>
    <t>33.61亿</t>
  </si>
  <si>
    <t>5.83亿</t>
  </si>
  <si>
    <t>10.60亿</t>
  </si>
  <si>
    <t>公司是一家主要从事血液制品、菌疫苗的生产和销售的公司.公司的主要产品包括人血白蛋白、静注人免疫球蛋白(PH4)、人凝血酶原复合物、人凝血因子Ⅷ等.公司目前生产规模、市场占有率均居行业前列,成为血液制品、疫苗产品行业的龙头企业;
市值414.31368亿, 利润12.99亿; PE36.37, PB4.05; ROIC20.28%; ROE19.9167%; 股利率.8807%; 毛利68.4733%; 净利34.3067%; 上一年度营收增-11.69%, 利润增-19.47%; 当季营收增-39.51%, 利润增-47.33%; 过往5年营收增19.46%, 利润增12.58%
Income profile:
血液制品 12.81亿 54.53% 42.27% 52.54%
疫苗制品 10.56亿 44.93% 58.81% 88.71%</t>
  </si>
  <si>
    <t>10派8元(含税)</t>
  </si>
  <si>
    <t>1110.19万</t>
  </si>
  <si>
    <t>5647.02万</t>
  </si>
  <si>
    <t>公司是一家主要从事血液制品、菌疫苗的生产和销售的公司.公司的主要产品包括人血白蛋白、静注人免疫球蛋白(PH4)、人凝血酶原复合物、人凝血因子Ⅷ等.公司目前生产规模、市场占有率均居行业前列,成为血液制品、疫苗产品行业的龙头企业;
市值402.27286亿, 利润12.99亿; PE35.31, PB3.94; ROIC20.28%; ROE19.9167%; 股利率0.907%; 毛利68.4733%; 净利34.3067%; 上一年度营收增-11.69%, 利润增-19.47%; 当季营收增-39.51%, 利润增-47.33%; 过往5年营收增19.46%, 利润增12.58%
Income profile:
血液制品 12.81亿 54.53% 42.27% 52.54%
疫苗制品 10.56亿 44.93% 58.81% 88.71%</t>
  </si>
  <si>
    <t>827.64万</t>
  </si>
  <si>
    <t>139.23亿</t>
  </si>
  <si>
    <t>223.04亿</t>
  </si>
  <si>
    <t>27823287000亿</t>
  </si>
  <si>
    <t>210.74亿</t>
  </si>
  <si>
    <t>185.86亿</t>
  </si>
  <si>
    <t>14.69亿</t>
  </si>
  <si>
    <t>14.76万</t>
  </si>
  <si>
    <t>5590144700亿</t>
  </si>
  <si>
    <t>26.72亿</t>
  </si>
  <si>
    <t>18898355000亿</t>
  </si>
  <si>
    <t>29859161000亿</t>
  </si>
  <si>
    <t>18.67亿</t>
  </si>
  <si>
    <t>1511.68万</t>
  </si>
  <si>
    <t>103.88亿</t>
  </si>
  <si>
    <t>666.66万</t>
  </si>
  <si>
    <t>134.18亿</t>
  </si>
  <si>
    <t>9.89亿</t>
  </si>
  <si>
    <t>-11.73亿</t>
  </si>
  <si>
    <t>-14.53亿</t>
  </si>
  <si>
    <t>183.54亿</t>
  </si>
  <si>
    <t>218.29亿</t>
  </si>
  <si>
    <t>37.29亿</t>
  </si>
  <si>
    <t>84.04亿</t>
  </si>
  <si>
    <t>10派6元(含税)</t>
  </si>
  <si>
    <t>4133.76万</t>
  </si>
  <si>
    <t>3.20亿</t>
  </si>
  <si>
    <t>公司是一家从事疫苗、生物制品的研发、生产和销售的公司；公司的主要产品为二类苗、治疗性生物制品、二类苗。
市值1480.48亿, 利润102.09亿; PE19.97, PB6.64; ROIC46.91%; ROE57.3233%; 股利率0.6484%; 毛利38.1633%; 净利21.4667%; 上一年度营收增101.79%, 利润增209.27%; 当季营收增9.37%, 利润增-35.53%; 过往5年营收增147.63%, 利润增355.23%
Income profile:
2021：
代理产品 209.31亿 68.29% 41.74% 29.98% 增速50%
自主产品 96.97亿 31.64% 58.14% 90.12% 增速707.61%
其他 2345.72万 0.08% 643.58万 0.04% 0.11% 72.56%</t>
  </si>
  <si>
    <t>1243.58万</t>
  </si>
  <si>
    <t>10派0.27元(含税)</t>
  </si>
  <si>
    <t>6939.52万</t>
  </si>
  <si>
    <t>4.43亿</t>
  </si>
  <si>
    <t>公司是一家专业从事人用疫苗产品研发、生产、销售的生物制药企业，公司主要产品13价肺炎球菌多糖结合疫苗、23价肺炎球菌多糖疫苗、b型流感嗜血杆菌结合疫苗、冻干AC疫苗群脑膜炎球菌多糖结合疫苗、A群C群脑膜炎球菌多糖疫苗、ACYW135群脑膜炎球菌多糖疫苗、吸附无细胞百白破联合疫苗。
市值621.23298亿, 利润4.28亿; PE104.4, PB6.98; ROIC8.01%; ROE8.9833%; 股利率0.0698%; 毛利84.56%; 净利26.6333%; 上一年度营收增17.83%, 利润增-57.33%; 当季营收增74.36%, 利润增510%; 过往5年营收增50.43%, 利润增-20.96%
Income profile:
13价肺炎球菌多糖结合疫苗 27.46亿 79.31% 1.76亿 89.16% 99.50% 93.60%
23价肺炎球菌多糖疫苗 2.26亿 6.54%
b型流感嗜血杆菌 1.52亿 4.39%
冻干AC疫苗群脑膜炎球菌多糖结合疫苗 1.04亿 3.00%
A群C群脑膜炎球菌多糖疫苗 1.00亿 2.89%
ACYW135群脑膜炎球菌多糖疫苗 8814.57万 2.55%</t>
  </si>
  <si>
    <t>599.31万</t>
  </si>
  <si>
    <t>45.58亿</t>
  </si>
  <si>
    <t>93.03亿</t>
  </si>
  <si>
    <t>2565064100亿</t>
  </si>
  <si>
    <t>19.81亿</t>
  </si>
  <si>
    <t>8.87亿</t>
  </si>
  <si>
    <t>94354亿</t>
  </si>
  <si>
    <t>608.08万</t>
  </si>
  <si>
    <t>143605900亿</t>
  </si>
  <si>
    <t>12.32亿</t>
  </si>
  <si>
    <t>2353816400亿</t>
  </si>
  <si>
    <t>5906361200亿</t>
  </si>
  <si>
    <t>29.60亿</t>
  </si>
  <si>
    <t>9604.54万</t>
  </si>
  <si>
    <t>21.30亿</t>
  </si>
  <si>
    <t>-21.60亿</t>
  </si>
  <si>
    <t>-4.21亿</t>
  </si>
  <si>
    <t>18.28亿</t>
  </si>
  <si>
    <t>23.77亿</t>
  </si>
  <si>
    <t>10.36亿</t>
  </si>
  <si>
    <t>10转6股派8.5元(含税)</t>
  </si>
  <si>
    <t>4274.13万</t>
  </si>
  <si>
    <t>3.34亿</t>
  </si>
  <si>
    <t>127.71万</t>
  </si>
  <si>
    <t>4.05亿</t>
  </si>
  <si>
    <t>29.64亿</t>
  </si>
  <si>
    <t>1054548590亿</t>
  </si>
  <si>
    <t>5.06亿</t>
  </si>
  <si>
    <t>6681.61万</t>
  </si>
  <si>
    <t>5796.37万</t>
  </si>
  <si>
    <t>12.19万</t>
  </si>
  <si>
    <t>464402830亿</t>
  </si>
  <si>
    <t>1211684930亿</t>
  </si>
  <si>
    <t>2021240600亿</t>
  </si>
  <si>
    <t>1520.43万</t>
  </si>
  <si>
    <t>1482.19万</t>
  </si>
  <si>
    <t>1962.67万</t>
  </si>
  <si>
    <t>-3.00亿</t>
  </si>
  <si>
    <t>-6374.41万</t>
  </si>
  <si>
    <t>6.60亿</t>
  </si>
  <si>
    <t>3.16亿</t>
  </si>
  <si>
    <t>10转5股派15元(含税)</t>
  </si>
  <si>
    <t>902.38万</t>
  </si>
  <si>
    <t>5804.52万</t>
  </si>
  <si>
    <t>69.63亿</t>
  </si>
  <si>
    <t>225.90万</t>
  </si>
  <si>
    <t>34.70亿</t>
  </si>
  <si>
    <t>117.45亿</t>
  </si>
  <si>
    <t>8650520700亿</t>
  </si>
  <si>
    <t>39.33亿</t>
  </si>
  <si>
    <t>9.02亿</t>
  </si>
  <si>
    <t>25.15亿</t>
  </si>
  <si>
    <t>15439281亿</t>
  </si>
  <si>
    <t>107.52万</t>
  </si>
  <si>
    <t>3848289900亿</t>
  </si>
  <si>
    <t>46.62亿</t>
  </si>
  <si>
    <t>4191822100亿</t>
  </si>
  <si>
    <t>904.22万</t>
  </si>
  <si>
    <t>11639929400亿</t>
  </si>
  <si>
    <t>8.73亿</t>
  </si>
  <si>
    <t>6000.00万</t>
  </si>
  <si>
    <t>393.91万</t>
  </si>
  <si>
    <t>33.13亿</t>
  </si>
  <si>
    <t>2000.00万</t>
  </si>
  <si>
    <t>31.13亿</t>
  </si>
  <si>
    <t>-28.81亿</t>
  </si>
  <si>
    <t>29.75亿</t>
  </si>
  <si>
    <t>59.30亿</t>
  </si>
  <si>
    <t>35.96亿</t>
  </si>
  <si>
    <t>26.93亿</t>
  </si>
  <si>
    <t>11.88亿</t>
  </si>
  <si>
    <t>10送2股转2.5股派2元(含税)</t>
  </si>
  <si>
    <t>794.58万</t>
  </si>
  <si>
    <t>5743.23万</t>
  </si>
  <si>
    <t>258.66万</t>
  </si>
  <si>
    <t>1041.81万</t>
  </si>
  <si>
    <t>7089.54万</t>
  </si>
  <si>
    <t>181.03万</t>
  </si>
  <si>
    <t>95.25亿</t>
  </si>
  <si>
    <t>1360237700亿</t>
  </si>
  <si>
    <t>7.19亿</t>
  </si>
  <si>
    <t>61202805亿</t>
  </si>
  <si>
    <t>2.70万</t>
  </si>
  <si>
    <t>527672900亿</t>
  </si>
  <si>
    <t>42.87亿</t>
  </si>
  <si>
    <t>1150408050亿</t>
  </si>
  <si>
    <t>7639663100亿</t>
  </si>
  <si>
    <t>15.84亿</t>
  </si>
  <si>
    <t>8.81亿</t>
  </si>
  <si>
    <t>17.35亿</t>
  </si>
  <si>
    <t>3.81亿</t>
  </si>
  <si>
    <t>10派10元(含税)</t>
  </si>
  <si>
    <t>958.59万</t>
  </si>
  <si>
    <t>5071.31万</t>
  </si>
  <si>
    <t xml:space="preserve">
市值139.38582亿, 利润8.92亿; PE21.35, PB1.46; ROIC19.4467%; ROE20.735%; 股利率2.9878%; 毛利87.0533%; 净利43.6333%; 上一年度营收增4.61%, 利润增-2.83%; 当季营收增-14.88%, 利润增-18.05%; 过往5年营收增15.42%, 利润增15.6%
Income profile:
</t>
  </si>
  <si>
    <t>SH688276</t>
  </si>
  <si>
    <t>百克生物</t>
  </si>
  <si>
    <t>219.25万</t>
  </si>
  <si>
    <t>SH600739</t>
  </si>
  <si>
    <t>辽宁成大</t>
  </si>
  <si>
    <t>860.29万</t>
  </si>
  <si>
    <t>SZ301207</t>
  </si>
  <si>
    <t>华兰疫苗</t>
  </si>
  <si>
    <t>266.01万</t>
  </si>
  <si>
    <t>SH688319</t>
  </si>
  <si>
    <t>欧林生物</t>
  </si>
  <si>
    <t>241.11万</t>
  </si>
  <si>
    <t>SH688670</t>
  </si>
  <si>
    <t>金迪克</t>
  </si>
  <si>
    <t>74.62万</t>
  </si>
  <si>
    <t>7.48亿</t>
  </si>
  <si>
    <t>35.84亿</t>
  </si>
  <si>
    <t>865713980亿</t>
  </si>
  <si>
    <t>12.02亿</t>
  </si>
  <si>
    <t>9789.37万</t>
  </si>
  <si>
    <t>8267.64万</t>
  </si>
  <si>
    <t>-155704亿</t>
  </si>
  <si>
    <t>1001.35万</t>
  </si>
  <si>
    <t>199997270亿</t>
  </si>
  <si>
    <t>9.41亿</t>
  </si>
  <si>
    <t>1012751830亿</t>
  </si>
  <si>
    <t>2252398700亿</t>
  </si>
  <si>
    <t>3145.91万</t>
  </si>
  <si>
    <t>7.40亿</t>
  </si>
  <si>
    <t>-9435.29万</t>
  </si>
  <si>
    <t>-9801.89万</t>
  </si>
  <si>
    <t>-2413.53万</t>
  </si>
  <si>
    <t>14.41亿</t>
  </si>
  <si>
    <t>9.76亿</t>
  </si>
  <si>
    <t>10.19亿</t>
  </si>
  <si>
    <t>6.91亿</t>
  </si>
  <si>
    <t>4.18亿</t>
  </si>
  <si>
    <t>9348.02万</t>
  </si>
  <si>
    <t>4.41亿</t>
  </si>
  <si>
    <t>5.82亿</t>
  </si>
  <si>
    <t>7357.17万</t>
  </si>
  <si>
    <t>10派1元(含税)</t>
  </si>
  <si>
    <t>769.04万</t>
  </si>
  <si>
    <t>5083.96万</t>
  </si>
  <si>
    <t xml:space="preserve">
市值259.09882亿, 利润2.44亿; PE116.5, PB7.23; ROIC18.45%; ROE19.32%; 股利率0.1593%; 毛利88.9567%; 净利22.7867%; 上一年度营收增-16.59%, 利润增-41.63%; 当季营收增17%, 利润增45.53%; 过往5年营收增18.58%, 利润增39.27%
Income profile:
</t>
  </si>
  <si>
    <t>158.62亿</t>
  </si>
  <si>
    <t>325.38亿</t>
  </si>
  <si>
    <t>11946349700亿</t>
  </si>
  <si>
    <t>183.73亿</t>
  </si>
  <si>
    <t>21.59亿</t>
  </si>
  <si>
    <t>112.20亿</t>
  </si>
  <si>
    <t>97.52亿</t>
  </si>
  <si>
    <t>1127063420亿</t>
  </si>
  <si>
    <t>111.69万</t>
  </si>
  <si>
    <t>1137622170亿</t>
  </si>
  <si>
    <t>1930086100亿</t>
  </si>
  <si>
    <t>13531481000亿</t>
  </si>
  <si>
    <t>62.30亿</t>
  </si>
  <si>
    <t>2.49亿</t>
  </si>
  <si>
    <t>6.09亿</t>
  </si>
  <si>
    <t>123.48亿</t>
  </si>
  <si>
    <t>5.25亿</t>
  </si>
  <si>
    <t>10.59亿</t>
  </si>
  <si>
    <t>21.71亿</t>
  </si>
  <si>
    <t>-18.90亿</t>
  </si>
  <si>
    <t>169.45亿</t>
  </si>
  <si>
    <t>177.46亿</t>
  </si>
  <si>
    <t>192.75亿</t>
  </si>
  <si>
    <t>139.99亿</t>
  </si>
  <si>
    <t>87.50亿</t>
  </si>
  <si>
    <t>27.71亿</t>
  </si>
  <si>
    <t>11.89亿</t>
  </si>
  <si>
    <t>14.46亿</t>
  </si>
  <si>
    <t>9.48亿</t>
  </si>
  <si>
    <t>78.23亿</t>
  </si>
  <si>
    <t>135.08亿</t>
  </si>
  <si>
    <t>82.66亿</t>
  </si>
  <si>
    <t>18.72亿</t>
  </si>
  <si>
    <t>10派2.20元(含税)</t>
  </si>
  <si>
    <t>3517.71万</t>
  </si>
  <si>
    <t xml:space="preserve">
市值206.35785亿, 利润21.59亿; PE14.02, PB0.716; ROIC6.7267%; ROE8.8333%; 股利率1.6308%; 毛利17.2667%; 净利12.8333%; 上一年度营收增8.43%, 利润增-22.09%; 当季营收增-21.34%, 利润增-53.2%; 过往5年营收增18.73%, 利润增34.34%
Income profile:
</t>
  </si>
  <si>
    <t>16.97亿</t>
  </si>
  <si>
    <t>54.77亿</t>
  </si>
  <si>
    <t>1559870300亿</t>
  </si>
  <si>
    <t>18.30亿</t>
  </si>
  <si>
    <t>6.21亿</t>
  </si>
  <si>
    <t>10.07亿</t>
  </si>
  <si>
    <t>6.37亿</t>
  </si>
  <si>
    <t>6553.21万</t>
  </si>
  <si>
    <t>8345.02万</t>
  </si>
  <si>
    <t>40508830亿</t>
  </si>
  <si>
    <t>11.14万</t>
  </si>
  <si>
    <t>454028030亿</t>
  </si>
  <si>
    <t>2071275700亿</t>
  </si>
  <si>
    <t>4604918500亿</t>
  </si>
  <si>
    <t>298.12万</t>
  </si>
  <si>
    <t>2018.39万</t>
  </si>
  <si>
    <t>16.55亿</t>
  </si>
  <si>
    <t>-3548.48万</t>
  </si>
  <si>
    <t>-11.48亿</t>
  </si>
  <si>
    <t>19.65亿</t>
  </si>
  <si>
    <t>24.26亿</t>
  </si>
  <si>
    <t>10.49亿</t>
  </si>
  <si>
    <t>8.03亿</t>
  </si>
  <si>
    <t>2.85亿</t>
  </si>
  <si>
    <t>9.25亿</t>
  </si>
  <si>
    <t>-7688.16万</t>
  </si>
  <si>
    <t>13.93亿</t>
  </si>
  <si>
    <t>1090.58万</t>
  </si>
  <si>
    <t>2.98亿</t>
  </si>
  <si>
    <t>5.28亿</t>
  </si>
  <si>
    <t>-2898.03万</t>
  </si>
  <si>
    <t>756.76万</t>
  </si>
  <si>
    <t>5854.50万</t>
  </si>
  <si>
    <t xml:space="preserve">
市值198.24496亿, 利润6.21亿; PE33.18, PB3.62; ROIC35.1733%; ROE24.86%; 股利率0.4036%; 毛利87.4867%; 净利34.0067%; 上一年度营收增-24.57%, 利润增-32.86%; 当季营收增-63.9%, 利润增-62.89%; 过往5年营收增79.77%, 利润增150.97%
Income profile:
</t>
  </si>
  <si>
    <t>370775970亿</t>
  </si>
  <si>
    <t>2718.92万</t>
  </si>
  <si>
    <t>4621.38万</t>
  </si>
  <si>
    <t>3641.53万</t>
  </si>
  <si>
    <t>3501115亿</t>
  </si>
  <si>
    <t>282.45万</t>
  </si>
  <si>
    <t>34975172亿</t>
  </si>
  <si>
    <t>417544690亿</t>
  </si>
  <si>
    <t>75.00万</t>
  </si>
  <si>
    <t>852947100亿</t>
  </si>
  <si>
    <t>9696.73万</t>
  </si>
  <si>
    <t>378.33万</t>
  </si>
  <si>
    <t>3834.44万</t>
  </si>
  <si>
    <t>4000.00万</t>
  </si>
  <si>
    <t>-1.28亿</t>
  </si>
  <si>
    <t>7633.52万</t>
  </si>
  <si>
    <t>1459.26万</t>
  </si>
  <si>
    <t>16.13万</t>
  </si>
  <si>
    <t>3613.02万</t>
  </si>
  <si>
    <t>-3104.06万</t>
  </si>
  <si>
    <t>-1900.69万</t>
  </si>
  <si>
    <t>-2723.99万</t>
  </si>
  <si>
    <t>-5553.07万</t>
  </si>
  <si>
    <t>3104.24万</t>
  </si>
  <si>
    <t>7767.24万</t>
  </si>
  <si>
    <t>4235.35万</t>
  </si>
  <si>
    <t>不分配不转增</t>
  </si>
  <si>
    <t>1755.61万</t>
  </si>
  <si>
    <t>14.73亿</t>
  </si>
  <si>
    <t>220360270亿</t>
  </si>
  <si>
    <t>8246.02万</t>
  </si>
  <si>
    <t>1.73亿</t>
  </si>
  <si>
    <t>3253.50万</t>
  </si>
  <si>
    <t>7670.41万</t>
  </si>
  <si>
    <t>3764.89万</t>
  </si>
  <si>
    <t>2465.65万</t>
  </si>
  <si>
    <t>11282544亿</t>
  </si>
  <si>
    <t>3.32万</t>
  </si>
  <si>
    <t>40551127亿</t>
  </si>
  <si>
    <t>305699610亿</t>
  </si>
  <si>
    <t>966544400亿</t>
  </si>
  <si>
    <t>5.70亿</t>
  </si>
  <si>
    <t>5705.17万</t>
  </si>
  <si>
    <t>2445.42万</t>
  </si>
  <si>
    <t>6005.76万</t>
  </si>
  <si>
    <t>221.00万</t>
  </si>
  <si>
    <t>5.89亿</t>
  </si>
  <si>
    <t>6715.13万</t>
  </si>
  <si>
    <t>-1903.77万</t>
  </si>
  <si>
    <t>-2801.31万</t>
  </si>
  <si>
    <t>-3266.16万</t>
  </si>
  <si>
    <t>1639.54万</t>
  </si>
  <si>
    <t>3.49亿</t>
  </si>
  <si>
    <t>3209.42万</t>
  </si>
  <si>
    <t>-1725.80万</t>
  </si>
  <si>
    <t>-2330.51万</t>
  </si>
  <si>
    <t>10派5元(含税)</t>
  </si>
  <si>
    <t>214.44万</t>
  </si>
  <si>
    <t>2123.18万</t>
  </si>
  <si>
    <t xml:space="preserve">
市值43.8416亿, 利润8246.02万; PE115.4, PB2.98; ROIC37.9133%; ROE110.005%; 股利率1.0036%; 毛利86.93%; 净利-35.7667%; 上一年度营收增-33.45%, 利润增-46.8%; 当季营收增-35.64%, 利润增-52.75%; 过往5年营收增371.84%, 利润增228.41%
Income profile:
</t>
  </si>
  <si>
    <t>1.问：现在有很多人都担心疫情结束后，因缺少了新冠疫苗的销售会出现利润大幅下降的情况，请问21年新冠疫苗的销售利润有多少，今后会不会真的出现利润大幅下滑的情况？答：公司将一如既往积极配合国家疫情防控政策的执行与新冠疫苗接种计划的实施，全力推进新冠疫苗研发进展，做好疫苗保质保量生产、供应等工作，持续为新冠疫情防控贡献智飞力量。2.2021年5月底股价达到最高位230元，对应PE95，PB45；如今回落价格88元左右；</t>
    <phoneticPr fontId="1" type="noConversion"/>
  </si>
  <si>
    <t>1.钟睒睒是实控人75%的股份；1/4的市值流通；</t>
    <phoneticPr fontId="1" type="noConversion"/>
  </si>
  <si>
    <t>1.问：如何看待HPV疫苗的阶段性的渗透率峰值？答：远远未到。</t>
    <phoneticPr fontId="1" type="noConversion"/>
  </si>
  <si>
    <t>公司是从事体外诊断试剂、自动化检测设备（IVD)、疫苗研发生产及销售的高新技术企业,其主要产品有疫苗、免疫诊断试剂、生化试剂、质控品、活性原料。
市值1170.64335亿, 利润20.21亿; PE24.51, PB9.49; ROIC31.6767%; ROE33.87%; 股利率0.0152%; 毛利80.8233%; 净利31.2%; 上一年度营收增144.27%, 利润增198.52%; 当季营收增66.7%, 利润增339.08%; 过往5年营收增55.91%, 利润增98.09%
Income profile:
疫苗 32.78亿 57.00% 61.65% 92.78%
试剂 17.05亿 29.65% 26.90% 77.81%
活性原料 3.77亿 6.56% 7.42% 97.14%
代理产品 1.48亿 2.57% 1.66% 55.55%
技术服务收入 1.05亿 1.82% 1.84% 86.79%
仪器 9005.72万 1.57% -0.26% -14.27%</t>
  </si>
  <si>
    <t>1.疫苗业务过于单一；</t>
    <phoneticPr fontId="1" type="noConversion"/>
  </si>
  <si>
    <t>公司主营业务为人用疫苗的研发、生产和销售。公司的主要产品为免疫规划疫苗、非免疫规划疫苗。目前主要上市销售的产品有13价肺炎球菌多糖结合疫苗、无细胞百白破b型流感嗜血杆菌联合疫苗、23价肺炎球菌多糖疫苗、重组乙型肝炎疫苗(酿酒酵母)、b型流感嗜血杆菌结合疫苗、冻干b型流感嗜血杆菌结合疫苗等，另有新冠灭活疫苗于2021年5月在国内获批紧急使用，重组新型冠状病毒疫苗（Y25腺病毒载体）于2021年10月获得印度尼西亚国家药品和食品监管局紧急使用授权。
市值406.73924亿, 利润12.63亿; PE94.52, PB4.63; ROIC15.1533%; ROE17.7067%; 股利率2.3416%; 毛利89.4167%; 净利22.0633%; 上一年度营收增61.52%, 利润增86.01%; 当季营收增-44.37%, 利润增-133.48%; 过往5年营收增51.65%, 利润增77.63%
Income profile:
自主产品-非免疫规划疫苗 24.86亿 68.07% 64.76% 69.45%
自主产品-免疫规划疫苗 11.64亿 31.87% 35.20% 80.61%
其他业务收入 232.77万 0.06% 0.04% 49.24%</t>
  </si>
  <si>
    <t>公司的主营业务为研发、生产和商业化符合中国及国际标准的创新型疫苗。公司主要产品为埃博拉病毒病疫苗、脑膜炎疫苗、百白破疫苗、肺炎疫苗、结核病疫苗、带状疱疹疫苗、新冠肺炎疫苗、腺病毒疫苗、脊髓灰质炎疫苗。
市值344.15332亿, 利润19.14亿; PE324.4, PB4.77; ROIC-1.3867%; ROE0.4133%; 股利率0.5752%; 毛利67.1567%; 净利-2819.0533%; 上一年度营收增17176.01%, 利润增582.12%; 当季营收增-92.45%, 利润增-333.06%; 过往5年营收增3914.07%, 利润增54.42%
Income profile:
疫苗类产品 43.00亿 100.00% 100.00% 69.85%</t>
  </si>
  <si>
    <t xml:space="preserve">
</t>
    <phoneticPr fontId="1" type="noConversion"/>
  </si>
  <si>
    <t>1.为国内首个上市销售的人二倍体细胞狂犬病疫苗，打破了国内狂犬病疫苗一直沿用动物细胞制备的局限；</t>
    <phoneticPr fontId="1" type="noConversion"/>
  </si>
  <si>
    <t>1.2021年的目标是15亿销售额，6亿利润。而上半年才5.6亿的销售额，由此推算下半年业绩很难翻倍，所以股权激励的增速很可能达不到</t>
    <phoneticPr fontId="1" type="noConversion"/>
  </si>
  <si>
    <t xml:space="preserve">
市值130.745586亿, 利润8.29亿; PE17.92, PB4.41; ROIC34.3767%; ROE36.0633%; 股利率1.5448%; 毛利94.0133%; 净利40.2667%; 上一年度营收增24.35%, 利润增103.19%; 当季营收增73.05%, 利润增-49.45%; 过往5年营收增81.23%, 利润增273.59%
Income profile:
狂犬病疫苗 10.00亿 96.27% 毛利94.25%
脑膜炎疫苗 3869.40万 3.73% 毛利86.25%</t>
  </si>
  <si>
    <t>1. 国内唯一医药级的原料生产；2. 扩展到其他部位等美容。3.是国内最早实现微生物发酵法生产透明质酸的企业之一，提高产率，降低成本；4.四大全球领先技术：微生物发酵；酶切技术和分子量精准控制；透明质酸“梯度 3D 交联”；玻璃酸钠注射液国内率先采用终端湿热灭菌；5. 从港股退回科创板后ToC相对比较成功，带动了估值和预期</t>
    <phoneticPr fontId="1" type="noConversion"/>
  </si>
  <si>
    <t>1. 核心技术专利为45万元一次性购买，总的研发投入低于行业；华熙生物</t>
    <phoneticPr fontId="1" type="noConversion"/>
  </si>
  <si>
    <t xml:space="preserve">
市值77.202983亿, 利润1.08亿; PE109.6, PB8.7; ROIC4.3567%; ROE13.88%; 股利率0%; 毛利93.0467%; 净利2.4333%; 上一年度营收增52.19%, 利润增198.92%; 当季营收增18.77%, 利润增-118.52%; 过往5年营收增1927.09%, 利润增86.63%
Income profile:
原料产品40.37%（毛利76.12%） 功能性护肤品33.66%（毛利78.54%） 医疗终端产品25.94%（毛利86.67%) 其他0.02%(毛利36.17%）</t>
  </si>
  <si>
    <t>2.64亿</t>
  </si>
  <si>
    <t>24.41亿</t>
  </si>
  <si>
    <t>5.53亿</t>
  </si>
  <si>
    <t>23.63亿</t>
  </si>
  <si>
    <t>14.19亿</t>
  </si>
  <si>
    <t>2.45亿</t>
  </si>
  <si>
    <t>1.94亿</t>
  </si>
  <si>
    <t>10转4.5股派9元(含税)</t>
  </si>
  <si>
    <t>SH688089</t>
  </si>
  <si>
    <t>嘉必优</t>
  </si>
  <si>
    <t>2.29亿</t>
  </si>
  <si>
    <t>9698.60万</t>
  </si>
  <si>
    <t>SZ300009</t>
  </si>
  <si>
    <t>安科生物</t>
  </si>
  <si>
    <t>1684.69万</t>
  </si>
  <si>
    <t>SH688278</t>
  </si>
  <si>
    <t>特宝生物</t>
  </si>
  <si>
    <t>230.59万</t>
  </si>
  <si>
    <t>SZ000661</t>
  </si>
  <si>
    <t>长春高新</t>
  </si>
  <si>
    <t>469.62万</t>
  </si>
  <si>
    <t>1.子公司金赛药业主打生长素，利润贡献占比将近98%；2.新的子公司百克生物主要产品为水痘（带状疱疹）疫苗，市值249亿，pe130；</t>
    <phoneticPr fontId="1" type="noConversion"/>
  </si>
  <si>
    <r>
      <t>1.新患者方面，受新冠</t>
    </r>
    <r>
      <rPr>
        <sz val="9"/>
        <color rgb="FFFF0000"/>
        <rFont val="宋体"/>
        <family val="3"/>
        <charset val="134"/>
        <scheme val="minor"/>
      </rPr>
      <t>疫情因素影响</t>
    </r>
    <r>
      <rPr>
        <sz val="9"/>
        <color theme="1"/>
        <rFont val="宋体"/>
        <family val="2"/>
        <charset val="134"/>
        <scheme val="minor"/>
      </rPr>
      <t>，上半年整体新患增幅较小。随着疫情的减缓，公司近期新患入组情况逐渐恢复；2.生长素比例：粉剂9%，水剂70%， 长效21%；</t>
    </r>
    <phoneticPr fontId="1" type="noConversion"/>
  </si>
  <si>
    <t>50.81亿</t>
  </si>
  <si>
    <t>216.94亿</t>
  </si>
  <si>
    <t>2777673500亿</t>
  </si>
  <si>
    <t>126.27亿</t>
  </si>
  <si>
    <t>41.40亿</t>
  </si>
  <si>
    <t>16.86亿</t>
  </si>
  <si>
    <t>8.41亿</t>
  </si>
  <si>
    <t>16.63亿</t>
  </si>
  <si>
    <t>-31937502亿</t>
  </si>
  <si>
    <t>124.09万</t>
  </si>
  <si>
    <t>8.54亿</t>
  </si>
  <si>
    <t>60.02亿</t>
  </si>
  <si>
    <t>2147364700亿</t>
  </si>
  <si>
    <t>15640099000亿</t>
  </si>
  <si>
    <t>23.87亿</t>
  </si>
  <si>
    <t>549.93万</t>
  </si>
  <si>
    <t>6.35亿</t>
  </si>
  <si>
    <t>-4.91亿</t>
  </si>
  <si>
    <t>-8389.44万</t>
  </si>
  <si>
    <t>107.47亿</t>
  </si>
  <si>
    <t>85.77亿</t>
  </si>
  <si>
    <t>73.74亿</t>
  </si>
  <si>
    <t>53.75亿</t>
  </si>
  <si>
    <t>41.02亿</t>
  </si>
  <si>
    <t>37.57亿</t>
  </si>
  <si>
    <t>17.75亿</t>
  </si>
  <si>
    <t>10.06亿</t>
  </si>
  <si>
    <t>11.38亿</t>
  </si>
  <si>
    <t>1419.19万</t>
  </si>
  <si>
    <t>公司的主营业务以生物制药、中成药生产及销售、房地产开发为主导产业，辅以开发区基础设施建设、物业管理等。公司的主要产品为聚乙二醇重组人生长激素注射液、重组人生长激素、注射用重组人促卵泡激素、冻干水痘减毒活疫苗、人用狂犬病疫苗、血栓心脉宁片、银花泌炎灵片等。
市值600.10335亿, 利润41.40亿; PE15.55; 平均PE25.03; 平均PEG.98, PB3.17; ROIC23.94%; ROE28.58%; 股利率.6743%; 毛利87.4033%; 净利35.2567%; 上一年度营收增17.49%, 利润增10.19%; 当季营收增-6.63%, 利润增-24.69%; 过往5年营收增25.47%, 利润增46.71%
Income profile:
基因工程/生物类药品 112.90亿 89.41% 94.42% 92.93%
中成药 6.58亿 5.21% 4.02% 67.93%
房地产 6.44亿 5.10% 1.51% 25.96%
服务业 3410.71万 0.27% 0.05% 16.15%</t>
  </si>
  <si>
    <t>8.58亿</t>
  </si>
  <si>
    <t>36.22亿</t>
  </si>
  <si>
    <t>594174210亿</t>
  </si>
  <si>
    <t>23.31亿</t>
  </si>
  <si>
    <t>7.03亿</t>
  </si>
  <si>
    <t>1.47亿</t>
  </si>
  <si>
    <t>4164.57万</t>
  </si>
  <si>
    <t>431080亿</t>
  </si>
  <si>
    <t>440431600亿</t>
  </si>
  <si>
    <t>2114109000亿</t>
  </si>
  <si>
    <t>4.75亿</t>
  </si>
  <si>
    <t>6.84亿</t>
  </si>
  <si>
    <t>-1.73亿</t>
  </si>
  <si>
    <t>641.16万</t>
  </si>
  <si>
    <t>21.69亿</t>
  </si>
  <si>
    <t>17.01亿</t>
  </si>
  <si>
    <t>17.13亿</t>
  </si>
  <si>
    <t>14.62亿</t>
  </si>
  <si>
    <t>10.96亿</t>
  </si>
  <si>
    <t>2.63亿</t>
  </si>
  <si>
    <t>10派2.5元(含税)</t>
  </si>
  <si>
    <t>5369.07万</t>
  </si>
  <si>
    <t>公司是一家医药高新技术企业,公司主营业务为基因工程药品、生物检测试剂的研发、生产、销售,主要产品有:注射用重组人干扰素α2b冻干粉针、重组人干扰素α2b注射液、重组人干扰素α2b乳膏、重组人干扰素α2b滴眼液、重组人干扰素α2b栓剂、注射用重组人生长激素、抗精子抗体检测试剂盒等。
市值176.36139亿, 利润7.03亿; PE24.63; 平均PE54.71; 平均PEG3.22, PB5.16; ROIC13.9967%; ROE14.8567%; 股利率2.3719%; 毛利78.05%; 净利20.51%; 上一年度营收增7.47%, 利润增239.61%; 当季营收增11.48%, 利润增7.29%; 过往5年营收增16.97%, 利润增65.71%
Income profile:
生物制品 15.56亿 66.76% 74.08% 87.01%
中成药 4.04亿 17.35% 18.43% 83.29%
化学合成药 1.47亿 6.33% 1.66% 20.54%
技术服务 7639.18万 3.28% 2.13% 51.07%
原料药 7234.52万 3.10% 1.87% 47.28%</t>
  </si>
  <si>
    <t>14.92亿</t>
  </si>
  <si>
    <t>419307020亿</t>
  </si>
  <si>
    <t>15.27亿</t>
  </si>
  <si>
    <t>3773.20万</t>
  </si>
  <si>
    <t>4193.78万</t>
  </si>
  <si>
    <t>1895626亿</t>
  </si>
  <si>
    <t>17.41万</t>
  </si>
  <si>
    <t>5.21亿</t>
  </si>
  <si>
    <t>269561430亿</t>
  </si>
  <si>
    <t>276.73万</t>
  </si>
  <si>
    <t>961471380亿</t>
  </si>
  <si>
    <t>9673.63万</t>
  </si>
  <si>
    <t>2184.75万</t>
  </si>
  <si>
    <t>-133.78万</t>
  </si>
  <si>
    <t>11.32亿</t>
  </si>
  <si>
    <t>7.94亿</t>
  </si>
  <si>
    <t>7.30亿</t>
  </si>
  <si>
    <t>4.48亿</t>
  </si>
  <si>
    <t>1.17亿</t>
  </si>
  <si>
    <t>6429.39万</t>
  </si>
  <si>
    <t>1600.29万</t>
  </si>
  <si>
    <t>516.86万</t>
  </si>
  <si>
    <t>5745.24万</t>
  </si>
  <si>
    <t>10派2.13元(含税)</t>
  </si>
  <si>
    <t>1789.61万</t>
  </si>
  <si>
    <t>3857.86万</t>
  </si>
  <si>
    <t>公司是一家主要从事重组蛋白质及其长效修饰药物研发、生产及销售的国家创新型生物医药企业，已开发完成4个治疗用生物技术产品派格宾、特尔立、特尔津、特尔康，用于病毒性肝炎、恶性肿瘤等疾病的治疗。 
市值139.00356亿, 利润2.87亿; PE44.31; 平均PE124.39; 平均PEG3.31, PB9.32; ROIC17.4833%; ROE17.2967%; 股利率.6234%; 毛利89.8033%; 净利16.9167%; 上一年度营收增34.89%, 利润增58.56%; 当季营收增21.54%, 利润增46.51%; 过往5年营收增37.58%, 利润增141.32%
Income profile:
派格宾 11.61亿 76.01% 76.50% 89.49%
特尔津 1.91亿 12.51% 12.15% 86.36%
特尔康 9901.13万 6.48% 6.52% 89.44%
特尔立 6639.22万 4.35% 4.23% 86.54%</t>
  </si>
  <si>
    <r>
      <t>1.</t>
    </r>
    <r>
      <rPr>
        <b/>
        <sz val="9"/>
        <color rgb="FFFF0000"/>
        <rFont val="宋体"/>
        <family val="3"/>
        <charset val="134"/>
        <scheme val="minor"/>
      </rPr>
      <t>慢性乙肝</t>
    </r>
    <r>
      <rPr>
        <sz val="9"/>
        <color theme="1"/>
        <rFont val="宋体"/>
        <family val="2"/>
        <charset val="134"/>
        <scheme val="minor"/>
      </rPr>
      <t>人数多，国外竞品退出国内，派格宾进入市场独占期，但选择抗病毒治疗的比例低于0.6%；集采费用每支840元；2.肿瘤线营收稳定（特尔x都是用在化疗期间），</t>
    </r>
    <r>
      <rPr>
        <sz val="9"/>
        <color rgb="FFFF0000"/>
        <rFont val="宋体"/>
        <family val="3"/>
        <charset val="134"/>
        <scheme val="minor"/>
      </rPr>
      <t>成长激素</t>
    </r>
    <r>
      <rPr>
        <sz val="9"/>
        <color theme="1"/>
        <rFont val="宋体"/>
        <family val="2"/>
        <charset val="134"/>
        <scheme val="minor"/>
      </rPr>
      <t>为主要在研产品；</t>
    </r>
    <phoneticPr fontId="1" type="noConversion"/>
  </si>
  <si>
    <t>SH688114</t>
  </si>
  <si>
    <t>华大智造</t>
  </si>
  <si>
    <t>229.39万</t>
  </si>
  <si>
    <t>SZ001366</t>
  </si>
  <si>
    <t>播恩集团</t>
  </si>
  <si>
    <t>709.36万</t>
  </si>
  <si>
    <t>农产品加工</t>
  </si>
  <si>
    <t>SH603739</t>
  </si>
  <si>
    <t>蔚蓝生物</t>
  </si>
  <si>
    <t>258.13万</t>
  </si>
  <si>
    <t>2309.30万</t>
  </si>
  <si>
    <t>SH603079</t>
  </si>
  <si>
    <t>圣达生物</t>
  </si>
  <si>
    <t>1585.58万</t>
  </si>
  <si>
    <t>SZ002166</t>
  </si>
  <si>
    <t>莱茵生物</t>
  </si>
  <si>
    <t>3321.90万</t>
  </si>
  <si>
    <t>中药</t>
  </si>
  <si>
    <t>巨子生物</t>
  </si>
  <si>
    <t>303.08万</t>
  </si>
  <si>
    <t>SH600223</t>
  </si>
  <si>
    <t>福瑞达</t>
  </si>
  <si>
    <t>2103.97万</t>
  </si>
  <si>
    <t>锦波生物</t>
  </si>
  <si>
    <t>SH600873</t>
  </si>
  <si>
    <t>梅花生物</t>
  </si>
  <si>
    <t>3632.11万</t>
  </si>
  <si>
    <t>871.12万</t>
  </si>
  <si>
    <t>201.45万</t>
  </si>
  <si>
    <t>SH600789</t>
  </si>
  <si>
    <t>鲁抗医药</t>
  </si>
  <si>
    <t>SZ301301</t>
  </si>
  <si>
    <t>川宁生物</t>
  </si>
  <si>
    <t>7640.59万</t>
  </si>
  <si>
    <t>SZ300233</t>
  </si>
  <si>
    <t>金城医药</t>
  </si>
  <si>
    <t>2467.31万</t>
  </si>
  <si>
    <t>SZ301258</t>
  </si>
  <si>
    <t>富士莱</t>
  </si>
  <si>
    <t>656.26万</t>
  </si>
  <si>
    <t>SZ300199</t>
  </si>
  <si>
    <t>翰宇药业</t>
  </si>
  <si>
    <t>6457.76万</t>
  </si>
  <si>
    <t>SZ300381</t>
  </si>
  <si>
    <t>溢多利</t>
  </si>
  <si>
    <t>5752.55万</t>
  </si>
  <si>
    <t>工具</t>
    <phoneticPr fontId="1" type="noConversion"/>
  </si>
  <si>
    <t>农业技术</t>
    <phoneticPr fontId="1" type="noConversion"/>
  </si>
  <si>
    <t>食品饮料</t>
    <phoneticPr fontId="1" type="noConversion"/>
  </si>
  <si>
    <t>化工能源</t>
    <phoneticPr fontId="1" type="noConversion"/>
  </si>
  <si>
    <t>医疗健康</t>
    <phoneticPr fontId="1" type="noConversion"/>
  </si>
  <si>
    <t>港股</t>
  </si>
  <si>
    <t>北交所</t>
  </si>
  <si>
    <t>1.2022年亚太区实现收入2.9亿元，同比增长18%；欧非区实现收入2.5亿元，同比增长84%；美洲区域实现收入0.6亿元，同比增长228%；国内区域实现收入11.6亿元，同比增长32%。</t>
    <phoneticPr fontId="1" type="noConversion"/>
  </si>
  <si>
    <t>18.83亿</t>
  </si>
  <si>
    <t>86.74亿</t>
  </si>
  <si>
    <t>29.11亿</t>
  </si>
  <si>
    <t>-6.07亿</t>
  </si>
  <si>
    <t>33.31亿</t>
  </si>
  <si>
    <t>11.80亿</t>
  </si>
  <si>
    <t>8.32亿</t>
  </si>
  <si>
    <t>-27534亿</t>
  </si>
  <si>
    <t>2397.63万</t>
  </si>
  <si>
    <t>-212938760亿</t>
  </si>
  <si>
    <t>47.76亿</t>
  </si>
  <si>
    <t>673119670亿</t>
  </si>
  <si>
    <t>6452425000亿</t>
  </si>
  <si>
    <t>5760.23万</t>
  </si>
  <si>
    <t>14.86亿</t>
  </si>
  <si>
    <t>-8.70亿</t>
  </si>
  <si>
    <t>-8.08亿</t>
  </si>
  <si>
    <t>-6002.42万</t>
  </si>
  <si>
    <t>42.31亿</t>
  </si>
  <si>
    <t>39.29亿</t>
  </si>
  <si>
    <t>27.80亿</t>
  </si>
  <si>
    <t>10.91亿</t>
  </si>
  <si>
    <t>10.97亿</t>
  </si>
  <si>
    <t>20.26亿</t>
  </si>
  <si>
    <t>-2.44亿</t>
  </si>
  <si>
    <t>1.25亿</t>
  </si>
  <si>
    <t>6.19亿</t>
  </si>
  <si>
    <t>-1.50亿</t>
  </si>
  <si>
    <t>医疗设备</t>
  </si>
  <si>
    <t>1062.90万</t>
  </si>
  <si>
    <t>4345.46万</t>
  </si>
  <si>
    <t>-4-0</t>
  </si>
  <si>
    <t>公司主营业务为基因测序仪及实验室自动化业务相关仪器设备、试剂耗材等生命科学与生物技术领域产品的研发、生产和销售。主要产品有基因测序仪及配套设备、测序配套试剂、数据处理系统、售后维保服务和产品技术支持服务、自动化样本处理系统、实验室自动化流水线、样本处理试剂耗材、细胞组学解决方案、远程超声机器人、BIT产品。
市值241.9011亿, 利润-6.07亿; PE; 平均PE70.97; 平均PEG2.06, PB2.91; ROIC20.11%; ROE15.0233%; 股利率0%; 毛利59.9233%; 净利16.9967%; 上一年度营收增-31.2%, 利润增-129.96%; 当季营收增-14.22%, 利润增-33.99%; 过往5年营收增34.42%, 利润增37.17%
Income profile:
基因测序仪业务 17.58亿 41.56% 47.07% 60.69%
实验室自动化 12.48亿 29.51% 35.75% 64.91%
新业务及其他 12.00亿 28.37% 16.62% 31.39%</t>
  </si>
  <si>
    <t>2.41亿</t>
  </si>
  <si>
    <t>14.36亿</t>
  </si>
  <si>
    <t>4870.64万</t>
  </si>
  <si>
    <t>13.95亿</t>
  </si>
  <si>
    <t>12.31亿</t>
  </si>
  <si>
    <t>8507.92万</t>
  </si>
  <si>
    <t>5561.61万</t>
  </si>
  <si>
    <t>2657.04万</t>
  </si>
  <si>
    <t>50.08万</t>
  </si>
  <si>
    <t>-3979524亿</t>
  </si>
  <si>
    <t>59988309亿</t>
  </si>
  <si>
    <t>509392520亿</t>
  </si>
  <si>
    <t>141.88万</t>
  </si>
  <si>
    <t>5106.62万</t>
  </si>
  <si>
    <t>6490.92万</t>
  </si>
  <si>
    <t>4594.45万</t>
  </si>
  <si>
    <t>17.09亿</t>
  </si>
  <si>
    <t>17.71亿</t>
  </si>
  <si>
    <t>15.10亿</t>
  </si>
  <si>
    <t>10.26亿</t>
  </si>
  <si>
    <t>12.41亿</t>
  </si>
  <si>
    <t>7719.09万</t>
  </si>
  <si>
    <t>8995.33万</t>
  </si>
  <si>
    <t>9199.72万</t>
  </si>
  <si>
    <t>5907.52万</t>
  </si>
  <si>
    <t>2821.66万</t>
  </si>
  <si>
    <t>1852.38万</t>
  </si>
  <si>
    <t>10派1.2元(含税)</t>
  </si>
  <si>
    <t>饲料</t>
  </si>
  <si>
    <t>2108.40万</t>
  </si>
  <si>
    <t xml:space="preserve">
市值21.948888亿, 利润4870.64万; PE82.84; 平均PE33.33; 平均PEG6.02, PB2.56; ROIC12.53%; ROE9.68%; 股利率0.8785%; 毛利14.19%; 净利4.2267%; 上一年度营收增-15.97%, 利润增-36.9%; 当季营收增-38.36%, 利润增-119.91%; 过往5年营收增5.53%, 利润增22.36%
Income profile:
</t>
  </si>
  <si>
    <t>12.09亿</t>
  </si>
  <si>
    <t>18.25亿</t>
  </si>
  <si>
    <t>11.99亿</t>
  </si>
  <si>
    <t>8070.69万</t>
  </si>
  <si>
    <t>10.94亿</t>
  </si>
  <si>
    <t>6.45亿</t>
  </si>
  <si>
    <t>4575081亿</t>
  </si>
  <si>
    <t>8.03万</t>
  </si>
  <si>
    <t>3616328亿</t>
  </si>
  <si>
    <t>319440010亿</t>
  </si>
  <si>
    <t>680.66万</t>
  </si>
  <si>
    <t>1109221370亿</t>
  </si>
  <si>
    <t>7514.03万</t>
  </si>
  <si>
    <t>5.69亿</t>
  </si>
  <si>
    <t>617.16万</t>
  </si>
  <si>
    <t>10.88亿</t>
  </si>
  <si>
    <t>6206.03万</t>
  </si>
  <si>
    <t>-2.97亿</t>
  </si>
  <si>
    <t>11.63亿</t>
  </si>
  <si>
    <t>11.51亿</t>
  </si>
  <si>
    <t>9.60亿</t>
  </si>
  <si>
    <t>8.14亿</t>
  </si>
  <si>
    <t>6984.20万</t>
  </si>
  <si>
    <t>7775.29万</t>
  </si>
  <si>
    <t>8338.49万</t>
  </si>
  <si>
    <t>1056.28万</t>
  </si>
  <si>
    <t>1813.28万</t>
  </si>
  <si>
    <t xml:space="preserve">
市值35.095104亿, 利润8070.69万; PE42.35; 平均PE38.03; 平均PEG4.59, PB2.04; ROIC5.27%; ROE5.21%; 股利率0.721%; 毛利44.61%; 净利9.34%; 上一年度营收增3.1%, 利润增15.56%; 当季营收增23.18%, 利润增20.45%; 过往5年营收增8.29%, 利润增4.7%
Income profile:
</t>
  </si>
  <si>
    <t>9137.42万</t>
  </si>
  <si>
    <t>3041.69万</t>
  </si>
  <si>
    <t>2592.18万</t>
  </si>
  <si>
    <t>3859.68万</t>
  </si>
  <si>
    <t>14293亿</t>
  </si>
  <si>
    <t>2439.17万</t>
  </si>
  <si>
    <t>18851735亿</t>
  </si>
  <si>
    <t>244207190亿</t>
  </si>
  <si>
    <t>5082.80万</t>
  </si>
  <si>
    <t>695345200亿</t>
  </si>
  <si>
    <t>1101.10万</t>
  </si>
  <si>
    <t>7085.89万</t>
  </si>
  <si>
    <t>6888.89万</t>
  </si>
  <si>
    <t>-2.87亿</t>
  </si>
  <si>
    <t>-3401.66万</t>
  </si>
  <si>
    <t>6437.19万</t>
  </si>
  <si>
    <t>8776.23万</t>
  </si>
  <si>
    <t>1430.71万</t>
  </si>
  <si>
    <t>4506.66万</t>
  </si>
  <si>
    <t xml:space="preserve">
市值33.072742亿, 利润9137.42万; PE32.62; 平均PE31.46; 平均PEG3.33, PB2.2; ROIC5.18%; ROE5.52%; 股利率1.0178%; 毛利44.4667%; 净利23.0633%; 上一年度营收增2.54%, 利润增41.95%; 当季营收增33.31%, 利润增69.93%; 过往5年营收增9.44%, 利润增4.6%
Income profile:
</t>
  </si>
  <si>
    <t>4.49亿</t>
  </si>
  <si>
    <t>12.70亿</t>
  </si>
  <si>
    <t>1.85亿</t>
  </si>
  <si>
    <t>7.27亿</t>
  </si>
  <si>
    <t>-5406.29万</t>
  </si>
  <si>
    <t>7.29亿</t>
  </si>
  <si>
    <t>1420.27万</t>
  </si>
  <si>
    <t>6196.33万</t>
  </si>
  <si>
    <t>4292.48万</t>
  </si>
  <si>
    <t>1691249亿</t>
  </si>
  <si>
    <t>299.05万</t>
  </si>
  <si>
    <t>1065905亿</t>
  </si>
  <si>
    <t>125888301亿</t>
  </si>
  <si>
    <t>121.50万</t>
  </si>
  <si>
    <t>676623400亿</t>
  </si>
  <si>
    <t>2.47亿</t>
  </si>
  <si>
    <t>9399.39万</t>
  </si>
  <si>
    <t>7676.97万</t>
  </si>
  <si>
    <t>6758.50万</t>
  </si>
  <si>
    <t>2.95亿</t>
  </si>
  <si>
    <t>6442.15万</t>
  </si>
  <si>
    <t>-2.42亿</t>
  </si>
  <si>
    <t>1.77亿</t>
  </si>
  <si>
    <t>7.38亿</t>
  </si>
  <si>
    <t>7.90亿</t>
  </si>
  <si>
    <t>8.67亿</t>
  </si>
  <si>
    <t>5.19亿</t>
  </si>
  <si>
    <t>4.93亿</t>
  </si>
  <si>
    <t>3148.44万</t>
  </si>
  <si>
    <t>7575.65万</t>
  </si>
  <si>
    <t>4703.03万</t>
  </si>
  <si>
    <t>4454.44万</t>
  </si>
  <si>
    <t>349.10万</t>
  </si>
  <si>
    <t>10派0.6元(含税)</t>
  </si>
  <si>
    <t>4556.01万</t>
  </si>
  <si>
    <t xml:space="preserve">
市值22.032019亿, 利润-5406.29万; PE; 平均PE38.68; 平均PEG3.49, PB1.77; ROIC10.4133%; ROE2.5633%; 股利率0.4662%; 毛利21.4067%; 净利4.2433%; 上一年度营收增-1.49%, 利润增-271.71%; 当季营收增9.47%, 利润增9.23%; 过往5年营收增11.07%, 利润增-13.45%
Income profile:
</t>
  </si>
  <si>
    <t>14.21亿</t>
  </si>
  <si>
    <t>32.04亿</t>
  </si>
  <si>
    <t>3.41亿</t>
  </si>
  <si>
    <t>8251.10万</t>
  </si>
  <si>
    <t>14.06亿</t>
  </si>
  <si>
    <t>11.29亿</t>
  </si>
  <si>
    <t>5402.46万</t>
  </si>
  <si>
    <t>5595.03万</t>
  </si>
  <si>
    <t>22.79万</t>
  </si>
  <si>
    <t>39570888亿</t>
  </si>
  <si>
    <t>291015040亿</t>
  </si>
  <si>
    <t>635.61万</t>
  </si>
  <si>
    <t>2520544700亿</t>
  </si>
  <si>
    <t>2740.62万</t>
  </si>
  <si>
    <t>-4.64亿</t>
  </si>
  <si>
    <t>-6147.46万</t>
  </si>
  <si>
    <t>14.01亿</t>
  </si>
  <si>
    <t>10.53亿</t>
  </si>
  <si>
    <t>7.41亿</t>
  </si>
  <si>
    <t>8598.94万</t>
  </si>
  <si>
    <t>8166.43万</t>
  </si>
  <si>
    <t>1993.74万</t>
  </si>
  <si>
    <t>-3-0</t>
  </si>
  <si>
    <t>公司主要从事天然健康产品业务,主要产品是罗汉果提取物、甜叶菊提取物、工业大麻提取、茶叶提取物及其他保健护肤提取物（如：八角提取物莽草酸、红景天提取物、积雪草提取物、淫羊藿提取物等）。
市值58.171767亿, 利润8251.10万; PE65.1; 平均PE53.44; 平均PEG2.69, PB1.87; ROIC4.5833%; ROE5.2567%; 股利率2.551%; 毛利27.86%; 净利10.6267%; 上一年度营收增6.64%, 利润增-53.9%; 当季营收增34.78%, 利润增34.37%; 过往5年营收增19.86%, 利润增9.19%
Income profile:
主营业务-植物提取 12.68亿 90.51% 89.86% 28.51%
其他业务-植物提取 6153.17万 4.39% 6.43% 42.05%
主营业务-BT项目 4226.02万 3.02% 3.71% 35.28%</t>
  </si>
  <si>
    <t>2484.85万</t>
  </si>
  <si>
    <t>26.67亿</t>
  </si>
  <si>
    <t>11.30亿</t>
  </si>
  <si>
    <t>4968.49万</t>
  </si>
  <si>
    <t>1129889170亿</t>
  </si>
  <si>
    <t>3540231600亿</t>
  </si>
  <si>
    <t>6165.40万</t>
  </si>
  <si>
    <t>-9.69亿</t>
  </si>
  <si>
    <t>19.01亿</t>
  </si>
  <si>
    <t>10.69亿</t>
  </si>
  <si>
    <t>药品及生物科技</t>
  </si>
  <si>
    <t>3692.79万</t>
  </si>
  <si>
    <t>9642.75万</t>
  </si>
  <si>
    <t xml:space="preserve">
市值356.21亿, 利润11.30亿; PE26.63; 平均PE43.99; 平均PEG8.3, PB9.41; ROIC52.05%; ROE58.4%; 股利率0%; 毛利84.39%; 净利42.36%; 上一年度营收增40.29%, 利润增11.47%; 过往5年营收增5.3%, 利润增11.81%
Income profile:
</t>
  </si>
  <si>
    <t>14.87亿</t>
  </si>
  <si>
    <t>69.83亿</t>
  </si>
  <si>
    <t>13.61亿</t>
  </si>
  <si>
    <t>60.76亿</t>
  </si>
  <si>
    <t>54.38亿</t>
  </si>
  <si>
    <t>16.21亿</t>
  </si>
  <si>
    <t>28.42亿</t>
  </si>
  <si>
    <t>4.92亿</t>
  </si>
  <si>
    <t>-1591343亿</t>
  </si>
  <si>
    <t>286.51万</t>
  </si>
  <si>
    <t>231475780亿</t>
  </si>
  <si>
    <t>11.69亿</t>
  </si>
  <si>
    <t>570111410亿</t>
  </si>
  <si>
    <t>2839514100亿</t>
  </si>
  <si>
    <t>11.09亿</t>
  </si>
  <si>
    <t>720.00万</t>
  </si>
  <si>
    <t>6.94亿</t>
  </si>
  <si>
    <t>12.21亿</t>
  </si>
  <si>
    <t>231.60万</t>
  </si>
  <si>
    <t>7.00亿</t>
  </si>
  <si>
    <t>-6.13亿</t>
  </si>
  <si>
    <t>-5.28亿</t>
  </si>
  <si>
    <t>63.59亿</t>
  </si>
  <si>
    <t>9.71亿</t>
  </si>
  <si>
    <t>13.05亿</t>
  </si>
  <si>
    <t>10派3.8元(含税)</t>
  </si>
  <si>
    <t>1004.09万</t>
  </si>
  <si>
    <t>4751.87万</t>
  </si>
  <si>
    <t>研发、生产和销售透明质酸等生物活性物质原料产品及生物医用材料终端产品；公司的主要产品为玻璃酸钠、透明质酸钠等等玻尿酸各相关系列；
市值296.23212亿, 利润5.93亿; PE46.62; 平均PE44.41; 平均PEG1.11, PB4.18; ROIC11.3967%; ROE12.1733%; 股利率0.6179%; 毛利76.0433%; 净利14.2667%; 上一年度营收增-4.45%, 利润增-38.93%; 当季营收增4.29%, 利润增21.68%; 过往5年营收增40.18%, 利润增10.95%
Income profile:
功能性护肤品 33.19亿 67.09% 67.87% 78.98%
原料产品 9.05亿 18.29% 16.91% 72.19%
医疗终端产品 7.00亿 14.15% 14.87% 82.05%</t>
  </si>
  <si>
    <t>31.38亿</t>
  </si>
  <si>
    <t>46.80亿</t>
  </si>
  <si>
    <t>8.91亿</t>
  </si>
  <si>
    <t>45.79亿</t>
  </si>
  <si>
    <t>3.03亿</t>
  </si>
  <si>
    <t>43.67亿</t>
  </si>
  <si>
    <t>24.50亿</t>
  </si>
  <si>
    <t>2.23亿</t>
  </si>
  <si>
    <t>14659804亿</t>
  </si>
  <si>
    <t>223.99万</t>
  </si>
  <si>
    <t>52017969亿</t>
  </si>
  <si>
    <t>17.34亿</t>
  </si>
  <si>
    <t>502081730亿</t>
  </si>
  <si>
    <t>6817.17万</t>
  </si>
  <si>
    <t>4595805600亿</t>
  </si>
  <si>
    <t>7.05亿</t>
  </si>
  <si>
    <t>24.02亿</t>
  </si>
  <si>
    <t>6.65亿</t>
  </si>
  <si>
    <t>26.73亿</t>
  </si>
  <si>
    <t>-30.97亿</t>
  </si>
  <si>
    <t>129.51亿</t>
  </si>
  <si>
    <t>123.63亿</t>
  </si>
  <si>
    <t>136.15亿</t>
  </si>
  <si>
    <t>102.89亿</t>
  </si>
  <si>
    <t>88.21亿</t>
  </si>
  <si>
    <t>4545.53万</t>
  </si>
  <si>
    <t>3.62亿</t>
  </si>
  <si>
    <t>12.72亿</t>
  </si>
  <si>
    <t>5532.94万</t>
  </si>
  <si>
    <t>3.27亿</t>
  </si>
  <si>
    <t>0303000000</t>
  </si>
  <si>
    <t>0909000000</t>
  </si>
  <si>
    <t>01818000000</t>
  </si>
  <si>
    <t>03030000000</t>
  </si>
  <si>
    <t>06060000000</t>
  </si>
  <si>
    <t xml:space="preserve">
市值80.207276亿, 利润3.03亿; PE34.41; 平均PE25.92; 平均PEG6.44, PB1.97; ROIC2.11%; ROE4.7833%; 股利率1.2674%; 毛利32.4733%; 净利4.1933%; 上一年度营收增-64.64%, 利润增566.59%; 当季营收增-29.95%, 利润增-54.24%; 过往5年营收增-4.02%, 利润增126.8%
Income profile:
</t>
  </si>
  <si>
    <t>33.17万</t>
  </si>
  <si>
    <t>5.13亿</t>
  </si>
  <si>
    <t>8.46亿</t>
  </si>
  <si>
    <t>5.17亿</t>
  </si>
  <si>
    <t>2.97亿</t>
  </si>
  <si>
    <t>5188.34万</t>
  </si>
  <si>
    <t>5936.27万</t>
  </si>
  <si>
    <t>4934.26万</t>
  </si>
  <si>
    <t>176700亿</t>
  </si>
  <si>
    <t>118.91万</t>
  </si>
  <si>
    <t>183606790亿</t>
  </si>
  <si>
    <t>687125710亿</t>
  </si>
  <si>
    <t>6968.21万</t>
  </si>
  <si>
    <t>7926.98万</t>
  </si>
  <si>
    <t>3466.11万</t>
  </si>
  <si>
    <t>1.82亿</t>
  </si>
  <si>
    <t>-1.24亿</t>
  </si>
  <si>
    <t>5738.73万</t>
  </si>
  <si>
    <t>3194.84万</t>
  </si>
  <si>
    <t>4526.83万</t>
  </si>
  <si>
    <t>4382.97万</t>
  </si>
  <si>
    <t>3458.52万</t>
  </si>
  <si>
    <t>7023.78万</t>
  </si>
  <si>
    <t>3941.22万</t>
  </si>
  <si>
    <t>223.20万</t>
  </si>
  <si>
    <t>1170.30万</t>
  </si>
  <si>
    <t xml:space="preserve">
市值183.8322亿, 利润1.09亿; PE79.51; 平均PE342.52; 平均PEG10.61, PB21.73; ROIC11.2967%; ROE9.31%; 股利率0%; 毛利83.8167%; 净利26.2567%; 上一年度营收增67.38%, 利润增89.94%; 当季营收增105.98%, 利润增696.8%; 过往5年营收增32.29%, 利润增34.03%
Income profile:
</t>
  </si>
  <si>
    <t>1.根据2021年年报数据显示，鲜味剂类产品包括谷氨酸钠、核苷酸占主营业务收入的35%左右；饲料氨基酸类产品包括赖氨酸、苏氨酸、色氨酸等占主营业务收入的37%左右；医药氨基酸类产品包括谷氨酰胺、脯氨酸、亮氨酸、异亮氨酸、腺苷等占主营业务收入的2.5%左右；大原料产品占主营业务收入的16%左右；其他的产品占比在8.4%左右。</t>
    <phoneticPr fontId="1" type="noConversion"/>
  </si>
  <si>
    <t>89.94亿</t>
  </si>
  <si>
    <t>141.63亿</t>
  </si>
  <si>
    <t>64.87亿</t>
  </si>
  <si>
    <t>277.61亿</t>
  </si>
  <si>
    <t>31.81亿</t>
  </si>
  <si>
    <t>241.59亿</t>
  </si>
  <si>
    <t>222.97亿</t>
  </si>
  <si>
    <t>4.14亿</t>
  </si>
  <si>
    <t>8.34亿</t>
  </si>
  <si>
    <t>3912130亿</t>
  </si>
  <si>
    <t>1035.70万</t>
  </si>
  <si>
    <t>636707030亿</t>
  </si>
  <si>
    <t>49.70亿</t>
  </si>
  <si>
    <t>766005060亿</t>
  </si>
  <si>
    <t>9608806600亿</t>
  </si>
  <si>
    <t>15.44亿</t>
  </si>
  <si>
    <t>11.83亿</t>
  </si>
  <si>
    <t>14.26亿</t>
  </si>
  <si>
    <t>65.29亿</t>
  </si>
  <si>
    <t>20.00亿</t>
  </si>
  <si>
    <t>52.29亿</t>
  </si>
  <si>
    <t>-15.09亿</t>
  </si>
  <si>
    <t>-31.08亿</t>
  </si>
  <si>
    <t>279.37亿</t>
  </si>
  <si>
    <t>230.61亿</t>
  </si>
  <si>
    <t>170.50亿</t>
  </si>
  <si>
    <t>145.54亿</t>
  </si>
  <si>
    <t>126.48亿</t>
  </si>
  <si>
    <t>44.06亿</t>
  </si>
  <si>
    <t>10.02亿</t>
  </si>
  <si>
    <t>69.50亿</t>
  </si>
  <si>
    <t>8.01亿</t>
  </si>
  <si>
    <t>10派4.17元(含税)</t>
  </si>
  <si>
    <t>7.47亿</t>
  </si>
  <si>
    <t>公司主要从事氨基酸系列产品研发、生产及销售的公司。公司的主要产品有动物营养氨基酸类产品：赖氨酸、苏氨酸、色氨酸、饲料级缬氨酸、味精渣，淀粉附产品饲料纤维、玉米胚芽、菌体蛋白等
市值317.23011亿, 利润31.81亿; PE10.13; 平均PE14.68; 平均PEG0.83, PB2.2; ROIC16.2067%; ROE23.91%; 股利率3.75%; 毛利20.9733%; 净利12.2333%; 上一年度营收增-0.63%, 利润增-27.8%; 当季营收增-6.66%, 利润增-6.15%; 过往5年营收增17.6%, 利润增39.65%
Income profile:
饲料氨基酸(赖氨酸、苏氨酸、色氨酸等) 78.95亿 37.92%
鲜味剂(谷氨酸钠、核苷酸) 69.37亿 33.32%
大原料副产品(肥料、蛋白粉、胚芽、玉米皮粉、饲料纤维等) 37.75亿 18.13%
其他(黄原胶、海藻糖等) 18.03亿 8.66%
医药氨基酸(谷氨酰胺、脯氨酸、亮氨酸、异亮氨酸、腺苷等) 4.11亿 1.97%</t>
  </si>
  <si>
    <r>
      <t>1.主要是我们</t>
    </r>
    <r>
      <rPr>
        <b/>
        <sz val="9"/>
        <color theme="1"/>
        <rFont val="宋体"/>
        <family val="3"/>
        <charset val="134"/>
        <scheme val="minor"/>
      </rPr>
      <t>对应用不懂</t>
    </r>
    <r>
      <rPr>
        <sz val="9"/>
        <color theme="1"/>
        <rFont val="宋体"/>
        <family val="2"/>
        <charset val="134"/>
        <scheme val="minor"/>
      </rPr>
      <t>，早期来回跟厂家折腾，也有厂家不懂。但是我们也不知道怎么办，那就是说反复逼得我们自己建立了一个团队，那我们现在设置了一个蛮强的团队，我们被逼到这一步了，发现这个应用啊，你不能忽略了，不是简单地一个访问就是了，所以你最后</t>
    </r>
    <r>
      <rPr>
        <b/>
        <sz val="9"/>
        <color theme="1"/>
        <rFont val="宋体"/>
        <family val="3"/>
        <charset val="134"/>
        <scheme val="minor"/>
      </rPr>
      <t>逼得自己团队要变成个专家。</t>
    </r>
    <r>
      <rPr>
        <sz val="9"/>
        <color theme="1"/>
        <rFont val="宋体"/>
        <family val="3"/>
        <charset val="134"/>
        <scheme val="minor"/>
      </rPr>
      <t>2.目前，暂无与公司在业务模式、产品种类上均完全可比的同类企业。全球范围内，以生物材料作为主要研究方向的科技公司包括 Zymergen 和 Gingko Bioworks 等；使用生物法发酵制备产品的公司包括诺维信和杰能科等；致力于以生物工程技术推动研发平台型的公司包括药明生物和华大基因等。</t>
    </r>
    <phoneticPr fontId="1" type="noConversion"/>
  </si>
  <si>
    <t>40.60亿</t>
  </si>
  <si>
    <t>147.73亿</t>
  </si>
  <si>
    <t>21.14亿</t>
  </si>
  <si>
    <t>3.67亿</t>
  </si>
  <si>
    <t>17.33亿</t>
  </si>
  <si>
    <t>15.05亿</t>
  </si>
  <si>
    <t>3820.19万</t>
  </si>
  <si>
    <t>-1664828亿</t>
  </si>
  <si>
    <t>184.27万</t>
  </si>
  <si>
    <t>102994927亿</t>
  </si>
  <si>
    <t>53.90亿</t>
  </si>
  <si>
    <t>291690170亿</t>
  </si>
  <si>
    <t>6286.40万</t>
  </si>
  <si>
    <t>7151482600亿</t>
  </si>
  <si>
    <t>54.43亿</t>
  </si>
  <si>
    <t>7.46亿</t>
  </si>
  <si>
    <t>3000.00万</t>
  </si>
  <si>
    <t>16.52亿</t>
  </si>
  <si>
    <t>251.93万</t>
  </si>
  <si>
    <t>34.10亿</t>
  </si>
  <si>
    <t>-15.59亿</t>
  </si>
  <si>
    <t>5744.14万</t>
  </si>
  <si>
    <t>10派1.9元(含税)</t>
  </si>
  <si>
    <t>1986.62万</t>
  </si>
  <si>
    <t>5053.65万</t>
  </si>
  <si>
    <t>公司从事新型生物基材料的研发、生产及销售。公司目前主要产品为生物法长链二元酸系列产品、生物基戊二、胺生物基聚酰胺。
市值253.82778亿, 利润5.53亿; PE66.63; 平均PE52.81; 平均PEG3.42, PB2.27; ROIC3.0233%; ROE4.3933%; 股利率0.4137%; 毛利39.59%; 净利28.55%; 上一年度营收增3.3%, 利润增-7.06%; 当季营收增-2.55%, 利润增-52.08%; 过往5年营收增15.45%, 利润增12.24%
Income profile:
长链二元酸系列 19.96亿 90.84% 99.09% 42.33%
生物基聚酰胺系列 1.53亿 6.94% 0.61% 3.42%
其他业务 4377.79万 1.99% 0.30% 5.80%</t>
  </si>
  <si>
    <r>
      <t>1.华恒生物目标布局的营养品、新材料等业务均为合成生物学的优势领域；2.以华恒生物所采用的厌氧发酵法生产丙氨酸为例，其</t>
    </r>
    <r>
      <rPr>
        <sz val="9"/>
        <color rgb="FFFF0000"/>
        <rFont val="宋体"/>
        <family val="3"/>
        <charset val="134"/>
        <scheme val="minor"/>
      </rPr>
      <t>原材料为葡萄糖</t>
    </r>
    <r>
      <rPr>
        <sz val="9"/>
        <color theme="1"/>
        <rFont val="宋体"/>
        <family val="2"/>
        <charset val="134"/>
        <scheme val="minor"/>
      </rPr>
      <t>；而传统的酶 法丙氨酸生产采用L-天冬氨酸为原料，上游为石油化工；3.华恒生物的丙氨酸通过合成生物学的方法，突破传统的化学合成路线。传统的丙氨 酸是由“石油-丁烷-顺酐-马来酸-天冬氨酸-丙氨酸”路径实现人工合成，目前仍然为同业内才用的方法。在合成生物学技术全面进步的背景下，公司采用了</t>
    </r>
    <r>
      <rPr>
        <b/>
        <sz val="9"/>
        <color rgb="FFFF0000"/>
        <rFont val="宋体"/>
        <family val="3"/>
        <charset val="134"/>
        <scheme val="minor"/>
      </rPr>
      <t>基因测序、DNA片段编辑</t>
    </r>
    <r>
      <rPr>
        <sz val="9"/>
        <color theme="1"/>
        <rFont val="宋体"/>
        <family val="2"/>
        <charset val="134"/>
        <scheme val="minor"/>
      </rPr>
      <t>等一系列手段，创造性的实现了全球首例采用微生物厌氧发酵生产丙氨酸</t>
    </r>
    <phoneticPr fontId="1" type="noConversion"/>
  </si>
  <si>
    <t>1.如果未来出现革命性的新技术，且公司未能及时应对新技术的迭代趋势，公司的技术存在被替代的风险；</t>
    <phoneticPr fontId="1" type="noConversion"/>
  </si>
  <si>
    <t>21.45亿</t>
  </si>
  <si>
    <t>18.26亿</t>
  </si>
  <si>
    <t>5.01亿</t>
  </si>
  <si>
    <t>19.38亿</t>
  </si>
  <si>
    <t>11.53亿</t>
  </si>
  <si>
    <t>5040.36万</t>
  </si>
  <si>
    <t>159.16万</t>
  </si>
  <si>
    <t>85910725亿</t>
  </si>
  <si>
    <t>257909100亿</t>
  </si>
  <si>
    <t>5841.90万</t>
  </si>
  <si>
    <t>1208314140亿</t>
  </si>
  <si>
    <t>15.29亿</t>
  </si>
  <si>
    <t>9.15亿</t>
  </si>
  <si>
    <t>16.76亿</t>
  </si>
  <si>
    <t>-11.27亿</t>
  </si>
  <si>
    <t>10.25亿</t>
  </si>
  <si>
    <t>8119.83万</t>
  </si>
  <si>
    <t>533.27万</t>
  </si>
  <si>
    <t>2575.92万</t>
  </si>
  <si>
    <t>公司在合成生物学浪潮下诞生和发展主要产品生物基产品，包括氨基酸系列产品（包括L-丙氨酸、DL-丙氨酸、β-丙氨酸、缬氨 酸等）、维生素（D-泛酸钙）、医美原料（α-熊果苷）等，并广泛布局新产品，应用 领域涉及日化、医药及保健品、食品添加剂、饲料等。
市值169.3872亿, 利润3.20亿; PE37.27; 平均PE116.1; 平均PEG3.41, PB8.9; ROIC16.4767%; ROE17.6833%; 股利率0.8371%; 毛利39.24%; 净利21.6567%; 上一年度营收增48.74%, 利润增90.48%; 当季营收增44.79%, 利润增46.53%; 过往5年营收增34.07%, 利润增41.72%
Income profile:
氨基酸产品 8.06亿 84.46% 92.89% 35.56%
其他业务 1.12亿 11.76% 3.75% 10.30%
其他产品 3603.10万 3.78% 3.36% 28.79%</t>
  </si>
  <si>
    <t>50.61亿</t>
  </si>
  <si>
    <t>37.41亿</t>
  </si>
  <si>
    <t>17.99亿</t>
  </si>
  <si>
    <t>61.47亿</t>
  </si>
  <si>
    <t>59.08亿</t>
  </si>
  <si>
    <t>46.31亿</t>
  </si>
  <si>
    <t>5.78亿</t>
  </si>
  <si>
    <t>-1772263亿</t>
  </si>
  <si>
    <t>120.53万</t>
  </si>
  <si>
    <t>53371705亿</t>
  </si>
  <si>
    <t>1027986980亿</t>
  </si>
  <si>
    <t>3739471700亿</t>
  </si>
  <si>
    <t>11.02亿</t>
  </si>
  <si>
    <t>9.40亿</t>
  </si>
  <si>
    <t>1.67万</t>
  </si>
  <si>
    <t>35.17亿</t>
  </si>
  <si>
    <t>13.09亿</t>
  </si>
  <si>
    <t>6.04亿</t>
  </si>
  <si>
    <t>-3.70亿</t>
  </si>
  <si>
    <t>-9392.33万</t>
  </si>
  <si>
    <t>56.21亿</t>
  </si>
  <si>
    <t>49.24亿</t>
  </si>
  <si>
    <t>42.05亿</t>
  </si>
  <si>
    <t>37.33亿</t>
  </si>
  <si>
    <t>33.30亿</t>
  </si>
  <si>
    <t>8909.87万</t>
  </si>
  <si>
    <t>2.28亿</t>
  </si>
  <si>
    <t>16.70亿</t>
  </si>
  <si>
    <t>4568.86万</t>
  </si>
  <si>
    <t>10派0.9元(含税)</t>
  </si>
  <si>
    <t>2.08亿</t>
  </si>
  <si>
    <t>5.85亿</t>
  </si>
  <si>
    <t xml:space="preserve">
市值63.978372亿, 利润2.46亿; PE23.89; 平均PE39.05; 平均PEG2.99, PB1.74; ROIC2.8033%; ROE3.5133%; 股利率1.2605%; 毛利23.1033%; 净利2.87%; 上一年度营收增9.36%, 利润增78.26%; 当季营收增7.72%, 利润增47.32%; 过往5年营收增13.07%, 利润增27.16%
Income profile:
</t>
  </si>
  <si>
    <t>31.65亿</t>
  </si>
  <si>
    <t>69.73亿</t>
  </si>
  <si>
    <t>15.23亿</t>
  </si>
  <si>
    <t>48.23亿</t>
  </si>
  <si>
    <t>36.49亿</t>
  </si>
  <si>
    <t>33.00亿</t>
  </si>
  <si>
    <t>2256.65万</t>
  </si>
  <si>
    <t>5525.81万</t>
  </si>
  <si>
    <t>-3065506亿</t>
  </si>
  <si>
    <t>197.99万</t>
  </si>
  <si>
    <t>351811610亿</t>
  </si>
  <si>
    <t>7.61亿</t>
  </si>
  <si>
    <t>821449660亿</t>
  </si>
  <si>
    <t>4368764700亿</t>
  </si>
  <si>
    <t>5.38亿</t>
  </si>
  <si>
    <t>7.17亿</t>
  </si>
  <si>
    <t>25.36亿</t>
  </si>
  <si>
    <t>-3.53亿</t>
  </si>
  <si>
    <t>-18.08亿</t>
  </si>
  <si>
    <t>38.21亿</t>
  </si>
  <si>
    <t>32.32亿</t>
  </si>
  <si>
    <t>31.43亿</t>
  </si>
  <si>
    <t>33.49亿</t>
  </si>
  <si>
    <t>9138.92万</t>
  </si>
  <si>
    <t>10派2.25元(含税)</t>
  </si>
  <si>
    <t>10-0</t>
  </si>
  <si>
    <t xml:space="preserve">
市值292.96504亿, 利润9.41亿; PE26.21; 平均PE80.84; 平均PEG9.41, PB4; ROIC4.5033%; ROE5.58%; 股利率1.7071%; 毛利25.6467%; 净利10.6967%; 上一年度营收增26.22%, 利润增128.4%; 当季营收增19.92%, 利润增101.49%; 过往5年营收增8.59%, 利润增84.41%
Income profile:
</t>
  </si>
  <si>
    <t>21.35亿</t>
  </si>
  <si>
    <t>37.81亿</t>
  </si>
  <si>
    <t>9.32亿</t>
  </si>
  <si>
    <t>35.38亿</t>
  </si>
  <si>
    <t>19.91亿</t>
  </si>
  <si>
    <t>-164341亿</t>
  </si>
  <si>
    <t>98.40万</t>
  </si>
  <si>
    <t>80313584亿</t>
  </si>
  <si>
    <t>560843820亿</t>
  </si>
  <si>
    <t>9556.57万</t>
  </si>
  <si>
    <t>2370818600亿</t>
  </si>
  <si>
    <t>9400.00万</t>
  </si>
  <si>
    <t>16.00亿</t>
  </si>
  <si>
    <t>6.64亿</t>
  </si>
  <si>
    <t>-3.10亿</t>
  </si>
  <si>
    <t>-2.43亿</t>
  </si>
  <si>
    <t>35.06亿</t>
  </si>
  <si>
    <t>29.62亿</t>
  </si>
  <si>
    <t>27.95亿</t>
  </si>
  <si>
    <t>30.08亿</t>
  </si>
  <si>
    <t>-4.89亿</t>
  </si>
  <si>
    <t>8.30亿</t>
  </si>
  <si>
    <t>5015.47万</t>
  </si>
  <si>
    <t>10派2.00元(含税)</t>
  </si>
  <si>
    <t>4899.58万</t>
  </si>
  <si>
    <t xml:space="preserve">
市值72.245197亿, 利润1.75亿; PE34.81; 平均PE81.17; 平均PEG23.22, PB1.93; ROIC4.3733%; ROE4.5867%; 股利率1.0627%; 毛利47.06%; 净利5.9267%; 上一年度营收增0.91%, 利润增-35.9%; 当季营收增12.29%, 利润增65.43%; 过往5年营收增3.5%, 利润增-25.01%
Income profile:
</t>
  </si>
  <si>
    <r>
      <t>1.目前市场上主要的生产厂家是</t>
    </r>
    <r>
      <rPr>
        <sz val="9"/>
        <color rgb="FFFF0000"/>
        <rFont val="宋体"/>
        <family val="3"/>
        <charset val="134"/>
        <scheme val="minor"/>
      </rPr>
      <t>富士莱、江苏同禾两家</t>
    </r>
    <r>
      <rPr>
        <sz val="9"/>
        <color theme="1"/>
        <rFont val="宋体"/>
        <family val="2"/>
        <charset val="134"/>
        <scheme val="minor"/>
      </rPr>
      <t>。但从长远来看，硫辛酸的市场格局终将会发生变化，这是由一个产品的生命周期和市场竞争规则所决定的。我们已经做好充分的心理准备，一方面不断优化工艺、同时积极拓展硫辛酸的应用领域，巩固在硫辛酸领域的优势地位。</t>
    </r>
    <phoneticPr fontId="1" type="noConversion"/>
  </si>
  <si>
    <t>1.70亿</t>
  </si>
  <si>
    <t>19.46亿</t>
  </si>
  <si>
    <t>9629.13万</t>
  </si>
  <si>
    <t>3.89亿</t>
  </si>
  <si>
    <t>489.21万</t>
  </si>
  <si>
    <t>4599.57万</t>
  </si>
  <si>
    <t>4070.27万</t>
  </si>
  <si>
    <t>7270040亿</t>
  </si>
  <si>
    <t>4.74万</t>
  </si>
  <si>
    <t>3195111亿</t>
  </si>
  <si>
    <t>62907374亿</t>
  </si>
  <si>
    <t>1629680100亿</t>
  </si>
  <si>
    <t>148.89万</t>
  </si>
  <si>
    <t>3928.34万</t>
  </si>
  <si>
    <t>4568.31万</t>
  </si>
  <si>
    <t>9476.86万</t>
  </si>
  <si>
    <t>4856.22万</t>
  </si>
  <si>
    <t>-5388.14万</t>
  </si>
  <si>
    <t>5.68亿</t>
  </si>
  <si>
    <t>5.22亿</t>
  </si>
  <si>
    <t>9326.85万</t>
  </si>
  <si>
    <t>5160.62万</t>
  </si>
  <si>
    <t>1386.50万</t>
  </si>
  <si>
    <t>6371.13万</t>
  </si>
  <si>
    <t>公司主要从事医药中间体、原料药以及保健品原料的研发、生产与销售，主要产品包括硫辛酸系列、磷脂酰胆碱系列、肌肽系列等三大系列产品。
市值25.795938亿, 利润1.12亿; PE38.87; 平均PE19.61; 平均PEG3.23, PB1.32; ROIC11.6667%; ROE11.3067%; 股利率2.1322%; 毛利42.5833%; 净利27.27%; 上一年度营收增-13.91%, 利润增-36.72%; 当季营收增-38.27%, 利润增-88.79%; 过往5年营收增6.08%, 利润增9.8%
Income profile:
硫辛酸系列产品 2.16亿 79.15% 87.78% 50.26%
肌肽系列产品 2869.71万 10.54% 6.59% 28.36%
磷脂酰胆碱系列产品 1482.92万 5.44% 2.50% 20.83%</t>
  </si>
  <si>
    <t>24.94亿</t>
  </si>
  <si>
    <t>7.83亿</t>
  </si>
  <si>
    <t>-5.14亿</t>
  </si>
  <si>
    <t>8.88亿</t>
  </si>
  <si>
    <t>2.43亿</t>
  </si>
  <si>
    <t>26.09万</t>
  </si>
  <si>
    <t>-16074914亿</t>
  </si>
  <si>
    <t>3.44亿</t>
  </si>
  <si>
    <t>170921510亿</t>
  </si>
  <si>
    <t>69.90万</t>
  </si>
  <si>
    <t>421066830亿</t>
  </si>
  <si>
    <t>6731.66万</t>
  </si>
  <si>
    <t>404.48万</t>
  </si>
  <si>
    <t>6.42亿</t>
  </si>
  <si>
    <t>-353.66万</t>
  </si>
  <si>
    <t>9584.55万</t>
  </si>
  <si>
    <t>7.36亿</t>
  </si>
  <si>
    <t>12.64亿</t>
  </si>
  <si>
    <t>-3.71亿</t>
  </si>
  <si>
    <t>3080.78万</t>
  </si>
  <si>
    <t>-6.09亿</t>
  </si>
  <si>
    <t>-8.85亿</t>
  </si>
  <si>
    <t>-3.41亿</t>
  </si>
  <si>
    <t>1860.56万</t>
  </si>
  <si>
    <t>-6-0</t>
  </si>
  <si>
    <t xml:space="preserve">
市值113.761484亿, 利润-5.14亿; PE; 平均PE-25.38; 平均PEG-1.69, PB15.21; ROIC2.84%; ROE-8.8633%; 股利率0%; 毛利70.95%; 净利-31.4333%; 上一年度营收增-38.78%, 利润增-38.54%; 当季营收增-14.77%, 利润增-175.79%; 过往5年营收增-15%, 利润增-273.21%
Income profile:
</t>
  </si>
  <si>
    <t>27.35亿</t>
  </si>
  <si>
    <t>7.96亿</t>
  </si>
  <si>
    <t>-1074.97万</t>
  </si>
  <si>
    <t>8.08亿</t>
  </si>
  <si>
    <t>9750.00万</t>
  </si>
  <si>
    <t>9981.53万</t>
  </si>
  <si>
    <t>-1422107亿</t>
  </si>
  <si>
    <t>9.33万</t>
  </si>
  <si>
    <t>14209597亿</t>
  </si>
  <si>
    <t>6.69亿</t>
  </si>
  <si>
    <t>193289480亿</t>
  </si>
  <si>
    <t>943.61万</t>
  </si>
  <si>
    <t>1523463100亿</t>
  </si>
  <si>
    <t>7435.00万</t>
  </si>
  <si>
    <t>2819.90万</t>
  </si>
  <si>
    <t>5747.48万</t>
  </si>
  <si>
    <t>3.09亿</t>
  </si>
  <si>
    <t>11.74亿</t>
  </si>
  <si>
    <t>18.92亿</t>
  </si>
  <si>
    <t>19.15亿</t>
  </si>
  <si>
    <t>20.48亿</t>
  </si>
  <si>
    <t>17.68亿</t>
  </si>
  <si>
    <t>1823.20万</t>
  </si>
  <si>
    <t>-1.19亿</t>
  </si>
  <si>
    <t>-1367.71万</t>
  </si>
  <si>
    <t>2.55亿</t>
  </si>
  <si>
    <t xml:space="preserve">
市值36.75615亿, 利润-1074.97万; PE162.9; 平均PE75.4; 平均PEG6.08, PB1.4; ROIC0.49%; ROE-1.06%; 股利率0.8%; 毛利38.62%; 净利0.62%; 上一年度营收增-32.2%, 利润增-158.96%; 当季营收增9.94%, 利润增243.53%; 过往5年营收增-12.4%, 利润增-35.65%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</si>
</sst>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sz val="9"/>
      <color theme="1"/>
      <name val="宋体"/>
      <family val="2"/>
      <charset val="134"/>
      <scheme val="minor"/>
    </font>
    <font>
      <b/>
      <sz val="11"/>
      <color theme="1"/>
      <name val="宋体"/>
      <family val="3"/>
      <charset val="134"/>
      <scheme val="minor"/>
    </font>
    <font>
      <b/>
      <sz val="11"/>
      <color rgb="FFFF0000"/>
      <name val="宋体"/>
      <family val="3"/>
      <charset val="134"/>
      <scheme val="minor"/>
    </font>
    <font>
      <sz val="9"/>
      <color rgb="FFFF0000"/>
      <name val="宋体"/>
      <family val="3"/>
      <charset val="134"/>
      <scheme val="minor"/>
    </font>
    <font>
      <sz val="9"/>
      <color theme="1"/>
      <name val="宋体"/>
      <family val="3"/>
      <charset val="134"/>
      <scheme val="minor"/>
    </font>
    <font>
      <b/>
      <sz val="9"/>
      <color rgb="FFFF0000"/>
      <name val="宋体"/>
      <family val="3"/>
      <charset val="134"/>
      <scheme val="minor"/>
    </font>
    <font>
      <b/>
      <i/>
      <sz val="11"/>
      <color rgb="FFFF0000"/>
      <name val="宋体"/>
      <family val="3"/>
      <charset val="134"/>
    </font>
    <font>
      <b/>
      <sz val="9"/>
      <color theme="1"/>
      <name val="宋体"/>
      <family val="3"/>
      <charset val="134"/>
      <scheme val="minor"/>
    </font>
    <font>
      <sz val="9"/>
      <name val="宋体"/>
      <family val="3"/>
      <charset val="134"/>
      <scheme val="minor"/>
    </font>
    <font>
      <b/>
      <sz val="9"/>
      <name val="宋体"/>
      <family val="3"/>
      <charset val="134"/>
      <scheme val="minor"/>
    </font>
  </fonts>
  <fills count="9">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9">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pplyAlignment="1">
      <alignment vertical="center" wrapText="1"/>
    </xf>
    <xf numFmtId="0" fontId="6" fillId="0" borderId="0" xfId="0" applyFont="1" applyAlignment="1">
      <alignment vertical="center" wrapText="1"/>
    </xf>
    <xf numFmtId="10" fontId="0" fillId="0" borderId="0" xfId="0" applyNumberFormat="1">
      <alignment vertical="center"/>
    </xf>
    <xf numFmtId="9" fontId="0" fillId="0" borderId="0" xfId="0" applyNumberFormat="1">
      <alignment vertical="center"/>
    </xf>
    <xf numFmtId="0" fontId="7" fillId="0" borderId="0" xfId="0" applyFont="1" applyFill="1" applyAlignment="1">
      <alignment vertical="center" wrapText="1"/>
    </xf>
    <xf numFmtId="0" fontId="7" fillId="0" borderId="0" xfId="0" applyFont="1" applyAlignment="1">
      <alignment vertical="center" wrapText="1"/>
    </xf>
    <xf numFmtId="0" fontId="8"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8"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7"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6" borderId="0" xfId="0" applyFill="1">
      <alignment vertical="center"/>
    </xf>
    <xf numFmtId="0" fontId="0" fillId="0" borderId="2" xfId="0" applyNumberFormat="1" applyFill="1" applyBorder="1" applyAlignment="1">
      <alignment vertical="center" wrapText="1"/>
    </xf>
    <xf numFmtId="0" fontId="0" fillId="4" borderId="2" xfId="0" applyNumberFormat="1" applyFill="1" applyBorder="1" applyAlignment="1">
      <alignment vertical="center" wrapText="1"/>
    </xf>
    <xf numFmtId="0" fontId="3" fillId="0" borderId="0" xfId="0" applyFont="1">
      <alignment vertical="center"/>
    </xf>
    <xf numFmtId="0" fontId="0" fillId="7" borderId="0" xfId="0" applyFill="1">
      <alignment vertical="center"/>
    </xf>
    <xf numFmtId="0" fontId="0" fillId="8" borderId="0" xfId="0" applyFill="1">
      <alignment vertical="center"/>
    </xf>
    <xf numFmtId="0" fontId="4" fillId="0" borderId="0" xfId="0" applyFont="1">
      <alignment vertical="center"/>
    </xf>
    <xf numFmtId="0" fontId="10" fillId="0" borderId="0" xfId="0" applyFont="1" applyAlignment="1">
      <alignment vertical="center" wrapText="1"/>
    </xf>
    <xf numFmtId="0" fontId="0" fillId="2" borderId="1" xfId="0" applyNumberFormat="1" applyFill="1" applyBorder="1" applyAlignment="1">
      <alignment vertical="center" wrapText="1"/>
    </xf>
    <xf numFmtId="0" fontId="6" fillId="0" borderId="0" xfId="0" applyFont="1" applyBorder="1" applyAlignment="1">
      <alignment vertical="center" wrapText="1"/>
    </xf>
    <xf numFmtId="0" fontId="0" fillId="0" borderId="0" xfId="0" applyAlignment="1">
      <alignment vertical="center" wrapText="1"/>
    </xf>
    <xf numFmtId="0" fontId="5" fillId="0" borderId="0" xfId="2" applyBorder="1" applyAlignment="1">
      <alignment vertical="center" wrapText="1"/>
    </xf>
    <xf numFmtId="14" fontId="0" fillId="0" borderId="0" xfId="0" applyNumberFormat="1">
      <alignment vertical="center"/>
    </xf>
    <xf numFmtId="0" fontId="0" fillId="0" borderId="0" xfId="0" applyNumberFormat="1">
      <alignment vertical="center"/>
    </xf>
    <xf numFmtId="0" fontId="0" fillId="0" borderId="0" xfId="0" applyFill="1" applyBorder="1">
      <alignment vertical="center"/>
    </xf>
    <xf numFmtId="0" fontId="5" fillId="6" borderId="0" xfId="2" applyFill="1" applyAlignment="1">
      <alignment vertical="center" wrapText="1"/>
    </xf>
    <xf numFmtId="0" fontId="5" fillId="0" borderId="0" xfId="2" applyBorder="1" applyAlignment="1">
      <alignment horizontal="center" vertical="center" wrapText="1"/>
    </xf>
    <xf numFmtId="0" fontId="5" fillId="0" borderId="0" xfId="2" applyAlignment="1">
      <alignment horizontal="center" vertical="center" wrapText="1"/>
    </xf>
    <xf numFmtId="0" fontId="0" fillId="0" borderId="0" xfId="0" applyAlignment="1">
      <alignment horizontal="center" vertical="center" wrapText="1"/>
    </xf>
    <xf numFmtId="0" fontId="6" fillId="0" borderId="0" xfId="0" applyFont="1">
      <alignment vertical="center"/>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1195388</xdr:colOff>
          <xdr:row>1</xdr:row>
          <xdr:rowOff>481013</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1195388</xdr:colOff>
          <xdr:row>1</xdr:row>
          <xdr:rowOff>481013</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1195388</xdr:colOff>
          <xdr:row>1</xdr:row>
          <xdr:rowOff>481013</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1195388</xdr:colOff>
          <xdr:row>1</xdr:row>
          <xdr:rowOff>481013</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1195388</xdr:colOff>
          <xdr:row>1</xdr:row>
          <xdr:rowOff>481013</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252413</xdr:colOff>
          <xdr:row>1</xdr:row>
          <xdr:rowOff>138113</xdr:rowOff>
        </xdr:from>
        <xdr:to>
          <xdr:col>1</xdr:col>
          <xdr:colOff>1195388</xdr:colOff>
          <xdr:row>1</xdr:row>
          <xdr:rowOff>481013</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52388</xdr:colOff>
          <xdr:row>37</xdr:row>
          <xdr:rowOff>52388</xdr:rowOff>
        </xdr:from>
        <xdr:to>
          <xdr:col>15</xdr:col>
          <xdr:colOff>547688</xdr:colOff>
          <xdr:row>59</xdr:row>
          <xdr:rowOff>90488</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100013</xdr:colOff>
          <xdr:row>1</xdr:row>
          <xdr:rowOff>38100</xdr:rowOff>
        </xdr:from>
        <xdr:to>
          <xdr:col>25</xdr:col>
          <xdr:colOff>471488</xdr:colOff>
          <xdr:row>36</xdr:row>
          <xdr:rowOff>100013</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166688</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34880;&#21046;&#21697;&#21033;&#22522;.docx"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30123;&#33495;&#21033;&#22522;.docx"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21307;&#32654;&#21033;&#22522;%20.docx"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hyperlink" Target="&#21512;&#25104;&#29983;&#29289;&#21033;&#22522;.docx" TargetMode="Externa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7.vml"/><Relationship Id="rId7" Type="http://schemas.openxmlformats.org/officeDocument/2006/relationships/image" Target="../media/image2.emf"/><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image" Target="../media/image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Q9"/>
  <sheetViews>
    <sheetView zoomScale="85" zoomScaleNormal="85" workbookViewId="0">
      <selection activeCell="D3" sqref="D3"/>
    </sheetView>
  </sheetViews>
  <sheetFormatPr defaultRowHeight="13.5"/>
  <cols>
    <col min="1" max="1" width="21.53125" style="29" customWidth="1"/>
    <col min="2" max="2" width="39.796875" customWidth="1"/>
    <col min="3" max="3" width="38.06640625" customWidth="1"/>
    <col min="4" max="4" width="53" customWidth="1"/>
    <col min="5" max="5" width="17.19921875" customWidth="1"/>
    <col min="6" max="6" width="16.796875" customWidth="1"/>
  </cols>
  <sheetData>
    <row r="1" spans="1:147" s="17" customFormat="1">
      <c r="A1" s="18" t="s">
        <v>408</v>
      </c>
      <c r="B1" s="20" t="s">
        <v>35</v>
      </c>
      <c r="C1" s="21" t="s">
        <v>624</v>
      </c>
      <c r="D1" s="20" t="s">
        <v>537</v>
      </c>
      <c r="E1" t="s">
        <v>2</v>
      </c>
      <c r="F1" t="s">
        <v>3</v>
      </c>
      <c r="G1" t="s">
        <v>0</v>
      </c>
      <c r="H1" t="s">
        <v>592</v>
      </c>
      <c r="I1" t="s">
        <v>626</v>
      </c>
      <c r="J1" t="s">
        <v>4</v>
      </c>
      <c r="K1" t="s">
        <v>5</v>
      </c>
      <c r="L1" t="s">
        <v>1</v>
      </c>
      <c r="M1" t="s">
        <v>6</v>
      </c>
      <c r="N1" t="s">
        <v>36</v>
      </c>
      <c r="O1" t="s">
        <v>37</v>
      </c>
      <c r="P1" t="s">
        <v>38</v>
      </c>
      <c r="Q1" t="s">
        <v>627</v>
      </c>
      <c r="R1" t="s">
        <v>593</v>
      </c>
      <c r="S1" t="s">
        <v>628</v>
      </c>
      <c r="T1" t="s">
        <v>39</v>
      </c>
      <c r="U1" t="s">
        <v>594</v>
      </c>
      <c r="V1" t="s">
        <v>595</v>
      </c>
      <c r="W1" t="s">
        <v>40</v>
      </c>
      <c r="X1" t="s">
        <v>538</v>
      </c>
      <c r="Y1" t="s">
        <v>539</v>
      </c>
      <c r="Z1" t="s">
        <v>540</v>
      </c>
      <c r="AA1" t="s">
        <v>541</v>
      </c>
      <c r="AB1" t="s">
        <v>542</v>
      </c>
      <c r="AC1" t="s">
        <v>596</v>
      </c>
      <c r="AD1" t="s">
        <v>543</v>
      </c>
      <c r="AE1" t="s">
        <v>629</v>
      </c>
      <c r="AF1" t="s">
        <v>41</v>
      </c>
      <c r="AG1" t="s">
        <v>42</v>
      </c>
      <c r="AH1" t="s">
        <v>597</v>
      </c>
      <c r="AI1" t="s">
        <v>630</v>
      </c>
      <c r="AJ1" t="s">
        <v>598</v>
      </c>
      <c r="AK1" t="s">
        <v>43</v>
      </c>
      <c r="AL1" t="s">
        <v>599</v>
      </c>
      <c r="AM1" t="s">
        <v>409</v>
      </c>
      <c r="AN1" t="s">
        <v>600</v>
      </c>
      <c r="AO1" t="s">
        <v>601</v>
      </c>
      <c r="AP1" t="s">
        <v>602</v>
      </c>
      <c r="AQ1" t="s">
        <v>603</v>
      </c>
      <c r="AR1" t="s">
        <v>604</v>
      </c>
      <c r="AS1" t="s">
        <v>605</v>
      </c>
      <c r="AT1" t="s">
        <v>606</v>
      </c>
      <c r="AU1" t="s">
        <v>607</v>
      </c>
      <c r="AV1" t="s">
        <v>608</v>
      </c>
      <c r="AW1" t="s">
        <v>609</v>
      </c>
      <c r="AX1" t="s">
        <v>610</v>
      </c>
      <c r="AY1" t="s">
        <v>631</v>
      </c>
      <c r="AZ1" t="s">
        <v>410</v>
      </c>
      <c r="BA1" t="s">
        <v>411</v>
      </c>
      <c r="BB1" t="s">
        <v>412</v>
      </c>
      <c r="BC1" t="s">
        <v>413</v>
      </c>
      <c r="BD1" t="s">
        <v>419</v>
      </c>
      <c r="BE1" t="s">
        <v>414</v>
      </c>
      <c r="BF1" t="s">
        <v>415</v>
      </c>
      <c r="BG1" t="s">
        <v>416</v>
      </c>
      <c r="BH1" t="s">
        <v>417</v>
      </c>
      <c r="BI1" t="s">
        <v>632</v>
      </c>
      <c r="BJ1" t="s">
        <v>611</v>
      </c>
      <c r="BK1" t="s">
        <v>418</v>
      </c>
      <c r="BL1" t="s">
        <v>612</v>
      </c>
      <c r="BM1" t="s">
        <v>613</v>
      </c>
      <c r="BN1" t="s">
        <v>614</v>
      </c>
      <c r="BO1" t="s">
        <v>615</v>
      </c>
      <c r="BP1" t="s">
        <v>420</v>
      </c>
      <c r="BQ1" t="s">
        <v>421</v>
      </c>
      <c r="BR1" t="s">
        <v>422</v>
      </c>
      <c r="BS1" t="s">
        <v>616</v>
      </c>
      <c r="BT1" t="s">
        <v>423</v>
      </c>
      <c r="BU1" t="s">
        <v>424</v>
      </c>
      <c r="BV1" t="s">
        <v>425</v>
      </c>
      <c r="BW1" t="s">
        <v>617</v>
      </c>
      <c r="BX1" t="s">
        <v>426</v>
      </c>
      <c r="BY1" t="s">
        <v>427</v>
      </c>
      <c r="BZ1" t="s">
        <v>618</v>
      </c>
      <c r="CA1" t="s">
        <v>428</v>
      </c>
      <c r="CB1" t="s">
        <v>429</v>
      </c>
      <c r="CC1" t="s">
        <v>633</v>
      </c>
      <c r="CD1" t="s">
        <v>634</v>
      </c>
      <c r="CE1" t="s">
        <v>635</v>
      </c>
      <c r="CF1" t="s">
        <v>636</v>
      </c>
      <c r="CG1" s="1" t="s">
        <v>544</v>
      </c>
      <c r="CH1" s="1" t="s">
        <v>545</v>
      </c>
      <c r="CI1" s="1" t="s">
        <v>546</v>
      </c>
      <c r="CJ1" s="1" t="s">
        <v>547</v>
      </c>
      <c r="CK1" s="1" t="s">
        <v>548</v>
      </c>
      <c r="CL1" s="1" t="s">
        <v>549</v>
      </c>
      <c r="CM1" s="1" t="s">
        <v>550</v>
      </c>
      <c r="CN1" s="1" t="s">
        <v>551</v>
      </c>
      <c r="CO1" s="1" t="s">
        <v>552</v>
      </c>
      <c r="CP1" s="1" t="s">
        <v>553</v>
      </c>
      <c r="CQ1" s="1" t="s">
        <v>554</v>
      </c>
      <c r="CR1" s="1" t="s">
        <v>555</v>
      </c>
      <c r="CS1" s="1" t="s">
        <v>637</v>
      </c>
      <c r="CT1" s="1" t="s">
        <v>638</v>
      </c>
      <c r="CU1" s="1" t="s">
        <v>639</v>
      </c>
      <c r="CV1" s="1" t="s">
        <v>640</v>
      </c>
      <c r="CW1" s="1" t="s">
        <v>556</v>
      </c>
      <c r="CX1" s="1" t="s">
        <v>642</v>
      </c>
      <c r="CY1">
        <v>1</v>
      </c>
      <c r="CZ1" t="s">
        <v>643</v>
      </c>
      <c r="DA1" t="s">
        <v>644</v>
      </c>
      <c r="DB1">
        <v>3</v>
      </c>
      <c r="DC1" t="s">
        <v>645</v>
      </c>
      <c r="DD1" t="s">
        <v>646</v>
      </c>
      <c r="DE1">
        <v>6</v>
      </c>
      <c r="DF1" t="s">
        <v>647</v>
      </c>
      <c r="DG1" t="s">
        <v>557</v>
      </c>
      <c r="DH1">
        <v>10</v>
      </c>
      <c r="DI1" t="s">
        <v>649</v>
      </c>
      <c r="DJ1" t="s">
        <v>583</v>
      </c>
      <c r="DK1">
        <v>20</v>
      </c>
      <c r="DL1" t="s">
        <v>558</v>
      </c>
      <c r="DM1" t="s">
        <v>559</v>
      </c>
      <c r="DN1" t="s">
        <v>560</v>
      </c>
      <c r="DO1" s="2" t="s">
        <v>561</v>
      </c>
      <c r="DP1" t="s">
        <v>652</v>
      </c>
      <c r="DQ1" t="s">
        <v>653</v>
      </c>
      <c r="DR1" s="1" t="s">
        <v>654</v>
      </c>
      <c r="DS1" s="1" t="s">
        <v>655</v>
      </c>
      <c r="DT1" s="1" t="s">
        <v>656</v>
      </c>
      <c r="DU1" t="s">
        <v>657</v>
      </c>
      <c r="DV1" t="s">
        <v>658</v>
      </c>
      <c r="DW1" t="s">
        <v>659</v>
      </c>
      <c r="DX1" t="s">
        <v>660</v>
      </c>
      <c r="DY1" t="s">
        <v>661</v>
      </c>
      <c r="DZ1" t="s">
        <v>662</v>
      </c>
      <c r="EA1" t="s">
        <v>562</v>
      </c>
      <c r="EB1" t="s">
        <v>664</v>
      </c>
      <c r="EC1" t="s">
        <v>665</v>
      </c>
      <c r="ED1" t="s">
        <v>666</v>
      </c>
      <c r="EE1" t="s">
        <v>667</v>
      </c>
      <c r="EF1" t="s">
        <v>668</v>
      </c>
      <c r="EG1" t="s">
        <v>669</v>
      </c>
      <c r="EH1" t="s">
        <v>670</v>
      </c>
      <c r="EI1" t="s">
        <v>671</v>
      </c>
      <c r="EJ1" t="s">
        <v>672</v>
      </c>
      <c r="EK1"/>
    </row>
    <row r="2" spans="1:147" s="17" customFormat="1" ht="50.55" customHeight="1">
      <c r="A2" s="18"/>
      <c r="B2" s="27"/>
      <c r="C2" s="27">
        <v>3</v>
      </c>
      <c r="D2" s="27">
        <v>9</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s="33" customFormat="1" ht="146.25">
      <c r="A3" s="35" t="s">
        <v>1563</v>
      </c>
      <c r="B3" s="4" t="s">
        <v>711</v>
      </c>
      <c r="C3" s="4" t="s">
        <v>712</v>
      </c>
      <c r="D3" s="4" t="s">
        <v>1832</v>
      </c>
      <c r="E3" t="s">
        <v>13</v>
      </c>
      <c r="F3" t="s">
        <v>14</v>
      </c>
      <c r="G3">
        <v>22.71</v>
      </c>
      <c r="H3">
        <v>3.46</v>
      </c>
      <c r="I3" t="s">
        <v>1811</v>
      </c>
      <c r="J3">
        <v>41431368000</v>
      </c>
      <c r="K3">
        <v>36.369999999999997</v>
      </c>
      <c r="L3">
        <v>4.05</v>
      </c>
      <c r="M3" t="s">
        <v>8</v>
      </c>
      <c r="N3" t="s">
        <v>1812</v>
      </c>
      <c r="O3" t="s">
        <v>1813</v>
      </c>
      <c r="P3" t="s">
        <v>1814</v>
      </c>
      <c r="Q3">
        <v>7.18</v>
      </c>
      <c r="R3" t="s">
        <v>673</v>
      </c>
      <c r="S3">
        <v>900602680</v>
      </c>
      <c r="T3" s="5">
        <v>-0.1507</v>
      </c>
      <c r="U3" t="s">
        <v>331</v>
      </c>
      <c r="V3">
        <v>1571840400</v>
      </c>
      <c r="W3">
        <v>1824366700</v>
      </c>
      <c r="X3">
        <v>1.21</v>
      </c>
      <c r="Y3">
        <v>0.28000000000000003</v>
      </c>
      <c r="Z3">
        <v>29.56</v>
      </c>
      <c r="AA3" t="s">
        <v>1815</v>
      </c>
      <c r="AB3" t="s">
        <v>1816</v>
      </c>
      <c r="AC3" t="s">
        <v>333</v>
      </c>
      <c r="AD3" t="s">
        <v>283</v>
      </c>
      <c r="AE3" t="s">
        <v>84</v>
      </c>
      <c r="AF3">
        <v>7951421</v>
      </c>
      <c r="AG3" t="s">
        <v>1817</v>
      </c>
      <c r="AH3" t="s">
        <v>1818</v>
      </c>
      <c r="AI3" t="s">
        <v>1819</v>
      </c>
      <c r="AJ3" t="s">
        <v>449</v>
      </c>
      <c r="AK3" t="s">
        <v>1820</v>
      </c>
      <c r="AL3" t="s">
        <v>7</v>
      </c>
      <c r="AM3" t="s">
        <v>1821</v>
      </c>
      <c r="AN3" t="s">
        <v>7</v>
      </c>
      <c r="AO3" t="s">
        <v>106</v>
      </c>
      <c r="AP3" t="s">
        <v>1822</v>
      </c>
      <c r="AQ3" t="s">
        <v>1823</v>
      </c>
      <c r="AR3" t="s">
        <v>124</v>
      </c>
      <c r="AS3" t="s">
        <v>1824</v>
      </c>
      <c r="AT3" t="s">
        <v>1825</v>
      </c>
      <c r="AU3" t="s">
        <v>187</v>
      </c>
      <c r="AV3" t="s">
        <v>959</v>
      </c>
      <c r="AW3" t="s">
        <v>1826</v>
      </c>
      <c r="AX3" t="s">
        <v>1827</v>
      </c>
      <c r="AY3" t="s">
        <v>445</v>
      </c>
      <c r="AZ3" t="s">
        <v>48</v>
      </c>
      <c r="BA3" t="s">
        <v>446</v>
      </c>
      <c r="BB3" t="s">
        <v>447</v>
      </c>
      <c r="BC3" t="s">
        <v>448</v>
      </c>
      <c r="BD3" t="s">
        <v>69</v>
      </c>
      <c r="BE3" t="s">
        <v>49</v>
      </c>
      <c r="BF3" t="s">
        <v>449</v>
      </c>
      <c r="BG3" t="s">
        <v>147</v>
      </c>
      <c r="BH3" t="s">
        <v>256</v>
      </c>
      <c r="BI3" t="s">
        <v>1828</v>
      </c>
      <c r="BJ3" t="s">
        <v>1829</v>
      </c>
      <c r="BK3" t="s">
        <v>1444</v>
      </c>
      <c r="BL3" t="s">
        <v>1830</v>
      </c>
      <c r="BM3" t="s">
        <v>1831</v>
      </c>
      <c r="BN3" t="s">
        <v>988</v>
      </c>
      <c r="BO3">
        <v>15.55</v>
      </c>
      <c r="BP3">
        <v>23.61</v>
      </c>
      <c r="BQ3">
        <v>21.68</v>
      </c>
      <c r="BR3">
        <v>16.47</v>
      </c>
      <c r="BS3">
        <v>23.39</v>
      </c>
      <c r="BT3">
        <v>19.89</v>
      </c>
      <c r="BU3" t="s">
        <v>1751</v>
      </c>
      <c r="BV3" t="s">
        <v>1445</v>
      </c>
      <c r="BW3">
        <v>67.77</v>
      </c>
      <c r="BX3">
        <v>72.7</v>
      </c>
      <c r="BY3">
        <v>64.95</v>
      </c>
      <c r="BZ3">
        <v>28.94</v>
      </c>
      <c r="CA3">
        <v>36.71</v>
      </c>
      <c r="CB3">
        <v>37.270000000000003</v>
      </c>
      <c r="CC3">
        <v>9.66</v>
      </c>
      <c r="CD3">
        <v>23.56</v>
      </c>
      <c r="CE3" t="s">
        <v>213</v>
      </c>
      <c r="CF3" t="s">
        <v>1384</v>
      </c>
      <c r="CG3" s="23">
        <v>-0.39510690154440153</v>
      </c>
      <c r="CH3" s="24">
        <v>-0.47329572139303483</v>
      </c>
      <c r="CI3" s="23">
        <v>-0.11686249822378159</v>
      </c>
      <c r="CJ3" s="23">
        <v>0.35756757855415344</v>
      </c>
      <c r="CK3" s="23">
        <v>0.15013989806175232</v>
      </c>
      <c r="CL3" s="23">
        <v>0.35853037238121033</v>
      </c>
      <c r="CM3" s="23">
        <v>0.2237725704908371</v>
      </c>
      <c r="CN3" s="24">
        <v>-0.194668248295784</v>
      </c>
      <c r="CO3" s="24">
        <v>0.25720953941345215</v>
      </c>
      <c r="CP3" s="24">
        <v>0.12543864548206329</v>
      </c>
      <c r="CQ3" s="24">
        <v>0.38855054974555969</v>
      </c>
      <c r="CR3" s="24">
        <v>5.2564103156328201E-2</v>
      </c>
      <c r="CS3">
        <v>9.33980342651037</v>
      </c>
      <c r="CT3">
        <v>58374170.900692843</v>
      </c>
      <c r="CU3">
        <v>0.8806693086745927</v>
      </c>
      <c r="CV3" s="23">
        <v>0.19462958425283433</v>
      </c>
      <c r="CW3" s="24">
        <v>0.12581891790032387</v>
      </c>
      <c r="CX3">
        <v>0.06</v>
      </c>
      <c r="CY3">
        <v>21.84132594562212</v>
      </c>
      <c r="CZ3">
        <v>1463984745.2305958</v>
      </c>
      <c r="DA3">
        <v>0.19462958425283433</v>
      </c>
      <c r="DB3">
        <v>6.5394403907853391</v>
      </c>
      <c r="DC3">
        <v>4889618390.7504034</v>
      </c>
      <c r="DD3">
        <v>0.18489810504019261</v>
      </c>
      <c r="DE3">
        <v>2.8512091294884359</v>
      </c>
      <c r="DF3">
        <v>11214669478.045977</v>
      </c>
      <c r="DG3">
        <v>0.1712740341424942</v>
      </c>
      <c r="DH3">
        <v>1.4839880530964198</v>
      </c>
      <c r="DI3">
        <v>21546917398.210651</v>
      </c>
      <c r="DJ3">
        <v>0.15570366740226749</v>
      </c>
      <c r="DK3">
        <v>0.54848281821865963</v>
      </c>
      <c r="DL3">
        <v>58297848059.94162</v>
      </c>
      <c r="DM3">
        <v>0.13624070897698401</v>
      </c>
      <c r="DN3">
        <v>1299000000</v>
      </c>
      <c r="DO3">
        <v>0.19462958425283433</v>
      </c>
      <c r="DP3">
        <v>31975368000</v>
      </c>
      <c r="DQ3">
        <v>5895483800</v>
      </c>
      <c r="DR3">
        <v>518</v>
      </c>
      <c r="DS3">
        <v>-0.58973648579723581</v>
      </c>
      <c r="DT3">
        <v>-0.59911463929335873</v>
      </c>
      <c r="DU3" s="25">
        <v>0.49999999999999994</v>
      </c>
      <c r="DV3">
        <v>-0.12</v>
      </c>
      <c r="DW3">
        <v>0.37999999999999995</v>
      </c>
      <c r="DX3">
        <v>9.4100169779286933</v>
      </c>
      <c r="DY3">
        <v>0.41179974651457713</v>
      </c>
      <c r="DZ3">
        <v>9.0909416617712555</v>
      </c>
      <c r="EA3">
        <v>2771</v>
      </c>
      <c r="EB3">
        <v>9.0395970519977933</v>
      </c>
      <c r="EC3">
        <v>9</v>
      </c>
      <c r="ED3">
        <v>9.5923697796062607E-2</v>
      </c>
      <c r="EE3">
        <v>0.43247884320624796</v>
      </c>
      <c r="EF3" s="22">
        <v>4.2499999999999996E-2</v>
      </c>
      <c r="EG3">
        <v>7.7100000000000002E-2</v>
      </c>
      <c r="EH3">
        <v>19.221799746514577</v>
      </c>
      <c r="EI3" t="s">
        <v>619</v>
      </c>
      <c r="EJ3">
        <v>1</v>
      </c>
      <c r="EK3">
        <v>0</v>
      </c>
      <c r="EL3" s="31">
        <v>44911</v>
      </c>
      <c r="EM3" s="32">
        <v>3.8100000000000002E-2</v>
      </c>
      <c r="EN3" s="32">
        <v>6.3700000000000007E-2</v>
      </c>
      <c r="EO3" s="32">
        <v>-3.7999999999999999E-2</v>
      </c>
      <c r="EP3" s="32">
        <v>-0.23</v>
      </c>
      <c r="EQ3" s="32">
        <v>3.46</v>
      </c>
    </row>
    <row r="4" spans="1:147" ht="135">
      <c r="A4" s="35"/>
      <c r="B4" s="4" t="s">
        <v>1567</v>
      </c>
      <c r="C4" s="4" t="s">
        <v>1491</v>
      </c>
      <c r="D4" s="4" t="s">
        <v>1755</v>
      </c>
      <c r="E4" t="s">
        <v>9</v>
      </c>
      <c r="F4" t="s">
        <v>10</v>
      </c>
      <c r="G4">
        <v>6.07</v>
      </c>
      <c r="H4">
        <v>4.66</v>
      </c>
      <c r="I4" t="s">
        <v>1752</v>
      </c>
      <c r="J4">
        <v>40916583000</v>
      </c>
      <c r="K4">
        <v>27.24</v>
      </c>
      <c r="L4">
        <v>1.42</v>
      </c>
      <c r="M4" t="s">
        <v>8</v>
      </c>
      <c r="N4" t="s">
        <v>1492</v>
      </c>
      <c r="O4" t="s">
        <v>1493</v>
      </c>
      <c r="P4" t="s">
        <v>1494</v>
      </c>
      <c r="Q4">
        <v>62.53</v>
      </c>
      <c r="R4" t="s">
        <v>715</v>
      </c>
      <c r="S4">
        <v>1603811600</v>
      </c>
      <c r="T4" s="5">
        <v>0.1487</v>
      </c>
      <c r="U4" t="s">
        <v>526</v>
      </c>
      <c r="V4">
        <v>4972279700</v>
      </c>
      <c r="W4">
        <v>6740787900</v>
      </c>
      <c r="X4">
        <v>1.05</v>
      </c>
      <c r="Y4">
        <v>0.17</v>
      </c>
      <c r="Z4">
        <v>32.299999999999997</v>
      </c>
      <c r="AA4" t="s">
        <v>1495</v>
      </c>
      <c r="AB4" t="s">
        <v>1496</v>
      </c>
      <c r="AC4" t="s">
        <v>47</v>
      </c>
      <c r="AD4" t="s">
        <v>108</v>
      </c>
      <c r="AE4" t="s">
        <v>1446</v>
      </c>
      <c r="AF4">
        <v>-7975043</v>
      </c>
      <c r="AG4" t="s">
        <v>1497</v>
      </c>
      <c r="AH4" t="s">
        <v>1498</v>
      </c>
      <c r="AI4" t="s">
        <v>1499</v>
      </c>
      <c r="AJ4" t="s">
        <v>1500</v>
      </c>
      <c r="AK4" t="s">
        <v>1501</v>
      </c>
      <c r="AL4" t="s">
        <v>7</v>
      </c>
      <c r="AM4" t="s">
        <v>1502</v>
      </c>
      <c r="AN4" t="s">
        <v>7</v>
      </c>
      <c r="AO4" t="s">
        <v>1503</v>
      </c>
      <c r="AP4" t="s">
        <v>7</v>
      </c>
      <c r="AQ4" t="s">
        <v>7</v>
      </c>
      <c r="AR4" t="s">
        <v>851</v>
      </c>
      <c r="AS4" t="s">
        <v>7</v>
      </c>
      <c r="AT4" t="s">
        <v>1504</v>
      </c>
      <c r="AU4" t="s">
        <v>7</v>
      </c>
      <c r="AV4" t="s">
        <v>1505</v>
      </c>
      <c r="AW4" t="s">
        <v>1506</v>
      </c>
      <c r="AX4" t="s">
        <v>1507</v>
      </c>
      <c r="AY4" t="s">
        <v>341</v>
      </c>
      <c r="AZ4" t="s">
        <v>168</v>
      </c>
      <c r="BA4" t="s">
        <v>450</v>
      </c>
      <c r="BB4" t="s">
        <v>451</v>
      </c>
      <c r="BC4" t="s">
        <v>452</v>
      </c>
      <c r="BD4" t="s">
        <v>294</v>
      </c>
      <c r="BE4" t="s">
        <v>169</v>
      </c>
      <c r="BF4" t="s">
        <v>453</v>
      </c>
      <c r="BG4" t="s">
        <v>301</v>
      </c>
      <c r="BH4" t="s">
        <v>69</v>
      </c>
      <c r="BI4" t="s">
        <v>1508</v>
      </c>
      <c r="BJ4" t="s">
        <v>461</v>
      </c>
      <c r="BK4" t="s">
        <v>1447</v>
      </c>
      <c r="BL4" t="s">
        <v>1467</v>
      </c>
      <c r="BM4" t="s">
        <v>350</v>
      </c>
      <c r="BN4" t="s">
        <v>1448</v>
      </c>
      <c r="BO4">
        <v>4.9400000000000004</v>
      </c>
      <c r="BP4">
        <v>6.65</v>
      </c>
      <c r="BQ4">
        <v>5.36</v>
      </c>
      <c r="BR4">
        <v>5.08</v>
      </c>
      <c r="BS4">
        <v>5.83</v>
      </c>
      <c r="BT4">
        <v>5.43</v>
      </c>
      <c r="BU4" t="s">
        <v>1753</v>
      </c>
      <c r="BV4" t="s">
        <v>589</v>
      </c>
      <c r="BW4">
        <v>44.63</v>
      </c>
      <c r="BX4">
        <v>61.98</v>
      </c>
      <c r="BY4">
        <v>64.150000000000006</v>
      </c>
      <c r="BZ4">
        <v>32.119999999999997</v>
      </c>
      <c r="CA4">
        <v>47.75</v>
      </c>
      <c r="CB4">
        <v>23.44</v>
      </c>
      <c r="CC4">
        <v>4.84</v>
      </c>
      <c r="CD4">
        <v>9.17</v>
      </c>
      <c r="CE4" t="s">
        <v>1450</v>
      </c>
      <c r="CF4" t="s">
        <v>1754</v>
      </c>
      <c r="CG4" s="23">
        <v>0.28392254066615003</v>
      </c>
      <c r="CH4" s="24">
        <v>0.11689629629629629</v>
      </c>
      <c r="CI4" s="23">
        <v>0.55249828100204468</v>
      </c>
      <c r="CJ4" s="23">
        <v>6.8471930921077728E-2</v>
      </c>
      <c r="CK4" s="23">
        <v>0.43292680382728577</v>
      </c>
      <c r="CL4" s="23">
        <v>-6.4315356314182281E-2</v>
      </c>
      <c r="CM4" s="23">
        <v>-0.17110924422740936</v>
      </c>
      <c r="CN4" s="24">
        <v>-2.1903274580836296E-2</v>
      </c>
      <c r="CO4" s="24">
        <v>1.1776316165924072</v>
      </c>
      <c r="CP4" s="24">
        <v>1.4005270004272461</v>
      </c>
      <c r="CQ4" s="24">
        <v>-2.8157892227172852</v>
      </c>
      <c r="CR4" s="24">
        <v>-0.48171108961105347</v>
      </c>
      <c r="CS4">
        <v>9.5421135727611937</v>
      </c>
      <c r="CT4">
        <v>123630980.6949807</v>
      </c>
      <c r="CU4">
        <v>0.46128500823723229</v>
      </c>
      <c r="CV4" s="23">
        <v>0.16369448304176332</v>
      </c>
      <c r="CW4" s="24">
        <v>-0.14824899397790431</v>
      </c>
      <c r="CX4">
        <v>0.06</v>
      </c>
      <c r="CY4">
        <v>9.5496532044965683</v>
      </c>
      <c r="CZ4">
        <v>1421683354.2821541</v>
      </c>
      <c r="DA4">
        <v>0.16369448304176332</v>
      </c>
      <c r="DB4">
        <v>2.9335070575095061</v>
      </c>
      <c r="DC4">
        <v>4628106472.5053959</v>
      </c>
      <c r="DD4">
        <v>0.15550975888967514</v>
      </c>
      <c r="DE4">
        <v>1.3264770961588952</v>
      </c>
      <c r="DF4">
        <v>10235067789.19438</v>
      </c>
      <c r="DG4">
        <v>0.14405114507675171</v>
      </c>
      <c r="DH4">
        <v>0.72153566087629883</v>
      </c>
      <c r="DI4">
        <v>18816232843.587193</v>
      </c>
      <c r="DJ4">
        <v>0.13095558643341065</v>
      </c>
      <c r="DK4">
        <v>0.29679371815138367</v>
      </c>
      <c r="DL4">
        <v>45744172365.114151</v>
      </c>
      <c r="DM4">
        <v>0.11458613812923431</v>
      </c>
      <c r="DN4">
        <v>1295000000</v>
      </c>
      <c r="DO4">
        <v>0.16369448304176332</v>
      </c>
      <c r="DP4">
        <v>13576583000.000004</v>
      </c>
      <c r="DQ4">
        <v>6518771200</v>
      </c>
      <c r="DR4">
        <v>757</v>
      </c>
      <c r="DS4">
        <v>0.12022805762438671</v>
      </c>
      <c r="DT4">
        <v>0.26514529027420058</v>
      </c>
      <c r="DU4" s="25">
        <v>0.79999999999999993</v>
      </c>
      <c r="DV4">
        <v>0.41666666666666669</v>
      </c>
      <c r="DW4">
        <v>1.2166666666666666</v>
      </c>
      <c r="DX4">
        <v>8.5278080697928029</v>
      </c>
      <c r="DY4">
        <v>0.53641509433962176</v>
      </c>
      <c r="DZ4">
        <v>8.1195037139153516</v>
      </c>
      <c r="EA4">
        <v>1218</v>
      </c>
      <c r="EB4">
        <v>8.0898469242762125</v>
      </c>
      <c r="EC4">
        <v>8</v>
      </c>
      <c r="ED4">
        <v>4.9845805117232661E-2</v>
      </c>
      <c r="EE4">
        <v>0.22015230593444426</v>
      </c>
      <c r="EF4" s="22">
        <v>5.0186099999999998</v>
      </c>
      <c r="EG4">
        <v>5.0279999999999996</v>
      </c>
      <c r="EH4">
        <v>31.226415094339622</v>
      </c>
      <c r="EI4" t="s">
        <v>717</v>
      </c>
      <c r="EJ4">
        <v>0</v>
      </c>
      <c r="EK4">
        <v>1</v>
      </c>
      <c r="EL4" s="31">
        <v>44911</v>
      </c>
      <c r="EM4" s="32">
        <v>8.6E-3</v>
      </c>
      <c r="EN4" s="32">
        <v>1.37E-2</v>
      </c>
      <c r="EO4" s="32">
        <v>-2.53E-2</v>
      </c>
      <c r="EP4" s="32">
        <v>0.52</v>
      </c>
      <c r="EQ4" s="32">
        <v>4.66</v>
      </c>
    </row>
    <row r="5" spans="1:147" ht="90">
      <c r="A5" s="35"/>
      <c r="B5" s="4" t="s">
        <v>1566</v>
      </c>
      <c r="C5" s="4"/>
      <c r="D5" s="4" t="s">
        <v>1764</v>
      </c>
      <c r="E5" t="s">
        <v>11</v>
      </c>
      <c r="F5" t="s">
        <v>12</v>
      </c>
      <c r="G5">
        <v>24.31</v>
      </c>
      <c r="H5">
        <v>2.57</v>
      </c>
      <c r="I5" t="s">
        <v>1756</v>
      </c>
      <c r="J5">
        <v>40058250000</v>
      </c>
      <c r="K5">
        <v>49.9</v>
      </c>
      <c r="L5">
        <v>4.7</v>
      </c>
      <c r="M5" t="s">
        <v>8</v>
      </c>
      <c r="N5" t="s">
        <v>1546</v>
      </c>
      <c r="O5" t="s">
        <v>1547</v>
      </c>
      <c r="P5" t="s">
        <v>1548</v>
      </c>
      <c r="Q5">
        <v>3.36</v>
      </c>
      <c r="R5" t="s">
        <v>578</v>
      </c>
      <c r="S5">
        <v>600858190</v>
      </c>
      <c r="T5" s="5">
        <v>7.6700000000000004E-2</v>
      </c>
      <c r="U5" t="s">
        <v>80</v>
      </c>
      <c r="V5">
        <v>1647809500</v>
      </c>
      <c r="W5">
        <v>1647809500</v>
      </c>
      <c r="X5">
        <v>1.17</v>
      </c>
      <c r="Y5">
        <v>0.24</v>
      </c>
      <c r="Z5">
        <v>28.36</v>
      </c>
      <c r="AA5" t="s">
        <v>1549</v>
      </c>
      <c r="AB5" t="s">
        <v>1550</v>
      </c>
      <c r="AC5" t="s">
        <v>869</v>
      </c>
      <c r="AD5" t="s">
        <v>1757</v>
      </c>
      <c r="AE5" t="s">
        <v>1758</v>
      </c>
      <c r="AF5">
        <v>-44027528</v>
      </c>
      <c r="AG5" t="s">
        <v>1551</v>
      </c>
      <c r="AH5" t="s">
        <v>1552</v>
      </c>
      <c r="AI5" t="s">
        <v>1553</v>
      </c>
      <c r="AJ5" t="s">
        <v>1554</v>
      </c>
      <c r="AK5" t="s">
        <v>1555</v>
      </c>
      <c r="AL5" t="s">
        <v>1448</v>
      </c>
      <c r="AM5" t="s">
        <v>1556</v>
      </c>
      <c r="AN5" t="s">
        <v>7</v>
      </c>
      <c r="AO5" t="s">
        <v>1759</v>
      </c>
      <c r="AP5" t="s">
        <v>7</v>
      </c>
      <c r="AQ5" t="s">
        <v>1760</v>
      </c>
      <c r="AR5" t="s">
        <v>1557</v>
      </c>
      <c r="AS5" t="s">
        <v>7</v>
      </c>
      <c r="AT5" t="s">
        <v>1558</v>
      </c>
      <c r="AU5" t="s">
        <v>1454</v>
      </c>
      <c r="AV5" t="s">
        <v>1761</v>
      </c>
      <c r="AW5" t="s">
        <v>1559</v>
      </c>
      <c r="AX5" t="s">
        <v>1560</v>
      </c>
      <c r="AY5" t="s">
        <v>457</v>
      </c>
      <c r="AZ5" t="s">
        <v>143</v>
      </c>
      <c r="BA5" t="s">
        <v>458</v>
      </c>
      <c r="BB5" t="s">
        <v>459</v>
      </c>
      <c r="BC5" t="s">
        <v>155</v>
      </c>
      <c r="BD5" t="s">
        <v>151</v>
      </c>
      <c r="BE5" t="s">
        <v>144</v>
      </c>
      <c r="BF5" t="s">
        <v>232</v>
      </c>
      <c r="BG5" t="s">
        <v>337</v>
      </c>
      <c r="BH5" t="s">
        <v>271</v>
      </c>
      <c r="BI5" t="s">
        <v>1561</v>
      </c>
      <c r="BJ5" t="s">
        <v>1562</v>
      </c>
      <c r="BK5" t="s">
        <v>1455</v>
      </c>
      <c r="BL5" t="s">
        <v>298</v>
      </c>
      <c r="BM5" t="s">
        <v>50</v>
      </c>
      <c r="BN5" t="s">
        <v>1456</v>
      </c>
      <c r="BO5">
        <v>10.02</v>
      </c>
      <c r="BP5">
        <v>12.97</v>
      </c>
      <c r="BQ5">
        <v>15.07</v>
      </c>
      <c r="BR5">
        <v>11.11</v>
      </c>
      <c r="BS5">
        <v>15.1</v>
      </c>
      <c r="BT5">
        <v>16.72</v>
      </c>
      <c r="BU5" t="s">
        <v>1762</v>
      </c>
      <c r="BV5" t="s">
        <v>589</v>
      </c>
      <c r="BW5">
        <v>48.78</v>
      </c>
      <c r="BX5">
        <v>49.67</v>
      </c>
      <c r="BY5">
        <v>49.85</v>
      </c>
      <c r="BZ5">
        <v>27.99</v>
      </c>
      <c r="CA5">
        <v>27.37</v>
      </c>
      <c r="CB5">
        <v>27.25</v>
      </c>
      <c r="CC5">
        <v>10.5</v>
      </c>
      <c r="CD5">
        <v>12.44</v>
      </c>
      <c r="CE5" t="s">
        <v>102</v>
      </c>
      <c r="CF5" t="s">
        <v>1763</v>
      </c>
      <c r="CG5" s="23">
        <v>1.4513604766633565E-2</v>
      </c>
      <c r="CH5" s="24">
        <v>-2.3266108597285069E-2</v>
      </c>
      <c r="CI5" s="23">
        <v>0.19326750934123993</v>
      </c>
      <c r="CJ5" s="23">
        <v>4.9969609826803207E-2</v>
      </c>
      <c r="CK5" s="23">
        <v>0.11975428462028503</v>
      </c>
      <c r="CL5" s="23">
        <v>0.18042689561843872</v>
      </c>
      <c r="CM5" s="23">
        <v>0.16136579215526581</v>
      </c>
      <c r="CN5" s="24">
        <v>0.18935836851596832</v>
      </c>
      <c r="CO5" s="24">
        <v>4.5826513320207596E-2</v>
      </c>
      <c r="CP5" s="24">
        <v>0.20039293169975281</v>
      </c>
      <c r="CQ5" s="24">
        <v>-0.56606990098953247</v>
      </c>
      <c r="CR5" s="24">
        <v>3.5642020702362061</v>
      </c>
      <c r="CS5">
        <v>9.7417923151750987</v>
      </c>
      <c r="CT5">
        <v>76663968.421052635</v>
      </c>
      <c r="CU5">
        <v>0.41135335252982314</v>
      </c>
      <c r="CV5" s="23">
        <v>0.14095681831240653</v>
      </c>
      <c r="CW5" s="24">
        <v>0.68674199655652046</v>
      </c>
      <c r="CX5">
        <v>0.06</v>
      </c>
      <c r="CY5">
        <v>37.8270981281768</v>
      </c>
      <c r="CZ5">
        <v>818044511.24285746</v>
      </c>
      <c r="DA5">
        <v>0.14095681831240653</v>
      </c>
      <c r="DB5">
        <v>11.842490216353308</v>
      </c>
      <c r="DC5">
        <v>2612985059.2799349</v>
      </c>
      <c r="DD5">
        <v>0.1339089773967862</v>
      </c>
      <c r="DE5">
        <v>5.4988207498401698</v>
      </c>
      <c r="DF5">
        <v>5627433845.8658495</v>
      </c>
      <c r="DG5">
        <v>0.12404200011491774</v>
      </c>
      <c r="DH5">
        <v>3.0868051766108247</v>
      </c>
      <c r="DI5">
        <v>10024685145.168577</v>
      </c>
      <c r="DJ5">
        <v>0.11276545464992523</v>
      </c>
      <c r="DK5">
        <v>1.368082451175747</v>
      </c>
      <c r="DL5">
        <v>22618702530.250374</v>
      </c>
      <c r="DM5">
        <v>9.8669772818684567E-2</v>
      </c>
      <c r="DN5">
        <v>760000000</v>
      </c>
      <c r="DO5">
        <v>0.14095681831240653</v>
      </c>
      <c r="DP5">
        <v>30944250000</v>
      </c>
      <c r="DQ5">
        <v>6195247500</v>
      </c>
      <c r="DR5">
        <v>2861</v>
      </c>
      <c r="DS5">
        <v>-0.12644321354577295</v>
      </c>
      <c r="DT5">
        <v>-0.71000810515380552</v>
      </c>
      <c r="DU5" s="25">
        <v>0.3833333333333333</v>
      </c>
      <c r="DV5">
        <v>0.70166666666666677</v>
      </c>
      <c r="DW5">
        <v>1.085</v>
      </c>
      <c r="DX5">
        <v>9.844051446945338</v>
      </c>
      <c r="DY5">
        <v>0.3720202020202007</v>
      </c>
      <c r="DZ5">
        <v>9.1705154438273411</v>
      </c>
      <c r="EA5">
        <v>1453</v>
      </c>
      <c r="EB5">
        <v>9.1200348122297203</v>
      </c>
      <c r="EC5">
        <v>9</v>
      </c>
      <c r="ED5">
        <v>6.0686626700477211E-2</v>
      </c>
      <c r="EE5">
        <v>0.3003988021673622</v>
      </c>
      <c r="EF5" s="22">
        <v>-1.0226</v>
      </c>
      <c r="EG5">
        <v>-1.0483</v>
      </c>
      <c r="EH5">
        <v>17.202020202020201</v>
      </c>
      <c r="EI5" t="s">
        <v>622</v>
      </c>
      <c r="EJ5">
        <v>1</v>
      </c>
      <c r="EK5">
        <v>1</v>
      </c>
      <c r="EL5" s="31">
        <v>44911</v>
      </c>
      <c r="EM5" s="32">
        <v>6.5000000000000002E-2</v>
      </c>
      <c r="EN5" s="32">
        <v>2.52E-2</v>
      </c>
      <c r="EO5" s="32">
        <v>-0.02</v>
      </c>
      <c r="EP5" s="32">
        <v>0.68</v>
      </c>
      <c r="EQ5" s="32">
        <v>2.57</v>
      </c>
    </row>
    <row r="6" spans="1:147" ht="135">
      <c r="A6" s="35"/>
      <c r="B6" s="4" t="s">
        <v>1809</v>
      </c>
      <c r="C6" s="4"/>
      <c r="D6" s="4" t="s">
        <v>1769</v>
      </c>
      <c r="E6" t="s">
        <v>15</v>
      </c>
      <c r="F6" t="s">
        <v>16</v>
      </c>
      <c r="G6">
        <v>36.5</v>
      </c>
      <c r="H6">
        <v>4.17</v>
      </c>
      <c r="I6" t="s">
        <v>1766</v>
      </c>
      <c r="J6">
        <v>18405079000</v>
      </c>
      <c r="K6">
        <v>41.89</v>
      </c>
      <c r="L6">
        <v>2.57</v>
      </c>
      <c r="M6" t="s">
        <v>8</v>
      </c>
      <c r="N6" t="s">
        <v>530</v>
      </c>
      <c r="O6" t="s">
        <v>1526</v>
      </c>
      <c r="P6" t="s">
        <v>1527</v>
      </c>
      <c r="Q6">
        <v>3.54</v>
      </c>
      <c r="R6" t="s">
        <v>716</v>
      </c>
      <c r="S6">
        <v>418279090</v>
      </c>
      <c r="T6" s="5">
        <v>0.29310000000000003</v>
      </c>
      <c r="U6" t="s">
        <v>79</v>
      </c>
      <c r="V6">
        <v>425940160</v>
      </c>
      <c r="W6">
        <v>504248740</v>
      </c>
      <c r="X6">
        <v>1.1000000000000001</v>
      </c>
      <c r="Y6">
        <v>0.27</v>
      </c>
      <c r="Z6">
        <v>20.59</v>
      </c>
      <c r="AA6" t="s">
        <v>1528</v>
      </c>
      <c r="AB6" t="s">
        <v>1529</v>
      </c>
      <c r="AC6" t="s">
        <v>164</v>
      </c>
      <c r="AD6" t="s">
        <v>140</v>
      </c>
      <c r="AE6" t="s">
        <v>1452</v>
      </c>
      <c r="AF6">
        <v>-18322376</v>
      </c>
      <c r="AG6" t="s">
        <v>1530</v>
      </c>
      <c r="AH6" t="s">
        <v>1531</v>
      </c>
      <c r="AI6" t="s">
        <v>1532</v>
      </c>
      <c r="AJ6" t="s">
        <v>1533</v>
      </c>
      <c r="AK6" t="s">
        <v>1534</v>
      </c>
      <c r="AL6" t="s">
        <v>7</v>
      </c>
      <c r="AM6" t="s">
        <v>1535</v>
      </c>
      <c r="AN6" t="s">
        <v>7</v>
      </c>
      <c r="AO6" t="s">
        <v>1536</v>
      </c>
      <c r="AP6" t="s">
        <v>7</v>
      </c>
      <c r="AQ6" t="s">
        <v>1537</v>
      </c>
      <c r="AR6" t="s">
        <v>1538</v>
      </c>
      <c r="AS6" t="s">
        <v>7</v>
      </c>
      <c r="AT6" t="s">
        <v>1539</v>
      </c>
      <c r="AU6" t="s">
        <v>7</v>
      </c>
      <c r="AV6" t="s">
        <v>1540</v>
      </c>
      <c r="AW6" t="s">
        <v>1541</v>
      </c>
      <c r="AX6" t="s">
        <v>1542</v>
      </c>
      <c r="AY6" t="s">
        <v>591</v>
      </c>
      <c r="AZ6" t="s">
        <v>374</v>
      </c>
      <c r="BA6" t="s">
        <v>575</v>
      </c>
      <c r="BB6" t="s">
        <v>455</v>
      </c>
      <c r="BC6" t="s">
        <v>456</v>
      </c>
      <c r="BD6" t="s">
        <v>171</v>
      </c>
      <c r="BE6" t="s">
        <v>172</v>
      </c>
      <c r="BF6" t="s">
        <v>141</v>
      </c>
      <c r="BG6" t="s">
        <v>233</v>
      </c>
      <c r="BH6" t="s">
        <v>265</v>
      </c>
      <c r="BI6" t="s">
        <v>1543</v>
      </c>
      <c r="BJ6" t="s">
        <v>1544</v>
      </c>
      <c r="BK6" t="s">
        <v>526</v>
      </c>
      <c r="BL6" t="s">
        <v>1486</v>
      </c>
      <c r="BM6" t="s">
        <v>1545</v>
      </c>
      <c r="BN6" t="s">
        <v>869</v>
      </c>
      <c r="BO6">
        <v>6.26</v>
      </c>
      <c r="BP6">
        <v>6.27</v>
      </c>
      <c r="BQ6">
        <v>10.15</v>
      </c>
      <c r="BR6">
        <v>7.83</v>
      </c>
      <c r="BS6">
        <v>6.49</v>
      </c>
      <c r="BT6">
        <v>11.38</v>
      </c>
      <c r="BU6" t="s">
        <v>1767</v>
      </c>
      <c r="BV6" t="s">
        <v>589</v>
      </c>
      <c r="BW6">
        <v>54.64</v>
      </c>
      <c r="BX6">
        <v>58.07</v>
      </c>
      <c r="BY6">
        <v>64.63</v>
      </c>
      <c r="BZ6">
        <v>20.48</v>
      </c>
      <c r="CA6">
        <v>10.95</v>
      </c>
      <c r="CB6">
        <v>16.010000000000002</v>
      </c>
      <c r="CC6">
        <v>8.24</v>
      </c>
      <c r="CD6">
        <v>15.32</v>
      </c>
      <c r="CE6" t="s">
        <v>1768</v>
      </c>
      <c r="CF6" t="s">
        <v>112</v>
      </c>
      <c r="CG6" s="23">
        <v>-4.5049860335195528E-2</v>
      </c>
      <c r="CH6" s="24">
        <v>0.11423272</v>
      </c>
      <c r="CI6" s="23">
        <v>5.4914496839046478E-2</v>
      </c>
      <c r="CJ6" s="23">
        <v>-8.9822530746459961E-2</v>
      </c>
      <c r="CK6" s="23">
        <v>0.15619762241840363</v>
      </c>
      <c r="CL6" s="23">
        <v>0.63449698686599731</v>
      </c>
      <c r="CM6" s="23">
        <v>0.54276657104492188</v>
      </c>
      <c r="CN6" s="24">
        <v>0.32692307233810425</v>
      </c>
      <c r="CO6" s="24">
        <v>-0.38967135548591614</v>
      </c>
      <c r="CP6" s="24">
        <v>-9.1684438288211823E-2</v>
      </c>
      <c r="CQ6" s="24">
        <v>0.31372550129890442</v>
      </c>
      <c r="CR6" s="24">
        <v>0.3125</v>
      </c>
      <c r="CS6">
        <v>6.9426929460580915</v>
      </c>
      <c r="CT6">
        <v>103183011.59420291</v>
      </c>
      <c r="CU6">
        <v>0.41095890410958902</v>
      </c>
      <c r="CV6" s="23">
        <v>0.25971062928438188</v>
      </c>
      <c r="CW6" s="24">
        <v>9.4358555972576141E-2</v>
      </c>
      <c r="CX6">
        <v>0.06</v>
      </c>
      <c r="CY6">
        <v>28.897742547393694</v>
      </c>
      <c r="CZ6">
        <v>410000157.644445</v>
      </c>
      <c r="DA6">
        <v>0.25971062928438188</v>
      </c>
      <c r="DB6">
        <v>8.2030478107107694</v>
      </c>
      <c r="DC6">
        <v>1444350840.4924681</v>
      </c>
      <c r="DD6">
        <v>0.24672509782016278</v>
      </c>
      <c r="DE6">
        <v>3.3088691275970055</v>
      </c>
      <c r="DF6">
        <v>3580703419.5409265</v>
      </c>
      <c r="DG6">
        <v>0.22854535377025606</v>
      </c>
      <c r="DH6">
        <v>1.5632016328402036</v>
      </c>
      <c r="DI6">
        <v>7579367082.9738417</v>
      </c>
      <c r="DJ6">
        <v>0.20776850342750552</v>
      </c>
      <c r="DK6">
        <v>0.45345583652570226</v>
      </c>
      <c r="DL6">
        <v>26128407764.641136</v>
      </c>
      <c r="DM6">
        <v>0.18179744049906729</v>
      </c>
      <c r="DN6">
        <v>345000000</v>
      </c>
      <c r="DO6">
        <v>0.25971062928438188</v>
      </c>
      <c r="DP6">
        <v>11848079000</v>
      </c>
      <c r="DQ6">
        <v>5325275700</v>
      </c>
      <c r="DR6">
        <v>1787</v>
      </c>
      <c r="DS6">
        <v>-0.30476048961957741</v>
      </c>
      <c r="DT6">
        <v>1.9874164027423855E-2</v>
      </c>
      <c r="DU6" s="25">
        <v>0.46666666666666662</v>
      </c>
      <c r="DV6">
        <v>0.83333333333333337</v>
      </c>
      <c r="DW6">
        <v>1.3</v>
      </c>
      <c r="DX6">
        <v>9.537859007832898</v>
      </c>
      <c r="DY6">
        <v>0.44524526315789387</v>
      </c>
      <c r="DZ6">
        <v>9.1426645540744804</v>
      </c>
      <c r="EA6">
        <v>1073</v>
      </c>
      <c r="EB6">
        <v>9.1114748502191585</v>
      </c>
      <c r="EC6">
        <v>9</v>
      </c>
      <c r="ED6">
        <v>9.9943928466732515E-2</v>
      </c>
      <c r="EE6">
        <v>0.37679816512778991</v>
      </c>
      <c r="EF6" s="22">
        <v>-2.0981000000000001</v>
      </c>
      <c r="EG6">
        <v>-2.1398000000000001</v>
      </c>
      <c r="EH6">
        <v>18.265245263157894</v>
      </c>
      <c r="EI6" t="s">
        <v>620</v>
      </c>
      <c r="EJ6">
        <v>1</v>
      </c>
      <c r="EK6">
        <v>1</v>
      </c>
      <c r="EL6" s="31">
        <v>44911</v>
      </c>
      <c r="EM6" s="32">
        <v>3.7400000000000003E-2</v>
      </c>
      <c r="EN6" s="32">
        <v>5.7500000000000002E-2</v>
      </c>
      <c r="EO6" s="32">
        <v>-4.7E-2</v>
      </c>
      <c r="EP6" s="32">
        <v>-0.6</v>
      </c>
      <c r="EQ6" s="32">
        <v>4.17</v>
      </c>
    </row>
    <row r="7" spans="1:147" ht="112.5">
      <c r="A7" s="35"/>
      <c r="B7" s="4"/>
      <c r="C7" s="4"/>
      <c r="D7" s="4" t="s">
        <v>1772</v>
      </c>
      <c r="E7" t="s">
        <v>17</v>
      </c>
      <c r="F7" t="s">
        <v>440</v>
      </c>
      <c r="G7">
        <v>24</v>
      </c>
      <c r="H7">
        <v>4.3</v>
      </c>
      <c r="I7" t="s">
        <v>1770</v>
      </c>
      <c r="J7">
        <v>17576642000</v>
      </c>
      <c r="K7">
        <v>40.25</v>
      </c>
      <c r="L7">
        <v>2.66</v>
      </c>
      <c r="M7" t="s">
        <v>8</v>
      </c>
      <c r="N7" t="s">
        <v>1474</v>
      </c>
      <c r="O7" t="s">
        <v>1475</v>
      </c>
      <c r="P7" t="s">
        <v>1476</v>
      </c>
      <c r="Q7">
        <v>11.27</v>
      </c>
      <c r="R7" t="s">
        <v>714</v>
      </c>
      <c r="S7">
        <v>349539450</v>
      </c>
      <c r="T7" s="5">
        <v>0.1502</v>
      </c>
      <c r="U7" t="s">
        <v>349</v>
      </c>
      <c r="V7">
        <v>603174940</v>
      </c>
      <c r="W7">
        <v>732360100</v>
      </c>
      <c r="X7">
        <v>1.1399999999999999</v>
      </c>
      <c r="Y7">
        <v>0.2</v>
      </c>
      <c r="Z7">
        <v>23.47</v>
      </c>
      <c r="AA7" t="s">
        <v>1312</v>
      </c>
      <c r="AB7" t="s">
        <v>1477</v>
      </c>
      <c r="AC7" t="s">
        <v>1478</v>
      </c>
      <c r="AD7" t="s">
        <v>191</v>
      </c>
      <c r="AE7" t="s">
        <v>1443</v>
      </c>
      <c r="AF7">
        <v>-38871456</v>
      </c>
      <c r="AG7" t="s">
        <v>1479</v>
      </c>
      <c r="AH7" t="s">
        <v>1480</v>
      </c>
      <c r="AI7" t="s">
        <v>1481</v>
      </c>
      <c r="AJ7" t="s">
        <v>1482</v>
      </c>
      <c r="AK7" t="s">
        <v>1483</v>
      </c>
      <c r="AL7" t="s">
        <v>1484</v>
      </c>
      <c r="AM7" t="s">
        <v>1485</v>
      </c>
      <c r="AN7" t="s">
        <v>7</v>
      </c>
      <c r="AO7" t="s">
        <v>311</v>
      </c>
      <c r="AP7" t="s">
        <v>1486</v>
      </c>
      <c r="AQ7" t="s">
        <v>7</v>
      </c>
      <c r="AR7" t="s">
        <v>289</v>
      </c>
      <c r="AS7" t="s">
        <v>7</v>
      </c>
      <c r="AT7" t="s">
        <v>1457</v>
      </c>
      <c r="AU7" t="s">
        <v>1487</v>
      </c>
      <c r="AV7" t="s">
        <v>55</v>
      </c>
      <c r="AW7" t="s">
        <v>1488</v>
      </c>
      <c r="AX7" t="s">
        <v>68</v>
      </c>
      <c r="AY7" t="s">
        <v>345</v>
      </c>
      <c r="AZ7" t="s">
        <v>166</v>
      </c>
      <c r="BA7" t="s">
        <v>441</v>
      </c>
      <c r="BB7" t="s">
        <v>352</v>
      </c>
      <c r="BC7" t="s">
        <v>286</v>
      </c>
      <c r="BD7" t="s">
        <v>137</v>
      </c>
      <c r="BE7" t="s">
        <v>140</v>
      </c>
      <c r="BF7" t="s">
        <v>442</v>
      </c>
      <c r="BG7" t="s">
        <v>443</v>
      </c>
      <c r="BH7" t="s">
        <v>444</v>
      </c>
      <c r="BI7" t="s">
        <v>1054</v>
      </c>
      <c r="BJ7" t="s">
        <v>1489</v>
      </c>
      <c r="BK7" t="s">
        <v>306</v>
      </c>
      <c r="BL7" t="s">
        <v>1490</v>
      </c>
      <c r="BM7" t="s">
        <v>1453</v>
      </c>
      <c r="BN7" t="s">
        <v>933</v>
      </c>
      <c r="BO7">
        <v>7.88</v>
      </c>
      <c r="BP7">
        <v>14.57</v>
      </c>
      <c r="BQ7">
        <v>18.239999999999998</v>
      </c>
      <c r="BR7">
        <v>7.03</v>
      </c>
      <c r="BS7">
        <v>21.16</v>
      </c>
      <c r="BT7">
        <v>22.28</v>
      </c>
      <c r="BU7" t="s">
        <v>1771</v>
      </c>
      <c r="BV7" t="s">
        <v>589</v>
      </c>
      <c r="BW7">
        <v>47.37</v>
      </c>
      <c r="BX7">
        <v>48.82</v>
      </c>
      <c r="BY7">
        <v>52.34</v>
      </c>
      <c r="BZ7">
        <v>22.36</v>
      </c>
      <c r="CA7">
        <v>17.399999999999999</v>
      </c>
      <c r="CB7">
        <v>17.239999999999998</v>
      </c>
      <c r="CC7">
        <v>22.32</v>
      </c>
      <c r="CD7">
        <v>23.71</v>
      </c>
      <c r="CE7" t="s">
        <v>264</v>
      </c>
      <c r="CF7" t="s">
        <v>1462</v>
      </c>
      <c r="CG7" s="23">
        <v>-8.8072050816696917E-2</v>
      </c>
      <c r="CH7" s="24">
        <v>4.2144531249999999E-3</v>
      </c>
      <c r="CI7" s="23">
        <v>0.87809520959854126</v>
      </c>
      <c r="CJ7" s="23">
        <v>0.14628821611404419</v>
      </c>
      <c r="CK7" s="23">
        <v>6.5116278827190399E-2</v>
      </c>
      <c r="CL7" s="23">
        <v>0.25547444820404053</v>
      </c>
      <c r="CM7" s="23">
        <v>0.22103387117385864</v>
      </c>
      <c r="CN7" s="24">
        <v>1.102150559425354</v>
      </c>
      <c r="CO7" s="24">
        <v>0.16249999403953552</v>
      </c>
      <c r="CP7" s="24">
        <v>1.0004301071166992</v>
      </c>
      <c r="CQ7" s="24">
        <v>2.7034389972686768</v>
      </c>
      <c r="CR7" s="24">
        <v>-0.56883037090301514</v>
      </c>
      <c r="CS7">
        <v>8.9131044624746458</v>
      </c>
      <c r="CT7">
        <v>76489595.907928392</v>
      </c>
      <c r="CU7">
        <v>0.23333333333333336</v>
      </c>
      <c r="CV7" s="23">
        <v>0.31320160478353498</v>
      </c>
      <c r="CW7" s="24">
        <v>0.87993785738945007</v>
      </c>
      <c r="CX7">
        <v>0.06</v>
      </c>
      <c r="CY7">
        <v>24.596805145615225</v>
      </c>
      <c r="CZ7">
        <v>484397950.44373786</v>
      </c>
      <c r="DA7">
        <v>0.31320160478353498</v>
      </c>
      <c r="DB7">
        <v>6.6873400027596022</v>
      </c>
      <c r="DC7">
        <v>1781671336.4481685</v>
      </c>
      <c r="DD7">
        <v>0.29754152454435823</v>
      </c>
      <c r="DE7">
        <v>2.5282092581359001</v>
      </c>
      <c r="DF7">
        <v>4712680313.806345</v>
      </c>
      <c r="DG7">
        <v>0.2756174122095108</v>
      </c>
      <c r="DH7">
        <v>1.0993219461832182</v>
      </c>
      <c r="DI7">
        <v>10838173513.561649</v>
      </c>
      <c r="DJ7">
        <v>0.25056128382682802</v>
      </c>
      <c r="DK7">
        <v>0.2579077279340542</v>
      </c>
      <c r="DL7">
        <v>46197305119.319725</v>
      </c>
      <c r="DM7">
        <v>0.21924112334847448</v>
      </c>
      <c r="DN7">
        <v>391000000</v>
      </c>
      <c r="DO7">
        <v>0.31320160478353498</v>
      </c>
      <c r="DP7">
        <v>11914642000</v>
      </c>
      <c r="DQ7">
        <v>1955432200</v>
      </c>
      <c r="DR7">
        <v>75</v>
      </c>
      <c r="DS7">
        <v>-0.40127365560023187</v>
      </c>
      <c r="DT7">
        <v>-0.87572340426445006</v>
      </c>
      <c r="DU7" s="25">
        <v>0.54999999999999993</v>
      </c>
      <c r="DV7">
        <v>1.175</v>
      </c>
      <c r="DW7">
        <v>1.7250000000000001</v>
      </c>
      <c r="DX7">
        <v>9.9413749472796287</v>
      </c>
      <c r="DY7">
        <v>0.64065693430656889</v>
      </c>
      <c r="DZ7">
        <v>9.4054096488284529</v>
      </c>
      <c r="EA7">
        <v>519</v>
      </c>
      <c r="EB7">
        <v>9.3625393131027064</v>
      </c>
      <c r="EC7">
        <v>9</v>
      </c>
      <c r="ED7">
        <v>0.16112292299921854</v>
      </c>
      <c r="EE7">
        <v>0.37413288899818548</v>
      </c>
      <c r="EF7" s="22">
        <v>-2.0441099999999999</v>
      </c>
      <c r="EG7">
        <v>-2.0011100000000002</v>
      </c>
      <c r="EH7">
        <v>21.430656934306569</v>
      </c>
      <c r="EI7" t="s">
        <v>939</v>
      </c>
      <c r="EJ7">
        <v>1</v>
      </c>
      <c r="EK7">
        <v>1</v>
      </c>
      <c r="EL7" s="31">
        <v>44911</v>
      </c>
      <c r="EM7" s="32">
        <v>4.2799999999999998E-2</v>
      </c>
      <c r="EN7" s="32">
        <v>0.1002</v>
      </c>
      <c r="EO7" s="32">
        <v>-1.6E-2</v>
      </c>
      <c r="EP7" s="32">
        <v>3.88</v>
      </c>
      <c r="EQ7" s="32">
        <v>4.3</v>
      </c>
    </row>
    <row r="8" spans="1:147" ht="135">
      <c r="A8" s="35"/>
      <c r="B8" s="4"/>
      <c r="C8" s="4"/>
      <c r="D8" s="4" t="s">
        <v>1776</v>
      </c>
      <c r="E8" t="s">
        <v>18</v>
      </c>
      <c r="F8" t="s">
        <v>19</v>
      </c>
      <c r="G8">
        <v>32.770000000000003</v>
      </c>
      <c r="H8">
        <v>8.76</v>
      </c>
      <c r="I8" t="s">
        <v>1773</v>
      </c>
      <c r="J8">
        <v>7432236000</v>
      </c>
      <c r="K8">
        <v>52.89</v>
      </c>
      <c r="L8">
        <v>4.1399999999999997</v>
      </c>
      <c r="M8" t="s">
        <v>8</v>
      </c>
      <c r="N8" t="s">
        <v>367</v>
      </c>
      <c r="O8" t="s">
        <v>1509</v>
      </c>
      <c r="P8" t="s">
        <v>1510</v>
      </c>
      <c r="Q8">
        <v>-33.29</v>
      </c>
      <c r="R8" t="s">
        <v>534</v>
      </c>
      <c r="S8">
        <v>72769914</v>
      </c>
      <c r="T8" s="5">
        <v>-0.47139999999999999</v>
      </c>
      <c r="U8" t="s">
        <v>287</v>
      </c>
      <c r="V8">
        <v>226800000</v>
      </c>
      <c r="W8">
        <v>226800000</v>
      </c>
      <c r="X8">
        <v>1.35</v>
      </c>
      <c r="Y8">
        <v>0.18</v>
      </c>
      <c r="Z8">
        <v>17.68</v>
      </c>
      <c r="AA8" t="s">
        <v>946</v>
      </c>
      <c r="AB8" t="s">
        <v>258</v>
      </c>
      <c r="AC8" t="s">
        <v>1511</v>
      </c>
      <c r="AD8" t="s">
        <v>1512</v>
      </c>
      <c r="AE8" t="s">
        <v>1449</v>
      </c>
      <c r="AF8">
        <v>-1486441</v>
      </c>
      <c r="AG8" t="s">
        <v>63</v>
      </c>
      <c r="AH8" t="s">
        <v>1513</v>
      </c>
      <c r="AI8" t="s">
        <v>1514</v>
      </c>
      <c r="AJ8" t="s">
        <v>574</v>
      </c>
      <c r="AK8" t="s">
        <v>1515</v>
      </c>
      <c r="AL8" t="s">
        <v>1516</v>
      </c>
      <c r="AM8" t="s">
        <v>1517</v>
      </c>
      <c r="AN8" t="s">
        <v>7</v>
      </c>
      <c r="AO8" t="s">
        <v>1518</v>
      </c>
      <c r="AP8" t="s">
        <v>1519</v>
      </c>
      <c r="AQ8" t="s">
        <v>7</v>
      </c>
      <c r="AR8" t="s">
        <v>1520</v>
      </c>
      <c r="AS8" t="s">
        <v>7</v>
      </c>
      <c r="AT8" t="s">
        <v>117</v>
      </c>
      <c r="AU8" t="s">
        <v>324</v>
      </c>
      <c r="AV8" t="s">
        <v>1521</v>
      </c>
      <c r="AW8" t="s">
        <v>1522</v>
      </c>
      <c r="AX8" t="s">
        <v>119</v>
      </c>
      <c r="AY8" t="s">
        <v>454</v>
      </c>
      <c r="AZ8" t="s">
        <v>147</v>
      </c>
      <c r="BA8" t="s">
        <v>132</v>
      </c>
      <c r="BB8" t="s">
        <v>251</v>
      </c>
      <c r="BC8" t="s">
        <v>348</v>
      </c>
      <c r="BD8" t="s">
        <v>112</v>
      </c>
      <c r="BE8" t="s">
        <v>170</v>
      </c>
      <c r="BF8" t="s">
        <v>247</v>
      </c>
      <c r="BG8" t="s">
        <v>304</v>
      </c>
      <c r="BH8" t="s">
        <v>173</v>
      </c>
      <c r="BI8" t="s">
        <v>82</v>
      </c>
      <c r="BJ8" t="s">
        <v>1523</v>
      </c>
      <c r="BK8" t="s">
        <v>1450</v>
      </c>
      <c r="BL8" t="s">
        <v>1524</v>
      </c>
      <c r="BM8" t="s">
        <v>289</v>
      </c>
      <c r="BN8" t="s">
        <v>1451</v>
      </c>
      <c r="BO8">
        <v>11.35</v>
      </c>
      <c r="BP8">
        <v>11.41</v>
      </c>
      <c r="BQ8">
        <v>12.03</v>
      </c>
      <c r="BR8">
        <v>12.21</v>
      </c>
      <c r="BS8">
        <v>12.53</v>
      </c>
      <c r="BT8">
        <v>12.43</v>
      </c>
      <c r="BU8" t="s">
        <v>1751</v>
      </c>
      <c r="BV8" t="s">
        <v>589</v>
      </c>
      <c r="BW8">
        <v>44.57</v>
      </c>
      <c r="BX8">
        <v>37.18</v>
      </c>
      <c r="BY8">
        <v>38.39</v>
      </c>
      <c r="BZ8">
        <v>20.2</v>
      </c>
      <c r="CA8">
        <v>20.96</v>
      </c>
      <c r="CB8">
        <v>20.83</v>
      </c>
      <c r="CC8">
        <v>11.31</v>
      </c>
      <c r="CD8">
        <v>17.88</v>
      </c>
      <c r="CE8" t="s">
        <v>1774</v>
      </c>
      <c r="CF8" t="s">
        <v>1775</v>
      </c>
      <c r="CG8" s="23">
        <v>-0.36144498220640559</v>
      </c>
      <c r="CH8" s="24">
        <v>-0.61958827160493823</v>
      </c>
      <c r="CI8" s="23">
        <v>2.2099446505308151E-3</v>
      </c>
      <c r="CJ8" s="23">
        <v>0.10231424868106842</v>
      </c>
      <c r="CK8" s="23">
        <v>0.19331395626068115</v>
      </c>
      <c r="CL8" s="23">
        <v>0.10433387011289597</v>
      </c>
      <c r="CM8" s="23">
        <v>0.10070671141147614</v>
      </c>
      <c r="CN8" s="24">
        <v>7.8947365283966064E-2</v>
      </c>
      <c r="CO8" s="24">
        <v>0.1111111119389534</v>
      </c>
      <c r="CP8" s="24">
        <v>8.917197585105896E-2</v>
      </c>
      <c r="CQ8" s="24">
        <v>1.2903225608170033E-2</v>
      </c>
      <c r="CR8" s="24">
        <v>1.3071895577013493E-2</v>
      </c>
      <c r="CS8">
        <v>8.1943065049614106</v>
      </c>
      <c r="CT8">
        <v>32839631.219512198</v>
      </c>
      <c r="CU8">
        <v>0.61031431187061336</v>
      </c>
      <c r="CV8" s="23">
        <v>0.1005757462233305</v>
      </c>
      <c r="CW8" s="24">
        <v>6.104111485183239E-2</v>
      </c>
      <c r="CX8">
        <v>0.06</v>
      </c>
      <c r="CY8">
        <v>29.37899165004438</v>
      </c>
      <c r="CZ8">
        <v>212847196.20356861</v>
      </c>
      <c r="DA8">
        <v>0.1005757462233305</v>
      </c>
      <c r="DB8">
        <v>9.5152882518549653</v>
      </c>
      <c r="DC8">
        <v>657177779.01063144</v>
      </c>
      <c r="DD8">
        <v>9.5546958912163971E-2</v>
      </c>
      <c r="DE8">
        <v>4.6282358648564133</v>
      </c>
      <c r="DF8">
        <v>1351105730.691623</v>
      </c>
      <c r="DG8">
        <v>8.8506656676530834E-2</v>
      </c>
      <c r="DH8">
        <v>2.7417602326877528</v>
      </c>
      <c r="DI8">
        <v>2280737726.6063638</v>
      </c>
      <c r="DJ8">
        <v>8.0460596978664409E-2</v>
      </c>
      <c r="DK8">
        <v>1.37434944563012</v>
      </c>
      <c r="DL8">
        <v>4549960724.9690266</v>
      </c>
      <c r="DM8">
        <v>7.0403022356331349E-2</v>
      </c>
      <c r="DN8">
        <v>204999999.99999997</v>
      </c>
      <c r="DO8">
        <v>0.1005757462233305</v>
      </c>
      <c r="DP8">
        <v>6253236000</v>
      </c>
      <c r="DQ8">
        <v>1046556410</v>
      </c>
      <c r="DR8">
        <v>1354</v>
      </c>
      <c r="DS8">
        <v>-0.46202072842973607</v>
      </c>
      <c r="DT8">
        <v>-0.68062938645677062</v>
      </c>
      <c r="DU8" s="25">
        <v>-8.666666666666667E-2</v>
      </c>
      <c r="DV8">
        <v>-0.22</v>
      </c>
      <c r="DW8">
        <v>-0.30666666666666664</v>
      </c>
      <c r="DX8">
        <v>9.6325503355704694</v>
      </c>
      <c r="DY8">
        <v>0.77779313016223739</v>
      </c>
      <c r="DZ8">
        <v>9.1757181377032957</v>
      </c>
      <c r="EA8">
        <v>3747</v>
      </c>
      <c r="EB8">
        <v>9.0415665765838487</v>
      </c>
      <c r="EC8">
        <v>9</v>
      </c>
      <c r="ED8">
        <v>5.1858024691358036E-2</v>
      </c>
      <c r="EE8">
        <v>0.18667857142857142</v>
      </c>
      <c r="EF8" s="22">
        <v>1.042</v>
      </c>
      <c r="EG8">
        <v>1.1295999999999999</v>
      </c>
      <c r="EH8">
        <v>50.277793130162237</v>
      </c>
      <c r="EI8" t="s">
        <v>621</v>
      </c>
      <c r="EJ8">
        <v>1</v>
      </c>
      <c r="EK8">
        <v>0</v>
      </c>
      <c r="EL8" s="31">
        <v>44911</v>
      </c>
      <c r="EM8" s="32">
        <v>2.24E-2</v>
      </c>
      <c r="EN8" s="32">
        <v>4.8500000000000001E-2</v>
      </c>
      <c r="EO8" s="32">
        <v>-4.8800000000000003E-2</v>
      </c>
      <c r="EP8" s="32">
        <v>0.37</v>
      </c>
      <c r="EQ8" s="32">
        <v>8.76</v>
      </c>
    </row>
    <row r="9" spans="1:147" ht="123.75">
      <c r="A9" s="35"/>
      <c r="B9" s="4"/>
      <c r="C9" s="4"/>
      <c r="D9" s="4" t="s">
        <v>1810</v>
      </c>
      <c r="E9" t="s">
        <v>1749</v>
      </c>
      <c r="F9" t="s">
        <v>1750</v>
      </c>
      <c r="G9">
        <v>25.43</v>
      </c>
      <c r="H9">
        <v>5.52</v>
      </c>
      <c r="I9" t="s">
        <v>1777</v>
      </c>
      <c r="J9">
        <v>2752034600</v>
      </c>
      <c r="K9">
        <v>41.02</v>
      </c>
      <c r="L9">
        <v>2.46</v>
      </c>
      <c r="M9" t="s">
        <v>8</v>
      </c>
      <c r="N9" t="s">
        <v>1778</v>
      </c>
      <c r="O9" t="s">
        <v>1779</v>
      </c>
      <c r="P9" t="s">
        <v>1780</v>
      </c>
      <c r="Q9">
        <v>-11.04</v>
      </c>
      <c r="R9" t="s">
        <v>125</v>
      </c>
      <c r="S9">
        <v>62771141</v>
      </c>
      <c r="T9" s="5">
        <v>-0.13009999999999999</v>
      </c>
      <c r="U9" t="s">
        <v>1781</v>
      </c>
      <c r="V9">
        <v>25848980</v>
      </c>
      <c r="W9">
        <v>108220000</v>
      </c>
      <c r="X9">
        <v>1.04</v>
      </c>
      <c r="Y9">
        <v>0.19</v>
      </c>
      <c r="Z9">
        <v>42.01</v>
      </c>
      <c r="AA9" t="s">
        <v>1782</v>
      </c>
      <c r="AB9" t="s">
        <v>1783</v>
      </c>
      <c r="AC9" t="s">
        <v>1784</v>
      </c>
      <c r="AD9" t="s">
        <v>1785</v>
      </c>
      <c r="AE9" t="s">
        <v>1786</v>
      </c>
      <c r="AF9">
        <v>-2337425</v>
      </c>
      <c r="AG9" t="s">
        <v>1787</v>
      </c>
      <c r="AH9" t="s">
        <v>1788</v>
      </c>
      <c r="AI9" t="s">
        <v>1789</v>
      </c>
      <c r="AJ9" t="s">
        <v>845</v>
      </c>
      <c r="AK9" t="s">
        <v>1790</v>
      </c>
      <c r="AL9" t="s">
        <v>7</v>
      </c>
      <c r="AM9" t="s">
        <v>1791</v>
      </c>
      <c r="AN9" t="s">
        <v>7</v>
      </c>
      <c r="AO9" t="s">
        <v>1792</v>
      </c>
      <c r="AP9" t="s">
        <v>7</v>
      </c>
      <c r="AQ9" t="s">
        <v>7</v>
      </c>
      <c r="AR9" t="s">
        <v>1793</v>
      </c>
      <c r="AS9" t="s">
        <v>7</v>
      </c>
      <c r="AT9" t="s">
        <v>1794</v>
      </c>
      <c r="AU9" t="s">
        <v>7</v>
      </c>
      <c r="AV9" t="s">
        <v>1795</v>
      </c>
      <c r="AW9" t="s">
        <v>1796</v>
      </c>
      <c r="AX9" t="s">
        <v>132</v>
      </c>
      <c r="AY9" t="s">
        <v>137</v>
      </c>
      <c r="AZ9" t="s">
        <v>1066</v>
      </c>
      <c r="BA9" t="s">
        <v>1135</v>
      </c>
      <c r="BB9" t="s">
        <v>104</v>
      </c>
      <c r="BC9" t="s">
        <v>1797</v>
      </c>
      <c r="BD9" t="s">
        <v>1798</v>
      </c>
      <c r="BE9" t="s">
        <v>1799</v>
      </c>
      <c r="BF9" t="s">
        <v>1800</v>
      </c>
      <c r="BG9" t="s">
        <v>237</v>
      </c>
      <c r="BH9" t="s">
        <v>1801</v>
      </c>
      <c r="BI9" t="s">
        <v>1802</v>
      </c>
      <c r="BJ9" t="s">
        <v>568</v>
      </c>
      <c r="BK9" t="s">
        <v>1803</v>
      </c>
      <c r="BL9" t="s">
        <v>1804</v>
      </c>
      <c r="BM9" t="s">
        <v>1805</v>
      </c>
      <c r="BN9" t="s">
        <v>1806</v>
      </c>
      <c r="BO9">
        <v>22.25</v>
      </c>
      <c r="BP9">
        <v>19.600000000000001</v>
      </c>
      <c r="BQ9">
        <v>21.89</v>
      </c>
      <c r="BR9">
        <v>23.08</v>
      </c>
      <c r="BS9" t="s">
        <v>7</v>
      </c>
      <c r="BT9" t="s">
        <v>7</v>
      </c>
      <c r="BU9" t="s">
        <v>1765</v>
      </c>
      <c r="BV9" t="s">
        <v>589</v>
      </c>
      <c r="BW9">
        <v>84.97</v>
      </c>
      <c r="BX9">
        <v>84.08</v>
      </c>
      <c r="BY9">
        <v>86.2</v>
      </c>
      <c r="BZ9">
        <v>38.950000000000003</v>
      </c>
      <c r="CA9">
        <v>34.04</v>
      </c>
      <c r="CB9">
        <v>34.96</v>
      </c>
      <c r="CC9">
        <v>6.94</v>
      </c>
      <c r="CD9">
        <v>2.0499999999999998</v>
      </c>
      <c r="CE9" t="s">
        <v>1807</v>
      </c>
      <c r="CF9" t="s">
        <v>1808</v>
      </c>
      <c r="CG9" s="23">
        <v>-1.1878418929998904E-2</v>
      </c>
      <c r="CH9" s="24">
        <v>-2.4621689671412528E-2</v>
      </c>
      <c r="CI9" s="23">
        <v>0.12365591526031494</v>
      </c>
      <c r="CJ9" s="23">
        <v>-1.0638297535479069E-2</v>
      </c>
      <c r="CK9" s="23">
        <v>0.3055555522441864</v>
      </c>
      <c r="CL9" s="23">
        <v>0.20000000298023224</v>
      </c>
      <c r="CM9" s="23">
        <v>0.35095885396003723</v>
      </c>
      <c r="CN9" s="24">
        <v>0.2106727808713913</v>
      </c>
      <c r="CO9" s="24">
        <v>-3.9270881563425064E-2</v>
      </c>
      <c r="CP9" s="24">
        <v>0.56326907873153687</v>
      </c>
      <c r="CQ9" s="24">
        <v>-0.58353269100189209</v>
      </c>
      <c r="CR9" s="24">
        <v>13.440949440002441</v>
      </c>
      <c r="CS9">
        <v>13.16762966507177</v>
      </c>
      <c r="CT9">
        <v>64387526.345792778</v>
      </c>
      <c r="CU9">
        <v>3.5391270153362173</v>
      </c>
      <c r="CV9" s="23">
        <v>0.19390640538185835</v>
      </c>
      <c r="CW9" s="24">
        <v>2.7184175454080104</v>
      </c>
      <c r="CX9">
        <v>0.06</v>
      </c>
      <c r="CY9">
        <v>19.441564199976657</v>
      </c>
      <c r="CZ9">
        <v>86144627.190131694</v>
      </c>
      <c r="DA9">
        <v>0.19390640538185835</v>
      </c>
      <c r="DB9">
        <v>5.8244133545601064</v>
      </c>
      <c r="DC9">
        <v>287545920.60138726</v>
      </c>
      <c r="DD9">
        <v>0.18421108511276543</v>
      </c>
      <c r="DE9">
        <v>2.541631162359804</v>
      </c>
      <c r="DF9">
        <v>658941519.44730926</v>
      </c>
      <c r="DG9">
        <v>0.17063763673603535</v>
      </c>
      <c r="DH9">
        <v>1.3242451557177024</v>
      </c>
      <c r="DI9">
        <v>1264710157.9105377</v>
      </c>
      <c r="DJ9">
        <v>0.15512512430548669</v>
      </c>
      <c r="DK9">
        <v>0.49070016755355983</v>
      </c>
      <c r="DL9">
        <v>3413054265.6014018</v>
      </c>
      <c r="DM9">
        <v>0.13573448376730085</v>
      </c>
      <c r="DN9">
        <v>76482800</v>
      </c>
      <c r="DO9">
        <v>0.19390640538185835</v>
      </c>
      <c r="DP9">
        <v>1674786300</v>
      </c>
      <c r="DQ9">
        <v>978655310</v>
      </c>
      <c r="DR9">
        <v>4547</v>
      </c>
      <c r="DS9">
        <v>-0.20578482431185727</v>
      </c>
      <c r="DT9">
        <v>-2.743039235079423</v>
      </c>
      <c r="DU9" s="25">
        <v>0.34999999999999992</v>
      </c>
      <c r="DV9">
        <v>0.70166666666666677</v>
      </c>
      <c r="DW9">
        <v>1.0516666666666667</v>
      </c>
      <c r="DX9">
        <v>5.2953890489913542</v>
      </c>
      <c r="DY9">
        <v>0.84098334844219835</v>
      </c>
      <c r="DZ9">
        <v>5.0623221706493524</v>
      </c>
      <c r="EA9">
        <v>1513</v>
      </c>
      <c r="EB9">
        <v>5.043109977456103</v>
      </c>
      <c r="EC9">
        <v>5</v>
      </c>
      <c r="ED9">
        <v>7.7636296433191643E-2</v>
      </c>
      <c r="EE9">
        <v>0.36797357235261502</v>
      </c>
      <c r="EF9" s="22">
        <v>4.0010000000000004E-2</v>
      </c>
      <c r="EG9">
        <v>1.5199999999999998E-2</v>
      </c>
      <c r="EH9">
        <v>63.210983348442198</v>
      </c>
      <c r="EI9" t="s">
        <v>619</v>
      </c>
      <c r="EJ9">
        <v>1</v>
      </c>
      <c r="EK9">
        <v>0</v>
      </c>
      <c r="EL9" s="31">
        <v>44911</v>
      </c>
      <c r="EM9" s="32">
        <v>4.2900000000000001E-2</v>
      </c>
      <c r="EN9" s="32">
        <v>8.8999999999999999E-3</v>
      </c>
      <c r="EO9" s="32">
        <v>-2.92E-2</v>
      </c>
      <c r="EP9" s="32">
        <v>-0.78</v>
      </c>
      <c r="EQ9" s="32">
        <v>5.52</v>
      </c>
    </row>
  </sheetData>
  <mergeCells count="1">
    <mergeCell ref="A3:A9"/>
  </mergeCells>
  <phoneticPr fontId="1" type="noConversion"/>
  <hyperlinks>
    <hyperlink ref="A3"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7649" r:id="rId5" name="Button 1">
              <controlPr defaultSize="0" print="0" autoFill="0" autoPict="0" macro="[0]!'Industry_copy_call_buttom [c2],[d2]'">
                <anchor moveWithCells="1" sizeWithCells="1">
                  <from>
                    <xdr:col>1</xdr:col>
                    <xdr:colOff>252413</xdr:colOff>
                    <xdr:row>1</xdr:row>
                    <xdr:rowOff>138113</xdr:rowOff>
                  </from>
                  <to>
                    <xdr:col>1</xdr:col>
                    <xdr:colOff>1195388</xdr:colOff>
                    <xdr:row>1</xdr:row>
                    <xdr:rowOff>481013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15"/>
  <sheetViews>
    <sheetView workbookViewId="0">
      <selection activeCell="D15" sqref="D15"/>
    </sheetView>
  </sheetViews>
  <sheetFormatPr defaultRowHeight="13.5"/>
  <cols>
    <col min="1" max="1" width="17.796875" style="29" customWidth="1"/>
    <col min="2" max="2" width="36.06640625" customWidth="1"/>
    <col min="3" max="3" width="34.06640625" customWidth="1"/>
    <col min="4" max="4" width="46.59765625" customWidth="1"/>
    <col min="5" max="5" width="17.19921875" customWidth="1"/>
    <col min="6" max="6" width="16.796875" customWidth="1"/>
  </cols>
  <sheetData>
    <row r="1" spans="1:147" s="17" customFormat="1">
      <c r="A1" s="18" t="s">
        <v>408</v>
      </c>
      <c r="B1" s="20" t="s">
        <v>35</v>
      </c>
      <c r="C1" s="21" t="s">
        <v>624</v>
      </c>
      <c r="D1" s="20" t="s">
        <v>537</v>
      </c>
      <c r="E1" t="s">
        <v>2</v>
      </c>
      <c r="F1" t="s">
        <v>3</v>
      </c>
      <c r="G1" t="s">
        <v>0</v>
      </c>
      <c r="H1" t="s">
        <v>592</v>
      </c>
      <c r="I1" t="s">
        <v>626</v>
      </c>
      <c r="J1" t="s">
        <v>4</v>
      </c>
      <c r="K1" t="s">
        <v>5</v>
      </c>
      <c r="L1" t="s">
        <v>1</v>
      </c>
      <c r="M1" t="s">
        <v>6</v>
      </c>
      <c r="N1" t="s">
        <v>36</v>
      </c>
      <c r="O1" t="s">
        <v>37</v>
      </c>
      <c r="P1" t="s">
        <v>38</v>
      </c>
      <c r="Q1" t="s">
        <v>627</v>
      </c>
      <c r="R1" t="s">
        <v>593</v>
      </c>
      <c r="S1" t="s">
        <v>628</v>
      </c>
      <c r="T1" t="s">
        <v>39</v>
      </c>
      <c r="U1" t="s">
        <v>594</v>
      </c>
      <c r="V1" t="s">
        <v>595</v>
      </c>
      <c r="W1" t="s">
        <v>40</v>
      </c>
      <c r="X1" t="s">
        <v>538</v>
      </c>
      <c r="Y1" t="s">
        <v>539</v>
      </c>
      <c r="Z1" t="s">
        <v>540</v>
      </c>
      <c r="AA1" t="s">
        <v>541</v>
      </c>
      <c r="AB1" t="s">
        <v>542</v>
      </c>
      <c r="AC1" t="s">
        <v>596</v>
      </c>
      <c r="AD1" t="s">
        <v>543</v>
      </c>
      <c r="AE1" t="s">
        <v>629</v>
      </c>
      <c r="AF1" t="s">
        <v>41</v>
      </c>
      <c r="AG1" t="s">
        <v>42</v>
      </c>
      <c r="AH1" t="s">
        <v>597</v>
      </c>
      <c r="AI1" t="s">
        <v>630</v>
      </c>
      <c r="AJ1" t="s">
        <v>598</v>
      </c>
      <c r="AK1" t="s">
        <v>43</v>
      </c>
      <c r="AL1" t="s">
        <v>599</v>
      </c>
      <c r="AM1" t="s">
        <v>409</v>
      </c>
      <c r="AN1" t="s">
        <v>600</v>
      </c>
      <c r="AO1" t="s">
        <v>601</v>
      </c>
      <c r="AP1" t="s">
        <v>602</v>
      </c>
      <c r="AQ1" t="s">
        <v>603</v>
      </c>
      <c r="AR1" t="s">
        <v>604</v>
      </c>
      <c r="AS1" t="s">
        <v>605</v>
      </c>
      <c r="AT1" t="s">
        <v>606</v>
      </c>
      <c r="AU1" t="s">
        <v>607</v>
      </c>
      <c r="AV1" t="s">
        <v>608</v>
      </c>
      <c r="AW1" t="s">
        <v>609</v>
      </c>
      <c r="AX1" t="s">
        <v>610</v>
      </c>
      <c r="AY1" t="s">
        <v>631</v>
      </c>
      <c r="AZ1" t="s">
        <v>410</v>
      </c>
      <c r="BA1" t="s">
        <v>411</v>
      </c>
      <c r="BB1" t="s">
        <v>412</v>
      </c>
      <c r="BC1" t="s">
        <v>413</v>
      </c>
      <c r="BD1" t="s">
        <v>419</v>
      </c>
      <c r="BE1" t="s">
        <v>414</v>
      </c>
      <c r="BF1" t="s">
        <v>415</v>
      </c>
      <c r="BG1" t="s">
        <v>416</v>
      </c>
      <c r="BH1" t="s">
        <v>417</v>
      </c>
      <c r="BI1" t="s">
        <v>632</v>
      </c>
      <c r="BJ1" t="s">
        <v>611</v>
      </c>
      <c r="BK1" t="s">
        <v>418</v>
      </c>
      <c r="BL1" t="s">
        <v>612</v>
      </c>
      <c r="BM1" t="s">
        <v>613</v>
      </c>
      <c r="BN1" t="s">
        <v>614</v>
      </c>
      <c r="BO1" t="s">
        <v>615</v>
      </c>
      <c r="BP1" t="s">
        <v>420</v>
      </c>
      <c r="BQ1" t="s">
        <v>421</v>
      </c>
      <c r="BR1" t="s">
        <v>422</v>
      </c>
      <c r="BS1" t="s">
        <v>616</v>
      </c>
      <c r="BT1" t="s">
        <v>423</v>
      </c>
      <c r="BU1" t="s">
        <v>424</v>
      </c>
      <c r="BV1" t="s">
        <v>425</v>
      </c>
      <c r="BW1" t="s">
        <v>617</v>
      </c>
      <c r="BX1" t="s">
        <v>426</v>
      </c>
      <c r="BY1" t="s">
        <v>427</v>
      </c>
      <c r="BZ1" t="s">
        <v>618</v>
      </c>
      <c r="CA1" t="s">
        <v>428</v>
      </c>
      <c r="CB1" t="s">
        <v>429</v>
      </c>
      <c r="CC1" t="s">
        <v>633</v>
      </c>
      <c r="CD1" t="s">
        <v>634</v>
      </c>
      <c r="CE1" t="s">
        <v>635</v>
      </c>
      <c r="CF1" t="s">
        <v>636</v>
      </c>
      <c r="CG1" s="1" t="s">
        <v>544</v>
      </c>
      <c r="CH1" s="1" t="s">
        <v>545</v>
      </c>
      <c r="CI1" s="1" t="s">
        <v>546</v>
      </c>
      <c r="CJ1" s="1" t="s">
        <v>547</v>
      </c>
      <c r="CK1" s="1" t="s">
        <v>548</v>
      </c>
      <c r="CL1" s="1" t="s">
        <v>549</v>
      </c>
      <c r="CM1" s="1" t="s">
        <v>550</v>
      </c>
      <c r="CN1" s="1" t="s">
        <v>551</v>
      </c>
      <c r="CO1" s="1" t="s">
        <v>552</v>
      </c>
      <c r="CP1" s="1" t="s">
        <v>553</v>
      </c>
      <c r="CQ1" s="1" t="s">
        <v>554</v>
      </c>
      <c r="CR1" s="1" t="s">
        <v>555</v>
      </c>
      <c r="CS1" s="1" t="s">
        <v>637</v>
      </c>
      <c r="CT1" s="1" t="s">
        <v>638</v>
      </c>
      <c r="CU1" s="1" t="s">
        <v>639</v>
      </c>
      <c r="CV1" s="1" t="s">
        <v>640</v>
      </c>
      <c r="CW1" s="1" t="s">
        <v>556</v>
      </c>
      <c r="CX1" s="1" t="s">
        <v>642</v>
      </c>
      <c r="CY1">
        <v>1</v>
      </c>
      <c r="CZ1" t="s">
        <v>643</v>
      </c>
      <c r="DA1" t="s">
        <v>644</v>
      </c>
      <c r="DB1">
        <v>3</v>
      </c>
      <c r="DC1" t="s">
        <v>645</v>
      </c>
      <c r="DD1" t="s">
        <v>646</v>
      </c>
      <c r="DE1">
        <v>6</v>
      </c>
      <c r="DF1" t="s">
        <v>647</v>
      </c>
      <c r="DG1" t="s">
        <v>557</v>
      </c>
      <c r="DH1">
        <v>10</v>
      </c>
      <c r="DI1" t="s">
        <v>649</v>
      </c>
      <c r="DJ1" t="s">
        <v>583</v>
      </c>
      <c r="DK1">
        <v>20</v>
      </c>
      <c r="DL1" t="s">
        <v>558</v>
      </c>
      <c r="DM1" t="s">
        <v>559</v>
      </c>
      <c r="DN1" t="s">
        <v>560</v>
      </c>
      <c r="DO1" s="2" t="s">
        <v>561</v>
      </c>
      <c r="DP1" t="s">
        <v>652</v>
      </c>
      <c r="DQ1" t="s">
        <v>653</v>
      </c>
      <c r="DR1" s="1" t="s">
        <v>654</v>
      </c>
      <c r="DS1" s="1" t="s">
        <v>655</v>
      </c>
      <c r="DT1" s="1" t="s">
        <v>656</v>
      </c>
      <c r="DU1" t="s">
        <v>657</v>
      </c>
      <c r="DV1" t="s">
        <v>658</v>
      </c>
      <c r="DW1" t="s">
        <v>659</v>
      </c>
      <c r="DX1" t="s">
        <v>660</v>
      </c>
      <c r="DY1" t="s">
        <v>661</v>
      </c>
      <c r="DZ1" t="s">
        <v>662</v>
      </c>
      <c r="EA1" t="s">
        <v>562</v>
      </c>
      <c r="EB1" t="s">
        <v>664</v>
      </c>
      <c r="EC1" t="s">
        <v>665</v>
      </c>
      <c r="ED1" t="s">
        <v>666</v>
      </c>
      <c r="EE1" t="s">
        <v>667</v>
      </c>
      <c r="EF1" t="s">
        <v>668</v>
      </c>
      <c r="EG1" t="s">
        <v>669</v>
      </c>
      <c r="EH1" t="s">
        <v>670</v>
      </c>
      <c r="EI1" t="s">
        <v>671</v>
      </c>
      <c r="EJ1" t="s">
        <v>672</v>
      </c>
      <c r="EK1"/>
    </row>
    <row r="2" spans="1:147" s="17" customFormat="1" ht="50.55" customHeight="1">
      <c r="A2" s="30" t="s">
        <v>1564</v>
      </c>
      <c r="B2" s="27"/>
      <c r="C2" s="27">
        <v>3</v>
      </c>
      <c r="D2" s="27">
        <v>15</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s="19" customFormat="1" ht="123.75">
      <c r="A3" s="34"/>
      <c r="B3" s="4"/>
      <c r="C3" s="4" t="s">
        <v>2140</v>
      </c>
      <c r="D3" s="4" t="s">
        <v>1864</v>
      </c>
      <c r="E3" t="s">
        <v>22</v>
      </c>
      <c r="F3" t="s">
        <v>23</v>
      </c>
      <c r="G3">
        <v>92.53</v>
      </c>
      <c r="H3">
        <v>1.5599999999999999E-2</v>
      </c>
      <c r="I3" t="s">
        <v>1837</v>
      </c>
      <c r="J3">
        <v>148048000000</v>
      </c>
      <c r="K3">
        <v>19.97</v>
      </c>
      <c r="L3">
        <v>6.64</v>
      </c>
      <c r="M3" t="s">
        <v>8</v>
      </c>
      <c r="N3" t="s">
        <v>1838</v>
      </c>
      <c r="O3" t="s">
        <v>1839</v>
      </c>
      <c r="P3" t="s">
        <v>1840</v>
      </c>
      <c r="Q3">
        <v>27.46</v>
      </c>
      <c r="R3" t="s">
        <v>674</v>
      </c>
      <c r="S3">
        <v>5607155300</v>
      </c>
      <c r="T3" s="5">
        <v>-0.33279999999999998</v>
      </c>
      <c r="U3" t="s">
        <v>675</v>
      </c>
      <c r="V3">
        <v>925427280</v>
      </c>
      <c r="W3">
        <v>1600000000</v>
      </c>
      <c r="X3">
        <v>1.62</v>
      </c>
      <c r="Y3">
        <v>0.84</v>
      </c>
      <c r="Z3">
        <v>20.149999999999999</v>
      </c>
      <c r="AA3" t="s">
        <v>1841</v>
      </c>
      <c r="AB3" t="s">
        <v>1842</v>
      </c>
      <c r="AC3" t="s">
        <v>1843</v>
      </c>
      <c r="AD3" t="s">
        <v>107</v>
      </c>
      <c r="AE3" t="s">
        <v>164</v>
      </c>
      <c r="AF3">
        <v>7344287</v>
      </c>
      <c r="AG3" t="s">
        <v>63</v>
      </c>
      <c r="AH3" t="s">
        <v>1844</v>
      </c>
      <c r="AI3" t="s">
        <v>1845</v>
      </c>
      <c r="AJ3" t="s">
        <v>1846</v>
      </c>
      <c r="AK3" t="s">
        <v>1847</v>
      </c>
      <c r="AL3" t="s">
        <v>7</v>
      </c>
      <c r="AM3" t="s">
        <v>1848</v>
      </c>
      <c r="AN3" t="s">
        <v>7</v>
      </c>
      <c r="AO3" t="s">
        <v>714</v>
      </c>
      <c r="AP3" t="s">
        <v>1849</v>
      </c>
      <c r="AQ3" t="s">
        <v>1850</v>
      </c>
      <c r="AR3" t="s">
        <v>1851</v>
      </c>
      <c r="AS3" t="s">
        <v>1852</v>
      </c>
      <c r="AT3" t="s">
        <v>1853</v>
      </c>
      <c r="AU3" t="s">
        <v>275</v>
      </c>
      <c r="AV3" t="s">
        <v>1854</v>
      </c>
      <c r="AW3" t="s">
        <v>1855</v>
      </c>
      <c r="AX3" t="s">
        <v>1856</v>
      </c>
      <c r="AY3" t="s">
        <v>685</v>
      </c>
      <c r="AZ3" t="s">
        <v>686</v>
      </c>
      <c r="BA3" t="s">
        <v>687</v>
      </c>
      <c r="BB3" t="s">
        <v>436</v>
      </c>
      <c r="BC3" t="s">
        <v>204</v>
      </c>
      <c r="BD3" t="s">
        <v>688</v>
      </c>
      <c r="BE3" t="s">
        <v>178</v>
      </c>
      <c r="BF3" t="s">
        <v>366</v>
      </c>
      <c r="BG3" t="s">
        <v>119</v>
      </c>
      <c r="BH3" t="s">
        <v>689</v>
      </c>
      <c r="BI3" t="s">
        <v>1857</v>
      </c>
      <c r="BJ3" t="s">
        <v>1858</v>
      </c>
      <c r="BK3" t="s">
        <v>1458</v>
      </c>
      <c r="BL3" t="s">
        <v>1859</v>
      </c>
      <c r="BM3" t="s">
        <v>1860</v>
      </c>
      <c r="BN3" t="s">
        <v>1459</v>
      </c>
      <c r="BO3">
        <v>68.5</v>
      </c>
      <c r="BP3">
        <v>35.03</v>
      </c>
      <c r="BQ3">
        <v>37.200000000000003</v>
      </c>
      <c r="BR3">
        <v>78.010000000000005</v>
      </c>
      <c r="BS3">
        <v>46.29</v>
      </c>
      <c r="BT3">
        <v>47.67</v>
      </c>
      <c r="BU3" t="s">
        <v>1861</v>
      </c>
      <c r="BV3" t="s">
        <v>1445</v>
      </c>
      <c r="BW3">
        <v>33.450000000000003</v>
      </c>
      <c r="BX3">
        <v>38.99</v>
      </c>
      <c r="BY3">
        <v>42.05</v>
      </c>
      <c r="BZ3">
        <v>20.32</v>
      </c>
      <c r="CA3">
        <v>21.73</v>
      </c>
      <c r="CB3">
        <v>22.35</v>
      </c>
      <c r="CC3">
        <v>-1.7</v>
      </c>
      <c r="CD3">
        <v>5.35</v>
      </c>
      <c r="CE3" t="s">
        <v>1862</v>
      </c>
      <c r="CF3" t="s">
        <v>1863</v>
      </c>
      <c r="CG3" s="23">
        <v>9.370374220374221E-2</v>
      </c>
      <c r="CH3" s="24">
        <v>-0.35525049776862361</v>
      </c>
      <c r="CI3" s="23">
        <v>1.0179065465927124</v>
      </c>
      <c r="CJ3" s="23">
        <v>0.43477848172187805</v>
      </c>
      <c r="CK3" s="23">
        <v>1.0250571966171265</v>
      </c>
      <c r="CL3" s="23">
        <v>2.8927774429321289</v>
      </c>
      <c r="CM3" s="23">
        <v>2.0112109184265137</v>
      </c>
      <c r="CN3" s="24">
        <v>2.0926992893218994</v>
      </c>
      <c r="CO3" s="24">
        <v>0.39518162608146667</v>
      </c>
      <c r="CP3" s="24">
        <v>0.63059961795806885</v>
      </c>
      <c r="CQ3" s="24">
        <v>2.3587963581085205</v>
      </c>
      <c r="CR3" s="24">
        <v>12.284010887145996</v>
      </c>
      <c r="CS3">
        <v>4.8299621558136501</v>
      </c>
      <c r="CT3">
        <v>0.13526638344867983</v>
      </c>
      <c r="CU3">
        <v>0.64843834432076086</v>
      </c>
      <c r="CV3" s="23">
        <v>1.4763461172580719</v>
      </c>
      <c r="CW3" s="24">
        <v>3.5522575557231901</v>
      </c>
      <c r="CX3">
        <v>0.06</v>
      </c>
      <c r="CY3">
        <v>5.8560546439663712</v>
      </c>
      <c r="CZ3">
        <v>23850016519.894012</v>
      </c>
      <c r="DA3">
        <v>1.4763461172580719</v>
      </c>
      <c r="DB3">
        <v>0.7182506665820948</v>
      </c>
      <c r="DC3">
        <v>194454396630.95154</v>
      </c>
      <c r="DD3">
        <v>1.4025288113951682</v>
      </c>
      <c r="DE3">
        <v>7.1491673597939814E-2</v>
      </c>
      <c r="DF3">
        <v>1953612119719.9783</v>
      </c>
      <c r="DG3">
        <v>1.2991845831871032</v>
      </c>
      <c r="DH3">
        <v>5.1730095292607499E-3</v>
      </c>
      <c r="DI3">
        <v>26999177018712.961</v>
      </c>
      <c r="DJ3">
        <v>1.1810768938064575</v>
      </c>
      <c r="DK3">
        <v>1.43770644948578E-5</v>
      </c>
      <c r="DL3">
        <v>9714570039659644</v>
      </c>
      <c r="DM3">
        <v>1.0334422820806501</v>
      </c>
      <c r="DN3">
        <v>10209000000</v>
      </c>
      <c r="DO3">
        <v>1.4763461172580719</v>
      </c>
      <c r="DP3">
        <v>139667000000</v>
      </c>
      <c r="DQ3">
        <v>16441161000</v>
      </c>
      <c r="DR3">
        <v>1628</v>
      </c>
      <c r="DS3">
        <v>-1.3826423750543297</v>
      </c>
      <c r="DT3">
        <v>-3.9075080534918136</v>
      </c>
      <c r="DU3" s="25">
        <v>2.0775000000000001</v>
      </c>
      <c r="DV3">
        <v>1.5341666666666669</v>
      </c>
      <c r="DW3">
        <v>3.6116666666666672</v>
      </c>
      <c r="DX3">
        <v>1.0535000000000001</v>
      </c>
      <c r="DY3">
        <v>0.37918000000000163</v>
      </c>
      <c r="DZ3">
        <v>1.00691113</v>
      </c>
      <c r="EA3">
        <v>13</v>
      </c>
      <c r="EB3">
        <v>1.0068929538539348</v>
      </c>
      <c r="EC3">
        <v>1</v>
      </c>
      <c r="ED3">
        <v>2.5836000000000001E-2</v>
      </c>
      <c r="EE3">
        <v>0.2</v>
      </c>
      <c r="EF3" s="22">
        <v>0.12111</v>
      </c>
      <c r="EG3">
        <v>0.12095399999999999</v>
      </c>
      <c r="EH3">
        <v>25.129180000000002</v>
      </c>
      <c r="EI3" t="s">
        <v>619</v>
      </c>
      <c r="EJ3">
        <v>0</v>
      </c>
      <c r="EK3">
        <v>1</v>
      </c>
      <c r="EL3" s="31">
        <v>44977</v>
      </c>
      <c r="EM3" s="32">
        <v>5.7999999999999996E-3</v>
      </c>
      <c r="EN3" s="32">
        <v>-2.8799999999999999E-2</v>
      </c>
      <c r="EO3" s="32">
        <v>-0.99</v>
      </c>
      <c r="EP3" s="32">
        <v>0.08</v>
      </c>
      <c r="EQ3" s="32">
        <v>1.5599999999999999E-2</v>
      </c>
    </row>
    <row r="4" spans="1:147" s="19" customFormat="1" ht="157.5">
      <c r="A4" s="34"/>
      <c r="B4" s="26" t="s">
        <v>2141</v>
      </c>
      <c r="C4" s="26" t="s">
        <v>2142</v>
      </c>
      <c r="D4" s="26" t="s">
        <v>2143</v>
      </c>
      <c r="E4" t="s">
        <v>184</v>
      </c>
      <c r="F4" t="s">
        <v>185</v>
      </c>
      <c r="G4">
        <v>129.19999999999999</v>
      </c>
      <c r="H4">
        <v>1.7299999999999999E-2</v>
      </c>
      <c r="I4" t="s">
        <v>1915</v>
      </c>
      <c r="J4">
        <v>117064335000</v>
      </c>
      <c r="K4">
        <v>24.51</v>
      </c>
      <c r="L4">
        <v>9.49</v>
      </c>
      <c r="M4" t="s">
        <v>8</v>
      </c>
      <c r="N4" t="s">
        <v>1916</v>
      </c>
      <c r="O4" t="s">
        <v>1917</v>
      </c>
      <c r="P4" t="s">
        <v>1918</v>
      </c>
      <c r="Q4">
        <v>140.56</v>
      </c>
      <c r="R4" t="s">
        <v>679</v>
      </c>
      <c r="S4">
        <v>4739090000</v>
      </c>
      <c r="T4" s="5">
        <v>1.3440000000000001</v>
      </c>
      <c r="U4" t="s">
        <v>680</v>
      </c>
      <c r="V4">
        <v>218680700</v>
      </c>
      <c r="W4">
        <v>906070710</v>
      </c>
      <c r="X4">
        <v>1.3</v>
      </c>
      <c r="Y4">
        <v>0.78</v>
      </c>
      <c r="Z4">
        <v>46.69</v>
      </c>
      <c r="AA4" t="s">
        <v>1919</v>
      </c>
      <c r="AB4" t="s">
        <v>1920</v>
      </c>
      <c r="AC4" t="s">
        <v>1921</v>
      </c>
      <c r="AD4" t="s">
        <v>84</v>
      </c>
      <c r="AE4" t="s">
        <v>117</v>
      </c>
      <c r="AF4">
        <v>-51751854</v>
      </c>
      <c r="AG4" t="s">
        <v>1922</v>
      </c>
      <c r="AH4" t="s">
        <v>1923</v>
      </c>
      <c r="AI4" t="s">
        <v>1924</v>
      </c>
      <c r="AJ4" t="s">
        <v>1925</v>
      </c>
      <c r="AK4" t="s">
        <v>1926</v>
      </c>
      <c r="AL4" t="s">
        <v>1927</v>
      </c>
      <c r="AM4" t="s">
        <v>1928</v>
      </c>
      <c r="AN4" t="s">
        <v>7</v>
      </c>
      <c r="AO4" t="s">
        <v>1929</v>
      </c>
      <c r="AP4" t="s">
        <v>1930</v>
      </c>
      <c r="AQ4" t="s">
        <v>1931</v>
      </c>
      <c r="AR4" t="s">
        <v>1757</v>
      </c>
      <c r="AS4" t="s">
        <v>7</v>
      </c>
      <c r="AT4" t="s">
        <v>1932</v>
      </c>
      <c r="AU4" t="s">
        <v>1933</v>
      </c>
      <c r="AV4" t="s">
        <v>1934</v>
      </c>
      <c r="AW4" t="s">
        <v>1935</v>
      </c>
      <c r="AX4" t="s">
        <v>1936</v>
      </c>
      <c r="AY4" t="s">
        <v>467</v>
      </c>
      <c r="AZ4" t="s">
        <v>186</v>
      </c>
      <c r="BA4" t="s">
        <v>468</v>
      </c>
      <c r="BB4" t="s">
        <v>469</v>
      </c>
      <c r="BC4" t="s">
        <v>281</v>
      </c>
      <c r="BD4" t="s">
        <v>285</v>
      </c>
      <c r="BE4" t="s">
        <v>125</v>
      </c>
      <c r="BF4" t="s">
        <v>312</v>
      </c>
      <c r="BG4" t="s">
        <v>84</v>
      </c>
      <c r="BH4" t="s">
        <v>70</v>
      </c>
      <c r="BI4" t="s">
        <v>1937</v>
      </c>
      <c r="BJ4" t="s">
        <v>1938</v>
      </c>
      <c r="BK4" t="s">
        <v>1465</v>
      </c>
      <c r="BL4" t="s">
        <v>1939</v>
      </c>
      <c r="BM4" t="s">
        <v>1940</v>
      </c>
      <c r="BN4" t="s">
        <v>370</v>
      </c>
      <c r="BO4">
        <v>52.76</v>
      </c>
      <c r="BP4">
        <v>30.38</v>
      </c>
      <c r="BQ4">
        <v>11.89</v>
      </c>
      <c r="BR4">
        <v>55.15</v>
      </c>
      <c r="BS4">
        <v>32.1</v>
      </c>
      <c r="BT4">
        <v>14.36</v>
      </c>
      <c r="BU4" t="s">
        <v>1941</v>
      </c>
      <c r="BV4" t="s">
        <v>1445</v>
      </c>
      <c r="BW4">
        <v>89.2</v>
      </c>
      <c r="BX4">
        <v>81.22</v>
      </c>
      <c r="BY4">
        <v>72.05</v>
      </c>
      <c r="BZ4">
        <v>46.87</v>
      </c>
      <c r="CA4">
        <v>28.96</v>
      </c>
      <c r="CB4">
        <v>17.77</v>
      </c>
      <c r="CC4">
        <v>-0.72</v>
      </c>
      <c r="CD4">
        <v>1.97</v>
      </c>
      <c r="CE4" t="s">
        <v>1942</v>
      </c>
      <c r="CF4" t="s">
        <v>1943</v>
      </c>
      <c r="CG4" s="23">
        <v>0.66698572303921566</v>
      </c>
      <c r="CH4" s="24">
        <v>3.3907510729613732</v>
      </c>
      <c r="CI4" s="23">
        <v>1.4426510334014893</v>
      </c>
      <c r="CJ4" s="23">
        <v>0.98817557096481323</v>
      </c>
      <c r="CK4" s="23">
        <v>0.20447608828544617</v>
      </c>
      <c r="CL4" s="23">
        <v>3.4736841917037964E-2</v>
      </c>
      <c r="CM4" s="23">
        <v>0.12559241056442261</v>
      </c>
      <c r="CN4" s="24">
        <v>1.9852288961410522</v>
      </c>
      <c r="CO4" s="24">
        <v>2.239234447479248</v>
      </c>
      <c r="CP4" s="24">
        <v>-0.28668943047523499</v>
      </c>
      <c r="CQ4" s="24">
        <v>0.95333331823348999</v>
      </c>
      <c r="CR4" s="24">
        <v>1.3513513840734959E-2</v>
      </c>
      <c r="CS4">
        <v>20.359014782608696</v>
      </c>
      <c r="CT4">
        <v>0.43836242540203424</v>
      </c>
      <c r="CU4">
        <v>1.5176349177441876E-2</v>
      </c>
      <c r="CV4" s="23">
        <v>0.5591263890266418</v>
      </c>
      <c r="CW4" s="24">
        <v>0.98092414904385805</v>
      </c>
      <c r="CX4">
        <v>0.06</v>
      </c>
      <c r="CY4">
        <v>36.596921251508149</v>
      </c>
      <c r="CZ4">
        <v>2972636256.8140025</v>
      </c>
      <c r="DA4">
        <v>0.5591263890266418</v>
      </c>
      <c r="DB4">
        <v>8.2243325773588758</v>
      </c>
      <c r="DC4">
        <v>13227740242.349989</v>
      </c>
      <c r="DD4">
        <v>0.53117006957530966</v>
      </c>
      <c r="DE4">
        <v>2.2998345334793533</v>
      </c>
      <c r="DF4">
        <v>47303113948.556877</v>
      </c>
      <c r="DG4">
        <v>0.49203122234344476</v>
      </c>
      <c r="DH4">
        <v>0.6694335005945965</v>
      </c>
      <c r="DI4">
        <v>162509547107.17703</v>
      </c>
      <c r="DJ4">
        <v>0.44730111122131344</v>
      </c>
      <c r="DK4">
        <v>5.5840043583113362E-2</v>
      </c>
      <c r="DL4">
        <v>1948231556053.0667</v>
      </c>
      <c r="DM4">
        <v>0.39138847231864926</v>
      </c>
      <c r="DN4">
        <v>2021000000</v>
      </c>
      <c r="DO4">
        <v>0.5591263890266418</v>
      </c>
      <c r="DP4">
        <v>108789335000</v>
      </c>
      <c r="DQ4">
        <v>8326929400</v>
      </c>
      <c r="DR4">
        <v>4031</v>
      </c>
      <c r="DS4">
        <v>0.10785933401257386</v>
      </c>
      <c r="DT4">
        <v>2.4098269239175152</v>
      </c>
      <c r="DU4" s="25">
        <v>1.3666666666666665</v>
      </c>
      <c r="DV4">
        <v>1.3499999999999999</v>
      </c>
      <c r="DW4">
        <v>2.7166666666666663</v>
      </c>
      <c r="DX4">
        <v>1.9699999999999999E-2</v>
      </c>
      <c r="DY4">
        <v>0.52835071902047959</v>
      </c>
      <c r="DZ4">
        <v>2.7255091647034858E-3</v>
      </c>
      <c r="EA4">
        <v>89</v>
      </c>
      <c r="EB4">
        <v>2.6764356636598667E-3</v>
      </c>
      <c r="EC4">
        <v>0</v>
      </c>
      <c r="ED4">
        <v>8.7695142468516615E-3</v>
      </c>
      <c r="EE4">
        <v>6.338611254744124E-2</v>
      </c>
      <c r="EF4" s="22">
        <v>6.6909999999999997E-2</v>
      </c>
      <c r="EG4">
        <v>6.6736999999999991E-2</v>
      </c>
      <c r="EH4">
        <v>39.13835071902048</v>
      </c>
      <c r="EI4">
        <v>-1</v>
      </c>
      <c r="EJ4">
        <v>0</v>
      </c>
      <c r="EK4">
        <v>1</v>
      </c>
      <c r="EL4" s="31">
        <v>44977</v>
      </c>
      <c r="EM4" s="32">
        <v>5.0000000000000001E-4</v>
      </c>
      <c r="EN4" s="32">
        <v>-1.8499999999999999E-2</v>
      </c>
      <c r="EO4" s="32">
        <v>-1.1000000000000001</v>
      </c>
      <c r="EP4" s="32">
        <v>0.49</v>
      </c>
      <c r="EQ4" s="32">
        <v>1.7299999999999999E-2</v>
      </c>
    </row>
    <row r="5" spans="1:147" s="19" customFormat="1" ht="191.25">
      <c r="A5" s="34"/>
      <c r="B5" s="4"/>
      <c r="C5" s="4" t="s">
        <v>2144</v>
      </c>
      <c r="D5" s="4" t="s">
        <v>1869</v>
      </c>
      <c r="E5" t="s">
        <v>24</v>
      </c>
      <c r="F5" t="s">
        <v>25</v>
      </c>
      <c r="G5">
        <v>38.700000000000003</v>
      </c>
      <c r="H5">
        <v>1.3100000000000001E-2</v>
      </c>
      <c r="I5" t="s">
        <v>1865</v>
      </c>
      <c r="J5">
        <v>62123298000</v>
      </c>
      <c r="K5">
        <v>104.4</v>
      </c>
      <c r="L5">
        <v>6.98</v>
      </c>
      <c r="M5" t="s">
        <v>8</v>
      </c>
      <c r="N5" t="s">
        <v>1582</v>
      </c>
      <c r="O5" t="s">
        <v>1583</v>
      </c>
      <c r="P5" t="s">
        <v>1584</v>
      </c>
      <c r="Q5">
        <v>74.06</v>
      </c>
      <c r="R5" t="s">
        <v>676</v>
      </c>
      <c r="S5">
        <v>695500000</v>
      </c>
      <c r="T5" s="5">
        <v>0.45839999999999997</v>
      </c>
      <c r="U5" t="s">
        <v>111</v>
      </c>
      <c r="V5">
        <v>1557998700</v>
      </c>
      <c r="W5">
        <v>1605253200</v>
      </c>
      <c r="X5">
        <v>1.38</v>
      </c>
      <c r="Y5">
        <v>0.26</v>
      </c>
      <c r="Z5">
        <v>18.579999999999998</v>
      </c>
      <c r="AA5" t="s">
        <v>1585</v>
      </c>
      <c r="AB5" t="s">
        <v>569</v>
      </c>
      <c r="AC5" t="s">
        <v>1586</v>
      </c>
      <c r="AD5" t="s">
        <v>137</v>
      </c>
      <c r="AE5" t="s">
        <v>322</v>
      </c>
      <c r="AF5">
        <v>-53779931</v>
      </c>
      <c r="AG5" t="s">
        <v>1587</v>
      </c>
      <c r="AH5" t="s">
        <v>1588</v>
      </c>
      <c r="AI5" t="s">
        <v>1589</v>
      </c>
      <c r="AJ5" t="s">
        <v>1590</v>
      </c>
      <c r="AK5" t="s">
        <v>1591</v>
      </c>
      <c r="AL5" t="s">
        <v>7</v>
      </c>
      <c r="AM5" t="s">
        <v>1592</v>
      </c>
      <c r="AN5" t="s">
        <v>7</v>
      </c>
      <c r="AO5" t="s">
        <v>1586</v>
      </c>
      <c r="AP5" t="s">
        <v>568</v>
      </c>
      <c r="AQ5" t="s">
        <v>1593</v>
      </c>
      <c r="AR5" t="s">
        <v>1594</v>
      </c>
      <c r="AS5" t="s">
        <v>7</v>
      </c>
      <c r="AT5" t="s">
        <v>1595</v>
      </c>
      <c r="AU5" t="s">
        <v>1525</v>
      </c>
      <c r="AV5" t="s">
        <v>695</v>
      </c>
      <c r="AW5" t="s">
        <v>1596</v>
      </c>
      <c r="AX5" t="s">
        <v>1597</v>
      </c>
      <c r="AY5" t="s">
        <v>690</v>
      </c>
      <c r="AZ5" t="s">
        <v>181</v>
      </c>
      <c r="BA5" t="s">
        <v>462</v>
      </c>
      <c r="BB5" t="s">
        <v>263</v>
      </c>
      <c r="BC5" t="s">
        <v>148</v>
      </c>
      <c r="BD5" t="s">
        <v>372</v>
      </c>
      <c r="BE5" t="s">
        <v>123</v>
      </c>
      <c r="BF5" t="s">
        <v>463</v>
      </c>
      <c r="BG5" t="s">
        <v>691</v>
      </c>
      <c r="BH5" t="s">
        <v>692</v>
      </c>
      <c r="BI5" t="s">
        <v>1598</v>
      </c>
      <c r="BJ5" t="s">
        <v>1599</v>
      </c>
      <c r="BK5" t="s">
        <v>1460</v>
      </c>
      <c r="BL5" t="s">
        <v>176</v>
      </c>
      <c r="BM5" t="s">
        <v>360</v>
      </c>
      <c r="BN5" t="s">
        <v>1151</v>
      </c>
      <c r="BO5">
        <v>6.25</v>
      </c>
      <c r="BP5">
        <v>14.79</v>
      </c>
      <c r="BQ5">
        <v>2.99</v>
      </c>
      <c r="BR5">
        <v>5.82</v>
      </c>
      <c r="BS5">
        <v>18.12</v>
      </c>
      <c r="BT5">
        <v>3.01</v>
      </c>
      <c r="BU5" t="s">
        <v>1866</v>
      </c>
      <c r="BV5" t="s">
        <v>1445</v>
      </c>
      <c r="BW5">
        <v>87.53</v>
      </c>
      <c r="BX5">
        <v>86.4</v>
      </c>
      <c r="BY5">
        <v>79.75</v>
      </c>
      <c r="BZ5">
        <v>21.38</v>
      </c>
      <c r="CA5">
        <v>41.21</v>
      </c>
      <c r="CB5">
        <v>17.309999999999999</v>
      </c>
      <c r="CC5">
        <v>-1.05</v>
      </c>
      <c r="CD5">
        <v>-3.71</v>
      </c>
      <c r="CE5" t="s">
        <v>1867</v>
      </c>
      <c r="CF5" t="s">
        <v>1868</v>
      </c>
      <c r="CG5" s="23">
        <v>0.74359204107830557</v>
      </c>
      <c r="CH5" s="24">
        <v>5.0999999999999996</v>
      </c>
      <c r="CI5" s="23">
        <v>0.1782919317483902</v>
      </c>
      <c r="CJ5" s="23">
        <v>1.6217664480209351</v>
      </c>
      <c r="CK5" s="23">
        <v>0.27531278133392334</v>
      </c>
      <c r="CL5" s="23">
        <v>0.31586825847625732</v>
      </c>
      <c r="CM5" s="23">
        <v>0.13028764724731445</v>
      </c>
      <c r="CN5" s="24">
        <v>-0.57328015565872192</v>
      </c>
      <c r="CO5" s="24">
        <v>6.063380241394043</v>
      </c>
      <c r="CP5" s="24">
        <v>-0.86424475908279419</v>
      </c>
      <c r="CQ5" s="24">
        <v>2.9478585720062256</v>
      </c>
      <c r="CR5" s="24">
        <v>-8.621485710144043</v>
      </c>
      <c r="CS5">
        <v>17.939156222928094</v>
      </c>
      <c r="CT5">
        <v>2.0701740896119092</v>
      </c>
      <c r="CU5">
        <v>6.9767441860465115E-2</v>
      </c>
      <c r="CV5" s="23">
        <v>0.50430541336536405</v>
      </c>
      <c r="CW5" s="24">
        <v>-0.20955436229705809</v>
      </c>
      <c r="CX5">
        <v>0.06</v>
      </c>
      <c r="CY5">
        <v>91.289773628469675</v>
      </c>
      <c r="CZ5">
        <v>607398789.54752445</v>
      </c>
      <c r="DA5">
        <v>0.50430541336536405</v>
      </c>
      <c r="DB5">
        <v>21.381180092547122</v>
      </c>
      <c r="DC5">
        <v>2593369391.2118568</v>
      </c>
      <c r="DD5">
        <v>0.47909014269709582</v>
      </c>
      <c r="DE5">
        <v>6.3947639879296094</v>
      </c>
      <c r="DF5">
        <v>8671046829.0405903</v>
      </c>
      <c r="DG5">
        <v>0.44378876376152038</v>
      </c>
      <c r="DH5">
        <v>2.0383636781359402</v>
      </c>
      <c r="DI5">
        <v>27202848340.933807</v>
      </c>
      <c r="DJ5">
        <v>0.40344433069229124</v>
      </c>
      <c r="DK5">
        <v>0.21449567803252112</v>
      </c>
      <c r="DL5">
        <v>258510094509.19083</v>
      </c>
      <c r="DM5">
        <v>0.35301378935575484</v>
      </c>
      <c r="DN5">
        <v>428000000</v>
      </c>
      <c r="DO5">
        <v>0.50430541336536405</v>
      </c>
      <c r="DP5">
        <v>55449298000</v>
      </c>
      <c r="DQ5">
        <v>5166487100</v>
      </c>
      <c r="DR5">
        <v>1648</v>
      </c>
      <c r="DS5">
        <v>0.23928662771294151</v>
      </c>
      <c r="DT5">
        <v>5.3095543622970576</v>
      </c>
      <c r="DU5" s="25">
        <v>1.1566666666666665</v>
      </c>
      <c r="DV5">
        <v>0.12833333333333327</v>
      </c>
      <c r="DW5">
        <v>1.2849999999999997</v>
      </c>
      <c r="DX5">
        <v>-1.0370999999999999</v>
      </c>
      <c r="DY5">
        <v>0.36664830699774154</v>
      </c>
      <c r="DZ5">
        <v>-1.0058116521896163</v>
      </c>
      <c r="EA5">
        <v>1167</v>
      </c>
      <c r="EB5">
        <v>-1.0044395708411877</v>
      </c>
      <c r="EC5">
        <v>1</v>
      </c>
      <c r="ED5">
        <v>4.3230064889451705E-2</v>
      </c>
      <c r="EE5">
        <v>0.2759689250269054</v>
      </c>
      <c r="EF5" s="22">
        <v>2.3310000000000001E-2</v>
      </c>
      <c r="EG5">
        <v>2.3179000000000002E-2</v>
      </c>
      <c r="EH5">
        <v>21.156648306997742</v>
      </c>
      <c r="EI5" t="s">
        <v>619</v>
      </c>
      <c r="EJ5">
        <v>0</v>
      </c>
      <c r="EK5">
        <v>1</v>
      </c>
      <c r="EL5" s="31">
        <v>44977</v>
      </c>
      <c r="EM5" s="32">
        <v>-1.2999999999999999E-3</v>
      </c>
      <c r="EN5" s="32">
        <v>-1.6899999999999998E-2</v>
      </c>
      <c r="EO5" s="32">
        <v>-1.82</v>
      </c>
      <c r="EP5" s="32">
        <v>1.33</v>
      </c>
      <c r="EQ5" s="32">
        <v>1.3100000000000001E-2</v>
      </c>
    </row>
    <row r="6" spans="1:147" s="19" customFormat="1" ht="191.25">
      <c r="A6" s="34"/>
      <c r="B6" s="4"/>
      <c r="C6" s="4"/>
      <c r="D6" s="4" t="s">
        <v>2145</v>
      </c>
      <c r="E6" t="s">
        <v>20</v>
      </c>
      <c r="F6" t="s">
        <v>21</v>
      </c>
      <c r="G6">
        <v>36.299999999999997</v>
      </c>
      <c r="H6">
        <v>2.2499999999999999E-2</v>
      </c>
      <c r="I6" t="s">
        <v>1870</v>
      </c>
      <c r="J6">
        <v>40673924000</v>
      </c>
      <c r="K6">
        <v>94.52</v>
      </c>
      <c r="L6">
        <v>4.63</v>
      </c>
      <c r="M6" t="s">
        <v>8</v>
      </c>
      <c r="N6" t="s">
        <v>1871</v>
      </c>
      <c r="O6" t="s">
        <v>1872</v>
      </c>
      <c r="P6" t="s">
        <v>1873</v>
      </c>
      <c r="Q6">
        <v>7.9</v>
      </c>
      <c r="R6" t="s">
        <v>677</v>
      </c>
      <c r="S6">
        <v>-113000000</v>
      </c>
      <c r="T6" s="5">
        <v>-0.80400000000000005</v>
      </c>
      <c r="U6" t="s">
        <v>520</v>
      </c>
      <c r="V6">
        <v>863698860</v>
      </c>
      <c r="W6">
        <v>1120493440</v>
      </c>
      <c r="X6">
        <v>1.49</v>
      </c>
      <c r="Y6">
        <v>0.18</v>
      </c>
      <c r="Z6">
        <v>7.92</v>
      </c>
      <c r="AA6" t="s">
        <v>1874</v>
      </c>
      <c r="AB6" t="s">
        <v>858</v>
      </c>
      <c r="AC6" t="s">
        <v>1875</v>
      </c>
      <c r="AD6" t="s">
        <v>130</v>
      </c>
      <c r="AE6" t="s">
        <v>861</v>
      </c>
      <c r="AF6">
        <v>-21595736</v>
      </c>
      <c r="AG6" t="s">
        <v>1876</v>
      </c>
      <c r="AH6" t="s">
        <v>1877</v>
      </c>
      <c r="AI6" t="s">
        <v>1878</v>
      </c>
      <c r="AJ6" t="s">
        <v>1879</v>
      </c>
      <c r="AK6" t="s">
        <v>1880</v>
      </c>
      <c r="AL6" t="s">
        <v>7</v>
      </c>
      <c r="AM6" t="s">
        <v>1881</v>
      </c>
      <c r="AN6" t="s">
        <v>7</v>
      </c>
      <c r="AO6" t="s">
        <v>1882</v>
      </c>
      <c r="AP6" t="s">
        <v>171</v>
      </c>
      <c r="AQ6" t="s">
        <v>1883</v>
      </c>
      <c r="AR6" t="s">
        <v>248</v>
      </c>
      <c r="AS6" t="s">
        <v>7</v>
      </c>
      <c r="AT6" t="s">
        <v>1884</v>
      </c>
      <c r="AU6" t="s">
        <v>843</v>
      </c>
      <c r="AV6" t="s">
        <v>318</v>
      </c>
      <c r="AW6" t="s">
        <v>1885</v>
      </c>
      <c r="AX6" t="s">
        <v>1886</v>
      </c>
      <c r="AY6" t="s">
        <v>439</v>
      </c>
      <c r="AZ6" t="s">
        <v>182</v>
      </c>
      <c r="BA6" t="s">
        <v>693</v>
      </c>
      <c r="BB6" t="s">
        <v>336</v>
      </c>
      <c r="BC6" t="s">
        <v>220</v>
      </c>
      <c r="BD6" t="s">
        <v>97</v>
      </c>
      <c r="BE6" t="s">
        <v>183</v>
      </c>
      <c r="BF6" t="s">
        <v>371</v>
      </c>
      <c r="BG6" t="s">
        <v>248</v>
      </c>
      <c r="BH6" t="s">
        <v>694</v>
      </c>
      <c r="BI6" t="s">
        <v>1887</v>
      </c>
      <c r="BJ6" t="s">
        <v>1888</v>
      </c>
      <c r="BK6" t="s">
        <v>1461</v>
      </c>
      <c r="BL6" t="s">
        <v>236</v>
      </c>
      <c r="BM6" t="s">
        <v>1889</v>
      </c>
      <c r="BN6" t="s">
        <v>1456</v>
      </c>
      <c r="BO6">
        <v>12.05</v>
      </c>
      <c r="BP6">
        <v>12.08</v>
      </c>
      <c r="BQ6">
        <v>21.33</v>
      </c>
      <c r="BR6">
        <v>15.05</v>
      </c>
      <c r="BS6">
        <v>12.56</v>
      </c>
      <c r="BT6">
        <v>25.51</v>
      </c>
      <c r="BU6" t="s">
        <v>1890</v>
      </c>
      <c r="BV6" t="s">
        <v>1445</v>
      </c>
      <c r="BW6">
        <v>86.68</v>
      </c>
      <c r="BX6">
        <v>89.99</v>
      </c>
      <c r="BY6">
        <v>91.58</v>
      </c>
      <c r="BZ6">
        <v>6.59</v>
      </c>
      <c r="CA6">
        <v>30.04</v>
      </c>
      <c r="CB6">
        <v>29.56</v>
      </c>
      <c r="CC6">
        <v>-2.99</v>
      </c>
      <c r="CD6">
        <v>15.13</v>
      </c>
      <c r="CE6" t="s">
        <v>1891</v>
      </c>
      <c r="CF6" t="s">
        <v>1892</v>
      </c>
      <c r="CG6" s="23">
        <v>-0.44372520754716982</v>
      </c>
      <c r="CH6" s="24">
        <v>-1.3347639484978542</v>
      </c>
      <c r="CI6" s="23">
        <v>0.61521452665328979</v>
      </c>
      <c r="CJ6" s="23">
        <v>0.16366437077522278</v>
      </c>
      <c r="CK6" s="23">
        <v>-3.6688148975372314E-2</v>
      </c>
      <c r="CL6" s="23">
        <v>0.73729556798934937</v>
      </c>
      <c r="CM6" s="23">
        <v>1.1032607555389404</v>
      </c>
      <c r="CN6" s="24">
        <v>0.86008846759796143</v>
      </c>
      <c r="CO6" s="24">
        <v>0.18086956441402435</v>
      </c>
      <c r="CP6" s="24">
        <v>0.31880733370780945</v>
      </c>
      <c r="CQ6" s="24">
        <v>1.0279070138931274</v>
      </c>
      <c r="CR6" s="24">
        <v>1.4938088655471802</v>
      </c>
      <c r="CS6">
        <v>11.137438116100766</v>
      </c>
      <c r="CT6">
        <v>1.8298346172838018</v>
      </c>
      <c r="CU6">
        <v>2.341597796143251</v>
      </c>
      <c r="CV6" s="23">
        <v>0.51654941439628599</v>
      </c>
      <c r="CW6" s="24">
        <v>0.77629624903202055</v>
      </c>
      <c r="CX6">
        <v>0.06</v>
      </c>
      <c r="CY6">
        <v>19.883377600053883</v>
      </c>
      <c r="CZ6">
        <v>1806982934.323122</v>
      </c>
      <c r="DA6">
        <v>0.51654941439628599</v>
      </c>
      <c r="DB6">
        <v>4.6138757015230301</v>
      </c>
      <c r="DC6">
        <v>7787146062.0709705</v>
      </c>
      <c r="DD6">
        <v>0.49072194367647165</v>
      </c>
      <c r="DE6">
        <v>1.3593467926331919</v>
      </c>
      <c r="DF6">
        <v>26431021277.802147</v>
      </c>
      <c r="DG6">
        <v>0.4545634846687317</v>
      </c>
      <c r="DH6">
        <v>0.42460464053728908</v>
      </c>
      <c r="DI6">
        <v>84617360645.272308</v>
      </c>
      <c r="DJ6">
        <v>0.4132395315170288</v>
      </c>
      <c r="DK6">
        <v>4.2417392703949973E-2</v>
      </c>
      <c r="DL6">
        <v>847032825679.88306</v>
      </c>
      <c r="DM6">
        <v>0.36158459007740018</v>
      </c>
      <c r="DN6">
        <v>1263000000</v>
      </c>
      <c r="DO6">
        <v>0.51654941439628599</v>
      </c>
      <c r="DP6">
        <v>35928924000</v>
      </c>
      <c r="DQ6">
        <v>3776361200</v>
      </c>
      <c r="DR6">
        <v>2092</v>
      </c>
      <c r="DS6">
        <v>-0.96027462194345581</v>
      </c>
      <c r="DT6">
        <v>-2.1110601975298748</v>
      </c>
      <c r="DU6" s="25">
        <v>0.91666666666666663</v>
      </c>
      <c r="DV6">
        <v>0.15166666666666662</v>
      </c>
      <c r="DW6">
        <v>1.0683333333333334</v>
      </c>
      <c r="DX6">
        <v>-6.1650110375275942</v>
      </c>
      <c r="DY6">
        <v>0.28796796407185699</v>
      </c>
      <c r="DZ6">
        <v>-6.0211161265217905</v>
      </c>
      <c r="EA6">
        <v>1547</v>
      </c>
      <c r="EB6">
        <v>-6.0145074581565856</v>
      </c>
      <c r="EC6">
        <v>6</v>
      </c>
      <c r="ED6">
        <v>3.8145069372293693E-2</v>
      </c>
      <c r="EE6">
        <v>0.29808295887925951</v>
      </c>
      <c r="EF6" s="22">
        <v>9.1009999999999994E-2</v>
      </c>
      <c r="EG6">
        <v>9.0784999999999991E-2</v>
      </c>
      <c r="EH6">
        <v>16.127967964071857</v>
      </c>
      <c r="EI6" t="s">
        <v>619</v>
      </c>
      <c r="EJ6">
        <v>0</v>
      </c>
      <c r="EK6">
        <v>0</v>
      </c>
      <c r="EL6" s="31">
        <v>44977</v>
      </c>
      <c r="EM6" s="32">
        <v>-1.23E-2</v>
      </c>
      <c r="EN6" s="32">
        <v>-1.7600000000000001E-2</v>
      </c>
      <c r="EO6" s="32">
        <v>-1.9</v>
      </c>
      <c r="EP6" s="32">
        <v>-0.34</v>
      </c>
      <c r="EQ6" s="32">
        <v>2.2499999999999999E-2</v>
      </c>
    </row>
    <row r="7" spans="1:147" s="19" customFormat="1" ht="157.5">
      <c r="A7" s="34"/>
      <c r="B7" s="4" t="s">
        <v>711</v>
      </c>
      <c r="C7" s="4" t="s">
        <v>712</v>
      </c>
      <c r="D7" s="4" t="s">
        <v>1836</v>
      </c>
      <c r="E7" t="s">
        <v>13</v>
      </c>
      <c r="F7" t="s">
        <v>14</v>
      </c>
      <c r="G7">
        <v>22.05</v>
      </c>
      <c r="H7">
        <v>2.23E-2</v>
      </c>
      <c r="I7" t="s">
        <v>1834</v>
      </c>
      <c r="J7">
        <v>40227286000</v>
      </c>
      <c r="K7">
        <v>35.31</v>
      </c>
      <c r="L7">
        <v>3.94</v>
      </c>
      <c r="M7" t="s">
        <v>8</v>
      </c>
      <c r="N7" t="s">
        <v>1812</v>
      </c>
      <c r="O7" t="s">
        <v>1813</v>
      </c>
      <c r="P7" t="s">
        <v>1814</v>
      </c>
      <c r="Q7">
        <v>7.18</v>
      </c>
      <c r="R7" t="s">
        <v>673</v>
      </c>
      <c r="S7">
        <v>900602680</v>
      </c>
      <c r="T7" s="5">
        <v>-0.1507</v>
      </c>
      <c r="U7" t="s">
        <v>331</v>
      </c>
      <c r="V7">
        <v>1571840400</v>
      </c>
      <c r="W7">
        <v>1824366700</v>
      </c>
      <c r="X7">
        <v>1.21</v>
      </c>
      <c r="Y7">
        <v>0.28000000000000003</v>
      </c>
      <c r="Z7">
        <v>29.56</v>
      </c>
      <c r="AA7" t="s">
        <v>1815</v>
      </c>
      <c r="AB7" t="s">
        <v>1816</v>
      </c>
      <c r="AC7" t="s">
        <v>333</v>
      </c>
      <c r="AD7" t="s">
        <v>283</v>
      </c>
      <c r="AE7" t="s">
        <v>84</v>
      </c>
      <c r="AF7">
        <v>7951421</v>
      </c>
      <c r="AG7" t="s">
        <v>1817</v>
      </c>
      <c r="AH7" t="s">
        <v>1818</v>
      </c>
      <c r="AI7" t="s">
        <v>1819</v>
      </c>
      <c r="AJ7" t="s">
        <v>449</v>
      </c>
      <c r="AK7" t="s">
        <v>1820</v>
      </c>
      <c r="AL7" t="s">
        <v>7</v>
      </c>
      <c r="AM7" t="s">
        <v>1821</v>
      </c>
      <c r="AN7" t="s">
        <v>7</v>
      </c>
      <c r="AO7" t="s">
        <v>106</v>
      </c>
      <c r="AP7" t="s">
        <v>1822</v>
      </c>
      <c r="AQ7" t="s">
        <v>1823</v>
      </c>
      <c r="AR7" t="s">
        <v>124</v>
      </c>
      <c r="AS7" t="s">
        <v>1824</v>
      </c>
      <c r="AT7" t="s">
        <v>1825</v>
      </c>
      <c r="AU7" t="s">
        <v>187</v>
      </c>
      <c r="AV7" t="s">
        <v>959</v>
      </c>
      <c r="AW7" t="s">
        <v>1826</v>
      </c>
      <c r="AX7" t="s">
        <v>1827</v>
      </c>
      <c r="AY7" t="s">
        <v>445</v>
      </c>
      <c r="AZ7" t="s">
        <v>48</v>
      </c>
      <c r="BA7" t="s">
        <v>446</v>
      </c>
      <c r="BB7" t="s">
        <v>447</v>
      </c>
      <c r="BC7" t="s">
        <v>448</v>
      </c>
      <c r="BD7" t="s">
        <v>69</v>
      </c>
      <c r="BE7" t="s">
        <v>49</v>
      </c>
      <c r="BF7" t="s">
        <v>449</v>
      </c>
      <c r="BG7" t="s">
        <v>147</v>
      </c>
      <c r="BH7" t="s">
        <v>256</v>
      </c>
      <c r="BI7" t="s">
        <v>1828</v>
      </c>
      <c r="BJ7" t="s">
        <v>1829</v>
      </c>
      <c r="BK7" t="s">
        <v>1444</v>
      </c>
      <c r="BL7" t="s">
        <v>1830</v>
      </c>
      <c r="BM7" t="s">
        <v>1831</v>
      </c>
      <c r="BN7" t="s">
        <v>988</v>
      </c>
      <c r="BO7">
        <v>15.55</v>
      </c>
      <c r="BP7">
        <v>23.61</v>
      </c>
      <c r="BQ7">
        <v>21.68</v>
      </c>
      <c r="BR7">
        <v>16.47</v>
      </c>
      <c r="BS7">
        <v>23.39</v>
      </c>
      <c r="BT7">
        <v>19.89</v>
      </c>
      <c r="BU7" t="s">
        <v>1751</v>
      </c>
      <c r="BV7" t="s">
        <v>1445</v>
      </c>
      <c r="BW7">
        <v>67.77</v>
      </c>
      <c r="BX7">
        <v>72.7</v>
      </c>
      <c r="BY7">
        <v>64.95</v>
      </c>
      <c r="BZ7">
        <v>28.94</v>
      </c>
      <c r="CA7">
        <v>36.71</v>
      </c>
      <c r="CB7">
        <v>37.270000000000003</v>
      </c>
      <c r="CC7">
        <v>-0.99</v>
      </c>
      <c r="CD7">
        <v>-2.56</v>
      </c>
      <c r="CE7" t="s">
        <v>1835</v>
      </c>
      <c r="CF7" t="s">
        <v>56</v>
      </c>
      <c r="CG7" s="23">
        <v>-0.39510690154440153</v>
      </c>
      <c r="CH7" s="24">
        <v>-0.47329572139303483</v>
      </c>
      <c r="CI7" s="23">
        <v>-0.11686249822378159</v>
      </c>
      <c r="CJ7" s="23">
        <v>0.35756757855415344</v>
      </c>
      <c r="CK7" s="23">
        <v>0.15013989806175232</v>
      </c>
      <c r="CL7" s="23">
        <v>0.35853037238121033</v>
      </c>
      <c r="CM7" s="23">
        <v>0.2237725704908371</v>
      </c>
      <c r="CN7" s="24">
        <v>-0.194668248295784</v>
      </c>
      <c r="CO7" s="24">
        <v>0.25720953941345215</v>
      </c>
      <c r="CP7" s="24">
        <v>0.12543864548206329</v>
      </c>
      <c r="CQ7" s="24">
        <v>0.38855054974555969</v>
      </c>
      <c r="CR7" s="24">
        <v>5.2564103156328201E-2</v>
      </c>
      <c r="CS7">
        <v>9.0683692515779981</v>
      </c>
      <c r="CT7">
        <v>1.8142154562756714</v>
      </c>
      <c r="CU7">
        <v>0.90702947845804982</v>
      </c>
      <c r="CV7" s="23">
        <v>0.19462958425283433</v>
      </c>
      <c r="CW7" s="24">
        <v>0.12581891790032387</v>
      </c>
      <c r="CX7">
        <v>0.06</v>
      </c>
      <c r="CY7">
        <v>21.018856993044103</v>
      </c>
      <c r="CZ7">
        <v>1463984745.2305958</v>
      </c>
      <c r="DA7">
        <v>0.19462958425283433</v>
      </c>
      <c r="DB7">
        <v>6.2931876357078176</v>
      </c>
      <c r="DC7">
        <v>4889618390.7504044</v>
      </c>
      <c r="DD7">
        <v>0.18489810504019261</v>
      </c>
      <c r="DE7">
        <v>2.7438424342543826</v>
      </c>
      <c r="DF7">
        <v>11214669478.045977</v>
      </c>
      <c r="DG7">
        <v>0.1712740341424942</v>
      </c>
      <c r="DH7">
        <v>1.4281061848111685</v>
      </c>
      <c r="DI7">
        <v>21546917398.210651</v>
      </c>
      <c r="DJ7">
        <v>0.15570366740226749</v>
      </c>
      <c r="DK7">
        <v>0.527828848302618</v>
      </c>
      <c r="DL7">
        <v>58297848059.94162</v>
      </c>
      <c r="DM7">
        <v>0.13624070897698401</v>
      </c>
      <c r="DN7">
        <v>1299000000</v>
      </c>
      <c r="DO7">
        <v>0.19462958425283433</v>
      </c>
      <c r="DP7">
        <v>30771286000</v>
      </c>
      <c r="DQ7">
        <v>5895483800</v>
      </c>
      <c r="DR7">
        <v>526</v>
      </c>
      <c r="DS7">
        <v>-0.58973648579723581</v>
      </c>
      <c r="DT7">
        <v>-0.59911463929335873</v>
      </c>
      <c r="DU7" s="25">
        <v>0.49999999999999994</v>
      </c>
      <c r="DV7">
        <v>-0.12</v>
      </c>
      <c r="DW7">
        <v>0.37999999999999995</v>
      </c>
      <c r="DX7">
        <v>-1.0256000000000001</v>
      </c>
      <c r="DY7">
        <v>0.35316673346693306</v>
      </c>
      <c r="DZ7">
        <v>-1.0028970683767535</v>
      </c>
      <c r="EA7">
        <v>2784</v>
      </c>
      <c r="EB7">
        <v>-1.0012653794508215</v>
      </c>
      <c r="EC7">
        <v>1</v>
      </c>
      <c r="ED7">
        <v>3.0953316567332658E-2</v>
      </c>
      <c r="EE7">
        <v>0.27351957257277276</v>
      </c>
      <c r="EF7" s="22">
        <v>5.7599999999999998E-2</v>
      </c>
      <c r="EG7">
        <v>5.7822999999999999E-2</v>
      </c>
      <c r="EH7">
        <v>24.113166733466933</v>
      </c>
      <c r="EI7">
        <v>-1</v>
      </c>
      <c r="EJ7">
        <v>0</v>
      </c>
      <c r="EK7">
        <v>0</v>
      </c>
      <c r="EL7" s="31">
        <v>44977</v>
      </c>
      <c r="EM7" s="32">
        <v>-5.4000000000000003E-3</v>
      </c>
      <c r="EN7" s="32">
        <v>-1.44E-2</v>
      </c>
      <c r="EO7" s="32">
        <v>-1.28</v>
      </c>
      <c r="EP7" s="32">
        <v>0.09</v>
      </c>
      <c r="EQ7" s="32">
        <v>2.23E-2</v>
      </c>
    </row>
    <row r="8" spans="1:147" s="19" customFormat="1" ht="123.75">
      <c r="A8" s="34"/>
      <c r="B8" s="4" t="s">
        <v>1748</v>
      </c>
      <c r="C8" s="4" t="s">
        <v>713</v>
      </c>
      <c r="D8" s="28" t="s">
        <v>2146</v>
      </c>
      <c r="E8" t="s">
        <v>189</v>
      </c>
      <c r="F8" t="s">
        <v>681</v>
      </c>
      <c r="G8">
        <v>139.08000000000001</v>
      </c>
      <c r="H8">
        <v>1.09E-2</v>
      </c>
      <c r="I8" t="s">
        <v>1944</v>
      </c>
      <c r="J8">
        <v>34415332000</v>
      </c>
      <c r="K8">
        <v>324.39999999999998</v>
      </c>
      <c r="L8">
        <v>4.7699999999999996</v>
      </c>
      <c r="M8" t="s">
        <v>8</v>
      </c>
      <c r="N8" t="s">
        <v>1600</v>
      </c>
      <c r="O8" t="s">
        <v>1601</v>
      </c>
      <c r="P8" t="s">
        <v>1602</v>
      </c>
      <c r="Q8">
        <v>-77.08</v>
      </c>
      <c r="R8" t="s">
        <v>682</v>
      </c>
      <c r="S8">
        <v>-913000000</v>
      </c>
      <c r="T8" s="5">
        <v>-1.3560000000000001</v>
      </c>
      <c r="U8" t="s">
        <v>683</v>
      </c>
      <c r="V8">
        <v>67312707</v>
      </c>
      <c r="W8">
        <v>247449900</v>
      </c>
      <c r="X8">
        <v>1.49</v>
      </c>
      <c r="Y8">
        <v>0.06</v>
      </c>
      <c r="Z8">
        <v>-69.08</v>
      </c>
      <c r="AA8" t="s">
        <v>1603</v>
      </c>
      <c r="AB8" t="s">
        <v>1604</v>
      </c>
      <c r="AC8" t="s">
        <v>275</v>
      </c>
      <c r="AD8" t="s">
        <v>1335</v>
      </c>
      <c r="AE8" t="s">
        <v>1466</v>
      </c>
      <c r="AF8">
        <v>-214189000</v>
      </c>
      <c r="AG8" t="s">
        <v>1605</v>
      </c>
      <c r="AH8" t="s">
        <v>1606</v>
      </c>
      <c r="AI8" t="s">
        <v>1607</v>
      </c>
      <c r="AJ8" t="s">
        <v>1608</v>
      </c>
      <c r="AK8" t="s">
        <v>1609</v>
      </c>
      <c r="AL8" t="s">
        <v>7</v>
      </c>
      <c r="AM8" t="s">
        <v>1610</v>
      </c>
      <c r="AN8" t="s">
        <v>7</v>
      </c>
      <c r="AO8" t="s">
        <v>1611</v>
      </c>
      <c r="AP8" t="s">
        <v>1612</v>
      </c>
      <c r="AQ8" t="s">
        <v>1613</v>
      </c>
      <c r="AR8" t="s">
        <v>206</v>
      </c>
      <c r="AS8" t="s">
        <v>7</v>
      </c>
      <c r="AT8" t="s">
        <v>1614</v>
      </c>
      <c r="AU8" t="s">
        <v>1615</v>
      </c>
      <c r="AV8" t="s">
        <v>1616</v>
      </c>
      <c r="AW8" t="s">
        <v>1617</v>
      </c>
      <c r="AX8" t="s">
        <v>1618</v>
      </c>
      <c r="AY8" t="s">
        <v>701</v>
      </c>
      <c r="AZ8" t="s">
        <v>702</v>
      </c>
      <c r="BA8" t="s">
        <v>703</v>
      </c>
      <c r="BB8" t="s">
        <v>704</v>
      </c>
      <c r="BC8" t="s">
        <v>705</v>
      </c>
      <c r="BD8" t="s">
        <v>706</v>
      </c>
      <c r="BE8" t="s">
        <v>190</v>
      </c>
      <c r="BF8" t="s">
        <v>437</v>
      </c>
      <c r="BG8" t="s">
        <v>707</v>
      </c>
      <c r="BH8" t="s">
        <v>708</v>
      </c>
      <c r="BI8" t="s">
        <v>361</v>
      </c>
      <c r="BJ8" t="s">
        <v>1619</v>
      </c>
      <c r="BK8" t="s">
        <v>1468</v>
      </c>
      <c r="BL8" t="s">
        <v>1620</v>
      </c>
      <c r="BM8" t="s">
        <v>1621</v>
      </c>
      <c r="BN8" t="s">
        <v>1469</v>
      </c>
      <c r="BO8">
        <v>20.059999999999999</v>
      </c>
      <c r="BP8">
        <v>-9.3000000000000007</v>
      </c>
      <c r="BQ8">
        <v>-14.92</v>
      </c>
      <c r="BR8">
        <v>27.21</v>
      </c>
      <c r="BS8">
        <v>-13.49</v>
      </c>
      <c r="BT8">
        <v>-12.48</v>
      </c>
      <c r="BU8" t="s">
        <v>1833</v>
      </c>
      <c r="BV8" t="s">
        <v>1445</v>
      </c>
      <c r="BW8">
        <v>65.540000000000006</v>
      </c>
      <c r="BX8">
        <v>42.39</v>
      </c>
      <c r="BY8">
        <v>93.54</v>
      </c>
      <c r="BZ8">
        <v>2.5499999999999998</v>
      </c>
      <c r="CA8">
        <v>-1593.54</v>
      </c>
      <c r="CB8">
        <v>-6866.17</v>
      </c>
      <c r="CC8">
        <v>-0.17</v>
      </c>
      <c r="CD8">
        <v>-4.75</v>
      </c>
      <c r="CE8" t="s">
        <v>1945</v>
      </c>
      <c r="CF8" t="s">
        <v>1946</v>
      </c>
      <c r="CG8" s="23">
        <v>-0.92449268292682929</v>
      </c>
      <c r="CH8" s="24">
        <v>-3.3305743073047851</v>
      </c>
      <c r="CI8" s="23">
        <v>171.76014709472656</v>
      </c>
      <c r="CJ8" s="23">
        <v>9.9004116058349609</v>
      </c>
      <c r="CK8" s="23">
        <v>-0.18795120716094971</v>
      </c>
      <c r="CL8" s="23">
        <v>14.020833015441895</v>
      </c>
      <c r="CM8" s="23">
        <v>0.21008403599262238</v>
      </c>
      <c r="CN8" s="24">
        <v>5.8211588859558105</v>
      </c>
      <c r="CO8" s="24">
        <v>-1.5286624431610107</v>
      </c>
      <c r="CP8" s="24">
        <v>-0.13768115639686584</v>
      </c>
      <c r="CQ8" s="24">
        <v>-1.1412246227264404</v>
      </c>
      <c r="CR8" s="24">
        <v>-0.29280871152877808</v>
      </c>
      <c r="CS8">
        <v>8.0035655813953497</v>
      </c>
      <c r="CT8">
        <v>8.2880469514916913E-2</v>
      </c>
      <c r="CU8">
        <v>0.57520851308599363</v>
      </c>
      <c r="CV8" s="23">
        <v>39.140704908967017</v>
      </c>
      <c r="CW8" s="24">
        <v>0.54415639042854314</v>
      </c>
      <c r="CX8">
        <v>0.06</v>
      </c>
      <c r="CY8">
        <v>0.42003490930489512</v>
      </c>
      <c r="CZ8">
        <v>72480480373.361191</v>
      </c>
      <c r="DA8">
        <v>39.140704908967017</v>
      </c>
      <c r="DB8">
        <v>3.308503860575254E-4</v>
      </c>
      <c r="DC8">
        <v>92018426705739.437</v>
      </c>
      <c r="DD8">
        <v>37.183669663518664</v>
      </c>
      <c r="DE8">
        <v>1.1040027434326581E-8</v>
      </c>
      <c r="DF8">
        <v>2.7576319154189711E+18</v>
      </c>
      <c r="DG8">
        <v>34.443820319890975</v>
      </c>
      <c r="DH8">
        <v>2.2203590273742809E-14</v>
      </c>
      <c r="DI8">
        <v>1.3711445592653727E+24</v>
      </c>
      <c r="DJ8">
        <v>31.312563927173613</v>
      </c>
      <c r="DK8">
        <v>4.2194425550151899E-28</v>
      </c>
      <c r="DL8">
        <v>7.2152497878692895E+37</v>
      </c>
      <c r="DM8">
        <v>27.398493436276912</v>
      </c>
      <c r="DN8">
        <v>1914000000</v>
      </c>
      <c r="DO8">
        <v>39.140704908967017</v>
      </c>
      <c r="DP8">
        <v>30444332000</v>
      </c>
      <c r="DQ8">
        <v>5324195000</v>
      </c>
      <c r="DR8">
        <v>4596</v>
      </c>
      <c r="DS8">
        <v>-40.065197591893849</v>
      </c>
      <c r="DT8">
        <v>-3.8747306977333285</v>
      </c>
      <c r="DU8" s="25">
        <v>0.61333333333333317</v>
      </c>
      <c r="DV8">
        <v>-2.8983333333333334</v>
      </c>
      <c r="DW8">
        <v>-2.2850000000000001</v>
      </c>
      <c r="DX8">
        <v>-1.0475000000000001</v>
      </c>
      <c r="DY8">
        <v>0.47695029578788167</v>
      </c>
      <c r="DZ8">
        <v>-1.0069801390499242</v>
      </c>
      <c r="EA8">
        <v>4718</v>
      </c>
      <c r="EB8">
        <v>-1.0003177283605569</v>
      </c>
      <c r="EC8">
        <v>1</v>
      </c>
      <c r="ED8">
        <v>4.2101855769592147E-2</v>
      </c>
      <c r="EE8">
        <v>0.2865040559725423</v>
      </c>
      <c r="EF8" s="22">
        <v>-2.04081</v>
      </c>
      <c r="EG8">
        <v>-2.0407009999999999</v>
      </c>
      <c r="EH8">
        <v>33.146950295787882</v>
      </c>
      <c r="EI8" t="s">
        <v>620</v>
      </c>
      <c r="EJ8">
        <v>0</v>
      </c>
      <c r="EK8">
        <v>0</v>
      </c>
      <c r="EL8" s="31">
        <v>44977</v>
      </c>
      <c r="EM8" s="32">
        <v>-4.0000000000000001E-3</v>
      </c>
      <c r="EN8" s="32">
        <v>-1.5599999999999999E-2</v>
      </c>
      <c r="EO8" s="32">
        <v>-1.52</v>
      </c>
      <c r="EP8" s="32">
        <v>2.27</v>
      </c>
      <c r="EQ8" s="32">
        <v>1.09E-2</v>
      </c>
    </row>
    <row r="9" spans="1:147" s="19" customFormat="1" ht="78.75">
      <c r="A9" s="34"/>
      <c r="B9" s="4"/>
      <c r="C9" s="4" t="s">
        <v>2147</v>
      </c>
      <c r="D9" s="28" t="s">
        <v>2009</v>
      </c>
      <c r="E9" t="s">
        <v>1965</v>
      </c>
      <c r="F9" t="s">
        <v>1966</v>
      </c>
      <c r="G9">
        <v>62.76</v>
      </c>
      <c r="H9">
        <v>1.72E-2</v>
      </c>
      <c r="I9" t="s">
        <v>1967</v>
      </c>
      <c r="J9">
        <v>25909882000</v>
      </c>
      <c r="K9">
        <v>116.5</v>
      </c>
      <c r="L9">
        <v>7.23</v>
      </c>
      <c r="M9" t="s">
        <v>8</v>
      </c>
      <c r="N9" t="s">
        <v>1980</v>
      </c>
      <c r="O9" t="s">
        <v>1981</v>
      </c>
      <c r="P9" t="s">
        <v>1982</v>
      </c>
      <c r="Q9">
        <v>-8.41</v>
      </c>
      <c r="R9" t="s">
        <v>1983</v>
      </c>
      <c r="S9">
        <v>211821150</v>
      </c>
      <c r="T9" s="5">
        <v>-9.11E-2</v>
      </c>
      <c r="U9" t="s">
        <v>258</v>
      </c>
      <c r="V9">
        <v>155130260</v>
      </c>
      <c r="W9">
        <v>412840700</v>
      </c>
      <c r="X9">
        <v>1.21</v>
      </c>
      <c r="Y9">
        <v>0.2</v>
      </c>
      <c r="Z9">
        <v>24.47</v>
      </c>
      <c r="AA9" t="s">
        <v>1618</v>
      </c>
      <c r="AB9" t="s">
        <v>146</v>
      </c>
      <c r="AC9" t="s">
        <v>1892</v>
      </c>
      <c r="AD9" t="s">
        <v>1984</v>
      </c>
      <c r="AE9" t="s">
        <v>1985</v>
      </c>
      <c r="AF9">
        <v>-15932602</v>
      </c>
      <c r="AG9" t="s">
        <v>1986</v>
      </c>
      <c r="AH9" t="s">
        <v>1987</v>
      </c>
      <c r="AI9" t="s">
        <v>1988</v>
      </c>
      <c r="AJ9" t="s">
        <v>1989</v>
      </c>
      <c r="AK9" t="s">
        <v>1990</v>
      </c>
      <c r="AL9" t="s">
        <v>7</v>
      </c>
      <c r="AM9" t="s">
        <v>1991</v>
      </c>
      <c r="AN9" t="s">
        <v>7</v>
      </c>
      <c r="AO9" t="s">
        <v>66</v>
      </c>
      <c r="AP9" t="s">
        <v>7</v>
      </c>
      <c r="AQ9" t="s">
        <v>7</v>
      </c>
      <c r="AR9" t="s">
        <v>1992</v>
      </c>
      <c r="AS9" t="s">
        <v>7</v>
      </c>
      <c r="AT9" t="s">
        <v>1993</v>
      </c>
      <c r="AU9" t="s">
        <v>7</v>
      </c>
      <c r="AV9" t="s">
        <v>1994</v>
      </c>
      <c r="AW9" t="s">
        <v>1995</v>
      </c>
      <c r="AX9" t="s">
        <v>1996</v>
      </c>
      <c r="AY9" t="s">
        <v>1997</v>
      </c>
      <c r="AZ9" t="s">
        <v>1998</v>
      </c>
      <c r="BA9" t="s">
        <v>1999</v>
      </c>
      <c r="BB9" t="s">
        <v>2000</v>
      </c>
      <c r="BC9" t="s">
        <v>7</v>
      </c>
      <c r="BD9" t="s">
        <v>2001</v>
      </c>
      <c r="BE9" t="s">
        <v>1490</v>
      </c>
      <c r="BF9" t="s">
        <v>100</v>
      </c>
      <c r="BG9" t="s">
        <v>2002</v>
      </c>
      <c r="BH9" t="s">
        <v>7</v>
      </c>
      <c r="BI9" t="s">
        <v>2003</v>
      </c>
      <c r="BJ9" t="s">
        <v>1103</v>
      </c>
      <c r="BK9" t="s">
        <v>2004</v>
      </c>
      <c r="BL9" t="s">
        <v>2005</v>
      </c>
      <c r="BM9" t="s">
        <v>117</v>
      </c>
      <c r="BN9" t="s">
        <v>289</v>
      </c>
      <c r="BO9">
        <v>8.18</v>
      </c>
      <c r="BP9">
        <v>28.15</v>
      </c>
      <c r="BQ9">
        <v>19.02</v>
      </c>
      <c r="BR9">
        <v>9.32</v>
      </c>
      <c r="BS9">
        <v>29.32</v>
      </c>
      <c r="BT9" t="s">
        <v>7</v>
      </c>
      <c r="BU9" t="s">
        <v>2006</v>
      </c>
      <c r="BV9" t="s">
        <v>1445</v>
      </c>
      <c r="BW9">
        <v>88.18</v>
      </c>
      <c r="BX9">
        <v>88.31</v>
      </c>
      <c r="BY9">
        <v>90.38</v>
      </c>
      <c r="BZ9">
        <v>16.690000000000001</v>
      </c>
      <c r="CA9">
        <v>29.02</v>
      </c>
      <c r="CB9">
        <v>22.65</v>
      </c>
      <c r="CC9">
        <v>-4.91</v>
      </c>
      <c r="CD9">
        <v>-9.19</v>
      </c>
      <c r="CE9" t="s">
        <v>2007</v>
      </c>
      <c r="CF9" t="s">
        <v>2008</v>
      </c>
      <c r="CG9" s="23">
        <v>0.1700109641873282</v>
      </c>
      <c r="CH9" s="24">
        <v>0.45525736842105263</v>
      </c>
      <c r="CI9" s="23">
        <v>-0.16585700213909149</v>
      </c>
      <c r="CJ9" s="23">
        <v>0.47643435001373291</v>
      </c>
      <c r="CK9" s="23">
        <v>-4.2198233306407928E-2</v>
      </c>
      <c r="CL9" s="23">
        <v>0.47467437386512756</v>
      </c>
      <c r="CM9" s="23" t="s">
        <v>7</v>
      </c>
      <c r="CN9" s="24">
        <v>-0.41626793146133423</v>
      </c>
      <c r="CO9" s="24">
        <v>0.8914027214050293</v>
      </c>
      <c r="CP9" s="24">
        <v>0.7265625</v>
      </c>
      <c r="CQ9" s="24">
        <v>0.36927393078804016</v>
      </c>
      <c r="CR9" s="24" t="s">
        <v>7</v>
      </c>
      <c r="CS9">
        <v>21.555642262895173</v>
      </c>
      <c r="CT9">
        <v>6.2714193157548452</v>
      </c>
      <c r="CU9">
        <v>0.15933715742511154</v>
      </c>
      <c r="CV9" s="23">
        <v>0.18576337210834026</v>
      </c>
      <c r="CW9" s="24">
        <v>0.39274280518293381</v>
      </c>
      <c r="CX9">
        <v>0.06</v>
      </c>
      <c r="CY9">
        <v>84.53541231885167</v>
      </c>
      <c r="CZ9">
        <v>272949304.52305192</v>
      </c>
      <c r="DA9">
        <v>0.18576337210834026</v>
      </c>
      <c r="DB9">
        <v>25.496686933013809</v>
      </c>
      <c r="DC9">
        <v>904975695.88632727</v>
      </c>
      <c r="DD9">
        <v>0.17647520350292326</v>
      </c>
      <c r="DE9">
        <v>11.233756608626651</v>
      </c>
      <c r="DF9">
        <v>2053977382.9781084</v>
      </c>
      <c r="DG9">
        <v>0.16347176745533942</v>
      </c>
      <c r="DH9">
        <v>5.9221228449204188</v>
      </c>
      <c r="DI9">
        <v>3896218063.0533791</v>
      </c>
      <c r="DJ9">
        <v>0.14861069768667221</v>
      </c>
      <c r="DK9">
        <v>2.2583421912157782</v>
      </c>
      <c r="DL9">
        <v>10217177046.839912</v>
      </c>
      <c r="DM9">
        <v>0.13003436047583819</v>
      </c>
      <c r="DN9">
        <v>244000000</v>
      </c>
      <c r="DO9">
        <v>0.18576337210834026</v>
      </c>
      <c r="DP9">
        <v>23073882000</v>
      </c>
      <c r="DQ9">
        <v>1512398700</v>
      </c>
      <c r="DR9">
        <v>4672</v>
      </c>
      <c r="DS9">
        <v>-1.5752407921012068E-2</v>
      </c>
      <c r="DT9">
        <v>6.2514563238118825E-2</v>
      </c>
      <c r="DU9" s="25">
        <v>0.12000000000000002</v>
      </c>
      <c r="DV9">
        <v>0.61999999999999988</v>
      </c>
      <c r="DW9">
        <v>0.73999999999999988</v>
      </c>
      <c r="DX9">
        <v>-8.5342763873775844</v>
      </c>
      <c r="DY9">
        <v>0.54126790926758106</v>
      </c>
      <c r="DZ9">
        <v>-8.0808188720896421</v>
      </c>
      <c r="EA9">
        <v>2125</v>
      </c>
      <c r="EB9">
        <v>-8.0460747686725895</v>
      </c>
      <c r="EC9">
        <v>8</v>
      </c>
      <c r="ED9">
        <v>1.8628008333480685E-2</v>
      </c>
      <c r="EE9">
        <v>0.12314580418064401</v>
      </c>
      <c r="EF9" s="22">
        <v>9.64E-2</v>
      </c>
      <c r="EG9">
        <v>9.6572000000000005E-2</v>
      </c>
      <c r="EH9">
        <v>39.151267909267581</v>
      </c>
      <c r="EI9" t="s">
        <v>619</v>
      </c>
      <c r="EJ9">
        <v>0</v>
      </c>
      <c r="EK9">
        <v>0</v>
      </c>
      <c r="EL9" s="31">
        <v>44977</v>
      </c>
      <c r="EM9" s="32">
        <v>-1.5900000000000001E-2</v>
      </c>
      <c r="EN9" s="32">
        <v>-5.9999999999999995E-4</v>
      </c>
      <c r="EO9" s="32">
        <v>-3</v>
      </c>
      <c r="EP9" s="32">
        <v>-2</v>
      </c>
      <c r="EQ9" s="32">
        <v>1.72E-2</v>
      </c>
    </row>
    <row r="10" spans="1:147" s="19" customFormat="1" ht="90">
      <c r="A10" s="34"/>
      <c r="B10" s="4"/>
      <c r="C10" s="4"/>
      <c r="D10" s="4" t="s">
        <v>2045</v>
      </c>
      <c r="E10" t="s">
        <v>1968</v>
      </c>
      <c r="F10" t="s">
        <v>1969</v>
      </c>
      <c r="G10">
        <v>13.49</v>
      </c>
      <c r="H10">
        <v>2.1999999999999999E-2</v>
      </c>
      <c r="I10" t="s">
        <v>1970</v>
      </c>
      <c r="J10">
        <v>20635785000</v>
      </c>
      <c r="K10">
        <v>14.02</v>
      </c>
      <c r="L10">
        <v>0.71599999999999997</v>
      </c>
      <c r="M10" t="s">
        <v>8</v>
      </c>
      <c r="N10" t="s">
        <v>2010</v>
      </c>
      <c r="O10" t="s">
        <v>2011</v>
      </c>
      <c r="P10" t="s">
        <v>2012</v>
      </c>
      <c r="Q10">
        <v>-11.56</v>
      </c>
      <c r="R10" t="s">
        <v>2013</v>
      </c>
      <c r="S10">
        <v>1185105210</v>
      </c>
      <c r="T10" s="5">
        <v>-0.36699999999999999</v>
      </c>
      <c r="U10" t="s">
        <v>2014</v>
      </c>
      <c r="V10">
        <v>1529709800</v>
      </c>
      <c r="W10">
        <v>1529709800</v>
      </c>
      <c r="X10">
        <v>1.49</v>
      </c>
      <c r="Y10">
        <v>0.25</v>
      </c>
      <c r="Z10">
        <v>13.36</v>
      </c>
      <c r="AA10" t="s">
        <v>2015</v>
      </c>
      <c r="AB10" t="s">
        <v>2016</v>
      </c>
      <c r="AC10" t="s">
        <v>253</v>
      </c>
      <c r="AD10" t="s">
        <v>249</v>
      </c>
      <c r="AE10" t="s">
        <v>1169</v>
      </c>
      <c r="AF10">
        <v>459901250</v>
      </c>
      <c r="AG10" t="s">
        <v>2017</v>
      </c>
      <c r="AH10" t="s">
        <v>2018</v>
      </c>
      <c r="AI10" t="s">
        <v>2019</v>
      </c>
      <c r="AJ10" t="s">
        <v>1914</v>
      </c>
      <c r="AK10" t="s">
        <v>2020</v>
      </c>
      <c r="AL10" t="s">
        <v>7</v>
      </c>
      <c r="AM10" t="s">
        <v>2021</v>
      </c>
      <c r="AN10" t="s">
        <v>7</v>
      </c>
      <c r="AO10" t="s">
        <v>54</v>
      </c>
      <c r="AP10" t="s">
        <v>2022</v>
      </c>
      <c r="AQ10" t="s">
        <v>2023</v>
      </c>
      <c r="AR10" t="s">
        <v>2024</v>
      </c>
      <c r="AS10" t="s">
        <v>7</v>
      </c>
      <c r="AT10" t="s">
        <v>2025</v>
      </c>
      <c r="AU10" t="s">
        <v>2026</v>
      </c>
      <c r="AV10" t="s">
        <v>2027</v>
      </c>
      <c r="AW10" t="s">
        <v>2028</v>
      </c>
      <c r="AX10" t="s">
        <v>2029</v>
      </c>
      <c r="AY10" t="s">
        <v>2030</v>
      </c>
      <c r="AZ10" t="s">
        <v>2031</v>
      </c>
      <c r="BA10" t="s">
        <v>2032</v>
      </c>
      <c r="BB10" t="s">
        <v>2033</v>
      </c>
      <c r="BC10" t="s">
        <v>2034</v>
      </c>
      <c r="BD10" t="s">
        <v>2035</v>
      </c>
      <c r="BE10" t="s">
        <v>2036</v>
      </c>
      <c r="BF10" t="s">
        <v>563</v>
      </c>
      <c r="BG10" t="s">
        <v>2037</v>
      </c>
      <c r="BH10" t="s">
        <v>2038</v>
      </c>
      <c r="BI10" t="s">
        <v>2039</v>
      </c>
      <c r="BJ10" t="s">
        <v>2040</v>
      </c>
      <c r="BK10" t="s">
        <v>2041</v>
      </c>
      <c r="BL10" t="s">
        <v>270</v>
      </c>
      <c r="BM10" t="s">
        <v>2042</v>
      </c>
      <c r="BN10" t="s">
        <v>216</v>
      </c>
      <c r="BO10">
        <v>7.15</v>
      </c>
      <c r="BP10">
        <v>8.25</v>
      </c>
      <c r="BQ10">
        <v>4.78</v>
      </c>
      <c r="BR10">
        <v>8.5299999999999994</v>
      </c>
      <c r="BS10">
        <v>12.23</v>
      </c>
      <c r="BT10">
        <v>5.74</v>
      </c>
      <c r="BU10" t="s">
        <v>2043</v>
      </c>
      <c r="BV10" t="s">
        <v>1445</v>
      </c>
      <c r="BW10">
        <v>21.03</v>
      </c>
      <c r="BX10">
        <v>15.89</v>
      </c>
      <c r="BY10">
        <v>14.88</v>
      </c>
      <c r="BZ10">
        <v>16.29</v>
      </c>
      <c r="CA10">
        <v>14.83</v>
      </c>
      <c r="CB10">
        <v>7.38</v>
      </c>
      <c r="CC10">
        <v>-7.0000000000000007E-2</v>
      </c>
      <c r="CD10">
        <v>7.15</v>
      </c>
      <c r="CE10" t="s">
        <v>2044</v>
      </c>
      <c r="CF10" t="s">
        <v>869</v>
      </c>
      <c r="CG10" s="23">
        <v>-0.2134014307516218</v>
      </c>
      <c r="CH10" s="24">
        <v>-0.5319977083333336</v>
      </c>
      <c r="CI10" s="23">
        <v>8.4272570908069611E-2</v>
      </c>
      <c r="CJ10" s="23">
        <v>-4.5136898756027222E-2</v>
      </c>
      <c r="CK10" s="23">
        <v>-7.9325549304485321E-2</v>
      </c>
      <c r="CL10" s="23">
        <v>0.3768841028213501</v>
      </c>
      <c r="CM10" s="23">
        <v>0.59988564252853394</v>
      </c>
      <c r="CN10" s="24">
        <v>-0.22085888683795929</v>
      </c>
      <c r="CO10" s="24">
        <v>1.330530047416687</v>
      </c>
      <c r="CP10" s="24">
        <v>0.5522192120552063</v>
      </c>
      <c r="CQ10" s="24">
        <v>-0.4702627956867218</v>
      </c>
      <c r="CR10" s="24">
        <v>0.52531647682189941</v>
      </c>
      <c r="CS10">
        <v>1.1231581668753061</v>
      </c>
      <c r="CT10">
        <v>0.74846793509362686</v>
      </c>
      <c r="CU10">
        <v>1.6308376575240919</v>
      </c>
      <c r="CV10" s="23">
        <v>0.18731597363948821</v>
      </c>
      <c r="CW10" s="24">
        <v>0.34338881075382233</v>
      </c>
      <c r="CX10">
        <v>0.06</v>
      </c>
      <c r="CY10">
        <v>1.6374140721108525</v>
      </c>
      <c r="CZ10">
        <v>2418316214.2336369</v>
      </c>
      <c r="DA10">
        <v>0.18731597363948821</v>
      </c>
      <c r="DB10">
        <v>0.49322560161676826</v>
      </c>
      <c r="DC10">
        <v>8028344406.7380676</v>
      </c>
      <c r="DD10">
        <v>0.17795017495751378</v>
      </c>
      <c r="DE10">
        <v>0.21691550141282548</v>
      </c>
      <c r="DF10">
        <v>18254965524.404293</v>
      </c>
      <c r="DG10">
        <v>0.16483805680274963</v>
      </c>
      <c r="DH10">
        <v>0.1140970289246673</v>
      </c>
      <c r="DI10">
        <v>34705417286.67144</v>
      </c>
      <c r="DJ10">
        <v>0.14985277891159057</v>
      </c>
      <c r="DK10">
        <v>4.3273635267624691E-2</v>
      </c>
      <c r="DL10">
        <v>91505716483.276962</v>
      </c>
      <c r="DM10">
        <v>0.13112118154764174</v>
      </c>
      <c r="DN10">
        <v>2159000000</v>
      </c>
      <c r="DO10">
        <v>0.18731597363948821</v>
      </c>
      <c r="DP10">
        <v>3959785000</v>
      </c>
      <c r="DQ10">
        <v>1183481000</v>
      </c>
      <c r="DR10">
        <v>3343</v>
      </c>
      <c r="DS10">
        <v>-0.40071740439111003</v>
      </c>
      <c r="DT10">
        <v>-0.87538651908715592</v>
      </c>
      <c r="DU10" s="25">
        <v>0.21666666666666665</v>
      </c>
      <c r="DV10">
        <v>2.9999999999999988E-2</v>
      </c>
      <c r="DW10">
        <v>0.24666666666666665</v>
      </c>
      <c r="DX10">
        <v>2.0714999999999999</v>
      </c>
      <c r="DY10">
        <v>0.49766212121212278</v>
      </c>
      <c r="DZ10">
        <v>2.0127028416666666</v>
      </c>
      <c r="EA10">
        <v>3031</v>
      </c>
      <c r="EB10">
        <v>2.0049135814822305</v>
      </c>
      <c r="EC10">
        <v>2</v>
      </c>
      <c r="ED10">
        <v>2.2995930339205516E-2</v>
      </c>
      <c r="EE10">
        <v>0.12943631530634112</v>
      </c>
      <c r="EF10" s="22">
        <v>3.3599999999999998E-2</v>
      </c>
      <c r="EG10">
        <v>3.3819999999999996E-2</v>
      </c>
      <c r="EH10">
        <v>32.177662121212123</v>
      </c>
      <c r="EI10">
        <v>-1</v>
      </c>
      <c r="EJ10">
        <v>1</v>
      </c>
      <c r="EK10">
        <v>0</v>
      </c>
      <c r="EL10" s="31">
        <v>44977</v>
      </c>
      <c r="EM10" s="32">
        <v>-6.9999999999999999E-4</v>
      </c>
      <c r="EN10" s="32">
        <v>-5.8999999999999999E-3</v>
      </c>
      <c r="EO10" s="32">
        <v>-1.57</v>
      </c>
      <c r="EP10" s="32">
        <v>0</v>
      </c>
      <c r="EQ10" s="32">
        <v>2.1999999999999999E-2</v>
      </c>
    </row>
    <row r="11" spans="1:147" s="19" customFormat="1" ht="90">
      <c r="A11" s="34"/>
      <c r="B11" s="4"/>
      <c r="C11" s="4"/>
      <c r="D11" s="4" t="s">
        <v>2079</v>
      </c>
      <c r="E11" t="s">
        <v>1971</v>
      </c>
      <c r="F11" t="s">
        <v>1972</v>
      </c>
      <c r="G11">
        <v>49.56</v>
      </c>
      <c r="H11">
        <v>4.3400000000000001E-2</v>
      </c>
      <c r="I11" t="s">
        <v>1973</v>
      </c>
      <c r="J11">
        <v>19824496000</v>
      </c>
      <c r="K11">
        <v>33.18</v>
      </c>
      <c r="L11">
        <v>3.62</v>
      </c>
      <c r="M11" t="s">
        <v>8</v>
      </c>
      <c r="N11" t="s">
        <v>2046</v>
      </c>
      <c r="O11" t="s">
        <v>2047</v>
      </c>
      <c r="P11" t="s">
        <v>2048</v>
      </c>
      <c r="Q11">
        <v>11.99</v>
      </c>
      <c r="R11" t="s">
        <v>2049</v>
      </c>
      <c r="S11">
        <v>504708030</v>
      </c>
      <c r="T11" s="6">
        <v>-4.4400000000000002E-2</v>
      </c>
      <c r="U11" t="s">
        <v>2050</v>
      </c>
      <c r="V11">
        <v>36009000</v>
      </c>
      <c r="W11">
        <v>400010000</v>
      </c>
      <c r="X11">
        <v>1.31</v>
      </c>
      <c r="Y11">
        <v>0.27</v>
      </c>
      <c r="Z11">
        <v>32.36</v>
      </c>
      <c r="AA11" t="s">
        <v>2051</v>
      </c>
      <c r="AB11" t="s">
        <v>302</v>
      </c>
      <c r="AC11" t="s">
        <v>2052</v>
      </c>
      <c r="AD11" t="s">
        <v>2053</v>
      </c>
      <c r="AE11" t="s">
        <v>2054</v>
      </c>
      <c r="AF11">
        <v>-4005747</v>
      </c>
      <c r="AG11" t="s">
        <v>2055</v>
      </c>
      <c r="AH11" t="s">
        <v>2056</v>
      </c>
      <c r="AI11" t="s">
        <v>2057</v>
      </c>
      <c r="AJ11" t="s">
        <v>1295</v>
      </c>
      <c r="AK11" t="s">
        <v>2058</v>
      </c>
      <c r="AL11" t="s">
        <v>7</v>
      </c>
      <c r="AM11" t="s">
        <v>2059</v>
      </c>
      <c r="AN11" t="s">
        <v>7</v>
      </c>
      <c r="AO11" t="s">
        <v>2060</v>
      </c>
      <c r="AP11" t="s">
        <v>113</v>
      </c>
      <c r="AQ11" t="s">
        <v>2061</v>
      </c>
      <c r="AR11" t="s">
        <v>292</v>
      </c>
      <c r="AS11" t="s">
        <v>7</v>
      </c>
      <c r="AT11" t="s">
        <v>2062</v>
      </c>
      <c r="AU11" t="s">
        <v>7</v>
      </c>
      <c r="AV11" t="s">
        <v>2063</v>
      </c>
      <c r="AW11" t="s">
        <v>2064</v>
      </c>
      <c r="AX11" t="s">
        <v>2065</v>
      </c>
      <c r="AY11" t="s">
        <v>2066</v>
      </c>
      <c r="AZ11" t="s">
        <v>2067</v>
      </c>
      <c r="BA11" t="s">
        <v>2068</v>
      </c>
      <c r="BB11" t="s">
        <v>2069</v>
      </c>
      <c r="BC11" t="s">
        <v>7</v>
      </c>
      <c r="BD11" t="s">
        <v>2070</v>
      </c>
      <c r="BE11" t="s">
        <v>531</v>
      </c>
      <c r="BF11" t="s">
        <v>864</v>
      </c>
      <c r="BG11" t="s">
        <v>2071</v>
      </c>
      <c r="BH11" t="s">
        <v>7</v>
      </c>
      <c r="BI11" t="s">
        <v>1467</v>
      </c>
      <c r="BJ11" t="s">
        <v>2072</v>
      </c>
      <c r="BK11" t="s">
        <v>2073</v>
      </c>
      <c r="BL11" t="s">
        <v>2074</v>
      </c>
      <c r="BM11" t="s">
        <v>2075</v>
      </c>
      <c r="BN11" t="s">
        <v>2076</v>
      </c>
      <c r="BO11">
        <v>21.31</v>
      </c>
      <c r="BP11">
        <v>50.06</v>
      </c>
      <c r="BQ11">
        <v>34.15</v>
      </c>
      <c r="BR11">
        <v>24.86</v>
      </c>
      <c r="BS11" t="s">
        <v>7</v>
      </c>
      <c r="BT11" t="s">
        <v>7</v>
      </c>
      <c r="BU11" t="s">
        <v>1751</v>
      </c>
      <c r="BV11" t="s">
        <v>1445</v>
      </c>
      <c r="BW11">
        <v>88.44</v>
      </c>
      <c r="BX11">
        <v>89.37</v>
      </c>
      <c r="BY11">
        <v>84.65</v>
      </c>
      <c r="BZ11">
        <v>28.12</v>
      </c>
      <c r="CA11">
        <v>38.119999999999997</v>
      </c>
      <c r="CB11">
        <v>35.78</v>
      </c>
      <c r="CC11">
        <v>3.44</v>
      </c>
      <c r="CD11">
        <v>11.17</v>
      </c>
      <c r="CE11" t="s">
        <v>2077</v>
      </c>
      <c r="CF11" t="s">
        <v>2078</v>
      </c>
      <c r="CG11" s="23">
        <v>-0.63904754104315031</v>
      </c>
      <c r="CH11" s="24">
        <v>-0.62887730499624495</v>
      </c>
      <c r="CI11" s="23">
        <v>-0.24567185342311859</v>
      </c>
      <c r="CJ11" s="23">
        <v>1.3126786947250366</v>
      </c>
      <c r="CK11" s="23">
        <v>0.3063511848449707</v>
      </c>
      <c r="CL11" s="23">
        <v>1.8175438642501831</v>
      </c>
      <c r="CM11" s="23" t="s">
        <v>7</v>
      </c>
      <c r="CN11" s="24">
        <v>-0.32864865660667419</v>
      </c>
      <c r="CO11" s="24">
        <v>1.4666666984558105</v>
      </c>
      <c r="CP11" s="24">
        <v>0.3888888955116272</v>
      </c>
      <c r="CQ11" s="24">
        <v>4.5118937492370605</v>
      </c>
      <c r="CR11" s="24" t="s">
        <v>7</v>
      </c>
      <c r="CS11">
        <v>10.833057923497268</v>
      </c>
      <c r="CT11">
        <v>0.41593256251286526</v>
      </c>
      <c r="CU11">
        <v>0.40355125100887812</v>
      </c>
      <c r="CV11" s="23">
        <v>0.79772547259926796</v>
      </c>
      <c r="CW11" s="24">
        <v>1.509700171649456</v>
      </c>
      <c r="CX11">
        <v>0.06</v>
      </c>
      <c r="CY11">
        <v>15.23410596984521</v>
      </c>
      <c r="CZ11">
        <v>1053195772.1548542</v>
      </c>
      <c r="DA11">
        <v>0.79772547259926796</v>
      </c>
      <c r="DB11">
        <v>2.8806484065213516</v>
      </c>
      <c r="DC11">
        <v>5569751575.2626009</v>
      </c>
      <c r="DD11">
        <v>0.75783919896930452</v>
      </c>
      <c r="DE11">
        <v>0.60395210408544941</v>
      </c>
      <c r="DF11">
        <v>26565841714.047516</v>
      </c>
      <c r="DG11">
        <v>0.70199841588735579</v>
      </c>
      <c r="DH11">
        <v>0.11885061296888987</v>
      </c>
      <c r="DI11">
        <v>134997166604.43123</v>
      </c>
      <c r="DJ11">
        <v>0.63818037807941441</v>
      </c>
      <c r="DK11">
        <v>3.7138831644897489E-3</v>
      </c>
      <c r="DL11">
        <v>4320140211574.0376</v>
      </c>
      <c r="DM11">
        <v>0.55840783081948753</v>
      </c>
      <c r="DN11">
        <v>621000000</v>
      </c>
      <c r="DO11">
        <v>0.79772547259926796</v>
      </c>
      <c r="DP11">
        <v>16044496000</v>
      </c>
      <c r="DQ11">
        <v>2949918500</v>
      </c>
      <c r="DR11">
        <v>2648</v>
      </c>
      <c r="DS11">
        <v>-1.4367730136424184</v>
      </c>
      <c r="DT11">
        <v>-2.1385774766457009</v>
      </c>
      <c r="DU11" s="25">
        <v>0.89200000000000013</v>
      </c>
      <c r="DV11">
        <v>0.89200000000000013</v>
      </c>
      <c r="DW11">
        <v>1.7840000000000003</v>
      </c>
      <c r="DX11">
        <v>8.3079677708146829</v>
      </c>
      <c r="DY11">
        <v>0.66926125202835696</v>
      </c>
      <c r="DZ11">
        <v>8.039808299639887</v>
      </c>
      <c r="EA11">
        <v>510</v>
      </c>
      <c r="EB11">
        <v>8.0357010302050611</v>
      </c>
      <c r="EC11">
        <v>8</v>
      </c>
      <c r="ED11">
        <v>1.8918527036824079E-2</v>
      </c>
      <c r="EE11">
        <v>0.14635884102897428</v>
      </c>
      <c r="EF11" s="22">
        <v>-1.0461</v>
      </c>
      <c r="EG11">
        <v>-1.0465340000000001</v>
      </c>
      <c r="EH11">
        <v>54.129261252028357</v>
      </c>
      <c r="EI11" t="s">
        <v>710</v>
      </c>
      <c r="EJ11">
        <v>0</v>
      </c>
      <c r="EK11">
        <v>1</v>
      </c>
      <c r="EL11" s="31">
        <v>44977</v>
      </c>
      <c r="EM11" s="32">
        <v>8.8000000000000005E-3</v>
      </c>
      <c r="EN11" s="32">
        <v>-1.32E-2</v>
      </c>
      <c r="EO11" s="32">
        <v>-1.36</v>
      </c>
      <c r="EP11" s="32">
        <v>0.98</v>
      </c>
      <c r="EQ11" s="32">
        <v>4.3400000000000001E-2</v>
      </c>
    </row>
    <row r="12" spans="1:147" s="19" customFormat="1" ht="78.75">
      <c r="A12" s="34"/>
      <c r="B12" s="4"/>
      <c r="C12" s="4"/>
      <c r="D12" s="4" t="s">
        <v>1964</v>
      </c>
      <c r="E12" t="s">
        <v>684</v>
      </c>
      <c r="F12" t="s">
        <v>1471</v>
      </c>
      <c r="G12">
        <v>33.47</v>
      </c>
      <c r="H12">
        <v>1.12E-2</v>
      </c>
      <c r="I12" t="s">
        <v>1947</v>
      </c>
      <c r="J12">
        <v>13938582000</v>
      </c>
      <c r="K12">
        <v>21.35</v>
      </c>
      <c r="L12">
        <v>1.46</v>
      </c>
      <c r="M12" t="s">
        <v>8</v>
      </c>
      <c r="N12" t="s">
        <v>267</v>
      </c>
      <c r="O12" t="s">
        <v>1948</v>
      </c>
      <c r="P12" t="s">
        <v>1949</v>
      </c>
      <c r="Q12">
        <v>-21.6</v>
      </c>
      <c r="R12" t="s">
        <v>317</v>
      </c>
      <c r="S12">
        <v>589155270</v>
      </c>
      <c r="T12" s="5">
        <v>-0.28899999999999998</v>
      </c>
      <c r="U12" t="s">
        <v>576</v>
      </c>
      <c r="V12">
        <v>174528160</v>
      </c>
      <c r="W12">
        <v>416450000</v>
      </c>
      <c r="X12">
        <v>1.04</v>
      </c>
      <c r="Y12">
        <v>0.14000000000000001</v>
      </c>
      <c r="Z12">
        <v>43.31</v>
      </c>
      <c r="AA12" t="s">
        <v>1950</v>
      </c>
      <c r="AB12" t="s">
        <v>153</v>
      </c>
      <c r="AC12" t="s">
        <v>1538</v>
      </c>
      <c r="AD12" t="s">
        <v>153</v>
      </c>
      <c r="AE12" t="s">
        <v>77</v>
      </c>
      <c r="AF12">
        <v>-36049305</v>
      </c>
      <c r="AG12" t="s">
        <v>1951</v>
      </c>
      <c r="AH12" t="s">
        <v>1952</v>
      </c>
      <c r="AI12" t="s">
        <v>1953</v>
      </c>
      <c r="AJ12" t="s">
        <v>1954</v>
      </c>
      <c r="AK12" t="s">
        <v>1955</v>
      </c>
      <c r="AL12" t="s">
        <v>7</v>
      </c>
      <c r="AM12" t="s">
        <v>1956</v>
      </c>
      <c r="AN12" t="s">
        <v>7</v>
      </c>
      <c r="AO12" t="s">
        <v>242</v>
      </c>
      <c r="AP12" t="s">
        <v>7</v>
      </c>
      <c r="AQ12" t="s">
        <v>7</v>
      </c>
      <c r="AR12" t="s">
        <v>128</v>
      </c>
      <c r="AS12" t="s">
        <v>7</v>
      </c>
      <c r="AT12" t="s">
        <v>318</v>
      </c>
      <c r="AU12" t="s">
        <v>7</v>
      </c>
      <c r="AV12" t="s">
        <v>346</v>
      </c>
      <c r="AW12" t="s">
        <v>1957</v>
      </c>
      <c r="AX12" t="s">
        <v>1472</v>
      </c>
      <c r="AY12" t="s">
        <v>565</v>
      </c>
      <c r="AZ12" t="s">
        <v>433</v>
      </c>
      <c r="BA12" t="s">
        <v>334</v>
      </c>
      <c r="BB12" t="s">
        <v>587</v>
      </c>
      <c r="BC12" t="s">
        <v>709</v>
      </c>
      <c r="BD12" t="s">
        <v>476</v>
      </c>
      <c r="BE12" t="s">
        <v>273</v>
      </c>
      <c r="BF12" t="s">
        <v>338</v>
      </c>
      <c r="BG12" t="s">
        <v>114</v>
      </c>
      <c r="BH12" t="s">
        <v>434</v>
      </c>
      <c r="BI12" t="s">
        <v>1958</v>
      </c>
      <c r="BJ12" t="s">
        <v>1959</v>
      </c>
      <c r="BK12" t="s">
        <v>1473</v>
      </c>
      <c r="BL12" t="s">
        <v>1960</v>
      </c>
      <c r="BM12" t="s">
        <v>354</v>
      </c>
      <c r="BN12" t="s">
        <v>183</v>
      </c>
      <c r="BO12">
        <v>12.95</v>
      </c>
      <c r="BP12">
        <v>23.89</v>
      </c>
      <c r="BQ12">
        <v>21.5</v>
      </c>
      <c r="BR12">
        <v>16.88</v>
      </c>
      <c r="BS12">
        <v>24.59</v>
      </c>
      <c r="BT12" t="s">
        <v>7</v>
      </c>
      <c r="BU12" t="s">
        <v>1961</v>
      </c>
      <c r="BV12" t="s">
        <v>1445</v>
      </c>
      <c r="BW12">
        <v>89.22</v>
      </c>
      <c r="BX12">
        <v>86.25</v>
      </c>
      <c r="BY12">
        <v>85.69</v>
      </c>
      <c r="BZ12">
        <v>43.24</v>
      </c>
      <c r="CA12">
        <v>46.01</v>
      </c>
      <c r="CB12">
        <v>41.65</v>
      </c>
      <c r="CC12">
        <v>-0.68</v>
      </c>
      <c r="CD12">
        <v>10.029999999999999</v>
      </c>
      <c r="CE12" t="s">
        <v>1962</v>
      </c>
      <c r="CF12" t="s">
        <v>1963</v>
      </c>
      <c r="CG12" s="23">
        <v>-0.14877850799289558</v>
      </c>
      <c r="CH12" s="24">
        <v>-0.18049106299212561</v>
      </c>
      <c r="CI12" s="23">
        <v>4.6092186123132706E-2</v>
      </c>
      <c r="CJ12" s="23">
        <v>0.19022068381309509</v>
      </c>
      <c r="CK12" s="23">
        <v>0.20560736954212189</v>
      </c>
      <c r="CL12" s="23">
        <v>9.0125441551208496E-2</v>
      </c>
      <c r="CM12" s="23">
        <v>0.23883494734764099</v>
      </c>
      <c r="CN12" s="24">
        <v>-2.8322439640760422E-2</v>
      </c>
      <c r="CO12" s="24">
        <v>0.31518623232841492</v>
      </c>
      <c r="CP12" s="24">
        <v>0.12580645084381104</v>
      </c>
      <c r="CQ12" s="24">
        <v>0.11711711436510086</v>
      </c>
      <c r="CR12" s="24">
        <v>0.25</v>
      </c>
      <c r="CS12">
        <v>6.675566091954023</v>
      </c>
      <c r="CT12">
        <v>1.3847799006795929</v>
      </c>
      <c r="CU12">
        <v>2.987750224081267</v>
      </c>
      <c r="CV12" s="23">
        <v>0.15417612567543984</v>
      </c>
      <c r="CW12" s="24">
        <v>0.15595747157931328</v>
      </c>
      <c r="CX12">
        <v>0.06</v>
      </c>
      <c r="CY12">
        <v>4.960186885828108</v>
      </c>
      <c r="CZ12">
        <v>971250098.20989847</v>
      </c>
      <c r="DA12">
        <v>0.15417612567543984</v>
      </c>
      <c r="DB12">
        <v>1.5358247270489973</v>
      </c>
      <c r="DC12">
        <v>3136804555.332768</v>
      </c>
      <c r="DD12">
        <v>0.14646731939166785</v>
      </c>
      <c r="DE12">
        <v>0.70224234070470959</v>
      </c>
      <c r="DF12">
        <v>6860284150.8609295</v>
      </c>
      <c r="DG12">
        <v>0.13567499059438706</v>
      </c>
      <c r="DH12">
        <v>0.38709311535701363</v>
      </c>
      <c r="DI12">
        <v>12445537801.820044</v>
      </c>
      <c r="DJ12">
        <v>0.12334090054035188</v>
      </c>
      <c r="DK12">
        <v>0.16434930304354164</v>
      </c>
      <c r="DL12">
        <v>29313066199.761497</v>
      </c>
      <c r="DM12">
        <v>0.10792328797280788</v>
      </c>
      <c r="DN12">
        <v>892000000</v>
      </c>
      <c r="DO12">
        <v>0.15417612567543984</v>
      </c>
      <c r="DP12">
        <v>4817582000</v>
      </c>
      <c r="DQ12">
        <v>7378663100</v>
      </c>
      <c r="DR12">
        <v>4924</v>
      </c>
      <c r="DS12">
        <v>-0.30295463366833542</v>
      </c>
      <c r="DT12">
        <v>-0.33644853457143886</v>
      </c>
      <c r="DU12" s="25">
        <v>0.1633333333333333</v>
      </c>
      <c r="DV12">
        <v>2.9999999999999988E-2</v>
      </c>
      <c r="DW12">
        <v>0.1933333333333333</v>
      </c>
      <c r="DX12">
        <v>2.1002999999999998</v>
      </c>
      <c r="DY12">
        <v>0.41902216587035523</v>
      </c>
      <c r="DZ12">
        <v>2.0189589232367968</v>
      </c>
      <c r="EA12">
        <v>3114</v>
      </c>
      <c r="EB12">
        <v>2.0070151467934658</v>
      </c>
      <c r="EC12">
        <v>2</v>
      </c>
      <c r="ED12">
        <v>2.3018129427302199E-2</v>
      </c>
      <c r="EE12">
        <v>0.12177476287669591</v>
      </c>
      <c r="EF12" s="22">
        <v>8.2909999999999998E-2</v>
      </c>
      <c r="EG12">
        <v>8.2797999999999997E-2</v>
      </c>
      <c r="EH12">
        <v>23.189022165870355</v>
      </c>
      <c r="EI12" t="s">
        <v>619</v>
      </c>
      <c r="EJ12">
        <v>1</v>
      </c>
      <c r="EK12">
        <v>0</v>
      </c>
      <c r="EL12" s="31">
        <v>44977</v>
      </c>
      <c r="EM12" s="32">
        <v>-2.9999999999999997E-4</v>
      </c>
      <c r="EN12" s="32">
        <v>-2.7000000000000001E-3</v>
      </c>
      <c r="EO12">
        <v>-1.52</v>
      </c>
      <c r="EP12">
        <v>0.03</v>
      </c>
      <c r="EQ12">
        <v>1.12E-2</v>
      </c>
    </row>
    <row r="13" spans="1:147" s="19" customFormat="1" ht="101.25">
      <c r="A13" s="34"/>
      <c r="B13" s="4" t="s">
        <v>2148</v>
      </c>
      <c r="C13" s="4" t="s">
        <v>2149</v>
      </c>
      <c r="D13" s="4" t="s">
        <v>2150</v>
      </c>
      <c r="E13" t="s">
        <v>464</v>
      </c>
      <c r="F13" t="s">
        <v>465</v>
      </c>
      <c r="G13">
        <v>97.1</v>
      </c>
      <c r="H13">
        <v>2.0000000000000001E-4</v>
      </c>
      <c r="I13" t="s">
        <v>1893</v>
      </c>
      <c r="J13">
        <v>13074558600</v>
      </c>
      <c r="K13">
        <v>17.920000000000002</v>
      </c>
      <c r="L13">
        <v>4.41</v>
      </c>
      <c r="M13" t="s">
        <v>8</v>
      </c>
      <c r="N13" t="s">
        <v>1894</v>
      </c>
      <c r="O13" t="s">
        <v>1895</v>
      </c>
      <c r="P13" t="s">
        <v>1896</v>
      </c>
      <c r="Q13">
        <v>35.229999999999997</v>
      </c>
      <c r="R13" t="s">
        <v>678</v>
      </c>
      <c r="S13">
        <v>483313060</v>
      </c>
      <c r="T13" s="5">
        <v>-0.17150000000000001</v>
      </c>
      <c r="U13" t="s">
        <v>354</v>
      </c>
      <c r="V13">
        <v>91580446</v>
      </c>
      <c r="W13">
        <v>134650450</v>
      </c>
      <c r="X13">
        <v>1.1399999999999999</v>
      </c>
      <c r="Y13">
        <v>0.33</v>
      </c>
      <c r="Z13">
        <v>45.83</v>
      </c>
      <c r="AA13" t="s">
        <v>1897</v>
      </c>
      <c r="AB13" t="s">
        <v>1898</v>
      </c>
      <c r="AC13" t="s">
        <v>78</v>
      </c>
      <c r="AD13" t="s">
        <v>1899</v>
      </c>
      <c r="AE13" t="s">
        <v>1463</v>
      </c>
      <c r="AF13">
        <v>-9816035</v>
      </c>
      <c r="AG13" t="s">
        <v>1464</v>
      </c>
      <c r="AH13" t="s">
        <v>1900</v>
      </c>
      <c r="AI13" t="s">
        <v>1901</v>
      </c>
      <c r="AJ13" t="s">
        <v>1830</v>
      </c>
      <c r="AK13" t="s">
        <v>1902</v>
      </c>
      <c r="AL13" t="s">
        <v>7</v>
      </c>
      <c r="AM13" t="s">
        <v>1903</v>
      </c>
      <c r="AN13" t="s">
        <v>7</v>
      </c>
      <c r="AO13" t="s">
        <v>135</v>
      </c>
      <c r="AP13" t="s">
        <v>1705</v>
      </c>
      <c r="AQ13" t="s">
        <v>1904</v>
      </c>
      <c r="AR13" t="s">
        <v>1905</v>
      </c>
      <c r="AS13" t="s">
        <v>7</v>
      </c>
      <c r="AT13" t="s">
        <v>157</v>
      </c>
      <c r="AU13" t="s">
        <v>7</v>
      </c>
      <c r="AV13" t="s">
        <v>1906</v>
      </c>
      <c r="AW13" t="s">
        <v>1907</v>
      </c>
      <c r="AX13" t="s">
        <v>1908</v>
      </c>
      <c r="AY13" t="s">
        <v>66</v>
      </c>
      <c r="AZ13" t="s">
        <v>114</v>
      </c>
      <c r="BA13" t="s">
        <v>466</v>
      </c>
      <c r="BB13" t="s">
        <v>133</v>
      </c>
      <c r="BC13" t="s">
        <v>696</v>
      </c>
      <c r="BD13" t="s">
        <v>167</v>
      </c>
      <c r="BE13" t="s">
        <v>130</v>
      </c>
      <c r="BF13" t="s">
        <v>153</v>
      </c>
      <c r="BG13" t="s">
        <v>697</v>
      </c>
      <c r="BH13" t="s">
        <v>698</v>
      </c>
      <c r="BI13" t="s">
        <v>1909</v>
      </c>
      <c r="BJ13" t="s">
        <v>256</v>
      </c>
      <c r="BK13" t="s">
        <v>220</v>
      </c>
      <c r="BL13" t="s">
        <v>1910</v>
      </c>
      <c r="BM13" t="s">
        <v>1830</v>
      </c>
      <c r="BN13" t="s">
        <v>355</v>
      </c>
      <c r="BO13">
        <v>32.729999999999997</v>
      </c>
      <c r="BP13">
        <v>31.34</v>
      </c>
      <c r="BQ13">
        <v>39.06</v>
      </c>
      <c r="BR13">
        <v>35.549999999999997</v>
      </c>
      <c r="BS13">
        <v>32.15</v>
      </c>
      <c r="BT13">
        <v>40.49</v>
      </c>
      <c r="BU13" t="s">
        <v>1911</v>
      </c>
      <c r="BV13" t="s">
        <v>1445</v>
      </c>
      <c r="BW13">
        <v>93.92</v>
      </c>
      <c r="BX13">
        <v>93.95</v>
      </c>
      <c r="BY13">
        <v>94.17</v>
      </c>
      <c r="BZ13">
        <v>47.85</v>
      </c>
      <c r="CA13">
        <v>39.29</v>
      </c>
      <c r="CB13">
        <v>33.659999999999997</v>
      </c>
      <c r="CC13">
        <v>-0.61</v>
      </c>
      <c r="CD13">
        <v>14.75</v>
      </c>
      <c r="CE13" t="s">
        <v>1912</v>
      </c>
      <c r="CF13" t="s">
        <v>1913</v>
      </c>
      <c r="CG13" s="23">
        <v>0.73047627192982456</v>
      </c>
      <c r="CH13" s="24">
        <v>-0.49452247734138971</v>
      </c>
      <c r="CI13" s="23">
        <v>0.24350336194038391</v>
      </c>
      <c r="CJ13" s="23">
        <v>0.87207210063934326</v>
      </c>
      <c r="CK13" s="23">
        <v>-7.1556349284946918E-3</v>
      </c>
      <c r="CL13" s="23">
        <v>1.1335878372192383</v>
      </c>
      <c r="CM13" s="23">
        <v>1.8197389841079712</v>
      </c>
      <c r="CN13" s="24">
        <v>1.031862735748291</v>
      </c>
      <c r="CO13" s="24">
        <v>1.1818181276321411</v>
      </c>
      <c r="CP13" s="24">
        <v>0.2142857164144516</v>
      </c>
      <c r="CQ13" s="24">
        <v>1.0682827234268188</v>
      </c>
      <c r="CR13" s="24">
        <v>10.183391571044922</v>
      </c>
      <c r="CS13">
        <v>10.119627399380805</v>
      </c>
      <c r="CT13">
        <v>0.22059475330036904</v>
      </c>
      <c r="CU13">
        <v>1.5447991761071063</v>
      </c>
      <c r="CV13" s="23">
        <v>0.81234932979568841</v>
      </c>
      <c r="CW13" s="24">
        <v>2.7359281748533251</v>
      </c>
      <c r="CX13">
        <v>0.06</v>
      </c>
      <c r="CY13">
        <v>7.4189385020325735</v>
      </c>
      <c r="CZ13">
        <v>1417393956.9817221</v>
      </c>
      <c r="DA13">
        <v>0.81234932979568841</v>
      </c>
      <c r="DB13">
        <v>1.3886144774579188</v>
      </c>
      <c r="DC13">
        <v>7572698377.198554</v>
      </c>
      <c r="DD13">
        <v>0.77173186330590393</v>
      </c>
      <c r="DE13">
        <v>0.28613948529681493</v>
      </c>
      <c r="DF13">
        <v>36749764154.681839</v>
      </c>
      <c r="DG13">
        <v>0.71486741022020583</v>
      </c>
      <c r="DH13">
        <v>5.4999734287183397E-2</v>
      </c>
      <c r="DI13">
        <v>191192898225.51822</v>
      </c>
      <c r="DJ13">
        <v>0.64987946383655082</v>
      </c>
      <c r="DK13">
        <v>1.6216807678976458E-3</v>
      </c>
      <c r="DL13">
        <v>6484357962530.7002</v>
      </c>
      <c r="DM13">
        <v>0.56864453085698186</v>
      </c>
      <c r="DN13">
        <v>828999999.99999988</v>
      </c>
      <c r="DO13">
        <v>0.81234932979568841</v>
      </c>
      <c r="DP13">
        <v>10515558600</v>
      </c>
      <c r="DQ13">
        <v>1628240600</v>
      </c>
      <c r="DR13">
        <v>2321</v>
      </c>
      <c r="DS13">
        <v>-8.1873057865863852E-2</v>
      </c>
      <c r="DT13">
        <v>-3.2304506521947149</v>
      </c>
      <c r="DU13" s="25">
        <v>1.4900000000000002</v>
      </c>
      <c r="DV13">
        <v>1.3800000000000001</v>
      </c>
      <c r="DW13">
        <v>2.87</v>
      </c>
      <c r="DX13">
        <v>2.1475</v>
      </c>
      <c r="DY13">
        <v>0.3154616057830778</v>
      </c>
      <c r="DZ13">
        <v>2.0229305868530041</v>
      </c>
      <c r="EA13">
        <v>63</v>
      </c>
      <c r="EB13">
        <v>2.0226383297274246</v>
      </c>
      <c r="EC13">
        <v>2</v>
      </c>
      <c r="ED13">
        <v>6.7016486019913044E-2</v>
      </c>
      <c r="EE13">
        <v>0.43108062394147223</v>
      </c>
      <c r="EF13" s="22">
        <v>3.2710000000000003E-2</v>
      </c>
      <c r="EG13">
        <v>3.2708000000000001E-2</v>
      </c>
      <c r="EH13">
        <v>16.155461605783078</v>
      </c>
      <c r="EI13">
        <v>-1</v>
      </c>
      <c r="EJ13">
        <v>1</v>
      </c>
      <c r="EK13">
        <v>1</v>
      </c>
      <c r="EL13" s="31">
        <v>44977</v>
      </c>
      <c r="EM13" s="32">
        <v>-1.34E-2</v>
      </c>
      <c r="EN13" s="32">
        <v>5.5300000000000002E-2</v>
      </c>
      <c r="EO13" s="32">
        <v>-2.25</v>
      </c>
      <c r="EP13" s="32">
        <v>-2.36</v>
      </c>
      <c r="EQ13" s="32">
        <v>2.0000000000000001E-4</v>
      </c>
    </row>
    <row r="14" spans="1:147" s="19" customFormat="1" ht="101.25">
      <c r="A14" s="34"/>
      <c r="B14" s="4" t="s">
        <v>2151</v>
      </c>
      <c r="C14" s="4" t="s">
        <v>2152</v>
      </c>
      <c r="D14" s="28" t="s">
        <v>2153</v>
      </c>
      <c r="E14" t="s">
        <v>1974</v>
      </c>
      <c r="F14" t="s">
        <v>1975</v>
      </c>
      <c r="G14">
        <v>19.05</v>
      </c>
      <c r="H14">
        <v>8.5000000000000006E-3</v>
      </c>
      <c r="I14" t="s">
        <v>1976</v>
      </c>
      <c r="J14">
        <v>7720298300</v>
      </c>
      <c r="K14">
        <v>109.6</v>
      </c>
      <c r="L14">
        <v>8.6999999999999993</v>
      </c>
      <c r="M14" t="s">
        <v>8</v>
      </c>
      <c r="N14" t="s">
        <v>131</v>
      </c>
      <c r="O14" t="s">
        <v>1875</v>
      </c>
      <c r="P14" t="s">
        <v>2080</v>
      </c>
      <c r="Q14">
        <v>30.2</v>
      </c>
      <c r="R14" t="s">
        <v>211</v>
      </c>
      <c r="S14">
        <v>24500000</v>
      </c>
      <c r="T14" s="5">
        <v>-0.48270000000000002</v>
      </c>
      <c r="U14" t="s">
        <v>175</v>
      </c>
      <c r="V14">
        <v>286054950</v>
      </c>
      <c r="W14">
        <v>405265000</v>
      </c>
      <c r="X14">
        <v>1.54</v>
      </c>
      <c r="Y14">
        <v>0.28999999999999998</v>
      </c>
      <c r="Z14">
        <v>10.84</v>
      </c>
      <c r="AA14" t="s">
        <v>1910</v>
      </c>
      <c r="AB14" t="s">
        <v>2081</v>
      </c>
      <c r="AC14" t="s">
        <v>75</v>
      </c>
      <c r="AD14" t="s">
        <v>2082</v>
      </c>
      <c r="AE14" t="s">
        <v>2083</v>
      </c>
      <c r="AF14">
        <v>1041289</v>
      </c>
      <c r="AG14" t="s">
        <v>2084</v>
      </c>
      <c r="AH14" t="s">
        <v>2085</v>
      </c>
      <c r="AI14" t="s">
        <v>2086</v>
      </c>
      <c r="AJ14" t="s">
        <v>1692</v>
      </c>
      <c r="AK14" t="s">
        <v>2087</v>
      </c>
      <c r="AL14" t="s">
        <v>2088</v>
      </c>
      <c r="AM14" t="s">
        <v>2089</v>
      </c>
      <c r="AN14" t="s">
        <v>7</v>
      </c>
      <c r="AO14" t="s">
        <v>2090</v>
      </c>
      <c r="AP14" t="s">
        <v>1519</v>
      </c>
      <c r="AQ14" t="s">
        <v>2091</v>
      </c>
      <c r="AR14" t="s">
        <v>2092</v>
      </c>
      <c r="AS14" t="s">
        <v>7</v>
      </c>
      <c r="AT14" t="s">
        <v>1894</v>
      </c>
      <c r="AU14" t="s">
        <v>2093</v>
      </c>
      <c r="AV14" t="s">
        <v>2094</v>
      </c>
      <c r="AW14" t="s">
        <v>292</v>
      </c>
      <c r="AX14" t="s">
        <v>219</v>
      </c>
      <c r="AY14" t="s">
        <v>1863</v>
      </c>
      <c r="AZ14" t="s">
        <v>53</v>
      </c>
      <c r="BA14" t="s">
        <v>2095</v>
      </c>
      <c r="BB14" t="s">
        <v>2096</v>
      </c>
      <c r="BC14" t="s">
        <v>2097</v>
      </c>
      <c r="BD14" t="s">
        <v>2098</v>
      </c>
      <c r="BE14" t="s">
        <v>2099</v>
      </c>
      <c r="BF14" t="s">
        <v>2100</v>
      </c>
      <c r="BG14" t="s">
        <v>2101</v>
      </c>
      <c r="BH14" t="s">
        <v>2102</v>
      </c>
      <c r="BI14" t="s">
        <v>117</v>
      </c>
      <c r="BJ14" t="s">
        <v>2069</v>
      </c>
      <c r="BK14" t="s">
        <v>75</v>
      </c>
      <c r="BL14" t="s">
        <v>2103</v>
      </c>
      <c r="BM14" t="s">
        <v>2104</v>
      </c>
      <c r="BN14" t="s">
        <v>2105</v>
      </c>
      <c r="BO14">
        <v>14.16</v>
      </c>
      <c r="BP14">
        <v>8.17</v>
      </c>
      <c r="BQ14">
        <v>-9.26</v>
      </c>
      <c r="BR14">
        <v>17.690000000000001</v>
      </c>
      <c r="BS14">
        <v>10.07</v>
      </c>
      <c r="BT14" t="s">
        <v>7</v>
      </c>
      <c r="BU14" t="s">
        <v>2106</v>
      </c>
      <c r="BV14" t="s">
        <v>1445</v>
      </c>
      <c r="BW14">
        <v>92.5</v>
      </c>
      <c r="BX14">
        <v>95.14</v>
      </c>
      <c r="BY14">
        <v>91.5</v>
      </c>
      <c r="BZ14">
        <v>13.34</v>
      </c>
      <c r="CA14">
        <v>11.29</v>
      </c>
      <c r="CB14">
        <v>-17.329999999999998</v>
      </c>
      <c r="CC14">
        <v>-9.4600000000000009</v>
      </c>
      <c r="CD14">
        <v>37.35</v>
      </c>
      <c r="CE14" t="s">
        <v>2107</v>
      </c>
      <c r="CF14" t="s">
        <v>862</v>
      </c>
      <c r="CG14" s="23">
        <v>0.18772387931034482</v>
      </c>
      <c r="CH14" s="24">
        <v>-1.1852379320986781</v>
      </c>
      <c r="CI14" s="23">
        <v>0.52187502384185791</v>
      </c>
      <c r="CJ14" s="23">
        <v>0.78770947456359863</v>
      </c>
      <c r="CK14" s="23">
        <v>1.3449208736419678</v>
      </c>
      <c r="CL14" s="23">
        <v>4.2310895919799805</v>
      </c>
      <c r="CM14" s="23">
        <v>89.46868896484375</v>
      </c>
      <c r="CN14" s="24">
        <v>1.9891891479492187</v>
      </c>
      <c r="CO14" s="24">
        <v>2.1639659404754639</v>
      </c>
      <c r="CP14" s="24">
        <v>-0.63312268257141113</v>
      </c>
      <c r="CQ14" s="24">
        <v>0.30224046111106873</v>
      </c>
      <c r="CR14" s="24">
        <v>0.50946235656738281</v>
      </c>
      <c r="CS14">
        <v>15.852768583162218</v>
      </c>
      <c r="CT14">
        <v>5.6873444299013649E-2</v>
      </c>
      <c r="CU14">
        <v>0</v>
      </c>
      <c r="CV14" s="23">
        <v>19.270856785774232</v>
      </c>
      <c r="CW14" s="24">
        <v>0.8663470447063446</v>
      </c>
      <c r="CX14">
        <v>0.06</v>
      </c>
      <c r="CY14">
        <v>3.5390417878679075</v>
      </c>
      <c r="CZ14">
        <v>2065332578.1732235</v>
      </c>
      <c r="DA14">
        <v>19.270856785774232</v>
      </c>
      <c r="DB14">
        <v>1.0586512408352183E-2</v>
      </c>
      <c r="DC14">
        <v>690434962720.4292</v>
      </c>
      <c r="DD14">
        <v>18.307313946485518</v>
      </c>
      <c r="DE14">
        <v>2.6931829163411444E-6</v>
      </c>
      <c r="DF14">
        <v>2713999949892053.5</v>
      </c>
      <c r="DG14">
        <v>16.958353971481323</v>
      </c>
      <c r="DH14">
        <v>7.9738457568884686E-11</v>
      </c>
      <c r="DI14">
        <v>9.1665910312920498E+19</v>
      </c>
      <c r="DJ14">
        <v>15.416685428619386</v>
      </c>
      <c r="DK14">
        <v>1.2090607873709813E-21</v>
      </c>
      <c r="DL14">
        <v>6.0454349163813025E+30</v>
      </c>
      <c r="DM14">
        <v>13.489599750041961</v>
      </c>
      <c r="DN14">
        <v>108000000</v>
      </c>
      <c r="DO14">
        <v>19.270856785774232</v>
      </c>
      <c r="DP14">
        <v>7309298300</v>
      </c>
      <c r="DQ14">
        <v>447947100</v>
      </c>
      <c r="DR14">
        <v>4712</v>
      </c>
      <c r="DS14">
        <v>-19.083132906463888</v>
      </c>
      <c r="DT14">
        <v>-2.0515849768050227</v>
      </c>
      <c r="DU14" s="25">
        <v>2.0573333333333337</v>
      </c>
      <c r="DV14">
        <v>-1.0900000000000001</v>
      </c>
      <c r="DW14">
        <v>0.9673333333333336</v>
      </c>
      <c r="DX14">
        <v>-7.202093569750053</v>
      </c>
      <c r="DY14">
        <v>0.28933412698412619</v>
      </c>
      <c r="DZ14">
        <v>-7.028158531110229</v>
      </c>
      <c r="EA14">
        <v>1716</v>
      </c>
      <c r="EB14">
        <v>-7.0183830831261806</v>
      </c>
      <c r="EC14">
        <v>7</v>
      </c>
      <c r="ED14">
        <v>4.332004984392928E-2</v>
      </c>
      <c r="EE14">
        <v>0.31090767769237415</v>
      </c>
      <c r="EF14" s="22">
        <v>3.3910000000000017E-2</v>
      </c>
      <c r="EG14">
        <v>3.3825000000000001E-2</v>
      </c>
      <c r="EH14">
        <v>15.139334126984126</v>
      </c>
      <c r="EI14">
        <v>-1</v>
      </c>
      <c r="EJ14">
        <v>0</v>
      </c>
      <c r="EK14">
        <v>0</v>
      </c>
      <c r="EL14" s="31">
        <v>44977</v>
      </c>
      <c r="EM14" s="32">
        <v>-3.1399999999999997E-2</v>
      </c>
      <c r="EN14" s="32">
        <v>-9.2999999999999992E-3</v>
      </c>
      <c r="EO14" s="32">
        <v>-1.29</v>
      </c>
      <c r="EP14" s="32">
        <v>-5.22</v>
      </c>
      <c r="EQ14" s="32">
        <v>8.5000000000000006E-3</v>
      </c>
    </row>
    <row r="15" spans="1:147" ht="90">
      <c r="B15" s="4"/>
      <c r="C15" s="4"/>
      <c r="D15" s="4" t="s">
        <v>2139</v>
      </c>
      <c r="E15" t="s">
        <v>1977</v>
      </c>
      <c r="F15" t="s">
        <v>1978</v>
      </c>
      <c r="G15">
        <v>49.82</v>
      </c>
      <c r="H15">
        <v>4.99E-2</v>
      </c>
      <c r="I15" t="s">
        <v>1979</v>
      </c>
      <c r="J15">
        <v>4384160000</v>
      </c>
      <c r="K15">
        <v>115.4</v>
      </c>
      <c r="L15">
        <v>2.98</v>
      </c>
      <c r="M15" t="s">
        <v>8</v>
      </c>
      <c r="N15" t="s">
        <v>233</v>
      </c>
      <c r="O15" t="s">
        <v>2108</v>
      </c>
      <c r="P15" t="s">
        <v>2109</v>
      </c>
      <c r="Q15">
        <v>-36.83</v>
      </c>
      <c r="R15" t="s">
        <v>1685</v>
      </c>
      <c r="S15">
        <v>41000000</v>
      </c>
      <c r="T15" s="5">
        <v>-0.44429999999999997</v>
      </c>
      <c r="U15" t="s">
        <v>2110</v>
      </c>
      <c r="V15">
        <v>26544400</v>
      </c>
      <c r="W15">
        <v>88000000</v>
      </c>
      <c r="X15">
        <v>1.24</v>
      </c>
      <c r="Y15">
        <v>0.12</v>
      </c>
      <c r="Z15">
        <v>25.24</v>
      </c>
      <c r="AA15" t="s">
        <v>2111</v>
      </c>
      <c r="AB15" t="s">
        <v>2112</v>
      </c>
      <c r="AC15" t="s">
        <v>2113</v>
      </c>
      <c r="AD15" t="s">
        <v>2114</v>
      </c>
      <c r="AE15" t="s">
        <v>2115</v>
      </c>
      <c r="AF15">
        <v>-506688</v>
      </c>
      <c r="AG15" t="s">
        <v>2116</v>
      </c>
      <c r="AH15" t="s">
        <v>2117</v>
      </c>
      <c r="AI15" t="s">
        <v>2118</v>
      </c>
      <c r="AJ15" t="s">
        <v>292</v>
      </c>
      <c r="AK15" t="s">
        <v>2119</v>
      </c>
      <c r="AL15" t="s">
        <v>7</v>
      </c>
      <c r="AM15" t="s">
        <v>2120</v>
      </c>
      <c r="AN15" t="s">
        <v>7</v>
      </c>
      <c r="AO15" t="s">
        <v>2121</v>
      </c>
      <c r="AP15" t="s">
        <v>2122</v>
      </c>
      <c r="AQ15" t="s">
        <v>7</v>
      </c>
      <c r="AR15" t="s">
        <v>219</v>
      </c>
      <c r="AS15" t="s">
        <v>7</v>
      </c>
      <c r="AT15" t="s">
        <v>1453</v>
      </c>
      <c r="AU15" t="s">
        <v>7</v>
      </c>
      <c r="AV15" t="s">
        <v>2123</v>
      </c>
      <c r="AW15" t="s">
        <v>2124</v>
      </c>
      <c r="AX15" t="s">
        <v>2125</v>
      </c>
      <c r="AY15" t="s">
        <v>2126</v>
      </c>
      <c r="AZ15" t="s">
        <v>2127</v>
      </c>
      <c r="BA15" t="s">
        <v>7</v>
      </c>
      <c r="BB15">
        <v>0</v>
      </c>
      <c r="BC15" t="s">
        <v>7</v>
      </c>
      <c r="BD15" t="s">
        <v>304</v>
      </c>
      <c r="BE15" t="s">
        <v>2128</v>
      </c>
      <c r="BF15" t="s">
        <v>2129</v>
      </c>
      <c r="BG15" t="s">
        <v>2130</v>
      </c>
      <c r="BH15" t="s">
        <v>7</v>
      </c>
      <c r="BI15" t="s">
        <v>2131</v>
      </c>
      <c r="BJ15" t="s">
        <v>2132</v>
      </c>
      <c r="BK15" t="s">
        <v>2133</v>
      </c>
      <c r="BL15" t="s">
        <v>2134</v>
      </c>
      <c r="BM15" t="s">
        <v>102</v>
      </c>
      <c r="BN15" t="s">
        <v>2135</v>
      </c>
      <c r="BO15">
        <v>7.7</v>
      </c>
      <c r="BP15">
        <v>67.75</v>
      </c>
      <c r="BQ15">
        <v>38.29</v>
      </c>
      <c r="BR15">
        <v>10.89</v>
      </c>
      <c r="BS15">
        <v>209.12</v>
      </c>
      <c r="BT15" t="s">
        <v>7</v>
      </c>
      <c r="BU15" t="s">
        <v>2136</v>
      </c>
      <c r="BV15" t="s">
        <v>1445</v>
      </c>
      <c r="BW15">
        <v>88.93</v>
      </c>
      <c r="BX15">
        <v>87.49</v>
      </c>
      <c r="BY15">
        <v>84.37</v>
      </c>
      <c r="BZ15">
        <v>-105.26</v>
      </c>
      <c r="CA15">
        <v>26.31</v>
      </c>
      <c r="CB15">
        <v>-28.35</v>
      </c>
      <c r="CC15">
        <v>2.09</v>
      </c>
      <c r="CD15">
        <v>15.89</v>
      </c>
      <c r="CE15" t="s">
        <v>2137</v>
      </c>
      <c r="CF15" t="s">
        <v>2138</v>
      </c>
      <c r="CG15" s="23">
        <v>-0.35638644038701722</v>
      </c>
      <c r="CH15" s="24">
        <v>-0.52752968044306359</v>
      </c>
      <c r="CI15" s="23">
        <v>-0.33446520566940308</v>
      </c>
      <c r="CJ15" s="23">
        <v>7.771237850189209</v>
      </c>
      <c r="CK15" s="23" t="s">
        <v>7</v>
      </c>
      <c r="CL15" s="23" t="s">
        <v>7</v>
      </c>
      <c r="CM15" s="23" t="s">
        <v>7</v>
      </c>
      <c r="CN15" s="24">
        <v>-0.46799871325492859</v>
      </c>
      <c r="CO15" s="24">
        <v>9.1417398452758789</v>
      </c>
      <c r="CP15" s="24">
        <v>0.32040008902549744</v>
      </c>
      <c r="CQ15" s="24">
        <v>0.1423230916261673</v>
      </c>
      <c r="CR15" s="24" t="s">
        <v>7</v>
      </c>
      <c r="CS15">
        <v>11.184081632653061</v>
      </c>
      <c r="CT15">
        <v>0.31034967859354645</v>
      </c>
      <c r="CU15">
        <v>1.0036130068245683</v>
      </c>
      <c r="CV15" s="23">
        <v>3.718386322259903</v>
      </c>
      <c r="CW15" s="24">
        <v>2.2841160781681538</v>
      </c>
      <c r="CX15">
        <v>0.06</v>
      </c>
      <c r="CY15">
        <v>8.9037159275806879</v>
      </c>
      <c r="CZ15">
        <v>367055735.6705811</v>
      </c>
      <c r="DA15">
        <v>3.718386322259903</v>
      </c>
      <c r="DB15">
        <v>0.39342962345400245</v>
      </c>
      <c r="DC15">
        <v>8306847794.8054018</v>
      </c>
      <c r="DD15">
        <v>3.5324670061469075</v>
      </c>
      <c r="DE15">
        <v>6.9542220378730002E-3</v>
      </c>
      <c r="DF15">
        <v>469953358147.24585</v>
      </c>
      <c r="DG15">
        <v>3.2721799635887145</v>
      </c>
      <c r="DH15">
        <v>5.2887713353940246E-5</v>
      </c>
      <c r="DI15">
        <v>61794314647874.922</v>
      </c>
      <c r="DJ15">
        <v>2.9747090578079227</v>
      </c>
      <c r="DK15">
        <v>6.6050932358703274E-10</v>
      </c>
      <c r="DL15">
        <v>4.9479392391489341E+18</v>
      </c>
      <c r="DM15">
        <v>2.6028704255819317</v>
      </c>
      <c r="DN15">
        <v>82460200</v>
      </c>
      <c r="DO15">
        <v>3.718386322259903</v>
      </c>
      <c r="DP15">
        <v>3268160000</v>
      </c>
      <c r="DQ15">
        <v>662544400</v>
      </c>
      <c r="DR15">
        <v>4897</v>
      </c>
      <c r="DS15">
        <v>-4.0747727626469201</v>
      </c>
      <c r="DT15">
        <v>-2.8116457586112173</v>
      </c>
      <c r="DU15" s="25">
        <v>-0.10666666666666684</v>
      </c>
      <c r="DV15">
        <v>-0.90400000000000014</v>
      </c>
      <c r="DW15">
        <v>-1.010666666666667</v>
      </c>
      <c r="DX15">
        <v>2.1589</v>
      </c>
      <c r="DY15">
        <v>0.63099944422988474</v>
      </c>
      <c r="DZ15">
        <v>2.0160488116881283</v>
      </c>
      <c r="EA15">
        <v>4142</v>
      </c>
      <c r="EB15">
        <v>2.0026006672389625</v>
      </c>
      <c r="EC15">
        <v>2</v>
      </c>
      <c r="ED15">
        <v>2.4368181818181817E-2</v>
      </c>
      <c r="EE15">
        <v>0.24127045454545454</v>
      </c>
      <c r="EF15" s="22">
        <v>0.10041</v>
      </c>
      <c r="EG15">
        <v>9.9911E-2</v>
      </c>
      <c r="EH15">
        <v>53.100999444229885</v>
      </c>
      <c r="EI15">
        <v>-1</v>
      </c>
      <c r="EJ15">
        <v>1</v>
      </c>
      <c r="EK15">
        <v>0</v>
      </c>
      <c r="EL15" s="31">
        <v>44977</v>
      </c>
      <c r="EM15" s="32">
        <v>1.29E-2</v>
      </c>
      <c r="EN15" s="32">
        <v>-2.7699999999999999E-2</v>
      </c>
      <c r="EO15" s="32">
        <v>-2.46</v>
      </c>
      <c r="EP15" s="32">
        <v>1.22</v>
      </c>
      <c r="EQ15" s="32">
        <v>4.99E-2</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6625" r:id="rId5" name="Button 1">
              <controlPr defaultSize="0" print="0" autoFill="0" autoPict="0" macro="[0]!'Industry_copy_call_buttom [c2],[d2]'">
                <anchor moveWithCells="1" sizeWithCells="1">
                  <from>
                    <xdr:col>1</xdr:col>
                    <xdr:colOff>252413</xdr:colOff>
                    <xdr:row>1</xdr:row>
                    <xdr:rowOff>138113</xdr:rowOff>
                  </from>
                  <to>
                    <xdr:col>1</xdr:col>
                    <xdr:colOff>1195388</xdr:colOff>
                    <xdr:row>1</xdr:row>
                    <xdr:rowOff>481013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8"/>
  <sheetViews>
    <sheetView workbookViewId="0">
      <selection sqref="A1:XFD1048576"/>
    </sheetView>
  </sheetViews>
  <sheetFormatPr defaultRowHeight="13.5"/>
  <cols>
    <col min="1" max="1" width="16.796875" style="29" customWidth="1"/>
    <col min="2" max="2" width="35.06640625" customWidth="1"/>
    <col min="3" max="3" width="34.06640625" customWidth="1"/>
    <col min="4" max="4" width="47.59765625" customWidth="1"/>
    <col min="5" max="5" width="17.19921875" customWidth="1"/>
    <col min="6" max="6" width="16.796875" customWidth="1"/>
  </cols>
  <sheetData>
    <row r="1" spans="1:147" s="17" customFormat="1">
      <c r="A1" s="18" t="s">
        <v>408</v>
      </c>
      <c r="B1" s="20" t="s">
        <v>35</v>
      </c>
      <c r="C1" s="21" t="s">
        <v>624</v>
      </c>
      <c r="D1" s="20" t="s">
        <v>537</v>
      </c>
      <c r="E1" t="s">
        <v>2</v>
      </c>
      <c r="F1" t="s">
        <v>3</v>
      </c>
      <c r="G1" t="s">
        <v>0</v>
      </c>
      <c r="H1" t="s">
        <v>592</v>
      </c>
      <c r="I1" t="s">
        <v>626</v>
      </c>
      <c r="J1" t="s">
        <v>4</v>
      </c>
      <c r="K1" t="s">
        <v>5</v>
      </c>
      <c r="L1" t="s">
        <v>1</v>
      </c>
      <c r="M1" t="s">
        <v>6</v>
      </c>
      <c r="N1" t="s">
        <v>36</v>
      </c>
      <c r="O1" t="s">
        <v>37</v>
      </c>
      <c r="P1" t="s">
        <v>38</v>
      </c>
      <c r="Q1" t="s">
        <v>627</v>
      </c>
      <c r="R1" t="s">
        <v>593</v>
      </c>
      <c r="S1" t="s">
        <v>628</v>
      </c>
      <c r="T1" t="s">
        <v>39</v>
      </c>
      <c r="U1" t="s">
        <v>594</v>
      </c>
      <c r="V1" t="s">
        <v>595</v>
      </c>
      <c r="W1" t="s">
        <v>40</v>
      </c>
      <c r="X1" t="s">
        <v>538</v>
      </c>
      <c r="Y1" t="s">
        <v>539</v>
      </c>
      <c r="Z1" t="s">
        <v>540</v>
      </c>
      <c r="AA1" t="s">
        <v>541</v>
      </c>
      <c r="AB1" t="s">
        <v>542</v>
      </c>
      <c r="AC1" t="s">
        <v>596</v>
      </c>
      <c r="AD1" t="s">
        <v>543</v>
      </c>
      <c r="AE1" t="s">
        <v>629</v>
      </c>
      <c r="AF1" t="s">
        <v>41</v>
      </c>
      <c r="AG1" t="s">
        <v>42</v>
      </c>
      <c r="AH1" t="s">
        <v>597</v>
      </c>
      <c r="AI1" t="s">
        <v>630</v>
      </c>
      <c r="AJ1" t="s">
        <v>598</v>
      </c>
      <c r="AK1" t="s">
        <v>43</v>
      </c>
      <c r="AL1" t="s">
        <v>599</v>
      </c>
      <c r="AM1" t="s">
        <v>409</v>
      </c>
      <c r="AN1" t="s">
        <v>600</v>
      </c>
      <c r="AO1" t="s">
        <v>601</v>
      </c>
      <c r="AP1" t="s">
        <v>602</v>
      </c>
      <c r="AQ1" t="s">
        <v>603</v>
      </c>
      <c r="AR1" t="s">
        <v>604</v>
      </c>
      <c r="AS1" t="s">
        <v>605</v>
      </c>
      <c r="AT1" t="s">
        <v>606</v>
      </c>
      <c r="AU1" t="s">
        <v>607</v>
      </c>
      <c r="AV1" t="s">
        <v>608</v>
      </c>
      <c r="AW1" t="s">
        <v>609</v>
      </c>
      <c r="AX1" t="s">
        <v>610</v>
      </c>
      <c r="AY1" t="s">
        <v>631</v>
      </c>
      <c r="AZ1" t="s">
        <v>410</v>
      </c>
      <c r="BA1" t="s">
        <v>411</v>
      </c>
      <c r="BB1" t="s">
        <v>412</v>
      </c>
      <c r="BC1" t="s">
        <v>413</v>
      </c>
      <c r="BD1" t="s">
        <v>419</v>
      </c>
      <c r="BE1" t="s">
        <v>414</v>
      </c>
      <c r="BF1" t="s">
        <v>415</v>
      </c>
      <c r="BG1" t="s">
        <v>416</v>
      </c>
      <c r="BH1" t="s">
        <v>417</v>
      </c>
      <c r="BI1" t="s">
        <v>632</v>
      </c>
      <c r="BJ1" t="s">
        <v>611</v>
      </c>
      <c r="BK1" t="s">
        <v>418</v>
      </c>
      <c r="BL1" t="s">
        <v>612</v>
      </c>
      <c r="BM1" t="s">
        <v>613</v>
      </c>
      <c r="BN1" t="s">
        <v>614</v>
      </c>
      <c r="BO1" t="s">
        <v>615</v>
      </c>
      <c r="BP1" t="s">
        <v>420</v>
      </c>
      <c r="BQ1" t="s">
        <v>421</v>
      </c>
      <c r="BR1" t="s">
        <v>422</v>
      </c>
      <c r="BS1" t="s">
        <v>616</v>
      </c>
      <c r="BT1" t="s">
        <v>423</v>
      </c>
      <c r="BU1" t="s">
        <v>424</v>
      </c>
      <c r="BV1" t="s">
        <v>425</v>
      </c>
      <c r="BW1" t="s">
        <v>617</v>
      </c>
      <c r="BX1" t="s">
        <v>426</v>
      </c>
      <c r="BY1" t="s">
        <v>427</v>
      </c>
      <c r="BZ1" t="s">
        <v>618</v>
      </c>
      <c r="CA1" t="s">
        <v>428</v>
      </c>
      <c r="CB1" t="s">
        <v>429</v>
      </c>
      <c r="CC1" t="s">
        <v>633</v>
      </c>
      <c r="CD1" t="s">
        <v>634</v>
      </c>
      <c r="CE1" t="s">
        <v>635</v>
      </c>
      <c r="CF1" t="s">
        <v>636</v>
      </c>
      <c r="CG1" s="1" t="s">
        <v>544</v>
      </c>
      <c r="CH1" s="1" t="s">
        <v>545</v>
      </c>
      <c r="CI1" s="1" t="s">
        <v>546</v>
      </c>
      <c r="CJ1" s="1" t="s">
        <v>547</v>
      </c>
      <c r="CK1" s="1" t="s">
        <v>548</v>
      </c>
      <c r="CL1" s="1" t="s">
        <v>549</v>
      </c>
      <c r="CM1" s="1" t="s">
        <v>550</v>
      </c>
      <c r="CN1" s="1" t="s">
        <v>551</v>
      </c>
      <c r="CO1" s="1" t="s">
        <v>552</v>
      </c>
      <c r="CP1" s="1" t="s">
        <v>553</v>
      </c>
      <c r="CQ1" s="1" t="s">
        <v>554</v>
      </c>
      <c r="CR1" s="1" t="s">
        <v>555</v>
      </c>
      <c r="CS1" s="1" t="s">
        <v>637</v>
      </c>
      <c r="CT1" s="1" t="s">
        <v>638</v>
      </c>
      <c r="CU1" s="1" t="s">
        <v>639</v>
      </c>
      <c r="CV1" s="1" t="s">
        <v>640</v>
      </c>
      <c r="CW1" s="1" t="s">
        <v>556</v>
      </c>
      <c r="CX1" s="1" t="s">
        <v>389</v>
      </c>
      <c r="CY1">
        <v>1</v>
      </c>
      <c r="CZ1" t="s">
        <v>643</v>
      </c>
      <c r="DA1" t="s">
        <v>644</v>
      </c>
      <c r="DB1">
        <v>3</v>
      </c>
      <c r="DC1" t="s">
        <v>645</v>
      </c>
      <c r="DD1" t="s">
        <v>646</v>
      </c>
      <c r="DE1">
        <v>6</v>
      </c>
      <c r="DF1" t="s">
        <v>647</v>
      </c>
      <c r="DG1" t="s">
        <v>557</v>
      </c>
      <c r="DH1">
        <v>10</v>
      </c>
      <c r="DI1" t="s">
        <v>649</v>
      </c>
      <c r="DJ1" t="s">
        <v>583</v>
      </c>
      <c r="DK1">
        <v>20</v>
      </c>
      <c r="DL1" t="s">
        <v>558</v>
      </c>
      <c r="DM1" t="s">
        <v>559</v>
      </c>
      <c r="DN1" t="s">
        <v>560</v>
      </c>
      <c r="DO1" s="2" t="s">
        <v>561</v>
      </c>
      <c r="DP1" t="s">
        <v>652</v>
      </c>
      <c r="DQ1" t="s">
        <v>653</v>
      </c>
      <c r="DR1" s="1" t="s">
        <v>654</v>
      </c>
      <c r="DS1" s="1" t="s">
        <v>655</v>
      </c>
      <c r="DT1" s="1" t="s">
        <v>656</v>
      </c>
      <c r="DU1" t="s">
        <v>657</v>
      </c>
      <c r="DV1" t="s">
        <v>658</v>
      </c>
      <c r="DW1" t="s">
        <v>659</v>
      </c>
      <c r="DX1" t="s">
        <v>660</v>
      </c>
      <c r="DY1" t="s">
        <v>661</v>
      </c>
      <c r="DZ1" t="s">
        <v>662</v>
      </c>
      <c r="EA1" t="s">
        <v>562</v>
      </c>
      <c r="EB1" t="s">
        <v>664</v>
      </c>
      <c r="EC1" t="s">
        <v>665</v>
      </c>
      <c r="ED1" t="s">
        <v>666</v>
      </c>
      <c r="EE1" t="s">
        <v>667</v>
      </c>
      <c r="EF1" t="s">
        <v>668</v>
      </c>
      <c r="EG1" t="s">
        <v>669</v>
      </c>
      <c r="EH1" t="s">
        <v>670</v>
      </c>
      <c r="EI1" t="s">
        <v>671</v>
      </c>
      <c r="EJ1" t="s">
        <v>672</v>
      </c>
      <c r="EK1"/>
    </row>
    <row r="2" spans="1:147" s="17" customFormat="1" ht="50.55" customHeight="1">
      <c r="A2" s="18"/>
      <c r="B2" s="27"/>
      <c r="C2" s="27">
        <v>3</v>
      </c>
      <c r="D2" s="27">
        <v>8</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91.25">
      <c r="B3" s="4"/>
      <c r="C3" s="4" t="s">
        <v>1746</v>
      </c>
      <c r="D3" s="4" t="s">
        <v>1747</v>
      </c>
      <c r="E3" t="s">
        <v>24</v>
      </c>
      <c r="F3" t="s">
        <v>25</v>
      </c>
      <c r="G3">
        <v>43.34</v>
      </c>
      <c r="H3">
        <v>-1.5</v>
      </c>
      <c r="I3" t="s">
        <v>1568</v>
      </c>
      <c r="J3">
        <v>69571673000</v>
      </c>
      <c r="K3">
        <v>117</v>
      </c>
      <c r="L3">
        <v>7.82</v>
      </c>
      <c r="M3" t="s">
        <v>8</v>
      </c>
      <c r="N3" t="s">
        <v>1582</v>
      </c>
      <c r="O3" t="s">
        <v>1583</v>
      </c>
      <c r="P3" t="s">
        <v>1584</v>
      </c>
      <c r="Q3">
        <v>74.06</v>
      </c>
      <c r="R3" t="s">
        <v>676</v>
      </c>
      <c r="S3">
        <v>531393330</v>
      </c>
      <c r="T3" s="5">
        <v>0.45839999999999997</v>
      </c>
      <c r="U3" t="s">
        <v>111</v>
      </c>
      <c r="V3">
        <v>1557998700</v>
      </c>
      <c r="W3">
        <v>1605253200</v>
      </c>
      <c r="X3">
        <v>1.38</v>
      </c>
      <c r="Y3">
        <v>0.26</v>
      </c>
      <c r="Z3">
        <v>18.579999999999998</v>
      </c>
      <c r="AA3" t="s">
        <v>1585</v>
      </c>
      <c r="AB3" t="s">
        <v>569</v>
      </c>
      <c r="AC3" t="s">
        <v>1586</v>
      </c>
      <c r="AD3" t="s">
        <v>137</v>
      </c>
      <c r="AE3" t="s">
        <v>322</v>
      </c>
      <c r="AF3">
        <v>-53779931</v>
      </c>
      <c r="AG3" t="s">
        <v>1587</v>
      </c>
      <c r="AH3" t="s">
        <v>1588</v>
      </c>
      <c r="AI3" t="s">
        <v>1589</v>
      </c>
      <c r="AJ3" t="s">
        <v>1590</v>
      </c>
      <c r="AK3" t="s">
        <v>1591</v>
      </c>
      <c r="AL3" t="s">
        <v>7</v>
      </c>
      <c r="AM3" t="s">
        <v>1592</v>
      </c>
      <c r="AN3" t="s">
        <v>7</v>
      </c>
      <c r="AO3" t="s">
        <v>1586</v>
      </c>
      <c r="AP3" t="s">
        <v>568</v>
      </c>
      <c r="AQ3" t="s">
        <v>1593</v>
      </c>
      <c r="AR3" t="s">
        <v>1594</v>
      </c>
      <c r="AS3" t="s">
        <v>7</v>
      </c>
      <c r="AT3" t="s">
        <v>1595</v>
      </c>
      <c r="AU3" t="s">
        <v>1525</v>
      </c>
      <c r="AV3" t="s">
        <v>695</v>
      </c>
      <c r="AW3" t="s">
        <v>1596</v>
      </c>
      <c r="AX3" t="s">
        <v>1597</v>
      </c>
      <c r="AY3" t="s">
        <v>690</v>
      </c>
      <c r="AZ3" t="s">
        <v>181</v>
      </c>
      <c r="BA3" t="s">
        <v>462</v>
      </c>
      <c r="BB3" t="s">
        <v>263</v>
      </c>
      <c r="BC3" t="s">
        <v>148</v>
      </c>
      <c r="BD3" t="s">
        <v>372</v>
      </c>
      <c r="BE3" t="s">
        <v>123</v>
      </c>
      <c r="BF3" t="s">
        <v>463</v>
      </c>
      <c r="BG3" t="s">
        <v>691</v>
      </c>
      <c r="BH3" t="s">
        <v>692</v>
      </c>
      <c r="BI3" t="s">
        <v>1598</v>
      </c>
      <c r="BJ3" t="s">
        <v>1599</v>
      </c>
      <c r="BK3" t="s">
        <v>1460</v>
      </c>
      <c r="BL3" t="s">
        <v>176</v>
      </c>
      <c r="BM3" t="s">
        <v>360</v>
      </c>
      <c r="BN3" t="s">
        <v>1151</v>
      </c>
      <c r="BO3">
        <v>5.73</v>
      </c>
      <c r="BP3">
        <v>0.42</v>
      </c>
      <c r="BQ3">
        <v>14.79</v>
      </c>
      <c r="BR3">
        <v>2.99</v>
      </c>
      <c r="BS3">
        <v>0.45</v>
      </c>
      <c r="BT3">
        <v>18.12</v>
      </c>
      <c r="BU3">
        <v>3.01</v>
      </c>
      <c r="BV3" t="s">
        <v>1445</v>
      </c>
      <c r="BW3">
        <v>87.53</v>
      </c>
      <c r="BX3">
        <v>86.4</v>
      </c>
      <c r="BY3">
        <v>79.75</v>
      </c>
      <c r="BZ3">
        <v>21.38</v>
      </c>
      <c r="CA3">
        <v>41.21</v>
      </c>
      <c r="CB3">
        <v>17.309999999999999</v>
      </c>
      <c r="CC3">
        <v>-7.89</v>
      </c>
      <c r="CD3">
        <v>8.35</v>
      </c>
      <c r="CE3" t="s">
        <v>94</v>
      </c>
      <c r="CF3" t="s">
        <v>775</v>
      </c>
      <c r="CG3" s="23">
        <v>0.74359204107830557</v>
      </c>
      <c r="CH3" s="24">
        <v>1.4531851111111111</v>
      </c>
      <c r="CI3" s="23">
        <v>0.1782919317483902</v>
      </c>
      <c r="CJ3" s="23">
        <v>1.6217664480209351</v>
      </c>
      <c r="CK3" s="23">
        <v>0.27531278133392334</v>
      </c>
      <c r="CL3" s="23">
        <v>0.31586825847625732</v>
      </c>
      <c r="CM3" s="23">
        <v>0.13028764724731445</v>
      </c>
      <c r="CN3" s="24">
        <v>-0.57328015565872192</v>
      </c>
      <c r="CO3" s="24">
        <v>6.063380241394043</v>
      </c>
      <c r="CP3" s="24">
        <v>-0.86424475908279419</v>
      </c>
      <c r="CQ3" s="24">
        <v>2.9478585720062256</v>
      </c>
      <c r="CR3" s="24">
        <v>-8.621485710144043</v>
      </c>
      <c r="CS3">
        <v>20.090000866300894</v>
      </c>
      <c r="CT3">
        <v>158271315.42056075</v>
      </c>
      <c r="CU3">
        <v>6.6665039999999998</v>
      </c>
      <c r="CV3" s="23">
        <v>0.50430541336536405</v>
      </c>
      <c r="CW3" s="24">
        <v>-0.20955436229705809</v>
      </c>
      <c r="CX3">
        <v>0.06</v>
      </c>
      <c r="CY3">
        <v>103.55251620908724</v>
      </c>
      <c r="CZ3">
        <v>607398789.54752445</v>
      </c>
      <c r="DA3">
        <v>0.50430541336536405</v>
      </c>
      <c r="DB3">
        <v>24.253264194889155</v>
      </c>
      <c r="DC3">
        <v>2593369391.2118564</v>
      </c>
      <c r="DD3">
        <v>0.47909014269709582</v>
      </c>
      <c r="DE3">
        <v>7.2537577342272668</v>
      </c>
      <c r="DF3">
        <v>8671046829.0405903</v>
      </c>
      <c r="DG3">
        <v>0.44378876376152038</v>
      </c>
      <c r="DH3">
        <v>2.3121723215048031</v>
      </c>
      <c r="DI3">
        <v>27202848340.933807</v>
      </c>
      <c r="DJ3">
        <v>0.40344433069229124</v>
      </c>
      <c r="DK3">
        <v>0.24330838267425489</v>
      </c>
      <c r="DL3">
        <v>258510094509.19083</v>
      </c>
      <c r="DM3">
        <v>0.35301378935575484</v>
      </c>
      <c r="DN3">
        <v>428000000</v>
      </c>
      <c r="DO3">
        <v>0.50430541336536405</v>
      </c>
      <c r="DP3">
        <v>62897673000</v>
      </c>
      <c r="DQ3">
        <v>5166487100</v>
      </c>
      <c r="DR3">
        <v>1639</v>
      </c>
      <c r="DS3">
        <v>0.23928662771294151</v>
      </c>
      <c r="DT3">
        <v>1.6627394734081693</v>
      </c>
      <c r="DU3" s="25">
        <v>1.1566666666666665</v>
      </c>
      <c r="DV3">
        <v>0.12833333333333327</v>
      </c>
      <c r="DW3">
        <v>1.2849999999999997</v>
      </c>
      <c r="DX3">
        <v>-7.485837438423645</v>
      </c>
      <c r="DY3">
        <v>0.29156670746634028</v>
      </c>
      <c r="DZ3">
        <v>-7.0784951552899891</v>
      </c>
      <c r="EA3">
        <v>1081</v>
      </c>
      <c r="EB3">
        <v>-7.0611462976190671</v>
      </c>
      <c r="EC3">
        <v>7</v>
      </c>
      <c r="ED3">
        <v>8.2230018292441337E-2</v>
      </c>
      <c r="EE3">
        <v>0.50895397685548927</v>
      </c>
      <c r="EF3" s="22">
        <v>-1.0168109999999999</v>
      </c>
      <c r="EG3">
        <v>-1.0318099999999999</v>
      </c>
      <c r="EH3">
        <v>13.16156670746634</v>
      </c>
      <c r="EI3" t="s">
        <v>710</v>
      </c>
      <c r="EJ3">
        <v>0</v>
      </c>
      <c r="EK3">
        <v>1</v>
      </c>
      <c r="EL3" s="31">
        <v>44890</v>
      </c>
      <c r="EM3" s="32">
        <v>-2.47E-2</v>
      </c>
      <c r="EN3" s="32">
        <v>-4.2900000000000001E-2</v>
      </c>
      <c r="EO3" s="32">
        <v>-1.89E-2</v>
      </c>
      <c r="EP3" s="32">
        <v>2.1100000000000001E-2</v>
      </c>
      <c r="EQ3" s="32">
        <v>-1.5</v>
      </c>
    </row>
    <row r="4" spans="1:147" ht="101.25">
      <c r="B4" s="4" t="s">
        <v>1748</v>
      </c>
      <c r="C4" s="4" t="s">
        <v>713</v>
      </c>
      <c r="D4" s="28" t="s">
        <v>1470</v>
      </c>
      <c r="E4" t="s">
        <v>189</v>
      </c>
      <c r="F4" t="s">
        <v>681</v>
      </c>
      <c r="G4">
        <v>218.6</v>
      </c>
      <c r="H4">
        <v>3.99</v>
      </c>
      <c r="I4" t="s">
        <v>1569</v>
      </c>
      <c r="J4">
        <v>54092548000</v>
      </c>
      <c r="K4">
        <v>509.9</v>
      </c>
      <c r="L4">
        <v>7.5</v>
      </c>
      <c r="M4" t="s">
        <v>8</v>
      </c>
      <c r="N4" t="s">
        <v>1600</v>
      </c>
      <c r="O4" t="s">
        <v>1601</v>
      </c>
      <c r="P4" t="s">
        <v>1602</v>
      </c>
      <c r="Q4">
        <v>-77.08</v>
      </c>
      <c r="R4" t="s">
        <v>682</v>
      </c>
      <c r="S4">
        <v>-474411000</v>
      </c>
      <c r="T4" s="5">
        <v>-1.3560000000000001</v>
      </c>
      <c r="U4" t="s">
        <v>683</v>
      </c>
      <c r="V4">
        <v>67312707</v>
      </c>
      <c r="W4">
        <v>247449900</v>
      </c>
      <c r="X4">
        <v>1.49</v>
      </c>
      <c r="Y4">
        <v>0.06</v>
      </c>
      <c r="Z4">
        <v>-69.08</v>
      </c>
      <c r="AA4" t="s">
        <v>1603</v>
      </c>
      <c r="AB4" t="s">
        <v>1604</v>
      </c>
      <c r="AC4" t="s">
        <v>275</v>
      </c>
      <c r="AD4" t="s">
        <v>1335</v>
      </c>
      <c r="AE4" t="s">
        <v>1466</v>
      </c>
      <c r="AF4">
        <v>-214189000</v>
      </c>
      <c r="AG4" t="s">
        <v>1605</v>
      </c>
      <c r="AH4" t="s">
        <v>1606</v>
      </c>
      <c r="AI4" t="s">
        <v>1607</v>
      </c>
      <c r="AJ4" t="s">
        <v>1608</v>
      </c>
      <c r="AK4" t="s">
        <v>1609</v>
      </c>
      <c r="AL4" t="s">
        <v>7</v>
      </c>
      <c r="AM4" t="s">
        <v>1610</v>
      </c>
      <c r="AN4" t="s">
        <v>7</v>
      </c>
      <c r="AO4" t="s">
        <v>1611</v>
      </c>
      <c r="AP4" t="s">
        <v>1612</v>
      </c>
      <c r="AQ4" t="s">
        <v>1613</v>
      </c>
      <c r="AR4" t="s">
        <v>206</v>
      </c>
      <c r="AS4" t="s">
        <v>7</v>
      </c>
      <c r="AT4" t="s">
        <v>1614</v>
      </c>
      <c r="AU4" t="s">
        <v>1615</v>
      </c>
      <c r="AV4" t="s">
        <v>1616</v>
      </c>
      <c r="AW4" t="s">
        <v>1617</v>
      </c>
      <c r="AX4" t="s">
        <v>1618</v>
      </c>
      <c r="AY4" t="s">
        <v>701</v>
      </c>
      <c r="AZ4" t="s">
        <v>702</v>
      </c>
      <c r="BA4" t="s">
        <v>703</v>
      </c>
      <c r="BB4" t="s">
        <v>704</v>
      </c>
      <c r="BC4" t="s">
        <v>705</v>
      </c>
      <c r="BD4" t="s">
        <v>706</v>
      </c>
      <c r="BE4" t="s">
        <v>190</v>
      </c>
      <c r="BF4" t="s">
        <v>437</v>
      </c>
      <c r="BG4" t="s">
        <v>707</v>
      </c>
      <c r="BH4" t="s">
        <v>708</v>
      </c>
      <c r="BI4" t="s">
        <v>361</v>
      </c>
      <c r="BJ4" t="s">
        <v>1619</v>
      </c>
      <c r="BK4" t="s">
        <v>1468</v>
      </c>
      <c r="BL4" t="s">
        <v>1620</v>
      </c>
      <c r="BM4" t="s">
        <v>1621</v>
      </c>
      <c r="BN4" t="s">
        <v>1469</v>
      </c>
      <c r="BO4">
        <v>-4.91</v>
      </c>
      <c r="BP4">
        <v>1.26</v>
      </c>
      <c r="BQ4">
        <v>-9.3000000000000007</v>
      </c>
      <c r="BR4">
        <v>-14.92</v>
      </c>
      <c r="BS4">
        <v>1.51</v>
      </c>
      <c r="BT4">
        <v>-13.49</v>
      </c>
      <c r="BU4">
        <v>-12.48</v>
      </c>
      <c r="BV4" t="s">
        <v>1445</v>
      </c>
      <c r="BW4">
        <v>65.540000000000006</v>
      </c>
      <c r="BX4">
        <v>42.39</v>
      </c>
      <c r="BY4">
        <v>93.54</v>
      </c>
      <c r="BZ4">
        <v>2.5499999999999998</v>
      </c>
      <c r="CA4">
        <v>-1593.54</v>
      </c>
      <c r="CB4">
        <v>-6866.17</v>
      </c>
      <c r="CC4">
        <v>-8.3699999999999992</v>
      </c>
      <c r="CD4">
        <v>70.3</v>
      </c>
      <c r="CE4" t="s">
        <v>1622</v>
      </c>
      <c r="CF4" t="s">
        <v>52</v>
      </c>
      <c r="CG4" s="23">
        <v>-0.92449268292682929</v>
      </c>
      <c r="CH4" s="24">
        <v>-2.2258161209068006</v>
      </c>
      <c r="CI4" s="23">
        <v>171.76014709472656</v>
      </c>
      <c r="CJ4" s="23">
        <v>9.9004116058349609</v>
      </c>
      <c r="CK4" s="23">
        <v>-0.18795120716094971</v>
      </c>
      <c r="CL4" s="23">
        <v>14.020833015441895</v>
      </c>
      <c r="CM4" s="23">
        <v>0.21008403599262238</v>
      </c>
      <c r="CN4" s="24">
        <v>5.8211588859558105</v>
      </c>
      <c r="CO4" s="24">
        <v>-1.5286624431610107</v>
      </c>
      <c r="CP4" s="24">
        <v>-0.13768115639686584</v>
      </c>
      <c r="CQ4" s="24">
        <v>-1.1412246227264404</v>
      </c>
      <c r="CR4" s="24">
        <v>-0.29280871152877808</v>
      </c>
      <c r="CS4">
        <v>12.579662325581396</v>
      </c>
      <c r="CT4">
        <v>-30437983.281086728</v>
      </c>
      <c r="CU4">
        <v>-6.1757519999999992</v>
      </c>
      <c r="CV4" s="23">
        <v>39.140704908967017</v>
      </c>
      <c r="CW4" s="24">
        <v>0.54415639042854314</v>
      </c>
      <c r="CX4">
        <v>0.06</v>
      </c>
      <c r="CY4">
        <v>0.6915178782178879</v>
      </c>
      <c r="CZ4">
        <v>72480480373.361191</v>
      </c>
      <c r="DA4">
        <v>39.140704908967017</v>
      </c>
      <c r="DB4">
        <v>5.4469033860229856E-4</v>
      </c>
      <c r="DC4">
        <v>92018426705739.422</v>
      </c>
      <c r="DD4">
        <v>37.183669663518664</v>
      </c>
      <c r="DE4">
        <v>1.8175575833653258E-8</v>
      </c>
      <c r="DF4">
        <v>2.7576319154189711E+18</v>
      </c>
      <c r="DG4">
        <v>34.443820319890975</v>
      </c>
      <c r="DH4">
        <v>3.6554532241920546E-14</v>
      </c>
      <c r="DI4">
        <v>1.3711445592653727E+24</v>
      </c>
      <c r="DJ4">
        <v>31.312563927173613</v>
      </c>
      <c r="DK4">
        <v>6.9466130035119989E-28</v>
      </c>
      <c r="DL4">
        <v>7.2152497878692895E+37</v>
      </c>
      <c r="DM4">
        <v>27.398493436276912</v>
      </c>
      <c r="DN4">
        <v>1914000000</v>
      </c>
      <c r="DO4">
        <v>39.140704908967017</v>
      </c>
      <c r="DP4">
        <v>50121548000</v>
      </c>
      <c r="DQ4">
        <v>5324195000</v>
      </c>
      <c r="DR4">
        <v>4557</v>
      </c>
      <c r="DS4">
        <v>-40.065197591893849</v>
      </c>
      <c r="DT4">
        <v>-2.7699725113353439</v>
      </c>
      <c r="DU4" s="25">
        <v>0.61333333333333317</v>
      </c>
      <c r="DV4">
        <v>-2.8983333333333334</v>
      </c>
      <c r="DW4">
        <v>-2.2850000000000001</v>
      </c>
      <c r="DX4">
        <v>-7.1063937968730135</v>
      </c>
      <c r="DY4">
        <v>0.43320594059405937</v>
      </c>
      <c r="DZ4">
        <v>-7.0163001617233034</v>
      </c>
      <c r="EA4">
        <v>4712</v>
      </c>
      <c r="EB4">
        <v>-7.0005965505926131</v>
      </c>
      <c r="EC4">
        <v>7</v>
      </c>
      <c r="ED4">
        <v>0.12506612449631219</v>
      </c>
      <c r="EE4">
        <v>0.81632686050792502</v>
      </c>
      <c r="EF4" s="22">
        <v>2.0545650000000002</v>
      </c>
      <c r="EG4">
        <v>2.0945</v>
      </c>
      <c r="EH4">
        <v>28.153205940594059</v>
      </c>
      <c r="EI4" t="s">
        <v>815</v>
      </c>
      <c r="EJ4">
        <v>0</v>
      </c>
      <c r="EK4">
        <v>0</v>
      </c>
      <c r="EL4" s="31">
        <v>44890</v>
      </c>
      <c r="EM4" s="32">
        <v>6.8999999999999999E-3</v>
      </c>
      <c r="EN4" s="32">
        <v>-5.67E-2</v>
      </c>
      <c r="EO4" s="32">
        <v>-9.4500000000000001E-2</v>
      </c>
      <c r="EP4" s="32">
        <v>2.4500000000000001E-2</v>
      </c>
      <c r="EQ4" s="32">
        <v>3.99</v>
      </c>
    </row>
    <row r="5" spans="1:147" ht="67.5">
      <c r="B5" s="4"/>
      <c r="C5" s="4"/>
      <c r="D5" s="4" t="s">
        <v>1662</v>
      </c>
      <c r="E5" t="s">
        <v>1570</v>
      </c>
      <c r="F5" t="s">
        <v>1571</v>
      </c>
      <c r="G5">
        <v>37.380000000000003</v>
      </c>
      <c r="H5">
        <v>0.84</v>
      </c>
      <c r="I5" t="s">
        <v>1572</v>
      </c>
      <c r="J5">
        <v>34970959000</v>
      </c>
      <c r="K5">
        <v>19.11</v>
      </c>
      <c r="L5">
        <v>2.6</v>
      </c>
      <c r="M5" t="s">
        <v>26</v>
      </c>
      <c r="N5" t="s">
        <v>1623</v>
      </c>
      <c r="O5" t="s">
        <v>1624</v>
      </c>
      <c r="P5" t="s">
        <v>1625</v>
      </c>
      <c r="Q5">
        <v>1.27</v>
      </c>
      <c r="R5" t="s">
        <v>1626</v>
      </c>
      <c r="S5">
        <v>1506800100</v>
      </c>
      <c r="T5" s="5">
        <v>3.7199999999999997E-2</v>
      </c>
      <c r="U5" t="s">
        <v>1627</v>
      </c>
      <c r="V5">
        <v>605860370</v>
      </c>
      <c r="W5">
        <v>935552690</v>
      </c>
      <c r="X5">
        <v>1.62</v>
      </c>
      <c r="Y5">
        <v>0.41</v>
      </c>
      <c r="Z5">
        <v>16.440000000000001</v>
      </c>
      <c r="AA5" t="s">
        <v>1628</v>
      </c>
      <c r="AB5" t="s">
        <v>1629</v>
      </c>
      <c r="AC5" t="s">
        <v>1630</v>
      </c>
      <c r="AD5" t="s">
        <v>114</v>
      </c>
      <c r="AE5" t="s">
        <v>114</v>
      </c>
      <c r="AF5">
        <v>-254166790</v>
      </c>
      <c r="AG5" t="s">
        <v>1631</v>
      </c>
      <c r="AH5" t="s">
        <v>1632</v>
      </c>
      <c r="AI5" t="s">
        <v>1633</v>
      </c>
      <c r="AJ5" t="s">
        <v>1634</v>
      </c>
      <c r="AK5" t="s">
        <v>1635</v>
      </c>
      <c r="AL5" t="s">
        <v>1636</v>
      </c>
      <c r="AM5" t="s">
        <v>1637</v>
      </c>
      <c r="AN5" t="s">
        <v>7</v>
      </c>
      <c r="AO5" t="s">
        <v>1638</v>
      </c>
      <c r="AP5" t="s">
        <v>1639</v>
      </c>
      <c r="AQ5" t="s">
        <v>1640</v>
      </c>
      <c r="AR5" t="s">
        <v>1641</v>
      </c>
      <c r="AS5" t="s">
        <v>7</v>
      </c>
      <c r="AT5" t="s">
        <v>1642</v>
      </c>
      <c r="AU5" t="s">
        <v>1643</v>
      </c>
      <c r="AV5" t="s">
        <v>1644</v>
      </c>
      <c r="AW5" t="s">
        <v>1645</v>
      </c>
      <c r="AX5" t="s">
        <v>1646</v>
      </c>
      <c r="AY5" t="s">
        <v>1647</v>
      </c>
      <c r="AZ5" t="s">
        <v>1648</v>
      </c>
      <c r="BA5" t="s">
        <v>1649</v>
      </c>
      <c r="BB5" t="s">
        <v>1650</v>
      </c>
      <c r="BC5" t="s">
        <v>1651</v>
      </c>
      <c r="BD5" t="s">
        <v>1652</v>
      </c>
      <c r="BE5" t="s">
        <v>1653</v>
      </c>
      <c r="BF5" t="s">
        <v>1654</v>
      </c>
      <c r="BG5" t="s">
        <v>1655</v>
      </c>
      <c r="BH5" t="s">
        <v>1028</v>
      </c>
      <c r="BI5" t="s">
        <v>1656</v>
      </c>
      <c r="BJ5" t="s">
        <v>1657</v>
      </c>
      <c r="BK5" t="s">
        <v>1658</v>
      </c>
      <c r="BL5" t="s">
        <v>1659</v>
      </c>
      <c r="BM5" t="s">
        <v>1660</v>
      </c>
      <c r="BN5" t="s">
        <v>58</v>
      </c>
      <c r="BO5">
        <v>7.99</v>
      </c>
      <c r="BP5">
        <v>2.95</v>
      </c>
      <c r="BQ5">
        <v>13.62</v>
      </c>
      <c r="BR5">
        <v>9.5399999999999991</v>
      </c>
      <c r="BS5">
        <v>4.17</v>
      </c>
      <c r="BT5">
        <v>14.86</v>
      </c>
      <c r="BU5">
        <v>12.02</v>
      </c>
      <c r="BV5" t="s">
        <v>888</v>
      </c>
      <c r="BW5">
        <v>65.22</v>
      </c>
      <c r="BX5">
        <v>65.08</v>
      </c>
      <c r="BY5">
        <v>63.86</v>
      </c>
      <c r="BZ5">
        <v>17.73</v>
      </c>
      <c r="CA5">
        <v>20.260000000000002</v>
      </c>
      <c r="CB5">
        <v>15.57</v>
      </c>
      <c r="CC5">
        <v>0.48</v>
      </c>
      <c r="CD5">
        <v>17.03</v>
      </c>
      <c r="CE5" t="s">
        <v>1661</v>
      </c>
      <c r="CF5" t="s">
        <v>375</v>
      </c>
      <c r="CG5" s="23">
        <v>1.6678391318225343E-2</v>
      </c>
      <c r="CH5" s="24">
        <v>0.250128132992327</v>
      </c>
      <c r="CI5" s="23">
        <v>0.1467680037021637</v>
      </c>
      <c r="CJ5" s="23">
        <v>0.12093772739171982</v>
      </c>
      <c r="CK5" s="23">
        <v>5.9135567396879196E-2</v>
      </c>
      <c r="CL5" s="23">
        <v>3.8682438433170319E-2</v>
      </c>
      <c r="CM5" s="23">
        <v>0.11487194150686264</v>
      </c>
      <c r="CN5" s="24">
        <v>3.5568550229072571E-2</v>
      </c>
      <c r="CO5" s="24">
        <v>0.31619328260421753</v>
      </c>
      <c r="CP5" s="24">
        <v>0.20425143837928772</v>
      </c>
      <c r="CQ5" s="24">
        <v>-0.75570112466812134</v>
      </c>
      <c r="CR5" s="24">
        <v>4.6492347717285156</v>
      </c>
      <c r="CS5">
        <v>2.8987863892572943</v>
      </c>
      <c r="CT5">
        <v>84963631.756756753</v>
      </c>
      <c r="CU5">
        <v>10.919448000000001</v>
      </c>
      <c r="CV5" s="23">
        <v>9.6079135686159139E-2</v>
      </c>
      <c r="CW5" s="24">
        <v>0.88990938365459438</v>
      </c>
      <c r="CX5">
        <v>0.06</v>
      </c>
      <c r="CY5">
        <v>16.073383919926183</v>
      </c>
      <c r="CZ5">
        <v>1836449570.7345464</v>
      </c>
      <c r="DA5">
        <v>9.6079135686159139E-2</v>
      </c>
      <c r="DB5">
        <v>5.225680949914338</v>
      </c>
      <c r="DC5">
        <v>5648633983.3823709</v>
      </c>
      <c r="DD5">
        <v>9.1275178901851176E-2</v>
      </c>
      <c r="DE5">
        <v>2.5548044320426753</v>
      </c>
      <c r="DF5">
        <v>11553901594.103283</v>
      </c>
      <c r="DG5">
        <v>8.4549639403820043E-2</v>
      </c>
      <c r="DH5">
        <v>1.5222859414048304</v>
      </c>
      <c r="DI5">
        <v>19390548251.900406</v>
      </c>
      <c r="DJ5">
        <v>7.6863308548927312E-2</v>
      </c>
      <c r="DK5">
        <v>0.77298536983424582</v>
      </c>
      <c r="DL5">
        <v>38186956897.165657</v>
      </c>
      <c r="DM5">
        <v>6.7255394980311398E-2</v>
      </c>
      <c r="DN5">
        <v>1776000000.0000002</v>
      </c>
      <c r="DO5">
        <v>9.6079135686159139E-2</v>
      </c>
      <c r="DP5">
        <v>29517959000</v>
      </c>
      <c r="DQ5">
        <v>8878873000</v>
      </c>
      <c r="DR5">
        <v>106</v>
      </c>
      <c r="DS5">
        <v>-7.940074436793379E-2</v>
      </c>
      <c r="DT5">
        <v>-0.63978125066226732</v>
      </c>
      <c r="DU5" s="25">
        <v>0</v>
      </c>
      <c r="DV5">
        <v>0.55500000000000005</v>
      </c>
      <c r="DW5">
        <v>0.55500000000000005</v>
      </c>
      <c r="DX5">
        <v>3.0116488095238094</v>
      </c>
      <c r="DY5">
        <v>0.3363393116279062</v>
      </c>
      <c r="DZ5">
        <v>3.002054143052713</v>
      </c>
      <c r="EA5">
        <v>2414</v>
      </c>
      <c r="EB5">
        <v>3.0010403010307853</v>
      </c>
      <c r="EC5">
        <v>3</v>
      </c>
      <c r="ED5">
        <v>8.1049310007328401E-2</v>
      </c>
      <c r="EE5">
        <v>0.45962136028917838</v>
      </c>
      <c r="EF5" s="22">
        <v>8.0080999999999999E-2</v>
      </c>
      <c r="EG5">
        <v>8.8500000000000009E-2</v>
      </c>
      <c r="EH5">
        <v>16.176339311627906</v>
      </c>
      <c r="EI5" t="s">
        <v>619</v>
      </c>
      <c r="EJ5">
        <v>0</v>
      </c>
      <c r="EK5">
        <v>0</v>
      </c>
      <c r="EL5" s="31">
        <v>44890</v>
      </c>
      <c r="EM5" s="32">
        <v>5.0500000000000003E-2</v>
      </c>
      <c r="EN5" s="32">
        <v>-3.0200000000000001E-2</v>
      </c>
      <c r="EO5" s="32">
        <v>-3.9300000000000002E-2</v>
      </c>
      <c r="EP5" s="32">
        <v>1.8100000000000002E-2</v>
      </c>
      <c r="EQ5" s="32">
        <v>0.84</v>
      </c>
    </row>
    <row r="6" spans="1:147" ht="78.75">
      <c r="B6" s="4"/>
      <c r="C6" s="4"/>
      <c r="D6" s="4" t="s">
        <v>1688</v>
      </c>
      <c r="E6" t="s">
        <v>1573</v>
      </c>
      <c r="F6" t="s">
        <v>1574</v>
      </c>
      <c r="G6">
        <v>64.05</v>
      </c>
      <c r="H6">
        <v>-0.05</v>
      </c>
      <c r="I6" t="s">
        <v>1575</v>
      </c>
      <c r="J6">
        <v>25620641000</v>
      </c>
      <c r="K6">
        <v>29.19</v>
      </c>
      <c r="L6">
        <v>5.38</v>
      </c>
      <c r="M6" t="s">
        <v>8</v>
      </c>
      <c r="N6" t="s">
        <v>1663</v>
      </c>
      <c r="O6" t="s">
        <v>1664</v>
      </c>
      <c r="P6" t="s">
        <v>1665</v>
      </c>
      <c r="Q6">
        <v>78.87</v>
      </c>
      <c r="R6" t="s">
        <v>1666</v>
      </c>
      <c r="S6">
        <v>749735150</v>
      </c>
      <c r="T6" s="5">
        <v>0.36259999999999998</v>
      </c>
      <c r="U6" t="s">
        <v>1667</v>
      </c>
      <c r="V6">
        <v>166661610</v>
      </c>
      <c r="W6">
        <v>400010000</v>
      </c>
      <c r="X6">
        <v>1.23</v>
      </c>
      <c r="Y6">
        <v>0.44</v>
      </c>
      <c r="Z6">
        <v>32.520000000000003</v>
      </c>
      <c r="AA6" t="s">
        <v>1668</v>
      </c>
      <c r="AB6" t="s">
        <v>1669</v>
      </c>
      <c r="AC6" t="s">
        <v>79</v>
      </c>
      <c r="AD6" t="s">
        <v>885</v>
      </c>
      <c r="AE6" t="s">
        <v>247</v>
      </c>
      <c r="AF6">
        <v>-9594146</v>
      </c>
      <c r="AG6" t="s">
        <v>1670</v>
      </c>
      <c r="AH6" t="s">
        <v>1671</v>
      </c>
      <c r="AI6" t="s">
        <v>1672</v>
      </c>
      <c r="AJ6" t="s">
        <v>1673</v>
      </c>
      <c r="AK6" t="s">
        <v>1674</v>
      </c>
      <c r="AL6" t="s">
        <v>7</v>
      </c>
      <c r="AM6" t="s">
        <v>1675</v>
      </c>
      <c r="AN6" t="s">
        <v>7</v>
      </c>
      <c r="AO6" t="s">
        <v>262</v>
      </c>
      <c r="AP6" t="s">
        <v>121</v>
      </c>
      <c r="AQ6" t="s">
        <v>1135</v>
      </c>
      <c r="AR6" t="s">
        <v>1215</v>
      </c>
      <c r="AS6" t="s">
        <v>7</v>
      </c>
      <c r="AT6" t="s">
        <v>1159</v>
      </c>
      <c r="AU6" t="s">
        <v>7</v>
      </c>
      <c r="AV6" t="s">
        <v>100</v>
      </c>
      <c r="AW6" t="s">
        <v>1676</v>
      </c>
      <c r="AX6" t="s">
        <v>1677</v>
      </c>
      <c r="AY6" t="s">
        <v>1678</v>
      </c>
      <c r="AZ6" t="s">
        <v>1538</v>
      </c>
      <c r="BA6" t="s">
        <v>170</v>
      </c>
      <c r="BB6" t="s">
        <v>959</v>
      </c>
      <c r="BC6" t="s">
        <v>7</v>
      </c>
      <c r="BD6" t="s">
        <v>1679</v>
      </c>
      <c r="BE6" t="s">
        <v>1680</v>
      </c>
      <c r="BF6" t="s">
        <v>1681</v>
      </c>
      <c r="BG6" t="s">
        <v>1682</v>
      </c>
      <c r="BH6" t="s">
        <v>7</v>
      </c>
      <c r="BI6" t="s">
        <v>1683</v>
      </c>
      <c r="BJ6" t="s">
        <v>1444</v>
      </c>
      <c r="BK6" t="s">
        <v>432</v>
      </c>
      <c r="BL6" t="s">
        <v>1015</v>
      </c>
      <c r="BM6" t="s">
        <v>1684</v>
      </c>
      <c r="BN6" t="s">
        <v>1685</v>
      </c>
      <c r="BO6">
        <v>15.71</v>
      </c>
      <c r="BP6">
        <v>9.56</v>
      </c>
      <c r="BQ6">
        <v>103.96</v>
      </c>
      <c r="BR6">
        <v>9.64</v>
      </c>
      <c r="BS6">
        <v>9.93</v>
      </c>
      <c r="BT6">
        <v>97.69</v>
      </c>
      <c r="BU6" t="s">
        <v>7</v>
      </c>
      <c r="BV6" t="s">
        <v>937</v>
      </c>
      <c r="BW6">
        <v>74.13</v>
      </c>
      <c r="BX6">
        <v>91.46</v>
      </c>
      <c r="BY6">
        <v>84.32</v>
      </c>
      <c r="BZ6">
        <v>37.9</v>
      </c>
      <c r="CA6">
        <v>52.52</v>
      </c>
      <c r="CB6">
        <v>9.61</v>
      </c>
      <c r="CC6">
        <v>-10.58</v>
      </c>
      <c r="CD6">
        <v>1.03</v>
      </c>
      <c r="CE6" t="s">
        <v>1686</v>
      </c>
      <c r="CF6" t="s">
        <v>1687</v>
      </c>
      <c r="CG6" s="23">
        <v>0.47950086393088553</v>
      </c>
      <c r="CH6" s="24">
        <v>-0.14091677215189874</v>
      </c>
      <c r="CI6" s="23">
        <v>0.19501282274723053</v>
      </c>
      <c r="CJ6" s="23">
        <v>4.8358206748962402</v>
      </c>
      <c r="CK6" s="23">
        <v>0.56725144386291504</v>
      </c>
      <c r="CL6" s="23">
        <v>0.52678573131561279</v>
      </c>
      <c r="CM6" s="23" t="e">
        <v>#VALUE!</v>
      </c>
      <c r="CN6" s="24">
        <v>-0.17518247663974762</v>
      </c>
      <c r="CO6" s="24">
        <v>30.866888046264648</v>
      </c>
      <c r="CP6" s="24">
        <v>23.833734512329102</v>
      </c>
      <c r="CQ6" s="24">
        <v>-0.71500301361083984</v>
      </c>
      <c r="CR6" s="24" t="e">
        <v>#VALUE!</v>
      </c>
      <c r="CS6">
        <v>13.708208132691277</v>
      </c>
      <c r="CT6">
        <v>103009089.97050147</v>
      </c>
      <c r="CU6">
        <v>17.599824000000002</v>
      </c>
      <c r="CV6" s="23">
        <v>1.5312176682054996</v>
      </c>
      <c r="CW6" s="24">
        <v>13.452609267085791</v>
      </c>
      <c r="CX6">
        <v>0.06</v>
      </c>
      <c r="CY6">
        <v>13.572151629438979</v>
      </c>
      <c r="CZ6">
        <v>1619024131.1729515</v>
      </c>
      <c r="DA6">
        <v>1.5312176682054996</v>
      </c>
      <c r="DB6">
        <v>1.6127071481063635</v>
      </c>
      <c r="DC6">
        <v>13625313824.522568</v>
      </c>
      <c r="DD6">
        <v>1.4546567847952245</v>
      </c>
      <c r="DE6">
        <v>0.1519637256623885</v>
      </c>
      <c r="DF6">
        <v>144597935489.01221</v>
      </c>
      <c r="DG6">
        <v>1.3474715480208397</v>
      </c>
      <c r="DH6">
        <v>1.0226671021701971E-2</v>
      </c>
      <c r="DI6">
        <v>2148660199723.824</v>
      </c>
      <c r="DJ6">
        <v>1.2249741345643999</v>
      </c>
      <c r="DK6">
        <v>2.3898603168521528E-5</v>
      </c>
      <c r="DL6">
        <v>919452942293421.25</v>
      </c>
      <c r="DM6">
        <v>1.0718523677438496</v>
      </c>
      <c r="DN6">
        <v>678000000</v>
      </c>
      <c r="DO6">
        <v>1.5312176682054996</v>
      </c>
      <c r="DP6">
        <v>21973641000</v>
      </c>
      <c r="DQ6">
        <v>3390370300</v>
      </c>
      <c r="DR6">
        <v>4491</v>
      </c>
      <c r="DS6">
        <v>-1.0517168042746141</v>
      </c>
      <c r="DT6">
        <v>-13.593526039237689</v>
      </c>
      <c r="DU6" s="25">
        <v>1.4679999999999997</v>
      </c>
      <c r="DV6">
        <v>0.64200000000000002</v>
      </c>
      <c r="DW6">
        <v>2.11</v>
      </c>
      <c r="DX6">
        <v>-5.0973534971644616</v>
      </c>
      <c r="DY6">
        <v>0.51321347911031778</v>
      </c>
      <c r="DZ6">
        <v>-5.0265982876638589</v>
      </c>
      <c r="EA6">
        <v>222</v>
      </c>
      <c r="EB6">
        <v>-5.0253910049279407</v>
      </c>
      <c r="EC6">
        <v>5</v>
      </c>
      <c r="ED6">
        <v>5.0201994950126248E-2</v>
      </c>
      <c r="EE6">
        <v>0.18374640633984152</v>
      </c>
      <c r="EF6" s="22">
        <v>6.8778999999999993E-2</v>
      </c>
      <c r="EG6">
        <v>6.83E-2</v>
      </c>
      <c r="EH6">
        <v>24.273213479110318</v>
      </c>
      <c r="EI6" t="s">
        <v>619</v>
      </c>
      <c r="EJ6">
        <v>0</v>
      </c>
      <c r="EK6">
        <v>1</v>
      </c>
      <c r="EL6" s="31">
        <v>44890</v>
      </c>
      <c r="EM6" s="32">
        <v>1.2800000000000001E-2</v>
      </c>
      <c r="EN6" s="32">
        <v>-0.1137</v>
      </c>
      <c r="EO6" s="32">
        <v>-1.12E-2</v>
      </c>
      <c r="EP6" s="32">
        <v>7.9000000000000008E-3</v>
      </c>
      <c r="EQ6" s="32">
        <v>-0.05</v>
      </c>
    </row>
    <row r="7" spans="1:147" ht="78.75">
      <c r="B7" s="4"/>
      <c r="C7" s="4"/>
      <c r="D7" s="4" t="s">
        <v>1717</v>
      </c>
      <c r="E7" t="s">
        <v>1576</v>
      </c>
      <c r="F7" t="s">
        <v>1577</v>
      </c>
      <c r="G7">
        <v>174.82</v>
      </c>
      <c r="H7">
        <v>-3.27</v>
      </c>
      <c r="I7" t="s">
        <v>1578</v>
      </c>
      <c r="J7">
        <v>10539548200</v>
      </c>
      <c r="K7">
        <v>53.07</v>
      </c>
      <c r="L7">
        <v>8.83</v>
      </c>
      <c r="M7" t="s">
        <v>26</v>
      </c>
      <c r="N7" t="s">
        <v>1689</v>
      </c>
      <c r="O7" t="s">
        <v>1690</v>
      </c>
      <c r="P7" t="s">
        <v>1691</v>
      </c>
      <c r="Q7">
        <v>22.59</v>
      </c>
      <c r="R7" t="s">
        <v>1692</v>
      </c>
      <c r="S7">
        <v>165190720</v>
      </c>
      <c r="T7" s="5">
        <v>0.1603</v>
      </c>
      <c r="U7" t="s">
        <v>933</v>
      </c>
      <c r="V7">
        <v>36275543</v>
      </c>
      <c r="W7">
        <v>60288000</v>
      </c>
      <c r="X7">
        <v>1.05</v>
      </c>
      <c r="Y7">
        <v>0.27</v>
      </c>
      <c r="Z7">
        <v>51.47</v>
      </c>
      <c r="AA7" t="s">
        <v>1135</v>
      </c>
      <c r="AB7" t="s">
        <v>1693</v>
      </c>
      <c r="AC7" t="s">
        <v>1694</v>
      </c>
      <c r="AD7" t="s">
        <v>1695</v>
      </c>
      <c r="AE7" t="s">
        <v>1696</v>
      </c>
      <c r="AF7">
        <v>-13536910</v>
      </c>
      <c r="AG7" t="s">
        <v>1697</v>
      </c>
      <c r="AH7" t="s">
        <v>7</v>
      </c>
      <c r="AI7" t="s">
        <v>1698</v>
      </c>
      <c r="AJ7" t="s">
        <v>187</v>
      </c>
      <c r="AK7" t="s">
        <v>1699</v>
      </c>
      <c r="AL7" t="s">
        <v>7</v>
      </c>
      <c r="AM7" t="s">
        <v>1700</v>
      </c>
      <c r="AN7" t="s">
        <v>7</v>
      </c>
      <c r="AO7" t="s">
        <v>1135</v>
      </c>
      <c r="AP7" t="s">
        <v>7</v>
      </c>
      <c r="AQ7" t="s">
        <v>7</v>
      </c>
      <c r="AR7" t="s">
        <v>1701</v>
      </c>
      <c r="AS7" t="s">
        <v>7</v>
      </c>
      <c r="AT7" t="s">
        <v>1702</v>
      </c>
      <c r="AU7" t="s">
        <v>7</v>
      </c>
      <c r="AV7" t="s">
        <v>869</v>
      </c>
      <c r="AW7" t="s">
        <v>1703</v>
      </c>
      <c r="AX7" t="s">
        <v>1704</v>
      </c>
      <c r="AY7" t="s">
        <v>130</v>
      </c>
      <c r="AZ7" t="s">
        <v>1705</v>
      </c>
      <c r="BA7" t="s">
        <v>237</v>
      </c>
      <c r="BB7" t="s">
        <v>1706</v>
      </c>
      <c r="BC7" t="s">
        <v>1707</v>
      </c>
      <c r="BD7" t="s">
        <v>1708</v>
      </c>
      <c r="BE7" t="s">
        <v>1709</v>
      </c>
      <c r="BF7" t="s">
        <v>1710</v>
      </c>
      <c r="BG7" t="s">
        <v>1711</v>
      </c>
      <c r="BH7" t="s">
        <v>1712</v>
      </c>
      <c r="BI7" t="s">
        <v>248</v>
      </c>
      <c r="BJ7" t="s">
        <v>133</v>
      </c>
      <c r="BK7" t="s">
        <v>244</v>
      </c>
      <c r="BL7" t="s">
        <v>129</v>
      </c>
      <c r="BM7" t="s">
        <v>123</v>
      </c>
      <c r="BN7" t="s">
        <v>1713</v>
      </c>
      <c r="BO7">
        <v>14.53</v>
      </c>
      <c r="BP7">
        <v>4.8</v>
      </c>
      <c r="BQ7">
        <v>15.73</v>
      </c>
      <c r="BR7">
        <v>30.52</v>
      </c>
      <c r="BS7">
        <v>4.8499999999999996</v>
      </c>
      <c r="BT7">
        <v>19.2</v>
      </c>
      <c r="BU7">
        <v>31.51</v>
      </c>
      <c r="BV7" t="s">
        <v>1714</v>
      </c>
      <c r="BW7">
        <v>85.2</v>
      </c>
      <c r="BX7">
        <v>85.97</v>
      </c>
      <c r="BY7">
        <v>84.3</v>
      </c>
      <c r="BZ7">
        <v>51.87</v>
      </c>
      <c r="CA7">
        <v>45.91</v>
      </c>
      <c r="CB7">
        <v>45.82</v>
      </c>
      <c r="CC7">
        <v>-11.53</v>
      </c>
      <c r="CD7">
        <v>4.6100000000000003</v>
      </c>
      <c r="CE7" t="s">
        <v>1715</v>
      </c>
      <c r="CF7" t="s">
        <v>1716</v>
      </c>
      <c r="CG7" s="23">
        <v>-4.1226415094339621E-4</v>
      </c>
      <c r="CH7" s="24">
        <v>-0.11687561621511534</v>
      </c>
      <c r="CI7" s="23">
        <v>0.87700533866882324</v>
      </c>
      <c r="CJ7" s="23">
        <v>0.39552238583564758</v>
      </c>
      <c r="CK7" s="23">
        <v>0.32673266530036926</v>
      </c>
      <c r="CL7" s="23">
        <v>0.31015533208847046</v>
      </c>
      <c r="CM7" s="23">
        <v>3.7807431071996689E-2</v>
      </c>
      <c r="CN7" s="24">
        <v>1.0541814565658569</v>
      </c>
      <c r="CO7" s="24">
        <v>0.39216354489326477</v>
      </c>
      <c r="CP7" s="24">
        <v>0.69683510065078735</v>
      </c>
      <c r="CQ7" s="24">
        <v>0.71309751272201538</v>
      </c>
      <c r="CR7" s="24">
        <v>4.3099918365478516</v>
      </c>
      <c r="CS7">
        <v>30.027202849002848</v>
      </c>
      <c r="CT7">
        <v>89327778.409090906</v>
      </c>
      <c r="CU7">
        <v>14.591745000000001</v>
      </c>
      <c r="CV7" s="23">
        <v>0.38944463059306145</v>
      </c>
      <c r="CW7" s="24">
        <v>1.4332538902759553</v>
      </c>
      <c r="CX7">
        <v>0.06</v>
      </c>
      <c r="CY7">
        <v>40.763636299324943</v>
      </c>
      <c r="CZ7">
        <v>230700240.55130076</v>
      </c>
      <c r="DA7">
        <v>0.38944463059306145</v>
      </c>
      <c r="DB7">
        <v>10.43279971939705</v>
      </c>
      <c r="DC7">
        <v>901405274.99204242</v>
      </c>
      <c r="DD7">
        <v>0.36997239906340834</v>
      </c>
      <c r="DE7">
        <v>3.5931765917728313</v>
      </c>
      <c r="DF7">
        <v>2617233097.1799212</v>
      </c>
      <c r="DG7">
        <v>0.34271127492189407</v>
      </c>
      <c r="DH7">
        <v>1.38300273446382</v>
      </c>
      <c r="DI7">
        <v>6799827987.0689707</v>
      </c>
      <c r="DJ7">
        <v>0.31155570447444919</v>
      </c>
      <c r="DK7">
        <v>0.23673816608461531</v>
      </c>
      <c r="DL7">
        <v>39723973770.40905</v>
      </c>
      <c r="DM7">
        <v>0.27261124141514298</v>
      </c>
      <c r="DN7">
        <v>176000000</v>
      </c>
      <c r="DO7">
        <v>0.38944463059306145</v>
      </c>
      <c r="DP7">
        <v>9404180700</v>
      </c>
      <c r="DQ7">
        <v>751389520</v>
      </c>
      <c r="DR7">
        <v>4698</v>
      </c>
      <c r="DS7">
        <v>-0.38985689474400487</v>
      </c>
      <c r="DT7">
        <v>-1.5501295064910707</v>
      </c>
      <c r="DU7" s="25">
        <v>0.95333333333333348</v>
      </c>
      <c r="DV7">
        <v>1.801666666666667</v>
      </c>
      <c r="DW7">
        <v>2.7550000000000003</v>
      </c>
      <c r="DX7">
        <v>-5.3998265394622722</v>
      </c>
      <c r="DY7">
        <v>0.29765459544437817</v>
      </c>
      <c r="DZ7">
        <v>-5.0470414297483588</v>
      </c>
      <c r="EA7">
        <v>68</v>
      </c>
      <c r="EB7">
        <v>-5.0463874086436995</v>
      </c>
      <c r="EC7">
        <v>5</v>
      </c>
      <c r="ED7">
        <v>5.6357815817409763E-2</v>
      </c>
      <c r="EE7">
        <v>0.47901074840764329</v>
      </c>
      <c r="EF7" s="22">
        <v>1.035364</v>
      </c>
      <c r="EG7">
        <v>1.0026999999999999</v>
      </c>
      <c r="EH7">
        <v>18.117654595444378</v>
      </c>
      <c r="EI7" t="s">
        <v>621</v>
      </c>
      <c r="EJ7">
        <v>0</v>
      </c>
      <c r="EK7">
        <v>1</v>
      </c>
      <c r="EL7" s="31">
        <v>44890</v>
      </c>
      <c r="EM7" s="32">
        <v>-3.85E-2</v>
      </c>
      <c r="EN7" s="32">
        <v>-2.1600000000000001E-2</v>
      </c>
      <c r="EO7" s="32">
        <v>-4.3E-3</v>
      </c>
      <c r="EP7" s="32">
        <v>-2.3599999999999999E-2</v>
      </c>
      <c r="EQ7" s="32">
        <v>-3.27</v>
      </c>
    </row>
    <row r="8" spans="1:147" ht="78.75">
      <c r="D8" s="4" t="s">
        <v>1745</v>
      </c>
      <c r="E8" t="s">
        <v>1579</v>
      </c>
      <c r="F8" t="s">
        <v>1580</v>
      </c>
      <c r="G8">
        <v>105.26</v>
      </c>
      <c r="H8">
        <v>-2.54</v>
      </c>
      <c r="I8" t="s">
        <v>1581</v>
      </c>
      <c r="J8">
        <v>7386666700</v>
      </c>
      <c r="K8">
        <v>66.37</v>
      </c>
      <c r="L8">
        <v>3.36</v>
      </c>
      <c r="M8" t="s">
        <v>8</v>
      </c>
      <c r="N8" t="s">
        <v>106</v>
      </c>
      <c r="O8" t="s">
        <v>849</v>
      </c>
      <c r="P8" t="s">
        <v>1718</v>
      </c>
      <c r="Q8" s="5">
        <v>-23.4</v>
      </c>
      <c r="R8" t="s">
        <v>1719</v>
      </c>
      <c r="S8">
        <v>90105052</v>
      </c>
      <c r="T8">
        <v>-0.29499999999999998</v>
      </c>
      <c r="U8" t="s">
        <v>275</v>
      </c>
      <c r="V8">
        <v>16264059</v>
      </c>
      <c r="W8">
        <v>70175439</v>
      </c>
      <c r="X8">
        <v>1.08</v>
      </c>
      <c r="Y8">
        <v>0.15</v>
      </c>
      <c r="Z8">
        <v>42.38</v>
      </c>
      <c r="AA8" t="s">
        <v>237</v>
      </c>
      <c r="AB8" t="s">
        <v>1720</v>
      </c>
      <c r="AC8" t="s">
        <v>1721</v>
      </c>
      <c r="AD8" t="s">
        <v>1722</v>
      </c>
      <c r="AE8" t="s">
        <v>1723</v>
      </c>
      <c r="AF8">
        <v>-1257578</v>
      </c>
      <c r="AG8" t="s">
        <v>63</v>
      </c>
      <c r="AH8" t="s">
        <v>1724</v>
      </c>
      <c r="AI8" t="s">
        <v>1725</v>
      </c>
      <c r="AJ8" t="s">
        <v>1726</v>
      </c>
      <c r="AK8" t="s">
        <v>1727</v>
      </c>
      <c r="AL8" t="s">
        <v>1728</v>
      </c>
      <c r="AM8" t="s">
        <v>1729</v>
      </c>
      <c r="AN8" t="s">
        <v>7</v>
      </c>
      <c r="AO8" t="s">
        <v>1730</v>
      </c>
      <c r="AP8" t="s">
        <v>7</v>
      </c>
      <c r="AQ8" t="s">
        <v>7</v>
      </c>
      <c r="AR8" t="s">
        <v>1731</v>
      </c>
      <c r="AS8" t="s">
        <v>7</v>
      </c>
      <c r="AT8" t="s">
        <v>1732</v>
      </c>
      <c r="AU8" t="s">
        <v>7</v>
      </c>
      <c r="AV8" t="s">
        <v>1733</v>
      </c>
      <c r="AW8" t="s">
        <v>1734</v>
      </c>
      <c r="AX8" t="s">
        <v>1735</v>
      </c>
      <c r="AY8" t="s">
        <v>187</v>
      </c>
      <c r="AZ8" t="s">
        <v>1736</v>
      </c>
      <c r="BA8" t="s">
        <v>1737</v>
      </c>
      <c r="BB8" t="s">
        <v>7</v>
      </c>
      <c r="BC8" t="s">
        <v>7</v>
      </c>
      <c r="BD8" t="s">
        <v>1738</v>
      </c>
      <c r="BE8" t="s">
        <v>1739</v>
      </c>
      <c r="BF8" t="s">
        <v>1740</v>
      </c>
      <c r="BG8" t="s">
        <v>7</v>
      </c>
      <c r="BH8" t="s">
        <v>7</v>
      </c>
      <c r="BI8" t="s">
        <v>106</v>
      </c>
      <c r="BJ8" t="s">
        <v>913</v>
      </c>
      <c r="BK8" t="s">
        <v>116</v>
      </c>
      <c r="BL8" t="s">
        <v>1741</v>
      </c>
      <c r="BM8" t="s">
        <v>100</v>
      </c>
      <c r="BN8" t="s">
        <v>1742</v>
      </c>
      <c r="BO8">
        <v>6.94</v>
      </c>
      <c r="BP8" t="s">
        <v>7</v>
      </c>
      <c r="BQ8">
        <v>162.57</v>
      </c>
      <c r="BR8">
        <v>1765.69</v>
      </c>
      <c r="BS8" t="s">
        <v>7</v>
      </c>
      <c r="BT8" t="s">
        <v>7</v>
      </c>
      <c r="BU8" t="s">
        <v>7</v>
      </c>
      <c r="BV8" t="s">
        <v>937</v>
      </c>
      <c r="BW8">
        <v>89.4</v>
      </c>
      <c r="BX8">
        <v>89.26</v>
      </c>
      <c r="BY8">
        <v>71.02</v>
      </c>
      <c r="BZ8">
        <v>42.87</v>
      </c>
      <c r="CA8">
        <v>46.18</v>
      </c>
      <c r="CB8">
        <v>-23.62</v>
      </c>
      <c r="CC8">
        <v>-8.4499999999999993</v>
      </c>
      <c r="CD8" s="23">
        <v>33.24</v>
      </c>
      <c r="CE8" s="24" t="s">
        <v>1743</v>
      </c>
      <c r="CF8" s="23" t="s">
        <v>1744</v>
      </c>
      <c r="CG8" s="23">
        <v>-0.68278986394557828</v>
      </c>
      <c r="CH8" s="23">
        <v>-0.74841710620328672</v>
      </c>
      <c r="CI8" s="23">
        <v>0.89999997615814209</v>
      </c>
      <c r="CJ8" s="23">
        <v>4.0023345947265625</v>
      </c>
      <c r="CK8" s="24">
        <v>0.38372442126274109</v>
      </c>
      <c r="CL8" s="24" t="e">
        <v>#VALUE!</v>
      </c>
      <c r="CM8" s="24" t="e">
        <v>#VALUE!</v>
      </c>
      <c r="CN8" s="24">
        <v>0.79417997598648071</v>
      </c>
      <c r="CO8" s="24">
        <v>10.772106170654297</v>
      </c>
      <c r="CP8">
        <v>0.31368464231491089</v>
      </c>
      <c r="CQ8" t="e">
        <v>#VALUE!</v>
      </c>
      <c r="CR8" t="e">
        <v>#VALUE!</v>
      </c>
      <c r="CS8" s="23">
        <v>21.598440643274852</v>
      </c>
      <c r="CT8" s="24">
        <v>58147468.456375837</v>
      </c>
      <c r="CU8">
        <v>6.8655600000000003</v>
      </c>
      <c r="CV8">
        <v>1.7620196640491486</v>
      </c>
      <c r="CW8">
        <v>3.9599902629852295</v>
      </c>
      <c r="CX8">
        <v>0.06</v>
      </c>
      <c r="CY8">
        <v>13.794512985091981</v>
      </c>
      <c r="CZ8">
        <v>388246160.32388973</v>
      </c>
      <c r="DA8">
        <v>1.7620196640491486</v>
      </c>
      <c r="DB8">
        <v>1.4413479044712081</v>
      </c>
      <c r="DC8">
        <v>3715734891.8926349</v>
      </c>
      <c r="DD8">
        <v>1.673918680846691</v>
      </c>
      <c r="DE8">
        <v>0.10879049395425905</v>
      </c>
      <c r="DF8">
        <v>49229178996.57473</v>
      </c>
      <c r="DG8">
        <v>1.5505773043632507</v>
      </c>
      <c r="DH8">
        <v>5.4649758252183376E-3</v>
      </c>
      <c r="DI8">
        <v>979998241764.59729</v>
      </c>
      <c r="DJ8">
        <v>1.4096157312393189</v>
      </c>
      <c r="DK8">
        <v>6.3510121866810888E-6</v>
      </c>
      <c r="DL8">
        <v>843277660721788.62</v>
      </c>
      <c r="DM8">
        <v>1.2334137648344039</v>
      </c>
      <c r="DN8">
        <v>149000000</v>
      </c>
      <c r="DO8">
        <v>1.7620196640491486</v>
      </c>
      <c r="DP8">
        <v>5355666700</v>
      </c>
      <c r="DQ8">
        <v>2072127800</v>
      </c>
      <c r="DR8" s="25">
        <v>4521</v>
      </c>
      <c r="DS8">
        <v>-2.4448095279947268</v>
      </c>
      <c r="DT8">
        <v>-4.7084073691885164</v>
      </c>
      <c r="DU8">
        <v>0.94499999999999995</v>
      </c>
      <c r="DV8">
        <v>0.32</v>
      </c>
      <c r="DW8">
        <v>1.2649999999999999</v>
      </c>
      <c r="DX8">
        <v>-7.2026864955624852</v>
      </c>
      <c r="DY8">
        <v>0.25634735849073487</v>
      </c>
      <c r="DZ8">
        <v>-7.0256089033160638</v>
      </c>
      <c r="EA8">
        <v>1117</v>
      </c>
      <c r="EB8">
        <v>-7.0197603764291197</v>
      </c>
      <c r="EC8" s="22">
        <v>7</v>
      </c>
      <c r="ED8">
        <v>0.12880147425939154</v>
      </c>
      <c r="EE8">
        <v>1.0194236191383141</v>
      </c>
      <c r="EF8">
        <v>9.9883E-2</v>
      </c>
      <c r="EG8">
        <v>7.4500000000000011E-2</v>
      </c>
      <c r="EH8">
        <v>13.126347358490735</v>
      </c>
      <c r="EI8" s="31" t="s">
        <v>619</v>
      </c>
      <c r="EJ8" s="32">
        <v>0</v>
      </c>
      <c r="EK8" s="32">
        <v>1</v>
      </c>
      <c r="EL8" s="32">
        <v>44890</v>
      </c>
      <c r="EM8" s="32">
        <v>-8.5000000000000006E-3</v>
      </c>
      <c r="EN8" s="32">
        <v>-5.7599999999999998E-2</v>
      </c>
      <c r="EO8" s="32">
        <v>-3.5799999999999998E-2</v>
      </c>
      <c r="EP8" s="32">
        <v>4.2700000000000002E-2</v>
      </c>
      <c r="EQ8" s="32">
        <v>-2.54</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Industry_copy_call_buttom [c2],[d2]'">
                <anchor moveWithCells="1" sizeWithCells="1">
                  <from>
                    <xdr:col>1</xdr:col>
                    <xdr:colOff>252413</xdr:colOff>
                    <xdr:row>1</xdr:row>
                    <xdr:rowOff>138113</xdr:rowOff>
                  </from>
                  <to>
                    <xdr:col>1</xdr:col>
                    <xdr:colOff>1195388</xdr:colOff>
                    <xdr:row>1</xdr:row>
                    <xdr:rowOff>481013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Q5"/>
  <sheetViews>
    <sheetView zoomScale="85" zoomScaleNormal="85" workbookViewId="0">
      <selection activeCell="D5" sqref="D5"/>
    </sheetView>
  </sheetViews>
  <sheetFormatPr defaultRowHeight="13.5"/>
  <cols>
    <col min="1" max="1" width="16.796875" style="29" customWidth="1"/>
    <col min="2" max="2" width="35.06640625" customWidth="1"/>
    <col min="3" max="3" width="34.06640625" customWidth="1"/>
    <col min="4" max="4" width="47.59765625" customWidth="1"/>
    <col min="5" max="5" width="17.19921875" customWidth="1"/>
    <col min="6" max="6" width="16.796875" customWidth="1"/>
  </cols>
  <sheetData>
    <row r="1" spans="1:147" s="17" customFormat="1">
      <c r="A1" s="18" t="s">
        <v>408</v>
      </c>
      <c r="B1" s="20" t="s">
        <v>35</v>
      </c>
      <c r="C1" s="21" t="s">
        <v>624</v>
      </c>
      <c r="D1" s="20" t="s">
        <v>537</v>
      </c>
      <c r="E1" t="s">
        <v>2</v>
      </c>
      <c r="F1" t="s">
        <v>3</v>
      </c>
      <c r="G1" t="s">
        <v>0</v>
      </c>
      <c r="H1" t="s">
        <v>592</v>
      </c>
      <c r="I1" t="s">
        <v>626</v>
      </c>
      <c r="J1" t="s">
        <v>4</v>
      </c>
      <c r="K1" t="s">
        <v>5</v>
      </c>
      <c r="L1" t="s">
        <v>1</v>
      </c>
      <c r="M1" t="s">
        <v>6</v>
      </c>
      <c r="N1" t="s">
        <v>36</v>
      </c>
      <c r="O1" t="s">
        <v>37</v>
      </c>
      <c r="P1" t="s">
        <v>38</v>
      </c>
      <c r="Q1" t="s">
        <v>627</v>
      </c>
      <c r="R1" t="s">
        <v>593</v>
      </c>
      <c r="S1" t="s">
        <v>628</v>
      </c>
      <c r="T1" t="s">
        <v>39</v>
      </c>
      <c r="U1" t="s">
        <v>594</v>
      </c>
      <c r="V1" t="s">
        <v>595</v>
      </c>
      <c r="W1" t="s">
        <v>40</v>
      </c>
      <c r="X1" t="s">
        <v>538</v>
      </c>
      <c r="Y1" t="s">
        <v>539</v>
      </c>
      <c r="Z1" t="s">
        <v>540</v>
      </c>
      <c r="AA1" t="s">
        <v>541</v>
      </c>
      <c r="AB1" t="s">
        <v>542</v>
      </c>
      <c r="AC1" t="s">
        <v>596</v>
      </c>
      <c r="AD1" t="s">
        <v>543</v>
      </c>
      <c r="AE1" t="s">
        <v>629</v>
      </c>
      <c r="AF1" t="s">
        <v>41</v>
      </c>
      <c r="AG1" t="s">
        <v>42</v>
      </c>
      <c r="AH1" t="s">
        <v>597</v>
      </c>
      <c r="AI1" t="s">
        <v>630</v>
      </c>
      <c r="AJ1" t="s">
        <v>598</v>
      </c>
      <c r="AK1" t="s">
        <v>43</v>
      </c>
      <c r="AL1" t="s">
        <v>599</v>
      </c>
      <c r="AM1" t="s">
        <v>409</v>
      </c>
      <c r="AN1" t="s">
        <v>600</v>
      </c>
      <c r="AO1" t="s">
        <v>601</v>
      </c>
      <c r="AP1" t="s">
        <v>602</v>
      </c>
      <c r="AQ1" t="s">
        <v>603</v>
      </c>
      <c r="AR1" t="s">
        <v>604</v>
      </c>
      <c r="AS1" t="s">
        <v>605</v>
      </c>
      <c r="AT1" t="s">
        <v>606</v>
      </c>
      <c r="AU1" t="s">
        <v>607</v>
      </c>
      <c r="AV1" t="s">
        <v>608</v>
      </c>
      <c r="AW1" t="s">
        <v>609</v>
      </c>
      <c r="AX1" t="s">
        <v>610</v>
      </c>
      <c r="AY1" t="s">
        <v>631</v>
      </c>
      <c r="AZ1" t="s">
        <v>410</v>
      </c>
      <c r="BA1" t="s">
        <v>411</v>
      </c>
      <c r="BB1" t="s">
        <v>412</v>
      </c>
      <c r="BC1" t="s">
        <v>413</v>
      </c>
      <c r="BD1" t="s">
        <v>419</v>
      </c>
      <c r="BE1" t="s">
        <v>414</v>
      </c>
      <c r="BF1" t="s">
        <v>415</v>
      </c>
      <c r="BG1" t="s">
        <v>416</v>
      </c>
      <c r="BH1" t="s">
        <v>417</v>
      </c>
      <c r="BI1" t="s">
        <v>632</v>
      </c>
      <c r="BJ1" t="s">
        <v>611</v>
      </c>
      <c r="BK1" t="s">
        <v>418</v>
      </c>
      <c r="BL1" t="s">
        <v>612</v>
      </c>
      <c r="BM1" t="s">
        <v>613</v>
      </c>
      <c r="BN1" t="s">
        <v>614</v>
      </c>
      <c r="BO1" t="s">
        <v>615</v>
      </c>
      <c r="BP1" t="s">
        <v>420</v>
      </c>
      <c r="BQ1" t="s">
        <v>421</v>
      </c>
      <c r="BR1" t="s">
        <v>422</v>
      </c>
      <c r="BS1" t="s">
        <v>616</v>
      </c>
      <c r="BT1" t="s">
        <v>423</v>
      </c>
      <c r="BU1" t="s">
        <v>424</v>
      </c>
      <c r="BV1" t="s">
        <v>425</v>
      </c>
      <c r="BW1" t="s">
        <v>617</v>
      </c>
      <c r="BX1" t="s">
        <v>426</v>
      </c>
      <c r="BY1" t="s">
        <v>427</v>
      </c>
      <c r="BZ1" t="s">
        <v>618</v>
      </c>
      <c r="CA1" t="s">
        <v>428</v>
      </c>
      <c r="CB1" t="s">
        <v>429</v>
      </c>
      <c r="CC1" t="s">
        <v>633</v>
      </c>
      <c r="CD1" t="s">
        <v>634</v>
      </c>
      <c r="CE1" t="s">
        <v>635</v>
      </c>
      <c r="CF1" t="s">
        <v>636</v>
      </c>
      <c r="CG1" s="1" t="s">
        <v>544</v>
      </c>
      <c r="CH1" s="1" t="s">
        <v>545</v>
      </c>
      <c r="CI1" s="1" t="s">
        <v>546</v>
      </c>
      <c r="CJ1" s="1" t="s">
        <v>547</v>
      </c>
      <c r="CK1" s="1" t="s">
        <v>548</v>
      </c>
      <c r="CL1" s="1" t="s">
        <v>549</v>
      </c>
      <c r="CM1" s="1" t="s">
        <v>550</v>
      </c>
      <c r="CN1" s="1" t="s">
        <v>551</v>
      </c>
      <c r="CO1" s="1" t="s">
        <v>552</v>
      </c>
      <c r="CP1" s="1" t="s">
        <v>553</v>
      </c>
      <c r="CQ1" s="1" t="s">
        <v>554</v>
      </c>
      <c r="CR1" s="1" t="s">
        <v>555</v>
      </c>
      <c r="CS1" s="1" t="s">
        <v>637</v>
      </c>
      <c r="CT1" s="1" t="s">
        <v>638</v>
      </c>
      <c r="CU1" s="1" t="s">
        <v>639</v>
      </c>
      <c r="CV1" s="1" t="s">
        <v>640</v>
      </c>
      <c r="CW1" s="1" t="s">
        <v>556</v>
      </c>
      <c r="CX1" s="1" t="s">
        <v>389</v>
      </c>
      <c r="CY1">
        <v>1</v>
      </c>
      <c r="CZ1" t="s">
        <v>643</v>
      </c>
      <c r="DA1" t="s">
        <v>644</v>
      </c>
      <c r="DB1">
        <v>3</v>
      </c>
      <c r="DC1" t="s">
        <v>645</v>
      </c>
      <c r="DD1" t="s">
        <v>646</v>
      </c>
      <c r="DE1">
        <v>6</v>
      </c>
      <c r="DF1" t="s">
        <v>647</v>
      </c>
      <c r="DG1" t="s">
        <v>557</v>
      </c>
      <c r="DH1">
        <v>10</v>
      </c>
      <c r="DI1" t="s">
        <v>649</v>
      </c>
      <c r="DJ1" t="s">
        <v>583</v>
      </c>
      <c r="DK1">
        <v>20</v>
      </c>
      <c r="DL1" t="s">
        <v>558</v>
      </c>
      <c r="DM1" t="s">
        <v>559</v>
      </c>
      <c r="DN1" t="s">
        <v>560</v>
      </c>
      <c r="DO1" s="2" t="s">
        <v>561</v>
      </c>
      <c r="DP1" t="s">
        <v>652</v>
      </c>
      <c r="DQ1" t="s">
        <v>653</v>
      </c>
      <c r="DR1" s="1" t="s">
        <v>654</v>
      </c>
      <c r="DS1" s="1" t="s">
        <v>655</v>
      </c>
      <c r="DT1" s="1" t="s">
        <v>656</v>
      </c>
      <c r="DU1" t="s">
        <v>657</v>
      </c>
      <c r="DV1" t="s">
        <v>658</v>
      </c>
      <c r="DW1" t="s">
        <v>659</v>
      </c>
      <c r="DX1" t="s">
        <v>660</v>
      </c>
      <c r="DY1" t="s">
        <v>661</v>
      </c>
      <c r="DZ1" t="s">
        <v>662</v>
      </c>
      <c r="EA1" t="s">
        <v>562</v>
      </c>
      <c r="EB1" t="s">
        <v>664</v>
      </c>
      <c r="EC1" t="s">
        <v>665</v>
      </c>
      <c r="ED1" t="s">
        <v>666</v>
      </c>
      <c r="EE1" t="s">
        <v>667</v>
      </c>
      <c r="EF1" t="s">
        <v>668</v>
      </c>
      <c r="EG1" t="s">
        <v>669</v>
      </c>
      <c r="EH1" t="s">
        <v>670</v>
      </c>
      <c r="EI1" t="s">
        <v>671</v>
      </c>
      <c r="EJ1" t="s">
        <v>672</v>
      </c>
      <c r="EK1"/>
    </row>
    <row r="2" spans="1:147" s="17" customFormat="1" ht="50.55" customHeight="1">
      <c r="A2" s="18"/>
      <c r="B2" s="27"/>
      <c r="C2" s="27">
        <v>3</v>
      </c>
      <c r="D2" s="27">
        <v>5</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68.75">
      <c r="B3" s="4" t="s">
        <v>2175</v>
      </c>
      <c r="C3" s="4" t="s">
        <v>2176</v>
      </c>
      <c r="D3" s="4" t="s">
        <v>2206</v>
      </c>
      <c r="E3" t="s">
        <v>2172</v>
      </c>
      <c r="F3" t="s">
        <v>2173</v>
      </c>
      <c r="G3">
        <v>148.30000000000001</v>
      </c>
      <c r="H3">
        <v>1.56</v>
      </c>
      <c r="I3" t="s">
        <v>2174</v>
      </c>
      <c r="J3">
        <v>60010335000</v>
      </c>
      <c r="K3">
        <v>15.55</v>
      </c>
      <c r="L3">
        <v>3.17</v>
      </c>
      <c r="M3" t="s">
        <v>8</v>
      </c>
      <c r="N3" t="s">
        <v>2177</v>
      </c>
      <c r="O3" t="s">
        <v>2178</v>
      </c>
      <c r="P3" t="s">
        <v>2179</v>
      </c>
      <c r="Q3">
        <v>-6.63</v>
      </c>
      <c r="R3" t="s">
        <v>2180</v>
      </c>
      <c r="S3">
        <v>856993770</v>
      </c>
      <c r="T3" s="5">
        <v>-0.24709999999999999</v>
      </c>
      <c r="U3" t="s">
        <v>2181</v>
      </c>
      <c r="V3">
        <v>402018850</v>
      </c>
      <c r="W3">
        <v>404709790</v>
      </c>
      <c r="X3">
        <v>1.23</v>
      </c>
      <c r="Y3">
        <v>0.11</v>
      </c>
      <c r="Z3">
        <v>30.93</v>
      </c>
      <c r="AA3" t="s">
        <v>2182</v>
      </c>
      <c r="AB3" t="s">
        <v>1450</v>
      </c>
      <c r="AC3" t="s">
        <v>2183</v>
      </c>
      <c r="AD3" t="s">
        <v>130</v>
      </c>
      <c r="AE3" t="s">
        <v>2184</v>
      </c>
      <c r="AF3">
        <v>-36178959</v>
      </c>
      <c r="AG3" t="s">
        <v>2185</v>
      </c>
      <c r="AH3" t="s">
        <v>2186</v>
      </c>
      <c r="AI3" t="s">
        <v>2187</v>
      </c>
      <c r="AJ3" t="s">
        <v>2188</v>
      </c>
      <c r="AK3" t="s">
        <v>2189</v>
      </c>
      <c r="AL3" t="s">
        <v>153</v>
      </c>
      <c r="AM3" t="s">
        <v>2190</v>
      </c>
      <c r="AN3" t="s">
        <v>7</v>
      </c>
      <c r="AO3" t="s">
        <v>2191</v>
      </c>
      <c r="AP3" t="s">
        <v>274</v>
      </c>
      <c r="AQ3" t="s">
        <v>7</v>
      </c>
      <c r="AR3" t="s">
        <v>286</v>
      </c>
      <c r="AS3" t="s">
        <v>2192</v>
      </c>
      <c r="AT3" t="s">
        <v>903</v>
      </c>
      <c r="AU3" t="s">
        <v>2193</v>
      </c>
      <c r="AV3" t="s">
        <v>1469</v>
      </c>
      <c r="AW3" t="s">
        <v>2194</v>
      </c>
      <c r="AX3" t="s">
        <v>2195</v>
      </c>
      <c r="AY3" t="s">
        <v>2196</v>
      </c>
      <c r="AZ3" t="s">
        <v>2197</v>
      </c>
      <c r="BA3" t="s">
        <v>2198</v>
      </c>
      <c r="BB3" t="s">
        <v>2199</v>
      </c>
      <c r="BC3" t="s">
        <v>2200</v>
      </c>
      <c r="BD3" t="s">
        <v>2201</v>
      </c>
      <c r="BE3" t="s">
        <v>461</v>
      </c>
      <c r="BF3" t="s">
        <v>2202</v>
      </c>
      <c r="BG3" t="s">
        <v>2203</v>
      </c>
      <c r="BH3" t="s">
        <v>257</v>
      </c>
      <c r="BI3" t="s">
        <v>2180</v>
      </c>
      <c r="BJ3" t="s">
        <v>1936</v>
      </c>
      <c r="BK3" t="s">
        <v>2196</v>
      </c>
      <c r="BL3" t="s">
        <v>2181</v>
      </c>
      <c r="BM3" t="s">
        <v>2204</v>
      </c>
      <c r="BN3" t="s">
        <v>2201</v>
      </c>
      <c r="BO3">
        <v>20.21</v>
      </c>
      <c r="BP3">
        <v>23.52</v>
      </c>
      <c r="BQ3">
        <v>28.09</v>
      </c>
      <c r="BR3">
        <v>25.71</v>
      </c>
      <c r="BS3">
        <v>28.81</v>
      </c>
      <c r="BT3">
        <v>31.22</v>
      </c>
      <c r="BU3" t="s">
        <v>1961</v>
      </c>
      <c r="BV3" t="s">
        <v>937</v>
      </c>
      <c r="BW3">
        <v>87.91</v>
      </c>
      <c r="BX3">
        <v>87.61</v>
      </c>
      <c r="BY3">
        <v>86.69</v>
      </c>
      <c r="BZ3">
        <v>30.93</v>
      </c>
      <c r="CA3">
        <v>36.270000000000003</v>
      </c>
      <c r="CB3">
        <v>38.57</v>
      </c>
      <c r="CC3">
        <v>3.1</v>
      </c>
      <c r="CD3">
        <v>8.6300000000000008</v>
      </c>
      <c r="CE3" t="s">
        <v>2205</v>
      </c>
      <c r="CF3" t="s">
        <v>274</v>
      </c>
      <c r="CG3" s="23">
        <v>-6.6328235294117646E-2</v>
      </c>
      <c r="CH3" s="24">
        <v>-0.24692990333919157</v>
      </c>
      <c r="CI3" s="23">
        <v>0.17493258416652679</v>
      </c>
      <c r="CJ3" s="23">
        <v>0.25300219655036926</v>
      </c>
      <c r="CK3" s="23">
        <v>0.16314072906970978</v>
      </c>
      <c r="CL3" s="23">
        <v>0.37190699577331543</v>
      </c>
      <c r="CM3" s="23">
        <v>0.31033638119697571</v>
      </c>
      <c r="CN3" s="24">
        <v>0.10194306075572968</v>
      </c>
      <c r="CO3" s="24">
        <v>0.23301602900028229</v>
      </c>
      <c r="CP3" s="24">
        <v>0.71661967039108276</v>
      </c>
      <c r="CQ3" s="24">
        <v>0.76441359519958496</v>
      </c>
      <c r="CR3" s="24">
        <v>0.51963746547698975</v>
      </c>
      <c r="CS3">
        <v>25.026899979147839</v>
      </c>
      <c r="CT3">
        <v>0.98274282426182191</v>
      </c>
      <c r="CU3">
        <v>0.67430883344571813</v>
      </c>
      <c r="CV3" s="23">
        <v>0.25466377735137941</v>
      </c>
      <c r="CW3" s="24">
        <v>0.4671259641647339</v>
      </c>
      <c r="CX3">
        <v>0.06</v>
      </c>
      <c r="CY3">
        <v>8.8560737563869107</v>
      </c>
      <c r="CZ3">
        <v>4900290602.1082172</v>
      </c>
      <c r="DA3">
        <v>0.25466377735137941</v>
      </c>
      <c r="DB3">
        <v>2.5242593121770875</v>
      </c>
      <c r="DC3">
        <v>17192106528.299297</v>
      </c>
      <c r="DD3">
        <v>0.24193058848381041</v>
      </c>
      <c r="DE3">
        <v>1.0244208222114448</v>
      </c>
      <c r="DF3">
        <v>42362800578.688942</v>
      </c>
      <c r="DG3">
        <v>0.22410412406921387</v>
      </c>
      <c r="DH3">
        <v>0.48769840563009176</v>
      </c>
      <c r="DI3">
        <v>88983959141.576324</v>
      </c>
      <c r="DJ3">
        <v>0.20373102188110354</v>
      </c>
      <c r="DK3">
        <v>0.14425696961079879</v>
      </c>
      <c r="DL3">
        <v>300833541125.15173</v>
      </c>
      <c r="DM3">
        <v>0.17826464414596557</v>
      </c>
      <c r="DN3">
        <v>4140000000</v>
      </c>
      <c r="DO3">
        <v>0.25466377735137941</v>
      </c>
      <c r="DP3">
        <v>43397335000</v>
      </c>
      <c r="DQ3">
        <v>11957099000</v>
      </c>
      <c r="DR3">
        <v>207</v>
      </c>
      <c r="DS3">
        <v>-0.32099201264549704</v>
      </c>
      <c r="DT3">
        <v>-0.71405586750392547</v>
      </c>
      <c r="DU3" s="25">
        <v>0.66666666666666663</v>
      </c>
      <c r="DV3">
        <v>0.53</v>
      </c>
      <c r="DW3">
        <v>1.1966666666666668</v>
      </c>
      <c r="DX3">
        <v>8.3592120509849366</v>
      </c>
      <c r="DY3">
        <v>0.61901727272727469</v>
      </c>
      <c r="DZ3">
        <v>8.0463445591488458</v>
      </c>
      <c r="EA3">
        <v>659</v>
      </c>
      <c r="EB3">
        <v>8.0402956257998479</v>
      </c>
      <c r="EC3">
        <v>8</v>
      </c>
      <c r="ED3">
        <v>3.506685617859652E-2</v>
      </c>
      <c r="EE3">
        <v>0.27179970121305941</v>
      </c>
      <c r="EF3" s="22">
        <v>2.1100000000000012E-3</v>
      </c>
      <c r="EG3">
        <v>1.3500000000000002E-2</v>
      </c>
      <c r="EH3">
        <v>49.129017272727275</v>
      </c>
      <c r="EI3" t="s">
        <v>619</v>
      </c>
      <c r="EJ3">
        <v>0</v>
      </c>
      <c r="EK3">
        <v>1</v>
      </c>
      <c r="EL3" s="31">
        <v>45133</v>
      </c>
      <c r="EM3" s="32">
        <v>-0.88</v>
      </c>
      <c r="EN3" s="32">
        <v>8.0999999999999996E-3</v>
      </c>
      <c r="EO3" s="32">
        <v>-0.31</v>
      </c>
      <c r="EP3" s="32">
        <v>1.91</v>
      </c>
      <c r="EQ3" s="32">
        <v>1.56</v>
      </c>
    </row>
    <row r="4" spans="1:147" ht="180">
      <c r="B4" s="4"/>
      <c r="C4" s="4"/>
      <c r="D4" s="4" t="s">
        <v>2229</v>
      </c>
      <c r="E4" t="s">
        <v>2166</v>
      </c>
      <c r="F4" t="s">
        <v>2167</v>
      </c>
      <c r="G4">
        <v>10.54</v>
      </c>
      <c r="H4">
        <v>1.74</v>
      </c>
      <c r="I4" t="s">
        <v>2168</v>
      </c>
      <c r="J4">
        <v>17636139000</v>
      </c>
      <c r="K4">
        <v>24.63</v>
      </c>
      <c r="L4">
        <v>5.16</v>
      </c>
      <c r="M4" t="s">
        <v>8</v>
      </c>
      <c r="N4" t="s">
        <v>2207</v>
      </c>
      <c r="O4" t="s">
        <v>2208</v>
      </c>
      <c r="P4" t="s">
        <v>2209</v>
      </c>
      <c r="Q4">
        <v>11.4</v>
      </c>
      <c r="R4" t="s">
        <v>2210</v>
      </c>
      <c r="S4">
        <v>185618140</v>
      </c>
      <c r="T4" s="5">
        <v>7.3599999999999999E-2</v>
      </c>
      <c r="U4" t="s">
        <v>2211</v>
      </c>
      <c r="V4">
        <v>1159488890</v>
      </c>
      <c r="W4">
        <v>1673258000</v>
      </c>
      <c r="X4">
        <v>1.24</v>
      </c>
      <c r="Y4">
        <v>0.14000000000000001</v>
      </c>
      <c r="Z4">
        <v>31.78</v>
      </c>
      <c r="AA4" t="s">
        <v>1540</v>
      </c>
      <c r="AB4" t="s">
        <v>2212</v>
      </c>
      <c r="AC4" t="s">
        <v>84</v>
      </c>
      <c r="AD4" t="s">
        <v>2213</v>
      </c>
      <c r="AE4" t="s">
        <v>115</v>
      </c>
      <c r="AF4">
        <v>-1032560</v>
      </c>
      <c r="AG4" t="s">
        <v>2214</v>
      </c>
      <c r="AH4">
        <v>3733.34</v>
      </c>
      <c r="AI4" t="s">
        <v>124</v>
      </c>
      <c r="AJ4" t="s">
        <v>1064</v>
      </c>
      <c r="AK4" t="s">
        <v>2215</v>
      </c>
      <c r="AL4" t="s">
        <v>7</v>
      </c>
      <c r="AM4" t="s">
        <v>2216</v>
      </c>
      <c r="AN4" t="s">
        <v>7</v>
      </c>
      <c r="AO4" t="s">
        <v>2217</v>
      </c>
      <c r="AP4" t="s">
        <v>7</v>
      </c>
      <c r="AQ4" t="s">
        <v>7</v>
      </c>
      <c r="AR4" t="s">
        <v>153</v>
      </c>
      <c r="AS4" t="s">
        <v>7</v>
      </c>
      <c r="AT4" t="s">
        <v>2218</v>
      </c>
      <c r="AU4" t="s">
        <v>7</v>
      </c>
      <c r="AV4" t="s">
        <v>363</v>
      </c>
      <c r="AW4" t="s">
        <v>2219</v>
      </c>
      <c r="AX4" t="s">
        <v>2220</v>
      </c>
      <c r="AY4" t="s">
        <v>2221</v>
      </c>
      <c r="AZ4" t="s">
        <v>2222</v>
      </c>
      <c r="BA4" t="s">
        <v>2223</v>
      </c>
      <c r="BB4" t="s">
        <v>2224</v>
      </c>
      <c r="BC4" t="s">
        <v>2225</v>
      </c>
      <c r="BD4" t="s">
        <v>283</v>
      </c>
      <c r="BE4" t="s">
        <v>1252</v>
      </c>
      <c r="BF4" t="s">
        <v>149</v>
      </c>
      <c r="BG4" t="s">
        <v>2226</v>
      </c>
      <c r="BH4" t="s">
        <v>913</v>
      </c>
      <c r="BI4" t="s">
        <v>2210</v>
      </c>
      <c r="BJ4" t="s">
        <v>174</v>
      </c>
      <c r="BK4" t="s">
        <v>2221</v>
      </c>
      <c r="BL4" t="s">
        <v>2211</v>
      </c>
      <c r="BM4" t="s">
        <v>2111</v>
      </c>
      <c r="BN4" t="s">
        <v>283</v>
      </c>
      <c r="BO4">
        <v>23.26</v>
      </c>
      <c r="BP4">
        <v>6.86</v>
      </c>
      <c r="BQ4">
        <v>11.87</v>
      </c>
      <c r="BR4">
        <v>23.82</v>
      </c>
      <c r="BS4">
        <v>7.47</v>
      </c>
      <c r="BT4">
        <v>13.28</v>
      </c>
      <c r="BU4" t="s">
        <v>2227</v>
      </c>
      <c r="BV4" t="s">
        <v>937</v>
      </c>
      <c r="BW4">
        <v>75.31</v>
      </c>
      <c r="BX4">
        <v>80.06</v>
      </c>
      <c r="BY4">
        <v>78.78</v>
      </c>
      <c r="BZ4">
        <v>31.78</v>
      </c>
      <c r="CA4">
        <v>9.3800000000000008</v>
      </c>
      <c r="CB4">
        <v>20.37</v>
      </c>
      <c r="CC4">
        <v>4.25</v>
      </c>
      <c r="CD4">
        <v>6.69</v>
      </c>
      <c r="CE4" t="s">
        <v>2228</v>
      </c>
      <c r="CF4" t="s">
        <v>1140</v>
      </c>
      <c r="CG4" s="23">
        <v>0.11477337711069419</v>
      </c>
      <c r="CH4" s="24">
        <v>7.2937225433526015E-2</v>
      </c>
      <c r="CI4" s="23">
        <v>7.4688859283924103E-2</v>
      </c>
      <c r="CJ4" s="23">
        <v>0.27513217926025391</v>
      </c>
      <c r="CK4" s="23">
        <v>-7.005179300904274E-3</v>
      </c>
      <c r="CL4" s="23">
        <v>0.17168258130550385</v>
      </c>
      <c r="CM4" s="23">
        <v>0.33394160866737366</v>
      </c>
      <c r="CN4" s="24">
        <v>2.3961353302001953</v>
      </c>
      <c r="CO4" s="24">
        <v>-0.42339831590652466</v>
      </c>
      <c r="CP4" s="24">
        <v>1.8951612710952759</v>
      </c>
      <c r="CQ4" s="24">
        <v>-0.52851712703704834</v>
      </c>
      <c r="CR4" s="24">
        <v>-5.3956832736730576E-2</v>
      </c>
      <c r="CS4">
        <v>54.713978283350571</v>
      </c>
      <c r="CT4">
        <v>3.2243868222568701</v>
      </c>
      <c r="CU4">
        <v>2.3719165085388996</v>
      </c>
      <c r="CV4" s="23">
        <v>0.16968800984323024</v>
      </c>
      <c r="CW4" s="24">
        <v>0.65708486512303355</v>
      </c>
      <c r="CX4">
        <v>0.06</v>
      </c>
      <c r="CY4">
        <v>19.171404829835073</v>
      </c>
      <c r="CZ4">
        <v>775745915.96206677</v>
      </c>
      <c r="DA4">
        <v>0.16968800984323024</v>
      </c>
      <c r="DB4">
        <v>5.8598824708823329</v>
      </c>
      <c r="DC4">
        <v>2537958580.8929501</v>
      </c>
      <c r="DD4">
        <v>0.16120360935106873</v>
      </c>
      <c r="DE4">
        <v>2.6311727891231702</v>
      </c>
      <c r="DF4">
        <v>5652285194.449769</v>
      </c>
      <c r="DG4">
        <v>0.14932544866204261</v>
      </c>
      <c r="DH4">
        <v>1.4191984124144499</v>
      </c>
      <c r="DI4">
        <v>10479252844.356251</v>
      </c>
      <c r="DJ4">
        <v>0.1357504078745842</v>
      </c>
      <c r="DK4">
        <v>0.57206223766740916</v>
      </c>
      <c r="DL4">
        <v>25997414303.452946</v>
      </c>
      <c r="DM4">
        <v>0.11878160689026115</v>
      </c>
      <c r="DN4">
        <v>703000000</v>
      </c>
      <c r="DO4">
        <v>0.16968800984323024</v>
      </c>
      <c r="DP4">
        <v>14872139000</v>
      </c>
      <c r="DQ4">
        <v>1430109000</v>
      </c>
      <c r="DR4">
        <v>1517</v>
      </c>
      <c r="DS4">
        <v>-5.4914632732536051E-2</v>
      </c>
      <c r="DT4">
        <v>-0.58414763968950756</v>
      </c>
      <c r="DU4" s="25">
        <v>0.36666666666666664</v>
      </c>
      <c r="DV4">
        <v>0.41833333333333328</v>
      </c>
      <c r="DW4">
        <v>0.78499999999999992</v>
      </c>
      <c r="DX4">
        <v>8.6352765321375191</v>
      </c>
      <c r="DY4">
        <v>0.65260641509433692</v>
      </c>
      <c r="DZ4">
        <v>8.1287111007699462</v>
      </c>
      <c r="EA4">
        <v>1242</v>
      </c>
      <c r="EB4">
        <v>8.0970495465698527</v>
      </c>
      <c r="EC4">
        <v>8</v>
      </c>
      <c r="ED4">
        <v>3.2087520274817156E-2</v>
      </c>
      <c r="EE4">
        <v>0.15837366383426824</v>
      </c>
      <c r="EF4" s="22">
        <v>0.14849999999999999</v>
      </c>
      <c r="EG4">
        <v>1.0159</v>
      </c>
      <c r="EH4">
        <v>45.202606415094337</v>
      </c>
      <c r="EI4" t="s">
        <v>621</v>
      </c>
      <c r="EJ4">
        <v>0</v>
      </c>
      <c r="EK4">
        <v>1</v>
      </c>
      <c r="EL4" s="31">
        <v>45133</v>
      </c>
      <c r="EM4" s="32">
        <v>-0.69</v>
      </c>
      <c r="EN4" s="32">
        <v>1.2E-2</v>
      </c>
      <c r="EO4" s="32">
        <v>1.38</v>
      </c>
      <c r="EP4" s="32">
        <v>0.57999999999999996</v>
      </c>
      <c r="EQ4" s="32">
        <v>1.74</v>
      </c>
    </row>
    <row r="5" spans="1:147" ht="157.5">
      <c r="B5" s="4" t="s">
        <v>2257</v>
      </c>
      <c r="C5" s="4"/>
      <c r="D5" s="28" t="s">
        <v>2256</v>
      </c>
      <c r="E5" t="s">
        <v>2169</v>
      </c>
      <c r="F5" t="s">
        <v>2170</v>
      </c>
      <c r="G5">
        <v>34.17</v>
      </c>
      <c r="H5">
        <v>-1.04</v>
      </c>
      <c r="I5" t="s">
        <v>2171</v>
      </c>
      <c r="J5">
        <v>13900356000</v>
      </c>
      <c r="K5">
        <v>44.31</v>
      </c>
      <c r="L5">
        <v>9.32</v>
      </c>
      <c r="M5" t="s">
        <v>8</v>
      </c>
      <c r="N5" t="s">
        <v>570</v>
      </c>
      <c r="O5" t="s">
        <v>2230</v>
      </c>
      <c r="P5" t="s">
        <v>2231</v>
      </c>
      <c r="Q5">
        <v>21.53</v>
      </c>
      <c r="R5" t="s">
        <v>2232</v>
      </c>
      <c r="S5">
        <v>84173128</v>
      </c>
      <c r="T5" s="5">
        <v>0.46510000000000001</v>
      </c>
      <c r="U5" t="s">
        <v>59</v>
      </c>
      <c r="V5">
        <v>277669020</v>
      </c>
      <c r="W5">
        <v>406800000</v>
      </c>
      <c r="X5">
        <v>1.24</v>
      </c>
      <c r="Y5">
        <v>0.23</v>
      </c>
      <c r="Z5">
        <v>20.07</v>
      </c>
      <c r="AA5" t="s">
        <v>326</v>
      </c>
      <c r="AB5" t="s">
        <v>2233</v>
      </c>
      <c r="AC5" t="s">
        <v>137</v>
      </c>
      <c r="AD5" t="s">
        <v>2234</v>
      </c>
      <c r="AE5" t="s">
        <v>283</v>
      </c>
      <c r="AF5">
        <v>-1073948</v>
      </c>
      <c r="AG5" t="s">
        <v>2235</v>
      </c>
      <c r="AH5" t="s">
        <v>2236</v>
      </c>
      <c r="AI5" t="s">
        <v>219</v>
      </c>
      <c r="AJ5" t="s">
        <v>2237</v>
      </c>
      <c r="AK5" t="s">
        <v>2238</v>
      </c>
      <c r="AL5" t="s">
        <v>2239</v>
      </c>
      <c r="AM5" t="s">
        <v>2240</v>
      </c>
      <c r="AN5" t="s">
        <v>7</v>
      </c>
      <c r="AO5" t="s">
        <v>110</v>
      </c>
      <c r="AP5" t="s">
        <v>7</v>
      </c>
      <c r="AQ5" t="s">
        <v>7</v>
      </c>
      <c r="AR5" t="s">
        <v>2241</v>
      </c>
      <c r="AS5" t="s">
        <v>7</v>
      </c>
      <c r="AT5" t="s">
        <v>271</v>
      </c>
      <c r="AU5" t="s">
        <v>7</v>
      </c>
      <c r="AV5" t="s">
        <v>2242</v>
      </c>
      <c r="AW5" t="s">
        <v>529</v>
      </c>
      <c r="AX5" t="s">
        <v>2243</v>
      </c>
      <c r="AY5" t="s">
        <v>2244</v>
      </c>
      <c r="AZ5" t="s">
        <v>2245</v>
      </c>
      <c r="BA5" t="s">
        <v>2246</v>
      </c>
      <c r="BB5" t="s">
        <v>2247</v>
      </c>
      <c r="BC5" t="s">
        <v>1545</v>
      </c>
      <c r="BD5" t="s">
        <v>885</v>
      </c>
      <c r="BE5" t="s">
        <v>2248</v>
      </c>
      <c r="BF5" t="s">
        <v>2249</v>
      </c>
      <c r="BG5" t="s">
        <v>2250</v>
      </c>
      <c r="BH5" t="s">
        <v>2251</v>
      </c>
      <c r="BI5" t="s">
        <v>2232</v>
      </c>
      <c r="BJ5" t="s">
        <v>79</v>
      </c>
      <c r="BK5" t="s">
        <v>2244</v>
      </c>
      <c r="BL5" t="s">
        <v>59</v>
      </c>
      <c r="BM5" t="s">
        <v>2252</v>
      </c>
      <c r="BN5" t="s">
        <v>885</v>
      </c>
      <c r="BO5">
        <v>21.93</v>
      </c>
      <c r="BP5">
        <v>16.36</v>
      </c>
      <c r="BQ5">
        <v>14.16</v>
      </c>
      <c r="BR5">
        <v>22.41</v>
      </c>
      <c r="BS5">
        <v>16.79</v>
      </c>
      <c r="BT5">
        <v>12.69</v>
      </c>
      <c r="BU5" t="s">
        <v>2253</v>
      </c>
      <c r="BV5" t="s">
        <v>937</v>
      </c>
      <c r="BW5">
        <v>91</v>
      </c>
      <c r="BX5">
        <v>88.95</v>
      </c>
      <c r="BY5">
        <v>89.46</v>
      </c>
      <c r="BZ5">
        <v>20.07</v>
      </c>
      <c r="CA5">
        <v>16</v>
      </c>
      <c r="CB5">
        <v>14.68</v>
      </c>
      <c r="CC5">
        <v>-17.440000000000001</v>
      </c>
      <c r="CD5">
        <v>-18.77</v>
      </c>
      <c r="CE5" t="s">
        <v>2254</v>
      </c>
      <c r="CF5" t="s">
        <v>2255</v>
      </c>
      <c r="CG5" s="23">
        <v>0.21538266666666667</v>
      </c>
      <c r="CH5" s="24">
        <v>0.46509332943445358</v>
      </c>
      <c r="CI5" s="23">
        <v>0.34893998503684998</v>
      </c>
      <c r="CJ5" s="23">
        <v>0.42569270730018616</v>
      </c>
      <c r="CK5" s="23">
        <v>8.7671235203742981E-2</v>
      </c>
      <c r="CL5" s="23">
        <v>0.62946426868438721</v>
      </c>
      <c r="CM5" s="23">
        <v>0.38699689507484436</v>
      </c>
      <c r="CN5" s="24">
        <v>0.58563536405563354</v>
      </c>
      <c r="CO5" s="24">
        <v>0.54700857400894165</v>
      </c>
      <c r="CP5" s="24">
        <v>0.81976830959320068</v>
      </c>
      <c r="CQ5" s="24">
        <v>3.0176405906677246</v>
      </c>
      <c r="CR5" s="24">
        <v>2.0961768627166748</v>
      </c>
      <c r="CS5">
        <v>124.39439231316038</v>
      </c>
      <c r="CT5">
        <v>3.3105360773731891</v>
      </c>
      <c r="CU5">
        <v>0.62335381913959609</v>
      </c>
      <c r="CV5" s="23">
        <v>0.37575301826000213</v>
      </c>
      <c r="CW5" s="24">
        <v>1.413245940208435</v>
      </c>
      <c r="CX5">
        <v>0.06</v>
      </c>
      <c r="CY5">
        <v>34.259444631284225</v>
      </c>
      <c r="CZ5">
        <v>372491619.09492511</v>
      </c>
      <c r="DA5">
        <v>0.37575301826000213</v>
      </c>
      <c r="DB5">
        <v>8.8630195465802757</v>
      </c>
      <c r="DC5">
        <v>1439842926.3223126</v>
      </c>
      <c r="DD5">
        <v>0.35696536734700202</v>
      </c>
      <c r="DE5">
        <v>3.1042056964037168</v>
      </c>
      <c r="DF5">
        <v>4110989170.203599</v>
      </c>
      <c r="DG5">
        <v>0.33066265606880185</v>
      </c>
      <c r="DH5">
        <v>1.2215663618847117</v>
      </c>
      <c r="DI5">
        <v>10446715297.817266</v>
      </c>
      <c r="DJ5">
        <v>0.30060241460800174</v>
      </c>
      <c r="DK5">
        <v>0.22144780586003276</v>
      </c>
      <c r="DL5">
        <v>57626924549.732864</v>
      </c>
      <c r="DM5">
        <v>0.26302711278200147</v>
      </c>
      <c r="DN5">
        <v>287000000</v>
      </c>
      <c r="DO5">
        <v>0.37575301826000213</v>
      </c>
      <c r="DP5">
        <v>12761356000</v>
      </c>
      <c r="DQ5">
        <v>704471380</v>
      </c>
      <c r="DR5">
        <v>4737</v>
      </c>
      <c r="DS5">
        <v>-0.16037035159333546</v>
      </c>
      <c r="DT5">
        <v>-0.94815261077398139</v>
      </c>
      <c r="DU5" s="25">
        <v>0.87</v>
      </c>
      <c r="DV5">
        <v>1.8758333333333337</v>
      </c>
      <c r="DW5">
        <v>2.7458333333333336</v>
      </c>
      <c r="DX5">
        <v>-9.9291422482685139</v>
      </c>
      <c r="DY5">
        <v>0.60388671439606456</v>
      </c>
      <c r="DZ5">
        <v>-9.4310167447558531</v>
      </c>
      <c r="EA5">
        <v>25</v>
      </c>
      <c r="EB5">
        <v>-9.4288825758869894</v>
      </c>
      <c r="EC5">
        <v>9</v>
      </c>
      <c r="ED5">
        <v>4.3992379547689281E-2</v>
      </c>
      <c r="EE5">
        <v>9.4834316617502454E-2</v>
      </c>
      <c r="EF5" s="22">
        <v>4.9699999999999994E-2</v>
      </c>
      <c r="EG5">
        <v>3.9300000000000002E-2</v>
      </c>
      <c r="EH5">
        <v>14.463886714396065</v>
      </c>
      <c r="EI5" t="s">
        <v>619</v>
      </c>
      <c r="EJ5">
        <v>0</v>
      </c>
      <c r="EK5">
        <v>1</v>
      </c>
      <c r="EL5" s="31">
        <v>45133</v>
      </c>
      <c r="EM5" s="32">
        <v>0.46</v>
      </c>
      <c r="EN5" s="32">
        <v>-9.11E-2</v>
      </c>
      <c r="EO5" s="32">
        <v>-5.5</v>
      </c>
      <c r="EP5" s="32">
        <v>-3.3</v>
      </c>
      <c r="EQ5" s="32">
        <v>-1.04</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Industry_copy_call_buttom [c2],[d2]'">
                <anchor moveWithCells="1" sizeWithCells="1">
                  <from>
                    <xdr:col>1</xdr:col>
                    <xdr:colOff>252413</xdr:colOff>
                    <xdr:row>1</xdr:row>
                    <xdr:rowOff>138113</xdr:rowOff>
                  </from>
                  <to>
                    <xdr:col>1</xdr:col>
                    <xdr:colOff>1195388</xdr:colOff>
                    <xdr:row>1</xdr:row>
                    <xdr:rowOff>481013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K27"/>
  <sheetViews>
    <sheetView topLeftCell="A16" workbookViewId="0">
      <selection activeCell="A3" sqref="A3:A27"/>
    </sheetView>
  </sheetViews>
  <sheetFormatPr defaultRowHeight="13.5"/>
  <cols>
    <col min="1" max="1" width="21.53125" style="3" customWidth="1"/>
    <col min="2" max="2" width="39.796875" customWidth="1"/>
    <col min="3" max="3" width="34.06640625" customWidth="1"/>
    <col min="4" max="4" width="53" customWidth="1"/>
    <col min="5" max="5" width="17.19921875" customWidth="1"/>
    <col min="6" max="6" width="16.796875" customWidth="1"/>
  </cols>
  <sheetData>
    <row r="1" spans="1:141" s="17" customFormat="1">
      <c r="A1" s="18" t="s">
        <v>408</v>
      </c>
      <c r="B1" s="20" t="s">
        <v>623</v>
      </c>
      <c r="C1" s="21" t="s">
        <v>624</v>
      </c>
      <c r="D1" s="20" t="s">
        <v>625</v>
      </c>
      <c r="E1" t="s">
        <v>2</v>
      </c>
      <c r="F1" t="s">
        <v>3</v>
      </c>
      <c r="G1" t="s">
        <v>0</v>
      </c>
      <c r="H1" t="s">
        <v>592</v>
      </c>
      <c r="I1" t="s">
        <v>626</v>
      </c>
      <c r="J1" t="s">
        <v>4</v>
      </c>
      <c r="K1" t="s">
        <v>5</v>
      </c>
      <c r="L1" t="s">
        <v>1</v>
      </c>
      <c r="M1" t="s">
        <v>6</v>
      </c>
      <c r="N1" t="s">
        <v>36</v>
      </c>
      <c r="O1" t="s">
        <v>37</v>
      </c>
      <c r="P1" t="s">
        <v>38</v>
      </c>
      <c r="Q1" t="s">
        <v>627</v>
      </c>
      <c r="R1" t="s">
        <v>593</v>
      </c>
      <c r="S1" t="s">
        <v>628</v>
      </c>
      <c r="T1" t="s">
        <v>39</v>
      </c>
      <c r="U1" t="s">
        <v>594</v>
      </c>
      <c r="V1" t="s">
        <v>595</v>
      </c>
      <c r="W1" t="s">
        <v>40</v>
      </c>
      <c r="X1" t="s">
        <v>538</v>
      </c>
      <c r="Y1" t="s">
        <v>539</v>
      </c>
      <c r="Z1" t="s">
        <v>540</v>
      </c>
      <c r="AA1" t="s">
        <v>541</v>
      </c>
      <c r="AB1" t="s">
        <v>542</v>
      </c>
      <c r="AC1" t="s">
        <v>596</v>
      </c>
      <c r="AD1" t="s">
        <v>543</v>
      </c>
      <c r="AE1" t="s">
        <v>629</v>
      </c>
      <c r="AF1" t="s">
        <v>41</v>
      </c>
      <c r="AG1" t="s">
        <v>42</v>
      </c>
      <c r="AH1" t="s">
        <v>597</v>
      </c>
      <c r="AI1" t="s">
        <v>630</v>
      </c>
      <c r="AJ1" t="s">
        <v>598</v>
      </c>
      <c r="AK1" t="s">
        <v>43</v>
      </c>
      <c r="AL1" t="s">
        <v>599</v>
      </c>
      <c r="AM1" t="s">
        <v>409</v>
      </c>
      <c r="AN1" t="s">
        <v>600</v>
      </c>
      <c r="AO1" t="s">
        <v>601</v>
      </c>
      <c r="AP1" t="s">
        <v>602</v>
      </c>
      <c r="AQ1" t="s">
        <v>603</v>
      </c>
      <c r="AR1" t="s">
        <v>604</v>
      </c>
      <c r="AS1" t="s">
        <v>605</v>
      </c>
      <c r="AT1" t="s">
        <v>606</v>
      </c>
      <c r="AU1" t="s">
        <v>607</v>
      </c>
      <c r="AV1" t="s">
        <v>608</v>
      </c>
      <c r="AW1" t="s">
        <v>609</v>
      </c>
      <c r="AX1" t="s">
        <v>610</v>
      </c>
      <c r="AY1" t="s">
        <v>631</v>
      </c>
      <c r="AZ1" t="s">
        <v>410</v>
      </c>
      <c r="BA1" t="s">
        <v>411</v>
      </c>
      <c r="BB1" t="s">
        <v>412</v>
      </c>
      <c r="BC1" t="s">
        <v>413</v>
      </c>
      <c r="BD1" t="s">
        <v>419</v>
      </c>
      <c r="BE1" t="s">
        <v>414</v>
      </c>
      <c r="BF1" t="s">
        <v>415</v>
      </c>
      <c r="BG1" t="s">
        <v>416</v>
      </c>
      <c r="BH1" t="s">
        <v>417</v>
      </c>
      <c r="BI1" t="s">
        <v>632</v>
      </c>
      <c r="BJ1" t="s">
        <v>611</v>
      </c>
      <c r="BK1" t="s">
        <v>418</v>
      </c>
      <c r="BL1" t="s">
        <v>612</v>
      </c>
      <c r="BM1" t="s">
        <v>613</v>
      </c>
      <c r="BN1" t="s">
        <v>614</v>
      </c>
      <c r="BO1" t="s">
        <v>615</v>
      </c>
      <c r="BP1" t="s">
        <v>420</v>
      </c>
      <c r="BQ1" t="s">
        <v>421</v>
      </c>
      <c r="BR1" t="s">
        <v>422</v>
      </c>
      <c r="BS1" t="s">
        <v>616</v>
      </c>
      <c r="BT1" t="s">
        <v>423</v>
      </c>
      <c r="BU1" t="s">
        <v>424</v>
      </c>
      <c r="BV1" t="s">
        <v>425</v>
      </c>
      <c r="BW1" t="s">
        <v>617</v>
      </c>
      <c r="BX1" t="s">
        <v>426</v>
      </c>
      <c r="BY1" t="s">
        <v>427</v>
      </c>
      <c r="BZ1" t="s">
        <v>618</v>
      </c>
      <c r="CA1" t="s">
        <v>428</v>
      </c>
      <c r="CB1" t="s">
        <v>429</v>
      </c>
      <c r="CC1" t="s">
        <v>633</v>
      </c>
      <c r="CD1" t="s">
        <v>634</v>
      </c>
      <c r="CE1" t="s">
        <v>635</v>
      </c>
      <c r="CF1" t="s">
        <v>636</v>
      </c>
      <c r="CG1" s="1" t="s">
        <v>544</v>
      </c>
      <c r="CH1" s="1" t="s">
        <v>545</v>
      </c>
      <c r="CI1" s="1" t="s">
        <v>546</v>
      </c>
      <c r="CJ1" s="1" t="s">
        <v>547</v>
      </c>
      <c r="CK1" s="1" t="s">
        <v>548</v>
      </c>
      <c r="CL1" s="1" t="s">
        <v>549</v>
      </c>
      <c r="CM1" s="1" t="s">
        <v>550</v>
      </c>
      <c r="CN1" s="1" t="s">
        <v>551</v>
      </c>
      <c r="CO1" s="1" t="s">
        <v>552</v>
      </c>
      <c r="CP1" s="1" t="s">
        <v>553</v>
      </c>
      <c r="CQ1" s="1" t="s">
        <v>554</v>
      </c>
      <c r="CR1" s="1" t="s">
        <v>555</v>
      </c>
      <c r="CS1" s="1" t="s">
        <v>637</v>
      </c>
      <c r="CT1" s="1" t="s">
        <v>638</v>
      </c>
      <c r="CU1" s="1" t="s">
        <v>639</v>
      </c>
      <c r="CV1" s="1" t="s">
        <v>640</v>
      </c>
      <c r="CW1" s="1" t="s">
        <v>641</v>
      </c>
      <c r="CX1" s="1" t="s">
        <v>642</v>
      </c>
      <c r="CY1">
        <v>1</v>
      </c>
      <c r="CZ1" t="s">
        <v>643</v>
      </c>
      <c r="DA1" t="s">
        <v>644</v>
      </c>
      <c r="DB1">
        <v>3</v>
      </c>
      <c r="DC1" t="s">
        <v>645</v>
      </c>
      <c r="DD1" t="s">
        <v>646</v>
      </c>
      <c r="DE1">
        <v>6</v>
      </c>
      <c r="DF1" t="s">
        <v>647</v>
      </c>
      <c r="DG1" t="s">
        <v>648</v>
      </c>
      <c r="DH1">
        <v>10</v>
      </c>
      <c r="DI1" t="s">
        <v>649</v>
      </c>
      <c r="DJ1" t="s">
        <v>650</v>
      </c>
      <c r="DK1">
        <v>20</v>
      </c>
      <c r="DL1" t="s">
        <v>651</v>
      </c>
      <c r="DM1" t="s">
        <v>559</v>
      </c>
      <c r="DN1" t="s">
        <v>560</v>
      </c>
      <c r="DO1" s="2" t="s">
        <v>561</v>
      </c>
      <c r="DP1" t="s">
        <v>652</v>
      </c>
      <c r="DQ1" t="s">
        <v>653</v>
      </c>
      <c r="DR1" s="1" t="s">
        <v>654</v>
      </c>
      <c r="DS1" s="1" t="s">
        <v>655</v>
      </c>
      <c r="DT1" s="1" t="s">
        <v>656</v>
      </c>
      <c r="DU1" t="s">
        <v>657</v>
      </c>
      <c r="DV1" t="s">
        <v>658</v>
      </c>
      <c r="DW1" t="s">
        <v>659</v>
      </c>
      <c r="DX1" t="s">
        <v>660</v>
      </c>
      <c r="DY1" t="s">
        <v>661</v>
      </c>
      <c r="DZ1" t="s">
        <v>662</v>
      </c>
      <c r="EA1" t="s">
        <v>663</v>
      </c>
      <c r="EB1" t="s">
        <v>664</v>
      </c>
      <c r="EC1" t="s">
        <v>665</v>
      </c>
      <c r="ED1" t="s">
        <v>666</v>
      </c>
      <c r="EE1" t="s">
        <v>667</v>
      </c>
      <c r="EF1" t="s">
        <v>668</v>
      </c>
      <c r="EG1" t="s">
        <v>669</v>
      </c>
      <c r="EH1" t="s">
        <v>670</v>
      </c>
      <c r="EI1" t="s">
        <v>671</v>
      </c>
      <c r="EJ1" t="s">
        <v>672</v>
      </c>
      <c r="EK1"/>
    </row>
    <row r="2" spans="1:141" s="17" customFormat="1" ht="50.55" customHeight="1">
      <c r="A2" s="18"/>
      <c r="B2" s="27"/>
      <c r="C2" s="27">
        <v>3</v>
      </c>
      <c r="D2" s="27">
        <v>27</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1" ht="67.5">
      <c r="A3" s="36" t="s">
        <v>1565</v>
      </c>
      <c r="B3" s="4"/>
      <c r="C3" s="4"/>
      <c r="D3" s="4" t="s">
        <v>890</v>
      </c>
      <c r="E3" t="s">
        <v>214</v>
      </c>
      <c r="F3" t="s">
        <v>215</v>
      </c>
      <c r="G3">
        <v>3.25</v>
      </c>
      <c r="H3">
        <v>-2.4</v>
      </c>
      <c r="I3" t="s">
        <v>866</v>
      </c>
      <c r="J3">
        <v>2859266600</v>
      </c>
      <c r="L3">
        <v>9.68</v>
      </c>
      <c r="M3" t="s">
        <v>26</v>
      </c>
      <c r="N3" t="s">
        <v>436</v>
      </c>
      <c r="O3" t="s">
        <v>92</v>
      </c>
      <c r="P3" t="s">
        <v>867</v>
      </c>
      <c r="Q3">
        <v>28.22</v>
      </c>
      <c r="R3" t="s">
        <v>142</v>
      </c>
      <c r="S3">
        <v>-11462480</v>
      </c>
      <c r="T3" s="5">
        <v>-1.137</v>
      </c>
      <c r="U3" t="s">
        <v>588</v>
      </c>
      <c r="V3">
        <v>781977160</v>
      </c>
      <c r="W3">
        <v>879774350</v>
      </c>
      <c r="X3">
        <v>4.9400000000000004</v>
      </c>
      <c r="Y3">
        <v>0.23</v>
      </c>
      <c r="Z3">
        <v>3.02</v>
      </c>
      <c r="AA3" t="s">
        <v>157</v>
      </c>
      <c r="AB3" t="s">
        <v>868</v>
      </c>
      <c r="AC3" t="s">
        <v>869</v>
      </c>
      <c r="AD3" t="s">
        <v>870</v>
      </c>
      <c r="AE3" t="s">
        <v>871</v>
      </c>
      <c r="AF3">
        <v>24861953</v>
      </c>
      <c r="AG3" t="s">
        <v>872</v>
      </c>
      <c r="AH3" t="s">
        <v>873</v>
      </c>
      <c r="AI3" t="s">
        <v>874</v>
      </c>
      <c r="AJ3" t="s">
        <v>67</v>
      </c>
      <c r="AK3" t="s">
        <v>875</v>
      </c>
      <c r="AL3" t="s">
        <v>876</v>
      </c>
      <c r="AM3" t="s">
        <v>877</v>
      </c>
      <c r="AN3" t="s">
        <v>878</v>
      </c>
      <c r="AO3" t="s">
        <v>879</v>
      </c>
      <c r="AP3" t="s">
        <v>138</v>
      </c>
      <c r="AQ3" t="s">
        <v>7</v>
      </c>
      <c r="AR3" t="s">
        <v>292</v>
      </c>
      <c r="AS3" t="s">
        <v>7</v>
      </c>
      <c r="AT3" t="s">
        <v>880</v>
      </c>
      <c r="AU3" t="s">
        <v>881</v>
      </c>
      <c r="AV3" t="s">
        <v>882</v>
      </c>
      <c r="AW3" t="s">
        <v>883</v>
      </c>
      <c r="AX3" t="s">
        <v>884</v>
      </c>
      <c r="AY3" t="s">
        <v>470</v>
      </c>
      <c r="AZ3" t="s">
        <v>216</v>
      </c>
      <c r="BA3" t="s">
        <v>471</v>
      </c>
      <c r="BB3" t="s">
        <v>472</v>
      </c>
      <c r="BC3" t="s">
        <v>357</v>
      </c>
      <c r="BD3" t="s">
        <v>758</v>
      </c>
      <c r="BE3" t="s">
        <v>217</v>
      </c>
      <c r="BF3" t="s">
        <v>130</v>
      </c>
      <c r="BG3" t="s">
        <v>254</v>
      </c>
      <c r="BH3" t="s">
        <v>92</v>
      </c>
      <c r="BI3" t="s">
        <v>885</v>
      </c>
      <c r="BJ3" t="s">
        <v>88</v>
      </c>
      <c r="BK3" t="s">
        <v>236</v>
      </c>
      <c r="BL3" t="s">
        <v>886</v>
      </c>
      <c r="BM3" t="s">
        <v>887</v>
      </c>
      <c r="BN3" t="s">
        <v>759</v>
      </c>
      <c r="BO3">
        <v>0.25</v>
      </c>
      <c r="BP3">
        <v>-9.99</v>
      </c>
      <c r="BQ3">
        <v>-40.64</v>
      </c>
      <c r="BR3">
        <v>-23.36</v>
      </c>
      <c r="BS3">
        <v>-39.18</v>
      </c>
      <c r="BT3">
        <v>-101.39</v>
      </c>
      <c r="BU3">
        <v>-43.45</v>
      </c>
      <c r="BV3" t="s">
        <v>888</v>
      </c>
      <c r="BW3">
        <v>80.11</v>
      </c>
      <c r="BX3">
        <v>63.73</v>
      </c>
      <c r="BY3">
        <v>60.04</v>
      </c>
      <c r="BZ3">
        <v>6.71</v>
      </c>
      <c r="CA3">
        <v>-131.6</v>
      </c>
      <c r="CB3">
        <v>-68.569999999999993</v>
      </c>
      <c r="CC3">
        <v>-2.4</v>
      </c>
      <c r="CD3">
        <v>3.83</v>
      </c>
      <c r="CE3" t="s">
        <v>889</v>
      </c>
      <c r="CF3" t="s">
        <v>346</v>
      </c>
      <c r="CG3" s="23">
        <v>0.14512585492227978</v>
      </c>
      <c r="CH3" s="24">
        <v>-1.2631626861637815</v>
      </c>
      <c r="CI3" s="23">
        <v>-7.6309792697429657E-2</v>
      </c>
      <c r="CJ3" s="23">
        <v>-0.3467261791229248</v>
      </c>
      <c r="CK3" s="23">
        <v>-0.48027840256690979</v>
      </c>
      <c r="CL3" s="23">
        <v>7.7394425170496106E-4</v>
      </c>
      <c r="CM3" s="23">
        <v>-2.158270962536335E-2</v>
      </c>
      <c r="CN3" s="24">
        <v>0.84658557176589966</v>
      </c>
      <c r="CO3" s="24">
        <v>-0.21064552664756775</v>
      </c>
      <c r="CP3" s="24">
        <v>-5.7219252586364746</v>
      </c>
      <c r="CQ3" s="24">
        <v>0.15432098507881165</v>
      </c>
      <c r="CR3" s="24">
        <v>-0.52352941036224365</v>
      </c>
      <c r="CS3">
        <v>3.5256061652281137</v>
      </c>
      <c r="CT3">
        <v>8208512.8048780486</v>
      </c>
      <c r="CU3">
        <v>3.4313240000000005</v>
      </c>
      <c r="CV3" s="23">
        <v>-0.18482462795218452</v>
      </c>
      <c r="CW3" s="24">
        <v>-1.0910387277603149</v>
      </c>
      <c r="CX3">
        <v>0.06</v>
      </c>
      <c r="CY3" t="e">
        <v>#VALUE!</v>
      </c>
      <c r="CZ3" t="s">
        <v>718</v>
      </c>
      <c r="DA3">
        <v>-0.18482462795218452</v>
      </c>
      <c r="DB3" t="e">
        <v>#VALUE!</v>
      </c>
      <c r="DC3" t="s">
        <v>719</v>
      </c>
      <c r="DD3">
        <v>-0.17558339655457528</v>
      </c>
      <c r="DE3" t="e">
        <v>#VALUE!</v>
      </c>
      <c r="DF3" t="s">
        <v>719</v>
      </c>
      <c r="DG3">
        <v>-0.16264567259792237</v>
      </c>
      <c r="DH3" t="e">
        <v>#VALUE!</v>
      </c>
      <c r="DI3" t="s">
        <v>719</v>
      </c>
      <c r="DJ3">
        <v>-0.14785970236174761</v>
      </c>
      <c r="DK3" t="e">
        <v>#VALUE!</v>
      </c>
      <c r="DL3" t="s">
        <v>719</v>
      </c>
      <c r="DM3">
        <v>-0.12937723956652916</v>
      </c>
      <c r="DN3">
        <v>-164000000</v>
      </c>
      <c r="DO3">
        <v>-0.18482462795218452</v>
      </c>
      <c r="DP3">
        <v>3862266600</v>
      </c>
      <c r="DQ3">
        <v>-529037750</v>
      </c>
      <c r="DR3">
        <v>375</v>
      </c>
      <c r="DS3">
        <v>0.32995048287446427</v>
      </c>
      <c r="DT3">
        <v>-0.17212395840346661</v>
      </c>
      <c r="DU3" s="25">
        <v>0.15666666666666665</v>
      </c>
      <c r="DV3">
        <v>-2.2150000000000003</v>
      </c>
      <c r="DW3">
        <v>-2.0583333333333336</v>
      </c>
      <c r="DX3">
        <v>1.0383</v>
      </c>
      <c r="DY3">
        <v>0.44616237942122211</v>
      </c>
      <c r="DZ3">
        <v>1.0052150191318328</v>
      </c>
      <c r="EA3">
        <v>4588</v>
      </c>
      <c r="EB3">
        <v>1.0002674368785556</v>
      </c>
      <c r="EC3">
        <v>1</v>
      </c>
      <c r="ED3">
        <v>4.8133365106632173E-2</v>
      </c>
      <c r="EE3">
        <v>0.3534997354719423</v>
      </c>
      <c r="EF3" s="22">
        <v>1.01231</v>
      </c>
      <c r="EG3">
        <v>1.0363100000000001</v>
      </c>
      <c r="EH3">
        <v>31.136162379421222</v>
      </c>
      <c r="EI3" t="s">
        <v>700</v>
      </c>
      <c r="EJ3">
        <v>0</v>
      </c>
      <c r="EK3">
        <v>0</v>
      </c>
    </row>
    <row r="4" spans="1:141" ht="67.5">
      <c r="A4" s="36"/>
      <c r="B4" s="4"/>
      <c r="C4" s="4"/>
      <c r="D4" s="4" t="s">
        <v>921</v>
      </c>
      <c r="E4" t="s">
        <v>473</v>
      </c>
      <c r="F4" t="s">
        <v>474</v>
      </c>
      <c r="G4">
        <v>43.26</v>
      </c>
      <c r="H4">
        <v>-0.78</v>
      </c>
      <c r="I4" t="s">
        <v>891</v>
      </c>
      <c r="J4">
        <v>75696761000</v>
      </c>
      <c r="K4">
        <v>32.32</v>
      </c>
      <c r="L4">
        <v>4.3600000000000003</v>
      </c>
      <c r="M4" t="s">
        <v>26</v>
      </c>
      <c r="N4" t="s">
        <v>892</v>
      </c>
      <c r="O4" t="s">
        <v>893</v>
      </c>
      <c r="P4" t="s">
        <v>894</v>
      </c>
      <c r="Q4">
        <v>5.93</v>
      </c>
      <c r="R4" t="s">
        <v>720</v>
      </c>
      <c r="S4">
        <v>1340570480</v>
      </c>
      <c r="T4" s="5">
        <v>3.09E-2</v>
      </c>
      <c r="U4" t="s">
        <v>310</v>
      </c>
      <c r="V4">
        <v>1749693400</v>
      </c>
      <c r="W4">
        <v>1749809500</v>
      </c>
      <c r="X4">
        <v>1.62</v>
      </c>
      <c r="Y4">
        <v>0.65</v>
      </c>
      <c r="Z4">
        <v>7.44</v>
      </c>
      <c r="AA4" t="s">
        <v>895</v>
      </c>
      <c r="AB4" t="s">
        <v>896</v>
      </c>
      <c r="AC4" t="s">
        <v>897</v>
      </c>
      <c r="AD4" t="s">
        <v>898</v>
      </c>
      <c r="AE4" t="s">
        <v>899</v>
      </c>
      <c r="AF4">
        <v>5447966</v>
      </c>
      <c r="AG4" t="s">
        <v>900</v>
      </c>
      <c r="AH4" t="s">
        <v>901</v>
      </c>
      <c r="AI4" t="s">
        <v>902</v>
      </c>
      <c r="AJ4" t="s">
        <v>903</v>
      </c>
      <c r="AK4" t="s">
        <v>904</v>
      </c>
      <c r="AL4" t="s">
        <v>7</v>
      </c>
      <c r="AM4" t="s">
        <v>905</v>
      </c>
      <c r="AN4" t="s">
        <v>906</v>
      </c>
      <c r="AO4" t="s">
        <v>855</v>
      </c>
      <c r="AP4" t="s">
        <v>907</v>
      </c>
      <c r="AQ4" t="s">
        <v>908</v>
      </c>
      <c r="AR4" t="s">
        <v>909</v>
      </c>
      <c r="AS4" t="s">
        <v>910</v>
      </c>
      <c r="AT4" t="s">
        <v>911</v>
      </c>
      <c r="AU4" t="s">
        <v>331</v>
      </c>
      <c r="AV4" t="s">
        <v>47</v>
      </c>
      <c r="AW4" t="s">
        <v>912</v>
      </c>
      <c r="AX4" t="s">
        <v>913</v>
      </c>
      <c r="AY4" t="s">
        <v>475</v>
      </c>
      <c r="AZ4" t="s">
        <v>477</v>
      </c>
      <c r="BA4" t="s">
        <v>478</v>
      </c>
      <c r="BB4" t="s">
        <v>479</v>
      </c>
      <c r="BC4" t="s">
        <v>480</v>
      </c>
      <c r="BD4" t="s">
        <v>305</v>
      </c>
      <c r="BE4" t="s">
        <v>481</v>
      </c>
      <c r="BF4" t="s">
        <v>365</v>
      </c>
      <c r="BG4" t="s">
        <v>482</v>
      </c>
      <c r="BH4" t="s">
        <v>483</v>
      </c>
      <c r="BI4" t="s">
        <v>914</v>
      </c>
      <c r="BJ4" t="s">
        <v>915</v>
      </c>
      <c r="BK4" t="s">
        <v>760</v>
      </c>
      <c r="BL4" t="s">
        <v>916</v>
      </c>
      <c r="BM4" t="s">
        <v>917</v>
      </c>
      <c r="BN4" t="s">
        <v>460</v>
      </c>
      <c r="BO4">
        <v>3.42</v>
      </c>
      <c r="BP4">
        <v>12.82</v>
      </c>
      <c r="BQ4">
        <v>17.88</v>
      </c>
      <c r="BR4">
        <v>20.96</v>
      </c>
      <c r="BS4">
        <v>14.75</v>
      </c>
      <c r="BT4">
        <v>20.95</v>
      </c>
      <c r="BU4">
        <v>25.29</v>
      </c>
      <c r="BV4" t="s">
        <v>888</v>
      </c>
      <c r="BW4">
        <v>33.78</v>
      </c>
      <c r="BX4">
        <v>33.049999999999997</v>
      </c>
      <c r="BY4">
        <v>32.049999999999997</v>
      </c>
      <c r="BZ4">
        <v>7.99</v>
      </c>
      <c r="CA4">
        <v>8.64</v>
      </c>
      <c r="CB4">
        <v>8.25</v>
      </c>
      <c r="CC4">
        <v>4.97</v>
      </c>
      <c r="CD4">
        <v>-2.39</v>
      </c>
      <c r="CE4" t="s">
        <v>918</v>
      </c>
      <c r="CF4" t="s">
        <v>919</v>
      </c>
      <c r="CG4" s="23">
        <v>0.11868679063028253</v>
      </c>
      <c r="CH4" s="24">
        <v>0.17448428044280442</v>
      </c>
      <c r="CI4" s="23">
        <v>2.6125909760594368E-2</v>
      </c>
      <c r="CJ4" s="23">
        <v>-4.9737691879272461E-2</v>
      </c>
      <c r="CK4" s="23">
        <v>0.15598610043525696</v>
      </c>
      <c r="CL4" s="23">
        <v>0.10171742737293243</v>
      </c>
      <c r="CM4" s="23">
        <v>9.6611537039279938E-2</v>
      </c>
      <c r="CN4" s="24">
        <v>-0.18368789553642273</v>
      </c>
      <c r="CO4" s="24">
        <v>2.4884692393243313E-3</v>
      </c>
      <c r="CP4" s="24">
        <v>0.24084687232971191</v>
      </c>
      <c r="CQ4" s="24">
        <v>0.27359554171562195</v>
      </c>
      <c r="CR4" s="24">
        <v>0.23013125360012054</v>
      </c>
      <c r="CS4">
        <v>2.1901096837658769</v>
      </c>
      <c r="CT4">
        <v>55249312.771503039</v>
      </c>
      <c r="CU4">
        <v>7.8343200000000017</v>
      </c>
      <c r="CV4" s="23">
        <v>6.614065654575825E-2</v>
      </c>
      <c r="CW4" s="24">
        <v>0.1126748482696712</v>
      </c>
      <c r="CX4">
        <v>0.06</v>
      </c>
      <c r="CY4">
        <v>29.779596290267495</v>
      </c>
      <c r="CZ4">
        <v>2315335652.2342787</v>
      </c>
      <c r="DA4">
        <v>6.614065654575825E-2</v>
      </c>
      <c r="DB4">
        <v>9.930847649372156</v>
      </c>
      <c r="DC4">
        <v>6942988497.4984093</v>
      </c>
      <c r="DD4">
        <v>6.283362371847033E-2</v>
      </c>
      <c r="DE4">
        <v>5.0217180541562856</v>
      </c>
      <c r="DF4">
        <v>13730313063.461</v>
      </c>
      <c r="DG4">
        <v>5.8203777760267257E-2</v>
      </c>
      <c r="DH4">
        <v>3.1072162021794938</v>
      </c>
      <c r="DI4">
        <v>22190203871.760384</v>
      </c>
      <c r="DJ4">
        <v>5.2912525236606604E-2</v>
      </c>
      <c r="DK4">
        <v>1.7120007254497152</v>
      </c>
      <c r="DL4">
        <v>40274376041.451736</v>
      </c>
      <c r="DM4">
        <v>4.6298459582030771E-2</v>
      </c>
      <c r="DN4">
        <v>2302000000</v>
      </c>
      <c r="DO4">
        <v>6.614065654575825E-2</v>
      </c>
      <c r="DP4">
        <v>68949761000</v>
      </c>
      <c r="DQ4">
        <v>7551235000</v>
      </c>
      <c r="DR4">
        <v>415</v>
      </c>
      <c r="DS4">
        <v>5.2546134084524285E-2</v>
      </c>
      <c r="DT4">
        <v>6.1809432173133227E-2</v>
      </c>
      <c r="DU4" s="25">
        <v>0.13333333333333333</v>
      </c>
      <c r="DV4">
        <v>0.18333333333333326</v>
      </c>
      <c r="DW4">
        <v>0.3166666666666666</v>
      </c>
      <c r="DX4">
        <v>4.4808853118712273</v>
      </c>
      <c r="DY4">
        <v>0.41383218390804744</v>
      </c>
      <c r="DZ4">
        <v>4.0739756377344527</v>
      </c>
      <c r="EA4">
        <v>2764</v>
      </c>
      <c r="EB4">
        <v>4.031695103677789</v>
      </c>
      <c r="EC4">
        <v>4</v>
      </c>
      <c r="ED4">
        <v>3.0593958942387728E-2</v>
      </c>
      <c r="EE4">
        <v>0.19887879223424035</v>
      </c>
      <c r="EF4" s="22">
        <v>3.1311999999999998</v>
      </c>
      <c r="EG4">
        <v>3.1234000000000002</v>
      </c>
      <c r="EH4">
        <v>26.153832183908047</v>
      </c>
      <c r="EI4" t="s">
        <v>920</v>
      </c>
      <c r="EJ4">
        <v>0</v>
      </c>
      <c r="EK4">
        <v>0</v>
      </c>
    </row>
    <row r="5" spans="1:141" ht="67.5">
      <c r="A5" s="36"/>
      <c r="B5" s="4"/>
      <c r="C5" s="4"/>
      <c r="D5" s="4" t="s">
        <v>940</v>
      </c>
      <c r="E5" t="s">
        <v>208</v>
      </c>
      <c r="F5" t="s">
        <v>209</v>
      </c>
      <c r="G5">
        <v>8.6</v>
      </c>
      <c r="H5">
        <v>-1.71</v>
      </c>
      <c r="I5" t="s">
        <v>922</v>
      </c>
      <c r="J5">
        <v>8835210000</v>
      </c>
      <c r="K5">
        <v>30.5</v>
      </c>
      <c r="L5">
        <v>1.64</v>
      </c>
      <c r="M5" t="s">
        <v>8</v>
      </c>
      <c r="N5" t="s">
        <v>438</v>
      </c>
      <c r="O5" t="s">
        <v>721</v>
      </c>
      <c r="P5" t="s">
        <v>923</v>
      </c>
      <c r="Q5">
        <v>-11.26</v>
      </c>
      <c r="R5" t="s">
        <v>579</v>
      </c>
      <c r="S5">
        <v>165327400</v>
      </c>
      <c r="T5" s="5">
        <v>-0.45169999999999999</v>
      </c>
      <c r="U5" t="s">
        <v>172</v>
      </c>
      <c r="V5">
        <v>851403140</v>
      </c>
      <c r="W5">
        <v>1027350000</v>
      </c>
      <c r="X5">
        <v>1.08</v>
      </c>
      <c r="Y5">
        <v>0.1</v>
      </c>
      <c r="Z5">
        <v>29.46</v>
      </c>
      <c r="AA5" t="s">
        <v>924</v>
      </c>
      <c r="AB5" t="s">
        <v>925</v>
      </c>
      <c r="AC5" t="s">
        <v>52</v>
      </c>
      <c r="AD5" t="s">
        <v>926</v>
      </c>
      <c r="AE5" t="s">
        <v>179</v>
      </c>
      <c r="AF5">
        <v>-10934024</v>
      </c>
      <c r="AG5" t="s">
        <v>927</v>
      </c>
      <c r="AH5">
        <v>0.01</v>
      </c>
      <c r="AI5" t="s">
        <v>928</v>
      </c>
      <c r="AJ5" t="s">
        <v>57</v>
      </c>
      <c r="AK5" t="s">
        <v>929</v>
      </c>
      <c r="AL5" t="s">
        <v>7</v>
      </c>
      <c r="AM5" t="s">
        <v>930</v>
      </c>
      <c r="AN5" t="s">
        <v>931</v>
      </c>
      <c r="AO5" t="s">
        <v>145</v>
      </c>
      <c r="AP5" t="s">
        <v>7</v>
      </c>
      <c r="AQ5" t="s">
        <v>7</v>
      </c>
      <c r="AR5" t="s">
        <v>137</v>
      </c>
      <c r="AS5" t="s">
        <v>932</v>
      </c>
      <c r="AT5" t="s">
        <v>326</v>
      </c>
      <c r="AU5" t="s">
        <v>7</v>
      </c>
      <c r="AV5" t="s">
        <v>933</v>
      </c>
      <c r="AW5" t="s">
        <v>934</v>
      </c>
      <c r="AX5" t="s">
        <v>935</v>
      </c>
      <c r="AY5" t="s">
        <v>87</v>
      </c>
      <c r="AZ5" t="s">
        <v>210</v>
      </c>
      <c r="BA5" t="s">
        <v>484</v>
      </c>
      <c r="BB5" t="s">
        <v>485</v>
      </c>
      <c r="BC5" t="s">
        <v>353</v>
      </c>
      <c r="BD5" t="s">
        <v>311</v>
      </c>
      <c r="BE5" t="s">
        <v>211</v>
      </c>
      <c r="BF5" t="s">
        <v>177</v>
      </c>
      <c r="BG5" t="s">
        <v>103</v>
      </c>
      <c r="BH5" t="s">
        <v>347</v>
      </c>
      <c r="BI5" t="s">
        <v>316</v>
      </c>
      <c r="BJ5" t="s">
        <v>369</v>
      </c>
      <c r="BK5" t="s">
        <v>91</v>
      </c>
      <c r="BL5" t="s">
        <v>936</v>
      </c>
      <c r="BM5" t="s">
        <v>101</v>
      </c>
      <c r="BN5" t="s">
        <v>761</v>
      </c>
      <c r="BO5">
        <v>1.17</v>
      </c>
      <c r="BP5">
        <v>8.26</v>
      </c>
      <c r="BQ5">
        <v>7.44</v>
      </c>
      <c r="BR5">
        <v>10.46</v>
      </c>
      <c r="BS5">
        <v>8.27</v>
      </c>
      <c r="BT5">
        <v>7.48</v>
      </c>
      <c r="BU5">
        <v>10.43</v>
      </c>
      <c r="BV5" t="s">
        <v>937</v>
      </c>
      <c r="BW5">
        <v>82.51</v>
      </c>
      <c r="BX5">
        <v>85.31</v>
      </c>
      <c r="BY5">
        <v>79.44</v>
      </c>
      <c r="BZ5">
        <v>22.67</v>
      </c>
      <c r="CA5">
        <v>32.479999999999997</v>
      </c>
      <c r="CB5">
        <v>23.62</v>
      </c>
      <c r="CC5">
        <v>-4.4400000000000004</v>
      </c>
      <c r="CD5">
        <v>-6.42</v>
      </c>
      <c r="CE5" t="s">
        <v>938</v>
      </c>
      <c r="CF5" t="s">
        <v>275</v>
      </c>
      <c r="CG5" s="23">
        <v>-0.24942169354838709</v>
      </c>
      <c r="CH5" s="24">
        <v>-0.51452871484988338</v>
      </c>
      <c r="CI5" s="23">
        <v>9.1644324362277985E-2</v>
      </c>
      <c r="CJ5" s="23">
        <v>-0.45172417163848877</v>
      </c>
      <c r="CK5" s="23">
        <v>-6.3221067190170288E-2</v>
      </c>
      <c r="CL5" s="23">
        <v>0.74476653337478638</v>
      </c>
      <c r="CM5" s="23">
        <v>0.22970296442508698</v>
      </c>
      <c r="CN5" s="24">
        <v>0.16712328791618347</v>
      </c>
      <c r="CO5" s="24">
        <v>-0.25051334500312805</v>
      </c>
      <c r="CP5" s="24">
        <v>-0.14711032807826996</v>
      </c>
      <c r="CQ5" s="24">
        <v>6.9288387894630432E-2</v>
      </c>
      <c r="CR5" s="24">
        <v>0.18141593039035797</v>
      </c>
      <c r="CS5">
        <v>7.2717777777777775</v>
      </c>
      <c r="CT5">
        <v>33202201.877934273</v>
      </c>
      <c r="CU5">
        <v>3.1816800000000005</v>
      </c>
      <c r="CV5" s="23">
        <v>0.11023371666669846</v>
      </c>
      <c r="CW5" s="24">
        <v>4.0407866239547726E-3</v>
      </c>
      <c r="CX5">
        <v>0.06</v>
      </c>
      <c r="CY5">
        <v>8.6403213236387959</v>
      </c>
      <c r="CZ5">
        <v>446188267.26416373</v>
      </c>
      <c r="DA5">
        <v>0.11023371666669846</v>
      </c>
      <c r="DB5">
        <v>2.7757202943207826</v>
      </c>
      <c r="DC5">
        <v>1388904353.1828079</v>
      </c>
      <c r="DD5">
        <v>0.10472203083336352</v>
      </c>
      <c r="DE5">
        <v>1.3353070408720451</v>
      </c>
      <c r="DF5">
        <v>2887133731.7912211</v>
      </c>
      <c r="DG5">
        <v>9.7005670666694646E-2</v>
      </c>
      <c r="DH5">
        <v>0.78112073322027797</v>
      </c>
      <c r="DI5">
        <v>4935485432.7145624</v>
      </c>
      <c r="DJ5">
        <v>8.8186973333358773E-2</v>
      </c>
      <c r="DK5">
        <v>0.38062849887904204</v>
      </c>
      <c r="DL5">
        <v>10128537435.724504</v>
      </c>
      <c r="DM5">
        <v>7.7163601666688911E-2</v>
      </c>
      <c r="DN5">
        <v>426000000</v>
      </c>
      <c r="DO5">
        <v>0.11023371666669846</v>
      </c>
      <c r="DP5">
        <v>3855210000</v>
      </c>
      <c r="DQ5">
        <v>2024363300</v>
      </c>
      <c r="DR5">
        <v>541</v>
      </c>
      <c r="DS5">
        <v>-0.35965541021508551</v>
      </c>
      <c r="DT5">
        <v>-0.51856950147383818</v>
      </c>
      <c r="DU5" s="25">
        <v>0.18333333333333335</v>
      </c>
      <c r="DV5">
        <v>-0.10333333333333335</v>
      </c>
      <c r="DW5">
        <v>0.08</v>
      </c>
      <c r="DX5">
        <v>-8.6915887850467293</v>
      </c>
      <c r="DY5">
        <v>0.59341275167785057</v>
      </c>
      <c r="DZ5">
        <v>-8.1475938656463658</v>
      </c>
      <c r="EA5">
        <v>3161</v>
      </c>
      <c r="EB5">
        <v>-8.0511207040855375</v>
      </c>
      <c r="EC5">
        <v>8</v>
      </c>
      <c r="ED5">
        <v>3.0951963790334356E-2</v>
      </c>
      <c r="EE5">
        <v>0.14503333820022388</v>
      </c>
      <c r="EF5" s="22">
        <v>-2.0261100000000001</v>
      </c>
      <c r="EG5">
        <v>-2.0432100000000002</v>
      </c>
      <c r="EH5">
        <v>38.213412751677851</v>
      </c>
      <c r="EI5" t="s">
        <v>939</v>
      </c>
      <c r="EJ5">
        <v>0</v>
      </c>
      <c r="EK5">
        <v>0</v>
      </c>
    </row>
    <row r="6" spans="1:141" ht="67.5">
      <c r="A6" s="36"/>
      <c r="B6" s="26"/>
      <c r="C6" s="26"/>
      <c r="D6" s="26" t="s">
        <v>963</v>
      </c>
      <c r="E6" t="s">
        <v>722</v>
      </c>
      <c r="F6" t="s">
        <v>723</v>
      </c>
      <c r="G6">
        <v>29.31</v>
      </c>
      <c r="H6">
        <v>-2.88</v>
      </c>
      <c r="I6" t="s">
        <v>941</v>
      </c>
      <c r="J6">
        <v>12226368100</v>
      </c>
      <c r="K6">
        <v>22.81</v>
      </c>
      <c r="L6">
        <v>4.0599999999999996</v>
      </c>
      <c r="M6" t="s">
        <v>590</v>
      </c>
      <c r="N6" t="s">
        <v>942</v>
      </c>
      <c r="O6" t="s">
        <v>943</v>
      </c>
      <c r="P6" t="s">
        <v>944</v>
      </c>
      <c r="Q6">
        <v>-2.19</v>
      </c>
      <c r="R6" t="s">
        <v>724</v>
      </c>
      <c r="S6">
        <v>179894580</v>
      </c>
      <c r="T6" s="5">
        <v>-0.43280000000000002</v>
      </c>
      <c r="U6" t="s">
        <v>435</v>
      </c>
      <c r="V6">
        <v>350580300</v>
      </c>
      <c r="W6">
        <v>417139820</v>
      </c>
      <c r="X6">
        <v>1.25</v>
      </c>
      <c r="Y6">
        <v>0.23</v>
      </c>
      <c r="Z6">
        <v>22.77</v>
      </c>
      <c r="AA6" t="s">
        <v>945</v>
      </c>
      <c r="AB6" t="s">
        <v>252</v>
      </c>
      <c r="AC6" t="s">
        <v>946</v>
      </c>
      <c r="AD6" t="s">
        <v>947</v>
      </c>
      <c r="AE6" t="s">
        <v>219</v>
      </c>
      <c r="AF6">
        <v>-11778487</v>
      </c>
      <c r="AG6" t="s">
        <v>948</v>
      </c>
      <c r="AH6" t="s">
        <v>949</v>
      </c>
      <c r="AI6" t="s">
        <v>950</v>
      </c>
      <c r="AJ6" t="s">
        <v>942</v>
      </c>
      <c r="AK6" t="s">
        <v>951</v>
      </c>
      <c r="AL6" t="s">
        <v>7</v>
      </c>
      <c r="AM6" t="s">
        <v>952</v>
      </c>
      <c r="AN6" t="s">
        <v>953</v>
      </c>
      <c r="AO6" t="s">
        <v>954</v>
      </c>
      <c r="AP6" t="s">
        <v>7</v>
      </c>
      <c r="AQ6" t="s">
        <v>7</v>
      </c>
      <c r="AR6" t="s">
        <v>276</v>
      </c>
      <c r="AS6" t="s">
        <v>7</v>
      </c>
      <c r="AT6" t="s">
        <v>955</v>
      </c>
      <c r="AU6" t="s">
        <v>956</v>
      </c>
      <c r="AV6" t="s">
        <v>957</v>
      </c>
      <c r="AW6" t="s">
        <v>958</v>
      </c>
      <c r="AX6" t="s">
        <v>525</v>
      </c>
      <c r="AY6" t="s">
        <v>325</v>
      </c>
      <c r="AZ6" t="s">
        <v>573</v>
      </c>
      <c r="BA6" t="s">
        <v>528</v>
      </c>
      <c r="BB6" t="s">
        <v>266</v>
      </c>
      <c r="BC6" t="s">
        <v>239</v>
      </c>
      <c r="BD6" t="s">
        <v>358</v>
      </c>
      <c r="BE6" t="s">
        <v>51</v>
      </c>
      <c r="BF6" t="s">
        <v>163</v>
      </c>
      <c r="BG6" t="s">
        <v>73</v>
      </c>
      <c r="BH6" t="s">
        <v>81</v>
      </c>
      <c r="BI6" t="s">
        <v>278</v>
      </c>
      <c r="BJ6" t="s">
        <v>571</v>
      </c>
      <c r="BK6" t="s">
        <v>531</v>
      </c>
      <c r="BL6" t="s">
        <v>959</v>
      </c>
      <c r="BM6" t="s">
        <v>255</v>
      </c>
      <c r="BN6" t="s">
        <v>116</v>
      </c>
      <c r="BO6">
        <v>6.33</v>
      </c>
      <c r="BP6">
        <v>28.45</v>
      </c>
      <c r="BQ6">
        <v>31.23</v>
      </c>
      <c r="BR6">
        <v>29.45</v>
      </c>
      <c r="BS6">
        <v>29.64</v>
      </c>
      <c r="BT6">
        <v>32.01</v>
      </c>
      <c r="BU6">
        <v>29.76</v>
      </c>
      <c r="BV6" t="s">
        <v>960</v>
      </c>
      <c r="BW6">
        <v>80.48</v>
      </c>
      <c r="BX6">
        <v>85.87</v>
      </c>
      <c r="BY6">
        <v>85.61</v>
      </c>
      <c r="BZ6">
        <v>26.56</v>
      </c>
      <c r="CA6">
        <v>38.74</v>
      </c>
      <c r="CB6">
        <v>38.07</v>
      </c>
      <c r="CC6">
        <v>-8.0299999999999994</v>
      </c>
      <c r="CD6">
        <v>-16.52</v>
      </c>
      <c r="CE6" t="s">
        <v>961</v>
      </c>
      <c r="CF6" t="s">
        <v>962</v>
      </c>
      <c r="CG6" s="23">
        <v>-0.15885974576271195</v>
      </c>
      <c r="CH6" s="24">
        <v>-0.63497537634408607</v>
      </c>
      <c r="CI6" s="23">
        <v>0.25645866990089417</v>
      </c>
      <c r="CJ6" s="23">
        <v>0.26252993941307068</v>
      </c>
      <c r="CK6" s="23">
        <v>0.6282382607460022</v>
      </c>
      <c r="CL6" s="23">
        <v>0.29966330528259277</v>
      </c>
      <c r="CM6" s="23">
        <v>0.28293737769126892</v>
      </c>
      <c r="CN6" s="24">
        <v>0.1105610579252243</v>
      </c>
      <c r="CO6" s="24">
        <v>0.3032258152961731</v>
      </c>
      <c r="CP6" s="24">
        <v>0.25336927175521851</v>
      </c>
      <c r="CQ6" s="24">
        <v>0.25337839126586914</v>
      </c>
      <c r="CR6" s="24">
        <v>0.35159817337989807</v>
      </c>
      <c r="CS6">
        <v>6.1315787863590767</v>
      </c>
      <c r="CT6">
        <v>21400040.118870728</v>
      </c>
      <c r="CU6">
        <v>6.5463750000000003</v>
      </c>
      <c r="CV6" s="23">
        <v>0.34596551060676572</v>
      </c>
      <c r="CW6" s="24">
        <v>0.25442654192447661</v>
      </c>
      <c r="CX6">
        <v>0.06</v>
      </c>
      <c r="CY6">
        <v>11.581814164777596</v>
      </c>
      <c r="CZ6">
        <v>854561121.35693705</v>
      </c>
      <c r="DA6">
        <v>0.34596551060676572</v>
      </c>
      <c r="DB6">
        <v>3.0676507911872966</v>
      </c>
      <c r="DC6">
        <v>3226367267.2368765</v>
      </c>
      <c r="DD6">
        <v>0.32866723507642742</v>
      </c>
      <c r="DE6">
        <v>1.1143176514139785</v>
      </c>
      <c r="DF6">
        <v>8881998851.4415474</v>
      </c>
      <c r="DG6">
        <v>0.30444964933395385</v>
      </c>
      <c r="DH6">
        <v>0.4599968928116473</v>
      </c>
      <c r="DI6">
        <v>21516162945.154125</v>
      </c>
      <c r="DJ6">
        <v>0.27677240848541257</v>
      </c>
      <c r="DK6">
        <v>9.437734312901909E-2</v>
      </c>
      <c r="DL6">
        <v>104870170867.9142</v>
      </c>
      <c r="DM6">
        <v>0.24217585742473599</v>
      </c>
      <c r="DN6">
        <v>673000000</v>
      </c>
      <c r="DO6">
        <v>0.34596551060676572</v>
      </c>
      <c r="DP6">
        <v>9897368100</v>
      </c>
      <c r="DQ6">
        <v>2094323200</v>
      </c>
      <c r="DR6">
        <v>1367</v>
      </c>
      <c r="DS6">
        <v>-0.50482525636947773</v>
      </c>
      <c r="DT6">
        <v>-0.88940191826856263</v>
      </c>
      <c r="DU6" s="25">
        <v>0.79999999999999993</v>
      </c>
      <c r="DV6">
        <v>0.27999999999999992</v>
      </c>
      <c r="DW6">
        <v>1.0799999999999998</v>
      </c>
      <c r="DX6">
        <v>-9.4860774818401943</v>
      </c>
      <c r="DY6">
        <v>0.52080968666235339</v>
      </c>
      <c r="DZ6">
        <v>-9.175381463916386</v>
      </c>
      <c r="EA6">
        <v>1407</v>
      </c>
      <c r="EB6">
        <v>-9.124387101500524</v>
      </c>
      <c r="EC6">
        <v>9</v>
      </c>
      <c r="ED6">
        <v>2.3395033348770203E-2</v>
      </c>
      <c r="EE6">
        <v>6.4840369351456303E-2</v>
      </c>
      <c r="EF6" s="22">
        <v>-1.0181100000000001</v>
      </c>
      <c r="EG6">
        <v>-1.04691</v>
      </c>
      <c r="EH6">
        <v>16.360809686662353</v>
      </c>
      <c r="EI6" t="s">
        <v>710</v>
      </c>
      <c r="EJ6">
        <v>0</v>
      </c>
      <c r="EK6">
        <v>1</v>
      </c>
    </row>
    <row r="7" spans="1:141" ht="112.5">
      <c r="A7" s="36"/>
      <c r="B7" s="26"/>
      <c r="C7" s="26" t="s">
        <v>762</v>
      </c>
      <c r="D7" s="26" t="s">
        <v>983</v>
      </c>
      <c r="E7" t="s">
        <v>202</v>
      </c>
      <c r="F7" t="s">
        <v>203</v>
      </c>
      <c r="G7">
        <v>10.45</v>
      </c>
      <c r="H7">
        <v>-4.57</v>
      </c>
      <c r="I7" t="s">
        <v>964</v>
      </c>
      <c r="J7">
        <v>2770877100</v>
      </c>
      <c r="L7">
        <v>5.0999999999999996</v>
      </c>
      <c r="M7" t="s">
        <v>590</v>
      </c>
      <c r="N7" t="s">
        <v>307</v>
      </c>
      <c r="O7" t="s">
        <v>260</v>
      </c>
      <c r="P7" t="s">
        <v>965</v>
      </c>
      <c r="Q7">
        <v>-22.68</v>
      </c>
      <c r="R7" t="s">
        <v>431</v>
      </c>
      <c r="S7">
        <v>-243985840</v>
      </c>
      <c r="T7" s="5">
        <v>-7.0659999999999998</v>
      </c>
      <c r="U7" t="s">
        <v>725</v>
      </c>
      <c r="V7">
        <v>265134080</v>
      </c>
      <c r="W7">
        <v>265155700</v>
      </c>
      <c r="X7">
        <v>1.57</v>
      </c>
      <c r="Y7">
        <v>0.21</v>
      </c>
      <c r="Z7">
        <v>-121.83</v>
      </c>
      <c r="AA7" t="s">
        <v>314</v>
      </c>
      <c r="AB7" t="s">
        <v>966</v>
      </c>
      <c r="AC7" t="s">
        <v>967</v>
      </c>
      <c r="AD7" t="s">
        <v>968</v>
      </c>
      <c r="AE7" t="s">
        <v>969</v>
      </c>
      <c r="AF7">
        <v>2913375</v>
      </c>
      <c r="AG7" t="s">
        <v>970</v>
      </c>
      <c r="AH7" t="s">
        <v>971</v>
      </c>
      <c r="AI7" t="s">
        <v>763</v>
      </c>
      <c r="AJ7" t="s">
        <v>118</v>
      </c>
      <c r="AK7" t="s">
        <v>972</v>
      </c>
      <c r="AL7" t="s">
        <v>7</v>
      </c>
      <c r="AM7" t="s">
        <v>973</v>
      </c>
      <c r="AN7" t="s">
        <v>262</v>
      </c>
      <c r="AO7" t="s">
        <v>764</v>
      </c>
      <c r="AP7" t="s">
        <v>974</v>
      </c>
      <c r="AQ7" t="s">
        <v>7</v>
      </c>
      <c r="AR7" t="s">
        <v>975</v>
      </c>
      <c r="AS7" t="s">
        <v>7</v>
      </c>
      <c r="AT7" t="s">
        <v>248</v>
      </c>
      <c r="AU7" t="s">
        <v>7</v>
      </c>
      <c r="AV7" t="s">
        <v>976</v>
      </c>
      <c r="AW7" t="s">
        <v>977</v>
      </c>
      <c r="AX7" t="s">
        <v>978</v>
      </c>
      <c r="AY7" t="s">
        <v>152</v>
      </c>
      <c r="AZ7" t="s">
        <v>206</v>
      </c>
      <c r="BA7" t="s">
        <v>253</v>
      </c>
      <c r="BB7" t="s">
        <v>212</v>
      </c>
      <c r="BC7" t="s">
        <v>296</v>
      </c>
      <c r="BD7" t="s">
        <v>486</v>
      </c>
      <c r="BE7" t="s">
        <v>207</v>
      </c>
      <c r="BF7" t="s">
        <v>487</v>
      </c>
      <c r="BG7" t="s">
        <v>488</v>
      </c>
      <c r="BH7" t="s">
        <v>489</v>
      </c>
      <c r="BI7" t="s">
        <v>292</v>
      </c>
      <c r="BJ7" t="s">
        <v>133</v>
      </c>
      <c r="BK7" t="s">
        <v>100</v>
      </c>
      <c r="BL7" t="s">
        <v>979</v>
      </c>
      <c r="BM7" t="s">
        <v>980</v>
      </c>
      <c r="BN7" t="s">
        <v>765</v>
      </c>
      <c r="BO7">
        <v>-31.21</v>
      </c>
      <c r="BP7">
        <v>7.83</v>
      </c>
      <c r="BQ7">
        <v>4.79</v>
      </c>
      <c r="BR7">
        <v>-38.08</v>
      </c>
      <c r="BS7">
        <v>9.73</v>
      </c>
      <c r="BT7">
        <v>6.46</v>
      </c>
      <c r="BU7">
        <v>-49.85</v>
      </c>
      <c r="BV7" t="s">
        <v>960</v>
      </c>
      <c r="BW7">
        <v>75.28</v>
      </c>
      <c r="BX7">
        <v>72.53</v>
      </c>
      <c r="BY7">
        <v>67.7</v>
      </c>
      <c r="BZ7">
        <v>17.38</v>
      </c>
      <c r="CA7">
        <v>9.4700000000000006</v>
      </c>
      <c r="CB7">
        <v>-112.07</v>
      </c>
      <c r="CC7">
        <v>-4.91</v>
      </c>
      <c r="CD7">
        <v>-19.55</v>
      </c>
      <c r="CE7" t="s">
        <v>981</v>
      </c>
      <c r="CF7" t="s">
        <v>982</v>
      </c>
      <c r="CG7" s="23">
        <v>-0.40390238805970147</v>
      </c>
      <c r="CH7" s="24">
        <v>-13.092669742553714</v>
      </c>
      <c r="CI7" s="23">
        <v>0.1189931333065033</v>
      </c>
      <c r="CJ7" s="23">
        <v>-2.2831049282103777E-3</v>
      </c>
      <c r="CK7" s="23">
        <v>-4.3668121099472046E-2</v>
      </c>
      <c r="CL7" s="23">
        <v>-6.5075922757387161E-3</v>
      </c>
      <c r="CM7" s="23">
        <v>0.47284343838691711</v>
      </c>
      <c r="CN7" s="24">
        <v>0.58143919706344604</v>
      </c>
      <c r="CO7" s="24">
        <v>1.1002041101455688</v>
      </c>
      <c r="CP7" s="24">
        <v>-11.164711952209473</v>
      </c>
      <c r="CQ7" s="24">
        <v>4.907398484647274E-3</v>
      </c>
      <c r="CR7" s="24">
        <v>-0.20072934031486511</v>
      </c>
      <c r="CS7">
        <v>5.6664153374233139</v>
      </c>
      <c r="CT7">
        <v>27358946.625592031</v>
      </c>
      <c r="CU7">
        <v>-40.167350999999996</v>
      </c>
      <c r="CV7" s="23">
        <v>0.10787555067799985</v>
      </c>
      <c r="CW7" s="24">
        <v>-1.935778117366135</v>
      </c>
      <c r="CX7">
        <v>0.06</v>
      </c>
      <c r="CY7">
        <v>33.186693039942448</v>
      </c>
      <c r="CZ7">
        <v>77015118.587556392</v>
      </c>
      <c r="DA7">
        <v>0.10787555067799985</v>
      </c>
      <c r="DB7">
        <v>10.682508075025765</v>
      </c>
      <c r="DC7">
        <v>239258148.18481526</v>
      </c>
      <c r="DD7">
        <v>0.10248177314409986</v>
      </c>
      <c r="DE7">
        <v>5.1528785409709448</v>
      </c>
      <c r="DF7">
        <v>496009575.94440061</v>
      </c>
      <c r="DG7">
        <v>9.4930484596639872E-2</v>
      </c>
      <c r="DH7">
        <v>3.0236465819705383</v>
      </c>
      <c r="DI7">
        <v>845296244.35614812</v>
      </c>
      <c r="DJ7">
        <v>8.6300440542399881E-2</v>
      </c>
      <c r="DK7">
        <v>1.4836918336402771</v>
      </c>
      <c r="DL7">
        <v>1722646874.5393631</v>
      </c>
      <c r="DM7">
        <v>7.5512885474599889E-2</v>
      </c>
      <c r="DN7">
        <v>73687000</v>
      </c>
      <c r="DO7">
        <v>0.10787555067799985</v>
      </c>
      <c r="DP7">
        <v>2555877100</v>
      </c>
      <c r="DQ7">
        <v>147957130</v>
      </c>
      <c r="DR7">
        <v>1724</v>
      </c>
      <c r="DS7">
        <v>-0.51177793873770128</v>
      </c>
      <c r="DT7">
        <v>-11.156891625187578</v>
      </c>
      <c r="DU7" s="25">
        <v>-0.12000000000000001</v>
      </c>
      <c r="DV7">
        <v>-1.2150000000000001</v>
      </c>
      <c r="DW7">
        <v>-1.3350000000000002</v>
      </c>
      <c r="DX7">
        <v>-8.2511508951406647</v>
      </c>
      <c r="DY7">
        <v>0.44279119403233808</v>
      </c>
      <c r="DZ7">
        <v>-8.0308391182966137</v>
      </c>
      <c r="EA7">
        <v>4273</v>
      </c>
      <c r="EB7">
        <v>-8.0036071380359335</v>
      </c>
      <c r="EC7">
        <v>8</v>
      </c>
      <c r="ED7">
        <v>3.0549597840061518E-2</v>
      </c>
      <c r="EE7">
        <v>0.2487930676202699</v>
      </c>
      <c r="EF7" s="22">
        <v>-1.1027100000000001</v>
      </c>
      <c r="EG7">
        <v>-1.1484099999999999</v>
      </c>
      <c r="EH7">
        <v>32.122791194032338</v>
      </c>
      <c r="EI7" t="s">
        <v>710</v>
      </c>
      <c r="EJ7">
        <v>0</v>
      </c>
      <c r="EK7">
        <v>0</v>
      </c>
    </row>
    <row r="8" spans="1:141" ht="67.5">
      <c r="A8" s="36"/>
      <c r="B8" s="26"/>
      <c r="C8" s="26"/>
      <c r="D8" s="26" t="s">
        <v>1004</v>
      </c>
      <c r="E8" t="s">
        <v>199</v>
      </c>
      <c r="F8" t="s">
        <v>200</v>
      </c>
      <c r="G8">
        <v>6.89</v>
      </c>
      <c r="H8">
        <v>-3.37</v>
      </c>
      <c r="I8" t="s">
        <v>984</v>
      </c>
      <c r="J8">
        <v>4961808200</v>
      </c>
      <c r="K8">
        <v>27.46</v>
      </c>
      <c r="L8">
        <v>1.71</v>
      </c>
      <c r="M8" t="s">
        <v>590</v>
      </c>
      <c r="N8" t="s">
        <v>985</v>
      </c>
      <c r="O8" t="s">
        <v>986</v>
      </c>
      <c r="P8" t="s">
        <v>987</v>
      </c>
      <c r="Q8">
        <v>-5.26</v>
      </c>
      <c r="R8" t="s">
        <v>726</v>
      </c>
      <c r="S8">
        <v>132631911</v>
      </c>
      <c r="T8" s="5">
        <v>0.16650000000000001</v>
      </c>
      <c r="U8" t="s">
        <v>254</v>
      </c>
      <c r="V8">
        <v>716542470</v>
      </c>
      <c r="W8">
        <v>720146330</v>
      </c>
      <c r="X8">
        <v>1.21</v>
      </c>
      <c r="Y8">
        <v>0.17</v>
      </c>
      <c r="Z8">
        <v>21.61</v>
      </c>
      <c r="AA8" t="s">
        <v>988</v>
      </c>
      <c r="AB8" t="s">
        <v>81</v>
      </c>
      <c r="AC8" t="s">
        <v>128</v>
      </c>
      <c r="AD8" t="s">
        <v>989</v>
      </c>
      <c r="AE8" t="s">
        <v>990</v>
      </c>
      <c r="AF8">
        <v>2604188</v>
      </c>
      <c r="AG8" t="s">
        <v>991</v>
      </c>
      <c r="AH8" t="s">
        <v>992</v>
      </c>
      <c r="AI8" t="s">
        <v>993</v>
      </c>
      <c r="AJ8" t="s">
        <v>994</v>
      </c>
      <c r="AK8" t="s">
        <v>995</v>
      </c>
      <c r="AL8" t="s">
        <v>7</v>
      </c>
      <c r="AM8" t="s">
        <v>996</v>
      </c>
      <c r="AN8" t="s">
        <v>997</v>
      </c>
      <c r="AO8" t="s">
        <v>998</v>
      </c>
      <c r="AP8" t="s">
        <v>314</v>
      </c>
      <c r="AQ8" t="s">
        <v>7</v>
      </c>
      <c r="AR8" t="s">
        <v>175</v>
      </c>
      <c r="AS8" t="s">
        <v>7</v>
      </c>
      <c r="AT8" t="s">
        <v>161</v>
      </c>
      <c r="AU8" t="s">
        <v>279</v>
      </c>
      <c r="AV8" t="s">
        <v>289</v>
      </c>
      <c r="AW8" t="s">
        <v>999</v>
      </c>
      <c r="AX8" t="s">
        <v>1000</v>
      </c>
      <c r="AY8" t="s">
        <v>58</v>
      </c>
      <c r="AZ8" t="s">
        <v>201</v>
      </c>
      <c r="BA8" t="s">
        <v>491</v>
      </c>
      <c r="BB8" t="s">
        <v>330</v>
      </c>
      <c r="BC8" t="s">
        <v>192</v>
      </c>
      <c r="BD8" t="s">
        <v>490</v>
      </c>
      <c r="BE8" t="s">
        <v>101</v>
      </c>
      <c r="BF8" t="s">
        <v>239</v>
      </c>
      <c r="BG8" t="s">
        <v>223</v>
      </c>
      <c r="BH8" t="s">
        <v>118</v>
      </c>
      <c r="BI8" t="s">
        <v>351</v>
      </c>
      <c r="BJ8" t="s">
        <v>1001</v>
      </c>
      <c r="BK8" t="s">
        <v>280</v>
      </c>
      <c r="BL8" t="s">
        <v>1002</v>
      </c>
      <c r="BM8" t="s">
        <v>139</v>
      </c>
      <c r="BN8" t="s">
        <v>766</v>
      </c>
      <c r="BO8">
        <v>4.16</v>
      </c>
      <c r="BP8">
        <v>5.07</v>
      </c>
      <c r="BQ8">
        <v>-3.84</v>
      </c>
      <c r="BR8">
        <v>9.25</v>
      </c>
      <c r="BS8">
        <v>6</v>
      </c>
      <c r="BT8">
        <v>-4.7699999999999996</v>
      </c>
      <c r="BU8">
        <v>11.49</v>
      </c>
      <c r="BV8" t="s">
        <v>960</v>
      </c>
      <c r="BW8">
        <v>63.66</v>
      </c>
      <c r="BX8">
        <v>66.61</v>
      </c>
      <c r="BY8">
        <v>65.739999999999995</v>
      </c>
      <c r="BZ8">
        <v>24.07</v>
      </c>
      <c r="CA8">
        <v>-11.77</v>
      </c>
      <c r="CB8">
        <v>24.8</v>
      </c>
      <c r="CC8">
        <v>-4.17</v>
      </c>
      <c r="CD8">
        <v>-7.14</v>
      </c>
      <c r="CE8" t="s">
        <v>1003</v>
      </c>
      <c r="CF8" t="s">
        <v>363</v>
      </c>
      <c r="CG8" s="23">
        <v>-0.13874866666666666</v>
      </c>
      <c r="CH8" s="24">
        <v>-3.7204908558468634E-2</v>
      </c>
      <c r="CI8" s="23">
        <v>0.19491519033908844</v>
      </c>
      <c r="CJ8" s="23">
        <v>-0.13093289732933044</v>
      </c>
      <c r="CK8" s="23">
        <v>0.31256714463233948</v>
      </c>
      <c r="CL8" s="23">
        <v>0.16084788739681244</v>
      </c>
      <c r="CM8" s="23">
        <v>0.45553538203239441</v>
      </c>
      <c r="CN8" s="24">
        <v>2.2755906581878662</v>
      </c>
      <c r="CO8" s="24">
        <v>-1.420529842376709</v>
      </c>
      <c r="CP8" s="24">
        <v>-0.34773218631744385</v>
      </c>
      <c r="CQ8" s="24">
        <v>1.3743590116500854</v>
      </c>
      <c r="CR8" s="24">
        <v>0.22641509771347046</v>
      </c>
      <c r="CS8">
        <v>3.9100143420015758</v>
      </c>
      <c r="CT8">
        <v>77782241.358024687</v>
      </c>
      <c r="CU8">
        <v>4.4451770000000002</v>
      </c>
      <c r="CV8" s="23">
        <v>0.19858654141426085</v>
      </c>
      <c r="CW8" s="24">
        <v>0.42162054777145386</v>
      </c>
      <c r="CX8">
        <v>0.06</v>
      </c>
      <c r="CY8">
        <v>14.340021987685729</v>
      </c>
      <c r="CZ8">
        <v>183180207.27274552</v>
      </c>
      <c r="DA8">
        <v>0.19858654141426085</v>
      </c>
      <c r="DB8">
        <v>4.2794986913671442</v>
      </c>
      <c r="DC8">
        <v>613812128.34553528</v>
      </c>
      <c r="DD8">
        <v>0.18865721434354779</v>
      </c>
      <c r="DE8">
        <v>1.8571424857930765</v>
      </c>
      <c r="DF8">
        <v>1414435467.4424696</v>
      </c>
      <c r="DG8">
        <v>0.17475615644454956</v>
      </c>
      <c r="DH8">
        <v>0.96106791836627392</v>
      </c>
      <c r="DI8">
        <v>2733218068.984479</v>
      </c>
      <c r="DJ8">
        <v>0.15886923313140869</v>
      </c>
      <c r="DK8">
        <v>0.35023660824745101</v>
      </c>
      <c r="DL8">
        <v>7500096044.0551481</v>
      </c>
      <c r="DM8">
        <v>0.13901057898998259</v>
      </c>
      <c r="DN8">
        <v>162000000</v>
      </c>
      <c r="DO8">
        <v>0.19858654141426085</v>
      </c>
      <c r="DP8">
        <v>2626808200</v>
      </c>
      <c r="DQ8">
        <v>1361585400</v>
      </c>
      <c r="DR8">
        <v>1810</v>
      </c>
      <c r="DS8">
        <v>-0.33733520808092754</v>
      </c>
      <c r="DT8">
        <v>-0.4588254563299225</v>
      </c>
      <c r="DU8" s="25">
        <v>0.51666666666666661</v>
      </c>
      <c r="DV8">
        <v>3.3333333333332989E-3</v>
      </c>
      <c r="DW8">
        <v>0.51999999999999991</v>
      </c>
      <c r="DX8">
        <v>-8.5840336134453779</v>
      </c>
      <c r="DY8">
        <v>0.42368888888888878</v>
      </c>
      <c r="DZ8">
        <v>-8.08391914098973</v>
      </c>
      <c r="EA8">
        <v>2414</v>
      </c>
      <c r="EB8">
        <v>-8.0420549528621805</v>
      </c>
      <c r="EC8">
        <v>8</v>
      </c>
      <c r="ED8">
        <v>4.3097907615525864E-2</v>
      </c>
      <c r="EE8">
        <v>0.29993904155562384</v>
      </c>
      <c r="EF8" s="22">
        <v>-2.0078</v>
      </c>
      <c r="EG8">
        <v>-2.0259100000000001</v>
      </c>
      <c r="EH8">
        <v>28.143688888888889</v>
      </c>
      <c r="EI8" t="s">
        <v>939</v>
      </c>
      <c r="EJ8">
        <v>0</v>
      </c>
      <c r="EK8">
        <v>0</v>
      </c>
    </row>
    <row r="9" spans="1:141" ht="67.5">
      <c r="A9" s="36"/>
      <c r="B9" s="4"/>
      <c r="C9" s="4"/>
      <c r="D9" s="4" t="s">
        <v>1026</v>
      </c>
      <c r="E9" t="s">
        <v>196</v>
      </c>
      <c r="F9" t="s">
        <v>197</v>
      </c>
      <c r="G9">
        <v>90.1</v>
      </c>
      <c r="H9">
        <v>-2.2799999999999998</v>
      </c>
      <c r="I9" t="s">
        <v>1005</v>
      </c>
      <c r="J9">
        <v>7937330800</v>
      </c>
      <c r="K9">
        <v>33.75</v>
      </c>
      <c r="L9">
        <v>5.41</v>
      </c>
      <c r="M9" t="s">
        <v>26</v>
      </c>
      <c r="N9" t="s">
        <v>126</v>
      </c>
      <c r="O9" t="s">
        <v>1006</v>
      </c>
      <c r="P9" t="s">
        <v>1007</v>
      </c>
      <c r="Q9">
        <v>29.89</v>
      </c>
      <c r="R9" t="s">
        <v>323</v>
      </c>
      <c r="S9">
        <v>120632930</v>
      </c>
      <c r="T9" s="5">
        <v>0.50529999999999997</v>
      </c>
      <c r="U9" t="s">
        <v>223</v>
      </c>
      <c r="V9">
        <v>67674190</v>
      </c>
      <c r="W9">
        <v>88094682</v>
      </c>
      <c r="X9">
        <v>1.1499999999999999</v>
      </c>
      <c r="Y9">
        <v>0.36</v>
      </c>
      <c r="Z9">
        <v>20.09</v>
      </c>
      <c r="AA9" t="s">
        <v>843</v>
      </c>
      <c r="AB9" t="s">
        <v>236</v>
      </c>
      <c r="AC9" t="s">
        <v>52</v>
      </c>
      <c r="AD9" t="s">
        <v>1008</v>
      </c>
      <c r="AE9" t="s">
        <v>1009</v>
      </c>
      <c r="AF9">
        <v>-4188323</v>
      </c>
      <c r="AG9" t="s">
        <v>63</v>
      </c>
      <c r="AH9" t="s">
        <v>1010</v>
      </c>
      <c r="AI9" t="s">
        <v>1011</v>
      </c>
      <c r="AJ9" t="s">
        <v>90</v>
      </c>
      <c r="AK9" t="s">
        <v>1012</v>
      </c>
      <c r="AL9" t="s">
        <v>1013</v>
      </c>
      <c r="AM9" t="s">
        <v>1014</v>
      </c>
      <c r="AN9" t="s">
        <v>1015</v>
      </c>
      <c r="AO9" t="s">
        <v>1016</v>
      </c>
      <c r="AP9" t="s">
        <v>7</v>
      </c>
      <c r="AQ9" t="s">
        <v>7</v>
      </c>
      <c r="AR9" t="s">
        <v>1017</v>
      </c>
      <c r="AS9" t="s">
        <v>1018</v>
      </c>
      <c r="AT9" t="s">
        <v>70</v>
      </c>
      <c r="AU9" t="s">
        <v>7</v>
      </c>
      <c r="AV9" t="s">
        <v>45</v>
      </c>
      <c r="AW9" t="s">
        <v>1019</v>
      </c>
      <c r="AX9" t="s">
        <v>1020</v>
      </c>
      <c r="AY9" t="s">
        <v>320</v>
      </c>
      <c r="AZ9" t="s">
        <v>99</v>
      </c>
      <c r="BA9" t="s">
        <v>278</v>
      </c>
      <c r="BB9" t="s">
        <v>324</v>
      </c>
      <c r="BC9" t="s">
        <v>249</v>
      </c>
      <c r="BD9" t="s">
        <v>492</v>
      </c>
      <c r="BE9" t="s">
        <v>198</v>
      </c>
      <c r="BF9" t="s">
        <v>493</v>
      </c>
      <c r="BG9" t="s">
        <v>494</v>
      </c>
      <c r="BH9" t="s">
        <v>495</v>
      </c>
      <c r="BI9" t="s">
        <v>101</v>
      </c>
      <c r="BJ9" t="s">
        <v>1021</v>
      </c>
      <c r="BK9" t="s">
        <v>283</v>
      </c>
      <c r="BL9" t="s">
        <v>1022</v>
      </c>
      <c r="BM9" t="s">
        <v>1023</v>
      </c>
      <c r="BN9" t="s">
        <v>767</v>
      </c>
      <c r="BO9">
        <v>5.01</v>
      </c>
      <c r="BP9">
        <v>17.510000000000002</v>
      </c>
      <c r="BQ9">
        <v>12.23</v>
      </c>
      <c r="BR9">
        <v>5.67</v>
      </c>
      <c r="BS9">
        <v>25.54</v>
      </c>
      <c r="BT9">
        <v>14.49</v>
      </c>
      <c r="BU9">
        <v>6.45</v>
      </c>
      <c r="BV9" t="s">
        <v>888</v>
      </c>
      <c r="BW9">
        <v>80.209999999999994</v>
      </c>
      <c r="BX9">
        <v>73.13</v>
      </c>
      <c r="BY9">
        <v>73.260000000000005</v>
      </c>
      <c r="BZ9">
        <v>24.56</v>
      </c>
      <c r="CA9">
        <v>13.57</v>
      </c>
      <c r="CB9">
        <v>5.44</v>
      </c>
      <c r="CC9">
        <v>-0.44</v>
      </c>
      <c r="CD9">
        <v>-1.51</v>
      </c>
      <c r="CE9" t="s">
        <v>1024</v>
      </c>
      <c r="CF9" t="s">
        <v>1025</v>
      </c>
      <c r="CG9" s="23">
        <v>0.17087262745098025</v>
      </c>
      <c r="CH9" s="24">
        <v>-9.9648427512145227E-3</v>
      </c>
      <c r="CI9" s="23">
        <v>0.49201741814613342</v>
      </c>
      <c r="CJ9" s="23">
        <v>0.2712177038192749</v>
      </c>
      <c r="CK9" s="23">
        <v>0.25754061341285706</v>
      </c>
      <c r="CL9" s="23">
        <v>0.19722221791744232</v>
      </c>
      <c r="CM9" s="23">
        <v>6.1946902424097061E-2</v>
      </c>
      <c r="CN9" s="24">
        <v>1.2164480686187744</v>
      </c>
      <c r="CO9" s="24">
        <v>1.4510806798934937</v>
      </c>
      <c r="CP9" s="24">
        <v>1.6279075145721436</v>
      </c>
      <c r="CQ9" s="24">
        <v>-0.65365862846374512</v>
      </c>
      <c r="CR9" s="24">
        <v>-0.27344125509262085</v>
      </c>
      <c r="CS9">
        <v>7.7211389105058377</v>
      </c>
      <c r="CT9">
        <v>66061845.64102564</v>
      </c>
      <c r="CU9">
        <v>8.3172599999999992</v>
      </c>
      <c r="CV9" s="23">
        <v>0.25598897114396096</v>
      </c>
      <c r="CW9" s="24">
        <v>0.67366727590560915</v>
      </c>
      <c r="CX9">
        <v>0.06</v>
      </c>
      <c r="CY9">
        <v>28.985925959141316</v>
      </c>
      <c r="CZ9">
        <v>231054574.88025692</v>
      </c>
      <c r="DA9">
        <v>0.25598897114396096</v>
      </c>
      <c r="DB9">
        <v>8.2530016680069327</v>
      </c>
      <c r="DC9">
        <v>811502416.86760485</v>
      </c>
      <c r="DD9">
        <v>0.24318952258676291</v>
      </c>
      <c r="DE9">
        <v>3.3439781033843934</v>
      </c>
      <c r="DF9">
        <v>2002803425.423667</v>
      </c>
      <c r="DG9">
        <v>0.22527029460668566</v>
      </c>
      <c r="DH9">
        <v>1.588770328914727</v>
      </c>
      <c r="DI9">
        <v>4215417847.4461308</v>
      </c>
      <c r="DJ9">
        <v>0.20479117691516879</v>
      </c>
      <c r="DK9">
        <v>0.46755007820166283</v>
      </c>
      <c r="DL9">
        <v>14324306875.875057</v>
      </c>
      <c r="DM9">
        <v>0.17919227980077265</v>
      </c>
      <c r="DN9">
        <v>195000000</v>
      </c>
      <c r="DO9">
        <v>0.25598897114396096</v>
      </c>
      <c r="DP9">
        <v>6697330800</v>
      </c>
      <c r="DQ9">
        <v>659097990</v>
      </c>
      <c r="DR9">
        <v>2050</v>
      </c>
      <c r="DS9">
        <v>-8.5116343692980712E-2</v>
      </c>
      <c r="DT9">
        <v>-0.68363211865682372</v>
      </c>
      <c r="DU9" s="25">
        <v>0.78666666666666663</v>
      </c>
      <c r="DV9">
        <v>0.78666666666666674</v>
      </c>
      <c r="DW9">
        <v>1.5733333333333333</v>
      </c>
      <c r="DX9">
        <v>-1.5100000000000001E-2</v>
      </c>
      <c r="DY9">
        <v>0.33155276992151955</v>
      </c>
      <c r="DZ9">
        <v>-1.9864468258149336E-3</v>
      </c>
      <c r="EA9">
        <v>684</v>
      </c>
      <c r="EB9">
        <v>-1.7054853640991738E-3</v>
      </c>
      <c r="EC9">
        <v>0</v>
      </c>
      <c r="ED9">
        <v>9.3825186859747112E-2</v>
      </c>
      <c r="EE9">
        <v>0.71321331292165857</v>
      </c>
      <c r="EF9" s="22">
        <v>-2.0320999999999998</v>
      </c>
      <c r="EG9">
        <v>-2.0093000000000001</v>
      </c>
      <c r="EH9">
        <v>20.13155276992152</v>
      </c>
      <c r="EI9" t="s">
        <v>620</v>
      </c>
      <c r="EJ9">
        <v>0</v>
      </c>
      <c r="EK9">
        <v>1</v>
      </c>
    </row>
    <row r="10" spans="1:141" ht="67.5">
      <c r="A10" s="36"/>
      <c r="B10" s="26"/>
      <c r="C10" s="26"/>
      <c r="D10" s="26" t="s">
        <v>1049</v>
      </c>
      <c r="E10" t="s">
        <v>193</v>
      </c>
      <c r="F10" t="s">
        <v>194</v>
      </c>
      <c r="G10">
        <v>49.39</v>
      </c>
      <c r="H10">
        <v>-2.04</v>
      </c>
      <c r="I10" t="s">
        <v>1027</v>
      </c>
      <c r="J10">
        <v>8890200000</v>
      </c>
      <c r="K10">
        <v>46.41</v>
      </c>
      <c r="L10">
        <v>11.33</v>
      </c>
      <c r="M10" t="s">
        <v>590</v>
      </c>
      <c r="N10" t="s">
        <v>123</v>
      </c>
      <c r="O10" t="s">
        <v>1028</v>
      </c>
      <c r="P10" t="s">
        <v>1029</v>
      </c>
      <c r="Q10">
        <v>15.15</v>
      </c>
      <c r="R10" t="s">
        <v>180</v>
      </c>
      <c r="S10">
        <v>104084191</v>
      </c>
      <c r="T10" s="5">
        <v>0.28360000000000002</v>
      </c>
      <c r="U10" t="s">
        <v>75</v>
      </c>
      <c r="V10">
        <v>180000000</v>
      </c>
      <c r="W10">
        <v>180000000</v>
      </c>
      <c r="X10">
        <v>1.18</v>
      </c>
      <c r="Y10">
        <v>0.25</v>
      </c>
      <c r="Z10">
        <v>44.97</v>
      </c>
      <c r="AA10" t="s">
        <v>104</v>
      </c>
      <c r="AB10" t="s">
        <v>1030</v>
      </c>
      <c r="AC10" t="s">
        <v>1031</v>
      </c>
      <c r="AD10" t="s">
        <v>1032</v>
      </c>
      <c r="AE10" t="s">
        <v>1033</v>
      </c>
      <c r="AF10">
        <v>-483114</v>
      </c>
      <c r="AG10" t="s">
        <v>63</v>
      </c>
      <c r="AH10" t="s">
        <v>1034</v>
      </c>
      <c r="AI10" t="s">
        <v>1035</v>
      </c>
      <c r="AJ10" t="s">
        <v>68</v>
      </c>
      <c r="AK10" t="s">
        <v>1036</v>
      </c>
      <c r="AL10" t="s">
        <v>1037</v>
      </c>
      <c r="AM10" t="s">
        <v>1038</v>
      </c>
      <c r="AN10" t="s">
        <v>1039</v>
      </c>
      <c r="AO10" t="s">
        <v>1040</v>
      </c>
      <c r="AP10" t="s">
        <v>7</v>
      </c>
      <c r="AQ10" t="s">
        <v>1041</v>
      </c>
      <c r="AR10" t="s">
        <v>1042</v>
      </c>
      <c r="AS10" t="s">
        <v>7</v>
      </c>
      <c r="AT10" t="s">
        <v>191</v>
      </c>
      <c r="AU10" t="s">
        <v>7</v>
      </c>
      <c r="AV10" t="s">
        <v>46</v>
      </c>
      <c r="AW10" t="s">
        <v>1043</v>
      </c>
      <c r="AX10" t="s">
        <v>1044</v>
      </c>
      <c r="AY10" t="s">
        <v>312</v>
      </c>
      <c r="AZ10" t="s">
        <v>195</v>
      </c>
      <c r="BA10" t="s">
        <v>363</v>
      </c>
      <c r="BB10" t="s">
        <v>67</v>
      </c>
      <c r="BC10" t="s">
        <v>77</v>
      </c>
      <c r="BD10" t="s">
        <v>264</v>
      </c>
      <c r="BE10" t="s">
        <v>145</v>
      </c>
      <c r="BF10" t="s">
        <v>496</v>
      </c>
      <c r="BG10" t="s">
        <v>497</v>
      </c>
      <c r="BH10" t="s">
        <v>498</v>
      </c>
      <c r="BI10" t="s">
        <v>264</v>
      </c>
      <c r="BJ10" t="s">
        <v>243</v>
      </c>
      <c r="BK10" t="s">
        <v>219</v>
      </c>
      <c r="BL10" t="s">
        <v>1045</v>
      </c>
      <c r="BM10" t="s">
        <v>1046</v>
      </c>
      <c r="BN10" t="s">
        <v>768</v>
      </c>
      <c r="BO10">
        <v>12.76</v>
      </c>
      <c r="BP10">
        <v>22.14</v>
      </c>
      <c r="BQ10">
        <v>18.03</v>
      </c>
      <c r="BR10">
        <v>18.850000000000001</v>
      </c>
      <c r="BS10">
        <v>23.62</v>
      </c>
      <c r="BT10">
        <v>19.16</v>
      </c>
      <c r="BU10">
        <v>19.22</v>
      </c>
      <c r="BV10" t="s">
        <v>960</v>
      </c>
      <c r="BW10">
        <v>89.06</v>
      </c>
      <c r="BX10">
        <v>92.23</v>
      </c>
      <c r="BY10">
        <v>93.12</v>
      </c>
      <c r="BZ10">
        <v>46.73</v>
      </c>
      <c r="CA10">
        <v>40.35</v>
      </c>
      <c r="CB10">
        <v>38.380000000000003</v>
      </c>
      <c r="CC10">
        <v>-6.46</v>
      </c>
      <c r="CD10">
        <v>2.98</v>
      </c>
      <c r="CE10" t="s">
        <v>1047</v>
      </c>
      <c r="CF10" t="s">
        <v>1048</v>
      </c>
      <c r="CG10" s="23">
        <v>0.14581050505050538</v>
      </c>
      <c r="CH10" s="24">
        <v>0.32261683779783967</v>
      </c>
      <c r="CI10" s="23">
        <v>0.36518770456314087</v>
      </c>
      <c r="CJ10" s="23">
        <v>4.642857238650322E-2</v>
      </c>
      <c r="CK10" s="23">
        <v>0.29629629850387573</v>
      </c>
      <c r="CL10" s="23">
        <v>0.18032786250114441</v>
      </c>
      <c r="CM10" s="23">
        <v>0.21192052960395813</v>
      </c>
      <c r="CN10" s="24">
        <v>0.43220338225364685</v>
      </c>
      <c r="CO10" s="24">
        <v>0.10280373692512512</v>
      </c>
      <c r="CP10" s="24">
        <v>0.24686674773693085</v>
      </c>
      <c r="CQ10" s="24">
        <v>0.39153009653091431</v>
      </c>
      <c r="CR10" s="24">
        <v>0.35626709461212158</v>
      </c>
      <c r="CS10">
        <v>22.2255</v>
      </c>
      <c r="CT10">
        <v>61045477.514792897</v>
      </c>
      <c r="CU10">
        <v>13.26615</v>
      </c>
      <c r="CV10" s="23">
        <v>0.22003219351172448</v>
      </c>
      <c r="CW10" s="24">
        <v>0.30593421161174772</v>
      </c>
      <c r="CX10">
        <v>0.06</v>
      </c>
      <c r="CY10">
        <v>42.404022176200016</v>
      </c>
      <c r="CZ10">
        <v>194514566.70139757</v>
      </c>
      <c r="DA10">
        <v>0.22003219351172448</v>
      </c>
      <c r="DB10">
        <v>12.433310284642745</v>
      </c>
      <c r="DC10">
        <v>663395331.66705656</v>
      </c>
      <c r="DD10">
        <v>0.20903058383613826</v>
      </c>
      <c r="DE10">
        <v>5.2596925709096354</v>
      </c>
      <c r="DF10">
        <v>1568190514.7116838</v>
      </c>
      <c r="DG10">
        <v>0.19362833029031754</v>
      </c>
      <c r="DH10">
        <v>2.6375820482683143</v>
      </c>
      <c r="DI10">
        <v>3127182339.3760571</v>
      </c>
      <c r="DJ10">
        <v>0.1760257548093796</v>
      </c>
      <c r="DK10">
        <v>0.88912115505129408</v>
      </c>
      <c r="DL10">
        <v>9276800977.1673412</v>
      </c>
      <c r="DM10">
        <v>0.15402253545820713</v>
      </c>
      <c r="DN10">
        <v>169000000</v>
      </c>
      <c r="DO10">
        <v>0.22003219351172448</v>
      </c>
      <c r="DP10">
        <v>8248200000</v>
      </c>
      <c r="DQ10">
        <v>535453790</v>
      </c>
      <c r="DR10">
        <v>2128</v>
      </c>
      <c r="DS10">
        <v>-7.4221688461219099E-2</v>
      </c>
      <c r="DT10">
        <v>1.6682626186091953E-2</v>
      </c>
      <c r="DU10" s="25">
        <v>0.73666666666666669</v>
      </c>
      <c r="DV10">
        <v>0.73666666666666669</v>
      </c>
      <c r="DW10">
        <v>1.4733333333333334</v>
      </c>
      <c r="DX10">
        <v>-5.4613003095975232</v>
      </c>
      <c r="DY10">
        <v>0.39923653228683548</v>
      </c>
      <c r="DZ10">
        <v>-5.1011338802190043</v>
      </c>
      <c r="EA10">
        <v>796</v>
      </c>
      <c r="EB10">
        <v>-5.0844976808690712</v>
      </c>
      <c r="EC10">
        <v>5</v>
      </c>
      <c r="ED10">
        <v>0.10242</v>
      </c>
      <c r="EE10">
        <v>0.46716666666666667</v>
      </c>
      <c r="EF10" s="22">
        <v>2.0390000000000001</v>
      </c>
      <c r="EG10">
        <v>2.0186000000000002</v>
      </c>
      <c r="EH10">
        <v>18.219236532286835</v>
      </c>
      <c r="EI10" t="s">
        <v>815</v>
      </c>
      <c r="EJ10">
        <v>0</v>
      </c>
      <c r="EK10">
        <v>1</v>
      </c>
    </row>
    <row r="11" spans="1:141" ht="45">
      <c r="A11" s="36"/>
      <c r="B11" s="4"/>
      <c r="C11" s="4" t="s">
        <v>769</v>
      </c>
      <c r="D11" s="4" t="s">
        <v>1076</v>
      </c>
      <c r="E11" t="s">
        <v>727</v>
      </c>
      <c r="F11" t="s">
        <v>728</v>
      </c>
      <c r="G11">
        <v>13.61</v>
      </c>
      <c r="H11">
        <v>-1.45</v>
      </c>
      <c r="I11" t="s">
        <v>1050</v>
      </c>
      <c r="J11">
        <v>5276208100</v>
      </c>
      <c r="K11">
        <v>22.91</v>
      </c>
      <c r="L11">
        <v>3.3</v>
      </c>
      <c r="M11" t="s">
        <v>729</v>
      </c>
      <c r="N11" t="s">
        <v>1051</v>
      </c>
      <c r="O11" t="s">
        <v>699</v>
      </c>
      <c r="P11" t="s">
        <v>1052</v>
      </c>
      <c r="Q11">
        <v>3.89</v>
      </c>
      <c r="R11" t="s">
        <v>730</v>
      </c>
      <c r="S11">
        <v>82816566</v>
      </c>
      <c r="T11" s="5">
        <v>-6.88E-2</v>
      </c>
      <c r="U11" t="s">
        <v>108</v>
      </c>
      <c r="V11">
        <v>354281150</v>
      </c>
      <c r="W11">
        <v>387671420</v>
      </c>
      <c r="X11">
        <v>1.99</v>
      </c>
      <c r="Y11">
        <v>0.72</v>
      </c>
      <c r="Z11">
        <v>3.73</v>
      </c>
      <c r="AA11" t="s">
        <v>1053</v>
      </c>
      <c r="AB11" t="s">
        <v>1054</v>
      </c>
      <c r="AC11" t="s">
        <v>1055</v>
      </c>
      <c r="AD11" t="s">
        <v>1056</v>
      </c>
      <c r="AE11" t="s">
        <v>1057</v>
      </c>
      <c r="AF11">
        <v>13834196</v>
      </c>
      <c r="AG11" t="s">
        <v>1058</v>
      </c>
      <c r="AH11" t="s">
        <v>1059</v>
      </c>
      <c r="AI11" t="s">
        <v>1060</v>
      </c>
      <c r="AJ11" t="s">
        <v>1061</v>
      </c>
      <c r="AK11" t="s">
        <v>1062</v>
      </c>
      <c r="AL11" t="s">
        <v>7</v>
      </c>
      <c r="AM11" t="s">
        <v>1063</v>
      </c>
      <c r="AN11" t="s">
        <v>1064</v>
      </c>
      <c r="AO11" t="s">
        <v>44</v>
      </c>
      <c r="AP11" t="s">
        <v>142</v>
      </c>
      <c r="AQ11" t="s">
        <v>1065</v>
      </c>
      <c r="AR11" t="s">
        <v>1066</v>
      </c>
      <c r="AS11" t="s">
        <v>7</v>
      </c>
      <c r="AT11" t="s">
        <v>1067</v>
      </c>
      <c r="AU11" t="s">
        <v>150</v>
      </c>
      <c r="AV11" t="s">
        <v>1068</v>
      </c>
      <c r="AW11" t="s">
        <v>816</v>
      </c>
      <c r="AX11" t="s">
        <v>1069</v>
      </c>
      <c r="AY11" t="s">
        <v>770</v>
      </c>
      <c r="AZ11" t="s">
        <v>771</v>
      </c>
      <c r="BA11" t="s">
        <v>577</v>
      </c>
      <c r="BB11" t="s">
        <v>772</v>
      </c>
      <c r="BC11" t="s">
        <v>535</v>
      </c>
      <c r="BD11" t="s">
        <v>179</v>
      </c>
      <c r="BE11" t="s">
        <v>773</v>
      </c>
      <c r="BF11" t="s">
        <v>116</v>
      </c>
      <c r="BG11" t="s">
        <v>252</v>
      </c>
      <c r="BH11" t="s">
        <v>774</v>
      </c>
      <c r="BI11" t="s">
        <v>463</v>
      </c>
      <c r="BJ11" t="s">
        <v>1070</v>
      </c>
      <c r="BK11" t="s">
        <v>775</v>
      </c>
      <c r="BL11" t="s">
        <v>1071</v>
      </c>
      <c r="BM11" t="s">
        <v>1072</v>
      </c>
      <c r="BN11" t="s">
        <v>776</v>
      </c>
      <c r="BO11">
        <v>1.64</v>
      </c>
      <c r="BP11">
        <v>11.57</v>
      </c>
      <c r="BQ11">
        <v>8.6300000000000008</v>
      </c>
      <c r="BR11">
        <v>1.82</v>
      </c>
      <c r="BS11">
        <v>15.9</v>
      </c>
      <c r="BT11">
        <v>10.87</v>
      </c>
      <c r="BU11">
        <v>2.0699999999999998</v>
      </c>
      <c r="BV11" t="s">
        <v>1073</v>
      </c>
      <c r="BW11">
        <v>54.26</v>
      </c>
      <c r="BX11">
        <v>49.2</v>
      </c>
      <c r="BY11">
        <v>51.05</v>
      </c>
      <c r="BZ11">
        <v>3.91</v>
      </c>
      <c r="CA11">
        <v>3.72</v>
      </c>
      <c r="CB11">
        <v>1.05</v>
      </c>
      <c r="CC11">
        <v>-1.31</v>
      </c>
      <c r="CD11">
        <v>-17.809999999999999</v>
      </c>
      <c r="CE11" t="s">
        <v>1074</v>
      </c>
      <c r="CF11" t="s">
        <v>135</v>
      </c>
      <c r="CG11" s="23">
        <v>-0.11258187403993872</v>
      </c>
      <c r="CH11" s="24">
        <v>-0.2937637815775187</v>
      </c>
      <c r="CI11" s="23">
        <v>0.34858673810958862</v>
      </c>
      <c r="CJ11" s="23">
        <v>0.54021561145782471</v>
      </c>
      <c r="CK11" s="23">
        <v>7.4387557804584503E-2</v>
      </c>
      <c r="CL11" s="23">
        <v>0.36391246318817139</v>
      </c>
      <c r="CM11" s="23">
        <v>0.40563613176345825</v>
      </c>
      <c r="CN11" s="24">
        <v>0.68571430444717407</v>
      </c>
      <c r="CO11" s="24">
        <v>4.1427669525146484</v>
      </c>
      <c r="CP11" s="24">
        <v>-0.79219311475753784</v>
      </c>
      <c r="CQ11" s="24">
        <v>-0.17088606953620911</v>
      </c>
      <c r="CR11" s="24">
        <v>1.1417688131332397</v>
      </c>
      <c r="CS11">
        <v>1.0531353493013973</v>
      </c>
      <c r="CT11">
        <v>30966283.898305085</v>
      </c>
      <c r="CU11">
        <v>5.3443439999999995</v>
      </c>
      <c r="CV11" s="23">
        <v>0.34654770046472549</v>
      </c>
      <c r="CW11" s="24">
        <v>1.0014341771602631</v>
      </c>
      <c r="CX11">
        <v>0.06</v>
      </c>
      <c r="CY11">
        <v>17.515855307836933</v>
      </c>
      <c r="CZ11">
        <v>299797412.55629736</v>
      </c>
      <c r="DA11">
        <v>0.34654770046472549</v>
      </c>
      <c r="DB11">
        <v>4.637244356551963</v>
      </c>
      <c r="DC11">
        <v>1132398402.2063808</v>
      </c>
      <c r="DD11">
        <v>0.32922031544148922</v>
      </c>
      <c r="DE11">
        <v>1.683270972569419</v>
      </c>
      <c r="DF11">
        <v>3119645134.7249956</v>
      </c>
      <c r="DG11">
        <v>0.30496197640895845</v>
      </c>
      <c r="DH11">
        <v>0.69421825645498247</v>
      </c>
      <c r="DI11">
        <v>7564203406.0228167</v>
      </c>
      <c r="DJ11">
        <v>0.2772381603717804</v>
      </c>
      <c r="DK11">
        <v>0.14209043795060958</v>
      </c>
      <c r="DL11">
        <v>36956801426.886391</v>
      </c>
      <c r="DM11">
        <v>0.24258339032530782</v>
      </c>
      <c r="DN11">
        <v>236000000</v>
      </c>
      <c r="DO11">
        <v>0.34654770046472549</v>
      </c>
      <c r="DP11">
        <v>5251208100</v>
      </c>
      <c r="DQ11">
        <v>801605800</v>
      </c>
      <c r="DR11">
        <v>2211</v>
      </c>
      <c r="DS11">
        <v>-0.45912957450466418</v>
      </c>
      <c r="DT11">
        <v>-1.2951979587377818</v>
      </c>
      <c r="DU11" s="25">
        <v>0.53333333333333333</v>
      </c>
      <c r="DV11">
        <v>0.53333333333333333</v>
      </c>
      <c r="DW11">
        <v>1.0666666666666667</v>
      </c>
      <c r="DX11">
        <v>-3.0204702380952382</v>
      </c>
      <c r="DY11">
        <v>0.48051857142856902</v>
      </c>
      <c r="DZ11">
        <v>-3.0024670438520409</v>
      </c>
      <c r="EA11">
        <v>1427</v>
      </c>
      <c r="EB11">
        <v>-3.0017390720619535</v>
      </c>
      <c r="EC11">
        <v>3</v>
      </c>
      <c r="ED11">
        <v>0.10880735030712349</v>
      </c>
      <c r="EE11">
        <v>0.90282641934244212</v>
      </c>
      <c r="EF11" s="22">
        <v>3.0550100000000002</v>
      </c>
      <c r="EG11">
        <v>3.0695100000000002</v>
      </c>
      <c r="EH11">
        <v>36.120518571428569</v>
      </c>
      <c r="EI11" t="s">
        <v>1075</v>
      </c>
      <c r="EJ11">
        <v>0</v>
      </c>
      <c r="EK11">
        <v>1</v>
      </c>
    </row>
    <row r="12" spans="1:141" ht="56.25">
      <c r="A12" s="36"/>
      <c r="B12" s="4" t="s">
        <v>1077</v>
      </c>
      <c r="C12" s="4" t="s">
        <v>1078</v>
      </c>
      <c r="D12" s="4" t="s">
        <v>1100</v>
      </c>
      <c r="E12" t="s">
        <v>499</v>
      </c>
      <c r="F12" t="s">
        <v>500</v>
      </c>
      <c r="G12">
        <v>547</v>
      </c>
      <c r="H12">
        <v>-1.96</v>
      </c>
      <c r="I12" t="s">
        <v>1079</v>
      </c>
      <c r="J12">
        <v>118348920000</v>
      </c>
      <c r="K12">
        <v>105.4</v>
      </c>
      <c r="L12">
        <v>22.94</v>
      </c>
      <c r="M12" t="s">
        <v>729</v>
      </c>
      <c r="N12" t="s">
        <v>108</v>
      </c>
      <c r="O12" t="s">
        <v>1080</v>
      </c>
      <c r="P12" t="s">
        <v>1081</v>
      </c>
      <c r="Q12">
        <v>39.700000000000003</v>
      </c>
      <c r="R12" t="s">
        <v>731</v>
      </c>
      <c r="S12">
        <v>590970770</v>
      </c>
      <c r="T12" s="5">
        <v>0.38900000000000001</v>
      </c>
      <c r="U12" t="s">
        <v>527</v>
      </c>
      <c r="V12">
        <v>88576453</v>
      </c>
      <c r="W12">
        <v>216360000</v>
      </c>
      <c r="X12">
        <v>1.05</v>
      </c>
      <c r="Y12">
        <v>0.17</v>
      </c>
      <c r="Z12">
        <v>66.78</v>
      </c>
      <c r="AA12" t="s">
        <v>1082</v>
      </c>
      <c r="AB12" t="s">
        <v>1083</v>
      </c>
      <c r="AC12" t="s">
        <v>1084</v>
      </c>
      <c r="AD12" t="s">
        <v>1085</v>
      </c>
      <c r="AE12" t="s">
        <v>1086</v>
      </c>
      <c r="AF12">
        <v>-26229516</v>
      </c>
      <c r="AG12" t="s">
        <v>1087</v>
      </c>
      <c r="AH12" t="s">
        <v>1088</v>
      </c>
      <c r="AI12" t="s">
        <v>1089</v>
      </c>
      <c r="AJ12" t="s">
        <v>1090</v>
      </c>
      <c r="AK12" t="s">
        <v>1091</v>
      </c>
      <c r="AL12" t="s">
        <v>7</v>
      </c>
      <c r="AM12" t="s">
        <v>1092</v>
      </c>
      <c r="AN12" t="s">
        <v>134</v>
      </c>
      <c r="AO12">
        <v>0</v>
      </c>
      <c r="AP12" t="s">
        <v>7</v>
      </c>
      <c r="AQ12" t="s">
        <v>7</v>
      </c>
      <c r="AR12" t="s">
        <v>1093</v>
      </c>
      <c r="AS12" t="s">
        <v>7</v>
      </c>
      <c r="AT12" t="s">
        <v>291</v>
      </c>
      <c r="AU12" t="s">
        <v>7</v>
      </c>
      <c r="AV12" t="s">
        <v>286</v>
      </c>
      <c r="AW12" t="s">
        <v>1094</v>
      </c>
      <c r="AX12" t="s">
        <v>1095</v>
      </c>
      <c r="AY12" t="s">
        <v>340</v>
      </c>
      <c r="AZ12" t="s">
        <v>50</v>
      </c>
      <c r="BA12" t="s">
        <v>290</v>
      </c>
      <c r="BB12" t="s">
        <v>89</v>
      </c>
      <c r="BC12" t="s">
        <v>110</v>
      </c>
      <c r="BD12" t="s">
        <v>238</v>
      </c>
      <c r="BE12" t="s">
        <v>280</v>
      </c>
      <c r="BF12" t="s">
        <v>292</v>
      </c>
      <c r="BG12" t="s">
        <v>501</v>
      </c>
      <c r="BH12" t="s">
        <v>502</v>
      </c>
      <c r="BI12" t="s">
        <v>278</v>
      </c>
      <c r="BJ12" t="s">
        <v>1096</v>
      </c>
      <c r="BK12" t="s">
        <v>62</v>
      </c>
      <c r="BL12" t="s">
        <v>195</v>
      </c>
      <c r="BM12" t="s">
        <v>76</v>
      </c>
      <c r="BN12" t="s">
        <v>170</v>
      </c>
      <c r="BO12">
        <v>5.38</v>
      </c>
      <c r="BP12">
        <v>19.95</v>
      </c>
      <c r="BQ12">
        <v>16.88</v>
      </c>
      <c r="BR12">
        <v>57.79</v>
      </c>
      <c r="BS12">
        <v>20.54</v>
      </c>
      <c r="BT12">
        <v>25.31</v>
      </c>
      <c r="BU12">
        <v>44.01</v>
      </c>
      <c r="BV12" t="s">
        <v>1097</v>
      </c>
      <c r="BW12">
        <v>94.45</v>
      </c>
      <c r="BX12">
        <v>91.81</v>
      </c>
      <c r="BY12">
        <v>92.63</v>
      </c>
      <c r="BZ12">
        <v>65.03</v>
      </c>
      <c r="CA12">
        <v>61.1</v>
      </c>
      <c r="CB12">
        <v>53.43</v>
      </c>
      <c r="CC12">
        <v>4.1900000000000004</v>
      </c>
      <c r="CD12">
        <v>-7.9</v>
      </c>
      <c r="CE12" t="s">
        <v>1098</v>
      </c>
      <c r="CF12" t="s">
        <v>1099</v>
      </c>
      <c r="CG12" s="23">
        <v>0.2136728342245991</v>
      </c>
      <c r="CH12" s="24">
        <v>0.22429437007874015</v>
      </c>
      <c r="CI12" s="23">
        <v>1.0423130989074707</v>
      </c>
      <c r="CJ12" s="23">
        <v>0.27060931921005249</v>
      </c>
      <c r="CK12" s="23">
        <v>0.73831772804260254</v>
      </c>
      <c r="CL12" s="23">
        <v>0.44594594836235046</v>
      </c>
      <c r="CM12" s="23">
        <v>0.57446807622909546</v>
      </c>
      <c r="CN12" s="24">
        <v>1.1772726774215698</v>
      </c>
      <c r="CO12" s="24">
        <v>0.43790850043296814</v>
      </c>
      <c r="CP12" s="24">
        <v>1.4878048896789551</v>
      </c>
      <c r="CQ12" s="24">
        <v>0.49646863341331482</v>
      </c>
      <c r="CR12" s="24">
        <v>0.53986746072769165</v>
      </c>
      <c r="CS12">
        <v>81.732679558011043</v>
      </c>
      <c r="CT12">
        <v>59566990.605427973</v>
      </c>
      <c r="CU12">
        <v>11.920230000000002</v>
      </c>
      <c r="CV12" s="23">
        <v>0.61433083415031431</v>
      </c>
      <c r="CW12" s="24">
        <v>0.82786443233489992</v>
      </c>
      <c r="CX12">
        <v>0.06</v>
      </c>
      <c r="CY12">
        <v>77.742790425069273</v>
      </c>
      <c r="CZ12">
        <v>1458989565.2037747</v>
      </c>
      <c r="DA12">
        <v>0.61433083415031431</v>
      </c>
      <c r="DB12">
        <v>16.769307034061971</v>
      </c>
      <c r="DC12">
        <v>6763900247.6135855</v>
      </c>
      <c r="DD12">
        <v>0.58361429244279861</v>
      </c>
      <c r="DE12">
        <v>4.3836018559422936</v>
      </c>
      <c r="DF12">
        <v>25875050638.1511</v>
      </c>
      <c r="DG12">
        <v>0.54061113405227657</v>
      </c>
      <c r="DH12">
        <v>1.1644680204880535</v>
      </c>
      <c r="DI12">
        <v>97405783589.025284</v>
      </c>
      <c r="DJ12">
        <v>0.49146466732025146</v>
      </c>
      <c r="DK12">
        <v>7.7007841874263544E-2</v>
      </c>
      <c r="DL12">
        <v>1472913890837.2341</v>
      </c>
      <c r="DM12">
        <v>0.43003158390522001</v>
      </c>
      <c r="DN12">
        <v>958000000</v>
      </c>
      <c r="DO12">
        <v>0.61433083415031431</v>
      </c>
      <c r="DP12">
        <v>113425920000</v>
      </c>
      <c r="DQ12">
        <v>3684965900</v>
      </c>
      <c r="DR12">
        <v>2360</v>
      </c>
      <c r="DS12">
        <v>-0.40065799992571521</v>
      </c>
      <c r="DT12">
        <v>-0.60357006225615972</v>
      </c>
      <c r="DU12" s="25">
        <v>1.1866666666666668</v>
      </c>
      <c r="DV12">
        <v>1.1866666666666668</v>
      </c>
      <c r="DW12">
        <v>2.3733333333333335</v>
      </c>
      <c r="DX12">
        <v>6.3465674110835399</v>
      </c>
      <c r="DY12">
        <v>0.41545560726232211</v>
      </c>
      <c r="DZ12">
        <v>6.0538758473473218</v>
      </c>
      <c r="EA12">
        <v>146</v>
      </c>
      <c r="EB12">
        <v>6.0522493225928331</v>
      </c>
      <c r="EC12">
        <v>6</v>
      </c>
      <c r="ED12">
        <v>2.3499260491772971E-2</v>
      </c>
      <c r="EE12">
        <v>0.15116380107228694</v>
      </c>
      <c r="EF12" s="22">
        <v>-1.0589999999999999</v>
      </c>
      <c r="EG12">
        <v>-1.0394000000000001</v>
      </c>
      <c r="EH12">
        <v>26.155455607262322</v>
      </c>
      <c r="EI12" t="s">
        <v>622</v>
      </c>
      <c r="EJ12">
        <v>0</v>
      </c>
      <c r="EK12">
        <v>1</v>
      </c>
    </row>
    <row r="13" spans="1:141" ht="67.5">
      <c r="A13" s="36"/>
      <c r="B13" s="4"/>
      <c r="C13" s="4"/>
      <c r="D13" s="4" t="s">
        <v>1122</v>
      </c>
      <c r="E13" t="s">
        <v>732</v>
      </c>
      <c r="F13" t="s">
        <v>733</v>
      </c>
      <c r="G13">
        <v>21.51</v>
      </c>
      <c r="H13">
        <v>-2.8</v>
      </c>
      <c r="I13" t="s">
        <v>1101</v>
      </c>
      <c r="J13">
        <v>2168208000</v>
      </c>
      <c r="K13">
        <v>25.06</v>
      </c>
      <c r="L13">
        <v>2.29</v>
      </c>
      <c r="M13" t="s">
        <v>729</v>
      </c>
      <c r="N13" t="s">
        <v>1102</v>
      </c>
      <c r="O13" t="s">
        <v>1103</v>
      </c>
      <c r="P13" t="s">
        <v>1104</v>
      </c>
      <c r="Q13">
        <v>-10.57</v>
      </c>
      <c r="R13" t="s">
        <v>336</v>
      </c>
      <c r="S13">
        <v>26528208</v>
      </c>
      <c r="T13" s="5">
        <v>-0.28670000000000001</v>
      </c>
      <c r="U13" t="s">
        <v>734</v>
      </c>
      <c r="V13">
        <v>44861788</v>
      </c>
      <c r="W13">
        <v>100800000</v>
      </c>
      <c r="X13">
        <v>1.42</v>
      </c>
      <c r="Y13">
        <v>0.34</v>
      </c>
      <c r="Z13">
        <v>5.77</v>
      </c>
      <c r="AA13" t="s">
        <v>119</v>
      </c>
      <c r="AB13" t="s">
        <v>1105</v>
      </c>
      <c r="AC13" t="s">
        <v>1106</v>
      </c>
      <c r="AD13" t="s">
        <v>1107</v>
      </c>
      <c r="AE13" t="s">
        <v>1108</v>
      </c>
      <c r="AF13">
        <v>1295907</v>
      </c>
      <c r="AG13" t="s">
        <v>1109</v>
      </c>
      <c r="AH13">
        <v>7.86</v>
      </c>
      <c r="AI13" t="s">
        <v>1110</v>
      </c>
      <c r="AJ13" t="s">
        <v>959</v>
      </c>
      <c r="AK13" t="s">
        <v>1111</v>
      </c>
      <c r="AL13" t="s">
        <v>1112</v>
      </c>
      <c r="AM13" t="s">
        <v>1113</v>
      </c>
      <c r="AN13" t="s">
        <v>852</v>
      </c>
      <c r="AO13" t="s">
        <v>315</v>
      </c>
      <c r="AP13" t="s">
        <v>191</v>
      </c>
      <c r="AQ13" t="s">
        <v>7</v>
      </c>
      <c r="AR13" t="s">
        <v>124</v>
      </c>
      <c r="AS13" t="s">
        <v>7</v>
      </c>
      <c r="AT13" t="s">
        <v>163</v>
      </c>
      <c r="AU13" t="s">
        <v>7</v>
      </c>
      <c r="AV13" t="s">
        <v>1114</v>
      </c>
      <c r="AW13" t="s">
        <v>1115</v>
      </c>
      <c r="AX13" t="s">
        <v>1116</v>
      </c>
      <c r="AY13" t="s">
        <v>288</v>
      </c>
      <c r="AZ13" t="s">
        <v>777</v>
      </c>
      <c r="BA13" t="s">
        <v>332</v>
      </c>
      <c r="BB13" t="s">
        <v>174</v>
      </c>
      <c r="BC13" t="s">
        <v>7</v>
      </c>
      <c r="BD13" t="s">
        <v>778</v>
      </c>
      <c r="BE13" t="s">
        <v>779</v>
      </c>
      <c r="BF13" t="s">
        <v>780</v>
      </c>
      <c r="BG13" t="s">
        <v>781</v>
      </c>
      <c r="BH13" t="s">
        <v>7</v>
      </c>
      <c r="BI13" t="s">
        <v>355</v>
      </c>
      <c r="BJ13" t="s">
        <v>1117</v>
      </c>
      <c r="BK13" t="s">
        <v>60</v>
      </c>
      <c r="BL13" t="s">
        <v>1118</v>
      </c>
      <c r="BM13" t="s">
        <v>1119</v>
      </c>
      <c r="BN13" t="s">
        <v>782</v>
      </c>
      <c r="BO13">
        <v>1.5</v>
      </c>
      <c r="BP13">
        <v>11.05</v>
      </c>
      <c r="BQ13">
        <v>15.7</v>
      </c>
      <c r="BR13">
        <v>12.36</v>
      </c>
      <c r="BS13">
        <v>11.62</v>
      </c>
      <c r="BT13">
        <v>19.37</v>
      </c>
      <c r="BU13" t="s">
        <v>7</v>
      </c>
      <c r="BV13" t="s">
        <v>1073</v>
      </c>
      <c r="BW13">
        <v>22.33</v>
      </c>
      <c r="BX13">
        <v>25.26</v>
      </c>
      <c r="BY13">
        <v>28.74</v>
      </c>
      <c r="BZ13">
        <v>6.63</v>
      </c>
      <c r="CA13">
        <v>9.64</v>
      </c>
      <c r="CB13">
        <v>8.06</v>
      </c>
      <c r="CC13">
        <v>-2.98</v>
      </c>
      <c r="CD13">
        <v>-7.2</v>
      </c>
      <c r="CE13" t="s">
        <v>1120</v>
      </c>
      <c r="CF13" t="s">
        <v>1121</v>
      </c>
      <c r="CG13" s="23">
        <v>-0.20960608365019001</v>
      </c>
      <c r="CH13" s="24">
        <v>-0.40253433848105591</v>
      </c>
      <c r="CI13" s="23">
        <v>0.19814234972000122</v>
      </c>
      <c r="CJ13" s="23">
        <v>0.23282442986965179</v>
      </c>
      <c r="CK13" s="23">
        <v>9.4707518815994263E-2</v>
      </c>
      <c r="CL13" s="23">
        <v>0.34709194302558899</v>
      </c>
      <c r="CM13" s="23" t="e">
        <v>#VALUE!</v>
      </c>
      <c r="CN13" s="24">
        <v>4.0228363126516342E-2</v>
      </c>
      <c r="CO13" s="24">
        <v>0.47508928179740906</v>
      </c>
      <c r="CP13" s="24">
        <v>0.47503373026847839</v>
      </c>
      <c r="CQ13" s="24">
        <v>1.298983097076416</v>
      </c>
      <c r="CR13" s="24" t="e">
        <v>#VALUE!</v>
      </c>
      <c r="CS13">
        <v>1.8675348837209302</v>
      </c>
      <c r="CT13">
        <v>25930436.876667835</v>
      </c>
      <c r="CU13">
        <v>2.7857559999999997</v>
      </c>
      <c r="CV13" s="23">
        <v>0.21819156035780907</v>
      </c>
      <c r="CW13" s="24">
        <v>0.57233361806720495</v>
      </c>
      <c r="CX13">
        <v>0.06</v>
      </c>
      <c r="CY13">
        <v>14.508816132171278</v>
      </c>
      <c r="CZ13">
        <v>111670586.02441137</v>
      </c>
      <c r="DA13">
        <v>0.21819156035780907</v>
      </c>
      <c r="DB13">
        <v>4.2605708683399666</v>
      </c>
      <c r="DC13">
        <v>380279556.44152373</v>
      </c>
      <c r="DD13">
        <v>0.2072819823399186</v>
      </c>
      <c r="DE13">
        <v>1.8063212736292205</v>
      </c>
      <c r="DF13">
        <v>896965575.09103251</v>
      </c>
      <c r="DG13">
        <v>0.19200857311487199</v>
      </c>
      <c r="DH13">
        <v>0.90828727705002421</v>
      </c>
      <c r="DI13">
        <v>1783805675.7353065</v>
      </c>
      <c r="DJ13">
        <v>0.17455324828624727</v>
      </c>
      <c r="DK13">
        <v>0.30826583624800974</v>
      </c>
      <c r="DL13">
        <v>5255879210.359499</v>
      </c>
      <c r="DM13">
        <v>0.15273409225046633</v>
      </c>
      <c r="DN13">
        <v>97169300</v>
      </c>
      <c r="DO13">
        <v>0.21819156035780907</v>
      </c>
      <c r="DP13">
        <v>1620208000</v>
      </c>
      <c r="DQ13">
        <v>258386420</v>
      </c>
      <c r="DR13">
        <v>2413</v>
      </c>
      <c r="DS13">
        <v>-0.42779764400799908</v>
      </c>
      <c r="DT13">
        <v>-0.97486795654826086</v>
      </c>
      <c r="DU13" s="25">
        <v>0</v>
      </c>
      <c r="DV13">
        <v>0.35599999999999998</v>
      </c>
      <c r="DW13">
        <v>0.35599999999999998</v>
      </c>
      <c r="DX13">
        <v>-8.4138888888888896</v>
      </c>
      <c r="DY13">
        <v>0.47545601291364065</v>
      </c>
      <c r="DZ13">
        <v>-8.0684804053448129</v>
      </c>
      <c r="EA13">
        <v>1732</v>
      </c>
      <c r="EB13">
        <v>-8.0439543379218978</v>
      </c>
      <c r="EC13">
        <v>8</v>
      </c>
      <c r="ED13">
        <v>2.3184523809523811E-2</v>
      </c>
      <c r="EE13">
        <v>0.140125</v>
      </c>
      <c r="EF13" s="22">
        <v>3.031E-2</v>
      </c>
      <c r="EG13">
        <v>5.8310000000000001E-2</v>
      </c>
      <c r="EH13">
        <v>31.165456012913641</v>
      </c>
      <c r="EI13">
        <v>-1</v>
      </c>
      <c r="EJ13">
        <v>0</v>
      </c>
      <c r="EK13">
        <v>0</v>
      </c>
    </row>
    <row r="14" spans="1:141" ht="112.5">
      <c r="A14" s="36"/>
      <c r="B14" s="4" t="s">
        <v>783</v>
      </c>
      <c r="C14" s="4" t="s">
        <v>784</v>
      </c>
      <c r="D14" s="4" t="s">
        <v>1143</v>
      </c>
      <c r="E14" t="s">
        <v>503</v>
      </c>
      <c r="F14" t="s">
        <v>504</v>
      </c>
      <c r="G14">
        <v>170.84</v>
      </c>
      <c r="H14">
        <v>-2.66</v>
      </c>
      <c r="I14" t="s">
        <v>1123</v>
      </c>
      <c r="J14">
        <v>72367824000</v>
      </c>
      <c r="K14">
        <v>72.88</v>
      </c>
      <c r="L14">
        <v>14.78</v>
      </c>
      <c r="M14" t="s">
        <v>729</v>
      </c>
      <c r="N14" t="s">
        <v>1124</v>
      </c>
      <c r="O14" t="s">
        <v>1125</v>
      </c>
      <c r="P14" t="s">
        <v>1126</v>
      </c>
      <c r="Q14">
        <v>45.19</v>
      </c>
      <c r="R14" t="s">
        <v>735</v>
      </c>
      <c r="S14">
        <v>395043190</v>
      </c>
      <c r="T14" s="5">
        <v>0.49059999999999998</v>
      </c>
      <c r="U14" t="s">
        <v>581</v>
      </c>
      <c r="V14">
        <v>217393710</v>
      </c>
      <c r="W14">
        <v>423600000</v>
      </c>
      <c r="X14">
        <v>1.2</v>
      </c>
      <c r="Y14">
        <v>0.35</v>
      </c>
      <c r="Z14">
        <v>19.23</v>
      </c>
      <c r="AA14" t="s">
        <v>1127</v>
      </c>
      <c r="AB14" t="s">
        <v>86</v>
      </c>
      <c r="AC14" t="s">
        <v>491</v>
      </c>
      <c r="AD14" t="s">
        <v>116</v>
      </c>
      <c r="AE14" t="s">
        <v>1128</v>
      </c>
      <c r="AF14">
        <v>-7446945</v>
      </c>
      <c r="AG14" t="s">
        <v>1129</v>
      </c>
      <c r="AH14" t="s">
        <v>1130</v>
      </c>
      <c r="AI14" t="s">
        <v>1131</v>
      </c>
      <c r="AJ14" t="s">
        <v>1132</v>
      </c>
      <c r="AK14" t="s">
        <v>1133</v>
      </c>
      <c r="AL14" t="s">
        <v>7</v>
      </c>
      <c r="AM14" t="s">
        <v>1134</v>
      </c>
      <c r="AN14" t="s">
        <v>1135</v>
      </c>
      <c r="AO14" t="s">
        <v>269</v>
      </c>
      <c r="AP14" t="s">
        <v>7</v>
      </c>
      <c r="AQ14" t="s">
        <v>1136</v>
      </c>
      <c r="AR14" t="s">
        <v>307</v>
      </c>
      <c r="AS14" t="s">
        <v>7</v>
      </c>
      <c r="AT14" t="s">
        <v>1137</v>
      </c>
      <c r="AU14" t="s">
        <v>7</v>
      </c>
      <c r="AV14" t="s">
        <v>1138</v>
      </c>
      <c r="AW14" t="s">
        <v>706</v>
      </c>
      <c r="AX14" t="s">
        <v>1139</v>
      </c>
      <c r="AY14" t="s">
        <v>505</v>
      </c>
      <c r="AZ14" t="s">
        <v>506</v>
      </c>
      <c r="BA14" t="s">
        <v>72</v>
      </c>
      <c r="BB14" t="s">
        <v>328</v>
      </c>
      <c r="BC14" t="s">
        <v>7</v>
      </c>
      <c r="BD14" t="s">
        <v>226</v>
      </c>
      <c r="BE14" t="s">
        <v>242</v>
      </c>
      <c r="BF14" t="s">
        <v>318</v>
      </c>
      <c r="BG14" t="s">
        <v>153</v>
      </c>
      <c r="BH14" t="s">
        <v>7</v>
      </c>
      <c r="BI14" t="s">
        <v>333</v>
      </c>
      <c r="BJ14" t="s">
        <v>65</v>
      </c>
      <c r="BK14" t="s">
        <v>532</v>
      </c>
      <c r="BL14" t="s">
        <v>134</v>
      </c>
      <c r="BM14" t="s">
        <v>1140</v>
      </c>
      <c r="BN14" t="s">
        <v>785</v>
      </c>
      <c r="BO14">
        <v>2.88</v>
      </c>
      <c r="BP14">
        <v>27.86</v>
      </c>
      <c r="BQ14">
        <v>53.68</v>
      </c>
      <c r="BR14">
        <v>63.07</v>
      </c>
      <c r="BS14">
        <v>23.33</v>
      </c>
      <c r="BT14">
        <v>56.57</v>
      </c>
      <c r="BU14" t="s">
        <v>7</v>
      </c>
      <c r="BV14" t="s">
        <v>1073</v>
      </c>
      <c r="BW14">
        <v>77.819999999999993</v>
      </c>
      <c r="BX14">
        <v>76.25</v>
      </c>
      <c r="BY14">
        <v>80.22</v>
      </c>
      <c r="BZ14">
        <v>17.989999999999998</v>
      </c>
      <c r="CA14">
        <v>20.62</v>
      </c>
      <c r="CB14">
        <v>21.25</v>
      </c>
      <c r="CC14">
        <v>1.57</v>
      </c>
      <c r="CD14">
        <v>-12.16</v>
      </c>
      <c r="CE14" t="s">
        <v>1141</v>
      </c>
      <c r="CF14" t="s">
        <v>1142</v>
      </c>
      <c r="CG14" s="23">
        <v>0.37093756906077346</v>
      </c>
      <c r="CH14" s="24">
        <v>0.33602274385428826</v>
      </c>
      <c r="CI14" s="23">
        <v>0.52579671144485474</v>
      </c>
      <c r="CJ14" s="23">
        <v>0.35596707463264465</v>
      </c>
      <c r="CK14" s="23">
        <v>0.56774193048477173</v>
      </c>
      <c r="CL14" s="23">
        <v>0.55388468503952026</v>
      </c>
      <c r="CM14" s="23" t="e">
        <v>#VALUE!</v>
      </c>
      <c r="CN14" s="24">
        <v>0.58639705181121826</v>
      </c>
      <c r="CO14" s="24">
        <v>0.32038834691047668</v>
      </c>
      <c r="CP14" s="24">
        <v>0.57854408025741577</v>
      </c>
      <c r="CQ14" s="24">
        <v>0.69480520486831665</v>
      </c>
      <c r="CR14" s="24" t="e">
        <v>#VALUE!</v>
      </c>
      <c r="CS14">
        <v>17.992994530084534</v>
      </c>
      <c r="CT14">
        <v>41183818.076477401</v>
      </c>
      <c r="CU14">
        <v>8.0765999999999991</v>
      </c>
      <c r="CV14" s="23">
        <v>0.50084760040044785</v>
      </c>
      <c r="CW14" s="24">
        <v>0.54503367096185684</v>
      </c>
      <c r="CX14">
        <v>0.06</v>
      </c>
      <c r="CY14">
        <v>56.003683208695868</v>
      </c>
      <c r="CZ14">
        <v>1221916489.7599874</v>
      </c>
      <c r="DA14">
        <v>0.50084760040044785</v>
      </c>
      <c r="DB14">
        <v>13.151273897972997</v>
      </c>
      <c r="DC14">
        <v>5203436908.9178028</v>
      </c>
      <c r="DD14">
        <v>0.47580522038042544</v>
      </c>
      <c r="DE14">
        <v>3.9500714479550942</v>
      </c>
      <c r="DF14">
        <v>17324199043.393597</v>
      </c>
      <c r="DG14">
        <v>0.44074588835239409</v>
      </c>
      <c r="DH14">
        <v>1.2663294930844817</v>
      </c>
      <c r="DI14">
        <v>54039508969.593788</v>
      </c>
      <c r="DJ14">
        <v>0.40067808032035829</v>
      </c>
      <c r="DK14">
        <v>0.13522667000189023</v>
      </c>
      <c r="DL14">
        <v>506052718735.46429</v>
      </c>
      <c r="DM14">
        <v>0.35059332028031348</v>
      </c>
      <c r="DN14">
        <v>863000000.00000012</v>
      </c>
      <c r="DO14">
        <v>0.50084760040044785</v>
      </c>
      <c r="DP14">
        <v>68431824000</v>
      </c>
      <c r="DQ14">
        <v>4295294700</v>
      </c>
      <c r="DR14">
        <v>2415</v>
      </c>
      <c r="DS14">
        <v>-0.12991003133967438</v>
      </c>
      <c r="DT14">
        <v>-0.20901092710756858</v>
      </c>
      <c r="DU14" s="25">
        <v>0.44</v>
      </c>
      <c r="DV14">
        <v>1.0840000000000001</v>
      </c>
      <c r="DW14">
        <v>1.524</v>
      </c>
      <c r="DX14">
        <v>-2.1215999999999999</v>
      </c>
      <c r="DY14">
        <v>0.39105477025078428</v>
      </c>
      <c r="DZ14">
        <v>-2.0183682600624957</v>
      </c>
      <c r="EA14">
        <v>286</v>
      </c>
      <c r="EB14">
        <v>-2.0172819651125633</v>
      </c>
      <c r="EC14">
        <v>2</v>
      </c>
      <c r="ED14">
        <v>1.6866855524079322E-2</v>
      </c>
      <c r="EE14">
        <v>0.11166052880075542</v>
      </c>
      <c r="EF14" s="22">
        <v>-1.09151</v>
      </c>
      <c r="EG14">
        <v>-1.1181099999999999</v>
      </c>
      <c r="EH14">
        <v>24.151054770250784</v>
      </c>
      <c r="EI14" t="s">
        <v>710</v>
      </c>
      <c r="EJ14">
        <v>0</v>
      </c>
      <c r="EK14">
        <v>1</v>
      </c>
    </row>
    <row r="15" spans="1:141" ht="90">
      <c r="A15" s="36"/>
      <c r="B15" s="4"/>
      <c r="C15" s="4"/>
      <c r="D15" s="4" t="s">
        <v>1170</v>
      </c>
      <c r="E15" t="s">
        <v>736</v>
      </c>
      <c r="F15" t="s">
        <v>737</v>
      </c>
      <c r="G15">
        <v>30.38</v>
      </c>
      <c r="H15">
        <v>-1.36</v>
      </c>
      <c r="I15" t="s">
        <v>1144</v>
      </c>
      <c r="J15">
        <v>20647295000</v>
      </c>
      <c r="K15">
        <v>39.619999999999997</v>
      </c>
      <c r="L15">
        <v>3.01</v>
      </c>
      <c r="M15" t="s">
        <v>729</v>
      </c>
      <c r="N15" t="s">
        <v>1145</v>
      </c>
      <c r="O15" t="s">
        <v>1146</v>
      </c>
      <c r="P15" t="s">
        <v>1147</v>
      </c>
      <c r="Q15">
        <v>-11.76</v>
      </c>
      <c r="R15" t="s">
        <v>738</v>
      </c>
      <c r="S15">
        <v>157672140</v>
      </c>
      <c r="T15" s="5">
        <v>-0.44840000000000002</v>
      </c>
      <c r="U15" t="s">
        <v>136</v>
      </c>
      <c r="V15">
        <v>672810420</v>
      </c>
      <c r="W15">
        <v>679634460</v>
      </c>
      <c r="X15">
        <v>1.81</v>
      </c>
      <c r="Y15">
        <v>0.3</v>
      </c>
      <c r="Z15">
        <v>4.24</v>
      </c>
      <c r="AA15" t="s">
        <v>1148</v>
      </c>
      <c r="AB15" t="s">
        <v>1149</v>
      </c>
      <c r="AC15" t="s">
        <v>1150</v>
      </c>
      <c r="AD15" t="s">
        <v>1151</v>
      </c>
      <c r="AE15" t="s">
        <v>1152</v>
      </c>
      <c r="AF15">
        <v>-50885</v>
      </c>
      <c r="AG15" t="s">
        <v>1153</v>
      </c>
      <c r="AH15" t="s">
        <v>1154</v>
      </c>
      <c r="AI15" t="s">
        <v>1155</v>
      </c>
      <c r="AJ15" t="s">
        <v>1156</v>
      </c>
      <c r="AK15" t="s">
        <v>1157</v>
      </c>
      <c r="AL15" t="s">
        <v>7</v>
      </c>
      <c r="AM15" t="s">
        <v>1158</v>
      </c>
      <c r="AN15" t="s">
        <v>1159</v>
      </c>
      <c r="AO15" t="s">
        <v>1160</v>
      </c>
      <c r="AP15" t="s">
        <v>7</v>
      </c>
      <c r="AQ15" t="s">
        <v>7</v>
      </c>
      <c r="AR15" t="s">
        <v>1161</v>
      </c>
      <c r="AS15" t="s">
        <v>7</v>
      </c>
      <c r="AT15" t="s">
        <v>1162</v>
      </c>
      <c r="AU15" t="s">
        <v>1163</v>
      </c>
      <c r="AV15" t="s">
        <v>1164</v>
      </c>
      <c r="AW15" t="s">
        <v>1165</v>
      </c>
      <c r="AX15" t="s">
        <v>884</v>
      </c>
      <c r="AY15" t="s">
        <v>786</v>
      </c>
      <c r="AZ15" t="s">
        <v>787</v>
      </c>
      <c r="BA15" t="s">
        <v>788</v>
      </c>
      <c r="BB15" t="s">
        <v>789</v>
      </c>
      <c r="BC15" t="s">
        <v>790</v>
      </c>
      <c r="BD15" t="s">
        <v>375</v>
      </c>
      <c r="BE15" t="s">
        <v>241</v>
      </c>
      <c r="BF15" t="s">
        <v>564</v>
      </c>
      <c r="BG15" t="s">
        <v>120</v>
      </c>
      <c r="BH15" t="s">
        <v>243</v>
      </c>
      <c r="BI15" t="s">
        <v>582</v>
      </c>
      <c r="BJ15" t="s">
        <v>1166</v>
      </c>
      <c r="BK15" t="s">
        <v>74</v>
      </c>
      <c r="BL15" t="s">
        <v>529</v>
      </c>
      <c r="BM15" t="s">
        <v>1167</v>
      </c>
      <c r="BN15" t="s">
        <v>75</v>
      </c>
      <c r="BO15">
        <v>2.1800000000000002</v>
      </c>
      <c r="BP15">
        <v>8.2100000000000009</v>
      </c>
      <c r="BQ15">
        <v>5.69</v>
      </c>
      <c r="BR15">
        <v>7.78</v>
      </c>
      <c r="BS15">
        <v>9.6300000000000008</v>
      </c>
      <c r="BT15">
        <v>6.73</v>
      </c>
      <c r="BU15">
        <v>9.2100000000000009</v>
      </c>
      <c r="BV15" t="s">
        <v>1073</v>
      </c>
      <c r="BW15">
        <v>62.66</v>
      </c>
      <c r="BX15">
        <v>59.95</v>
      </c>
      <c r="BY15">
        <v>61.88</v>
      </c>
      <c r="BZ15">
        <v>9.42</v>
      </c>
      <c r="CA15">
        <v>6.12</v>
      </c>
      <c r="CB15">
        <v>7.33</v>
      </c>
      <c r="CC15">
        <v>0.2</v>
      </c>
      <c r="CD15">
        <v>-7.91</v>
      </c>
      <c r="CE15" t="s">
        <v>1168</v>
      </c>
      <c r="CF15" t="s">
        <v>1169</v>
      </c>
      <c r="CG15" s="23">
        <v>-0.23733890214797157</v>
      </c>
      <c r="CH15" s="24">
        <v>-1.3532295726495727</v>
      </c>
      <c r="CI15" s="23">
        <v>8.73151496052742E-2</v>
      </c>
      <c r="CJ15" s="23">
        <v>-7.4371486902236938E-2</v>
      </c>
      <c r="CK15" s="23">
        <v>6.4303770661354065E-2</v>
      </c>
      <c r="CL15" s="23">
        <v>0.10018493980169296</v>
      </c>
      <c r="CM15" s="23">
        <v>8.8225454092025757E-2</v>
      </c>
      <c r="CN15" s="24">
        <v>0.50930231809616089</v>
      </c>
      <c r="CO15" s="24">
        <v>-0.22800718247890472</v>
      </c>
      <c r="CP15" s="24">
        <v>3.1481482088565826E-2</v>
      </c>
      <c r="CQ15" s="24">
        <v>0.38461539149284363</v>
      </c>
      <c r="CR15" s="24">
        <v>0.94029849767684937</v>
      </c>
      <c r="CS15">
        <v>2.7004047868166365</v>
      </c>
      <c r="CT15">
        <v>30926228.043143298</v>
      </c>
      <c r="CU15">
        <v>2.3023200000000004</v>
      </c>
      <c r="CV15" s="23">
        <v>5.3131565451622009E-2</v>
      </c>
      <c r="CW15" s="24">
        <v>0.32753810137510297</v>
      </c>
      <c r="CX15">
        <v>0.06</v>
      </c>
      <c r="CY15">
        <v>29.961931894841964</v>
      </c>
      <c r="CZ15">
        <v>644794703.75292706</v>
      </c>
      <c r="DA15">
        <v>5.3131565451622009E-2</v>
      </c>
      <c r="DB15">
        <v>10.103080800948625</v>
      </c>
      <c r="DC15">
        <v>1912218201.6188588</v>
      </c>
      <c r="DD15">
        <v>5.0474987179040906E-2</v>
      </c>
      <c r="DE15">
        <v>5.183307249016476</v>
      </c>
      <c r="DF15">
        <v>3727213933.4718785</v>
      </c>
      <c r="DG15">
        <v>4.675577759742737E-2</v>
      </c>
      <c r="DH15">
        <v>3.2583850056806702</v>
      </c>
      <c r="DI15">
        <v>5929101369.6413193</v>
      </c>
      <c r="DJ15">
        <v>4.250525236129761E-2</v>
      </c>
      <c r="DK15">
        <v>1.8556490212732366</v>
      </c>
      <c r="DL15">
        <v>10411071694.335949</v>
      </c>
      <c r="DM15">
        <v>3.7192095816135404E-2</v>
      </c>
      <c r="DN15">
        <v>649000000</v>
      </c>
      <c r="DO15">
        <v>5.3131565451622009E-2</v>
      </c>
      <c r="DP15">
        <v>19319295000</v>
      </c>
      <c r="DQ15">
        <v>2847239899.9999995</v>
      </c>
      <c r="DR15">
        <v>2950</v>
      </c>
      <c r="DS15">
        <v>-0.29047046759959361</v>
      </c>
      <c r="DT15">
        <v>-1.6807676740246755</v>
      </c>
      <c r="DU15" s="25">
        <v>0</v>
      </c>
      <c r="DV15">
        <v>0.11333333333333333</v>
      </c>
      <c r="DW15">
        <v>0.11333333333333333</v>
      </c>
      <c r="DX15">
        <v>-2.0790999999999999</v>
      </c>
      <c r="DY15">
        <v>0.37298000000000098</v>
      </c>
      <c r="DZ15">
        <v>-2.0128917180000001</v>
      </c>
      <c r="EA15">
        <v>3125</v>
      </c>
      <c r="EB15">
        <v>-2.0045611516745243</v>
      </c>
      <c r="EC15">
        <v>2</v>
      </c>
      <c r="ED15">
        <v>2.7577618709916506E-2</v>
      </c>
      <c r="EE15">
        <v>0.16920860663833906</v>
      </c>
      <c r="EF15" s="22">
        <v>4.0690099999999996</v>
      </c>
      <c r="EG15">
        <v>4.0826099999999999</v>
      </c>
      <c r="EH15">
        <v>21.162980000000001</v>
      </c>
      <c r="EI15" t="s">
        <v>791</v>
      </c>
      <c r="EJ15">
        <v>0</v>
      </c>
      <c r="EK15">
        <v>0</v>
      </c>
    </row>
    <row r="16" spans="1:141" ht="67.5">
      <c r="A16" s="36"/>
      <c r="B16" s="4"/>
      <c r="C16" s="4"/>
      <c r="D16" s="4" t="s">
        <v>1194</v>
      </c>
      <c r="E16" t="s">
        <v>227</v>
      </c>
      <c r="F16" t="s">
        <v>228</v>
      </c>
      <c r="G16">
        <v>7.5</v>
      </c>
      <c r="H16">
        <v>-2.2200000000000002</v>
      </c>
      <c r="I16" t="s">
        <v>1171</v>
      </c>
      <c r="J16">
        <v>2419443700</v>
      </c>
      <c r="K16">
        <v>54.57</v>
      </c>
      <c r="L16">
        <v>1.74</v>
      </c>
      <c r="M16" t="s">
        <v>26</v>
      </c>
      <c r="N16" t="s">
        <v>173</v>
      </c>
      <c r="O16" t="s">
        <v>1172</v>
      </c>
      <c r="P16" t="s">
        <v>1173</v>
      </c>
      <c r="Q16">
        <v>-11.57</v>
      </c>
      <c r="R16" t="s">
        <v>361</v>
      </c>
      <c r="S16">
        <v>35632146</v>
      </c>
      <c r="T16" s="5">
        <v>0.32190000000000002</v>
      </c>
      <c r="U16" t="s">
        <v>739</v>
      </c>
      <c r="V16">
        <v>322592500</v>
      </c>
      <c r="W16">
        <v>322592500</v>
      </c>
      <c r="X16">
        <v>1.1100000000000001</v>
      </c>
      <c r="Y16">
        <v>0.18</v>
      </c>
      <c r="Z16">
        <v>12.72</v>
      </c>
      <c r="AA16" t="s">
        <v>225</v>
      </c>
      <c r="AB16" t="s">
        <v>845</v>
      </c>
      <c r="AC16" t="s">
        <v>1174</v>
      </c>
      <c r="AD16" t="s">
        <v>1175</v>
      </c>
      <c r="AE16" t="s">
        <v>1176</v>
      </c>
      <c r="AF16">
        <v>-304066</v>
      </c>
      <c r="AG16" t="s">
        <v>1177</v>
      </c>
      <c r="AH16">
        <v>2.2000000000000002</v>
      </c>
      <c r="AI16" t="s">
        <v>1178</v>
      </c>
      <c r="AJ16" t="s">
        <v>115</v>
      </c>
      <c r="AK16" t="s">
        <v>1179</v>
      </c>
      <c r="AL16" t="s">
        <v>7</v>
      </c>
      <c r="AM16" t="s">
        <v>1180</v>
      </c>
      <c r="AN16" t="s">
        <v>268</v>
      </c>
      <c r="AO16" t="s">
        <v>1181</v>
      </c>
      <c r="AP16" t="s">
        <v>7</v>
      </c>
      <c r="AQ16" t="s">
        <v>7</v>
      </c>
      <c r="AR16" t="s">
        <v>1182</v>
      </c>
      <c r="AS16" t="s">
        <v>7</v>
      </c>
      <c r="AT16" t="s">
        <v>264</v>
      </c>
      <c r="AU16" t="s">
        <v>7</v>
      </c>
      <c r="AV16" t="s">
        <v>1183</v>
      </c>
      <c r="AW16" t="s">
        <v>1184</v>
      </c>
      <c r="AX16" t="s">
        <v>7</v>
      </c>
      <c r="AY16" t="s">
        <v>343</v>
      </c>
      <c r="AZ16" t="s">
        <v>229</v>
      </c>
      <c r="BA16" t="s">
        <v>368</v>
      </c>
      <c r="BB16" t="s">
        <v>327</v>
      </c>
      <c r="BC16" t="s">
        <v>293</v>
      </c>
      <c r="BD16" t="s">
        <v>507</v>
      </c>
      <c r="BE16" t="s">
        <v>230</v>
      </c>
      <c r="BF16" t="s">
        <v>508</v>
      </c>
      <c r="BG16" t="s">
        <v>134</v>
      </c>
      <c r="BH16" t="s">
        <v>107</v>
      </c>
      <c r="BI16" t="s">
        <v>275</v>
      </c>
      <c r="BJ16" t="s">
        <v>255</v>
      </c>
      <c r="BK16" t="s">
        <v>173</v>
      </c>
      <c r="BL16" t="s">
        <v>1185</v>
      </c>
      <c r="BM16" t="s">
        <v>1186</v>
      </c>
      <c r="BN16" t="s">
        <v>792</v>
      </c>
      <c r="BO16">
        <v>1.95</v>
      </c>
      <c r="BP16">
        <v>2.61</v>
      </c>
      <c r="BQ16">
        <v>-12.68</v>
      </c>
      <c r="BR16">
        <v>0.53</v>
      </c>
      <c r="BS16">
        <v>2.68</v>
      </c>
      <c r="BT16">
        <v>-12.83</v>
      </c>
      <c r="BU16">
        <v>0.53</v>
      </c>
      <c r="BV16" t="s">
        <v>888</v>
      </c>
      <c r="BW16">
        <v>63.43</v>
      </c>
      <c r="BX16">
        <v>48.57</v>
      </c>
      <c r="BY16">
        <v>66.25</v>
      </c>
      <c r="BZ16">
        <v>18.510000000000002</v>
      </c>
      <c r="CA16">
        <v>-50.07</v>
      </c>
      <c r="CB16">
        <v>1.52</v>
      </c>
      <c r="CC16">
        <v>-3.85</v>
      </c>
      <c r="CD16">
        <v>-3.85</v>
      </c>
      <c r="CE16" t="s">
        <v>1187</v>
      </c>
      <c r="CF16" t="s">
        <v>1188</v>
      </c>
      <c r="CG16" s="23">
        <v>-0.20065231707317074</v>
      </c>
      <c r="CH16" s="24">
        <v>-0.51537948624521768</v>
      </c>
      <c r="CI16" s="23">
        <v>0.7597765326499939</v>
      </c>
      <c r="CJ16" s="23">
        <v>-0.30620154738426208</v>
      </c>
      <c r="CK16" s="23">
        <v>-0.14991763234138489</v>
      </c>
      <c r="CL16" s="23">
        <v>-0.35356763005256653</v>
      </c>
      <c r="CM16" s="23">
        <v>-4.0858019143342972E-2</v>
      </c>
      <c r="CN16" s="24">
        <v>1.1991961002349854</v>
      </c>
      <c r="CO16" s="24">
        <v>-23.781362533569336</v>
      </c>
      <c r="CP16" s="24">
        <v>1.0623594522476196</v>
      </c>
      <c r="CQ16" s="24">
        <v>-1.863013744354248</v>
      </c>
      <c r="CR16" s="24">
        <v>-0.47101449966430664</v>
      </c>
      <c r="CS16">
        <v>3.8403868253968252</v>
      </c>
      <c r="CT16">
        <v>52702137.923104323</v>
      </c>
      <c r="CU16">
        <v>2.5414560000000002</v>
      </c>
      <c r="CV16" s="23">
        <v>-1.8153659254312515E-2</v>
      </c>
      <c r="CW16" s="24">
        <v>-4.7707670450210573</v>
      </c>
      <c r="CX16">
        <v>0.06</v>
      </c>
      <c r="CY16">
        <v>33.218543250663984</v>
      </c>
      <c r="CZ16" t="s">
        <v>1189</v>
      </c>
      <c r="DA16">
        <v>-1.8153659254312515E-2</v>
      </c>
      <c r="DB16">
        <v>11.072847750221328</v>
      </c>
      <c r="DC16" t="s">
        <v>1190</v>
      </c>
      <c r="DD16">
        <v>-1.7245976291596889E-2</v>
      </c>
      <c r="DE16">
        <v>5.536423875110664</v>
      </c>
      <c r="DF16" t="s">
        <v>1191</v>
      </c>
      <c r="DG16">
        <v>-1.5975220143795012E-2</v>
      </c>
      <c r="DH16">
        <v>3.3218543250663983</v>
      </c>
      <c r="DI16" t="s">
        <v>1192</v>
      </c>
      <c r="DJ16">
        <v>-1.4522927403450013E-2</v>
      </c>
      <c r="DK16">
        <v>1.6609271625331992</v>
      </c>
      <c r="DL16" t="s">
        <v>1193</v>
      </c>
      <c r="DM16">
        <v>-1.2707561478018759E-2</v>
      </c>
      <c r="DN16">
        <v>35656100</v>
      </c>
      <c r="DO16">
        <v>-1.8153659254312515E-2</v>
      </c>
      <c r="DP16">
        <v>1184443700</v>
      </c>
      <c r="DQ16">
        <v>296332770</v>
      </c>
      <c r="DR16">
        <v>3820</v>
      </c>
      <c r="DS16">
        <v>-0.18249865781885824</v>
      </c>
      <c r="DT16">
        <v>4.2553875587758396</v>
      </c>
      <c r="DU16" s="25">
        <v>6.6666666666666652E-2</v>
      </c>
      <c r="DV16">
        <v>-0.26666666666666672</v>
      </c>
      <c r="DW16">
        <v>-0.20000000000000007</v>
      </c>
      <c r="DX16">
        <v>-4.9999000000000002</v>
      </c>
      <c r="DY16">
        <v>0.40036090555573067</v>
      </c>
      <c r="DZ16">
        <v>-4.1603448694651757</v>
      </c>
      <c r="EA16">
        <v>3490</v>
      </c>
      <c r="EB16">
        <v>-4.0446286588709937</v>
      </c>
      <c r="EC16">
        <v>4</v>
      </c>
      <c r="ED16">
        <v>2.9899951176794254E-2</v>
      </c>
      <c r="EE16">
        <v>0.18645411781117044</v>
      </c>
      <c r="EF16" s="22">
        <v>2.0379999999999998</v>
      </c>
      <c r="EG16">
        <v>2.0158</v>
      </c>
      <c r="EH16">
        <v>24.160360905555731</v>
      </c>
      <c r="EI16" t="s">
        <v>815</v>
      </c>
      <c r="EJ16">
        <v>0</v>
      </c>
      <c r="EK16">
        <v>0</v>
      </c>
    </row>
    <row r="17" spans="1:141" ht="67.5">
      <c r="A17" s="36"/>
      <c r="B17" s="4"/>
      <c r="C17" s="4"/>
      <c r="D17" s="4" t="s">
        <v>1218</v>
      </c>
      <c r="E17" t="s">
        <v>33</v>
      </c>
      <c r="F17" t="s">
        <v>34</v>
      </c>
      <c r="G17">
        <v>160.66999999999999</v>
      </c>
      <c r="H17">
        <v>-1.29</v>
      </c>
      <c r="I17" t="s">
        <v>1195</v>
      </c>
      <c r="J17">
        <v>45552667000</v>
      </c>
      <c r="K17">
        <v>70.41</v>
      </c>
      <c r="L17">
        <v>15.55</v>
      </c>
      <c r="M17" t="s">
        <v>729</v>
      </c>
      <c r="N17" t="s">
        <v>1196</v>
      </c>
      <c r="O17" t="s">
        <v>1197</v>
      </c>
      <c r="P17" t="s">
        <v>1198</v>
      </c>
      <c r="Q17">
        <v>36.93</v>
      </c>
      <c r="R17" t="s">
        <v>740</v>
      </c>
      <c r="S17">
        <v>296939520</v>
      </c>
      <c r="T17" s="5">
        <v>0.31330000000000002</v>
      </c>
      <c r="U17" t="s">
        <v>364</v>
      </c>
      <c r="V17">
        <v>281416940</v>
      </c>
      <c r="W17">
        <v>283516940</v>
      </c>
      <c r="X17">
        <v>1.7</v>
      </c>
      <c r="Y17">
        <v>0.54</v>
      </c>
      <c r="Z17">
        <v>11.75</v>
      </c>
      <c r="AA17" t="s">
        <v>1199</v>
      </c>
      <c r="AB17" t="s">
        <v>850</v>
      </c>
      <c r="AC17" t="s">
        <v>1200</v>
      </c>
      <c r="AD17" t="s">
        <v>240</v>
      </c>
      <c r="AE17" t="s">
        <v>1201</v>
      </c>
      <c r="AF17">
        <v>-14804777</v>
      </c>
      <c r="AG17" t="s">
        <v>1202</v>
      </c>
      <c r="AH17" t="s">
        <v>1203</v>
      </c>
      <c r="AI17" t="s">
        <v>1204</v>
      </c>
      <c r="AJ17" t="s">
        <v>1205</v>
      </c>
      <c r="AK17" t="s">
        <v>1206</v>
      </c>
      <c r="AL17" t="s">
        <v>7</v>
      </c>
      <c r="AM17" t="s">
        <v>1207</v>
      </c>
      <c r="AN17" t="s">
        <v>1208</v>
      </c>
      <c r="AO17" t="s">
        <v>244</v>
      </c>
      <c r="AP17" t="s">
        <v>121</v>
      </c>
      <c r="AQ17" t="s">
        <v>1209</v>
      </c>
      <c r="AR17" t="s">
        <v>460</v>
      </c>
      <c r="AS17" t="s">
        <v>1210</v>
      </c>
      <c r="AT17" t="s">
        <v>1211</v>
      </c>
      <c r="AU17" t="s">
        <v>7</v>
      </c>
      <c r="AV17" t="s">
        <v>1061</v>
      </c>
      <c r="AW17" t="s">
        <v>1212</v>
      </c>
      <c r="AX17" t="s">
        <v>1213</v>
      </c>
      <c r="AY17" t="s">
        <v>509</v>
      </c>
      <c r="AZ17" t="s">
        <v>156</v>
      </c>
      <c r="BA17" t="s">
        <v>510</v>
      </c>
      <c r="BB17" t="s">
        <v>344</v>
      </c>
      <c r="BC17" t="s">
        <v>303</v>
      </c>
      <c r="BD17" t="s">
        <v>131</v>
      </c>
      <c r="BE17" t="s">
        <v>157</v>
      </c>
      <c r="BF17" t="s">
        <v>59</v>
      </c>
      <c r="BG17" t="s">
        <v>243</v>
      </c>
      <c r="BH17" t="s">
        <v>153</v>
      </c>
      <c r="BI17" t="s">
        <v>566</v>
      </c>
      <c r="BJ17" t="s">
        <v>1214</v>
      </c>
      <c r="BK17" t="s">
        <v>454</v>
      </c>
      <c r="BL17" t="s">
        <v>252</v>
      </c>
      <c r="BM17" t="s">
        <v>1215</v>
      </c>
      <c r="BN17" t="s">
        <v>274</v>
      </c>
      <c r="BO17">
        <v>3.94</v>
      </c>
      <c r="BP17">
        <v>17.12</v>
      </c>
      <c r="BQ17">
        <v>18.77</v>
      </c>
      <c r="BR17">
        <v>17.97</v>
      </c>
      <c r="BS17">
        <v>22.25</v>
      </c>
      <c r="BT17">
        <v>21.82</v>
      </c>
      <c r="BU17">
        <v>21.24</v>
      </c>
      <c r="BV17" t="s">
        <v>1073</v>
      </c>
      <c r="BW17">
        <v>67.569999999999993</v>
      </c>
      <c r="BX17">
        <v>63.55</v>
      </c>
      <c r="BY17">
        <v>63.96</v>
      </c>
      <c r="BZ17">
        <v>13.5</v>
      </c>
      <c r="CA17">
        <v>12.04</v>
      </c>
      <c r="CB17">
        <v>11.73</v>
      </c>
      <c r="CC17">
        <v>6.36</v>
      </c>
      <c r="CD17">
        <v>-9.6300000000000008</v>
      </c>
      <c r="CE17" t="s">
        <v>1216</v>
      </c>
      <c r="CF17" t="s">
        <v>1217</v>
      </c>
      <c r="CG17" s="23">
        <v>0.3543368213228037</v>
      </c>
      <c r="CH17" s="24">
        <v>0.19775448275862115</v>
      </c>
      <c r="CI17" s="23">
        <v>0.23480808734893799</v>
      </c>
      <c r="CJ17" s="23">
        <v>0.20102432370185852</v>
      </c>
      <c r="CK17" s="23">
        <v>0.32316818833351135</v>
      </c>
      <c r="CL17" s="23">
        <v>0.32417276501655579</v>
      </c>
      <c r="CM17" s="23">
        <v>9.8582789301872253E-2</v>
      </c>
      <c r="CN17" s="24">
        <v>0.21008403599262238</v>
      </c>
      <c r="CO17" s="24">
        <v>0.2111959308385849</v>
      </c>
      <c r="CP17" s="24">
        <v>0.36933797597885132</v>
      </c>
      <c r="CQ17" s="24">
        <v>0.42786070704460144</v>
      </c>
      <c r="CR17" s="24">
        <v>0.30519479513168335</v>
      </c>
      <c r="CS17">
        <v>9.8322182171379229</v>
      </c>
      <c r="CT17">
        <v>48766913.194444448</v>
      </c>
      <c r="CU17">
        <v>10.7865</v>
      </c>
      <c r="CV17" s="23">
        <v>0.23635123074054717</v>
      </c>
      <c r="CW17" s="24">
        <v>0.30473468899726869</v>
      </c>
      <c r="CX17">
        <v>0.06</v>
      </c>
      <c r="CY17">
        <v>66.4762819636654</v>
      </c>
      <c r="CZ17">
        <v>671828593.30807078</v>
      </c>
      <c r="DA17">
        <v>0.23635123074054717</v>
      </c>
      <c r="DB17">
        <v>19.232819395903725</v>
      </c>
      <c r="DC17">
        <v>2322107127.4402957</v>
      </c>
      <c r="DD17">
        <v>0.2245336692035198</v>
      </c>
      <c r="DE17">
        <v>7.9788575867056259</v>
      </c>
      <c r="DF17">
        <v>5597376129.9379015</v>
      </c>
      <c r="DG17">
        <v>0.20798908305168151</v>
      </c>
      <c r="DH17">
        <v>3.9050250464294902</v>
      </c>
      <c r="DI17">
        <v>11436717170.568447</v>
      </c>
      <c r="DJ17">
        <v>0.18908098459243775</v>
      </c>
      <c r="DK17">
        <v>1.2385938760273882</v>
      </c>
      <c r="DL17">
        <v>36057555155.401436</v>
      </c>
      <c r="DM17">
        <v>0.165445861518383</v>
      </c>
      <c r="DN17">
        <v>576000000</v>
      </c>
      <c r="DO17">
        <v>0.23635123074054717</v>
      </c>
      <c r="DP17">
        <v>44660667000</v>
      </c>
      <c r="DQ17">
        <v>2146132100</v>
      </c>
      <c r="DR17">
        <v>4029</v>
      </c>
      <c r="DS17">
        <v>0.11798559058225652</v>
      </c>
      <c r="DT17">
        <v>-0.10698020623864754</v>
      </c>
      <c r="DU17" s="25">
        <v>0.78666666666666663</v>
      </c>
      <c r="DV17">
        <v>0.8866666666666666</v>
      </c>
      <c r="DW17">
        <v>1.6733333333333333</v>
      </c>
      <c r="DX17">
        <v>7.3977485928705438</v>
      </c>
      <c r="DY17">
        <v>0.39878600010381771</v>
      </c>
      <c r="DZ17">
        <v>7.0750893658949519</v>
      </c>
      <c r="EA17">
        <v>569</v>
      </c>
      <c r="EB17">
        <v>7.0662544094858895</v>
      </c>
      <c r="EC17">
        <v>7</v>
      </c>
      <c r="ED17">
        <v>2.9504057147343648E-2</v>
      </c>
      <c r="EE17">
        <v>0.15628307782949408</v>
      </c>
      <c r="EF17" s="22">
        <v>2.0280999999999998</v>
      </c>
      <c r="EG17">
        <v>2.0152000000000001</v>
      </c>
      <c r="EH17">
        <v>21.188786000103818</v>
      </c>
      <c r="EI17" t="s">
        <v>815</v>
      </c>
      <c r="EJ17">
        <v>1</v>
      </c>
      <c r="EK17">
        <v>1</v>
      </c>
    </row>
    <row r="18" spans="1:141" ht="67.5">
      <c r="A18" s="36"/>
      <c r="B18" s="4"/>
      <c r="C18" s="4"/>
      <c r="D18" s="4" t="s">
        <v>1239</v>
      </c>
      <c r="E18" t="s">
        <v>31</v>
      </c>
      <c r="F18" t="s">
        <v>32</v>
      </c>
      <c r="G18">
        <v>24.19</v>
      </c>
      <c r="H18">
        <v>-1.87</v>
      </c>
      <c r="I18" t="s">
        <v>1219</v>
      </c>
      <c r="J18">
        <v>9710949200</v>
      </c>
      <c r="K18">
        <v>55.23</v>
      </c>
      <c r="L18">
        <v>3.11</v>
      </c>
      <c r="M18" t="s">
        <v>729</v>
      </c>
      <c r="N18" t="s">
        <v>369</v>
      </c>
      <c r="O18" t="s">
        <v>1220</v>
      </c>
      <c r="P18" t="s">
        <v>1221</v>
      </c>
      <c r="Q18">
        <v>-6.48</v>
      </c>
      <c r="R18" t="s">
        <v>536</v>
      </c>
      <c r="S18">
        <v>117068588</v>
      </c>
      <c r="T18" s="5">
        <v>-0.38109999999999999</v>
      </c>
      <c r="U18" t="s">
        <v>225</v>
      </c>
      <c r="V18">
        <v>401000000</v>
      </c>
      <c r="W18">
        <v>401444780</v>
      </c>
      <c r="X18">
        <v>1.2</v>
      </c>
      <c r="Y18">
        <v>0.22</v>
      </c>
      <c r="Z18">
        <v>13.91</v>
      </c>
      <c r="AA18" t="s">
        <v>1222</v>
      </c>
      <c r="AB18" t="s">
        <v>355</v>
      </c>
      <c r="AC18" t="s">
        <v>324</v>
      </c>
      <c r="AD18" t="s">
        <v>1223</v>
      </c>
      <c r="AE18" t="s">
        <v>1224</v>
      </c>
      <c r="AF18">
        <v>-5692659</v>
      </c>
      <c r="AG18" t="s">
        <v>1225</v>
      </c>
      <c r="AH18" t="s">
        <v>1226</v>
      </c>
      <c r="AI18" t="s">
        <v>1227</v>
      </c>
      <c r="AJ18" t="s">
        <v>1228</v>
      </c>
      <c r="AK18" t="s">
        <v>1229</v>
      </c>
      <c r="AL18" t="s">
        <v>1230</v>
      </c>
      <c r="AM18" t="s">
        <v>1231</v>
      </c>
      <c r="AN18" t="s">
        <v>329</v>
      </c>
      <c r="AO18" t="s">
        <v>213</v>
      </c>
      <c r="AP18" t="s">
        <v>7</v>
      </c>
      <c r="AQ18" t="s">
        <v>7</v>
      </c>
      <c r="AR18" t="s">
        <v>300</v>
      </c>
      <c r="AS18" t="s">
        <v>7</v>
      </c>
      <c r="AT18" t="s">
        <v>1232</v>
      </c>
      <c r="AU18" t="s">
        <v>7</v>
      </c>
      <c r="AV18" t="s">
        <v>1233</v>
      </c>
      <c r="AW18" t="s">
        <v>124</v>
      </c>
      <c r="AX18" t="s">
        <v>1234</v>
      </c>
      <c r="AY18" t="s">
        <v>511</v>
      </c>
      <c r="AZ18" t="s">
        <v>159</v>
      </c>
      <c r="BA18" t="s">
        <v>98</v>
      </c>
      <c r="BB18" t="s">
        <v>342</v>
      </c>
      <c r="BC18" t="s">
        <v>512</v>
      </c>
      <c r="BD18" t="s">
        <v>319</v>
      </c>
      <c r="BE18" t="s">
        <v>160</v>
      </c>
      <c r="BF18" t="s">
        <v>295</v>
      </c>
      <c r="BG18" t="s">
        <v>85</v>
      </c>
      <c r="BH18" t="s">
        <v>82</v>
      </c>
      <c r="BI18" t="s">
        <v>259</v>
      </c>
      <c r="BJ18" t="s">
        <v>1235</v>
      </c>
      <c r="BK18" t="s">
        <v>267</v>
      </c>
      <c r="BL18" t="s">
        <v>1236</v>
      </c>
      <c r="BM18" t="s">
        <v>302</v>
      </c>
      <c r="BN18" t="s">
        <v>102</v>
      </c>
      <c r="BO18">
        <v>1.97</v>
      </c>
      <c r="BP18">
        <v>7.57</v>
      </c>
      <c r="BQ18">
        <v>15.51</v>
      </c>
      <c r="BR18">
        <v>25.46</v>
      </c>
      <c r="BS18">
        <v>8.15</v>
      </c>
      <c r="BT18">
        <v>16.52</v>
      </c>
      <c r="BU18">
        <v>26.3</v>
      </c>
      <c r="BV18" t="s">
        <v>1073</v>
      </c>
      <c r="BW18">
        <v>66.709999999999994</v>
      </c>
      <c r="BX18">
        <v>66.2</v>
      </c>
      <c r="BY18">
        <v>68.16</v>
      </c>
      <c r="BZ18">
        <v>16.77</v>
      </c>
      <c r="CA18">
        <v>26.56</v>
      </c>
      <c r="CB18">
        <v>28.48</v>
      </c>
      <c r="CC18">
        <v>-4.76</v>
      </c>
      <c r="CD18">
        <v>3.51</v>
      </c>
      <c r="CE18" t="s">
        <v>1237</v>
      </c>
      <c r="CF18" t="s">
        <v>1238</v>
      </c>
      <c r="CG18" s="23">
        <v>-7.6222361702127664E-2</v>
      </c>
      <c r="CH18" s="24">
        <v>-0.4203091235955056</v>
      </c>
      <c r="CI18" s="23">
        <v>2.4068841710686684E-2</v>
      </c>
      <c r="CJ18" s="23">
        <v>-3.1093906611204147E-2</v>
      </c>
      <c r="CK18" s="23">
        <v>0.14276653528213501</v>
      </c>
      <c r="CL18" s="23">
        <v>0.16568046808242798</v>
      </c>
      <c r="CM18" s="23">
        <v>0.1192052960395813</v>
      </c>
      <c r="CN18" s="24">
        <v>-0.46551725268363953</v>
      </c>
      <c r="CO18" s="24">
        <v>-9.9029123783111572E-2</v>
      </c>
      <c r="CP18" s="24">
        <v>0.24096386134624481</v>
      </c>
      <c r="CQ18" s="24">
        <v>0.33012819290161133</v>
      </c>
      <c r="CR18" s="24">
        <v>0.34482759237289429</v>
      </c>
      <c r="CS18">
        <v>5.4342189143816455</v>
      </c>
      <c r="CT18">
        <v>40664170.967741936</v>
      </c>
      <c r="CU18">
        <v>3.6722400000000004</v>
      </c>
      <c r="CV18" s="23">
        <v>8.4125446900725362E-2</v>
      </c>
      <c r="CW18" s="24">
        <v>7.0274654030799868E-2</v>
      </c>
      <c r="CX18">
        <v>0.06</v>
      </c>
      <c r="CY18">
        <v>28.149440540939672</v>
      </c>
      <c r="CZ18">
        <v>253644444.18054703</v>
      </c>
      <c r="DA18">
        <v>8.4125446900725362E-2</v>
      </c>
      <c r="DB18">
        <v>9.2448791310510625</v>
      </c>
      <c r="DC18">
        <v>772313958.76435316</v>
      </c>
      <c r="DD18">
        <v>7.9919174555689088E-2</v>
      </c>
      <c r="DE18">
        <v>4.5813683960961917</v>
      </c>
      <c r="DF18">
        <v>1558475237.678766</v>
      </c>
      <c r="DG18">
        <v>7.4030393272638315E-2</v>
      </c>
      <c r="DH18">
        <v>2.7718179898462725</v>
      </c>
      <c r="DI18">
        <v>2575908384.3726649</v>
      </c>
      <c r="DJ18">
        <v>6.7300357520580292E-2</v>
      </c>
      <c r="DK18">
        <v>1.4554342815567667</v>
      </c>
      <c r="DL18">
        <v>4905717345.3156147</v>
      </c>
      <c r="DM18">
        <v>5.8887812830507751E-2</v>
      </c>
      <c r="DN18">
        <v>248000000</v>
      </c>
      <c r="DO18">
        <v>8.4125446900725362E-2</v>
      </c>
      <c r="DP18">
        <v>7139949200</v>
      </c>
      <c r="DQ18">
        <v>1344781900</v>
      </c>
      <c r="DR18">
        <v>4235</v>
      </c>
      <c r="DS18">
        <v>-0.16034780860285303</v>
      </c>
      <c r="DT18">
        <v>-0.49058377762630545</v>
      </c>
      <c r="DU18" s="25">
        <v>0.11666666666666665</v>
      </c>
      <c r="DV18">
        <v>-3.6666666666666736E-2</v>
      </c>
      <c r="DW18">
        <v>7.9999999999999918E-2</v>
      </c>
      <c r="DX18">
        <v>-4.7373949579831933</v>
      </c>
      <c r="DY18">
        <v>0.33572151774405112</v>
      </c>
      <c r="DZ18">
        <v>-4.077958514134794</v>
      </c>
      <c r="EA18">
        <v>3166</v>
      </c>
      <c r="EB18">
        <v>-4.0269211576933639</v>
      </c>
      <c r="EC18">
        <v>4</v>
      </c>
      <c r="ED18">
        <v>1.2870014152382302E-2</v>
      </c>
      <c r="EE18">
        <v>0.1217350490894414</v>
      </c>
      <c r="EF18" s="22">
        <v>1.0662099999999999</v>
      </c>
      <c r="EG18">
        <v>1.08491</v>
      </c>
      <c r="EH18">
        <v>23.105721517744051</v>
      </c>
      <c r="EI18" t="s">
        <v>700</v>
      </c>
      <c r="EJ18">
        <v>0</v>
      </c>
      <c r="EK18">
        <v>0</v>
      </c>
    </row>
    <row r="19" spans="1:141" ht="67.5">
      <c r="A19" s="36"/>
      <c r="B19" s="26"/>
      <c r="C19" s="26"/>
      <c r="D19" s="26" t="s">
        <v>1260</v>
      </c>
      <c r="E19" t="s">
        <v>221</v>
      </c>
      <c r="F19" t="s">
        <v>222</v>
      </c>
      <c r="G19">
        <v>194.5</v>
      </c>
      <c r="H19">
        <v>-1.32</v>
      </c>
      <c r="I19" t="s">
        <v>1240</v>
      </c>
      <c r="J19">
        <v>20456870000</v>
      </c>
      <c r="K19">
        <v>100.7</v>
      </c>
      <c r="L19">
        <v>11.56</v>
      </c>
      <c r="M19" t="s">
        <v>590</v>
      </c>
      <c r="N19" t="s">
        <v>92</v>
      </c>
      <c r="O19" t="s">
        <v>1241</v>
      </c>
      <c r="P19" t="s">
        <v>1242</v>
      </c>
      <c r="Q19">
        <v>32.33</v>
      </c>
      <c r="R19" t="s">
        <v>282</v>
      </c>
      <c r="S19">
        <v>123162853</v>
      </c>
      <c r="T19" s="5">
        <v>0.3468</v>
      </c>
      <c r="U19" t="s">
        <v>170</v>
      </c>
      <c r="V19">
        <v>69656740</v>
      </c>
      <c r="W19">
        <v>105176712</v>
      </c>
      <c r="X19">
        <v>1.19</v>
      </c>
      <c r="Y19">
        <v>0.13</v>
      </c>
      <c r="Z19">
        <v>44.18</v>
      </c>
      <c r="AA19" t="s">
        <v>299</v>
      </c>
      <c r="AB19" t="s">
        <v>1243</v>
      </c>
      <c r="AC19" t="s">
        <v>1244</v>
      </c>
      <c r="AD19" t="s">
        <v>1245</v>
      </c>
      <c r="AE19" t="s">
        <v>1246</v>
      </c>
      <c r="AF19">
        <v>-1581861</v>
      </c>
      <c r="AG19" t="s">
        <v>1247</v>
      </c>
      <c r="AH19" t="s">
        <v>1248</v>
      </c>
      <c r="AI19" t="s">
        <v>1249</v>
      </c>
      <c r="AJ19" t="s">
        <v>88</v>
      </c>
      <c r="AK19" t="s">
        <v>1250</v>
      </c>
      <c r="AL19" t="s">
        <v>7</v>
      </c>
      <c r="AM19" t="s">
        <v>1251</v>
      </c>
      <c r="AN19" t="s">
        <v>83</v>
      </c>
      <c r="AO19" t="s">
        <v>1252</v>
      </c>
      <c r="AP19" t="s">
        <v>7</v>
      </c>
      <c r="AQ19" t="s">
        <v>7</v>
      </c>
      <c r="AR19" t="s">
        <v>1253</v>
      </c>
      <c r="AS19" t="s">
        <v>7</v>
      </c>
      <c r="AT19" t="s">
        <v>356</v>
      </c>
      <c r="AU19" t="s">
        <v>297</v>
      </c>
      <c r="AV19" t="s">
        <v>234</v>
      </c>
      <c r="AW19" t="s">
        <v>1254</v>
      </c>
      <c r="AX19" t="s">
        <v>1255</v>
      </c>
      <c r="AY19" t="s">
        <v>335</v>
      </c>
      <c r="AZ19" t="s">
        <v>223</v>
      </c>
      <c r="BA19" t="s">
        <v>240</v>
      </c>
      <c r="BB19" t="s">
        <v>514</v>
      </c>
      <c r="BC19" t="s">
        <v>515</v>
      </c>
      <c r="BD19" t="s">
        <v>513</v>
      </c>
      <c r="BE19" t="s">
        <v>224</v>
      </c>
      <c r="BF19" t="s">
        <v>516</v>
      </c>
      <c r="BG19" t="s">
        <v>517</v>
      </c>
      <c r="BH19" t="s">
        <v>518</v>
      </c>
      <c r="BI19" t="s">
        <v>116</v>
      </c>
      <c r="BJ19" t="s">
        <v>246</v>
      </c>
      <c r="BK19" t="s">
        <v>793</v>
      </c>
      <c r="BL19" t="s">
        <v>1256</v>
      </c>
      <c r="BM19" t="s">
        <v>1257</v>
      </c>
      <c r="BN19" t="s">
        <v>794</v>
      </c>
      <c r="BO19">
        <v>6.5</v>
      </c>
      <c r="BP19">
        <v>10.25</v>
      </c>
      <c r="BQ19">
        <v>9.02</v>
      </c>
      <c r="BR19">
        <v>11.33</v>
      </c>
      <c r="BS19">
        <v>10.78</v>
      </c>
      <c r="BT19">
        <v>9.65</v>
      </c>
      <c r="BU19">
        <v>11.41</v>
      </c>
      <c r="BV19" t="s">
        <v>960</v>
      </c>
      <c r="BW19">
        <v>85.12</v>
      </c>
      <c r="BX19">
        <v>83.91</v>
      </c>
      <c r="BY19">
        <v>85.69</v>
      </c>
      <c r="BZ19">
        <v>43.39</v>
      </c>
      <c r="CA19">
        <v>35.200000000000003</v>
      </c>
      <c r="CB19">
        <v>33.69</v>
      </c>
      <c r="CC19">
        <v>-4.63</v>
      </c>
      <c r="CD19">
        <v>-6.49</v>
      </c>
      <c r="CE19" t="s">
        <v>1258</v>
      </c>
      <c r="CF19" t="s">
        <v>1259</v>
      </c>
      <c r="CG19" s="23">
        <v>0.16768401504721583</v>
      </c>
      <c r="CH19" s="24">
        <v>0.1628912765865346</v>
      </c>
      <c r="CI19" s="23">
        <v>0.58608061075210571</v>
      </c>
      <c r="CJ19" s="23">
        <v>0.40000000596046448</v>
      </c>
      <c r="CK19" s="23">
        <v>0.53543305397033691</v>
      </c>
      <c r="CL19" s="23">
        <v>0.69760894775390625</v>
      </c>
      <c r="CM19" s="23">
        <v>0.71864575147628784</v>
      </c>
      <c r="CN19" s="24">
        <v>0.77095073461532593</v>
      </c>
      <c r="CO19" s="24">
        <v>0.44797420501708984</v>
      </c>
      <c r="CP19" s="24">
        <v>2.283233642578125</v>
      </c>
      <c r="CQ19" s="24">
        <v>6.1211013793945313</v>
      </c>
      <c r="CR19" s="24">
        <v>-1.662705659866333</v>
      </c>
      <c r="CS19">
        <v>47.244503464203234</v>
      </c>
      <c r="CT19">
        <v>65514501.754385963</v>
      </c>
      <c r="CU19">
        <v>6.8346460000000002</v>
      </c>
      <c r="CV19" s="23">
        <v>0.58755367398262026</v>
      </c>
      <c r="CW19" s="24">
        <v>1.5921108603477478</v>
      </c>
      <c r="CX19">
        <v>0.06</v>
      </c>
      <c r="CY19">
        <v>74.039333787939569</v>
      </c>
      <c r="CZ19">
        <v>256105356.8405925</v>
      </c>
      <c r="DA19">
        <v>0.58755367398262026</v>
      </c>
      <c r="DB19">
        <v>16.289860985528605</v>
      </c>
      <c r="DC19">
        <v>1164028963.5893838</v>
      </c>
      <c r="DD19">
        <v>0.55817599028348919</v>
      </c>
      <c r="DE19">
        <v>4.3996395616574944</v>
      </c>
      <c r="DF19">
        <v>4309868964.0967808</v>
      </c>
      <c r="DG19">
        <v>0.51704723310470579</v>
      </c>
      <c r="DH19">
        <v>1.2217061345129256</v>
      </c>
      <c r="DI19">
        <v>15520810990.737793</v>
      </c>
      <c r="DJ19">
        <v>0.47004293918609624</v>
      </c>
      <c r="DK19">
        <v>9.0398105518754518E-2</v>
      </c>
      <c r="DL19">
        <v>209759594973.6586</v>
      </c>
      <c r="DM19">
        <v>0.41128757178783415</v>
      </c>
      <c r="DN19">
        <v>171000000</v>
      </c>
      <c r="DO19">
        <v>0.58755367398262026</v>
      </c>
      <c r="DP19">
        <v>18961870000</v>
      </c>
      <c r="DQ19">
        <v>1002340700</v>
      </c>
      <c r="DR19">
        <v>4405</v>
      </c>
      <c r="DS19">
        <v>-0.4198696589354044</v>
      </c>
      <c r="DT19">
        <v>-1.4292195837612132</v>
      </c>
      <c r="DU19" s="25">
        <v>1.1033333333333333</v>
      </c>
      <c r="DV19">
        <v>1.0381666666666669</v>
      </c>
      <c r="DW19">
        <v>2.1415000000000002</v>
      </c>
      <c r="DX19">
        <v>-8.7134052388289671</v>
      </c>
      <c r="DY19">
        <v>0.36297526882172676</v>
      </c>
      <c r="DZ19">
        <v>-8.1234014629652691</v>
      </c>
      <c r="EA19">
        <v>231</v>
      </c>
      <c r="EB19">
        <v>-8.1175106305732498</v>
      </c>
      <c r="EC19">
        <v>8</v>
      </c>
      <c r="ED19">
        <v>3.9108467281236174E-2</v>
      </c>
      <c r="EE19">
        <v>0.22609282556769789</v>
      </c>
      <c r="EF19" s="22">
        <v>1.8509999999999999E-2</v>
      </c>
      <c r="EG19">
        <v>3.1710000000000002E-2</v>
      </c>
      <c r="EH19">
        <v>19.172975268821727</v>
      </c>
      <c r="EI19">
        <v>-1</v>
      </c>
      <c r="EJ19">
        <v>0</v>
      </c>
      <c r="EK19">
        <v>1</v>
      </c>
    </row>
    <row r="20" spans="1:141" ht="157.5">
      <c r="A20" s="36"/>
      <c r="B20" s="26" t="s">
        <v>795</v>
      </c>
      <c r="C20" s="26" t="s">
        <v>796</v>
      </c>
      <c r="D20" s="26" t="s">
        <v>1279</v>
      </c>
      <c r="E20" t="s">
        <v>741</v>
      </c>
      <c r="F20" t="s">
        <v>742</v>
      </c>
      <c r="G20">
        <v>26.53</v>
      </c>
      <c r="H20">
        <v>-1.49</v>
      </c>
      <c r="I20" t="s">
        <v>1261</v>
      </c>
      <c r="J20">
        <v>5992247500</v>
      </c>
      <c r="K20">
        <v>31.12</v>
      </c>
      <c r="L20">
        <v>3.47</v>
      </c>
      <c r="M20" t="s">
        <v>590</v>
      </c>
      <c r="N20" t="s">
        <v>913</v>
      </c>
      <c r="O20" t="s">
        <v>536</v>
      </c>
      <c r="P20" t="s">
        <v>1262</v>
      </c>
      <c r="Q20">
        <v>13.68</v>
      </c>
      <c r="R20" t="s">
        <v>122</v>
      </c>
      <c r="S20">
        <v>76656199</v>
      </c>
      <c r="T20" s="5">
        <v>8.7900000000000006E-2</v>
      </c>
      <c r="U20" t="s">
        <v>137</v>
      </c>
      <c r="V20">
        <v>93057250</v>
      </c>
      <c r="W20">
        <v>225866850</v>
      </c>
      <c r="X20">
        <v>1.1599999999999999</v>
      </c>
      <c r="Y20">
        <v>0.15</v>
      </c>
      <c r="Z20">
        <v>26.18</v>
      </c>
      <c r="AA20" t="s">
        <v>1039</v>
      </c>
      <c r="AB20" t="s">
        <v>1263</v>
      </c>
      <c r="AC20" t="s">
        <v>339</v>
      </c>
      <c r="AD20" t="s">
        <v>1264</v>
      </c>
      <c r="AE20" t="s">
        <v>1265</v>
      </c>
      <c r="AF20">
        <v>-4106514</v>
      </c>
      <c r="AG20" t="s">
        <v>1266</v>
      </c>
      <c r="AH20" t="s">
        <v>1267</v>
      </c>
      <c r="AI20" t="s">
        <v>1268</v>
      </c>
      <c r="AJ20" t="s">
        <v>349</v>
      </c>
      <c r="AK20" t="s">
        <v>1269</v>
      </c>
      <c r="AL20" t="s">
        <v>7</v>
      </c>
      <c r="AM20" t="s">
        <v>1270</v>
      </c>
      <c r="AN20" t="s">
        <v>859</v>
      </c>
      <c r="AO20" t="s">
        <v>94</v>
      </c>
      <c r="AP20" t="s">
        <v>7</v>
      </c>
      <c r="AQ20" t="s">
        <v>7</v>
      </c>
      <c r="AR20" t="s">
        <v>568</v>
      </c>
      <c r="AS20" t="s">
        <v>7</v>
      </c>
      <c r="AT20" t="s">
        <v>60</v>
      </c>
      <c r="AU20" t="s">
        <v>7</v>
      </c>
      <c r="AV20" t="s">
        <v>1271</v>
      </c>
      <c r="AW20" t="s">
        <v>1272</v>
      </c>
      <c r="AX20" t="s">
        <v>1273</v>
      </c>
      <c r="AY20" t="s">
        <v>120</v>
      </c>
      <c r="AZ20" t="s">
        <v>276</v>
      </c>
      <c r="BA20" t="s">
        <v>89</v>
      </c>
      <c r="BB20" t="s">
        <v>179</v>
      </c>
      <c r="BC20" t="s">
        <v>797</v>
      </c>
      <c r="BD20" t="s">
        <v>308</v>
      </c>
      <c r="BE20" t="s">
        <v>798</v>
      </c>
      <c r="BF20" t="s">
        <v>799</v>
      </c>
      <c r="BG20" t="s">
        <v>800</v>
      </c>
      <c r="BH20" t="s">
        <v>801</v>
      </c>
      <c r="BI20" t="s">
        <v>188</v>
      </c>
      <c r="BJ20" t="s">
        <v>318</v>
      </c>
      <c r="BK20" t="s">
        <v>264</v>
      </c>
      <c r="BL20" t="s">
        <v>1274</v>
      </c>
      <c r="BM20" t="s">
        <v>1275</v>
      </c>
      <c r="BN20" t="s">
        <v>802</v>
      </c>
      <c r="BO20">
        <v>4.46</v>
      </c>
      <c r="BP20">
        <v>11.53</v>
      </c>
      <c r="BQ20">
        <v>12.02</v>
      </c>
      <c r="BR20">
        <v>25.14</v>
      </c>
      <c r="BS20">
        <v>11.6</v>
      </c>
      <c r="BT20">
        <v>10.32</v>
      </c>
      <c r="BU20">
        <v>25.12</v>
      </c>
      <c r="BV20" t="s">
        <v>960</v>
      </c>
      <c r="BW20">
        <v>90.73</v>
      </c>
      <c r="BX20">
        <v>90.87</v>
      </c>
      <c r="BY20">
        <v>91.26</v>
      </c>
      <c r="BZ20">
        <v>25.26</v>
      </c>
      <c r="CA20">
        <v>30.37</v>
      </c>
      <c r="CB20">
        <v>27.68</v>
      </c>
      <c r="CC20">
        <v>-3.14</v>
      </c>
      <c r="CD20">
        <v>14.21</v>
      </c>
      <c r="CE20" t="s">
        <v>1276</v>
      </c>
      <c r="CF20" t="s">
        <v>1277</v>
      </c>
      <c r="CG20" s="23">
        <v>0.16540181818181818</v>
      </c>
      <c r="CH20" s="24">
        <v>7.3384054537017837E-2</v>
      </c>
      <c r="CI20" s="23">
        <v>0.52051281929016113</v>
      </c>
      <c r="CJ20" s="23">
        <v>0.10169491171836853</v>
      </c>
      <c r="CK20" s="23">
        <v>0.59459459781646729</v>
      </c>
      <c r="CL20" s="23">
        <v>0.58571428060531616</v>
      </c>
      <c r="CM20" s="23">
        <v>0.8595731258392334</v>
      </c>
      <c r="CN20" s="24">
        <v>0.56302523612976074</v>
      </c>
      <c r="CO20" s="24">
        <v>0.21654003858566284</v>
      </c>
      <c r="CP20" s="24">
        <v>0.57422745227813721</v>
      </c>
      <c r="CQ20" s="24">
        <v>10.944676399230957</v>
      </c>
      <c r="CR20" s="24">
        <v>0.66222518682479858</v>
      </c>
      <c r="CS20">
        <v>10.104970489038786</v>
      </c>
      <c r="CT20">
        <v>38586236.559139788</v>
      </c>
      <c r="CU20">
        <v>4.55532</v>
      </c>
      <c r="CV20" s="23">
        <v>0.53241794705390932</v>
      </c>
      <c r="CW20" s="24">
        <v>2.5921388626098634</v>
      </c>
      <c r="CX20">
        <v>0.06</v>
      </c>
      <c r="CY20">
        <v>16.672794848744111</v>
      </c>
      <c r="CZ20">
        <v>268895979.38870478</v>
      </c>
      <c r="DA20">
        <v>0.53241794705390932</v>
      </c>
      <c r="DB20">
        <v>3.8227578132179119</v>
      </c>
      <c r="DC20">
        <v>1172778323.6746831</v>
      </c>
      <c r="DD20">
        <v>0.50579704970121386</v>
      </c>
      <c r="DE20">
        <v>1.1045509964867724</v>
      </c>
      <c r="DF20">
        <v>4058886836.6058183</v>
      </c>
      <c r="DG20">
        <v>0.46852779340744022</v>
      </c>
      <c r="DH20">
        <v>0.33606502533266913</v>
      </c>
      <c r="DI20">
        <v>13340416770.718866</v>
      </c>
      <c r="DJ20">
        <v>0.42593435764312748</v>
      </c>
      <c r="DK20">
        <v>3.1387107232951544E-2</v>
      </c>
      <c r="DL20">
        <v>142837231437.92279</v>
      </c>
      <c r="DM20">
        <v>0.3726925629377365</v>
      </c>
      <c r="DN20">
        <v>186000000</v>
      </c>
      <c r="DO20">
        <v>0.53241794705390932</v>
      </c>
      <c r="DP20">
        <v>4483247500</v>
      </c>
      <c r="DQ20">
        <v>902017880</v>
      </c>
      <c r="DR20">
        <v>4435</v>
      </c>
      <c r="DS20">
        <v>-0.36701612887209112</v>
      </c>
      <c r="DT20">
        <v>-2.5187548080728455</v>
      </c>
      <c r="DU20" s="25">
        <v>0.6166666666666667</v>
      </c>
      <c r="DV20">
        <v>1.1450000000000002</v>
      </c>
      <c r="DW20">
        <v>1.7616666666666669</v>
      </c>
      <c r="DX20">
        <v>-6.1809798270893372</v>
      </c>
      <c r="DY20">
        <v>0.46148412613293915</v>
      </c>
      <c r="DZ20">
        <v>-6.0237959744125318</v>
      </c>
      <c r="EA20">
        <v>484</v>
      </c>
      <c r="EB20">
        <v>-6.021415885217313</v>
      </c>
      <c r="EC20">
        <v>6</v>
      </c>
      <c r="ED20">
        <v>3.0938581735212582E-2</v>
      </c>
      <c r="EE20">
        <v>0.23530279011727484</v>
      </c>
      <c r="EF20" s="22">
        <v>4.0891999999999999</v>
      </c>
      <c r="EG20">
        <v>4.0743</v>
      </c>
      <c r="EH20">
        <v>33.131484126132939</v>
      </c>
      <c r="EI20" t="s">
        <v>1278</v>
      </c>
      <c r="EJ20">
        <v>0</v>
      </c>
      <c r="EK20">
        <v>1</v>
      </c>
    </row>
    <row r="21" spans="1:141" ht="56.25">
      <c r="A21" s="36"/>
      <c r="B21" s="26"/>
      <c r="C21" s="26" t="s">
        <v>1280</v>
      </c>
      <c r="D21" s="26" t="s">
        <v>1303</v>
      </c>
      <c r="E21" t="s">
        <v>743</v>
      </c>
      <c r="F21" t="s">
        <v>744</v>
      </c>
      <c r="G21">
        <v>53.41</v>
      </c>
      <c r="H21">
        <v>-3.45</v>
      </c>
      <c r="I21" t="s">
        <v>1281</v>
      </c>
      <c r="J21">
        <v>21364000000</v>
      </c>
      <c r="K21">
        <v>29.71</v>
      </c>
      <c r="L21">
        <v>4.5199999999999996</v>
      </c>
      <c r="M21" t="s">
        <v>590</v>
      </c>
      <c r="N21" t="s">
        <v>709</v>
      </c>
      <c r="O21" t="s">
        <v>1282</v>
      </c>
      <c r="P21" t="s">
        <v>1283</v>
      </c>
      <c r="Q21">
        <v>0.9</v>
      </c>
      <c r="R21" t="s">
        <v>745</v>
      </c>
      <c r="S21">
        <v>397978390</v>
      </c>
      <c r="T21" s="5">
        <v>7.8100000000000003E-2</v>
      </c>
      <c r="U21" t="s">
        <v>235</v>
      </c>
      <c r="V21">
        <v>49757657</v>
      </c>
      <c r="W21">
        <v>400000000</v>
      </c>
      <c r="X21">
        <v>1.22</v>
      </c>
      <c r="Y21">
        <v>0.2</v>
      </c>
      <c r="Z21">
        <v>35.979999999999997</v>
      </c>
      <c r="AA21" t="s">
        <v>945</v>
      </c>
      <c r="AB21" t="s">
        <v>1284</v>
      </c>
      <c r="AC21" t="s">
        <v>269</v>
      </c>
      <c r="AD21" t="s">
        <v>1285</v>
      </c>
      <c r="AE21" t="s">
        <v>1286</v>
      </c>
      <c r="AF21">
        <v>-20008262</v>
      </c>
      <c r="AG21" t="s">
        <v>1287</v>
      </c>
      <c r="AH21" t="s">
        <v>1288</v>
      </c>
      <c r="AI21" t="s">
        <v>1289</v>
      </c>
      <c r="AJ21" t="s">
        <v>1290</v>
      </c>
      <c r="AK21" t="s">
        <v>1291</v>
      </c>
      <c r="AL21" t="s">
        <v>1292</v>
      </c>
      <c r="AM21" t="s">
        <v>1293</v>
      </c>
      <c r="AN21" t="s">
        <v>154</v>
      </c>
      <c r="AO21">
        <v>0</v>
      </c>
      <c r="AP21" t="s">
        <v>7</v>
      </c>
      <c r="AQ21" t="s">
        <v>1294</v>
      </c>
      <c r="AR21" t="s">
        <v>268</v>
      </c>
      <c r="AS21" t="s">
        <v>7</v>
      </c>
      <c r="AT21" t="s">
        <v>1295</v>
      </c>
      <c r="AU21" t="s">
        <v>7</v>
      </c>
      <c r="AV21" t="s">
        <v>360</v>
      </c>
      <c r="AW21" t="s">
        <v>1296</v>
      </c>
      <c r="AX21" t="s">
        <v>1297</v>
      </c>
      <c r="AY21" t="s">
        <v>803</v>
      </c>
      <c r="AZ21" t="s">
        <v>584</v>
      </c>
      <c r="BA21" t="s">
        <v>362</v>
      </c>
      <c r="BB21" t="s">
        <v>572</v>
      </c>
      <c r="BC21" t="s">
        <v>7</v>
      </c>
      <c r="BD21" t="s">
        <v>50</v>
      </c>
      <c r="BE21" t="s">
        <v>533</v>
      </c>
      <c r="BF21" t="s">
        <v>284</v>
      </c>
      <c r="BG21" t="s">
        <v>109</v>
      </c>
      <c r="BH21" t="s">
        <v>7</v>
      </c>
      <c r="BI21" t="s">
        <v>92</v>
      </c>
      <c r="BJ21" t="s">
        <v>1298</v>
      </c>
      <c r="BK21" t="s">
        <v>176</v>
      </c>
      <c r="BL21" t="s">
        <v>1299</v>
      </c>
      <c r="BM21" t="s">
        <v>1300</v>
      </c>
      <c r="BN21" t="s">
        <v>129</v>
      </c>
      <c r="BO21">
        <v>8.4700000000000006</v>
      </c>
      <c r="BP21">
        <v>19.54</v>
      </c>
      <c r="BQ21">
        <v>21.63</v>
      </c>
      <c r="BR21">
        <v>19.96</v>
      </c>
      <c r="BS21">
        <v>19.760000000000002</v>
      </c>
      <c r="BT21">
        <v>25.78</v>
      </c>
      <c r="BU21" t="s">
        <v>7</v>
      </c>
      <c r="BV21" t="s">
        <v>960</v>
      </c>
      <c r="BW21">
        <v>79.569999999999993</v>
      </c>
      <c r="BX21">
        <v>82.36</v>
      </c>
      <c r="BY21">
        <v>82.52</v>
      </c>
      <c r="BZ21">
        <v>28.79</v>
      </c>
      <c r="CA21">
        <v>30.8</v>
      </c>
      <c r="CB21">
        <v>28.03</v>
      </c>
      <c r="CC21">
        <v>-1.1499999999999999</v>
      </c>
      <c r="CD21">
        <v>-9.18</v>
      </c>
      <c r="CE21" t="s">
        <v>1301</v>
      </c>
      <c r="CF21" t="s">
        <v>1302</v>
      </c>
      <c r="CG21" s="23">
        <v>0.13535057863501485</v>
      </c>
      <c r="CH21" s="24">
        <v>0.16315538759689924</v>
      </c>
      <c r="CI21" s="23">
        <v>0.18092098832130432</v>
      </c>
      <c r="CJ21" s="23">
        <v>0.15883100032806396</v>
      </c>
      <c r="CK21" s="23">
        <v>0.29975220561027527</v>
      </c>
      <c r="CL21" s="23">
        <v>0.33664464950561523</v>
      </c>
      <c r="CM21" s="23" t="e">
        <v>#VALUE!</v>
      </c>
      <c r="CN21" s="24">
        <v>0.23655913770198822</v>
      </c>
      <c r="CO21" s="24">
        <v>0.26244345307350159</v>
      </c>
      <c r="CP21" s="24">
        <v>0.36419752240180969</v>
      </c>
      <c r="CQ21" s="24">
        <v>0.59605908393859863</v>
      </c>
      <c r="CR21" s="24" t="e">
        <v>#VALUE!</v>
      </c>
      <c r="CS21">
        <v>9.918291550603529</v>
      </c>
      <c r="CT21">
        <v>56812527.536231883</v>
      </c>
      <c r="CU21">
        <v>8.7791199999999989</v>
      </c>
      <c r="CV21" s="23">
        <v>0.2440372109413147</v>
      </c>
      <c r="CW21" s="24">
        <v>0.36481479927897453</v>
      </c>
      <c r="CX21">
        <v>0.06</v>
      </c>
      <c r="CY21">
        <v>21.821496482928762</v>
      </c>
      <c r="CZ21">
        <v>809797807.12217653</v>
      </c>
      <c r="DA21">
        <v>0.2440372109413147</v>
      </c>
      <c r="DB21">
        <v>6.2738745799033726</v>
      </c>
      <c r="DC21">
        <v>2816600774.3610587</v>
      </c>
      <c r="DD21">
        <v>0.23183535039424896</v>
      </c>
      <c r="DE21">
        <v>2.5788680621256383</v>
      </c>
      <c r="DF21">
        <v>6852231124.0050936</v>
      </c>
      <c r="DG21">
        <v>0.21475274562835694</v>
      </c>
      <c r="DH21">
        <v>1.2476448932970623</v>
      </c>
      <c r="DI21">
        <v>14163485215.173771</v>
      </c>
      <c r="DJ21">
        <v>0.19522976875305176</v>
      </c>
      <c r="DK21">
        <v>0.38436955757203239</v>
      </c>
      <c r="DL21">
        <v>45973984286.433464</v>
      </c>
      <c r="DM21">
        <v>0.17082604765892029</v>
      </c>
      <c r="DN21">
        <v>690000000</v>
      </c>
      <c r="DO21">
        <v>0.2440372109413147</v>
      </c>
      <c r="DP21">
        <v>17671000000</v>
      </c>
      <c r="DQ21">
        <v>4071995700</v>
      </c>
      <c r="DR21">
        <v>4496</v>
      </c>
      <c r="DS21">
        <v>-0.10868663230629985</v>
      </c>
      <c r="DT21">
        <v>-0.2016594116820753</v>
      </c>
      <c r="DU21" s="25">
        <v>0.67999999999999994</v>
      </c>
      <c r="DV21">
        <v>0.67999999999999994</v>
      </c>
      <c r="DW21">
        <v>1.3599999999999999</v>
      </c>
      <c r="DX21">
        <v>-2.0918000000000001</v>
      </c>
      <c r="DY21">
        <v>0.25051666536118133</v>
      </c>
      <c r="DZ21">
        <v>-2.0119814298801564</v>
      </c>
      <c r="EA21">
        <v>953</v>
      </c>
      <c r="EB21">
        <v>-2.0096217889056183</v>
      </c>
      <c r="EC21">
        <v>2</v>
      </c>
      <c r="ED21">
        <v>9.5809999999999992E-3</v>
      </c>
      <c r="EE21">
        <v>7.3408249999999994E-2</v>
      </c>
      <c r="EF21" s="22">
        <v>2.0177</v>
      </c>
      <c r="EG21">
        <v>2.01681</v>
      </c>
      <c r="EH21">
        <v>12.130516665361181</v>
      </c>
      <c r="EI21" t="s">
        <v>848</v>
      </c>
      <c r="EJ21">
        <v>0</v>
      </c>
      <c r="EK21">
        <v>1</v>
      </c>
    </row>
    <row r="22" spans="1:141" ht="67.5">
      <c r="A22" s="36"/>
      <c r="B22" s="26"/>
      <c r="C22" s="26"/>
      <c r="D22" s="26" t="s">
        <v>1324</v>
      </c>
      <c r="E22" t="s">
        <v>746</v>
      </c>
      <c r="F22" t="s">
        <v>747</v>
      </c>
      <c r="G22">
        <v>20.47</v>
      </c>
      <c r="H22">
        <v>-0.39</v>
      </c>
      <c r="I22" t="s">
        <v>1304</v>
      </c>
      <c r="J22">
        <v>7866211600</v>
      </c>
      <c r="K22">
        <v>24.29</v>
      </c>
      <c r="L22">
        <v>3.05</v>
      </c>
      <c r="M22" t="s">
        <v>590</v>
      </c>
      <c r="N22" t="s">
        <v>61</v>
      </c>
      <c r="O22" t="s">
        <v>1305</v>
      </c>
      <c r="P22" t="s">
        <v>1306</v>
      </c>
      <c r="Q22">
        <v>18.39</v>
      </c>
      <c r="R22" t="s">
        <v>580</v>
      </c>
      <c r="S22">
        <v>156982500</v>
      </c>
      <c r="T22" s="5">
        <v>9.1800000000000007E-3</v>
      </c>
      <c r="U22" t="s">
        <v>269</v>
      </c>
      <c r="V22">
        <v>33275279</v>
      </c>
      <c r="W22">
        <v>384280000</v>
      </c>
      <c r="X22">
        <v>1.21</v>
      </c>
      <c r="Y22">
        <v>0.19</v>
      </c>
      <c r="Z22">
        <v>27.47</v>
      </c>
      <c r="AA22" t="s">
        <v>120</v>
      </c>
      <c r="AB22" t="s">
        <v>134</v>
      </c>
      <c r="AC22" t="s">
        <v>304</v>
      </c>
      <c r="AD22" t="s">
        <v>1307</v>
      </c>
      <c r="AE22" t="s">
        <v>1308</v>
      </c>
      <c r="AF22">
        <v>-5778257</v>
      </c>
      <c r="AG22" t="s">
        <v>1309</v>
      </c>
      <c r="AH22" t="s">
        <v>1310</v>
      </c>
      <c r="AI22" t="s">
        <v>1311</v>
      </c>
      <c r="AJ22" t="s">
        <v>1312</v>
      </c>
      <c r="AK22" t="s">
        <v>1313</v>
      </c>
      <c r="AL22" t="s">
        <v>1314</v>
      </c>
      <c r="AM22" t="s">
        <v>1315</v>
      </c>
      <c r="AN22" t="s">
        <v>59</v>
      </c>
      <c r="AO22" t="s">
        <v>71</v>
      </c>
      <c r="AP22" t="s">
        <v>7</v>
      </c>
      <c r="AQ22" t="s">
        <v>7</v>
      </c>
      <c r="AR22" t="s">
        <v>250</v>
      </c>
      <c r="AS22" t="s">
        <v>1316</v>
      </c>
      <c r="AT22" t="s">
        <v>533</v>
      </c>
      <c r="AU22" t="s">
        <v>7</v>
      </c>
      <c r="AV22" t="s">
        <v>1317</v>
      </c>
      <c r="AW22" t="s">
        <v>1318</v>
      </c>
      <c r="AX22" t="s">
        <v>1319</v>
      </c>
      <c r="AY22" t="s">
        <v>270</v>
      </c>
      <c r="AZ22" t="s">
        <v>127</v>
      </c>
      <c r="BA22" t="s">
        <v>321</v>
      </c>
      <c r="BB22" t="s">
        <v>113</v>
      </c>
      <c r="BC22" t="s">
        <v>7</v>
      </c>
      <c r="BD22" t="s">
        <v>93</v>
      </c>
      <c r="BE22" t="s">
        <v>105</v>
      </c>
      <c r="BF22" t="s">
        <v>146</v>
      </c>
      <c r="BG22" t="s">
        <v>804</v>
      </c>
      <c r="BH22" t="s">
        <v>7</v>
      </c>
      <c r="BI22" t="s">
        <v>271</v>
      </c>
      <c r="BJ22" t="s">
        <v>1320</v>
      </c>
      <c r="BK22" t="s">
        <v>126</v>
      </c>
      <c r="BL22" t="s">
        <v>1321</v>
      </c>
      <c r="BM22" t="s">
        <v>244</v>
      </c>
      <c r="BN22" t="s">
        <v>805</v>
      </c>
      <c r="BO22">
        <v>6.04</v>
      </c>
      <c r="BP22">
        <v>17.46</v>
      </c>
      <c r="BQ22">
        <v>27.59</v>
      </c>
      <c r="BR22">
        <v>30.25</v>
      </c>
      <c r="BS22">
        <v>25.98</v>
      </c>
      <c r="BT22">
        <v>30.1</v>
      </c>
      <c r="BU22" t="s">
        <v>7</v>
      </c>
      <c r="BV22" t="s">
        <v>960</v>
      </c>
      <c r="BW22">
        <v>80.47</v>
      </c>
      <c r="BX22">
        <v>72.599999999999994</v>
      </c>
      <c r="BY22">
        <v>69.150000000000006</v>
      </c>
      <c r="BZ22">
        <v>28.79</v>
      </c>
      <c r="CA22">
        <v>30.22</v>
      </c>
      <c r="CB22">
        <v>27.68</v>
      </c>
      <c r="CC22">
        <v>-0.28999999999999998</v>
      </c>
      <c r="CD22">
        <v>6.17</v>
      </c>
      <c r="CE22" t="s">
        <v>1322</v>
      </c>
      <c r="CF22" t="s">
        <v>1323</v>
      </c>
      <c r="CG22" s="23">
        <v>0.22809226562500001</v>
      </c>
      <c r="CH22" s="24">
        <v>-5.2069229108035936E-2</v>
      </c>
      <c r="CI22" s="23">
        <v>0.18123666942119598</v>
      </c>
      <c r="CJ22" s="23">
        <v>9.7076021134853363E-2</v>
      </c>
      <c r="CK22" s="23">
        <v>0.71686744689941406</v>
      </c>
      <c r="CL22" s="23">
        <v>0.6600000262260437</v>
      </c>
      <c r="CM22" s="23" t="e">
        <v>#VALUE!</v>
      </c>
      <c r="CN22" s="24">
        <v>0.13780918717384338</v>
      </c>
      <c r="CO22" s="24">
        <v>0.19409282505512238</v>
      </c>
      <c r="CP22" s="24">
        <v>1.2358490228652954</v>
      </c>
      <c r="CQ22" s="24">
        <v>0.55234020948410034</v>
      </c>
      <c r="CR22" s="24" t="e">
        <v>#VALUE!</v>
      </c>
      <c r="CS22">
        <v>7.0994689530685919</v>
      </c>
      <c r="CT22">
        <v>48652757.763975158</v>
      </c>
      <c r="CU22">
        <v>6.315353</v>
      </c>
      <c r="CV22" s="23">
        <v>0.41379504092037678</v>
      </c>
      <c r="CW22" s="24">
        <v>0.53002281114459038</v>
      </c>
      <c r="CX22">
        <v>0.06</v>
      </c>
      <c r="CY22">
        <v>13.554294755199789</v>
      </c>
      <c r="CZ22">
        <v>429473587.90222764</v>
      </c>
      <c r="DA22">
        <v>0.41379504092037678</v>
      </c>
      <c r="DB22">
        <v>3.4035835828087442</v>
      </c>
      <c r="DC22">
        <v>1710318391.8862815</v>
      </c>
      <c r="DD22">
        <v>0.39310528887435792</v>
      </c>
      <c r="DE22">
        <v>1.1377125873722773</v>
      </c>
      <c r="DF22">
        <v>5116592419.3956451</v>
      </c>
      <c r="DG22">
        <v>0.36413963600993154</v>
      </c>
      <c r="DH22">
        <v>0.42089202943050219</v>
      </c>
      <c r="DI22">
        <v>13830652977.383598</v>
      </c>
      <c r="DJ22">
        <v>0.33103603273630144</v>
      </c>
      <c r="DK22">
        <v>6.5025402377318964E-2</v>
      </c>
      <c r="DL22">
        <v>89522115775.94873</v>
      </c>
      <c r="DM22">
        <v>0.28965652864426372</v>
      </c>
      <c r="DN22">
        <v>322000000</v>
      </c>
      <c r="DO22">
        <v>0.41379504092037678</v>
      </c>
      <c r="DP22">
        <v>5821211600</v>
      </c>
      <c r="DQ22">
        <v>2058429700</v>
      </c>
      <c r="DR22">
        <v>4564</v>
      </c>
      <c r="DS22">
        <v>-0.18570277529537677</v>
      </c>
      <c r="DT22">
        <v>-0.58209204025262629</v>
      </c>
      <c r="DU22" s="25">
        <v>1.0640000000000001</v>
      </c>
      <c r="DV22">
        <v>0.6399999999999999</v>
      </c>
      <c r="DW22">
        <v>1.704</v>
      </c>
      <c r="DX22">
        <v>2.0617000000000001</v>
      </c>
      <c r="DY22">
        <v>0.26569918282291571</v>
      </c>
      <c r="DZ22">
        <v>2.0059046395801738</v>
      </c>
      <c r="EA22">
        <v>538</v>
      </c>
      <c r="EB22">
        <v>2.0052481617760547</v>
      </c>
      <c r="EC22">
        <v>2</v>
      </c>
      <c r="ED22">
        <v>4.5651608202352447E-3</v>
      </c>
      <c r="EE22">
        <v>4.7703237222858332E-2</v>
      </c>
      <c r="EF22" s="22">
        <v>0.10339999999999999</v>
      </c>
      <c r="EG22">
        <v>9.9500000000000005E-2</v>
      </c>
      <c r="EH22">
        <v>17.095699182822916</v>
      </c>
      <c r="EI22" t="s">
        <v>619</v>
      </c>
      <c r="EJ22">
        <v>1</v>
      </c>
      <c r="EK22">
        <v>1</v>
      </c>
    </row>
    <row r="23" spans="1:141" ht="67.5">
      <c r="A23" s="36"/>
      <c r="B23" s="26"/>
      <c r="C23" s="26"/>
      <c r="D23" s="26" t="s">
        <v>1349</v>
      </c>
      <c r="E23" t="s">
        <v>748</v>
      </c>
      <c r="F23" t="s">
        <v>749</v>
      </c>
      <c r="G23">
        <v>50.14</v>
      </c>
      <c r="H23">
        <v>-2.38</v>
      </c>
      <c r="I23" t="s">
        <v>1325</v>
      </c>
      <c r="J23">
        <v>2909522900</v>
      </c>
      <c r="K23">
        <v>33.82</v>
      </c>
      <c r="L23">
        <v>5.75</v>
      </c>
      <c r="M23" t="s">
        <v>590</v>
      </c>
      <c r="N23" t="s">
        <v>1326</v>
      </c>
      <c r="O23" t="s">
        <v>260</v>
      </c>
      <c r="P23" t="s">
        <v>1327</v>
      </c>
      <c r="Q23">
        <v>20.5</v>
      </c>
      <c r="R23" t="s">
        <v>315</v>
      </c>
      <c r="S23">
        <v>39142550</v>
      </c>
      <c r="T23" s="5">
        <v>0.12709999999999999</v>
      </c>
      <c r="U23" t="s">
        <v>750</v>
      </c>
      <c r="V23">
        <v>25616060</v>
      </c>
      <c r="W23">
        <v>58027980</v>
      </c>
      <c r="X23">
        <v>1.18</v>
      </c>
      <c r="Y23">
        <v>0.2</v>
      </c>
      <c r="Z23">
        <v>33.130000000000003</v>
      </c>
      <c r="AA23" t="s">
        <v>1328</v>
      </c>
      <c r="AB23" t="s">
        <v>1329</v>
      </c>
      <c r="AC23" t="s">
        <v>1330</v>
      </c>
      <c r="AD23" t="s">
        <v>1331</v>
      </c>
      <c r="AE23" t="s">
        <v>1332</v>
      </c>
      <c r="AF23">
        <v>-631304</v>
      </c>
      <c r="AG23" t="s">
        <v>1333</v>
      </c>
      <c r="AH23">
        <v>2140.59</v>
      </c>
      <c r="AI23" t="s">
        <v>1334</v>
      </c>
      <c r="AJ23" t="s">
        <v>1335</v>
      </c>
      <c r="AK23" t="s">
        <v>1336</v>
      </c>
      <c r="AL23" t="s">
        <v>7</v>
      </c>
      <c r="AM23" t="s">
        <v>1337</v>
      </c>
      <c r="AN23" t="s">
        <v>308</v>
      </c>
      <c r="AO23" t="s">
        <v>1338</v>
      </c>
      <c r="AP23" t="s">
        <v>7</v>
      </c>
      <c r="AQ23" t="s">
        <v>7</v>
      </c>
      <c r="AR23" t="s">
        <v>1339</v>
      </c>
      <c r="AS23" t="s">
        <v>7</v>
      </c>
      <c r="AT23" t="s">
        <v>1340</v>
      </c>
      <c r="AU23" t="s">
        <v>7</v>
      </c>
      <c r="AV23" t="s">
        <v>1341</v>
      </c>
      <c r="AW23" t="s">
        <v>1342</v>
      </c>
      <c r="AX23" t="s">
        <v>1343</v>
      </c>
      <c r="AY23" t="s">
        <v>356</v>
      </c>
      <c r="AZ23" t="s">
        <v>70</v>
      </c>
      <c r="BA23" t="s">
        <v>274</v>
      </c>
      <c r="BB23" t="s">
        <v>806</v>
      </c>
      <c r="BC23" t="s">
        <v>7</v>
      </c>
      <c r="BD23" t="s">
        <v>807</v>
      </c>
      <c r="BE23" t="s">
        <v>808</v>
      </c>
      <c r="BF23" t="s">
        <v>809</v>
      </c>
      <c r="BG23" t="s">
        <v>810</v>
      </c>
      <c r="BH23" t="s">
        <v>7</v>
      </c>
      <c r="BI23" t="s">
        <v>811</v>
      </c>
      <c r="BJ23" t="s">
        <v>1344</v>
      </c>
      <c r="BK23" t="s">
        <v>812</v>
      </c>
      <c r="BL23" t="s">
        <v>1345</v>
      </c>
      <c r="BM23" t="s">
        <v>1346</v>
      </c>
      <c r="BN23" t="s">
        <v>813</v>
      </c>
      <c r="BO23">
        <v>7.32</v>
      </c>
      <c r="BP23">
        <v>20.76</v>
      </c>
      <c r="BQ23">
        <v>22.72</v>
      </c>
      <c r="BR23">
        <v>31.37</v>
      </c>
      <c r="BS23">
        <v>20.84</v>
      </c>
      <c r="BT23">
        <v>23.93</v>
      </c>
      <c r="BU23" t="s">
        <v>7</v>
      </c>
      <c r="BV23" t="s">
        <v>960</v>
      </c>
      <c r="BW23">
        <v>78.319999999999993</v>
      </c>
      <c r="BX23">
        <v>82.9</v>
      </c>
      <c r="BY23">
        <v>79.81</v>
      </c>
      <c r="BZ23">
        <v>32.86</v>
      </c>
      <c r="CA23">
        <v>31.16</v>
      </c>
      <c r="CB23">
        <v>34.33</v>
      </c>
      <c r="CC23">
        <v>-9.0500000000000007</v>
      </c>
      <c r="CD23">
        <v>4.09</v>
      </c>
      <c r="CE23" t="s">
        <v>1347</v>
      </c>
      <c r="CF23" t="s">
        <v>1348</v>
      </c>
      <c r="CG23" s="23">
        <v>0.13237747358098417</v>
      </c>
      <c r="CH23" s="24">
        <v>1.606351284359072E-2</v>
      </c>
      <c r="CI23" s="23">
        <v>0.29878050088882446</v>
      </c>
      <c r="CJ23" s="23">
        <v>0.10810811072587967</v>
      </c>
      <c r="CK23" s="23">
        <v>0.34545454382896423</v>
      </c>
      <c r="CL23" s="23">
        <v>0.51751351356506348</v>
      </c>
      <c r="CM23" s="23" t="e">
        <v>#VALUE!</v>
      </c>
      <c r="CN23" s="24">
        <v>0.55831068754196167</v>
      </c>
      <c r="CO23" s="24">
        <v>8.6400285363197327E-3</v>
      </c>
      <c r="CP23" s="24">
        <v>1.3443374633789063</v>
      </c>
      <c r="CQ23" s="24">
        <v>1.2021372318267822</v>
      </c>
      <c r="CR23" s="24" t="e">
        <v>#VALUE!</v>
      </c>
      <c r="CS23">
        <v>13.65973192488263</v>
      </c>
      <c r="CT23">
        <v>46303046.192106731</v>
      </c>
      <c r="CU23">
        <v>7.8186800000000005</v>
      </c>
      <c r="CV23" s="23">
        <v>0.31746416725218296</v>
      </c>
      <c r="CW23" s="24">
        <v>0.77835635282099247</v>
      </c>
      <c r="CX23">
        <v>0.06</v>
      </c>
      <c r="CY23">
        <v>24.612842779219331</v>
      </c>
      <c r="CZ23">
        <v>101452819.66812292</v>
      </c>
      <c r="DA23">
        <v>0.31746416725218296</v>
      </c>
      <c r="DB23">
        <v>6.6689092306422282</v>
      </c>
      <c r="DC23">
        <v>374430392.3836028</v>
      </c>
      <c r="DD23">
        <v>0.30159095888957382</v>
      </c>
      <c r="DE23">
        <v>2.5081911289995928</v>
      </c>
      <c r="DF23">
        <v>995555032.12227702</v>
      </c>
      <c r="DG23">
        <v>0.27936846718192099</v>
      </c>
      <c r="DH23">
        <v>1.0833180655302457</v>
      </c>
      <c r="DI23">
        <v>2304994608.1881194</v>
      </c>
      <c r="DJ23">
        <v>0.25397133380174636</v>
      </c>
      <c r="DK23">
        <v>0.24979536286538698</v>
      </c>
      <c r="DL23">
        <v>9996351699.0731297</v>
      </c>
      <c r="DM23">
        <v>0.22222491707652806</v>
      </c>
      <c r="DN23">
        <v>81626500</v>
      </c>
      <c r="DO23">
        <v>0.31746416725218296</v>
      </c>
      <c r="DP23">
        <v>2497042300</v>
      </c>
      <c r="DQ23">
        <v>286956460</v>
      </c>
      <c r="DR23">
        <v>4625</v>
      </c>
      <c r="DS23">
        <v>-0.18508669367119879</v>
      </c>
      <c r="DT23">
        <v>-0.76229283997740171</v>
      </c>
      <c r="DU23" s="25">
        <v>0.76400000000000001</v>
      </c>
      <c r="DV23">
        <v>0.8</v>
      </c>
      <c r="DW23">
        <v>1.5640000000000001</v>
      </c>
      <c r="DX23">
        <v>-5.4519337016574587</v>
      </c>
      <c r="DY23">
        <v>0.20130276995141821</v>
      </c>
      <c r="DZ23">
        <v>-5.0548208098454479</v>
      </c>
      <c r="EA23">
        <v>697</v>
      </c>
      <c r="EB23">
        <v>-5.0469245287001128</v>
      </c>
      <c r="EC23">
        <v>5</v>
      </c>
      <c r="ED23">
        <v>3.6058466967142405E-2</v>
      </c>
      <c r="EE23">
        <v>0.29726004592956706</v>
      </c>
      <c r="EF23" s="22">
        <v>2.0173999999999999</v>
      </c>
      <c r="EG23">
        <v>2.0064099999999998</v>
      </c>
      <c r="EH23">
        <v>8.1213027699514182</v>
      </c>
      <c r="EI23" t="s">
        <v>848</v>
      </c>
      <c r="EJ23">
        <v>0</v>
      </c>
      <c r="EK23">
        <v>1</v>
      </c>
    </row>
    <row r="24" spans="1:141" ht="101.25">
      <c r="A24" s="36"/>
      <c r="B24" s="4" t="s">
        <v>1350</v>
      </c>
      <c r="C24" s="4" t="s">
        <v>814</v>
      </c>
      <c r="D24" s="4" t="s">
        <v>1372</v>
      </c>
      <c r="E24" t="s">
        <v>27</v>
      </c>
      <c r="F24" t="s">
        <v>28</v>
      </c>
      <c r="G24">
        <v>143.30000000000001</v>
      </c>
      <c r="H24">
        <v>1.42</v>
      </c>
      <c r="I24" t="s">
        <v>1351</v>
      </c>
      <c r="J24">
        <v>68939520000</v>
      </c>
      <c r="K24">
        <v>77.03</v>
      </c>
      <c r="L24">
        <v>11.36</v>
      </c>
      <c r="M24" t="s">
        <v>729</v>
      </c>
      <c r="N24" t="s">
        <v>1352</v>
      </c>
      <c r="O24" t="s">
        <v>1353</v>
      </c>
      <c r="P24" t="s">
        <v>1354</v>
      </c>
      <c r="Q24">
        <v>51.58</v>
      </c>
      <c r="R24" t="s">
        <v>751</v>
      </c>
      <c r="S24">
        <v>473225200</v>
      </c>
      <c r="T24" s="5">
        <v>0.3125</v>
      </c>
      <c r="U24" t="s">
        <v>585</v>
      </c>
      <c r="V24">
        <v>95914109</v>
      </c>
      <c r="W24">
        <v>481085280</v>
      </c>
      <c r="X24">
        <v>1.29</v>
      </c>
      <c r="Y24">
        <v>0.38</v>
      </c>
      <c r="Z24">
        <v>15.91</v>
      </c>
      <c r="AA24" t="s">
        <v>1355</v>
      </c>
      <c r="AB24" t="s">
        <v>257</v>
      </c>
      <c r="AC24" t="s">
        <v>1356</v>
      </c>
      <c r="AD24" t="s">
        <v>213</v>
      </c>
      <c r="AE24" t="s">
        <v>53</v>
      </c>
      <c r="AF24">
        <v>-31279001</v>
      </c>
      <c r="AG24" t="s">
        <v>1357</v>
      </c>
      <c r="AH24" t="s">
        <v>1358</v>
      </c>
      <c r="AI24" t="s">
        <v>1359</v>
      </c>
      <c r="AJ24" t="s">
        <v>1360</v>
      </c>
      <c r="AK24" t="s">
        <v>1361</v>
      </c>
      <c r="AL24" t="s">
        <v>7</v>
      </c>
      <c r="AM24" t="s">
        <v>1362</v>
      </c>
      <c r="AN24" t="s">
        <v>1363</v>
      </c>
      <c r="AO24" t="s">
        <v>1364</v>
      </c>
      <c r="AP24" t="s">
        <v>289</v>
      </c>
      <c r="AQ24" t="s">
        <v>1365</v>
      </c>
      <c r="AR24" t="s">
        <v>277</v>
      </c>
      <c r="AS24" t="s">
        <v>7</v>
      </c>
      <c r="AT24" t="s">
        <v>1366</v>
      </c>
      <c r="AU24" t="s">
        <v>175</v>
      </c>
      <c r="AV24" t="s">
        <v>272</v>
      </c>
      <c r="AW24" t="s">
        <v>1367</v>
      </c>
      <c r="AX24" t="s">
        <v>1368</v>
      </c>
      <c r="AY24" t="s">
        <v>519</v>
      </c>
      <c r="AZ24" t="s">
        <v>95</v>
      </c>
      <c r="BA24" t="s">
        <v>520</v>
      </c>
      <c r="BB24" t="s">
        <v>521</v>
      </c>
      <c r="BC24" t="s">
        <v>205</v>
      </c>
      <c r="BD24" t="s">
        <v>430</v>
      </c>
      <c r="BE24" t="s">
        <v>96</v>
      </c>
      <c r="BF24" t="s">
        <v>261</v>
      </c>
      <c r="BG24" t="s">
        <v>89</v>
      </c>
      <c r="BH24" t="s">
        <v>245</v>
      </c>
      <c r="BI24" t="s">
        <v>567</v>
      </c>
      <c r="BJ24" t="s">
        <v>1369</v>
      </c>
      <c r="BK24" t="s">
        <v>359</v>
      </c>
      <c r="BL24" t="s">
        <v>121</v>
      </c>
      <c r="BM24" t="s">
        <v>852</v>
      </c>
      <c r="BN24" t="s">
        <v>297</v>
      </c>
      <c r="BO24">
        <v>3.22</v>
      </c>
      <c r="BP24">
        <v>14.08</v>
      </c>
      <c r="BQ24">
        <v>13.4</v>
      </c>
      <c r="BR24">
        <v>18.32</v>
      </c>
      <c r="BS24">
        <v>14.6</v>
      </c>
      <c r="BT24">
        <v>13.46</v>
      </c>
      <c r="BU24">
        <v>24.59</v>
      </c>
      <c r="BV24" t="s">
        <v>1097</v>
      </c>
      <c r="BW24">
        <v>77.13</v>
      </c>
      <c r="BX24">
        <v>81.41</v>
      </c>
      <c r="BY24">
        <v>79.66</v>
      </c>
      <c r="BZ24">
        <v>15.75</v>
      </c>
      <c r="CA24">
        <v>24.5</v>
      </c>
      <c r="CB24">
        <v>31</v>
      </c>
      <c r="CC24">
        <v>4.68</v>
      </c>
      <c r="CD24">
        <v>-6.69</v>
      </c>
      <c r="CE24" t="s">
        <v>1370</v>
      </c>
      <c r="CF24" t="s">
        <v>1371</v>
      </c>
      <c r="CG24" s="23">
        <v>0.44866568965517239</v>
      </c>
      <c r="CH24" s="24">
        <v>0.3072976076555024</v>
      </c>
      <c r="CI24" s="23">
        <v>0.87922519445419312</v>
      </c>
      <c r="CJ24" s="23">
        <v>0.39607632160186768</v>
      </c>
      <c r="CK24" s="23">
        <v>0.49326992034912109</v>
      </c>
      <c r="CL24" s="23">
        <v>0.54400986433029175</v>
      </c>
      <c r="CM24" s="23">
        <v>0.11596179753541946</v>
      </c>
      <c r="CN24" s="24">
        <v>0.21052631735801697</v>
      </c>
      <c r="CO24" s="24">
        <v>0.10238907486200333</v>
      </c>
      <c r="CP24" s="24">
        <v>0.38207545876502991</v>
      </c>
      <c r="CQ24" s="24">
        <v>0.90990990400314331</v>
      </c>
      <c r="CR24" s="24">
        <v>-0.17472119629383087</v>
      </c>
      <c r="CS24">
        <v>13.9328051738076</v>
      </c>
      <c r="CT24">
        <v>52806273.657289006</v>
      </c>
      <c r="CU24">
        <v>7.7990820000000003</v>
      </c>
      <c r="CV24" s="23">
        <v>0.48570861965417861</v>
      </c>
      <c r="CW24" s="24">
        <v>0.28603591173887255</v>
      </c>
      <c r="CX24">
        <v>0.06</v>
      </c>
      <c r="CY24">
        <v>58.969846474710614</v>
      </c>
      <c r="CZ24">
        <v>1096060509.9712901</v>
      </c>
      <c r="DA24">
        <v>0.48570861965417861</v>
      </c>
      <c r="DB24">
        <v>14.008537544924224</v>
      </c>
      <c r="DC24">
        <v>4613937735.6645851</v>
      </c>
      <c r="DD24">
        <v>0.46142318867146964</v>
      </c>
      <c r="DE24">
        <v>4.2865410357508429</v>
      </c>
      <c r="DF24">
        <v>15078479235.572844</v>
      </c>
      <c r="DG24">
        <v>0.4274235852956772</v>
      </c>
      <c r="DH24">
        <v>1.4090238702808537</v>
      </c>
      <c r="DI24">
        <v>45871841750.357803</v>
      </c>
      <c r="DJ24">
        <v>0.38856689572334291</v>
      </c>
      <c r="DK24">
        <v>0.16046103843341689</v>
      </c>
      <c r="DL24">
        <v>402805071131.45734</v>
      </c>
      <c r="DM24">
        <v>0.33999603375792503</v>
      </c>
      <c r="DN24">
        <v>782000000</v>
      </c>
      <c r="DO24">
        <v>0.48570861965417861</v>
      </c>
      <c r="DP24">
        <v>64634520000</v>
      </c>
      <c r="DQ24">
        <v>2423372300</v>
      </c>
      <c r="DR24">
        <v>4659</v>
      </c>
      <c r="DS24">
        <v>-3.7042929999006213E-2</v>
      </c>
      <c r="DT24">
        <v>2.1261695916629852E-2</v>
      </c>
      <c r="DU24" s="25">
        <v>0.95333333333333348</v>
      </c>
      <c r="DV24">
        <v>0.65333333333333332</v>
      </c>
      <c r="DW24">
        <v>1.6066666666666669</v>
      </c>
      <c r="DX24">
        <v>6.4116094986807388</v>
      </c>
      <c r="DY24">
        <v>0.58318739273125453</v>
      </c>
      <c r="DZ24">
        <v>6.0630533859263203</v>
      </c>
      <c r="EA24">
        <v>637</v>
      </c>
      <c r="EB24">
        <v>6.0547479668123696</v>
      </c>
      <c r="EC24">
        <v>6</v>
      </c>
      <c r="ED24">
        <v>2.3729680525664806E-2</v>
      </c>
      <c r="EE24">
        <v>0.15490621538035834</v>
      </c>
      <c r="EF24" s="22">
        <v>3.0324</v>
      </c>
      <c r="EG24">
        <v>3.0466000000000002</v>
      </c>
      <c r="EH24">
        <v>43.153187392731255</v>
      </c>
      <c r="EI24" t="s">
        <v>920</v>
      </c>
      <c r="EJ24">
        <v>0</v>
      </c>
      <c r="EK24">
        <v>1</v>
      </c>
    </row>
    <row r="25" spans="1:141" ht="67.5">
      <c r="A25" s="36"/>
      <c r="B25" s="26"/>
      <c r="C25" s="26"/>
      <c r="D25" s="26" t="s">
        <v>1395</v>
      </c>
      <c r="E25" t="s">
        <v>29</v>
      </c>
      <c r="F25" t="s">
        <v>30</v>
      </c>
      <c r="G25">
        <v>71.36</v>
      </c>
      <c r="H25">
        <v>-2.54</v>
      </c>
      <c r="I25" t="s">
        <v>1373</v>
      </c>
      <c r="J25">
        <v>12425916800</v>
      </c>
      <c r="K25">
        <v>64.64</v>
      </c>
      <c r="L25">
        <v>2.27</v>
      </c>
      <c r="M25" t="s">
        <v>590</v>
      </c>
      <c r="N25" t="s">
        <v>1374</v>
      </c>
      <c r="O25" t="s">
        <v>1375</v>
      </c>
      <c r="P25" t="s">
        <v>1376</v>
      </c>
      <c r="Q25">
        <v>13.69</v>
      </c>
      <c r="R25" t="s">
        <v>752</v>
      </c>
      <c r="S25">
        <v>71029962</v>
      </c>
      <c r="T25" s="5">
        <v>-0.6925</v>
      </c>
      <c r="U25" t="s">
        <v>313</v>
      </c>
      <c r="V25">
        <v>56729000</v>
      </c>
      <c r="W25">
        <v>174130000</v>
      </c>
      <c r="X25">
        <v>1.18</v>
      </c>
      <c r="Y25">
        <v>0.14000000000000001</v>
      </c>
      <c r="Z25">
        <v>7.66</v>
      </c>
      <c r="AA25" t="s">
        <v>441</v>
      </c>
      <c r="AB25" t="s">
        <v>309</v>
      </c>
      <c r="AC25" t="s">
        <v>296</v>
      </c>
      <c r="AD25" t="s">
        <v>248</v>
      </c>
      <c r="AE25" t="s">
        <v>1377</v>
      </c>
      <c r="AF25">
        <v>-43271114</v>
      </c>
      <c r="AG25" t="s">
        <v>1378</v>
      </c>
      <c r="AH25" t="s">
        <v>1379</v>
      </c>
      <c r="AI25" t="s">
        <v>1380</v>
      </c>
      <c r="AJ25" t="s">
        <v>1381</v>
      </c>
      <c r="AK25" t="s">
        <v>1382</v>
      </c>
      <c r="AL25" t="s">
        <v>7</v>
      </c>
      <c r="AM25" t="s">
        <v>1383</v>
      </c>
      <c r="AN25" t="s">
        <v>1384</v>
      </c>
      <c r="AO25" t="s">
        <v>278</v>
      </c>
      <c r="AP25" t="s">
        <v>1385</v>
      </c>
      <c r="AQ25" t="s">
        <v>7</v>
      </c>
      <c r="AR25" t="s">
        <v>1386</v>
      </c>
      <c r="AS25" t="s">
        <v>7</v>
      </c>
      <c r="AT25" t="s">
        <v>430</v>
      </c>
      <c r="AU25" t="s">
        <v>1387</v>
      </c>
      <c r="AV25" t="s">
        <v>1169</v>
      </c>
      <c r="AW25" t="s">
        <v>1388</v>
      </c>
      <c r="AX25" t="s">
        <v>1389</v>
      </c>
      <c r="AY25" t="s">
        <v>522</v>
      </c>
      <c r="AZ25" t="s">
        <v>162</v>
      </c>
      <c r="BA25" t="s">
        <v>523</v>
      </c>
      <c r="BB25" t="s">
        <v>524</v>
      </c>
      <c r="BC25" t="s">
        <v>373</v>
      </c>
      <c r="BD25" t="s">
        <v>83</v>
      </c>
      <c r="BE25" t="s">
        <v>163</v>
      </c>
      <c r="BF25" t="s">
        <v>295</v>
      </c>
      <c r="BG25" t="s">
        <v>158</v>
      </c>
      <c r="BH25" t="s">
        <v>326</v>
      </c>
      <c r="BI25" t="s">
        <v>86</v>
      </c>
      <c r="BJ25" t="s">
        <v>1390</v>
      </c>
      <c r="BK25" t="s">
        <v>259</v>
      </c>
      <c r="BL25" t="s">
        <v>1391</v>
      </c>
      <c r="BM25" t="s">
        <v>1392</v>
      </c>
      <c r="BN25" t="s">
        <v>817</v>
      </c>
      <c r="BO25">
        <v>1.23</v>
      </c>
      <c r="BP25">
        <v>6.18</v>
      </c>
      <c r="BQ25">
        <v>4.13</v>
      </c>
      <c r="BR25">
        <v>7.81</v>
      </c>
      <c r="BS25">
        <v>6.25</v>
      </c>
      <c r="BT25">
        <v>4.2</v>
      </c>
      <c r="BU25">
        <v>9.26</v>
      </c>
      <c r="BV25" t="s">
        <v>960</v>
      </c>
      <c r="BW25">
        <v>67.02</v>
      </c>
      <c r="BX25">
        <v>74.930000000000007</v>
      </c>
      <c r="BY25">
        <v>77.31</v>
      </c>
      <c r="BZ25">
        <v>13.4</v>
      </c>
      <c r="CA25">
        <v>16.989999999999998</v>
      </c>
      <c r="CB25">
        <v>23.46</v>
      </c>
      <c r="CC25">
        <v>-0.99</v>
      </c>
      <c r="CD25">
        <v>-12.93</v>
      </c>
      <c r="CE25" t="s">
        <v>1393</v>
      </c>
      <c r="CF25" t="s">
        <v>1394</v>
      </c>
      <c r="CG25" s="23">
        <v>5.5104209401709403E-2</v>
      </c>
      <c r="CH25" s="24">
        <v>-0.92471557892741663</v>
      </c>
      <c r="CI25" s="23">
        <v>0.32657662034034729</v>
      </c>
      <c r="CJ25" s="23">
        <v>-0.16957606375217438</v>
      </c>
      <c r="CK25" s="23">
        <v>2.9525032266974449E-2</v>
      </c>
      <c r="CL25" s="23">
        <v>0.15066470205783844</v>
      </c>
      <c r="CM25" s="23">
        <v>0.57258999347686768</v>
      </c>
      <c r="CN25" s="24">
        <v>0.53043478727340698</v>
      </c>
      <c r="CO25" s="24">
        <v>-0.38005390763282776</v>
      </c>
      <c r="CP25" s="24">
        <v>-0.10602409392595291</v>
      </c>
      <c r="CQ25" s="24">
        <v>0.11559139937162399</v>
      </c>
      <c r="CR25" s="24">
        <v>0.21967212855815887</v>
      </c>
      <c r="CS25">
        <v>7.0322109790605536</v>
      </c>
      <c r="CT25">
        <v>15110965.340909092</v>
      </c>
      <c r="CU25">
        <v>1.2654320000000001</v>
      </c>
      <c r="CV25" s="23">
        <v>0.1819560568779707</v>
      </c>
      <c r="CW25" s="24">
        <v>7.592406272888183E-2</v>
      </c>
      <c r="CX25">
        <v>0.06</v>
      </c>
      <c r="CY25">
        <v>19.334888093279183</v>
      </c>
      <c r="CZ25">
        <v>392498615.1141941</v>
      </c>
      <c r="DA25">
        <v>0.1819560568779707</v>
      </c>
      <c r="DB25">
        <v>5.8500010836184124</v>
      </c>
      <c r="DC25">
        <v>1297250494.7479451</v>
      </c>
      <c r="DD25">
        <v>0.17285825403407215</v>
      </c>
      <c r="DE25">
        <v>2.5890954977129268</v>
      </c>
      <c r="DF25">
        <v>2931107333.3153052</v>
      </c>
      <c r="DG25">
        <v>0.16012133005261422</v>
      </c>
      <c r="DH25">
        <v>1.3723648470363015</v>
      </c>
      <c r="DI25">
        <v>5529809960.0763531</v>
      </c>
      <c r="DJ25">
        <v>0.14556484550237656</v>
      </c>
      <c r="DK25">
        <v>0.53033497103552674</v>
      </c>
      <c r="DL25">
        <v>14309666935.940426</v>
      </c>
      <c r="DM25">
        <v>0.12736923981457948</v>
      </c>
      <c r="DN25">
        <v>352000000</v>
      </c>
      <c r="DO25">
        <v>0.1819560568779707</v>
      </c>
      <c r="DP25">
        <v>7588916800</v>
      </c>
      <c r="DQ25">
        <v>3065533500</v>
      </c>
      <c r="DR25">
        <v>4663</v>
      </c>
      <c r="DS25">
        <v>-0.1268518474762613</v>
      </c>
      <c r="DT25">
        <v>-1.0006396416562984</v>
      </c>
      <c r="DU25" s="25">
        <v>0.23333333333333331</v>
      </c>
      <c r="DV25">
        <v>-0.32333333333333336</v>
      </c>
      <c r="DW25">
        <v>-9.0000000000000052E-2</v>
      </c>
      <c r="DX25">
        <v>-2.1293000000000002</v>
      </c>
      <c r="DY25">
        <v>0.35861766433593001</v>
      </c>
      <c r="DZ25">
        <v>-2.0192162639986355</v>
      </c>
      <c r="EA25">
        <v>3377</v>
      </c>
      <c r="EB25">
        <v>-2.0058057817660684</v>
      </c>
      <c r="EC25">
        <v>2</v>
      </c>
      <c r="ED25">
        <v>1.3512318382817435E-2</v>
      </c>
      <c r="EE25">
        <v>9.0920002297134331E-2</v>
      </c>
      <c r="EF25" s="22">
        <v>1.1122099999999999</v>
      </c>
      <c r="EG25">
        <v>1.13761</v>
      </c>
      <c r="EH25">
        <v>21.14861766433593</v>
      </c>
      <c r="EI25" t="s">
        <v>700</v>
      </c>
      <c r="EJ25">
        <v>0</v>
      </c>
      <c r="EK25">
        <v>0</v>
      </c>
    </row>
    <row r="26" spans="1:141">
      <c r="A26" s="36"/>
      <c r="E26" t="s">
        <v>753</v>
      </c>
      <c r="F26" t="s">
        <v>754</v>
      </c>
      <c r="G26">
        <v>18.54</v>
      </c>
      <c r="H26">
        <v>8.36</v>
      </c>
      <c r="I26" t="s">
        <v>1396</v>
      </c>
      <c r="J26">
        <v>4790413600</v>
      </c>
      <c r="K26">
        <v>225</v>
      </c>
      <c r="L26">
        <v>5.08</v>
      </c>
      <c r="M26" t="s">
        <v>586</v>
      </c>
      <c r="N26" t="s">
        <v>231</v>
      </c>
      <c r="O26" t="s">
        <v>1397</v>
      </c>
      <c r="P26" t="s">
        <v>1398</v>
      </c>
      <c r="Q26">
        <v>23.07</v>
      </c>
      <c r="R26" t="s">
        <v>296</v>
      </c>
      <c r="S26">
        <v>7513733</v>
      </c>
      <c r="T26" s="5">
        <v>-0.28399999999999997</v>
      </c>
      <c r="U26" t="s">
        <v>755</v>
      </c>
      <c r="V26">
        <v>159608570</v>
      </c>
      <c r="W26">
        <v>258382610</v>
      </c>
      <c r="X26">
        <v>1.37</v>
      </c>
      <c r="Y26">
        <v>0.12</v>
      </c>
      <c r="Z26">
        <v>4.26</v>
      </c>
      <c r="AA26" t="s">
        <v>77</v>
      </c>
      <c r="AB26" t="s">
        <v>1169</v>
      </c>
      <c r="AC26" t="s">
        <v>1399</v>
      </c>
      <c r="AD26" t="s">
        <v>1400</v>
      </c>
      <c r="AE26" t="s">
        <v>1401</v>
      </c>
      <c r="AF26">
        <v>-4136658</v>
      </c>
      <c r="AG26" t="s">
        <v>1402</v>
      </c>
      <c r="AH26">
        <v>6000</v>
      </c>
      <c r="AI26" t="s">
        <v>1403</v>
      </c>
      <c r="AJ26" t="s">
        <v>570</v>
      </c>
      <c r="AK26" t="s">
        <v>1404</v>
      </c>
      <c r="AL26" t="s">
        <v>1405</v>
      </c>
      <c r="AM26" t="s">
        <v>1406</v>
      </c>
      <c r="AN26" t="s">
        <v>924</v>
      </c>
      <c r="AO26" t="s">
        <v>1407</v>
      </c>
      <c r="AP26" t="s">
        <v>1408</v>
      </c>
      <c r="AQ26" t="s">
        <v>1409</v>
      </c>
      <c r="AR26" t="s">
        <v>118</v>
      </c>
      <c r="AS26" t="s">
        <v>7</v>
      </c>
      <c r="AT26" t="s">
        <v>1410</v>
      </c>
      <c r="AU26" t="s">
        <v>1411</v>
      </c>
      <c r="AV26" t="s">
        <v>1412</v>
      </c>
      <c r="AW26" t="s">
        <v>1044</v>
      </c>
      <c r="AX26" t="s">
        <v>1413</v>
      </c>
      <c r="AY26" t="s">
        <v>165</v>
      </c>
      <c r="AZ26" t="s">
        <v>78</v>
      </c>
      <c r="BA26" t="s">
        <v>291</v>
      </c>
      <c r="BB26" t="s">
        <v>818</v>
      </c>
      <c r="BC26" t="s">
        <v>819</v>
      </c>
      <c r="BD26" t="s">
        <v>820</v>
      </c>
      <c r="BE26" t="s">
        <v>821</v>
      </c>
      <c r="BF26" t="s">
        <v>822</v>
      </c>
      <c r="BG26" t="s">
        <v>823</v>
      </c>
      <c r="BH26" t="s">
        <v>824</v>
      </c>
      <c r="BI26" t="s">
        <v>825</v>
      </c>
      <c r="BJ26" t="s">
        <v>116</v>
      </c>
      <c r="BK26" t="s">
        <v>826</v>
      </c>
      <c r="BL26" t="s">
        <v>1414</v>
      </c>
      <c r="BM26" t="s">
        <v>1415</v>
      </c>
      <c r="BN26" t="s">
        <v>827</v>
      </c>
      <c r="BO26">
        <v>0.17</v>
      </c>
      <c r="BP26">
        <v>2.2000000000000002</v>
      </c>
      <c r="BQ26">
        <v>7.63</v>
      </c>
      <c r="BR26">
        <v>9.02</v>
      </c>
      <c r="BS26">
        <v>2.5499999999999998</v>
      </c>
      <c r="BT26">
        <v>13.75</v>
      </c>
      <c r="BU26">
        <v>10.92</v>
      </c>
      <c r="BV26" t="s">
        <v>1416</v>
      </c>
      <c r="BW26">
        <v>27.93</v>
      </c>
      <c r="BX26">
        <v>45.65</v>
      </c>
      <c r="BY26">
        <v>40.69</v>
      </c>
      <c r="BZ26">
        <v>2.97</v>
      </c>
      <c r="CA26">
        <v>19.77</v>
      </c>
      <c r="CB26">
        <v>15.6</v>
      </c>
      <c r="CC26">
        <v>7.48</v>
      </c>
      <c r="CD26">
        <v>-4.68</v>
      </c>
      <c r="CE26" t="s">
        <v>1417</v>
      </c>
      <c r="CF26" t="s">
        <v>1418</v>
      </c>
      <c r="CG26" s="23">
        <v>0.37941565178044245</v>
      </c>
      <c r="CH26" s="24">
        <v>-0.28711590743742582</v>
      </c>
      <c r="CI26" s="23">
        <v>3.9867110550403595E-2</v>
      </c>
      <c r="CJ26" s="23">
        <v>0.1666666716337204</v>
      </c>
      <c r="CK26" s="23">
        <v>0.60248446464538574</v>
      </c>
      <c r="CL26" s="23">
        <v>0.65038156509399414</v>
      </c>
      <c r="CM26" s="23">
        <v>2.1434094905853271</v>
      </c>
      <c r="CN26" s="24">
        <v>-0.59478336572647095</v>
      </c>
      <c r="CO26" s="24">
        <v>0.41983857750892639</v>
      </c>
      <c r="CP26" s="24">
        <v>2.0160505771636963</v>
      </c>
      <c r="CQ26" s="24">
        <v>2.9106357097625732</v>
      </c>
      <c r="CR26" s="24">
        <v>0.58580535650253296</v>
      </c>
      <c r="CS26">
        <v>15.304835782747604</v>
      </c>
      <c r="CT26">
        <v>26913024.131580357</v>
      </c>
      <c r="CU26">
        <v>0.70034400000000008</v>
      </c>
      <c r="CV26" s="23">
        <v>0.72056186050176618</v>
      </c>
      <c r="CW26" s="24">
        <v>1.0675093710422516</v>
      </c>
      <c r="CX26">
        <v>0.06</v>
      </c>
      <c r="CY26">
        <v>105.83299648134954</v>
      </c>
      <c r="CZ26">
        <v>39396159.407947563</v>
      </c>
      <c r="DA26">
        <v>0.72056186050176618</v>
      </c>
      <c r="DB26">
        <v>21.134539574440051</v>
      </c>
      <c r="DC26">
        <v>197279604.09615248</v>
      </c>
      <c r="DD26">
        <v>0.68453376747667782</v>
      </c>
      <c r="DE26">
        <v>4.8583506200144724</v>
      </c>
      <c r="DF26">
        <v>858195286.03466249</v>
      </c>
      <c r="DG26">
        <v>0.63409443724155423</v>
      </c>
      <c r="DH26">
        <v>1.0836128945421963</v>
      </c>
      <c r="DI26">
        <v>3847696553.8154564</v>
      </c>
      <c r="DJ26">
        <v>0.57644948840141297</v>
      </c>
      <c r="DK26">
        <v>4.6203658213807737E-2</v>
      </c>
      <c r="DL26">
        <v>90239902232.546402</v>
      </c>
      <c r="DM26">
        <v>0.50439330235123625</v>
      </c>
      <c r="DN26">
        <v>24271100</v>
      </c>
      <c r="DO26">
        <v>0.72056186050176618</v>
      </c>
      <c r="DP26">
        <v>4169413600</v>
      </c>
      <c r="DQ26">
        <v>428131880</v>
      </c>
      <c r="DR26">
        <v>4709</v>
      </c>
      <c r="DS26">
        <v>-0.34114620872132373</v>
      </c>
      <c r="DT26">
        <v>-1.3546252784796775</v>
      </c>
      <c r="DU26" s="25">
        <v>1.4350000000000003</v>
      </c>
      <c r="DV26">
        <v>0.29316666666666674</v>
      </c>
      <c r="DW26">
        <v>1.7281666666666671</v>
      </c>
      <c r="DX26">
        <v>5.6256684491978612</v>
      </c>
      <c r="DY26">
        <v>0.80739977874940161</v>
      </c>
      <c r="DZ26">
        <v>5.0734533375063133</v>
      </c>
      <c r="EA26">
        <v>518</v>
      </c>
      <c r="EB26">
        <v>5.0655822516916116</v>
      </c>
      <c r="EC26">
        <v>5</v>
      </c>
      <c r="ED26">
        <v>2.1562983669837534E-2</v>
      </c>
      <c r="EE26">
        <v>0.18367141658643357</v>
      </c>
      <c r="EF26" s="22">
        <v>1.01041</v>
      </c>
      <c r="EG26">
        <v>1.0731999999999999</v>
      </c>
      <c r="EH26">
        <v>69.117399778749402</v>
      </c>
      <c r="EI26" t="s">
        <v>621</v>
      </c>
      <c r="EJ26">
        <v>1</v>
      </c>
      <c r="EK26">
        <v>1</v>
      </c>
    </row>
    <row r="27" spans="1:141" ht="67.5">
      <c r="A27" s="36"/>
      <c r="B27" s="26"/>
      <c r="C27" s="26"/>
      <c r="D27" s="26" t="s">
        <v>1442</v>
      </c>
      <c r="E27" t="s">
        <v>756</v>
      </c>
      <c r="F27" t="s">
        <v>757</v>
      </c>
      <c r="G27">
        <v>23.13</v>
      </c>
      <c r="H27">
        <v>-4.8499999999999996</v>
      </c>
      <c r="I27" t="s">
        <v>1419</v>
      </c>
      <c r="J27">
        <v>3084000000</v>
      </c>
      <c r="K27">
        <v>29</v>
      </c>
      <c r="L27">
        <v>2.41</v>
      </c>
      <c r="M27" t="s">
        <v>590</v>
      </c>
      <c r="N27" t="s">
        <v>118</v>
      </c>
      <c r="O27" t="s">
        <v>1420</v>
      </c>
      <c r="P27" t="s">
        <v>1421</v>
      </c>
      <c r="Q27">
        <v>14.36</v>
      </c>
      <c r="R27" t="s">
        <v>108</v>
      </c>
      <c r="S27">
        <v>32830832</v>
      </c>
      <c r="T27" s="5">
        <v>-0.30570000000000003</v>
      </c>
      <c r="U27" t="s">
        <v>236</v>
      </c>
      <c r="V27">
        <v>105234138</v>
      </c>
      <c r="W27">
        <v>133333334</v>
      </c>
      <c r="X27">
        <v>1.1200000000000001</v>
      </c>
      <c r="Y27">
        <v>7.0000000000000007E-2</v>
      </c>
      <c r="Z27">
        <v>30.51</v>
      </c>
      <c r="AA27" t="s">
        <v>1422</v>
      </c>
      <c r="AB27" t="s">
        <v>1423</v>
      </c>
      <c r="AC27" t="s">
        <v>1424</v>
      </c>
      <c r="AD27" t="s">
        <v>1425</v>
      </c>
      <c r="AE27" t="s">
        <v>1426</v>
      </c>
      <c r="AF27">
        <v>-1728607</v>
      </c>
      <c r="AG27" t="s">
        <v>828</v>
      </c>
      <c r="AH27">
        <v>1.65</v>
      </c>
      <c r="AI27" t="s">
        <v>1427</v>
      </c>
      <c r="AJ27" t="s">
        <v>44</v>
      </c>
      <c r="AK27" t="s">
        <v>1428</v>
      </c>
      <c r="AL27" t="s">
        <v>7</v>
      </c>
      <c r="AM27" t="s">
        <v>1429</v>
      </c>
      <c r="AN27" t="s">
        <v>64</v>
      </c>
      <c r="AO27" t="s">
        <v>1430</v>
      </c>
      <c r="AP27" t="s">
        <v>7</v>
      </c>
      <c r="AQ27" t="s">
        <v>7</v>
      </c>
      <c r="AR27" t="s">
        <v>1431</v>
      </c>
      <c r="AS27" t="s">
        <v>7</v>
      </c>
      <c r="AT27" t="s">
        <v>1432</v>
      </c>
      <c r="AU27" t="s">
        <v>1433</v>
      </c>
      <c r="AV27" t="s">
        <v>1434</v>
      </c>
      <c r="AW27" t="s">
        <v>1435</v>
      </c>
      <c r="AX27" t="s">
        <v>1436</v>
      </c>
      <c r="AY27" t="s">
        <v>218</v>
      </c>
      <c r="AZ27" t="s">
        <v>75</v>
      </c>
      <c r="BA27" t="s">
        <v>149</v>
      </c>
      <c r="BB27" t="s">
        <v>829</v>
      </c>
      <c r="BC27" t="s">
        <v>7</v>
      </c>
      <c r="BD27" t="s">
        <v>830</v>
      </c>
      <c r="BE27" t="s">
        <v>831</v>
      </c>
      <c r="BF27" t="s">
        <v>832</v>
      </c>
      <c r="BG27" t="s">
        <v>833</v>
      </c>
      <c r="BH27" t="s">
        <v>7</v>
      </c>
      <c r="BI27" t="s">
        <v>834</v>
      </c>
      <c r="BJ27" t="s">
        <v>1437</v>
      </c>
      <c r="BK27" t="s">
        <v>835</v>
      </c>
      <c r="BL27" t="s">
        <v>1438</v>
      </c>
      <c r="BM27" t="s">
        <v>1439</v>
      </c>
      <c r="BN27" t="s">
        <v>836</v>
      </c>
      <c r="BO27">
        <v>2.4500000000000002</v>
      </c>
      <c r="BP27">
        <v>12.09</v>
      </c>
      <c r="BQ27">
        <v>14.17</v>
      </c>
      <c r="BR27">
        <v>13.32</v>
      </c>
      <c r="BS27">
        <v>17.190000000000001</v>
      </c>
      <c r="BT27">
        <v>15.4</v>
      </c>
      <c r="BU27" t="s">
        <v>7</v>
      </c>
      <c r="BV27" t="s">
        <v>960</v>
      </c>
      <c r="BW27">
        <v>82.23</v>
      </c>
      <c r="BX27">
        <v>83.81</v>
      </c>
      <c r="BY27">
        <v>82.88</v>
      </c>
      <c r="BZ27">
        <v>24.42</v>
      </c>
      <c r="CA27">
        <v>47.41</v>
      </c>
      <c r="CB27">
        <v>38.08</v>
      </c>
      <c r="CC27">
        <v>-7.03</v>
      </c>
      <c r="CD27">
        <v>-15.49</v>
      </c>
      <c r="CE27" t="s">
        <v>1440</v>
      </c>
      <c r="CF27" t="s">
        <v>1441</v>
      </c>
      <c r="CG27" s="23">
        <v>7.147211899999803E-2</v>
      </c>
      <c r="CH27" s="24">
        <v>-0.32579968691446309</v>
      </c>
      <c r="CI27" s="23">
        <v>0.28260868787765503</v>
      </c>
      <c r="CJ27" s="23">
        <v>8.875739574432373E-2</v>
      </c>
      <c r="CK27" s="23">
        <v>0.36290323734283447</v>
      </c>
      <c r="CL27" s="23">
        <v>0.35702434182167053</v>
      </c>
      <c r="CM27" s="23" t="e">
        <v>#VALUE!</v>
      </c>
      <c r="CN27" s="24">
        <v>0.36039894819259644</v>
      </c>
      <c r="CO27" s="24">
        <v>0.31215804815292358</v>
      </c>
      <c r="CP27" s="24">
        <v>1.0550218820571899</v>
      </c>
      <c r="CQ27" s="24">
        <v>0.40170830488204956</v>
      </c>
      <c r="CR27" s="24" t="e">
        <v>#VALUE!</v>
      </c>
      <c r="CS27">
        <v>13.067796610169491</v>
      </c>
      <c r="CT27">
        <v>23203737.190082643</v>
      </c>
      <c r="CU27">
        <v>2.3919840000000003</v>
      </c>
      <c r="CV27" s="23">
        <v>0.27282341569662094</v>
      </c>
      <c r="CW27" s="24">
        <v>0.53232179582118988</v>
      </c>
      <c r="CX27">
        <v>0.06</v>
      </c>
      <c r="CY27">
        <v>13.35912071006827</v>
      </c>
      <c r="CZ27">
        <v>145293993.67857653</v>
      </c>
      <c r="DA27">
        <v>0.27282341569662094</v>
      </c>
      <c r="DB27">
        <v>3.7520762050388807</v>
      </c>
      <c r="DC27">
        <v>517313586.91311187</v>
      </c>
      <c r="DD27">
        <v>0.25918224491178987</v>
      </c>
      <c r="DE27">
        <v>1.489714278989877</v>
      </c>
      <c r="DF27">
        <v>1302934413.2460918</v>
      </c>
      <c r="DG27">
        <v>0.24008460581302643</v>
      </c>
      <c r="DH27">
        <v>0.68978559739992307</v>
      </c>
      <c r="DI27">
        <v>2813917842.4664168</v>
      </c>
      <c r="DJ27">
        <v>0.21825873255729678</v>
      </c>
      <c r="DK27">
        <v>0.1901229445468447</v>
      </c>
      <c r="DL27">
        <v>10209183350.417519</v>
      </c>
      <c r="DM27">
        <v>0.19097639098763464</v>
      </c>
      <c r="DN27">
        <v>121000000</v>
      </c>
      <c r="DO27">
        <v>0.27282341569662094</v>
      </c>
      <c r="DP27">
        <v>1941000000</v>
      </c>
      <c r="DQ27">
        <v>1070777040</v>
      </c>
      <c r="DR27">
        <v>4767</v>
      </c>
      <c r="DS27">
        <v>-0.20135129669662291</v>
      </c>
      <c r="DT27">
        <v>-0.85812148273565292</v>
      </c>
      <c r="DU27" s="25">
        <v>0.5</v>
      </c>
      <c r="DV27">
        <v>0.57599999999999985</v>
      </c>
      <c r="DW27">
        <v>1.0759999999999998</v>
      </c>
      <c r="DX27">
        <v>-9.4538411878631372</v>
      </c>
      <c r="DY27">
        <v>0.32999430008922548</v>
      </c>
      <c r="DZ27">
        <v>-9.0771504150824569</v>
      </c>
      <c r="EA27">
        <v>1410</v>
      </c>
      <c r="EB27">
        <v>-9.0546701329443575</v>
      </c>
      <c r="EC27">
        <v>9</v>
      </c>
      <c r="ED27">
        <v>6.3301499683492496E-2</v>
      </c>
      <c r="EE27">
        <v>0.37237424813812875</v>
      </c>
      <c r="EF27" s="22">
        <v>-1.11331</v>
      </c>
      <c r="EG27">
        <v>-2.0118100000000001</v>
      </c>
      <c r="EH27">
        <v>16.169994300089225</v>
      </c>
      <c r="EI27" t="s">
        <v>939</v>
      </c>
      <c r="EJ27">
        <v>0</v>
      </c>
      <c r="EK27">
        <v>1</v>
      </c>
    </row>
  </sheetData>
  <mergeCells count="1">
    <mergeCell ref="A3:A27"/>
  </mergeCells>
  <phoneticPr fontId="1" type="noConversion"/>
  <hyperlinks>
    <hyperlink ref="A3:A27" r:id="rId1" display="医美利基 .docx"/>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5" r:id="rId5" name="Button 1">
              <controlPr defaultSize="0" print="0" autoFill="0" autoPict="0" macro="[0]!'Industry_copy_call_buttom [c2],[d2]'">
                <anchor moveWithCells="1" sizeWithCells="1">
                  <from>
                    <xdr:col>1</xdr:col>
                    <xdr:colOff>252413</xdr:colOff>
                    <xdr:row>1</xdr:row>
                    <xdr:rowOff>138113</xdr:rowOff>
                  </from>
                  <to>
                    <xdr:col>1</xdr:col>
                    <xdr:colOff>1195388</xdr:colOff>
                    <xdr:row>1</xdr:row>
                    <xdr:rowOff>481013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Q21"/>
  <sheetViews>
    <sheetView tabSelected="1" zoomScale="85" zoomScaleNormal="85" workbookViewId="0">
      <pane xSplit="6" ySplit="2" topLeftCell="CF3" activePane="bottomRight" state="frozen"/>
      <selection pane="topRight" activeCell="G1" sqref="G1"/>
      <selection pane="bottomLeft" activeCell="A3" sqref="A3"/>
      <selection pane="bottomRight" activeCell="G3" sqref="G3"/>
    </sheetView>
  </sheetViews>
  <sheetFormatPr defaultRowHeight="13.5"/>
  <cols>
    <col min="1" max="1" width="21.53125" style="29" customWidth="1"/>
    <col min="2" max="2" width="52.796875" customWidth="1"/>
    <col min="3" max="3" width="34.06640625" customWidth="1"/>
    <col min="4" max="4" width="53" customWidth="1"/>
    <col min="5" max="5" width="17.19921875" customWidth="1"/>
    <col min="6" max="6" width="16.796875" customWidth="1"/>
  </cols>
  <sheetData>
    <row r="1" spans="1:147" s="17" customFormat="1">
      <c r="A1" s="18" t="s">
        <v>408</v>
      </c>
      <c r="B1" s="20" t="s">
        <v>35</v>
      </c>
      <c r="C1" s="21" t="s">
        <v>624</v>
      </c>
      <c r="D1" s="20" t="s">
        <v>537</v>
      </c>
      <c r="E1" t="s">
        <v>2</v>
      </c>
      <c r="F1" t="s">
        <v>3</v>
      </c>
      <c r="G1" t="s">
        <v>0</v>
      </c>
      <c r="H1" t="s">
        <v>592</v>
      </c>
      <c r="I1" t="s">
        <v>626</v>
      </c>
      <c r="J1" t="s">
        <v>4</v>
      </c>
      <c r="K1" t="s">
        <v>5</v>
      </c>
      <c r="L1" t="s">
        <v>1</v>
      </c>
      <c r="M1" t="s">
        <v>6</v>
      </c>
      <c r="N1" t="s">
        <v>36</v>
      </c>
      <c r="O1" t="s">
        <v>37</v>
      </c>
      <c r="P1" t="s">
        <v>38</v>
      </c>
      <c r="Q1" t="s">
        <v>627</v>
      </c>
      <c r="R1" t="s">
        <v>593</v>
      </c>
      <c r="S1" t="s">
        <v>628</v>
      </c>
      <c r="T1" t="s">
        <v>39</v>
      </c>
      <c r="U1" t="s">
        <v>594</v>
      </c>
      <c r="V1" t="s">
        <v>595</v>
      </c>
      <c r="W1" t="s">
        <v>40</v>
      </c>
      <c r="X1" t="s">
        <v>538</v>
      </c>
      <c r="Y1" t="s">
        <v>539</v>
      </c>
      <c r="Z1" t="s">
        <v>540</v>
      </c>
      <c r="AA1" t="s">
        <v>541</v>
      </c>
      <c r="AB1" t="s">
        <v>542</v>
      </c>
      <c r="AC1" t="s">
        <v>596</v>
      </c>
      <c r="AD1" t="s">
        <v>543</v>
      </c>
      <c r="AE1" t="s">
        <v>629</v>
      </c>
      <c r="AF1" t="s">
        <v>41</v>
      </c>
      <c r="AG1" t="s">
        <v>42</v>
      </c>
      <c r="AH1" t="s">
        <v>597</v>
      </c>
      <c r="AI1" t="s">
        <v>630</v>
      </c>
      <c r="AJ1" t="s">
        <v>598</v>
      </c>
      <c r="AK1" t="s">
        <v>43</v>
      </c>
      <c r="AL1" t="s">
        <v>599</v>
      </c>
      <c r="AM1" t="s">
        <v>409</v>
      </c>
      <c r="AN1" t="s">
        <v>600</v>
      </c>
      <c r="AO1" t="s">
        <v>601</v>
      </c>
      <c r="AP1" t="s">
        <v>602</v>
      </c>
      <c r="AQ1" t="s">
        <v>603</v>
      </c>
      <c r="AR1" t="s">
        <v>604</v>
      </c>
      <c r="AS1" t="s">
        <v>605</v>
      </c>
      <c r="AT1" t="s">
        <v>606</v>
      </c>
      <c r="AU1" t="s">
        <v>607</v>
      </c>
      <c r="AV1" t="s">
        <v>608</v>
      </c>
      <c r="AW1" t="s">
        <v>609</v>
      </c>
      <c r="AX1" t="s">
        <v>610</v>
      </c>
      <c r="AY1" t="s">
        <v>631</v>
      </c>
      <c r="AZ1" t="s">
        <v>410</v>
      </c>
      <c r="BA1" t="s">
        <v>411</v>
      </c>
      <c r="BB1" t="s">
        <v>412</v>
      </c>
      <c r="BC1" t="s">
        <v>413</v>
      </c>
      <c r="BD1" t="s">
        <v>419</v>
      </c>
      <c r="BE1" t="s">
        <v>414</v>
      </c>
      <c r="BF1" t="s">
        <v>415</v>
      </c>
      <c r="BG1" t="s">
        <v>416</v>
      </c>
      <c r="BH1" t="s">
        <v>417</v>
      </c>
      <c r="BI1" t="s">
        <v>632</v>
      </c>
      <c r="BJ1" t="s">
        <v>611</v>
      </c>
      <c r="BK1" t="s">
        <v>418</v>
      </c>
      <c r="BL1" t="s">
        <v>612</v>
      </c>
      <c r="BM1" t="s">
        <v>613</v>
      </c>
      <c r="BN1" t="s">
        <v>614</v>
      </c>
      <c r="BO1" t="s">
        <v>615</v>
      </c>
      <c r="BP1" t="s">
        <v>420</v>
      </c>
      <c r="BQ1" t="s">
        <v>421</v>
      </c>
      <c r="BR1" t="s">
        <v>422</v>
      </c>
      <c r="BS1" t="s">
        <v>616</v>
      </c>
      <c r="BT1" t="s">
        <v>423</v>
      </c>
      <c r="BU1" t="s">
        <v>424</v>
      </c>
      <c r="BV1" t="s">
        <v>425</v>
      </c>
      <c r="BW1" t="s">
        <v>617</v>
      </c>
      <c r="BX1" t="s">
        <v>426</v>
      </c>
      <c r="BY1" t="s">
        <v>427</v>
      </c>
      <c r="BZ1" t="s">
        <v>618</v>
      </c>
      <c r="CA1" t="s">
        <v>428</v>
      </c>
      <c r="CB1" t="s">
        <v>429</v>
      </c>
      <c r="CC1" t="s">
        <v>633</v>
      </c>
      <c r="CD1" t="s">
        <v>634</v>
      </c>
      <c r="CE1" t="s">
        <v>635</v>
      </c>
      <c r="CF1" t="s">
        <v>636</v>
      </c>
      <c r="CG1" s="1" t="s">
        <v>544</v>
      </c>
      <c r="CH1" s="1" t="s">
        <v>545</v>
      </c>
      <c r="CI1" s="1" t="s">
        <v>546</v>
      </c>
      <c r="CJ1" s="1" t="s">
        <v>547</v>
      </c>
      <c r="CK1" s="1" t="s">
        <v>548</v>
      </c>
      <c r="CL1" s="1" t="s">
        <v>549</v>
      </c>
      <c r="CM1" s="1" t="s">
        <v>550</v>
      </c>
      <c r="CN1" s="1" t="s">
        <v>551</v>
      </c>
      <c r="CO1" s="1" t="s">
        <v>552</v>
      </c>
      <c r="CP1" s="1" t="s">
        <v>553</v>
      </c>
      <c r="CQ1" s="1" t="s">
        <v>554</v>
      </c>
      <c r="CR1" s="1" t="s">
        <v>555</v>
      </c>
      <c r="CS1" s="1" t="s">
        <v>637</v>
      </c>
      <c r="CT1" s="1" t="s">
        <v>638</v>
      </c>
      <c r="CU1" s="1" t="s">
        <v>639</v>
      </c>
      <c r="CV1" s="1" t="s">
        <v>640</v>
      </c>
      <c r="CW1" s="1" t="s">
        <v>556</v>
      </c>
      <c r="CX1" s="1" t="s">
        <v>389</v>
      </c>
      <c r="CY1">
        <v>1</v>
      </c>
      <c r="CZ1" t="s">
        <v>643</v>
      </c>
      <c r="DA1" t="s">
        <v>644</v>
      </c>
      <c r="DB1">
        <v>3</v>
      </c>
      <c r="DC1" t="s">
        <v>645</v>
      </c>
      <c r="DD1" t="s">
        <v>646</v>
      </c>
      <c r="DE1">
        <v>6</v>
      </c>
      <c r="DF1" t="s">
        <v>647</v>
      </c>
      <c r="DG1" t="s">
        <v>648</v>
      </c>
      <c r="DH1">
        <v>10</v>
      </c>
      <c r="DI1" t="s">
        <v>649</v>
      </c>
      <c r="DJ1" t="s">
        <v>583</v>
      </c>
      <c r="DK1">
        <v>20</v>
      </c>
      <c r="DL1" t="s">
        <v>558</v>
      </c>
      <c r="DM1" t="s">
        <v>559</v>
      </c>
      <c r="DN1" t="s">
        <v>560</v>
      </c>
      <c r="DO1" s="2" t="s">
        <v>561</v>
      </c>
      <c r="DP1" t="s">
        <v>652</v>
      </c>
      <c r="DQ1" t="s">
        <v>653</v>
      </c>
      <c r="DR1" s="1" t="s">
        <v>654</v>
      </c>
      <c r="DS1" s="1" t="s">
        <v>655</v>
      </c>
      <c r="DT1" s="1" t="s">
        <v>656</v>
      </c>
      <c r="DU1" t="s">
        <v>657</v>
      </c>
      <c r="DV1" t="s">
        <v>658</v>
      </c>
      <c r="DW1" t="s">
        <v>659</v>
      </c>
      <c r="DX1" t="s">
        <v>660</v>
      </c>
      <c r="DY1" t="s">
        <v>661</v>
      </c>
      <c r="DZ1" t="s">
        <v>662</v>
      </c>
      <c r="EA1" t="s">
        <v>663</v>
      </c>
      <c r="EB1" t="s">
        <v>664</v>
      </c>
      <c r="EC1" t="s">
        <v>665</v>
      </c>
      <c r="ED1" t="s">
        <v>666</v>
      </c>
      <c r="EE1" t="s">
        <v>667</v>
      </c>
      <c r="EF1" t="s">
        <v>668</v>
      </c>
      <c r="EG1" t="s">
        <v>669</v>
      </c>
      <c r="EH1" t="s">
        <v>670</v>
      </c>
      <c r="EI1" t="s">
        <v>671</v>
      </c>
      <c r="EJ1" t="s">
        <v>672</v>
      </c>
      <c r="EK1"/>
    </row>
    <row r="2" spans="1:147" s="17" customFormat="1" ht="50.55" customHeight="1">
      <c r="A2" s="30" t="s">
        <v>837</v>
      </c>
      <c r="B2" s="27"/>
      <c r="C2" s="27">
        <v>3</v>
      </c>
      <c r="D2" s="27">
        <v>21</v>
      </c>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s="1"/>
      <c r="CH2" s="1"/>
      <c r="CI2" s="1"/>
      <c r="CJ2" s="1"/>
      <c r="CK2" s="1"/>
      <c r="CL2" s="1"/>
      <c r="CM2" s="1"/>
      <c r="CN2" s="1"/>
      <c r="CO2" s="1"/>
      <c r="CP2" s="1"/>
      <c r="CQ2" s="1"/>
      <c r="CR2" s="1"/>
      <c r="CS2" s="1"/>
      <c r="CT2" s="1"/>
      <c r="CU2" s="1"/>
      <c r="CV2" s="1"/>
      <c r="CW2" s="1"/>
      <c r="CX2" s="1"/>
      <c r="CY2"/>
      <c r="CZ2"/>
      <c r="DA2"/>
      <c r="DB2"/>
      <c r="DC2"/>
      <c r="DD2"/>
      <c r="DE2"/>
      <c r="DF2"/>
      <c r="DG2"/>
      <c r="DH2"/>
      <c r="DI2"/>
      <c r="DJ2"/>
      <c r="DK2"/>
      <c r="DL2"/>
      <c r="DM2"/>
      <c r="DN2"/>
      <c r="DO2" s="2"/>
      <c r="DP2"/>
      <c r="DQ2"/>
      <c r="DR2" s="1"/>
      <c r="DS2" s="1"/>
      <c r="DT2" s="1"/>
      <c r="DU2"/>
      <c r="DV2"/>
      <c r="DW2"/>
      <c r="DX2"/>
      <c r="DY2"/>
      <c r="DZ2"/>
      <c r="EA2"/>
      <c r="EB2"/>
      <c r="EC2"/>
      <c r="ED2"/>
      <c r="EE2"/>
      <c r="EF2"/>
      <c r="EG2"/>
      <c r="EH2"/>
      <c r="EI2"/>
      <c r="EJ2"/>
      <c r="EK2"/>
    </row>
    <row r="3" spans="1:147" ht="146.25">
      <c r="A3" s="29" t="s">
        <v>2304</v>
      </c>
      <c r="B3" s="26" t="s">
        <v>2311</v>
      </c>
      <c r="C3" s="26"/>
      <c r="D3" s="26" t="s">
        <v>2344</v>
      </c>
      <c r="E3" t="s">
        <v>2258</v>
      </c>
      <c r="F3" t="s">
        <v>2259</v>
      </c>
      <c r="G3">
        <v>58.2</v>
      </c>
      <c r="H3">
        <v>1.32</v>
      </c>
      <c r="I3" t="s">
        <v>2260</v>
      </c>
      <c r="J3">
        <v>24190110000</v>
      </c>
      <c r="L3">
        <v>2.91</v>
      </c>
      <c r="M3" t="s">
        <v>590</v>
      </c>
      <c r="N3" t="s">
        <v>2312</v>
      </c>
      <c r="O3" t="s">
        <v>2313</v>
      </c>
      <c r="P3" t="s">
        <v>61</v>
      </c>
      <c r="Q3">
        <v>-31.19</v>
      </c>
      <c r="R3" t="s">
        <v>2314</v>
      </c>
      <c r="S3">
        <v>-200985600</v>
      </c>
      <c r="T3">
        <v>-0.34150000000000003</v>
      </c>
      <c r="U3" t="s">
        <v>2315</v>
      </c>
      <c r="V3">
        <v>212668240</v>
      </c>
      <c r="W3">
        <v>415637620</v>
      </c>
      <c r="X3">
        <v>1.22</v>
      </c>
      <c r="Y3">
        <v>0.27</v>
      </c>
      <c r="Z3">
        <v>-20.86</v>
      </c>
      <c r="AA3" t="s">
        <v>2316</v>
      </c>
      <c r="AB3" t="s">
        <v>2317</v>
      </c>
      <c r="AC3" t="s">
        <v>2318</v>
      </c>
      <c r="AD3" t="s">
        <v>2075</v>
      </c>
      <c r="AE3" t="s">
        <v>1448</v>
      </c>
      <c r="AF3">
        <v>7703403</v>
      </c>
      <c r="AG3" t="s">
        <v>2319</v>
      </c>
      <c r="AH3" t="s">
        <v>2320</v>
      </c>
      <c r="AI3" t="s">
        <v>2321</v>
      </c>
      <c r="AJ3" t="s">
        <v>2322</v>
      </c>
      <c r="AK3" t="s">
        <v>2323</v>
      </c>
      <c r="AL3" t="s">
        <v>7</v>
      </c>
      <c r="AM3" t="s">
        <v>2324</v>
      </c>
      <c r="AN3" t="s">
        <v>7</v>
      </c>
      <c r="AO3" t="s">
        <v>92</v>
      </c>
      <c r="AP3" t="s">
        <v>102</v>
      </c>
      <c r="AQ3" t="s">
        <v>2325</v>
      </c>
      <c r="AR3" t="s">
        <v>252</v>
      </c>
      <c r="AS3" t="s">
        <v>7</v>
      </c>
      <c r="AT3" t="s">
        <v>2326</v>
      </c>
      <c r="AU3" t="s">
        <v>529</v>
      </c>
      <c r="AV3" t="s">
        <v>2327</v>
      </c>
      <c r="AW3" t="s">
        <v>2328</v>
      </c>
      <c r="AX3" t="s">
        <v>2329</v>
      </c>
      <c r="AY3" t="s">
        <v>2330</v>
      </c>
      <c r="AZ3" t="s">
        <v>2331</v>
      </c>
      <c r="BA3" t="s">
        <v>2332</v>
      </c>
      <c r="BB3" t="s">
        <v>2333</v>
      </c>
      <c r="BC3" t="s">
        <v>2334</v>
      </c>
      <c r="BD3" t="s">
        <v>2335</v>
      </c>
      <c r="BE3" t="s">
        <v>931</v>
      </c>
      <c r="BF3" t="s">
        <v>318</v>
      </c>
      <c r="BG3" t="s">
        <v>2336</v>
      </c>
      <c r="BH3" t="s">
        <v>2337</v>
      </c>
      <c r="BI3" t="s">
        <v>2314</v>
      </c>
      <c r="BJ3" t="s">
        <v>2338</v>
      </c>
      <c r="BK3" t="s">
        <v>2330</v>
      </c>
      <c r="BL3" t="s">
        <v>2315</v>
      </c>
      <c r="BM3" t="s">
        <v>2339</v>
      </c>
      <c r="BN3" t="s">
        <v>2335</v>
      </c>
      <c r="BO3" t="s">
        <v>7</v>
      </c>
      <c r="BP3">
        <v>28.96</v>
      </c>
      <c r="BQ3">
        <v>11.26</v>
      </c>
      <c r="BR3">
        <v>-1.04</v>
      </c>
      <c r="BS3">
        <v>33.33</v>
      </c>
      <c r="BT3">
        <v>12.78</v>
      </c>
      <c r="BU3" t="s">
        <v>2106</v>
      </c>
      <c r="BV3" t="s">
        <v>2340</v>
      </c>
      <c r="BW3">
        <v>59.75</v>
      </c>
      <c r="BX3">
        <v>53.58</v>
      </c>
      <c r="BY3">
        <v>66.44</v>
      </c>
      <c r="BZ3">
        <v>-8.94</v>
      </c>
      <c r="CA3">
        <v>47.82</v>
      </c>
      <c r="CB3">
        <v>12.11</v>
      </c>
      <c r="CC3">
        <v>8.66</v>
      </c>
      <c r="CD3">
        <v>-14.94</v>
      </c>
      <c r="CE3" t="s">
        <v>2341</v>
      </c>
      <c r="CF3" t="s">
        <v>2342</v>
      </c>
      <c r="CG3" s="23">
        <v>-0.14216478190630058</v>
      </c>
      <c r="CH3" s="24">
        <v>-0.33990399999999998</v>
      </c>
      <c r="CI3" s="23">
        <v>-0.31198298931121826</v>
      </c>
      <c r="CJ3" s="23">
        <v>7.6864376664161682E-2</v>
      </c>
      <c r="CK3" s="23">
        <v>0.41330933570861816</v>
      </c>
      <c r="CL3" s="23">
        <v>1.5481208562850952</v>
      </c>
      <c r="CM3" s="23">
        <v>-5.4693459533154964E-3</v>
      </c>
      <c r="CN3" s="24">
        <v>-1.299605131149292</v>
      </c>
      <c r="CO3" s="24">
        <v>3.1859505176544189</v>
      </c>
      <c r="CP3" s="24">
        <v>0.85440611839294434</v>
      </c>
      <c r="CQ3" s="24">
        <v>2.0696721076965332</v>
      </c>
      <c r="CR3" s="24">
        <v>-2.9519999027252197</v>
      </c>
      <c r="CS3">
        <v>70.97342787286064</v>
      </c>
      <c r="CT3">
        <v>2.062171258224748</v>
      </c>
      <c r="CU3">
        <v>0</v>
      </c>
      <c r="CV3" s="23">
        <v>0.34416844667866825</v>
      </c>
      <c r="CW3" s="24">
        <v>0.37168474197387696</v>
      </c>
      <c r="CX3">
        <v>0.06</v>
      </c>
      <c r="CY3" t="e">
        <v>#VALUE!</v>
      </c>
      <c r="CZ3" t="s">
        <v>718</v>
      </c>
      <c r="DA3">
        <v>0.34416844667866825</v>
      </c>
      <c r="DB3" t="e">
        <v>#VALUE!</v>
      </c>
      <c r="DC3" t="s">
        <v>719</v>
      </c>
      <c r="DD3">
        <v>0.32696002434473481</v>
      </c>
      <c r="DE3" t="e">
        <v>#VALUE!</v>
      </c>
      <c r="DF3" t="s">
        <v>719</v>
      </c>
      <c r="DG3">
        <v>0.30286823307722804</v>
      </c>
      <c r="DH3" t="e">
        <v>#VALUE!</v>
      </c>
      <c r="DI3" t="s">
        <v>719</v>
      </c>
      <c r="DJ3">
        <v>0.27533475734293461</v>
      </c>
      <c r="DK3" t="e">
        <v>#VALUE!</v>
      </c>
      <c r="DL3" t="s">
        <v>719</v>
      </c>
      <c r="DM3">
        <v>0.24091791267506776</v>
      </c>
      <c r="DN3">
        <v>-607000000</v>
      </c>
      <c r="DO3">
        <v>0.34416844667866825</v>
      </c>
      <c r="DP3">
        <v>17399110000</v>
      </c>
      <c r="DQ3">
        <v>4966425000</v>
      </c>
      <c r="DR3">
        <v>4649</v>
      </c>
      <c r="DS3">
        <v>-0.48633322858496886</v>
      </c>
      <c r="DT3">
        <v>-0.71158874197387689</v>
      </c>
      <c r="DU3" s="25">
        <v>-0.24</v>
      </c>
      <c r="DV3">
        <v>-1.1091666666666669</v>
      </c>
      <c r="DW3">
        <v>-1.3491666666666668</v>
      </c>
      <c r="DX3">
        <v>7.3669491525423725</v>
      </c>
      <c r="DY3">
        <v>0.51460011138061335</v>
      </c>
      <c r="DZ3">
        <v>7.0897558035828858</v>
      </c>
      <c r="EA3">
        <v>3904</v>
      </c>
      <c r="EB3">
        <v>7.0212768789810518</v>
      </c>
      <c r="EC3">
        <v>7</v>
      </c>
      <c r="ED3">
        <v>2.5572757345689739E-2</v>
      </c>
      <c r="EE3">
        <v>0.10454924652874299</v>
      </c>
      <c r="EF3" s="22">
        <v>-4.0095999999999998</v>
      </c>
      <c r="EG3">
        <v>-4.0228000000000002</v>
      </c>
      <c r="EH3">
        <v>27.244600111380613</v>
      </c>
      <c r="EI3" t="s">
        <v>2343</v>
      </c>
      <c r="EJ3">
        <v>1</v>
      </c>
      <c r="EK3">
        <v>0</v>
      </c>
      <c r="EL3" s="31">
        <v>45412</v>
      </c>
      <c r="EM3" s="32">
        <v>0.75</v>
      </c>
      <c r="EN3" s="32">
        <v>-1.2</v>
      </c>
      <c r="EO3" s="32">
        <v>-1.71</v>
      </c>
      <c r="EP3" s="32">
        <v>9.6199999999999992</v>
      </c>
      <c r="EQ3" s="32">
        <v>1.32</v>
      </c>
    </row>
    <row r="4" spans="1:147" ht="78.75">
      <c r="A4" s="37" t="s">
        <v>2305</v>
      </c>
      <c r="D4" s="4" t="s">
        <v>2375</v>
      </c>
      <c r="E4" t="s">
        <v>2261</v>
      </c>
      <c r="F4" t="s">
        <v>2262</v>
      </c>
      <c r="G4">
        <v>13.66</v>
      </c>
      <c r="H4">
        <v>9.98</v>
      </c>
      <c r="I4" t="s">
        <v>2263</v>
      </c>
      <c r="J4">
        <v>2194888800</v>
      </c>
      <c r="K4">
        <v>82.84</v>
      </c>
      <c r="L4">
        <v>2.56</v>
      </c>
      <c r="M4" t="s">
        <v>2264</v>
      </c>
      <c r="N4" t="s">
        <v>137</v>
      </c>
      <c r="O4" t="s">
        <v>441</v>
      </c>
      <c r="P4" t="s">
        <v>2345</v>
      </c>
      <c r="Q4">
        <v>-16.02</v>
      </c>
      <c r="R4" t="s">
        <v>2346</v>
      </c>
      <c r="S4">
        <v>-3688242</v>
      </c>
      <c r="T4">
        <v>-1.1990000000000001</v>
      </c>
      <c r="U4" t="s">
        <v>2347</v>
      </c>
      <c r="V4">
        <v>55680000</v>
      </c>
      <c r="W4">
        <v>160680000</v>
      </c>
      <c r="X4">
        <v>1.22</v>
      </c>
      <c r="Y4">
        <v>1.61</v>
      </c>
      <c r="Z4">
        <v>3.39</v>
      </c>
      <c r="AA4" t="s">
        <v>2348</v>
      </c>
      <c r="AB4" t="s">
        <v>2349</v>
      </c>
      <c r="AC4" t="s">
        <v>2350</v>
      </c>
      <c r="AD4" t="s">
        <v>2351</v>
      </c>
      <c r="AE4" t="s">
        <v>2352</v>
      </c>
      <c r="AF4">
        <v>-1154627</v>
      </c>
      <c r="AG4" t="s">
        <v>63</v>
      </c>
      <c r="AH4" t="s">
        <v>2353</v>
      </c>
      <c r="AI4" t="s">
        <v>2354</v>
      </c>
      <c r="AJ4" t="s">
        <v>313</v>
      </c>
      <c r="AK4" t="s">
        <v>2355</v>
      </c>
      <c r="AL4" t="s">
        <v>7</v>
      </c>
      <c r="AM4" t="s">
        <v>2356</v>
      </c>
      <c r="AN4" t="s">
        <v>7</v>
      </c>
      <c r="AO4" t="s">
        <v>60</v>
      </c>
      <c r="AP4" t="s">
        <v>7</v>
      </c>
      <c r="AQ4" t="s">
        <v>2357</v>
      </c>
      <c r="AR4" t="s">
        <v>2358</v>
      </c>
      <c r="AS4" t="s">
        <v>7</v>
      </c>
      <c r="AT4" t="s">
        <v>236</v>
      </c>
      <c r="AU4" t="s">
        <v>2359</v>
      </c>
      <c r="AV4" t="s">
        <v>2360</v>
      </c>
      <c r="AW4" t="s">
        <v>1342</v>
      </c>
      <c r="AX4" t="s">
        <v>1486</v>
      </c>
      <c r="AY4" t="s">
        <v>2361</v>
      </c>
      <c r="AZ4" t="s">
        <v>2362</v>
      </c>
      <c r="BA4" t="s">
        <v>2363</v>
      </c>
      <c r="BB4" t="s">
        <v>2364</v>
      </c>
      <c r="BC4" t="s">
        <v>2365</v>
      </c>
      <c r="BD4" t="s">
        <v>2366</v>
      </c>
      <c r="BE4" t="s">
        <v>2367</v>
      </c>
      <c r="BF4" t="s">
        <v>2368</v>
      </c>
      <c r="BG4" t="s">
        <v>2369</v>
      </c>
      <c r="BH4" t="s">
        <v>2370</v>
      </c>
      <c r="BI4" t="s">
        <v>2346</v>
      </c>
      <c r="BJ4" t="s">
        <v>349</v>
      </c>
      <c r="BK4" t="s">
        <v>2361</v>
      </c>
      <c r="BL4" t="s">
        <v>2347</v>
      </c>
      <c r="BM4" t="s">
        <v>2371</v>
      </c>
      <c r="BN4" t="s">
        <v>2366</v>
      </c>
      <c r="BO4">
        <v>2.95</v>
      </c>
      <c r="BP4">
        <v>14.34</v>
      </c>
      <c r="BQ4">
        <v>20.3</v>
      </c>
      <c r="BR4">
        <v>3.36</v>
      </c>
      <c r="BS4">
        <v>16</v>
      </c>
      <c r="BT4" t="s">
        <v>7</v>
      </c>
      <c r="BU4" t="s">
        <v>2372</v>
      </c>
      <c r="BV4" t="s">
        <v>2373</v>
      </c>
      <c r="BW4">
        <v>13.97</v>
      </c>
      <c r="BX4">
        <v>12.91</v>
      </c>
      <c r="BY4">
        <v>15.69</v>
      </c>
      <c r="BZ4">
        <v>3.08</v>
      </c>
      <c r="CA4">
        <v>4.5199999999999996</v>
      </c>
      <c r="CB4">
        <v>5.08</v>
      </c>
      <c r="CC4">
        <v>21.53</v>
      </c>
      <c r="CD4" s="23">
        <v>15.37</v>
      </c>
      <c r="CE4" s="24" t="s">
        <v>2374</v>
      </c>
      <c r="CF4" s="23" t="s">
        <v>933</v>
      </c>
      <c r="CG4" s="23">
        <v>-0.38363171355498721</v>
      </c>
      <c r="CH4" s="23">
        <v>-1.1991082823178829</v>
      </c>
      <c r="CI4" s="23">
        <v>-0.15974250435829163</v>
      </c>
      <c r="CJ4" s="23">
        <v>-3.5008542239665985E-2</v>
      </c>
      <c r="CK4" s="24">
        <v>0.17284771800041199</v>
      </c>
      <c r="CL4" s="24">
        <v>0.47173488140106201</v>
      </c>
      <c r="CM4" s="24">
        <v>-0.17324733734130859</v>
      </c>
      <c r="CN4" s="24">
        <v>-0.36901366710662842</v>
      </c>
      <c r="CO4" s="24">
        <v>-0.14187806844711304</v>
      </c>
      <c r="CP4">
        <v>-2.2217024117708206E-2</v>
      </c>
      <c r="CQ4">
        <v>0.557289719581604</v>
      </c>
      <c r="CR4">
        <v>1.0936328172683716</v>
      </c>
      <c r="CS4" s="23">
        <v>33.32830422463352</v>
      </c>
      <c r="CT4" s="24">
        <v>6.0249830542458174</v>
      </c>
      <c r="CU4">
        <v>0.87847730600292817</v>
      </c>
      <c r="CV4">
        <v>5.5316843092441559E-2</v>
      </c>
      <c r="CW4">
        <v>0.2235627554357052</v>
      </c>
      <c r="CX4">
        <v>0.06</v>
      </c>
      <c r="CY4">
        <v>31.364215289768538</v>
      </c>
      <c r="CZ4">
        <v>48491211.590941221</v>
      </c>
      <c r="DA4">
        <v>5.5316843092441559E-2</v>
      </c>
      <c r="DB4">
        <v>10.556219441764609</v>
      </c>
      <c r="DC4">
        <v>144075140.57378894</v>
      </c>
      <c r="DD4">
        <v>5.2551000937819475E-2</v>
      </c>
      <c r="DE4">
        <v>5.4026762660432812</v>
      </c>
      <c r="DF4">
        <v>281506558.06623822</v>
      </c>
      <c r="DG4">
        <v>4.8678821921348571E-2</v>
      </c>
      <c r="DH4">
        <v>3.3873483918196787</v>
      </c>
      <c r="DI4">
        <v>448990958.14085442</v>
      </c>
      <c r="DJ4">
        <v>4.4253474473953253E-2</v>
      </c>
      <c r="DK4">
        <v>1.9186075147673445</v>
      </c>
      <c r="DL4">
        <v>792704494.42830789</v>
      </c>
      <c r="DM4">
        <v>3.8721790164709086E-2</v>
      </c>
      <c r="DN4">
        <v>48706400</v>
      </c>
      <c r="DO4">
        <v>5.5316843092441559E-2</v>
      </c>
      <c r="DP4">
        <v>1520888800</v>
      </c>
      <c r="DQ4">
        <v>388392520</v>
      </c>
      <c r="DR4" s="25">
        <v>509</v>
      </c>
      <c r="DS4">
        <v>-0.43894855664742877</v>
      </c>
      <c r="DT4">
        <v>-1.4226710377535881</v>
      </c>
      <c r="DU4">
        <v>-0.45666666666666672</v>
      </c>
      <c r="DV4">
        <v>-0.74833333333333341</v>
      </c>
      <c r="DW4">
        <v>-1.2050000000000001</v>
      </c>
      <c r="DX4">
        <v>5.7138875986994888</v>
      </c>
      <c r="DY4">
        <v>0.61979545454545359</v>
      </c>
      <c r="DZ4">
        <v>5.0855204893805688</v>
      </c>
      <c r="EA4">
        <v>3771</v>
      </c>
      <c r="EB4">
        <v>5.0224957159871497</v>
      </c>
      <c r="EC4" s="22">
        <v>5</v>
      </c>
      <c r="ED4" s="22">
        <v>0.13121732636295744</v>
      </c>
      <c r="EE4">
        <v>1.0953447846651729</v>
      </c>
      <c r="EF4">
        <v>3.4000000000000141E-3</v>
      </c>
      <c r="EG4">
        <v>0.1032</v>
      </c>
      <c r="EH4">
        <v>50.119795454545454</v>
      </c>
      <c r="EI4" s="31" t="s">
        <v>619</v>
      </c>
      <c r="EJ4" s="32">
        <v>1</v>
      </c>
      <c r="EK4" s="32">
        <v>0</v>
      </c>
      <c r="EL4" s="32">
        <v>45412</v>
      </c>
      <c r="EM4" s="32">
        <v>1.69</v>
      </c>
      <c r="EN4" s="32">
        <v>0.61</v>
      </c>
      <c r="EO4" s="32">
        <v>1.1299999999999999</v>
      </c>
      <c r="EP4" s="32">
        <v>6.79</v>
      </c>
      <c r="EQ4" s="32">
        <v>9.98</v>
      </c>
    </row>
    <row r="5" spans="1:147" ht="78.75">
      <c r="A5" s="37"/>
      <c r="B5" s="4"/>
      <c r="C5" s="4"/>
      <c r="D5" s="4" t="s">
        <v>2403</v>
      </c>
      <c r="E5" t="s">
        <v>2265</v>
      </c>
      <c r="F5" t="s">
        <v>2266</v>
      </c>
      <c r="G5">
        <v>13.87</v>
      </c>
      <c r="H5">
        <v>9.99</v>
      </c>
      <c r="I5" t="s">
        <v>2267</v>
      </c>
      <c r="J5">
        <v>3509510400</v>
      </c>
      <c r="K5">
        <v>42.35</v>
      </c>
      <c r="L5">
        <v>2.04</v>
      </c>
      <c r="M5" t="s">
        <v>838</v>
      </c>
      <c r="N5" t="s">
        <v>2376</v>
      </c>
      <c r="O5" t="s">
        <v>2377</v>
      </c>
      <c r="P5" t="s">
        <v>59</v>
      </c>
      <c r="Q5">
        <v>3.07</v>
      </c>
      <c r="R5" t="s">
        <v>2378</v>
      </c>
      <c r="S5">
        <v>12722944</v>
      </c>
      <c r="T5" s="5">
        <v>0.20449999999999999</v>
      </c>
      <c r="U5" t="s">
        <v>2379</v>
      </c>
      <c r="V5">
        <v>253028870</v>
      </c>
      <c r="W5">
        <v>253028870</v>
      </c>
      <c r="X5">
        <v>1.66</v>
      </c>
      <c r="Y5">
        <v>0.43</v>
      </c>
      <c r="Z5">
        <v>8.58</v>
      </c>
      <c r="AA5" t="s">
        <v>2380</v>
      </c>
      <c r="AB5" t="s">
        <v>2381</v>
      </c>
      <c r="AC5" t="s">
        <v>112</v>
      </c>
      <c r="AD5" t="s">
        <v>2337</v>
      </c>
      <c r="AE5" t="s">
        <v>129</v>
      </c>
      <c r="AF5">
        <v>5005870</v>
      </c>
      <c r="AG5" t="s">
        <v>2382</v>
      </c>
      <c r="AH5" t="s">
        <v>2383</v>
      </c>
      <c r="AI5" t="s">
        <v>2384</v>
      </c>
      <c r="AJ5" t="s">
        <v>272</v>
      </c>
      <c r="AK5" t="s">
        <v>2385</v>
      </c>
      <c r="AL5" t="s">
        <v>2386</v>
      </c>
      <c r="AM5" t="s">
        <v>2387</v>
      </c>
      <c r="AN5" t="s">
        <v>7</v>
      </c>
      <c r="AO5" t="s">
        <v>2388</v>
      </c>
      <c r="AP5" t="s">
        <v>2389</v>
      </c>
      <c r="AQ5" t="s">
        <v>2390</v>
      </c>
      <c r="AR5" t="s">
        <v>1215</v>
      </c>
      <c r="AS5" t="s">
        <v>7</v>
      </c>
      <c r="AT5" t="s">
        <v>2391</v>
      </c>
      <c r="AU5" t="s">
        <v>2392</v>
      </c>
      <c r="AV5" t="s">
        <v>153</v>
      </c>
      <c r="AW5" t="s">
        <v>2393</v>
      </c>
      <c r="AX5" t="s">
        <v>244</v>
      </c>
      <c r="AY5" t="s">
        <v>2394</v>
      </c>
      <c r="AZ5" t="s">
        <v>2395</v>
      </c>
      <c r="BA5" t="s">
        <v>2396</v>
      </c>
      <c r="BB5" t="s">
        <v>571</v>
      </c>
      <c r="BC5" t="s">
        <v>2397</v>
      </c>
      <c r="BD5" t="s">
        <v>2398</v>
      </c>
      <c r="BE5" t="s">
        <v>128</v>
      </c>
      <c r="BF5" t="s">
        <v>46</v>
      </c>
      <c r="BG5" t="s">
        <v>2399</v>
      </c>
      <c r="BH5" t="s">
        <v>2400</v>
      </c>
      <c r="BI5" t="s">
        <v>2378</v>
      </c>
      <c r="BJ5" t="s">
        <v>117</v>
      </c>
      <c r="BK5" t="s">
        <v>2394</v>
      </c>
      <c r="BL5" t="s">
        <v>2379</v>
      </c>
      <c r="BM5" t="s">
        <v>2401</v>
      </c>
      <c r="BN5" t="s">
        <v>2398</v>
      </c>
      <c r="BO5">
        <v>1.74</v>
      </c>
      <c r="BP5">
        <v>4.3499999999999996</v>
      </c>
      <c r="BQ5">
        <v>9.7200000000000006</v>
      </c>
      <c r="BR5">
        <v>1.91</v>
      </c>
      <c r="BS5">
        <v>4.3</v>
      </c>
      <c r="BT5">
        <v>9.42</v>
      </c>
      <c r="BU5" t="s">
        <v>2006</v>
      </c>
      <c r="BV5" t="s">
        <v>844</v>
      </c>
      <c r="BW5">
        <v>44.34</v>
      </c>
      <c r="BX5">
        <v>43.23</v>
      </c>
      <c r="BY5">
        <v>46.26</v>
      </c>
      <c r="BZ5">
        <v>7.64</v>
      </c>
      <c r="CA5">
        <v>7.34</v>
      </c>
      <c r="CB5">
        <v>13.04</v>
      </c>
      <c r="CC5">
        <v>36.92</v>
      </c>
      <c r="CD5">
        <v>31.34</v>
      </c>
      <c r="CE5" t="s">
        <v>2402</v>
      </c>
      <c r="CF5" t="s">
        <v>213</v>
      </c>
      <c r="CG5" s="23">
        <v>0.23175965665236051</v>
      </c>
      <c r="CH5" s="24">
        <v>0.20450486613397964</v>
      </c>
      <c r="CI5" s="23">
        <v>3.0954426154494286E-2</v>
      </c>
      <c r="CJ5" s="23">
        <v>1.0425716638565063E-2</v>
      </c>
      <c r="CK5" s="23">
        <v>0.19895839691162109</v>
      </c>
      <c r="CL5" s="23">
        <v>0.13341204822063446</v>
      </c>
      <c r="CM5" s="23">
        <v>4.0540538728237152E-2</v>
      </c>
      <c r="CN5" s="24">
        <v>0.15556393563747406</v>
      </c>
      <c r="CO5" s="24">
        <v>-0.4748721718788147</v>
      </c>
      <c r="CP5" s="24">
        <v>0.22018349170684814</v>
      </c>
      <c r="CQ5" s="24">
        <v>0.40187704563140869</v>
      </c>
      <c r="CR5" s="24">
        <v>-6.7542210221290588E-2</v>
      </c>
      <c r="CS5">
        <v>38.030645128373138</v>
      </c>
      <c r="CT5">
        <v>4.5898454832434767</v>
      </c>
      <c r="CU5">
        <v>0.72098053352559488</v>
      </c>
      <c r="CV5" s="23">
        <v>8.2858225330710411E-2</v>
      </c>
      <c r="CW5" s="24">
        <v>4.7042018175125121E-2</v>
      </c>
      <c r="CX5">
        <v>0.06</v>
      </c>
      <c r="CY5">
        <v>35.095274776964857</v>
      </c>
      <c r="CZ5">
        <v>82447292.930135012</v>
      </c>
      <c r="DA5">
        <v>8.2858225330710411E-2</v>
      </c>
      <c r="DB5">
        <v>11.538432827083511</v>
      </c>
      <c r="DC5">
        <v>250771525.33299205</v>
      </c>
      <c r="DD5">
        <v>7.8715314064174882E-2</v>
      </c>
      <c r="DE5">
        <v>5.7261382132956644</v>
      </c>
      <c r="DF5">
        <v>505316199.54291105</v>
      </c>
      <c r="DG5">
        <v>7.2915238291025156E-2</v>
      </c>
      <c r="DH5">
        <v>3.4699827260092939</v>
      </c>
      <c r="DI5">
        <v>833868819.66635191</v>
      </c>
      <c r="DJ5">
        <v>6.6286580264568337E-2</v>
      </c>
      <c r="DK5">
        <v>1.8283842100268883</v>
      </c>
      <c r="DL5">
        <v>1582550529.659982</v>
      </c>
      <c r="DM5">
        <v>5.8000757731497286E-2</v>
      </c>
      <c r="DN5">
        <v>80706900</v>
      </c>
      <c r="DO5">
        <v>8.2858225330710411E-2</v>
      </c>
      <c r="DP5">
        <v>2893510400</v>
      </c>
      <c r="DQ5">
        <v>21221370</v>
      </c>
      <c r="DR5">
        <v>4299</v>
      </c>
      <c r="DS5">
        <v>0.1489014313216501</v>
      </c>
      <c r="DT5">
        <v>0.15746284795885451</v>
      </c>
      <c r="DU5" s="25">
        <v>-0.3066666666666667</v>
      </c>
      <c r="DV5">
        <v>0.26666666666666666</v>
      </c>
      <c r="DW5">
        <v>-4.0000000000000036E-2</v>
      </c>
      <c r="DX5">
        <v>5.8488624052004337</v>
      </c>
      <c r="DY5">
        <v>0.26361599999999885</v>
      </c>
      <c r="DZ5">
        <v>5.0879557269772482</v>
      </c>
      <c r="EA5">
        <v>1815</v>
      </c>
      <c r="EB5">
        <v>5.0567578288995261</v>
      </c>
      <c r="EC5">
        <v>5</v>
      </c>
      <c r="ED5">
        <v>7.1662968735543897E-2</v>
      </c>
      <c r="EE5">
        <v>0.69162068344217009</v>
      </c>
      <c r="EF5" s="22">
        <v>-1.0783</v>
      </c>
      <c r="EG5">
        <v>2.8200000000000003E-2</v>
      </c>
      <c r="EH5">
        <v>16.103615999999999</v>
      </c>
      <c r="EI5" t="s">
        <v>619</v>
      </c>
      <c r="EJ5">
        <v>1</v>
      </c>
      <c r="EK5">
        <v>0</v>
      </c>
      <c r="EL5" s="31">
        <v>45412</v>
      </c>
      <c r="EM5">
        <v>0.39</v>
      </c>
      <c r="EN5">
        <v>2.46</v>
      </c>
      <c r="EO5">
        <v>9.98</v>
      </c>
      <c r="EP5">
        <v>10.029999999999999</v>
      </c>
      <c r="EQ5">
        <v>9.99</v>
      </c>
    </row>
    <row r="6" spans="1:147" ht="78.75">
      <c r="A6" s="37" t="s">
        <v>2306</v>
      </c>
      <c r="B6" s="4"/>
      <c r="C6" s="4"/>
      <c r="D6" s="4" t="s">
        <v>2423</v>
      </c>
      <c r="E6" t="s">
        <v>2162</v>
      </c>
      <c r="F6" t="s">
        <v>2163</v>
      </c>
      <c r="G6">
        <v>19.649999999999999</v>
      </c>
      <c r="H6">
        <v>11.77</v>
      </c>
      <c r="I6" t="s">
        <v>2268</v>
      </c>
      <c r="J6">
        <v>3307274200</v>
      </c>
      <c r="K6">
        <v>32.619999999999997</v>
      </c>
      <c r="L6">
        <v>2.2000000000000002</v>
      </c>
      <c r="M6" t="s">
        <v>838</v>
      </c>
      <c r="N6" t="s">
        <v>264</v>
      </c>
      <c r="O6" t="s">
        <v>1550</v>
      </c>
      <c r="P6" t="s">
        <v>2248</v>
      </c>
      <c r="Q6">
        <v>2.39</v>
      </c>
      <c r="R6" t="s">
        <v>434</v>
      </c>
      <c r="S6">
        <v>24312520</v>
      </c>
      <c r="T6" s="5">
        <v>0.69930000000000003</v>
      </c>
      <c r="U6" t="s">
        <v>2404</v>
      </c>
      <c r="V6">
        <v>168309120</v>
      </c>
      <c r="W6">
        <v>168309120</v>
      </c>
      <c r="X6">
        <v>1.08</v>
      </c>
      <c r="Y6">
        <v>0.28000000000000003</v>
      </c>
      <c r="Z6">
        <v>19.46</v>
      </c>
      <c r="AA6" t="s">
        <v>1105</v>
      </c>
      <c r="AB6" t="s">
        <v>1525</v>
      </c>
      <c r="AC6" t="s">
        <v>2405</v>
      </c>
      <c r="AD6" t="s">
        <v>2406</v>
      </c>
      <c r="AE6" t="s">
        <v>2407</v>
      </c>
      <c r="AF6">
        <v>-542486</v>
      </c>
      <c r="AG6" t="s">
        <v>2408</v>
      </c>
      <c r="AH6" t="s">
        <v>2409</v>
      </c>
      <c r="AI6" t="s">
        <v>2410</v>
      </c>
      <c r="AJ6" t="s">
        <v>272</v>
      </c>
      <c r="AK6" t="s">
        <v>2411</v>
      </c>
      <c r="AL6" t="s">
        <v>2412</v>
      </c>
      <c r="AM6" t="s">
        <v>2413</v>
      </c>
      <c r="AN6" t="s">
        <v>7</v>
      </c>
      <c r="AO6" t="s">
        <v>128</v>
      </c>
      <c r="AP6" t="s">
        <v>2414</v>
      </c>
      <c r="AQ6" t="s">
        <v>7</v>
      </c>
      <c r="AR6" t="s">
        <v>2415</v>
      </c>
      <c r="AS6" t="s">
        <v>7</v>
      </c>
      <c r="AT6" t="s">
        <v>959</v>
      </c>
      <c r="AU6" t="s">
        <v>7</v>
      </c>
      <c r="AV6" t="s">
        <v>2416</v>
      </c>
      <c r="AW6" t="s">
        <v>2417</v>
      </c>
      <c r="AX6" t="s">
        <v>2418</v>
      </c>
      <c r="AY6" t="s">
        <v>282</v>
      </c>
      <c r="AZ6" t="s">
        <v>1692</v>
      </c>
      <c r="BA6" t="s">
        <v>1545</v>
      </c>
      <c r="BB6" t="s">
        <v>85</v>
      </c>
      <c r="BC6" t="s">
        <v>1167</v>
      </c>
      <c r="BD6" t="s">
        <v>2419</v>
      </c>
      <c r="BE6" t="s">
        <v>234</v>
      </c>
      <c r="BF6" t="s">
        <v>116</v>
      </c>
      <c r="BG6" t="s">
        <v>264</v>
      </c>
      <c r="BH6" t="s">
        <v>2165</v>
      </c>
      <c r="BI6" t="s">
        <v>434</v>
      </c>
      <c r="BJ6" t="s">
        <v>2420</v>
      </c>
      <c r="BK6" t="s">
        <v>282</v>
      </c>
      <c r="BL6" t="s">
        <v>2404</v>
      </c>
      <c r="BM6" t="s">
        <v>2421</v>
      </c>
      <c r="BN6" t="s">
        <v>2419</v>
      </c>
      <c r="BO6">
        <v>2.2000000000000002</v>
      </c>
      <c r="BP6">
        <v>4.0599999999999996</v>
      </c>
      <c r="BQ6">
        <v>9.2799999999999994</v>
      </c>
      <c r="BR6">
        <v>2.42</v>
      </c>
      <c r="BS6">
        <v>4.6100000000000003</v>
      </c>
      <c r="BT6">
        <v>9.5299999999999994</v>
      </c>
      <c r="BU6" t="s">
        <v>1751</v>
      </c>
      <c r="BV6" t="s">
        <v>844</v>
      </c>
      <c r="BW6">
        <v>41.18</v>
      </c>
      <c r="BX6">
        <v>42.14</v>
      </c>
      <c r="BY6">
        <v>50.08</v>
      </c>
      <c r="BZ6">
        <v>17.59</v>
      </c>
      <c r="CA6">
        <v>14.21</v>
      </c>
      <c r="CB6">
        <v>37.39</v>
      </c>
      <c r="CC6">
        <v>49.09</v>
      </c>
      <c r="CD6">
        <v>40.56</v>
      </c>
      <c r="CE6" t="s">
        <v>2422</v>
      </c>
      <c r="CF6" t="s">
        <v>149</v>
      </c>
      <c r="CG6" s="23">
        <v>0.33314646493995714</v>
      </c>
      <c r="CH6" s="24">
        <v>0.69933249924862484</v>
      </c>
      <c r="CI6" s="23">
        <v>2.5404157117009163E-2</v>
      </c>
      <c r="CJ6" s="23">
        <v>0.23361822962760925</v>
      </c>
      <c r="CK6" s="23">
        <v>8.6687304079532623E-2</v>
      </c>
      <c r="CL6" s="23">
        <v>3.5256411880254745E-2</v>
      </c>
      <c r="CM6" s="23">
        <v>9.0909093618392944E-2</v>
      </c>
      <c r="CN6" s="24">
        <v>0.41947340965270996</v>
      </c>
      <c r="CO6" s="24">
        <v>-0.50099301338195801</v>
      </c>
      <c r="CP6" s="24">
        <v>-1.5267175622284412E-2</v>
      </c>
      <c r="CQ6" s="24">
        <v>0.11016949266195297</v>
      </c>
      <c r="CR6" s="24">
        <v>0.2166704535484314</v>
      </c>
      <c r="CS6">
        <v>31.461289507859199</v>
      </c>
      <c r="CT6">
        <v>3.3336451834117247</v>
      </c>
      <c r="CU6">
        <v>1.0178117048346056</v>
      </c>
      <c r="CV6" s="23">
        <v>9.4375039264559743E-2</v>
      </c>
      <c r="CW6" s="24">
        <v>4.6010633371770381E-2</v>
      </c>
      <c r="CX6">
        <v>0.06</v>
      </c>
      <c r="CY6">
        <v>20.471988898860616</v>
      </c>
      <c r="CZ6">
        <v>94337399.729026154</v>
      </c>
      <c r="DA6">
        <v>9.4375039264559743E-2</v>
      </c>
      <c r="DB6">
        <v>6.665328407693667</v>
      </c>
      <c r="DC6">
        <v>289749293.93888009</v>
      </c>
      <c r="DD6">
        <v>8.9656287301331752E-2</v>
      </c>
      <c r="DE6">
        <v>3.2649516243303558</v>
      </c>
      <c r="DF6">
        <v>591516941.81567109</v>
      </c>
      <c r="DG6">
        <v>8.3050034552812568E-2</v>
      </c>
      <c r="DH6">
        <v>1.9497000282828962</v>
      </c>
      <c r="DI6">
        <v>990549403.48996973</v>
      </c>
      <c r="DJ6">
        <v>7.5500031411647794E-2</v>
      </c>
      <c r="DK6">
        <v>0.99483031720818293</v>
      </c>
      <c r="DL6">
        <v>1941310157.7159238</v>
      </c>
      <c r="DM6">
        <v>6.6062527485191813E-2</v>
      </c>
      <c r="DN6">
        <v>91374200</v>
      </c>
      <c r="DO6">
        <v>9.4375039264559743E-2</v>
      </c>
      <c r="DP6">
        <v>1931274200</v>
      </c>
      <c r="DQ6">
        <v>583345200</v>
      </c>
      <c r="DR6">
        <v>4626</v>
      </c>
      <c r="DS6">
        <v>0.23877142567539739</v>
      </c>
      <c r="DT6">
        <v>0.65332186587685448</v>
      </c>
      <c r="DU6" s="25">
        <v>-0.28999999999999998</v>
      </c>
      <c r="DV6">
        <v>0.11666666666666665</v>
      </c>
      <c r="DW6">
        <v>-0.17333333333333334</v>
      </c>
      <c r="DX6">
        <v>5.8262375229170908</v>
      </c>
      <c r="DY6">
        <v>1.4134403225806438</v>
      </c>
      <c r="DZ6">
        <v>5.300288031857221</v>
      </c>
      <c r="EA6">
        <v>2136</v>
      </c>
      <c r="EB6">
        <v>5.174938171382915</v>
      </c>
      <c r="EC6">
        <v>5</v>
      </c>
      <c r="ED6">
        <v>0.26776089138841674</v>
      </c>
      <c r="EE6">
        <v>0.7367396371628584</v>
      </c>
      <c r="EF6" s="22">
        <v>3.1063000000000001</v>
      </c>
      <c r="EG6">
        <v>4.0739999999999998</v>
      </c>
      <c r="EH6">
        <v>105.36344032258064</v>
      </c>
      <c r="EI6" t="s">
        <v>1278</v>
      </c>
      <c r="EJ6">
        <v>1</v>
      </c>
      <c r="EK6">
        <v>0</v>
      </c>
      <c r="EL6" s="31">
        <v>45412</v>
      </c>
      <c r="EM6">
        <v>4.0199999999999996</v>
      </c>
      <c r="EN6">
        <v>2.63</v>
      </c>
      <c r="EO6">
        <v>4.12</v>
      </c>
      <c r="EP6">
        <v>20</v>
      </c>
      <c r="EQ6">
        <v>11.77</v>
      </c>
    </row>
    <row r="7" spans="1:147" ht="78.75">
      <c r="A7" s="37"/>
      <c r="B7" s="4"/>
      <c r="C7" s="4"/>
      <c r="D7" s="4" t="s">
        <v>2459</v>
      </c>
      <c r="E7" t="s">
        <v>2269</v>
      </c>
      <c r="F7" t="s">
        <v>2270</v>
      </c>
      <c r="G7">
        <v>12.87</v>
      </c>
      <c r="H7">
        <v>10</v>
      </c>
      <c r="I7" t="s">
        <v>2271</v>
      </c>
      <c r="J7">
        <v>2203201900</v>
      </c>
      <c r="L7">
        <v>1.77</v>
      </c>
      <c r="M7" t="s">
        <v>838</v>
      </c>
      <c r="N7" t="s">
        <v>2424</v>
      </c>
      <c r="O7" t="s">
        <v>2425</v>
      </c>
      <c r="P7" t="s">
        <v>2426</v>
      </c>
      <c r="Q7">
        <v>-1.44</v>
      </c>
      <c r="R7" t="s">
        <v>2427</v>
      </c>
      <c r="S7">
        <v>3813061</v>
      </c>
      <c r="T7" s="5">
        <v>9.2200000000000004E-2</v>
      </c>
      <c r="U7" t="s">
        <v>2428</v>
      </c>
      <c r="V7">
        <v>171188960</v>
      </c>
      <c r="W7">
        <v>171188960</v>
      </c>
      <c r="X7">
        <v>1.35</v>
      </c>
      <c r="Y7">
        <v>0.43</v>
      </c>
      <c r="Z7">
        <v>-7.45</v>
      </c>
      <c r="AA7" t="s">
        <v>2429</v>
      </c>
      <c r="AB7" t="s">
        <v>144</v>
      </c>
      <c r="AC7" t="s">
        <v>2430</v>
      </c>
      <c r="AD7" t="s">
        <v>2431</v>
      </c>
      <c r="AE7" t="s">
        <v>2432</v>
      </c>
      <c r="AF7">
        <v>-1026982</v>
      </c>
      <c r="AG7" t="s">
        <v>2433</v>
      </c>
      <c r="AH7" t="s">
        <v>2434</v>
      </c>
      <c r="AI7" t="s">
        <v>2435</v>
      </c>
      <c r="AJ7" t="s">
        <v>284</v>
      </c>
      <c r="AK7" t="s">
        <v>2436</v>
      </c>
      <c r="AL7" t="s">
        <v>2437</v>
      </c>
      <c r="AM7" t="s">
        <v>2438</v>
      </c>
      <c r="AN7" t="s">
        <v>7</v>
      </c>
      <c r="AO7" t="s">
        <v>2439</v>
      </c>
      <c r="AP7" t="s">
        <v>2440</v>
      </c>
      <c r="AQ7" t="s">
        <v>2441</v>
      </c>
      <c r="AR7" t="s">
        <v>2442</v>
      </c>
      <c r="AS7" t="s">
        <v>7</v>
      </c>
      <c r="AT7" t="s">
        <v>2443</v>
      </c>
      <c r="AU7" t="s">
        <v>1135</v>
      </c>
      <c r="AV7" t="s">
        <v>2444</v>
      </c>
      <c r="AW7" t="s">
        <v>2445</v>
      </c>
      <c r="AX7" t="s">
        <v>2446</v>
      </c>
      <c r="AY7" t="s">
        <v>2447</v>
      </c>
      <c r="AZ7" t="s">
        <v>2448</v>
      </c>
      <c r="BA7" t="s">
        <v>2449</v>
      </c>
      <c r="BB7" t="s">
        <v>2450</v>
      </c>
      <c r="BC7" t="s">
        <v>2451</v>
      </c>
      <c r="BD7" t="s">
        <v>2452</v>
      </c>
      <c r="BE7" t="s">
        <v>2453</v>
      </c>
      <c r="BF7" t="s">
        <v>115</v>
      </c>
      <c r="BG7" t="s">
        <v>2454</v>
      </c>
      <c r="BH7" t="s">
        <v>2455</v>
      </c>
      <c r="BI7" t="s">
        <v>2427</v>
      </c>
      <c r="BJ7" t="s">
        <v>75</v>
      </c>
      <c r="BK7" t="s">
        <v>2447</v>
      </c>
      <c r="BL7" t="s">
        <v>2428</v>
      </c>
      <c r="BM7" t="s">
        <v>2456</v>
      </c>
      <c r="BN7" t="s">
        <v>2452</v>
      </c>
      <c r="BO7">
        <v>24.03</v>
      </c>
      <c r="BP7">
        <v>2.15</v>
      </c>
      <c r="BQ7">
        <v>5.0599999999999996</v>
      </c>
      <c r="BR7">
        <v>-0.48</v>
      </c>
      <c r="BS7">
        <v>2.38</v>
      </c>
      <c r="BT7">
        <v>5.79</v>
      </c>
      <c r="BU7" t="s">
        <v>2457</v>
      </c>
      <c r="BV7" t="s">
        <v>844</v>
      </c>
      <c r="BW7">
        <v>17.559999999999999</v>
      </c>
      <c r="BX7">
        <v>17.73</v>
      </c>
      <c r="BY7">
        <v>28.93</v>
      </c>
      <c r="BZ7">
        <v>-0.48</v>
      </c>
      <c r="CA7">
        <v>4.12</v>
      </c>
      <c r="CB7">
        <v>9.09</v>
      </c>
      <c r="CC7">
        <v>35.049999999999997</v>
      </c>
      <c r="CD7">
        <v>26.8</v>
      </c>
      <c r="CE7" t="s">
        <v>2458</v>
      </c>
      <c r="CF7" t="s">
        <v>1039</v>
      </c>
      <c r="CG7" s="23">
        <v>9.4674556213017749E-2</v>
      </c>
      <c r="CH7" s="24">
        <v>9.2254654826697216E-2</v>
      </c>
      <c r="CI7" s="23">
        <v>-1.490514911711216E-2</v>
      </c>
      <c r="CJ7" s="23">
        <v>-6.5822787582874298E-2</v>
      </c>
      <c r="CK7" s="23">
        <v>-8.8811993598937988E-2</v>
      </c>
      <c r="CL7" s="23">
        <v>0.67052024602890015</v>
      </c>
      <c r="CM7" s="23">
        <v>5.2738334983587265E-2</v>
      </c>
      <c r="CN7" s="24">
        <v>-2.7171328067779541</v>
      </c>
      <c r="CO7" s="24">
        <v>-0.5843999981880188</v>
      </c>
      <c r="CP7" s="24">
        <v>-0.61544924974441528</v>
      </c>
      <c r="CQ7" s="24">
        <v>3.188788890838623</v>
      </c>
      <c r="CR7" s="24">
        <v>5.5807240307331085E-2</v>
      </c>
      <c r="CS7">
        <v>38.680634856725341</v>
      </c>
      <c r="CT7">
        <v>3.4928058506678981</v>
      </c>
      <c r="CU7">
        <v>0.46620046620046623</v>
      </c>
      <c r="CV7" s="23">
        <v>0.11074373014271259</v>
      </c>
      <c r="CW7" s="24">
        <v>-0.1344771847128868</v>
      </c>
      <c r="CX7">
        <v>0.06</v>
      </c>
      <c r="CY7" t="e">
        <v>#VALUE!</v>
      </c>
      <c r="CZ7" t="s">
        <v>719</v>
      </c>
      <c r="DA7">
        <v>0.11074373014271259</v>
      </c>
      <c r="DB7" t="e">
        <v>#VALUE!</v>
      </c>
      <c r="DC7" t="s">
        <v>719</v>
      </c>
      <c r="DD7">
        <v>0.10520654363557695</v>
      </c>
      <c r="DE7" t="e">
        <v>#VALUE!</v>
      </c>
      <c r="DF7" t="s">
        <v>719</v>
      </c>
      <c r="DG7">
        <v>9.7454482525587083E-2</v>
      </c>
      <c r="DH7" t="e">
        <v>#VALUE!</v>
      </c>
      <c r="DI7" t="s">
        <v>719</v>
      </c>
      <c r="DJ7">
        <v>8.8594984114170078E-2</v>
      </c>
      <c r="DK7" t="e">
        <v>#VALUE!</v>
      </c>
      <c r="DL7" t="s">
        <v>719</v>
      </c>
      <c r="DM7">
        <v>7.7520611099898815E-2</v>
      </c>
      <c r="DN7">
        <v>-54062900</v>
      </c>
      <c r="DO7">
        <v>0.11074373014271259</v>
      </c>
      <c r="DP7">
        <v>1382201900</v>
      </c>
      <c r="DQ7">
        <v>381623400</v>
      </c>
      <c r="DR7">
        <v>3919</v>
      </c>
      <c r="DS7">
        <v>-1.6069173929694841E-2</v>
      </c>
      <c r="DT7">
        <v>0.22673183953958403</v>
      </c>
      <c r="DU7" s="25">
        <v>-0.20666666666666669</v>
      </c>
      <c r="DV7">
        <v>-0.83333333333333337</v>
      </c>
      <c r="DW7">
        <v>-1.04</v>
      </c>
      <c r="DX7">
        <v>5.7646219686162627</v>
      </c>
      <c r="DY7">
        <v>0.7469528571428572</v>
      </c>
      <c r="DZ7">
        <v>5.1658869207254945</v>
      </c>
      <c r="EA7">
        <v>3602</v>
      </c>
      <c r="EB7">
        <v>5.0491144586474741</v>
      </c>
      <c r="EC7">
        <v>5</v>
      </c>
      <c r="ED7">
        <v>0.26613924168941733</v>
      </c>
      <c r="EE7">
        <v>1.2267146199147421</v>
      </c>
      <c r="EF7" s="22">
        <v>1.0884</v>
      </c>
      <c r="EG7">
        <v>2.0384000000000002</v>
      </c>
      <c r="EH7">
        <v>53.216952857142857</v>
      </c>
      <c r="EI7" t="s">
        <v>815</v>
      </c>
      <c r="EJ7">
        <v>1</v>
      </c>
      <c r="EK7">
        <v>0</v>
      </c>
      <c r="EL7" s="31">
        <v>45412</v>
      </c>
      <c r="EM7">
        <v>3.15</v>
      </c>
      <c r="EN7">
        <v>0.92</v>
      </c>
      <c r="EO7">
        <v>9.98</v>
      </c>
      <c r="EP7">
        <v>7.24</v>
      </c>
      <c r="EQ7">
        <v>10</v>
      </c>
    </row>
    <row r="8" spans="1:147" ht="123.75">
      <c r="A8" s="37"/>
      <c r="B8" s="4"/>
      <c r="C8" s="4"/>
      <c r="D8" s="4" t="s">
        <v>2483</v>
      </c>
      <c r="E8" t="s">
        <v>2272</v>
      </c>
      <c r="F8" t="s">
        <v>2273</v>
      </c>
      <c r="G8">
        <v>7.84</v>
      </c>
      <c r="H8">
        <v>3.16</v>
      </c>
      <c r="I8" t="s">
        <v>2274</v>
      </c>
      <c r="J8">
        <v>5817176700</v>
      </c>
      <c r="K8">
        <v>65.099999999999994</v>
      </c>
      <c r="L8">
        <v>1.87</v>
      </c>
      <c r="M8" t="s">
        <v>2275</v>
      </c>
      <c r="N8" t="s">
        <v>2460</v>
      </c>
      <c r="O8" t="s">
        <v>2461</v>
      </c>
      <c r="P8" t="s">
        <v>2462</v>
      </c>
      <c r="Q8">
        <v>6.65</v>
      </c>
      <c r="R8" t="s">
        <v>1550</v>
      </c>
      <c r="S8">
        <v>26790064</v>
      </c>
      <c r="T8" s="5">
        <v>0.34370000000000001</v>
      </c>
      <c r="U8" t="s">
        <v>2463</v>
      </c>
      <c r="V8">
        <v>513529140</v>
      </c>
      <c r="W8">
        <v>741986830</v>
      </c>
      <c r="X8">
        <v>1.44</v>
      </c>
      <c r="Y8">
        <v>0.33</v>
      </c>
      <c r="Z8">
        <v>6.58</v>
      </c>
      <c r="AA8" t="s">
        <v>2464</v>
      </c>
      <c r="AB8" t="s">
        <v>2465</v>
      </c>
      <c r="AC8" t="s">
        <v>2466</v>
      </c>
      <c r="AD8" t="s">
        <v>179</v>
      </c>
      <c r="AE8" t="s">
        <v>2467</v>
      </c>
      <c r="AF8">
        <v>3459864</v>
      </c>
      <c r="AG8" t="s">
        <v>63</v>
      </c>
      <c r="AH8" t="s">
        <v>2468</v>
      </c>
      <c r="AI8" t="s">
        <v>2469</v>
      </c>
      <c r="AJ8" t="s">
        <v>188</v>
      </c>
      <c r="AK8" t="s">
        <v>2470</v>
      </c>
      <c r="AL8" t="s">
        <v>2471</v>
      </c>
      <c r="AM8" t="s">
        <v>2472</v>
      </c>
      <c r="AN8" t="s">
        <v>7</v>
      </c>
      <c r="AO8" t="s">
        <v>55</v>
      </c>
      <c r="AP8" t="s">
        <v>158</v>
      </c>
      <c r="AQ8" t="s">
        <v>2473</v>
      </c>
      <c r="AR8" t="s">
        <v>176</v>
      </c>
      <c r="AS8" t="s">
        <v>7</v>
      </c>
      <c r="AT8" t="s">
        <v>2378</v>
      </c>
      <c r="AU8" t="s">
        <v>1930</v>
      </c>
      <c r="AV8" t="s">
        <v>2248</v>
      </c>
      <c r="AW8" t="s">
        <v>2474</v>
      </c>
      <c r="AX8" t="s">
        <v>2475</v>
      </c>
      <c r="AY8" t="s">
        <v>2476</v>
      </c>
      <c r="AZ8" t="s">
        <v>2477</v>
      </c>
      <c r="BA8" t="s">
        <v>1028</v>
      </c>
      <c r="BB8" t="s">
        <v>2478</v>
      </c>
      <c r="BC8" t="s">
        <v>338</v>
      </c>
      <c r="BD8" t="s">
        <v>53</v>
      </c>
      <c r="BE8" t="s">
        <v>264</v>
      </c>
      <c r="BF8" t="s">
        <v>2479</v>
      </c>
      <c r="BG8" t="s">
        <v>146</v>
      </c>
      <c r="BH8" t="s">
        <v>2480</v>
      </c>
      <c r="BI8" t="s">
        <v>1550</v>
      </c>
      <c r="BJ8" t="s">
        <v>91</v>
      </c>
      <c r="BK8" t="s">
        <v>2476</v>
      </c>
      <c r="BL8" t="s">
        <v>2463</v>
      </c>
      <c r="BM8" t="s">
        <v>2481</v>
      </c>
      <c r="BN8" t="s">
        <v>53</v>
      </c>
      <c r="BO8">
        <v>1.29</v>
      </c>
      <c r="BP8">
        <v>6.4</v>
      </c>
      <c r="BQ8">
        <v>6.06</v>
      </c>
      <c r="BR8">
        <v>1.17</v>
      </c>
      <c r="BS8">
        <v>7.76</v>
      </c>
      <c r="BT8">
        <v>6.84</v>
      </c>
      <c r="BU8" t="s">
        <v>1751</v>
      </c>
      <c r="BV8" t="s">
        <v>2275</v>
      </c>
      <c r="BW8">
        <v>22.98</v>
      </c>
      <c r="BX8">
        <v>30.8</v>
      </c>
      <c r="BY8">
        <v>29.8</v>
      </c>
      <c r="BZ8">
        <v>5.98</v>
      </c>
      <c r="CA8">
        <v>13.44</v>
      </c>
      <c r="CB8">
        <v>12.46</v>
      </c>
      <c r="CC8">
        <v>12.32</v>
      </c>
      <c r="CD8">
        <v>13.29</v>
      </c>
      <c r="CE8" t="s">
        <v>2248</v>
      </c>
      <c r="CF8" t="s">
        <v>2237</v>
      </c>
      <c r="CG8" s="23">
        <v>0.3478260869565219</v>
      </c>
      <c r="CH8" s="24">
        <v>0.34370900919879221</v>
      </c>
      <c r="CI8" s="23">
        <v>6.6381208598613739E-2</v>
      </c>
      <c r="CJ8" s="23">
        <v>0.33048427104949951</v>
      </c>
      <c r="CK8" s="23">
        <v>0.34311223030090332</v>
      </c>
      <c r="CL8" s="23">
        <v>5.8029688894748688E-2</v>
      </c>
      <c r="CM8" s="23">
        <v>0.19516128301620483</v>
      </c>
      <c r="CN8" s="24">
        <v>-0.53904467821121216</v>
      </c>
      <c r="CO8" s="24">
        <v>0.51694917678833008</v>
      </c>
      <c r="CP8" s="24">
        <v>0.37226215004920959</v>
      </c>
      <c r="CQ8" s="24">
        <v>-0.18877924978733063</v>
      </c>
      <c r="CR8" s="24">
        <v>0.29799672961235046</v>
      </c>
      <c r="CS8">
        <v>53.43684403030354</v>
      </c>
      <c r="CT8">
        <v>2.6902199498593213</v>
      </c>
      <c r="CU8">
        <v>2.5510204081632653</v>
      </c>
      <c r="CV8" s="23">
        <v>0.19863373637199402</v>
      </c>
      <c r="CW8" s="24">
        <v>9.1876825690269476E-2</v>
      </c>
      <c r="CX8">
        <v>0.06</v>
      </c>
      <c r="CY8">
        <v>43.237685107924172</v>
      </c>
      <c r="CZ8">
        <v>93302328.511122271</v>
      </c>
      <c r="DA8">
        <v>0.19863373637199402</v>
      </c>
      <c r="DB8">
        <v>12.90293783377305</v>
      </c>
      <c r="DC8">
        <v>312655672.06257975</v>
      </c>
      <c r="DD8">
        <v>0.18870204955339431</v>
      </c>
      <c r="DE8">
        <v>5.5990794662506493</v>
      </c>
      <c r="DF8">
        <v>720507134.13100278</v>
      </c>
      <c r="DG8">
        <v>0.17479768800735473</v>
      </c>
      <c r="DH8">
        <v>2.8973149207866458</v>
      </c>
      <c r="DI8">
        <v>1392384607.9199035</v>
      </c>
      <c r="DJ8">
        <v>0.15890698909759524</v>
      </c>
      <c r="DK8">
        <v>1.0556741086825994</v>
      </c>
      <c r="DL8">
        <v>3821422413.2429886</v>
      </c>
      <c r="DM8">
        <v>0.13904361546039581</v>
      </c>
      <c r="DN8">
        <v>82511000</v>
      </c>
      <c r="DO8">
        <v>0.19863373637199402</v>
      </c>
      <c r="DP8">
        <v>4034176700</v>
      </c>
      <c r="DQ8">
        <v>1321544700</v>
      </c>
      <c r="DR8">
        <v>681</v>
      </c>
      <c r="DS8">
        <v>0.14919235058452787</v>
      </c>
      <c r="DT8">
        <v>0.25183218350852277</v>
      </c>
      <c r="DU8" s="25">
        <v>-5.6666666666666719E-2</v>
      </c>
      <c r="DV8">
        <v>0.10000000000000002</v>
      </c>
      <c r="DW8">
        <v>4.33333333333333E-2</v>
      </c>
      <c r="DX8">
        <v>9.9270127915726114</v>
      </c>
      <c r="DY8">
        <v>0.61456813819577805</v>
      </c>
      <c r="DZ8">
        <v>9.2081775366871312</v>
      </c>
      <c r="EA8">
        <v>1612</v>
      </c>
      <c r="EB8">
        <v>9.1425957135212812</v>
      </c>
      <c r="EC8">
        <v>9</v>
      </c>
      <c r="ED8">
        <v>0.15768473949867817</v>
      </c>
      <c r="EE8">
        <v>0.70216879725479764</v>
      </c>
      <c r="EF8" s="22">
        <v>-3.0097</v>
      </c>
      <c r="EG8">
        <v>-3.0413000000000001</v>
      </c>
      <c r="EH8">
        <v>39.224568138195778</v>
      </c>
      <c r="EI8" t="s">
        <v>2482</v>
      </c>
      <c r="EJ8">
        <v>1</v>
      </c>
      <c r="EK8">
        <v>0</v>
      </c>
      <c r="EL8" s="31">
        <v>45412</v>
      </c>
      <c r="EM8">
        <v>2.87</v>
      </c>
      <c r="EN8">
        <v>4.46</v>
      </c>
      <c r="EO8">
        <v>-4.4000000000000004</v>
      </c>
      <c r="EP8">
        <v>6</v>
      </c>
      <c r="EQ8">
        <v>3.16</v>
      </c>
    </row>
    <row r="9" spans="1:147" ht="78.75">
      <c r="A9" s="37" t="s">
        <v>2307</v>
      </c>
      <c r="B9" s="4"/>
      <c r="C9" s="4"/>
      <c r="D9" s="4" t="s">
        <v>2497</v>
      </c>
      <c r="E9" s="32">
        <v>2367</v>
      </c>
      <c r="F9" t="s">
        <v>2276</v>
      </c>
      <c r="G9">
        <v>35.799999999999997</v>
      </c>
      <c r="H9" s="5">
        <v>1.8499999999999999E-2</v>
      </c>
      <c r="I9" t="s">
        <v>2484</v>
      </c>
      <c r="J9">
        <v>35621000000</v>
      </c>
      <c r="K9">
        <v>26.63</v>
      </c>
      <c r="L9">
        <v>9.41</v>
      </c>
      <c r="M9" t="s">
        <v>2309</v>
      </c>
      <c r="N9" t="s">
        <v>7</v>
      </c>
      <c r="O9" t="s">
        <v>7</v>
      </c>
      <c r="P9" t="s">
        <v>7</v>
      </c>
      <c r="Q9" t="s">
        <v>7</v>
      </c>
      <c r="R9" t="s">
        <v>2485</v>
      </c>
      <c r="S9">
        <v>1130384400</v>
      </c>
      <c r="T9" s="5">
        <v>0.1147</v>
      </c>
      <c r="U9" t="s">
        <v>2486</v>
      </c>
      <c r="V9">
        <v>995000000</v>
      </c>
      <c r="W9">
        <v>995000000</v>
      </c>
      <c r="X9" t="s">
        <v>7</v>
      </c>
      <c r="Y9" t="s">
        <v>7</v>
      </c>
      <c r="Z9" t="s">
        <v>7</v>
      </c>
      <c r="AA9" t="s">
        <v>7</v>
      </c>
      <c r="AB9" t="s">
        <v>7</v>
      </c>
      <c r="AC9" t="s">
        <v>7</v>
      </c>
      <c r="AD9" t="s">
        <v>7</v>
      </c>
      <c r="AE9" t="s">
        <v>2487</v>
      </c>
      <c r="AF9" t="s">
        <v>7</v>
      </c>
      <c r="AG9" t="s">
        <v>7</v>
      </c>
      <c r="AH9" t="s">
        <v>7</v>
      </c>
      <c r="AI9" t="s">
        <v>2488</v>
      </c>
      <c r="AJ9" t="s">
        <v>7</v>
      </c>
      <c r="AK9" t="s">
        <v>7</v>
      </c>
      <c r="AL9" t="s">
        <v>2489</v>
      </c>
      <c r="AM9" t="s">
        <v>7</v>
      </c>
      <c r="AN9" t="s">
        <v>7</v>
      </c>
      <c r="AO9" s="5">
        <v>9.6000000000000002E-2</v>
      </c>
      <c r="AP9" t="s">
        <v>7</v>
      </c>
      <c r="AQ9" t="s">
        <v>2490</v>
      </c>
      <c r="AR9" t="s">
        <v>7</v>
      </c>
      <c r="AS9" t="s">
        <v>255</v>
      </c>
      <c r="AT9" t="s">
        <v>7</v>
      </c>
      <c r="AU9" t="s">
        <v>7</v>
      </c>
      <c r="AV9" t="s">
        <v>1640</v>
      </c>
      <c r="AW9" t="s">
        <v>2491</v>
      </c>
      <c r="AX9" t="s">
        <v>7</v>
      </c>
      <c r="AY9" t="s">
        <v>2492</v>
      </c>
      <c r="AZ9" t="s">
        <v>2158</v>
      </c>
      <c r="BA9" t="s">
        <v>2493</v>
      </c>
      <c r="BB9" t="s">
        <v>7</v>
      </c>
      <c r="BC9" t="s">
        <v>7</v>
      </c>
      <c r="BD9" t="s">
        <v>7</v>
      </c>
      <c r="BE9" t="s">
        <v>7</v>
      </c>
      <c r="BF9" t="s">
        <v>7</v>
      </c>
      <c r="BG9" t="s">
        <v>7</v>
      </c>
      <c r="BH9" t="s">
        <v>7</v>
      </c>
      <c r="BI9" t="s">
        <v>2485</v>
      </c>
      <c r="BJ9" t="s">
        <v>7</v>
      </c>
      <c r="BK9" t="s">
        <v>2492</v>
      </c>
      <c r="BL9" t="s">
        <v>2486</v>
      </c>
      <c r="BM9" t="s">
        <v>7</v>
      </c>
      <c r="BN9" t="s">
        <v>7</v>
      </c>
      <c r="BO9">
        <v>52.05</v>
      </c>
      <c r="BP9" t="s">
        <v>7</v>
      </c>
      <c r="BQ9" t="s">
        <v>7</v>
      </c>
      <c r="BR9">
        <v>35.36</v>
      </c>
      <c r="BS9">
        <v>81.44</v>
      </c>
      <c r="BT9" t="s">
        <v>7</v>
      </c>
      <c r="BU9" t="s">
        <v>7</v>
      </c>
      <c r="BV9" t="s">
        <v>2494</v>
      </c>
      <c r="BW9">
        <v>84.39</v>
      </c>
      <c r="BX9" t="s">
        <v>7</v>
      </c>
      <c r="BY9" t="s">
        <v>7</v>
      </c>
      <c r="BZ9">
        <v>42.36</v>
      </c>
      <c r="CA9" t="s">
        <v>7</v>
      </c>
      <c r="CB9" t="s">
        <v>7</v>
      </c>
      <c r="CC9">
        <v>-0.56000000000000005</v>
      </c>
      <c r="CD9">
        <v>1.85</v>
      </c>
      <c r="CE9" t="s">
        <v>2495</v>
      </c>
      <c r="CF9" t="s">
        <v>2496</v>
      </c>
      <c r="CG9" s="23" t="s">
        <v>7</v>
      </c>
      <c r="CH9" s="24">
        <v>0.1147</v>
      </c>
      <c r="CI9" s="23">
        <v>0.40294581651687622</v>
      </c>
      <c r="CJ9" s="23">
        <v>0.33967581391334534</v>
      </c>
      <c r="CK9" s="23">
        <v>0.32740885019302368</v>
      </c>
      <c r="CL9" s="23" t="s">
        <v>7</v>
      </c>
      <c r="CM9" s="23" t="s">
        <v>7</v>
      </c>
      <c r="CN9" s="24" t="s">
        <v>7</v>
      </c>
      <c r="CO9" s="24" t="s">
        <v>7</v>
      </c>
      <c r="CP9" s="24" t="s">
        <v>7</v>
      </c>
      <c r="CQ9" s="24" t="s">
        <v>7</v>
      </c>
      <c r="CR9" s="24" t="s">
        <v>7</v>
      </c>
      <c r="CS9">
        <v>43.994648003293541</v>
      </c>
      <c r="CT9">
        <v>8.2969033709137943</v>
      </c>
      <c r="CU9">
        <v>0</v>
      </c>
      <c r="CV9" s="23">
        <v>5.3025383129715921E-2</v>
      </c>
      <c r="CW9" s="24">
        <v>0.11807803958654403</v>
      </c>
      <c r="CX9">
        <v>0.06</v>
      </c>
      <c r="CY9">
        <v>31.731798602251601</v>
      </c>
      <c r="CZ9">
        <v>1122564795.2231877</v>
      </c>
      <c r="DA9">
        <v>5.3025383129715921E-2</v>
      </c>
      <c r="DB9">
        <v>10.700844965771607</v>
      </c>
      <c r="DC9">
        <v>3328802549.1388354</v>
      </c>
      <c r="DD9">
        <v>5.037411397323012E-2</v>
      </c>
      <c r="DE9">
        <v>5.4906316257817229</v>
      </c>
      <c r="DF9">
        <v>6487596041.3622723</v>
      </c>
      <c r="DG9">
        <v>4.666233715415001E-2</v>
      </c>
      <c r="DH9">
        <v>3.4520196182884959</v>
      </c>
      <c r="DI9">
        <v>10318886894.87252</v>
      </c>
      <c r="DJ9">
        <v>4.2420306503772737E-2</v>
      </c>
      <c r="DK9">
        <v>1.9664424742504187</v>
      </c>
      <c r="DL9">
        <v>18114437857.419777</v>
      </c>
      <c r="DM9">
        <v>3.7117768190801141E-2</v>
      </c>
      <c r="DN9">
        <v>1130000000</v>
      </c>
      <c r="DO9">
        <v>5.3025383129715921E-2</v>
      </c>
      <c r="DP9">
        <v>35621000000</v>
      </c>
      <c r="DQ9" t="e">
        <v>#VALUE!</v>
      </c>
      <c r="DR9">
        <v>381</v>
      </c>
      <c r="DS9" t="e">
        <v>#VALUE!</v>
      </c>
      <c r="DT9">
        <v>-3.3780395865440349E-3</v>
      </c>
      <c r="DU9" t="e">
        <v>#VALUE!</v>
      </c>
      <c r="DV9" t="e">
        <v>#VALUE!</v>
      </c>
      <c r="DW9" t="e">
        <v>#VALUE!</v>
      </c>
      <c r="DX9">
        <v>1.8500000000000003E-2</v>
      </c>
      <c r="DY9">
        <v>2.4329602392279979</v>
      </c>
      <c r="DZ9">
        <v>7.0847644257182076E-3</v>
      </c>
      <c r="EA9">
        <v>0</v>
      </c>
      <c r="EB9">
        <v>7.0847644257182076E-3</v>
      </c>
      <c r="EC9">
        <v>0</v>
      </c>
      <c r="ED9">
        <v>3.7113467336683414E-2</v>
      </c>
      <c r="EE9">
        <v>9.6912060301507535E-2</v>
      </c>
      <c r="EF9">
        <v>0</v>
      </c>
      <c r="EG9">
        <v>0</v>
      </c>
      <c r="EH9">
        <v>205.382960239228</v>
      </c>
      <c r="EI9" t="s">
        <v>619</v>
      </c>
      <c r="EJ9">
        <v>0</v>
      </c>
      <c r="EK9">
        <v>0</v>
      </c>
      <c r="EL9">
        <v>0</v>
      </c>
      <c r="EM9">
        <v>0</v>
      </c>
      <c r="EN9">
        <v>0</v>
      </c>
      <c r="EO9">
        <v>0</v>
      </c>
      <c r="EP9">
        <v>0</v>
      </c>
      <c r="EQ9">
        <v>0</v>
      </c>
    </row>
    <row r="10" spans="1:147" ht="112.5">
      <c r="A10" s="37"/>
      <c r="B10" s="4" t="s">
        <v>1350</v>
      </c>
      <c r="C10" s="4" t="s">
        <v>814</v>
      </c>
      <c r="D10" s="4" t="s">
        <v>2526</v>
      </c>
      <c r="E10" t="s">
        <v>27</v>
      </c>
      <c r="F10" t="s">
        <v>28</v>
      </c>
      <c r="G10">
        <v>61.5</v>
      </c>
      <c r="H10">
        <v>1.64</v>
      </c>
      <c r="I10" t="s">
        <v>2277</v>
      </c>
      <c r="J10">
        <v>29623212000</v>
      </c>
      <c r="K10">
        <v>46.62</v>
      </c>
      <c r="L10">
        <v>4.18</v>
      </c>
      <c r="M10" t="s">
        <v>729</v>
      </c>
      <c r="N10" t="s">
        <v>2498</v>
      </c>
      <c r="O10" t="s">
        <v>2499</v>
      </c>
      <c r="P10" t="s">
        <v>2500</v>
      </c>
      <c r="Q10">
        <v>-4.45</v>
      </c>
      <c r="R10" t="s">
        <v>2501</v>
      </c>
      <c r="S10">
        <v>243367320</v>
      </c>
      <c r="T10" s="5">
        <v>0.21390000000000001</v>
      </c>
      <c r="U10" t="s">
        <v>122</v>
      </c>
      <c r="V10">
        <v>198178240</v>
      </c>
      <c r="W10">
        <v>481678240</v>
      </c>
      <c r="X10">
        <v>1.21</v>
      </c>
      <c r="Y10">
        <v>0.71</v>
      </c>
      <c r="Z10">
        <v>9.59</v>
      </c>
      <c r="AA10" t="s">
        <v>2502</v>
      </c>
      <c r="AB10" t="s">
        <v>2503</v>
      </c>
      <c r="AC10" t="s">
        <v>2504</v>
      </c>
      <c r="AD10" t="s">
        <v>2505</v>
      </c>
      <c r="AE10" t="s">
        <v>204</v>
      </c>
      <c r="AF10">
        <v>-4676391</v>
      </c>
      <c r="AG10" t="s">
        <v>2506</v>
      </c>
      <c r="AH10" t="s">
        <v>2507</v>
      </c>
      <c r="AI10" t="s">
        <v>2508</v>
      </c>
      <c r="AJ10" t="s">
        <v>2509</v>
      </c>
      <c r="AK10" t="s">
        <v>2510</v>
      </c>
      <c r="AL10" t="s">
        <v>7</v>
      </c>
      <c r="AM10" t="s">
        <v>2511</v>
      </c>
      <c r="AN10" t="s">
        <v>7</v>
      </c>
      <c r="AO10" t="s">
        <v>2512</v>
      </c>
      <c r="AP10" t="s">
        <v>7</v>
      </c>
      <c r="AQ10" t="s">
        <v>2513</v>
      </c>
      <c r="AR10" t="s">
        <v>2514</v>
      </c>
      <c r="AS10" t="s">
        <v>7</v>
      </c>
      <c r="AT10" t="s">
        <v>2515</v>
      </c>
      <c r="AU10" t="s">
        <v>2516</v>
      </c>
      <c r="AV10" t="s">
        <v>2517</v>
      </c>
      <c r="AW10" t="s">
        <v>2518</v>
      </c>
      <c r="AX10" t="s">
        <v>2519</v>
      </c>
      <c r="AY10" t="s">
        <v>2520</v>
      </c>
      <c r="AZ10" t="s">
        <v>751</v>
      </c>
      <c r="BA10" t="s">
        <v>519</v>
      </c>
      <c r="BB10" t="s">
        <v>95</v>
      </c>
      <c r="BC10" t="s">
        <v>520</v>
      </c>
      <c r="BD10" t="s">
        <v>2521</v>
      </c>
      <c r="BE10" t="s">
        <v>585</v>
      </c>
      <c r="BF10" t="s">
        <v>430</v>
      </c>
      <c r="BG10" t="s">
        <v>96</v>
      </c>
      <c r="BH10" t="s">
        <v>261</v>
      </c>
      <c r="BI10" t="s">
        <v>2501</v>
      </c>
      <c r="BJ10" t="s">
        <v>2522</v>
      </c>
      <c r="BK10" t="s">
        <v>2520</v>
      </c>
      <c r="BL10" t="s">
        <v>122</v>
      </c>
      <c r="BM10" t="s">
        <v>121</v>
      </c>
      <c r="BN10" t="s">
        <v>2521</v>
      </c>
      <c r="BO10">
        <v>5.81</v>
      </c>
      <c r="BP10">
        <v>14.53</v>
      </c>
      <c r="BQ10">
        <v>13.85</v>
      </c>
      <c r="BR10">
        <v>6.17</v>
      </c>
      <c r="BS10">
        <v>15.75</v>
      </c>
      <c r="BT10">
        <v>14.6</v>
      </c>
      <c r="BU10" t="s">
        <v>2523</v>
      </c>
      <c r="BV10" t="s">
        <v>1097</v>
      </c>
      <c r="BW10">
        <v>73.069999999999993</v>
      </c>
      <c r="BX10">
        <v>76.989999999999995</v>
      </c>
      <c r="BY10">
        <v>78.069999999999993</v>
      </c>
      <c r="BZ10">
        <v>12.01</v>
      </c>
      <c r="CA10">
        <v>15.12</v>
      </c>
      <c r="CB10">
        <v>15.67</v>
      </c>
      <c r="CC10">
        <v>6.09</v>
      </c>
      <c r="CD10">
        <v>-1.62</v>
      </c>
      <c r="CE10" t="s">
        <v>2524</v>
      </c>
      <c r="CF10" t="s">
        <v>2525</v>
      </c>
      <c r="CG10" s="23">
        <v>4.2911877394636012E-2</v>
      </c>
      <c r="CH10" s="24">
        <v>0.21683659999999999</v>
      </c>
      <c r="CI10" s="23">
        <v>-4.4503822922706604E-2</v>
      </c>
      <c r="CJ10" s="23">
        <v>0.28516581654548645</v>
      </c>
      <c r="CK10" s="23">
        <v>0.87922519445419312</v>
      </c>
      <c r="CL10" s="23">
        <v>0.39607632160186768</v>
      </c>
      <c r="CM10" s="23">
        <v>0.49326992034912109</v>
      </c>
      <c r="CN10" s="24">
        <v>-0.38928937911987305</v>
      </c>
      <c r="CO10" s="24">
        <v>0.24168798327445984</v>
      </c>
      <c r="CP10" s="24">
        <v>0.21052631735801697</v>
      </c>
      <c r="CQ10" s="24">
        <v>0.10238907486200333</v>
      </c>
      <c r="CR10" s="24">
        <v>0.38207545876502991</v>
      </c>
      <c r="CS10">
        <v>44.412611694152922</v>
      </c>
      <c r="CT10">
        <v>1.1052128396433969</v>
      </c>
      <c r="CU10">
        <v>0.61788617886178854</v>
      </c>
      <c r="CV10" s="23">
        <v>0.40184668600559237</v>
      </c>
      <c r="CW10" s="24">
        <v>0.1094778910279274</v>
      </c>
      <c r="CX10">
        <v>0.06</v>
      </c>
      <c r="CY10">
        <v>30.765061874644093</v>
      </c>
      <c r="CZ10">
        <v>784240646.0389775</v>
      </c>
      <c r="DA10">
        <v>0.40184668600559237</v>
      </c>
      <c r="DB10">
        <v>7.7977189078057556</v>
      </c>
      <c r="DC10">
        <v>3094137181.0476422</v>
      </c>
      <c r="DD10">
        <v>0.38175435170531274</v>
      </c>
      <c r="DE10">
        <v>2.645059936361069</v>
      </c>
      <c r="DF10">
        <v>9121612583.6425915</v>
      </c>
      <c r="DG10">
        <v>0.35362508368492129</v>
      </c>
      <c r="DH10">
        <v>0.99777009270049977</v>
      </c>
      <c r="DI10">
        <v>24181133686.517757</v>
      </c>
      <c r="DJ10">
        <v>0.32147734880447393</v>
      </c>
      <c r="DK10">
        <v>0.16211645251614279</v>
      </c>
      <c r="DL10">
        <v>148826424619.65744</v>
      </c>
      <c r="DM10">
        <v>0.28129268020391462</v>
      </c>
      <c r="DN10">
        <v>593000000</v>
      </c>
      <c r="DO10">
        <v>0.40184668600559237</v>
      </c>
      <c r="DP10">
        <v>24127212000</v>
      </c>
      <c r="DQ10">
        <v>1618514100</v>
      </c>
      <c r="DR10">
        <v>4864</v>
      </c>
      <c r="DS10">
        <v>-0.35893480861095634</v>
      </c>
      <c r="DT10">
        <v>0.10735870897207259</v>
      </c>
      <c r="DU10" s="25">
        <v>0.19333333333333327</v>
      </c>
      <c r="DV10">
        <v>0.43666666666666659</v>
      </c>
      <c r="DW10">
        <v>0.62999999999999989</v>
      </c>
      <c r="DX10">
        <v>5.2660098522167491</v>
      </c>
      <c r="DY10">
        <v>0.64130418130125855</v>
      </c>
      <c r="DZ10">
        <v>5.0562089940407287</v>
      </c>
      <c r="EA10">
        <v>541</v>
      </c>
      <c r="EB10">
        <v>5.0502662412996626</v>
      </c>
      <c r="EC10">
        <v>5</v>
      </c>
      <c r="ED10">
        <v>2.0845658296708609E-2</v>
      </c>
      <c r="EE10">
        <v>9.8652370096685288E-2</v>
      </c>
      <c r="EF10" s="22">
        <v>9.4800000000000009E-2</v>
      </c>
      <c r="EG10">
        <v>0.11119999999999999</v>
      </c>
      <c r="EH10">
        <v>43.211304181301259</v>
      </c>
      <c r="EI10" t="s">
        <v>619</v>
      </c>
      <c r="EJ10">
        <v>1</v>
      </c>
      <c r="EK10">
        <v>1</v>
      </c>
      <c r="EL10" s="31">
        <v>45412</v>
      </c>
      <c r="EM10" s="32">
        <v>0.36</v>
      </c>
      <c r="EN10" s="32">
        <v>1.01</v>
      </c>
      <c r="EO10">
        <v>1.96</v>
      </c>
      <c r="EP10">
        <v>0.98</v>
      </c>
      <c r="EQ10">
        <v>1.64</v>
      </c>
    </row>
    <row r="11" spans="1:147" ht="78.75">
      <c r="A11" s="37"/>
      <c r="D11" s="4" t="s">
        <v>2562</v>
      </c>
      <c r="E11" s="5" t="s">
        <v>2278</v>
      </c>
      <c r="F11" t="s">
        <v>2279</v>
      </c>
      <c r="G11">
        <v>7.89</v>
      </c>
      <c r="H11">
        <v>-5.96</v>
      </c>
      <c r="I11" t="s">
        <v>2280</v>
      </c>
      <c r="J11">
        <v>8020727600</v>
      </c>
      <c r="K11">
        <v>34.409999999999997</v>
      </c>
      <c r="L11">
        <v>1.97</v>
      </c>
      <c r="M11" t="s">
        <v>729</v>
      </c>
      <c r="N11" t="s">
        <v>2527</v>
      </c>
      <c r="O11" t="s">
        <v>2528</v>
      </c>
      <c r="P11" t="s">
        <v>2529</v>
      </c>
      <c r="Q11" s="5">
        <v>-64.650000000000006</v>
      </c>
      <c r="R11" t="s">
        <v>2530</v>
      </c>
      <c r="S11">
        <v>59036698</v>
      </c>
      <c r="T11">
        <v>-0.54349999999999998</v>
      </c>
      <c r="U11" t="s">
        <v>2531</v>
      </c>
      <c r="V11">
        <v>1016568780</v>
      </c>
      <c r="W11">
        <v>1016568780</v>
      </c>
      <c r="X11">
        <v>1.67</v>
      </c>
      <c r="Y11">
        <v>0.14000000000000001</v>
      </c>
      <c r="Z11">
        <v>8</v>
      </c>
      <c r="AA11" t="s">
        <v>2532</v>
      </c>
      <c r="AB11" t="s">
        <v>2533</v>
      </c>
      <c r="AC11" t="s">
        <v>2037</v>
      </c>
      <c r="AD11" t="s">
        <v>2534</v>
      </c>
      <c r="AE11" t="s">
        <v>106</v>
      </c>
      <c r="AF11">
        <v>-6632488</v>
      </c>
      <c r="AG11" t="s">
        <v>2535</v>
      </c>
      <c r="AH11" t="s">
        <v>2536</v>
      </c>
      <c r="AI11" t="s">
        <v>2537</v>
      </c>
      <c r="AJ11" t="s">
        <v>2538</v>
      </c>
      <c r="AK11" t="s">
        <v>2539</v>
      </c>
      <c r="AL11" t="s">
        <v>2540</v>
      </c>
      <c r="AM11" t="s">
        <v>2541</v>
      </c>
      <c r="AN11" t="s">
        <v>7</v>
      </c>
      <c r="AO11" t="s">
        <v>116</v>
      </c>
      <c r="AP11" t="s">
        <v>2542</v>
      </c>
      <c r="AQ11" t="s">
        <v>1613</v>
      </c>
      <c r="AR11" t="s">
        <v>2247</v>
      </c>
      <c r="AS11" t="s">
        <v>7</v>
      </c>
      <c r="AT11" t="s">
        <v>2543</v>
      </c>
      <c r="AU11" t="s">
        <v>2544</v>
      </c>
      <c r="AV11" t="s">
        <v>86</v>
      </c>
      <c r="AW11" t="s">
        <v>2545</v>
      </c>
      <c r="AX11" t="s">
        <v>2546</v>
      </c>
      <c r="AY11" t="s">
        <v>2547</v>
      </c>
      <c r="AZ11" t="s">
        <v>2548</v>
      </c>
      <c r="BA11" t="s">
        <v>2549</v>
      </c>
      <c r="BB11" t="s">
        <v>2550</v>
      </c>
      <c r="BC11" t="s">
        <v>2551</v>
      </c>
      <c r="BD11" t="s">
        <v>2552</v>
      </c>
      <c r="BE11" t="s">
        <v>2553</v>
      </c>
      <c r="BF11" t="s">
        <v>151</v>
      </c>
      <c r="BG11" t="s">
        <v>79</v>
      </c>
      <c r="BH11" t="s">
        <v>254</v>
      </c>
      <c r="BI11" t="s">
        <v>2530</v>
      </c>
      <c r="BJ11" t="s">
        <v>2554</v>
      </c>
      <c r="BK11" t="s">
        <v>2547</v>
      </c>
      <c r="BL11" t="s">
        <v>2531</v>
      </c>
      <c r="BM11" t="s">
        <v>234</v>
      </c>
      <c r="BN11" t="s">
        <v>2552</v>
      </c>
      <c r="BO11">
        <v>2.68</v>
      </c>
      <c r="BP11">
        <v>1.05</v>
      </c>
      <c r="BQ11">
        <v>2.6</v>
      </c>
      <c r="BR11">
        <v>5</v>
      </c>
      <c r="BS11">
        <v>1.01</v>
      </c>
      <c r="BT11">
        <v>8.34</v>
      </c>
      <c r="BU11" t="s">
        <v>2006</v>
      </c>
      <c r="BV11" t="s">
        <v>1073</v>
      </c>
      <c r="BW11">
        <v>47.08</v>
      </c>
      <c r="BX11">
        <v>24.65</v>
      </c>
      <c r="BY11">
        <v>25.69</v>
      </c>
      <c r="BZ11">
        <v>8.89</v>
      </c>
      <c r="CA11">
        <v>0.5</v>
      </c>
      <c r="CB11">
        <v>3.19</v>
      </c>
      <c r="CC11">
        <v>-1.99</v>
      </c>
      <c r="CD11" s="23">
        <v>-16.239999999999998</v>
      </c>
      <c r="CE11" s="24" t="s">
        <v>2555</v>
      </c>
      <c r="CF11" s="23" t="s">
        <v>2556</v>
      </c>
      <c r="CG11" s="23">
        <v>-0.29952830188679247</v>
      </c>
      <c r="CH11" s="23">
        <v>-0.54235117829457369</v>
      </c>
      <c r="CI11" s="23">
        <v>-0.64643657207489014</v>
      </c>
      <c r="CJ11" s="23">
        <v>4.7561291605234146E-2</v>
      </c>
      <c r="CK11" s="24">
        <v>-9.195738285779953E-2</v>
      </c>
      <c r="CL11" s="24">
        <v>0.32325774431228638</v>
      </c>
      <c r="CM11" s="24">
        <v>0.1664210706949234</v>
      </c>
      <c r="CN11" s="24">
        <v>5.6658892631530762</v>
      </c>
      <c r="CO11" s="24">
        <v>-0.87443286180496216</v>
      </c>
      <c r="CP11">
        <v>-0.43348982930183411</v>
      </c>
      <c r="CQ11">
        <v>0.85217392444610596</v>
      </c>
      <c r="CR11">
        <v>1.1296296119689941</v>
      </c>
      <c r="CS11" s="23">
        <v>25.922717126558339</v>
      </c>
      <c r="CT11" s="24">
        <v>6.4435051437067807</v>
      </c>
      <c r="CU11">
        <v>1.267427122940431</v>
      </c>
      <c r="CV11">
        <v>-4.0230769664049149E-2</v>
      </c>
      <c r="CW11">
        <v>1.267954021692276</v>
      </c>
      <c r="CX11">
        <v>0.06</v>
      </c>
      <c r="CY11">
        <v>21.381939273927394</v>
      </c>
      <c r="CZ11" t="s">
        <v>2557</v>
      </c>
      <c r="DA11">
        <v>-4.0230769664049149E-2</v>
      </c>
      <c r="DB11">
        <v>7.1273130913091309</v>
      </c>
      <c r="DC11" t="s">
        <v>2558</v>
      </c>
      <c r="DD11">
        <v>-3.8219231180846691E-2</v>
      </c>
      <c r="DE11">
        <v>3.5636565456545655</v>
      </c>
      <c r="DF11" t="s">
        <v>2559</v>
      </c>
      <c r="DG11">
        <v>-3.5403077304363248E-2</v>
      </c>
      <c r="DH11">
        <v>2.1381939273927393</v>
      </c>
      <c r="DI11" t="s">
        <v>2560</v>
      </c>
      <c r="DJ11">
        <v>-3.2184615731239319E-2</v>
      </c>
      <c r="DK11">
        <v>1.0690969636963696</v>
      </c>
      <c r="DL11" t="s">
        <v>2561</v>
      </c>
      <c r="DM11">
        <v>-2.8161538764834401E-2</v>
      </c>
      <c r="DN11">
        <v>303000000</v>
      </c>
      <c r="DO11">
        <v>-4.0230769664049149E-2</v>
      </c>
      <c r="DP11">
        <v>6478727600</v>
      </c>
      <c r="DQ11">
        <v>2193805600</v>
      </c>
      <c r="DR11" s="25">
        <v>3023</v>
      </c>
      <c r="DS11">
        <v>-0.25929753222274332</v>
      </c>
      <c r="DT11">
        <v>-1.8103051999868498</v>
      </c>
      <c r="DU11">
        <v>-0.55666666666666675</v>
      </c>
      <c r="DV11">
        <v>7.9999999999999891E-2</v>
      </c>
      <c r="DW11">
        <v>-0.47666666666666685</v>
      </c>
      <c r="DX11">
        <v>-3.0027142857142857</v>
      </c>
      <c r="DY11">
        <v>0.7792030581039745</v>
      </c>
      <c r="DZ11">
        <v>-3.0004592654434252</v>
      </c>
      <c r="EA11">
        <v>2855</v>
      </c>
      <c r="EB11">
        <v>-3.0002030209953152</v>
      </c>
      <c r="EC11" s="22">
        <v>3</v>
      </c>
      <c r="ED11" s="22">
        <v>5.4427601052237699E-2</v>
      </c>
      <c r="EE11">
        <v>0.32167031531304746</v>
      </c>
      <c r="EF11">
        <v>-2.0036100000000001</v>
      </c>
      <c r="EG11">
        <v>-2.0632100000000002</v>
      </c>
      <c r="EH11">
        <v>61.169203058103975</v>
      </c>
      <c r="EI11" s="31" t="s">
        <v>939</v>
      </c>
      <c r="EJ11">
        <v>0</v>
      </c>
      <c r="EK11">
        <v>0</v>
      </c>
      <c r="EL11">
        <v>45412</v>
      </c>
      <c r="EM11">
        <v>-0.87</v>
      </c>
      <c r="EN11">
        <v>0.13</v>
      </c>
      <c r="EO11" s="32">
        <v>1.88</v>
      </c>
      <c r="EP11" s="32">
        <v>3.07</v>
      </c>
      <c r="EQ11" s="32">
        <v>-5.96</v>
      </c>
    </row>
    <row r="12" spans="1:147" ht="78.75">
      <c r="A12" s="37"/>
      <c r="B12" s="38"/>
      <c r="C12" s="38"/>
      <c r="D12" s="4" t="s">
        <v>2589</v>
      </c>
      <c r="E12">
        <v>832982</v>
      </c>
      <c r="F12" t="s">
        <v>2281</v>
      </c>
      <c r="G12">
        <v>270</v>
      </c>
      <c r="H12" s="5">
        <v>-3.3E-3</v>
      </c>
      <c r="I12" t="s">
        <v>2563</v>
      </c>
      <c r="J12">
        <v>18383220000</v>
      </c>
      <c r="K12">
        <v>79.510000000000005</v>
      </c>
      <c r="L12">
        <v>21.73</v>
      </c>
      <c r="M12" t="s">
        <v>2310</v>
      </c>
      <c r="N12" t="s">
        <v>2564</v>
      </c>
      <c r="O12" t="s">
        <v>2565</v>
      </c>
      <c r="P12" t="s">
        <v>2566</v>
      </c>
      <c r="Q12">
        <v>105.64</v>
      </c>
      <c r="R12" t="s">
        <v>120</v>
      </c>
      <c r="S12">
        <v>192274740</v>
      </c>
      <c r="T12" s="5">
        <v>6.968</v>
      </c>
      <c r="U12" t="s">
        <v>46</v>
      </c>
      <c r="V12">
        <v>23758489</v>
      </c>
      <c r="W12">
        <v>68086000</v>
      </c>
      <c r="X12">
        <v>1.61</v>
      </c>
      <c r="Y12">
        <v>0.48</v>
      </c>
      <c r="Z12">
        <v>37.020000000000003</v>
      </c>
      <c r="AA12" t="s">
        <v>2567</v>
      </c>
      <c r="AB12" t="s">
        <v>2568</v>
      </c>
      <c r="AC12" t="s">
        <v>274</v>
      </c>
      <c r="AD12" t="s">
        <v>2569</v>
      </c>
      <c r="AE12" t="s">
        <v>2570</v>
      </c>
      <c r="AF12">
        <v>8382624</v>
      </c>
      <c r="AG12" t="s">
        <v>2571</v>
      </c>
      <c r="AH12" t="s">
        <v>2572</v>
      </c>
      <c r="AI12" t="s">
        <v>2573</v>
      </c>
      <c r="AJ12" t="s">
        <v>1021</v>
      </c>
      <c r="AK12" t="s">
        <v>7</v>
      </c>
      <c r="AL12" t="s">
        <v>7</v>
      </c>
      <c r="AM12" t="s">
        <v>2574</v>
      </c>
      <c r="AN12" t="s">
        <v>7</v>
      </c>
      <c r="AO12" t="s">
        <v>292</v>
      </c>
      <c r="AP12" t="s">
        <v>2575</v>
      </c>
      <c r="AQ12" t="s">
        <v>7</v>
      </c>
      <c r="AR12" t="s">
        <v>2576</v>
      </c>
      <c r="AS12" t="s">
        <v>7</v>
      </c>
      <c r="AT12" t="s">
        <v>997</v>
      </c>
      <c r="AU12" t="s">
        <v>2577</v>
      </c>
      <c r="AV12" t="s">
        <v>2578</v>
      </c>
      <c r="AW12" t="s">
        <v>2579</v>
      </c>
      <c r="AX12" t="s">
        <v>316</v>
      </c>
      <c r="AY12" t="s">
        <v>117</v>
      </c>
      <c r="AZ12" t="s">
        <v>291</v>
      </c>
      <c r="BA12" t="s">
        <v>244</v>
      </c>
      <c r="BB12" t="s">
        <v>100</v>
      </c>
      <c r="BC12" t="s">
        <v>64</v>
      </c>
      <c r="BD12" t="s">
        <v>2580</v>
      </c>
      <c r="BE12" t="s">
        <v>2581</v>
      </c>
      <c r="BF12" t="s">
        <v>2582</v>
      </c>
      <c r="BG12" t="s">
        <v>2583</v>
      </c>
      <c r="BH12" t="s">
        <v>2584</v>
      </c>
      <c r="BI12" t="s">
        <v>1910</v>
      </c>
      <c r="BJ12" t="s">
        <v>60</v>
      </c>
      <c r="BK12" t="s">
        <v>153</v>
      </c>
      <c r="BL12" t="s">
        <v>46</v>
      </c>
      <c r="BM12" t="s">
        <v>2585</v>
      </c>
      <c r="BN12" t="s">
        <v>2586</v>
      </c>
      <c r="BO12">
        <v>7.78</v>
      </c>
      <c r="BP12">
        <v>15.84</v>
      </c>
      <c r="BQ12">
        <v>10.27</v>
      </c>
      <c r="BR12">
        <v>9.31</v>
      </c>
      <c r="BS12" t="s">
        <v>7</v>
      </c>
      <c r="BT12" t="s">
        <v>7</v>
      </c>
      <c r="BU12" t="s">
        <v>2106</v>
      </c>
      <c r="BV12" t="s">
        <v>1097</v>
      </c>
      <c r="BW12">
        <v>89.15</v>
      </c>
      <c r="BX12">
        <v>82.29</v>
      </c>
      <c r="BY12">
        <v>80.010000000000005</v>
      </c>
      <c r="BZ12">
        <v>34.380000000000003</v>
      </c>
      <c r="CA12">
        <v>24.38</v>
      </c>
      <c r="CB12">
        <v>20.010000000000002</v>
      </c>
      <c r="CC12">
        <v>-3.9</v>
      </c>
      <c r="CD12">
        <v>35.950000000000003</v>
      </c>
      <c r="CE12" t="s">
        <v>2587</v>
      </c>
      <c r="CF12" t="s">
        <v>2588</v>
      </c>
      <c r="CG12" s="23">
        <v>1.059760956175299</v>
      </c>
      <c r="CH12" s="24">
        <v>6.968</v>
      </c>
      <c r="CI12" s="23">
        <v>0.67381972074508667</v>
      </c>
      <c r="CJ12" s="23">
        <v>0.44720497727394104</v>
      </c>
      <c r="CK12" s="23">
        <v>3.2051283866167068E-2</v>
      </c>
      <c r="CL12" s="23">
        <v>0.21875</v>
      </c>
      <c r="CM12" s="23">
        <v>0.24271844327449799</v>
      </c>
      <c r="CN12" s="24">
        <v>0.89937496185302734</v>
      </c>
      <c r="CO12" s="24">
        <v>0.79624956846237183</v>
      </c>
      <c r="CP12" s="24">
        <v>-0.29424342513084412</v>
      </c>
      <c r="CQ12" s="24">
        <v>3.2822493463754654E-2</v>
      </c>
      <c r="CR12" s="24">
        <v>0.26729640364646912</v>
      </c>
      <c r="CS12">
        <v>342.5243673585619</v>
      </c>
      <c r="CT12">
        <v>10.607461833225283</v>
      </c>
      <c r="CU12">
        <v>0</v>
      </c>
      <c r="CV12" s="23">
        <v>0.32290888503193854</v>
      </c>
      <c r="CW12" s="24">
        <v>0.34030000045895575</v>
      </c>
      <c r="CX12">
        <v>0.06</v>
      </c>
      <c r="CY12">
        <v>132.68808723515872</v>
      </c>
      <c r="CZ12">
        <v>136034970.25328425</v>
      </c>
      <c r="DA12">
        <v>0.32290888503193854</v>
      </c>
      <c r="DB12">
        <v>35.7960267078344</v>
      </c>
      <c r="DC12">
        <v>504252054.21051627</v>
      </c>
      <c r="DD12">
        <v>0.30676344078034162</v>
      </c>
      <c r="DE12">
        <v>13.373953463734701</v>
      </c>
      <c r="DF12">
        <v>1349654763.5630431</v>
      </c>
      <c r="DG12">
        <v>0.28415981882810593</v>
      </c>
      <c r="DH12">
        <v>5.7269187010016314</v>
      </c>
      <c r="DI12">
        <v>3151820541.2699571</v>
      </c>
      <c r="DJ12">
        <v>0.25832710802555087</v>
      </c>
      <c r="DK12">
        <v>1.2915922025285915</v>
      </c>
      <c r="DL12">
        <v>13975169534.673952</v>
      </c>
      <c r="DM12">
        <v>0.22603621952235697</v>
      </c>
      <c r="DN12">
        <v>109000000.00000001</v>
      </c>
      <c r="DO12">
        <v>0.32290888503193854</v>
      </c>
      <c r="DP12">
        <v>18050220000</v>
      </c>
      <c r="DQ12">
        <v>393125710</v>
      </c>
      <c r="DR12">
        <v>74</v>
      </c>
      <c r="DS12">
        <v>0.73685207114336038</v>
      </c>
      <c r="DT12">
        <v>6.6276999995410444</v>
      </c>
      <c r="DU12">
        <v>0.25999999999999984</v>
      </c>
      <c r="DV12">
        <v>1.2</v>
      </c>
      <c r="DW12">
        <v>1.4599999999999997</v>
      </c>
      <c r="DX12">
        <v>-6.0978670012547047</v>
      </c>
      <c r="DY12">
        <v>0.36072032812099597</v>
      </c>
      <c r="DZ12">
        <v>-6.0186652265915148</v>
      </c>
      <c r="EA12">
        <v>0</v>
      </c>
      <c r="EB12">
        <v>-6.0186652265915148</v>
      </c>
      <c r="EC12">
        <v>6</v>
      </c>
      <c r="ED12">
        <v>3.2782069735334721E-2</v>
      </c>
      <c r="EE12">
        <v>0.17188555650207091</v>
      </c>
      <c r="EF12">
        <v>0</v>
      </c>
      <c r="EG12">
        <v>0</v>
      </c>
      <c r="EH12">
        <v>17.190720328120996</v>
      </c>
      <c r="EI12" t="s">
        <v>619</v>
      </c>
      <c r="EJ12">
        <v>0</v>
      </c>
      <c r="EK12">
        <v>0</v>
      </c>
      <c r="EL12">
        <v>0</v>
      </c>
      <c r="EM12">
        <v>0</v>
      </c>
      <c r="EN12">
        <v>0</v>
      </c>
      <c r="EO12">
        <v>0</v>
      </c>
      <c r="EP12">
        <v>0</v>
      </c>
      <c r="EQ12">
        <v>0</v>
      </c>
    </row>
    <row r="13" spans="1:147" ht="168.75">
      <c r="A13" s="37"/>
      <c r="B13" s="4" t="s">
        <v>2590</v>
      </c>
      <c r="C13" s="4"/>
      <c r="D13" s="4" t="s">
        <v>2625</v>
      </c>
      <c r="E13" t="s">
        <v>2282</v>
      </c>
      <c r="F13" t="s">
        <v>2283</v>
      </c>
      <c r="G13">
        <v>11.12</v>
      </c>
      <c r="H13">
        <v>2.21</v>
      </c>
      <c r="I13" t="s">
        <v>2284</v>
      </c>
      <c r="J13">
        <v>31723011000</v>
      </c>
      <c r="K13">
        <v>10.130000000000001</v>
      </c>
      <c r="L13">
        <v>2.2000000000000002</v>
      </c>
      <c r="M13" t="s">
        <v>838</v>
      </c>
      <c r="N13" t="s">
        <v>2591</v>
      </c>
      <c r="O13" t="s">
        <v>2592</v>
      </c>
      <c r="P13" t="s">
        <v>2593</v>
      </c>
      <c r="Q13">
        <v>-0.63</v>
      </c>
      <c r="R13" t="s">
        <v>2594</v>
      </c>
      <c r="S13">
        <v>751704570</v>
      </c>
      <c r="T13" s="5">
        <v>-6.13E-2</v>
      </c>
      <c r="U13" t="s">
        <v>2595</v>
      </c>
      <c r="V13">
        <v>2852788800</v>
      </c>
      <c r="W13">
        <v>2852788800</v>
      </c>
      <c r="X13">
        <v>1.64</v>
      </c>
      <c r="Y13">
        <v>1.17</v>
      </c>
      <c r="Z13">
        <v>11.46</v>
      </c>
      <c r="AA13" t="s">
        <v>2596</v>
      </c>
      <c r="AB13" t="s">
        <v>2597</v>
      </c>
      <c r="AC13" t="s">
        <v>2598</v>
      </c>
      <c r="AD13" t="s">
        <v>2070</v>
      </c>
      <c r="AE13" t="s">
        <v>2599</v>
      </c>
      <c r="AF13">
        <v>-34763973</v>
      </c>
      <c r="AG13" t="s">
        <v>2600</v>
      </c>
      <c r="AH13" t="s">
        <v>2601</v>
      </c>
      <c r="AI13" t="s">
        <v>2602</v>
      </c>
      <c r="AJ13" t="s">
        <v>2603</v>
      </c>
      <c r="AK13" t="s">
        <v>2604</v>
      </c>
      <c r="AL13" t="s">
        <v>234</v>
      </c>
      <c r="AM13" t="s">
        <v>2605</v>
      </c>
      <c r="AN13" t="s">
        <v>7</v>
      </c>
      <c r="AO13" t="s">
        <v>254</v>
      </c>
      <c r="AP13" t="s">
        <v>2606</v>
      </c>
      <c r="AQ13" t="s">
        <v>2607</v>
      </c>
      <c r="AR13" t="s">
        <v>2608</v>
      </c>
      <c r="AS13" t="s">
        <v>7</v>
      </c>
      <c r="AT13" t="s">
        <v>2609</v>
      </c>
      <c r="AU13" t="s">
        <v>2610</v>
      </c>
      <c r="AV13" t="s">
        <v>2611</v>
      </c>
      <c r="AW13" t="s">
        <v>2612</v>
      </c>
      <c r="AX13" t="s">
        <v>2613</v>
      </c>
      <c r="AY13" t="s">
        <v>2614</v>
      </c>
      <c r="AZ13" t="s">
        <v>2615</v>
      </c>
      <c r="BA13" t="s">
        <v>2616</v>
      </c>
      <c r="BB13" t="s">
        <v>2617</v>
      </c>
      <c r="BC13" t="s">
        <v>2618</v>
      </c>
      <c r="BD13" t="s">
        <v>2619</v>
      </c>
      <c r="BE13" t="s">
        <v>2543</v>
      </c>
      <c r="BF13" t="s">
        <v>1124</v>
      </c>
      <c r="BG13" t="s">
        <v>1854</v>
      </c>
      <c r="BH13" t="s">
        <v>2620</v>
      </c>
      <c r="BI13" t="s">
        <v>2594</v>
      </c>
      <c r="BJ13" t="s">
        <v>2621</v>
      </c>
      <c r="BK13" t="s">
        <v>2614</v>
      </c>
      <c r="BL13" t="s">
        <v>2595</v>
      </c>
      <c r="BM13" t="s">
        <v>2622</v>
      </c>
      <c r="BN13" t="s">
        <v>2619</v>
      </c>
      <c r="BO13">
        <v>7.34</v>
      </c>
      <c r="BP13">
        <v>25.51</v>
      </c>
      <c r="BQ13">
        <v>15.77</v>
      </c>
      <c r="BR13">
        <v>9.4600000000000009</v>
      </c>
      <c r="BS13">
        <v>35.950000000000003</v>
      </c>
      <c r="BT13">
        <v>26.32</v>
      </c>
      <c r="BU13" t="s">
        <v>2623</v>
      </c>
      <c r="BV13" t="s">
        <v>844</v>
      </c>
      <c r="BW13">
        <v>18.45</v>
      </c>
      <c r="BX13">
        <v>25.13</v>
      </c>
      <c r="BY13">
        <v>19.34</v>
      </c>
      <c r="BZ13">
        <v>10.53</v>
      </c>
      <c r="CA13">
        <v>15.77</v>
      </c>
      <c r="CB13">
        <v>10.4</v>
      </c>
      <c r="CC13">
        <v>6.62</v>
      </c>
      <c r="CD13">
        <v>6.01</v>
      </c>
      <c r="CE13" t="s">
        <v>139</v>
      </c>
      <c r="CF13" t="s">
        <v>2624</v>
      </c>
      <c r="CG13" s="23">
        <v>-6.6618705035971226E-2</v>
      </c>
      <c r="CH13" s="24">
        <v>-6.1542359550561795E-2</v>
      </c>
      <c r="CI13" s="23">
        <v>-6.2998523935675621E-3</v>
      </c>
      <c r="CJ13" s="23">
        <v>0.21143919229507446</v>
      </c>
      <c r="CK13" s="23">
        <v>0.35255131125450134</v>
      </c>
      <c r="CL13" s="23">
        <v>0.17149923741817474</v>
      </c>
      <c r="CM13" s="23">
        <v>0.15069584548473358</v>
      </c>
      <c r="CN13" s="24">
        <v>-0.27803000807762146</v>
      </c>
      <c r="CO13" s="24">
        <v>0.83430486917495728</v>
      </c>
      <c r="CP13" s="24">
        <v>1.4460283517837524</v>
      </c>
      <c r="CQ13" s="24">
        <v>-7.0778564549982548E-3</v>
      </c>
      <c r="CR13" s="24">
        <v>-1.2974051758646965E-2</v>
      </c>
      <c r="CS13">
        <v>14.684313068970837</v>
      </c>
      <c r="CT13">
        <v>0.8344443204705706</v>
      </c>
      <c r="CU13">
        <v>3.75</v>
      </c>
      <c r="CV13" s="23">
        <v>0.17597714681178331</v>
      </c>
      <c r="CW13" s="24">
        <v>0.39645026093348862</v>
      </c>
      <c r="CX13">
        <v>0.06</v>
      </c>
      <c r="CY13">
        <v>7.5244272048156269</v>
      </c>
      <c r="CZ13">
        <v>3529040852.8380017</v>
      </c>
      <c r="DA13">
        <v>0.17597714681178331</v>
      </c>
      <c r="DB13">
        <v>2.2879182651948993</v>
      </c>
      <c r="DC13">
        <v>11606188649.286369</v>
      </c>
      <c r="DD13">
        <v>0.16717828947119415</v>
      </c>
      <c r="DE13">
        <v>1.0197436036912026</v>
      </c>
      <c r="DF13">
        <v>26039889736.87257</v>
      </c>
      <c r="DG13">
        <v>0.1548598891943693</v>
      </c>
      <c r="DH13">
        <v>0.54514842832234633</v>
      </c>
      <c r="DI13">
        <v>48709690096.178009</v>
      </c>
      <c r="DJ13">
        <v>0.14078171744942666</v>
      </c>
      <c r="DK13">
        <v>0.21506774694279329</v>
      </c>
      <c r="DL13">
        <v>123468122847.18454</v>
      </c>
      <c r="DM13">
        <v>0.12318400276824831</v>
      </c>
      <c r="DN13">
        <v>3181000000</v>
      </c>
      <c r="DO13">
        <v>0.17597714681178331</v>
      </c>
      <c r="DP13">
        <v>26554011000</v>
      </c>
      <c r="DQ13">
        <v>3079806599.999999</v>
      </c>
      <c r="DR13">
        <v>3544</v>
      </c>
      <c r="DS13">
        <v>-0.24259585184775453</v>
      </c>
      <c r="DT13">
        <v>-0.45799262048405043</v>
      </c>
      <c r="DU13" s="25">
        <v>5.9999999999999908E-2</v>
      </c>
      <c r="DV13">
        <v>0.40000000000000008</v>
      </c>
      <c r="DW13">
        <v>0.45999999999999996</v>
      </c>
      <c r="DX13">
        <v>5.9078549848942599</v>
      </c>
      <c r="DY13">
        <v>0.61261044176706658</v>
      </c>
      <c r="DZ13">
        <v>5.138548150305148</v>
      </c>
      <c r="EA13">
        <v>767</v>
      </c>
      <c r="EB13">
        <v>5.1177808195871393</v>
      </c>
      <c r="EC13">
        <v>5</v>
      </c>
      <c r="ED13">
        <v>3.9960897210476985E-2</v>
      </c>
      <c r="EE13">
        <v>0.26184903698444134</v>
      </c>
      <c r="EF13" s="22">
        <v>1.0642</v>
      </c>
      <c r="EG13">
        <v>1.0863</v>
      </c>
      <c r="EH13">
        <v>46.152610441767067</v>
      </c>
      <c r="EI13" t="s">
        <v>621</v>
      </c>
      <c r="EJ13">
        <v>1</v>
      </c>
      <c r="EK13">
        <v>1</v>
      </c>
      <c r="EL13" s="31">
        <v>45412</v>
      </c>
      <c r="EM13">
        <v>1.34</v>
      </c>
      <c r="EN13">
        <v>-0.66</v>
      </c>
      <c r="EO13">
        <v>1.05</v>
      </c>
      <c r="EP13">
        <v>2.54</v>
      </c>
      <c r="EQ13">
        <v>2.21</v>
      </c>
    </row>
    <row r="14" spans="1:147" ht="315">
      <c r="A14" s="37"/>
      <c r="B14" s="4" t="s">
        <v>865</v>
      </c>
      <c r="C14" s="4" t="s">
        <v>2626</v>
      </c>
      <c r="D14" s="4" t="s">
        <v>2652</v>
      </c>
      <c r="E14" t="s">
        <v>839</v>
      </c>
      <c r="F14" t="s">
        <v>840</v>
      </c>
      <c r="G14">
        <v>51.3</v>
      </c>
      <c r="H14">
        <v>4.3499999999999996</v>
      </c>
      <c r="I14" t="s">
        <v>2285</v>
      </c>
      <c r="J14">
        <v>29927293000</v>
      </c>
      <c r="K14">
        <v>72.23</v>
      </c>
      <c r="L14">
        <v>2.66</v>
      </c>
      <c r="M14" t="s">
        <v>838</v>
      </c>
      <c r="N14" t="s">
        <v>2627</v>
      </c>
      <c r="O14" t="s">
        <v>2628</v>
      </c>
      <c r="P14" t="s">
        <v>352</v>
      </c>
      <c r="Q14">
        <v>-13.39</v>
      </c>
      <c r="R14" t="s">
        <v>2629</v>
      </c>
      <c r="S14">
        <v>105258700</v>
      </c>
      <c r="T14" s="5">
        <v>0.83250000000000002</v>
      </c>
      <c r="U14" t="s">
        <v>2630</v>
      </c>
      <c r="V14">
        <v>583378040</v>
      </c>
      <c r="W14">
        <v>583378040</v>
      </c>
      <c r="X14">
        <v>1.27</v>
      </c>
      <c r="Y14">
        <v>0.12</v>
      </c>
      <c r="Z14">
        <v>19.32</v>
      </c>
      <c r="AA14" t="s">
        <v>2631</v>
      </c>
      <c r="AB14" t="s">
        <v>2632</v>
      </c>
      <c r="AC14" t="s">
        <v>2633</v>
      </c>
      <c r="AD14" t="s">
        <v>218</v>
      </c>
      <c r="AE14" t="s">
        <v>302</v>
      </c>
      <c r="AF14">
        <v>-37427458</v>
      </c>
      <c r="AG14" t="s">
        <v>2634</v>
      </c>
      <c r="AH14" t="s">
        <v>2635</v>
      </c>
      <c r="AI14" t="s">
        <v>2636</v>
      </c>
      <c r="AJ14" t="s">
        <v>2637</v>
      </c>
      <c r="AK14" t="s">
        <v>2638</v>
      </c>
      <c r="AL14" t="s">
        <v>2639</v>
      </c>
      <c r="AM14" t="s">
        <v>2640</v>
      </c>
      <c r="AN14" t="s">
        <v>7</v>
      </c>
      <c r="AO14" t="s">
        <v>2641</v>
      </c>
      <c r="AP14" t="s">
        <v>2642</v>
      </c>
      <c r="AQ14" t="s">
        <v>2643</v>
      </c>
      <c r="AR14" t="s">
        <v>2644</v>
      </c>
      <c r="AS14" t="s">
        <v>2645</v>
      </c>
      <c r="AT14" t="s">
        <v>2646</v>
      </c>
      <c r="AU14" t="s">
        <v>2159</v>
      </c>
      <c r="AV14" t="s">
        <v>2389</v>
      </c>
      <c r="AW14" t="s">
        <v>2647</v>
      </c>
      <c r="AX14" t="s">
        <v>1734</v>
      </c>
      <c r="AY14" t="s">
        <v>2155</v>
      </c>
      <c r="AZ14" t="s">
        <v>2157</v>
      </c>
      <c r="BA14" t="s">
        <v>853</v>
      </c>
      <c r="BB14" t="s">
        <v>854</v>
      </c>
      <c r="BC14" t="s">
        <v>855</v>
      </c>
      <c r="BD14" t="s">
        <v>2156</v>
      </c>
      <c r="BE14" t="s">
        <v>277</v>
      </c>
      <c r="BF14" t="s">
        <v>253</v>
      </c>
      <c r="BG14" t="s">
        <v>856</v>
      </c>
      <c r="BH14" t="s">
        <v>857</v>
      </c>
      <c r="BI14" t="s">
        <v>2629</v>
      </c>
      <c r="BJ14" t="s">
        <v>260</v>
      </c>
      <c r="BK14" t="s">
        <v>2155</v>
      </c>
      <c r="BL14" t="s">
        <v>2630</v>
      </c>
      <c r="BM14" t="s">
        <v>2648</v>
      </c>
      <c r="BN14" t="s">
        <v>2156</v>
      </c>
      <c r="BO14">
        <v>1.06</v>
      </c>
      <c r="BP14">
        <v>2.67</v>
      </c>
      <c r="BQ14">
        <v>3.53</v>
      </c>
      <c r="BR14">
        <v>2.19</v>
      </c>
      <c r="BS14">
        <v>5.12</v>
      </c>
      <c r="BT14">
        <v>5.76</v>
      </c>
      <c r="BU14" t="s">
        <v>2649</v>
      </c>
      <c r="BV14" t="s">
        <v>847</v>
      </c>
      <c r="BW14">
        <v>28.48</v>
      </c>
      <c r="BX14">
        <v>35.24</v>
      </c>
      <c r="BY14">
        <v>39.03</v>
      </c>
      <c r="BZ14">
        <v>22.57</v>
      </c>
      <c r="CA14">
        <v>25.1</v>
      </c>
      <c r="CB14">
        <v>29.43</v>
      </c>
      <c r="CC14">
        <v>26.2</v>
      </c>
      <c r="CD14">
        <v>11.26</v>
      </c>
      <c r="CE14" t="s">
        <v>2650</v>
      </c>
      <c r="CF14" t="s">
        <v>2651</v>
      </c>
      <c r="CG14" s="23">
        <v>0.35643564356435642</v>
      </c>
      <c r="CH14" s="24">
        <v>0.83245359618672243</v>
      </c>
      <c r="CI14" s="23">
        <v>-0.13396146893501282</v>
      </c>
      <c r="CJ14" s="23">
        <v>3.3008832484483719E-2</v>
      </c>
      <c r="CK14" s="23">
        <v>0.57849043607711792</v>
      </c>
      <c r="CL14" s="23">
        <v>-0.21868479251861572</v>
      </c>
      <c r="CM14" s="23">
        <v>9.0495198965072632E-2</v>
      </c>
      <c r="CN14" s="24">
        <v>-0.33634719252586365</v>
      </c>
      <c r="CO14" s="24">
        <v>-7.0588238537311554E-2</v>
      </c>
      <c r="CP14" s="24">
        <v>0.29912662506103516</v>
      </c>
      <c r="CQ14" s="24">
        <v>-4.384133592247963E-2</v>
      </c>
      <c r="CR14" s="24">
        <v>2.7896996587514877E-2</v>
      </c>
      <c r="CS14">
        <v>61.536586017820426</v>
      </c>
      <c r="CT14">
        <v>8.8073424949767247</v>
      </c>
      <c r="CU14">
        <v>0.37037037037037035</v>
      </c>
      <c r="CV14" s="23">
        <v>6.9869641214609146E-2</v>
      </c>
      <c r="CW14" s="24">
        <v>-2.4750629067420961E-2</v>
      </c>
      <c r="CX14">
        <v>0.06</v>
      </c>
      <c r="CY14">
        <v>51.872042133341374</v>
      </c>
      <c r="CZ14">
        <v>370417130.49600148</v>
      </c>
      <c r="DA14">
        <v>6.9869641214609146E-2</v>
      </c>
      <c r="DB14">
        <v>17.24339432244528</v>
      </c>
      <c r="DC14">
        <v>1114298765.1212761</v>
      </c>
      <c r="DD14">
        <v>6.6376159153878692E-2</v>
      </c>
      <c r="DE14">
        <v>8.6831531064156824</v>
      </c>
      <c r="DF14">
        <v>2212824392.7661738</v>
      </c>
      <c r="DG14">
        <v>6.148528426885605E-2</v>
      </c>
      <c r="DH14">
        <v>5.3480812356700715</v>
      </c>
      <c r="DI14">
        <v>3592745164.7231016</v>
      </c>
      <c r="DJ14">
        <v>5.5895712971687321E-2</v>
      </c>
      <c r="DK14">
        <v>2.9180683343654272</v>
      </c>
      <c r="DL14">
        <v>6584593230.2947264</v>
      </c>
      <c r="DM14">
        <v>4.8908748850226398E-2</v>
      </c>
      <c r="DN14">
        <v>367000000</v>
      </c>
      <c r="DO14">
        <v>6.9869641214609146E-2</v>
      </c>
      <c r="DP14">
        <v>19214293000</v>
      </c>
      <c r="DQ14">
        <v>3741482600</v>
      </c>
      <c r="DR14">
        <v>4604</v>
      </c>
      <c r="DS14">
        <v>0.28656600234974727</v>
      </c>
      <c r="DT14">
        <v>0.85720422525414341</v>
      </c>
      <c r="DU14" s="25">
        <v>-0.42333333333333334</v>
      </c>
      <c r="DV14">
        <v>-3.3333333333333326E-2</v>
      </c>
      <c r="DW14">
        <v>-0.45666666666666667</v>
      </c>
      <c r="DX14">
        <v>5.4297709923664126</v>
      </c>
      <c r="DY14">
        <v>1.173105972910675</v>
      </c>
      <c r="DZ14">
        <v>5.1689455440829821</v>
      </c>
      <c r="EA14">
        <v>2809</v>
      </c>
      <c r="EB14">
        <v>5.0762021332310967</v>
      </c>
      <c r="EC14">
        <v>5</v>
      </c>
      <c r="ED14">
        <v>3.4053732979047346E-2</v>
      </c>
      <c r="EE14">
        <v>8.6627360879062226E-2</v>
      </c>
      <c r="EF14" s="22">
        <v>0.13350000000000001</v>
      </c>
      <c r="EG14">
        <v>1.0269999999999999</v>
      </c>
      <c r="EH14">
        <v>78.393105972910675</v>
      </c>
      <c r="EI14" t="s">
        <v>621</v>
      </c>
      <c r="EJ14">
        <v>1</v>
      </c>
      <c r="EK14">
        <v>0</v>
      </c>
      <c r="EL14" s="31">
        <v>45412</v>
      </c>
      <c r="EM14">
        <v>-0.71</v>
      </c>
      <c r="EN14">
        <v>2.11</v>
      </c>
      <c r="EO14">
        <v>5.58</v>
      </c>
      <c r="EP14">
        <v>12.99</v>
      </c>
      <c r="EQ14">
        <v>4.3499999999999996</v>
      </c>
    </row>
    <row r="15" spans="1:147" ht="135">
      <c r="A15" s="37"/>
      <c r="B15" s="4" t="s">
        <v>2653</v>
      </c>
      <c r="C15" s="4" t="s">
        <v>2654</v>
      </c>
      <c r="D15" s="4" t="s">
        <v>2674</v>
      </c>
      <c r="E15" t="s">
        <v>841</v>
      </c>
      <c r="F15" t="s">
        <v>842</v>
      </c>
      <c r="G15">
        <v>118.42</v>
      </c>
      <c r="H15">
        <v>1.07</v>
      </c>
      <c r="I15" t="s">
        <v>2286</v>
      </c>
      <c r="J15">
        <v>18655908000</v>
      </c>
      <c r="K15">
        <v>41.05</v>
      </c>
      <c r="L15">
        <v>9.8000000000000007</v>
      </c>
      <c r="M15" t="s">
        <v>838</v>
      </c>
      <c r="N15" t="s">
        <v>2655</v>
      </c>
      <c r="O15" t="s">
        <v>2656</v>
      </c>
      <c r="P15" t="s">
        <v>2657</v>
      </c>
      <c r="Q15">
        <v>36.630000000000003</v>
      </c>
      <c r="R15" t="s">
        <v>2658</v>
      </c>
      <c r="S15">
        <v>86574111</v>
      </c>
      <c r="T15" s="5">
        <v>6.6199999999999995E-2</v>
      </c>
      <c r="U15" t="s">
        <v>2424</v>
      </c>
      <c r="V15">
        <v>157192180</v>
      </c>
      <c r="W15">
        <v>157540180</v>
      </c>
      <c r="X15">
        <v>2.17</v>
      </c>
      <c r="Y15">
        <v>0.65</v>
      </c>
      <c r="Z15">
        <v>23.04</v>
      </c>
      <c r="AA15" t="s">
        <v>731</v>
      </c>
      <c r="AB15" t="s">
        <v>2659</v>
      </c>
      <c r="AC15" t="s">
        <v>2660</v>
      </c>
      <c r="AD15" t="s">
        <v>191</v>
      </c>
      <c r="AE15" t="s">
        <v>46</v>
      </c>
      <c r="AF15">
        <v>4602278</v>
      </c>
      <c r="AG15" t="s">
        <v>63</v>
      </c>
      <c r="AH15" t="s">
        <v>2661</v>
      </c>
      <c r="AI15" t="s">
        <v>2662</v>
      </c>
      <c r="AJ15" t="s">
        <v>570</v>
      </c>
      <c r="AK15" t="s">
        <v>2663</v>
      </c>
      <c r="AL15" t="s">
        <v>2664</v>
      </c>
      <c r="AM15" t="s">
        <v>2665</v>
      </c>
      <c r="AN15" t="s">
        <v>7</v>
      </c>
      <c r="AO15" t="s">
        <v>2666</v>
      </c>
      <c r="AP15" t="s">
        <v>2667</v>
      </c>
      <c r="AQ15" t="s">
        <v>7</v>
      </c>
      <c r="AR15" t="s">
        <v>2126</v>
      </c>
      <c r="AS15" t="s">
        <v>7</v>
      </c>
      <c r="AT15" t="s">
        <v>2668</v>
      </c>
      <c r="AU15" t="s">
        <v>326</v>
      </c>
      <c r="AV15" t="s">
        <v>165</v>
      </c>
      <c r="AW15" t="s">
        <v>2669</v>
      </c>
      <c r="AX15" t="s">
        <v>2670</v>
      </c>
      <c r="AY15" t="s">
        <v>2158</v>
      </c>
      <c r="AZ15" t="s">
        <v>860</v>
      </c>
      <c r="BA15" t="s">
        <v>211</v>
      </c>
      <c r="BB15" t="s">
        <v>861</v>
      </c>
      <c r="BC15" t="s">
        <v>176</v>
      </c>
      <c r="BD15" t="s">
        <v>1863</v>
      </c>
      <c r="BE15" t="s">
        <v>568</v>
      </c>
      <c r="BF15" t="s">
        <v>236</v>
      </c>
      <c r="BG15" t="s">
        <v>862</v>
      </c>
      <c r="BH15" t="s">
        <v>863</v>
      </c>
      <c r="BI15" t="s">
        <v>2658</v>
      </c>
      <c r="BJ15" t="s">
        <v>180</v>
      </c>
      <c r="BK15" t="s">
        <v>2158</v>
      </c>
      <c r="BL15" t="s">
        <v>2424</v>
      </c>
      <c r="BM15" t="s">
        <v>2671</v>
      </c>
      <c r="BN15" t="s">
        <v>1863</v>
      </c>
      <c r="BO15">
        <v>11.07</v>
      </c>
      <c r="BP15">
        <v>22.99</v>
      </c>
      <c r="BQ15">
        <v>19.170000000000002</v>
      </c>
      <c r="BR15">
        <v>12.26</v>
      </c>
      <c r="BS15">
        <v>24.12</v>
      </c>
      <c r="BT15">
        <v>18.12</v>
      </c>
      <c r="BU15" t="s">
        <v>2161</v>
      </c>
      <c r="BV15" t="s">
        <v>844</v>
      </c>
      <c r="BW15">
        <v>41.29</v>
      </c>
      <c r="BX15">
        <v>38.659999999999997</v>
      </c>
      <c r="BY15">
        <v>32.33</v>
      </c>
      <c r="BZ15">
        <v>23.41</v>
      </c>
      <c r="CA15">
        <v>22.51</v>
      </c>
      <c r="CB15">
        <v>17.63</v>
      </c>
      <c r="CC15">
        <v>12.67</v>
      </c>
      <c r="CD15">
        <v>-7.0000000000000007E-2</v>
      </c>
      <c r="CE15" t="s">
        <v>2672</v>
      </c>
      <c r="CF15" t="s">
        <v>2673</v>
      </c>
      <c r="CG15" s="23">
        <v>0.2525</v>
      </c>
      <c r="CH15" s="24">
        <v>6.6205955050783083E-2</v>
      </c>
      <c r="CI15" s="23">
        <v>0.36575046181678772</v>
      </c>
      <c r="CJ15" s="23">
        <v>0.48742145299911499</v>
      </c>
      <c r="CK15" s="23">
        <v>0.95893222093582153</v>
      </c>
      <c r="CL15" s="23">
        <v>-8.1466399133205414E-3</v>
      </c>
      <c r="CM15" s="23">
        <v>0.16627077758312225</v>
      </c>
      <c r="CN15" s="24">
        <v>0.40312498807907104</v>
      </c>
      <c r="CO15" s="24">
        <v>0.9047619104385376</v>
      </c>
      <c r="CP15" s="24">
        <v>0.38842976093292236</v>
      </c>
      <c r="CQ15" s="24">
        <v>-3.9682541042566299E-2</v>
      </c>
      <c r="CR15" s="24">
        <v>0.66872602701187134</v>
      </c>
      <c r="CS15">
        <v>88.872451412922217</v>
      </c>
      <c r="CT15">
        <v>2.255384632629017</v>
      </c>
      <c r="CU15">
        <v>0.76000675561560549</v>
      </c>
      <c r="CV15" s="23">
        <v>0.39404565468430519</v>
      </c>
      <c r="CW15" s="24">
        <v>0.46507202908396722</v>
      </c>
      <c r="CX15">
        <v>0.06</v>
      </c>
      <c r="CY15">
        <v>32.133808863558208</v>
      </c>
      <c r="CZ15">
        <v>590496697.12571037</v>
      </c>
      <c r="DA15">
        <v>0.39404565468430519</v>
      </c>
      <c r="DB15">
        <v>8.1945213361262397</v>
      </c>
      <c r="DC15">
        <v>2315560265.4114175</v>
      </c>
      <c r="DD15">
        <v>0.37434337195008993</v>
      </c>
      <c r="DE15">
        <v>2.806400672360907</v>
      </c>
      <c r="DF15">
        <v>6761296840.7811871</v>
      </c>
      <c r="DG15">
        <v>0.34676017612218857</v>
      </c>
      <c r="DH15">
        <v>1.0721406031364915</v>
      </c>
      <c r="DI15">
        <v>17698152597.233883</v>
      </c>
      <c r="DJ15">
        <v>0.31523652374744415</v>
      </c>
      <c r="DK15">
        <v>0.18001276972107486</v>
      </c>
      <c r="DL15">
        <v>105408677558.82614</v>
      </c>
      <c r="DM15">
        <v>0.27583195827901363</v>
      </c>
      <c r="DN15">
        <v>449000000</v>
      </c>
      <c r="DO15">
        <v>0.39404565468430519</v>
      </c>
      <c r="DP15">
        <v>18974908000</v>
      </c>
      <c r="DQ15">
        <v>-467685860.00000024</v>
      </c>
      <c r="DR15">
        <v>5044</v>
      </c>
      <c r="DS15">
        <v>-0.14154565468430519</v>
      </c>
      <c r="DT15">
        <v>-0.39886607403318414</v>
      </c>
      <c r="DU15" s="25">
        <v>0.24333333333333326</v>
      </c>
      <c r="DV15">
        <v>0.79999999999999993</v>
      </c>
      <c r="DW15">
        <v>1.0433333333333332</v>
      </c>
      <c r="DX15">
        <v>5.0055248618784534</v>
      </c>
      <c r="DY15">
        <v>0.80702118078201435</v>
      </c>
      <c r="DZ15">
        <v>5.0011437634297344</v>
      </c>
      <c r="EA15">
        <v>188</v>
      </c>
      <c r="EB15">
        <v>5.0011017412439243</v>
      </c>
      <c r="EC15">
        <v>5</v>
      </c>
      <c r="ED15">
        <v>3.3849777244129083E-2</v>
      </c>
      <c r="EE15">
        <v>0.16350876328819733</v>
      </c>
      <c r="EF15" s="22">
        <v>-1.0213000000000001</v>
      </c>
      <c r="EG15">
        <v>-1.032</v>
      </c>
      <c r="EH15">
        <v>60.207021180782014</v>
      </c>
      <c r="EI15" t="s">
        <v>622</v>
      </c>
      <c r="EJ15">
        <v>1</v>
      </c>
      <c r="EK15">
        <v>1</v>
      </c>
      <c r="EL15" s="31">
        <v>45412</v>
      </c>
      <c r="EM15">
        <v>2.1</v>
      </c>
      <c r="EN15">
        <v>-0.28999999999999998</v>
      </c>
      <c r="EO15">
        <v>0.49</v>
      </c>
      <c r="EP15">
        <v>8.98</v>
      </c>
      <c r="EQ15">
        <v>1.07</v>
      </c>
    </row>
    <row r="16" spans="1:147" ht="78.75">
      <c r="A16" s="37" t="s">
        <v>2308</v>
      </c>
      <c r="B16" s="4"/>
      <c r="C16" s="4"/>
      <c r="D16" s="4" t="s">
        <v>2707</v>
      </c>
      <c r="E16" t="s">
        <v>2287</v>
      </c>
      <c r="F16" t="s">
        <v>2288</v>
      </c>
      <c r="G16">
        <v>7.14</v>
      </c>
      <c r="H16">
        <v>10.02</v>
      </c>
      <c r="I16" t="s">
        <v>191</v>
      </c>
      <c r="J16">
        <v>6397837200</v>
      </c>
      <c r="K16">
        <v>23.89</v>
      </c>
      <c r="L16">
        <v>1.74</v>
      </c>
      <c r="M16" t="s">
        <v>26</v>
      </c>
      <c r="N16" t="s">
        <v>2675</v>
      </c>
      <c r="O16" t="s">
        <v>2676</v>
      </c>
      <c r="P16" t="s">
        <v>2677</v>
      </c>
      <c r="Q16">
        <v>9.34</v>
      </c>
      <c r="R16" t="s">
        <v>2678</v>
      </c>
      <c r="S16">
        <v>67307574</v>
      </c>
      <c r="T16" s="5">
        <v>0.47320000000000001</v>
      </c>
      <c r="U16" t="s">
        <v>329</v>
      </c>
      <c r="V16">
        <v>896055620</v>
      </c>
      <c r="W16">
        <v>896055620</v>
      </c>
      <c r="X16">
        <v>2.35</v>
      </c>
      <c r="Y16">
        <v>0.7</v>
      </c>
      <c r="Z16">
        <v>4.18</v>
      </c>
      <c r="AA16" t="s">
        <v>2679</v>
      </c>
      <c r="AB16" t="s">
        <v>2680</v>
      </c>
      <c r="AC16" t="s">
        <v>2681</v>
      </c>
      <c r="AD16" t="s">
        <v>117</v>
      </c>
      <c r="AE16" t="s">
        <v>120</v>
      </c>
      <c r="AF16">
        <v>17584958</v>
      </c>
      <c r="AG16" t="s">
        <v>2682</v>
      </c>
      <c r="AH16" t="s">
        <v>2683</v>
      </c>
      <c r="AI16" t="s">
        <v>2684</v>
      </c>
      <c r="AJ16" t="s">
        <v>328</v>
      </c>
      <c r="AK16" t="s">
        <v>2685</v>
      </c>
      <c r="AL16" t="s">
        <v>7</v>
      </c>
      <c r="AM16" t="s">
        <v>2686</v>
      </c>
      <c r="AN16" t="s">
        <v>7</v>
      </c>
      <c r="AO16" t="s">
        <v>237</v>
      </c>
      <c r="AP16" t="s">
        <v>2687</v>
      </c>
      <c r="AQ16" t="s">
        <v>1208</v>
      </c>
      <c r="AR16" t="s">
        <v>2688</v>
      </c>
      <c r="AS16" t="s">
        <v>2689</v>
      </c>
      <c r="AT16" t="s">
        <v>2690</v>
      </c>
      <c r="AU16" t="s">
        <v>2691</v>
      </c>
      <c r="AV16" t="s">
        <v>2692</v>
      </c>
      <c r="AW16" t="s">
        <v>2693</v>
      </c>
      <c r="AX16" t="s">
        <v>2694</v>
      </c>
      <c r="AY16" t="s">
        <v>2695</v>
      </c>
      <c r="AZ16" t="s">
        <v>2696</v>
      </c>
      <c r="BA16" t="s">
        <v>2697</v>
      </c>
      <c r="BB16" t="s">
        <v>2698</v>
      </c>
      <c r="BC16" t="s">
        <v>2699</v>
      </c>
      <c r="BD16" t="s">
        <v>289</v>
      </c>
      <c r="BE16" t="s">
        <v>2700</v>
      </c>
      <c r="BF16" t="s">
        <v>2701</v>
      </c>
      <c r="BG16" t="s">
        <v>236</v>
      </c>
      <c r="BH16" t="s">
        <v>291</v>
      </c>
      <c r="BI16" t="s">
        <v>2678</v>
      </c>
      <c r="BJ16" t="s">
        <v>2702</v>
      </c>
      <c r="BK16" t="s">
        <v>2695</v>
      </c>
      <c r="BL16" t="s">
        <v>329</v>
      </c>
      <c r="BM16" t="s">
        <v>2703</v>
      </c>
      <c r="BN16" t="s">
        <v>289</v>
      </c>
      <c r="BO16">
        <v>2.52</v>
      </c>
      <c r="BP16">
        <v>3.61</v>
      </c>
      <c r="BQ16">
        <v>2.2799999999999998</v>
      </c>
      <c r="BR16">
        <v>3.83</v>
      </c>
      <c r="BS16">
        <v>4.1500000000000004</v>
      </c>
      <c r="BT16">
        <v>2.56</v>
      </c>
      <c r="BU16" t="s">
        <v>2704</v>
      </c>
      <c r="BV16" t="s">
        <v>888</v>
      </c>
      <c r="BW16">
        <v>23.2</v>
      </c>
      <c r="BX16">
        <v>22.19</v>
      </c>
      <c r="BY16">
        <v>23.92</v>
      </c>
      <c r="BZ16">
        <v>4.2300000000000004</v>
      </c>
      <c r="CA16">
        <v>2.5499999999999998</v>
      </c>
      <c r="CB16">
        <v>1.83</v>
      </c>
      <c r="CC16">
        <v>19</v>
      </c>
      <c r="CD16">
        <v>12.09</v>
      </c>
      <c r="CE16" t="s">
        <v>2705</v>
      </c>
      <c r="CF16" t="s">
        <v>2706</v>
      </c>
      <c r="CG16" s="23">
        <v>7.724550898203579E-2</v>
      </c>
      <c r="CH16" s="24">
        <v>0.47318092478211193</v>
      </c>
      <c r="CI16" s="23">
        <v>9.3577586114406586E-2</v>
      </c>
      <c r="CJ16" s="23">
        <v>0.14155156910419464</v>
      </c>
      <c r="CK16" s="23">
        <v>0.17098699510097504</v>
      </c>
      <c r="CL16" s="23">
        <v>0.12643986940383911</v>
      </c>
      <c r="CM16" s="23">
        <v>0.12102104723453522</v>
      </c>
      <c r="CN16" s="24">
        <v>0.78260868787765503</v>
      </c>
      <c r="CO16" s="24">
        <v>0.5488440990447998</v>
      </c>
      <c r="CP16" s="24">
        <v>-0.60921621322631836</v>
      </c>
      <c r="CQ16" s="24">
        <v>0.88429754972457886</v>
      </c>
      <c r="CR16" s="24">
        <v>-0.24844720959663391</v>
      </c>
      <c r="CS16">
        <v>39.046967715449121</v>
      </c>
      <c r="CT16">
        <v>2.9871739454684154</v>
      </c>
      <c r="CU16">
        <v>1.2605042016806725</v>
      </c>
      <c r="CV16" s="23">
        <v>0.13071541339159012</v>
      </c>
      <c r="CW16" s="24">
        <v>0.27161738276481628</v>
      </c>
      <c r="CX16">
        <v>0.06</v>
      </c>
      <c r="CY16">
        <v>29.4112213156641</v>
      </c>
      <c r="CZ16">
        <v>262411312.91918036</v>
      </c>
      <c r="DA16">
        <v>0.13071541339159012</v>
      </c>
      <c r="DB16">
        <v>9.2870853831330145</v>
      </c>
      <c r="DC16">
        <v>831028991.50867653</v>
      </c>
      <c r="DD16">
        <v>0.12417964272201061</v>
      </c>
      <c r="DE16">
        <v>4.3637148286203757</v>
      </c>
      <c r="DF16">
        <v>1768639222.1097679</v>
      </c>
      <c r="DG16">
        <v>0.1150295637845993</v>
      </c>
      <c r="DH16">
        <v>2.4839330473024841</v>
      </c>
      <c r="DI16">
        <v>3107103554.3335042</v>
      </c>
      <c r="DJ16">
        <v>0.1045723307132721</v>
      </c>
      <c r="DK16">
        <v>1.1371433607906891</v>
      </c>
      <c r="DL16">
        <v>6787039757.7958517</v>
      </c>
      <c r="DM16">
        <v>9.1500789374113087E-2</v>
      </c>
      <c r="DN16">
        <v>246000000</v>
      </c>
      <c r="DO16">
        <v>0.13071541339159012</v>
      </c>
      <c r="DP16">
        <v>7717837200</v>
      </c>
      <c r="DQ16">
        <v>222471700</v>
      </c>
      <c r="DR16">
        <v>3470</v>
      </c>
      <c r="DS16">
        <v>-5.3469904409554334E-2</v>
      </c>
      <c r="DT16">
        <v>0.20156354201729565</v>
      </c>
      <c r="DU16" s="25">
        <v>-0.3066666666666667</v>
      </c>
      <c r="DV16">
        <v>0.56999999999999995</v>
      </c>
      <c r="DW16">
        <v>0.26333333333333325</v>
      </c>
      <c r="DX16">
        <v>5.6363157894736844</v>
      </c>
      <c r="DY16">
        <v>1.7655555555555542</v>
      </c>
      <c r="DZ16">
        <v>5.2262456140350881</v>
      </c>
      <c r="EA16">
        <v>1122</v>
      </c>
      <c r="EB16">
        <v>5.1766369411901847</v>
      </c>
      <c r="EC16">
        <v>5</v>
      </c>
      <c r="ED16">
        <v>0.23212844756221718</v>
      </c>
      <c r="EE16">
        <v>0.6528612587687358</v>
      </c>
      <c r="EF16" s="22">
        <v>-1.0739000000000001</v>
      </c>
      <c r="EG16">
        <v>2.4099999999999983E-2</v>
      </c>
      <c r="EH16">
        <v>141.35555555555555</v>
      </c>
      <c r="EI16" t="s">
        <v>619</v>
      </c>
      <c r="EJ16">
        <v>1</v>
      </c>
      <c r="EK16">
        <v>1</v>
      </c>
      <c r="EL16" s="31">
        <v>45412</v>
      </c>
      <c r="EM16" s="32">
        <v>0.5</v>
      </c>
      <c r="EN16" s="32">
        <v>0.83</v>
      </c>
      <c r="EO16" s="32">
        <v>1.48</v>
      </c>
      <c r="EP16" s="32">
        <v>5.19</v>
      </c>
      <c r="EQ16" s="32">
        <v>10.02</v>
      </c>
    </row>
    <row r="17" spans="1:147" ht="78.75">
      <c r="A17" s="37"/>
      <c r="D17" s="4" t="s">
        <v>2734</v>
      </c>
      <c r="E17" t="s">
        <v>2289</v>
      </c>
      <c r="F17" t="s">
        <v>2290</v>
      </c>
      <c r="G17">
        <v>13.18</v>
      </c>
      <c r="H17">
        <v>20.04</v>
      </c>
      <c r="I17" t="s">
        <v>2291</v>
      </c>
      <c r="J17">
        <v>29296504000</v>
      </c>
      <c r="K17">
        <v>26.21</v>
      </c>
      <c r="L17">
        <v>4</v>
      </c>
      <c r="M17" t="s">
        <v>26</v>
      </c>
      <c r="N17" t="s">
        <v>2708</v>
      </c>
      <c r="O17" t="s">
        <v>2709</v>
      </c>
      <c r="P17" t="s">
        <v>2710</v>
      </c>
      <c r="Q17">
        <v>26.24</v>
      </c>
      <c r="R17" t="s">
        <v>2711</v>
      </c>
      <c r="S17">
        <v>352614870</v>
      </c>
      <c r="T17">
        <v>1.01</v>
      </c>
      <c r="U17" t="s">
        <v>1989</v>
      </c>
      <c r="V17">
        <v>612912360</v>
      </c>
      <c r="W17">
        <v>2222800000</v>
      </c>
      <c r="X17">
        <v>1.45</v>
      </c>
      <c r="Y17">
        <v>0.47</v>
      </c>
      <c r="Z17">
        <v>19.5</v>
      </c>
      <c r="AA17" t="s">
        <v>2712</v>
      </c>
      <c r="AB17" t="s">
        <v>2713</v>
      </c>
      <c r="AC17" t="s">
        <v>2714</v>
      </c>
      <c r="AD17" t="s">
        <v>339</v>
      </c>
      <c r="AE17" t="s">
        <v>2715</v>
      </c>
      <c r="AF17">
        <v>12667069</v>
      </c>
      <c r="AG17" t="s">
        <v>2716</v>
      </c>
      <c r="AH17" t="s">
        <v>2717</v>
      </c>
      <c r="AI17" t="s">
        <v>2718</v>
      </c>
      <c r="AJ17" t="s">
        <v>2719</v>
      </c>
      <c r="AK17" t="s">
        <v>2720</v>
      </c>
      <c r="AL17" t="s">
        <v>7</v>
      </c>
      <c r="AM17" t="s">
        <v>2721</v>
      </c>
      <c r="AN17" t="s">
        <v>7</v>
      </c>
      <c r="AO17" t="s">
        <v>2722</v>
      </c>
      <c r="AP17" t="s">
        <v>1390</v>
      </c>
      <c r="AQ17" t="s">
        <v>312</v>
      </c>
      <c r="AR17" t="s">
        <v>2723</v>
      </c>
      <c r="AS17" t="s">
        <v>7</v>
      </c>
      <c r="AT17" t="s">
        <v>2724</v>
      </c>
      <c r="AU17" t="s">
        <v>233</v>
      </c>
      <c r="AV17" t="s">
        <v>678</v>
      </c>
      <c r="AW17" t="s">
        <v>2725</v>
      </c>
      <c r="AX17" t="s">
        <v>2726</v>
      </c>
      <c r="AY17" t="s">
        <v>2727</v>
      </c>
      <c r="AZ17" t="s">
        <v>2728</v>
      </c>
      <c r="BA17" t="s">
        <v>2712</v>
      </c>
      <c r="BB17" t="s">
        <v>2729</v>
      </c>
      <c r="BC17" t="s">
        <v>2730</v>
      </c>
      <c r="BD17" t="s">
        <v>242</v>
      </c>
      <c r="BE17" t="s">
        <v>129</v>
      </c>
      <c r="BF17" t="s">
        <v>2164</v>
      </c>
      <c r="BG17" t="s">
        <v>2731</v>
      </c>
      <c r="BH17" t="s">
        <v>120</v>
      </c>
      <c r="BI17" t="s">
        <v>2711</v>
      </c>
      <c r="BJ17" t="s">
        <v>2425</v>
      </c>
      <c r="BK17" t="s">
        <v>2727</v>
      </c>
      <c r="BL17" t="s">
        <v>1989</v>
      </c>
      <c r="BM17" t="s">
        <v>213</v>
      </c>
      <c r="BN17" t="s">
        <v>242</v>
      </c>
      <c r="BO17">
        <v>4.7</v>
      </c>
      <c r="BP17">
        <v>5.89</v>
      </c>
      <c r="BQ17">
        <v>2.92</v>
      </c>
      <c r="BR17">
        <v>6.11</v>
      </c>
      <c r="BS17">
        <v>8.27</v>
      </c>
      <c r="BT17">
        <v>2.36</v>
      </c>
      <c r="BU17" t="s">
        <v>2732</v>
      </c>
      <c r="BV17" t="s">
        <v>888</v>
      </c>
      <c r="BW17">
        <v>29.93</v>
      </c>
      <c r="BX17">
        <v>24.8</v>
      </c>
      <c r="BY17">
        <v>22.21</v>
      </c>
      <c r="BZ17">
        <v>17.87</v>
      </c>
      <c r="CA17">
        <v>10.77</v>
      </c>
      <c r="CB17">
        <v>3.45</v>
      </c>
      <c r="CC17">
        <v>42.49</v>
      </c>
      <c r="CD17" s="23">
        <v>37.72</v>
      </c>
      <c r="CE17" s="24" t="s">
        <v>121</v>
      </c>
      <c r="CF17" s="23" t="s">
        <v>348</v>
      </c>
      <c r="CG17" s="23">
        <v>0.19921259842519684</v>
      </c>
      <c r="CH17" s="23">
        <v>1.0149421142857142</v>
      </c>
      <c r="CI17" s="23">
        <v>0.26223504543304443</v>
      </c>
      <c r="CJ17" s="23">
        <v>0.1822400838136673</v>
      </c>
      <c r="CK17" s="24">
        <v>-0.11427786946296692</v>
      </c>
      <c r="CL17" s="24">
        <v>0.16099263727664948</v>
      </c>
      <c r="CM17" s="24">
        <v>-6.1510860919952393E-2</v>
      </c>
      <c r="CN17" s="24">
        <v>1.2839806079864502</v>
      </c>
      <c r="CO17" s="24">
        <v>2.7117116451263428</v>
      </c>
      <c r="CP17">
        <v>-0.51528382301330566</v>
      </c>
      <c r="CQ17">
        <v>1.5057665109634399</v>
      </c>
      <c r="CR17">
        <v>-0.76566874980926514</v>
      </c>
      <c r="CS17" s="23">
        <v>80.840644351986299</v>
      </c>
      <c r="CT17" s="24">
        <v>9.4070966410336219</v>
      </c>
      <c r="CU17">
        <v>1.7071320182094083</v>
      </c>
      <c r="CV17">
        <v>8.5935807228088384E-2</v>
      </c>
      <c r="CW17">
        <v>0.84410123825073247</v>
      </c>
      <c r="CX17">
        <v>0.06</v>
      </c>
      <c r="CY17">
        <v>26.439694596560667</v>
      </c>
      <c r="CZ17">
        <v>964024145.85059547</v>
      </c>
      <c r="DA17">
        <v>8.5935807228088384E-2</v>
      </c>
      <c r="DB17">
        <v>8.6700457852432997</v>
      </c>
      <c r="DC17">
        <v>2939834994.110673</v>
      </c>
      <c r="DD17">
        <v>8.1639016866683956E-2</v>
      </c>
      <c r="DE17">
        <v>4.2877298921511304</v>
      </c>
      <c r="DF17">
        <v>5944521842.8189182</v>
      </c>
      <c r="DG17">
        <v>7.562351036071778E-2</v>
      </c>
      <c r="DH17">
        <v>2.5882145777802203</v>
      </c>
      <c r="DI17">
        <v>9847909913.9686432</v>
      </c>
      <c r="DJ17">
        <v>6.874864578247071E-2</v>
      </c>
      <c r="DK17">
        <v>1.3522516982299304</v>
      </c>
      <c r="DL17">
        <v>18848934731.133209</v>
      </c>
      <c r="DM17">
        <v>6.0155065059661866E-2</v>
      </c>
      <c r="DN17">
        <v>941000000</v>
      </c>
      <c r="DO17">
        <v>8.5935807228088384E-2</v>
      </c>
      <c r="DP17">
        <v>25488504000</v>
      </c>
      <c r="DQ17">
        <v>1832764700</v>
      </c>
      <c r="DR17" s="25">
        <v>2713</v>
      </c>
      <c r="DS17">
        <v>0.11327679119710846</v>
      </c>
      <c r="DT17">
        <v>0.17084087603498177</v>
      </c>
      <c r="DU17">
        <v>-6.6666666666666714E-3</v>
      </c>
      <c r="DV17">
        <v>1.0566666666666666</v>
      </c>
      <c r="DW17">
        <v>1.05</v>
      </c>
      <c r="DX17">
        <v>5.8877382913626732</v>
      </c>
      <c r="DY17">
        <v>0.96335689045936646</v>
      </c>
      <c r="DZ17">
        <v>5.3136884421776234</v>
      </c>
      <c r="EA17">
        <v>183</v>
      </c>
      <c r="EB17">
        <v>5.302469957729997</v>
      </c>
      <c r="EC17" s="22">
        <v>5</v>
      </c>
      <c r="ED17">
        <v>8.9976606082418573E-2</v>
      </c>
      <c r="EE17">
        <v>0.25463379521324453</v>
      </c>
      <c r="EF17">
        <v>8.1222999999999992</v>
      </c>
      <c r="EG17">
        <v>10.0227</v>
      </c>
      <c r="EH17">
        <v>61.353356890459366</v>
      </c>
      <c r="EI17" s="31" t="s">
        <v>2733</v>
      </c>
      <c r="EJ17" s="32">
        <v>1</v>
      </c>
      <c r="EK17" s="32">
        <v>1</v>
      </c>
      <c r="EL17" s="32">
        <v>45412</v>
      </c>
      <c r="EM17" s="32">
        <v>1.73</v>
      </c>
      <c r="EN17" s="32">
        <v>4.1399999999999997</v>
      </c>
      <c r="EO17" s="32">
        <v>0</v>
      </c>
      <c r="EP17" s="32">
        <v>12.04</v>
      </c>
      <c r="EQ17" s="32">
        <v>20.04</v>
      </c>
    </row>
    <row r="18" spans="1:147" ht="78.75">
      <c r="A18" s="37"/>
      <c r="B18" s="4"/>
      <c r="C18" s="4"/>
      <c r="D18" s="4" t="s">
        <v>2760</v>
      </c>
      <c r="E18" t="s">
        <v>2292</v>
      </c>
      <c r="F18" t="s">
        <v>2293</v>
      </c>
      <c r="G18">
        <v>18.82</v>
      </c>
      <c r="H18">
        <v>9.5500000000000007</v>
      </c>
      <c r="I18" t="s">
        <v>2294</v>
      </c>
      <c r="J18">
        <v>7224519700</v>
      </c>
      <c r="K18">
        <v>34.81</v>
      </c>
      <c r="L18">
        <v>1.93</v>
      </c>
      <c r="M18" t="s">
        <v>26</v>
      </c>
      <c r="N18" t="s">
        <v>2735</v>
      </c>
      <c r="O18" t="s">
        <v>2736</v>
      </c>
      <c r="P18" t="s">
        <v>2737</v>
      </c>
      <c r="Q18">
        <v>0.93</v>
      </c>
      <c r="R18" t="s">
        <v>2738</v>
      </c>
      <c r="S18">
        <v>82971350</v>
      </c>
      <c r="T18" s="5">
        <v>0.65429999999999999</v>
      </c>
      <c r="U18" t="s">
        <v>213</v>
      </c>
      <c r="V18">
        <v>370192230</v>
      </c>
      <c r="W18">
        <v>383874590</v>
      </c>
      <c r="X18">
        <v>1.56</v>
      </c>
      <c r="Y18">
        <v>0.6</v>
      </c>
      <c r="Z18">
        <v>5.46</v>
      </c>
      <c r="AA18" t="s">
        <v>1508</v>
      </c>
      <c r="AB18" t="s">
        <v>2739</v>
      </c>
      <c r="AC18" t="s">
        <v>1641</v>
      </c>
      <c r="AD18" t="s">
        <v>349</v>
      </c>
      <c r="AE18" t="s">
        <v>913</v>
      </c>
      <c r="AF18">
        <v>-541602</v>
      </c>
      <c r="AG18" t="s">
        <v>2740</v>
      </c>
      <c r="AH18" t="s">
        <v>2741</v>
      </c>
      <c r="AI18" t="s">
        <v>2742</v>
      </c>
      <c r="AJ18" t="s">
        <v>2670</v>
      </c>
      <c r="AK18" t="s">
        <v>2743</v>
      </c>
      <c r="AL18" t="s">
        <v>2744</v>
      </c>
      <c r="AM18" t="s">
        <v>2745</v>
      </c>
      <c r="AN18" t="s">
        <v>7</v>
      </c>
      <c r="AO18" t="s">
        <v>275</v>
      </c>
      <c r="AP18" t="s">
        <v>2746</v>
      </c>
      <c r="AQ18" t="s">
        <v>846</v>
      </c>
      <c r="AR18" t="s">
        <v>50</v>
      </c>
      <c r="AS18" t="s">
        <v>7</v>
      </c>
      <c r="AT18" t="s">
        <v>2747</v>
      </c>
      <c r="AU18" t="s">
        <v>44</v>
      </c>
      <c r="AV18" t="s">
        <v>2748</v>
      </c>
      <c r="AW18" t="s">
        <v>2749</v>
      </c>
      <c r="AX18" t="s">
        <v>2750</v>
      </c>
      <c r="AY18" t="s">
        <v>2751</v>
      </c>
      <c r="AZ18" t="s">
        <v>2527</v>
      </c>
      <c r="BA18" t="s">
        <v>2752</v>
      </c>
      <c r="BB18" t="s">
        <v>2753</v>
      </c>
      <c r="BC18" t="s">
        <v>2754</v>
      </c>
      <c r="BD18" t="s">
        <v>335</v>
      </c>
      <c r="BE18" t="s">
        <v>175</v>
      </c>
      <c r="BF18" t="s">
        <v>2755</v>
      </c>
      <c r="BG18" t="s">
        <v>109</v>
      </c>
      <c r="BH18" t="s">
        <v>2154</v>
      </c>
      <c r="BI18" t="s">
        <v>2738</v>
      </c>
      <c r="BJ18" t="s">
        <v>2756</v>
      </c>
      <c r="BK18" t="s">
        <v>2751</v>
      </c>
      <c r="BL18" t="s">
        <v>213</v>
      </c>
      <c r="BM18" t="s">
        <v>2757</v>
      </c>
      <c r="BN18" t="s">
        <v>335</v>
      </c>
      <c r="BO18">
        <v>2.69</v>
      </c>
      <c r="BP18">
        <v>7.15</v>
      </c>
      <c r="BQ18">
        <v>3.28</v>
      </c>
      <c r="BR18">
        <v>2.78</v>
      </c>
      <c r="BS18">
        <v>7.81</v>
      </c>
      <c r="BT18">
        <v>3.17</v>
      </c>
      <c r="BU18" t="s">
        <v>2758</v>
      </c>
      <c r="BV18" t="s">
        <v>888</v>
      </c>
      <c r="BW18">
        <v>42.34</v>
      </c>
      <c r="BX18">
        <v>46.22</v>
      </c>
      <c r="BY18">
        <v>52.62</v>
      </c>
      <c r="BZ18">
        <v>5.71</v>
      </c>
      <c r="CA18">
        <v>8.15</v>
      </c>
      <c r="CB18">
        <v>3.92</v>
      </c>
      <c r="CC18">
        <v>21.73</v>
      </c>
      <c r="CD18">
        <v>12.76</v>
      </c>
      <c r="CE18" t="s">
        <v>2759</v>
      </c>
      <c r="CF18" t="s">
        <v>2578</v>
      </c>
      <c r="CG18" s="23">
        <v>0.12289156626506008</v>
      </c>
      <c r="CH18" s="24">
        <v>0.65430856928662717</v>
      </c>
      <c r="CI18" s="23">
        <v>9.1272834688425064E-3</v>
      </c>
      <c r="CJ18" s="23">
        <v>0.11727215349674225</v>
      </c>
      <c r="CK18" s="23">
        <v>5.9419315308332443E-2</v>
      </c>
      <c r="CL18" s="23">
        <v>5.9749484062194824E-2</v>
      </c>
      <c r="CM18" s="23">
        <v>-7.0811152458190918E-2</v>
      </c>
      <c r="CN18" s="24">
        <v>-0.35897436738014221</v>
      </c>
      <c r="CO18" s="24">
        <v>1.5277777910232544</v>
      </c>
      <c r="CP18" s="24">
        <v>1.2208589315414429</v>
      </c>
      <c r="CQ18" s="24">
        <v>-3.4088668823242187</v>
      </c>
      <c r="CR18" s="24">
        <v>-0.23106060922145844</v>
      </c>
      <c r="CS18">
        <v>81.174378651685387</v>
      </c>
      <c r="CT18">
        <v>23.224917940491281</v>
      </c>
      <c r="CU18">
        <v>1.0626992561105206</v>
      </c>
      <c r="CV18" s="23">
        <v>3.4951416775584221E-2</v>
      </c>
      <c r="CW18" s="24">
        <v>-0.25005302727222445</v>
      </c>
      <c r="CX18">
        <v>0.06</v>
      </c>
      <c r="CY18">
        <v>32.648769987251114</v>
      </c>
      <c r="CZ18">
        <v>170864620.69408229</v>
      </c>
      <c r="DA18">
        <v>3.4951416775584221E-2</v>
      </c>
      <c r="DB18">
        <v>11.181613319301455</v>
      </c>
      <c r="DC18">
        <v>498901146.07795298</v>
      </c>
      <c r="DD18">
        <v>3.3203845936805011E-2</v>
      </c>
      <c r="DE18">
        <v>5.8527135318726788</v>
      </c>
      <c r="DF18">
        <v>953150990.49706161</v>
      </c>
      <c r="DG18">
        <v>3.0757246762514113E-2</v>
      </c>
      <c r="DH18">
        <v>3.7592844556300924</v>
      </c>
      <c r="DI18">
        <v>1483931254.9613876</v>
      </c>
      <c r="DJ18">
        <v>2.7961133420467379E-2</v>
      </c>
      <c r="DK18">
        <v>2.236537929428374</v>
      </c>
      <c r="DL18">
        <v>2494265635.5601296</v>
      </c>
      <c r="DM18">
        <v>2.4465991742908953E-2</v>
      </c>
      <c r="DN18">
        <v>175000000</v>
      </c>
      <c r="DO18">
        <v>3.4951416775584221E-2</v>
      </c>
      <c r="DP18">
        <v>5578519700</v>
      </c>
      <c r="DQ18">
        <v>770818600</v>
      </c>
      <c r="DR18">
        <v>1725</v>
      </c>
      <c r="DS18">
        <v>8.7940149489475858E-2</v>
      </c>
      <c r="DT18">
        <v>0.90436159655885162</v>
      </c>
      <c r="DU18" s="25">
        <v>-0.44</v>
      </c>
      <c r="DV18">
        <v>-0.12999999999999992</v>
      </c>
      <c r="DW18">
        <v>-0.56999999999999995</v>
      </c>
      <c r="DX18">
        <v>5.5872066267832485</v>
      </c>
      <c r="DY18">
        <v>1.2792076923076883</v>
      </c>
      <c r="DZ18">
        <v>5.1580805409041028</v>
      </c>
      <c r="EA18">
        <v>2993</v>
      </c>
      <c r="EB18">
        <v>5.0656171719523773</v>
      </c>
      <c r="EC18">
        <v>5</v>
      </c>
      <c r="ED18">
        <v>0.12763491326685625</v>
      </c>
      <c r="EE18">
        <v>0.47411317326317431</v>
      </c>
      <c r="EF18" s="22">
        <v>-2.0571000000000002</v>
      </c>
      <c r="EG18">
        <v>-1.0025999999999999</v>
      </c>
      <c r="EH18">
        <v>101.26920769230769</v>
      </c>
      <c r="EI18" t="s">
        <v>622</v>
      </c>
      <c r="EJ18">
        <v>1</v>
      </c>
      <c r="EK18">
        <v>0</v>
      </c>
      <c r="EL18" s="31">
        <v>45412</v>
      </c>
      <c r="EM18" s="32">
        <v>1.03</v>
      </c>
      <c r="EN18" s="32">
        <v>3.78</v>
      </c>
      <c r="EO18" s="32">
        <v>1.85</v>
      </c>
      <c r="EP18" s="32">
        <v>4.0599999999999996</v>
      </c>
      <c r="EQ18" s="32">
        <v>9.5500000000000007</v>
      </c>
    </row>
    <row r="19" spans="1:147" ht="112.5">
      <c r="A19" s="37"/>
      <c r="B19" s="4"/>
      <c r="C19" s="4" t="s">
        <v>2761</v>
      </c>
      <c r="D19" s="4" t="s">
        <v>2786</v>
      </c>
      <c r="E19" t="s">
        <v>2295</v>
      </c>
      <c r="F19" t="s">
        <v>2296</v>
      </c>
      <c r="G19">
        <v>28.14</v>
      </c>
      <c r="H19">
        <v>20</v>
      </c>
      <c r="I19" t="s">
        <v>2297</v>
      </c>
      <c r="J19">
        <v>2579593800</v>
      </c>
      <c r="K19">
        <v>38.869999999999997</v>
      </c>
      <c r="L19">
        <v>1.32</v>
      </c>
      <c r="M19" t="s">
        <v>26</v>
      </c>
      <c r="N19" t="s">
        <v>2762</v>
      </c>
      <c r="O19" t="s">
        <v>2763</v>
      </c>
      <c r="P19" t="s">
        <v>2764</v>
      </c>
      <c r="Q19">
        <v>-13.89</v>
      </c>
      <c r="R19" t="s">
        <v>431</v>
      </c>
      <c r="S19">
        <v>5786807</v>
      </c>
      <c r="T19" s="5">
        <v>-0.88790000000000002</v>
      </c>
      <c r="U19" t="s">
        <v>959</v>
      </c>
      <c r="V19">
        <v>33845750</v>
      </c>
      <c r="W19">
        <v>91670000</v>
      </c>
      <c r="X19">
        <v>1.0900000000000001</v>
      </c>
      <c r="Y19">
        <v>0.23</v>
      </c>
      <c r="Z19">
        <v>22.93</v>
      </c>
      <c r="AA19" t="s">
        <v>2765</v>
      </c>
      <c r="AB19" t="s">
        <v>165</v>
      </c>
      <c r="AC19" t="s">
        <v>2766</v>
      </c>
      <c r="AD19" t="s">
        <v>2767</v>
      </c>
      <c r="AE19" t="s">
        <v>2768</v>
      </c>
      <c r="AF19">
        <v>-2902976</v>
      </c>
      <c r="AG19" t="s">
        <v>2769</v>
      </c>
      <c r="AH19" t="s">
        <v>2770</v>
      </c>
      <c r="AI19" t="s">
        <v>2771</v>
      </c>
      <c r="AJ19" t="s">
        <v>135</v>
      </c>
      <c r="AK19" t="s">
        <v>2772</v>
      </c>
      <c r="AL19" t="s">
        <v>7</v>
      </c>
      <c r="AM19" t="s">
        <v>2773</v>
      </c>
      <c r="AN19" t="s">
        <v>7</v>
      </c>
      <c r="AO19" t="s">
        <v>2774</v>
      </c>
      <c r="AP19" t="s">
        <v>7</v>
      </c>
      <c r="AQ19" t="s">
        <v>2775</v>
      </c>
      <c r="AR19" t="s">
        <v>2776</v>
      </c>
      <c r="AS19" t="s">
        <v>7</v>
      </c>
      <c r="AT19" t="s">
        <v>959</v>
      </c>
      <c r="AU19" t="s">
        <v>7</v>
      </c>
      <c r="AV19" t="s">
        <v>2777</v>
      </c>
      <c r="AW19" t="s">
        <v>2778</v>
      </c>
      <c r="AX19" t="s">
        <v>2779</v>
      </c>
      <c r="AY19" t="s">
        <v>2780</v>
      </c>
      <c r="AZ19" t="s">
        <v>2781</v>
      </c>
      <c r="BA19" t="s">
        <v>574</v>
      </c>
      <c r="BB19" t="s">
        <v>347</v>
      </c>
      <c r="BC19" t="s">
        <v>531</v>
      </c>
      <c r="BD19" t="s">
        <v>2446</v>
      </c>
      <c r="BE19" t="s">
        <v>104</v>
      </c>
      <c r="BF19" t="s">
        <v>110</v>
      </c>
      <c r="BG19" t="s">
        <v>134</v>
      </c>
      <c r="BH19" t="s">
        <v>2782</v>
      </c>
      <c r="BI19" t="s">
        <v>431</v>
      </c>
      <c r="BJ19" t="s">
        <v>244</v>
      </c>
      <c r="BK19" t="s">
        <v>2780</v>
      </c>
      <c r="BL19" t="s">
        <v>959</v>
      </c>
      <c r="BM19" t="s">
        <v>2783</v>
      </c>
      <c r="BN19" t="s">
        <v>2446</v>
      </c>
      <c r="BO19">
        <v>4.87</v>
      </c>
      <c r="BP19">
        <v>12.95</v>
      </c>
      <c r="BQ19">
        <v>17.18</v>
      </c>
      <c r="BR19">
        <v>4.9800000000000004</v>
      </c>
      <c r="BS19">
        <v>11.33</v>
      </c>
      <c r="BT19">
        <v>17.61</v>
      </c>
      <c r="BU19" t="s">
        <v>1861</v>
      </c>
      <c r="BV19" t="s">
        <v>1714</v>
      </c>
      <c r="BW19">
        <v>42.22</v>
      </c>
      <c r="BX19">
        <v>45.24</v>
      </c>
      <c r="BY19">
        <v>40.29</v>
      </c>
      <c r="BZ19">
        <v>27.57</v>
      </c>
      <c r="CA19">
        <v>31.2</v>
      </c>
      <c r="CB19">
        <v>23.04</v>
      </c>
      <c r="CC19">
        <v>26.42</v>
      </c>
      <c r="CD19">
        <v>6.83</v>
      </c>
      <c r="CE19" t="s">
        <v>2784</v>
      </c>
      <c r="CF19" t="s">
        <v>2785</v>
      </c>
      <c r="CG19" s="23">
        <v>-0.382748076923077</v>
      </c>
      <c r="CH19" s="24">
        <v>-0.88786605097837079</v>
      </c>
      <c r="CI19" s="23">
        <v>-0.13908450305461884</v>
      </c>
      <c r="CJ19" s="23">
        <v>8.812260627746582E-2</v>
      </c>
      <c r="CK19" s="23">
        <v>9.4339624047279358E-2</v>
      </c>
      <c r="CL19" s="23">
        <v>5.5309735238552094E-2</v>
      </c>
      <c r="CM19" s="23">
        <v>0.20533333718776703</v>
      </c>
      <c r="CN19" s="24">
        <v>-0.36723163723945618</v>
      </c>
      <c r="CO19" s="24">
        <v>0.47499999403953552</v>
      </c>
      <c r="CP19" s="24">
        <v>-0.14893616735935211</v>
      </c>
      <c r="CQ19" s="24">
        <v>-3.4246575087308884E-2</v>
      </c>
      <c r="CR19" s="24">
        <v>0.56537318229675293</v>
      </c>
      <c r="CS19">
        <v>19.61000952147463</v>
      </c>
      <c r="CT19">
        <v>3.2251098512099445</v>
      </c>
      <c r="CU19">
        <v>2.1321961620469083</v>
      </c>
      <c r="CV19" s="23">
        <v>6.0804159939289094E-2</v>
      </c>
      <c r="CW19" s="24">
        <v>9.7991759330034262E-2</v>
      </c>
      <c r="CX19">
        <v>0.06</v>
      </c>
      <c r="CY19">
        <v>7.1695055587487877</v>
      </c>
      <c r="CZ19">
        <v>112084967.84264188</v>
      </c>
      <c r="DA19">
        <v>6.0804159939289094E-2</v>
      </c>
      <c r="DB19">
        <v>2.4017669268577491</v>
      </c>
      <c r="DC19">
        <v>334584422.41577047</v>
      </c>
      <c r="DD19">
        <v>5.7763951942324636E-2</v>
      </c>
      <c r="DE19">
        <v>1.2217489781997095</v>
      </c>
      <c r="DF19">
        <v>657740513.26330876</v>
      </c>
      <c r="DG19">
        <v>5.3507660746574405E-2</v>
      </c>
      <c r="DH19">
        <v>0.76092190113830405</v>
      </c>
      <c r="DI19">
        <v>1056079209.7032045</v>
      </c>
      <c r="DJ19">
        <v>4.8643327951431281E-2</v>
      </c>
      <c r="DK19">
        <v>0.42505162130536245</v>
      </c>
      <c r="DL19">
        <v>1890579307.8311496</v>
      </c>
      <c r="DM19">
        <v>4.2562911957502364E-2</v>
      </c>
      <c r="DN19">
        <v>112000000.00000001</v>
      </c>
      <c r="DO19">
        <v>6.0804159939289094E-2</v>
      </c>
      <c r="DP19">
        <v>803593800</v>
      </c>
      <c r="DQ19">
        <v>1517680100</v>
      </c>
      <c r="DR19">
        <v>2676</v>
      </c>
      <c r="DS19">
        <v>-0.44355223686236611</v>
      </c>
      <c r="DT19">
        <v>-0.98585781030840502</v>
      </c>
      <c r="DU19" s="25">
        <v>-0.34</v>
      </c>
      <c r="DV19">
        <v>-0.35666666666666669</v>
      </c>
      <c r="DW19">
        <v>-0.69666666666666677</v>
      </c>
      <c r="DX19">
        <v>5.2585162755488266</v>
      </c>
      <c r="DY19">
        <v>1.1076223056192585</v>
      </c>
      <c r="DZ19">
        <v>5.056258907925038</v>
      </c>
      <c r="EA19">
        <v>3204</v>
      </c>
      <c r="EB19">
        <v>5.0210324977253462</v>
      </c>
      <c r="EC19">
        <v>5</v>
      </c>
      <c r="ED19">
        <v>0.15124904548925494</v>
      </c>
      <c r="EE19">
        <v>0.69500709065124899</v>
      </c>
      <c r="EF19" s="22">
        <v>-3.0182000000000002</v>
      </c>
      <c r="EG19">
        <v>-2.0682</v>
      </c>
      <c r="EH19">
        <v>89.217622305619258</v>
      </c>
      <c r="EI19" t="s">
        <v>620</v>
      </c>
      <c r="EJ19">
        <v>1</v>
      </c>
      <c r="EK19">
        <v>0</v>
      </c>
      <c r="EL19" s="31">
        <v>45412</v>
      </c>
      <c r="EM19" s="32">
        <v>1.03</v>
      </c>
      <c r="EN19" s="32">
        <v>1.02</v>
      </c>
      <c r="EO19" s="32">
        <v>-1.23</v>
      </c>
      <c r="EP19" s="32">
        <v>4.5</v>
      </c>
      <c r="EQ19" s="32">
        <v>20</v>
      </c>
    </row>
    <row r="20" spans="1:147" ht="78.75">
      <c r="A20" s="37"/>
      <c r="B20" s="4"/>
      <c r="C20" s="4"/>
      <c r="D20" s="4" t="s">
        <v>2812</v>
      </c>
      <c r="E20" t="s">
        <v>2298</v>
      </c>
      <c r="F20" t="s">
        <v>2299</v>
      </c>
      <c r="G20">
        <v>12.88</v>
      </c>
      <c r="H20">
        <v>5.31</v>
      </c>
      <c r="I20" t="s">
        <v>2300</v>
      </c>
      <c r="J20">
        <v>11376148400</v>
      </c>
      <c r="L20">
        <v>15.21</v>
      </c>
      <c r="M20" t="s">
        <v>26</v>
      </c>
      <c r="N20" t="s">
        <v>2787</v>
      </c>
      <c r="O20" t="s">
        <v>2788</v>
      </c>
      <c r="P20" t="s">
        <v>84</v>
      </c>
      <c r="Q20">
        <v>-38.75</v>
      </c>
      <c r="R20" t="s">
        <v>278</v>
      </c>
      <c r="S20">
        <v>-14102003</v>
      </c>
      <c r="T20" s="5">
        <v>-1.758</v>
      </c>
      <c r="U20" t="s">
        <v>2789</v>
      </c>
      <c r="V20">
        <v>666033810</v>
      </c>
      <c r="W20">
        <v>883241340</v>
      </c>
      <c r="X20">
        <v>4.18</v>
      </c>
      <c r="Y20">
        <v>0.13</v>
      </c>
      <c r="Z20">
        <v>-119.49</v>
      </c>
      <c r="AA20" t="s">
        <v>2790</v>
      </c>
      <c r="AB20" t="s">
        <v>81</v>
      </c>
      <c r="AC20" t="s">
        <v>2791</v>
      </c>
      <c r="AD20" t="s">
        <v>100</v>
      </c>
      <c r="AE20" t="s">
        <v>2160</v>
      </c>
      <c r="AF20">
        <v>30389708</v>
      </c>
      <c r="AG20" t="s">
        <v>63</v>
      </c>
      <c r="AH20" t="s">
        <v>2792</v>
      </c>
      <c r="AI20" t="s">
        <v>2793</v>
      </c>
      <c r="AJ20" t="s">
        <v>2794</v>
      </c>
      <c r="AK20" t="s">
        <v>2795</v>
      </c>
      <c r="AL20" t="s">
        <v>2796</v>
      </c>
      <c r="AM20" t="s">
        <v>2797</v>
      </c>
      <c r="AN20" t="s">
        <v>7</v>
      </c>
      <c r="AO20" t="s">
        <v>2798</v>
      </c>
      <c r="AP20" t="s">
        <v>1523</v>
      </c>
      <c r="AQ20" t="s">
        <v>7</v>
      </c>
      <c r="AR20" t="s">
        <v>175</v>
      </c>
      <c r="AS20" t="s">
        <v>2799</v>
      </c>
      <c r="AT20" t="s">
        <v>1668</v>
      </c>
      <c r="AU20" t="s">
        <v>2800</v>
      </c>
      <c r="AV20" t="s">
        <v>2801</v>
      </c>
      <c r="AW20" t="s">
        <v>70</v>
      </c>
      <c r="AX20" t="s">
        <v>2802</v>
      </c>
      <c r="AY20" t="s">
        <v>916</v>
      </c>
      <c r="AZ20" t="s">
        <v>2803</v>
      </c>
      <c r="BA20" t="s">
        <v>370</v>
      </c>
      <c r="BB20" t="s">
        <v>1015</v>
      </c>
      <c r="BC20" t="s">
        <v>2804</v>
      </c>
      <c r="BD20" t="s">
        <v>2805</v>
      </c>
      <c r="BE20" t="s">
        <v>2806</v>
      </c>
      <c r="BF20" t="s">
        <v>2807</v>
      </c>
      <c r="BG20" t="s">
        <v>2808</v>
      </c>
      <c r="BH20" t="s">
        <v>2809</v>
      </c>
      <c r="BI20" t="s">
        <v>278</v>
      </c>
      <c r="BJ20" t="s">
        <v>933</v>
      </c>
      <c r="BK20" t="s">
        <v>916</v>
      </c>
      <c r="BL20" t="s">
        <v>2789</v>
      </c>
      <c r="BM20" t="s">
        <v>2810</v>
      </c>
      <c r="BN20" t="s">
        <v>2805</v>
      </c>
      <c r="BO20" t="s">
        <v>7</v>
      </c>
      <c r="BP20" t="s">
        <v>7</v>
      </c>
      <c r="BQ20">
        <v>2.84</v>
      </c>
      <c r="BR20">
        <v>-2.7</v>
      </c>
      <c r="BS20">
        <v>-25.78</v>
      </c>
      <c r="BT20">
        <v>1.89</v>
      </c>
      <c r="BU20" t="s">
        <v>2106</v>
      </c>
      <c r="BV20" t="s">
        <v>888</v>
      </c>
      <c r="BW20">
        <v>63.47</v>
      </c>
      <c r="BX20">
        <v>77.34</v>
      </c>
      <c r="BY20">
        <v>72.040000000000006</v>
      </c>
      <c r="BZ20">
        <v>-45.27</v>
      </c>
      <c r="CA20">
        <v>-52.89</v>
      </c>
      <c r="CB20">
        <v>3.86</v>
      </c>
      <c r="CC20">
        <v>5.31</v>
      </c>
      <c r="CD20">
        <v>-5.36</v>
      </c>
      <c r="CE20" t="s">
        <v>2069</v>
      </c>
      <c r="CF20" t="s">
        <v>2391</v>
      </c>
      <c r="CG20" s="23">
        <v>-0.14772727272727273</v>
      </c>
      <c r="CH20" s="24">
        <v>-1.7579440061056886</v>
      </c>
      <c r="CI20" s="23">
        <v>-0.38778409361839294</v>
      </c>
      <c r="CJ20" s="23">
        <v>-4.3478261679410934E-2</v>
      </c>
      <c r="CK20" s="23">
        <v>1.9390581175684929E-2</v>
      </c>
      <c r="CL20" s="23">
        <v>0.17589576542377472</v>
      </c>
      <c r="CM20" s="23">
        <v>-0.51424050331115723</v>
      </c>
      <c r="CN20" s="24">
        <v>-0.38544473052024841</v>
      </c>
      <c r="CO20" s="24">
        <v>-13.042405128479004</v>
      </c>
      <c r="CP20" s="24">
        <v>1.05058753490448</v>
      </c>
      <c r="CQ20" s="24">
        <v>0.31186440587043762</v>
      </c>
      <c r="CR20" s="24">
        <v>-1.5953079462051392</v>
      </c>
      <c r="CS20">
        <v>-25.381930826662369</v>
      </c>
      <c r="CT20">
        <v>-1.6916403745017086</v>
      </c>
      <c r="CU20">
        <v>0</v>
      </c>
      <c r="CV20" s="23">
        <v>-0.15004330240190028</v>
      </c>
      <c r="CW20" s="24">
        <v>-2.7321411728858949</v>
      </c>
      <c r="CX20">
        <v>0.06</v>
      </c>
      <c r="CY20" t="e">
        <v>#VALUE!</v>
      </c>
      <c r="CZ20" t="s">
        <v>718</v>
      </c>
      <c r="DA20">
        <v>-0.15004330240190028</v>
      </c>
      <c r="DB20" t="e">
        <v>#VALUE!</v>
      </c>
      <c r="DC20" t="s">
        <v>719</v>
      </c>
      <c r="DD20">
        <v>-0.14254113728180526</v>
      </c>
      <c r="DE20" t="e">
        <v>#VALUE!</v>
      </c>
      <c r="DF20" t="s">
        <v>719</v>
      </c>
      <c r="DG20">
        <v>-0.13203810611367225</v>
      </c>
      <c r="DH20" t="e">
        <v>#VALUE!</v>
      </c>
      <c r="DI20" t="s">
        <v>719</v>
      </c>
      <c r="DJ20">
        <v>-0.12003464192152023</v>
      </c>
      <c r="DK20" t="e">
        <v>#VALUE!</v>
      </c>
      <c r="DL20" t="s">
        <v>719</v>
      </c>
      <c r="DM20">
        <v>-0.10503031168133019</v>
      </c>
      <c r="DN20">
        <v>-513999999.99999994</v>
      </c>
      <c r="DO20">
        <v>-0.15004330240190028</v>
      </c>
      <c r="DP20">
        <v>13087148400</v>
      </c>
      <c r="DQ20">
        <v>-1001933170</v>
      </c>
      <c r="DR20">
        <v>1693</v>
      </c>
      <c r="DS20">
        <v>2.3160296746275455E-3</v>
      </c>
      <c r="DT20">
        <v>0.97419716678020629</v>
      </c>
      <c r="DU20" s="25">
        <v>-0.59</v>
      </c>
      <c r="DV20">
        <v>-2.8483333333333332</v>
      </c>
      <c r="DW20">
        <v>-3.438333333333333</v>
      </c>
      <c r="DX20">
        <v>6.4976569821930648</v>
      </c>
      <c r="DY20">
        <v>0.55194852941176453</v>
      </c>
      <c r="DZ20">
        <v>6.13036051463697</v>
      </c>
      <c r="EA20">
        <v>5031</v>
      </c>
      <c r="EB20">
        <v>6.0021909330191088</v>
      </c>
      <c r="EC20">
        <v>6</v>
      </c>
      <c r="ED20">
        <v>0.32267511391620324</v>
      </c>
      <c r="EE20">
        <v>1.2318263997923828</v>
      </c>
      <c r="EF20" s="22">
        <v>-6.0190000000000001</v>
      </c>
      <c r="EG20">
        <v>-6.0720999999999998</v>
      </c>
      <c r="EH20">
        <v>29.261948529411764</v>
      </c>
      <c r="EI20" t="s">
        <v>2811</v>
      </c>
      <c r="EJ20">
        <v>0</v>
      </c>
      <c r="EK20">
        <v>0</v>
      </c>
      <c r="EL20" s="31">
        <v>45412</v>
      </c>
      <c r="EM20" s="32">
        <v>2.13</v>
      </c>
      <c r="EN20" s="32">
        <v>3.6</v>
      </c>
      <c r="EO20" s="32">
        <v>-6.03</v>
      </c>
      <c r="EP20" s="32">
        <v>0.57999999999999996</v>
      </c>
      <c r="EQ20" s="32">
        <v>5.31</v>
      </c>
    </row>
    <row r="21" spans="1:147" ht="78.75">
      <c r="A21" s="37"/>
      <c r="B21" s="4"/>
      <c r="C21" s="4"/>
      <c r="D21" s="4" t="s">
        <v>2839</v>
      </c>
      <c r="E21" t="s">
        <v>2301</v>
      </c>
      <c r="F21" t="s">
        <v>2302</v>
      </c>
      <c r="G21">
        <v>7.5</v>
      </c>
      <c r="H21">
        <v>20</v>
      </c>
      <c r="I21" t="s">
        <v>2303</v>
      </c>
      <c r="J21">
        <v>3675615000</v>
      </c>
      <c r="K21">
        <v>162.9</v>
      </c>
      <c r="L21">
        <v>1.4</v>
      </c>
      <c r="M21" t="s">
        <v>26</v>
      </c>
      <c r="N21" t="s">
        <v>324</v>
      </c>
      <c r="O21" t="s">
        <v>2813</v>
      </c>
      <c r="P21" t="s">
        <v>529</v>
      </c>
      <c r="Q21">
        <v>-32.200000000000003</v>
      </c>
      <c r="R21" t="s">
        <v>2814</v>
      </c>
      <c r="S21">
        <v>19630210</v>
      </c>
      <c r="T21" s="5">
        <v>2.4350000000000001</v>
      </c>
      <c r="U21" t="s">
        <v>2815</v>
      </c>
      <c r="V21">
        <v>486781810</v>
      </c>
      <c r="W21">
        <v>490082000</v>
      </c>
      <c r="X21">
        <v>1.1299999999999999</v>
      </c>
      <c r="Y21">
        <v>0.25</v>
      </c>
      <c r="Z21">
        <v>0.15</v>
      </c>
      <c r="AA21" t="s">
        <v>2816</v>
      </c>
      <c r="AB21" t="s">
        <v>2424</v>
      </c>
      <c r="AC21" t="s">
        <v>933</v>
      </c>
      <c r="AD21" t="s">
        <v>2817</v>
      </c>
      <c r="AE21" t="s">
        <v>2818</v>
      </c>
      <c r="AF21">
        <v>-4299410</v>
      </c>
      <c r="AG21" t="s">
        <v>2819</v>
      </c>
      <c r="AH21" t="s">
        <v>2820</v>
      </c>
      <c r="AI21" t="s">
        <v>2821</v>
      </c>
      <c r="AJ21" t="s">
        <v>2822</v>
      </c>
      <c r="AK21" t="s">
        <v>2823</v>
      </c>
      <c r="AL21" t="s">
        <v>2824</v>
      </c>
      <c r="AM21" t="s">
        <v>2825</v>
      </c>
      <c r="AN21" t="s">
        <v>7</v>
      </c>
      <c r="AO21" t="s">
        <v>1453</v>
      </c>
      <c r="AP21" t="s">
        <v>2826</v>
      </c>
      <c r="AQ21" t="s">
        <v>2827</v>
      </c>
      <c r="AR21" t="s">
        <v>2828</v>
      </c>
      <c r="AS21" t="s">
        <v>7</v>
      </c>
      <c r="AT21" t="s">
        <v>2829</v>
      </c>
      <c r="AU21" t="s">
        <v>7</v>
      </c>
      <c r="AV21" t="s">
        <v>153</v>
      </c>
      <c r="AW21" t="s">
        <v>123</v>
      </c>
      <c r="AX21" t="s">
        <v>1019</v>
      </c>
      <c r="AY21" t="s">
        <v>2830</v>
      </c>
      <c r="AZ21" t="s">
        <v>2831</v>
      </c>
      <c r="BA21" t="s">
        <v>2832</v>
      </c>
      <c r="BB21" t="s">
        <v>2833</v>
      </c>
      <c r="BC21" t="s">
        <v>2834</v>
      </c>
      <c r="BD21" t="s">
        <v>2835</v>
      </c>
      <c r="BE21" t="s">
        <v>2836</v>
      </c>
      <c r="BF21" t="s">
        <v>254</v>
      </c>
      <c r="BG21" t="s">
        <v>100</v>
      </c>
      <c r="BH21" t="s">
        <v>139</v>
      </c>
      <c r="BI21" t="s">
        <v>2814</v>
      </c>
      <c r="BJ21" t="s">
        <v>885</v>
      </c>
      <c r="BK21" t="s">
        <v>2830</v>
      </c>
      <c r="BL21" t="s">
        <v>2815</v>
      </c>
      <c r="BM21" t="s">
        <v>2837</v>
      </c>
      <c r="BN21" t="s">
        <v>2835</v>
      </c>
      <c r="BO21">
        <v>-0.03</v>
      </c>
      <c r="BP21">
        <v>1.01</v>
      </c>
      <c r="BQ21" t="s">
        <v>7</v>
      </c>
      <c r="BR21">
        <v>0.27</v>
      </c>
      <c r="BS21">
        <v>0.65</v>
      </c>
      <c r="BT21">
        <v>-4.0999999999999996</v>
      </c>
      <c r="BU21" t="s">
        <v>2457</v>
      </c>
      <c r="BV21" t="s">
        <v>1714</v>
      </c>
      <c r="BW21">
        <v>45.98</v>
      </c>
      <c r="BX21">
        <v>31.68</v>
      </c>
      <c r="BY21">
        <v>38.200000000000003</v>
      </c>
      <c r="BZ21">
        <v>3.17</v>
      </c>
      <c r="CA21">
        <v>3.2</v>
      </c>
      <c r="CB21">
        <v>-4.51</v>
      </c>
      <c r="CC21">
        <v>56.9</v>
      </c>
      <c r="CD21">
        <v>39.15</v>
      </c>
      <c r="CE21" t="s">
        <v>274</v>
      </c>
      <c r="CF21" t="s">
        <v>2838</v>
      </c>
      <c r="CG21" s="23">
        <v>9.9447513812154692E-2</v>
      </c>
      <c r="CH21" s="24">
        <v>2.4352611299178921</v>
      </c>
      <c r="CI21" s="23">
        <v>-0.32197615504264832</v>
      </c>
      <c r="CJ21" s="23">
        <v>-0.37949261069297791</v>
      </c>
      <c r="CK21" s="23">
        <v>-1.201041042804718E-2</v>
      </c>
      <c r="CL21" s="23">
        <v>-6.4941436052322388E-2</v>
      </c>
      <c r="CM21" s="23">
        <v>0.15837104618549347</v>
      </c>
      <c r="CN21" s="24">
        <v>-1.5896061658859253</v>
      </c>
      <c r="CO21" s="24">
        <v>1.1532100439071655</v>
      </c>
      <c r="CP21" s="24">
        <v>-1.7345678806304932</v>
      </c>
      <c r="CQ21" s="24">
        <v>0.265625</v>
      </c>
      <c r="CR21" s="24">
        <v>0.12280701845884323</v>
      </c>
      <c r="CS21">
        <v>75.401793544429864</v>
      </c>
      <c r="CT21">
        <v>6.0803037108101607</v>
      </c>
      <c r="CU21">
        <v>0.79999999999999993</v>
      </c>
      <c r="CV21" s="23">
        <v>-0.12400991320610047</v>
      </c>
      <c r="CW21" s="24">
        <v>-0.35650639683008195</v>
      </c>
      <c r="CX21">
        <v>0.06</v>
      </c>
      <c r="CY21" t="e">
        <v>#VALUE!</v>
      </c>
      <c r="CZ21" t="s">
        <v>719</v>
      </c>
      <c r="DA21">
        <v>-0.12400991320610047</v>
      </c>
      <c r="DB21" t="e">
        <v>#VALUE!</v>
      </c>
      <c r="DC21" t="s">
        <v>719</v>
      </c>
      <c r="DD21">
        <v>-0.11780941754579544</v>
      </c>
      <c r="DE21" t="e">
        <v>#VALUE!</v>
      </c>
      <c r="DF21" t="s">
        <v>719</v>
      </c>
      <c r="DG21">
        <v>-0.10912872362136841</v>
      </c>
      <c r="DH21" t="e">
        <v>#VALUE!</v>
      </c>
      <c r="DI21" t="s">
        <v>719</v>
      </c>
      <c r="DJ21">
        <v>-9.9207930564880378E-2</v>
      </c>
      <c r="DK21" t="e">
        <v>#VALUE!</v>
      </c>
      <c r="DL21" t="s">
        <v>719</v>
      </c>
      <c r="DM21">
        <v>-8.6806939244270326E-2</v>
      </c>
      <c r="DN21">
        <v>-10749700</v>
      </c>
      <c r="DO21">
        <v>-0.12400991320610047</v>
      </c>
      <c r="DP21">
        <v>1300615000</v>
      </c>
      <c r="DQ21">
        <v>1214463100</v>
      </c>
      <c r="DR21">
        <v>1861</v>
      </c>
      <c r="DS21">
        <v>0.22345742701825516</v>
      </c>
      <c r="DT21">
        <v>2.7917675267479742</v>
      </c>
      <c r="DU21" s="25">
        <v>-0.65666666666666662</v>
      </c>
      <c r="DV21">
        <v>-0.4166666666666668</v>
      </c>
      <c r="DW21">
        <v>-1.0733333333333335</v>
      </c>
      <c r="DX21">
        <v>5.6880492091388399</v>
      </c>
      <c r="DY21">
        <v>1.5213725490196135</v>
      </c>
      <c r="DZ21">
        <v>5.2968055411971466</v>
      </c>
      <c r="EA21">
        <v>3641</v>
      </c>
      <c r="EB21">
        <v>5.0856136366634725</v>
      </c>
      <c r="EC21">
        <v>5</v>
      </c>
      <c r="ED21">
        <v>0.22445223452401847</v>
      </c>
      <c r="EE21">
        <v>0.52032108912386088</v>
      </c>
      <c r="EF21" s="22">
        <v>-3.0047999999999999</v>
      </c>
      <c r="EG21">
        <v>-2.0548000000000002</v>
      </c>
      <c r="EH21">
        <v>109.43137254901961</v>
      </c>
      <c r="EI21" t="s">
        <v>620</v>
      </c>
      <c r="EJ21">
        <v>1</v>
      </c>
      <c r="EK21">
        <v>0</v>
      </c>
      <c r="EL21" s="31">
        <v>45412</v>
      </c>
      <c r="EM21" s="32">
        <v>2.93</v>
      </c>
      <c r="EN21" s="32">
        <v>0.81</v>
      </c>
      <c r="EO21" s="32">
        <v>9.07</v>
      </c>
      <c r="EP21" s="32">
        <v>15.53</v>
      </c>
      <c r="EQ21" s="32">
        <v>20</v>
      </c>
    </row>
  </sheetData>
  <mergeCells count="4">
    <mergeCell ref="A4:A5"/>
    <mergeCell ref="A6:A8"/>
    <mergeCell ref="A9:A15"/>
    <mergeCell ref="A16:A21"/>
  </mergeCells>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Industry_copy_call_buttom [c2],[d2]'">
                <anchor moveWithCells="1" sizeWithCells="1">
                  <from>
                    <xdr:col>1</xdr:col>
                    <xdr:colOff>252413</xdr:colOff>
                    <xdr:row>1</xdr:row>
                    <xdr:rowOff>138113</xdr:rowOff>
                  </from>
                  <to>
                    <xdr:col>1</xdr:col>
                    <xdr:colOff>1195388</xdr:colOff>
                    <xdr:row>1</xdr:row>
                    <xdr:rowOff>481013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3.5"/>
  <cols>
    <col min="1" max="1" width="8.796875" style="1"/>
    <col min="2" max="2" width="12.53125" customWidth="1"/>
    <col min="4" max="4" width="13.796875" bestFit="1" customWidth="1"/>
    <col min="5" max="12" width="8.796875" customWidth="1"/>
    <col min="13" max="13" width="15.796875" customWidth="1"/>
    <col min="14" max="17" width="8.796875" customWidth="1"/>
    <col min="18" max="18" width="13.59765625" customWidth="1"/>
    <col min="19" max="19" width="12.796875" customWidth="1"/>
  </cols>
  <sheetData>
    <row r="1" spans="1:32" s="8" customFormat="1" ht="40.5">
      <c r="A1" s="7" t="s">
        <v>376</v>
      </c>
      <c r="B1" s="8" t="s">
        <v>380</v>
      </c>
      <c r="C1" s="8" t="s">
        <v>377</v>
      </c>
      <c r="D1" s="8" t="s">
        <v>381</v>
      </c>
      <c r="E1" s="9" t="s">
        <v>378</v>
      </c>
      <c r="F1" s="9" t="s">
        <v>379</v>
      </c>
      <c r="G1" s="9" t="s">
        <v>387</v>
      </c>
      <c r="H1" s="9" t="s">
        <v>382</v>
      </c>
      <c r="I1" s="9" t="s">
        <v>383</v>
      </c>
      <c r="J1" s="9" t="s">
        <v>384</v>
      </c>
      <c r="K1" s="9" t="s">
        <v>385</v>
      </c>
      <c r="L1" s="8" t="s">
        <v>386</v>
      </c>
      <c r="M1" s="8" t="s">
        <v>388</v>
      </c>
      <c r="N1" s="8" t="s">
        <v>389</v>
      </c>
      <c r="O1" s="8" t="s">
        <v>390</v>
      </c>
      <c r="P1" s="8" t="s">
        <v>391</v>
      </c>
      <c r="Q1" s="8" t="s">
        <v>392</v>
      </c>
      <c r="R1" s="12" t="s">
        <v>393</v>
      </c>
      <c r="S1" s="8" t="s">
        <v>394</v>
      </c>
      <c r="T1" s="8" t="s">
        <v>395</v>
      </c>
      <c r="U1" s="8" t="s">
        <v>396</v>
      </c>
      <c r="V1" s="8" t="s">
        <v>397</v>
      </c>
      <c r="W1" s="8" t="s">
        <v>398</v>
      </c>
      <c r="X1" s="8" t="s">
        <v>399</v>
      </c>
      <c r="Y1" s="8" t="s">
        <v>400</v>
      </c>
      <c r="Z1" s="8" t="s">
        <v>401</v>
      </c>
      <c r="AA1" s="8" t="s">
        <v>402</v>
      </c>
      <c r="AB1" s="8" t="s">
        <v>403</v>
      </c>
      <c r="AC1" s="8" t="s">
        <v>404</v>
      </c>
      <c r="AD1" s="16" t="s">
        <v>405</v>
      </c>
      <c r="AE1" s="8" t="s">
        <v>406</v>
      </c>
      <c r="AF1" s="8" t="s">
        <v>407</v>
      </c>
    </row>
    <row r="2" spans="1:32">
      <c r="A2" s="2">
        <v>1</v>
      </c>
      <c r="B2">
        <v>1</v>
      </c>
      <c r="C2" s="6">
        <v>0.08</v>
      </c>
      <c r="D2">
        <f>H2</f>
        <v>7.06</v>
      </c>
      <c r="E2">
        <v>11.56</v>
      </c>
      <c r="F2">
        <v>20.440000000000001</v>
      </c>
      <c r="G2">
        <f>F2</f>
        <v>20.440000000000001</v>
      </c>
      <c r="H2" s="10">
        <v>7.06</v>
      </c>
      <c r="I2" s="11">
        <v>0.37</v>
      </c>
      <c r="J2">
        <v>9</v>
      </c>
      <c r="K2">
        <v>85</v>
      </c>
      <c r="L2">
        <f>K2-F2+E2</f>
        <v>76.12</v>
      </c>
      <c r="M2">
        <f>SUMIF(A2:A51,"&lt;"&amp;J2+1,D2:D51)</f>
        <v>88.162158341966133</v>
      </c>
      <c r="O2">
        <f>M2/L2</f>
        <v>1.1581996629265126</v>
      </c>
      <c r="R2">
        <f>S2</f>
        <v>7.06</v>
      </c>
      <c r="S2">
        <f>$H$2</f>
        <v>7.06</v>
      </c>
      <c r="T2" s="6">
        <v>0.37</v>
      </c>
      <c r="U2" s="6">
        <v>0.06</v>
      </c>
      <c r="V2">
        <f>SUM($R$2:R2)</f>
        <v>7.06</v>
      </c>
      <c r="W2" s="2">
        <f>X2-Y2</f>
        <v>474.26</v>
      </c>
      <c r="X2" s="15">
        <f>579-579*10%</f>
        <v>521.1</v>
      </c>
      <c r="Y2" s="15">
        <f>57.79-10.95</f>
        <v>46.84</v>
      </c>
      <c r="Z2">
        <f>$W$2/S2</f>
        <v>67.175637393767701</v>
      </c>
      <c r="AA2" s="6">
        <v>0.3</v>
      </c>
      <c r="AB2">
        <f>S2/AA2</f>
        <v>23.533333333333331</v>
      </c>
      <c r="AC2">
        <f>AC3*(1-$U$2)</f>
        <v>222.37291878719995</v>
      </c>
      <c r="AD2" s="6">
        <v>0</v>
      </c>
      <c r="AE2">
        <f>AC2*AD2</f>
        <v>0</v>
      </c>
      <c r="AF2">
        <f>IF(AB2&gt;AE2, 1, 0)</f>
        <v>1</v>
      </c>
    </row>
    <row r="3" spans="1:32">
      <c r="A3" s="2">
        <v>2</v>
      </c>
      <c r="B3">
        <f>B2+B2*C2</f>
        <v>1.08</v>
      </c>
      <c r="C3" s="6">
        <v>0.08</v>
      </c>
      <c r="D3">
        <f>D2+D2*C2</f>
        <v>7.6247999999999996</v>
      </c>
      <c r="Q3">
        <f>$D$2*((1+$C$2)^A2)</f>
        <v>7.6248000000000005</v>
      </c>
      <c r="R3">
        <f>S3/((1+$U$2)^A2)</f>
        <v>9.1247169811320745</v>
      </c>
      <c r="S3">
        <f>S2*(1+T2)</f>
        <v>9.6722000000000001</v>
      </c>
      <c r="T3" s="6">
        <v>0.37</v>
      </c>
      <c r="V3">
        <f>SUM($R$2:R3)</f>
        <v>16.184716981132073</v>
      </c>
      <c r="W3">
        <f>V3/$W$2</f>
        <v>3.4126253492034062E-2</v>
      </c>
      <c r="Z3">
        <f t="shared" ref="Z3:Z13" si="0">$W$2/S3</f>
        <v>49.033311966253798</v>
      </c>
      <c r="AA3" s="6">
        <v>0.3</v>
      </c>
      <c r="AB3">
        <f t="shared" ref="AB3:AB66" si="1">S3/AA3</f>
        <v>32.240666666666669</v>
      </c>
      <c r="AC3">
        <f>AC4*(1-$U$2)</f>
        <v>236.56693487999996</v>
      </c>
      <c r="AD3" s="6">
        <v>0.1</v>
      </c>
      <c r="AE3">
        <f t="shared" ref="AE3:AE66" si="2">AC3*AD3</f>
        <v>23.656693487999998</v>
      </c>
      <c r="AF3">
        <f t="shared" ref="AF3:AF66" si="3">IF(AB3&gt;AE3, 1, 0)</f>
        <v>1</v>
      </c>
    </row>
    <row r="4" spans="1:32">
      <c r="A4" s="2">
        <v>3</v>
      </c>
      <c r="B4">
        <f t="shared" ref="B4:B51" si="4">B3+B3*C3</f>
        <v>1.1664000000000001</v>
      </c>
      <c r="C4" s="6">
        <v>0.08</v>
      </c>
      <c r="D4">
        <f t="shared" ref="D4:D51" si="5">D3+D3*C3</f>
        <v>8.2347839999999994</v>
      </c>
      <c r="Q4">
        <f>$D$2*((1+$C$2)^A3)</f>
        <v>8.2347839999999994</v>
      </c>
      <c r="R4">
        <f t="shared" ref="R4:R67" si="6">S4/((1+$U$2)^A3)</f>
        <v>11.793266286934852</v>
      </c>
      <c r="S4">
        <f t="shared" ref="S4:S67" si="7">S3*(1+T3)</f>
        <v>13.250914000000002</v>
      </c>
      <c r="T4" s="6">
        <v>0.37</v>
      </c>
      <c r="V4">
        <f>SUM($R$2:R4)</f>
        <v>27.977983268066925</v>
      </c>
      <c r="W4">
        <f t="shared" ref="W4:W67" si="8">V4/$W$2</f>
        <v>5.8992922169415353E-2</v>
      </c>
      <c r="Z4">
        <f t="shared" si="0"/>
        <v>35.79073866149912</v>
      </c>
      <c r="AA4" s="6">
        <v>0.3</v>
      </c>
      <c r="AB4">
        <f t="shared" si="1"/>
        <v>44.169713333333341</v>
      </c>
      <c r="AC4">
        <f>AC5*(1-$U$2)</f>
        <v>251.66695199999998</v>
      </c>
      <c r="AD4" s="6">
        <v>0.15</v>
      </c>
      <c r="AE4">
        <f t="shared" si="2"/>
        <v>37.750042799999996</v>
      </c>
      <c r="AF4">
        <f t="shared" si="3"/>
        <v>1</v>
      </c>
    </row>
    <row r="5" spans="1:32">
      <c r="A5" s="2">
        <v>4</v>
      </c>
      <c r="B5">
        <f t="shared" si="4"/>
        <v>1.2597120000000002</v>
      </c>
      <c r="C5" s="6">
        <v>0.08</v>
      </c>
      <c r="D5">
        <f t="shared" si="5"/>
        <v>8.893566719999999</v>
      </c>
      <c r="Q5">
        <f t="shared" ref="Q5:Q51" si="9">$D$2*((1+$C$2)^A4)</f>
        <v>8.8935667200000008</v>
      </c>
      <c r="R5">
        <f t="shared" si="6"/>
        <v>15.242240389717686</v>
      </c>
      <c r="S5">
        <f>S4*(1+T4)</f>
        <v>18.153752180000005</v>
      </c>
      <c r="T5" s="6">
        <v>0.37</v>
      </c>
      <c r="V5">
        <f>SUM($R$2:R5)</f>
        <v>43.220223657784615</v>
      </c>
      <c r="W5">
        <f t="shared" si="8"/>
        <v>9.1131918478860999E-2</v>
      </c>
      <c r="Z5">
        <f t="shared" si="0"/>
        <v>26.12462676021833</v>
      </c>
      <c r="AA5" s="6">
        <v>0.3</v>
      </c>
      <c r="AB5">
        <f t="shared" si="1"/>
        <v>60.512507266666688</v>
      </c>
      <c r="AC5">
        <f>AC6*(1-$U$2)</f>
        <v>267.73079999999999</v>
      </c>
      <c r="AD5" s="6">
        <v>0.15</v>
      </c>
      <c r="AE5">
        <f t="shared" si="2"/>
        <v>40.159619999999997</v>
      </c>
      <c r="AF5">
        <f t="shared" si="3"/>
        <v>1</v>
      </c>
    </row>
    <row r="6" spans="1:32">
      <c r="A6" s="2">
        <v>5</v>
      </c>
      <c r="B6">
        <f t="shared" si="4"/>
        <v>1.3604889600000001</v>
      </c>
      <c r="C6" s="6">
        <v>0.08</v>
      </c>
      <c r="D6">
        <f t="shared" si="5"/>
        <v>9.6050520575999982</v>
      </c>
      <c r="Q6">
        <f t="shared" si="9"/>
        <v>9.6050520576000018</v>
      </c>
      <c r="R6">
        <f t="shared" si="6"/>
        <v>19.699876730106823</v>
      </c>
      <c r="S6">
        <f>S5*(1+T5)</f>
        <v>24.87064048660001</v>
      </c>
      <c r="T6" s="6">
        <v>0.37</v>
      </c>
      <c r="V6">
        <f>SUM($R$2:R6)</f>
        <v>62.920100387891438</v>
      </c>
      <c r="W6" s="13">
        <f t="shared" si="8"/>
        <v>0.13267005521842754</v>
      </c>
      <c r="Z6">
        <f t="shared" si="0"/>
        <v>19.06907062789659</v>
      </c>
      <c r="AA6" s="6">
        <v>0.3</v>
      </c>
      <c r="AB6">
        <f t="shared" si="1"/>
        <v>82.902134955333366</v>
      </c>
      <c r="AC6">
        <f>AC7*(1-$U$2)</f>
        <v>284.82</v>
      </c>
      <c r="AD6" s="6">
        <v>0.2</v>
      </c>
      <c r="AE6">
        <f t="shared" si="2"/>
        <v>56.963999999999999</v>
      </c>
      <c r="AF6">
        <f t="shared" si="3"/>
        <v>1</v>
      </c>
    </row>
    <row r="7" spans="1:32">
      <c r="A7" s="2">
        <v>6</v>
      </c>
      <c r="B7">
        <f t="shared" si="4"/>
        <v>1.4693280768000001</v>
      </c>
      <c r="C7" s="6">
        <v>0.08</v>
      </c>
      <c r="D7">
        <f t="shared" si="5"/>
        <v>10.373456222207999</v>
      </c>
      <c r="Q7">
        <f t="shared" si="9"/>
        <v>10.373456222208002</v>
      </c>
      <c r="R7">
        <f t="shared" si="6"/>
        <v>25.461161434194668</v>
      </c>
      <c r="S7">
        <f t="shared" si="7"/>
        <v>34.072777466642016</v>
      </c>
      <c r="T7" s="6">
        <v>0.37</v>
      </c>
      <c r="V7">
        <f>SUM($R$2:R7)</f>
        <v>88.381261822086103</v>
      </c>
      <c r="W7" s="14">
        <f t="shared" si="8"/>
        <v>0.18635613760824465</v>
      </c>
      <c r="Z7">
        <f t="shared" si="0"/>
        <v>13.919029655398969</v>
      </c>
      <c r="AA7" s="6">
        <v>0.3</v>
      </c>
      <c r="AB7">
        <f t="shared" si="1"/>
        <v>113.57592488880672</v>
      </c>
      <c r="AC7">
        <v>303</v>
      </c>
      <c r="AD7" s="6">
        <v>0.2</v>
      </c>
      <c r="AE7">
        <f t="shared" si="2"/>
        <v>60.6</v>
      </c>
      <c r="AF7">
        <f t="shared" si="3"/>
        <v>1</v>
      </c>
    </row>
    <row r="8" spans="1:32">
      <c r="A8" s="2">
        <v>7</v>
      </c>
      <c r="B8">
        <f t="shared" si="4"/>
        <v>1.5868743229440001</v>
      </c>
      <c r="C8" s="6">
        <v>0.08</v>
      </c>
      <c r="D8">
        <f t="shared" si="5"/>
        <v>11.203332719984639</v>
      </c>
      <c r="Q8">
        <f t="shared" si="9"/>
        <v>11.203332719984644</v>
      </c>
      <c r="R8">
        <f t="shared" si="6"/>
        <v>32.907350155515751</v>
      </c>
      <c r="S8">
        <f>S7*(1+T7)</f>
        <v>46.679705129299563</v>
      </c>
      <c r="T8" s="6">
        <v>0.37</v>
      </c>
      <c r="V8">
        <f>SUM($R$2:R8)</f>
        <v>121.28861197760185</v>
      </c>
      <c r="W8">
        <f t="shared" si="8"/>
        <v>0.25574286673470636</v>
      </c>
      <c r="Z8">
        <f t="shared" si="0"/>
        <v>10.15987566087516</v>
      </c>
      <c r="AA8" s="6">
        <v>0.3</v>
      </c>
      <c r="AB8">
        <f t="shared" si="1"/>
        <v>155.59901709766521</v>
      </c>
      <c r="AC8">
        <f t="shared" ref="AC8:AC67" si="10">AC7*(1+$U$2)</f>
        <v>321.18</v>
      </c>
      <c r="AD8" s="6">
        <v>0.2</v>
      </c>
      <c r="AE8">
        <f t="shared" si="2"/>
        <v>64.236000000000004</v>
      </c>
      <c r="AF8">
        <f t="shared" si="3"/>
        <v>1</v>
      </c>
    </row>
    <row r="9" spans="1:32">
      <c r="A9" s="2">
        <v>8</v>
      </c>
      <c r="B9">
        <f t="shared" si="4"/>
        <v>1.7138242687795202</v>
      </c>
      <c r="C9" s="6">
        <v>0.08</v>
      </c>
      <c r="D9">
        <f t="shared" si="5"/>
        <v>12.09959933758341</v>
      </c>
      <c r="Q9">
        <f t="shared" si="9"/>
        <v>12.099599337583415</v>
      </c>
      <c r="R9">
        <f t="shared" si="6"/>
        <v>42.531197842506202</v>
      </c>
      <c r="S9">
        <f t="shared" si="7"/>
        <v>63.951196027140405</v>
      </c>
      <c r="T9" s="6">
        <v>0.1</v>
      </c>
      <c r="V9">
        <f>SUM($R$2:R9)</f>
        <v>163.81980982010805</v>
      </c>
      <c r="W9" s="13">
        <f t="shared" si="8"/>
        <v>0.34542194117173713</v>
      </c>
      <c r="Z9">
        <f t="shared" si="0"/>
        <v>7.4159676356752984</v>
      </c>
      <c r="AA9" s="6">
        <v>0.3</v>
      </c>
      <c r="AB9">
        <f t="shared" si="1"/>
        <v>213.17065342380135</v>
      </c>
      <c r="AC9">
        <f t="shared" si="10"/>
        <v>340.45080000000002</v>
      </c>
      <c r="AD9" s="6">
        <v>0.2</v>
      </c>
      <c r="AE9">
        <f t="shared" si="2"/>
        <v>68.090160000000012</v>
      </c>
      <c r="AF9" s="2">
        <f t="shared" si="3"/>
        <v>1</v>
      </c>
    </row>
    <row r="10" spans="1:32">
      <c r="A10" s="2">
        <v>9</v>
      </c>
      <c r="B10">
        <f t="shared" si="4"/>
        <v>1.8509302102818819</v>
      </c>
      <c r="C10" s="6">
        <v>0.08</v>
      </c>
      <c r="D10">
        <f t="shared" si="5"/>
        <v>13.067567284590082</v>
      </c>
      <c r="Q10">
        <f t="shared" si="9"/>
        <v>13.067567284590089</v>
      </c>
      <c r="R10">
        <f t="shared" si="6"/>
        <v>44.136148704487567</v>
      </c>
      <c r="S10">
        <f t="shared" si="7"/>
        <v>70.346315629854445</v>
      </c>
      <c r="T10" s="6">
        <v>0.1</v>
      </c>
      <c r="V10">
        <f>SUM($R$2:R10)</f>
        <v>207.95595852459562</v>
      </c>
      <c r="W10">
        <f t="shared" si="8"/>
        <v>0.43848513162525959</v>
      </c>
      <c r="Z10">
        <f t="shared" si="0"/>
        <v>6.7417887597048169</v>
      </c>
      <c r="AA10" s="6">
        <v>0.3</v>
      </c>
      <c r="AB10">
        <f t="shared" si="1"/>
        <v>234.4877187661815</v>
      </c>
      <c r="AC10">
        <f t="shared" si="10"/>
        <v>360.87784800000003</v>
      </c>
      <c r="AD10" s="6">
        <v>0.2</v>
      </c>
      <c r="AE10">
        <f t="shared" si="2"/>
        <v>72.175569600000003</v>
      </c>
      <c r="AF10" s="1">
        <f t="shared" si="3"/>
        <v>1</v>
      </c>
    </row>
    <row r="11" spans="1:32">
      <c r="A11" s="2">
        <v>10</v>
      </c>
      <c r="B11">
        <f t="shared" si="4"/>
        <v>1.9990046271044324</v>
      </c>
      <c r="C11" s="6">
        <v>0.08</v>
      </c>
      <c r="D11">
        <f t="shared" si="5"/>
        <v>14.112972667357289</v>
      </c>
      <c r="Q11">
        <f t="shared" si="9"/>
        <v>14.112972667357296</v>
      </c>
      <c r="R11">
        <f t="shared" si="6"/>
        <v>45.801663749939934</v>
      </c>
      <c r="S11">
        <f t="shared" si="7"/>
        <v>77.380947192839898</v>
      </c>
      <c r="T11" s="6">
        <v>0.1</v>
      </c>
      <c r="V11">
        <f>SUM($R$2:R11)</f>
        <v>253.75762227453555</v>
      </c>
      <c r="W11">
        <f t="shared" si="8"/>
        <v>0.53506014058646223</v>
      </c>
      <c r="Z11">
        <f t="shared" si="0"/>
        <v>6.1288988724589242</v>
      </c>
      <c r="AA11" s="6">
        <v>0.3</v>
      </c>
      <c r="AB11">
        <f t="shared" si="1"/>
        <v>257.9364906427997</v>
      </c>
      <c r="AC11">
        <f t="shared" si="10"/>
        <v>382.53051888000005</v>
      </c>
      <c r="AD11" s="6">
        <v>0.2</v>
      </c>
      <c r="AE11">
        <f t="shared" si="2"/>
        <v>76.506103776000018</v>
      </c>
      <c r="AF11">
        <f t="shared" si="3"/>
        <v>1</v>
      </c>
    </row>
    <row r="12" spans="1:32">
      <c r="A12" s="2">
        <v>11</v>
      </c>
      <c r="B12">
        <f t="shared" si="4"/>
        <v>2.1589249972727869</v>
      </c>
      <c r="C12" s="6">
        <v>0.08</v>
      </c>
      <c r="D12">
        <f t="shared" si="5"/>
        <v>15.242010480745872</v>
      </c>
      <c r="Q12">
        <f t="shared" si="9"/>
        <v>15.242010480745881</v>
      </c>
      <c r="R12">
        <f t="shared" si="6"/>
        <v>47.530028419748987</v>
      </c>
      <c r="S12">
        <f t="shared" si="7"/>
        <v>85.11904191212389</v>
      </c>
      <c r="T12" s="6">
        <v>0.08</v>
      </c>
      <c r="V12">
        <f>SUM($R$2:R12)</f>
        <v>301.28765069428454</v>
      </c>
      <c r="W12" s="14">
        <f t="shared" si="8"/>
        <v>0.6352794895084648</v>
      </c>
      <c r="Z12">
        <f t="shared" si="0"/>
        <v>5.5717262476899307</v>
      </c>
      <c r="AA12" s="6">
        <v>0.3</v>
      </c>
      <c r="AB12">
        <f t="shared" si="1"/>
        <v>283.73013970707967</v>
      </c>
      <c r="AC12">
        <f t="shared" si="10"/>
        <v>405.48235001280005</v>
      </c>
      <c r="AD12" s="6">
        <v>0.2</v>
      </c>
      <c r="AE12">
        <f t="shared" si="2"/>
        <v>81.096470002560011</v>
      </c>
      <c r="AF12" s="1">
        <f t="shared" si="3"/>
        <v>1</v>
      </c>
    </row>
    <row r="13" spans="1:32">
      <c r="A13" s="2">
        <v>12</v>
      </c>
      <c r="B13">
        <f t="shared" si="4"/>
        <v>2.3316389970546099</v>
      </c>
      <c r="C13" s="6">
        <v>0.08</v>
      </c>
      <c r="D13">
        <f t="shared" si="5"/>
        <v>16.46137131920554</v>
      </c>
      <c r="Q13">
        <f t="shared" si="9"/>
        <v>16.461371319205551</v>
      </c>
      <c r="R13">
        <f t="shared" si="6"/>
        <v>48.426821408800855</v>
      </c>
      <c r="S13">
        <f t="shared" si="7"/>
        <v>91.928565265093809</v>
      </c>
      <c r="T13" s="6">
        <v>0.08</v>
      </c>
      <c r="V13">
        <f>SUM($R$2:R13)</f>
        <v>349.71447210308537</v>
      </c>
      <c r="W13" s="14">
        <f t="shared" si="8"/>
        <v>0.73738976954220337</v>
      </c>
      <c r="Z13">
        <f t="shared" si="0"/>
        <v>5.1590057848980839</v>
      </c>
      <c r="AA13" s="6">
        <v>0.3</v>
      </c>
      <c r="AB13">
        <f t="shared" si="1"/>
        <v>306.42855088364604</v>
      </c>
      <c r="AC13">
        <f t="shared" si="10"/>
        <v>429.81129101356805</v>
      </c>
      <c r="AD13" s="6">
        <v>0.2</v>
      </c>
      <c r="AE13">
        <f t="shared" si="2"/>
        <v>85.962258202713613</v>
      </c>
      <c r="AF13">
        <f t="shared" si="3"/>
        <v>1</v>
      </c>
    </row>
    <row r="14" spans="1:32">
      <c r="A14" s="2">
        <v>13</v>
      </c>
      <c r="B14">
        <f t="shared" si="4"/>
        <v>2.5181701168189785</v>
      </c>
      <c r="C14" s="6">
        <v>0.08</v>
      </c>
      <c r="D14">
        <f t="shared" si="5"/>
        <v>17.778281024741982</v>
      </c>
      <c r="Q14">
        <f t="shared" si="9"/>
        <v>17.778281024741997</v>
      </c>
      <c r="R14">
        <f t="shared" si="6"/>
        <v>49.34053502028766</v>
      </c>
      <c r="S14">
        <f t="shared" si="7"/>
        <v>99.282850486301314</v>
      </c>
      <c r="T14" s="6">
        <v>0.08</v>
      </c>
      <c r="V14">
        <f>SUM($R$2:R14)</f>
        <v>399.055007123373</v>
      </c>
      <c r="W14" s="14">
        <f t="shared" si="8"/>
        <v>0.84142665863318222</v>
      </c>
      <c r="Z14">
        <f>$W$2/S14</f>
        <v>4.7768572082389662</v>
      </c>
      <c r="AA14" s="6">
        <v>0.3</v>
      </c>
      <c r="AB14">
        <f>S14/AA14</f>
        <v>330.94283495433774</v>
      </c>
      <c r="AC14">
        <f t="shared" si="10"/>
        <v>455.59996847438214</v>
      </c>
      <c r="AD14" s="6">
        <v>0.2</v>
      </c>
      <c r="AE14">
        <f t="shared" si="2"/>
        <v>91.119993694876428</v>
      </c>
      <c r="AF14">
        <f t="shared" si="3"/>
        <v>1</v>
      </c>
    </row>
    <row r="15" spans="1:32">
      <c r="A15" s="2">
        <v>14</v>
      </c>
      <c r="B15">
        <f t="shared" si="4"/>
        <v>2.7196237261644969</v>
      </c>
      <c r="C15" s="6">
        <v>0.08</v>
      </c>
      <c r="D15">
        <f t="shared" si="5"/>
        <v>19.200543506721342</v>
      </c>
      <c r="Q15">
        <f t="shared" si="9"/>
        <v>19.200543506721356</v>
      </c>
      <c r="R15">
        <f t="shared" si="6"/>
        <v>50.271488511236484</v>
      </c>
      <c r="S15">
        <f t="shared" si="7"/>
        <v>107.22547852520543</v>
      </c>
      <c r="T15" s="6">
        <v>0.08</v>
      </c>
      <c r="V15">
        <f>SUM($R$2:R15)</f>
        <v>449.3264956346095</v>
      </c>
      <c r="W15" s="14">
        <f t="shared" si="8"/>
        <v>0.94742650789568905</v>
      </c>
      <c r="Z15">
        <f t="shared" ref="Z15:Z78" si="11">$W$2/S15</f>
        <v>4.4230159335545975</v>
      </c>
      <c r="AA15" s="6">
        <v>0.3</v>
      </c>
      <c r="AB15">
        <f t="shared" si="1"/>
        <v>357.41826175068479</v>
      </c>
      <c r="AC15">
        <f t="shared" si="10"/>
        <v>482.93596658284508</v>
      </c>
      <c r="AD15" s="6">
        <v>0.2</v>
      </c>
      <c r="AE15">
        <f t="shared" si="2"/>
        <v>96.587193316569028</v>
      </c>
      <c r="AF15">
        <f t="shared" si="3"/>
        <v>1</v>
      </c>
    </row>
    <row r="16" spans="1:32">
      <c r="A16" s="2">
        <v>15</v>
      </c>
      <c r="B16">
        <f t="shared" si="4"/>
        <v>2.9371936242576568</v>
      </c>
      <c r="C16" s="6">
        <v>0.08</v>
      </c>
      <c r="D16">
        <f t="shared" si="5"/>
        <v>20.736586987259049</v>
      </c>
      <c r="Q16">
        <f t="shared" si="9"/>
        <v>20.73658698725907</v>
      </c>
      <c r="R16">
        <f t="shared" si="6"/>
        <v>51.220007162391894</v>
      </c>
      <c r="S16">
        <f t="shared" si="7"/>
        <v>115.80351680722187</v>
      </c>
      <c r="T16" s="6">
        <v>0.08</v>
      </c>
      <c r="V16">
        <f>SUM($R$2:R16)</f>
        <v>500.54650279700138</v>
      </c>
      <c r="W16">
        <f t="shared" si="8"/>
        <v>1.0554263543140923</v>
      </c>
      <c r="Z16">
        <f t="shared" si="11"/>
        <v>4.0953851236616643</v>
      </c>
      <c r="AA16" s="6">
        <v>0.3</v>
      </c>
      <c r="AB16">
        <f t="shared" si="1"/>
        <v>386.01172269073959</v>
      </c>
      <c r="AC16">
        <f t="shared" si="10"/>
        <v>511.9121245778158</v>
      </c>
      <c r="AD16" s="6">
        <v>0.2</v>
      </c>
      <c r="AE16">
        <f t="shared" si="2"/>
        <v>102.38242491556316</v>
      </c>
      <c r="AF16">
        <f t="shared" si="3"/>
        <v>1</v>
      </c>
    </row>
    <row r="17" spans="1:32">
      <c r="A17" s="2">
        <v>16</v>
      </c>
      <c r="B17">
        <f t="shared" si="4"/>
        <v>3.1721691141982693</v>
      </c>
      <c r="C17" s="6">
        <v>0.08</v>
      </c>
      <c r="D17">
        <f t="shared" si="5"/>
        <v>22.395513946239774</v>
      </c>
      <c r="Q17">
        <f t="shared" si="9"/>
        <v>22.395513946239795</v>
      </c>
      <c r="R17">
        <f t="shared" si="6"/>
        <v>52.18642239187097</v>
      </c>
      <c r="S17">
        <f t="shared" si="7"/>
        <v>125.06779815179962</v>
      </c>
      <c r="T17" s="6">
        <v>0.08</v>
      </c>
      <c r="V17">
        <f>SUM($R$2:R17)</f>
        <v>552.7329251888724</v>
      </c>
      <c r="W17">
        <f t="shared" si="8"/>
        <v>1.1654639336837862</v>
      </c>
      <c r="Z17">
        <f t="shared" si="11"/>
        <v>3.7920232626496895</v>
      </c>
      <c r="AA17" s="6">
        <v>0.3</v>
      </c>
      <c r="AB17">
        <f t="shared" si="1"/>
        <v>416.89266050599878</v>
      </c>
      <c r="AC17">
        <f t="shared" si="10"/>
        <v>542.62685205248476</v>
      </c>
      <c r="AD17" s="6">
        <v>0.2</v>
      </c>
      <c r="AE17">
        <f t="shared" si="2"/>
        <v>108.52537041049696</v>
      </c>
      <c r="AF17">
        <f t="shared" si="3"/>
        <v>1</v>
      </c>
    </row>
    <row r="18" spans="1:32">
      <c r="A18" s="2">
        <v>17</v>
      </c>
      <c r="B18">
        <f t="shared" si="4"/>
        <v>3.4259426433341309</v>
      </c>
      <c r="C18" s="6">
        <v>0.08</v>
      </c>
      <c r="D18">
        <f t="shared" si="5"/>
        <v>24.187155061938956</v>
      </c>
      <c r="Q18">
        <f t="shared" si="9"/>
        <v>24.187155061938977</v>
      </c>
      <c r="R18">
        <f t="shared" si="6"/>
        <v>53.171071870962898</v>
      </c>
      <c r="S18">
        <f t="shared" si="7"/>
        <v>135.07322200394361</v>
      </c>
      <c r="T18" s="6">
        <v>0.08</v>
      </c>
      <c r="V18">
        <f>SUM($R$2:R18)</f>
        <v>605.90399705983532</v>
      </c>
      <c r="W18" s="14">
        <f t="shared" si="8"/>
        <v>1.2775776937963044</v>
      </c>
      <c r="Z18">
        <f t="shared" si="11"/>
        <v>3.5111326506015637</v>
      </c>
      <c r="AA18" s="6">
        <v>0.3</v>
      </c>
      <c r="AB18">
        <f t="shared" si="1"/>
        <v>450.24407334647873</v>
      </c>
      <c r="AC18">
        <f t="shared" si="10"/>
        <v>575.18446317563382</v>
      </c>
      <c r="AD18" s="6">
        <v>0.2</v>
      </c>
      <c r="AE18">
        <f t="shared" si="2"/>
        <v>115.03689263512678</v>
      </c>
      <c r="AF18">
        <f t="shared" si="3"/>
        <v>1</v>
      </c>
    </row>
    <row r="19" spans="1:32">
      <c r="A19" s="2">
        <v>18</v>
      </c>
      <c r="B19">
        <f t="shared" si="4"/>
        <v>3.7000180548008612</v>
      </c>
      <c r="C19" s="6">
        <v>0.08</v>
      </c>
      <c r="D19">
        <f t="shared" si="5"/>
        <v>26.122127466894071</v>
      </c>
      <c r="Q19">
        <f t="shared" si="9"/>
        <v>26.122127466894099</v>
      </c>
      <c r="R19">
        <f t="shared" si="6"/>
        <v>54.174299642113134</v>
      </c>
      <c r="S19">
        <f t="shared" si="7"/>
        <v>145.8790797642591</v>
      </c>
      <c r="T19" s="6">
        <v>0.08</v>
      </c>
      <c r="V19">
        <f>SUM($R$2:R19)</f>
        <v>660.07829670194849</v>
      </c>
      <c r="W19">
        <f t="shared" si="8"/>
        <v>1.3918068078732098</v>
      </c>
      <c r="Z19">
        <f t="shared" si="11"/>
        <v>3.2510487505570032</v>
      </c>
      <c r="AA19" s="6">
        <v>0.3</v>
      </c>
      <c r="AB19">
        <f t="shared" si="1"/>
        <v>486.26359921419703</v>
      </c>
      <c r="AC19">
        <f t="shared" si="10"/>
        <v>609.69553096617187</v>
      </c>
      <c r="AD19" s="6">
        <v>0.2</v>
      </c>
      <c r="AE19">
        <f t="shared" si="2"/>
        <v>121.93910619323438</v>
      </c>
      <c r="AF19">
        <f t="shared" si="3"/>
        <v>1</v>
      </c>
    </row>
    <row r="20" spans="1:32">
      <c r="A20" s="2">
        <v>19</v>
      </c>
      <c r="B20">
        <f t="shared" si="4"/>
        <v>3.9960194991849303</v>
      </c>
      <c r="C20" s="6">
        <v>0.08</v>
      </c>
      <c r="D20">
        <f t="shared" si="5"/>
        <v>28.211897664245598</v>
      </c>
      <c r="Q20">
        <f t="shared" si="9"/>
        <v>28.21189766424563</v>
      </c>
      <c r="R20">
        <f t="shared" si="6"/>
        <v>55.196456239134143</v>
      </c>
      <c r="S20">
        <f t="shared" si="7"/>
        <v>157.54940614539984</v>
      </c>
      <c r="T20" s="6">
        <v>0.08</v>
      </c>
      <c r="V20">
        <f>SUM($R$2:R20)</f>
        <v>715.27475294108262</v>
      </c>
      <c r="W20">
        <f t="shared" si="8"/>
        <v>1.5081911882534531</v>
      </c>
      <c r="Z20">
        <f t="shared" si="11"/>
        <v>3.0102303245898177</v>
      </c>
      <c r="AA20" s="6">
        <v>0.3</v>
      </c>
      <c r="AB20">
        <f t="shared" si="1"/>
        <v>525.16468715133283</v>
      </c>
      <c r="AC20">
        <f t="shared" si="10"/>
        <v>646.27726282414221</v>
      </c>
      <c r="AD20" s="6">
        <v>0.2</v>
      </c>
      <c r="AE20">
        <f t="shared" si="2"/>
        <v>129.25545256482846</v>
      </c>
      <c r="AF20">
        <f t="shared" si="3"/>
        <v>1</v>
      </c>
    </row>
    <row r="21" spans="1:32">
      <c r="A21" s="2">
        <v>20</v>
      </c>
      <c r="B21">
        <f t="shared" si="4"/>
        <v>4.3157010591197249</v>
      </c>
      <c r="C21" s="6">
        <v>0.08</v>
      </c>
      <c r="D21">
        <f t="shared" si="5"/>
        <v>30.468849477385245</v>
      </c>
      <c r="Q21">
        <f t="shared" si="9"/>
        <v>30.46884947738528</v>
      </c>
      <c r="R21">
        <f t="shared" si="6"/>
        <v>56.237898809683834</v>
      </c>
      <c r="S21">
        <f t="shared" si="7"/>
        <v>170.15335863703183</v>
      </c>
      <c r="T21" s="6">
        <v>0.08</v>
      </c>
      <c r="V21">
        <f>SUM($R$2:R21)</f>
        <v>771.51265175076651</v>
      </c>
      <c r="W21" s="13">
        <f t="shared" si="8"/>
        <v>1.626771500338984</v>
      </c>
      <c r="Z21">
        <f t="shared" si="11"/>
        <v>2.7872503005461273</v>
      </c>
      <c r="AA21" s="6">
        <v>0.3</v>
      </c>
      <c r="AB21">
        <f t="shared" si="1"/>
        <v>567.17786212343947</v>
      </c>
      <c r="AC21">
        <f t="shared" si="10"/>
        <v>685.05389859359082</v>
      </c>
      <c r="AD21" s="6">
        <v>0.2</v>
      </c>
      <c r="AE21">
        <f t="shared" si="2"/>
        <v>137.01077971871817</v>
      </c>
      <c r="AF21">
        <f t="shared" si="3"/>
        <v>1</v>
      </c>
    </row>
    <row r="22" spans="1:32">
      <c r="A22" s="2">
        <v>21</v>
      </c>
      <c r="B22">
        <f t="shared" si="4"/>
        <v>4.6609571438493029</v>
      </c>
      <c r="C22" s="6">
        <v>0.08</v>
      </c>
      <c r="D22">
        <f t="shared" si="5"/>
        <v>32.906357435576062</v>
      </c>
      <c r="Q22">
        <f t="shared" si="9"/>
        <v>32.906357435576105</v>
      </c>
      <c r="R22">
        <f t="shared" si="6"/>
        <v>57.298991240055237</v>
      </c>
      <c r="S22">
        <f t="shared" si="7"/>
        <v>183.76562732799439</v>
      </c>
      <c r="T22" s="6">
        <v>0.08</v>
      </c>
      <c r="V22">
        <f>SUM($R$2:R22)</f>
        <v>828.81164299082172</v>
      </c>
      <c r="W22">
        <f t="shared" si="8"/>
        <v>1.747589176803487</v>
      </c>
      <c r="Z22">
        <f t="shared" si="11"/>
        <v>2.5807873153204883</v>
      </c>
      <c r="AA22" s="6">
        <v>0.3</v>
      </c>
      <c r="AB22">
        <f t="shared" si="1"/>
        <v>612.55209109331463</v>
      </c>
      <c r="AC22">
        <f t="shared" si="10"/>
        <v>726.15713250920635</v>
      </c>
      <c r="AD22" s="6">
        <v>0.2</v>
      </c>
      <c r="AE22">
        <f t="shared" si="2"/>
        <v>145.23142650184127</v>
      </c>
      <c r="AF22">
        <f t="shared" si="3"/>
        <v>1</v>
      </c>
    </row>
    <row r="23" spans="1:32">
      <c r="A23" s="2">
        <v>22</v>
      </c>
      <c r="B23">
        <f t="shared" si="4"/>
        <v>5.0338337153572468</v>
      </c>
      <c r="C23" s="6">
        <v>0.08</v>
      </c>
      <c r="D23">
        <f t="shared" si="5"/>
        <v>35.538866030422149</v>
      </c>
      <c r="Q23">
        <f t="shared" si="9"/>
        <v>35.538866030422191</v>
      </c>
      <c r="R23">
        <f t="shared" si="6"/>
        <v>58.380104282320424</v>
      </c>
      <c r="S23">
        <f t="shared" si="7"/>
        <v>198.46687751423397</v>
      </c>
      <c r="T23" s="6">
        <v>0.08</v>
      </c>
      <c r="V23">
        <f>SUM($R$2:R23)</f>
        <v>887.19174727314214</v>
      </c>
      <c r="W23">
        <f t="shared" si="8"/>
        <v>1.8706864320692072</v>
      </c>
      <c r="Z23">
        <f t="shared" si="11"/>
        <v>2.3896178845560074</v>
      </c>
      <c r="AA23" s="6">
        <v>0.3</v>
      </c>
      <c r="AB23">
        <f t="shared" si="1"/>
        <v>661.55625838077992</v>
      </c>
      <c r="AC23">
        <f t="shared" si="10"/>
        <v>769.72656045975873</v>
      </c>
      <c r="AD23" s="6">
        <v>0.2</v>
      </c>
      <c r="AE23">
        <f t="shared" si="2"/>
        <v>153.94531209195176</v>
      </c>
      <c r="AF23">
        <f t="shared" si="3"/>
        <v>1</v>
      </c>
    </row>
    <row r="24" spans="1:32">
      <c r="A24" s="2">
        <v>23</v>
      </c>
      <c r="B24">
        <f t="shared" si="4"/>
        <v>5.4365404125858268</v>
      </c>
      <c r="C24" s="6">
        <v>0.08</v>
      </c>
      <c r="D24">
        <f t="shared" si="5"/>
        <v>38.381975312855921</v>
      </c>
      <c r="Q24">
        <f t="shared" si="9"/>
        <v>38.381975312855971</v>
      </c>
      <c r="R24">
        <f t="shared" si="6"/>
        <v>59.481615683873642</v>
      </c>
      <c r="S24">
        <f t="shared" si="7"/>
        <v>214.34422771537271</v>
      </c>
      <c r="T24" s="6">
        <v>0.08</v>
      </c>
      <c r="V24">
        <f>SUM($R$2:R24)</f>
        <v>946.6733629570158</v>
      </c>
      <c r="W24">
        <f t="shared" si="8"/>
        <v>1.996106277056922</v>
      </c>
      <c r="Z24">
        <f t="shared" si="11"/>
        <v>2.2126091523666731</v>
      </c>
      <c r="AA24" s="6">
        <v>0.3</v>
      </c>
      <c r="AB24">
        <f t="shared" si="1"/>
        <v>714.48075905124244</v>
      </c>
      <c r="AC24">
        <f t="shared" si="10"/>
        <v>815.91015408734427</v>
      </c>
      <c r="AD24" s="6">
        <v>0.2</v>
      </c>
      <c r="AE24">
        <f t="shared" si="2"/>
        <v>163.18203081746887</v>
      </c>
      <c r="AF24">
        <f t="shared" si="3"/>
        <v>1</v>
      </c>
    </row>
    <row r="25" spans="1:32">
      <c r="A25" s="2">
        <v>24</v>
      </c>
      <c r="B25">
        <f t="shared" si="4"/>
        <v>5.8714636455926925</v>
      </c>
      <c r="C25" s="6">
        <v>0.08</v>
      </c>
      <c r="D25">
        <f t="shared" si="5"/>
        <v>41.452533337884397</v>
      </c>
      <c r="Q25">
        <f t="shared" si="9"/>
        <v>41.452533337884454</v>
      </c>
      <c r="R25">
        <f t="shared" si="6"/>
        <v>60.603910319418425</v>
      </c>
      <c r="S25">
        <f t="shared" si="7"/>
        <v>231.49176593260253</v>
      </c>
      <c r="T25" s="6">
        <v>0.08</v>
      </c>
      <c r="V25">
        <f>SUM($R$2:R25)</f>
        <v>1007.2772732764342</v>
      </c>
      <c r="W25">
        <f t="shared" si="8"/>
        <v>2.1238925342142165</v>
      </c>
      <c r="Z25">
        <f t="shared" si="11"/>
        <v>2.0487121781172899</v>
      </c>
      <c r="AA25" s="6">
        <v>0.3</v>
      </c>
      <c r="AB25">
        <f t="shared" si="1"/>
        <v>771.63921977534176</v>
      </c>
      <c r="AC25">
        <f t="shared" si="10"/>
        <v>864.86476333258497</v>
      </c>
      <c r="AD25" s="6">
        <v>0.2</v>
      </c>
      <c r="AE25">
        <f t="shared" si="2"/>
        <v>172.97295266651702</v>
      </c>
      <c r="AF25">
        <f t="shared" si="3"/>
        <v>1</v>
      </c>
    </row>
    <row r="26" spans="1:32">
      <c r="A26" s="2">
        <v>25</v>
      </c>
      <c r="B26">
        <f t="shared" si="4"/>
        <v>6.3411807372401077</v>
      </c>
      <c r="C26" s="6">
        <v>0.08</v>
      </c>
      <c r="D26">
        <f t="shared" si="5"/>
        <v>44.768736004915148</v>
      </c>
      <c r="Q26">
        <f t="shared" si="9"/>
        <v>44.768736004915205</v>
      </c>
      <c r="R26">
        <f t="shared" si="6"/>
        <v>61.747380325445199</v>
      </c>
      <c r="S26">
        <f t="shared" si="7"/>
        <v>250.01110720721076</v>
      </c>
      <c r="T26" s="6">
        <v>0.08</v>
      </c>
      <c r="V26">
        <f>SUM($R$2:R26)</f>
        <v>1069.0246536018794</v>
      </c>
      <c r="W26">
        <f t="shared" si="8"/>
        <v>2.2540898528273088</v>
      </c>
      <c r="Z26">
        <f t="shared" si="11"/>
        <v>1.896955720478972</v>
      </c>
      <c r="AA26" s="6">
        <v>0.3</v>
      </c>
      <c r="AB26">
        <f t="shared" si="1"/>
        <v>833.37035735736924</v>
      </c>
      <c r="AC26">
        <f t="shared" si="10"/>
        <v>916.75664913254013</v>
      </c>
      <c r="AD26" s="6">
        <v>0.2</v>
      </c>
      <c r="AE26">
        <f t="shared" si="2"/>
        <v>183.35132982650805</v>
      </c>
      <c r="AF26">
        <f t="shared" si="3"/>
        <v>1</v>
      </c>
    </row>
    <row r="27" spans="1:32">
      <c r="A27" s="2">
        <v>26</v>
      </c>
      <c r="B27">
        <f t="shared" si="4"/>
        <v>6.848475196219316</v>
      </c>
      <c r="C27" s="6">
        <v>0.08</v>
      </c>
      <c r="D27">
        <f t="shared" si="5"/>
        <v>48.35023488530836</v>
      </c>
      <c r="Q27">
        <f t="shared" si="9"/>
        <v>48.350234885308431</v>
      </c>
      <c r="R27">
        <f t="shared" si="6"/>
        <v>62.912425237246062</v>
      </c>
      <c r="S27">
        <f t="shared" si="7"/>
        <v>270.01199578378765</v>
      </c>
      <c r="T27" s="6">
        <v>0.08</v>
      </c>
      <c r="V27">
        <f>SUM($R$2:R27)</f>
        <v>1131.9370788391254</v>
      </c>
      <c r="W27">
        <f t="shared" si="8"/>
        <v>2.38674372462178</v>
      </c>
      <c r="Z27">
        <f t="shared" si="11"/>
        <v>1.7564404819249739</v>
      </c>
      <c r="AA27" s="6">
        <v>0.3</v>
      </c>
      <c r="AB27">
        <f t="shared" si="1"/>
        <v>900.03998594595885</v>
      </c>
      <c r="AC27">
        <f t="shared" si="10"/>
        <v>971.7620480804926</v>
      </c>
      <c r="AD27" s="6">
        <v>0.2</v>
      </c>
      <c r="AE27">
        <f t="shared" si="2"/>
        <v>194.35240961609853</v>
      </c>
      <c r="AF27">
        <f t="shared" si="3"/>
        <v>1</v>
      </c>
    </row>
    <row r="28" spans="1:32">
      <c r="A28" s="2">
        <v>27</v>
      </c>
      <c r="B28">
        <f t="shared" si="4"/>
        <v>7.3963532119168613</v>
      </c>
      <c r="C28" s="6">
        <v>0.08</v>
      </c>
      <c r="D28">
        <f t="shared" si="5"/>
        <v>52.218253676133031</v>
      </c>
      <c r="Q28">
        <f t="shared" si="9"/>
        <v>52.218253676133102</v>
      </c>
      <c r="R28">
        <f t="shared" si="6"/>
        <v>64.099452128514855</v>
      </c>
      <c r="S28">
        <f t="shared" si="7"/>
        <v>291.61295544649067</v>
      </c>
      <c r="T28" s="6">
        <v>0.08</v>
      </c>
      <c r="V28">
        <f>SUM($R$2:R28)</f>
        <v>1196.0365309676404</v>
      </c>
      <c r="W28">
        <f t="shared" si="8"/>
        <v>2.5219004996576571</v>
      </c>
      <c r="Z28">
        <f t="shared" si="11"/>
        <v>1.6263337795601609</v>
      </c>
      <c r="AA28" s="6">
        <v>0.3</v>
      </c>
      <c r="AB28">
        <f t="shared" si="1"/>
        <v>972.04318482163558</v>
      </c>
      <c r="AC28">
        <f t="shared" si="10"/>
        <v>1030.0677709653223</v>
      </c>
      <c r="AD28" s="6">
        <v>0.2</v>
      </c>
      <c r="AE28">
        <f t="shared" si="2"/>
        <v>206.01355419306446</v>
      </c>
      <c r="AF28">
        <f t="shared" si="3"/>
        <v>1</v>
      </c>
    </row>
    <row r="29" spans="1:32">
      <c r="A29" s="2">
        <v>28</v>
      </c>
      <c r="B29">
        <f t="shared" si="4"/>
        <v>7.9880614688702103</v>
      </c>
      <c r="C29" s="6">
        <v>0.08</v>
      </c>
      <c r="D29">
        <f t="shared" si="5"/>
        <v>56.395713970223674</v>
      </c>
      <c r="Q29">
        <f t="shared" si="9"/>
        <v>56.395713970223753</v>
      </c>
      <c r="R29">
        <f t="shared" si="6"/>
        <v>65.308875753581162</v>
      </c>
      <c r="S29">
        <f t="shared" si="7"/>
        <v>314.94199188220995</v>
      </c>
      <c r="T29" s="6">
        <v>0.08</v>
      </c>
      <c r="V29">
        <f>SUM($R$2:R29)</f>
        <v>1261.3454067212215</v>
      </c>
      <c r="W29">
        <f t="shared" si="8"/>
        <v>2.659607402524399</v>
      </c>
      <c r="Z29">
        <f t="shared" si="11"/>
        <v>1.5058646107038527</v>
      </c>
      <c r="AA29" s="6">
        <v>0.3</v>
      </c>
      <c r="AB29">
        <f t="shared" si="1"/>
        <v>1049.8066396073666</v>
      </c>
      <c r="AC29">
        <f t="shared" si="10"/>
        <v>1091.8718372232418</v>
      </c>
      <c r="AD29" s="6">
        <v>0.2</v>
      </c>
      <c r="AE29">
        <f t="shared" si="2"/>
        <v>218.37436744464836</v>
      </c>
      <c r="AF29">
        <f t="shared" si="3"/>
        <v>1</v>
      </c>
    </row>
    <row r="30" spans="1:32">
      <c r="A30" s="2">
        <v>29</v>
      </c>
      <c r="B30">
        <f t="shared" si="4"/>
        <v>8.6271063863798272</v>
      </c>
      <c r="C30" s="6">
        <v>0.08</v>
      </c>
      <c r="D30">
        <f t="shared" si="5"/>
        <v>60.907371087841568</v>
      </c>
      <c r="Q30">
        <f t="shared" si="9"/>
        <v>60.907371087841653</v>
      </c>
      <c r="R30">
        <f t="shared" si="6"/>
        <v>66.541118692327984</v>
      </c>
      <c r="S30">
        <f t="shared" si="7"/>
        <v>340.13735123278678</v>
      </c>
      <c r="T30" s="6">
        <v>0.08</v>
      </c>
      <c r="V30">
        <f>SUM($R$2:R30)</f>
        <v>1327.8865254135494</v>
      </c>
      <c r="W30">
        <f t="shared" si="8"/>
        <v>2.7999125488414571</v>
      </c>
      <c r="Z30">
        <f t="shared" si="11"/>
        <v>1.3943190839850486</v>
      </c>
      <c r="AA30" s="6">
        <v>0.3</v>
      </c>
      <c r="AB30">
        <f t="shared" si="1"/>
        <v>1133.7911707759561</v>
      </c>
      <c r="AC30">
        <f t="shared" si="10"/>
        <v>1157.3841474566364</v>
      </c>
      <c r="AD30" s="6">
        <v>0.2</v>
      </c>
      <c r="AE30">
        <f t="shared" si="2"/>
        <v>231.47682949132729</v>
      </c>
      <c r="AF30">
        <f t="shared" si="3"/>
        <v>1</v>
      </c>
    </row>
    <row r="31" spans="1:32">
      <c r="A31" s="2">
        <v>30</v>
      </c>
      <c r="B31">
        <f t="shared" si="4"/>
        <v>9.3172748972902131</v>
      </c>
      <c r="C31" s="6">
        <v>0.08</v>
      </c>
      <c r="D31">
        <f t="shared" si="5"/>
        <v>65.779960774868897</v>
      </c>
      <c r="Q31">
        <f t="shared" si="9"/>
        <v>65.779960774868982</v>
      </c>
      <c r="R31">
        <f t="shared" si="6"/>
        <v>67.796611497843614</v>
      </c>
      <c r="S31">
        <f t="shared" si="7"/>
        <v>367.34833933140976</v>
      </c>
      <c r="T31" s="6">
        <v>0.08</v>
      </c>
      <c r="V31">
        <f>SUM($R$2:R31)</f>
        <v>1395.6831369113929</v>
      </c>
      <c r="W31">
        <f t="shared" si="8"/>
        <v>2.9428649620701575</v>
      </c>
      <c r="Z31">
        <f t="shared" si="11"/>
        <v>1.2910361888750448</v>
      </c>
      <c r="AA31" s="6">
        <v>0.3</v>
      </c>
      <c r="AB31">
        <f t="shared" si="1"/>
        <v>1224.4944644380325</v>
      </c>
      <c r="AC31">
        <f t="shared" si="10"/>
        <v>1226.8271963040345</v>
      </c>
      <c r="AD31" s="6">
        <v>0.2</v>
      </c>
      <c r="AE31">
        <f t="shared" si="2"/>
        <v>245.36543926080691</v>
      </c>
      <c r="AF31">
        <f t="shared" si="3"/>
        <v>1</v>
      </c>
    </row>
    <row r="32" spans="1:32">
      <c r="A32" s="2">
        <v>31</v>
      </c>
      <c r="B32">
        <f t="shared" si="4"/>
        <v>10.06265688907343</v>
      </c>
      <c r="C32" s="6">
        <v>0.08</v>
      </c>
      <c r="D32">
        <f t="shared" si="5"/>
        <v>71.042357636858412</v>
      </c>
      <c r="Q32">
        <f t="shared" si="9"/>
        <v>71.042357636858512</v>
      </c>
      <c r="R32">
        <f t="shared" si="6"/>
        <v>69.075792846859528</v>
      </c>
      <c r="S32">
        <f t="shared" si="7"/>
        <v>396.73620647792256</v>
      </c>
      <c r="T32" s="6">
        <v>0.08</v>
      </c>
      <c r="V32">
        <f>SUM($R$2:R32)</f>
        <v>1464.7589297582524</v>
      </c>
      <c r="W32">
        <f t="shared" si="8"/>
        <v>3.088514590642796</v>
      </c>
      <c r="Z32">
        <f t="shared" si="11"/>
        <v>1.1954038785880043</v>
      </c>
      <c r="AA32" s="6">
        <v>0.3</v>
      </c>
      <c r="AB32">
        <f t="shared" si="1"/>
        <v>1322.4540215930754</v>
      </c>
      <c r="AC32">
        <f t="shared" si="10"/>
        <v>1300.4368280822766</v>
      </c>
      <c r="AD32" s="6">
        <v>0.2</v>
      </c>
      <c r="AE32">
        <f t="shared" si="2"/>
        <v>260.08736561645532</v>
      </c>
      <c r="AF32">
        <f t="shared" si="3"/>
        <v>1</v>
      </c>
    </row>
    <row r="33" spans="1:32">
      <c r="A33" s="2">
        <v>32</v>
      </c>
      <c r="B33">
        <f t="shared" si="4"/>
        <v>10.867669440199306</v>
      </c>
      <c r="C33" s="6">
        <v>0.08</v>
      </c>
      <c r="D33">
        <f t="shared" si="5"/>
        <v>76.725746247807081</v>
      </c>
      <c r="Q33">
        <f t="shared" si="9"/>
        <v>76.725746247807209</v>
      </c>
      <c r="R33">
        <f t="shared" si="6"/>
        <v>70.379109693026678</v>
      </c>
      <c r="S33">
        <f t="shared" si="7"/>
        <v>428.47510299615641</v>
      </c>
      <c r="T33" s="6">
        <v>0.08</v>
      </c>
      <c r="V33">
        <f>SUM($R$2:R33)</f>
        <v>1535.1380394512792</v>
      </c>
      <c r="W33">
        <f t="shared" si="8"/>
        <v>3.2369123254149184</v>
      </c>
      <c r="Z33">
        <f t="shared" si="11"/>
        <v>1.106855443137041</v>
      </c>
      <c r="AA33" s="6">
        <v>0.3</v>
      </c>
      <c r="AB33">
        <f t="shared" si="1"/>
        <v>1428.2503433205213</v>
      </c>
      <c r="AC33">
        <f t="shared" si="10"/>
        <v>1378.4630377672133</v>
      </c>
      <c r="AD33" s="6">
        <v>0.2</v>
      </c>
      <c r="AE33">
        <f t="shared" si="2"/>
        <v>275.69260755344266</v>
      </c>
      <c r="AF33">
        <f t="shared" si="3"/>
        <v>1</v>
      </c>
    </row>
    <row r="34" spans="1:32">
      <c r="A34" s="2">
        <v>33</v>
      </c>
      <c r="B34">
        <f t="shared" si="4"/>
        <v>11.73708299541525</v>
      </c>
      <c r="C34" s="6">
        <v>0.08</v>
      </c>
      <c r="D34">
        <f t="shared" si="5"/>
        <v>82.863805947631647</v>
      </c>
      <c r="Q34">
        <f t="shared" si="9"/>
        <v>82.863805947631789</v>
      </c>
      <c r="R34">
        <f t="shared" si="6"/>
        <v>71.707017423083812</v>
      </c>
      <c r="S34">
        <f t="shared" si="7"/>
        <v>462.75311123584896</v>
      </c>
      <c r="T34" s="6">
        <v>0.08</v>
      </c>
      <c r="V34">
        <f>SUM($R$2:R34)</f>
        <v>1606.8450568743629</v>
      </c>
      <c r="W34">
        <f t="shared" si="8"/>
        <v>3.3881100174468917</v>
      </c>
      <c r="Z34">
        <f t="shared" si="11"/>
        <v>1.0248661510528156</v>
      </c>
      <c r="AA34" s="6">
        <v>0.3</v>
      </c>
      <c r="AB34">
        <f t="shared" si="1"/>
        <v>1542.5103707861633</v>
      </c>
      <c r="AC34">
        <f t="shared" si="10"/>
        <v>1461.1708200332462</v>
      </c>
      <c r="AD34" s="6">
        <v>0.2</v>
      </c>
      <c r="AE34">
        <f t="shared" si="2"/>
        <v>292.23416400664922</v>
      </c>
      <c r="AF34">
        <f t="shared" si="3"/>
        <v>1</v>
      </c>
    </row>
    <row r="35" spans="1:32">
      <c r="A35" s="2">
        <v>34</v>
      </c>
      <c r="B35">
        <f t="shared" si="4"/>
        <v>12.67604963504847</v>
      </c>
      <c r="C35" s="6">
        <v>0.08</v>
      </c>
      <c r="D35">
        <f t="shared" si="5"/>
        <v>89.492910423442183</v>
      </c>
      <c r="Q35">
        <f t="shared" si="9"/>
        <v>89.492910423442325</v>
      </c>
      <c r="R35">
        <f t="shared" si="6"/>
        <v>73.059980015972187</v>
      </c>
      <c r="S35">
        <f t="shared" si="7"/>
        <v>499.77336013471694</v>
      </c>
      <c r="T35" s="6">
        <v>0.08</v>
      </c>
      <c r="V35">
        <f>SUM($R$2:R35)</f>
        <v>1679.9050368903349</v>
      </c>
      <c r="W35">
        <f t="shared" si="8"/>
        <v>3.5421604961209781</v>
      </c>
      <c r="Z35">
        <f t="shared" si="11"/>
        <v>0.94895013986371812</v>
      </c>
      <c r="AA35" s="6">
        <v>0.3</v>
      </c>
      <c r="AB35">
        <f t="shared" si="1"/>
        <v>1665.9112004490564</v>
      </c>
      <c r="AC35">
        <f t="shared" si="10"/>
        <v>1548.8410692352411</v>
      </c>
      <c r="AD35" s="6">
        <v>0.2</v>
      </c>
      <c r="AE35">
        <f t="shared" si="2"/>
        <v>309.76821384704823</v>
      </c>
      <c r="AF35">
        <f t="shared" si="3"/>
        <v>1</v>
      </c>
    </row>
    <row r="36" spans="1:32">
      <c r="A36" s="2">
        <v>35</v>
      </c>
      <c r="B36">
        <f t="shared" si="4"/>
        <v>13.690133605852347</v>
      </c>
      <c r="C36" s="6">
        <v>0.08</v>
      </c>
      <c r="D36">
        <f t="shared" si="5"/>
        <v>96.652343257317554</v>
      </c>
      <c r="Q36">
        <f t="shared" si="9"/>
        <v>96.65234325731771</v>
      </c>
      <c r="R36">
        <f t="shared" si="6"/>
        <v>74.438470204952793</v>
      </c>
      <c r="S36">
        <f t="shared" si="7"/>
        <v>539.75522894549431</v>
      </c>
      <c r="T36" s="6">
        <v>0.08</v>
      </c>
      <c r="V36">
        <f>SUM($R$2:R36)</f>
        <v>1754.3435070952878</v>
      </c>
      <c r="W36">
        <f t="shared" si="8"/>
        <v>3.6991175876002358</v>
      </c>
      <c r="Z36">
        <f t="shared" si="11"/>
        <v>0.87865753691085002</v>
      </c>
      <c r="AA36" s="6">
        <v>0.3</v>
      </c>
      <c r="AB36">
        <f t="shared" si="1"/>
        <v>1799.1840964849812</v>
      </c>
      <c r="AC36">
        <f t="shared" si="10"/>
        <v>1641.7715333893557</v>
      </c>
      <c r="AD36" s="6">
        <v>0.2</v>
      </c>
      <c r="AE36">
        <f t="shared" si="2"/>
        <v>328.35430667787114</v>
      </c>
      <c r="AF36">
        <f t="shared" si="3"/>
        <v>1</v>
      </c>
    </row>
    <row r="37" spans="1:32">
      <c r="A37" s="2">
        <v>36</v>
      </c>
      <c r="B37">
        <f t="shared" si="4"/>
        <v>14.785344294320534</v>
      </c>
      <c r="C37" s="6">
        <v>0.08</v>
      </c>
      <c r="D37">
        <f t="shared" si="5"/>
        <v>104.38453071790296</v>
      </c>
      <c r="Q37">
        <f t="shared" si="9"/>
        <v>104.38453071790315</v>
      </c>
      <c r="R37">
        <f t="shared" si="6"/>
        <v>75.84296964278208</v>
      </c>
      <c r="S37">
        <f t="shared" si="7"/>
        <v>582.93564726113391</v>
      </c>
      <c r="T37" s="6">
        <v>0.08</v>
      </c>
      <c r="V37">
        <f>SUM($R$2:R37)</f>
        <v>1830.1864767380698</v>
      </c>
      <c r="W37">
        <f t="shared" si="8"/>
        <v>3.8590361336357057</v>
      </c>
      <c r="Z37">
        <f t="shared" si="11"/>
        <v>0.81357179343597219</v>
      </c>
      <c r="AA37" s="6">
        <v>0.3</v>
      </c>
      <c r="AB37">
        <f t="shared" si="1"/>
        <v>1943.1188242037797</v>
      </c>
      <c r="AC37">
        <f t="shared" si="10"/>
        <v>1740.2778253927172</v>
      </c>
      <c r="AD37" s="6">
        <v>0.2</v>
      </c>
      <c r="AE37">
        <f t="shared" si="2"/>
        <v>348.05556507854345</v>
      </c>
      <c r="AF37">
        <f t="shared" si="3"/>
        <v>1</v>
      </c>
    </row>
    <row r="38" spans="1:32">
      <c r="A38" s="2">
        <v>37</v>
      </c>
      <c r="B38">
        <f t="shared" si="4"/>
        <v>15.968171837866176</v>
      </c>
      <c r="C38" s="6">
        <v>0.08</v>
      </c>
      <c r="D38">
        <f t="shared" si="5"/>
        <v>112.7352931753352</v>
      </c>
      <c r="Q38">
        <f t="shared" si="9"/>
        <v>112.73529317533541</v>
      </c>
      <c r="R38">
        <f t="shared" si="6"/>
        <v>77.273969070004384</v>
      </c>
      <c r="S38">
        <f t="shared" si="7"/>
        <v>629.57049904202461</v>
      </c>
      <c r="T38" s="6">
        <v>0.08</v>
      </c>
      <c r="V38">
        <f>SUM($R$2:R38)</f>
        <v>1907.4604458080742</v>
      </c>
      <c r="W38" s="14">
        <f t="shared" si="8"/>
        <v>4.0219720107284491</v>
      </c>
      <c r="Z38">
        <f t="shared" si="11"/>
        <v>0.75330721614441876</v>
      </c>
      <c r="AA38" s="6">
        <v>0.3</v>
      </c>
      <c r="AB38">
        <f t="shared" si="1"/>
        <v>2098.5683301400823</v>
      </c>
      <c r="AC38">
        <f t="shared" si="10"/>
        <v>1844.6944949162803</v>
      </c>
      <c r="AD38" s="6">
        <v>0.2</v>
      </c>
      <c r="AE38">
        <f t="shared" si="2"/>
        <v>368.93889898325608</v>
      </c>
      <c r="AF38">
        <f t="shared" si="3"/>
        <v>1</v>
      </c>
    </row>
    <row r="39" spans="1:32">
      <c r="A39" s="2">
        <v>38</v>
      </c>
      <c r="B39">
        <f t="shared" si="4"/>
        <v>17.245625584895471</v>
      </c>
      <c r="C39" s="6">
        <v>0.08</v>
      </c>
      <c r="D39">
        <f t="shared" si="5"/>
        <v>121.75411662936202</v>
      </c>
      <c r="Q39">
        <f t="shared" si="9"/>
        <v>121.75411662936224</v>
      </c>
      <c r="R39">
        <f t="shared" si="6"/>
        <v>78.731968486419561</v>
      </c>
      <c r="S39">
        <f t="shared" si="7"/>
        <v>679.93613896538659</v>
      </c>
      <c r="T39" s="6">
        <v>0.08</v>
      </c>
      <c r="V39">
        <f>SUM($R$2:R39)</f>
        <v>1986.1924142944938</v>
      </c>
      <c r="W39">
        <f t="shared" si="8"/>
        <v>4.1879821496531306</v>
      </c>
      <c r="Z39">
        <f t="shared" si="11"/>
        <v>0.69750668161520246</v>
      </c>
      <c r="AA39" s="6">
        <v>0.3</v>
      </c>
      <c r="AB39">
        <f t="shared" si="1"/>
        <v>2266.4537965512886</v>
      </c>
      <c r="AC39">
        <f t="shared" si="10"/>
        <v>1955.3761646112573</v>
      </c>
      <c r="AD39" s="6">
        <v>0.2</v>
      </c>
      <c r="AE39">
        <f t="shared" si="2"/>
        <v>391.07523292225147</v>
      </c>
      <c r="AF39">
        <f t="shared" si="3"/>
        <v>1</v>
      </c>
    </row>
    <row r="40" spans="1:32">
      <c r="A40" s="2">
        <v>39</v>
      </c>
      <c r="B40">
        <f t="shared" si="4"/>
        <v>18.62527563168711</v>
      </c>
      <c r="C40" s="6">
        <v>0.08</v>
      </c>
      <c r="D40">
        <f t="shared" si="5"/>
        <v>131.49444595971099</v>
      </c>
      <c r="Q40">
        <f t="shared" si="9"/>
        <v>131.49444595971124</v>
      </c>
      <c r="R40">
        <f t="shared" si="6"/>
        <v>80.21747732578595</v>
      </c>
      <c r="S40">
        <f t="shared" si="7"/>
        <v>734.33103008261753</v>
      </c>
      <c r="T40" s="6">
        <v>0.08</v>
      </c>
      <c r="V40">
        <f>SUM($R$2:R40)</f>
        <v>2066.4098916202797</v>
      </c>
      <c r="W40">
        <f t="shared" si="8"/>
        <v>4.3571245553499764</v>
      </c>
      <c r="Z40">
        <f t="shared" si="11"/>
        <v>0.64583952001407641</v>
      </c>
      <c r="AA40" s="6">
        <v>0.3</v>
      </c>
      <c r="AB40">
        <f t="shared" si="1"/>
        <v>2447.770100275392</v>
      </c>
      <c r="AC40">
        <f t="shared" si="10"/>
        <v>2072.6987344879331</v>
      </c>
      <c r="AD40" s="6">
        <v>0.2</v>
      </c>
      <c r="AE40">
        <f t="shared" si="2"/>
        <v>414.53974689758661</v>
      </c>
      <c r="AF40">
        <f t="shared" si="3"/>
        <v>1</v>
      </c>
    </row>
    <row r="41" spans="1:32">
      <c r="A41" s="2">
        <v>40</v>
      </c>
      <c r="B41">
        <f t="shared" si="4"/>
        <v>20.115297682222078</v>
      </c>
      <c r="C41" s="6">
        <v>0.08</v>
      </c>
      <c r="D41">
        <f t="shared" si="5"/>
        <v>142.01400163648788</v>
      </c>
      <c r="Q41">
        <f t="shared" si="9"/>
        <v>142.01400163648813</v>
      </c>
      <c r="R41">
        <f t="shared" si="6"/>
        <v>81.73101463381964</v>
      </c>
      <c r="S41">
        <f t="shared" si="7"/>
        <v>793.07751248922693</v>
      </c>
      <c r="T41" s="6">
        <v>0.08</v>
      </c>
      <c r="V41">
        <f>SUM($R$2:R41)</f>
        <v>2148.1409062540993</v>
      </c>
      <c r="W41">
        <f t="shared" si="8"/>
        <v>4.529458327192045</v>
      </c>
      <c r="Z41">
        <f t="shared" si="11"/>
        <v>0.59799955556858919</v>
      </c>
      <c r="AA41" s="6">
        <v>0.3</v>
      </c>
      <c r="AB41">
        <f t="shared" si="1"/>
        <v>2643.5917082974233</v>
      </c>
      <c r="AC41">
        <f t="shared" si="10"/>
        <v>2197.0606585572091</v>
      </c>
      <c r="AD41" s="6">
        <v>0.2</v>
      </c>
      <c r="AE41">
        <f t="shared" si="2"/>
        <v>439.41213171144182</v>
      </c>
      <c r="AF41">
        <f t="shared" si="3"/>
        <v>1</v>
      </c>
    </row>
    <row r="42" spans="1:32">
      <c r="A42" s="2">
        <v>41</v>
      </c>
      <c r="B42">
        <f t="shared" si="4"/>
        <v>21.724521496799845</v>
      </c>
      <c r="C42" s="6">
        <v>0.08</v>
      </c>
      <c r="D42">
        <f t="shared" si="5"/>
        <v>153.37512176740691</v>
      </c>
      <c r="Q42">
        <f t="shared" si="9"/>
        <v>153.37512176740719</v>
      </c>
      <c r="R42">
        <f t="shared" si="6"/>
        <v>83.273109249552107</v>
      </c>
      <c r="S42">
        <f t="shared" si="7"/>
        <v>856.52371348836516</v>
      </c>
      <c r="T42" s="6">
        <v>0.08</v>
      </c>
      <c r="V42" s="1">
        <f>SUM($R$2:R42)</f>
        <v>2231.4140155036512</v>
      </c>
      <c r="W42">
        <f t="shared" si="8"/>
        <v>4.7050436796349073</v>
      </c>
      <c r="Z42">
        <f t="shared" si="11"/>
        <v>0.55370329219313819</v>
      </c>
      <c r="AA42" s="6">
        <v>0.3</v>
      </c>
      <c r="AB42">
        <f t="shared" si="1"/>
        <v>2855.0790449612173</v>
      </c>
      <c r="AC42">
        <f t="shared" si="10"/>
        <v>2328.8842980706418</v>
      </c>
      <c r="AD42" s="6">
        <v>0.2</v>
      </c>
      <c r="AE42">
        <f t="shared" si="2"/>
        <v>465.7768596141284</v>
      </c>
      <c r="AF42">
        <f t="shared" si="3"/>
        <v>1</v>
      </c>
    </row>
    <row r="43" spans="1:32">
      <c r="A43" s="2">
        <v>42</v>
      </c>
      <c r="B43">
        <f t="shared" si="4"/>
        <v>23.462483216543834</v>
      </c>
      <c r="C43" s="6">
        <v>0.08</v>
      </c>
      <c r="D43">
        <f t="shared" si="5"/>
        <v>165.64513150879947</v>
      </c>
      <c r="Q43">
        <f t="shared" si="9"/>
        <v>165.64513150879978</v>
      </c>
      <c r="R43">
        <f t="shared" si="6"/>
        <v>84.844299990109704</v>
      </c>
      <c r="S43">
        <f t="shared" si="7"/>
        <v>925.04561056743444</v>
      </c>
      <c r="T43" s="6">
        <v>0.08</v>
      </c>
      <c r="V43">
        <f>SUM($R$2:R43)</f>
        <v>2316.2583154937611</v>
      </c>
      <c r="W43">
        <f t="shared" si="8"/>
        <v>4.8839419632559382</v>
      </c>
      <c r="Z43">
        <f t="shared" si="11"/>
        <v>0.51268823351216486</v>
      </c>
      <c r="AA43" s="6">
        <v>0.3</v>
      </c>
      <c r="AB43">
        <f t="shared" si="1"/>
        <v>3083.4853685581147</v>
      </c>
      <c r="AC43">
        <f t="shared" si="10"/>
        <v>2468.6173559548802</v>
      </c>
      <c r="AD43" s="6">
        <v>0.2</v>
      </c>
      <c r="AE43">
        <f t="shared" si="2"/>
        <v>493.72347119097606</v>
      </c>
      <c r="AF43">
        <f t="shared" si="3"/>
        <v>1</v>
      </c>
    </row>
    <row r="44" spans="1:32">
      <c r="A44" s="2">
        <v>43</v>
      </c>
      <c r="B44">
        <f t="shared" si="4"/>
        <v>25.339481873867342</v>
      </c>
      <c r="C44" s="6">
        <v>0.08</v>
      </c>
      <c r="D44">
        <f t="shared" si="5"/>
        <v>178.89674202950343</v>
      </c>
      <c r="Q44">
        <f t="shared" si="9"/>
        <v>178.89674202950374</v>
      </c>
      <c r="R44">
        <f t="shared" si="6"/>
        <v>86.445135838979681</v>
      </c>
      <c r="S44">
        <f t="shared" si="7"/>
        <v>999.0492594128292</v>
      </c>
      <c r="T44" s="6">
        <v>0.08</v>
      </c>
      <c r="V44">
        <f>SUM($R$2:R44)</f>
        <v>2402.7034513327408</v>
      </c>
      <c r="W44">
        <f t="shared" si="8"/>
        <v>5.0662156861905725</v>
      </c>
      <c r="Z44">
        <f t="shared" si="11"/>
        <v>0.47471132732607862</v>
      </c>
      <c r="AA44" s="6">
        <v>0.3</v>
      </c>
      <c r="AB44">
        <f t="shared" si="1"/>
        <v>3330.1641980427639</v>
      </c>
      <c r="AC44">
        <f t="shared" si="10"/>
        <v>2616.7343973121733</v>
      </c>
      <c r="AD44" s="6">
        <v>0.2</v>
      </c>
      <c r="AE44">
        <f t="shared" si="2"/>
        <v>523.34687946243469</v>
      </c>
      <c r="AF44">
        <f t="shared" si="3"/>
        <v>1</v>
      </c>
    </row>
    <row r="45" spans="1:32">
      <c r="A45" s="2">
        <v>44</v>
      </c>
      <c r="B45">
        <f t="shared" si="4"/>
        <v>27.36664042377673</v>
      </c>
      <c r="C45" s="6">
        <v>0.08</v>
      </c>
      <c r="D45">
        <f t="shared" si="5"/>
        <v>193.2084813918637</v>
      </c>
      <c r="Q45">
        <f t="shared" si="9"/>
        <v>193.20848139186404</v>
      </c>
      <c r="R45">
        <f t="shared" si="6"/>
        <v>88.076176137828355</v>
      </c>
      <c r="S45">
        <f t="shared" si="7"/>
        <v>1078.9732001658556</v>
      </c>
      <c r="T45" s="6">
        <v>0.08</v>
      </c>
      <c r="V45">
        <f>SUM($R$2:R45)</f>
        <v>2490.7796274705693</v>
      </c>
      <c r="W45">
        <f t="shared" si="8"/>
        <v>5.2519285359730299</v>
      </c>
      <c r="Z45">
        <f t="shared" si="11"/>
        <v>0.43954752530192465</v>
      </c>
      <c r="AA45" s="6">
        <v>0.3</v>
      </c>
      <c r="AB45">
        <f t="shared" si="1"/>
        <v>3596.5773338861854</v>
      </c>
      <c r="AC45">
        <f t="shared" si="10"/>
        <v>2773.7384611509037</v>
      </c>
      <c r="AD45" s="6">
        <v>0.2</v>
      </c>
      <c r="AE45">
        <f t="shared" si="2"/>
        <v>554.74769223018075</v>
      </c>
      <c r="AF45">
        <f t="shared" si="3"/>
        <v>1</v>
      </c>
    </row>
    <row r="46" spans="1:32">
      <c r="A46" s="2">
        <v>45</v>
      </c>
      <c r="B46">
        <f t="shared" si="4"/>
        <v>29.555971657678867</v>
      </c>
      <c r="C46" s="6">
        <v>0.08</v>
      </c>
      <c r="D46">
        <f t="shared" si="5"/>
        <v>208.66515990321278</v>
      </c>
      <c r="Q46">
        <f t="shared" si="9"/>
        <v>208.66515990321321</v>
      </c>
      <c r="R46">
        <f t="shared" si="6"/>
        <v>89.737990781938322</v>
      </c>
      <c r="S46">
        <f t="shared" si="7"/>
        <v>1165.2910561791241</v>
      </c>
      <c r="T46" s="6">
        <v>0.08</v>
      </c>
      <c r="V46">
        <f>SUM($R$2:R46)</f>
        <v>2580.5176182525074</v>
      </c>
      <c r="W46">
        <f t="shared" si="8"/>
        <v>5.441145401789119</v>
      </c>
      <c r="Z46">
        <f t="shared" si="11"/>
        <v>0.40698844935363387</v>
      </c>
      <c r="AA46" s="6">
        <v>0.3</v>
      </c>
      <c r="AB46">
        <f t="shared" si="1"/>
        <v>3884.3035205970805</v>
      </c>
      <c r="AC46">
        <f t="shared" si="10"/>
        <v>2940.1627688199583</v>
      </c>
      <c r="AD46" s="6">
        <v>0.2</v>
      </c>
      <c r="AE46">
        <f t="shared" si="2"/>
        <v>588.0325537639917</v>
      </c>
      <c r="AF46">
        <f t="shared" si="3"/>
        <v>1</v>
      </c>
    </row>
    <row r="47" spans="1:32">
      <c r="A47" s="2">
        <v>46</v>
      </c>
      <c r="B47">
        <f t="shared" si="4"/>
        <v>31.920449390293179</v>
      </c>
      <c r="C47" s="6">
        <v>0.08</v>
      </c>
      <c r="D47">
        <f t="shared" si="5"/>
        <v>225.3583726954698</v>
      </c>
      <c r="Q47">
        <f t="shared" si="9"/>
        <v>225.35837269547025</v>
      </c>
      <c r="R47">
        <f t="shared" si="6"/>
        <v>91.431160419333395</v>
      </c>
      <c r="S47">
        <f t="shared" si="7"/>
        <v>1258.5143406734542</v>
      </c>
      <c r="T47" s="6">
        <v>0.08</v>
      </c>
      <c r="V47">
        <f>SUM($R$2:R47)</f>
        <v>2671.948778671841</v>
      </c>
      <c r="W47">
        <f t="shared" si="8"/>
        <v>5.6339323971489081</v>
      </c>
      <c r="Z47">
        <f t="shared" si="11"/>
        <v>0.37684115680892022</v>
      </c>
      <c r="AA47" s="6">
        <v>0.3</v>
      </c>
      <c r="AB47">
        <f t="shared" si="1"/>
        <v>4195.0478022448478</v>
      </c>
      <c r="AC47">
        <f t="shared" si="10"/>
        <v>3116.5725349491559</v>
      </c>
      <c r="AD47" s="6">
        <v>0.2</v>
      </c>
      <c r="AE47">
        <f t="shared" si="2"/>
        <v>623.31450698983122</v>
      </c>
      <c r="AF47">
        <f t="shared" si="3"/>
        <v>1</v>
      </c>
    </row>
    <row r="48" spans="1:32">
      <c r="A48" s="2">
        <v>47</v>
      </c>
      <c r="B48">
        <f t="shared" si="4"/>
        <v>34.474085341516634</v>
      </c>
      <c r="C48" s="6">
        <v>0.08</v>
      </c>
      <c r="D48">
        <f t="shared" si="5"/>
        <v>243.38704251110738</v>
      </c>
      <c r="Q48">
        <f t="shared" si="9"/>
        <v>243.38704251110792</v>
      </c>
      <c r="R48">
        <f t="shared" si="6"/>
        <v>93.156276653660441</v>
      </c>
      <c r="S48">
        <f t="shared" si="7"/>
        <v>1359.1954879273305</v>
      </c>
      <c r="T48" s="6">
        <v>0.08</v>
      </c>
      <c r="V48">
        <f>SUM($R$2:R48)</f>
        <v>2765.1050553255013</v>
      </c>
      <c r="W48">
        <f t="shared" si="8"/>
        <v>5.830356882987183</v>
      </c>
      <c r="Z48">
        <f t="shared" si="11"/>
        <v>0.34892699704529651</v>
      </c>
      <c r="AA48" s="6">
        <v>0.3</v>
      </c>
      <c r="AB48">
        <f t="shared" si="1"/>
        <v>4530.6516264244356</v>
      </c>
      <c r="AC48">
        <f t="shared" si="10"/>
        <v>3303.5668870461054</v>
      </c>
      <c r="AD48" s="6">
        <v>0.2</v>
      </c>
      <c r="AE48">
        <f t="shared" si="2"/>
        <v>660.71337740922115</v>
      </c>
      <c r="AF48">
        <f t="shared" si="3"/>
        <v>1</v>
      </c>
    </row>
    <row r="49" spans="1:32">
      <c r="A49" s="2">
        <v>48</v>
      </c>
      <c r="B49">
        <f t="shared" si="4"/>
        <v>37.232012168837969</v>
      </c>
      <c r="C49" s="6">
        <v>0.08</v>
      </c>
      <c r="D49">
        <f t="shared" si="5"/>
        <v>262.85800591199597</v>
      </c>
      <c r="Q49">
        <f t="shared" si="9"/>
        <v>262.8580059119966</v>
      </c>
      <c r="R49">
        <f t="shared" si="6"/>
        <v>94.913942250899282</v>
      </c>
      <c r="S49">
        <f t="shared" si="7"/>
        <v>1467.9311269615171</v>
      </c>
      <c r="T49" s="6">
        <v>0.08</v>
      </c>
      <c r="V49" s="1">
        <f>SUM($R$2:R49)</f>
        <v>2860.0189975764006</v>
      </c>
      <c r="W49">
        <f t="shared" si="8"/>
        <v>6.0304874911997652</v>
      </c>
      <c r="Z49">
        <f t="shared" si="11"/>
        <v>0.32308055281971898</v>
      </c>
      <c r="AA49" s="6">
        <v>0.3</v>
      </c>
      <c r="AB49">
        <f t="shared" si="1"/>
        <v>4893.1037565383904</v>
      </c>
      <c r="AC49">
        <f t="shared" si="10"/>
        <v>3501.7809002688718</v>
      </c>
      <c r="AD49" s="6">
        <v>0.2</v>
      </c>
      <c r="AE49">
        <f t="shared" si="2"/>
        <v>700.35618005377444</v>
      </c>
      <c r="AF49">
        <f t="shared" si="3"/>
        <v>1</v>
      </c>
    </row>
    <row r="50" spans="1:32">
      <c r="A50" s="2">
        <v>49</v>
      </c>
      <c r="B50">
        <f t="shared" si="4"/>
        <v>40.210573142345005</v>
      </c>
      <c r="C50" s="6">
        <v>0.08</v>
      </c>
      <c r="D50">
        <f t="shared" si="5"/>
        <v>283.88664638495567</v>
      </c>
      <c r="Q50">
        <f t="shared" si="9"/>
        <v>283.88664638495629</v>
      </c>
      <c r="R50">
        <f t="shared" si="6"/>
        <v>96.704771349972873</v>
      </c>
      <c r="S50">
        <f t="shared" si="7"/>
        <v>1585.3656171184384</v>
      </c>
      <c r="T50" s="6">
        <v>0.08</v>
      </c>
      <c r="V50">
        <f>SUM($R$2:R50)</f>
        <v>2956.7237689263734</v>
      </c>
      <c r="W50">
        <f t="shared" si="8"/>
        <v>6.2343941486239052</v>
      </c>
      <c r="Z50">
        <f t="shared" si="11"/>
        <v>0.29914866001825829</v>
      </c>
      <c r="AA50" s="6">
        <v>0.3</v>
      </c>
      <c r="AB50">
        <f t="shared" si="1"/>
        <v>5284.5520570614617</v>
      </c>
      <c r="AC50">
        <f t="shared" si="10"/>
        <v>3711.8877542850041</v>
      </c>
      <c r="AD50" s="6">
        <v>0.2</v>
      </c>
      <c r="AE50">
        <f t="shared" si="2"/>
        <v>742.37755085700087</v>
      </c>
      <c r="AF50">
        <f t="shared" si="3"/>
        <v>1</v>
      </c>
    </row>
    <row r="51" spans="1:32">
      <c r="A51" s="2">
        <v>50</v>
      </c>
      <c r="B51">
        <f t="shared" si="4"/>
        <v>43.427418993732608</v>
      </c>
      <c r="C51" s="6">
        <v>0.08</v>
      </c>
      <c r="D51">
        <f t="shared" si="5"/>
        <v>306.59757809575211</v>
      </c>
      <c r="Q51">
        <f t="shared" si="9"/>
        <v>306.59757809575279</v>
      </c>
      <c r="R51">
        <f t="shared" si="6"/>
        <v>98.529389677330869</v>
      </c>
      <c r="S51">
        <f t="shared" si="7"/>
        <v>1712.1948664879137</v>
      </c>
      <c r="T51" s="6">
        <v>0.08</v>
      </c>
      <c r="V51">
        <f>SUM($R$2:R51)</f>
        <v>3055.2531586037044</v>
      </c>
      <c r="W51">
        <f t="shared" si="8"/>
        <v>6.442148101471143</v>
      </c>
      <c r="Z51">
        <f t="shared" si="11"/>
        <v>0.27698950001690581</v>
      </c>
      <c r="AA51" s="6">
        <v>0.3</v>
      </c>
      <c r="AB51">
        <f t="shared" si="1"/>
        <v>5707.316221626379</v>
      </c>
      <c r="AC51">
        <f t="shared" si="10"/>
        <v>3934.6010195421045</v>
      </c>
      <c r="AD51" s="6">
        <v>0.2</v>
      </c>
      <c r="AE51">
        <f t="shared" si="2"/>
        <v>786.92020390842094</v>
      </c>
      <c r="AF51">
        <f t="shared" si="3"/>
        <v>1</v>
      </c>
    </row>
    <row r="52" spans="1:32">
      <c r="A52" s="2">
        <v>51</v>
      </c>
      <c r="B52">
        <f t="shared" ref="B52:B101" si="12">B51+B51*C51</f>
        <v>46.901612513231214</v>
      </c>
      <c r="C52" s="6">
        <v>0.08</v>
      </c>
      <c r="D52">
        <f t="shared" ref="D52:D101" si="13">D51+D51*C51</f>
        <v>331.12538434341229</v>
      </c>
      <c r="Q52">
        <f t="shared" ref="Q52:Q101" si="14">$D$2*((1+$C$2)^A51)</f>
        <v>331.12538434341303</v>
      </c>
      <c r="R52">
        <f t="shared" si="6"/>
        <v>100.3884347655824</v>
      </c>
      <c r="S52">
        <f t="shared" si="7"/>
        <v>1849.1704558069468</v>
      </c>
      <c r="T52" s="6">
        <v>0.08</v>
      </c>
      <c r="V52">
        <f>SUM($R$2:R52)</f>
        <v>3155.641593369287</v>
      </c>
      <c r="W52">
        <f t="shared" si="8"/>
        <v>6.6538219402211594</v>
      </c>
      <c r="Z52">
        <f t="shared" si="11"/>
        <v>0.25647175927491278</v>
      </c>
      <c r="AA52" s="6">
        <v>0.3</v>
      </c>
      <c r="AB52">
        <f t="shared" si="1"/>
        <v>6163.9015193564901</v>
      </c>
      <c r="AC52">
        <f t="shared" si="10"/>
        <v>4170.6770807146313</v>
      </c>
      <c r="AD52" s="6">
        <v>0.2</v>
      </c>
      <c r="AE52">
        <f t="shared" si="2"/>
        <v>834.13541614292626</v>
      </c>
      <c r="AF52">
        <f t="shared" si="3"/>
        <v>1</v>
      </c>
    </row>
    <row r="53" spans="1:32">
      <c r="A53" s="2">
        <v>52</v>
      </c>
      <c r="B53">
        <f t="shared" si="12"/>
        <v>50.653741514289713</v>
      </c>
      <c r="C53" s="6">
        <v>0.08</v>
      </c>
      <c r="D53">
        <f t="shared" si="13"/>
        <v>357.61541509088528</v>
      </c>
      <c r="Q53">
        <f t="shared" si="14"/>
        <v>357.61541509088613</v>
      </c>
      <c r="R53">
        <f t="shared" si="6"/>
        <v>102.28255617625375</v>
      </c>
      <c r="S53">
        <f t="shared" si="7"/>
        <v>1997.1040922715026</v>
      </c>
      <c r="T53" s="6">
        <v>0.08</v>
      </c>
      <c r="V53">
        <f>SUM($R$2:R53)</f>
        <v>3257.9241495455408</v>
      </c>
      <c r="W53">
        <f t="shared" si="8"/>
        <v>6.8694896249853263</v>
      </c>
      <c r="Z53">
        <f t="shared" si="11"/>
        <v>0.23747385118047479</v>
      </c>
      <c r="AA53" s="6">
        <v>0.3</v>
      </c>
      <c r="AB53">
        <f t="shared" si="1"/>
        <v>6657.0136409050092</v>
      </c>
      <c r="AC53">
        <f t="shared" si="10"/>
        <v>4420.9177055575092</v>
      </c>
      <c r="AD53" s="6">
        <v>0.2</v>
      </c>
      <c r="AE53">
        <f t="shared" si="2"/>
        <v>884.18354111150188</v>
      </c>
      <c r="AF53">
        <f t="shared" si="3"/>
        <v>1</v>
      </c>
    </row>
    <row r="54" spans="1:32">
      <c r="A54" s="2">
        <v>53</v>
      </c>
      <c r="B54">
        <f t="shared" si="12"/>
        <v>54.706040835432887</v>
      </c>
      <c r="C54" s="6">
        <v>0.08</v>
      </c>
      <c r="D54">
        <f t="shared" si="13"/>
        <v>386.22464829815613</v>
      </c>
      <c r="Q54">
        <f t="shared" si="14"/>
        <v>386.22464829815704</v>
      </c>
      <c r="R54">
        <f t="shared" si="6"/>
        <v>104.21241572674911</v>
      </c>
      <c r="S54">
        <f t="shared" si="7"/>
        <v>2156.872419653223</v>
      </c>
      <c r="T54" s="6">
        <v>0.08</v>
      </c>
      <c r="V54">
        <f>SUM($R$2:R54)</f>
        <v>3362.1365652722898</v>
      </c>
      <c r="W54">
        <f t="shared" si="8"/>
        <v>7.0892265113488167</v>
      </c>
      <c r="Z54">
        <f t="shared" si="11"/>
        <v>0.21988319553747662</v>
      </c>
      <c r="AA54" s="6">
        <v>0.3</v>
      </c>
      <c r="AB54">
        <f t="shared" si="1"/>
        <v>7189.5747321774106</v>
      </c>
      <c r="AC54">
        <f t="shared" si="10"/>
        <v>4686.1727678909601</v>
      </c>
      <c r="AD54" s="6">
        <v>0.2</v>
      </c>
      <c r="AE54">
        <f t="shared" si="2"/>
        <v>937.23455357819205</v>
      </c>
      <c r="AF54">
        <f t="shared" si="3"/>
        <v>1</v>
      </c>
    </row>
    <row r="55" spans="1:32">
      <c r="A55" s="2">
        <v>54</v>
      </c>
      <c r="B55">
        <f t="shared" si="12"/>
        <v>59.08252410226752</v>
      </c>
      <c r="C55" s="6">
        <v>0.08</v>
      </c>
      <c r="D55">
        <f t="shared" si="13"/>
        <v>417.12262016200862</v>
      </c>
      <c r="Q55">
        <f t="shared" si="14"/>
        <v>417.12262016200958</v>
      </c>
      <c r="R55">
        <f t="shared" si="6"/>
        <v>106.17868772159341</v>
      </c>
      <c r="S55">
        <f t="shared" si="7"/>
        <v>2329.4222132254808</v>
      </c>
      <c r="T55" s="6">
        <v>0.08</v>
      </c>
      <c r="V55">
        <f>SUM($R$2:R55)</f>
        <v>3468.3152529938834</v>
      </c>
      <c r="W55">
        <f t="shared" si="8"/>
        <v>7.3131093767002984</v>
      </c>
      <c r="Z55">
        <f t="shared" si="11"/>
        <v>0.20359555142358948</v>
      </c>
      <c r="AA55" s="6">
        <v>0.3</v>
      </c>
      <c r="AB55">
        <f t="shared" si="1"/>
        <v>7764.7407107516028</v>
      </c>
      <c r="AC55">
        <f t="shared" si="10"/>
        <v>4967.3431339644176</v>
      </c>
      <c r="AD55" s="6">
        <v>0.2</v>
      </c>
      <c r="AE55">
        <f t="shared" si="2"/>
        <v>993.46862679288358</v>
      </c>
      <c r="AF55">
        <f t="shared" si="3"/>
        <v>1</v>
      </c>
    </row>
    <row r="56" spans="1:32">
      <c r="A56" s="2">
        <v>55</v>
      </c>
      <c r="B56">
        <f t="shared" si="12"/>
        <v>63.809126030448923</v>
      </c>
      <c r="C56" s="6">
        <v>0.08</v>
      </c>
      <c r="D56">
        <f t="shared" si="13"/>
        <v>450.49242977496931</v>
      </c>
      <c r="Q56">
        <f t="shared" si="14"/>
        <v>450.49242977497045</v>
      </c>
      <c r="R56">
        <f t="shared" si="6"/>
        <v>108.18205918803858</v>
      </c>
      <c r="S56">
        <f t="shared" si="7"/>
        <v>2515.7759902835196</v>
      </c>
      <c r="T56" s="6">
        <v>0.08</v>
      </c>
      <c r="V56">
        <f>SUM($R$2:R56)</f>
        <v>3576.4973121819221</v>
      </c>
      <c r="W56">
        <f t="shared" si="8"/>
        <v>7.5412164470584111</v>
      </c>
      <c r="Z56">
        <f t="shared" si="11"/>
        <v>0.18851439946628654</v>
      </c>
      <c r="AA56" s="6">
        <v>0.3</v>
      </c>
      <c r="AB56">
        <f t="shared" si="1"/>
        <v>8385.9199676117332</v>
      </c>
      <c r="AC56">
        <f t="shared" si="10"/>
        <v>5265.3837220022833</v>
      </c>
      <c r="AD56" s="6">
        <v>0.2</v>
      </c>
      <c r="AE56">
        <f t="shared" si="2"/>
        <v>1053.0767444004566</v>
      </c>
      <c r="AF56">
        <f t="shared" si="3"/>
        <v>1</v>
      </c>
    </row>
    <row r="57" spans="1:32">
      <c r="A57" s="2">
        <v>56</v>
      </c>
      <c r="B57">
        <f t="shared" si="12"/>
        <v>68.913856112884844</v>
      </c>
      <c r="C57" s="6">
        <v>0.08</v>
      </c>
      <c r="D57">
        <f t="shared" si="13"/>
        <v>486.53182415696688</v>
      </c>
      <c r="Q57">
        <f t="shared" si="14"/>
        <v>486.53182415696807</v>
      </c>
      <c r="R57">
        <f t="shared" si="6"/>
        <v>110.22323011611476</v>
      </c>
      <c r="S57">
        <f t="shared" si="7"/>
        <v>2717.0380695062013</v>
      </c>
      <c r="T57" s="6">
        <v>0.08</v>
      </c>
      <c r="V57">
        <f>SUM($R$2:R57)</f>
        <v>3686.7205422980369</v>
      </c>
      <c r="W57">
        <f t="shared" si="8"/>
        <v>7.7736274244044132</v>
      </c>
      <c r="Z57">
        <f t="shared" si="11"/>
        <v>0.17455036987619121</v>
      </c>
      <c r="AA57" s="6">
        <v>0.3</v>
      </c>
      <c r="AB57">
        <f t="shared" si="1"/>
        <v>9056.7935650206709</v>
      </c>
      <c r="AC57">
        <f t="shared" si="10"/>
        <v>5581.3067453224203</v>
      </c>
      <c r="AD57" s="6">
        <v>0.2</v>
      </c>
      <c r="AE57">
        <f t="shared" si="2"/>
        <v>1116.2613490644842</v>
      </c>
      <c r="AF57">
        <f t="shared" si="3"/>
        <v>1</v>
      </c>
    </row>
    <row r="58" spans="1:32">
      <c r="A58" s="2">
        <v>57</v>
      </c>
      <c r="B58">
        <f t="shared" si="12"/>
        <v>74.426964601915628</v>
      </c>
      <c r="C58" s="6">
        <v>0.08</v>
      </c>
      <c r="D58">
        <f t="shared" si="13"/>
        <v>525.45437008952422</v>
      </c>
      <c r="Q58">
        <f t="shared" si="14"/>
        <v>525.45437008952547</v>
      </c>
      <c r="R58">
        <f t="shared" si="6"/>
        <v>112.3029137032113</v>
      </c>
      <c r="S58">
        <f t="shared" si="7"/>
        <v>2934.4011150666975</v>
      </c>
      <c r="T58" s="6">
        <v>0.08</v>
      </c>
      <c r="V58">
        <f>SUM($R$2:R58)</f>
        <v>3799.0234560012482</v>
      </c>
      <c r="W58">
        <f t="shared" si="8"/>
        <v>8.0104235145305278</v>
      </c>
      <c r="Z58">
        <f t="shared" si="11"/>
        <v>0.16162071284832522</v>
      </c>
      <c r="AA58" s="6">
        <v>0.3</v>
      </c>
      <c r="AB58">
        <f t="shared" si="1"/>
        <v>9781.3370502223261</v>
      </c>
      <c r="AC58">
        <f t="shared" si="10"/>
        <v>5916.1851500417661</v>
      </c>
      <c r="AD58" s="6">
        <v>0.2</v>
      </c>
      <c r="AE58">
        <f t="shared" si="2"/>
        <v>1183.2370300083533</v>
      </c>
      <c r="AF58">
        <f t="shared" si="3"/>
        <v>1</v>
      </c>
    </row>
    <row r="59" spans="1:32">
      <c r="A59" s="2">
        <v>58</v>
      </c>
      <c r="B59">
        <f t="shared" si="12"/>
        <v>80.381121770068873</v>
      </c>
      <c r="C59" s="6">
        <v>0.08</v>
      </c>
      <c r="D59">
        <f t="shared" si="13"/>
        <v>567.49071969668614</v>
      </c>
      <c r="Q59">
        <f t="shared" si="14"/>
        <v>567.49071969668762</v>
      </c>
      <c r="R59">
        <f t="shared" si="6"/>
        <v>114.42183660327188</v>
      </c>
      <c r="S59">
        <f t="shared" si="7"/>
        <v>3169.1532042720332</v>
      </c>
      <c r="T59" s="6">
        <v>0.08</v>
      </c>
      <c r="V59">
        <f>SUM($R$2:R59)</f>
        <v>3913.4452926045201</v>
      </c>
      <c r="W59">
        <f t="shared" si="8"/>
        <v>8.2516874554137392</v>
      </c>
      <c r="Z59">
        <f t="shared" si="11"/>
        <v>0.1496488081928937</v>
      </c>
      <c r="AA59" s="6">
        <v>0.3</v>
      </c>
      <c r="AB59">
        <f t="shared" si="1"/>
        <v>10563.84401424011</v>
      </c>
      <c r="AC59">
        <f t="shared" si="10"/>
        <v>6271.1562590442727</v>
      </c>
      <c r="AD59" s="6">
        <v>0.2</v>
      </c>
      <c r="AE59">
        <f t="shared" si="2"/>
        <v>1254.2312518088547</v>
      </c>
      <c r="AF59">
        <f t="shared" si="3"/>
        <v>1</v>
      </c>
    </row>
    <row r="60" spans="1:32">
      <c r="A60" s="2">
        <v>59</v>
      </c>
      <c r="B60">
        <f t="shared" si="12"/>
        <v>86.811611511674386</v>
      </c>
      <c r="C60" s="6">
        <v>0.08</v>
      </c>
      <c r="D60">
        <f t="shared" si="13"/>
        <v>612.88997727242099</v>
      </c>
      <c r="Q60">
        <f t="shared" si="14"/>
        <v>612.88997727242258</v>
      </c>
      <c r="R60">
        <f t="shared" si="6"/>
        <v>116.58073918069212</v>
      </c>
      <c r="S60">
        <f t="shared" si="7"/>
        <v>3422.6854606137963</v>
      </c>
      <c r="T60" s="6">
        <v>0.08</v>
      </c>
      <c r="V60">
        <f>SUM($R$2:R60)</f>
        <v>4030.0260317852121</v>
      </c>
      <c r="W60">
        <f t="shared" si="8"/>
        <v>8.4975035461249355</v>
      </c>
      <c r="Z60">
        <f t="shared" si="11"/>
        <v>0.13856371128971637</v>
      </c>
      <c r="AA60" s="6">
        <v>0.3</v>
      </c>
      <c r="AB60">
        <f t="shared" si="1"/>
        <v>11408.951535379321</v>
      </c>
      <c r="AC60">
        <f t="shared" si="10"/>
        <v>6647.4256345869298</v>
      </c>
      <c r="AD60" s="6">
        <v>0.2</v>
      </c>
      <c r="AE60">
        <f t="shared" si="2"/>
        <v>1329.485126917386</v>
      </c>
      <c r="AF60">
        <f t="shared" si="3"/>
        <v>1</v>
      </c>
    </row>
    <row r="61" spans="1:32">
      <c r="A61" s="2">
        <v>60</v>
      </c>
      <c r="B61">
        <f t="shared" si="12"/>
        <v>93.756540432608332</v>
      </c>
      <c r="C61" s="6">
        <v>0.08</v>
      </c>
      <c r="D61">
        <f t="shared" si="13"/>
        <v>661.92117545421468</v>
      </c>
      <c r="Q61">
        <f t="shared" si="14"/>
        <v>661.92117545421638</v>
      </c>
      <c r="R61">
        <f t="shared" si="6"/>
        <v>118.78037576900705</v>
      </c>
      <c r="S61">
        <f t="shared" si="7"/>
        <v>3696.5002974629001</v>
      </c>
      <c r="T61" s="6">
        <v>0.08</v>
      </c>
      <c r="V61">
        <f>SUM($R$2:R61)</f>
        <v>4148.8064075542188</v>
      </c>
      <c r="W61">
        <f t="shared" si="8"/>
        <v>8.7479576762835123</v>
      </c>
      <c r="Z61">
        <f t="shared" si="11"/>
        <v>0.1282997326756633</v>
      </c>
      <c r="AA61" s="6">
        <v>0.3</v>
      </c>
      <c r="AB61">
        <f t="shared" si="1"/>
        <v>12321.667658209668</v>
      </c>
      <c r="AC61">
        <f t="shared" si="10"/>
        <v>7046.2711726621455</v>
      </c>
      <c r="AD61" s="6">
        <v>0.2</v>
      </c>
      <c r="AE61">
        <f t="shared" si="2"/>
        <v>1409.2542345324291</v>
      </c>
      <c r="AF61">
        <f t="shared" si="3"/>
        <v>1</v>
      </c>
    </row>
    <row r="62" spans="1:32">
      <c r="A62" s="2">
        <v>61</v>
      </c>
      <c r="B62">
        <f t="shared" si="12"/>
        <v>101.257063667217</v>
      </c>
      <c r="C62" s="6">
        <v>0.08</v>
      </c>
      <c r="D62">
        <f t="shared" si="13"/>
        <v>714.87486949055187</v>
      </c>
      <c r="Q62">
        <f t="shared" si="14"/>
        <v>714.87486949055381</v>
      </c>
      <c r="R62">
        <f t="shared" si="6"/>
        <v>121.02151493446003</v>
      </c>
      <c r="S62">
        <f t="shared" si="7"/>
        <v>3992.2203212599325</v>
      </c>
      <c r="T62" s="6">
        <v>0.08</v>
      </c>
      <c r="V62">
        <f>SUM($R$2:R62)</f>
        <v>4269.8279224886792</v>
      </c>
      <c r="W62">
        <f t="shared" si="8"/>
        <v>9.0031373560677252</v>
      </c>
      <c r="Z62">
        <f t="shared" si="11"/>
        <v>0.11879604877376232</v>
      </c>
      <c r="AA62" s="6">
        <v>0.3</v>
      </c>
      <c r="AB62">
        <f t="shared" si="1"/>
        <v>13307.401070866443</v>
      </c>
      <c r="AC62">
        <f t="shared" si="10"/>
        <v>7469.0474430218746</v>
      </c>
      <c r="AD62" s="6">
        <v>0.2</v>
      </c>
      <c r="AE62">
        <f t="shared" si="2"/>
        <v>1493.809488604375</v>
      </c>
      <c r="AF62">
        <f t="shared" si="3"/>
        <v>1</v>
      </c>
    </row>
    <row r="63" spans="1:32">
      <c r="A63" s="2">
        <v>62</v>
      </c>
      <c r="B63">
        <f t="shared" si="12"/>
        <v>109.35762876059435</v>
      </c>
      <c r="C63" s="6">
        <v>0.08</v>
      </c>
      <c r="D63">
        <f t="shared" si="13"/>
        <v>772.06485904979604</v>
      </c>
      <c r="Q63">
        <f t="shared" si="14"/>
        <v>772.06485904979809</v>
      </c>
      <c r="R63">
        <f t="shared" si="6"/>
        <v>123.30493974454416</v>
      </c>
      <c r="S63">
        <f t="shared" si="7"/>
        <v>4311.5979469607273</v>
      </c>
      <c r="T63" s="6">
        <v>0.08</v>
      </c>
      <c r="V63">
        <f>SUM($R$2:R63)</f>
        <v>4393.132862233223</v>
      </c>
      <c r="W63">
        <f t="shared" si="8"/>
        <v>9.2631317467912595</v>
      </c>
      <c r="Z63">
        <f t="shared" si="11"/>
        <v>0.10999634145718733</v>
      </c>
      <c r="AA63" s="6">
        <v>0.3</v>
      </c>
      <c r="AB63">
        <f t="shared" si="1"/>
        <v>14371.993156535758</v>
      </c>
      <c r="AC63">
        <f t="shared" si="10"/>
        <v>7917.1902896031879</v>
      </c>
      <c r="AD63" s="6">
        <v>0.2</v>
      </c>
      <c r="AE63">
        <f t="shared" si="2"/>
        <v>1583.4380579206377</v>
      </c>
      <c r="AF63">
        <f t="shared" si="3"/>
        <v>1</v>
      </c>
    </row>
    <row r="64" spans="1:32">
      <c r="A64" s="2">
        <v>63</v>
      </c>
      <c r="B64">
        <f t="shared" si="12"/>
        <v>118.1062390614419</v>
      </c>
      <c r="C64" s="6">
        <v>0.08</v>
      </c>
      <c r="D64">
        <f t="shared" si="13"/>
        <v>833.83004777377971</v>
      </c>
      <c r="Q64">
        <f t="shared" si="14"/>
        <v>833.8300477737821</v>
      </c>
      <c r="R64">
        <f t="shared" si="6"/>
        <v>125.63144804161102</v>
      </c>
      <c r="S64">
        <f t="shared" si="7"/>
        <v>4656.5257827175856</v>
      </c>
      <c r="T64" s="6">
        <v>0.08</v>
      </c>
      <c r="V64">
        <f>SUM($R$2:R64)</f>
        <v>4518.7643102748343</v>
      </c>
      <c r="W64">
        <f t="shared" si="8"/>
        <v>9.52803169205675</v>
      </c>
      <c r="Z64">
        <f t="shared" si="11"/>
        <v>0.10184846431221048</v>
      </c>
      <c r="AA64" s="6">
        <v>0.3</v>
      </c>
      <c r="AB64">
        <f t="shared" si="1"/>
        <v>15521.75260905862</v>
      </c>
      <c r="AC64">
        <f t="shared" si="10"/>
        <v>8392.2217069793787</v>
      </c>
      <c r="AD64" s="6">
        <v>0.2</v>
      </c>
      <c r="AE64">
        <f t="shared" si="2"/>
        <v>1678.4443413958759</v>
      </c>
      <c r="AF64">
        <f t="shared" si="3"/>
        <v>1</v>
      </c>
    </row>
    <row r="65" spans="1:32">
      <c r="A65" s="2">
        <v>64</v>
      </c>
      <c r="B65">
        <f t="shared" si="12"/>
        <v>127.55473818635726</v>
      </c>
      <c r="C65" s="6">
        <v>0.08</v>
      </c>
      <c r="D65">
        <f t="shared" si="13"/>
        <v>900.53645159568214</v>
      </c>
      <c r="Q65">
        <f t="shared" si="14"/>
        <v>900.53645159568475</v>
      </c>
      <c r="R65">
        <f t="shared" si="6"/>
        <v>128.0018527216414</v>
      </c>
      <c r="S65">
        <f t="shared" si="7"/>
        <v>5029.0478453349924</v>
      </c>
      <c r="T65" s="6">
        <v>0.08</v>
      </c>
      <c r="V65">
        <f>SUM($R$2:R65)</f>
        <v>4646.7661629964759</v>
      </c>
      <c r="W65">
        <f t="shared" si="8"/>
        <v>9.7979297494970616</v>
      </c>
      <c r="Z65">
        <f t="shared" si="11"/>
        <v>9.4304133622417116E-2</v>
      </c>
      <c r="AA65" s="6">
        <v>0.3</v>
      </c>
      <c r="AB65">
        <f t="shared" si="1"/>
        <v>16763.49281778331</v>
      </c>
      <c r="AC65">
        <f t="shared" si="10"/>
        <v>8895.7550093981426</v>
      </c>
      <c r="AD65" s="6">
        <v>0.2</v>
      </c>
      <c r="AE65">
        <f t="shared" si="2"/>
        <v>1779.1510018796287</v>
      </c>
      <c r="AF65">
        <f t="shared" si="3"/>
        <v>1</v>
      </c>
    </row>
    <row r="66" spans="1:32">
      <c r="A66" s="2">
        <v>65</v>
      </c>
      <c r="B66">
        <f t="shared" si="12"/>
        <v>137.75911724126584</v>
      </c>
      <c r="C66" s="6">
        <v>0.08</v>
      </c>
      <c r="D66">
        <f t="shared" si="13"/>
        <v>972.57936772333676</v>
      </c>
      <c r="Q66">
        <f t="shared" si="14"/>
        <v>972.5793677233396</v>
      </c>
      <c r="R66">
        <f t="shared" si="6"/>
        <v>130.41698201827617</v>
      </c>
      <c r="S66">
        <f t="shared" si="7"/>
        <v>5431.3716729617918</v>
      </c>
      <c r="T66" s="6">
        <v>0.08</v>
      </c>
      <c r="V66">
        <f>SUM($R$2:R66)</f>
        <v>4777.183145014752</v>
      </c>
      <c r="W66">
        <f t="shared" si="8"/>
        <v>10.07292022311549</v>
      </c>
      <c r="Z66">
        <f t="shared" si="11"/>
        <v>8.7318642242978806E-2</v>
      </c>
      <c r="AA66" s="6">
        <v>0.3</v>
      </c>
      <c r="AB66">
        <f t="shared" si="1"/>
        <v>18104.572243205974</v>
      </c>
      <c r="AC66">
        <f t="shared" si="10"/>
        <v>9429.5003099620317</v>
      </c>
      <c r="AD66" s="6">
        <v>0.2</v>
      </c>
      <c r="AE66">
        <f t="shared" si="2"/>
        <v>1885.9000619924063</v>
      </c>
      <c r="AF66">
        <f t="shared" si="3"/>
        <v>1</v>
      </c>
    </row>
    <row r="67" spans="1:32">
      <c r="A67" s="2">
        <v>66</v>
      </c>
      <c r="B67">
        <f t="shared" si="12"/>
        <v>148.7798466205671</v>
      </c>
      <c r="C67" s="6">
        <v>0.08</v>
      </c>
      <c r="D67">
        <f t="shared" si="13"/>
        <v>1050.3857171412037</v>
      </c>
      <c r="Q67">
        <f t="shared" si="14"/>
        <v>1050.3857171412069</v>
      </c>
      <c r="R67">
        <f t="shared" si="6"/>
        <v>132.87767979220592</v>
      </c>
      <c r="S67">
        <f t="shared" si="7"/>
        <v>5865.881406798736</v>
      </c>
      <c r="T67" s="6">
        <v>0.08</v>
      </c>
      <c r="V67">
        <f>SUM($R$2:R67)</f>
        <v>4910.0608248069575</v>
      </c>
      <c r="W67">
        <f t="shared" si="8"/>
        <v>10.353099196236153</v>
      </c>
      <c r="Z67">
        <f t="shared" si="11"/>
        <v>8.0850594669424805E-2</v>
      </c>
      <c r="AA67" s="6">
        <v>0.3</v>
      </c>
      <c r="AB67">
        <f t="shared" ref="AB67:AB130" si="15">S67/AA67</f>
        <v>19552.938022662453</v>
      </c>
      <c r="AC67">
        <f t="shared" si="10"/>
        <v>9995.2703285597545</v>
      </c>
      <c r="AD67" s="6">
        <v>0.2</v>
      </c>
      <c r="AE67">
        <f t="shared" ref="AE67:AE130" si="16">AC67*AD67</f>
        <v>1999.0540657119509</v>
      </c>
      <c r="AF67">
        <f t="shared" ref="AF67:AF130" si="17">IF(AB67&gt;AE67, 1, 0)</f>
        <v>1</v>
      </c>
    </row>
    <row r="68" spans="1:32">
      <c r="A68" s="2">
        <v>67</v>
      </c>
      <c r="B68">
        <f t="shared" si="12"/>
        <v>160.68223435021247</v>
      </c>
      <c r="C68" s="6">
        <v>0.08</v>
      </c>
      <c r="D68">
        <f t="shared" si="13"/>
        <v>1134.4165745125001</v>
      </c>
      <c r="Q68">
        <f t="shared" si="14"/>
        <v>1134.4165745125033</v>
      </c>
      <c r="R68">
        <f t="shared" ref="R68:R101" si="18">S68/((1+$U$2)^A67)</f>
        <v>135.38480582602116</v>
      </c>
      <c r="S68">
        <f t="shared" ref="S68:S101" si="19">S67*(1+T67)</f>
        <v>6335.1519193426357</v>
      </c>
      <c r="T68" s="6">
        <v>0.08</v>
      </c>
      <c r="V68">
        <f>SUM($R$2:R68)</f>
        <v>5045.4456306329785</v>
      </c>
      <c r="W68">
        <f t="shared" ref="W68:W101" si="20">V68/$W$2</f>
        <v>10.638564565076074</v>
      </c>
      <c r="Z68">
        <f t="shared" si="11"/>
        <v>7.4861661730948895E-2</v>
      </c>
      <c r="AA68" s="6">
        <v>0.3</v>
      </c>
      <c r="AB68">
        <f t="shared" si="15"/>
        <v>21117.173064475453</v>
      </c>
      <c r="AC68">
        <f t="shared" ref="AC68:AC131" si="21">AC67*(1+$U$2)</f>
        <v>10594.98654827334</v>
      </c>
      <c r="AD68" s="6">
        <v>0.2</v>
      </c>
      <c r="AE68">
        <f t="shared" si="16"/>
        <v>2118.9973096546682</v>
      </c>
      <c r="AF68">
        <f t="shared" si="17"/>
        <v>1</v>
      </c>
    </row>
    <row r="69" spans="1:32">
      <c r="A69" s="2">
        <v>68</v>
      </c>
      <c r="B69">
        <f t="shared" si="12"/>
        <v>173.53681309822946</v>
      </c>
      <c r="C69" s="6">
        <v>0.08</v>
      </c>
      <c r="D69">
        <f t="shared" si="13"/>
        <v>1225.1699004735001</v>
      </c>
      <c r="Q69">
        <f t="shared" si="14"/>
        <v>1225.1699004735037</v>
      </c>
      <c r="R69">
        <f t="shared" si="18"/>
        <v>137.93923612462532</v>
      </c>
      <c r="S69">
        <f t="shared" si="19"/>
        <v>6841.9640728900467</v>
      </c>
      <c r="T69" s="6">
        <v>0.08</v>
      </c>
      <c r="V69">
        <f>SUM($R$2:R69)</f>
        <v>5183.384866757604</v>
      </c>
      <c r="W69">
        <f t="shared" si="20"/>
        <v>10.92941607295071</v>
      </c>
      <c r="Z69">
        <f t="shared" si="11"/>
        <v>6.93163534545823E-2</v>
      </c>
      <c r="AA69" s="6">
        <v>0.3</v>
      </c>
      <c r="AB69">
        <f t="shared" si="15"/>
        <v>22806.546909633489</v>
      </c>
      <c r="AC69">
        <f t="shared" si="21"/>
        <v>11230.685741169742</v>
      </c>
      <c r="AD69" s="6">
        <v>0.2</v>
      </c>
      <c r="AE69">
        <f t="shared" si="16"/>
        <v>2246.1371482339487</v>
      </c>
      <c r="AF69">
        <f t="shared" si="17"/>
        <v>1</v>
      </c>
    </row>
    <row r="70" spans="1:32">
      <c r="A70" s="2">
        <v>69</v>
      </c>
      <c r="B70">
        <f t="shared" si="12"/>
        <v>187.41975814608782</v>
      </c>
      <c r="C70" s="6">
        <v>0.08</v>
      </c>
      <c r="D70">
        <f t="shared" si="13"/>
        <v>1323.1834925113801</v>
      </c>
      <c r="Q70">
        <f t="shared" si="14"/>
        <v>1323.1834925113842</v>
      </c>
      <c r="R70">
        <f t="shared" si="18"/>
        <v>140.54186322131633</v>
      </c>
      <c r="S70">
        <f t="shared" si="19"/>
        <v>7389.3211987212508</v>
      </c>
      <c r="T70" s="6">
        <v>0.08</v>
      </c>
      <c r="V70">
        <f>SUM($R$2:R70)</f>
        <v>5323.9267299789199</v>
      </c>
      <c r="W70">
        <f t="shared" si="20"/>
        <v>11.225755345124869</v>
      </c>
      <c r="Z70">
        <f t="shared" si="11"/>
        <v>6.4181808754242869E-2</v>
      </c>
      <c r="AA70" s="6">
        <v>0.3</v>
      </c>
      <c r="AB70">
        <f t="shared" si="15"/>
        <v>24631.07066240417</v>
      </c>
      <c r="AC70">
        <f t="shared" si="21"/>
        <v>11904.526885639927</v>
      </c>
      <c r="AD70" s="6">
        <v>0.2</v>
      </c>
      <c r="AE70">
        <f t="shared" si="16"/>
        <v>2380.9053771279855</v>
      </c>
      <c r="AF70">
        <f t="shared" si="17"/>
        <v>1</v>
      </c>
    </row>
    <row r="71" spans="1:32">
      <c r="A71" s="2">
        <v>70</v>
      </c>
      <c r="B71">
        <f t="shared" si="12"/>
        <v>202.41333879777483</v>
      </c>
      <c r="C71" s="6">
        <v>0.08</v>
      </c>
      <c r="D71">
        <f t="shared" si="13"/>
        <v>1429.0381719122906</v>
      </c>
      <c r="Q71">
        <f t="shared" si="14"/>
        <v>1429.0381719122947</v>
      </c>
      <c r="R71">
        <f t="shared" si="18"/>
        <v>143.19359648964306</v>
      </c>
      <c r="S71">
        <f t="shared" si="19"/>
        <v>7980.4668946189513</v>
      </c>
      <c r="T71" s="6">
        <v>0.08</v>
      </c>
      <c r="V71">
        <f>SUM($R$2:R71)</f>
        <v>5467.1203264685628</v>
      </c>
      <c r="W71">
        <f t="shared" si="20"/>
        <v>11.52768592432118</v>
      </c>
      <c r="Z71">
        <f t="shared" si="11"/>
        <v>5.9427600698373023E-2</v>
      </c>
      <c r="AA71" s="6">
        <v>0.3</v>
      </c>
      <c r="AB71">
        <f t="shared" si="15"/>
        <v>26601.556315396505</v>
      </c>
      <c r="AC71">
        <f t="shared" si="21"/>
        <v>12618.798498778324</v>
      </c>
      <c r="AD71" s="6">
        <v>0.2</v>
      </c>
      <c r="AE71">
        <f t="shared" si="16"/>
        <v>2523.7596997556648</v>
      </c>
      <c r="AF71">
        <f t="shared" si="17"/>
        <v>1</v>
      </c>
    </row>
    <row r="72" spans="1:32">
      <c r="A72" s="2">
        <v>71</v>
      </c>
      <c r="B72">
        <f t="shared" si="12"/>
        <v>218.60640590159682</v>
      </c>
      <c r="C72" s="6">
        <v>0.08</v>
      </c>
      <c r="D72">
        <f t="shared" si="13"/>
        <v>1543.3612256652739</v>
      </c>
      <c r="Q72">
        <f t="shared" si="14"/>
        <v>1543.3612256652787</v>
      </c>
      <c r="R72">
        <f t="shared" si="18"/>
        <v>145.89536246114577</v>
      </c>
      <c r="S72">
        <f t="shared" si="19"/>
        <v>8618.9042461884674</v>
      </c>
      <c r="T72" s="6">
        <v>0.08</v>
      </c>
      <c r="V72">
        <f>SUM($R$2:R72)</f>
        <v>5613.0156889297086</v>
      </c>
      <c r="W72">
        <f t="shared" si="20"/>
        <v>11.835313306898556</v>
      </c>
      <c r="Z72">
        <f t="shared" si="11"/>
        <v>5.5025556202197248E-2</v>
      </c>
      <c r="AA72" s="6">
        <v>0.3</v>
      </c>
      <c r="AB72">
        <f t="shared" si="15"/>
        <v>28729.680820628226</v>
      </c>
      <c r="AC72">
        <f t="shared" si="21"/>
        <v>13375.926408705023</v>
      </c>
      <c r="AD72" s="6">
        <v>0.2</v>
      </c>
      <c r="AE72">
        <f t="shared" si="16"/>
        <v>2675.1852817410049</v>
      </c>
      <c r="AF72">
        <f t="shared" si="17"/>
        <v>1</v>
      </c>
    </row>
    <row r="73" spans="1:32">
      <c r="A73" s="2">
        <v>72</v>
      </c>
      <c r="B73">
        <f t="shared" si="12"/>
        <v>236.09491837372457</v>
      </c>
      <c r="C73" s="6">
        <v>0.08</v>
      </c>
      <c r="D73">
        <f t="shared" si="13"/>
        <v>1666.8301237184958</v>
      </c>
      <c r="Q73">
        <f t="shared" si="14"/>
        <v>1666.830123718501</v>
      </c>
      <c r="R73">
        <f t="shared" si="18"/>
        <v>148.64810514909189</v>
      </c>
      <c r="S73">
        <f t="shared" si="19"/>
        <v>9308.4165858835458</v>
      </c>
      <c r="T73" s="6">
        <v>0.08</v>
      </c>
      <c r="V73">
        <f>SUM($R$2:R73)</f>
        <v>5761.6637940788005</v>
      </c>
      <c r="W73">
        <f t="shared" si="20"/>
        <v>12.148744979713239</v>
      </c>
      <c r="Z73">
        <f t="shared" si="11"/>
        <v>5.0949589076108553E-2</v>
      </c>
      <c r="AA73" s="6">
        <v>0.3</v>
      </c>
      <c r="AB73">
        <f t="shared" si="15"/>
        <v>31028.055286278486</v>
      </c>
      <c r="AC73">
        <f t="shared" si="21"/>
        <v>14178.481993227326</v>
      </c>
      <c r="AD73" s="6">
        <v>0.2</v>
      </c>
      <c r="AE73">
        <f t="shared" si="16"/>
        <v>2835.6963986454653</v>
      </c>
      <c r="AF73">
        <f t="shared" si="17"/>
        <v>1</v>
      </c>
    </row>
    <row r="74" spans="1:32">
      <c r="A74" s="2">
        <v>73</v>
      </c>
      <c r="B74">
        <f t="shared" si="12"/>
        <v>254.98251184362255</v>
      </c>
      <c r="C74" s="6">
        <v>0.08</v>
      </c>
      <c r="D74">
        <f t="shared" si="13"/>
        <v>1800.1765336159754</v>
      </c>
      <c r="Q74">
        <f t="shared" si="14"/>
        <v>1800.176533615981</v>
      </c>
      <c r="R74">
        <f t="shared" si="18"/>
        <v>151.45278637832007</v>
      </c>
      <c r="S74">
        <f t="shared" si="19"/>
        <v>10053.089912754231</v>
      </c>
      <c r="T74" s="6">
        <v>0.08</v>
      </c>
      <c r="V74">
        <f>SUM($R$2:R74)</f>
        <v>5913.116580457121</v>
      </c>
      <c r="W74">
        <f t="shared" si="20"/>
        <v>12.46809045767537</v>
      </c>
      <c r="Z74">
        <f t="shared" si="11"/>
        <v>4.7175545440841252E-2</v>
      </c>
      <c r="AA74" s="6">
        <v>0.3</v>
      </c>
      <c r="AB74">
        <f t="shared" si="15"/>
        <v>33510.29970918077</v>
      </c>
      <c r="AC74">
        <f t="shared" si="21"/>
        <v>15029.190912820966</v>
      </c>
      <c r="AD74" s="6">
        <v>0.2</v>
      </c>
      <c r="AE74">
        <f t="shared" si="16"/>
        <v>3005.8381825641936</v>
      </c>
      <c r="AF74">
        <f t="shared" si="17"/>
        <v>1</v>
      </c>
    </row>
    <row r="75" spans="1:32">
      <c r="A75" s="2">
        <v>74</v>
      </c>
      <c r="B75">
        <f t="shared" si="12"/>
        <v>275.38111279111234</v>
      </c>
      <c r="C75" s="6">
        <v>0.08</v>
      </c>
      <c r="D75">
        <f t="shared" si="13"/>
        <v>1944.1906563052535</v>
      </c>
      <c r="Q75">
        <f t="shared" si="14"/>
        <v>1944.1906563052598</v>
      </c>
      <c r="R75">
        <f t="shared" si="18"/>
        <v>154.31038612130729</v>
      </c>
      <c r="S75">
        <f t="shared" si="19"/>
        <v>10857.33710577457</v>
      </c>
      <c r="T75" s="6">
        <v>0.08</v>
      </c>
      <c r="V75">
        <f>SUM($R$2:R75)</f>
        <v>6067.4269665784286</v>
      </c>
      <c r="W75">
        <f t="shared" si="20"/>
        <v>12.793461322014146</v>
      </c>
      <c r="Z75">
        <f t="shared" si="11"/>
        <v>4.3681060593371526E-2</v>
      </c>
      <c r="AA75" s="6">
        <v>0.3</v>
      </c>
      <c r="AB75">
        <f t="shared" si="15"/>
        <v>36191.123685915234</v>
      </c>
      <c r="AC75">
        <f t="shared" si="21"/>
        <v>15930.942367590225</v>
      </c>
      <c r="AD75" s="6">
        <v>0.2</v>
      </c>
      <c r="AE75">
        <f t="shared" si="16"/>
        <v>3186.1884735180452</v>
      </c>
      <c r="AF75">
        <f t="shared" si="17"/>
        <v>1</v>
      </c>
    </row>
    <row r="76" spans="1:32">
      <c r="A76" s="2">
        <v>75</v>
      </c>
      <c r="B76">
        <f t="shared" si="12"/>
        <v>297.41160181440131</v>
      </c>
      <c r="C76" s="6">
        <v>0.08</v>
      </c>
      <c r="D76">
        <f t="shared" si="13"/>
        <v>2099.7259088096739</v>
      </c>
      <c r="Q76">
        <f t="shared" si="14"/>
        <v>2099.7259088096807</v>
      </c>
      <c r="R76">
        <f t="shared" si="18"/>
        <v>157.22190284057723</v>
      </c>
      <c r="S76">
        <f t="shared" si="19"/>
        <v>11725.924074236536</v>
      </c>
      <c r="T76" s="6">
        <v>0.08</v>
      </c>
      <c r="V76">
        <f>SUM($R$2:R76)</f>
        <v>6224.6488694190057</v>
      </c>
      <c r="W76">
        <f t="shared" si="20"/>
        <v>13.124971259264973</v>
      </c>
      <c r="Z76">
        <f t="shared" si="11"/>
        <v>4.0445426475344E-2</v>
      </c>
      <c r="AA76" s="6">
        <v>0.3</v>
      </c>
      <c r="AB76">
        <f t="shared" si="15"/>
        <v>39086.41358078846</v>
      </c>
      <c r="AC76">
        <f t="shared" si="21"/>
        <v>16886.79890964564</v>
      </c>
      <c r="AD76" s="6">
        <v>0.2</v>
      </c>
      <c r="AE76">
        <f t="shared" si="16"/>
        <v>3377.3597819291281</v>
      </c>
      <c r="AF76">
        <f t="shared" si="17"/>
        <v>1</v>
      </c>
    </row>
    <row r="77" spans="1:32">
      <c r="A77" s="2">
        <v>76</v>
      </c>
      <c r="B77">
        <f t="shared" si="12"/>
        <v>321.20452995955338</v>
      </c>
      <c r="C77" s="6">
        <v>0.08</v>
      </c>
      <c r="D77">
        <f t="shared" si="13"/>
        <v>2267.7039815144481</v>
      </c>
      <c r="Q77">
        <f t="shared" si="14"/>
        <v>2267.7039815144553</v>
      </c>
      <c r="R77">
        <f t="shared" si="18"/>
        <v>160.18835383756922</v>
      </c>
      <c r="S77">
        <f t="shared" si="19"/>
        <v>12663.998000175459</v>
      </c>
      <c r="T77" s="6">
        <v>0.08</v>
      </c>
      <c r="V77">
        <f>SUM($R$2:R77)</f>
        <v>6384.8372232565753</v>
      </c>
      <c r="W77">
        <f t="shared" si="20"/>
        <v>13.462736100992231</v>
      </c>
      <c r="Z77">
        <f t="shared" si="11"/>
        <v>3.7449468958651852E-2</v>
      </c>
      <c r="AA77" s="6">
        <v>0.3</v>
      </c>
      <c r="AB77">
        <f t="shared" si="15"/>
        <v>42213.326667251531</v>
      </c>
      <c r="AC77">
        <f t="shared" si="21"/>
        <v>17900.006844224379</v>
      </c>
      <c r="AD77" s="6">
        <v>0.2</v>
      </c>
      <c r="AE77">
        <f t="shared" si="16"/>
        <v>3580.0013688448762</v>
      </c>
      <c r="AF77">
        <f t="shared" si="17"/>
        <v>1</v>
      </c>
    </row>
    <row r="78" spans="1:32">
      <c r="A78" s="2">
        <v>77</v>
      </c>
      <c r="B78">
        <f t="shared" si="12"/>
        <v>346.90089235631763</v>
      </c>
      <c r="C78" s="6">
        <v>0.08</v>
      </c>
      <c r="D78">
        <f t="shared" si="13"/>
        <v>2449.120300035604</v>
      </c>
      <c r="Q78">
        <f t="shared" si="14"/>
        <v>2449.1203000356118</v>
      </c>
      <c r="R78">
        <f t="shared" si="18"/>
        <v>163.21077560808939</v>
      </c>
      <c r="S78">
        <f t="shared" si="19"/>
        <v>13677.117840189498</v>
      </c>
      <c r="T78" s="6">
        <v>0.08</v>
      </c>
      <c r="V78">
        <f>SUM($R$2:R78)</f>
        <v>6548.0479988646648</v>
      </c>
      <c r="W78">
        <f t="shared" si="20"/>
        <v>13.806873864261512</v>
      </c>
      <c r="Z78">
        <f t="shared" si="11"/>
        <v>3.4675434220973932E-2</v>
      </c>
      <c r="AA78" s="6">
        <v>0.3</v>
      </c>
      <c r="AB78">
        <f t="shared" si="15"/>
        <v>45590.392800631664</v>
      </c>
      <c r="AC78">
        <f t="shared" si="21"/>
        <v>18974.007254877844</v>
      </c>
      <c r="AD78" s="6">
        <v>0.2</v>
      </c>
      <c r="AE78">
        <f t="shared" si="16"/>
        <v>3794.801450975569</v>
      </c>
      <c r="AF78">
        <f t="shared" si="17"/>
        <v>1</v>
      </c>
    </row>
    <row r="79" spans="1:32">
      <c r="A79" s="2">
        <v>78</v>
      </c>
      <c r="B79">
        <f t="shared" si="12"/>
        <v>374.65296374482301</v>
      </c>
      <c r="C79" s="6">
        <v>0.08</v>
      </c>
      <c r="D79">
        <f t="shared" si="13"/>
        <v>2645.0499240384524</v>
      </c>
      <c r="Q79">
        <f t="shared" si="14"/>
        <v>2645.0499240384602</v>
      </c>
      <c r="R79">
        <f t="shared" si="18"/>
        <v>166.29022420446842</v>
      </c>
      <c r="S79">
        <f t="shared" si="19"/>
        <v>14771.287267404658</v>
      </c>
      <c r="T79" s="6">
        <v>0.08</v>
      </c>
      <c r="V79">
        <f>SUM($R$2:R79)</f>
        <v>6714.3382230691332</v>
      </c>
      <c r="W79">
        <f t="shared" si="20"/>
        <v>14.157504792875498</v>
      </c>
      <c r="Z79">
        <f t="shared" ref="Z79:Z142" si="22">$W$2/S79</f>
        <v>3.2106883537938828E-2</v>
      </c>
      <c r="AA79" s="6">
        <v>0.3</v>
      </c>
      <c r="AB79">
        <f t="shared" si="15"/>
        <v>49237.624224682193</v>
      </c>
      <c r="AC79">
        <f t="shared" si="21"/>
        <v>20112.447690170517</v>
      </c>
      <c r="AD79" s="6">
        <v>0.2</v>
      </c>
      <c r="AE79">
        <f t="shared" si="16"/>
        <v>4022.4895380341036</v>
      </c>
      <c r="AF79">
        <f t="shared" si="17"/>
        <v>1</v>
      </c>
    </row>
    <row r="80" spans="1:32">
      <c r="A80" s="2">
        <v>79</v>
      </c>
      <c r="B80">
        <f t="shared" si="12"/>
        <v>404.62520084440882</v>
      </c>
      <c r="C80" s="6">
        <v>0.08</v>
      </c>
      <c r="D80">
        <f t="shared" si="13"/>
        <v>2856.6539179615288</v>
      </c>
      <c r="Q80">
        <f t="shared" si="14"/>
        <v>2856.6539179615379</v>
      </c>
      <c r="R80">
        <f t="shared" si="18"/>
        <v>169.42777560455275</v>
      </c>
      <c r="S80">
        <f t="shared" si="19"/>
        <v>15952.99024879703</v>
      </c>
      <c r="T80" s="6">
        <v>0.08</v>
      </c>
      <c r="V80">
        <f>SUM($R$2:R80)</f>
        <v>6883.7659986736862</v>
      </c>
      <c r="W80">
        <f t="shared" si="20"/>
        <v>14.51475139938786</v>
      </c>
      <c r="Z80">
        <f t="shared" si="22"/>
        <v>2.9728595868461875E-2</v>
      </c>
      <c r="AA80" s="6">
        <v>0.3</v>
      </c>
      <c r="AB80">
        <f t="shared" si="15"/>
        <v>53176.634162656766</v>
      </c>
      <c r="AC80">
        <f t="shared" si="21"/>
        <v>21319.194551580749</v>
      </c>
      <c r="AD80" s="6">
        <v>0.2</v>
      </c>
      <c r="AE80">
        <f t="shared" si="16"/>
        <v>4263.8389103161498</v>
      </c>
      <c r="AF80">
        <f t="shared" si="17"/>
        <v>1</v>
      </c>
    </row>
    <row r="81" spans="1:32">
      <c r="A81" s="2">
        <v>80</v>
      </c>
      <c r="B81">
        <f t="shared" si="12"/>
        <v>436.99521691196151</v>
      </c>
      <c r="C81" s="6">
        <v>0.08</v>
      </c>
      <c r="D81">
        <f t="shared" si="13"/>
        <v>3085.1862313984511</v>
      </c>
      <c r="Q81">
        <f t="shared" si="14"/>
        <v>3085.1862313984611</v>
      </c>
      <c r="R81">
        <f t="shared" si="18"/>
        <v>172.62452608765747</v>
      </c>
      <c r="S81">
        <f t="shared" si="19"/>
        <v>17229.229468700792</v>
      </c>
      <c r="T81" s="6">
        <v>0.08</v>
      </c>
      <c r="V81">
        <f>SUM($R$2:R81)</f>
        <v>7056.3905247613438</v>
      </c>
      <c r="W81">
        <f t="shared" si="20"/>
        <v>14.878738507909889</v>
      </c>
      <c r="Z81">
        <f t="shared" si="22"/>
        <v>2.752647765598322E-2</v>
      </c>
      <c r="AA81" s="6">
        <v>0.3</v>
      </c>
      <c r="AB81">
        <f t="shared" si="15"/>
        <v>57430.764895669308</v>
      </c>
      <c r="AC81">
        <f t="shared" si="21"/>
        <v>22598.346224675595</v>
      </c>
      <c r="AD81" s="6">
        <v>0.2</v>
      </c>
      <c r="AE81">
        <f t="shared" si="16"/>
        <v>4519.6692449351194</v>
      </c>
      <c r="AF81">
        <f t="shared" si="17"/>
        <v>1</v>
      </c>
    </row>
    <row r="82" spans="1:32">
      <c r="A82" s="2">
        <v>81</v>
      </c>
      <c r="B82">
        <f t="shared" si="12"/>
        <v>471.95483426491842</v>
      </c>
      <c r="C82" s="6">
        <v>0.08</v>
      </c>
      <c r="D82">
        <f t="shared" si="13"/>
        <v>3332.0011299103271</v>
      </c>
      <c r="Q82">
        <f t="shared" si="14"/>
        <v>3332.001129910338</v>
      </c>
      <c r="R82">
        <f t="shared" si="18"/>
        <v>175.88159261761334</v>
      </c>
      <c r="S82">
        <f t="shared" si="19"/>
        <v>18607.567826196857</v>
      </c>
      <c r="T82" s="6">
        <v>0.08</v>
      </c>
      <c r="V82">
        <f>SUM($R$2:R82)</f>
        <v>7232.2721173789569</v>
      </c>
      <c r="W82">
        <f t="shared" si="20"/>
        <v>15.249593297724786</v>
      </c>
      <c r="Z82">
        <f t="shared" si="22"/>
        <v>2.5487479311095573E-2</v>
      </c>
      <c r="AA82" s="6">
        <v>0.3</v>
      </c>
      <c r="AB82">
        <f t="shared" si="15"/>
        <v>62025.226087322859</v>
      </c>
      <c r="AC82">
        <f t="shared" si="21"/>
        <v>23954.246998156133</v>
      </c>
      <c r="AD82" s="6">
        <v>0.2</v>
      </c>
      <c r="AE82">
        <f t="shared" si="16"/>
        <v>4790.8493996312272</v>
      </c>
      <c r="AF82">
        <f t="shared" si="17"/>
        <v>1</v>
      </c>
    </row>
    <row r="83" spans="1:32">
      <c r="A83" s="2">
        <v>82</v>
      </c>
      <c r="B83">
        <f t="shared" si="12"/>
        <v>509.71122100611188</v>
      </c>
      <c r="C83" s="6">
        <v>0.08</v>
      </c>
      <c r="D83">
        <f t="shared" si="13"/>
        <v>3598.5612203031533</v>
      </c>
      <c r="Q83">
        <f t="shared" si="14"/>
        <v>3598.5612203031651</v>
      </c>
      <c r="R83">
        <f t="shared" si="18"/>
        <v>179.20011323303999</v>
      </c>
      <c r="S83">
        <f t="shared" si="19"/>
        <v>20096.173252292607</v>
      </c>
      <c r="T83" s="6">
        <v>0.08</v>
      </c>
      <c r="V83">
        <f>SUM($R$2:R83)</f>
        <v>7411.4722306119966</v>
      </c>
      <c r="W83">
        <f t="shared" si="20"/>
        <v>15.627445347724869</v>
      </c>
      <c r="Z83">
        <f t="shared" si="22"/>
        <v>2.3599517880644048E-2</v>
      </c>
      <c r="AA83" s="6">
        <v>0.3</v>
      </c>
      <c r="AB83">
        <f t="shared" si="15"/>
        <v>66987.244174308697</v>
      </c>
      <c r="AC83">
        <f t="shared" si="21"/>
        <v>25391.501818045504</v>
      </c>
      <c r="AD83" s="6">
        <v>0.2</v>
      </c>
      <c r="AE83">
        <f t="shared" si="16"/>
        <v>5078.3003636091016</v>
      </c>
      <c r="AF83">
        <f t="shared" si="17"/>
        <v>1</v>
      </c>
    </row>
    <row r="84" spans="1:32">
      <c r="A84" s="2">
        <v>83</v>
      </c>
      <c r="B84">
        <f t="shared" si="12"/>
        <v>550.48811868660084</v>
      </c>
      <c r="C84" s="6">
        <v>0.08</v>
      </c>
      <c r="D84">
        <f t="shared" si="13"/>
        <v>3886.4461179274058</v>
      </c>
      <c r="Q84">
        <f t="shared" si="14"/>
        <v>3886.4461179274185</v>
      </c>
      <c r="R84">
        <f t="shared" si="18"/>
        <v>182.58124744498417</v>
      </c>
      <c r="S84">
        <f t="shared" si="19"/>
        <v>21703.867112476019</v>
      </c>
      <c r="T84" s="6">
        <v>0.08</v>
      </c>
      <c r="V84">
        <f>SUM($R$2:R84)</f>
        <v>7594.0534780569806</v>
      </c>
      <c r="W84">
        <f t="shared" si="20"/>
        <v>16.01242668168722</v>
      </c>
      <c r="Z84">
        <f t="shared" si="22"/>
        <v>2.1851405445040779E-2</v>
      </c>
      <c r="AA84" s="6">
        <v>0.3</v>
      </c>
      <c r="AB84">
        <f t="shared" si="15"/>
        <v>72346.223708253397</v>
      </c>
      <c r="AC84">
        <f t="shared" si="21"/>
        <v>26914.991927128238</v>
      </c>
      <c r="AD84" s="6">
        <v>0.2</v>
      </c>
      <c r="AE84">
        <f t="shared" si="16"/>
        <v>5382.9983854256479</v>
      </c>
      <c r="AF84">
        <f t="shared" si="17"/>
        <v>1</v>
      </c>
    </row>
    <row r="85" spans="1:32">
      <c r="A85" s="2">
        <v>84</v>
      </c>
      <c r="B85">
        <f t="shared" si="12"/>
        <v>594.52716818152885</v>
      </c>
      <c r="C85" s="6">
        <v>0.08</v>
      </c>
      <c r="D85">
        <f t="shared" si="13"/>
        <v>4197.361807361598</v>
      </c>
      <c r="Q85">
        <f t="shared" si="14"/>
        <v>4197.3618073616126</v>
      </c>
      <c r="R85">
        <f t="shared" si="18"/>
        <v>186.02617664205931</v>
      </c>
      <c r="S85">
        <f t="shared" si="19"/>
        <v>23440.1764814741</v>
      </c>
      <c r="T85" s="6">
        <v>0.08</v>
      </c>
      <c r="V85">
        <f>SUM($R$2:R85)</f>
        <v>7780.0796546990396</v>
      </c>
      <c r="W85">
        <f t="shared" si="20"/>
        <v>16.404671814403574</v>
      </c>
      <c r="Z85">
        <f t="shared" si="22"/>
        <v>2.0232782819482206E-2</v>
      </c>
      <c r="AA85" s="6">
        <v>0.3</v>
      </c>
      <c r="AB85">
        <f t="shared" si="15"/>
        <v>78133.921604913674</v>
      </c>
      <c r="AC85">
        <f t="shared" si="21"/>
        <v>28529.891442755932</v>
      </c>
      <c r="AD85" s="6">
        <v>0.2</v>
      </c>
      <c r="AE85">
        <f t="shared" si="16"/>
        <v>5705.9782885511868</v>
      </c>
      <c r="AF85">
        <f t="shared" si="17"/>
        <v>1</v>
      </c>
    </row>
    <row r="86" spans="1:32">
      <c r="A86" s="2">
        <v>85</v>
      </c>
      <c r="B86">
        <f t="shared" si="12"/>
        <v>642.08934163605113</v>
      </c>
      <c r="C86" s="6">
        <v>0.08</v>
      </c>
      <c r="D86">
        <f t="shared" si="13"/>
        <v>4533.1507519505258</v>
      </c>
      <c r="Q86">
        <f t="shared" si="14"/>
        <v>4533.1507519505412</v>
      </c>
      <c r="R86">
        <f t="shared" si="18"/>
        <v>189.53610450323023</v>
      </c>
      <c r="S86">
        <f t="shared" si="19"/>
        <v>25315.390599992028</v>
      </c>
      <c r="T86" s="6">
        <v>0.08</v>
      </c>
      <c r="V86">
        <f>SUM($R$2:R86)</f>
        <v>7969.6157592022701</v>
      </c>
      <c r="W86">
        <f t="shared" si="20"/>
        <v>16.804317798680618</v>
      </c>
      <c r="Z86">
        <f t="shared" si="22"/>
        <v>1.8734058166187225E-2</v>
      </c>
      <c r="AA86" s="6">
        <v>0.3</v>
      </c>
      <c r="AB86">
        <f t="shared" si="15"/>
        <v>84384.635333306767</v>
      </c>
      <c r="AC86">
        <f t="shared" si="21"/>
        <v>30241.684929321291</v>
      </c>
      <c r="AD86" s="6">
        <v>0.2</v>
      </c>
      <c r="AE86">
        <f t="shared" si="16"/>
        <v>6048.3369858642582</v>
      </c>
      <c r="AF86">
        <f t="shared" si="17"/>
        <v>1</v>
      </c>
    </row>
    <row r="87" spans="1:32">
      <c r="A87" s="2">
        <v>86</v>
      </c>
      <c r="B87">
        <f t="shared" si="12"/>
        <v>693.45648896693524</v>
      </c>
      <c r="C87" s="6">
        <v>0.08</v>
      </c>
      <c r="D87">
        <f t="shared" si="13"/>
        <v>4895.8028121065681</v>
      </c>
      <c r="Q87">
        <f t="shared" si="14"/>
        <v>4895.8028121065854</v>
      </c>
      <c r="R87">
        <f t="shared" si="18"/>
        <v>193.1122574183855</v>
      </c>
      <c r="S87">
        <f t="shared" si="19"/>
        <v>27340.621847991391</v>
      </c>
      <c r="T87" s="6">
        <v>0.08</v>
      </c>
      <c r="V87">
        <f>SUM($R$2:R87)</f>
        <v>8162.7280166206556</v>
      </c>
      <c r="W87">
        <f t="shared" si="20"/>
        <v>17.211504273227039</v>
      </c>
      <c r="Z87">
        <f t="shared" si="22"/>
        <v>1.734635015387706E-2</v>
      </c>
      <c r="AA87" s="6">
        <v>0.3</v>
      </c>
      <c r="AB87">
        <f t="shared" si="15"/>
        <v>91135.406159971302</v>
      </c>
      <c r="AC87">
        <f t="shared" si="21"/>
        <v>32056.186025080569</v>
      </c>
      <c r="AD87" s="6">
        <v>0.2</v>
      </c>
      <c r="AE87">
        <f t="shared" si="16"/>
        <v>6411.2372050161139</v>
      </c>
      <c r="AF87">
        <f t="shared" si="17"/>
        <v>1</v>
      </c>
    </row>
    <row r="88" spans="1:32">
      <c r="A88" s="2">
        <v>87</v>
      </c>
      <c r="B88">
        <f t="shared" si="12"/>
        <v>748.93300808429001</v>
      </c>
      <c r="C88" s="6">
        <v>0.08</v>
      </c>
      <c r="D88">
        <f t="shared" si="13"/>
        <v>5287.4670370750937</v>
      </c>
      <c r="Q88">
        <f t="shared" si="14"/>
        <v>5287.4670370751119</v>
      </c>
      <c r="R88">
        <f t="shared" si="18"/>
        <v>196.75588491684559</v>
      </c>
      <c r="S88">
        <f t="shared" si="19"/>
        <v>29527.871595830704</v>
      </c>
      <c r="T88" s="6">
        <v>0.08</v>
      </c>
      <c r="V88">
        <f>SUM($R$2:R88)</f>
        <v>8359.4839015375019</v>
      </c>
      <c r="W88">
        <f t="shared" si="20"/>
        <v>17.62637351144415</v>
      </c>
      <c r="Z88">
        <f t="shared" si="22"/>
        <v>1.6061435327663943E-2</v>
      </c>
      <c r="AA88" s="6">
        <v>0.3</v>
      </c>
      <c r="AB88">
        <f t="shared" si="15"/>
        <v>98426.238652769011</v>
      </c>
      <c r="AC88">
        <f t="shared" si="21"/>
        <v>33979.557186585407</v>
      </c>
      <c r="AD88" s="6">
        <v>0.2</v>
      </c>
      <c r="AE88">
        <f t="shared" si="16"/>
        <v>6795.9114373170814</v>
      </c>
      <c r="AF88">
        <f t="shared" si="17"/>
        <v>1</v>
      </c>
    </row>
    <row r="89" spans="1:32">
      <c r="A89" s="2">
        <v>88</v>
      </c>
      <c r="B89">
        <f t="shared" si="12"/>
        <v>808.84764873103325</v>
      </c>
      <c r="C89" s="6">
        <v>0.08</v>
      </c>
      <c r="D89">
        <f t="shared" si="13"/>
        <v>5710.4644000411008</v>
      </c>
      <c r="Q89">
        <f t="shared" si="14"/>
        <v>5710.4644000411217</v>
      </c>
      <c r="R89">
        <f t="shared" si="18"/>
        <v>200.46826010395588</v>
      </c>
      <c r="S89">
        <f t="shared" si="19"/>
        <v>31890.101323497162</v>
      </c>
      <c r="T89" s="6">
        <v>0.08</v>
      </c>
      <c r="V89">
        <f>SUM($R$2:R89)</f>
        <v>8559.9521616414586</v>
      </c>
      <c r="W89">
        <f t="shared" si="20"/>
        <v>18.049070471137053</v>
      </c>
      <c r="Z89">
        <f t="shared" si="22"/>
        <v>1.4871699377466614E-2</v>
      </c>
      <c r="AA89" s="6">
        <v>0.3</v>
      </c>
      <c r="AB89">
        <f t="shared" si="15"/>
        <v>106300.33774499054</v>
      </c>
      <c r="AC89">
        <f t="shared" si="21"/>
        <v>36018.330617780535</v>
      </c>
      <c r="AD89" s="6">
        <v>0.2</v>
      </c>
      <c r="AE89">
        <f t="shared" si="16"/>
        <v>7203.6661235561078</v>
      </c>
      <c r="AF89">
        <f t="shared" si="17"/>
        <v>1</v>
      </c>
    </row>
    <row r="90" spans="1:32">
      <c r="A90" s="2">
        <v>89</v>
      </c>
      <c r="B90">
        <f t="shared" si="12"/>
        <v>873.55546062951589</v>
      </c>
      <c r="C90" s="6">
        <v>0.08</v>
      </c>
      <c r="D90">
        <f t="shared" si="13"/>
        <v>6167.3015520443887</v>
      </c>
      <c r="Q90">
        <f t="shared" si="14"/>
        <v>6167.3015520444114</v>
      </c>
      <c r="R90">
        <f t="shared" si="18"/>
        <v>204.25068010591735</v>
      </c>
      <c r="S90">
        <f t="shared" si="19"/>
        <v>34441.309429376939</v>
      </c>
      <c r="T90" s="6">
        <v>0.08</v>
      </c>
      <c r="V90">
        <f>SUM($R$2:R90)</f>
        <v>8764.2028417473757</v>
      </c>
      <c r="W90">
        <f t="shared" si="20"/>
        <v>18.479742845163784</v>
      </c>
      <c r="Z90">
        <f t="shared" si="22"/>
        <v>1.377009201617279E-2</v>
      </c>
      <c r="AA90" s="6">
        <v>0.3</v>
      </c>
      <c r="AB90">
        <f t="shared" si="15"/>
        <v>114804.3647645898</v>
      </c>
      <c r="AC90">
        <f t="shared" si="21"/>
        <v>38179.430454847366</v>
      </c>
      <c r="AD90" s="6">
        <v>0.2</v>
      </c>
      <c r="AE90">
        <f t="shared" si="16"/>
        <v>7635.886090969474</v>
      </c>
      <c r="AF90">
        <f t="shared" si="17"/>
        <v>1</v>
      </c>
    </row>
    <row r="91" spans="1:32">
      <c r="A91" s="2">
        <v>90</v>
      </c>
      <c r="B91">
        <f t="shared" si="12"/>
        <v>943.43989747987712</v>
      </c>
      <c r="C91" s="6">
        <v>0.08</v>
      </c>
      <c r="D91">
        <f t="shared" si="13"/>
        <v>6660.6856762079397</v>
      </c>
      <c r="Q91">
        <f t="shared" si="14"/>
        <v>6660.6856762079651</v>
      </c>
      <c r="R91">
        <f t="shared" si="18"/>
        <v>208.10446652301019</v>
      </c>
      <c r="S91">
        <f t="shared" si="19"/>
        <v>37196.614183727099</v>
      </c>
      <c r="T91" s="6">
        <v>0.08</v>
      </c>
      <c r="V91">
        <f>SUM($R$2:R91)</f>
        <v>8972.3073082703868</v>
      </c>
      <c r="W91">
        <f t="shared" si="20"/>
        <v>18.918541113040078</v>
      </c>
      <c r="Z91">
        <f t="shared" si="22"/>
        <v>1.2750085200159989E-2</v>
      </c>
      <c r="AA91" s="6">
        <v>0.3</v>
      </c>
      <c r="AB91">
        <f t="shared" si="15"/>
        <v>123988.713945757</v>
      </c>
      <c r="AC91">
        <f t="shared" si="21"/>
        <v>40470.196282138211</v>
      </c>
      <c r="AD91" s="6">
        <v>0.2</v>
      </c>
      <c r="AE91">
        <f t="shared" si="16"/>
        <v>8094.0392564276426</v>
      </c>
      <c r="AF91">
        <f t="shared" si="17"/>
        <v>1</v>
      </c>
    </row>
    <row r="92" spans="1:32">
      <c r="A92" s="2">
        <v>91</v>
      </c>
      <c r="B92">
        <f t="shared" si="12"/>
        <v>1018.9150892782673</v>
      </c>
      <c r="C92" s="6">
        <v>0.08</v>
      </c>
      <c r="D92">
        <f t="shared" si="13"/>
        <v>7193.5405303045745</v>
      </c>
      <c r="Q92">
        <f t="shared" si="14"/>
        <v>7193.5405303046018</v>
      </c>
      <c r="R92">
        <f t="shared" si="18"/>
        <v>212.03096589136888</v>
      </c>
      <c r="S92">
        <f t="shared" si="19"/>
        <v>40172.343318425272</v>
      </c>
      <c r="T92" s="6">
        <v>0.08</v>
      </c>
      <c r="V92">
        <f>SUM($R$2:R92)</f>
        <v>9184.3382741617552</v>
      </c>
      <c r="W92">
        <f t="shared" si="20"/>
        <v>19.365618593517809</v>
      </c>
      <c r="Z92">
        <f t="shared" si="22"/>
        <v>1.180563444459258E-2</v>
      </c>
      <c r="AA92" s="6">
        <v>0.3</v>
      </c>
      <c r="AB92">
        <f t="shared" si="15"/>
        <v>133907.81106141757</v>
      </c>
      <c r="AC92">
        <f t="shared" si="21"/>
        <v>42898.408059066503</v>
      </c>
      <c r="AD92" s="6">
        <v>0.2</v>
      </c>
      <c r="AE92">
        <f t="shared" si="16"/>
        <v>8579.6816118133011</v>
      </c>
      <c r="AF92">
        <f t="shared" si="17"/>
        <v>1</v>
      </c>
    </row>
    <row r="93" spans="1:32">
      <c r="A93" s="2">
        <v>92</v>
      </c>
      <c r="B93">
        <f t="shared" si="12"/>
        <v>1100.4282964205286</v>
      </c>
      <c r="C93" s="6">
        <v>0.08</v>
      </c>
      <c r="D93">
        <f t="shared" si="13"/>
        <v>7769.0237727289405</v>
      </c>
      <c r="Q93">
        <f t="shared" si="14"/>
        <v>7769.0237727289696</v>
      </c>
      <c r="R93">
        <f t="shared" si="18"/>
        <v>216.03155015347014</v>
      </c>
      <c r="S93">
        <f t="shared" si="19"/>
        <v>43386.130783899294</v>
      </c>
      <c r="T93" s="6">
        <v>0.08</v>
      </c>
      <c r="V93">
        <f>SUM($R$2:R93)</f>
        <v>9400.3698243152248</v>
      </c>
      <c r="W93">
        <f t="shared" si="20"/>
        <v>19.821131498155495</v>
      </c>
      <c r="Z93">
        <f t="shared" si="22"/>
        <v>1.0931143004252389E-2</v>
      </c>
      <c r="AA93" s="6">
        <v>0.3</v>
      </c>
      <c r="AB93">
        <f t="shared" si="15"/>
        <v>144620.43594633098</v>
      </c>
      <c r="AC93">
        <f t="shared" si="21"/>
        <v>45472.312542610496</v>
      </c>
      <c r="AD93" s="6">
        <v>0.2</v>
      </c>
      <c r="AE93">
        <f t="shared" si="16"/>
        <v>9094.4625085220996</v>
      </c>
      <c r="AF93">
        <f t="shared" si="17"/>
        <v>1</v>
      </c>
    </row>
    <row r="94" spans="1:32">
      <c r="A94" s="2">
        <v>93</v>
      </c>
      <c r="B94">
        <f t="shared" si="12"/>
        <v>1188.4625601341709</v>
      </c>
      <c r="C94" s="6">
        <v>0.08</v>
      </c>
      <c r="D94">
        <f t="shared" si="13"/>
        <v>8390.5456745472547</v>
      </c>
      <c r="Q94">
        <f t="shared" si="14"/>
        <v>8390.5456745472875</v>
      </c>
      <c r="R94">
        <f t="shared" si="18"/>
        <v>220.1076171374979</v>
      </c>
      <c r="S94">
        <f t="shared" si="19"/>
        <v>46857.021246611243</v>
      </c>
      <c r="T94" s="6">
        <v>0.08</v>
      </c>
      <c r="V94">
        <f>SUM($R$2:R94)</f>
        <v>9620.4774414527219</v>
      </c>
      <c r="W94">
        <f t="shared" si="20"/>
        <v>20.285238985899554</v>
      </c>
      <c r="Z94">
        <f t="shared" si="22"/>
        <v>1.01214287076411E-2</v>
      </c>
      <c r="AA94" s="6">
        <v>0.3</v>
      </c>
      <c r="AB94">
        <f t="shared" si="15"/>
        <v>156190.07082203749</v>
      </c>
      <c r="AC94">
        <f t="shared" si="21"/>
        <v>48200.651295167125</v>
      </c>
      <c r="AD94" s="6">
        <v>0.2</v>
      </c>
      <c r="AE94">
        <f t="shared" si="16"/>
        <v>9640.1302590334253</v>
      </c>
      <c r="AF94">
        <f t="shared" si="17"/>
        <v>1</v>
      </c>
    </row>
    <row r="95" spans="1:32">
      <c r="A95" s="2">
        <v>94</v>
      </c>
      <c r="B95">
        <f t="shared" si="12"/>
        <v>1283.5395649449044</v>
      </c>
      <c r="C95" s="6">
        <v>0.08</v>
      </c>
      <c r="D95">
        <f t="shared" si="13"/>
        <v>9061.7893285110349</v>
      </c>
      <c r="Q95">
        <f t="shared" si="14"/>
        <v>9061.7893285110713</v>
      </c>
      <c r="R95">
        <f t="shared" si="18"/>
        <v>224.26059104575256</v>
      </c>
      <c r="S95">
        <f t="shared" si="19"/>
        <v>50605.582946340146</v>
      </c>
      <c r="T95" s="6">
        <v>0.08</v>
      </c>
      <c r="V95">
        <f>SUM($R$2:R95)</f>
        <v>9844.7380324984751</v>
      </c>
      <c r="W95">
        <f t="shared" si="20"/>
        <v>20.758103218695389</v>
      </c>
      <c r="Z95">
        <f t="shared" si="22"/>
        <v>9.3716932478158325E-3</v>
      </c>
      <c r="AA95" s="6">
        <v>0.3</v>
      </c>
      <c r="AB95">
        <f t="shared" si="15"/>
        <v>168685.2764878005</v>
      </c>
      <c r="AC95">
        <f t="shared" si="21"/>
        <v>51092.690372877158</v>
      </c>
      <c r="AD95" s="6">
        <v>0.2</v>
      </c>
      <c r="AE95">
        <f t="shared" si="16"/>
        <v>10218.538074575432</v>
      </c>
      <c r="AF95">
        <f t="shared" si="17"/>
        <v>1</v>
      </c>
    </row>
    <row r="96" spans="1:32">
      <c r="A96" s="2">
        <v>95</v>
      </c>
      <c r="B96">
        <f t="shared" si="12"/>
        <v>1386.2227301404969</v>
      </c>
      <c r="C96" s="6">
        <v>0.08</v>
      </c>
      <c r="D96">
        <f t="shared" si="13"/>
        <v>9786.7324747919174</v>
      </c>
      <c r="Q96">
        <f t="shared" si="14"/>
        <v>9786.7324747919592</v>
      </c>
      <c r="R96">
        <f t="shared" si="18"/>
        <v>228.49192295227621</v>
      </c>
      <c r="S96">
        <f t="shared" si="19"/>
        <v>54654.029582047362</v>
      </c>
      <c r="T96" s="6">
        <v>0.08</v>
      </c>
      <c r="V96">
        <f>SUM($R$2:R96)</f>
        <v>10073.229955450752</v>
      </c>
      <c r="W96">
        <f t="shared" si="20"/>
        <v>21.239889418147751</v>
      </c>
      <c r="Z96">
        <f t="shared" si="22"/>
        <v>8.6774937479776222E-3</v>
      </c>
      <c r="AA96" s="6">
        <v>0.3</v>
      </c>
      <c r="AB96">
        <f t="shared" si="15"/>
        <v>182180.09860682455</v>
      </c>
      <c r="AC96">
        <f t="shared" si="21"/>
        <v>54158.251795249787</v>
      </c>
      <c r="AD96" s="6">
        <v>0.2</v>
      </c>
      <c r="AE96">
        <f t="shared" si="16"/>
        <v>10831.650359049958</v>
      </c>
      <c r="AF96">
        <f t="shared" si="17"/>
        <v>1</v>
      </c>
    </row>
    <row r="97" spans="1:32">
      <c r="A97" s="2">
        <v>96</v>
      </c>
      <c r="B97">
        <f t="shared" si="12"/>
        <v>1497.1205485517366</v>
      </c>
      <c r="C97" s="6">
        <v>0.08</v>
      </c>
      <c r="D97">
        <f t="shared" si="13"/>
        <v>10569.671072775271</v>
      </c>
      <c r="Q97">
        <f t="shared" si="14"/>
        <v>10569.671072775316</v>
      </c>
      <c r="R97">
        <f t="shared" si="18"/>
        <v>232.80309130986629</v>
      </c>
      <c r="S97">
        <f t="shared" si="19"/>
        <v>59026.351948611155</v>
      </c>
      <c r="T97" s="6">
        <v>0.08</v>
      </c>
      <c r="V97">
        <f>SUM($R$2:R97)</f>
        <v>10306.033046760618</v>
      </c>
      <c r="W97">
        <f t="shared" si="20"/>
        <v>21.730765923250154</v>
      </c>
      <c r="Z97">
        <f t="shared" si="22"/>
        <v>8.0347164333126123E-3</v>
      </c>
      <c r="AA97" s="6">
        <v>0.3</v>
      </c>
      <c r="AB97">
        <f t="shared" si="15"/>
        <v>196754.50649537053</v>
      </c>
      <c r="AC97">
        <f t="shared" si="21"/>
        <v>57407.746902964776</v>
      </c>
      <c r="AD97" s="6">
        <v>0.2</v>
      </c>
      <c r="AE97">
        <f t="shared" si="16"/>
        <v>11481.549380592956</v>
      </c>
      <c r="AF97">
        <f t="shared" si="17"/>
        <v>1</v>
      </c>
    </row>
    <row r="98" spans="1:32">
      <c r="A98" s="2">
        <v>97</v>
      </c>
      <c r="B98">
        <f t="shared" si="12"/>
        <v>1616.8901924358756</v>
      </c>
      <c r="C98" s="6">
        <v>0.08</v>
      </c>
      <c r="D98">
        <f t="shared" si="13"/>
        <v>11415.244758597291</v>
      </c>
      <c r="Q98">
        <f t="shared" si="14"/>
        <v>11415.244758597342</v>
      </c>
      <c r="R98">
        <f t="shared" si="18"/>
        <v>237.19560246665628</v>
      </c>
      <c r="S98">
        <f t="shared" si="19"/>
        <v>63748.460104500053</v>
      </c>
      <c r="T98" s="6">
        <v>0.08</v>
      </c>
      <c r="V98">
        <f>SUM($R$2:R98)</f>
        <v>10543.228649227274</v>
      </c>
      <c r="W98">
        <f t="shared" si="20"/>
        <v>22.230904249203547</v>
      </c>
      <c r="Z98">
        <f t="shared" si="22"/>
        <v>7.4395522530672333E-3</v>
      </c>
      <c r="AA98" s="6">
        <v>0.3</v>
      </c>
      <c r="AB98">
        <f t="shared" si="15"/>
        <v>212494.86701500017</v>
      </c>
      <c r="AC98">
        <f t="shared" si="21"/>
        <v>60852.211717142665</v>
      </c>
      <c r="AD98" s="6">
        <v>0.2</v>
      </c>
      <c r="AE98">
        <f t="shared" si="16"/>
        <v>12170.442343428535</v>
      </c>
      <c r="AF98">
        <f t="shared" si="17"/>
        <v>1</v>
      </c>
    </row>
    <row r="99" spans="1:32">
      <c r="A99" s="2">
        <v>98</v>
      </c>
      <c r="B99">
        <f t="shared" si="12"/>
        <v>1746.2414078307456</v>
      </c>
      <c r="C99" s="6">
        <v>0.08</v>
      </c>
      <c r="D99">
        <f t="shared" si="13"/>
        <v>12328.464339285074</v>
      </c>
      <c r="Q99">
        <f t="shared" si="14"/>
        <v>12328.464339285129</v>
      </c>
      <c r="R99">
        <f t="shared" si="18"/>
        <v>241.67099119244227</v>
      </c>
      <c r="S99">
        <f t="shared" si="19"/>
        <v>68848.336912860061</v>
      </c>
      <c r="T99" s="6">
        <v>0.08</v>
      </c>
      <c r="V99">
        <f>SUM($R$2:R99)</f>
        <v>10784.899640419717</v>
      </c>
      <c r="W99">
        <f t="shared" si="20"/>
        <v>22.740479147344743</v>
      </c>
      <c r="Z99">
        <f t="shared" si="22"/>
        <v>6.8884743083955854E-3</v>
      </c>
      <c r="AA99" s="6">
        <v>0.3</v>
      </c>
      <c r="AB99">
        <f t="shared" si="15"/>
        <v>229494.45637620022</v>
      </c>
      <c r="AC99">
        <f t="shared" si="21"/>
        <v>64503.344420171226</v>
      </c>
      <c r="AD99" s="6">
        <v>0.2</v>
      </c>
      <c r="AE99">
        <f t="shared" si="16"/>
        <v>12900.668884034247</v>
      </c>
      <c r="AF99">
        <f t="shared" si="17"/>
        <v>1</v>
      </c>
    </row>
    <row r="100" spans="1:32">
      <c r="A100" s="2">
        <v>99</v>
      </c>
      <c r="B100">
        <f t="shared" si="12"/>
        <v>1885.9407204572053</v>
      </c>
      <c r="C100" s="6">
        <v>0.08</v>
      </c>
      <c r="D100">
        <f t="shared" si="13"/>
        <v>13314.74148642788</v>
      </c>
      <c r="Q100">
        <f t="shared" si="14"/>
        <v>13314.74148642794</v>
      </c>
      <c r="R100">
        <f t="shared" si="18"/>
        <v>246.23082121494116</v>
      </c>
      <c r="S100">
        <f t="shared" si="19"/>
        <v>74356.203865888863</v>
      </c>
      <c r="T100" s="6">
        <v>0.08</v>
      </c>
      <c r="V100">
        <f>SUM($R$2:R100)</f>
        <v>11031.130461634659</v>
      </c>
      <c r="W100">
        <f t="shared" si="20"/>
        <v>23.259668666205581</v>
      </c>
      <c r="Z100">
        <f t="shared" si="22"/>
        <v>6.378216952218135E-3</v>
      </c>
      <c r="AA100" s="6">
        <v>0.3</v>
      </c>
      <c r="AB100">
        <f t="shared" si="15"/>
        <v>247854.01288629623</v>
      </c>
      <c r="AC100">
        <f t="shared" si="21"/>
        <v>68373.545085381498</v>
      </c>
      <c r="AD100" s="6">
        <v>0.2</v>
      </c>
      <c r="AE100">
        <f t="shared" si="16"/>
        <v>13674.7090170763</v>
      </c>
      <c r="AF100">
        <f t="shared" si="17"/>
        <v>1</v>
      </c>
    </row>
    <row r="101" spans="1:32">
      <c r="A101" s="2">
        <v>100</v>
      </c>
      <c r="B101">
        <f t="shared" si="12"/>
        <v>2036.8159780937817</v>
      </c>
      <c r="C101" s="6">
        <v>0.08</v>
      </c>
      <c r="D101">
        <f t="shared" si="13"/>
        <v>14379.92080534211</v>
      </c>
      <c r="Q101">
        <f t="shared" si="14"/>
        <v>14379.920805342177</v>
      </c>
      <c r="R101">
        <f t="shared" si="18"/>
        <v>250.87668576616642</v>
      </c>
      <c r="S101">
        <f t="shared" si="19"/>
        <v>80304.700175159975</v>
      </c>
      <c r="T101" s="6">
        <v>0.08</v>
      </c>
      <c r="V101">
        <f>SUM($R$2:R101)</f>
        <v>11282.007147400825</v>
      </c>
      <c r="W101">
        <f t="shared" si="20"/>
        <v>23.788654213724172</v>
      </c>
      <c r="Z101">
        <f t="shared" si="22"/>
        <v>5.9057564372390139E-3</v>
      </c>
      <c r="AA101" s="6">
        <v>0.3</v>
      </c>
      <c r="AB101">
        <f t="shared" si="15"/>
        <v>267682.33391719993</v>
      </c>
      <c r="AC101">
        <f t="shared" si="21"/>
        <v>72475.957790504399</v>
      </c>
      <c r="AD101" s="6">
        <v>0.2</v>
      </c>
      <c r="AE101">
        <f t="shared" si="16"/>
        <v>14495.19155810088</v>
      </c>
      <c r="AF101">
        <f t="shared" si="17"/>
        <v>1</v>
      </c>
    </row>
    <row r="102" spans="1:32">
      <c r="A102" s="2">
        <v>101</v>
      </c>
      <c r="B102">
        <f t="shared" ref="B102:B165" si="23">B101+B101*C101</f>
        <v>2199.761256341284</v>
      </c>
      <c r="C102" s="6">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6">
        <v>0.08</v>
      </c>
      <c r="V102">
        <f>SUM($R$2:R102)</f>
        <v>11537.617355539938</v>
      </c>
      <c r="W102">
        <f t="shared" ref="W102:W165" si="28">V102/$W$2</f>
        <v>24.327620620629904</v>
      </c>
      <c r="Z102">
        <f t="shared" si="22"/>
        <v>5.468292997443531E-3</v>
      </c>
      <c r="AA102" s="6">
        <v>0.3</v>
      </c>
      <c r="AB102">
        <f t="shared" si="15"/>
        <v>289096.92063057591</v>
      </c>
      <c r="AC102">
        <f t="shared" si="21"/>
        <v>76824.515257934661</v>
      </c>
      <c r="AD102" s="6">
        <v>0.2</v>
      </c>
      <c r="AE102">
        <f t="shared" si="16"/>
        <v>15364.903051586933</v>
      </c>
      <c r="AF102">
        <f t="shared" si="17"/>
        <v>1</v>
      </c>
    </row>
    <row r="103" spans="1:32">
      <c r="A103" s="2">
        <v>102</v>
      </c>
      <c r="B103">
        <f t="shared" si="23"/>
        <v>2375.7421568485865</v>
      </c>
      <c r="C103" s="6">
        <v>0.08</v>
      </c>
      <c r="D103">
        <f t="shared" si="24"/>
        <v>16772.739627351039</v>
      </c>
      <c r="Q103">
        <f t="shared" si="25"/>
        <v>16772.739627351115</v>
      </c>
      <c r="R103">
        <f t="shared" si="26"/>
        <v>260.43304225494529</v>
      </c>
      <c r="S103">
        <f t="shared" si="27"/>
        <v>93667.402284306605</v>
      </c>
      <c r="T103" s="6">
        <v>0.08</v>
      </c>
      <c r="V103">
        <f>SUM($R$2:R103)</f>
        <v>11798.050397794883</v>
      </c>
      <c r="W103">
        <f t="shared" si="28"/>
        <v>24.876756205024424</v>
      </c>
      <c r="Z103">
        <f t="shared" si="22"/>
        <v>5.0632342568921584E-3</v>
      </c>
      <c r="AA103" s="6">
        <v>0.3</v>
      </c>
      <c r="AB103">
        <f t="shared" si="15"/>
        <v>312224.67428102205</v>
      </c>
      <c r="AC103">
        <f t="shared" si="21"/>
        <v>81433.98617341074</v>
      </c>
      <c r="AD103" s="6">
        <v>0.2</v>
      </c>
      <c r="AE103">
        <f t="shared" si="16"/>
        <v>16286.797234682148</v>
      </c>
      <c r="AF103">
        <f t="shared" si="17"/>
        <v>1</v>
      </c>
    </row>
    <row r="104" spans="1:32">
      <c r="A104" s="2">
        <v>103</v>
      </c>
      <c r="B104">
        <f t="shared" si="23"/>
        <v>2565.8015293964736</v>
      </c>
      <c r="C104" s="6">
        <v>0.08</v>
      </c>
      <c r="D104">
        <f t="shared" si="24"/>
        <v>18114.558797539121</v>
      </c>
      <c r="Q104">
        <f t="shared" si="25"/>
        <v>18114.558797539208</v>
      </c>
      <c r="R104">
        <f t="shared" si="26"/>
        <v>265.34687324088759</v>
      </c>
      <c r="S104">
        <f t="shared" si="27"/>
        <v>101160.79446705114</v>
      </c>
      <c r="T104" s="6">
        <v>0.08</v>
      </c>
      <c r="V104">
        <f>SUM($R$2:R104)</f>
        <v>12063.39727103577</v>
      </c>
      <c r="W104">
        <f t="shared" si="28"/>
        <v>25.436252838181105</v>
      </c>
      <c r="Z104">
        <f t="shared" si="22"/>
        <v>4.6881798674927389E-3</v>
      </c>
      <c r="AA104" s="6">
        <v>0.3</v>
      </c>
      <c r="AB104">
        <f t="shared" si="15"/>
        <v>337202.64822350378</v>
      </c>
      <c r="AC104">
        <f t="shared" si="21"/>
        <v>86320.025343815389</v>
      </c>
      <c r="AD104" s="6">
        <v>0.2</v>
      </c>
      <c r="AE104">
        <f t="shared" si="16"/>
        <v>17264.005068763079</v>
      </c>
      <c r="AF104">
        <f t="shared" si="17"/>
        <v>1</v>
      </c>
    </row>
    <row r="105" spans="1:32">
      <c r="A105" s="2">
        <v>104</v>
      </c>
      <c r="B105">
        <f t="shared" si="23"/>
        <v>2771.0656517481916</v>
      </c>
      <c r="C105" s="6">
        <v>0.08</v>
      </c>
      <c r="D105">
        <f t="shared" si="24"/>
        <v>19563.723501342251</v>
      </c>
      <c r="Q105">
        <f t="shared" si="25"/>
        <v>19563.723501342345</v>
      </c>
      <c r="R105">
        <f t="shared" si="26"/>
        <v>270.35341801901751</v>
      </c>
      <c r="S105">
        <f t="shared" si="27"/>
        <v>109253.65802441523</v>
      </c>
      <c r="T105" s="6">
        <v>0.08</v>
      </c>
      <c r="V105">
        <f>SUM($R$2:R105)</f>
        <v>12333.750689054788</v>
      </c>
      <c r="W105">
        <f t="shared" si="28"/>
        <v>26.006306011586027</v>
      </c>
      <c r="Z105">
        <f t="shared" si="22"/>
        <v>4.3409072847154992E-3</v>
      </c>
      <c r="AA105" s="6">
        <v>0.3</v>
      </c>
      <c r="AB105">
        <f t="shared" si="15"/>
        <v>364178.86008138413</v>
      </c>
      <c r="AC105">
        <f t="shared" si="21"/>
        <v>91499.22686444431</v>
      </c>
      <c r="AD105" s="6">
        <v>0.2</v>
      </c>
      <c r="AE105">
        <f t="shared" si="16"/>
        <v>18299.845372888863</v>
      </c>
      <c r="AF105">
        <f t="shared" si="17"/>
        <v>1</v>
      </c>
    </row>
    <row r="106" spans="1:32">
      <c r="A106" s="2">
        <v>105</v>
      </c>
      <c r="B106">
        <f t="shared" si="23"/>
        <v>2992.7509038880471</v>
      </c>
      <c r="C106" s="6">
        <v>0.08</v>
      </c>
      <c r="D106">
        <f t="shared" si="24"/>
        <v>21128.82138144963</v>
      </c>
      <c r="Q106">
        <f t="shared" si="25"/>
        <v>21128.821381449732</v>
      </c>
      <c r="R106">
        <f t="shared" si="26"/>
        <v>275.45442590616886</v>
      </c>
      <c r="S106">
        <f t="shared" si="27"/>
        <v>117993.95066636846</v>
      </c>
      <c r="T106" s="6">
        <v>0.08</v>
      </c>
      <c r="V106">
        <f>SUM($R$2:R106)</f>
        <v>12609.205114960958</v>
      </c>
      <c r="W106">
        <f t="shared" si="28"/>
        <v>26.587114905243872</v>
      </c>
      <c r="Z106">
        <f t="shared" si="22"/>
        <v>4.0193585969587947E-3</v>
      </c>
      <c r="AA106" s="6">
        <v>0.3</v>
      </c>
      <c r="AB106">
        <f t="shared" si="15"/>
        <v>393313.16888789489</v>
      </c>
      <c r="AC106">
        <f t="shared" si="21"/>
        <v>96989.180476310969</v>
      </c>
      <c r="AD106" s="6">
        <v>0.2</v>
      </c>
      <c r="AE106">
        <f t="shared" si="16"/>
        <v>19397.836095262195</v>
      </c>
      <c r="AF106">
        <f t="shared" si="17"/>
        <v>1</v>
      </c>
    </row>
    <row r="107" spans="1:32">
      <c r="A107" s="2">
        <v>106</v>
      </c>
      <c r="B107">
        <f t="shared" si="23"/>
        <v>3232.170976199091</v>
      </c>
      <c r="C107" s="6">
        <v>0.08</v>
      </c>
      <c r="D107">
        <f t="shared" si="24"/>
        <v>22819.127091965602</v>
      </c>
      <c r="Q107">
        <f t="shared" si="25"/>
        <v>22819.127091965714</v>
      </c>
      <c r="R107">
        <f t="shared" si="26"/>
        <v>280.65167922515326</v>
      </c>
      <c r="S107">
        <f t="shared" si="27"/>
        <v>127433.46671967795</v>
      </c>
      <c r="T107" s="6">
        <v>0.08</v>
      </c>
      <c r="V107">
        <f>SUM($R$2:R107)</f>
        <v>12889.856794186111</v>
      </c>
      <c r="W107">
        <f t="shared" si="28"/>
        <v>27.178882457272618</v>
      </c>
      <c r="Z107">
        <f t="shared" si="22"/>
        <v>3.7216283305174023E-3</v>
      </c>
      <c r="AA107" s="6">
        <v>0.3</v>
      </c>
      <c r="AB107">
        <f t="shared" si="15"/>
        <v>424778.2223989265</v>
      </c>
      <c r="AC107">
        <f t="shared" si="21"/>
        <v>102808.53130488964</v>
      </c>
      <c r="AD107" s="6">
        <v>0.2</v>
      </c>
      <c r="AE107">
        <f t="shared" si="16"/>
        <v>20561.706260977928</v>
      </c>
      <c r="AF107">
        <f t="shared" si="17"/>
        <v>1</v>
      </c>
    </row>
    <row r="108" spans="1:32">
      <c r="A108" s="2">
        <v>107</v>
      </c>
      <c r="B108">
        <f t="shared" si="23"/>
        <v>3490.7446542950183</v>
      </c>
      <c r="C108" s="6">
        <v>0.08</v>
      </c>
      <c r="D108">
        <f t="shared" si="24"/>
        <v>24644.657259322848</v>
      </c>
      <c r="Q108">
        <f t="shared" si="25"/>
        <v>24644.657259322968</v>
      </c>
      <c r="R108">
        <f t="shared" si="26"/>
        <v>285.9469939275146</v>
      </c>
      <c r="S108">
        <f t="shared" si="27"/>
        <v>137628.14405725218</v>
      </c>
      <c r="T108" s="6">
        <v>0.08</v>
      </c>
      <c r="V108">
        <f>SUM($R$2:R108)</f>
        <v>13175.803788113626</v>
      </c>
      <c r="W108">
        <f t="shared" si="28"/>
        <v>27.781815434811339</v>
      </c>
      <c r="Z108">
        <f t="shared" si="22"/>
        <v>3.4459521578864838E-3</v>
      </c>
      <c r="AA108" s="6">
        <v>0.3</v>
      </c>
      <c r="AB108">
        <f t="shared" si="15"/>
        <v>458760.48019084061</v>
      </c>
      <c r="AC108">
        <f t="shared" si="21"/>
        <v>108977.04318318302</v>
      </c>
      <c r="AD108" s="6">
        <v>0.2</v>
      </c>
      <c r="AE108">
        <f t="shared" si="16"/>
        <v>21795.408636636606</v>
      </c>
      <c r="AF108">
        <f t="shared" si="17"/>
        <v>1</v>
      </c>
    </row>
    <row r="109" spans="1:32">
      <c r="A109" s="2">
        <v>108</v>
      </c>
      <c r="B109">
        <f t="shared" si="23"/>
        <v>3770.0042266386199</v>
      </c>
      <c r="C109" s="6">
        <v>0.08</v>
      </c>
      <c r="D109">
        <f t="shared" si="24"/>
        <v>26616.229840068678</v>
      </c>
      <c r="Q109">
        <f t="shared" si="25"/>
        <v>26616.229840068805</v>
      </c>
      <c r="R109">
        <f t="shared" si="26"/>
        <v>291.34222022803368</v>
      </c>
      <c r="S109">
        <f t="shared" si="27"/>
        <v>148638.39558183236</v>
      </c>
      <c r="T109" s="6">
        <v>0.08</v>
      </c>
      <c r="V109">
        <f>SUM($R$2:R109)</f>
        <v>13467.14600834166</v>
      </c>
      <c r="W109">
        <f t="shared" si="28"/>
        <v>28.396124506265888</v>
      </c>
      <c r="Z109">
        <f t="shared" si="22"/>
        <v>3.1906964424874848E-3</v>
      </c>
      <c r="AA109" s="6">
        <v>0.3</v>
      </c>
      <c r="AB109">
        <f t="shared" si="15"/>
        <v>495461.3186061079</v>
      </c>
      <c r="AC109">
        <f t="shared" si="21"/>
        <v>115515.66577417401</v>
      </c>
      <c r="AD109" s="6">
        <v>0.2</v>
      </c>
      <c r="AE109">
        <f t="shared" si="16"/>
        <v>23103.133154834803</v>
      </c>
      <c r="AF109">
        <f t="shared" si="17"/>
        <v>1</v>
      </c>
    </row>
    <row r="110" spans="1:32">
      <c r="A110" s="2">
        <v>109</v>
      </c>
      <c r="B110">
        <f t="shared" si="23"/>
        <v>4071.6045647697097</v>
      </c>
      <c r="C110" s="6">
        <v>0.08</v>
      </c>
      <c r="D110">
        <f t="shared" si="24"/>
        <v>28745.528227274172</v>
      </c>
      <c r="Q110">
        <f t="shared" si="25"/>
        <v>28745.528227274317</v>
      </c>
      <c r="R110">
        <f t="shared" si="26"/>
        <v>296.83924325120415</v>
      </c>
      <c r="S110">
        <f t="shared" si="27"/>
        <v>160529.46722837896</v>
      </c>
      <c r="T110" s="6">
        <v>0.08</v>
      </c>
      <c r="V110">
        <f>SUM($R$2:R110)</f>
        <v>13763.985251592865</v>
      </c>
      <c r="W110">
        <f t="shared" si="28"/>
        <v>29.022024314917694</v>
      </c>
      <c r="Z110">
        <f t="shared" si="22"/>
        <v>2.954348557858782E-3</v>
      </c>
      <c r="AA110" s="6">
        <v>0.3</v>
      </c>
      <c r="AB110">
        <f t="shared" si="15"/>
        <v>535098.22409459658</v>
      </c>
      <c r="AC110">
        <f t="shared" si="21"/>
        <v>122446.60572062446</v>
      </c>
      <c r="AD110" s="6">
        <v>0.2</v>
      </c>
      <c r="AE110">
        <f t="shared" si="16"/>
        <v>24489.321144124893</v>
      </c>
      <c r="AF110">
        <f t="shared" si="17"/>
        <v>1</v>
      </c>
    </row>
    <row r="111" spans="1:32">
      <c r="A111" s="2">
        <v>110</v>
      </c>
      <c r="B111">
        <f t="shared" si="23"/>
        <v>4397.3329299512861</v>
      </c>
      <c r="C111" s="6">
        <v>0.08</v>
      </c>
      <c r="D111">
        <f t="shared" si="24"/>
        <v>31045.170485456107</v>
      </c>
      <c r="Q111">
        <f t="shared" si="25"/>
        <v>31045.170485456259</v>
      </c>
      <c r="R111">
        <f t="shared" si="26"/>
        <v>302.43998368990606</v>
      </c>
      <c r="S111">
        <f t="shared" si="27"/>
        <v>173371.82460664929</v>
      </c>
      <c r="T111" s="6">
        <v>0.08</v>
      </c>
      <c r="V111">
        <f>SUM($R$2:R111)</f>
        <v>14066.425235282772</v>
      </c>
      <c r="W111">
        <f t="shared" si="28"/>
        <v>29.65973355392142</v>
      </c>
      <c r="Z111">
        <f t="shared" si="22"/>
        <v>2.7355079239433167E-3</v>
      </c>
      <c r="AA111" s="6">
        <v>0.3</v>
      </c>
      <c r="AB111">
        <f t="shared" si="15"/>
        <v>577906.08202216437</v>
      </c>
      <c r="AC111">
        <f t="shared" si="21"/>
        <v>129793.40206386193</v>
      </c>
      <c r="AD111" s="6">
        <v>0.2</v>
      </c>
      <c r="AE111">
        <f t="shared" si="16"/>
        <v>25958.680412772388</v>
      </c>
      <c r="AF111">
        <f t="shared" si="17"/>
        <v>1</v>
      </c>
    </row>
    <row r="112" spans="1:32">
      <c r="A112" s="2">
        <v>111</v>
      </c>
      <c r="B112">
        <f t="shared" si="23"/>
        <v>4749.1195643473893</v>
      </c>
      <c r="C112" s="6">
        <v>0.08</v>
      </c>
      <c r="D112">
        <f t="shared" si="24"/>
        <v>33528.784124292593</v>
      </c>
      <c r="Q112">
        <f t="shared" si="25"/>
        <v>33528.784124292768</v>
      </c>
      <c r="R112">
        <f t="shared" si="26"/>
        <v>308.14639847650812</v>
      </c>
      <c r="S112">
        <f t="shared" si="27"/>
        <v>187241.57057518125</v>
      </c>
      <c r="T112" s="6">
        <v>0.08</v>
      </c>
      <c r="V112">
        <f>SUM($R$2:R112)</f>
        <v>14374.57163375928</v>
      </c>
      <c r="W112">
        <f t="shared" si="28"/>
        <v>30.309475042717665</v>
      </c>
      <c r="Z112">
        <f t="shared" si="22"/>
        <v>2.5328777073549223E-3</v>
      </c>
      <c r="AA112" s="6">
        <v>0.3</v>
      </c>
      <c r="AB112">
        <f t="shared" si="15"/>
        <v>624138.56858393748</v>
      </c>
      <c r="AC112">
        <f t="shared" si="21"/>
        <v>137581.00618769365</v>
      </c>
      <c r="AD112" s="6">
        <v>0.2</v>
      </c>
      <c r="AE112">
        <f t="shared" si="16"/>
        <v>27516.201237538731</v>
      </c>
      <c r="AF112">
        <f t="shared" si="17"/>
        <v>1</v>
      </c>
    </row>
    <row r="113" spans="1:32">
      <c r="A113" s="2">
        <v>112</v>
      </c>
      <c r="B113">
        <f t="shared" si="23"/>
        <v>5129.0491294951808</v>
      </c>
      <c r="C113" s="6">
        <v>0.08</v>
      </c>
      <c r="D113">
        <f t="shared" si="24"/>
        <v>36211.086854236004</v>
      </c>
      <c r="Q113">
        <f t="shared" si="25"/>
        <v>36211.086854236193</v>
      </c>
      <c r="R113">
        <f t="shared" si="26"/>
        <v>313.96048146663088</v>
      </c>
      <c r="S113">
        <f t="shared" si="27"/>
        <v>202220.89622119576</v>
      </c>
      <c r="T113" s="6">
        <v>0.08</v>
      </c>
      <c r="V113">
        <f>SUM($R$2:R113)</f>
        <v>14688.532115225911</v>
      </c>
      <c r="W113">
        <f t="shared" si="28"/>
        <v>30.971475804887429</v>
      </c>
      <c r="Z113">
        <f t="shared" si="22"/>
        <v>2.3452571364397431E-3</v>
      </c>
      <c r="AA113" s="6">
        <v>0.3</v>
      </c>
      <c r="AB113">
        <f t="shared" si="15"/>
        <v>674069.65407065256</v>
      </c>
      <c r="AC113">
        <f t="shared" si="21"/>
        <v>145835.86655895528</v>
      </c>
      <c r="AD113" s="6">
        <v>0.2</v>
      </c>
      <c r="AE113">
        <f t="shared" si="16"/>
        <v>29167.173311791059</v>
      </c>
      <c r="AF113">
        <f t="shared" si="17"/>
        <v>1</v>
      </c>
    </row>
    <row r="114" spans="1:32">
      <c r="A114" s="2">
        <v>113</v>
      </c>
      <c r="B114">
        <f t="shared" si="23"/>
        <v>5539.3730598547954</v>
      </c>
      <c r="C114" s="6">
        <v>0.08</v>
      </c>
      <c r="D114">
        <f t="shared" si="24"/>
        <v>39107.973802574881</v>
      </c>
      <c r="Q114">
        <f t="shared" si="25"/>
        <v>39107.973802575085</v>
      </c>
      <c r="R114">
        <f t="shared" si="26"/>
        <v>319.88426413581266</v>
      </c>
      <c r="S114">
        <f t="shared" si="27"/>
        <v>218398.56791889144</v>
      </c>
      <c r="T114" s="6">
        <v>0.08</v>
      </c>
      <c r="V114">
        <f>SUM($R$2:R114)</f>
        <v>15008.416379361724</v>
      </c>
      <c r="W114">
        <f t="shared" si="28"/>
        <v>31.645967147475488</v>
      </c>
      <c r="Z114">
        <f t="shared" si="22"/>
        <v>2.1715343855923542E-3</v>
      </c>
      <c r="AA114" s="6">
        <v>0.3</v>
      </c>
      <c r="AB114">
        <f t="shared" si="15"/>
        <v>727995.22639630479</v>
      </c>
      <c r="AC114">
        <f t="shared" si="21"/>
        <v>154586.01855249261</v>
      </c>
      <c r="AD114" s="6">
        <v>0.2</v>
      </c>
      <c r="AE114">
        <f t="shared" si="16"/>
        <v>30917.203710498521</v>
      </c>
      <c r="AF114">
        <f t="shared" si="17"/>
        <v>1</v>
      </c>
    </row>
    <row r="115" spans="1:32">
      <c r="A115" s="2">
        <v>114</v>
      </c>
      <c r="B115">
        <f t="shared" si="23"/>
        <v>5982.5229046431787</v>
      </c>
      <c r="C115" s="6">
        <v>0.08</v>
      </c>
      <c r="D115">
        <f t="shared" si="24"/>
        <v>42236.611706780874</v>
      </c>
      <c r="Q115">
        <f t="shared" si="25"/>
        <v>42236.611706781092</v>
      </c>
      <c r="R115">
        <f t="shared" si="26"/>
        <v>325.91981628931853</v>
      </c>
      <c r="S115">
        <f t="shared" si="27"/>
        <v>235870.45335240278</v>
      </c>
      <c r="T115" s="6">
        <v>0.08</v>
      </c>
      <c r="V115">
        <f>SUM($R$2:R115)</f>
        <v>15334.336195651043</v>
      </c>
      <c r="W115">
        <f t="shared" si="28"/>
        <v>32.333184741810491</v>
      </c>
      <c r="Z115">
        <f t="shared" si="22"/>
        <v>2.010679986659587E-3</v>
      </c>
      <c r="AA115" s="6">
        <v>0.3</v>
      </c>
      <c r="AB115">
        <f t="shared" si="15"/>
        <v>786234.84450800926</v>
      </c>
      <c r="AC115">
        <f t="shared" si="21"/>
        <v>163861.17966564218</v>
      </c>
      <c r="AD115" s="6">
        <v>0.2</v>
      </c>
      <c r="AE115">
        <f t="shared" si="16"/>
        <v>32772.235933128439</v>
      </c>
      <c r="AF115">
        <f t="shared" si="17"/>
        <v>1</v>
      </c>
    </row>
    <row r="116" spans="1:32">
      <c r="A116" s="2">
        <v>115</v>
      </c>
      <c r="B116">
        <f t="shared" si="23"/>
        <v>6461.124737014633</v>
      </c>
      <c r="C116" s="6">
        <v>0.08</v>
      </c>
      <c r="D116">
        <f t="shared" si="24"/>
        <v>45615.540643323344</v>
      </c>
      <c r="Q116">
        <f t="shared" si="25"/>
        <v>45615.540643323584</v>
      </c>
      <c r="R116">
        <f t="shared" si="26"/>
        <v>332.06924678534347</v>
      </c>
      <c r="S116">
        <f t="shared" si="27"/>
        <v>254740.08962059501</v>
      </c>
      <c r="T116" s="6">
        <v>0.08</v>
      </c>
      <c r="V116">
        <f>SUM($R$2:R116)</f>
        <v>15666.405442436388</v>
      </c>
      <c r="W116">
        <f t="shared" si="28"/>
        <v>33.033368705849931</v>
      </c>
      <c r="Z116">
        <f t="shared" si="22"/>
        <v>1.8617407283885066E-3</v>
      </c>
      <c r="AA116" s="6">
        <v>0.3</v>
      </c>
      <c r="AB116">
        <f t="shared" si="15"/>
        <v>849133.6320686501</v>
      </c>
      <c r="AC116">
        <f t="shared" si="21"/>
        <v>173692.85044558073</v>
      </c>
      <c r="AD116" s="6">
        <v>0.2</v>
      </c>
      <c r="AE116">
        <f t="shared" si="16"/>
        <v>34738.570089116147</v>
      </c>
      <c r="AF116">
        <f t="shared" si="17"/>
        <v>1</v>
      </c>
    </row>
    <row r="117" spans="1:32">
      <c r="A117" s="2">
        <v>116</v>
      </c>
      <c r="B117">
        <f t="shared" si="23"/>
        <v>6978.0147159758035</v>
      </c>
      <c r="C117" s="6">
        <v>0.08</v>
      </c>
      <c r="D117">
        <f t="shared" si="24"/>
        <v>49264.783894789209</v>
      </c>
      <c r="Q117">
        <f t="shared" si="25"/>
        <v>49264.783894789478</v>
      </c>
      <c r="R117">
        <f t="shared" si="26"/>
        <v>338.33470427185938</v>
      </c>
      <c r="S117">
        <f t="shared" si="27"/>
        <v>275119.2967902426</v>
      </c>
      <c r="T117" s="6">
        <v>0.08</v>
      </c>
      <c r="V117">
        <f>SUM($R$2:R117)</f>
        <v>16004.740146708247</v>
      </c>
      <c r="W117">
        <f t="shared" si="28"/>
        <v>33.746763688078794</v>
      </c>
      <c r="Z117">
        <f t="shared" si="22"/>
        <v>1.7238340077671357E-3</v>
      </c>
      <c r="AA117" s="6">
        <v>0.3</v>
      </c>
      <c r="AB117">
        <f t="shared" si="15"/>
        <v>917064.32263414201</v>
      </c>
      <c r="AC117">
        <f t="shared" si="21"/>
        <v>184114.42147231559</v>
      </c>
      <c r="AD117" s="6">
        <v>0.2</v>
      </c>
      <c r="AE117">
        <f t="shared" si="16"/>
        <v>36822.884294463118</v>
      </c>
      <c r="AF117">
        <f t="shared" si="17"/>
        <v>1</v>
      </c>
    </row>
    <row r="118" spans="1:32">
      <c r="A118" s="2">
        <v>117</v>
      </c>
      <c r="B118">
        <f t="shared" si="23"/>
        <v>7536.2558932538677</v>
      </c>
      <c r="C118" s="6">
        <v>0.08</v>
      </c>
      <c r="D118">
        <f t="shared" si="24"/>
        <v>53205.966606372349</v>
      </c>
      <c r="Q118">
        <f t="shared" si="25"/>
        <v>53205.966606372633</v>
      </c>
      <c r="R118">
        <f t="shared" si="26"/>
        <v>344.71837793736609</v>
      </c>
      <c r="S118">
        <f t="shared" si="27"/>
        <v>297128.840533462</v>
      </c>
      <c r="T118" s="6">
        <v>0.08</v>
      </c>
      <c r="V118">
        <f>SUM($R$2:R118)</f>
        <v>16349.458524645614</v>
      </c>
      <c r="W118">
        <f t="shared" si="28"/>
        <v>34.473618952991217</v>
      </c>
      <c r="Z118">
        <f t="shared" si="22"/>
        <v>1.596142599784385E-3</v>
      </c>
      <c r="AA118" s="6">
        <v>0.3</v>
      </c>
      <c r="AB118">
        <f t="shared" si="15"/>
        <v>990429.46844487335</v>
      </c>
      <c r="AC118">
        <f t="shared" si="21"/>
        <v>195161.28676065453</v>
      </c>
      <c r="AD118" s="6">
        <v>0.2</v>
      </c>
      <c r="AE118">
        <f t="shared" si="16"/>
        <v>39032.25735213091</v>
      </c>
      <c r="AF118">
        <f t="shared" si="17"/>
        <v>1</v>
      </c>
    </row>
    <row r="119" spans="1:32">
      <c r="A119" s="2">
        <v>118</v>
      </c>
      <c r="B119">
        <f t="shared" si="23"/>
        <v>8139.1563647141775</v>
      </c>
      <c r="C119" s="6">
        <v>0.08</v>
      </c>
      <c r="D119">
        <f t="shared" si="24"/>
        <v>57462.44393488214</v>
      </c>
      <c r="Q119">
        <f t="shared" si="25"/>
        <v>57462.443934882445</v>
      </c>
      <c r="R119">
        <f t="shared" si="26"/>
        <v>351.22249827580691</v>
      </c>
      <c r="S119">
        <f t="shared" si="27"/>
        <v>320899.14777613897</v>
      </c>
      <c r="T119" s="6">
        <v>0.08</v>
      </c>
      <c r="V119">
        <f>SUM($R$2:R119)</f>
        <v>16700.681022921421</v>
      </c>
      <c r="W119">
        <f t="shared" si="28"/>
        <v>35.214188468185007</v>
      </c>
      <c r="Z119">
        <f t="shared" si="22"/>
        <v>1.4779098146151712E-3</v>
      </c>
      <c r="AA119" s="6">
        <v>0.3</v>
      </c>
      <c r="AB119">
        <f t="shared" si="15"/>
        <v>1069663.8259204633</v>
      </c>
      <c r="AC119">
        <f t="shared" si="21"/>
        <v>206870.96396629381</v>
      </c>
      <c r="AD119" s="6">
        <v>0.2</v>
      </c>
      <c r="AE119">
        <f t="shared" si="16"/>
        <v>41374.192793258764</v>
      </c>
      <c r="AF119">
        <f t="shared" si="17"/>
        <v>1</v>
      </c>
    </row>
    <row r="120" spans="1:32">
      <c r="A120" s="2">
        <v>119</v>
      </c>
      <c r="B120">
        <f t="shared" si="23"/>
        <v>8790.2888738913116</v>
      </c>
      <c r="C120" s="6">
        <v>0.08</v>
      </c>
      <c r="D120">
        <f t="shared" si="24"/>
        <v>62059.439449672711</v>
      </c>
      <c r="Q120">
        <f t="shared" si="25"/>
        <v>62059.439449673038</v>
      </c>
      <c r="R120">
        <f t="shared" si="26"/>
        <v>357.84933786591654</v>
      </c>
      <c r="S120">
        <f t="shared" si="27"/>
        <v>346571.07959823014</v>
      </c>
      <c r="T120" s="6">
        <v>0.08</v>
      </c>
      <c r="V120">
        <f>SUM($R$2:R120)</f>
        <v>17058.530360787336</v>
      </c>
      <c r="W120">
        <f t="shared" si="28"/>
        <v>35.968730993099427</v>
      </c>
      <c r="Z120">
        <f t="shared" si="22"/>
        <v>1.3684350135325658E-3</v>
      </c>
      <c r="AA120" s="6">
        <v>0.3</v>
      </c>
      <c r="AB120">
        <f t="shared" si="15"/>
        <v>1155236.9319941006</v>
      </c>
      <c r="AC120">
        <f t="shared" si="21"/>
        <v>219283.22180427145</v>
      </c>
      <c r="AD120" s="6">
        <v>0.2</v>
      </c>
      <c r="AE120">
        <f t="shared" si="16"/>
        <v>43856.64436085429</v>
      </c>
      <c r="AF120">
        <f t="shared" si="17"/>
        <v>1</v>
      </c>
    </row>
    <row r="121" spans="1:32">
      <c r="A121" s="2">
        <v>120</v>
      </c>
      <c r="B121">
        <f t="shared" si="23"/>
        <v>9493.5119838026167</v>
      </c>
      <c r="C121" s="6">
        <v>0.08</v>
      </c>
      <c r="D121">
        <f t="shared" si="24"/>
        <v>67024.194605646524</v>
      </c>
      <c r="Q121">
        <f t="shared" si="25"/>
        <v>67024.194605646888</v>
      </c>
      <c r="R121">
        <f t="shared" si="26"/>
        <v>364.60121216527341</v>
      </c>
      <c r="S121">
        <f t="shared" si="27"/>
        <v>374296.76596608857</v>
      </c>
      <c r="T121" s="6">
        <v>0.08</v>
      </c>
      <c r="V121">
        <f>SUM($R$2:R121)</f>
        <v>17423.13157295261</v>
      </c>
      <c r="W121">
        <f t="shared" si="28"/>
        <v>36.737510169427338</v>
      </c>
      <c r="Z121">
        <f t="shared" si="22"/>
        <v>1.2670694569745979E-3</v>
      </c>
      <c r="AA121" s="6">
        <v>0.3</v>
      </c>
      <c r="AB121">
        <f t="shared" si="15"/>
        <v>1247655.8865536286</v>
      </c>
      <c r="AC121">
        <f t="shared" si="21"/>
        <v>232440.21511252775</v>
      </c>
      <c r="AD121" s="6">
        <v>0.2</v>
      </c>
      <c r="AE121">
        <f t="shared" si="16"/>
        <v>46488.043022505553</v>
      </c>
      <c r="AF121">
        <f t="shared" si="17"/>
        <v>1</v>
      </c>
    </row>
    <row r="122" spans="1:32">
      <c r="A122" s="2">
        <v>121</v>
      </c>
      <c r="B122">
        <f t="shared" si="23"/>
        <v>10252.992942506826</v>
      </c>
      <c r="C122" s="6">
        <v>0.08</v>
      </c>
      <c r="D122">
        <f t="shared" si="24"/>
        <v>72386.130174098245</v>
      </c>
      <c r="Q122">
        <f t="shared" si="25"/>
        <v>72386.130174098653</v>
      </c>
      <c r="R122">
        <f t="shared" si="26"/>
        <v>371.4804803193353</v>
      </c>
      <c r="S122">
        <f t="shared" si="27"/>
        <v>404240.5072433757</v>
      </c>
      <c r="T122" s="6">
        <v>0.08</v>
      </c>
      <c r="V122">
        <f>SUM($R$2:R122)</f>
        <v>17794.612053271947</v>
      </c>
      <c r="W122">
        <f t="shared" si="28"/>
        <v>37.520794613233136</v>
      </c>
      <c r="Z122">
        <f t="shared" si="22"/>
        <v>1.1732124601616645E-3</v>
      </c>
      <c r="AA122" s="6">
        <v>0.3</v>
      </c>
      <c r="AB122">
        <f t="shared" si="15"/>
        <v>1347468.357477919</v>
      </c>
      <c r="AC122">
        <f t="shared" si="21"/>
        <v>246386.62801927942</v>
      </c>
      <c r="AD122" s="6">
        <v>0.2</v>
      </c>
      <c r="AE122">
        <f t="shared" si="16"/>
        <v>49277.32560385589</v>
      </c>
      <c r="AF122">
        <f t="shared" si="17"/>
        <v>1</v>
      </c>
    </row>
    <row r="123" spans="1:32">
      <c r="A123" s="2">
        <v>122</v>
      </c>
      <c r="B123">
        <f t="shared" si="23"/>
        <v>11073.232377907372</v>
      </c>
      <c r="C123" s="6">
        <v>0.08</v>
      </c>
      <c r="D123">
        <f t="shared" si="24"/>
        <v>78177.020588026106</v>
      </c>
      <c r="Q123">
        <f t="shared" si="25"/>
        <v>78177.020588026542</v>
      </c>
      <c r="R123">
        <f t="shared" si="26"/>
        <v>378.48954598573783</v>
      </c>
      <c r="S123">
        <f t="shared" si="27"/>
        <v>436579.74782284576</v>
      </c>
      <c r="T123" s="6">
        <v>0.08</v>
      </c>
      <c r="V123">
        <f>SUM($R$2:R123)</f>
        <v>18173.101599257683</v>
      </c>
      <c r="W123">
        <f t="shared" si="28"/>
        <v>38.318858008808846</v>
      </c>
      <c r="Z123">
        <f t="shared" si="22"/>
        <v>1.0863078334830227E-3</v>
      </c>
      <c r="AA123" s="6">
        <v>0.3</v>
      </c>
      <c r="AB123">
        <f t="shared" si="15"/>
        <v>1455265.8260761525</v>
      </c>
      <c r="AC123">
        <f t="shared" si="21"/>
        <v>261169.82570043619</v>
      </c>
      <c r="AD123" s="6">
        <v>0.2</v>
      </c>
      <c r="AE123">
        <f t="shared" si="16"/>
        <v>52233.965140087239</v>
      </c>
      <c r="AF123">
        <f t="shared" si="17"/>
        <v>1</v>
      </c>
    </row>
    <row r="124" spans="1:32">
      <c r="A124" s="2">
        <v>123</v>
      </c>
      <c r="B124">
        <f t="shared" si="23"/>
        <v>11959.090968139963</v>
      </c>
      <c r="C124" s="6">
        <v>0.08</v>
      </c>
      <c r="D124">
        <f t="shared" si="24"/>
        <v>84431.18223506819</v>
      </c>
      <c r="Q124">
        <f t="shared" si="25"/>
        <v>84431.182235068671</v>
      </c>
      <c r="R124">
        <f t="shared" si="26"/>
        <v>385.63085817414793</v>
      </c>
      <c r="S124">
        <f t="shared" si="27"/>
        <v>471506.12764867343</v>
      </c>
      <c r="T124" s="6">
        <v>0.08</v>
      </c>
      <c r="V124">
        <f>SUM($R$2:R124)</f>
        <v>18558.73245743183</v>
      </c>
      <c r="W124">
        <f t="shared" si="28"/>
        <v>39.131979204301082</v>
      </c>
      <c r="Z124">
        <f t="shared" si="22"/>
        <v>1.0058405865583544E-3</v>
      </c>
      <c r="AA124" s="6">
        <v>0.3</v>
      </c>
      <c r="AB124">
        <f t="shared" si="15"/>
        <v>1571687.0921622447</v>
      </c>
      <c r="AC124">
        <f t="shared" si="21"/>
        <v>276840.0152424624</v>
      </c>
      <c r="AD124" s="6">
        <v>0.2</v>
      </c>
      <c r="AE124">
        <f t="shared" si="16"/>
        <v>55368.003048492479</v>
      </c>
      <c r="AF124">
        <f t="shared" si="17"/>
        <v>1</v>
      </c>
    </row>
    <row r="125" spans="1:32">
      <c r="A125" s="2">
        <v>124</v>
      </c>
      <c r="B125">
        <f t="shared" si="23"/>
        <v>12915.818245591159</v>
      </c>
      <c r="C125" s="6">
        <v>0.08</v>
      </c>
      <c r="D125">
        <f t="shared" si="24"/>
        <v>91185.676813873652</v>
      </c>
      <c r="Q125">
        <f t="shared" si="25"/>
        <v>91185.676813874161</v>
      </c>
      <c r="R125">
        <f t="shared" si="26"/>
        <v>392.90691210196206</v>
      </c>
      <c r="S125">
        <f t="shared" si="27"/>
        <v>509226.61786056735</v>
      </c>
      <c r="T125" s="6">
        <v>0.08</v>
      </c>
      <c r="V125">
        <f>SUM($R$2:R125)</f>
        <v>18951.639369533794</v>
      </c>
      <c r="W125">
        <f t="shared" si="28"/>
        <v>39.96044230914223</v>
      </c>
      <c r="Z125">
        <f t="shared" si="22"/>
        <v>9.3133387644292063E-4</v>
      </c>
      <c r="AA125" s="6">
        <v>0.3</v>
      </c>
      <c r="AB125">
        <f t="shared" si="15"/>
        <v>1697422.0595352245</v>
      </c>
      <c r="AC125">
        <f t="shared" si="21"/>
        <v>293450.41615701013</v>
      </c>
      <c r="AD125" s="6">
        <v>0.2</v>
      </c>
      <c r="AE125">
        <f t="shared" si="16"/>
        <v>58690.08323140203</v>
      </c>
      <c r="AF125">
        <f t="shared" si="17"/>
        <v>1</v>
      </c>
    </row>
    <row r="126" spans="1:32">
      <c r="A126" s="2">
        <v>125</v>
      </c>
      <c r="B126">
        <f t="shared" si="23"/>
        <v>13949.083705238452</v>
      </c>
      <c r="C126" s="6">
        <v>0.08</v>
      </c>
      <c r="D126">
        <f t="shared" si="24"/>
        <v>98480.530958983538</v>
      </c>
      <c r="Q126">
        <f t="shared" si="25"/>
        <v>98480.530958984091</v>
      </c>
      <c r="R126">
        <f t="shared" si="26"/>
        <v>400.32025006615009</v>
      </c>
      <c r="S126">
        <f t="shared" si="27"/>
        <v>549964.74728941277</v>
      </c>
      <c r="T126" s="6">
        <v>0.08</v>
      </c>
      <c r="V126">
        <f>SUM($R$2:R126)</f>
        <v>19351.959619599944</v>
      </c>
      <c r="W126">
        <f t="shared" si="28"/>
        <v>40.804536793320004</v>
      </c>
      <c r="Z126">
        <f t="shared" si="22"/>
        <v>8.623461818915931E-4</v>
      </c>
      <c r="AA126" s="6">
        <v>0.3</v>
      </c>
      <c r="AB126">
        <f t="shared" si="15"/>
        <v>1833215.8242980426</v>
      </c>
      <c r="AC126">
        <f t="shared" si="21"/>
        <v>311057.44112643076</v>
      </c>
      <c r="AD126" s="6">
        <v>0.2</v>
      </c>
      <c r="AE126">
        <f t="shared" si="16"/>
        <v>62211.488225286157</v>
      </c>
      <c r="AF126">
        <f t="shared" si="17"/>
        <v>1</v>
      </c>
    </row>
    <row r="127" spans="1:32">
      <c r="A127" s="2">
        <v>126</v>
      </c>
      <c r="B127">
        <f t="shared" si="23"/>
        <v>15065.010401657528</v>
      </c>
      <c r="C127" s="6">
        <v>0.08</v>
      </c>
      <c r="D127">
        <f t="shared" si="24"/>
        <v>106358.97343570222</v>
      </c>
      <c r="Q127">
        <f t="shared" si="25"/>
        <v>106358.97343570284</v>
      </c>
      <c r="R127">
        <f t="shared" si="26"/>
        <v>407.87346233154904</v>
      </c>
      <c r="S127">
        <f t="shared" si="27"/>
        <v>593961.92707256589</v>
      </c>
      <c r="T127" s="6">
        <v>0.08</v>
      </c>
      <c r="V127">
        <f>SUM($R$2:R127)</f>
        <v>19759.833081931494</v>
      </c>
      <c r="W127">
        <f t="shared" si="28"/>
        <v>41.664557588519997</v>
      </c>
      <c r="Z127">
        <f t="shared" si="22"/>
        <v>7.9846868693666021E-4</v>
      </c>
      <c r="AA127" s="6">
        <v>0.3</v>
      </c>
      <c r="AB127">
        <f t="shared" si="15"/>
        <v>1979873.0902418864</v>
      </c>
      <c r="AC127">
        <f t="shared" si="21"/>
        <v>329720.88759401662</v>
      </c>
      <c r="AD127" s="6">
        <v>0.2</v>
      </c>
      <c r="AE127">
        <f t="shared" si="16"/>
        <v>65944.177518803321</v>
      </c>
      <c r="AF127">
        <f t="shared" si="17"/>
        <v>1</v>
      </c>
    </row>
    <row r="128" spans="1:32">
      <c r="A128" s="2">
        <v>127</v>
      </c>
      <c r="B128">
        <f t="shared" si="23"/>
        <v>16270.211233790131</v>
      </c>
      <c r="C128" s="6">
        <v>0.08</v>
      </c>
      <c r="D128">
        <f t="shared" si="24"/>
        <v>114867.69131055841</v>
      </c>
      <c r="Q128">
        <f t="shared" si="25"/>
        <v>114867.69131055908</v>
      </c>
      <c r="R128">
        <f t="shared" si="26"/>
        <v>415.56918803591799</v>
      </c>
      <c r="S128">
        <f t="shared" si="27"/>
        <v>641478.88123837125</v>
      </c>
      <c r="T128" s="6">
        <v>0.08</v>
      </c>
      <c r="V128">
        <f>SUM($R$2:R128)</f>
        <v>20175.402269967413</v>
      </c>
      <c r="W128">
        <f t="shared" si="28"/>
        <v>42.540805191176595</v>
      </c>
      <c r="Z128">
        <f t="shared" si="22"/>
        <v>7.393228582746852E-4</v>
      </c>
      <c r="AA128" s="6">
        <v>0.3</v>
      </c>
      <c r="AB128">
        <f t="shared" si="15"/>
        <v>2138262.9374612374</v>
      </c>
      <c r="AC128">
        <f t="shared" si="21"/>
        <v>349504.14084965765</v>
      </c>
      <c r="AD128" s="6">
        <v>0.2</v>
      </c>
      <c r="AE128">
        <f t="shared" si="16"/>
        <v>69900.828169931527</v>
      </c>
      <c r="AF128">
        <f t="shared" si="17"/>
        <v>1</v>
      </c>
    </row>
    <row r="129" spans="1:32">
      <c r="A129" s="2">
        <v>128</v>
      </c>
      <c r="B129">
        <f t="shared" si="23"/>
        <v>17571.828132493341</v>
      </c>
      <c r="C129" s="6">
        <v>0.08</v>
      </c>
      <c r="D129">
        <f t="shared" si="24"/>
        <v>124057.10661540309</v>
      </c>
      <c r="Q129">
        <f t="shared" si="25"/>
        <v>124057.10661540383</v>
      </c>
      <c r="R129">
        <f t="shared" si="26"/>
        <v>423.41011611206733</v>
      </c>
      <c r="S129">
        <f t="shared" si="27"/>
        <v>692797.191737441</v>
      </c>
      <c r="T129" s="6">
        <v>0.08</v>
      </c>
      <c r="V129">
        <f>SUM($R$2:R129)</f>
        <v>20598.81238607948</v>
      </c>
      <c r="W129">
        <f t="shared" si="28"/>
        <v>43.433585767468223</v>
      </c>
      <c r="Z129">
        <f t="shared" si="22"/>
        <v>6.8455820210619001E-4</v>
      </c>
      <c r="AA129" s="6">
        <v>0.3</v>
      </c>
      <c r="AB129">
        <f t="shared" si="15"/>
        <v>2309323.9724581367</v>
      </c>
      <c r="AC129">
        <f t="shared" si="21"/>
        <v>370474.38930063712</v>
      </c>
      <c r="AD129" s="6">
        <v>0.2</v>
      </c>
      <c r="AE129">
        <f t="shared" si="16"/>
        <v>74094.877860127424</v>
      </c>
      <c r="AF129">
        <f t="shared" si="17"/>
        <v>1</v>
      </c>
    </row>
    <row r="130" spans="1:32">
      <c r="A130" s="2">
        <v>129</v>
      </c>
      <c r="B130">
        <f t="shared" si="23"/>
        <v>18977.574383092808</v>
      </c>
      <c r="C130" s="6">
        <v>0.08</v>
      </c>
      <c r="D130">
        <f t="shared" si="24"/>
        <v>133981.67514463534</v>
      </c>
      <c r="Q130">
        <f t="shared" si="25"/>
        <v>133981.67514463613</v>
      </c>
      <c r="R130">
        <f t="shared" si="26"/>
        <v>431.39898622738957</v>
      </c>
      <c r="S130">
        <f t="shared" si="27"/>
        <v>748220.96707643638</v>
      </c>
      <c r="T130" s="6">
        <v>0.08</v>
      </c>
      <c r="V130">
        <f>SUM($R$2:R130)</f>
        <v>21030.211372306869</v>
      </c>
      <c r="W130">
        <f t="shared" si="28"/>
        <v>44.343211260293657</v>
      </c>
      <c r="Z130">
        <f t="shared" si="22"/>
        <v>6.3385018713536096E-4</v>
      </c>
      <c r="AA130" s="6">
        <v>0.3</v>
      </c>
      <c r="AB130">
        <f t="shared" si="15"/>
        <v>2494069.8902547881</v>
      </c>
      <c r="AC130">
        <f t="shared" si="21"/>
        <v>392702.85265867534</v>
      </c>
      <c r="AD130" s="6">
        <v>0.2</v>
      </c>
      <c r="AE130">
        <f t="shared" si="16"/>
        <v>78540.570531735066</v>
      </c>
      <c r="AF130">
        <f t="shared" si="17"/>
        <v>1</v>
      </c>
    </row>
    <row r="131" spans="1:32">
      <c r="A131" s="2">
        <v>130</v>
      </c>
      <c r="B131">
        <f t="shared" si="23"/>
        <v>20495.780333740233</v>
      </c>
      <c r="C131" s="6">
        <v>0.08</v>
      </c>
      <c r="D131">
        <f t="shared" si="24"/>
        <v>144700.20915620617</v>
      </c>
      <c r="Q131">
        <f t="shared" si="25"/>
        <v>144700.20915620704</v>
      </c>
      <c r="R131">
        <f t="shared" si="26"/>
        <v>439.53858974111381</v>
      </c>
      <c r="S131">
        <f t="shared" si="27"/>
        <v>808078.6444425513</v>
      </c>
      <c r="T131" s="6">
        <v>0.08</v>
      </c>
      <c r="V131">
        <f>SUM($R$2:R131)</f>
        <v>21469.749962047983</v>
      </c>
      <c r="W131">
        <f t="shared" si="28"/>
        <v>45.269999498266742</v>
      </c>
      <c r="Z131">
        <f t="shared" si="22"/>
        <v>5.8689832142163061E-4</v>
      </c>
      <c r="AA131" s="6">
        <v>0.3</v>
      </c>
      <c r="AB131">
        <f t="shared" ref="AB131:AB194" si="29">S131/AA131</f>
        <v>2693595.4814751712</v>
      </c>
      <c r="AC131">
        <f t="shared" si="21"/>
        <v>416265.02381819586</v>
      </c>
      <c r="AD131" s="6">
        <v>0.2</v>
      </c>
      <c r="AE131">
        <f t="shared" ref="AE131:AE194" si="30">AC131*AD131</f>
        <v>83253.004763639183</v>
      </c>
      <c r="AF131">
        <f t="shared" ref="AF131:AF194" si="31">IF(AB131&gt;AE131, 1, 0)</f>
        <v>1</v>
      </c>
    </row>
    <row r="132" spans="1:32">
      <c r="A132" s="2">
        <v>131</v>
      </c>
      <c r="B132">
        <f t="shared" si="23"/>
        <v>22135.442760439451</v>
      </c>
      <c r="C132" s="6">
        <v>0.08</v>
      </c>
      <c r="D132">
        <f t="shared" si="24"/>
        <v>156276.22588870267</v>
      </c>
      <c r="Q132">
        <f t="shared" si="25"/>
        <v>156276.2258887036</v>
      </c>
      <c r="R132">
        <f t="shared" si="26"/>
        <v>447.83177067962544</v>
      </c>
      <c r="S132">
        <f t="shared" si="27"/>
        <v>872724.9359979555</v>
      </c>
      <c r="T132" s="6">
        <v>0.08</v>
      </c>
      <c r="V132">
        <f>SUM($R$2:R132)</f>
        <v>21917.581732727609</v>
      </c>
      <c r="W132">
        <f t="shared" si="28"/>
        <v>46.214274306767614</v>
      </c>
      <c r="Z132">
        <f t="shared" si="22"/>
        <v>5.4342437168669491E-4</v>
      </c>
      <c r="AA132" s="6">
        <v>0.3</v>
      </c>
      <c r="AB132">
        <f t="shared" si="29"/>
        <v>2909083.1199931852</v>
      </c>
      <c r="AC132">
        <f t="shared" ref="AC132:AC195" si="32">AC131*(1+$U$2)</f>
        <v>441240.92524728761</v>
      </c>
      <c r="AD132" s="6">
        <v>0.2</v>
      </c>
      <c r="AE132">
        <f t="shared" si="30"/>
        <v>88248.185049457534</v>
      </c>
      <c r="AF132">
        <f t="shared" si="31"/>
        <v>1</v>
      </c>
    </row>
    <row r="133" spans="1:32">
      <c r="A133" s="2">
        <v>132</v>
      </c>
      <c r="B133">
        <f t="shared" si="23"/>
        <v>23906.278181274607</v>
      </c>
      <c r="C133" s="6">
        <v>0.08</v>
      </c>
      <c r="D133">
        <f t="shared" si="24"/>
        <v>168778.32395979887</v>
      </c>
      <c r="Q133">
        <f t="shared" si="25"/>
        <v>168778.32395979989</v>
      </c>
      <c r="R133">
        <f t="shared" si="26"/>
        <v>456.28142673018436</v>
      </c>
      <c r="S133">
        <f t="shared" si="27"/>
        <v>942542.93087779195</v>
      </c>
      <c r="T133" s="6">
        <v>0.08</v>
      </c>
      <c r="V133">
        <f>SUM($R$2:R133)</f>
        <v>22373.863159457793</v>
      </c>
      <c r="W133">
        <f t="shared" si="28"/>
        <v>47.176365621089261</v>
      </c>
      <c r="Z133">
        <f t="shared" si="22"/>
        <v>5.0317071452471755E-4</v>
      </c>
      <c r="AA133" s="6">
        <v>0.3</v>
      </c>
      <c r="AB133">
        <f t="shared" si="29"/>
        <v>3141809.76959264</v>
      </c>
      <c r="AC133">
        <f t="shared" si="32"/>
        <v>467715.3807621249</v>
      </c>
      <c r="AD133" s="6">
        <v>0.2</v>
      </c>
      <c r="AE133">
        <f t="shared" si="30"/>
        <v>93543.076152424983</v>
      </c>
      <c r="AF133">
        <f t="shared" si="31"/>
        <v>1</v>
      </c>
    </row>
    <row r="134" spans="1:32">
      <c r="A134" s="2">
        <v>133</v>
      </c>
      <c r="B134">
        <f t="shared" si="23"/>
        <v>25818.780435776574</v>
      </c>
      <c r="C134" s="6">
        <v>0.08</v>
      </c>
      <c r="D134">
        <f t="shared" si="24"/>
        <v>182280.58987658279</v>
      </c>
      <c r="Q134">
        <f t="shared" si="25"/>
        <v>182280.58987658392</v>
      </c>
      <c r="R134">
        <f t="shared" si="26"/>
        <v>464.89051025339541</v>
      </c>
      <c r="S134">
        <f t="shared" si="27"/>
        <v>1017946.3653480153</v>
      </c>
      <c r="T134" s="6">
        <v>0.08</v>
      </c>
      <c r="V134">
        <f>SUM($R$2:R134)</f>
        <v>22838.753669711186</v>
      </c>
      <c r="W134">
        <f t="shared" si="28"/>
        <v>48.156609601718863</v>
      </c>
      <c r="Z134">
        <f t="shared" si="22"/>
        <v>4.6589880974510876E-4</v>
      </c>
      <c r="AA134" s="6">
        <v>0.3</v>
      </c>
      <c r="AB134">
        <f t="shared" si="29"/>
        <v>3393154.551160051</v>
      </c>
      <c r="AC134">
        <f t="shared" si="32"/>
        <v>495778.30360785243</v>
      </c>
      <c r="AD134" s="6">
        <v>0.2</v>
      </c>
      <c r="AE134">
        <f t="shared" si="30"/>
        <v>99155.660721570486</v>
      </c>
      <c r="AF134">
        <f t="shared" si="31"/>
        <v>1</v>
      </c>
    </row>
    <row r="135" spans="1:32">
      <c r="A135" s="2">
        <v>134</v>
      </c>
      <c r="B135">
        <f t="shared" si="23"/>
        <v>27884.282870638701</v>
      </c>
      <c r="C135" s="6">
        <v>0.08</v>
      </c>
      <c r="D135">
        <f t="shared" si="24"/>
        <v>196863.03706670942</v>
      </c>
      <c r="Q135">
        <f t="shared" si="25"/>
        <v>196863.03706671062</v>
      </c>
      <c r="R135">
        <f t="shared" si="26"/>
        <v>473.66202931478023</v>
      </c>
      <c r="S135">
        <f t="shared" si="27"/>
        <v>1099382.0745758566</v>
      </c>
      <c r="T135" s="6">
        <v>0.08</v>
      </c>
      <c r="V135">
        <f>SUM($R$2:R135)</f>
        <v>23312.415699025965</v>
      </c>
      <c r="W135">
        <f t="shared" si="28"/>
        <v>49.1553487517943</v>
      </c>
      <c r="Z135">
        <f t="shared" si="22"/>
        <v>4.3138778680102666E-4</v>
      </c>
      <c r="AA135" s="6">
        <v>0.3</v>
      </c>
      <c r="AB135">
        <f t="shared" si="29"/>
        <v>3664606.9152528555</v>
      </c>
      <c r="AC135">
        <f t="shared" si="32"/>
        <v>525525.00182432355</v>
      </c>
      <c r="AD135" s="6">
        <v>0.2</v>
      </c>
      <c r="AE135">
        <f t="shared" si="30"/>
        <v>105105.00036486471</v>
      </c>
      <c r="AF135">
        <f t="shared" si="31"/>
        <v>1</v>
      </c>
    </row>
    <row r="136" spans="1:32">
      <c r="A136" s="2">
        <v>135</v>
      </c>
      <c r="B136">
        <f t="shared" si="23"/>
        <v>30115.025500289797</v>
      </c>
      <c r="C136" s="6">
        <v>0.08</v>
      </c>
      <c r="D136">
        <f t="shared" si="24"/>
        <v>212612.08003204619</v>
      </c>
      <c r="Q136">
        <f t="shared" si="25"/>
        <v>212612.0800320475</v>
      </c>
      <c r="R136">
        <f t="shared" si="26"/>
        <v>482.59904873581371</v>
      </c>
      <c r="S136">
        <f t="shared" si="27"/>
        <v>1187332.6405419251</v>
      </c>
      <c r="T136" s="6">
        <v>0.08</v>
      </c>
      <c r="V136">
        <f>SUM($R$2:R136)</f>
        <v>23795.014747761779</v>
      </c>
      <c r="W136">
        <f t="shared" si="28"/>
        <v>50.172932036776828</v>
      </c>
      <c r="Z136">
        <f t="shared" si="22"/>
        <v>3.9943313592687651E-4</v>
      </c>
      <c r="AA136" s="6">
        <v>0.3</v>
      </c>
      <c r="AB136">
        <f t="shared" si="29"/>
        <v>3957775.4684730838</v>
      </c>
      <c r="AC136">
        <f t="shared" si="32"/>
        <v>557056.50193378294</v>
      </c>
      <c r="AD136" s="6">
        <v>0.2</v>
      </c>
      <c r="AE136">
        <f t="shared" si="30"/>
        <v>111411.3003867566</v>
      </c>
      <c r="AF136">
        <f t="shared" si="31"/>
        <v>1</v>
      </c>
    </row>
    <row r="137" spans="1:32">
      <c r="A137" s="2">
        <v>136</v>
      </c>
      <c r="B137">
        <f t="shared" si="23"/>
        <v>32524.227540312982</v>
      </c>
      <c r="C137" s="6">
        <v>0.08</v>
      </c>
      <c r="D137">
        <f t="shared" si="24"/>
        <v>229621.04643460989</v>
      </c>
      <c r="Q137">
        <f t="shared" si="25"/>
        <v>229621.04643461131</v>
      </c>
      <c r="R137">
        <f t="shared" si="26"/>
        <v>491.70469116479137</v>
      </c>
      <c r="S137">
        <f t="shared" si="27"/>
        <v>1282319.2517852793</v>
      </c>
      <c r="T137" s="6">
        <v>0.08</v>
      </c>
      <c r="V137">
        <f>SUM($R$2:R137)</f>
        <v>24286.719438926571</v>
      </c>
      <c r="W137">
        <f t="shared" si="28"/>
        <v>51.209715006381671</v>
      </c>
      <c r="Z137">
        <f t="shared" si="22"/>
        <v>3.6984549622858935E-4</v>
      </c>
      <c r="AA137" s="6">
        <v>0.3</v>
      </c>
      <c r="AB137">
        <f t="shared" si="29"/>
        <v>4274397.5059509315</v>
      </c>
      <c r="AC137">
        <f t="shared" si="32"/>
        <v>590479.89204980992</v>
      </c>
      <c r="AD137" s="6">
        <v>0.2</v>
      </c>
      <c r="AE137">
        <f t="shared" si="30"/>
        <v>118095.97840996199</v>
      </c>
      <c r="AF137">
        <f t="shared" si="31"/>
        <v>1</v>
      </c>
    </row>
    <row r="138" spans="1:32">
      <c r="A138" s="2">
        <v>137</v>
      </c>
      <c r="B138">
        <f t="shared" si="23"/>
        <v>35126.165743538018</v>
      </c>
      <c r="C138" s="6">
        <v>0.08</v>
      </c>
      <c r="D138">
        <f t="shared" si="24"/>
        <v>247990.73014937868</v>
      </c>
      <c r="Q138">
        <f t="shared" si="25"/>
        <v>247990.73014938019</v>
      </c>
      <c r="R138">
        <f t="shared" si="26"/>
        <v>500.98213816790076</v>
      </c>
      <c r="S138">
        <f t="shared" si="27"/>
        <v>1384904.7919281018</v>
      </c>
      <c r="T138" s="6">
        <v>0.08</v>
      </c>
      <c r="V138">
        <f>SUM($R$2:R138)</f>
        <v>24787.701577094471</v>
      </c>
      <c r="W138">
        <f t="shared" si="28"/>
        <v>52.266059918809241</v>
      </c>
      <c r="Z138">
        <f t="shared" si="22"/>
        <v>3.4244953354499008E-4</v>
      </c>
      <c r="AA138" s="6">
        <v>0.3</v>
      </c>
      <c r="AB138">
        <f t="shared" si="29"/>
        <v>4616349.3064270066</v>
      </c>
      <c r="AC138">
        <f t="shared" si="32"/>
        <v>625908.6855727986</v>
      </c>
      <c r="AD138" s="6">
        <v>0.2</v>
      </c>
      <c r="AE138">
        <f t="shared" si="30"/>
        <v>125181.73711455973</v>
      </c>
      <c r="AF138">
        <f t="shared" si="31"/>
        <v>1</v>
      </c>
    </row>
    <row r="139" spans="1:32">
      <c r="A139" s="2">
        <v>138</v>
      </c>
      <c r="B139">
        <f t="shared" si="23"/>
        <v>37936.259003021063</v>
      </c>
      <c r="C139" s="6">
        <v>0.08</v>
      </c>
      <c r="D139">
        <f t="shared" si="24"/>
        <v>267829.98856132897</v>
      </c>
      <c r="Q139">
        <f t="shared" si="25"/>
        <v>267829.98856133065</v>
      </c>
      <c r="R139">
        <f t="shared" si="26"/>
        <v>510.43463134088006</v>
      </c>
      <c r="S139">
        <f t="shared" si="27"/>
        <v>1495697.17528235</v>
      </c>
      <c r="T139" s="6">
        <v>0.08</v>
      </c>
      <c r="V139">
        <f>SUM($R$2:R139)</f>
        <v>25298.13620843535</v>
      </c>
      <c r="W139">
        <f t="shared" si="28"/>
        <v>53.342335867320351</v>
      </c>
      <c r="Z139">
        <f t="shared" si="22"/>
        <v>3.1708290143054636E-4</v>
      </c>
      <c r="AA139" s="6">
        <v>0.3</v>
      </c>
      <c r="AB139">
        <f t="shared" si="29"/>
        <v>4985657.2509411667</v>
      </c>
      <c r="AC139">
        <f t="shared" si="32"/>
        <v>663463.20670716651</v>
      </c>
      <c r="AD139" s="6">
        <v>0.2</v>
      </c>
      <c r="AE139">
        <f t="shared" si="30"/>
        <v>132692.64134143331</v>
      </c>
      <c r="AF139">
        <f t="shared" si="31"/>
        <v>1</v>
      </c>
    </row>
    <row r="140" spans="1:32">
      <c r="A140" s="2">
        <v>139</v>
      </c>
      <c r="B140">
        <f t="shared" si="23"/>
        <v>40971.159723262746</v>
      </c>
      <c r="C140" s="6">
        <v>0.08</v>
      </c>
      <c r="D140">
        <f t="shared" si="24"/>
        <v>289256.38764623529</v>
      </c>
      <c r="Q140">
        <f t="shared" si="25"/>
        <v>289256.38764623716</v>
      </c>
      <c r="R140">
        <f t="shared" si="26"/>
        <v>520.06547344165131</v>
      </c>
      <c r="S140">
        <f t="shared" si="27"/>
        <v>1615352.9493049381</v>
      </c>
      <c r="T140" s="6">
        <v>0.08</v>
      </c>
      <c r="V140">
        <f>SUM($R$2:R140)</f>
        <v>25818.201681877003</v>
      </c>
      <c r="W140">
        <f t="shared" si="28"/>
        <v>54.4389189091996</v>
      </c>
      <c r="Z140">
        <f t="shared" si="22"/>
        <v>2.9359527910235772E-4</v>
      </c>
      <c r="AA140" s="6">
        <v>0.3</v>
      </c>
      <c r="AB140">
        <f t="shared" si="29"/>
        <v>5384509.8310164604</v>
      </c>
      <c r="AC140">
        <f t="shared" si="32"/>
        <v>703270.99910959648</v>
      </c>
      <c r="AD140" s="6">
        <v>0.2</v>
      </c>
      <c r="AE140">
        <f t="shared" si="30"/>
        <v>140654.19982191929</v>
      </c>
      <c r="AF140">
        <f t="shared" si="31"/>
        <v>1</v>
      </c>
    </row>
    <row r="141" spans="1:32">
      <c r="A141" s="2">
        <v>140</v>
      </c>
      <c r="B141">
        <f t="shared" si="23"/>
        <v>44248.852501123765</v>
      </c>
      <c r="C141" s="6">
        <v>0.08</v>
      </c>
      <c r="D141">
        <f t="shared" si="24"/>
        <v>312396.8986579341</v>
      </c>
      <c r="Q141">
        <f t="shared" si="25"/>
        <v>312396.89865793608</v>
      </c>
      <c r="R141">
        <f t="shared" si="26"/>
        <v>529.87802954432402</v>
      </c>
      <c r="S141">
        <f t="shared" si="27"/>
        <v>1744581.1852493333</v>
      </c>
      <c r="T141" s="6">
        <v>0.08</v>
      </c>
      <c r="V141">
        <f>SUM($R$2:R141)</f>
        <v>26348.079711421327</v>
      </c>
      <c r="W141">
        <f t="shared" si="28"/>
        <v>55.556192197152043</v>
      </c>
      <c r="Z141">
        <f t="shared" si="22"/>
        <v>2.718474806503312E-4</v>
      </c>
      <c r="AA141" s="6">
        <v>0.3</v>
      </c>
      <c r="AB141">
        <f t="shared" si="29"/>
        <v>5815270.6174977776</v>
      </c>
      <c r="AC141">
        <f t="shared" si="32"/>
        <v>745467.25905617233</v>
      </c>
      <c r="AD141" s="6">
        <v>0.2</v>
      </c>
      <c r="AE141">
        <f t="shared" si="30"/>
        <v>149093.45181123447</v>
      </c>
      <c r="AF141">
        <f t="shared" si="31"/>
        <v>1</v>
      </c>
    </row>
    <row r="142" spans="1:32">
      <c r="A142" s="2">
        <v>141</v>
      </c>
      <c r="B142">
        <f t="shared" si="23"/>
        <v>47788.760701213665</v>
      </c>
      <c r="C142" s="6">
        <v>0.08</v>
      </c>
      <c r="D142">
        <f t="shared" si="24"/>
        <v>337388.65055056883</v>
      </c>
      <c r="Q142">
        <f t="shared" si="25"/>
        <v>337388.65055057098</v>
      </c>
      <c r="R142">
        <f t="shared" si="26"/>
        <v>539.87572821497156</v>
      </c>
      <c r="S142">
        <f t="shared" si="27"/>
        <v>1884147.6800692801</v>
      </c>
      <c r="T142" s="6">
        <v>0.08</v>
      </c>
      <c r="V142">
        <f>SUM($R$2:R142)</f>
        <v>26887.955439636298</v>
      </c>
      <c r="W142">
        <f t="shared" si="28"/>
        <v>56.694546113179058</v>
      </c>
      <c r="Z142">
        <f t="shared" si="22"/>
        <v>2.5171063023178813E-4</v>
      </c>
      <c r="AA142" s="6">
        <v>0.3</v>
      </c>
      <c r="AB142">
        <f t="shared" si="29"/>
        <v>6280492.2668976001</v>
      </c>
      <c r="AC142">
        <f t="shared" si="32"/>
        <v>790195.29459954274</v>
      </c>
      <c r="AD142" s="6">
        <v>0.2</v>
      </c>
      <c r="AE142">
        <f t="shared" si="30"/>
        <v>158039.05891990857</v>
      </c>
      <c r="AF142">
        <f t="shared" si="31"/>
        <v>1</v>
      </c>
    </row>
    <row r="143" spans="1:32">
      <c r="A143" s="2">
        <v>142</v>
      </c>
      <c r="B143">
        <f t="shared" si="23"/>
        <v>51611.86155731076</v>
      </c>
      <c r="C143" s="6">
        <v>0.08</v>
      </c>
      <c r="D143">
        <f t="shared" si="24"/>
        <v>364379.74259461433</v>
      </c>
      <c r="Q143">
        <f t="shared" si="25"/>
        <v>364379.74259461666</v>
      </c>
      <c r="R143">
        <f t="shared" si="26"/>
        <v>550.06206270959376</v>
      </c>
      <c r="S143">
        <f t="shared" si="27"/>
        <v>2034879.4944748227</v>
      </c>
      <c r="T143" s="6">
        <v>0.08</v>
      </c>
      <c r="V143">
        <f>SUM($R$2:R143)</f>
        <v>27438.017502345891</v>
      </c>
      <c r="W143">
        <f t="shared" si="28"/>
        <v>57.85437840498016</v>
      </c>
      <c r="Z143">
        <f t="shared" ref="Z143:Z201" si="33">$W$2/S143</f>
        <v>2.3306539836276676E-4</v>
      </c>
      <c r="AA143" s="6">
        <v>0.3</v>
      </c>
      <c r="AB143">
        <f t="shared" si="29"/>
        <v>6782931.6482494092</v>
      </c>
      <c r="AC143">
        <f t="shared" si="32"/>
        <v>837607.01227551536</v>
      </c>
      <c r="AD143" s="6">
        <v>0.2</v>
      </c>
      <c r="AE143">
        <f t="shared" si="30"/>
        <v>167521.40245510309</v>
      </c>
      <c r="AF143">
        <f t="shared" si="31"/>
        <v>1</v>
      </c>
    </row>
    <row r="144" spans="1:32">
      <c r="A144" s="2">
        <v>143</v>
      </c>
      <c r="B144">
        <f t="shared" si="23"/>
        <v>55740.81048189562</v>
      </c>
      <c r="C144" s="6">
        <v>0.08</v>
      </c>
      <c r="D144">
        <f t="shared" si="24"/>
        <v>393530.12200218346</v>
      </c>
      <c r="Q144">
        <f t="shared" si="25"/>
        <v>393530.12200218608</v>
      </c>
      <c r="R144">
        <f t="shared" si="26"/>
        <v>560.44059219468033</v>
      </c>
      <c r="S144">
        <f t="shared" si="27"/>
        <v>2197669.8540328084</v>
      </c>
      <c r="T144" s="6">
        <v>0.08</v>
      </c>
      <c r="V144">
        <f>SUM($R$2:R144)</f>
        <v>27998.458094540572</v>
      </c>
      <c r="W144">
        <f t="shared" si="28"/>
        <v>59.036094324928463</v>
      </c>
      <c r="Z144">
        <f t="shared" si="33"/>
        <v>2.158012947803396E-4</v>
      </c>
      <c r="AA144" s="6">
        <v>0.3</v>
      </c>
      <c r="AB144">
        <f t="shared" si="29"/>
        <v>7325566.1801093621</v>
      </c>
      <c r="AC144">
        <f t="shared" si="32"/>
        <v>887863.43301204627</v>
      </c>
      <c r="AD144" s="6">
        <v>0.2</v>
      </c>
      <c r="AE144">
        <f t="shared" si="30"/>
        <v>177572.68660240926</v>
      </c>
      <c r="AF144">
        <f t="shared" si="31"/>
        <v>1</v>
      </c>
    </row>
    <row r="145" spans="1:32">
      <c r="A145" s="2">
        <v>144</v>
      </c>
      <c r="B145">
        <f t="shared" si="23"/>
        <v>60200.075320447271</v>
      </c>
      <c r="C145" s="6">
        <v>0.08</v>
      </c>
      <c r="D145">
        <f t="shared" si="24"/>
        <v>425012.53176235815</v>
      </c>
      <c r="Q145">
        <f t="shared" si="25"/>
        <v>425012.531762361</v>
      </c>
      <c r="R145">
        <f t="shared" si="26"/>
        <v>571.01494299080628</v>
      </c>
      <c r="S145">
        <f t="shared" si="27"/>
        <v>2373483.4423554335</v>
      </c>
      <c r="T145" s="6">
        <v>0.08</v>
      </c>
      <c r="V145">
        <f>SUM($R$2:R145)</f>
        <v>28569.473037531377</v>
      </c>
      <c r="W145">
        <f t="shared" si="28"/>
        <v>60.240106771668238</v>
      </c>
      <c r="Z145">
        <f t="shared" si="33"/>
        <v>1.9981601368549961E-4</v>
      </c>
      <c r="AA145" s="6">
        <v>0.3</v>
      </c>
      <c r="AB145">
        <f t="shared" si="29"/>
        <v>7911611.4745181119</v>
      </c>
      <c r="AC145">
        <f t="shared" si="32"/>
        <v>941135.23899276904</v>
      </c>
      <c r="AD145" s="6">
        <v>0.2</v>
      </c>
      <c r="AE145">
        <f t="shared" si="30"/>
        <v>188227.04779855383</v>
      </c>
      <c r="AF145">
        <f t="shared" si="31"/>
        <v>1</v>
      </c>
    </row>
    <row r="146" spans="1:32">
      <c r="A146" s="2">
        <v>145</v>
      </c>
      <c r="B146">
        <f t="shared" si="23"/>
        <v>65016.081346083054</v>
      </c>
      <c r="C146" s="6">
        <v>0.08</v>
      </c>
      <c r="D146">
        <f t="shared" si="24"/>
        <v>459013.53430334682</v>
      </c>
      <c r="Q146">
        <f t="shared" si="25"/>
        <v>459013.53430334991</v>
      </c>
      <c r="R146">
        <f t="shared" si="26"/>
        <v>581.78880983968975</v>
      </c>
      <c r="S146">
        <f t="shared" si="27"/>
        <v>2563362.1177438684</v>
      </c>
      <c r="T146" s="6">
        <v>0.08</v>
      </c>
      <c r="V146">
        <f>SUM($R$2:R146)</f>
        <v>29151.261847371068</v>
      </c>
      <c r="W146">
        <f t="shared" si="28"/>
        <v>61.466836434384241</v>
      </c>
      <c r="Z146">
        <f t="shared" si="33"/>
        <v>1.8501482748657368E-4</v>
      </c>
      <c r="AA146" s="6">
        <v>0.3</v>
      </c>
      <c r="AB146">
        <f t="shared" si="29"/>
        <v>8544540.3924795613</v>
      </c>
      <c r="AC146">
        <f t="shared" si="32"/>
        <v>997603.35333233525</v>
      </c>
      <c r="AD146" s="6">
        <v>0.2</v>
      </c>
      <c r="AE146">
        <f t="shared" si="30"/>
        <v>199520.67066646705</v>
      </c>
      <c r="AF146">
        <f t="shared" si="31"/>
        <v>1</v>
      </c>
    </row>
    <row r="147" spans="1:32">
      <c r="A147" s="2">
        <v>146</v>
      </c>
      <c r="B147">
        <f t="shared" si="23"/>
        <v>70217.367853769698</v>
      </c>
      <c r="C147" s="6">
        <v>0.08</v>
      </c>
      <c r="D147">
        <f t="shared" si="24"/>
        <v>495734.61704761459</v>
      </c>
      <c r="Q147">
        <f t="shared" si="25"/>
        <v>495734.61704761785</v>
      </c>
      <c r="R147">
        <f t="shared" si="26"/>
        <v>592.76595719515547</v>
      </c>
      <c r="S147">
        <f t="shared" si="27"/>
        <v>2768431.087163378</v>
      </c>
      <c r="T147" s="6">
        <v>0.08</v>
      </c>
      <c r="V147">
        <f>SUM($R$2:R147)</f>
        <v>29744.027804566223</v>
      </c>
      <c r="W147">
        <f t="shared" si="28"/>
        <v>62.716711939792994</v>
      </c>
      <c r="Z147">
        <f t="shared" si="33"/>
        <v>1.7131002545053118E-4</v>
      </c>
      <c r="AA147" s="6">
        <v>0.3</v>
      </c>
      <c r="AB147">
        <f t="shared" si="29"/>
        <v>9228103.6238779277</v>
      </c>
      <c r="AC147">
        <f t="shared" si="32"/>
        <v>1057459.5545322753</v>
      </c>
      <c r="AD147" s="6">
        <v>0.2</v>
      </c>
      <c r="AE147">
        <f t="shared" si="30"/>
        <v>211491.91090645507</v>
      </c>
      <c r="AF147">
        <f t="shared" si="31"/>
        <v>1</v>
      </c>
    </row>
    <row r="148" spans="1:32">
      <c r="A148" s="2">
        <v>147</v>
      </c>
      <c r="B148">
        <f t="shared" si="23"/>
        <v>75834.757282071281</v>
      </c>
      <c r="C148" s="6">
        <v>0.08</v>
      </c>
      <c r="D148">
        <f t="shared" si="24"/>
        <v>535393.38641142379</v>
      </c>
      <c r="Q148">
        <f t="shared" si="25"/>
        <v>535393.38641142729</v>
      </c>
      <c r="R148">
        <f t="shared" si="26"/>
        <v>603.95022053846037</v>
      </c>
      <c r="S148">
        <f t="shared" si="27"/>
        <v>2989905.5741364486</v>
      </c>
      <c r="T148" s="6">
        <v>0.08</v>
      </c>
      <c r="V148">
        <f>SUM($R$2:R148)</f>
        <v>30347.978025104683</v>
      </c>
      <c r="W148">
        <f t="shared" si="28"/>
        <v>63.990170001907572</v>
      </c>
      <c r="Z148">
        <f t="shared" si="33"/>
        <v>1.5862039393567699E-4</v>
      </c>
      <c r="AA148" s="6">
        <v>0.3</v>
      </c>
      <c r="AB148">
        <f t="shared" si="29"/>
        <v>9966351.9137881622</v>
      </c>
      <c r="AC148">
        <f t="shared" si="32"/>
        <v>1120907.1278042118</v>
      </c>
      <c r="AD148" s="6">
        <v>0.2</v>
      </c>
      <c r="AE148">
        <f t="shared" si="30"/>
        <v>224181.42556084238</v>
      </c>
      <c r="AF148">
        <f t="shared" si="31"/>
        <v>1</v>
      </c>
    </row>
    <row r="149" spans="1:32">
      <c r="A149" s="2">
        <v>148</v>
      </c>
      <c r="B149">
        <f t="shared" si="23"/>
        <v>81901.537864636979</v>
      </c>
      <c r="C149" s="6">
        <v>0.08</v>
      </c>
      <c r="D149">
        <f t="shared" si="24"/>
        <v>578224.8573243377</v>
      </c>
      <c r="Q149">
        <f t="shared" si="25"/>
        <v>578224.85732434154</v>
      </c>
      <c r="R149">
        <f t="shared" si="26"/>
        <v>615.34550771843124</v>
      </c>
      <c r="S149">
        <f t="shared" si="27"/>
        <v>3229098.0200673644</v>
      </c>
      <c r="T149" s="6">
        <v>0.08</v>
      </c>
      <c r="V149">
        <f>SUM($R$2:R149)</f>
        <v>30963.323532823113</v>
      </c>
      <c r="W149">
        <f t="shared" si="28"/>
        <v>65.287655574628076</v>
      </c>
      <c r="Z149">
        <f t="shared" si="33"/>
        <v>1.4687073512562686E-4</v>
      </c>
      <c r="AA149" s="6">
        <v>0.3</v>
      </c>
      <c r="AB149">
        <f t="shared" si="29"/>
        <v>10763660.066891216</v>
      </c>
      <c r="AC149">
        <f t="shared" si="32"/>
        <v>1188161.5554724645</v>
      </c>
      <c r="AD149" s="6">
        <v>0.2</v>
      </c>
      <c r="AE149">
        <f t="shared" si="30"/>
        <v>237632.31109449291</v>
      </c>
      <c r="AF149">
        <f t="shared" si="31"/>
        <v>1</v>
      </c>
    </row>
    <row r="150" spans="1:32">
      <c r="A150" s="2">
        <v>149</v>
      </c>
      <c r="B150">
        <f t="shared" si="23"/>
        <v>88453.660893807944</v>
      </c>
      <c r="C150" s="6">
        <v>0.08</v>
      </c>
      <c r="D150">
        <f t="shared" si="24"/>
        <v>624482.84591028467</v>
      </c>
      <c r="Q150">
        <f t="shared" si="25"/>
        <v>624482.84591028886</v>
      </c>
      <c r="R150">
        <f t="shared" si="26"/>
        <v>626.95580031689224</v>
      </c>
      <c r="S150">
        <f t="shared" si="27"/>
        <v>3487425.8616727539</v>
      </c>
      <c r="T150" s="6">
        <v>0.08</v>
      </c>
      <c r="V150">
        <f>SUM($R$2:R150)</f>
        <v>31590.279333140006</v>
      </c>
      <c r="W150">
        <f t="shared" si="28"/>
        <v>66.609622007211243</v>
      </c>
      <c r="Z150">
        <f t="shared" si="33"/>
        <v>1.3599142141261744E-4</v>
      </c>
      <c r="AA150" s="6">
        <v>0.3</v>
      </c>
      <c r="AB150">
        <f t="shared" si="29"/>
        <v>11624752.872242514</v>
      </c>
      <c r="AC150">
        <f t="shared" si="32"/>
        <v>1259451.2488008125</v>
      </c>
      <c r="AD150" s="6">
        <v>0.2</v>
      </c>
      <c r="AE150">
        <f t="shared" si="30"/>
        <v>251890.24976016252</v>
      </c>
      <c r="AF150">
        <f t="shared" si="31"/>
        <v>1</v>
      </c>
    </row>
    <row r="151" spans="1:32">
      <c r="A151" s="2">
        <v>150</v>
      </c>
      <c r="B151">
        <f t="shared" si="23"/>
        <v>95529.953765312574</v>
      </c>
      <c r="C151" s="6">
        <v>0.08</v>
      </c>
      <c r="D151">
        <f t="shared" si="24"/>
        <v>674441.47358310746</v>
      </c>
      <c r="Q151">
        <f t="shared" si="25"/>
        <v>674441.47358311201</v>
      </c>
      <c r="R151">
        <f t="shared" si="26"/>
        <v>638.78515503985238</v>
      </c>
      <c r="S151">
        <f t="shared" si="27"/>
        <v>3766419.9306065743</v>
      </c>
      <c r="T151" s="6">
        <v>0.08</v>
      </c>
      <c r="V151">
        <f>SUM($R$2:R151)</f>
        <v>32229.064488179858</v>
      </c>
      <c r="W151">
        <f t="shared" si="28"/>
        <v>67.956531202673347</v>
      </c>
      <c r="Z151">
        <f t="shared" si="33"/>
        <v>1.2591798278946059E-4</v>
      </c>
      <c r="AA151" s="6">
        <v>0.3</v>
      </c>
      <c r="AB151">
        <f t="shared" si="29"/>
        <v>12554733.102021914</v>
      </c>
      <c r="AC151">
        <f t="shared" si="32"/>
        <v>1335018.3237288613</v>
      </c>
      <c r="AD151" s="6">
        <v>0.2</v>
      </c>
      <c r="AE151">
        <f t="shared" si="30"/>
        <v>267003.66474577226</v>
      </c>
      <c r="AF151">
        <f t="shared" si="31"/>
        <v>1</v>
      </c>
    </row>
    <row r="152" spans="1:32">
      <c r="A152" s="2">
        <v>151</v>
      </c>
      <c r="B152">
        <f t="shared" si="23"/>
        <v>103172.35006653758</v>
      </c>
      <c r="C152" s="6">
        <v>0.08</v>
      </c>
      <c r="D152">
        <f t="shared" si="24"/>
        <v>728396.79146975605</v>
      </c>
      <c r="Q152">
        <f t="shared" si="25"/>
        <v>728396.79146976105</v>
      </c>
      <c r="R152">
        <f t="shared" si="26"/>
        <v>650.83770513494403</v>
      </c>
      <c r="S152">
        <f t="shared" si="27"/>
        <v>4067733.5250551007</v>
      </c>
      <c r="T152" s="6">
        <v>0.08</v>
      </c>
      <c r="V152">
        <f>SUM($R$2:R152)</f>
        <v>32879.902193314803</v>
      </c>
      <c r="W152">
        <f t="shared" si="28"/>
        <v>69.328853779181898</v>
      </c>
      <c r="Z152">
        <f t="shared" si="33"/>
        <v>1.165907248050561E-4</v>
      </c>
      <c r="AA152" s="6">
        <v>0.3</v>
      </c>
      <c r="AB152">
        <f t="shared" si="29"/>
        <v>13559111.75018367</v>
      </c>
      <c r="AC152">
        <f t="shared" si="32"/>
        <v>1415119.423152593</v>
      </c>
      <c r="AD152" s="6">
        <v>0.2</v>
      </c>
      <c r="AE152">
        <f t="shared" si="30"/>
        <v>283023.88463051862</v>
      </c>
      <c r="AF152">
        <f t="shared" si="31"/>
        <v>1</v>
      </c>
    </row>
    <row r="153" spans="1:32">
      <c r="A153" s="2">
        <v>152</v>
      </c>
      <c r="B153">
        <f t="shared" si="23"/>
        <v>111426.13807186058</v>
      </c>
      <c r="C153" s="6">
        <v>0.08</v>
      </c>
      <c r="D153">
        <f t="shared" si="24"/>
        <v>786668.53478733648</v>
      </c>
      <c r="Q153">
        <f t="shared" si="25"/>
        <v>786668.53478734207</v>
      </c>
      <c r="R153">
        <f t="shared" si="26"/>
        <v>663.11766183560326</v>
      </c>
      <c r="S153">
        <f t="shared" si="27"/>
        <v>4393152.2070595091</v>
      </c>
      <c r="T153" s="6">
        <v>0.08</v>
      </c>
      <c r="V153">
        <f>SUM($R$2:R153)</f>
        <v>33543.019855150407</v>
      </c>
      <c r="W153">
        <f t="shared" si="28"/>
        <v>70.72706923449249</v>
      </c>
      <c r="Z153">
        <f t="shared" si="33"/>
        <v>1.0795437481949638E-4</v>
      </c>
      <c r="AA153" s="6">
        <v>0.3</v>
      </c>
      <c r="AB153">
        <f t="shared" si="29"/>
        <v>14643840.690198364</v>
      </c>
      <c r="AC153">
        <f t="shared" si="32"/>
        <v>1500026.5885417487</v>
      </c>
      <c r="AD153" s="6">
        <v>0.2</v>
      </c>
      <c r="AE153">
        <f t="shared" si="30"/>
        <v>300005.31770834973</v>
      </c>
      <c r="AF153">
        <f t="shared" si="31"/>
        <v>1</v>
      </c>
    </row>
    <row r="154" spans="1:32">
      <c r="A154" s="2">
        <v>153</v>
      </c>
      <c r="B154">
        <f t="shared" si="23"/>
        <v>120340.22911760943</v>
      </c>
      <c r="C154" s="6">
        <v>0.08</v>
      </c>
      <c r="D154">
        <f t="shared" si="24"/>
        <v>849602.01757032343</v>
      </c>
      <c r="Q154">
        <f t="shared" si="25"/>
        <v>849602.01757032925</v>
      </c>
      <c r="R154">
        <f t="shared" si="26"/>
        <v>675.62931583250167</v>
      </c>
      <c r="S154">
        <f t="shared" si="27"/>
        <v>4744604.3836242706</v>
      </c>
      <c r="T154" s="6">
        <v>0.08</v>
      </c>
      <c r="V154">
        <f>SUM($R$2:R154)</f>
        <v>34218.649170982906</v>
      </c>
      <c r="W154">
        <f t="shared" si="28"/>
        <v>72.15166611348819</v>
      </c>
      <c r="Z154">
        <f t="shared" si="33"/>
        <v>9.9957754462496633E-5</v>
      </c>
      <c r="AA154" s="6">
        <v>0.3</v>
      </c>
      <c r="AB154">
        <f t="shared" si="29"/>
        <v>15815347.945414236</v>
      </c>
      <c r="AC154">
        <f t="shared" si="32"/>
        <v>1590028.1838542537</v>
      </c>
      <c r="AD154" s="6">
        <v>0.2</v>
      </c>
      <c r="AE154">
        <f t="shared" si="30"/>
        <v>318005.63677085075</v>
      </c>
      <c r="AF154">
        <f t="shared" si="31"/>
        <v>1</v>
      </c>
    </row>
    <row r="155" spans="1:32">
      <c r="A155" s="2">
        <v>154</v>
      </c>
      <c r="B155">
        <f t="shared" si="23"/>
        <v>129967.44744701819</v>
      </c>
      <c r="C155" s="6">
        <v>0.08</v>
      </c>
      <c r="D155">
        <f t="shared" si="24"/>
        <v>917570.1789759493</v>
      </c>
      <c r="Q155">
        <f t="shared" si="25"/>
        <v>917570.17897595582</v>
      </c>
      <c r="R155">
        <f t="shared" si="26"/>
        <v>688.37703877273759</v>
      </c>
      <c r="S155">
        <f t="shared" si="27"/>
        <v>5124172.7343142126</v>
      </c>
      <c r="T155" s="6">
        <v>0.08</v>
      </c>
      <c r="V155">
        <f>SUM($R$2:R155)</f>
        <v>34907.026209755641</v>
      </c>
      <c r="W155">
        <f t="shared" si="28"/>
        <v>73.60314217888002</v>
      </c>
      <c r="Z155">
        <f t="shared" si="33"/>
        <v>9.2553476354163532E-5</v>
      </c>
      <c r="AA155" s="6">
        <v>0.3</v>
      </c>
      <c r="AB155">
        <f t="shared" si="29"/>
        <v>17080575.781047378</v>
      </c>
      <c r="AC155">
        <f t="shared" si="32"/>
        <v>1685429.874885509</v>
      </c>
      <c r="AD155" s="6">
        <v>0.2</v>
      </c>
      <c r="AE155">
        <f t="shared" si="30"/>
        <v>337085.97497710184</v>
      </c>
      <c r="AF155">
        <f t="shared" si="31"/>
        <v>1</v>
      </c>
    </row>
    <row r="156" spans="1:32">
      <c r="A156" s="2">
        <v>155</v>
      </c>
      <c r="B156">
        <f t="shared" si="23"/>
        <v>140364.84324277964</v>
      </c>
      <c r="C156" s="6">
        <v>0.08</v>
      </c>
      <c r="D156">
        <f t="shared" si="24"/>
        <v>990975.79329402524</v>
      </c>
      <c r="Q156">
        <f t="shared" si="25"/>
        <v>990975.79329403222</v>
      </c>
      <c r="R156">
        <f t="shared" si="26"/>
        <v>701.36528478731759</v>
      </c>
      <c r="S156">
        <f t="shared" si="27"/>
        <v>5534106.5530593498</v>
      </c>
      <c r="T156" s="6">
        <v>0.08</v>
      </c>
      <c r="V156">
        <f>SUM($R$2:R156)</f>
        <v>35608.391494542957</v>
      </c>
      <c r="W156">
        <f t="shared" si="28"/>
        <v>75.082004585128317</v>
      </c>
      <c r="Z156">
        <f t="shared" si="33"/>
        <v>8.5697663290892158E-5</v>
      </c>
      <c r="AA156" s="6">
        <v>0.3</v>
      </c>
      <c r="AB156">
        <f t="shared" si="29"/>
        <v>18447021.843531165</v>
      </c>
      <c r="AC156">
        <f t="shared" si="32"/>
        <v>1786555.6673786396</v>
      </c>
      <c r="AD156" s="6">
        <v>0.2</v>
      </c>
      <c r="AE156">
        <f t="shared" si="30"/>
        <v>357311.13347572793</v>
      </c>
      <c r="AF156">
        <f t="shared" si="31"/>
        <v>1</v>
      </c>
    </row>
    <row r="157" spans="1:32">
      <c r="A157" s="2">
        <v>156</v>
      </c>
      <c r="B157">
        <f t="shared" si="23"/>
        <v>151594.030702202</v>
      </c>
      <c r="C157" s="6">
        <v>0.08</v>
      </c>
      <c r="D157">
        <f t="shared" si="24"/>
        <v>1070253.8567575472</v>
      </c>
      <c r="Q157">
        <f t="shared" si="25"/>
        <v>1070253.8567575549</v>
      </c>
      <c r="R157">
        <f t="shared" si="26"/>
        <v>714.59859204745555</v>
      </c>
      <c r="S157">
        <f t="shared" si="27"/>
        <v>5976835.0773040978</v>
      </c>
      <c r="T157" s="6">
        <v>0.08</v>
      </c>
      <c r="V157">
        <f>SUM($R$2:R157)</f>
        <v>36322.990086590413</v>
      </c>
      <c r="W157">
        <f t="shared" si="28"/>
        <v>76.588770055645455</v>
      </c>
      <c r="Z157">
        <f t="shared" si="33"/>
        <v>7.9349688232307558E-5</v>
      </c>
      <c r="AA157" s="6">
        <v>0.3</v>
      </c>
      <c r="AB157">
        <f t="shared" si="29"/>
        <v>19922783.591013659</v>
      </c>
      <c r="AC157">
        <f t="shared" si="32"/>
        <v>1893749.007421358</v>
      </c>
      <c r="AD157" s="6">
        <v>0.2</v>
      </c>
      <c r="AE157">
        <f t="shared" si="30"/>
        <v>378749.80148427165</v>
      </c>
      <c r="AF157">
        <f t="shared" si="31"/>
        <v>1</v>
      </c>
    </row>
    <row r="158" spans="1:32">
      <c r="A158" s="2">
        <v>157</v>
      </c>
      <c r="B158">
        <f t="shared" si="23"/>
        <v>163721.55315837817</v>
      </c>
      <c r="C158" s="6">
        <v>0.08</v>
      </c>
      <c r="D158">
        <f t="shared" si="24"/>
        <v>1155874.1652981511</v>
      </c>
      <c r="Q158">
        <f t="shared" si="25"/>
        <v>1155874.1652981592</v>
      </c>
      <c r="R158">
        <f t="shared" si="26"/>
        <v>728.08158435023768</v>
      </c>
      <c r="S158">
        <f t="shared" si="27"/>
        <v>6454981.883488426</v>
      </c>
      <c r="T158" s="6">
        <v>0.08</v>
      </c>
      <c r="V158">
        <f>SUM($R$2:R158)</f>
        <v>37051.071670940648</v>
      </c>
      <c r="W158">
        <f t="shared" si="28"/>
        <v>78.123965063342155</v>
      </c>
      <c r="Z158">
        <f t="shared" si="33"/>
        <v>7.3471933548432922E-5</v>
      </c>
      <c r="AA158" s="6">
        <v>0.3</v>
      </c>
      <c r="AB158">
        <f t="shared" si="29"/>
        <v>21516606.278294753</v>
      </c>
      <c r="AC158">
        <f t="shared" si="32"/>
        <v>2007373.9478666396</v>
      </c>
      <c r="AD158" s="6">
        <v>0.2</v>
      </c>
      <c r="AE158">
        <f t="shared" si="30"/>
        <v>401474.78957332793</v>
      </c>
      <c r="AF158">
        <f t="shared" si="31"/>
        <v>1</v>
      </c>
    </row>
    <row r="159" spans="1:32">
      <c r="A159" s="2">
        <v>158</v>
      </c>
      <c r="B159">
        <f t="shared" si="23"/>
        <v>176819.27741104842</v>
      </c>
      <c r="C159" s="6">
        <v>0.08</v>
      </c>
      <c r="D159">
        <f t="shared" si="24"/>
        <v>1248344.0985220033</v>
      </c>
      <c r="Q159">
        <f t="shared" si="25"/>
        <v>1248344.0985220121</v>
      </c>
      <c r="R159">
        <f t="shared" si="26"/>
        <v>741.81897273420441</v>
      </c>
      <c r="S159">
        <f t="shared" si="27"/>
        <v>6971380.4341675006</v>
      </c>
      <c r="T159" s="6">
        <v>0.08</v>
      </c>
      <c r="V159">
        <f>SUM($R$2:R159)</f>
        <v>37792.890643674851</v>
      </c>
      <c r="W159">
        <f t="shared" si="28"/>
        <v>79.688126014580291</v>
      </c>
      <c r="Z159">
        <f t="shared" si="33"/>
        <v>6.8029568100400851E-5</v>
      </c>
      <c r="AA159" s="6">
        <v>0.3</v>
      </c>
      <c r="AB159">
        <f t="shared" si="29"/>
        <v>23237934.780558337</v>
      </c>
      <c r="AC159">
        <f t="shared" si="32"/>
        <v>2127816.3847386381</v>
      </c>
      <c r="AD159" s="6">
        <v>0.2</v>
      </c>
      <c r="AE159">
        <f t="shared" si="30"/>
        <v>425563.27694772766</v>
      </c>
      <c r="AF159">
        <f t="shared" si="31"/>
        <v>1</v>
      </c>
    </row>
    <row r="160" spans="1:32">
      <c r="A160" s="2">
        <v>159</v>
      </c>
      <c r="B160">
        <f t="shared" si="23"/>
        <v>190964.81960393229</v>
      </c>
      <c r="C160" s="6">
        <v>0.08</v>
      </c>
      <c r="D160">
        <f t="shared" si="24"/>
        <v>1348211.6264037634</v>
      </c>
      <c r="Q160">
        <f t="shared" si="25"/>
        <v>1348211.6264037732</v>
      </c>
      <c r="R160">
        <f t="shared" si="26"/>
        <v>755.81555712541581</v>
      </c>
      <c r="S160">
        <f t="shared" si="27"/>
        <v>7529090.8689009007</v>
      </c>
      <c r="T160" s="6">
        <v>0.08</v>
      </c>
      <c r="V160">
        <f>SUM($R$2:R160)</f>
        <v>38548.706200800269</v>
      </c>
      <c r="W160">
        <f t="shared" si="28"/>
        <v>81.281799436596529</v>
      </c>
      <c r="Z160">
        <f t="shared" si="33"/>
        <v>6.2990340833704486E-5</v>
      </c>
      <c r="AA160" s="6">
        <v>0.3</v>
      </c>
      <c r="AB160">
        <f t="shared" si="29"/>
        <v>25096969.563003004</v>
      </c>
      <c r="AC160">
        <f t="shared" si="32"/>
        <v>2255485.3678229563</v>
      </c>
      <c r="AD160" s="6">
        <v>0.2</v>
      </c>
      <c r="AE160">
        <f t="shared" si="30"/>
        <v>451097.07356459129</v>
      </c>
      <c r="AF160">
        <f t="shared" si="31"/>
        <v>1</v>
      </c>
    </row>
    <row r="161" spans="1:32">
      <c r="A161" s="2">
        <v>160</v>
      </c>
      <c r="B161">
        <f t="shared" si="23"/>
        <v>206242.00517224689</v>
      </c>
      <c r="C161" s="6">
        <v>0.08</v>
      </c>
      <c r="D161">
        <f t="shared" si="24"/>
        <v>1456068.5565160646</v>
      </c>
      <c r="Q161">
        <f t="shared" si="25"/>
        <v>1456068.5565160753</v>
      </c>
      <c r="R161">
        <f t="shared" si="26"/>
        <v>770.07622801457444</v>
      </c>
      <c r="S161">
        <f t="shared" si="27"/>
        <v>8131418.1384129729</v>
      </c>
      <c r="T161" s="6">
        <v>0.08</v>
      </c>
      <c r="V161">
        <f>SUM($R$2:R161)</f>
        <v>39318.78242881484</v>
      </c>
      <c r="W161">
        <f t="shared" si="28"/>
        <v>82.905542168462105</v>
      </c>
      <c r="Z161">
        <f t="shared" si="33"/>
        <v>5.8324389660837484E-5</v>
      </c>
      <c r="AA161" s="6">
        <v>0.3</v>
      </c>
      <c r="AB161">
        <f t="shared" si="29"/>
        <v>27104727.128043246</v>
      </c>
      <c r="AC161">
        <f t="shared" si="32"/>
        <v>2390814.4898923337</v>
      </c>
      <c r="AD161" s="6">
        <v>0.2</v>
      </c>
      <c r="AE161">
        <f t="shared" si="30"/>
        <v>478162.89797846676</v>
      </c>
      <c r="AF161">
        <f t="shared" si="31"/>
        <v>1</v>
      </c>
    </row>
    <row r="162" spans="1:32">
      <c r="A162" s="2">
        <v>161</v>
      </c>
      <c r="B162">
        <f t="shared" si="23"/>
        <v>222741.36558602663</v>
      </c>
      <c r="C162" s="6">
        <v>0.08</v>
      </c>
      <c r="D162">
        <f t="shared" si="24"/>
        <v>1572554.0410373497</v>
      </c>
      <c r="Q162">
        <f t="shared" si="25"/>
        <v>1572554.0410373614</v>
      </c>
      <c r="R162">
        <f t="shared" si="26"/>
        <v>784.60596816579323</v>
      </c>
      <c r="S162">
        <f t="shared" si="27"/>
        <v>8781931.5894860122</v>
      </c>
      <c r="T162" s="6">
        <v>0.08</v>
      </c>
      <c r="V162">
        <f>SUM($R$2:R162)</f>
        <v>40103.388396980634</v>
      </c>
      <c r="W162">
        <f t="shared" si="28"/>
        <v>84.559921555645914</v>
      </c>
      <c r="Z162">
        <f t="shared" si="33"/>
        <v>5.4004064500775441E-5</v>
      </c>
      <c r="AA162" s="6">
        <v>0.3</v>
      </c>
      <c r="AB162">
        <f t="shared" si="29"/>
        <v>29273105.29828671</v>
      </c>
      <c r="AC162">
        <f t="shared" si="32"/>
        <v>2534263.3592858738</v>
      </c>
      <c r="AD162" s="6">
        <v>0.2</v>
      </c>
      <c r="AE162">
        <f t="shared" si="30"/>
        <v>506852.67185717478</v>
      </c>
      <c r="AF162">
        <f t="shared" si="31"/>
        <v>1</v>
      </c>
    </row>
    <row r="163" spans="1:32">
      <c r="A163" s="2">
        <v>162</v>
      </c>
      <c r="B163">
        <f t="shared" si="23"/>
        <v>240560.67483290876</v>
      </c>
      <c r="C163" s="6">
        <v>0.08</v>
      </c>
      <c r="D163">
        <f t="shared" si="24"/>
        <v>1698358.3643203378</v>
      </c>
      <c r="Q163">
        <f t="shared" si="25"/>
        <v>1698358.3643203501</v>
      </c>
      <c r="R163">
        <f t="shared" si="26"/>
        <v>799.40985435760069</v>
      </c>
      <c r="S163">
        <f t="shared" si="27"/>
        <v>9484486.1166448947</v>
      </c>
      <c r="T163" s="6">
        <v>0.08</v>
      </c>
      <c r="V163">
        <f>SUM($R$2:R163)</f>
        <v>40902.798251338238</v>
      </c>
      <c r="W163">
        <f t="shared" si="28"/>
        <v>86.245515648248301</v>
      </c>
      <c r="Z163">
        <f t="shared" si="33"/>
        <v>5.0003763426643918E-5</v>
      </c>
      <c r="AA163" s="6">
        <v>0.3</v>
      </c>
      <c r="AB163">
        <f t="shared" si="29"/>
        <v>31614953.722149651</v>
      </c>
      <c r="AC163">
        <f t="shared" si="32"/>
        <v>2686319.1608430264</v>
      </c>
      <c r="AD163" s="6">
        <v>0.2</v>
      </c>
      <c r="AE163">
        <f t="shared" si="30"/>
        <v>537263.8321686053</v>
      </c>
      <c r="AF163">
        <f t="shared" si="31"/>
        <v>1</v>
      </c>
    </row>
    <row r="164" spans="1:32">
      <c r="A164" s="2">
        <v>163</v>
      </c>
      <c r="B164">
        <f t="shared" si="23"/>
        <v>259805.52881954145</v>
      </c>
      <c r="C164" s="6">
        <v>0.08</v>
      </c>
      <c r="D164">
        <f t="shared" si="24"/>
        <v>1834227.0334659647</v>
      </c>
      <c r="Q164">
        <f t="shared" si="25"/>
        <v>1834227.0334659782</v>
      </c>
      <c r="R164">
        <f t="shared" si="26"/>
        <v>814.49305915680065</v>
      </c>
      <c r="S164">
        <f t="shared" si="27"/>
        <v>10243245.005976487</v>
      </c>
      <c r="T164" s="6">
        <v>0.08</v>
      </c>
      <c r="V164">
        <f>SUM($R$2:R164)</f>
        <v>41717.291310495035</v>
      </c>
      <c r="W164">
        <f t="shared" si="28"/>
        <v>87.962913402975232</v>
      </c>
      <c r="Z164">
        <f t="shared" si="33"/>
        <v>4.6299780950596215E-5</v>
      </c>
      <c r="AA164" s="6">
        <v>0.3</v>
      </c>
      <c r="AB164">
        <f t="shared" si="29"/>
        <v>34144150.019921623</v>
      </c>
      <c r="AC164">
        <f t="shared" si="32"/>
        <v>2847498.310493608</v>
      </c>
      <c r="AD164" s="6">
        <v>0.2</v>
      </c>
      <c r="AE164">
        <f t="shared" si="30"/>
        <v>569499.6620987216</v>
      </c>
      <c r="AF164">
        <f t="shared" si="31"/>
        <v>1</v>
      </c>
    </row>
    <row r="165" spans="1:32">
      <c r="A165" s="2">
        <v>164</v>
      </c>
      <c r="B165">
        <f t="shared" si="23"/>
        <v>280589.97112510476</v>
      </c>
      <c r="C165" s="6">
        <v>0.08</v>
      </c>
      <c r="D165">
        <f t="shared" si="24"/>
        <v>1980965.1961432418</v>
      </c>
      <c r="Q165">
        <f t="shared" si="25"/>
        <v>1980965.1961432567</v>
      </c>
      <c r="R165">
        <f t="shared" si="26"/>
        <v>829.8608527257968</v>
      </c>
      <c r="S165">
        <f t="shared" si="27"/>
        <v>11062704.606454607</v>
      </c>
      <c r="T165" s="6">
        <v>0.08</v>
      </c>
      <c r="V165">
        <f>SUM($R$2:R165)</f>
        <v>42547.152163220831</v>
      </c>
      <c r="W165">
        <f t="shared" si="28"/>
        <v>89.712714888923443</v>
      </c>
      <c r="Z165">
        <f t="shared" si="33"/>
        <v>4.2870167546848345E-5</v>
      </c>
      <c r="AA165" s="6">
        <v>0.3</v>
      </c>
      <c r="AB165">
        <f t="shared" si="29"/>
        <v>36875682.021515362</v>
      </c>
      <c r="AC165">
        <f t="shared" si="32"/>
        <v>3018348.2091232245</v>
      </c>
      <c r="AD165" s="6">
        <v>0.2</v>
      </c>
      <c r="AE165">
        <f t="shared" si="30"/>
        <v>603669.64182464487</v>
      </c>
      <c r="AF165">
        <f t="shared" si="31"/>
        <v>1</v>
      </c>
    </row>
    <row r="166" spans="1:32">
      <c r="A166" s="2">
        <v>165</v>
      </c>
      <c r="B166">
        <f t="shared" ref="B166:B200" si="34">B165+B165*C165</f>
        <v>303037.16881511314</v>
      </c>
      <c r="C166" s="6">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6">
        <v>0.08</v>
      </c>
      <c r="V166">
        <f>SUM($R$2:R166)</f>
        <v>43392.670767884854</v>
      </c>
      <c r="W166">
        <f t="shared" ref="W166:W200" si="39">V166/$W$2</f>
        <v>91.495531497248038</v>
      </c>
      <c r="Z166">
        <f t="shared" si="33"/>
        <v>3.9694599580415133E-5</v>
      </c>
      <c r="AA166" s="6">
        <v>0.3</v>
      </c>
      <c r="AB166">
        <f t="shared" si="29"/>
        <v>39825736.58323659</v>
      </c>
      <c r="AC166">
        <f t="shared" si="32"/>
        <v>3199449.1016706182</v>
      </c>
      <c r="AD166" s="6">
        <v>0.2</v>
      </c>
      <c r="AE166">
        <f t="shared" si="30"/>
        <v>639889.82033412368</v>
      </c>
      <c r="AF166">
        <f t="shared" si="31"/>
        <v>1</v>
      </c>
    </row>
    <row r="167" spans="1:32">
      <c r="A167" s="2">
        <v>166</v>
      </c>
      <c r="B167">
        <f t="shared" si="34"/>
        <v>327280.14232032216</v>
      </c>
      <c r="C167" s="6">
        <v>0.08</v>
      </c>
      <c r="D167">
        <f t="shared" si="35"/>
        <v>2310597.804781477</v>
      </c>
      <c r="Q167">
        <f t="shared" si="36"/>
        <v>2310597.8047814951</v>
      </c>
      <c r="R167">
        <f t="shared" si="37"/>
        <v>861.47178588409531</v>
      </c>
      <c r="S167">
        <f t="shared" si="38"/>
        <v>12903538.652968654</v>
      </c>
      <c r="T167" s="6">
        <v>0.08</v>
      </c>
      <c r="V167">
        <f>SUM($R$2:R167)</f>
        <v>44254.14255376895</v>
      </c>
      <c r="W167">
        <f t="shared" si="39"/>
        <v>93.311986154786297</v>
      </c>
      <c r="Z167">
        <f t="shared" si="33"/>
        <v>3.6754258870754755E-5</v>
      </c>
      <c r="AA167" s="6">
        <v>0.3</v>
      </c>
      <c r="AB167">
        <f t="shared" si="29"/>
        <v>43011795.509895518</v>
      </c>
      <c r="AC167">
        <f t="shared" si="32"/>
        <v>3391416.0477708555</v>
      </c>
      <c r="AD167" s="6">
        <v>0.2</v>
      </c>
      <c r="AE167">
        <f t="shared" si="30"/>
        <v>678283.20955417119</v>
      </c>
      <c r="AF167">
        <f t="shared" si="31"/>
        <v>1</v>
      </c>
    </row>
    <row r="168" spans="1:32">
      <c r="A168" s="2">
        <v>167</v>
      </c>
      <c r="B168">
        <f t="shared" si="34"/>
        <v>353462.55370594794</v>
      </c>
      <c r="C168" s="6">
        <v>0.08</v>
      </c>
      <c r="D168">
        <f t="shared" si="35"/>
        <v>2495445.6291639949</v>
      </c>
      <c r="Q168">
        <f t="shared" si="36"/>
        <v>2495445.6291640149</v>
      </c>
      <c r="R168">
        <f t="shared" si="37"/>
        <v>877.72597052341769</v>
      </c>
      <c r="S168">
        <f t="shared" si="38"/>
        <v>13935821.745206147</v>
      </c>
      <c r="T168" s="6">
        <v>0.08</v>
      </c>
      <c r="V168">
        <f>SUM($R$2:R168)</f>
        <v>45131.868524292368</v>
      </c>
      <c r="W168">
        <f t="shared" si="39"/>
        <v>95.16271354171208</v>
      </c>
      <c r="Z168">
        <f t="shared" si="33"/>
        <v>3.4031721176624766E-5</v>
      </c>
      <c r="AA168" s="6">
        <v>0.3</v>
      </c>
      <c r="AB168">
        <f t="shared" si="29"/>
        <v>46452739.150687158</v>
      </c>
      <c r="AC168">
        <f t="shared" si="32"/>
        <v>3594901.0106371068</v>
      </c>
      <c r="AD168" s="6">
        <v>0.2</v>
      </c>
      <c r="AE168">
        <f t="shared" si="30"/>
        <v>718980.20212742139</v>
      </c>
      <c r="AF168">
        <f t="shared" si="31"/>
        <v>1</v>
      </c>
    </row>
    <row r="169" spans="1:32">
      <c r="A169" s="2">
        <v>168</v>
      </c>
      <c r="B169">
        <f t="shared" si="34"/>
        <v>381739.55800242379</v>
      </c>
      <c r="C169" s="6">
        <v>0.08</v>
      </c>
      <c r="D169">
        <f t="shared" si="35"/>
        <v>2695081.2794971145</v>
      </c>
      <c r="Q169">
        <f t="shared" si="36"/>
        <v>2695081.2794971359</v>
      </c>
      <c r="R169">
        <f t="shared" si="37"/>
        <v>894.28683789178399</v>
      </c>
      <c r="S169">
        <f t="shared" si="38"/>
        <v>15050687.48482264</v>
      </c>
      <c r="T169" s="6">
        <v>0.08</v>
      </c>
      <c r="V169">
        <f>SUM($R$2:R169)</f>
        <v>46026.155362184152</v>
      </c>
      <c r="W169">
        <f t="shared" si="39"/>
        <v>97.048360313296826</v>
      </c>
      <c r="Z169">
        <f t="shared" si="33"/>
        <v>3.1510852941319226E-5</v>
      </c>
      <c r="AA169" s="6">
        <v>0.3</v>
      </c>
      <c r="AB169">
        <f t="shared" si="29"/>
        <v>50168958.282742135</v>
      </c>
      <c r="AC169">
        <f t="shared" si="32"/>
        <v>3810595.0712753334</v>
      </c>
      <c r="AD169" s="6">
        <v>0.2</v>
      </c>
      <c r="AE169">
        <f t="shared" si="30"/>
        <v>762119.01425506675</v>
      </c>
      <c r="AF169">
        <f t="shared" si="31"/>
        <v>1</v>
      </c>
    </row>
    <row r="170" spans="1:32">
      <c r="A170" s="2">
        <v>169</v>
      </c>
      <c r="B170">
        <f t="shared" si="34"/>
        <v>412278.72264261771</v>
      </c>
      <c r="C170" s="6">
        <v>0.08</v>
      </c>
      <c r="D170">
        <f t="shared" si="35"/>
        <v>2910687.7818568838</v>
      </c>
      <c r="Q170">
        <f t="shared" si="36"/>
        <v>2910687.7818569071</v>
      </c>
      <c r="R170">
        <f t="shared" si="37"/>
        <v>911.16017445578018</v>
      </c>
      <c r="S170">
        <f t="shared" si="38"/>
        <v>16254742.483608453</v>
      </c>
      <c r="T170" s="6">
        <v>0.08</v>
      </c>
      <c r="V170">
        <f>SUM($R$2:R170)</f>
        <v>46937.31553663993</v>
      </c>
      <c r="W170">
        <f t="shared" si="39"/>
        <v>98.969585325854865</v>
      </c>
      <c r="Z170">
        <f t="shared" si="33"/>
        <v>2.917671568640669E-5</v>
      </c>
      <c r="AA170" s="6">
        <v>0.3</v>
      </c>
      <c r="AB170">
        <f t="shared" si="29"/>
        <v>54182474.94536151</v>
      </c>
      <c r="AC170">
        <f t="shared" si="32"/>
        <v>4039230.7755518537</v>
      </c>
      <c r="AD170" s="6">
        <v>0.2</v>
      </c>
      <c r="AE170">
        <f t="shared" si="30"/>
        <v>807846.15511037083</v>
      </c>
      <c r="AF170">
        <f t="shared" si="31"/>
        <v>1</v>
      </c>
    </row>
    <row r="171" spans="1:32">
      <c r="A171" s="2">
        <v>170</v>
      </c>
      <c r="B171">
        <f t="shared" si="34"/>
        <v>445261.02045402711</v>
      </c>
      <c r="C171" s="6">
        <v>0.08</v>
      </c>
      <c r="D171">
        <f t="shared" si="35"/>
        <v>3143542.8044054345</v>
      </c>
      <c r="Q171">
        <f t="shared" si="36"/>
        <v>3143542.8044054601</v>
      </c>
      <c r="R171">
        <f t="shared" si="37"/>
        <v>928.35187586060624</v>
      </c>
      <c r="S171">
        <f t="shared" si="38"/>
        <v>17555121.882297128</v>
      </c>
      <c r="T171" s="6">
        <v>0.08</v>
      </c>
      <c r="V171">
        <f>SUM($R$2:R171)</f>
        <v>47865.667412500537</v>
      </c>
      <c r="W171">
        <f t="shared" si="39"/>
        <v>100.92705986695175</v>
      </c>
      <c r="Z171">
        <f t="shared" si="33"/>
        <v>2.7015477487413603E-5</v>
      </c>
      <c r="AA171" s="6">
        <v>0.3</v>
      </c>
      <c r="AB171">
        <f t="shared" si="29"/>
        <v>58517072.940990433</v>
      </c>
      <c r="AC171">
        <f t="shared" si="32"/>
        <v>4281584.622084965</v>
      </c>
      <c r="AD171" s="6">
        <v>0.2</v>
      </c>
      <c r="AE171">
        <f t="shared" si="30"/>
        <v>856316.92441699305</v>
      </c>
      <c r="AF171">
        <f t="shared" si="31"/>
        <v>1</v>
      </c>
    </row>
    <row r="172" spans="1:32">
      <c r="A172" s="2">
        <v>171</v>
      </c>
      <c r="B172">
        <f t="shared" si="34"/>
        <v>480881.90209034929</v>
      </c>
      <c r="C172" s="6">
        <v>0.08</v>
      </c>
      <c r="D172">
        <f t="shared" si="35"/>
        <v>3395026.2287578695</v>
      </c>
      <c r="Q172">
        <f t="shared" si="36"/>
        <v>3395026.2287578965</v>
      </c>
      <c r="R172">
        <f t="shared" si="37"/>
        <v>945.86794899005145</v>
      </c>
      <c r="S172">
        <f t="shared" si="38"/>
        <v>18959531.6328809</v>
      </c>
      <c r="T172" s="6">
        <v>0.08</v>
      </c>
      <c r="V172">
        <f>SUM($R$2:R172)</f>
        <v>48811.535361490591</v>
      </c>
      <c r="W172">
        <f t="shared" si="39"/>
        <v>102.92146788995612</v>
      </c>
      <c r="Z172">
        <f t="shared" si="33"/>
        <v>2.5014331006864447E-5</v>
      </c>
      <c r="AA172" s="6">
        <v>0.3</v>
      </c>
      <c r="AB172">
        <f t="shared" si="29"/>
        <v>63198438.776269667</v>
      </c>
      <c r="AC172">
        <f t="shared" si="32"/>
        <v>4538479.6994100632</v>
      </c>
      <c r="AD172" s="6">
        <v>0.2</v>
      </c>
      <c r="AE172">
        <f t="shared" si="30"/>
        <v>907695.93988201267</v>
      </c>
      <c r="AF172">
        <f t="shared" si="31"/>
        <v>1</v>
      </c>
    </row>
    <row r="173" spans="1:32">
      <c r="A173" s="2">
        <v>172</v>
      </c>
      <c r="B173">
        <f t="shared" si="34"/>
        <v>519352.45425757725</v>
      </c>
      <c r="C173" s="6">
        <v>0.08</v>
      </c>
      <c r="D173">
        <f t="shared" si="35"/>
        <v>3666628.3270584992</v>
      </c>
      <c r="Q173">
        <f t="shared" si="36"/>
        <v>3666628.3270585281</v>
      </c>
      <c r="R173">
        <f t="shared" si="37"/>
        <v>963.71451406533538</v>
      </c>
      <c r="S173">
        <f t="shared" si="38"/>
        <v>20476294.163511373</v>
      </c>
      <c r="T173" s="6">
        <v>0.08</v>
      </c>
      <c r="V173">
        <f>SUM($R$2:R173)</f>
        <v>49775.249875555928</v>
      </c>
      <c r="W173">
        <f t="shared" si="39"/>
        <v>104.95350625301718</v>
      </c>
      <c r="Z173">
        <f t="shared" si="33"/>
        <v>2.3161417598948559E-5</v>
      </c>
      <c r="AA173" s="6">
        <v>0.3</v>
      </c>
      <c r="AB173">
        <f t="shared" si="29"/>
        <v>68254313.878371254</v>
      </c>
      <c r="AC173">
        <f t="shared" si="32"/>
        <v>4810788.481374667</v>
      </c>
      <c r="AD173" s="6">
        <v>0.2</v>
      </c>
      <c r="AE173">
        <f t="shared" si="30"/>
        <v>962157.69627493341</v>
      </c>
      <c r="AF173">
        <f t="shared" si="31"/>
        <v>1</v>
      </c>
    </row>
    <row r="174" spans="1:32">
      <c r="A174" s="2">
        <v>173</v>
      </c>
      <c r="B174">
        <f t="shared" si="34"/>
        <v>560900.65059818339</v>
      </c>
      <c r="C174" s="6">
        <v>0.08</v>
      </c>
      <c r="D174">
        <f t="shared" si="35"/>
        <v>3959958.5932231792</v>
      </c>
      <c r="Q174">
        <f t="shared" si="36"/>
        <v>3959958.5932232109</v>
      </c>
      <c r="R174">
        <f t="shared" si="37"/>
        <v>981.89780678354941</v>
      </c>
      <c r="S174">
        <f t="shared" si="38"/>
        <v>22114397.696592286</v>
      </c>
      <c r="T174" s="6">
        <v>0.08</v>
      </c>
      <c r="V174">
        <f>SUM($R$2:R174)</f>
        <v>50757.147682339477</v>
      </c>
      <c r="W174">
        <f t="shared" si="39"/>
        <v>107.02388496255108</v>
      </c>
      <c r="Z174">
        <f t="shared" si="33"/>
        <v>2.1445757036063478E-5</v>
      </c>
      <c r="AA174" s="6">
        <v>0.3</v>
      </c>
      <c r="AB174">
        <f t="shared" si="29"/>
        <v>73714658.988640964</v>
      </c>
      <c r="AC174">
        <f t="shared" si="32"/>
        <v>5099435.7902571475</v>
      </c>
      <c r="AD174" s="6">
        <v>0.2</v>
      </c>
      <c r="AE174">
        <f t="shared" si="30"/>
        <v>1019887.1580514295</v>
      </c>
      <c r="AF174">
        <f t="shared" si="31"/>
        <v>1</v>
      </c>
    </row>
    <row r="175" spans="1:32">
      <c r="A175" s="2">
        <v>174</v>
      </c>
      <c r="B175">
        <f t="shared" si="34"/>
        <v>605772.70264603803</v>
      </c>
      <c r="C175" s="6">
        <v>0.08</v>
      </c>
      <c r="D175">
        <f t="shared" si="35"/>
        <v>4276755.2806810336</v>
      </c>
      <c r="Q175">
        <f t="shared" si="36"/>
        <v>4276755.2806810681</v>
      </c>
      <c r="R175">
        <f t="shared" si="37"/>
        <v>1000.4241804964466</v>
      </c>
      <c r="S175">
        <f t="shared" si="38"/>
        <v>23883549.512319669</v>
      </c>
      <c r="T175" s="6">
        <v>0.08</v>
      </c>
      <c r="V175">
        <f>SUM($R$2:R175)</f>
        <v>51757.571862835925</v>
      </c>
      <c r="W175">
        <f t="shared" si="39"/>
        <v>109.13332742132148</v>
      </c>
      <c r="Z175">
        <f t="shared" si="33"/>
        <v>1.9857182440799518E-5</v>
      </c>
      <c r="AA175" s="6">
        <v>0.3</v>
      </c>
      <c r="AB175">
        <f t="shared" si="29"/>
        <v>79611831.70773223</v>
      </c>
      <c r="AC175">
        <f t="shared" si="32"/>
        <v>5405401.9376725769</v>
      </c>
      <c r="AD175" s="6">
        <v>0.2</v>
      </c>
      <c r="AE175">
        <f t="shared" si="30"/>
        <v>1081080.3875345155</v>
      </c>
      <c r="AF175">
        <f t="shared" si="31"/>
        <v>1</v>
      </c>
    </row>
    <row r="176" spans="1:32">
      <c r="A176" s="2">
        <v>175</v>
      </c>
      <c r="B176">
        <f t="shared" si="34"/>
        <v>654234.51885772112</v>
      </c>
      <c r="C176" s="6">
        <v>0.08</v>
      </c>
      <c r="D176">
        <f t="shared" si="35"/>
        <v>4618895.7031355165</v>
      </c>
      <c r="Q176">
        <f t="shared" si="36"/>
        <v>4618895.7031355537</v>
      </c>
      <c r="R176">
        <f t="shared" si="37"/>
        <v>1019.3001084303418</v>
      </c>
      <c r="S176">
        <f t="shared" si="38"/>
        <v>25794233.473305244</v>
      </c>
      <c r="T176" s="6">
        <v>0.08</v>
      </c>
      <c r="V176">
        <f>SUM($R$2:R176)</f>
        <v>52776.871971266264</v>
      </c>
      <c r="W176">
        <f t="shared" si="39"/>
        <v>111.28257068120074</v>
      </c>
      <c r="Z176">
        <f t="shared" si="33"/>
        <v>1.838628003777733E-5</v>
      </c>
      <c r="AA176" s="6">
        <v>0.3</v>
      </c>
      <c r="AB176">
        <f t="shared" si="29"/>
        <v>85980778.244350821</v>
      </c>
      <c r="AC176">
        <f t="shared" si="32"/>
        <v>5729726.0539329322</v>
      </c>
      <c r="AD176" s="6">
        <v>0.2</v>
      </c>
      <c r="AE176">
        <f t="shared" si="30"/>
        <v>1145945.2107865864</v>
      </c>
      <c r="AF176">
        <f t="shared" si="31"/>
        <v>1</v>
      </c>
    </row>
    <row r="177" spans="1:32">
      <c r="A177" s="2">
        <v>176</v>
      </c>
      <c r="B177">
        <f t="shared" si="34"/>
        <v>706573.28036633879</v>
      </c>
      <c r="C177" s="6">
        <v>0.08</v>
      </c>
      <c r="D177">
        <f t="shared" si="35"/>
        <v>4988407.3593863575</v>
      </c>
      <c r="Q177">
        <f t="shared" si="36"/>
        <v>4988407.3593863985</v>
      </c>
      <c r="R177">
        <f t="shared" si="37"/>
        <v>1038.5321859478952</v>
      </c>
      <c r="S177">
        <f t="shared" si="38"/>
        <v>27857772.151169665</v>
      </c>
      <c r="T177" s="6">
        <v>0.08</v>
      </c>
      <c r="V177">
        <f>SUM($R$2:R177)</f>
        <v>53815.404157214158</v>
      </c>
      <c r="W177">
        <f t="shared" si="39"/>
        <v>113.47236570070038</v>
      </c>
      <c r="Z177">
        <f t="shared" si="33"/>
        <v>1.7024333368312341E-5</v>
      </c>
      <c r="AA177" s="6">
        <v>0.3</v>
      </c>
      <c r="AB177">
        <f t="shared" si="29"/>
        <v>92859240.503898889</v>
      </c>
      <c r="AC177">
        <f t="shared" si="32"/>
        <v>6073509.617168908</v>
      </c>
      <c r="AD177" s="6">
        <v>0.2</v>
      </c>
      <c r="AE177">
        <f t="shared" si="30"/>
        <v>1214701.9234337816</v>
      </c>
      <c r="AF177">
        <f t="shared" si="31"/>
        <v>1</v>
      </c>
    </row>
    <row r="178" spans="1:32">
      <c r="A178" s="2">
        <v>177</v>
      </c>
      <c r="B178">
        <f t="shared" si="34"/>
        <v>763099.14279564586</v>
      </c>
      <c r="C178" s="6">
        <v>0.08</v>
      </c>
      <c r="D178">
        <f t="shared" si="35"/>
        <v>5387479.9481372666</v>
      </c>
      <c r="Q178">
        <f t="shared" si="36"/>
        <v>5387479.9481373094</v>
      </c>
      <c r="R178">
        <f t="shared" si="37"/>
        <v>1058.1271328525727</v>
      </c>
      <c r="S178">
        <f t="shared" si="38"/>
        <v>30086393.923263241</v>
      </c>
      <c r="T178" s="6">
        <v>0.08</v>
      </c>
      <c r="V178">
        <f>SUM($R$2:R178)</f>
        <v>54873.531290066734</v>
      </c>
      <c r="W178">
        <f t="shared" si="39"/>
        <v>115.70347760736038</v>
      </c>
      <c r="Z178">
        <f t="shared" si="33"/>
        <v>1.5763271637326241E-5</v>
      </c>
      <c r="AA178" s="6">
        <v>0.3</v>
      </c>
      <c r="AB178">
        <f t="shared" si="29"/>
        <v>100287979.74421081</v>
      </c>
      <c r="AC178">
        <f t="shared" si="32"/>
        <v>6437920.1941990424</v>
      </c>
      <c r="AD178" s="6">
        <v>0.2</v>
      </c>
      <c r="AE178">
        <f t="shared" si="30"/>
        <v>1287584.0388398087</v>
      </c>
      <c r="AF178">
        <f t="shared" si="31"/>
        <v>1</v>
      </c>
    </row>
    <row r="179" spans="1:32">
      <c r="A179" s="2">
        <v>178</v>
      </c>
      <c r="B179">
        <f t="shared" si="34"/>
        <v>824147.0742192975</v>
      </c>
      <c r="C179" s="6">
        <v>0.08</v>
      </c>
      <c r="D179">
        <f t="shared" si="35"/>
        <v>5818478.3439882481</v>
      </c>
      <c r="Q179">
        <f t="shared" si="36"/>
        <v>5818478.3439882947</v>
      </c>
      <c r="R179">
        <f t="shared" si="37"/>
        <v>1078.0917957365834</v>
      </c>
      <c r="S179">
        <f t="shared" si="38"/>
        <v>32493305.437124301</v>
      </c>
      <c r="T179" s="6">
        <v>0.08</v>
      </c>
      <c r="V179">
        <f>SUM($R$2:R179)</f>
        <v>55951.623085803316</v>
      </c>
      <c r="W179">
        <f t="shared" si="39"/>
        <v>117.97668596508944</v>
      </c>
      <c r="Z179">
        <f t="shared" si="33"/>
        <v>1.4595621886413185E-5</v>
      </c>
      <c r="AA179" s="6">
        <v>0.3</v>
      </c>
      <c r="AB179">
        <f t="shared" si="29"/>
        <v>108311018.12374768</v>
      </c>
      <c r="AC179">
        <f t="shared" si="32"/>
        <v>6824195.4058509851</v>
      </c>
      <c r="AD179" s="6">
        <v>0.2</v>
      </c>
      <c r="AE179">
        <f t="shared" si="30"/>
        <v>1364839.0811701971</v>
      </c>
      <c r="AF179">
        <f t="shared" si="31"/>
        <v>1</v>
      </c>
    </row>
    <row r="180" spans="1:32">
      <c r="A180" s="2">
        <v>179</v>
      </c>
      <c r="B180">
        <f t="shared" si="34"/>
        <v>890078.84015684132</v>
      </c>
      <c r="C180" s="6">
        <v>0.08</v>
      </c>
      <c r="D180">
        <f t="shared" si="35"/>
        <v>6283956.6115073077</v>
      </c>
      <c r="Q180">
        <f t="shared" si="36"/>
        <v>6283956.611507359</v>
      </c>
      <c r="R180">
        <f t="shared" si="37"/>
        <v>1098.433150373123</v>
      </c>
      <c r="S180">
        <f t="shared" si="38"/>
        <v>35092769.872094244</v>
      </c>
      <c r="T180" s="6">
        <v>0.08</v>
      </c>
      <c r="V180">
        <f>SUM($R$2:R180)</f>
        <v>57050.056236176439</v>
      </c>
      <c r="W180">
        <f t="shared" si="39"/>
        <v>120.29278504654924</v>
      </c>
      <c r="Z180">
        <f t="shared" si="33"/>
        <v>1.3514464709641839E-5</v>
      </c>
      <c r="AA180" s="6">
        <v>0.3</v>
      </c>
      <c r="AB180">
        <f t="shared" si="29"/>
        <v>116975899.57364748</v>
      </c>
      <c r="AC180">
        <f t="shared" si="32"/>
        <v>7233647.1302020447</v>
      </c>
      <c r="AD180" s="6">
        <v>0.2</v>
      </c>
      <c r="AE180">
        <f t="shared" si="30"/>
        <v>1446729.4260404091</v>
      </c>
      <c r="AF180">
        <f t="shared" si="31"/>
        <v>1</v>
      </c>
    </row>
    <row r="181" spans="1:32">
      <c r="A181" s="2">
        <v>180</v>
      </c>
      <c r="B181">
        <f t="shared" si="34"/>
        <v>961285.14736938861</v>
      </c>
      <c r="C181" s="6">
        <v>0.08</v>
      </c>
      <c r="D181">
        <f t="shared" si="35"/>
        <v>6786673.1404278921</v>
      </c>
      <c r="Q181">
        <f t="shared" si="36"/>
        <v>6786673.1404279489</v>
      </c>
      <c r="R181">
        <f t="shared" si="37"/>
        <v>1119.1583041537478</v>
      </c>
      <c r="S181">
        <f t="shared" si="38"/>
        <v>37900191.461861789</v>
      </c>
      <c r="T181" s="6">
        <v>0.08</v>
      </c>
      <c r="V181">
        <f>SUM($R$2:R181)</f>
        <v>58169.214540330184</v>
      </c>
      <c r="W181">
        <f t="shared" si="39"/>
        <v>122.65258411067808</v>
      </c>
      <c r="Z181">
        <f t="shared" si="33"/>
        <v>1.2513393249668367E-5</v>
      </c>
      <c r="AA181" s="6">
        <v>0.3</v>
      </c>
      <c r="AB181">
        <f t="shared" si="29"/>
        <v>126333971.53953931</v>
      </c>
      <c r="AC181">
        <f t="shared" si="32"/>
        <v>7667665.9580141678</v>
      </c>
      <c r="AD181" s="6">
        <v>0.2</v>
      </c>
      <c r="AE181">
        <f t="shared" si="30"/>
        <v>1533533.1916028336</v>
      </c>
      <c r="AF181">
        <f t="shared" si="31"/>
        <v>1</v>
      </c>
    </row>
    <row r="182" spans="1:32">
      <c r="A182" s="2">
        <v>181</v>
      </c>
      <c r="B182">
        <f t="shared" si="34"/>
        <v>1038187.9591589397</v>
      </c>
      <c r="C182" s="6">
        <v>0.08</v>
      </c>
      <c r="D182">
        <f t="shared" si="35"/>
        <v>7329606.9916621232</v>
      </c>
      <c r="Q182">
        <f t="shared" si="36"/>
        <v>7329606.9916621847</v>
      </c>
      <c r="R182">
        <f t="shared" si="37"/>
        <v>1140.2744985717432</v>
      </c>
      <c r="S182">
        <f t="shared" si="38"/>
        <v>40932206.778810732</v>
      </c>
      <c r="T182" s="6">
        <v>0.08</v>
      </c>
      <c r="V182">
        <f>SUM($R$2:R182)</f>
        <v>59309.489038901927</v>
      </c>
      <c r="W182">
        <f t="shared" si="39"/>
        <v>125.05690768545087</v>
      </c>
      <c r="Z182">
        <f t="shared" si="33"/>
        <v>1.1586475231174414E-5</v>
      </c>
      <c r="AA182" s="6">
        <v>0.3</v>
      </c>
      <c r="AB182">
        <f t="shared" si="29"/>
        <v>136440689.26270244</v>
      </c>
      <c r="AC182">
        <f t="shared" si="32"/>
        <v>8127725.9154950185</v>
      </c>
      <c r="AD182" s="6">
        <v>0.2</v>
      </c>
      <c r="AE182">
        <f t="shared" si="30"/>
        <v>1625545.1830990037</v>
      </c>
      <c r="AF182">
        <f t="shared" si="31"/>
        <v>1</v>
      </c>
    </row>
    <row r="183" spans="1:32">
      <c r="A183" s="2">
        <v>182</v>
      </c>
      <c r="B183">
        <f t="shared" si="34"/>
        <v>1121242.9958916549</v>
      </c>
      <c r="C183" s="6">
        <v>0.08</v>
      </c>
      <c r="D183">
        <f t="shared" si="35"/>
        <v>7915975.5509950928</v>
      </c>
      <c r="Q183">
        <f t="shared" si="36"/>
        <v>7915975.550995159</v>
      </c>
      <c r="R183">
        <f t="shared" si="37"/>
        <v>1161.7891117523416</v>
      </c>
      <c r="S183">
        <f t="shared" si="38"/>
        <v>44206783.321115591</v>
      </c>
      <c r="T183" s="6">
        <v>0.08</v>
      </c>
      <c r="V183">
        <f>SUM($R$2:R183)</f>
        <v>60471.278150654267</v>
      </c>
      <c r="W183">
        <f t="shared" si="39"/>
        <v>127.50659585597408</v>
      </c>
      <c r="Z183">
        <f t="shared" si="33"/>
        <v>1.0728217806642976E-5</v>
      </c>
      <c r="AA183" s="6">
        <v>0.3</v>
      </c>
      <c r="AB183">
        <f t="shared" si="29"/>
        <v>147355944.40371865</v>
      </c>
      <c r="AC183">
        <f t="shared" si="32"/>
        <v>8615389.4704247192</v>
      </c>
      <c r="AD183" s="6">
        <v>0.2</v>
      </c>
      <c r="AE183">
        <f t="shared" si="30"/>
        <v>1723077.8940849439</v>
      </c>
      <c r="AF183">
        <f t="shared" si="31"/>
        <v>1</v>
      </c>
    </row>
    <row r="184" spans="1:32">
      <c r="A184" s="2">
        <v>183</v>
      </c>
      <c r="B184">
        <f t="shared" si="34"/>
        <v>1210942.4355629873</v>
      </c>
      <c r="C184" s="6">
        <v>0.08</v>
      </c>
      <c r="D184">
        <f t="shared" si="35"/>
        <v>8549253.5950747002</v>
      </c>
      <c r="Q184">
        <f t="shared" si="36"/>
        <v>8549253.5950747747</v>
      </c>
      <c r="R184">
        <f t="shared" si="37"/>
        <v>1183.7096610306878</v>
      </c>
      <c r="S184">
        <f t="shared" si="38"/>
        <v>47743325.986804843</v>
      </c>
      <c r="T184" s="6">
        <v>0.08</v>
      </c>
      <c r="V184">
        <f>SUM($R$2:R184)</f>
        <v>61654.987811684958</v>
      </c>
      <c r="W184">
        <f t="shared" si="39"/>
        <v>130.00250455801662</v>
      </c>
      <c r="Z184">
        <f t="shared" si="33"/>
        <v>9.9335350061509023E-6</v>
      </c>
      <c r="AA184" s="6">
        <v>0.3</v>
      </c>
      <c r="AB184">
        <f t="shared" si="29"/>
        <v>159144419.95601615</v>
      </c>
      <c r="AC184">
        <f t="shared" si="32"/>
        <v>9132312.8386502024</v>
      </c>
      <c r="AD184" s="6">
        <v>0.2</v>
      </c>
      <c r="AE184">
        <f t="shared" si="30"/>
        <v>1826462.5677300405</v>
      </c>
      <c r="AF184">
        <f t="shared" si="31"/>
        <v>1</v>
      </c>
    </row>
    <row r="185" spans="1:32">
      <c r="A185" s="2">
        <v>184</v>
      </c>
      <c r="B185">
        <f t="shared" si="34"/>
        <v>1307817.8304080262</v>
      </c>
      <c r="C185" s="6">
        <v>0.08</v>
      </c>
      <c r="D185">
        <f t="shared" si="35"/>
        <v>9233193.8826806769</v>
      </c>
      <c r="Q185">
        <f t="shared" si="36"/>
        <v>9233193.8826807551</v>
      </c>
      <c r="R185">
        <f t="shared" si="37"/>
        <v>1206.0438055784366</v>
      </c>
      <c r="S185">
        <f t="shared" si="38"/>
        <v>51562792.065749235</v>
      </c>
      <c r="T185" s="6">
        <v>0.08</v>
      </c>
      <c r="V185">
        <f>SUM($R$2:R185)</f>
        <v>62861.031617263397</v>
      </c>
      <c r="W185">
        <f t="shared" si="39"/>
        <v>132.54550587707882</v>
      </c>
      <c r="Z185">
        <f t="shared" si="33"/>
        <v>9.1977175982878715E-6</v>
      </c>
      <c r="AA185" s="6">
        <v>0.3</v>
      </c>
      <c r="AB185">
        <f t="shared" si="29"/>
        <v>171875973.55249745</v>
      </c>
      <c r="AC185">
        <f t="shared" si="32"/>
        <v>9680251.6089692153</v>
      </c>
      <c r="AD185" s="6">
        <v>0.2</v>
      </c>
      <c r="AE185">
        <f t="shared" si="30"/>
        <v>1936050.3217938431</v>
      </c>
      <c r="AF185">
        <f t="shared" si="31"/>
        <v>1</v>
      </c>
    </row>
    <row r="186" spans="1:32">
      <c r="A186" s="2">
        <v>185</v>
      </c>
      <c r="B186">
        <f t="shared" si="34"/>
        <v>1412443.2568406684</v>
      </c>
      <c r="C186" s="6">
        <v>0.08</v>
      </c>
      <c r="D186">
        <f t="shared" si="35"/>
        <v>9971849.3932951316</v>
      </c>
      <c r="Q186">
        <f t="shared" si="36"/>
        <v>9971849.3932952154</v>
      </c>
      <c r="R186">
        <f t="shared" si="37"/>
        <v>1228.799349079917</v>
      </c>
      <c r="S186">
        <f t="shared" si="38"/>
        <v>55687815.431009181</v>
      </c>
      <c r="T186" s="6">
        <v>0.08</v>
      </c>
      <c r="V186">
        <f>SUM($R$2:R186)</f>
        <v>64089.830966343317</v>
      </c>
      <c r="W186">
        <f t="shared" si="39"/>
        <v>135.13648835310445</v>
      </c>
      <c r="Z186">
        <f t="shared" si="33"/>
        <v>8.5164051835998808E-6</v>
      </c>
      <c r="AA186" s="6">
        <v>0.3</v>
      </c>
      <c r="AB186">
        <f t="shared" si="29"/>
        <v>185626051.43669727</v>
      </c>
      <c r="AC186">
        <f t="shared" si="32"/>
        <v>10261066.705507368</v>
      </c>
      <c r="AD186" s="6">
        <v>0.2</v>
      </c>
      <c r="AE186">
        <f t="shared" si="30"/>
        <v>2052213.3411014737</v>
      </c>
      <c r="AF186">
        <f t="shared" si="31"/>
        <v>1</v>
      </c>
    </row>
    <row r="187" spans="1:32">
      <c r="A187" s="2">
        <v>186</v>
      </c>
      <c r="B187">
        <f t="shared" si="34"/>
        <v>1525438.7173879219</v>
      </c>
      <c r="C187" s="6">
        <v>0.08</v>
      </c>
      <c r="D187">
        <f t="shared" si="35"/>
        <v>10769597.344758742</v>
      </c>
      <c r="Q187">
        <f t="shared" si="36"/>
        <v>10769597.344758835</v>
      </c>
      <c r="R187">
        <f t="shared" si="37"/>
        <v>1251.9842424587835</v>
      </c>
      <c r="S187">
        <f t="shared" si="38"/>
        <v>60142840.665489919</v>
      </c>
      <c r="T187" s="6">
        <v>0.08</v>
      </c>
      <c r="V187">
        <f>SUM($R$2:R187)</f>
        <v>65341.815208802102</v>
      </c>
      <c r="W187">
        <f t="shared" si="39"/>
        <v>137.77635729094189</v>
      </c>
      <c r="Z187">
        <f t="shared" si="33"/>
        <v>7.885560355185074E-6</v>
      </c>
      <c r="AA187" s="6">
        <v>0.3</v>
      </c>
      <c r="AB187">
        <f t="shared" si="29"/>
        <v>200476135.55163306</v>
      </c>
      <c r="AC187">
        <f t="shared" si="32"/>
        <v>10876730.707837811</v>
      </c>
      <c r="AD187" s="6">
        <v>0.2</v>
      </c>
      <c r="AE187">
        <f t="shared" si="30"/>
        <v>2175346.1415675622</v>
      </c>
      <c r="AF187">
        <f t="shared" si="31"/>
        <v>1</v>
      </c>
    </row>
    <row r="188" spans="1:32">
      <c r="A188" s="2">
        <v>187</v>
      </c>
      <c r="B188">
        <f t="shared" si="34"/>
        <v>1647473.8147789557</v>
      </c>
      <c r="C188" s="6">
        <v>0.08</v>
      </c>
      <c r="D188">
        <f t="shared" si="35"/>
        <v>11631165.13233944</v>
      </c>
      <c r="Q188">
        <f t="shared" si="36"/>
        <v>11631165.132339541</v>
      </c>
      <c r="R188">
        <f t="shared" si="37"/>
        <v>1275.6065866561191</v>
      </c>
      <c r="S188">
        <f t="shared" si="38"/>
        <v>64954267.918729119</v>
      </c>
      <c r="T188" s="6">
        <v>0.08</v>
      </c>
      <c r="V188">
        <f>SUM($R$2:R188)</f>
        <v>66617.421795458227</v>
      </c>
      <c r="W188">
        <f t="shared" si="39"/>
        <v>140.46603507666308</v>
      </c>
      <c r="Z188">
        <f t="shared" si="33"/>
        <v>7.3014447733195125E-6</v>
      </c>
      <c r="AA188" s="6">
        <v>0.3</v>
      </c>
      <c r="AB188">
        <f t="shared" si="29"/>
        <v>216514226.39576373</v>
      </c>
      <c r="AC188">
        <f t="shared" si="32"/>
        <v>11529334.55030808</v>
      </c>
      <c r="AD188" s="6">
        <v>0.2</v>
      </c>
      <c r="AE188">
        <f t="shared" si="30"/>
        <v>2305866.910061616</v>
      </c>
      <c r="AF188">
        <f t="shared" si="31"/>
        <v>1</v>
      </c>
    </row>
    <row r="189" spans="1:32">
      <c r="A189" s="2">
        <v>188</v>
      </c>
      <c r="B189">
        <f t="shared" si="34"/>
        <v>1779271.7199612721</v>
      </c>
      <c r="C189" s="6">
        <v>0.08</v>
      </c>
      <c r="D189">
        <f t="shared" si="35"/>
        <v>12561658.342926595</v>
      </c>
      <c r="Q189">
        <f t="shared" si="36"/>
        <v>12561658.342926703</v>
      </c>
      <c r="R189">
        <f t="shared" si="37"/>
        <v>1299.6746354609513</v>
      </c>
      <c r="S189">
        <f t="shared" si="38"/>
        <v>70150609.352227449</v>
      </c>
      <c r="T189" s="6">
        <v>0.08</v>
      </c>
      <c r="V189">
        <f>SUM($R$2:R189)</f>
        <v>67917.096430919177</v>
      </c>
      <c r="W189">
        <f t="shared" si="39"/>
        <v>143.20646149985066</v>
      </c>
      <c r="Z189">
        <f t="shared" si="33"/>
        <v>6.7605970123328813E-6</v>
      </c>
      <c r="AA189" s="6">
        <v>0.3</v>
      </c>
      <c r="AB189">
        <f t="shared" si="29"/>
        <v>233835364.50742483</v>
      </c>
      <c r="AC189">
        <f t="shared" si="32"/>
        <v>12221094.623326566</v>
      </c>
      <c r="AD189" s="6">
        <v>0.2</v>
      </c>
      <c r="AE189">
        <f t="shared" si="30"/>
        <v>2444218.9246653132</v>
      </c>
      <c r="AF189">
        <f t="shared" si="31"/>
        <v>1</v>
      </c>
    </row>
    <row r="190" spans="1:32">
      <c r="A190" s="2">
        <v>189</v>
      </c>
      <c r="B190">
        <f t="shared" si="34"/>
        <v>1921613.4575581739</v>
      </c>
      <c r="C190" s="6">
        <v>0.08</v>
      </c>
      <c r="D190">
        <f t="shared" si="35"/>
        <v>13566591.010360723</v>
      </c>
      <c r="Q190">
        <f t="shared" si="36"/>
        <v>13566591.010360841</v>
      </c>
      <c r="R190">
        <f t="shared" si="37"/>
        <v>1324.1967983941768</v>
      </c>
      <c r="S190">
        <f t="shared" si="38"/>
        <v>75762658.100405648</v>
      </c>
      <c r="T190" s="6">
        <v>0.08</v>
      </c>
      <c r="V190">
        <f>SUM($R$2:R190)</f>
        <v>69241.293229313349</v>
      </c>
      <c r="W190">
        <f t="shared" si="39"/>
        <v>145.99859408196633</v>
      </c>
      <c r="Z190">
        <f t="shared" si="33"/>
        <v>6.2598120484563715E-6</v>
      </c>
      <c r="AA190" s="6">
        <v>0.3</v>
      </c>
      <c r="AB190">
        <f t="shared" si="29"/>
        <v>252542193.66801885</v>
      </c>
      <c r="AC190">
        <f t="shared" si="32"/>
        <v>12954360.30072616</v>
      </c>
      <c r="AD190" s="6">
        <v>0.2</v>
      </c>
      <c r="AE190">
        <f t="shared" si="30"/>
        <v>2590872.0601452324</v>
      </c>
      <c r="AF190">
        <f t="shared" si="31"/>
        <v>1</v>
      </c>
    </row>
    <row r="191" spans="1:32">
      <c r="A191" s="2">
        <v>190</v>
      </c>
      <c r="B191">
        <f t="shared" si="34"/>
        <v>2075342.5341628278</v>
      </c>
      <c r="C191" s="6">
        <v>0.08</v>
      </c>
      <c r="D191">
        <f t="shared" si="35"/>
        <v>14651918.291189581</v>
      </c>
      <c r="Q191">
        <f t="shared" si="36"/>
        <v>14651918.291189708</v>
      </c>
      <c r="R191">
        <f t="shared" si="37"/>
        <v>1349.1816436468969</v>
      </c>
      <c r="S191">
        <f t="shared" si="38"/>
        <v>81823670.748438105</v>
      </c>
      <c r="T191" s="6">
        <v>0.08</v>
      </c>
      <c r="V191">
        <f>SUM($R$2:R191)</f>
        <v>70590.474872960243</v>
      </c>
      <c r="W191">
        <f t="shared" si="39"/>
        <v>148.84340841091435</v>
      </c>
      <c r="Z191">
        <f t="shared" si="33"/>
        <v>5.7961222670892322E-6</v>
      </c>
      <c r="AA191" s="6">
        <v>0.3</v>
      </c>
      <c r="AB191">
        <f t="shared" si="29"/>
        <v>272745569.16146034</v>
      </c>
      <c r="AC191">
        <f t="shared" si="32"/>
        <v>13731621.91876973</v>
      </c>
      <c r="AD191" s="6">
        <v>0.2</v>
      </c>
      <c r="AE191">
        <f t="shared" si="30"/>
        <v>2746324.3837539461</v>
      </c>
      <c r="AF191">
        <f t="shared" si="31"/>
        <v>1</v>
      </c>
    </row>
    <row r="192" spans="1:32">
      <c r="A192" s="2">
        <v>191</v>
      </c>
      <c r="B192">
        <f t="shared" si="34"/>
        <v>2241369.9368958538</v>
      </c>
      <c r="C192" s="6">
        <v>0.08</v>
      </c>
      <c r="D192">
        <f t="shared" si="35"/>
        <v>15824071.754484748</v>
      </c>
      <c r="Q192">
        <f t="shared" si="36"/>
        <v>15824071.754484888</v>
      </c>
      <c r="R192">
        <f t="shared" si="37"/>
        <v>1374.6379010741969</v>
      </c>
      <c r="S192">
        <f t="shared" si="38"/>
        <v>88369564.408313155</v>
      </c>
      <c r="T192" s="6">
        <v>0.08</v>
      </c>
      <c r="V192">
        <f>SUM($R$2:R192)</f>
        <v>71965.112774034438</v>
      </c>
      <c r="W192">
        <f t="shared" si="39"/>
        <v>151.74189848191801</v>
      </c>
      <c r="Z192">
        <f t="shared" si="33"/>
        <v>5.3667798769344741E-6</v>
      </c>
      <c r="AA192" s="6">
        <v>0.3</v>
      </c>
      <c r="AB192">
        <f t="shared" si="29"/>
        <v>294565214.69437718</v>
      </c>
      <c r="AC192">
        <f t="shared" si="32"/>
        <v>14555519.233895915</v>
      </c>
      <c r="AD192" s="6">
        <v>0.2</v>
      </c>
      <c r="AE192">
        <f t="shared" si="30"/>
        <v>2911103.846779183</v>
      </c>
      <c r="AF192">
        <f t="shared" si="31"/>
        <v>1</v>
      </c>
    </row>
    <row r="193" spans="1:32">
      <c r="A193" s="2">
        <v>192</v>
      </c>
      <c r="B193">
        <f t="shared" si="34"/>
        <v>2420679.5318475221</v>
      </c>
      <c r="C193" s="6">
        <v>0.08</v>
      </c>
      <c r="D193">
        <f t="shared" si="35"/>
        <v>17089997.494843528</v>
      </c>
      <c r="Q193">
        <f t="shared" si="36"/>
        <v>17089997.494843684</v>
      </c>
      <c r="R193">
        <f t="shared" si="37"/>
        <v>1400.574465245408</v>
      </c>
      <c r="S193">
        <f t="shared" si="38"/>
        <v>95439129.560978219</v>
      </c>
      <c r="T193" s="6">
        <v>0.08</v>
      </c>
      <c r="V193">
        <f>SUM($R$2:R193)</f>
        <v>73365.68723927984</v>
      </c>
      <c r="W193">
        <f t="shared" si="39"/>
        <v>154.6950770448274</v>
      </c>
      <c r="Z193">
        <f t="shared" si="33"/>
        <v>4.9692406267911792E-6</v>
      </c>
      <c r="AA193" s="6">
        <v>0.3</v>
      </c>
      <c r="AB193">
        <f t="shared" si="29"/>
        <v>318130431.86992741</v>
      </c>
      <c r="AC193">
        <f t="shared" si="32"/>
        <v>15428850.387929671</v>
      </c>
      <c r="AD193" s="6">
        <v>0.2</v>
      </c>
      <c r="AE193">
        <f t="shared" si="30"/>
        <v>3085770.0775859342</v>
      </c>
      <c r="AF193">
        <f t="shared" si="31"/>
        <v>1</v>
      </c>
    </row>
    <row r="194" spans="1:32">
      <c r="A194" s="2">
        <v>193</v>
      </c>
      <c r="B194">
        <f t="shared" si="34"/>
        <v>2614333.8943953239</v>
      </c>
      <c r="C194" s="6">
        <v>0.08</v>
      </c>
      <c r="D194">
        <f t="shared" si="35"/>
        <v>18457197.294431008</v>
      </c>
      <c r="Q194">
        <f t="shared" si="36"/>
        <v>18457197.294431176</v>
      </c>
      <c r="R194">
        <f t="shared" si="37"/>
        <v>1427.0003985519259</v>
      </c>
      <c r="S194">
        <f t="shared" si="38"/>
        <v>103074259.92585649</v>
      </c>
      <c r="T194" s="6">
        <v>0.08</v>
      </c>
      <c r="V194">
        <f>SUM($R$2:R194)</f>
        <v>74792.687637831768</v>
      </c>
      <c r="W194">
        <f t="shared" si="39"/>
        <v>157.70397595798036</v>
      </c>
      <c r="Z194">
        <f t="shared" si="33"/>
        <v>4.6011487285103514E-6</v>
      </c>
      <c r="AA194" s="6">
        <v>0.3</v>
      </c>
      <c r="AB194">
        <f t="shared" si="29"/>
        <v>343580866.41952163</v>
      </c>
      <c r="AC194">
        <f t="shared" si="32"/>
        <v>16354581.411205452</v>
      </c>
      <c r="AD194" s="6">
        <v>0.2</v>
      </c>
      <c r="AE194">
        <f t="shared" si="30"/>
        <v>3270916.2822410907</v>
      </c>
      <c r="AF194">
        <f t="shared" si="31"/>
        <v>1</v>
      </c>
    </row>
    <row r="195" spans="1:32">
      <c r="A195" s="2">
        <v>194</v>
      </c>
      <c r="B195">
        <f t="shared" si="34"/>
        <v>2823480.6059469497</v>
      </c>
      <c r="C195" s="6">
        <v>0.08</v>
      </c>
      <c r="D195">
        <f t="shared" si="35"/>
        <v>19933773.077985488</v>
      </c>
      <c r="Q195">
        <f t="shared" si="36"/>
        <v>19933773.077985674</v>
      </c>
      <c r="R195">
        <f t="shared" si="37"/>
        <v>1453.9249343736603</v>
      </c>
      <c r="S195">
        <f t="shared" si="38"/>
        <v>111320200.71992502</v>
      </c>
      <c r="T195" s="6">
        <v>0.08</v>
      </c>
      <c r="V195">
        <f>SUM($R$2:R195)</f>
        <v>76246.612572205428</v>
      </c>
      <c r="W195">
        <f t="shared" si="39"/>
        <v>160.76964654873998</v>
      </c>
      <c r="Z195">
        <f t="shared" si="33"/>
        <v>4.2603228967688431E-6</v>
      </c>
      <c r="AA195" s="6">
        <v>0.3</v>
      </c>
      <c r="AB195">
        <f t="shared" ref="AB195:AB201" si="40">S195/AA195</f>
        <v>371067335.73308343</v>
      </c>
      <c r="AC195">
        <f t="shared" si="32"/>
        <v>17335856.295877781</v>
      </c>
      <c r="AD195" s="6">
        <v>0.2</v>
      </c>
      <c r="AE195">
        <f t="shared" ref="AE195:AE201" si="41">AC195*AD195</f>
        <v>3467171.2591755562</v>
      </c>
      <c r="AF195">
        <f t="shared" ref="AF195:AF201" si="42">IF(AB195&gt;AE195, 1, 0)</f>
        <v>1</v>
      </c>
    </row>
    <row r="196" spans="1:32">
      <c r="A196" s="2">
        <v>195</v>
      </c>
      <c r="B196">
        <f t="shared" si="34"/>
        <v>3049359.0544227054</v>
      </c>
      <c r="C196" s="6">
        <v>0.08</v>
      </c>
      <c r="D196">
        <f t="shared" si="35"/>
        <v>21528474.924224328</v>
      </c>
      <c r="Q196">
        <f t="shared" si="36"/>
        <v>21528474.924224526</v>
      </c>
      <c r="R196">
        <f t="shared" si="37"/>
        <v>1481.3574803052388</v>
      </c>
      <c r="S196">
        <f t="shared" si="38"/>
        <v>120225816.77751903</v>
      </c>
      <c r="T196" s="6">
        <v>0.08</v>
      </c>
      <c r="V196">
        <f>SUM($R$2:R196)</f>
        <v>77727.97005251066</v>
      </c>
      <c r="W196">
        <f t="shared" si="39"/>
        <v>163.8931599808347</v>
      </c>
      <c r="Z196">
        <f t="shared" si="33"/>
        <v>3.9447434229341137E-6</v>
      </c>
      <c r="AA196" s="6">
        <v>0.3</v>
      </c>
      <c r="AB196">
        <f t="shared" si="40"/>
        <v>400752722.59173012</v>
      </c>
      <c r="AC196">
        <f t="shared" ref="AC196:AC201" si="43">AC195*(1+$U$2)</f>
        <v>18376007.67363045</v>
      </c>
      <c r="AD196" s="6">
        <v>0.2</v>
      </c>
      <c r="AE196">
        <f t="shared" si="41"/>
        <v>3675201.5347260903</v>
      </c>
      <c r="AF196">
        <f t="shared" si="42"/>
        <v>1</v>
      </c>
    </row>
    <row r="197" spans="1:32">
      <c r="A197" s="2">
        <v>196</v>
      </c>
      <c r="B197">
        <f t="shared" si="34"/>
        <v>3293307.7787765218</v>
      </c>
      <c r="C197" s="6">
        <v>0.08</v>
      </c>
      <c r="D197">
        <f t="shared" si="35"/>
        <v>23250752.918162275</v>
      </c>
      <c r="Q197">
        <f t="shared" si="36"/>
        <v>23250752.918162487</v>
      </c>
      <c r="R197">
        <f t="shared" si="37"/>
        <v>1509.3076214430735</v>
      </c>
      <c r="S197">
        <f t="shared" si="38"/>
        <v>129843882.11972056</v>
      </c>
      <c r="T197" s="6">
        <v>0.08</v>
      </c>
      <c r="V197">
        <f>SUM($R$2:R197)</f>
        <v>79237.277673953737</v>
      </c>
      <c r="W197">
        <f t="shared" si="39"/>
        <v>167.07560762862931</v>
      </c>
      <c r="Z197">
        <f t="shared" si="33"/>
        <v>3.6525402064204753E-6</v>
      </c>
      <c r="AA197" s="6">
        <v>0.3</v>
      </c>
      <c r="AB197">
        <f t="shared" si="40"/>
        <v>432812940.39906853</v>
      </c>
      <c r="AC197">
        <f t="shared" si="43"/>
        <v>19478568.134048279</v>
      </c>
      <c r="AD197" s="6">
        <v>0.2</v>
      </c>
      <c r="AE197">
        <f t="shared" si="41"/>
        <v>3895713.6268096562</v>
      </c>
      <c r="AF197">
        <f t="shared" si="42"/>
        <v>1</v>
      </c>
    </row>
    <row r="198" spans="1:32">
      <c r="A198" s="2">
        <v>197</v>
      </c>
      <c r="B198">
        <f t="shared" si="34"/>
        <v>3556772.4010786437</v>
      </c>
      <c r="C198" s="6">
        <v>0.08</v>
      </c>
      <c r="D198">
        <f t="shared" si="35"/>
        <v>25110813.151615258</v>
      </c>
      <c r="Q198">
        <f t="shared" si="36"/>
        <v>25110813.151615489</v>
      </c>
      <c r="R198">
        <f t="shared" si="37"/>
        <v>1537.7851237344521</v>
      </c>
      <c r="S198">
        <f t="shared" si="38"/>
        <v>140231392.68929821</v>
      </c>
      <c r="T198" s="6">
        <v>0.08</v>
      </c>
      <c r="V198">
        <f>SUM($R$2:R198)</f>
        <v>80775.062797688195</v>
      </c>
      <c r="W198">
        <f t="shared" si="39"/>
        <v>170.31810145845779</v>
      </c>
      <c r="Z198">
        <f t="shared" si="33"/>
        <v>3.381981672611551E-6</v>
      </c>
      <c r="AA198" s="6">
        <v>0.3</v>
      </c>
      <c r="AB198">
        <f t="shared" si="40"/>
        <v>467437975.63099408</v>
      </c>
      <c r="AC198">
        <f t="shared" si="43"/>
        <v>20647282.222091176</v>
      </c>
      <c r="AD198" s="6">
        <v>0.2</v>
      </c>
      <c r="AE198">
        <f t="shared" si="41"/>
        <v>4129456.4444182352</v>
      </c>
      <c r="AF198">
        <f t="shared" si="42"/>
        <v>1</v>
      </c>
    </row>
    <row r="199" spans="1:32">
      <c r="A199" s="2">
        <v>198</v>
      </c>
      <c r="B199">
        <f t="shared" si="34"/>
        <v>3841314.1931649353</v>
      </c>
      <c r="C199" s="6">
        <v>0.08</v>
      </c>
      <c r="D199">
        <f t="shared" si="35"/>
        <v>27119678.203744479</v>
      </c>
      <c r="Q199">
        <f t="shared" si="36"/>
        <v>27119678.203744728</v>
      </c>
      <c r="R199">
        <f t="shared" si="37"/>
        <v>1566.7999373898194</v>
      </c>
      <c r="S199">
        <f t="shared" si="38"/>
        <v>151449904.10444209</v>
      </c>
      <c r="T199" s="6">
        <v>0.08</v>
      </c>
      <c r="V199">
        <f>SUM($R$2:R199)</f>
        <v>82341.862735078015</v>
      </c>
      <c r="W199">
        <f t="shared" si="39"/>
        <v>173.62177441715096</v>
      </c>
      <c r="Z199">
        <f t="shared" si="33"/>
        <v>3.1314645116773618E-6</v>
      </c>
      <c r="AA199" s="6">
        <v>0.3</v>
      </c>
      <c r="AB199">
        <f t="shared" si="40"/>
        <v>504833013.68147367</v>
      </c>
      <c r="AC199">
        <f t="shared" si="43"/>
        <v>21886119.155416649</v>
      </c>
      <c r="AD199" s="6">
        <v>0.2</v>
      </c>
      <c r="AE199">
        <f t="shared" si="41"/>
        <v>4377223.8310833303</v>
      </c>
      <c r="AF199">
        <f t="shared" si="42"/>
        <v>1</v>
      </c>
    </row>
    <row r="200" spans="1:32">
      <c r="A200" s="2">
        <v>199</v>
      </c>
      <c r="B200">
        <f t="shared" si="34"/>
        <v>4148619.3286181302</v>
      </c>
      <c r="C200" s="6">
        <v>0.08</v>
      </c>
      <c r="D200">
        <f t="shared" si="35"/>
        <v>29289252.460044038</v>
      </c>
      <c r="Q200">
        <f t="shared" si="36"/>
        <v>29289252.460044313</v>
      </c>
      <c r="R200">
        <f t="shared" si="37"/>
        <v>1596.3622003594385</v>
      </c>
      <c r="S200">
        <f t="shared" si="38"/>
        <v>163565896.43279746</v>
      </c>
      <c r="T200" s="6">
        <v>0.08</v>
      </c>
      <c r="V200">
        <f>SUM($R$2:R200)</f>
        <v>83938.224935437451</v>
      </c>
      <c r="W200">
        <f t="shared" si="39"/>
        <v>176.98778082789494</v>
      </c>
      <c r="Z200">
        <f t="shared" si="33"/>
        <v>2.8995041774790384E-6</v>
      </c>
      <c r="AA200" s="6">
        <v>0.3</v>
      </c>
      <c r="AB200">
        <f t="shared" si="40"/>
        <v>545219654.77599156</v>
      </c>
      <c r="AC200">
        <f t="shared" si="43"/>
        <v>23199286.304741647</v>
      </c>
      <c r="AD200" s="6">
        <v>0.2</v>
      </c>
      <c r="AE200">
        <f t="shared" si="41"/>
        <v>4639857.2609483292</v>
      </c>
      <c r="AF200">
        <f t="shared" si="42"/>
        <v>1</v>
      </c>
    </row>
    <row r="201" spans="1:32">
      <c r="A201" s="2">
        <v>200</v>
      </c>
      <c r="B201">
        <f>B200+B200*C200</f>
        <v>4480508.8749075802</v>
      </c>
      <c r="C201" s="6">
        <v>0.08</v>
      </c>
      <c r="D201">
        <f>D200+D200*C200</f>
        <v>31632392.656847559</v>
      </c>
      <c r="Q201">
        <f>$D$2*((1+$C$2)^A200)</f>
        <v>31632392.656847857</v>
      </c>
      <c r="R201">
        <f>S201/((1+$U$2)^A200)</f>
        <v>1626.4822418756539</v>
      </c>
      <c r="S201">
        <f>S200*(1+T200)</f>
        <v>176651168.14742127</v>
      </c>
      <c r="T201" s="6">
        <v>0.08</v>
      </c>
      <c r="V201">
        <f>SUM($R$2:R201)</f>
        <v>85564.707177313103</v>
      </c>
      <c r="W201">
        <f>V201/$W$2</f>
        <v>180.41729679355862</v>
      </c>
      <c r="Z201">
        <f t="shared" si="33"/>
        <v>2.6847260902583686E-6</v>
      </c>
      <c r="AA201" s="6">
        <v>0.3</v>
      </c>
      <c r="AB201">
        <f t="shared" si="40"/>
        <v>588837227.15807092</v>
      </c>
      <c r="AC201">
        <f t="shared" si="43"/>
        <v>24591243.483026147</v>
      </c>
      <c r="AD201" s="6">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3.5"/>
  <sheetData>
    <row r="3" spans="3:3">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52388</xdr:colOff>
                <xdr:row>37</xdr:row>
                <xdr:rowOff>52388</xdr:rowOff>
              </from>
              <to>
                <xdr:col>15</xdr:col>
                <xdr:colOff>547688</xdr:colOff>
                <xdr:row>59</xdr:row>
                <xdr:rowOff>90488</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100013</xdr:colOff>
                <xdr:row>1</xdr:row>
                <xdr:rowOff>38100</xdr:rowOff>
              </from>
              <to>
                <xdr:col>25</xdr:col>
                <xdr:colOff>471488</xdr:colOff>
                <xdr:row>36</xdr:row>
                <xdr:rowOff>100013</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166688</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血液制品</vt:lpstr>
      <vt:lpstr>疫苗</vt:lpstr>
      <vt:lpstr>mRNA疫苗</vt:lpstr>
      <vt:lpstr>生长素</vt:lpstr>
      <vt:lpstr>医美相关</vt:lpstr>
      <vt:lpstr>合成生物</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hxffish@163.com</cp:lastModifiedBy>
  <dcterms:created xsi:type="dcterms:W3CDTF">2018-08-09T11:49:58Z</dcterms:created>
  <dcterms:modified xsi:type="dcterms:W3CDTF">2024-05-05T12:30:40Z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