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004Investment\value-investment\估值分析\行业利基详细分析\通信\"/>
    </mc:Choice>
  </mc:AlternateContent>
  <bookViews>
    <workbookView xWindow="-110" yWindow="-110" windowWidth="20270" windowHeight="9130" activeTab="1"/>
  </bookViews>
  <sheets>
    <sheet name="通信模组" sheetId="46" r:id="rId1"/>
    <sheet name="射频前端" sheetId="47" r:id="rId2"/>
    <sheet name="公司价值折现" sheetId="42" r:id="rId3"/>
    <sheet name="基本面模型" sheetId="2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<sst xmlns="http://schemas.openxmlformats.org/spreadsheetml/2006/main" count="978" uniqueCount="763">
  <si>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</si>
  <si>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</si>
  <si>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</si>
  <si>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</si>
  <si>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</si>
  <si>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</si>
  <si>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</si>
  <si>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</si>
  <si>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预期多</t>
    <phoneticPr fontId="1" type="noConversion"/>
  </si>
  <si>
    <t>预期空</t>
    <phoneticPr fontId="1" type="noConversion"/>
  </si>
  <si>
    <t>负债合计</t>
  </si>
  <si>
    <t>所有者权益合计</t>
  </si>
  <si>
    <t>主营业务收入</t>
  </si>
  <si>
    <t>当季营业收入(同比增长率) %</t>
  </si>
  <si>
    <t>去年营业总收入</t>
  </si>
  <si>
    <t>净利润？</t>
  </si>
  <si>
    <t>净利润增长率</t>
  </si>
  <si>
    <t>去年净利润</t>
  </si>
  <si>
    <t>销售毛利率同比增长率</t>
  </si>
  <si>
    <t>总股本</t>
  </si>
  <si>
    <t>权益乘数</t>
  </si>
  <si>
    <t>总资产周转率</t>
  </si>
  <si>
    <t>净利润／营业总收入</t>
  </si>
  <si>
    <t>营业总成本</t>
  </si>
  <si>
    <t>营业成本</t>
  </si>
  <si>
    <t>管理费用</t>
  </si>
  <si>
    <t>研发费用总额</t>
  </si>
  <si>
    <t>财务费用</t>
  </si>
  <si>
    <t>投资收益</t>
  </si>
  <si>
    <t>应收账款</t>
  </si>
  <si>
    <t>1.35亿</t>
  </si>
  <si>
    <t>2.77亿</t>
  </si>
  <si>
    <t>2.58亿</t>
  </si>
  <si>
    <t>5.69亿</t>
  </si>
  <si>
    <t>1.20亿</t>
  </si>
  <si>
    <t>1.88亿</t>
  </si>
  <si>
    <t>1.42亿</t>
  </si>
  <si>
    <t>2.09亿</t>
  </si>
  <si>
    <t>8.55亿</t>
  </si>
  <si>
    <t>1.14亿</t>
  </si>
  <si>
    <t>1.07亿</t>
  </si>
  <si>
    <t>1.24亿</t>
  </si>
  <si>
    <t>2.82亿</t>
  </si>
  <si>
    <t>4.61亿</t>
  </si>
  <si>
    <t>1.56亿</t>
  </si>
  <si>
    <t>2.15亿</t>
  </si>
  <si>
    <t>1.62亿</t>
  </si>
  <si>
    <t>1.18亿</t>
  </si>
  <si>
    <t>2.72亿</t>
  </si>
  <si>
    <t>3.61亿</t>
  </si>
  <si>
    <t>3.35亿</t>
  </si>
  <si>
    <t>1.12亿</t>
  </si>
  <si>
    <t>1.96亿</t>
  </si>
  <si>
    <t>2.70亿</t>
  </si>
  <si>
    <t>7.91亿</t>
  </si>
  <si>
    <t>6.03亿</t>
  </si>
  <si>
    <t>16.10亿</t>
  </si>
  <si>
    <t>4.56亿</t>
  </si>
  <si>
    <t>1.64亿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</si>
  <si>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</si>
  <si>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</si>
  <si>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</si>
  <si>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</si>
  <si>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</si>
  <si>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</si>
  <si>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</si>
  <si>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</si>
  <si>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</si>
  <si>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</si>
  <si>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</si>
  <si>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</si>
  <si>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</si>
  <si>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</si>
  <si>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</si>
  <si>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</si>
  <si>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</si>
  <si>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</si>
  <si>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</si>
  <si>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</si>
  <si>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</si>
  <si>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</si>
  <si>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</si>
  <si>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</si>
  <si>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</si>
  <si>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</si>
  <si>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</si>
  <si>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</si>
  <si>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</si>
  <si>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</si>
  <si>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</si>
  <si>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</si>
  <si>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</si>
  <si>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</si>
  <si>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</si>
  <si>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</si>
  <si>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</si>
  <si>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</si>
  <si>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营业收入[20151231]</t>
  </si>
  <si>
    <t>净利润[20191231]</t>
  </si>
  <si>
    <t>净利润[20181231]</t>
  </si>
  <si>
    <t>净利润[20171231]</t>
  </si>
  <si>
    <t>净利润[20161231]</t>
  </si>
  <si>
    <t>净利润[20151231]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</si>
  <si>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</si>
  <si>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</si>
  <si>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</si>
  <si>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</si>
  <si>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</si>
  <si>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</si>
  <si>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</si>
  <si>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</si>
  <si>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</si>
  <si>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</si>
  <si>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5.74亿</t>
  </si>
  <si>
    <t>已知和基本信息</t>
    <phoneticPr fontId="1" type="noConversion"/>
  </si>
  <si>
    <t>计算机设备</t>
  </si>
  <si>
    <t>1.68亿</t>
  </si>
  <si>
    <t>CYLQ营业收入[20210331]</t>
  </si>
  <si>
    <t>LYCQ营业收入[20200630]</t>
  </si>
  <si>
    <t>LYLQ营业收入[20200331]</t>
  </si>
  <si>
    <t>CYLQ净利润[20210331]</t>
  </si>
  <si>
    <t>LYCQ净利润[20200630]</t>
  </si>
  <si>
    <t>LYLQ净利润[20200331]</t>
  </si>
  <si>
    <t>7.82亿</t>
  </si>
  <si>
    <t>涨幅%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</si>
  <si>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</si>
  <si>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</si>
  <si>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</si>
  <si>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</si>
  <si>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</si>
  <si>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</si>
  <si>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</si>
  <si>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</si>
  <si>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</si>
  <si>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</si>
  <si>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</si>
  <si>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</si>
  <si>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</si>
  <si>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</si>
  <si>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</si>
  <si>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投入资本回报率roic%[20211231]</t>
  </si>
  <si>
    <t>净资产收益率%[20211231]</t>
  </si>
  <si>
    <t/>
  </si>
  <si>
    <t>-1-0</t>
  </si>
  <si>
    <t>量比</t>
  </si>
  <si>
    <t>扣除非经常性损益后的净利润[20220331]</t>
  </si>
  <si>
    <t>区间涨跌幅:前复权%[20220613-20220617]</t>
  </si>
  <si>
    <t>区间涨跌幅:前复权%[20220506-20220617]</t>
  </si>
  <si>
    <t>区间成交量[20220613-20220617]</t>
  </si>
  <si>
    <t>指数@区间成交量[20220506-20220617]</t>
  </si>
  <si>
    <t>亏损</t>
  </si>
  <si>
    <t>扭亏</t>
  </si>
  <si>
    <t>4.06亿</t>
  </si>
  <si>
    <t>6.31亿</t>
  </si>
  <si>
    <t>1.59亿</t>
  </si>
  <si>
    <t>4.01亿</t>
  </si>
  <si>
    <t>3.18亿</t>
  </si>
  <si>
    <t>19.15亿</t>
  </si>
  <si>
    <t>3.99亿</t>
  </si>
  <si>
    <t>1.01亿</t>
  </si>
  <si>
    <t>1.39亿</t>
  </si>
  <si>
    <t>2.16亿</t>
  </si>
  <si>
    <t>2.23亿</t>
  </si>
  <si>
    <t>21.44亿</t>
  </si>
  <si>
    <t>-2.49亿</t>
  </si>
  <si>
    <t>7.08万</t>
  </si>
  <si>
    <t>2.10亿</t>
  </si>
  <si>
    <t>2-1</t>
  </si>
  <si>
    <t>3.43亿</t>
  </si>
  <si>
    <t>14.56亿</t>
  </si>
  <si>
    <t>1.33亿</t>
  </si>
  <si>
    <t>1.60亿</t>
  </si>
  <si>
    <t>1.13亿</t>
  </si>
  <si>
    <t>SH603236</t>
  </si>
  <si>
    <t>移远通信</t>
  </si>
  <si>
    <t>通信设备</t>
  </si>
  <si>
    <t>SZ300638</t>
  </si>
  <si>
    <t>广和通</t>
  </si>
  <si>
    <t>SH688018</t>
  </si>
  <si>
    <t>乐鑫科技</t>
  </si>
  <si>
    <t>半导体及元件</t>
  </si>
  <si>
    <t>SZ002881</t>
  </si>
  <si>
    <t>美格智能</t>
  </si>
  <si>
    <t>消费电子</t>
  </si>
  <si>
    <t>SZ300590</t>
  </si>
  <si>
    <t>移为通信</t>
  </si>
  <si>
    <t>SH688589</t>
  </si>
  <si>
    <t>力合微</t>
  </si>
  <si>
    <t>SZ002313</t>
  </si>
  <si>
    <t>*ST日海</t>
  </si>
  <si>
    <t>SH688288</t>
  </si>
  <si>
    <t>鸿泉物联</t>
  </si>
  <si>
    <t>SH688159</t>
  </si>
  <si>
    <t>有方科技</t>
  </si>
  <si>
    <t>653.54万</t>
  </si>
  <si>
    <t>57.95亿</t>
  </si>
  <si>
    <t>35.33亿</t>
  </si>
  <si>
    <t>10136240900亿</t>
  </si>
  <si>
    <t>112.62亿</t>
  </si>
  <si>
    <t>3.58亿</t>
  </si>
  <si>
    <t>97.58亿</t>
  </si>
  <si>
    <t>81.91亿</t>
  </si>
  <si>
    <t>3.39亿</t>
  </si>
  <si>
    <t>2.13亿</t>
  </si>
  <si>
    <t>5.82亿</t>
  </si>
  <si>
    <t>40314590亿</t>
  </si>
  <si>
    <t>302.47万</t>
  </si>
  <si>
    <t>331065890亿</t>
  </si>
  <si>
    <t>12.62亿</t>
  </si>
  <si>
    <t>1776230500亿</t>
  </si>
  <si>
    <t>3.14亿</t>
  </si>
  <si>
    <t>7507139400亿</t>
  </si>
  <si>
    <t>380.87万</t>
  </si>
  <si>
    <t>20.23亿</t>
  </si>
  <si>
    <t>7.46亿</t>
  </si>
  <si>
    <t>19.84亿</t>
  </si>
  <si>
    <t>55.36亿</t>
  </si>
  <si>
    <t>1.92亿</t>
  </si>
  <si>
    <t>-4.30亿</t>
  </si>
  <si>
    <t>61.06亿</t>
  </si>
  <si>
    <t>41.30亿</t>
  </si>
  <si>
    <t>27.01亿</t>
  </si>
  <si>
    <t>16.61亿</t>
  </si>
  <si>
    <t>5.73亿</t>
  </si>
  <si>
    <t>1.89亿</t>
  </si>
  <si>
    <t>1.48亿</t>
  </si>
  <si>
    <t>1.80亿</t>
  </si>
  <si>
    <t>8151.38万</t>
  </si>
  <si>
    <t>2056.32万</t>
  </si>
  <si>
    <t>66.89亿</t>
  </si>
  <si>
    <t>74.76亿</t>
  </si>
  <si>
    <t>43.16亿</t>
  </si>
  <si>
    <t>2.37亿</t>
  </si>
  <si>
    <t>10转3股派7.4元(含税)</t>
  </si>
  <si>
    <t>通信终端及配件</t>
  </si>
  <si>
    <t>1987.24万</t>
  </si>
  <si>
    <t>7193.36万</t>
  </si>
  <si>
    <t>公司主营业务是从事物联网领域无线通信模组及其解决方案的设计、生产、研发与销售服务。主要产品类型包括GSM/GPRS模组(2G模组)、WCDMA/HSPA模组(3G模组)、LTE模组(4G模组)、LPWA模组、5G模组、GNSS定位模组、Wi-Fi模组以及天线等。
市值226.98637亿, 利润3.58亿; PE40.78, PB6.43; ROIC8.6033%; ROE12.21%; 股利率.6161%; 毛利20.1067%; 净利3.61%; 上一年度营收增84.44%, 利润增89.42%; 当季营收增9.09%, 利润增210.58%; 过往5年营收增87.54%, 利润增103.31%
Income profile:
模组+天线 111.35亿 98.87% 98.07% 17.42%
其他 1.27亿 1.13% 1.93% 29.98%</t>
  </si>
  <si>
    <t>1796.26万</t>
  </si>
  <si>
    <t>29.27亿</t>
  </si>
  <si>
    <t>21.87亿</t>
  </si>
  <si>
    <t>3720433100亿</t>
  </si>
  <si>
    <t>41.09亿</t>
  </si>
  <si>
    <t>35.12亿</t>
  </si>
  <si>
    <t>29.46亿</t>
  </si>
  <si>
    <t>1.02亿</t>
  </si>
  <si>
    <t>6013.13万</t>
  </si>
  <si>
    <t>2.51亿</t>
  </si>
  <si>
    <t>32759683亿</t>
  </si>
  <si>
    <t>270048890亿</t>
  </si>
  <si>
    <t>5.79亿</t>
  </si>
  <si>
    <t>1383054900亿</t>
  </si>
  <si>
    <t>4827.16万</t>
  </si>
  <si>
    <t>4034992300亿</t>
  </si>
  <si>
    <t>4238.51万</t>
  </si>
  <si>
    <t>8.36亿</t>
  </si>
  <si>
    <t>14.28亿</t>
  </si>
  <si>
    <t>27.91亿</t>
  </si>
  <si>
    <t>1.00亿</t>
  </si>
  <si>
    <t>6116.16万</t>
  </si>
  <si>
    <t>-3.12亿</t>
  </si>
  <si>
    <t>3.31亿</t>
  </si>
  <si>
    <t>27.44亿</t>
  </si>
  <si>
    <t>12.49亿</t>
  </si>
  <si>
    <t>5.63亿</t>
  </si>
  <si>
    <t>3.44亿</t>
  </si>
  <si>
    <t>2.84亿</t>
  </si>
  <si>
    <t>1.70亿</t>
  </si>
  <si>
    <t>8679.69万</t>
  </si>
  <si>
    <t>4385.74万</t>
  </si>
  <si>
    <t>4032.15万</t>
  </si>
  <si>
    <t>24.18亿</t>
  </si>
  <si>
    <t>28.54亿</t>
  </si>
  <si>
    <t>18.22亿</t>
  </si>
  <si>
    <t>2.04亿</t>
  </si>
  <si>
    <t>3.23亿</t>
  </si>
  <si>
    <t>2.03亿</t>
  </si>
  <si>
    <t>10转5股派2元(含税)</t>
  </si>
  <si>
    <t>5646.67万</t>
  </si>
  <si>
    <t>2.89亿</t>
  </si>
  <si>
    <t xml:space="preserve">
市值147.83191亿, 利润4.01亿; PE40.63, PB6.26; ROIC16.58%; ROE23.75%; 股利率.8543%; 毛利25.4567%; 净利9.2167%; 上一年度营收增49.74%, 利润增41.2%; 当季营收增26.2%, 利润增-31.9%; 过往5年营收增66.37%, 利润增62.16%
Income profile:
</t>
  </si>
  <si>
    <r>
      <t xml:space="preserve">1.7/22 43.33%解禁;2.对手竞品：同行业公司通过产品研发，针对性的提升性能及功能，从而能够
</t>
    </r>
    <r>
      <rPr>
        <sz val="9"/>
        <color rgb="FFFF0000"/>
        <rFont val="宋体"/>
        <family val="3"/>
        <charset val="134"/>
        <scheme val="minor"/>
      </rPr>
      <t>应用于更为复杂、多样的新兴应用领域</t>
    </r>
    <r>
      <rPr>
        <sz val="9"/>
        <color theme="1"/>
        <rFont val="宋体"/>
        <family val="2"/>
        <charset val="134"/>
        <scheme val="minor"/>
      </rPr>
      <t>。如高通 QCA4020 芯片，该芯片能够支持 Wi-Fi 2.4GHz/5GHz、低功耗蓝牙 5.0、Zibee、Thread 等多种通信协议，并将片上内存从 8KB 提升至超过 300KB，显著提升了产品性能。3. 未来销售预测需关注乐鑫的这些</t>
    </r>
    <r>
      <rPr>
        <b/>
        <sz val="9"/>
        <color theme="1"/>
        <rFont val="宋体"/>
        <family val="3"/>
        <charset val="134"/>
        <scheme val="minor"/>
      </rPr>
      <t>下游</t>
    </r>
    <r>
      <rPr>
        <sz val="9"/>
        <color theme="1"/>
        <rFont val="宋体"/>
        <family val="2"/>
        <charset val="134"/>
        <scheme val="minor"/>
      </rPr>
      <t>：a物联网,bAIoT，c智能家居，d智能支付（PoS终端），e智能可穿戴（手表），f智能音箱，关</t>
    </r>
    <r>
      <rPr>
        <b/>
        <sz val="9"/>
        <color theme="1"/>
        <rFont val="宋体"/>
        <family val="3"/>
        <charset val="134"/>
        <scheme val="minor"/>
      </rPr>
      <t>注是否有新领域需求无线数字控制芯片；</t>
    </r>
    <r>
      <rPr>
        <sz val="9"/>
        <color theme="1"/>
        <rFont val="宋体"/>
        <family val="3"/>
        <charset val="134"/>
        <scheme val="minor"/>
      </rPr>
      <t>4.物联网下游应用市场种类繁多，市场需求变化明显，但单个市场需求相对有限。如果未来</t>
    </r>
    <r>
      <rPr>
        <sz val="9"/>
        <color rgb="FFFF0000"/>
        <rFont val="宋体"/>
        <family val="3"/>
        <charset val="134"/>
        <scheme val="minor"/>
      </rPr>
      <t>物联网下游应用发展速度放缓</t>
    </r>
    <r>
      <rPr>
        <sz val="9"/>
        <color theme="1"/>
        <rFont val="宋体"/>
        <family val="3"/>
        <charset val="134"/>
        <scheme val="minor"/>
      </rPr>
      <t>，整体市场增长停滞，或者公司无法快速挖掘新产品应用需求，及时推出适用产品以获取新兴市场份额，可能会</t>
    </r>
    <r>
      <rPr>
        <sz val="9"/>
        <color rgb="FFFF0000"/>
        <rFont val="宋体"/>
        <family val="3"/>
        <charset val="134"/>
        <scheme val="minor"/>
      </rPr>
      <t>面临业绩波动的风险</t>
    </r>
    <r>
      <rPr>
        <sz val="9"/>
        <color theme="1"/>
        <rFont val="宋体"/>
        <family val="3"/>
        <charset val="134"/>
        <scheme val="minor"/>
      </rPr>
      <t xml:space="preserve">。
</t>
    </r>
    <r>
      <rPr>
        <sz val="9"/>
        <color theme="1"/>
        <rFont val="宋体"/>
        <family val="2"/>
        <charset val="134"/>
        <scheme val="minor"/>
      </rPr>
      <t xml:space="preserve">
</t>
    </r>
    <phoneticPr fontId="1" type="noConversion"/>
  </si>
  <si>
    <t>98.66万</t>
  </si>
  <si>
    <t>18.16亿</t>
  </si>
  <si>
    <t>949311350亿</t>
  </si>
  <si>
    <t>13.86亿</t>
  </si>
  <si>
    <t>1.98亿</t>
  </si>
  <si>
    <t>8.90亿</t>
  </si>
  <si>
    <t>3268.43万</t>
  </si>
  <si>
    <t>4402.20万</t>
  </si>
  <si>
    <t>1.52亿</t>
  </si>
  <si>
    <t>17596549亿</t>
  </si>
  <si>
    <t>64116276亿</t>
  </si>
  <si>
    <t>2.62亿</t>
  </si>
  <si>
    <t>265977620亿</t>
  </si>
  <si>
    <t>638.50万</t>
  </si>
  <si>
    <t>1920279200亿</t>
  </si>
  <si>
    <t>-916.39万</t>
  </si>
  <si>
    <t>2908.51万</t>
  </si>
  <si>
    <t>-1.42亿</t>
  </si>
  <si>
    <t>8.31亿</t>
  </si>
  <si>
    <t>7.57亿</t>
  </si>
  <si>
    <t>4.75亿</t>
  </si>
  <si>
    <t>1.23亿</t>
  </si>
  <si>
    <t>1.04亿</t>
  </si>
  <si>
    <t>9388.26万</t>
  </si>
  <si>
    <t>2937.19万</t>
  </si>
  <si>
    <t>44.93万</t>
  </si>
  <si>
    <t>6.14亿</t>
  </si>
  <si>
    <t>9.78亿</t>
  </si>
  <si>
    <t>6327.52万</t>
  </si>
  <si>
    <t>10派16元(含税)</t>
  </si>
  <si>
    <t>集成电路设计</t>
  </si>
  <si>
    <t>705.48万</t>
  </si>
  <si>
    <t>3239.80万</t>
  </si>
  <si>
    <t>公司主要从事半导体专用设备的研发、生产和销售，产品包括光刻工序涂胶显影设备（涂胶/显影机、喷胶机）和单片式湿法设备（清洗机、去胶机、湿法刻蚀机），可用于 8/12 英寸单晶圆处理（如集成电路制造前道晶圆加工及后道先进封装环节）及 6 英寸及以下单晶圆处理（如化合物、MEMS、LED 芯片制造等环节）。
市值85亿，利润1.98亿，pe44~78，pb4.54；毛利43%，净利16%；2021营收增67%，利润增90%；2022Q1营收增6.6%,利润增-18%；过往5年营收增66%；利润曾136%；
2021：
模组 8.14亿 58.68% 49.61% 33.48%
芯片 5.53亿 39.87% 49.27% 48.94%
其他 2015.31万 1.45% 1.12% 30.43%</t>
  </si>
  <si>
    <t>275.08万</t>
  </si>
  <si>
    <t>10.10亿</t>
  </si>
  <si>
    <t>8.14亿</t>
  </si>
  <si>
    <t>1799716900亿</t>
  </si>
  <si>
    <t>19.69亿</t>
  </si>
  <si>
    <t>17.04亿</t>
  </si>
  <si>
    <t>14.83亿</t>
  </si>
  <si>
    <t>3245.47万</t>
  </si>
  <si>
    <t>3812.85万</t>
  </si>
  <si>
    <t>-9471275亿</t>
  </si>
  <si>
    <t>82457274亿</t>
  </si>
  <si>
    <t>409840790亿</t>
  </si>
  <si>
    <t>21.55万</t>
  </si>
  <si>
    <t>1395412400亿</t>
  </si>
  <si>
    <t>5798.51万</t>
  </si>
  <si>
    <t>3.51亿</t>
  </si>
  <si>
    <t>27.62万</t>
  </si>
  <si>
    <t>9.07亿</t>
  </si>
  <si>
    <t>5005.31万</t>
  </si>
  <si>
    <t>8017.43万</t>
  </si>
  <si>
    <t>-8592.88万</t>
  </si>
  <si>
    <t>1746.47万</t>
  </si>
  <si>
    <t>11.21亿</t>
  </si>
  <si>
    <t>9.33亿</t>
  </si>
  <si>
    <t>9.90亿</t>
  </si>
  <si>
    <t>6.42亿</t>
  </si>
  <si>
    <t>4.80亿</t>
  </si>
  <si>
    <t>2744.00万</t>
  </si>
  <si>
    <t>2445.33万</t>
  </si>
  <si>
    <t>4665.56万</t>
  </si>
  <si>
    <t>5628.52万</t>
  </si>
  <si>
    <t>4671.34万</t>
  </si>
  <si>
    <t>11.24亿</t>
  </si>
  <si>
    <t>13.21亿</t>
  </si>
  <si>
    <t>7.01亿</t>
  </si>
  <si>
    <t>8620.62万</t>
  </si>
  <si>
    <t>7951.36万</t>
  </si>
  <si>
    <t>4753.72万</t>
  </si>
  <si>
    <t>10转3股派1.36元(含税)</t>
  </si>
  <si>
    <t>消费电子零部件及组装</t>
  </si>
  <si>
    <t>1516.45万</t>
  </si>
  <si>
    <t>8252.28万</t>
  </si>
  <si>
    <t xml:space="preserve">
市值79.394621亿, 利润1.18亿; PE49.3, PB9.77; ROIC5.6933%; ROE9.4833%; 股利率0.4105%; 毛利19.7433%; 净利4.2333%; 上一年度营收增75.65%, 利润增330.03%; 当季营收增8.99%, 利润增13.22%; 过往5年营收增35.6%, 利润增59.61%
Income profile:
</t>
  </si>
  <si>
    <t>2738.97万</t>
  </si>
  <si>
    <t>16.57亿</t>
  </si>
  <si>
    <t>729225530亿</t>
  </si>
  <si>
    <t>9.21亿</t>
  </si>
  <si>
    <t>5.86亿</t>
  </si>
  <si>
    <t>4.81亿</t>
  </si>
  <si>
    <t>3547.60万</t>
  </si>
  <si>
    <t>2920.30万</t>
  </si>
  <si>
    <t>4966.66万</t>
  </si>
  <si>
    <t>9133863亿</t>
  </si>
  <si>
    <t>138663660亿</t>
  </si>
  <si>
    <t>7205.09万</t>
  </si>
  <si>
    <t>247211890亿</t>
  </si>
  <si>
    <t>709.54万</t>
  </si>
  <si>
    <t>1526483800亿</t>
  </si>
  <si>
    <t>1144.92万</t>
  </si>
  <si>
    <t>9857.55万</t>
  </si>
  <si>
    <t>2.71亿</t>
  </si>
  <si>
    <t>-2.59亿</t>
  </si>
  <si>
    <t>-1.82亿</t>
  </si>
  <si>
    <t>-3995.22万</t>
  </si>
  <si>
    <t>4.73亿</t>
  </si>
  <si>
    <t>6.29亿</t>
  </si>
  <si>
    <t>4.76亿</t>
  </si>
  <si>
    <t>3.62亿</t>
  </si>
  <si>
    <t>9046.83万</t>
  </si>
  <si>
    <t>1.25亿</t>
  </si>
  <si>
    <t>9693.85万</t>
  </si>
  <si>
    <t>9526.94万</t>
  </si>
  <si>
    <t>4.87亿</t>
  </si>
  <si>
    <t>3.98亿</t>
  </si>
  <si>
    <t>8503.92万</t>
  </si>
  <si>
    <t>7245.30万</t>
  </si>
  <si>
    <t>10转5股派1.5元(含税)</t>
  </si>
  <si>
    <t>6.63亿</t>
  </si>
  <si>
    <t xml:space="preserve">
市值62.170391亿, 利润1.56亿; PE33.98, PB3.75; ROIC11.5%; ROE12.8533%; 股利率1.1046%; 毛利40.1767%; 净利20.8%; 上一年度营收增94.71%, 利润增72.44%; 当季营收增18.16%, 利润增36.95%; 过往5年营收增33.52%, 利润增17.72%
Income profile:
</t>
  </si>
  <si>
    <t>189.65万</t>
  </si>
  <si>
    <t>1.74亿</t>
  </si>
  <si>
    <t>349552270亿</t>
  </si>
  <si>
    <t>3.60亿</t>
  </si>
  <si>
    <t>4203.73万</t>
  </si>
  <si>
    <t>3.12亿</t>
  </si>
  <si>
    <t>3048.91万</t>
  </si>
  <si>
    <t>1716.48万</t>
  </si>
  <si>
    <t>3525.75万</t>
  </si>
  <si>
    <t>7820465亿</t>
  </si>
  <si>
    <t>8.79万</t>
  </si>
  <si>
    <t>35216202亿</t>
  </si>
  <si>
    <t>243060910亿</t>
  </si>
  <si>
    <t>1869.79万</t>
  </si>
  <si>
    <t>846130150亿</t>
  </si>
  <si>
    <t>955.00万</t>
  </si>
  <si>
    <t>4437.38万</t>
  </si>
  <si>
    <t>7153.67万</t>
  </si>
  <si>
    <t>11.70万</t>
  </si>
  <si>
    <t>-5034.66万</t>
  </si>
  <si>
    <t>5077.24万</t>
  </si>
  <si>
    <t>3022.16万</t>
  </si>
  <si>
    <t>2782.05万</t>
  </si>
  <si>
    <t>4345.61万</t>
  </si>
  <si>
    <t>2298.11万</t>
  </si>
  <si>
    <t>1344.09万</t>
  </si>
  <si>
    <t>840.13万</t>
  </si>
  <si>
    <t>2.00亿</t>
  </si>
  <si>
    <t>3174.25万</t>
  </si>
  <si>
    <t>1735.17万</t>
  </si>
  <si>
    <t>1619.72万</t>
  </si>
  <si>
    <t>10派2.00元(含税)</t>
  </si>
  <si>
    <t>1066.88万</t>
  </si>
  <si>
    <t>7258.54万</t>
  </si>
  <si>
    <t xml:space="preserve">
市值42.352329亿, 利润4203.73万; PE55.66, PB5.18; ROIC8.73%; ROE9.9667%; 股利率0.4731%; 毛利45.9%; 净利14.28%; 上一年度营收增66.67%, 利润增51.1%; 当季营收增107.46%, 利润增3740.06%; 过往5年营收增30.14%, 利润增47.04%
Income profile:
</t>
  </si>
  <si>
    <t>937.41万</t>
  </si>
  <si>
    <t>47.69亿</t>
  </si>
  <si>
    <t>11.79亿</t>
  </si>
  <si>
    <t>2467573300亿</t>
  </si>
  <si>
    <t>47.49亿</t>
  </si>
  <si>
    <t>-2.30亿</t>
  </si>
  <si>
    <t>28.22亿</t>
  </si>
  <si>
    <t>22.13亿</t>
  </si>
  <si>
    <t>9676.18万</t>
  </si>
  <si>
    <t>-21035965亿</t>
  </si>
  <si>
    <t>168.16万</t>
  </si>
  <si>
    <t>-818200040亿</t>
  </si>
  <si>
    <t>1845672800亿</t>
  </si>
  <si>
    <t>616.59万</t>
  </si>
  <si>
    <t>4230762900亿</t>
  </si>
  <si>
    <t>3489.89万</t>
  </si>
  <si>
    <t>45.29亿</t>
  </si>
  <si>
    <t>-2.81亿</t>
  </si>
  <si>
    <t>-173.29万</t>
  </si>
  <si>
    <t>-1.34亿</t>
  </si>
  <si>
    <t>39.04亿</t>
  </si>
  <si>
    <t>46.75亿</t>
  </si>
  <si>
    <t>44.20亿</t>
  </si>
  <si>
    <t>29.90亿</t>
  </si>
  <si>
    <t>27.07亿</t>
  </si>
  <si>
    <t>-7.05亿</t>
  </si>
  <si>
    <t>5242.38万</t>
  </si>
  <si>
    <t>7169.70万</t>
  </si>
  <si>
    <t>6746.58万</t>
  </si>
  <si>
    <t>31.85亿</t>
  </si>
  <si>
    <t>20.61亿</t>
  </si>
  <si>
    <t>-3.21亿</t>
  </si>
  <si>
    <t>-1.68亿</t>
  </si>
  <si>
    <t>1031.99万</t>
  </si>
  <si>
    <t>不分配不转增</t>
  </si>
  <si>
    <t>2137.23万</t>
  </si>
  <si>
    <t xml:space="preserve">
市值25.04736亿, 利润-2.30亿; PE, PB2.12; ROIC-4.39%; ROE-6.0733%; 股利率0%; 毛利13.4433%; 净利-12.52%; 上一年度营收增21.64%, 利润增67.38%; 当季营收增-23.7%, 利润增-392.93%; 过往5年营收增13.84%, 利润增-276.57%
Income profile:
</t>
  </si>
  <si>
    <t>267.77万</t>
  </si>
  <si>
    <t>179187910亿</t>
  </si>
  <si>
    <t>2957.26万</t>
  </si>
  <si>
    <t>2.43亿</t>
  </si>
  <si>
    <t>1693.88万</t>
  </si>
  <si>
    <t>2245.03万</t>
  </si>
  <si>
    <t>5775.92万</t>
  </si>
  <si>
    <t>1110549亿</t>
  </si>
  <si>
    <t>10.68万</t>
  </si>
  <si>
    <t>-60373649亿</t>
  </si>
  <si>
    <t>129546505亿</t>
  </si>
  <si>
    <t>8200.38万</t>
  </si>
  <si>
    <t>651091120亿</t>
  </si>
  <si>
    <t>1222.60万</t>
  </si>
  <si>
    <t>6506.01万</t>
  </si>
  <si>
    <t>6797.64万</t>
  </si>
  <si>
    <t>-6744.90万</t>
  </si>
  <si>
    <t>-2.04亿</t>
  </si>
  <si>
    <t>733.40万</t>
  </si>
  <si>
    <t>3.13亿</t>
  </si>
  <si>
    <t>2.48亿</t>
  </si>
  <si>
    <t>8830.66万</t>
  </si>
  <si>
    <t>6968.83万</t>
  </si>
  <si>
    <t>5711.87万</t>
  </si>
  <si>
    <t>4779.57万</t>
  </si>
  <si>
    <t>3231.82万</t>
  </si>
  <si>
    <t>-3117.52万</t>
  </si>
  <si>
    <t>4269.67万</t>
  </si>
  <si>
    <t>4138.01万</t>
  </si>
  <si>
    <t>1445.74万</t>
  </si>
  <si>
    <t>4325.84万</t>
  </si>
  <si>
    <t xml:space="preserve">
市值23.380133亿, 利润2957.26万; PE, PB2.74; ROIC6.37%; ROE10.9767%; 股利率0%; 毛利44.64%; 净利4.6667%; 上一年度营收增-10.96%, 利润增-66.51%; 当季营收增-11.66%, 利润增-5870.53%; 过往5年营收增26.15%, 利润增9.92%
Income profile:
</t>
  </si>
  <si>
    <t>277.00万</t>
  </si>
  <si>
    <t>6.36亿</t>
  </si>
  <si>
    <t>8.11亿</t>
  </si>
  <si>
    <t>582176050亿</t>
  </si>
  <si>
    <t>10.25亿</t>
  </si>
  <si>
    <t>-1296.40万</t>
  </si>
  <si>
    <t>6.15亿</t>
  </si>
  <si>
    <t>4.89亿</t>
  </si>
  <si>
    <t>2780.64万</t>
  </si>
  <si>
    <t>3442.99万</t>
  </si>
  <si>
    <t>4847.42万</t>
  </si>
  <si>
    <t>800535亿</t>
  </si>
  <si>
    <t>2.40万</t>
  </si>
  <si>
    <t>-36487932亿</t>
  </si>
  <si>
    <t>421163130亿</t>
  </si>
  <si>
    <t>592.26万</t>
  </si>
  <si>
    <t>1036713820亿</t>
  </si>
  <si>
    <t>321.84万</t>
  </si>
  <si>
    <t>7842.03万</t>
  </si>
  <si>
    <t>2889.24万</t>
  </si>
  <si>
    <t>469.11万</t>
  </si>
  <si>
    <t>192.81万</t>
  </si>
  <si>
    <t>5.57亿</t>
  </si>
  <si>
    <t>4.99亿</t>
  </si>
  <si>
    <t>3.28亿</t>
  </si>
  <si>
    <t>-7506.48万</t>
  </si>
  <si>
    <t>5456.05万</t>
  </si>
  <si>
    <t>4349.52万</t>
  </si>
  <si>
    <t>5157.78万</t>
  </si>
  <si>
    <t>2094.79万</t>
  </si>
  <si>
    <t>6.85亿</t>
  </si>
  <si>
    <t>4.12亿</t>
  </si>
  <si>
    <t>-1488.29万</t>
  </si>
  <si>
    <t>-1031.22万</t>
  </si>
  <si>
    <t>-1734.45万</t>
  </si>
  <si>
    <t>1182.00万</t>
  </si>
  <si>
    <t>5979.07万</t>
  </si>
  <si>
    <t xml:space="preserve">
市值20.059474亿, 利润-1296.40万; PE, PB2.59; ROIC-.2833%; ROE.35%; 股利率0%; 毛利19.2333%; 净利-3.46%; 上一年度营收增78.57%, 利润增82.73%; 当季营收增-15.32%, 利润增-729.03%; 过往5年营收增31.23%, 利润增.23%
Income profile:
</t>
  </si>
  <si>
    <t>SH603118</t>
  </si>
  <si>
    <t>1.通讯模组以及生态，重点在蜂窝模组，wifi&amp;bt模组，gnss模组，物联网云平台，以及无线通讯的各种天线;</t>
    <phoneticPr fontId="1" type="noConversion"/>
  </si>
  <si>
    <t>1.最近最大的负面事件是：2020年的年度财报预告55%~75%，实际才27%；表明了公司财务管理存在很大问题；董事长疫情后一直在澳大利亚从不回国；</t>
    <phoneticPr fontId="1" type="noConversion"/>
  </si>
  <si>
    <r>
      <t>1.3000~6000万回购，价格不超过120元；2.pe, pb历史底部区间；上市3年；位置不错；调研的公司多；3.公司有芯片设计能力（覆盖3大主流无线接入协议：wifi, bluetooth, zigbee),但从芯片（开始涉及riscv)研发项目范围也从 Wi-Fi MCU 这一细分领域扩展 Wireless SoC 领域，方向为“处理+连接”，涵盖包括 AI、RISC-V MCU、Wi-Fi 6、Bluetooth LE、Thread/Zigbee 等芯片设计技术。公司的研发是软硬件双轮驱动，除以上芯片设计方面，还不断在软件技术上进行投入，围绕AIoT 的核心，覆盖工具链、编译器、操作系统、应用框架、AI 算法、云产品、APP 等，实现 AIoT领域软硬件一体化解决方案闭环;4.预计 MCU 市场销售额在 2023 年将增长 11％至 188 亿美元，2023年 MCU 的出货量将增长 10％至 296 亿颗。随着对精度要求的不断提高，</t>
    </r>
    <r>
      <rPr>
        <b/>
        <sz val="9"/>
        <color rgb="FFFF0000"/>
        <rFont val="宋体"/>
        <family val="3"/>
        <charset val="134"/>
        <scheme val="minor"/>
      </rPr>
      <t>32 位 MCU 市场迅速扩大</t>
    </r>
    <r>
      <rPr>
        <sz val="9"/>
        <color theme="1"/>
        <rFont val="宋体"/>
        <family val="2"/>
        <charset val="134"/>
        <scheme val="minor"/>
      </rPr>
      <t>。在嵌入式系统中，传感器及其他许多设备都开始连接入互联网，于是诞生了许多新的 32 位MCU 设计来支持无线连接和互联网协议通信。</t>
    </r>
    <phoneticPr fontId="1" type="noConversion"/>
  </si>
  <si>
    <t>共进股份</t>
  </si>
  <si>
    <t>1352.57万</t>
  </si>
  <si>
    <t>73.92亿</t>
  </si>
  <si>
    <t>52.57亿</t>
  </si>
  <si>
    <t>8071354400亿</t>
  </si>
  <si>
    <t>108.08亿</t>
  </si>
  <si>
    <t>3.96亿</t>
  </si>
  <si>
    <t>76.91亿</t>
  </si>
  <si>
    <t>70.66亿</t>
  </si>
  <si>
    <t>2.49亿</t>
  </si>
  <si>
    <t>2.01亿</t>
  </si>
  <si>
    <t>4916834亿</t>
  </si>
  <si>
    <t>2683.28万</t>
  </si>
  <si>
    <t>306023960亿</t>
  </si>
  <si>
    <t>16.12亿</t>
  </si>
  <si>
    <t>2424898100亿</t>
  </si>
  <si>
    <t>9028502100亿</t>
  </si>
  <si>
    <t>4.50亿</t>
  </si>
  <si>
    <t>24.47亿</t>
  </si>
  <si>
    <t>23.56亿</t>
  </si>
  <si>
    <t>22.26亿</t>
  </si>
  <si>
    <t>73.77亿</t>
  </si>
  <si>
    <t>369.62万</t>
  </si>
  <si>
    <t>9.27亿</t>
  </si>
  <si>
    <t>88.42亿</t>
  </si>
  <si>
    <t>78.41亿</t>
  </si>
  <si>
    <t>83.34亿</t>
  </si>
  <si>
    <t>75.55亿</t>
  </si>
  <si>
    <t>65.43亿</t>
  </si>
  <si>
    <t>3.47亿</t>
  </si>
  <si>
    <t>3.11亿</t>
  </si>
  <si>
    <t>51.96亿</t>
  </si>
  <si>
    <t>78.02亿</t>
  </si>
  <si>
    <t>50.30亿</t>
  </si>
  <si>
    <t>1.91亿</t>
  </si>
  <si>
    <t>2.91亿</t>
  </si>
  <si>
    <t>1.95亿</t>
  </si>
  <si>
    <t>10派1.5元(含税)</t>
  </si>
  <si>
    <t>7622.86万</t>
  </si>
  <si>
    <t xml:space="preserve">
市值83.305804亿, 利润3.96亿; PE18.31, PB1.59; ROIC5.2633%; ROE7.61%; 股利率1.4245%; 毛利14.3467%; 净利3.8033%; 上一年度营收增22.23%, 利润增14.12%; 当季营收增3.73%, 利润增66.28%; 过往5年营收增10.97%, 利润增21.44%
Income profile:
</t>
  </si>
  <si>
    <t>SZ300134</t>
  </si>
  <si>
    <t>大富科技</t>
  </si>
  <si>
    <t>1423.05万</t>
  </si>
  <si>
    <t>SZ002194</t>
  </si>
  <si>
    <t>武汉凡谷</t>
  </si>
  <si>
    <t>8429.73万</t>
  </si>
  <si>
    <t>SZ002547</t>
  </si>
  <si>
    <t>春兴精工</t>
  </si>
  <si>
    <t>1.41亿</t>
  </si>
  <si>
    <t>汽车零部件</t>
  </si>
  <si>
    <t>SZ002796</t>
  </si>
  <si>
    <t>世嘉科技</t>
  </si>
  <si>
    <t>1104.63万</t>
  </si>
  <si>
    <t>17.58亿</t>
  </si>
  <si>
    <t>47.48亿</t>
  </si>
  <si>
    <t>18.01亿</t>
  </si>
  <si>
    <t>25.92亿</t>
  </si>
  <si>
    <t>9291.00万</t>
  </si>
  <si>
    <t>18.47亿</t>
  </si>
  <si>
    <t>14.20亿</t>
  </si>
  <si>
    <t>4264.80万</t>
  </si>
  <si>
    <t>1.37亿</t>
  </si>
  <si>
    <t>22082685亿</t>
  </si>
  <si>
    <t>132.27万</t>
  </si>
  <si>
    <t>-42189354亿</t>
  </si>
  <si>
    <t>6.30亿</t>
  </si>
  <si>
    <t>741701520亿</t>
  </si>
  <si>
    <t>2533.46万</t>
  </si>
  <si>
    <t>2633163200亿</t>
  </si>
  <si>
    <t>8.94亿</t>
  </si>
  <si>
    <t>7822.81万</t>
  </si>
  <si>
    <t>6.34亿</t>
  </si>
  <si>
    <t>13.01亿</t>
  </si>
  <si>
    <t>2.55亿</t>
  </si>
  <si>
    <t>-9001.03万</t>
  </si>
  <si>
    <t>-8258.39万</t>
  </si>
  <si>
    <t>7400.23万</t>
  </si>
  <si>
    <t>24.51亿</t>
  </si>
  <si>
    <t>21.86亿</t>
  </si>
  <si>
    <t>23.38亿</t>
  </si>
  <si>
    <t>18.21亿</t>
  </si>
  <si>
    <t>17.79亿</t>
  </si>
  <si>
    <t>3555.22万</t>
  </si>
  <si>
    <t>-3.55亿</t>
  </si>
  <si>
    <t>2470.66万</t>
  </si>
  <si>
    <t>-5.12亿</t>
  </si>
  <si>
    <t>11.95亿</t>
  </si>
  <si>
    <t>20.33亿</t>
  </si>
  <si>
    <t>11.71亿</t>
  </si>
  <si>
    <t>510.96万</t>
  </si>
  <si>
    <t>7532.10万</t>
  </si>
  <si>
    <t>747.00万</t>
  </si>
  <si>
    <t>通信网络设备及器件</t>
  </si>
  <si>
    <t>8562.62万</t>
  </si>
  <si>
    <t>5.14亿</t>
  </si>
  <si>
    <t>-2-1</t>
  </si>
  <si>
    <t>公司是国内领先的移动通信基站射频器件、射频结构件的研发、生产与服务提供商。公司主要从事为移动通信射频器件、射频结构件的研发、生产和销售.公司的主要产品移动通信基站射频器件、射频结构件是移动通信系统的核心部件。其中,射频器件主要包括滤波器、双工器、合路器、塔放等;射频结构件主要为射频器件的腔体、盖板、外壳等。
市值67.770074亿, 利润9291.00万; PE; 平均PE-41.8; 平均PEG-4.96, PB1.48; ROIC1.31%; ROE-1.9033%; 股利率0%; 毛利17.3%; 净利-2.69%; 上一年度营收增5.75%, 利润增135.87%; 当季营收增-29.7%, 利润增-136.4%; 过往5年营收增8.43%, 利润增-402.93%
Income profile:
射频产品 14.74亿 56.86% 1.63亿 28.46% 11.08%
智能终端结构件 8.36亿 32.25% 3.15亿 54.86% 37.67%
汽车零部件 1.93亿 7.46% 4132.01万 7.20% 21.36%
其他业务收入 5723.43万 2.21% 4214.07万 7.34% 73.63%
智能装备系列 3160.18万 1.22% 1230.23万 2.14% 38.93%</t>
  </si>
  <si>
    <t>25.85亿</t>
  </si>
  <si>
    <t>12.64亿</t>
  </si>
  <si>
    <t>20.73亿</t>
  </si>
  <si>
    <t>2.76亿</t>
  </si>
  <si>
    <t>11.08亿</t>
  </si>
  <si>
    <t>9.72亿</t>
  </si>
  <si>
    <t>838.89万</t>
  </si>
  <si>
    <t>4492.91万</t>
  </si>
  <si>
    <t>7121.80万</t>
  </si>
  <si>
    <t>-1819009亿</t>
  </si>
  <si>
    <t>17.28万</t>
  </si>
  <si>
    <t>83439445亿</t>
  </si>
  <si>
    <t>15.10亿</t>
  </si>
  <si>
    <t>353782180亿</t>
  </si>
  <si>
    <t>271.49万</t>
  </si>
  <si>
    <t>2181169300亿</t>
  </si>
  <si>
    <t>1941.53万</t>
  </si>
  <si>
    <t>9530.79万</t>
  </si>
  <si>
    <t>1.78亿</t>
  </si>
  <si>
    <t>21.24万</t>
  </si>
  <si>
    <t>3.49亿</t>
  </si>
  <si>
    <t>2.67亿</t>
  </si>
  <si>
    <t>-9229.88万</t>
  </si>
  <si>
    <t>-2.09亿</t>
  </si>
  <si>
    <t>18.38亿</t>
  </si>
  <si>
    <t>14.92亿</t>
  </si>
  <si>
    <t>17.13亿</t>
  </si>
  <si>
    <t>14.25亿</t>
  </si>
  <si>
    <t>2.28亿</t>
  </si>
  <si>
    <t>2.60亿</t>
  </si>
  <si>
    <t>-5.14亿</t>
  </si>
  <si>
    <t>16.24亿</t>
  </si>
  <si>
    <t>10.24亿</t>
  </si>
  <si>
    <t>7953.33万</t>
  </si>
  <si>
    <t>2.50亿</t>
  </si>
  <si>
    <t>1.90亿</t>
  </si>
  <si>
    <t>10派3元(含税)</t>
  </si>
  <si>
    <t>8.56亿</t>
  </si>
  <si>
    <t>-4-0</t>
  </si>
  <si>
    <t>公司主要从事射频器件和射频子系统的研发、生产、销售和服务，其主要产品为滤波器、双工器、射频等子系统，应用于2G、3G、4G、5G等通信网络。
市值66.552038亿, 利润2.76亿; PE57.76; 平均PE63.28; 平均PEG6.29, PB2.57; ROIC5.8967%; ROE7.17%; 股利率3.0801%; 毛利25.4633%; 净利11.26%; 上一年度营收增12.79%, 利润增21.05%; 当季营收增-44.83%, 利润增-83.46%; 过往5年营收增10.06%, 利润增37.6%
Income profile:
双工器 7.38亿 79.04% 1.67亿 75.49% 22.68%
滤波器 9682.36万 10.37% 1653.54万 7.46% 17.08%
其他 9049.02万 9.69% 3545.54万 15.99% 39.18%
射频子系统 834.19万 0.89% 234.77万 1.06% 28.14%</t>
  </si>
  <si>
    <t>45.62亿</t>
  </si>
  <si>
    <t>4.84亿</t>
  </si>
  <si>
    <t>18.26亿</t>
  </si>
  <si>
    <t>25.88亿</t>
  </si>
  <si>
    <t>-1.43亿</t>
  </si>
  <si>
    <t>19.11亿</t>
  </si>
  <si>
    <t>15.42亿</t>
  </si>
  <si>
    <t>2346.46万</t>
  </si>
  <si>
    <t>1.61亿</t>
  </si>
  <si>
    <t>8046.37万</t>
  </si>
  <si>
    <t>519060亿</t>
  </si>
  <si>
    <t>381.73万</t>
  </si>
  <si>
    <t>-63614501亿</t>
  </si>
  <si>
    <t>7.27亿</t>
  </si>
  <si>
    <t>687124940亿</t>
  </si>
  <si>
    <t>3029.01万</t>
  </si>
  <si>
    <t>2168049700亿</t>
  </si>
  <si>
    <t>1.99亿</t>
  </si>
  <si>
    <t>11.35亿</t>
  </si>
  <si>
    <t>8.52亿</t>
  </si>
  <si>
    <t>10.86万</t>
  </si>
  <si>
    <t>34.07亿</t>
  </si>
  <si>
    <t>2.35亿</t>
  </si>
  <si>
    <t>2.69亿</t>
  </si>
  <si>
    <t>-4628.22万</t>
  </si>
  <si>
    <t>-2.89亿</t>
  </si>
  <si>
    <t>26.73亿</t>
  </si>
  <si>
    <t>51.53亿</t>
  </si>
  <si>
    <t>72.62亿</t>
  </si>
  <si>
    <t>49.33亿</t>
  </si>
  <si>
    <t>38.04亿</t>
  </si>
  <si>
    <t>-10.33亿</t>
  </si>
  <si>
    <t>-10.58亿</t>
  </si>
  <si>
    <t>2213.37万</t>
  </si>
  <si>
    <t>3999.68万</t>
  </si>
  <si>
    <t>-3.59亿</t>
  </si>
  <si>
    <t>12.72亿</t>
  </si>
  <si>
    <t>18.30亿</t>
  </si>
  <si>
    <t>11.93亿</t>
  </si>
  <si>
    <t>688.64万</t>
  </si>
  <si>
    <t>2443.29万</t>
  </si>
  <si>
    <t>1399.93万</t>
  </si>
  <si>
    <t>10.86亿</t>
  </si>
  <si>
    <t>-3-1</t>
  </si>
  <si>
    <t xml:space="preserve">
市值48.957681亿, 利润-1.43亿; PE; 平均PE-11.61; 平均PEG-16.79, PB10.98; ROIC0%; ROE-47.0633%; 股利率0%; 毛利11.8933%; 净利-20.5733%; 上一年度营收增-3.18%, 利润增86.16%; 当季营收增-13.03%, 利润增-550.1%; 过往5年营收增-0.69%, 利润增-945.01%
Income profile:
</t>
  </si>
  <si>
    <t>5.83亿</t>
  </si>
  <si>
    <t>8.18亿</t>
  </si>
  <si>
    <t>7.59亿</t>
  </si>
  <si>
    <t>10.95亿</t>
  </si>
  <si>
    <t>-3141.94万</t>
  </si>
  <si>
    <t>7.76亿</t>
  </si>
  <si>
    <t>698.08万</t>
  </si>
  <si>
    <t>3774.48万</t>
  </si>
  <si>
    <t>2640.01万</t>
  </si>
  <si>
    <t>574923亿</t>
  </si>
  <si>
    <t>10.40万</t>
  </si>
  <si>
    <t>-22361915亿</t>
  </si>
  <si>
    <t>2.07亿</t>
  </si>
  <si>
    <t>233212040亿</t>
  </si>
  <si>
    <t>1.54亿</t>
  </si>
  <si>
    <t>792439330亿</t>
  </si>
  <si>
    <t>541.24万</t>
  </si>
  <si>
    <t>3024.22万</t>
  </si>
  <si>
    <t>5.42亿</t>
  </si>
  <si>
    <t>3040.22万</t>
  </si>
  <si>
    <t>-5216.53万</t>
  </si>
  <si>
    <t>-4441.55万</t>
  </si>
  <si>
    <t>12.98亿</t>
  </si>
  <si>
    <t>16.41亿</t>
  </si>
  <si>
    <t>18.71亿</t>
  </si>
  <si>
    <t>12.80亿</t>
  </si>
  <si>
    <t>5.77亿</t>
  </si>
  <si>
    <t>-6.67亿</t>
  </si>
  <si>
    <t>3772.84万</t>
  </si>
  <si>
    <t>9546.01万</t>
  </si>
  <si>
    <t>4860.87万</t>
  </si>
  <si>
    <t>2569.25万</t>
  </si>
  <si>
    <t>5.04亿</t>
  </si>
  <si>
    <t>8.24亿</t>
  </si>
  <si>
    <t>5.11亿</t>
  </si>
  <si>
    <t>-697.67万</t>
  </si>
  <si>
    <t>-2396.49万</t>
  </si>
  <si>
    <t>-2139.16万</t>
  </si>
  <si>
    <t>4350.86万</t>
  </si>
  <si>
    <t xml:space="preserve">
市值22.895124亿, 利润-3141.94万; PE; 平均PE-27.98; 平均PEG-1.17, PB2.81; ROIC2.56%; ROE-17.4733%; 股利率0%; 毛利9.1333%; 净利-17.1033%; 上一年度营收增-15.64%, 利润增95.29%; 当季营收增-18.53%, 利润增-313.22%; 过往5年营收增23.83%, 利润增-329.5%
Income profile: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</si>
</sst>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28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5" fillId="0" borderId="0" xfId="0" applyFont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0" fontId="3" fillId="0" borderId="0" xfId="0" applyFont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12" fillId="0" borderId="0" xfId="0" applyFon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</xdr:row>
          <xdr:rowOff>260350</xdr:rowOff>
        </xdr:from>
        <xdr:to>
          <xdr:col>1</xdr:col>
          <xdr:colOff>1092200</xdr:colOff>
          <xdr:row>1</xdr:row>
          <xdr:rowOff>711200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</xdr:row>
          <xdr:rowOff>260350</xdr:rowOff>
        </xdr:from>
        <xdr:to>
          <xdr:col>1</xdr:col>
          <xdr:colOff>1092200</xdr:colOff>
          <xdr:row>1</xdr:row>
          <xdr:rowOff>711200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37</xdr:row>
          <xdr:rowOff>50800</xdr:rowOff>
        </xdr:from>
        <xdr:to>
          <xdr:col>15</xdr:col>
          <xdr:colOff>546100</xdr:colOff>
          <xdr:row>59</xdr:row>
          <xdr:rowOff>88900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</xdr:row>
          <xdr:rowOff>38100</xdr:rowOff>
        </xdr:from>
        <xdr:to>
          <xdr:col>25</xdr:col>
          <xdr:colOff>463550</xdr:colOff>
          <xdr:row>36</xdr:row>
          <xdr:rowOff>101600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165100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Q12"/>
  <sheetViews>
    <sheetView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XFD1048576"/>
    </sheetView>
  </sheetViews>
  <sheetFormatPr defaultRowHeight="14"/>
  <cols>
    <col min="1" max="1" width="13" customWidth="1"/>
    <col min="2" max="2" width="34.1796875" customWidth="1"/>
    <col min="3" max="3" width="37.1796875" customWidth="1"/>
    <col min="4" max="4" width="39.1796875" customWidth="1"/>
  </cols>
  <sheetData>
    <row r="1" spans="1:147">
      <c r="A1" s="16" t="s">
        <v>91</v>
      </c>
      <c r="B1" s="17" t="s">
        <v>8</v>
      </c>
      <c r="C1" s="18" t="s">
        <v>9</v>
      </c>
      <c r="D1" s="17" t="s">
        <v>114</v>
      </c>
      <c r="E1" t="s">
        <v>2</v>
      </c>
      <c r="F1" t="s">
        <v>3</v>
      </c>
      <c r="G1" t="s">
        <v>0</v>
      </c>
      <c r="H1" t="s">
        <v>124</v>
      </c>
      <c r="I1" t="s">
        <v>144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125</v>
      </c>
      <c r="AD1" t="s">
        <v>25</v>
      </c>
      <c r="AE1" t="s">
        <v>26</v>
      </c>
      <c r="AF1" t="s">
        <v>27</v>
      </c>
      <c r="AG1" t="s">
        <v>28</v>
      </c>
      <c r="AH1" t="s">
        <v>126</v>
      </c>
      <c r="AI1" t="s">
        <v>145</v>
      </c>
      <c r="AJ1" t="s">
        <v>127</v>
      </c>
      <c r="AK1" t="s">
        <v>29</v>
      </c>
      <c r="AL1" t="s">
        <v>128</v>
      </c>
      <c r="AM1" t="s">
        <v>92</v>
      </c>
      <c r="AN1" t="s">
        <v>129</v>
      </c>
      <c r="AO1" t="s">
        <v>130</v>
      </c>
      <c r="AP1" t="s">
        <v>131</v>
      </c>
      <c r="AQ1" t="s">
        <v>132</v>
      </c>
      <c r="AR1" t="s">
        <v>133</v>
      </c>
      <c r="AS1" t="s">
        <v>134</v>
      </c>
      <c r="AT1" t="s">
        <v>135</v>
      </c>
      <c r="AU1" t="s">
        <v>136</v>
      </c>
      <c r="AV1" t="s">
        <v>137</v>
      </c>
      <c r="AW1" t="s">
        <v>138</v>
      </c>
      <c r="AX1" t="s">
        <v>139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117</v>
      </c>
      <c r="BJ1" t="s">
        <v>118</v>
      </c>
      <c r="BK1" t="s">
        <v>119</v>
      </c>
      <c r="BL1" t="s">
        <v>120</v>
      </c>
      <c r="BM1" t="s">
        <v>121</v>
      </c>
      <c r="BN1" t="s">
        <v>122</v>
      </c>
      <c r="BO1" t="s">
        <v>140</v>
      </c>
      <c r="BP1" t="s">
        <v>103</v>
      </c>
      <c r="BQ1" t="s">
        <v>104</v>
      </c>
      <c r="BR1" t="s">
        <v>105</v>
      </c>
      <c r="BS1" t="s">
        <v>141</v>
      </c>
      <c r="BT1" t="s">
        <v>106</v>
      </c>
      <c r="BU1" t="s">
        <v>107</v>
      </c>
      <c r="BV1" t="s">
        <v>108</v>
      </c>
      <c r="BW1" t="s">
        <v>109</v>
      </c>
      <c r="BX1" t="s">
        <v>109</v>
      </c>
      <c r="BY1" t="s">
        <v>110</v>
      </c>
      <c r="BZ1" t="s">
        <v>111</v>
      </c>
      <c r="CA1" t="s">
        <v>111</v>
      </c>
      <c r="CB1" t="s">
        <v>112</v>
      </c>
      <c r="CC1" t="s">
        <v>146</v>
      </c>
      <c r="CD1" t="s">
        <v>147</v>
      </c>
      <c r="CE1" t="s">
        <v>148</v>
      </c>
      <c r="CF1" t="s">
        <v>149</v>
      </c>
    </row>
    <row r="2" spans="1:147" ht="56" customHeight="1">
      <c r="A2" s="16"/>
      <c r="B2" s="23"/>
      <c r="C2" s="24">
        <v>3</v>
      </c>
      <c r="D2" s="24">
        <v>12</v>
      </c>
      <c r="T2" s="4"/>
    </row>
    <row r="3" spans="1:147" ht="156">
      <c r="B3" s="3" t="s">
        <v>538</v>
      </c>
      <c r="C3" s="3" t="s">
        <v>539</v>
      </c>
      <c r="D3" s="3" t="s">
        <v>237</v>
      </c>
      <c r="E3" t="s">
        <v>173</v>
      </c>
      <c r="F3" t="s">
        <v>174</v>
      </c>
      <c r="G3">
        <v>120.11</v>
      </c>
      <c r="H3">
        <v>2.33</v>
      </c>
      <c r="I3" t="s">
        <v>194</v>
      </c>
      <c r="J3">
        <v>22698637000</v>
      </c>
      <c r="K3">
        <v>40.78</v>
      </c>
      <c r="L3">
        <v>6.43</v>
      </c>
      <c r="M3" t="s">
        <v>175</v>
      </c>
      <c r="N3" t="s">
        <v>195</v>
      </c>
      <c r="O3" t="s">
        <v>196</v>
      </c>
      <c r="P3" t="s">
        <v>197</v>
      </c>
      <c r="Q3">
        <v>35.58</v>
      </c>
      <c r="R3" t="s">
        <v>198</v>
      </c>
      <c r="S3">
        <v>600000000</v>
      </c>
      <c r="T3" s="4">
        <v>0.83830000000000005</v>
      </c>
      <c r="U3" t="s">
        <v>199</v>
      </c>
      <c r="V3">
        <v>188982080</v>
      </c>
      <c r="W3">
        <v>188982080</v>
      </c>
      <c r="X3">
        <v>2.64</v>
      </c>
      <c r="Y3">
        <v>1.1599999999999999</v>
      </c>
      <c r="Z3">
        <v>4.3</v>
      </c>
      <c r="AA3" t="s">
        <v>200</v>
      </c>
      <c r="AB3" t="s">
        <v>201</v>
      </c>
      <c r="AC3" t="s">
        <v>202</v>
      </c>
      <c r="AD3" t="s">
        <v>203</v>
      </c>
      <c r="AE3" t="s">
        <v>204</v>
      </c>
      <c r="AF3">
        <v>63517743</v>
      </c>
      <c r="AG3" t="s">
        <v>205</v>
      </c>
      <c r="AH3" t="s">
        <v>206</v>
      </c>
      <c r="AI3" t="s">
        <v>207</v>
      </c>
      <c r="AJ3" t="s">
        <v>208</v>
      </c>
      <c r="AK3" t="s">
        <v>209</v>
      </c>
      <c r="AL3" t="s">
        <v>210</v>
      </c>
      <c r="AM3" t="s">
        <v>211</v>
      </c>
      <c r="AN3" t="s">
        <v>7</v>
      </c>
      <c r="AO3" t="s">
        <v>212</v>
      </c>
      <c r="AP3" t="s">
        <v>213</v>
      </c>
      <c r="AQ3" t="s">
        <v>214</v>
      </c>
      <c r="AR3" t="s">
        <v>215</v>
      </c>
      <c r="AS3" t="s">
        <v>7</v>
      </c>
      <c r="AT3" t="s">
        <v>216</v>
      </c>
      <c r="AU3" t="s">
        <v>217</v>
      </c>
      <c r="AV3" t="s">
        <v>49</v>
      </c>
      <c r="AW3" t="s">
        <v>218</v>
      </c>
      <c r="AX3" t="s">
        <v>172</v>
      </c>
      <c r="AY3" t="s">
        <v>219</v>
      </c>
      <c r="AZ3" t="s">
        <v>220</v>
      </c>
      <c r="BA3" t="s">
        <v>221</v>
      </c>
      <c r="BB3" t="s">
        <v>222</v>
      </c>
      <c r="BC3" t="s">
        <v>223</v>
      </c>
      <c r="BD3" t="s">
        <v>224</v>
      </c>
      <c r="BE3" t="s">
        <v>225</v>
      </c>
      <c r="BF3" t="s">
        <v>226</v>
      </c>
      <c r="BG3" t="s">
        <v>227</v>
      </c>
      <c r="BH3" t="s">
        <v>228</v>
      </c>
      <c r="BI3" t="s">
        <v>229</v>
      </c>
      <c r="BJ3" t="s">
        <v>230</v>
      </c>
      <c r="BK3" t="s">
        <v>231</v>
      </c>
      <c r="BL3" t="s">
        <v>31</v>
      </c>
      <c r="BM3" t="s">
        <v>232</v>
      </c>
      <c r="BN3" t="s">
        <v>170</v>
      </c>
      <c r="BO3">
        <v>8.09</v>
      </c>
      <c r="BP3">
        <v>6.72</v>
      </c>
      <c r="BQ3">
        <v>11</v>
      </c>
      <c r="BR3">
        <v>12.72</v>
      </c>
      <c r="BS3">
        <v>10.57</v>
      </c>
      <c r="BT3">
        <v>13.34</v>
      </c>
      <c r="BU3" t="s">
        <v>233</v>
      </c>
      <c r="BV3" t="s">
        <v>234</v>
      </c>
      <c r="BW3">
        <v>18.940000000000001</v>
      </c>
      <c r="BX3">
        <v>20.23</v>
      </c>
      <c r="BY3">
        <v>21.15</v>
      </c>
      <c r="BZ3">
        <v>4.1500000000000004</v>
      </c>
      <c r="CA3">
        <v>3.1</v>
      </c>
      <c r="CB3">
        <v>3.58</v>
      </c>
      <c r="CC3">
        <v>12.28</v>
      </c>
      <c r="CD3">
        <v>-2.34</v>
      </c>
      <c r="CE3" t="s">
        <v>235</v>
      </c>
      <c r="CF3" t="s">
        <v>236</v>
      </c>
      <c r="CG3" s="20">
        <v>9.0899018987341443E-2</v>
      </c>
      <c r="CH3" s="21">
        <v>2.1057692307692308</v>
      </c>
      <c r="CI3" s="20">
        <v>0.84441536664962769</v>
      </c>
      <c r="CJ3" s="20">
        <v>0.47845038771629333</v>
      </c>
      <c r="CK3" s="20">
        <v>0.52906328439712524</v>
      </c>
      <c r="CL3" s="20">
        <v>0.62612885236740112</v>
      </c>
      <c r="CM3" s="20">
        <v>1.8987783193588257</v>
      </c>
      <c r="CN3" s="21">
        <v>0.89417988061904907</v>
      </c>
      <c r="CO3" s="21">
        <v>0.27702704071998596</v>
      </c>
      <c r="CP3" s="21">
        <v>-0.17777778208255768</v>
      </c>
      <c r="CQ3" s="21">
        <v>1.2082149982452393</v>
      </c>
      <c r="CR3" s="21">
        <v>2.964061975479126</v>
      </c>
      <c r="CS3">
        <v>2.0155067483573079</v>
      </c>
      <c r="CT3">
        <v>0.46586161828798855</v>
      </c>
      <c r="CU3">
        <v>0.61610190658562991</v>
      </c>
      <c r="CV3" s="20">
        <v>0.87536724209785466</v>
      </c>
      <c r="CW3" s="21">
        <v>1.0331412225961685</v>
      </c>
      <c r="CX3">
        <v>0.06</v>
      </c>
      <c r="CY3">
        <v>39.408706222913906</v>
      </c>
      <c r="CZ3">
        <v>633378747.80286038</v>
      </c>
      <c r="DA3">
        <v>0.87536724209785466</v>
      </c>
      <c r="DB3">
        <v>7.0621190233571829</v>
      </c>
      <c r="DC3">
        <v>3534440147.1350789</v>
      </c>
      <c r="DD3">
        <v>0.83159887999296189</v>
      </c>
      <c r="DE3">
        <v>1.3514013111501331</v>
      </c>
      <c r="DF3">
        <v>18470188532.492119</v>
      </c>
      <c r="DG3">
        <v>0.77032317304611209</v>
      </c>
      <c r="DH3">
        <v>0.23491749379202875</v>
      </c>
      <c r="DI3">
        <v>106252780910.80574</v>
      </c>
      <c r="DJ3">
        <v>0.70029379367828382</v>
      </c>
      <c r="DK3">
        <v>5.4097165830536559E-3</v>
      </c>
      <c r="DL3">
        <v>4614037836693.8984</v>
      </c>
      <c r="DM3">
        <v>0.61275706946849817</v>
      </c>
      <c r="DN3">
        <v>358000000</v>
      </c>
      <c r="DO3">
        <v>0.87536724209785466</v>
      </c>
      <c r="DP3">
        <v>24960637000</v>
      </c>
      <c r="DQ3">
        <v>1971139400</v>
      </c>
      <c r="DR3">
        <v>3960</v>
      </c>
      <c r="DS3">
        <v>-0.78446822311051323</v>
      </c>
      <c r="DT3">
        <v>1.0726280081730624</v>
      </c>
      <c r="DU3" s="22">
        <v>1.655</v>
      </c>
      <c r="DV3">
        <v>1.5816666666666668</v>
      </c>
      <c r="DW3">
        <v>3.2366666666666668</v>
      </c>
      <c r="DX3">
        <v>5.1905537459283391</v>
      </c>
      <c r="DY3">
        <v>0.76626032897005358</v>
      </c>
      <c r="DZ3">
        <v>5.0526424405366379</v>
      </c>
      <c r="EA3">
        <v>32</v>
      </c>
      <c r="EB3">
        <v>5.0523032905271403</v>
      </c>
      <c r="EC3">
        <v>5</v>
      </c>
      <c r="ED3">
        <v>0.10515494379149599</v>
      </c>
      <c r="EE3">
        <v>0.38063714824178041</v>
      </c>
      <c r="EF3" s="19">
        <v>0.10790000000000001</v>
      </c>
      <c r="EG3">
        <v>0.13119999999999998</v>
      </c>
      <c r="EH3">
        <v>49.276260328970054</v>
      </c>
      <c r="EI3" t="s">
        <v>142</v>
      </c>
      <c r="EJ3">
        <v>1</v>
      </c>
      <c r="EK3">
        <v>1</v>
      </c>
      <c r="EL3" s="25">
        <v>45009</v>
      </c>
      <c r="EM3" s="26">
        <v>2.5000000000000001E-3</v>
      </c>
      <c r="EN3" s="26">
        <v>-6.0000000000000001E-3</v>
      </c>
      <c r="EO3" s="26">
        <v>1.9699999999999999E-2</v>
      </c>
      <c r="EP3" s="26">
        <v>7.98</v>
      </c>
      <c r="EQ3" s="26">
        <v>2.33</v>
      </c>
    </row>
    <row r="4" spans="1:147" ht="96">
      <c r="B4" s="3"/>
      <c r="C4" s="3"/>
      <c r="D4" s="3" t="s">
        <v>280</v>
      </c>
      <c r="E4" t="s">
        <v>176</v>
      </c>
      <c r="F4" t="s">
        <v>177</v>
      </c>
      <c r="G4">
        <v>23.41</v>
      </c>
      <c r="H4">
        <v>2.23</v>
      </c>
      <c r="I4" t="s">
        <v>238</v>
      </c>
      <c r="J4">
        <v>14783191000</v>
      </c>
      <c r="K4">
        <v>40.630000000000003</v>
      </c>
      <c r="L4">
        <v>6.26</v>
      </c>
      <c r="M4" t="s">
        <v>175</v>
      </c>
      <c r="N4" t="s">
        <v>239</v>
      </c>
      <c r="O4" t="s">
        <v>240</v>
      </c>
      <c r="P4" t="s">
        <v>241</v>
      </c>
      <c r="Q4">
        <v>30.38</v>
      </c>
      <c r="R4" t="s">
        <v>242</v>
      </c>
      <c r="S4">
        <v>285721750</v>
      </c>
      <c r="T4" s="4">
        <v>-0.11600000000000001</v>
      </c>
      <c r="U4" t="s">
        <v>155</v>
      </c>
      <c r="V4">
        <v>406619420</v>
      </c>
      <c r="W4">
        <v>631721140</v>
      </c>
      <c r="X4">
        <v>2.34</v>
      </c>
      <c r="Y4">
        <v>0.8</v>
      </c>
      <c r="Z4">
        <v>7.68</v>
      </c>
      <c r="AA4" t="s">
        <v>243</v>
      </c>
      <c r="AB4" t="s">
        <v>244</v>
      </c>
      <c r="AC4" t="s">
        <v>245</v>
      </c>
      <c r="AD4" t="s">
        <v>246</v>
      </c>
      <c r="AE4" t="s">
        <v>247</v>
      </c>
      <c r="AF4">
        <v>34458321</v>
      </c>
      <c r="AG4" t="s">
        <v>248</v>
      </c>
      <c r="AH4">
        <v>8779.36</v>
      </c>
      <c r="AI4" t="s">
        <v>249</v>
      </c>
      <c r="AJ4" t="s">
        <v>250</v>
      </c>
      <c r="AK4" t="s">
        <v>251</v>
      </c>
      <c r="AL4" t="s">
        <v>252</v>
      </c>
      <c r="AM4" t="s">
        <v>253</v>
      </c>
      <c r="AN4" t="s">
        <v>7</v>
      </c>
      <c r="AO4" t="s">
        <v>254</v>
      </c>
      <c r="AP4" t="s">
        <v>255</v>
      </c>
      <c r="AQ4" t="s">
        <v>45</v>
      </c>
      <c r="AR4" t="s">
        <v>256</v>
      </c>
      <c r="AS4" t="s">
        <v>7</v>
      </c>
      <c r="AT4" t="s">
        <v>257</v>
      </c>
      <c r="AU4" t="s">
        <v>258</v>
      </c>
      <c r="AV4" t="s">
        <v>259</v>
      </c>
      <c r="AW4" t="s">
        <v>260</v>
      </c>
      <c r="AX4" t="s">
        <v>261</v>
      </c>
      <c r="AY4" t="s">
        <v>262</v>
      </c>
      <c r="AZ4" t="s">
        <v>157</v>
      </c>
      <c r="BA4" t="s">
        <v>263</v>
      </c>
      <c r="BB4" t="s">
        <v>264</v>
      </c>
      <c r="BC4" t="s">
        <v>265</v>
      </c>
      <c r="BD4" t="s">
        <v>266</v>
      </c>
      <c r="BE4" t="s">
        <v>267</v>
      </c>
      <c r="BF4" t="s">
        <v>268</v>
      </c>
      <c r="BG4" t="s">
        <v>269</v>
      </c>
      <c r="BH4" t="s">
        <v>270</v>
      </c>
      <c r="BI4" t="s">
        <v>271</v>
      </c>
      <c r="BJ4" t="s">
        <v>272</v>
      </c>
      <c r="BK4" t="s">
        <v>273</v>
      </c>
      <c r="BL4" t="s">
        <v>274</v>
      </c>
      <c r="BM4" t="s">
        <v>275</v>
      </c>
      <c r="BN4" t="s">
        <v>276</v>
      </c>
      <c r="BO4">
        <v>17.28</v>
      </c>
      <c r="BP4">
        <v>17.09</v>
      </c>
      <c r="BQ4">
        <v>15.37</v>
      </c>
      <c r="BR4">
        <v>21.75</v>
      </c>
      <c r="BS4">
        <v>19.920000000000002</v>
      </c>
      <c r="BT4">
        <v>29.58</v>
      </c>
      <c r="BU4" t="s">
        <v>277</v>
      </c>
      <c r="BV4" t="s">
        <v>234</v>
      </c>
      <c r="BW4">
        <v>21.39</v>
      </c>
      <c r="BX4">
        <v>28.31</v>
      </c>
      <c r="BY4">
        <v>26.67</v>
      </c>
      <c r="BZ4">
        <v>8.43</v>
      </c>
      <c r="CA4">
        <v>10.34</v>
      </c>
      <c r="CB4">
        <v>8.8800000000000008</v>
      </c>
      <c r="CC4">
        <v>13.97</v>
      </c>
      <c r="CD4">
        <v>7.88</v>
      </c>
      <c r="CE4" t="s">
        <v>278</v>
      </c>
      <c r="CF4" t="s">
        <v>279</v>
      </c>
      <c r="CG4" s="20">
        <v>0.26204757751937985</v>
      </c>
      <c r="CH4" s="21">
        <v>-0.31898541666666685</v>
      </c>
      <c r="CI4" s="20">
        <v>0.49744895100593567</v>
      </c>
      <c r="CJ4" s="20">
        <v>0.43289822340011597</v>
      </c>
      <c r="CK4" s="20">
        <v>0.5332266092300415</v>
      </c>
      <c r="CL4" s="20">
        <v>1.2184723615646362</v>
      </c>
      <c r="CM4" s="20">
        <v>0.6366279125213623</v>
      </c>
      <c r="CN4" s="21">
        <v>0.41197183728218079</v>
      </c>
      <c r="CO4" s="21">
        <v>0.67058825492858887</v>
      </c>
      <c r="CP4" s="21">
        <v>0.9585953950881958</v>
      </c>
      <c r="CQ4" s="21">
        <v>0.97907072305679321</v>
      </c>
      <c r="CR4" s="21">
        <v>8.7692670524120331E-2</v>
      </c>
      <c r="CS4">
        <v>3.5977588220978336</v>
      </c>
      <c r="CT4">
        <v>0.61214206778547087</v>
      </c>
      <c r="CU4">
        <v>0.8543357539513029</v>
      </c>
      <c r="CV4" s="20">
        <v>0.66373481154441838</v>
      </c>
      <c r="CW4" s="21">
        <v>0.62158377617597582</v>
      </c>
      <c r="CX4">
        <v>0.06</v>
      </c>
      <c r="CY4">
        <v>24.663709135971381</v>
      </c>
      <c r="CZ4">
        <v>629394018.32953942</v>
      </c>
      <c r="DA4">
        <v>0.66373481154441838</v>
      </c>
      <c r="DB4">
        <v>5.1311696402231268</v>
      </c>
      <c r="DC4">
        <v>3025273395.4289961</v>
      </c>
      <c r="DD4">
        <v>0.63054807096719745</v>
      </c>
      <c r="DE4">
        <v>1.2632062009647875</v>
      </c>
      <c r="DF4">
        <v>12288722924.368162</v>
      </c>
      <c r="DG4">
        <v>0.58408663415908812</v>
      </c>
      <c r="DH4">
        <v>0.30927909450217134</v>
      </c>
      <c r="DI4">
        <v>50191530161.412239</v>
      </c>
      <c r="DJ4">
        <v>0.53098784923553477</v>
      </c>
      <c r="DK4">
        <v>1.6652593034596253E-2</v>
      </c>
      <c r="DL4">
        <v>932178608325.44885</v>
      </c>
      <c r="DM4">
        <v>0.46461436808109285</v>
      </c>
      <c r="DN4">
        <v>401000000</v>
      </c>
      <c r="DO4">
        <v>0.66373481154441838</v>
      </c>
      <c r="DP4">
        <v>15523191000</v>
      </c>
      <c r="DQ4">
        <v>1243992300</v>
      </c>
      <c r="DR4">
        <v>2133</v>
      </c>
      <c r="DS4">
        <v>-0.40168723402503853</v>
      </c>
      <c r="DT4">
        <v>-0.94056919284264273</v>
      </c>
      <c r="DU4" s="22">
        <v>1.1033333333333333</v>
      </c>
      <c r="DV4">
        <v>0.96666666666666667</v>
      </c>
      <c r="DW4">
        <v>2.0699999999999998</v>
      </c>
      <c r="DX4">
        <v>5.5640658554044382</v>
      </c>
      <c r="DY4">
        <v>0.65538650519031361</v>
      </c>
      <c r="DZ4">
        <v>5.1102108561846569</v>
      </c>
      <c r="EA4">
        <v>321</v>
      </c>
      <c r="EB4">
        <v>5.1030883104155258</v>
      </c>
      <c r="EC4">
        <v>5</v>
      </c>
      <c r="ED4">
        <v>8.9385484234388607E-2</v>
      </c>
      <c r="EE4">
        <v>0.45748033697273455</v>
      </c>
      <c r="EF4" s="19">
        <v>5.3699999999999998E-2</v>
      </c>
      <c r="EG4">
        <v>7.5999999999999998E-2</v>
      </c>
      <c r="EH4">
        <v>46.195386505190314</v>
      </c>
      <c r="EI4" t="s">
        <v>142</v>
      </c>
      <c r="EJ4">
        <v>1</v>
      </c>
      <c r="EK4">
        <v>1</v>
      </c>
      <c r="EL4" s="25">
        <v>45009</v>
      </c>
      <c r="EM4" s="26">
        <v>5.4000000000000003E-3</v>
      </c>
      <c r="EN4" s="26">
        <v>1.7399999999999999E-2</v>
      </c>
      <c r="EO4" s="26">
        <v>3.09E-2</v>
      </c>
      <c r="EP4" s="26">
        <v>5.72</v>
      </c>
      <c r="EQ4" s="26">
        <v>2.23</v>
      </c>
    </row>
    <row r="5" spans="1:147" ht="252">
      <c r="B5" s="3" t="s">
        <v>540</v>
      </c>
      <c r="C5" s="3" t="s">
        <v>281</v>
      </c>
      <c r="D5" s="3" t="s">
        <v>315</v>
      </c>
      <c r="E5" t="s">
        <v>178</v>
      </c>
      <c r="F5" t="s">
        <v>179</v>
      </c>
      <c r="G5">
        <v>128.49</v>
      </c>
      <c r="H5">
        <v>2.5499999999999998E-2</v>
      </c>
      <c r="I5" t="s">
        <v>282</v>
      </c>
      <c r="J5">
        <v>10341444400</v>
      </c>
      <c r="K5">
        <v>106.3</v>
      </c>
      <c r="L5">
        <v>5.63</v>
      </c>
      <c r="M5" t="s">
        <v>180</v>
      </c>
      <c r="N5" t="s">
        <v>32</v>
      </c>
      <c r="O5" t="s">
        <v>283</v>
      </c>
      <c r="P5" t="s">
        <v>284</v>
      </c>
      <c r="Q5">
        <v>-2.94</v>
      </c>
      <c r="R5" t="s">
        <v>285</v>
      </c>
      <c r="S5">
        <v>97323100</v>
      </c>
      <c r="T5" s="4">
        <v>-0.50949999999999995</v>
      </c>
      <c r="U5" t="s">
        <v>286</v>
      </c>
      <c r="V5">
        <v>80469285</v>
      </c>
      <c r="W5">
        <v>80469285</v>
      </c>
      <c r="X5">
        <v>1.1399999999999999</v>
      </c>
      <c r="Y5">
        <v>0.45</v>
      </c>
      <c r="Z5">
        <v>8.83</v>
      </c>
      <c r="AA5" t="s">
        <v>287</v>
      </c>
      <c r="AB5" t="s">
        <v>33</v>
      </c>
      <c r="AC5" t="s">
        <v>288</v>
      </c>
      <c r="AD5" t="s">
        <v>289</v>
      </c>
      <c r="AE5" t="s">
        <v>290</v>
      </c>
      <c r="AF5">
        <v>1012633</v>
      </c>
      <c r="AG5" t="s">
        <v>291</v>
      </c>
      <c r="AH5" t="s">
        <v>7</v>
      </c>
      <c r="AI5" t="s">
        <v>292</v>
      </c>
      <c r="AJ5" t="s">
        <v>293</v>
      </c>
      <c r="AK5" t="s">
        <v>294</v>
      </c>
      <c r="AL5" t="s">
        <v>295</v>
      </c>
      <c r="AM5" t="s">
        <v>296</v>
      </c>
      <c r="AN5" t="s">
        <v>7</v>
      </c>
      <c r="AO5">
        <v>0</v>
      </c>
      <c r="AP5" t="s">
        <v>7</v>
      </c>
      <c r="AQ5" t="s">
        <v>7</v>
      </c>
      <c r="AR5" t="s">
        <v>40</v>
      </c>
      <c r="AS5" t="s">
        <v>7</v>
      </c>
      <c r="AT5" t="s">
        <v>52</v>
      </c>
      <c r="AU5" t="s">
        <v>7</v>
      </c>
      <c r="AV5" t="s">
        <v>297</v>
      </c>
      <c r="AW5" t="s">
        <v>298</v>
      </c>
      <c r="AX5" t="s">
        <v>299</v>
      </c>
      <c r="AY5" t="s">
        <v>300</v>
      </c>
      <c r="AZ5" t="s">
        <v>301</v>
      </c>
      <c r="BA5" t="s">
        <v>302</v>
      </c>
      <c r="BB5" t="s">
        <v>48</v>
      </c>
      <c r="BC5" t="s">
        <v>303</v>
      </c>
      <c r="BD5" t="s">
        <v>304</v>
      </c>
      <c r="BE5" t="s">
        <v>154</v>
      </c>
      <c r="BF5" t="s">
        <v>305</v>
      </c>
      <c r="BG5" t="s">
        <v>306</v>
      </c>
      <c r="BH5" t="s">
        <v>307</v>
      </c>
      <c r="BI5" t="s">
        <v>308</v>
      </c>
      <c r="BJ5" t="s">
        <v>309</v>
      </c>
      <c r="BK5" t="s">
        <v>153</v>
      </c>
      <c r="BL5" t="s">
        <v>310</v>
      </c>
      <c r="BM5" t="s">
        <v>225</v>
      </c>
      <c r="BN5" t="s">
        <v>245</v>
      </c>
      <c r="BO5">
        <v>10.01</v>
      </c>
      <c r="BP5">
        <v>5.62</v>
      </c>
      <c r="BQ5">
        <v>15.56</v>
      </c>
      <c r="BR5">
        <v>11.52</v>
      </c>
      <c r="BS5">
        <v>6.47</v>
      </c>
      <c r="BT5">
        <v>18.32</v>
      </c>
      <c r="BU5" t="s">
        <v>311</v>
      </c>
      <c r="BV5" t="s">
        <v>312</v>
      </c>
      <c r="BW5">
        <v>40.21</v>
      </c>
      <c r="BX5">
        <v>41.29</v>
      </c>
      <c r="BY5">
        <v>47.03</v>
      </c>
      <c r="BZ5">
        <v>10.31</v>
      </c>
      <c r="CA5">
        <v>12.52</v>
      </c>
      <c r="CB5">
        <v>20.93</v>
      </c>
      <c r="CC5">
        <v>9.56</v>
      </c>
      <c r="CD5">
        <v>17.399999999999999</v>
      </c>
      <c r="CE5" t="s">
        <v>313</v>
      </c>
      <c r="CF5" t="s">
        <v>314</v>
      </c>
      <c r="CG5" s="20">
        <v>-3.3684870317002548E-2</v>
      </c>
      <c r="CH5" s="21">
        <v>-0.2598282608695654</v>
      </c>
      <c r="CI5" s="20">
        <v>0.66787004470825195</v>
      </c>
      <c r="CJ5" s="20">
        <v>9.7754292190074921E-2</v>
      </c>
      <c r="CK5" s="20">
        <v>0.59368419647216797</v>
      </c>
      <c r="CL5" s="20">
        <v>0.74632352590560913</v>
      </c>
      <c r="CM5" s="20">
        <v>1.2113821506500244</v>
      </c>
      <c r="CN5" s="21">
        <v>0.9038461446762085</v>
      </c>
      <c r="CO5" s="21">
        <v>-0.34591194987297058</v>
      </c>
      <c r="CP5" s="21">
        <v>0.69360458850860596</v>
      </c>
      <c r="CQ5" s="21">
        <v>2.196340799331665</v>
      </c>
      <c r="CR5" s="21">
        <v>64.372581481933594</v>
      </c>
      <c r="CS5">
        <v>7.4613595959595962</v>
      </c>
      <c r="CT5">
        <v>1.6023446580647502</v>
      </c>
      <c r="CU5">
        <v>1.2452330920694217</v>
      </c>
      <c r="CV5" s="20">
        <v>0.6634028419852257</v>
      </c>
      <c r="CW5" s="21">
        <v>13.564092212915421</v>
      </c>
      <c r="CX5">
        <v>0.06</v>
      </c>
      <c r="CY5">
        <v>28.268846808685314</v>
      </c>
      <c r="CZ5">
        <v>310711096.89912701</v>
      </c>
      <c r="DA5">
        <v>0.6634028419852257</v>
      </c>
      <c r="DB5">
        <v>5.8826203488222157</v>
      </c>
      <c r="DC5">
        <v>1493117671.9161506</v>
      </c>
      <c r="DD5">
        <v>0.63023269988596442</v>
      </c>
      <c r="DE5">
        <v>1.448782727388346</v>
      </c>
      <c r="DF5">
        <v>6062637436.210681</v>
      </c>
      <c r="DG5">
        <v>0.58379450094699858</v>
      </c>
      <c r="DH5">
        <v>0.35490898725245218</v>
      </c>
      <c r="DI5">
        <v>24748441756.850193</v>
      </c>
      <c r="DJ5">
        <v>0.53072227358818058</v>
      </c>
      <c r="DK5">
        <v>1.9135715318264482E-2</v>
      </c>
      <c r="DL5">
        <v>459007894605.1449</v>
      </c>
      <c r="DM5">
        <v>0.46438198938965797</v>
      </c>
      <c r="DN5">
        <v>198000000</v>
      </c>
      <c r="DO5">
        <v>0.6634028419852257</v>
      </c>
      <c r="DP5">
        <v>8783444400</v>
      </c>
      <c r="DQ5">
        <v>1724279200</v>
      </c>
      <c r="DR5">
        <v>4471</v>
      </c>
      <c r="DS5">
        <v>-0.69708771230222821</v>
      </c>
      <c r="DT5">
        <v>-13.823920473784986</v>
      </c>
      <c r="DU5" s="22">
        <v>0.89999999999999991</v>
      </c>
      <c r="DV5">
        <v>1.2745</v>
      </c>
      <c r="DW5">
        <v>2.1745000000000001</v>
      </c>
      <c r="DX5">
        <v>9.5494252873563212</v>
      </c>
      <c r="DY5">
        <v>0.37775418235693425</v>
      </c>
      <c r="DZ5">
        <v>9.1196396542145006</v>
      </c>
      <c r="EA5">
        <v>250</v>
      </c>
      <c r="EB5">
        <v>9.1136179281114966</v>
      </c>
      <c r="EC5">
        <v>9</v>
      </c>
      <c r="ED5">
        <v>8.7670718088274299E-2</v>
      </c>
      <c r="EE5">
        <v>0.40261324553834421</v>
      </c>
      <c r="EF5" s="19">
        <v>2.0789439999999999</v>
      </c>
      <c r="EG5">
        <v>2.0786549999999999</v>
      </c>
      <c r="EH5">
        <v>16.217754182356934</v>
      </c>
      <c r="EI5" t="s">
        <v>167</v>
      </c>
      <c r="EJ5">
        <v>1</v>
      </c>
      <c r="EK5">
        <v>1</v>
      </c>
      <c r="EL5" s="25">
        <v>45006</v>
      </c>
      <c r="EM5" s="26">
        <v>1.66</v>
      </c>
      <c r="EN5" s="26">
        <v>-1.85</v>
      </c>
      <c r="EO5" s="26">
        <v>8.77</v>
      </c>
      <c r="EP5" s="26">
        <v>-1.5599999999999999E-2</v>
      </c>
      <c r="EQ5" s="26">
        <v>2.5499999999999998E-2</v>
      </c>
    </row>
    <row r="6" spans="1:147" ht="96">
      <c r="B6" s="27"/>
      <c r="C6" s="27"/>
      <c r="D6" s="27" t="s">
        <v>358</v>
      </c>
      <c r="E6" t="s">
        <v>181</v>
      </c>
      <c r="F6" t="s">
        <v>182</v>
      </c>
      <c r="G6">
        <v>33.130000000000003</v>
      </c>
      <c r="H6">
        <v>-1.9199999999999998E-2</v>
      </c>
      <c r="I6" t="s">
        <v>316</v>
      </c>
      <c r="J6">
        <v>7939462100</v>
      </c>
      <c r="K6">
        <v>49.3</v>
      </c>
      <c r="L6">
        <v>9.77</v>
      </c>
      <c r="M6" t="s">
        <v>183</v>
      </c>
      <c r="N6" t="s">
        <v>317</v>
      </c>
      <c r="O6" t="s">
        <v>318</v>
      </c>
      <c r="P6" t="s">
        <v>319</v>
      </c>
      <c r="Q6">
        <v>36.270000000000003</v>
      </c>
      <c r="R6" t="s">
        <v>320</v>
      </c>
      <c r="S6">
        <v>122408821</v>
      </c>
      <c r="T6" s="4">
        <v>0.53949999999999998</v>
      </c>
      <c r="U6" t="s">
        <v>47</v>
      </c>
      <c r="V6">
        <v>161037690</v>
      </c>
      <c r="W6">
        <v>239645700</v>
      </c>
      <c r="X6">
        <v>2.2400000000000002</v>
      </c>
      <c r="Y6">
        <v>1.08</v>
      </c>
      <c r="Z6">
        <v>6.76</v>
      </c>
      <c r="AA6" t="s">
        <v>321</v>
      </c>
      <c r="AB6" t="s">
        <v>322</v>
      </c>
      <c r="AC6" t="s">
        <v>323</v>
      </c>
      <c r="AD6" t="s">
        <v>324</v>
      </c>
      <c r="AE6" t="s">
        <v>39</v>
      </c>
      <c r="AF6">
        <v>11341830</v>
      </c>
      <c r="AG6" t="s">
        <v>325</v>
      </c>
      <c r="AH6">
        <v>0.2</v>
      </c>
      <c r="AI6" t="s">
        <v>326</v>
      </c>
      <c r="AJ6" t="s">
        <v>161</v>
      </c>
      <c r="AK6" t="s">
        <v>327</v>
      </c>
      <c r="AL6" t="s">
        <v>328</v>
      </c>
      <c r="AM6" t="s">
        <v>329</v>
      </c>
      <c r="AN6" t="s">
        <v>7</v>
      </c>
      <c r="AO6">
        <v>0</v>
      </c>
      <c r="AP6" t="s">
        <v>275</v>
      </c>
      <c r="AQ6" t="s">
        <v>330</v>
      </c>
      <c r="AR6" t="s">
        <v>331</v>
      </c>
      <c r="AS6" t="s">
        <v>332</v>
      </c>
      <c r="AT6" t="s">
        <v>333</v>
      </c>
      <c r="AU6" t="s">
        <v>334</v>
      </c>
      <c r="AV6" t="s">
        <v>335</v>
      </c>
      <c r="AW6" t="s">
        <v>336</v>
      </c>
      <c r="AX6" t="s">
        <v>337</v>
      </c>
      <c r="AY6" t="s">
        <v>338</v>
      </c>
      <c r="AZ6" t="s">
        <v>339</v>
      </c>
      <c r="BA6" t="s">
        <v>340</v>
      </c>
      <c r="BB6" t="s">
        <v>341</v>
      </c>
      <c r="BC6" t="s">
        <v>342</v>
      </c>
      <c r="BD6" t="s">
        <v>343</v>
      </c>
      <c r="BE6" t="s">
        <v>344</v>
      </c>
      <c r="BF6" t="s">
        <v>345</v>
      </c>
      <c r="BG6" t="s">
        <v>346</v>
      </c>
      <c r="BH6" t="s">
        <v>347</v>
      </c>
      <c r="BI6" t="s">
        <v>348</v>
      </c>
      <c r="BJ6" t="s">
        <v>349</v>
      </c>
      <c r="BK6" t="s">
        <v>350</v>
      </c>
      <c r="BL6" t="s">
        <v>351</v>
      </c>
      <c r="BM6" t="s">
        <v>352</v>
      </c>
      <c r="BN6" t="s">
        <v>353</v>
      </c>
      <c r="BO6">
        <v>12.98</v>
      </c>
      <c r="BP6">
        <v>1.21</v>
      </c>
      <c r="BQ6">
        <v>2.89</v>
      </c>
      <c r="BR6">
        <v>19.05</v>
      </c>
      <c r="BS6">
        <v>4.8600000000000003</v>
      </c>
      <c r="BT6">
        <v>4.54</v>
      </c>
      <c r="BU6" t="s">
        <v>354</v>
      </c>
      <c r="BV6" t="s">
        <v>355</v>
      </c>
      <c r="BW6">
        <v>17.899999999999999</v>
      </c>
      <c r="BX6">
        <v>21.31</v>
      </c>
      <c r="BY6">
        <v>20.02</v>
      </c>
      <c r="BZ6">
        <v>7.63</v>
      </c>
      <c r="CA6">
        <v>2.4500000000000002</v>
      </c>
      <c r="CB6">
        <v>2.62</v>
      </c>
      <c r="CC6">
        <v>-6.09</v>
      </c>
      <c r="CD6">
        <v>16.329999999999998</v>
      </c>
      <c r="CE6" t="s">
        <v>356</v>
      </c>
      <c r="CF6" t="s">
        <v>357</v>
      </c>
      <c r="CG6" s="20">
        <v>8.986596774193549E-2</v>
      </c>
      <c r="CH6" s="21">
        <v>0.1321668793235006</v>
      </c>
      <c r="CI6" s="20">
        <v>0.75646758079528809</v>
      </c>
      <c r="CJ6" s="20">
        <v>0.20150046050548553</v>
      </c>
      <c r="CK6" s="20">
        <v>-5.7575758546590805E-2</v>
      </c>
      <c r="CL6" s="20">
        <v>0.54205608367919922</v>
      </c>
      <c r="CM6" s="20">
        <v>0.33750000596046448</v>
      </c>
      <c r="CN6" s="21">
        <v>3.3002915382385254</v>
      </c>
      <c r="CO6" s="21">
        <v>0.12213893234729767</v>
      </c>
      <c r="CP6" s="21">
        <v>-0.47587642073631287</v>
      </c>
      <c r="CQ6" s="21">
        <v>-0.17108583450317383</v>
      </c>
      <c r="CR6" s="21">
        <v>0.20490480959415436</v>
      </c>
      <c r="CS6">
        <v>4.0322306246825796</v>
      </c>
      <c r="CT6">
        <v>1.384871627869088</v>
      </c>
      <c r="CU6">
        <v>0.41050407485662543</v>
      </c>
      <c r="CV6" s="20">
        <v>0.35598967447876928</v>
      </c>
      <c r="CW6" s="21">
        <v>0.59607460498809817</v>
      </c>
      <c r="CX6">
        <v>0.06</v>
      </c>
      <c r="CY6">
        <v>53.895152070354968</v>
      </c>
      <c r="CZ6">
        <v>150949793.95141017</v>
      </c>
      <c r="DA6">
        <v>0.35598967447876928</v>
      </c>
      <c r="DB6">
        <v>14.16210672812967</v>
      </c>
      <c r="DC6">
        <v>574452816.67316008</v>
      </c>
      <c r="DD6">
        <v>0.33819019075483081</v>
      </c>
      <c r="DE6">
        <v>5.081679872315048</v>
      </c>
      <c r="DF6">
        <v>1600939512.9988282</v>
      </c>
      <c r="DG6">
        <v>0.31327091354131698</v>
      </c>
      <c r="DH6">
        <v>2.0643626245415532</v>
      </c>
      <c r="DI6">
        <v>3940907475.8882041</v>
      </c>
      <c r="DJ6">
        <v>0.28479173958301546</v>
      </c>
      <c r="DK6">
        <v>0.40633386153959111</v>
      </c>
      <c r="DL6">
        <v>20021619830.488388</v>
      </c>
      <c r="DM6">
        <v>0.24919277213513849</v>
      </c>
      <c r="DN6">
        <v>118000000</v>
      </c>
      <c r="DO6">
        <v>0.35598967447876928</v>
      </c>
      <c r="DP6">
        <v>8135462100</v>
      </c>
      <c r="DQ6">
        <v>488412400</v>
      </c>
      <c r="DR6">
        <v>1363</v>
      </c>
      <c r="DS6">
        <v>-0.26612370673683378</v>
      </c>
      <c r="DT6">
        <v>-0.46390772566459759</v>
      </c>
      <c r="DU6" s="22">
        <v>0.91999999999999993</v>
      </c>
      <c r="DV6">
        <v>0.36999999999999994</v>
      </c>
      <c r="DW6">
        <v>1.2899999999999998</v>
      </c>
      <c r="DX6">
        <v>-7.2716324710080285</v>
      </c>
      <c r="DY6">
        <v>0.40376133626101063</v>
      </c>
      <c r="DZ6">
        <v>-7.049915545844315</v>
      </c>
      <c r="EA6">
        <v>1159</v>
      </c>
      <c r="EB6">
        <v>-7.0382164320660419</v>
      </c>
      <c r="EC6">
        <v>7</v>
      </c>
      <c r="ED6">
        <v>6.3278832042469368E-2</v>
      </c>
      <c r="EE6">
        <v>0.34435335163535169</v>
      </c>
      <c r="EF6" s="19">
        <v>4.6049999999999997E-3</v>
      </c>
      <c r="EG6">
        <v>4.4079999999999996E-3</v>
      </c>
      <c r="EH6">
        <v>22.183761336261011</v>
      </c>
      <c r="EI6">
        <v>-1</v>
      </c>
      <c r="EJ6">
        <v>0</v>
      </c>
      <c r="EK6">
        <v>1</v>
      </c>
      <c r="EL6" s="25">
        <v>44979</v>
      </c>
      <c r="EM6" s="26">
        <v>-3.97</v>
      </c>
      <c r="EN6" s="26">
        <v>-3.48</v>
      </c>
      <c r="EO6" s="26">
        <v>2.3999999999999998E-3</v>
      </c>
      <c r="EP6" s="26">
        <v>3.0499999999999999E-2</v>
      </c>
      <c r="EQ6" s="26">
        <v>-1.9199999999999998E-2</v>
      </c>
    </row>
    <row r="7" spans="1:147" ht="96">
      <c r="B7" s="3"/>
      <c r="C7" s="3"/>
      <c r="D7" s="3" t="s">
        <v>580</v>
      </c>
      <c r="E7" t="s">
        <v>537</v>
      </c>
      <c r="F7" t="s">
        <v>541</v>
      </c>
      <c r="G7">
        <v>10.53</v>
      </c>
      <c r="H7">
        <v>0.77</v>
      </c>
      <c r="I7" t="s">
        <v>542</v>
      </c>
      <c r="J7">
        <v>8330580400</v>
      </c>
      <c r="K7">
        <v>18.309999999999999</v>
      </c>
      <c r="L7">
        <v>1.59</v>
      </c>
      <c r="M7" t="s">
        <v>175</v>
      </c>
      <c r="N7" t="s">
        <v>543</v>
      </c>
      <c r="O7" t="s">
        <v>544</v>
      </c>
      <c r="P7" t="s">
        <v>545</v>
      </c>
      <c r="Q7">
        <v>3.45</v>
      </c>
      <c r="R7" t="s">
        <v>546</v>
      </c>
      <c r="S7">
        <v>350628840</v>
      </c>
      <c r="T7" s="4">
        <v>0.20419999999999999</v>
      </c>
      <c r="U7" t="s">
        <v>547</v>
      </c>
      <c r="V7">
        <v>781850690</v>
      </c>
      <c r="W7">
        <v>791065730</v>
      </c>
      <c r="X7">
        <v>2.41</v>
      </c>
      <c r="Y7">
        <v>0.72</v>
      </c>
      <c r="Z7">
        <v>4.34</v>
      </c>
      <c r="AA7" t="s">
        <v>548</v>
      </c>
      <c r="AB7" t="s">
        <v>549</v>
      </c>
      <c r="AC7" t="s">
        <v>303</v>
      </c>
      <c r="AD7" t="s">
        <v>550</v>
      </c>
      <c r="AE7" t="s">
        <v>551</v>
      </c>
      <c r="AF7">
        <v>-92858158</v>
      </c>
      <c r="AG7" t="s">
        <v>552</v>
      </c>
      <c r="AH7" t="s">
        <v>553</v>
      </c>
      <c r="AI7" t="s">
        <v>554</v>
      </c>
      <c r="AJ7" t="s">
        <v>555</v>
      </c>
      <c r="AK7" t="s">
        <v>556</v>
      </c>
      <c r="AL7" t="s">
        <v>43</v>
      </c>
      <c r="AM7" t="s">
        <v>557</v>
      </c>
      <c r="AN7" t="s">
        <v>7</v>
      </c>
      <c r="AO7" t="s">
        <v>558</v>
      </c>
      <c r="AP7" t="s">
        <v>559</v>
      </c>
      <c r="AQ7" t="s">
        <v>560</v>
      </c>
      <c r="AR7" t="s">
        <v>561</v>
      </c>
      <c r="AS7" t="s">
        <v>7</v>
      </c>
      <c r="AT7" t="s">
        <v>562</v>
      </c>
      <c r="AU7" t="s">
        <v>563</v>
      </c>
      <c r="AV7" t="s">
        <v>160</v>
      </c>
      <c r="AW7" t="s">
        <v>164</v>
      </c>
      <c r="AX7" t="s">
        <v>564</v>
      </c>
      <c r="AY7" t="s">
        <v>565</v>
      </c>
      <c r="AZ7" t="s">
        <v>566</v>
      </c>
      <c r="BA7" t="s">
        <v>567</v>
      </c>
      <c r="BB7" t="s">
        <v>568</v>
      </c>
      <c r="BC7" t="s">
        <v>569</v>
      </c>
      <c r="BD7" t="s">
        <v>570</v>
      </c>
      <c r="BE7" t="s">
        <v>571</v>
      </c>
      <c r="BF7" t="s">
        <v>217</v>
      </c>
      <c r="BG7" t="s">
        <v>159</v>
      </c>
      <c r="BH7" t="s">
        <v>168</v>
      </c>
      <c r="BI7" t="s">
        <v>572</v>
      </c>
      <c r="BJ7" t="s">
        <v>573</v>
      </c>
      <c r="BK7" t="s">
        <v>574</v>
      </c>
      <c r="BL7" t="s">
        <v>575</v>
      </c>
      <c r="BM7" t="s">
        <v>576</v>
      </c>
      <c r="BN7" t="s">
        <v>577</v>
      </c>
      <c r="BO7">
        <v>5.5</v>
      </c>
      <c r="BP7">
        <v>5.31</v>
      </c>
      <c r="BQ7">
        <v>4.9800000000000004</v>
      </c>
      <c r="BR7">
        <v>8.16</v>
      </c>
      <c r="BS7">
        <v>7.6</v>
      </c>
      <c r="BT7">
        <v>7.07</v>
      </c>
      <c r="BU7" t="s">
        <v>578</v>
      </c>
      <c r="BV7" t="s">
        <v>234</v>
      </c>
      <c r="BW7">
        <v>12.28</v>
      </c>
      <c r="BX7">
        <v>13.94</v>
      </c>
      <c r="BY7">
        <v>16.82</v>
      </c>
      <c r="BZ7">
        <v>3.67</v>
      </c>
      <c r="CA7">
        <v>3.89</v>
      </c>
      <c r="CB7">
        <v>3.85</v>
      </c>
      <c r="CC7">
        <v>8.11</v>
      </c>
      <c r="CD7">
        <v>11.66</v>
      </c>
      <c r="CE7" t="s">
        <v>579</v>
      </c>
      <c r="CF7" t="s">
        <v>50</v>
      </c>
      <c r="CG7" s="20">
        <v>3.7285137085137088E-2</v>
      </c>
      <c r="CH7" s="21">
        <v>0.66280041666666667</v>
      </c>
      <c r="CI7" s="20">
        <v>0.22234788537025452</v>
      </c>
      <c r="CJ7" s="20">
        <v>0.12766234576702118</v>
      </c>
      <c r="CK7" s="20">
        <v>-5.9155289083719254E-2</v>
      </c>
      <c r="CL7" s="20">
        <v>0.10311056673526764</v>
      </c>
      <c r="CM7" s="20">
        <v>0.15466907620429993</v>
      </c>
      <c r="CN7" s="21">
        <v>0.14121037721633911</v>
      </c>
      <c r="CO7" s="21">
        <v>0.11575562506914139</v>
      </c>
      <c r="CP7" s="21">
        <v>0.61979168653488159</v>
      </c>
      <c r="CQ7" s="21">
        <v>0.90099012851715088</v>
      </c>
      <c r="CR7" s="21">
        <v>-0.70553934574127197</v>
      </c>
      <c r="CS7">
        <v>0.77077908956328645</v>
      </c>
      <c r="CT7">
        <v>1.6686880941191009</v>
      </c>
      <c r="CU7">
        <v>1.4245014245014247</v>
      </c>
      <c r="CV7" s="20">
        <v>0.1097269169986248</v>
      </c>
      <c r="CW7" s="21">
        <v>0.2144416943192482</v>
      </c>
      <c r="CX7">
        <v>0.06</v>
      </c>
      <c r="CY7">
        <v>25.243982915274326</v>
      </c>
      <c r="CZ7">
        <v>414577225.59571266</v>
      </c>
      <c r="DA7">
        <v>0.1097269169986248</v>
      </c>
      <c r="DB7">
        <v>8.1131444777995192</v>
      </c>
      <c r="DC7">
        <v>1289953658.3673065</v>
      </c>
      <c r="DD7">
        <v>0.10424057114869356</v>
      </c>
      <c r="DE7">
        <v>3.9052287429647881</v>
      </c>
      <c r="DF7">
        <v>2679889217.4635324</v>
      </c>
      <c r="DG7">
        <v>9.6559686958789831E-2</v>
      </c>
      <c r="DH7">
        <v>2.2859816181487642</v>
      </c>
      <c r="DI7">
        <v>4578155973.3079767</v>
      </c>
      <c r="DJ7">
        <v>8.7781533598899841E-2</v>
      </c>
      <c r="DK7">
        <v>1.1156001977660477</v>
      </c>
      <c r="DL7">
        <v>9381120961.5747433</v>
      </c>
      <c r="DM7">
        <v>7.6808841899037361E-2</v>
      </c>
      <c r="DN7">
        <v>396000000</v>
      </c>
      <c r="DO7">
        <v>0.1097269169986248</v>
      </c>
      <c r="DP7">
        <v>10465580400</v>
      </c>
      <c r="DQ7">
        <v>1651502100</v>
      </c>
      <c r="DR7">
        <v>3875</v>
      </c>
      <c r="DS7">
        <v>-7.2441779913487714E-2</v>
      </c>
      <c r="DT7">
        <v>0.44835872234741847</v>
      </c>
      <c r="DU7" s="22">
        <v>0.26666666666666666</v>
      </c>
      <c r="DV7">
        <v>0.52</v>
      </c>
      <c r="DW7">
        <v>0.78666666666666663</v>
      </c>
      <c r="DX7">
        <v>9.6955403087478551</v>
      </c>
      <c r="DY7">
        <v>0.43754805970149402</v>
      </c>
      <c r="DZ7">
        <v>9.1582688476997518</v>
      </c>
      <c r="EA7">
        <v>2094</v>
      </c>
      <c r="EB7">
        <v>9.0915454800566504</v>
      </c>
      <c r="EC7">
        <v>9</v>
      </c>
      <c r="ED7">
        <v>9.6361904086023298E-2</v>
      </c>
      <c r="EE7">
        <v>0.42347934854920338</v>
      </c>
      <c r="EF7" s="19">
        <v>5.4610000000000006E-2</v>
      </c>
      <c r="EG7">
        <v>4.6910000000000007E-2</v>
      </c>
      <c r="EH7">
        <v>21.227548059701494</v>
      </c>
      <c r="EI7">
        <v>-1</v>
      </c>
      <c r="EJ7">
        <v>1</v>
      </c>
      <c r="EK7">
        <v>0</v>
      </c>
      <c r="EL7" s="25">
        <v>45009</v>
      </c>
      <c r="EM7" s="26">
        <v>1.54E-2</v>
      </c>
      <c r="EN7" s="26">
        <v>9.1000000000000004E-3</v>
      </c>
      <c r="EO7" s="26">
        <v>4.41E-2</v>
      </c>
      <c r="EP7" s="26">
        <v>0.28999999999999998</v>
      </c>
      <c r="EQ7" s="26">
        <v>0.77</v>
      </c>
    </row>
    <row r="8" spans="1:147" ht="96">
      <c r="B8" s="3"/>
      <c r="C8" s="3"/>
      <c r="D8" s="3" t="s">
        <v>394</v>
      </c>
      <c r="E8" t="s">
        <v>184</v>
      </c>
      <c r="F8" t="s">
        <v>185</v>
      </c>
      <c r="G8">
        <v>13.58</v>
      </c>
      <c r="H8">
        <v>0.59</v>
      </c>
      <c r="I8" t="s">
        <v>359</v>
      </c>
      <c r="J8">
        <v>6217039100</v>
      </c>
      <c r="K8">
        <v>33.979999999999997</v>
      </c>
      <c r="L8">
        <v>3.75</v>
      </c>
      <c r="M8" t="s">
        <v>175</v>
      </c>
      <c r="N8" t="s">
        <v>42</v>
      </c>
      <c r="O8" t="s">
        <v>360</v>
      </c>
      <c r="P8" t="s">
        <v>361</v>
      </c>
      <c r="Q8">
        <v>20.91</v>
      </c>
      <c r="R8" t="s">
        <v>362</v>
      </c>
      <c r="S8">
        <v>139197130</v>
      </c>
      <c r="T8" s="4">
        <v>0.24510000000000001</v>
      </c>
      <c r="U8" t="s">
        <v>44</v>
      </c>
      <c r="V8">
        <v>338011860</v>
      </c>
      <c r="W8">
        <v>457808470</v>
      </c>
      <c r="X8">
        <v>1.17</v>
      </c>
      <c r="Y8">
        <v>0.37</v>
      </c>
      <c r="Z8">
        <v>19.09</v>
      </c>
      <c r="AA8" t="s">
        <v>363</v>
      </c>
      <c r="AB8" t="s">
        <v>364</v>
      </c>
      <c r="AC8" t="s">
        <v>365</v>
      </c>
      <c r="AD8" t="s">
        <v>366</v>
      </c>
      <c r="AE8" t="s">
        <v>367</v>
      </c>
      <c r="AF8">
        <v>-39902780</v>
      </c>
      <c r="AG8" t="s">
        <v>368</v>
      </c>
      <c r="AH8">
        <v>4632.57</v>
      </c>
      <c r="AI8" t="s">
        <v>369</v>
      </c>
      <c r="AJ8" t="s">
        <v>370</v>
      </c>
      <c r="AK8" t="s">
        <v>371</v>
      </c>
      <c r="AL8" t="s">
        <v>372</v>
      </c>
      <c r="AM8" t="s">
        <v>373</v>
      </c>
      <c r="AN8" t="s">
        <v>7</v>
      </c>
      <c r="AO8">
        <v>0</v>
      </c>
      <c r="AP8" t="s">
        <v>7</v>
      </c>
      <c r="AQ8" t="s">
        <v>374</v>
      </c>
      <c r="AR8" t="s">
        <v>375</v>
      </c>
      <c r="AS8" t="s">
        <v>7</v>
      </c>
      <c r="AT8" t="s">
        <v>376</v>
      </c>
      <c r="AU8" t="s">
        <v>7</v>
      </c>
      <c r="AV8" t="s">
        <v>377</v>
      </c>
      <c r="AW8" t="s">
        <v>378</v>
      </c>
      <c r="AX8" t="s">
        <v>379</v>
      </c>
      <c r="AY8" t="s">
        <v>380</v>
      </c>
      <c r="AZ8" t="s">
        <v>381</v>
      </c>
      <c r="BA8" t="s">
        <v>382</v>
      </c>
      <c r="BB8" t="s">
        <v>383</v>
      </c>
      <c r="BC8" t="s">
        <v>53</v>
      </c>
      <c r="BD8" t="s">
        <v>384</v>
      </c>
      <c r="BE8" t="s">
        <v>46</v>
      </c>
      <c r="BF8" t="s">
        <v>385</v>
      </c>
      <c r="BG8" t="s">
        <v>386</v>
      </c>
      <c r="BH8" t="s">
        <v>387</v>
      </c>
      <c r="BI8" t="s">
        <v>388</v>
      </c>
      <c r="BJ8" t="s">
        <v>55</v>
      </c>
      <c r="BK8" t="s">
        <v>389</v>
      </c>
      <c r="BL8" t="s">
        <v>390</v>
      </c>
      <c r="BM8" t="s">
        <v>51</v>
      </c>
      <c r="BN8" t="s">
        <v>391</v>
      </c>
      <c r="BO8">
        <v>10.66</v>
      </c>
      <c r="BP8">
        <v>8.1300000000000008</v>
      </c>
      <c r="BQ8">
        <v>15.71</v>
      </c>
      <c r="BR8">
        <v>12.39</v>
      </c>
      <c r="BS8">
        <v>8.7200000000000006</v>
      </c>
      <c r="BT8">
        <v>17.45</v>
      </c>
      <c r="BU8" t="s">
        <v>392</v>
      </c>
      <c r="BV8" t="s">
        <v>234</v>
      </c>
      <c r="BW8">
        <v>32.1</v>
      </c>
      <c r="BX8">
        <v>42.1</v>
      </c>
      <c r="BY8">
        <v>46.33</v>
      </c>
      <c r="BZ8">
        <v>17.48</v>
      </c>
      <c r="CA8">
        <v>19.14</v>
      </c>
      <c r="CB8">
        <v>25.78</v>
      </c>
      <c r="CC8">
        <v>4.22</v>
      </c>
      <c r="CD8">
        <v>14.12</v>
      </c>
      <c r="CE8" t="s">
        <v>41</v>
      </c>
      <c r="CF8" t="s">
        <v>393</v>
      </c>
      <c r="CG8" s="20">
        <v>0.18158795121951218</v>
      </c>
      <c r="CH8" s="21">
        <v>0.36945735454016687</v>
      </c>
      <c r="CI8" s="20">
        <v>0.94714587926864624</v>
      </c>
      <c r="CJ8" s="20">
        <v>-0.2480127215385437</v>
      </c>
      <c r="CK8" s="20">
        <v>0.3214285671710968</v>
      </c>
      <c r="CL8" s="20">
        <v>0.31491711735725403</v>
      </c>
      <c r="CM8" s="20">
        <v>0.34074074029922485</v>
      </c>
      <c r="CN8" s="21">
        <v>0.72436082363128662</v>
      </c>
      <c r="CO8" s="21">
        <v>-0.44155368208885193</v>
      </c>
      <c r="CP8" s="21">
        <v>0.29600000381469727</v>
      </c>
      <c r="CQ8" s="21">
        <v>0.28947740793228149</v>
      </c>
      <c r="CR8" s="21">
        <v>1.7519749701023102E-2</v>
      </c>
      <c r="CS8">
        <v>6.7503138979370245</v>
      </c>
      <c r="CT8">
        <v>1.0135903539604052</v>
      </c>
      <c r="CU8">
        <v>1.1045655375552283</v>
      </c>
      <c r="CV8" s="20">
        <v>0.33524391651153562</v>
      </c>
      <c r="CW8" s="21">
        <v>0.17716086059808731</v>
      </c>
      <c r="CX8">
        <v>0.06</v>
      </c>
      <c r="CY8">
        <v>24.640467935037524</v>
      </c>
      <c r="CZ8">
        <v>196507595.26018825</v>
      </c>
      <c r="DA8">
        <v>0.33524391651153562</v>
      </c>
      <c r="DB8">
        <v>6.582334081981422</v>
      </c>
      <c r="DC8">
        <v>735611264.89381158</v>
      </c>
      <c r="DD8">
        <v>0.31848172068595881</v>
      </c>
      <c r="DE8">
        <v>2.4225380632788873</v>
      </c>
      <c r="DF8">
        <v>1998746345.1642678</v>
      </c>
      <c r="DG8">
        <v>0.29501464653015136</v>
      </c>
      <c r="DH8">
        <v>1.017272242439379</v>
      </c>
      <c r="DI8">
        <v>4759826227.4305058</v>
      </c>
      <c r="DJ8">
        <v>0.2681951332092285</v>
      </c>
      <c r="DK8">
        <v>0.21813345665975623</v>
      </c>
      <c r="DL8">
        <v>22197599461.106945</v>
      </c>
      <c r="DM8">
        <v>0.23467074155807491</v>
      </c>
      <c r="DN8">
        <v>156000000</v>
      </c>
      <c r="DO8">
        <v>0.33524391651153562</v>
      </c>
      <c r="DP8">
        <v>4842039100</v>
      </c>
      <c r="DQ8">
        <v>1255483800</v>
      </c>
      <c r="DR8">
        <v>2085</v>
      </c>
      <c r="DS8">
        <v>-0.15365596529202344</v>
      </c>
      <c r="DT8">
        <v>0.19229649394207957</v>
      </c>
      <c r="DU8" s="22">
        <v>0.7533333333333333</v>
      </c>
      <c r="DV8">
        <v>0.65333333333333332</v>
      </c>
      <c r="DW8">
        <v>1.4066666666666667</v>
      </c>
      <c r="DX8">
        <v>8.2988668555240785</v>
      </c>
      <c r="DY8">
        <v>0.46702865761689227</v>
      </c>
      <c r="DZ8">
        <v>8.0558966667948511</v>
      </c>
      <c r="EA8">
        <v>1031</v>
      </c>
      <c r="EB8">
        <v>8.0442941978064297</v>
      </c>
      <c r="EC8">
        <v>8</v>
      </c>
      <c r="ED8">
        <v>0.27085562658987067</v>
      </c>
      <c r="EE8">
        <v>1.4482038744280987</v>
      </c>
      <c r="EF8" s="19">
        <v>-1.0371999999999999</v>
      </c>
      <c r="EG8">
        <v>-1.0430999999999999</v>
      </c>
      <c r="EH8">
        <v>28.187028657616892</v>
      </c>
      <c r="EI8" t="s">
        <v>143</v>
      </c>
      <c r="EJ8">
        <v>0</v>
      </c>
      <c r="EK8">
        <v>1</v>
      </c>
      <c r="EL8" s="25">
        <v>45009</v>
      </c>
      <c r="EM8" s="26">
        <v>-3.3799999999999997E-2</v>
      </c>
      <c r="EN8" s="26">
        <v>7.9000000000000008E-3</v>
      </c>
      <c r="EO8" s="26">
        <v>4.9599999999999998E-2</v>
      </c>
      <c r="EP8" s="26">
        <v>1.35</v>
      </c>
      <c r="EQ8" s="26">
        <v>0.59</v>
      </c>
    </row>
    <row r="9" spans="1:147" ht="96">
      <c r="B9" s="27"/>
      <c r="C9" s="27"/>
      <c r="D9" s="27" t="s">
        <v>429</v>
      </c>
      <c r="E9" t="s">
        <v>186</v>
      </c>
      <c r="F9" t="s">
        <v>187</v>
      </c>
      <c r="G9">
        <v>42.27</v>
      </c>
      <c r="H9">
        <v>3.0999999999999999E-3</v>
      </c>
      <c r="I9" t="s">
        <v>395</v>
      </c>
      <c r="J9">
        <v>4235232900</v>
      </c>
      <c r="K9">
        <v>55.66</v>
      </c>
      <c r="L9">
        <v>5.18</v>
      </c>
      <c r="M9" t="s">
        <v>180</v>
      </c>
      <c r="N9" t="s">
        <v>396</v>
      </c>
      <c r="O9" t="s">
        <v>54</v>
      </c>
      <c r="P9" t="s">
        <v>397</v>
      </c>
      <c r="Q9">
        <v>75.09</v>
      </c>
      <c r="R9" t="s">
        <v>398</v>
      </c>
      <c r="S9">
        <v>76076000</v>
      </c>
      <c r="T9" s="4">
        <v>0.80969999999999998</v>
      </c>
      <c r="U9" t="s">
        <v>399</v>
      </c>
      <c r="V9">
        <v>56671437</v>
      </c>
      <c r="W9">
        <v>100194770</v>
      </c>
      <c r="X9">
        <v>1.22</v>
      </c>
      <c r="Y9">
        <v>0.36</v>
      </c>
      <c r="Z9">
        <v>14.7</v>
      </c>
      <c r="AA9" t="s">
        <v>400</v>
      </c>
      <c r="AB9" t="s">
        <v>166</v>
      </c>
      <c r="AC9" t="s">
        <v>401</v>
      </c>
      <c r="AD9" t="s">
        <v>402</v>
      </c>
      <c r="AE9" t="s">
        <v>403</v>
      </c>
      <c r="AF9">
        <v>-416908</v>
      </c>
      <c r="AG9" t="s">
        <v>404</v>
      </c>
      <c r="AH9" t="s">
        <v>405</v>
      </c>
      <c r="AI9" t="s">
        <v>406</v>
      </c>
      <c r="AJ9" t="s">
        <v>116</v>
      </c>
      <c r="AK9" t="s">
        <v>407</v>
      </c>
      <c r="AL9" t="s">
        <v>408</v>
      </c>
      <c r="AM9" t="s">
        <v>409</v>
      </c>
      <c r="AN9" t="s">
        <v>7</v>
      </c>
      <c r="AO9">
        <v>0</v>
      </c>
      <c r="AP9" t="s">
        <v>410</v>
      </c>
      <c r="AQ9" t="s">
        <v>411</v>
      </c>
      <c r="AR9" t="s">
        <v>412</v>
      </c>
      <c r="AS9" t="s">
        <v>413</v>
      </c>
      <c r="AT9" t="s">
        <v>171</v>
      </c>
      <c r="AU9" t="s">
        <v>7</v>
      </c>
      <c r="AV9" t="s">
        <v>414</v>
      </c>
      <c r="AW9" t="s">
        <v>415</v>
      </c>
      <c r="AX9" t="s">
        <v>416</v>
      </c>
      <c r="AY9" t="s">
        <v>161</v>
      </c>
      <c r="AZ9" t="s">
        <v>31</v>
      </c>
      <c r="BA9" t="s">
        <v>35</v>
      </c>
      <c r="BB9" t="s">
        <v>30</v>
      </c>
      <c r="BC9" t="s">
        <v>172</v>
      </c>
      <c r="BD9" t="s">
        <v>417</v>
      </c>
      <c r="BE9" t="s">
        <v>418</v>
      </c>
      <c r="BF9" t="s">
        <v>419</v>
      </c>
      <c r="BG9" t="s">
        <v>420</v>
      </c>
      <c r="BH9" t="s">
        <v>421</v>
      </c>
      <c r="BI9" t="s">
        <v>162</v>
      </c>
      <c r="BJ9" t="s">
        <v>422</v>
      </c>
      <c r="BK9" t="s">
        <v>160</v>
      </c>
      <c r="BL9" t="s">
        <v>423</v>
      </c>
      <c r="BM9" t="s">
        <v>424</v>
      </c>
      <c r="BN9" t="s">
        <v>425</v>
      </c>
      <c r="BO9">
        <v>5.14</v>
      </c>
      <c r="BP9">
        <v>4.32</v>
      </c>
      <c r="BQ9">
        <v>16.73</v>
      </c>
      <c r="BR9">
        <v>5.74</v>
      </c>
      <c r="BS9">
        <v>6.13</v>
      </c>
      <c r="BT9">
        <v>18.03</v>
      </c>
      <c r="BU9" t="s">
        <v>426</v>
      </c>
      <c r="BV9" t="s">
        <v>312</v>
      </c>
      <c r="BW9">
        <v>39.47</v>
      </c>
      <c r="BX9">
        <v>49.87</v>
      </c>
      <c r="BY9">
        <v>48.36</v>
      </c>
      <c r="BZ9">
        <v>14.24</v>
      </c>
      <c r="CA9">
        <v>12.9</v>
      </c>
      <c r="CB9">
        <v>15.7</v>
      </c>
      <c r="CC9">
        <v>0.24</v>
      </c>
      <c r="CD9">
        <v>10.57</v>
      </c>
      <c r="CE9" t="s">
        <v>427</v>
      </c>
      <c r="CF9" t="s">
        <v>428</v>
      </c>
      <c r="CG9" s="20">
        <v>1.0746273770491803</v>
      </c>
      <c r="CH9" s="21">
        <v>37.400606323083586</v>
      </c>
      <c r="CI9" s="20">
        <v>0.66666668653488159</v>
      </c>
      <c r="CJ9" s="20">
        <v>-0.22021660208702087</v>
      </c>
      <c r="CK9" s="20">
        <v>0.47340425848960876</v>
      </c>
      <c r="CL9" s="20">
        <v>0.39259257912635803</v>
      </c>
      <c r="CM9" s="20">
        <v>0.1946902722120285</v>
      </c>
      <c r="CN9" s="21">
        <v>0.51101887226104736</v>
      </c>
      <c r="CO9" s="21">
        <v>-0.35980218648910522</v>
      </c>
      <c r="CP9" s="21">
        <v>0.890949547290802</v>
      </c>
      <c r="CQ9" s="21">
        <v>0.70978879928588867</v>
      </c>
      <c r="CR9" s="21">
        <v>0.59985953569412231</v>
      </c>
      <c r="CS9">
        <v>11.764535833333333</v>
      </c>
      <c r="CT9">
        <v>1.8465472224890356</v>
      </c>
      <c r="CU9">
        <v>0.47314880529926656</v>
      </c>
      <c r="CV9" s="20">
        <v>0.3014274388551712</v>
      </c>
      <c r="CW9" s="21">
        <v>0.47036291360855104</v>
      </c>
      <c r="CX9">
        <v>0.06</v>
      </c>
      <c r="CY9">
        <v>70.104776719816229</v>
      </c>
      <c r="CZ9">
        <v>51611788.373006105</v>
      </c>
      <c r="DA9">
        <v>0.3014274388551712</v>
      </c>
      <c r="DB9">
        <v>19.240829944180621</v>
      </c>
      <c r="DC9">
        <v>188049731.24843466</v>
      </c>
      <c r="DD9">
        <v>0.28635606691241261</v>
      </c>
      <c r="DE9">
        <v>7.3790651460980126</v>
      </c>
      <c r="DF9">
        <v>490337573.71193439</v>
      </c>
      <c r="DG9">
        <v>0.26525614619255067</v>
      </c>
      <c r="DH9">
        <v>3.2684112414491673</v>
      </c>
      <c r="DI9">
        <v>1107031102.4862731</v>
      </c>
      <c r="DJ9">
        <v>0.24114195108413697</v>
      </c>
      <c r="DK9">
        <v>0.8041002016598443</v>
      </c>
      <c r="DL9">
        <v>4499728880.2205877</v>
      </c>
      <c r="DM9">
        <v>0.21099920719861984</v>
      </c>
      <c r="DN9">
        <v>42037299.999999993</v>
      </c>
      <c r="DO9">
        <v>0.3014274388551712</v>
      </c>
      <c r="DP9">
        <v>3618232900</v>
      </c>
      <c r="DQ9">
        <v>686130150</v>
      </c>
      <c r="DR9">
        <v>4881</v>
      </c>
      <c r="DS9">
        <v>0.77319993819400912</v>
      </c>
      <c r="DT9">
        <v>36.930243409475032</v>
      </c>
      <c r="DU9" s="22">
        <v>1.1333333333333333</v>
      </c>
      <c r="DV9">
        <v>1.2166666666666666</v>
      </c>
      <c r="DW9">
        <v>2.3499999999999996</v>
      </c>
      <c r="DX9">
        <v>2.1057000000000001</v>
      </c>
      <c r="DY9">
        <v>0.35698272655382635</v>
      </c>
      <c r="DZ9">
        <v>2.0155360741967394</v>
      </c>
      <c r="EA9">
        <v>177</v>
      </c>
      <c r="EB9">
        <v>2.0149824432056334</v>
      </c>
      <c r="EC9">
        <v>2</v>
      </c>
      <c r="ED9">
        <v>0.10648060772034311</v>
      </c>
      <c r="EE9">
        <v>0.72444300236429504</v>
      </c>
      <c r="EF9" s="19">
        <v>7.4271000000000004E-2</v>
      </c>
      <c r="EG9">
        <v>7.4331000000000008E-2</v>
      </c>
      <c r="EH9">
        <v>21.146982726553826</v>
      </c>
      <c r="EI9">
        <v>-1</v>
      </c>
      <c r="EJ9">
        <v>1</v>
      </c>
      <c r="EK9">
        <v>1</v>
      </c>
      <c r="EL9" s="25">
        <v>45006</v>
      </c>
      <c r="EM9" s="26">
        <v>7.0000000000000007E-2</v>
      </c>
      <c r="EN9" s="26">
        <v>-2.84</v>
      </c>
      <c r="EO9">
        <v>3.41</v>
      </c>
      <c r="EP9">
        <v>-6.1000000000000004E-3</v>
      </c>
      <c r="EQ9">
        <v>3.0999999999999999E-3</v>
      </c>
    </row>
    <row r="10" spans="1:147" ht="96">
      <c r="B10" s="3"/>
      <c r="C10" s="3"/>
      <c r="D10" s="3" t="s">
        <v>466</v>
      </c>
      <c r="E10" t="s">
        <v>188</v>
      </c>
      <c r="F10" t="s">
        <v>189</v>
      </c>
      <c r="G10">
        <v>6.69</v>
      </c>
      <c r="H10">
        <v>5.0199999999999996</v>
      </c>
      <c r="I10" t="s">
        <v>430</v>
      </c>
      <c r="J10">
        <v>2504736000</v>
      </c>
      <c r="L10">
        <v>2.12</v>
      </c>
      <c r="M10" t="s">
        <v>175</v>
      </c>
      <c r="N10" t="s">
        <v>431</v>
      </c>
      <c r="O10" t="s">
        <v>432</v>
      </c>
      <c r="P10" t="s">
        <v>433</v>
      </c>
      <c r="Q10">
        <v>-22.53</v>
      </c>
      <c r="R10" t="s">
        <v>434</v>
      </c>
      <c r="S10">
        <v>-1200000000</v>
      </c>
      <c r="T10" s="5">
        <v>-4.0090000000000003</v>
      </c>
      <c r="U10" t="s">
        <v>435</v>
      </c>
      <c r="V10">
        <v>373824520</v>
      </c>
      <c r="W10">
        <v>374400000</v>
      </c>
      <c r="X10">
        <v>5.04</v>
      </c>
      <c r="Y10">
        <v>0.38</v>
      </c>
      <c r="Z10">
        <v>-34.22</v>
      </c>
      <c r="AA10" t="s">
        <v>436</v>
      </c>
      <c r="AB10" t="s">
        <v>437</v>
      </c>
      <c r="AC10" t="s">
        <v>438</v>
      </c>
      <c r="AD10" t="s">
        <v>46</v>
      </c>
      <c r="AE10" t="s">
        <v>267</v>
      </c>
      <c r="AF10">
        <v>97292819</v>
      </c>
      <c r="AG10" t="s">
        <v>439</v>
      </c>
      <c r="AH10" t="s">
        <v>440</v>
      </c>
      <c r="AI10" t="s">
        <v>441</v>
      </c>
      <c r="AJ10" t="s">
        <v>158</v>
      </c>
      <c r="AK10" t="s">
        <v>442</v>
      </c>
      <c r="AL10" t="s">
        <v>443</v>
      </c>
      <c r="AM10" t="s">
        <v>444</v>
      </c>
      <c r="AN10" t="s">
        <v>7</v>
      </c>
      <c r="AO10" t="s">
        <v>165</v>
      </c>
      <c r="AP10" t="s">
        <v>169</v>
      </c>
      <c r="AQ10" t="s">
        <v>445</v>
      </c>
      <c r="AR10" t="s">
        <v>163</v>
      </c>
      <c r="AS10" t="s">
        <v>7</v>
      </c>
      <c r="AT10" t="s">
        <v>446</v>
      </c>
      <c r="AU10" t="s">
        <v>36</v>
      </c>
      <c r="AV10" t="s">
        <v>447</v>
      </c>
      <c r="AW10" t="s">
        <v>448</v>
      </c>
      <c r="AX10" t="s">
        <v>449</v>
      </c>
      <c r="AY10" t="s">
        <v>450</v>
      </c>
      <c r="AZ10" t="s">
        <v>451</v>
      </c>
      <c r="BA10" t="s">
        <v>452</v>
      </c>
      <c r="BB10" t="s">
        <v>453</v>
      </c>
      <c r="BC10" t="s">
        <v>454</v>
      </c>
      <c r="BD10" t="s">
        <v>455</v>
      </c>
      <c r="BE10" t="s">
        <v>456</v>
      </c>
      <c r="BF10" t="s">
        <v>457</v>
      </c>
      <c r="BG10" t="s">
        <v>245</v>
      </c>
      <c r="BH10" t="s">
        <v>458</v>
      </c>
      <c r="BI10" t="s">
        <v>56</v>
      </c>
      <c r="BJ10" t="s">
        <v>459</v>
      </c>
      <c r="BK10" t="s">
        <v>460</v>
      </c>
      <c r="BL10" t="s">
        <v>461</v>
      </c>
      <c r="BM10" t="s">
        <v>462</v>
      </c>
      <c r="BN10" t="s">
        <v>463</v>
      </c>
      <c r="BO10">
        <v>-3.72</v>
      </c>
      <c r="BP10">
        <v>-13.41</v>
      </c>
      <c r="BQ10">
        <v>3.96</v>
      </c>
      <c r="BR10">
        <v>0.83</v>
      </c>
      <c r="BS10">
        <v>-22.83</v>
      </c>
      <c r="BT10">
        <v>3.78</v>
      </c>
      <c r="BU10" t="s">
        <v>464</v>
      </c>
      <c r="BV10" t="s">
        <v>234</v>
      </c>
      <c r="BW10">
        <v>9.1999999999999993</v>
      </c>
      <c r="BX10">
        <v>11.93</v>
      </c>
      <c r="BY10">
        <v>19.2</v>
      </c>
      <c r="BZ10">
        <v>-20.02</v>
      </c>
      <c r="CA10">
        <v>-18.46</v>
      </c>
      <c r="CB10">
        <v>0.92</v>
      </c>
      <c r="CC10">
        <v>9.67</v>
      </c>
      <c r="CD10">
        <v>9.67</v>
      </c>
      <c r="CE10" t="s">
        <v>465</v>
      </c>
      <c r="CF10" t="s">
        <v>245</v>
      </c>
      <c r="CG10" s="20">
        <v>-0.23703443060498242</v>
      </c>
      <c r="CH10" s="21">
        <v>-3.929343275764511</v>
      </c>
      <c r="CI10" s="20">
        <v>0.2164447158575058</v>
      </c>
      <c r="CJ10" s="20">
        <v>-0.16491974890232086</v>
      </c>
      <c r="CK10" s="20">
        <v>5.7692326605319977E-2</v>
      </c>
      <c r="CL10" s="20">
        <v>0.47826072573661804</v>
      </c>
      <c r="CM10" s="20">
        <v>0.10454379767179489</v>
      </c>
      <c r="CN10" s="21">
        <v>0.673758864402771</v>
      </c>
      <c r="CO10" s="21">
        <v>-14.448090553283691</v>
      </c>
      <c r="CP10" s="21">
        <v>-0.26881459355354309</v>
      </c>
      <c r="CQ10" s="21">
        <v>-0.29708823561668396</v>
      </c>
      <c r="CR10" s="21">
        <v>0.51187711954116821</v>
      </c>
      <c r="CS10">
        <v>0.52742387871130769</v>
      </c>
      <c r="CT10" t="s">
        <v>142</v>
      </c>
      <c r="CU10">
        <v>0</v>
      </c>
      <c r="CV10" s="20">
        <v>0.13840436339378356</v>
      </c>
      <c r="CW10" s="21">
        <v>-2.7656714797019957</v>
      </c>
      <c r="CX10">
        <v>0.06</v>
      </c>
      <c r="CY10" t="e">
        <v>#VALUE!</v>
      </c>
      <c r="CZ10" t="s">
        <v>150</v>
      </c>
      <c r="DA10">
        <v>0.13840436339378356</v>
      </c>
      <c r="DB10" t="e">
        <v>#VALUE!</v>
      </c>
      <c r="DC10" t="s">
        <v>151</v>
      </c>
      <c r="DD10">
        <v>0.13148414522409438</v>
      </c>
      <c r="DE10" t="e">
        <v>#VALUE!</v>
      </c>
      <c r="DF10" t="s">
        <v>151</v>
      </c>
      <c r="DG10">
        <v>0.12179583978652954</v>
      </c>
      <c r="DH10" t="e">
        <v>#VALUE!</v>
      </c>
      <c r="DI10" t="s">
        <v>151</v>
      </c>
      <c r="DJ10">
        <v>0.11072349071502685</v>
      </c>
      <c r="DK10" t="e">
        <v>#VALUE!</v>
      </c>
      <c r="DL10" t="s">
        <v>151</v>
      </c>
      <c r="DM10">
        <v>9.6883054375648495E-2</v>
      </c>
      <c r="DN10">
        <v>-229999999.99999997</v>
      </c>
      <c r="DO10">
        <v>0.13840436339378356</v>
      </c>
      <c r="DP10">
        <v>6094736000</v>
      </c>
      <c r="DQ10">
        <v>-298237100</v>
      </c>
      <c r="DR10">
        <v>828</v>
      </c>
      <c r="DS10">
        <v>-0.37543879399876601</v>
      </c>
      <c r="DT10">
        <v>-1.1636717960625154</v>
      </c>
      <c r="DU10" s="22">
        <v>-8.6666666666666684E-2</v>
      </c>
      <c r="DV10">
        <v>-1.8483333333333336</v>
      </c>
      <c r="DW10">
        <v>-1.9350000000000003</v>
      </c>
      <c r="DX10">
        <v>5.9999000000000002</v>
      </c>
      <c r="DY10">
        <v>0.98953235294118147</v>
      </c>
      <c r="DZ10">
        <v>5.2095113997058826</v>
      </c>
      <c r="EA10">
        <v>4602</v>
      </c>
      <c r="EB10">
        <v>5.0153959454182901</v>
      </c>
      <c r="EC10">
        <v>5</v>
      </c>
      <c r="ED10">
        <v>5.7084134615384613E-2</v>
      </c>
      <c r="EE10">
        <v>0.27243589743589741</v>
      </c>
      <c r="EF10" s="19">
        <v>2.6700000000000002E-2</v>
      </c>
      <c r="EG10">
        <v>7.6899999999999996E-2</v>
      </c>
      <c r="EH10">
        <v>78.209532352941181</v>
      </c>
      <c r="EI10" t="s">
        <v>142</v>
      </c>
      <c r="EJ10">
        <v>1</v>
      </c>
      <c r="EK10">
        <v>0</v>
      </c>
      <c r="EL10" s="25">
        <v>45009</v>
      </c>
      <c r="EM10" s="26">
        <v>1.3100000000000001E-2</v>
      </c>
      <c r="EN10" s="26">
        <v>8.0999999999999996E-3</v>
      </c>
      <c r="EO10" s="26">
        <v>-1.6000000000000001E-3</v>
      </c>
      <c r="EP10" s="26">
        <v>2.41</v>
      </c>
      <c r="EQ10" s="26">
        <v>5.0199999999999996</v>
      </c>
    </row>
    <row r="11" spans="1:147" ht="96">
      <c r="B11" s="3"/>
      <c r="C11" s="3"/>
      <c r="D11" s="3" t="s">
        <v>498</v>
      </c>
      <c r="E11" t="s">
        <v>190</v>
      </c>
      <c r="F11" t="s">
        <v>191</v>
      </c>
      <c r="G11">
        <v>23.3</v>
      </c>
      <c r="H11">
        <v>-6.09</v>
      </c>
      <c r="I11" t="s">
        <v>467</v>
      </c>
      <c r="J11">
        <v>2338013300</v>
      </c>
      <c r="L11">
        <v>2.74</v>
      </c>
      <c r="M11" t="s">
        <v>115</v>
      </c>
      <c r="N11" t="s">
        <v>267</v>
      </c>
      <c r="O11" t="s">
        <v>38</v>
      </c>
      <c r="P11" t="s">
        <v>468</v>
      </c>
      <c r="Q11">
        <v>-43.66</v>
      </c>
      <c r="R11" t="s">
        <v>152</v>
      </c>
      <c r="S11">
        <v>-107150000</v>
      </c>
      <c r="T11" s="4">
        <v>-2.367</v>
      </c>
      <c r="U11" t="s">
        <v>469</v>
      </c>
      <c r="V11">
        <v>71464821</v>
      </c>
      <c r="W11">
        <v>100343920</v>
      </c>
      <c r="X11">
        <v>1.2</v>
      </c>
      <c r="Y11">
        <v>0.17</v>
      </c>
      <c r="Z11">
        <v>-34.22</v>
      </c>
      <c r="AA11" t="s">
        <v>470</v>
      </c>
      <c r="AB11" t="s">
        <v>47</v>
      </c>
      <c r="AC11" t="s">
        <v>471</v>
      </c>
      <c r="AD11" t="s">
        <v>472</v>
      </c>
      <c r="AE11" t="s">
        <v>473</v>
      </c>
      <c r="AF11">
        <v>-3633193</v>
      </c>
      <c r="AG11" t="s">
        <v>474</v>
      </c>
      <c r="AH11" t="s">
        <v>475</v>
      </c>
      <c r="AI11" t="s">
        <v>476</v>
      </c>
      <c r="AJ11" t="s">
        <v>170</v>
      </c>
      <c r="AK11" t="s">
        <v>477</v>
      </c>
      <c r="AL11" t="s">
        <v>478</v>
      </c>
      <c r="AM11" t="s">
        <v>479</v>
      </c>
      <c r="AN11" t="s">
        <v>7</v>
      </c>
      <c r="AO11" t="s">
        <v>480</v>
      </c>
      <c r="AP11" t="s">
        <v>481</v>
      </c>
      <c r="AQ11" t="s">
        <v>7</v>
      </c>
      <c r="AR11" t="s">
        <v>482</v>
      </c>
      <c r="AS11" t="s">
        <v>7</v>
      </c>
      <c r="AT11" t="s">
        <v>58</v>
      </c>
      <c r="AU11" t="s">
        <v>7</v>
      </c>
      <c r="AV11" t="s">
        <v>483</v>
      </c>
      <c r="AW11" t="s">
        <v>484</v>
      </c>
      <c r="AX11" t="s">
        <v>485</v>
      </c>
      <c r="AY11" t="s">
        <v>57</v>
      </c>
      <c r="AZ11" t="s">
        <v>486</v>
      </c>
      <c r="BA11" t="s">
        <v>487</v>
      </c>
      <c r="BB11" t="s">
        <v>376</v>
      </c>
      <c r="BC11" t="s">
        <v>290</v>
      </c>
      <c r="BD11" t="s">
        <v>488</v>
      </c>
      <c r="BE11" t="s">
        <v>489</v>
      </c>
      <c r="BF11" t="s">
        <v>490</v>
      </c>
      <c r="BG11" t="s">
        <v>491</v>
      </c>
      <c r="BH11" t="s">
        <v>492</v>
      </c>
      <c r="BI11" t="s">
        <v>34</v>
      </c>
      <c r="BJ11" t="s">
        <v>156</v>
      </c>
      <c r="BK11" t="s">
        <v>247</v>
      </c>
      <c r="BL11" t="s">
        <v>493</v>
      </c>
      <c r="BM11" t="s">
        <v>494</v>
      </c>
      <c r="BN11" t="s">
        <v>495</v>
      </c>
      <c r="BO11">
        <v>0.57999999999999996</v>
      </c>
      <c r="BP11">
        <v>7.52</v>
      </c>
      <c r="BQ11">
        <v>11.01</v>
      </c>
      <c r="BR11">
        <v>3.24</v>
      </c>
      <c r="BS11">
        <v>10.06</v>
      </c>
      <c r="BT11">
        <v>19.63</v>
      </c>
      <c r="BU11" t="s">
        <v>464</v>
      </c>
      <c r="BV11" t="s">
        <v>115</v>
      </c>
      <c r="BW11">
        <v>35.229999999999997</v>
      </c>
      <c r="BX11">
        <v>47.21</v>
      </c>
      <c r="BY11">
        <v>51.48</v>
      </c>
      <c r="BZ11">
        <v>-27.61</v>
      </c>
      <c r="CA11">
        <v>19.36</v>
      </c>
      <c r="CB11">
        <v>22.25</v>
      </c>
      <c r="CC11">
        <v>-4.12</v>
      </c>
      <c r="CD11">
        <v>41.38</v>
      </c>
      <c r="CE11" t="s">
        <v>496</v>
      </c>
      <c r="CF11" t="s">
        <v>497</v>
      </c>
      <c r="CG11" s="20">
        <v>-0.11659835820895562</v>
      </c>
      <c r="CH11" s="21">
        <v>-58.7053015342549</v>
      </c>
      <c r="CI11" s="20">
        <v>-0.10964912176132202</v>
      </c>
      <c r="CJ11" s="20">
        <v>0.45686900615692139</v>
      </c>
      <c r="CK11" s="20">
        <v>0.26209676265716553</v>
      </c>
      <c r="CL11" s="20">
        <v>-8.4870845079421997E-2</v>
      </c>
      <c r="CM11" s="20">
        <v>0.78289473056793213</v>
      </c>
      <c r="CN11" s="21">
        <v>-0.66511452198028564</v>
      </c>
      <c r="CO11" s="21">
        <v>0.26716530323028564</v>
      </c>
      <c r="CP11" s="21">
        <v>0.22006109356880188</v>
      </c>
      <c r="CQ11" s="21">
        <v>0.1950593888759613</v>
      </c>
      <c r="CR11" s="21">
        <v>0.47890973091125488</v>
      </c>
      <c r="CS11">
        <v>5.7586534482758633</v>
      </c>
      <c r="CT11">
        <v>-204154010.80730131</v>
      </c>
      <c r="CU11">
        <v>0</v>
      </c>
      <c r="CV11" s="20">
        <v>0.26146810650825503</v>
      </c>
      <c r="CW11" s="21">
        <v>9.9216198921203619E-2</v>
      </c>
      <c r="CX11">
        <v>0.06</v>
      </c>
      <c r="CY11">
        <v>46.969553238351438</v>
      </c>
      <c r="CZ11">
        <v>35193294.081628323</v>
      </c>
      <c r="DA11">
        <v>0.26146810650825503</v>
      </c>
      <c r="DB11">
        <v>13.313981732721917</v>
      </c>
      <c r="DC11">
        <v>124156194.08109681</v>
      </c>
      <c r="DD11">
        <v>0.24839470118284226</v>
      </c>
      <c r="DE11">
        <v>5.3591047521992641</v>
      </c>
      <c r="DF11">
        <v>308449522.15603513</v>
      </c>
      <c r="DG11">
        <v>0.23009193372726441</v>
      </c>
      <c r="DH11">
        <v>2.5250078247475596</v>
      </c>
      <c r="DI11">
        <v>654656703.95111024</v>
      </c>
      <c r="DJ11">
        <v>0.20917448520660403</v>
      </c>
      <c r="DK11">
        <v>0.72748533754164046</v>
      </c>
      <c r="DL11">
        <v>2272229026.0666366</v>
      </c>
      <c r="DM11">
        <v>0.18302767455577851</v>
      </c>
      <c r="DN11">
        <v>29572600.000000004</v>
      </c>
      <c r="DO11">
        <v>0.26146810650825503</v>
      </c>
      <c r="DP11">
        <v>1653013300</v>
      </c>
      <c r="DQ11">
        <v>487091120</v>
      </c>
      <c r="DR11">
        <v>4678</v>
      </c>
      <c r="DS11">
        <v>-0.37806646471721062</v>
      </c>
      <c r="DT11">
        <v>-58.804517733176105</v>
      </c>
      <c r="DU11" s="22">
        <v>0.26333333333333331</v>
      </c>
      <c r="DV11">
        <v>-0.7316666666666668</v>
      </c>
      <c r="DW11">
        <v>-0.46833333333333349</v>
      </c>
      <c r="DX11">
        <v>-6.0905494505494504</v>
      </c>
      <c r="DY11">
        <v>0.55421023431287364</v>
      </c>
      <c r="DZ11">
        <v>-6.0302625530850342</v>
      </c>
      <c r="EA11">
        <v>3838</v>
      </c>
      <c r="EB11">
        <v>-6.0067413544741877</v>
      </c>
      <c r="EC11">
        <v>6</v>
      </c>
      <c r="ED11">
        <v>0.14407848527344755</v>
      </c>
      <c r="EE11">
        <v>0.43110135621570295</v>
      </c>
      <c r="EF11" s="19">
        <v>1.0956060000000001</v>
      </c>
      <c r="EG11">
        <v>6.5100000000000054E-3</v>
      </c>
      <c r="EH11">
        <v>22.334210234312874</v>
      </c>
      <c r="EI11">
        <v>-1</v>
      </c>
      <c r="EJ11">
        <v>0</v>
      </c>
      <c r="EK11">
        <v>0</v>
      </c>
      <c r="EL11" s="25">
        <v>44973</v>
      </c>
      <c r="EM11" s="26">
        <v>-4.9000000000000004</v>
      </c>
      <c r="EN11" s="26">
        <v>9.6100000000000005E-2</v>
      </c>
      <c r="EO11">
        <v>-2.0899999999999998E-2</v>
      </c>
      <c r="EP11">
        <v>4.0000000000000002E-4</v>
      </c>
      <c r="EQ11">
        <v>-6.09</v>
      </c>
    </row>
    <row r="12" spans="1:147" ht="96">
      <c r="B12" s="3"/>
      <c r="C12" s="3"/>
      <c r="D12" s="3" t="s">
        <v>536</v>
      </c>
      <c r="E12" t="s">
        <v>192</v>
      </c>
      <c r="F12" t="s">
        <v>193</v>
      </c>
      <c r="G12">
        <v>21.88</v>
      </c>
      <c r="H12">
        <v>3.94</v>
      </c>
      <c r="I12" t="s">
        <v>499</v>
      </c>
      <c r="J12">
        <v>2005947400</v>
      </c>
      <c r="L12">
        <v>2.59</v>
      </c>
      <c r="M12" t="s">
        <v>175</v>
      </c>
      <c r="N12" t="s">
        <v>500</v>
      </c>
      <c r="O12" t="s">
        <v>501</v>
      </c>
      <c r="P12" t="s">
        <v>502</v>
      </c>
      <c r="Q12">
        <v>-14.99</v>
      </c>
      <c r="R12" t="s">
        <v>503</v>
      </c>
      <c r="S12">
        <v>-59118241</v>
      </c>
      <c r="T12" s="4">
        <v>-3.56</v>
      </c>
      <c r="U12" t="s">
        <v>504</v>
      </c>
      <c r="V12">
        <v>65102041</v>
      </c>
      <c r="W12">
        <v>91679495</v>
      </c>
      <c r="X12">
        <v>1.78</v>
      </c>
      <c r="Y12">
        <v>0.39</v>
      </c>
      <c r="Z12">
        <v>-4.2300000000000004</v>
      </c>
      <c r="AA12" t="s">
        <v>505</v>
      </c>
      <c r="AB12" t="s">
        <v>506</v>
      </c>
      <c r="AC12" t="s">
        <v>507</v>
      </c>
      <c r="AD12" t="s">
        <v>508</v>
      </c>
      <c r="AE12" t="s">
        <v>509</v>
      </c>
      <c r="AF12">
        <v>9673233</v>
      </c>
      <c r="AG12" t="s">
        <v>510</v>
      </c>
      <c r="AH12" t="s">
        <v>511</v>
      </c>
      <c r="AI12" t="s">
        <v>512</v>
      </c>
      <c r="AJ12" t="s">
        <v>162</v>
      </c>
      <c r="AK12" t="s">
        <v>513</v>
      </c>
      <c r="AL12" t="s">
        <v>514</v>
      </c>
      <c r="AM12" t="s">
        <v>515</v>
      </c>
      <c r="AN12" t="s">
        <v>7</v>
      </c>
      <c r="AO12" t="s">
        <v>516</v>
      </c>
      <c r="AP12" t="s">
        <v>266</v>
      </c>
      <c r="AQ12" t="s">
        <v>517</v>
      </c>
      <c r="AR12" t="s">
        <v>37</v>
      </c>
      <c r="AS12" t="s">
        <v>7</v>
      </c>
      <c r="AT12" t="s">
        <v>381</v>
      </c>
      <c r="AU12" t="s">
        <v>7</v>
      </c>
      <c r="AV12" t="s">
        <v>518</v>
      </c>
      <c r="AW12" t="s">
        <v>519</v>
      </c>
      <c r="AX12" t="s">
        <v>520</v>
      </c>
      <c r="AY12" t="s">
        <v>113</v>
      </c>
      <c r="AZ12" t="s">
        <v>123</v>
      </c>
      <c r="BA12" t="s">
        <v>521</v>
      </c>
      <c r="BB12" t="s">
        <v>522</v>
      </c>
      <c r="BC12" t="s">
        <v>523</v>
      </c>
      <c r="BD12" t="s">
        <v>524</v>
      </c>
      <c r="BE12" t="s">
        <v>525</v>
      </c>
      <c r="BF12" t="s">
        <v>526</v>
      </c>
      <c r="BG12" t="s">
        <v>527</v>
      </c>
      <c r="BH12" t="s">
        <v>528</v>
      </c>
      <c r="BI12" t="s">
        <v>331</v>
      </c>
      <c r="BJ12" t="s">
        <v>529</v>
      </c>
      <c r="BK12" t="s">
        <v>530</v>
      </c>
      <c r="BL12" t="s">
        <v>531</v>
      </c>
      <c r="BM12" t="s">
        <v>532</v>
      </c>
      <c r="BN12" t="s">
        <v>533</v>
      </c>
      <c r="BO12">
        <v>-1.01</v>
      </c>
      <c r="BP12">
        <v>-8.57</v>
      </c>
      <c r="BQ12">
        <v>8.73</v>
      </c>
      <c r="BR12">
        <v>-1.55</v>
      </c>
      <c r="BS12">
        <v>-8.83</v>
      </c>
      <c r="BT12">
        <v>11.43</v>
      </c>
      <c r="BU12" t="s">
        <v>464</v>
      </c>
      <c r="BV12" t="s">
        <v>234</v>
      </c>
      <c r="BW12">
        <v>18.04</v>
      </c>
      <c r="BX12">
        <v>14.67</v>
      </c>
      <c r="BY12">
        <v>24.99</v>
      </c>
      <c r="BZ12">
        <v>-4.2699999999999996</v>
      </c>
      <c r="CA12">
        <v>-13.09</v>
      </c>
      <c r="CB12">
        <v>6.98</v>
      </c>
      <c r="CC12">
        <v>10.78</v>
      </c>
      <c r="CD12">
        <v>20.29</v>
      </c>
      <c r="CE12" t="s">
        <v>534</v>
      </c>
      <c r="CF12" t="s">
        <v>535</v>
      </c>
      <c r="CG12" s="20">
        <v>-0.15320128205128206</v>
      </c>
      <c r="CH12" s="21">
        <v>-7.290309144945466</v>
      </c>
      <c r="CI12" s="20">
        <v>0.78571426868438721</v>
      </c>
      <c r="CJ12" s="20">
        <v>-0.26598465442657471</v>
      </c>
      <c r="CK12" s="20">
        <v>0.40394973754882813</v>
      </c>
      <c r="CL12" s="20">
        <v>0.11623246222734451</v>
      </c>
      <c r="CM12" s="20">
        <v>0.52134144306182861</v>
      </c>
      <c r="CN12" s="21">
        <v>0.82729589939117432</v>
      </c>
      <c r="CO12" s="21">
        <v>-2.3758084774017334</v>
      </c>
      <c r="CP12" s="21">
        <v>0.25440278649330139</v>
      </c>
      <c r="CQ12" s="21">
        <v>-0.15670695900917053</v>
      </c>
      <c r="CR12" s="21">
        <v>1.4621943235397339</v>
      </c>
      <c r="CS12">
        <v>1.9570218536585366</v>
      </c>
      <c r="CT12" t="s">
        <v>142</v>
      </c>
      <c r="CU12">
        <v>0</v>
      </c>
      <c r="CV12" s="20">
        <v>0.31225065141916275</v>
      </c>
      <c r="CW12" s="21">
        <v>2.275514602661133E-3</v>
      </c>
      <c r="CX12">
        <v>0.06</v>
      </c>
      <c r="CY12" t="e">
        <v>#VALUE!</v>
      </c>
      <c r="CZ12" t="s">
        <v>150</v>
      </c>
      <c r="DA12">
        <v>0.31225065141916275</v>
      </c>
      <c r="DB12" t="e">
        <v>#VALUE!</v>
      </c>
      <c r="DC12" t="s">
        <v>151</v>
      </c>
      <c r="DD12">
        <v>0.29663811884820462</v>
      </c>
      <c r="DE12" t="e">
        <v>#VALUE!</v>
      </c>
      <c r="DF12" t="s">
        <v>151</v>
      </c>
      <c r="DG12">
        <v>0.27478057324886324</v>
      </c>
      <c r="DH12" t="e">
        <v>#VALUE!</v>
      </c>
      <c r="DI12" t="s">
        <v>151</v>
      </c>
      <c r="DJ12">
        <v>0.24980052113533022</v>
      </c>
      <c r="DK12" t="e">
        <v>#VALUE!</v>
      </c>
      <c r="DL12" t="s">
        <v>151</v>
      </c>
      <c r="DM12">
        <v>0.21857545599341391</v>
      </c>
      <c r="DN12">
        <v>-12964000</v>
      </c>
      <c r="DO12">
        <v>0.31225065141916275</v>
      </c>
      <c r="DP12">
        <v>1830947400</v>
      </c>
      <c r="DQ12">
        <v>407713820</v>
      </c>
      <c r="DR12">
        <v>4592</v>
      </c>
      <c r="DS12">
        <v>-0.46545193347044478</v>
      </c>
      <c r="DT12">
        <v>-7.292584659548127</v>
      </c>
      <c r="DU12" s="22">
        <v>0.19666666666666666</v>
      </c>
      <c r="DV12">
        <v>-1.4816666666666667</v>
      </c>
      <c r="DW12">
        <v>-1.2850000000000001</v>
      </c>
      <c r="DX12">
        <v>9.5312962050271075</v>
      </c>
      <c r="DY12">
        <v>0.49768960724661254</v>
      </c>
      <c r="DZ12">
        <v>9.105031738103424</v>
      </c>
      <c r="EA12">
        <v>4294</v>
      </c>
      <c r="EB12">
        <v>9.0142311978545617</v>
      </c>
      <c r="EC12">
        <v>9</v>
      </c>
      <c r="ED12">
        <v>0.12892741174021519</v>
      </c>
      <c r="EE12">
        <v>0.65217091346325584</v>
      </c>
      <c r="EF12" s="19">
        <v>-1.0277099999999999</v>
      </c>
      <c r="EG12">
        <v>-1.0117</v>
      </c>
      <c r="EH12">
        <v>30.197689607246613</v>
      </c>
      <c r="EI12" t="s">
        <v>143</v>
      </c>
      <c r="EJ12">
        <v>1</v>
      </c>
      <c r="EK12">
        <v>0</v>
      </c>
      <c r="EL12" s="25">
        <v>45009</v>
      </c>
      <c r="EM12" s="26">
        <v>-1.11E-2</v>
      </c>
      <c r="EN12" s="26">
        <v>2.6100000000000002E-2</v>
      </c>
      <c r="EO12" s="26">
        <v>3.8399999999999997E-2</v>
      </c>
      <c r="EP12" s="26">
        <v>1.1499999999999999</v>
      </c>
      <c r="EQ12" s="26">
        <v>3.94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63500</xdr:colOff>
                    <xdr:row>1</xdr:row>
                    <xdr:rowOff>260350</xdr:rowOff>
                  </from>
                  <to>
                    <xdr:col>1</xdr:col>
                    <xdr:colOff>1092200</xdr:colOff>
                    <xdr:row>1</xdr:row>
                    <xdr:rowOff>711200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Q6"/>
  <sheetViews>
    <sheetView tabSelected="1" workbookViewId="0">
      <selection activeCell="C2" sqref="C2"/>
    </sheetView>
  </sheetViews>
  <sheetFormatPr defaultRowHeight="14"/>
  <cols>
    <col min="1" max="1" width="13" customWidth="1"/>
    <col min="2" max="2" width="34.1796875" customWidth="1"/>
    <col min="3" max="3" width="37.1796875" customWidth="1"/>
    <col min="4" max="4" width="39.1796875" customWidth="1"/>
  </cols>
  <sheetData>
    <row r="1" spans="1:147">
      <c r="A1" s="16" t="s">
        <v>91</v>
      </c>
      <c r="B1" s="17" t="s">
        <v>8</v>
      </c>
      <c r="C1" s="18" t="s">
        <v>9</v>
      </c>
      <c r="D1" s="17" t="s">
        <v>114</v>
      </c>
      <c r="E1" t="s">
        <v>2</v>
      </c>
      <c r="F1" t="s">
        <v>3</v>
      </c>
      <c r="G1" t="s">
        <v>0</v>
      </c>
      <c r="H1" t="s">
        <v>124</v>
      </c>
      <c r="I1" t="s">
        <v>144</v>
      </c>
      <c r="J1" t="s">
        <v>4</v>
      </c>
      <c r="K1" t="s">
        <v>5</v>
      </c>
      <c r="L1" t="s">
        <v>1</v>
      </c>
      <c r="M1" t="s">
        <v>6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125</v>
      </c>
      <c r="AD1" t="s">
        <v>25</v>
      </c>
      <c r="AE1" t="s">
        <v>26</v>
      </c>
      <c r="AF1" t="s">
        <v>27</v>
      </c>
      <c r="AG1" t="s">
        <v>28</v>
      </c>
      <c r="AH1" t="s">
        <v>126</v>
      </c>
      <c r="AI1" t="s">
        <v>145</v>
      </c>
      <c r="AJ1" t="s">
        <v>127</v>
      </c>
      <c r="AK1" t="s">
        <v>29</v>
      </c>
      <c r="AL1" t="s">
        <v>128</v>
      </c>
      <c r="AM1" t="s">
        <v>92</v>
      </c>
      <c r="AN1" t="s">
        <v>129</v>
      </c>
      <c r="AO1" t="s">
        <v>130</v>
      </c>
      <c r="AP1" t="s">
        <v>131</v>
      </c>
      <c r="AQ1" t="s">
        <v>132</v>
      </c>
      <c r="AR1" t="s">
        <v>133</v>
      </c>
      <c r="AS1" t="s">
        <v>134</v>
      </c>
      <c r="AT1" t="s">
        <v>135</v>
      </c>
      <c r="AU1" t="s">
        <v>136</v>
      </c>
      <c r="AV1" t="s">
        <v>137</v>
      </c>
      <c r="AW1" t="s">
        <v>138</v>
      </c>
      <c r="AX1" t="s">
        <v>139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117</v>
      </c>
      <c r="BJ1" t="s">
        <v>118</v>
      </c>
      <c r="BK1" t="s">
        <v>119</v>
      </c>
      <c r="BL1" t="s">
        <v>120</v>
      </c>
      <c r="BM1" t="s">
        <v>121</v>
      </c>
      <c r="BN1" t="s">
        <v>122</v>
      </c>
      <c r="BO1" t="s">
        <v>140</v>
      </c>
      <c r="BP1" t="s">
        <v>103</v>
      </c>
      <c r="BQ1" t="s">
        <v>104</v>
      </c>
      <c r="BR1" t="s">
        <v>105</v>
      </c>
      <c r="BS1" t="s">
        <v>141</v>
      </c>
      <c r="BT1" t="s">
        <v>106</v>
      </c>
      <c r="BU1" t="s">
        <v>107</v>
      </c>
      <c r="BV1" t="s">
        <v>108</v>
      </c>
      <c r="BW1" t="s">
        <v>109</v>
      </c>
      <c r="BX1" t="s">
        <v>109</v>
      </c>
      <c r="BY1" t="s">
        <v>110</v>
      </c>
      <c r="BZ1" t="s">
        <v>111</v>
      </c>
      <c r="CA1" t="s">
        <v>111</v>
      </c>
      <c r="CB1" t="s">
        <v>112</v>
      </c>
      <c r="CC1" t="s">
        <v>146</v>
      </c>
      <c r="CD1" t="s">
        <v>147</v>
      </c>
      <c r="CE1" t="s">
        <v>148</v>
      </c>
      <c r="CF1" t="s">
        <v>149</v>
      </c>
    </row>
    <row r="2" spans="1:147" ht="56" customHeight="1">
      <c r="A2" s="16"/>
      <c r="B2" s="23"/>
      <c r="C2" s="24">
        <v>3</v>
      </c>
      <c r="D2" s="24">
        <v>6</v>
      </c>
      <c r="T2" s="4"/>
    </row>
    <row r="3" spans="1:147" ht="264">
      <c r="B3" s="3"/>
      <c r="C3" s="3"/>
      <c r="D3" s="3" t="s">
        <v>637</v>
      </c>
      <c r="E3" t="s">
        <v>581</v>
      </c>
      <c r="F3" t="s">
        <v>582</v>
      </c>
      <c r="G3">
        <v>8.83</v>
      </c>
      <c r="H3">
        <v>3.8800000000000001E-2</v>
      </c>
      <c r="I3" t="s">
        <v>583</v>
      </c>
      <c r="J3">
        <v>6777007400</v>
      </c>
      <c r="L3">
        <v>1.48</v>
      </c>
      <c r="M3" t="s">
        <v>175</v>
      </c>
      <c r="N3" t="s">
        <v>594</v>
      </c>
      <c r="O3" t="s">
        <v>595</v>
      </c>
      <c r="P3" t="s">
        <v>596</v>
      </c>
      <c r="Q3">
        <v>-11.4</v>
      </c>
      <c r="R3" t="s">
        <v>597</v>
      </c>
      <c r="S3">
        <v>-19585507</v>
      </c>
      <c r="T3" s="4">
        <v>-1.26</v>
      </c>
      <c r="U3" t="s">
        <v>598</v>
      </c>
      <c r="V3">
        <v>712418010</v>
      </c>
      <c r="W3">
        <v>767498010</v>
      </c>
      <c r="X3">
        <v>1.37</v>
      </c>
      <c r="Y3">
        <v>0.28000000000000003</v>
      </c>
      <c r="Z3">
        <v>-1.01</v>
      </c>
      <c r="AA3" t="s">
        <v>599</v>
      </c>
      <c r="AB3" t="s">
        <v>600</v>
      </c>
      <c r="AC3" t="s">
        <v>601</v>
      </c>
      <c r="AD3" t="s">
        <v>154</v>
      </c>
      <c r="AE3" t="s">
        <v>602</v>
      </c>
      <c r="AF3">
        <v>5556536</v>
      </c>
      <c r="AG3" t="s">
        <v>603</v>
      </c>
      <c r="AH3" t="s">
        <v>604</v>
      </c>
      <c r="AI3" t="s">
        <v>605</v>
      </c>
      <c r="AJ3" t="s">
        <v>606</v>
      </c>
      <c r="AK3" t="s">
        <v>607</v>
      </c>
      <c r="AL3" t="s">
        <v>608</v>
      </c>
      <c r="AM3" t="s">
        <v>609</v>
      </c>
      <c r="AN3" t="s">
        <v>7</v>
      </c>
      <c r="AO3" t="s">
        <v>610</v>
      </c>
      <c r="AP3" t="s">
        <v>383</v>
      </c>
      <c r="AQ3" t="s">
        <v>611</v>
      </c>
      <c r="AR3" t="s">
        <v>612</v>
      </c>
      <c r="AS3" t="s">
        <v>7</v>
      </c>
      <c r="AT3" t="s">
        <v>613</v>
      </c>
      <c r="AU3" t="s">
        <v>614</v>
      </c>
      <c r="AV3" t="s">
        <v>615</v>
      </c>
      <c r="AW3" t="s">
        <v>616</v>
      </c>
      <c r="AX3" t="s">
        <v>617</v>
      </c>
      <c r="AY3" t="s">
        <v>618</v>
      </c>
      <c r="AZ3" t="s">
        <v>619</v>
      </c>
      <c r="BA3" t="s">
        <v>620</v>
      </c>
      <c r="BB3" t="s">
        <v>621</v>
      </c>
      <c r="BC3" t="s">
        <v>622</v>
      </c>
      <c r="BD3" t="s">
        <v>377</v>
      </c>
      <c r="BE3" t="s">
        <v>623</v>
      </c>
      <c r="BF3" t="s">
        <v>624</v>
      </c>
      <c r="BG3" t="s">
        <v>625</v>
      </c>
      <c r="BH3" t="s">
        <v>626</v>
      </c>
      <c r="BI3" t="s">
        <v>627</v>
      </c>
      <c r="BJ3" t="s">
        <v>628</v>
      </c>
      <c r="BK3" t="s">
        <v>629</v>
      </c>
      <c r="BL3" t="s">
        <v>630</v>
      </c>
      <c r="BM3" t="s">
        <v>631</v>
      </c>
      <c r="BN3" t="s">
        <v>632</v>
      </c>
      <c r="BO3" t="s">
        <v>7</v>
      </c>
      <c r="BP3" t="s">
        <v>7</v>
      </c>
      <c r="BQ3">
        <v>1.31</v>
      </c>
      <c r="BR3">
        <v>-0.44</v>
      </c>
      <c r="BS3">
        <v>-5.98</v>
      </c>
      <c r="BT3">
        <v>0.71</v>
      </c>
      <c r="BU3" t="s">
        <v>464</v>
      </c>
      <c r="BV3" t="s">
        <v>633</v>
      </c>
      <c r="BW3">
        <v>21.11</v>
      </c>
      <c r="BX3">
        <v>10.39</v>
      </c>
      <c r="BY3">
        <v>20.399999999999999</v>
      </c>
      <c r="BZ3">
        <v>0.25</v>
      </c>
      <c r="CA3">
        <v>-11.04</v>
      </c>
      <c r="CB3">
        <v>2.72</v>
      </c>
      <c r="CC3">
        <v>0.34</v>
      </c>
      <c r="CD3">
        <v>-2.21</v>
      </c>
      <c r="CE3" t="s">
        <v>634</v>
      </c>
      <c r="CF3" t="s">
        <v>635</v>
      </c>
      <c r="CG3" s="20">
        <v>-0.2969837587006956</v>
      </c>
      <c r="CH3" s="21">
        <v>-1.3639608406655761</v>
      </c>
      <c r="CI3" s="20">
        <v>5.7527512311935425E-2</v>
      </c>
      <c r="CJ3" s="20">
        <v>0.12122607976198196</v>
      </c>
      <c r="CK3" s="20">
        <v>-6.5012834966182709E-2</v>
      </c>
      <c r="CL3" s="20">
        <v>0.28390991687774658</v>
      </c>
      <c r="CM3" s="20">
        <v>2.3608695715665817E-2</v>
      </c>
      <c r="CN3" s="21">
        <v>1.358725905418396</v>
      </c>
      <c r="CO3" s="21">
        <v>-8.2850618362426758</v>
      </c>
      <c r="CP3" s="21">
        <v>1.100147008895874</v>
      </c>
      <c r="CQ3" s="21">
        <v>-15.368629455566406</v>
      </c>
      <c r="CR3" s="21">
        <v>1.0482550859451294</v>
      </c>
      <c r="CS3">
        <v>-41.797636013318652</v>
      </c>
      <c r="CT3">
        <v>-4.9610333941024312</v>
      </c>
      <c r="CU3">
        <v>0</v>
      </c>
      <c r="CV3" s="20">
        <v>8.4251873940229413E-2</v>
      </c>
      <c r="CW3" s="21">
        <v>-4.0293126583099363</v>
      </c>
      <c r="CX3">
        <v>0.06</v>
      </c>
      <c r="CY3">
        <v>39.848261387503392</v>
      </c>
      <c r="CZ3">
        <v>95035699.629987463</v>
      </c>
      <c r="DA3">
        <v>8.4251873940229413E-2</v>
      </c>
      <c r="DB3">
        <v>13.085619631732209</v>
      </c>
      <c r="DC3">
        <v>289402222.17804867</v>
      </c>
      <c r="DD3">
        <v>8.0039280243217936E-2</v>
      </c>
      <c r="DE3">
        <v>6.4837504151581911</v>
      </c>
      <c r="DF3">
        <v>584076677.46532226</v>
      </c>
      <c r="DG3">
        <v>7.414164906740188E-2</v>
      </c>
      <c r="DH3">
        <v>3.9221687151024707</v>
      </c>
      <c r="DI3">
        <v>965539137.93100572</v>
      </c>
      <c r="DJ3">
        <v>6.7401499152183533E-2</v>
      </c>
      <c r="DK3">
        <v>2.0587469334773818</v>
      </c>
      <c r="DL3">
        <v>1839472029.5240238</v>
      </c>
      <c r="DM3">
        <v>5.8976311758160586E-2</v>
      </c>
      <c r="DN3">
        <v>92910000</v>
      </c>
      <c r="DO3">
        <v>8.4251873940229413E-2</v>
      </c>
      <c r="DP3">
        <v>3787007400</v>
      </c>
      <c r="DQ3">
        <v>1332163200</v>
      </c>
      <c r="DR3">
        <v>1631</v>
      </c>
      <c r="DS3">
        <v>-0.38123563264092503</v>
      </c>
      <c r="DT3">
        <v>2.6653518176443605</v>
      </c>
      <c r="DU3" s="22">
        <v>-0.32333333333333336</v>
      </c>
      <c r="DV3">
        <v>-1.4650000000000001</v>
      </c>
      <c r="DW3">
        <v>-1.7883333333333336</v>
      </c>
      <c r="DX3">
        <v>-2.2099999999999998E-2</v>
      </c>
      <c r="DY3">
        <v>0.35658793774319136</v>
      </c>
      <c r="DZ3">
        <v>-3.6815934241245132E-3</v>
      </c>
      <c r="EA3">
        <v>4396</v>
      </c>
      <c r="EB3">
        <v>-5.1812886344207378E-4</v>
      </c>
      <c r="EC3">
        <v>0</v>
      </c>
      <c r="ED3">
        <v>0.11156537070369735</v>
      </c>
      <c r="EE3">
        <v>0.66970857683396456</v>
      </c>
      <c r="EF3" s="19">
        <v>-2.0338099999999999</v>
      </c>
      <c r="EG3">
        <v>-2.0334219999999998</v>
      </c>
      <c r="EH3">
        <v>19.166587937743191</v>
      </c>
      <c r="EI3" t="s">
        <v>636</v>
      </c>
      <c r="EJ3">
        <v>0</v>
      </c>
      <c r="EK3">
        <v>0</v>
      </c>
      <c r="EL3" s="25">
        <v>45359</v>
      </c>
      <c r="EM3">
        <v>2.0499999999999998</v>
      </c>
      <c r="EN3">
        <v>-2</v>
      </c>
      <c r="EO3">
        <v>-0.23</v>
      </c>
      <c r="EP3">
        <v>-3.19</v>
      </c>
      <c r="EQ3">
        <v>3.8800000000000001E-2</v>
      </c>
    </row>
    <row r="4" spans="1:147" ht="168">
      <c r="B4" s="3"/>
      <c r="C4" s="3"/>
      <c r="D4" s="3" t="s">
        <v>677</v>
      </c>
      <c r="E4" t="s">
        <v>584</v>
      </c>
      <c r="F4" t="s">
        <v>585</v>
      </c>
      <c r="G4">
        <v>9.74</v>
      </c>
      <c r="H4">
        <v>0.10059999999999999</v>
      </c>
      <c r="I4" t="s">
        <v>586</v>
      </c>
      <c r="J4">
        <v>6655203800</v>
      </c>
      <c r="K4">
        <v>57.76</v>
      </c>
      <c r="L4">
        <v>2.57</v>
      </c>
      <c r="M4" t="s">
        <v>175</v>
      </c>
      <c r="N4" t="s">
        <v>382</v>
      </c>
      <c r="O4" t="s">
        <v>638</v>
      </c>
      <c r="P4" t="s">
        <v>639</v>
      </c>
      <c r="Q4">
        <v>-22.18</v>
      </c>
      <c r="R4" t="s">
        <v>640</v>
      </c>
      <c r="S4">
        <v>89457788</v>
      </c>
      <c r="T4" s="4">
        <v>-0.64290000000000003</v>
      </c>
      <c r="U4" t="s">
        <v>641</v>
      </c>
      <c r="V4">
        <v>508668210</v>
      </c>
      <c r="W4">
        <v>683285810</v>
      </c>
      <c r="X4">
        <v>1.18</v>
      </c>
      <c r="Y4">
        <v>0.39</v>
      </c>
      <c r="Z4">
        <v>7.08</v>
      </c>
      <c r="AA4" t="s">
        <v>642</v>
      </c>
      <c r="AB4" t="s">
        <v>643</v>
      </c>
      <c r="AC4" t="s">
        <v>644</v>
      </c>
      <c r="AD4" t="s">
        <v>645</v>
      </c>
      <c r="AE4" t="s">
        <v>646</v>
      </c>
      <c r="AF4">
        <v>-31541483</v>
      </c>
      <c r="AG4" t="s">
        <v>647</v>
      </c>
      <c r="AH4" t="s">
        <v>648</v>
      </c>
      <c r="AI4" t="s">
        <v>649</v>
      </c>
      <c r="AJ4" t="s">
        <v>650</v>
      </c>
      <c r="AK4" t="s">
        <v>651</v>
      </c>
      <c r="AL4" t="s">
        <v>652</v>
      </c>
      <c r="AM4" t="s">
        <v>653</v>
      </c>
      <c r="AN4" t="s">
        <v>7</v>
      </c>
      <c r="AO4" t="s">
        <v>654</v>
      </c>
      <c r="AP4" t="s">
        <v>7</v>
      </c>
      <c r="AQ4" t="s">
        <v>655</v>
      </c>
      <c r="AR4" t="s">
        <v>656</v>
      </c>
      <c r="AS4" t="s">
        <v>657</v>
      </c>
      <c r="AT4" t="s">
        <v>658</v>
      </c>
      <c r="AU4" t="s">
        <v>7</v>
      </c>
      <c r="AV4" t="s">
        <v>659</v>
      </c>
      <c r="AW4" t="s">
        <v>660</v>
      </c>
      <c r="AX4" t="s">
        <v>661</v>
      </c>
      <c r="AY4" t="s">
        <v>662</v>
      </c>
      <c r="AZ4" t="s">
        <v>663</v>
      </c>
      <c r="BA4" t="s">
        <v>664</v>
      </c>
      <c r="BB4" t="s">
        <v>627</v>
      </c>
      <c r="BC4" t="s">
        <v>665</v>
      </c>
      <c r="BD4" t="s">
        <v>666</v>
      </c>
      <c r="BE4" t="s">
        <v>217</v>
      </c>
      <c r="BF4" t="s">
        <v>667</v>
      </c>
      <c r="BG4" t="s">
        <v>224</v>
      </c>
      <c r="BH4" t="s">
        <v>668</v>
      </c>
      <c r="BI4" t="s">
        <v>339</v>
      </c>
      <c r="BJ4" t="s">
        <v>669</v>
      </c>
      <c r="BK4" t="s">
        <v>670</v>
      </c>
      <c r="BL4" t="s">
        <v>671</v>
      </c>
      <c r="BM4" t="s">
        <v>672</v>
      </c>
      <c r="BN4" t="s">
        <v>673</v>
      </c>
      <c r="BO4">
        <v>1.51</v>
      </c>
      <c r="BP4">
        <v>8.4499999999999993</v>
      </c>
      <c r="BQ4">
        <v>7.73</v>
      </c>
      <c r="BR4">
        <v>1.64</v>
      </c>
      <c r="BS4">
        <v>10.3</v>
      </c>
      <c r="BT4">
        <v>9.57</v>
      </c>
      <c r="BU4" t="s">
        <v>674</v>
      </c>
      <c r="BV4" t="s">
        <v>633</v>
      </c>
      <c r="BW4">
        <v>23.75</v>
      </c>
      <c r="BX4">
        <v>24.49</v>
      </c>
      <c r="BY4">
        <v>28.15</v>
      </c>
      <c r="BZ4">
        <v>8.52</v>
      </c>
      <c r="CA4">
        <v>12.39</v>
      </c>
      <c r="CB4">
        <v>12.87</v>
      </c>
      <c r="CC4">
        <v>6.22</v>
      </c>
      <c r="CD4">
        <v>8.9499999999999993</v>
      </c>
      <c r="CE4" t="s">
        <v>575</v>
      </c>
      <c r="CF4" t="s">
        <v>675</v>
      </c>
      <c r="CG4" s="20">
        <v>-0.44833333333333314</v>
      </c>
      <c r="CH4" s="21">
        <v>-0.83459186666666663</v>
      </c>
      <c r="CI4" s="20">
        <v>0.12785632908344269</v>
      </c>
      <c r="CJ4" s="20">
        <v>0.23190347850322723</v>
      </c>
      <c r="CK4" s="20">
        <v>-0.12901338934898376</v>
      </c>
      <c r="CL4" s="20">
        <v>0.43347266316413879</v>
      </c>
      <c r="CM4" s="20">
        <v>-0.16140343248844147</v>
      </c>
      <c r="CN4" s="21">
        <v>0.21052631735801697</v>
      </c>
      <c r="CO4" s="21">
        <v>0.1875</v>
      </c>
      <c r="CP4" s="21">
        <v>-0.26153847575187683</v>
      </c>
      <c r="CQ4" s="21">
        <v>0.37566137313842773</v>
      </c>
      <c r="CR4" s="21">
        <v>1.3677042722702026</v>
      </c>
      <c r="CS4">
        <v>63.282445007923926</v>
      </c>
      <c r="CT4">
        <v>6.2928078257589339</v>
      </c>
      <c r="CU4">
        <v>3.0800821355236141</v>
      </c>
      <c r="CV4" s="20">
        <v>0.1005631297826767</v>
      </c>
      <c r="CW4" s="21">
        <v>0.37597069740295408</v>
      </c>
      <c r="CX4">
        <v>0.06</v>
      </c>
      <c r="CY4">
        <v>15.86465837349242</v>
      </c>
      <c r="CZ4">
        <v>286561720.58492339</v>
      </c>
      <c r="DA4">
        <v>0.1005631297826767</v>
      </c>
      <c r="DB4">
        <v>5.1383113517014909</v>
      </c>
      <c r="DC4">
        <v>884766120.38983941</v>
      </c>
      <c r="DD4">
        <v>9.5534973293542866E-2</v>
      </c>
      <c r="DE4">
        <v>2.4993103646938253</v>
      </c>
      <c r="DF4">
        <v>1818983294.040365</v>
      </c>
      <c r="DG4">
        <v>8.8495554208755503E-2</v>
      </c>
      <c r="DH4">
        <v>1.4806120718411506</v>
      </c>
      <c r="DI4">
        <v>3070489486.382997</v>
      </c>
      <c r="DJ4">
        <v>8.045050382614137E-2</v>
      </c>
      <c r="DK4">
        <v>0.74220661024233414</v>
      </c>
      <c r="DL4">
        <v>6125253719.4672003</v>
      </c>
      <c r="DM4">
        <v>7.0394190847873683E-2</v>
      </c>
      <c r="DN4">
        <v>276000000</v>
      </c>
      <c r="DO4">
        <v>0.1005631297826767</v>
      </c>
      <c r="DP4">
        <v>4546203800</v>
      </c>
      <c r="DQ4">
        <v>1832169300</v>
      </c>
      <c r="DR4">
        <v>709</v>
      </c>
      <c r="DS4">
        <v>-0.54889646311600981</v>
      </c>
      <c r="DT4">
        <v>-1.2105625640696207</v>
      </c>
      <c r="DU4" s="22">
        <v>-0.27333333333333337</v>
      </c>
      <c r="DV4">
        <v>5.9999999999999977E-2</v>
      </c>
      <c r="DW4">
        <v>-0.2133333333333334</v>
      </c>
      <c r="DX4">
        <v>9.6949720670391066</v>
      </c>
      <c r="DY4">
        <v>1.0131308411214883</v>
      </c>
      <c r="DZ4">
        <v>9.1550697018743801</v>
      </c>
      <c r="EA4">
        <v>2754</v>
      </c>
      <c r="EB4">
        <v>9.0715939475815652</v>
      </c>
      <c r="EC4">
        <v>9</v>
      </c>
      <c r="ED4">
        <v>0.27953163552452526</v>
      </c>
      <c r="EE4">
        <v>1.2527700524031078</v>
      </c>
      <c r="EF4" s="19">
        <v>-4.0375100000000002</v>
      </c>
      <c r="EG4">
        <v>-4.0365039999999999</v>
      </c>
      <c r="EH4">
        <v>79.223130841121488</v>
      </c>
      <c r="EI4" t="s">
        <v>676</v>
      </c>
      <c r="EJ4">
        <v>1</v>
      </c>
      <c r="EK4">
        <v>0</v>
      </c>
      <c r="EL4" s="25">
        <v>45359</v>
      </c>
      <c r="EM4">
        <v>-0.22</v>
      </c>
      <c r="EN4">
        <v>-1.64</v>
      </c>
      <c r="EO4">
        <v>2.33</v>
      </c>
      <c r="EP4">
        <v>-3.91</v>
      </c>
      <c r="EQ4">
        <v>0.10059999999999999</v>
      </c>
    </row>
    <row r="5" spans="1:147" ht="108">
      <c r="B5" s="3"/>
      <c r="C5" s="3"/>
      <c r="D5" s="3" t="s">
        <v>722</v>
      </c>
      <c r="E5" t="s">
        <v>587</v>
      </c>
      <c r="F5" t="s">
        <v>588</v>
      </c>
      <c r="G5">
        <v>4.34</v>
      </c>
      <c r="H5">
        <v>-6.8999999999999999E-3</v>
      </c>
      <c r="I5" t="s">
        <v>589</v>
      </c>
      <c r="J5">
        <v>4895768100</v>
      </c>
      <c r="L5">
        <v>10.98</v>
      </c>
      <c r="M5" t="s">
        <v>590</v>
      </c>
      <c r="N5" t="s">
        <v>678</v>
      </c>
      <c r="O5" t="s">
        <v>679</v>
      </c>
      <c r="P5" t="s">
        <v>680</v>
      </c>
      <c r="Q5">
        <v>-0.23</v>
      </c>
      <c r="R5" t="s">
        <v>681</v>
      </c>
      <c r="S5">
        <v>-40075148</v>
      </c>
      <c r="T5" s="4">
        <v>-2.64</v>
      </c>
      <c r="U5" t="s">
        <v>682</v>
      </c>
      <c r="V5">
        <v>1104008420</v>
      </c>
      <c r="W5">
        <v>1128057170</v>
      </c>
      <c r="X5">
        <v>10.43</v>
      </c>
      <c r="Y5">
        <v>0.34</v>
      </c>
      <c r="Z5">
        <v>-2.44</v>
      </c>
      <c r="AA5" t="s">
        <v>683</v>
      </c>
      <c r="AB5" t="s">
        <v>684</v>
      </c>
      <c r="AC5" t="s">
        <v>685</v>
      </c>
      <c r="AD5" t="s">
        <v>686</v>
      </c>
      <c r="AE5" t="s">
        <v>687</v>
      </c>
      <c r="AF5">
        <v>55382306</v>
      </c>
      <c r="AG5" t="s">
        <v>688</v>
      </c>
      <c r="AH5" t="s">
        <v>689</v>
      </c>
      <c r="AI5" t="s">
        <v>690</v>
      </c>
      <c r="AJ5" t="s">
        <v>691</v>
      </c>
      <c r="AK5" t="s">
        <v>692</v>
      </c>
      <c r="AL5" t="s">
        <v>693</v>
      </c>
      <c r="AM5" t="s">
        <v>694</v>
      </c>
      <c r="AN5" t="s">
        <v>7</v>
      </c>
      <c r="AO5" t="s">
        <v>695</v>
      </c>
      <c r="AP5" t="s">
        <v>348</v>
      </c>
      <c r="AQ5" t="s">
        <v>696</v>
      </c>
      <c r="AR5" t="s">
        <v>697</v>
      </c>
      <c r="AS5" t="s">
        <v>698</v>
      </c>
      <c r="AT5" t="s">
        <v>699</v>
      </c>
      <c r="AU5" t="s">
        <v>700</v>
      </c>
      <c r="AV5" t="s">
        <v>701</v>
      </c>
      <c r="AW5" t="s">
        <v>702</v>
      </c>
      <c r="AX5" t="s">
        <v>703</v>
      </c>
      <c r="AY5" t="s">
        <v>704</v>
      </c>
      <c r="AZ5" t="s">
        <v>705</v>
      </c>
      <c r="BA5" t="s">
        <v>706</v>
      </c>
      <c r="BB5" t="s">
        <v>707</v>
      </c>
      <c r="BC5" t="s">
        <v>708</v>
      </c>
      <c r="BD5" t="s">
        <v>709</v>
      </c>
      <c r="BE5" t="s">
        <v>710</v>
      </c>
      <c r="BF5" t="s">
        <v>711</v>
      </c>
      <c r="BG5" t="s">
        <v>712</v>
      </c>
      <c r="BH5" t="s">
        <v>713</v>
      </c>
      <c r="BI5" t="s">
        <v>714</v>
      </c>
      <c r="BJ5" t="s">
        <v>715</v>
      </c>
      <c r="BK5" t="s">
        <v>716</v>
      </c>
      <c r="BL5" t="s">
        <v>717</v>
      </c>
      <c r="BM5" t="s">
        <v>718</v>
      </c>
      <c r="BN5" t="s">
        <v>719</v>
      </c>
      <c r="BO5" t="s">
        <v>7</v>
      </c>
      <c r="BP5" t="s">
        <v>7</v>
      </c>
      <c r="BQ5" t="s">
        <v>7</v>
      </c>
      <c r="BR5">
        <v>-1.46</v>
      </c>
      <c r="BS5">
        <v>-90.13</v>
      </c>
      <c r="BT5">
        <v>-49.6</v>
      </c>
      <c r="BU5" t="s">
        <v>464</v>
      </c>
      <c r="BV5" t="s">
        <v>590</v>
      </c>
      <c r="BW5">
        <v>18.559999999999999</v>
      </c>
      <c r="BX5">
        <v>10.81</v>
      </c>
      <c r="BY5">
        <v>6.31</v>
      </c>
      <c r="BZ5">
        <v>0.33</v>
      </c>
      <c r="CA5">
        <v>-41.31</v>
      </c>
      <c r="CB5">
        <v>-20.74</v>
      </c>
      <c r="CC5">
        <v>9.0500000000000007</v>
      </c>
      <c r="CD5">
        <v>4.08</v>
      </c>
      <c r="CE5" t="s">
        <v>279</v>
      </c>
      <c r="CF5" t="s">
        <v>720</v>
      </c>
      <c r="CG5" s="20">
        <v>-0.13029827315541564</v>
      </c>
      <c r="CH5" s="21">
        <v>-5.5009917957368506</v>
      </c>
      <c r="CI5" s="20">
        <v>-3.1799454241991043E-2</v>
      </c>
      <c r="CJ5" s="20">
        <v>-0.48127305507659912</v>
      </c>
      <c r="CK5" s="20">
        <v>-0.29041588306427002</v>
      </c>
      <c r="CL5" s="20">
        <v>0.47212645411491394</v>
      </c>
      <c r="CM5" s="20">
        <v>0.2967928946018219</v>
      </c>
      <c r="CN5" s="21">
        <v>0.86156827211380005</v>
      </c>
      <c r="CO5" s="21">
        <v>2.3629490286111832E-2</v>
      </c>
      <c r="CP5" s="21">
        <v>-48.8004150390625</v>
      </c>
      <c r="CQ5" s="21">
        <v>-0.44661322236061096</v>
      </c>
      <c r="CR5" s="21">
        <v>1.1114116907119751</v>
      </c>
      <c r="CS5">
        <v>-11.606528349249142</v>
      </c>
      <c r="CT5">
        <v>-16.787459412166015</v>
      </c>
      <c r="CU5">
        <v>0</v>
      </c>
      <c r="CV5" s="20">
        <v>-6.9138087332248684E-3</v>
      </c>
      <c r="CW5" s="21">
        <v>-9.4500837616622455</v>
      </c>
      <c r="CX5">
        <v>0.06</v>
      </c>
      <c r="CY5" t="e">
        <v>#VALUE!</v>
      </c>
      <c r="CZ5" t="s">
        <v>150</v>
      </c>
      <c r="DA5">
        <v>-6.9138087332248684E-3</v>
      </c>
      <c r="DB5" t="e">
        <v>#VALUE!</v>
      </c>
      <c r="DC5" t="s">
        <v>151</v>
      </c>
      <c r="DD5">
        <v>-6.5681182965636247E-3</v>
      </c>
      <c r="DE5" t="e">
        <v>#VALUE!</v>
      </c>
      <c r="DF5" t="s">
        <v>151</v>
      </c>
      <c r="DG5">
        <v>-6.0841516852378841E-3</v>
      </c>
      <c r="DH5" t="e">
        <v>#VALUE!</v>
      </c>
      <c r="DI5" t="s">
        <v>151</v>
      </c>
      <c r="DJ5">
        <v>-5.5310469865798954E-3</v>
      </c>
      <c r="DK5" t="e">
        <v>#VALUE!</v>
      </c>
      <c r="DL5" t="s">
        <v>151</v>
      </c>
      <c r="DM5">
        <v>-4.8396661132574072E-3</v>
      </c>
      <c r="DN5">
        <v>-143000000</v>
      </c>
      <c r="DO5">
        <v>-6.9138087332248684E-3</v>
      </c>
      <c r="DP5">
        <v>8973768100</v>
      </c>
      <c r="DQ5">
        <v>-1238950300</v>
      </c>
      <c r="DR5">
        <v>1046</v>
      </c>
      <c r="DS5">
        <v>-0.12338446442219078</v>
      </c>
      <c r="DT5">
        <v>3.9490919659253949</v>
      </c>
      <c r="DU5" s="22">
        <v>-0.50666666666666671</v>
      </c>
      <c r="DV5">
        <v>-1.5583333333333333</v>
      </c>
      <c r="DW5">
        <v>-2.0649999999999999</v>
      </c>
      <c r="DX5">
        <v>5.4508287292817679</v>
      </c>
      <c r="DY5">
        <v>1.2161141804788229</v>
      </c>
      <c r="DZ5">
        <v>5.1199719178291261</v>
      </c>
      <c r="EA5">
        <v>4530</v>
      </c>
      <c r="EB5">
        <v>5.0137418967646337</v>
      </c>
      <c r="EC5">
        <v>5</v>
      </c>
      <c r="ED5">
        <v>0.25619268924109584</v>
      </c>
      <c r="EE5">
        <v>0.96271716441463684</v>
      </c>
      <c r="EF5" s="19">
        <v>-3.1183000000000001</v>
      </c>
      <c r="EG5">
        <v>-3.1182310000000002</v>
      </c>
      <c r="EH5">
        <v>95.266114180478823</v>
      </c>
      <c r="EI5" t="s">
        <v>721</v>
      </c>
      <c r="EJ5">
        <v>1</v>
      </c>
      <c r="EK5">
        <v>0</v>
      </c>
      <c r="EL5" s="25">
        <v>45359</v>
      </c>
      <c r="EM5" s="26">
        <v>-1.01</v>
      </c>
      <c r="EN5" s="26">
        <v>-1.78</v>
      </c>
      <c r="EO5" s="26">
        <v>2.58</v>
      </c>
      <c r="EP5" s="26">
        <v>10.08</v>
      </c>
      <c r="EQ5" s="26">
        <v>-6.8999999999999999E-3</v>
      </c>
    </row>
    <row r="6" spans="1:147" ht="108">
      <c r="B6" s="3"/>
      <c r="C6" s="3"/>
      <c r="D6" s="3" t="s">
        <v>762</v>
      </c>
      <c r="E6" t="s">
        <v>591</v>
      </c>
      <c r="F6" t="s">
        <v>592</v>
      </c>
      <c r="G6">
        <v>9.07</v>
      </c>
      <c r="H6">
        <v>3.6600000000000001E-2</v>
      </c>
      <c r="I6" t="s">
        <v>593</v>
      </c>
      <c r="J6">
        <v>2289512400</v>
      </c>
      <c r="L6">
        <v>2.81</v>
      </c>
      <c r="M6" t="s">
        <v>175</v>
      </c>
      <c r="N6" t="s">
        <v>723</v>
      </c>
      <c r="O6" t="s">
        <v>724</v>
      </c>
      <c r="P6" t="s">
        <v>725</v>
      </c>
      <c r="Q6">
        <v>-7.83</v>
      </c>
      <c r="R6" t="s">
        <v>726</v>
      </c>
      <c r="S6">
        <v>-17610206</v>
      </c>
      <c r="T6" s="4">
        <v>0.26519999999999999</v>
      </c>
      <c r="U6" t="s">
        <v>727</v>
      </c>
      <c r="V6">
        <v>231835780</v>
      </c>
      <c r="W6">
        <v>252426950</v>
      </c>
      <c r="X6">
        <v>1.71</v>
      </c>
      <c r="Y6">
        <v>0.53</v>
      </c>
      <c r="Z6">
        <v>-3</v>
      </c>
      <c r="AA6" t="s">
        <v>728</v>
      </c>
      <c r="AB6" t="s">
        <v>529</v>
      </c>
      <c r="AC6" t="s">
        <v>729</v>
      </c>
      <c r="AD6" t="s">
        <v>730</v>
      </c>
      <c r="AE6" t="s">
        <v>731</v>
      </c>
      <c r="AF6">
        <v>65829</v>
      </c>
      <c r="AG6" t="s">
        <v>732</v>
      </c>
      <c r="AH6" t="s">
        <v>733</v>
      </c>
      <c r="AI6" t="s">
        <v>734</v>
      </c>
      <c r="AJ6" t="s">
        <v>735</v>
      </c>
      <c r="AK6" t="s">
        <v>736</v>
      </c>
      <c r="AL6" t="s">
        <v>737</v>
      </c>
      <c r="AM6" t="s">
        <v>738</v>
      </c>
      <c r="AN6" t="s">
        <v>7</v>
      </c>
      <c r="AO6" t="s">
        <v>739</v>
      </c>
      <c r="AP6" t="s">
        <v>740</v>
      </c>
      <c r="AQ6" t="s">
        <v>45</v>
      </c>
      <c r="AR6" t="s">
        <v>232</v>
      </c>
      <c r="AS6" t="s">
        <v>7</v>
      </c>
      <c r="AT6" t="s">
        <v>741</v>
      </c>
      <c r="AU6" t="s">
        <v>7</v>
      </c>
      <c r="AV6" t="s">
        <v>742</v>
      </c>
      <c r="AW6" t="s">
        <v>743</v>
      </c>
      <c r="AX6" t="s">
        <v>744</v>
      </c>
      <c r="AY6" t="s">
        <v>745</v>
      </c>
      <c r="AZ6" t="s">
        <v>746</v>
      </c>
      <c r="BA6" t="s">
        <v>747</v>
      </c>
      <c r="BB6" t="s">
        <v>748</v>
      </c>
      <c r="BC6" t="s">
        <v>749</v>
      </c>
      <c r="BD6" t="s">
        <v>750</v>
      </c>
      <c r="BE6" t="s">
        <v>751</v>
      </c>
      <c r="BF6" t="s">
        <v>752</v>
      </c>
      <c r="BG6" t="s">
        <v>753</v>
      </c>
      <c r="BH6" t="s">
        <v>754</v>
      </c>
      <c r="BI6" t="s">
        <v>755</v>
      </c>
      <c r="BJ6" t="s">
        <v>756</v>
      </c>
      <c r="BK6" t="s">
        <v>757</v>
      </c>
      <c r="BL6" t="s">
        <v>758</v>
      </c>
      <c r="BM6" t="s">
        <v>759</v>
      </c>
      <c r="BN6" t="s">
        <v>760</v>
      </c>
      <c r="BO6" t="s">
        <v>7</v>
      </c>
      <c r="BP6" t="s">
        <v>7</v>
      </c>
      <c r="BQ6">
        <v>2.56</v>
      </c>
      <c r="BR6">
        <v>-0.61</v>
      </c>
      <c r="BS6">
        <v>-54.27</v>
      </c>
      <c r="BT6">
        <v>2.46</v>
      </c>
      <c r="BU6" t="s">
        <v>464</v>
      </c>
      <c r="BV6" t="s">
        <v>633</v>
      </c>
      <c r="BW6">
        <v>9.58</v>
      </c>
      <c r="BX6">
        <v>5.43</v>
      </c>
      <c r="BY6">
        <v>12.39</v>
      </c>
      <c r="BZ6">
        <v>-2.13</v>
      </c>
      <c r="CA6">
        <v>-51.74</v>
      </c>
      <c r="CB6">
        <v>2.56</v>
      </c>
      <c r="CC6">
        <v>2.6</v>
      </c>
      <c r="CD6">
        <v>-12.28</v>
      </c>
      <c r="CE6" t="s">
        <v>761</v>
      </c>
      <c r="CF6" t="s">
        <v>53</v>
      </c>
      <c r="CG6" s="20">
        <v>-0.18530351437699666</v>
      </c>
      <c r="CH6" s="21">
        <v>-3.1322449772665508</v>
      </c>
      <c r="CI6" s="20">
        <v>-0.15639440715312958</v>
      </c>
      <c r="CJ6" s="20">
        <v>-0.20901885628700256</v>
      </c>
      <c r="CK6" s="20">
        <v>-0.12292897701263428</v>
      </c>
      <c r="CL6" s="20">
        <v>0.46171879768371582</v>
      </c>
      <c r="CM6" s="20">
        <v>1.2183709144592285</v>
      </c>
      <c r="CN6" s="21">
        <v>0.95289444923400879</v>
      </c>
      <c r="CO6" s="21">
        <v>-18.678989410400391</v>
      </c>
      <c r="CP6" s="21">
        <v>-0.60477310419082642</v>
      </c>
      <c r="CQ6" s="21">
        <v>0.96384793519973755</v>
      </c>
      <c r="CR6" s="21">
        <v>0.89194124937057495</v>
      </c>
      <c r="CS6">
        <v>-27.981754617820023</v>
      </c>
      <c r="CT6">
        <v>-1.1739800285934452</v>
      </c>
      <c r="CU6">
        <v>0</v>
      </c>
      <c r="CV6" s="20">
        <v>0.23834949433803559</v>
      </c>
      <c r="CW6" s="21">
        <v>-3.2950157761573791</v>
      </c>
      <c r="CX6">
        <v>0.06</v>
      </c>
      <c r="CY6" t="e">
        <v>#VALUE!</v>
      </c>
      <c r="CZ6" t="s">
        <v>150</v>
      </c>
      <c r="DA6">
        <v>0.23834949433803559</v>
      </c>
      <c r="DB6" t="e">
        <v>#VALUE!</v>
      </c>
      <c r="DC6" t="s">
        <v>151</v>
      </c>
      <c r="DD6">
        <v>0.2264320196211338</v>
      </c>
      <c r="DE6" t="e">
        <v>#VALUE!</v>
      </c>
      <c r="DF6" t="s">
        <v>151</v>
      </c>
      <c r="DG6">
        <v>0.20974755501747133</v>
      </c>
      <c r="DH6" t="e">
        <v>#VALUE!</v>
      </c>
      <c r="DI6" t="s">
        <v>151</v>
      </c>
      <c r="DJ6">
        <v>0.19067959547042848</v>
      </c>
      <c r="DK6" t="e">
        <v>#VALUE!</v>
      </c>
      <c r="DL6" t="s">
        <v>151</v>
      </c>
      <c r="DM6">
        <v>0.16684464603662491</v>
      </c>
      <c r="DN6">
        <v>-31419400</v>
      </c>
      <c r="DO6">
        <v>0.23834949433803559</v>
      </c>
      <c r="DP6">
        <v>2054512400</v>
      </c>
      <c r="DQ6">
        <v>250439330</v>
      </c>
      <c r="DR6">
        <v>1276</v>
      </c>
      <c r="DS6">
        <v>-0.42365300871503225</v>
      </c>
      <c r="DT6">
        <v>0.16277079889082824</v>
      </c>
      <c r="DU6" s="22">
        <v>-0.44</v>
      </c>
      <c r="DV6">
        <v>-1.531666666666667</v>
      </c>
      <c r="DW6">
        <v>-1.9716666666666669</v>
      </c>
      <c r="DX6">
        <v>6.174731182795699</v>
      </c>
      <c r="DY6">
        <v>0.50114296296296268</v>
      </c>
      <c r="DZ6">
        <v>6.0281567005177221</v>
      </c>
      <c r="EA6">
        <v>4489</v>
      </c>
      <c r="EB6">
        <v>6.0034507918734583</v>
      </c>
      <c r="EC6">
        <v>6</v>
      </c>
      <c r="ED6">
        <v>0.1723611524046858</v>
      </c>
      <c r="EE6">
        <v>1.0696163781244434</v>
      </c>
      <c r="EF6" s="19">
        <v>-1.0349999999999999</v>
      </c>
      <c r="EG6">
        <v>-1.035366</v>
      </c>
      <c r="EH6">
        <v>34.161142962962963</v>
      </c>
      <c r="EI6" t="s">
        <v>143</v>
      </c>
      <c r="EJ6">
        <v>0</v>
      </c>
      <c r="EK6">
        <v>0</v>
      </c>
      <c r="EL6" s="25">
        <v>45359</v>
      </c>
      <c r="EM6">
        <v>1.02</v>
      </c>
      <c r="EN6">
        <v>-2.91</v>
      </c>
      <c r="EO6">
        <v>2.08</v>
      </c>
      <c r="EP6">
        <v>-1.1299999999999999</v>
      </c>
      <c r="EQ6">
        <v>3.6600000000000001E-2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63500</xdr:colOff>
                    <xdr:row>1</xdr:row>
                    <xdr:rowOff>260350</xdr:rowOff>
                  </from>
                  <to>
                    <xdr:col>1</xdr:col>
                    <xdr:colOff>1092200</xdr:colOff>
                    <xdr:row>1</xdr:row>
                    <xdr:rowOff>711200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"/>
  <cols>
    <col min="1" max="1" width="8.90625" style="1"/>
    <col min="2" max="2" width="12.54296875" customWidth="1"/>
    <col min="4" max="4" width="13.90625" bestFit="1" customWidth="1"/>
    <col min="5" max="12" width="8.81640625" customWidth="1"/>
    <col min="13" max="13" width="15.90625" customWidth="1"/>
    <col min="14" max="17" width="8.81640625" customWidth="1"/>
    <col min="18" max="18" width="13.6328125" customWidth="1"/>
    <col min="19" max="19" width="12.90625" customWidth="1"/>
  </cols>
  <sheetData>
    <row r="1" spans="1:32" s="7" customFormat="1" ht="56">
      <c r="A1" s="6" t="s">
        <v>59</v>
      </c>
      <c r="B1" s="7" t="s">
        <v>63</v>
      </c>
      <c r="C1" s="7" t="s">
        <v>60</v>
      </c>
      <c r="D1" s="7" t="s">
        <v>64</v>
      </c>
      <c r="E1" s="8" t="s">
        <v>61</v>
      </c>
      <c r="F1" s="8" t="s">
        <v>62</v>
      </c>
      <c r="G1" s="8" t="s">
        <v>70</v>
      </c>
      <c r="H1" s="8" t="s">
        <v>65</v>
      </c>
      <c r="I1" s="8" t="s">
        <v>66</v>
      </c>
      <c r="J1" s="8" t="s">
        <v>67</v>
      </c>
      <c r="K1" s="8" t="s">
        <v>68</v>
      </c>
      <c r="L1" s="7" t="s">
        <v>69</v>
      </c>
      <c r="M1" s="7" t="s">
        <v>71</v>
      </c>
      <c r="N1" s="7" t="s">
        <v>72</v>
      </c>
      <c r="O1" s="7" t="s">
        <v>73</v>
      </c>
      <c r="P1" s="7" t="s">
        <v>74</v>
      </c>
      <c r="Q1" s="7" t="s">
        <v>75</v>
      </c>
      <c r="R1" s="11" t="s">
        <v>76</v>
      </c>
      <c r="S1" s="7" t="s">
        <v>77</v>
      </c>
      <c r="T1" s="7" t="s">
        <v>78</v>
      </c>
      <c r="U1" s="7" t="s">
        <v>79</v>
      </c>
      <c r="V1" s="7" t="s">
        <v>80</v>
      </c>
      <c r="W1" s="7" t="s">
        <v>81</v>
      </c>
      <c r="X1" s="7" t="s">
        <v>82</v>
      </c>
      <c r="Y1" s="7" t="s">
        <v>83</v>
      </c>
      <c r="Z1" s="7" t="s">
        <v>84</v>
      </c>
      <c r="AA1" s="7" t="s">
        <v>85</v>
      </c>
      <c r="AB1" s="7" t="s">
        <v>86</v>
      </c>
      <c r="AC1" s="7" t="s">
        <v>87</v>
      </c>
      <c r="AD1" s="15" t="s">
        <v>88</v>
      </c>
      <c r="AE1" s="7" t="s">
        <v>89</v>
      </c>
      <c r="AF1" s="7" t="s">
        <v>90</v>
      </c>
    </row>
    <row r="2" spans="1:32">
      <c r="A2" s="2">
        <v>1</v>
      </c>
      <c r="B2">
        <v>1</v>
      </c>
      <c r="C2" s="5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9">
        <v>7.06</v>
      </c>
      <c r="I2" s="10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5">
        <v>0.37</v>
      </c>
      <c r="U2" s="5">
        <v>0.06</v>
      </c>
      <c r="V2">
        <f>SUM($R$2:R2)</f>
        <v>7.06</v>
      </c>
      <c r="W2" s="2">
        <f>X2-Y2</f>
        <v>474.26</v>
      </c>
      <c r="X2" s="14">
        <f>579-579*10%</f>
        <v>521.1</v>
      </c>
      <c r="Y2" s="14">
        <f>57.79-10.95</f>
        <v>46.84</v>
      </c>
      <c r="Z2">
        <f>$W$2/S2</f>
        <v>67.175637393767701</v>
      </c>
      <c r="AA2" s="5">
        <v>0.3</v>
      </c>
      <c r="AB2">
        <f>S2/AA2</f>
        <v>23.533333333333331</v>
      </c>
      <c r="AC2">
        <f>AC3*(1-$U$2)</f>
        <v>222.37291878719995</v>
      </c>
      <c r="AD2" s="5">
        <v>0</v>
      </c>
      <c r="AE2">
        <f>AC2*AD2</f>
        <v>0</v>
      </c>
      <c r="AF2">
        <f>IF(AB2&gt;AE2, 1, 0)</f>
        <v>1</v>
      </c>
    </row>
    <row r="3" spans="1:32">
      <c r="A3" s="2">
        <v>2</v>
      </c>
      <c r="B3">
        <f>B2+B2*C2</f>
        <v>1.08</v>
      </c>
      <c r="C3" s="5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5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5">
        <v>0.3</v>
      </c>
      <c r="AB3">
        <f t="shared" ref="AB3:AB66" si="1">S3/AA3</f>
        <v>32.240666666666669</v>
      </c>
      <c r="AC3">
        <f>AC4*(1-$U$2)</f>
        <v>236.56693487999996</v>
      </c>
      <c r="AD3" s="5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>
      <c r="A4" s="2">
        <v>3</v>
      </c>
      <c r="B4">
        <f t="shared" ref="B4:B51" si="4">B3+B3*C3</f>
        <v>1.1664000000000001</v>
      </c>
      <c r="C4" s="5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5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5">
        <v>0.3</v>
      </c>
      <c r="AB4">
        <f t="shared" si="1"/>
        <v>44.169713333333341</v>
      </c>
      <c r="AC4">
        <f>AC5*(1-$U$2)</f>
        <v>251.66695199999998</v>
      </c>
      <c r="AD4" s="5">
        <v>0.15</v>
      </c>
      <c r="AE4">
        <f t="shared" si="2"/>
        <v>37.750042799999996</v>
      </c>
      <c r="AF4">
        <f t="shared" si="3"/>
        <v>1</v>
      </c>
    </row>
    <row r="5" spans="1:32">
      <c r="A5" s="2">
        <v>4</v>
      </c>
      <c r="B5">
        <f t="shared" si="4"/>
        <v>1.2597120000000002</v>
      </c>
      <c r="C5" s="5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5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5">
        <v>0.3</v>
      </c>
      <c r="AB5">
        <f t="shared" si="1"/>
        <v>60.512507266666688</v>
      </c>
      <c r="AC5">
        <f>AC6*(1-$U$2)</f>
        <v>267.73079999999999</v>
      </c>
      <c r="AD5" s="5">
        <v>0.15</v>
      </c>
      <c r="AE5">
        <f t="shared" si="2"/>
        <v>40.159619999999997</v>
      </c>
      <c r="AF5">
        <f t="shared" si="3"/>
        <v>1</v>
      </c>
    </row>
    <row r="6" spans="1:32">
      <c r="A6" s="2">
        <v>5</v>
      </c>
      <c r="B6">
        <f t="shared" si="4"/>
        <v>1.3604889600000001</v>
      </c>
      <c r="C6" s="5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5">
        <v>0.37</v>
      </c>
      <c r="V6">
        <f>SUM($R$2:R6)</f>
        <v>62.920100387891438</v>
      </c>
      <c r="W6" s="12">
        <f t="shared" si="8"/>
        <v>0.13267005521842754</v>
      </c>
      <c r="Z6">
        <f t="shared" si="0"/>
        <v>19.06907062789659</v>
      </c>
      <c r="AA6" s="5">
        <v>0.3</v>
      </c>
      <c r="AB6">
        <f t="shared" si="1"/>
        <v>82.902134955333366</v>
      </c>
      <c r="AC6">
        <f>AC7*(1-$U$2)</f>
        <v>284.82</v>
      </c>
      <c r="AD6" s="5">
        <v>0.2</v>
      </c>
      <c r="AE6">
        <f t="shared" si="2"/>
        <v>56.963999999999999</v>
      </c>
      <c r="AF6">
        <f t="shared" si="3"/>
        <v>1</v>
      </c>
    </row>
    <row r="7" spans="1:32">
      <c r="A7" s="2">
        <v>6</v>
      </c>
      <c r="B7">
        <f t="shared" si="4"/>
        <v>1.4693280768000001</v>
      </c>
      <c r="C7" s="5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5">
        <v>0.37</v>
      </c>
      <c r="V7">
        <f>SUM($R$2:R7)</f>
        <v>88.381261822086103</v>
      </c>
      <c r="W7" s="13">
        <f t="shared" si="8"/>
        <v>0.18635613760824465</v>
      </c>
      <c r="Z7">
        <f t="shared" si="0"/>
        <v>13.919029655398969</v>
      </c>
      <c r="AA7" s="5">
        <v>0.3</v>
      </c>
      <c r="AB7">
        <f t="shared" si="1"/>
        <v>113.57592488880672</v>
      </c>
      <c r="AC7">
        <v>303</v>
      </c>
      <c r="AD7" s="5">
        <v>0.2</v>
      </c>
      <c r="AE7">
        <f t="shared" si="2"/>
        <v>60.6</v>
      </c>
      <c r="AF7">
        <f t="shared" si="3"/>
        <v>1</v>
      </c>
    </row>
    <row r="8" spans="1:32">
      <c r="A8" s="2">
        <v>7</v>
      </c>
      <c r="B8">
        <f t="shared" si="4"/>
        <v>1.5868743229440001</v>
      </c>
      <c r="C8" s="5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5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5">
        <v>0.3</v>
      </c>
      <c r="AB8">
        <f t="shared" si="1"/>
        <v>155.59901709766521</v>
      </c>
      <c r="AC8">
        <f t="shared" ref="AC8:AC67" si="10">AC7*(1+$U$2)</f>
        <v>321.18</v>
      </c>
      <c r="AD8" s="5">
        <v>0.2</v>
      </c>
      <c r="AE8">
        <f t="shared" si="2"/>
        <v>64.236000000000004</v>
      </c>
      <c r="AF8">
        <f t="shared" si="3"/>
        <v>1</v>
      </c>
    </row>
    <row r="9" spans="1:32">
      <c r="A9" s="2">
        <v>8</v>
      </c>
      <c r="B9">
        <f t="shared" si="4"/>
        <v>1.7138242687795202</v>
      </c>
      <c r="C9" s="5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5">
        <v>0.1</v>
      </c>
      <c r="V9">
        <f>SUM($R$2:R9)</f>
        <v>163.81980982010805</v>
      </c>
      <c r="W9" s="12">
        <f t="shared" si="8"/>
        <v>0.34542194117173713</v>
      </c>
      <c r="Z9">
        <f t="shared" si="0"/>
        <v>7.4159676356752984</v>
      </c>
      <c r="AA9" s="5">
        <v>0.3</v>
      </c>
      <c r="AB9">
        <f t="shared" si="1"/>
        <v>213.17065342380135</v>
      </c>
      <c r="AC9">
        <f t="shared" si="10"/>
        <v>340.45080000000002</v>
      </c>
      <c r="AD9" s="5">
        <v>0.2</v>
      </c>
      <c r="AE9">
        <f t="shared" si="2"/>
        <v>68.090160000000012</v>
      </c>
      <c r="AF9" s="2">
        <f t="shared" si="3"/>
        <v>1</v>
      </c>
    </row>
    <row r="10" spans="1:32">
      <c r="A10" s="2">
        <v>9</v>
      </c>
      <c r="B10">
        <f t="shared" si="4"/>
        <v>1.8509302102818819</v>
      </c>
      <c r="C10" s="5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5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5">
        <v>0.3</v>
      </c>
      <c r="AB10">
        <f t="shared" si="1"/>
        <v>234.4877187661815</v>
      </c>
      <c r="AC10">
        <f t="shared" si="10"/>
        <v>360.87784800000003</v>
      </c>
      <c r="AD10" s="5">
        <v>0.2</v>
      </c>
      <c r="AE10">
        <f t="shared" si="2"/>
        <v>72.175569600000003</v>
      </c>
      <c r="AF10" s="1">
        <f t="shared" si="3"/>
        <v>1</v>
      </c>
    </row>
    <row r="11" spans="1:32">
      <c r="A11" s="2">
        <v>10</v>
      </c>
      <c r="B11">
        <f t="shared" si="4"/>
        <v>1.9990046271044324</v>
      </c>
      <c r="C11" s="5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5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5">
        <v>0.3</v>
      </c>
      <c r="AB11">
        <f t="shared" si="1"/>
        <v>257.9364906427997</v>
      </c>
      <c r="AC11">
        <f t="shared" si="10"/>
        <v>382.53051888000005</v>
      </c>
      <c r="AD11" s="5">
        <v>0.2</v>
      </c>
      <c r="AE11">
        <f t="shared" si="2"/>
        <v>76.506103776000018</v>
      </c>
      <c r="AF11">
        <f t="shared" si="3"/>
        <v>1</v>
      </c>
    </row>
    <row r="12" spans="1:32">
      <c r="A12" s="2">
        <v>11</v>
      </c>
      <c r="B12">
        <f t="shared" si="4"/>
        <v>2.1589249972727869</v>
      </c>
      <c r="C12" s="5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5">
        <v>0.08</v>
      </c>
      <c r="V12">
        <f>SUM($R$2:R12)</f>
        <v>301.28765069428454</v>
      </c>
      <c r="W12" s="13">
        <f t="shared" si="8"/>
        <v>0.6352794895084648</v>
      </c>
      <c r="Z12">
        <f t="shared" si="0"/>
        <v>5.5717262476899307</v>
      </c>
      <c r="AA12" s="5">
        <v>0.3</v>
      </c>
      <c r="AB12">
        <f t="shared" si="1"/>
        <v>283.73013970707967</v>
      </c>
      <c r="AC12">
        <f t="shared" si="10"/>
        <v>405.48235001280005</v>
      </c>
      <c r="AD12" s="5">
        <v>0.2</v>
      </c>
      <c r="AE12">
        <f t="shared" si="2"/>
        <v>81.096470002560011</v>
      </c>
      <c r="AF12" s="1">
        <f t="shared" si="3"/>
        <v>1</v>
      </c>
    </row>
    <row r="13" spans="1:32">
      <c r="A13" s="2">
        <v>12</v>
      </c>
      <c r="B13">
        <f t="shared" si="4"/>
        <v>2.3316389970546099</v>
      </c>
      <c r="C13" s="5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5">
        <v>0.08</v>
      </c>
      <c r="V13">
        <f>SUM($R$2:R13)</f>
        <v>349.71447210308537</v>
      </c>
      <c r="W13" s="13">
        <f t="shared" si="8"/>
        <v>0.73738976954220337</v>
      </c>
      <c r="Z13">
        <f t="shared" si="0"/>
        <v>5.1590057848980839</v>
      </c>
      <c r="AA13" s="5">
        <v>0.3</v>
      </c>
      <c r="AB13">
        <f t="shared" si="1"/>
        <v>306.42855088364604</v>
      </c>
      <c r="AC13">
        <f t="shared" si="10"/>
        <v>429.81129101356805</v>
      </c>
      <c r="AD13" s="5">
        <v>0.2</v>
      </c>
      <c r="AE13">
        <f t="shared" si="2"/>
        <v>85.962258202713613</v>
      </c>
      <c r="AF13">
        <f t="shared" si="3"/>
        <v>1</v>
      </c>
    </row>
    <row r="14" spans="1:32">
      <c r="A14" s="2">
        <v>13</v>
      </c>
      <c r="B14">
        <f t="shared" si="4"/>
        <v>2.5181701168189785</v>
      </c>
      <c r="C14" s="5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5">
        <v>0.08</v>
      </c>
      <c r="V14">
        <f>SUM($R$2:R14)</f>
        <v>399.055007123373</v>
      </c>
      <c r="W14" s="13">
        <f t="shared" si="8"/>
        <v>0.84142665863318222</v>
      </c>
      <c r="Z14">
        <f>$W$2/S14</f>
        <v>4.7768572082389662</v>
      </c>
      <c r="AA14" s="5">
        <v>0.3</v>
      </c>
      <c r="AB14">
        <f>S14/AA14</f>
        <v>330.94283495433774</v>
      </c>
      <c r="AC14">
        <f t="shared" si="10"/>
        <v>455.59996847438214</v>
      </c>
      <c r="AD14" s="5">
        <v>0.2</v>
      </c>
      <c r="AE14">
        <f t="shared" si="2"/>
        <v>91.119993694876428</v>
      </c>
      <c r="AF14">
        <f t="shared" si="3"/>
        <v>1</v>
      </c>
    </row>
    <row r="15" spans="1:32">
      <c r="A15" s="2">
        <v>14</v>
      </c>
      <c r="B15">
        <f t="shared" si="4"/>
        <v>2.7196237261644969</v>
      </c>
      <c r="C15" s="5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5">
        <v>0.08</v>
      </c>
      <c r="V15">
        <f>SUM($R$2:R15)</f>
        <v>449.3264956346095</v>
      </c>
      <c r="W15" s="13">
        <f t="shared" si="8"/>
        <v>0.94742650789568905</v>
      </c>
      <c r="Z15">
        <f t="shared" ref="Z15:Z78" si="11">$W$2/S15</f>
        <v>4.4230159335545975</v>
      </c>
      <c r="AA15" s="5">
        <v>0.3</v>
      </c>
      <c r="AB15">
        <f t="shared" si="1"/>
        <v>357.41826175068479</v>
      </c>
      <c r="AC15">
        <f t="shared" si="10"/>
        <v>482.93596658284508</v>
      </c>
      <c r="AD15" s="5">
        <v>0.2</v>
      </c>
      <c r="AE15">
        <f t="shared" si="2"/>
        <v>96.587193316569028</v>
      </c>
      <c r="AF15">
        <f t="shared" si="3"/>
        <v>1</v>
      </c>
    </row>
    <row r="16" spans="1:32">
      <c r="A16" s="2">
        <v>15</v>
      </c>
      <c r="B16">
        <f t="shared" si="4"/>
        <v>2.9371936242576568</v>
      </c>
      <c r="C16" s="5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5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5">
        <v>0.3</v>
      </c>
      <c r="AB16">
        <f t="shared" si="1"/>
        <v>386.01172269073959</v>
      </c>
      <c r="AC16">
        <f t="shared" si="10"/>
        <v>511.9121245778158</v>
      </c>
      <c r="AD16" s="5">
        <v>0.2</v>
      </c>
      <c r="AE16">
        <f t="shared" si="2"/>
        <v>102.38242491556316</v>
      </c>
      <c r="AF16">
        <f t="shared" si="3"/>
        <v>1</v>
      </c>
    </row>
    <row r="17" spans="1:32">
      <c r="A17" s="2">
        <v>16</v>
      </c>
      <c r="B17">
        <f t="shared" si="4"/>
        <v>3.1721691141982693</v>
      </c>
      <c r="C17" s="5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5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5">
        <v>0.3</v>
      </c>
      <c r="AB17">
        <f t="shared" si="1"/>
        <v>416.89266050599878</v>
      </c>
      <c r="AC17">
        <f t="shared" si="10"/>
        <v>542.62685205248476</v>
      </c>
      <c r="AD17" s="5">
        <v>0.2</v>
      </c>
      <c r="AE17">
        <f t="shared" si="2"/>
        <v>108.52537041049696</v>
      </c>
      <c r="AF17">
        <f t="shared" si="3"/>
        <v>1</v>
      </c>
    </row>
    <row r="18" spans="1:32">
      <c r="A18" s="2">
        <v>17</v>
      </c>
      <c r="B18">
        <f t="shared" si="4"/>
        <v>3.4259426433341309</v>
      </c>
      <c r="C18" s="5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5">
        <v>0.08</v>
      </c>
      <c r="V18">
        <f>SUM($R$2:R18)</f>
        <v>605.90399705983532</v>
      </c>
      <c r="W18" s="13">
        <f t="shared" si="8"/>
        <v>1.2775776937963044</v>
      </c>
      <c r="Z18">
        <f t="shared" si="11"/>
        <v>3.5111326506015637</v>
      </c>
      <c r="AA18" s="5">
        <v>0.3</v>
      </c>
      <c r="AB18">
        <f t="shared" si="1"/>
        <v>450.24407334647873</v>
      </c>
      <c r="AC18">
        <f t="shared" si="10"/>
        <v>575.18446317563382</v>
      </c>
      <c r="AD18" s="5">
        <v>0.2</v>
      </c>
      <c r="AE18">
        <f t="shared" si="2"/>
        <v>115.03689263512678</v>
      </c>
      <c r="AF18">
        <f t="shared" si="3"/>
        <v>1</v>
      </c>
    </row>
    <row r="19" spans="1:32">
      <c r="A19" s="2">
        <v>18</v>
      </c>
      <c r="B19">
        <f t="shared" si="4"/>
        <v>3.7000180548008612</v>
      </c>
      <c r="C19" s="5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5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5">
        <v>0.3</v>
      </c>
      <c r="AB19">
        <f t="shared" si="1"/>
        <v>486.26359921419703</v>
      </c>
      <c r="AC19">
        <f t="shared" si="10"/>
        <v>609.69553096617187</v>
      </c>
      <c r="AD19" s="5">
        <v>0.2</v>
      </c>
      <c r="AE19">
        <f t="shared" si="2"/>
        <v>121.93910619323438</v>
      </c>
      <c r="AF19">
        <f t="shared" si="3"/>
        <v>1</v>
      </c>
    </row>
    <row r="20" spans="1:32">
      <c r="A20" s="2">
        <v>19</v>
      </c>
      <c r="B20">
        <f t="shared" si="4"/>
        <v>3.9960194991849303</v>
      </c>
      <c r="C20" s="5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5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5">
        <v>0.3</v>
      </c>
      <c r="AB20">
        <f t="shared" si="1"/>
        <v>525.16468715133283</v>
      </c>
      <c r="AC20">
        <f t="shared" si="10"/>
        <v>646.27726282414221</v>
      </c>
      <c r="AD20" s="5">
        <v>0.2</v>
      </c>
      <c r="AE20">
        <f t="shared" si="2"/>
        <v>129.25545256482846</v>
      </c>
      <c r="AF20">
        <f t="shared" si="3"/>
        <v>1</v>
      </c>
    </row>
    <row r="21" spans="1:32">
      <c r="A21" s="2">
        <v>20</v>
      </c>
      <c r="B21">
        <f t="shared" si="4"/>
        <v>4.3157010591197249</v>
      </c>
      <c r="C21" s="5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5">
        <v>0.08</v>
      </c>
      <c r="V21">
        <f>SUM($R$2:R21)</f>
        <v>771.51265175076651</v>
      </c>
      <c r="W21" s="12">
        <f t="shared" si="8"/>
        <v>1.626771500338984</v>
      </c>
      <c r="Z21">
        <f t="shared" si="11"/>
        <v>2.7872503005461273</v>
      </c>
      <c r="AA21" s="5">
        <v>0.3</v>
      </c>
      <c r="AB21">
        <f t="shared" si="1"/>
        <v>567.17786212343947</v>
      </c>
      <c r="AC21">
        <f t="shared" si="10"/>
        <v>685.05389859359082</v>
      </c>
      <c r="AD21" s="5">
        <v>0.2</v>
      </c>
      <c r="AE21">
        <f t="shared" si="2"/>
        <v>137.01077971871817</v>
      </c>
      <c r="AF21">
        <f t="shared" si="3"/>
        <v>1</v>
      </c>
    </row>
    <row r="22" spans="1:32">
      <c r="A22" s="2">
        <v>21</v>
      </c>
      <c r="B22">
        <f t="shared" si="4"/>
        <v>4.6609571438493029</v>
      </c>
      <c r="C22" s="5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5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5">
        <v>0.3</v>
      </c>
      <c r="AB22">
        <f t="shared" si="1"/>
        <v>612.55209109331463</v>
      </c>
      <c r="AC22">
        <f t="shared" si="10"/>
        <v>726.15713250920635</v>
      </c>
      <c r="AD22" s="5">
        <v>0.2</v>
      </c>
      <c r="AE22">
        <f t="shared" si="2"/>
        <v>145.23142650184127</v>
      </c>
      <c r="AF22">
        <f t="shared" si="3"/>
        <v>1</v>
      </c>
    </row>
    <row r="23" spans="1:32">
      <c r="A23" s="2">
        <v>22</v>
      </c>
      <c r="B23">
        <f t="shared" si="4"/>
        <v>5.0338337153572468</v>
      </c>
      <c r="C23" s="5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5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5">
        <v>0.3</v>
      </c>
      <c r="AB23">
        <f t="shared" si="1"/>
        <v>661.55625838077992</v>
      </c>
      <c r="AC23">
        <f t="shared" si="10"/>
        <v>769.72656045975873</v>
      </c>
      <c r="AD23" s="5">
        <v>0.2</v>
      </c>
      <c r="AE23">
        <f t="shared" si="2"/>
        <v>153.94531209195176</v>
      </c>
      <c r="AF23">
        <f t="shared" si="3"/>
        <v>1</v>
      </c>
    </row>
    <row r="24" spans="1:32">
      <c r="A24" s="2">
        <v>23</v>
      </c>
      <c r="B24">
        <f t="shared" si="4"/>
        <v>5.4365404125858268</v>
      </c>
      <c r="C24" s="5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5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5">
        <v>0.3</v>
      </c>
      <c r="AB24">
        <f t="shared" si="1"/>
        <v>714.48075905124244</v>
      </c>
      <c r="AC24">
        <f t="shared" si="10"/>
        <v>815.91015408734427</v>
      </c>
      <c r="AD24" s="5">
        <v>0.2</v>
      </c>
      <c r="AE24">
        <f t="shared" si="2"/>
        <v>163.18203081746887</v>
      </c>
      <c r="AF24">
        <f t="shared" si="3"/>
        <v>1</v>
      </c>
    </row>
    <row r="25" spans="1:32">
      <c r="A25" s="2">
        <v>24</v>
      </c>
      <c r="B25">
        <f t="shared" si="4"/>
        <v>5.8714636455926925</v>
      </c>
      <c r="C25" s="5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5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5">
        <v>0.3</v>
      </c>
      <c r="AB25">
        <f t="shared" si="1"/>
        <v>771.63921977534176</v>
      </c>
      <c r="AC25">
        <f t="shared" si="10"/>
        <v>864.86476333258497</v>
      </c>
      <c r="AD25" s="5">
        <v>0.2</v>
      </c>
      <c r="AE25">
        <f t="shared" si="2"/>
        <v>172.97295266651702</v>
      </c>
      <c r="AF25">
        <f t="shared" si="3"/>
        <v>1</v>
      </c>
    </row>
    <row r="26" spans="1:32">
      <c r="A26" s="2">
        <v>25</v>
      </c>
      <c r="B26">
        <f t="shared" si="4"/>
        <v>6.3411807372401077</v>
      </c>
      <c r="C26" s="5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5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5">
        <v>0.3</v>
      </c>
      <c r="AB26">
        <f t="shared" si="1"/>
        <v>833.37035735736924</v>
      </c>
      <c r="AC26">
        <f t="shared" si="10"/>
        <v>916.75664913254013</v>
      </c>
      <c r="AD26" s="5">
        <v>0.2</v>
      </c>
      <c r="AE26">
        <f t="shared" si="2"/>
        <v>183.35132982650805</v>
      </c>
      <c r="AF26">
        <f t="shared" si="3"/>
        <v>1</v>
      </c>
    </row>
    <row r="27" spans="1:32">
      <c r="A27" s="2">
        <v>26</v>
      </c>
      <c r="B27">
        <f t="shared" si="4"/>
        <v>6.848475196219316</v>
      </c>
      <c r="C27" s="5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5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5">
        <v>0.3</v>
      </c>
      <c r="AB27">
        <f t="shared" si="1"/>
        <v>900.03998594595885</v>
      </c>
      <c r="AC27">
        <f t="shared" si="10"/>
        <v>971.7620480804926</v>
      </c>
      <c r="AD27" s="5">
        <v>0.2</v>
      </c>
      <c r="AE27">
        <f t="shared" si="2"/>
        <v>194.35240961609853</v>
      </c>
      <c r="AF27">
        <f t="shared" si="3"/>
        <v>1</v>
      </c>
    </row>
    <row r="28" spans="1:32">
      <c r="A28" s="2">
        <v>27</v>
      </c>
      <c r="B28">
        <f t="shared" si="4"/>
        <v>7.3963532119168613</v>
      </c>
      <c r="C28" s="5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5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5">
        <v>0.3</v>
      </c>
      <c r="AB28">
        <f t="shared" si="1"/>
        <v>972.04318482163558</v>
      </c>
      <c r="AC28">
        <f t="shared" si="10"/>
        <v>1030.0677709653223</v>
      </c>
      <c r="AD28" s="5">
        <v>0.2</v>
      </c>
      <c r="AE28">
        <f t="shared" si="2"/>
        <v>206.01355419306446</v>
      </c>
      <c r="AF28">
        <f t="shared" si="3"/>
        <v>1</v>
      </c>
    </row>
    <row r="29" spans="1:32">
      <c r="A29" s="2">
        <v>28</v>
      </c>
      <c r="B29">
        <f t="shared" si="4"/>
        <v>7.9880614688702103</v>
      </c>
      <c r="C29" s="5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5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5">
        <v>0.3</v>
      </c>
      <c r="AB29">
        <f t="shared" si="1"/>
        <v>1049.8066396073666</v>
      </c>
      <c r="AC29">
        <f t="shared" si="10"/>
        <v>1091.8718372232418</v>
      </c>
      <c r="AD29" s="5">
        <v>0.2</v>
      </c>
      <c r="AE29">
        <f t="shared" si="2"/>
        <v>218.37436744464836</v>
      </c>
      <c r="AF29">
        <f t="shared" si="3"/>
        <v>1</v>
      </c>
    </row>
    <row r="30" spans="1:32">
      <c r="A30" s="2">
        <v>29</v>
      </c>
      <c r="B30">
        <f t="shared" si="4"/>
        <v>8.6271063863798272</v>
      </c>
      <c r="C30" s="5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5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5">
        <v>0.3</v>
      </c>
      <c r="AB30">
        <f t="shared" si="1"/>
        <v>1133.7911707759561</v>
      </c>
      <c r="AC30">
        <f t="shared" si="10"/>
        <v>1157.3841474566364</v>
      </c>
      <c r="AD30" s="5">
        <v>0.2</v>
      </c>
      <c r="AE30">
        <f t="shared" si="2"/>
        <v>231.47682949132729</v>
      </c>
      <c r="AF30">
        <f t="shared" si="3"/>
        <v>1</v>
      </c>
    </row>
    <row r="31" spans="1:32" ht="14.4">
      <c r="A31" s="2">
        <v>30</v>
      </c>
      <c r="B31">
        <f t="shared" si="4"/>
        <v>9.3172748972902131</v>
      </c>
      <c r="C31" s="5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5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5">
        <v>0.3</v>
      </c>
      <c r="AB31">
        <f t="shared" si="1"/>
        <v>1224.4944644380325</v>
      </c>
      <c r="AC31">
        <f t="shared" si="10"/>
        <v>1226.8271963040345</v>
      </c>
      <c r="AD31" s="5">
        <v>0.2</v>
      </c>
      <c r="AE31">
        <f t="shared" si="2"/>
        <v>245.36543926080691</v>
      </c>
      <c r="AF31">
        <f t="shared" si="3"/>
        <v>1</v>
      </c>
    </row>
    <row r="32" spans="1:32" ht="14.4">
      <c r="A32" s="2">
        <v>31</v>
      </c>
      <c r="B32">
        <f t="shared" si="4"/>
        <v>10.06265688907343</v>
      </c>
      <c r="C32" s="5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5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5">
        <v>0.3</v>
      </c>
      <c r="AB32">
        <f t="shared" si="1"/>
        <v>1322.4540215930754</v>
      </c>
      <c r="AC32">
        <f t="shared" si="10"/>
        <v>1300.4368280822766</v>
      </c>
      <c r="AD32" s="5">
        <v>0.2</v>
      </c>
      <c r="AE32">
        <f t="shared" si="2"/>
        <v>260.08736561645532</v>
      </c>
      <c r="AF32">
        <f t="shared" si="3"/>
        <v>1</v>
      </c>
    </row>
    <row r="33" spans="1:32" ht="14.4">
      <c r="A33" s="2">
        <v>32</v>
      </c>
      <c r="B33">
        <f t="shared" si="4"/>
        <v>10.867669440199306</v>
      </c>
      <c r="C33" s="5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5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5">
        <v>0.3</v>
      </c>
      <c r="AB33">
        <f t="shared" si="1"/>
        <v>1428.2503433205213</v>
      </c>
      <c r="AC33">
        <f t="shared" si="10"/>
        <v>1378.4630377672133</v>
      </c>
      <c r="AD33" s="5">
        <v>0.2</v>
      </c>
      <c r="AE33">
        <f t="shared" si="2"/>
        <v>275.69260755344266</v>
      </c>
      <c r="AF33">
        <f t="shared" si="3"/>
        <v>1</v>
      </c>
    </row>
    <row r="34" spans="1:32" ht="14.4">
      <c r="A34" s="2">
        <v>33</v>
      </c>
      <c r="B34">
        <f t="shared" si="4"/>
        <v>11.73708299541525</v>
      </c>
      <c r="C34" s="5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5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5">
        <v>0.3</v>
      </c>
      <c r="AB34">
        <f t="shared" si="1"/>
        <v>1542.5103707861633</v>
      </c>
      <c r="AC34">
        <f t="shared" si="10"/>
        <v>1461.1708200332462</v>
      </c>
      <c r="AD34" s="5">
        <v>0.2</v>
      </c>
      <c r="AE34">
        <f t="shared" si="2"/>
        <v>292.23416400664922</v>
      </c>
      <c r="AF34">
        <f t="shared" si="3"/>
        <v>1</v>
      </c>
    </row>
    <row r="35" spans="1:32" ht="14.4">
      <c r="A35" s="2">
        <v>34</v>
      </c>
      <c r="B35">
        <f t="shared" si="4"/>
        <v>12.67604963504847</v>
      </c>
      <c r="C35" s="5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5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5">
        <v>0.3</v>
      </c>
      <c r="AB35">
        <f t="shared" si="1"/>
        <v>1665.9112004490564</v>
      </c>
      <c r="AC35">
        <f t="shared" si="10"/>
        <v>1548.8410692352411</v>
      </c>
      <c r="AD35" s="5">
        <v>0.2</v>
      </c>
      <c r="AE35">
        <f t="shared" si="2"/>
        <v>309.76821384704823</v>
      </c>
      <c r="AF35">
        <f t="shared" si="3"/>
        <v>1</v>
      </c>
    </row>
    <row r="36" spans="1:32" ht="14.4">
      <c r="A36" s="2">
        <v>35</v>
      </c>
      <c r="B36">
        <f t="shared" si="4"/>
        <v>13.690133605852347</v>
      </c>
      <c r="C36" s="5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5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5">
        <v>0.3</v>
      </c>
      <c r="AB36">
        <f t="shared" si="1"/>
        <v>1799.1840964849812</v>
      </c>
      <c r="AC36">
        <f t="shared" si="10"/>
        <v>1641.7715333893557</v>
      </c>
      <c r="AD36" s="5">
        <v>0.2</v>
      </c>
      <c r="AE36">
        <f t="shared" si="2"/>
        <v>328.35430667787114</v>
      </c>
      <c r="AF36">
        <f t="shared" si="3"/>
        <v>1</v>
      </c>
    </row>
    <row r="37" spans="1:32" ht="14.4">
      <c r="A37" s="2">
        <v>36</v>
      </c>
      <c r="B37">
        <f t="shared" si="4"/>
        <v>14.785344294320534</v>
      </c>
      <c r="C37" s="5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5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5">
        <v>0.3</v>
      </c>
      <c r="AB37">
        <f t="shared" si="1"/>
        <v>1943.1188242037797</v>
      </c>
      <c r="AC37">
        <f t="shared" si="10"/>
        <v>1740.2778253927172</v>
      </c>
      <c r="AD37" s="5">
        <v>0.2</v>
      </c>
      <c r="AE37">
        <f t="shared" si="2"/>
        <v>348.05556507854345</v>
      </c>
      <c r="AF37">
        <f t="shared" si="3"/>
        <v>1</v>
      </c>
    </row>
    <row r="38" spans="1:32" ht="14.4">
      <c r="A38" s="2">
        <v>37</v>
      </c>
      <c r="B38">
        <f t="shared" si="4"/>
        <v>15.968171837866176</v>
      </c>
      <c r="C38" s="5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5">
        <v>0.08</v>
      </c>
      <c r="V38">
        <f>SUM($R$2:R38)</f>
        <v>1907.4604458080742</v>
      </c>
      <c r="W38" s="13">
        <f t="shared" si="8"/>
        <v>4.0219720107284491</v>
      </c>
      <c r="Z38">
        <f t="shared" si="11"/>
        <v>0.75330721614441876</v>
      </c>
      <c r="AA38" s="5">
        <v>0.3</v>
      </c>
      <c r="AB38">
        <f t="shared" si="1"/>
        <v>2098.5683301400823</v>
      </c>
      <c r="AC38">
        <f t="shared" si="10"/>
        <v>1844.6944949162803</v>
      </c>
      <c r="AD38" s="5">
        <v>0.2</v>
      </c>
      <c r="AE38">
        <f t="shared" si="2"/>
        <v>368.93889898325608</v>
      </c>
      <c r="AF38">
        <f t="shared" si="3"/>
        <v>1</v>
      </c>
    </row>
    <row r="39" spans="1:32" ht="14.4">
      <c r="A39" s="2">
        <v>38</v>
      </c>
      <c r="B39">
        <f t="shared" si="4"/>
        <v>17.245625584895471</v>
      </c>
      <c r="C39" s="5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5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5">
        <v>0.3</v>
      </c>
      <c r="AB39">
        <f t="shared" si="1"/>
        <v>2266.4537965512886</v>
      </c>
      <c r="AC39">
        <f t="shared" si="10"/>
        <v>1955.3761646112573</v>
      </c>
      <c r="AD39" s="5">
        <v>0.2</v>
      </c>
      <c r="AE39">
        <f t="shared" si="2"/>
        <v>391.07523292225147</v>
      </c>
      <c r="AF39">
        <f t="shared" si="3"/>
        <v>1</v>
      </c>
    </row>
    <row r="40" spans="1:32" ht="14.4">
      <c r="A40" s="2">
        <v>39</v>
      </c>
      <c r="B40">
        <f t="shared" si="4"/>
        <v>18.62527563168711</v>
      </c>
      <c r="C40" s="5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5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5">
        <v>0.3</v>
      </c>
      <c r="AB40">
        <f t="shared" si="1"/>
        <v>2447.770100275392</v>
      </c>
      <c r="AC40">
        <f t="shared" si="10"/>
        <v>2072.6987344879331</v>
      </c>
      <c r="AD40" s="5">
        <v>0.2</v>
      </c>
      <c r="AE40">
        <f t="shared" si="2"/>
        <v>414.53974689758661</v>
      </c>
      <c r="AF40">
        <f t="shared" si="3"/>
        <v>1</v>
      </c>
    </row>
    <row r="41" spans="1:32" ht="14.4">
      <c r="A41" s="2">
        <v>40</v>
      </c>
      <c r="B41">
        <f t="shared" si="4"/>
        <v>20.115297682222078</v>
      </c>
      <c r="C41" s="5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5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5">
        <v>0.3</v>
      </c>
      <c r="AB41">
        <f t="shared" si="1"/>
        <v>2643.5917082974233</v>
      </c>
      <c r="AC41">
        <f t="shared" si="10"/>
        <v>2197.0606585572091</v>
      </c>
      <c r="AD41" s="5">
        <v>0.2</v>
      </c>
      <c r="AE41">
        <f t="shared" si="2"/>
        <v>439.41213171144182</v>
      </c>
      <c r="AF41">
        <f t="shared" si="3"/>
        <v>1</v>
      </c>
    </row>
    <row r="42" spans="1:32" ht="14.4">
      <c r="A42" s="2">
        <v>41</v>
      </c>
      <c r="B42">
        <f t="shared" si="4"/>
        <v>21.724521496799845</v>
      </c>
      <c r="C42" s="5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5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5">
        <v>0.3</v>
      </c>
      <c r="AB42">
        <f t="shared" si="1"/>
        <v>2855.0790449612173</v>
      </c>
      <c r="AC42">
        <f t="shared" si="10"/>
        <v>2328.8842980706418</v>
      </c>
      <c r="AD42" s="5">
        <v>0.2</v>
      </c>
      <c r="AE42">
        <f t="shared" si="2"/>
        <v>465.7768596141284</v>
      </c>
      <c r="AF42">
        <f t="shared" si="3"/>
        <v>1</v>
      </c>
    </row>
    <row r="43" spans="1:32" ht="14.4">
      <c r="A43" s="2">
        <v>42</v>
      </c>
      <c r="B43">
        <f t="shared" si="4"/>
        <v>23.462483216543834</v>
      </c>
      <c r="C43" s="5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5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5">
        <v>0.3</v>
      </c>
      <c r="AB43">
        <f t="shared" si="1"/>
        <v>3083.4853685581147</v>
      </c>
      <c r="AC43">
        <f t="shared" si="10"/>
        <v>2468.6173559548802</v>
      </c>
      <c r="AD43" s="5">
        <v>0.2</v>
      </c>
      <c r="AE43">
        <f t="shared" si="2"/>
        <v>493.72347119097606</v>
      </c>
      <c r="AF43">
        <f t="shared" si="3"/>
        <v>1</v>
      </c>
    </row>
    <row r="44" spans="1:32" ht="14.4">
      <c r="A44" s="2">
        <v>43</v>
      </c>
      <c r="B44">
        <f t="shared" si="4"/>
        <v>25.339481873867342</v>
      </c>
      <c r="C44" s="5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5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5">
        <v>0.3</v>
      </c>
      <c r="AB44">
        <f t="shared" si="1"/>
        <v>3330.1641980427639</v>
      </c>
      <c r="AC44">
        <f t="shared" si="10"/>
        <v>2616.7343973121733</v>
      </c>
      <c r="AD44" s="5">
        <v>0.2</v>
      </c>
      <c r="AE44">
        <f t="shared" si="2"/>
        <v>523.34687946243469</v>
      </c>
      <c r="AF44">
        <f t="shared" si="3"/>
        <v>1</v>
      </c>
    </row>
    <row r="45" spans="1:32" ht="14.4">
      <c r="A45" s="2">
        <v>44</v>
      </c>
      <c r="B45">
        <f t="shared" si="4"/>
        <v>27.36664042377673</v>
      </c>
      <c r="C45" s="5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5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5">
        <v>0.3</v>
      </c>
      <c r="AB45">
        <f t="shared" si="1"/>
        <v>3596.5773338861854</v>
      </c>
      <c r="AC45">
        <f t="shared" si="10"/>
        <v>2773.7384611509037</v>
      </c>
      <c r="AD45" s="5">
        <v>0.2</v>
      </c>
      <c r="AE45">
        <f t="shared" si="2"/>
        <v>554.74769223018075</v>
      </c>
      <c r="AF45">
        <f t="shared" si="3"/>
        <v>1</v>
      </c>
    </row>
    <row r="46" spans="1:32" ht="14.4">
      <c r="A46" s="2">
        <v>45</v>
      </c>
      <c r="B46">
        <f t="shared" si="4"/>
        <v>29.555971657678867</v>
      </c>
      <c r="C46" s="5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5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5">
        <v>0.3</v>
      </c>
      <c r="AB46">
        <f t="shared" si="1"/>
        <v>3884.3035205970805</v>
      </c>
      <c r="AC46">
        <f t="shared" si="10"/>
        <v>2940.1627688199583</v>
      </c>
      <c r="AD46" s="5">
        <v>0.2</v>
      </c>
      <c r="AE46">
        <f t="shared" si="2"/>
        <v>588.0325537639917</v>
      </c>
      <c r="AF46">
        <f t="shared" si="3"/>
        <v>1</v>
      </c>
    </row>
    <row r="47" spans="1:32" ht="14.4">
      <c r="A47" s="2">
        <v>46</v>
      </c>
      <c r="B47">
        <f t="shared" si="4"/>
        <v>31.920449390293179</v>
      </c>
      <c r="C47" s="5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5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5">
        <v>0.3</v>
      </c>
      <c r="AB47">
        <f t="shared" si="1"/>
        <v>4195.0478022448478</v>
      </c>
      <c r="AC47">
        <f t="shared" si="10"/>
        <v>3116.5725349491559</v>
      </c>
      <c r="AD47" s="5">
        <v>0.2</v>
      </c>
      <c r="AE47">
        <f t="shared" si="2"/>
        <v>623.31450698983122</v>
      </c>
      <c r="AF47">
        <f t="shared" si="3"/>
        <v>1</v>
      </c>
    </row>
    <row r="48" spans="1:32" ht="14.4">
      <c r="A48" s="2">
        <v>47</v>
      </c>
      <c r="B48">
        <f t="shared" si="4"/>
        <v>34.474085341516634</v>
      </c>
      <c r="C48" s="5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5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5">
        <v>0.3</v>
      </c>
      <c r="AB48">
        <f t="shared" si="1"/>
        <v>4530.6516264244356</v>
      </c>
      <c r="AC48">
        <f t="shared" si="10"/>
        <v>3303.5668870461054</v>
      </c>
      <c r="AD48" s="5">
        <v>0.2</v>
      </c>
      <c r="AE48">
        <f t="shared" si="2"/>
        <v>660.71337740922115</v>
      </c>
      <c r="AF48">
        <f t="shared" si="3"/>
        <v>1</v>
      </c>
    </row>
    <row r="49" spans="1:32" ht="14.4">
      <c r="A49" s="2">
        <v>48</v>
      </c>
      <c r="B49">
        <f t="shared" si="4"/>
        <v>37.232012168837969</v>
      </c>
      <c r="C49" s="5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5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5">
        <v>0.3</v>
      </c>
      <c r="AB49">
        <f t="shared" si="1"/>
        <v>4893.1037565383904</v>
      </c>
      <c r="AC49">
        <f t="shared" si="10"/>
        <v>3501.7809002688718</v>
      </c>
      <c r="AD49" s="5">
        <v>0.2</v>
      </c>
      <c r="AE49">
        <f t="shared" si="2"/>
        <v>700.35618005377444</v>
      </c>
      <c r="AF49">
        <f t="shared" si="3"/>
        <v>1</v>
      </c>
    </row>
    <row r="50" spans="1:32" ht="14.4">
      <c r="A50" s="2">
        <v>49</v>
      </c>
      <c r="B50">
        <f t="shared" si="4"/>
        <v>40.210573142345005</v>
      </c>
      <c r="C50" s="5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5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5">
        <v>0.3</v>
      </c>
      <c r="AB50">
        <f t="shared" si="1"/>
        <v>5284.5520570614617</v>
      </c>
      <c r="AC50">
        <f t="shared" si="10"/>
        <v>3711.8877542850041</v>
      </c>
      <c r="AD50" s="5">
        <v>0.2</v>
      </c>
      <c r="AE50">
        <f t="shared" si="2"/>
        <v>742.37755085700087</v>
      </c>
      <c r="AF50">
        <f t="shared" si="3"/>
        <v>1</v>
      </c>
    </row>
    <row r="51" spans="1:32" ht="14.4">
      <c r="A51" s="2">
        <v>50</v>
      </c>
      <c r="B51">
        <f t="shared" si="4"/>
        <v>43.427418993732608</v>
      </c>
      <c r="C51" s="5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5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5">
        <v>0.3</v>
      </c>
      <c r="AB51">
        <f t="shared" si="1"/>
        <v>5707.316221626379</v>
      </c>
      <c r="AC51">
        <f t="shared" si="10"/>
        <v>3934.6010195421045</v>
      </c>
      <c r="AD51" s="5">
        <v>0.2</v>
      </c>
      <c r="AE51">
        <f t="shared" si="2"/>
        <v>786.92020390842094</v>
      </c>
      <c r="AF51">
        <f t="shared" si="3"/>
        <v>1</v>
      </c>
    </row>
    <row r="52" spans="1:32" ht="14.4">
      <c r="A52" s="2">
        <v>51</v>
      </c>
      <c r="B52">
        <f t="shared" ref="B52:B101" si="12">B51+B51*C51</f>
        <v>46.901612513231214</v>
      </c>
      <c r="C52" s="5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5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5">
        <v>0.3</v>
      </c>
      <c r="AB52">
        <f t="shared" si="1"/>
        <v>6163.9015193564901</v>
      </c>
      <c r="AC52">
        <f t="shared" si="10"/>
        <v>4170.6770807146313</v>
      </c>
      <c r="AD52" s="5">
        <v>0.2</v>
      </c>
      <c r="AE52">
        <f t="shared" si="2"/>
        <v>834.13541614292626</v>
      </c>
      <c r="AF52">
        <f t="shared" si="3"/>
        <v>1</v>
      </c>
    </row>
    <row r="53" spans="1:32" ht="14.4">
      <c r="A53" s="2">
        <v>52</v>
      </c>
      <c r="B53">
        <f t="shared" si="12"/>
        <v>50.653741514289713</v>
      </c>
      <c r="C53" s="5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5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5">
        <v>0.3</v>
      </c>
      <c r="AB53">
        <f t="shared" si="1"/>
        <v>6657.0136409050092</v>
      </c>
      <c r="AC53">
        <f t="shared" si="10"/>
        <v>4420.9177055575092</v>
      </c>
      <c r="AD53" s="5">
        <v>0.2</v>
      </c>
      <c r="AE53">
        <f t="shared" si="2"/>
        <v>884.18354111150188</v>
      </c>
      <c r="AF53">
        <f t="shared" si="3"/>
        <v>1</v>
      </c>
    </row>
    <row r="54" spans="1:32" ht="14.4">
      <c r="A54" s="2">
        <v>53</v>
      </c>
      <c r="B54">
        <f t="shared" si="12"/>
        <v>54.706040835432887</v>
      </c>
      <c r="C54" s="5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5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5">
        <v>0.3</v>
      </c>
      <c r="AB54">
        <f t="shared" si="1"/>
        <v>7189.5747321774106</v>
      </c>
      <c r="AC54">
        <f t="shared" si="10"/>
        <v>4686.1727678909601</v>
      </c>
      <c r="AD54" s="5">
        <v>0.2</v>
      </c>
      <c r="AE54">
        <f t="shared" si="2"/>
        <v>937.23455357819205</v>
      </c>
      <c r="AF54">
        <f t="shared" si="3"/>
        <v>1</v>
      </c>
    </row>
    <row r="55" spans="1:32" ht="14.4">
      <c r="A55" s="2">
        <v>54</v>
      </c>
      <c r="B55">
        <f t="shared" si="12"/>
        <v>59.08252410226752</v>
      </c>
      <c r="C55" s="5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5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5">
        <v>0.3</v>
      </c>
      <c r="AB55">
        <f t="shared" si="1"/>
        <v>7764.7407107516028</v>
      </c>
      <c r="AC55">
        <f t="shared" si="10"/>
        <v>4967.3431339644176</v>
      </c>
      <c r="AD55" s="5">
        <v>0.2</v>
      </c>
      <c r="AE55">
        <f t="shared" si="2"/>
        <v>993.46862679288358</v>
      </c>
      <c r="AF55">
        <f t="shared" si="3"/>
        <v>1</v>
      </c>
    </row>
    <row r="56" spans="1:32" ht="14.4">
      <c r="A56" s="2">
        <v>55</v>
      </c>
      <c r="B56">
        <f t="shared" si="12"/>
        <v>63.809126030448923</v>
      </c>
      <c r="C56" s="5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5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5">
        <v>0.3</v>
      </c>
      <c r="AB56">
        <f t="shared" si="1"/>
        <v>8385.9199676117332</v>
      </c>
      <c r="AC56">
        <f t="shared" si="10"/>
        <v>5265.3837220022833</v>
      </c>
      <c r="AD56" s="5">
        <v>0.2</v>
      </c>
      <c r="AE56">
        <f t="shared" si="2"/>
        <v>1053.0767444004566</v>
      </c>
      <c r="AF56">
        <f t="shared" si="3"/>
        <v>1</v>
      </c>
    </row>
    <row r="57" spans="1:32" ht="14.4">
      <c r="A57" s="2">
        <v>56</v>
      </c>
      <c r="B57">
        <f t="shared" si="12"/>
        <v>68.913856112884844</v>
      </c>
      <c r="C57" s="5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5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5">
        <v>0.3</v>
      </c>
      <c r="AB57">
        <f t="shared" si="1"/>
        <v>9056.7935650206709</v>
      </c>
      <c r="AC57">
        <f t="shared" si="10"/>
        <v>5581.3067453224203</v>
      </c>
      <c r="AD57" s="5">
        <v>0.2</v>
      </c>
      <c r="AE57">
        <f t="shared" si="2"/>
        <v>1116.2613490644842</v>
      </c>
      <c r="AF57">
        <f t="shared" si="3"/>
        <v>1</v>
      </c>
    </row>
    <row r="58" spans="1:32" ht="14.4">
      <c r="A58" s="2">
        <v>57</v>
      </c>
      <c r="B58">
        <f t="shared" si="12"/>
        <v>74.426964601915628</v>
      </c>
      <c r="C58" s="5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5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5">
        <v>0.3</v>
      </c>
      <c r="AB58">
        <f t="shared" si="1"/>
        <v>9781.3370502223261</v>
      </c>
      <c r="AC58">
        <f t="shared" si="10"/>
        <v>5916.1851500417661</v>
      </c>
      <c r="AD58" s="5">
        <v>0.2</v>
      </c>
      <c r="AE58">
        <f t="shared" si="2"/>
        <v>1183.2370300083533</v>
      </c>
      <c r="AF58">
        <f t="shared" si="3"/>
        <v>1</v>
      </c>
    </row>
    <row r="59" spans="1:32" ht="14.4">
      <c r="A59" s="2">
        <v>58</v>
      </c>
      <c r="B59">
        <f t="shared" si="12"/>
        <v>80.381121770068873</v>
      </c>
      <c r="C59" s="5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5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5">
        <v>0.3</v>
      </c>
      <c r="AB59">
        <f t="shared" si="1"/>
        <v>10563.84401424011</v>
      </c>
      <c r="AC59">
        <f t="shared" si="10"/>
        <v>6271.1562590442727</v>
      </c>
      <c r="AD59" s="5">
        <v>0.2</v>
      </c>
      <c r="AE59">
        <f t="shared" si="2"/>
        <v>1254.2312518088547</v>
      </c>
      <c r="AF59">
        <f t="shared" si="3"/>
        <v>1</v>
      </c>
    </row>
    <row r="60" spans="1:32" ht="14.4">
      <c r="A60" s="2">
        <v>59</v>
      </c>
      <c r="B60">
        <f t="shared" si="12"/>
        <v>86.811611511674386</v>
      </c>
      <c r="C60" s="5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5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5">
        <v>0.3</v>
      </c>
      <c r="AB60">
        <f t="shared" si="1"/>
        <v>11408.951535379321</v>
      </c>
      <c r="AC60">
        <f t="shared" si="10"/>
        <v>6647.4256345869298</v>
      </c>
      <c r="AD60" s="5">
        <v>0.2</v>
      </c>
      <c r="AE60">
        <f t="shared" si="2"/>
        <v>1329.485126917386</v>
      </c>
      <c r="AF60">
        <f t="shared" si="3"/>
        <v>1</v>
      </c>
    </row>
    <row r="61" spans="1:32" ht="14.4">
      <c r="A61" s="2">
        <v>60</v>
      </c>
      <c r="B61">
        <f t="shared" si="12"/>
        <v>93.756540432608332</v>
      </c>
      <c r="C61" s="5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5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5">
        <v>0.3</v>
      </c>
      <c r="AB61">
        <f t="shared" si="1"/>
        <v>12321.667658209668</v>
      </c>
      <c r="AC61">
        <f t="shared" si="10"/>
        <v>7046.2711726621455</v>
      </c>
      <c r="AD61" s="5">
        <v>0.2</v>
      </c>
      <c r="AE61">
        <f t="shared" si="2"/>
        <v>1409.2542345324291</v>
      </c>
      <c r="AF61">
        <f t="shared" si="3"/>
        <v>1</v>
      </c>
    </row>
    <row r="62" spans="1:32" ht="14.4">
      <c r="A62" s="2">
        <v>61</v>
      </c>
      <c r="B62">
        <f t="shared" si="12"/>
        <v>101.257063667217</v>
      </c>
      <c r="C62" s="5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5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5">
        <v>0.3</v>
      </c>
      <c r="AB62">
        <f t="shared" si="1"/>
        <v>13307.401070866443</v>
      </c>
      <c r="AC62">
        <f t="shared" si="10"/>
        <v>7469.0474430218746</v>
      </c>
      <c r="AD62" s="5">
        <v>0.2</v>
      </c>
      <c r="AE62">
        <f t="shared" si="2"/>
        <v>1493.809488604375</v>
      </c>
      <c r="AF62">
        <f t="shared" si="3"/>
        <v>1</v>
      </c>
    </row>
    <row r="63" spans="1:32" ht="14.4">
      <c r="A63" s="2">
        <v>62</v>
      </c>
      <c r="B63">
        <f t="shared" si="12"/>
        <v>109.35762876059435</v>
      </c>
      <c r="C63" s="5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5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5">
        <v>0.3</v>
      </c>
      <c r="AB63">
        <f t="shared" si="1"/>
        <v>14371.993156535758</v>
      </c>
      <c r="AC63">
        <f t="shared" si="10"/>
        <v>7917.1902896031879</v>
      </c>
      <c r="AD63" s="5">
        <v>0.2</v>
      </c>
      <c r="AE63">
        <f t="shared" si="2"/>
        <v>1583.4380579206377</v>
      </c>
      <c r="AF63">
        <f t="shared" si="3"/>
        <v>1</v>
      </c>
    </row>
    <row r="64" spans="1:32" ht="14.4">
      <c r="A64" s="2">
        <v>63</v>
      </c>
      <c r="B64">
        <f t="shared" si="12"/>
        <v>118.1062390614419</v>
      </c>
      <c r="C64" s="5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5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5">
        <v>0.3</v>
      </c>
      <c r="AB64">
        <f t="shared" si="1"/>
        <v>15521.75260905862</v>
      </c>
      <c r="AC64">
        <f t="shared" si="10"/>
        <v>8392.2217069793787</v>
      </c>
      <c r="AD64" s="5">
        <v>0.2</v>
      </c>
      <c r="AE64">
        <f t="shared" si="2"/>
        <v>1678.4443413958759</v>
      </c>
      <c r="AF64">
        <f t="shared" si="3"/>
        <v>1</v>
      </c>
    </row>
    <row r="65" spans="1:32" ht="14.4">
      <c r="A65" s="2">
        <v>64</v>
      </c>
      <c r="B65">
        <f t="shared" si="12"/>
        <v>127.55473818635726</v>
      </c>
      <c r="C65" s="5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5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5">
        <v>0.3</v>
      </c>
      <c r="AB65">
        <f t="shared" si="1"/>
        <v>16763.49281778331</v>
      </c>
      <c r="AC65">
        <f t="shared" si="10"/>
        <v>8895.7550093981426</v>
      </c>
      <c r="AD65" s="5">
        <v>0.2</v>
      </c>
      <c r="AE65">
        <f t="shared" si="2"/>
        <v>1779.1510018796287</v>
      </c>
      <c r="AF65">
        <f t="shared" si="3"/>
        <v>1</v>
      </c>
    </row>
    <row r="66" spans="1:32" ht="14.4">
      <c r="A66" s="2">
        <v>65</v>
      </c>
      <c r="B66">
        <f t="shared" si="12"/>
        <v>137.75911724126584</v>
      </c>
      <c r="C66" s="5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5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5">
        <v>0.3</v>
      </c>
      <c r="AB66">
        <f t="shared" si="1"/>
        <v>18104.572243205974</v>
      </c>
      <c r="AC66">
        <f t="shared" si="10"/>
        <v>9429.5003099620317</v>
      </c>
      <c r="AD66" s="5">
        <v>0.2</v>
      </c>
      <c r="AE66">
        <f t="shared" si="2"/>
        <v>1885.9000619924063</v>
      </c>
      <c r="AF66">
        <f t="shared" si="3"/>
        <v>1</v>
      </c>
    </row>
    <row r="67" spans="1:32" ht="14.4">
      <c r="A67" s="2">
        <v>66</v>
      </c>
      <c r="B67">
        <f t="shared" si="12"/>
        <v>148.7798466205671</v>
      </c>
      <c r="C67" s="5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5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5">
        <v>0.3</v>
      </c>
      <c r="AB67">
        <f t="shared" ref="AB67:AB130" si="15">S67/AA67</f>
        <v>19552.938022662453</v>
      </c>
      <c r="AC67">
        <f t="shared" si="10"/>
        <v>9995.2703285597545</v>
      </c>
      <c r="AD67" s="5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ht="14.4">
      <c r="A68" s="2">
        <v>67</v>
      </c>
      <c r="B68">
        <f t="shared" si="12"/>
        <v>160.68223435021247</v>
      </c>
      <c r="C68" s="5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5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5">
        <v>0.3</v>
      </c>
      <c r="AB68">
        <f t="shared" si="15"/>
        <v>21117.173064475453</v>
      </c>
      <c r="AC68">
        <f t="shared" ref="AC68:AC131" si="21">AC67*(1+$U$2)</f>
        <v>10594.98654827334</v>
      </c>
      <c r="AD68" s="5">
        <v>0.2</v>
      </c>
      <c r="AE68">
        <f t="shared" si="16"/>
        <v>2118.9973096546682</v>
      </c>
      <c r="AF68">
        <f t="shared" si="17"/>
        <v>1</v>
      </c>
    </row>
    <row r="69" spans="1:32" ht="14.4">
      <c r="A69" s="2">
        <v>68</v>
      </c>
      <c r="B69">
        <f t="shared" si="12"/>
        <v>173.53681309822946</v>
      </c>
      <c r="C69" s="5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5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5">
        <v>0.3</v>
      </c>
      <c r="AB69">
        <f t="shared" si="15"/>
        <v>22806.546909633489</v>
      </c>
      <c r="AC69">
        <f t="shared" si="21"/>
        <v>11230.685741169742</v>
      </c>
      <c r="AD69" s="5">
        <v>0.2</v>
      </c>
      <c r="AE69">
        <f t="shared" si="16"/>
        <v>2246.1371482339487</v>
      </c>
      <c r="AF69">
        <f t="shared" si="17"/>
        <v>1</v>
      </c>
    </row>
    <row r="70" spans="1:32" ht="14.4">
      <c r="A70" s="2">
        <v>69</v>
      </c>
      <c r="B70">
        <f t="shared" si="12"/>
        <v>187.41975814608782</v>
      </c>
      <c r="C70" s="5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5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5">
        <v>0.3</v>
      </c>
      <c r="AB70">
        <f t="shared" si="15"/>
        <v>24631.07066240417</v>
      </c>
      <c r="AC70">
        <f t="shared" si="21"/>
        <v>11904.526885639927</v>
      </c>
      <c r="AD70" s="5">
        <v>0.2</v>
      </c>
      <c r="AE70">
        <f t="shared" si="16"/>
        <v>2380.9053771279855</v>
      </c>
      <c r="AF70">
        <f t="shared" si="17"/>
        <v>1</v>
      </c>
    </row>
    <row r="71" spans="1:32" ht="14.4">
      <c r="A71" s="2">
        <v>70</v>
      </c>
      <c r="B71">
        <f t="shared" si="12"/>
        <v>202.41333879777483</v>
      </c>
      <c r="C71" s="5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5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5">
        <v>0.3</v>
      </c>
      <c r="AB71">
        <f t="shared" si="15"/>
        <v>26601.556315396505</v>
      </c>
      <c r="AC71">
        <f t="shared" si="21"/>
        <v>12618.798498778324</v>
      </c>
      <c r="AD71" s="5">
        <v>0.2</v>
      </c>
      <c r="AE71">
        <f t="shared" si="16"/>
        <v>2523.7596997556648</v>
      </c>
      <c r="AF71">
        <f t="shared" si="17"/>
        <v>1</v>
      </c>
    </row>
    <row r="72" spans="1:32">
      <c r="A72" s="2">
        <v>71</v>
      </c>
      <c r="B72">
        <f t="shared" si="12"/>
        <v>218.60640590159682</v>
      </c>
      <c r="C72" s="5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5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5">
        <v>0.3</v>
      </c>
      <c r="AB72">
        <f t="shared" si="15"/>
        <v>28729.680820628226</v>
      </c>
      <c r="AC72">
        <f t="shared" si="21"/>
        <v>13375.926408705023</v>
      </c>
      <c r="AD72" s="5">
        <v>0.2</v>
      </c>
      <c r="AE72">
        <f t="shared" si="16"/>
        <v>2675.1852817410049</v>
      </c>
      <c r="AF72">
        <f t="shared" si="17"/>
        <v>1</v>
      </c>
    </row>
    <row r="73" spans="1:32">
      <c r="A73" s="2">
        <v>72</v>
      </c>
      <c r="B73">
        <f t="shared" si="12"/>
        <v>236.09491837372457</v>
      </c>
      <c r="C73" s="5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5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5">
        <v>0.3</v>
      </c>
      <c r="AB73">
        <f t="shared" si="15"/>
        <v>31028.055286278486</v>
      </c>
      <c r="AC73">
        <f t="shared" si="21"/>
        <v>14178.481993227326</v>
      </c>
      <c r="AD73" s="5">
        <v>0.2</v>
      </c>
      <c r="AE73">
        <f t="shared" si="16"/>
        <v>2835.6963986454653</v>
      </c>
      <c r="AF73">
        <f t="shared" si="17"/>
        <v>1</v>
      </c>
    </row>
    <row r="74" spans="1:32">
      <c r="A74" s="2">
        <v>73</v>
      </c>
      <c r="B74">
        <f t="shared" si="12"/>
        <v>254.98251184362255</v>
      </c>
      <c r="C74" s="5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5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5">
        <v>0.3</v>
      </c>
      <c r="AB74">
        <f t="shared" si="15"/>
        <v>33510.29970918077</v>
      </c>
      <c r="AC74">
        <f t="shared" si="21"/>
        <v>15029.190912820966</v>
      </c>
      <c r="AD74" s="5">
        <v>0.2</v>
      </c>
      <c r="AE74">
        <f t="shared" si="16"/>
        <v>3005.8381825641936</v>
      </c>
      <c r="AF74">
        <f t="shared" si="17"/>
        <v>1</v>
      </c>
    </row>
    <row r="75" spans="1:32">
      <c r="A75" s="2">
        <v>74</v>
      </c>
      <c r="B75">
        <f t="shared" si="12"/>
        <v>275.38111279111234</v>
      </c>
      <c r="C75" s="5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5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5">
        <v>0.3</v>
      </c>
      <c r="AB75">
        <f t="shared" si="15"/>
        <v>36191.123685915234</v>
      </c>
      <c r="AC75">
        <f t="shared" si="21"/>
        <v>15930.942367590225</v>
      </c>
      <c r="AD75" s="5">
        <v>0.2</v>
      </c>
      <c r="AE75">
        <f t="shared" si="16"/>
        <v>3186.1884735180452</v>
      </c>
      <c r="AF75">
        <f t="shared" si="17"/>
        <v>1</v>
      </c>
    </row>
    <row r="76" spans="1:32">
      <c r="A76" s="2">
        <v>75</v>
      </c>
      <c r="B76">
        <f t="shared" si="12"/>
        <v>297.41160181440131</v>
      </c>
      <c r="C76" s="5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5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5">
        <v>0.3</v>
      </c>
      <c r="AB76">
        <f t="shared" si="15"/>
        <v>39086.41358078846</v>
      </c>
      <c r="AC76">
        <f t="shared" si="21"/>
        <v>16886.79890964564</v>
      </c>
      <c r="AD76" s="5">
        <v>0.2</v>
      </c>
      <c r="AE76">
        <f t="shared" si="16"/>
        <v>3377.3597819291281</v>
      </c>
      <c r="AF76">
        <f t="shared" si="17"/>
        <v>1</v>
      </c>
    </row>
    <row r="77" spans="1:32">
      <c r="A77" s="2">
        <v>76</v>
      </c>
      <c r="B77">
        <f t="shared" si="12"/>
        <v>321.20452995955338</v>
      </c>
      <c r="C77" s="5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5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5">
        <v>0.3</v>
      </c>
      <c r="AB77">
        <f t="shared" si="15"/>
        <v>42213.326667251531</v>
      </c>
      <c r="AC77">
        <f t="shared" si="21"/>
        <v>17900.006844224379</v>
      </c>
      <c r="AD77" s="5">
        <v>0.2</v>
      </c>
      <c r="AE77">
        <f t="shared" si="16"/>
        <v>3580.0013688448762</v>
      </c>
      <c r="AF77">
        <f t="shared" si="17"/>
        <v>1</v>
      </c>
    </row>
    <row r="78" spans="1:32">
      <c r="A78" s="2">
        <v>77</v>
      </c>
      <c r="B78">
        <f t="shared" si="12"/>
        <v>346.90089235631763</v>
      </c>
      <c r="C78" s="5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5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5">
        <v>0.3</v>
      </c>
      <c r="AB78">
        <f t="shared" si="15"/>
        <v>45590.392800631664</v>
      </c>
      <c r="AC78">
        <f t="shared" si="21"/>
        <v>18974.007254877844</v>
      </c>
      <c r="AD78" s="5">
        <v>0.2</v>
      </c>
      <c r="AE78">
        <f t="shared" si="16"/>
        <v>3794.801450975569</v>
      </c>
      <c r="AF78">
        <f t="shared" si="17"/>
        <v>1</v>
      </c>
    </row>
    <row r="79" spans="1:32">
      <c r="A79" s="2">
        <v>78</v>
      </c>
      <c r="B79">
        <f t="shared" si="12"/>
        <v>374.65296374482301</v>
      </c>
      <c r="C79" s="5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5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5">
        <v>0.3</v>
      </c>
      <c r="AB79">
        <f t="shared" si="15"/>
        <v>49237.624224682193</v>
      </c>
      <c r="AC79">
        <f t="shared" si="21"/>
        <v>20112.447690170517</v>
      </c>
      <c r="AD79" s="5">
        <v>0.2</v>
      </c>
      <c r="AE79">
        <f t="shared" si="16"/>
        <v>4022.4895380341036</v>
      </c>
      <c r="AF79">
        <f t="shared" si="17"/>
        <v>1</v>
      </c>
    </row>
    <row r="80" spans="1:32">
      <c r="A80" s="2">
        <v>79</v>
      </c>
      <c r="B80">
        <f t="shared" si="12"/>
        <v>404.62520084440882</v>
      </c>
      <c r="C80" s="5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5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5">
        <v>0.3</v>
      </c>
      <c r="AB80">
        <f t="shared" si="15"/>
        <v>53176.634162656766</v>
      </c>
      <c r="AC80">
        <f t="shared" si="21"/>
        <v>21319.194551580749</v>
      </c>
      <c r="AD80" s="5">
        <v>0.2</v>
      </c>
      <c r="AE80">
        <f t="shared" si="16"/>
        <v>4263.8389103161498</v>
      </c>
      <c r="AF80">
        <f t="shared" si="17"/>
        <v>1</v>
      </c>
    </row>
    <row r="81" spans="1:32">
      <c r="A81" s="2">
        <v>80</v>
      </c>
      <c r="B81">
        <f t="shared" si="12"/>
        <v>436.99521691196151</v>
      </c>
      <c r="C81" s="5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5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5">
        <v>0.3</v>
      </c>
      <c r="AB81">
        <f t="shared" si="15"/>
        <v>57430.764895669308</v>
      </c>
      <c r="AC81">
        <f t="shared" si="21"/>
        <v>22598.346224675595</v>
      </c>
      <c r="AD81" s="5">
        <v>0.2</v>
      </c>
      <c r="AE81">
        <f t="shared" si="16"/>
        <v>4519.6692449351194</v>
      </c>
      <c r="AF81">
        <f t="shared" si="17"/>
        <v>1</v>
      </c>
    </row>
    <row r="82" spans="1:32">
      <c r="A82" s="2">
        <v>81</v>
      </c>
      <c r="B82">
        <f t="shared" si="12"/>
        <v>471.95483426491842</v>
      </c>
      <c r="C82" s="5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5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5">
        <v>0.3</v>
      </c>
      <c r="AB82">
        <f t="shared" si="15"/>
        <v>62025.226087322859</v>
      </c>
      <c r="AC82">
        <f t="shared" si="21"/>
        <v>23954.246998156133</v>
      </c>
      <c r="AD82" s="5">
        <v>0.2</v>
      </c>
      <c r="AE82">
        <f t="shared" si="16"/>
        <v>4790.8493996312272</v>
      </c>
      <c r="AF82">
        <f t="shared" si="17"/>
        <v>1</v>
      </c>
    </row>
    <row r="83" spans="1:32">
      <c r="A83" s="2">
        <v>82</v>
      </c>
      <c r="B83">
        <f t="shared" si="12"/>
        <v>509.71122100611188</v>
      </c>
      <c r="C83" s="5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5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5">
        <v>0.3</v>
      </c>
      <c r="AB83">
        <f t="shared" si="15"/>
        <v>66987.244174308697</v>
      </c>
      <c r="AC83">
        <f t="shared" si="21"/>
        <v>25391.501818045504</v>
      </c>
      <c r="AD83" s="5">
        <v>0.2</v>
      </c>
      <c r="AE83">
        <f t="shared" si="16"/>
        <v>5078.3003636091016</v>
      </c>
      <c r="AF83">
        <f t="shared" si="17"/>
        <v>1</v>
      </c>
    </row>
    <row r="84" spans="1:32">
      <c r="A84" s="2">
        <v>83</v>
      </c>
      <c r="B84">
        <f t="shared" si="12"/>
        <v>550.48811868660084</v>
      </c>
      <c r="C84" s="5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5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5">
        <v>0.3</v>
      </c>
      <c r="AB84">
        <f t="shared" si="15"/>
        <v>72346.223708253397</v>
      </c>
      <c r="AC84">
        <f t="shared" si="21"/>
        <v>26914.991927128238</v>
      </c>
      <c r="AD84" s="5">
        <v>0.2</v>
      </c>
      <c r="AE84">
        <f t="shared" si="16"/>
        <v>5382.9983854256479</v>
      </c>
      <c r="AF84">
        <f t="shared" si="17"/>
        <v>1</v>
      </c>
    </row>
    <row r="85" spans="1:32">
      <c r="A85" s="2">
        <v>84</v>
      </c>
      <c r="B85">
        <f t="shared" si="12"/>
        <v>594.52716818152885</v>
      </c>
      <c r="C85" s="5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5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5">
        <v>0.3</v>
      </c>
      <c r="AB85">
        <f t="shared" si="15"/>
        <v>78133.921604913674</v>
      </c>
      <c r="AC85">
        <f t="shared" si="21"/>
        <v>28529.891442755932</v>
      </c>
      <c r="AD85" s="5">
        <v>0.2</v>
      </c>
      <c r="AE85">
        <f t="shared" si="16"/>
        <v>5705.9782885511868</v>
      </c>
      <c r="AF85">
        <f t="shared" si="17"/>
        <v>1</v>
      </c>
    </row>
    <row r="86" spans="1:32">
      <c r="A86" s="2">
        <v>85</v>
      </c>
      <c r="B86">
        <f t="shared" si="12"/>
        <v>642.08934163605113</v>
      </c>
      <c r="C86" s="5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5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5">
        <v>0.3</v>
      </c>
      <c r="AB86">
        <f t="shared" si="15"/>
        <v>84384.635333306767</v>
      </c>
      <c r="AC86">
        <f t="shared" si="21"/>
        <v>30241.684929321291</v>
      </c>
      <c r="AD86" s="5">
        <v>0.2</v>
      </c>
      <c r="AE86">
        <f t="shared" si="16"/>
        <v>6048.3369858642582</v>
      </c>
      <c r="AF86">
        <f t="shared" si="17"/>
        <v>1</v>
      </c>
    </row>
    <row r="87" spans="1:32">
      <c r="A87" s="2">
        <v>86</v>
      </c>
      <c r="B87">
        <f t="shared" si="12"/>
        <v>693.45648896693524</v>
      </c>
      <c r="C87" s="5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5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5">
        <v>0.3</v>
      </c>
      <c r="AB87">
        <f t="shared" si="15"/>
        <v>91135.406159971302</v>
      </c>
      <c r="AC87">
        <f t="shared" si="21"/>
        <v>32056.186025080569</v>
      </c>
      <c r="AD87" s="5">
        <v>0.2</v>
      </c>
      <c r="AE87">
        <f t="shared" si="16"/>
        <v>6411.2372050161139</v>
      </c>
      <c r="AF87">
        <f t="shared" si="17"/>
        <v>1</v>
      </c>
    </row>
    <row r="88" spans="1:32">
      <c r="A88" s="2">
        <v>87</v>
      </c>
      <c r="B88">
        <f t="shared" si="12"/>
        <v>748.93300808429001</v>
      </c>
      <c r="C88" s="5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5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5">
        <v>0.3</v>
      </c>
      <c r="AB88">
        <f t="shared" si="15"/>
        <v>98426.238652769011</v>
      </c>
      <c r="AC88">
        <f t="shared" si="21"/>
        <v>33979.557186585407</v>
      </c>
      <c r="AD88" s="5">
        <v>0.2</v>
      </c>
      <c r="AE88">
        <f t="shared" si="16"/>
        <v>6795.9114373170814</v>
      </c>
      <c r="AF88">
        <f t="shared" si="17"/>
        <v>1</v>
      </c>
    </row>
    <row r="89" spans="1:32">
      <c r="A89" s="2">
        <v>88</v>
      </c>
      <c r="B89">
        <f t="shared" si="12"/>
        <v>808.84764873103325</v>
      </c>
      <c r="C89" s="5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5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5">
        <v>0.3</v>
      </c>
      <c r="AB89">
        <f t="shared" si="15"/>
        <v>106300.33774499054</v>
      </c>
      <c r="AC89">
        <f t="shared" si="21"/>
        <v>36018.330617780535</v>
      </c>
      <c r="AD89" s="5">
        <v>0.2</v>
      </c>
      <c r="AE89">
        <f t="shared" si="16"/>
        <v>7203.6661235561078</v>
      </c>
      <c r="AF89">
        <f t="shared" si="17"/>
        <v>1</v>
      </c>
    </row>
    <row r="90" spans="1:32">
      <c r="A90" s="2">
        <v>89</v>
      </c>
      <c r="B90">
        <f t="shared" si="12"/>
        <v>873.55546062951589</v>
      </c>
      <c r="C90" s="5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5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5">
        <v>0.3</v>
      </c>
      <c r="AB90">
        <f t="shared" si="15"/>
        <v>114804.3647645898</v>
      </c>
      <c r="AC90">
        <f t="shared" si="21"/>
        <v>38179.430454847366</v>
      </c>
      <c r="AD90" s="5">
        <v>0.2</v>
      </c>
      <c r="AE90">
        <f t="shared" si="16"/>
        <v>7635.886090969474</v>
      </c>
      <c r="AF90">
        <f t="shared" si="17"/>
        <v>1</v>
      </c>
    </row>
    <row r="91" spans="1:32">
      <c r="A91" s="2">
        <v>90</v>
      </c>
      <c r="B91">
        <f t="shared" si="12"/>
        <v>943.43989747987712</v>
      </c>
      <c r="C91" s="5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5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5">
        <v>0.3</v>
      </c>
      <c r="AB91">
        <f t="shared" si="15"/>
        <v>123988.713945757</v>
      </c>
      <c r="AC91">
        <f t="shared" si="21"/>
        <v>40470.196282138211</v>
      </c>
      <c r="AD91" s="5">
        <v>0.2</v>
      </c>
      <c r="AE91">
        <f t="shared" si="16"/>
        <v>8094.0392564276426</v>
      </c>
      <c r="AF91">
        <f t="shared" si="17"/>
        <v>1</v>
      </c>
    </row>
    <row r="92" spans="1:32">
      <c r="A92" s="2">
        <v>91</v>
      </c>
      <c r="B92">
        <f t="shared" si="12"/>
        <v>1018.9150892782673</v>
      </c>
      <c r="C92" s="5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5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5">
        <v>0.3</v>
      </c>
      <c r="AB92">
        <f t="shared" si="15"/>
        <v>133907.81106141757</v>
      </c>
      <c r="AC92">
        <f t="shared" si="21"/>
        <v>42898.408059066503</v>
      </c>
      <c r="AD92" s="5">
        <v>0.2</v>
      </c>
      <c r="AE92">
        <f t="shared" si="16"/>
        <v>8579.6816118133011</v>
      </c>
      <c r="AF92">
        <f t="shared" si="17"/>
        <v>1</v>
      </c>
    </row>
    <row r="93" spans="1:32">
      <c r="A93" s="2">
        <v>92</v>
      </c>
      <c r="B93">
        <f t="shared" si="12"/>
        <v>1100.4282964205286</v>
      </c>
      <c r="C93" s="5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5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5">
        <v>0.3</v>
      </c>
      <c r="AB93">
        <f t="shared" si="15"/>
        <v>144620.43594633098</v>
      </c>
      <c r="AC93">
        <f t="shared" si="21"/>
        <v>45472.312542610496</v>
      </c>
      <c r="AD93" s="5">
        <v>0.2</v>
      </c>
      <c r="AE93">
        <f t="shared" si="16"/>
        <v>9094.4625085220996</v>
      </c>
      <c r="AF93">
        <f t="shared" si="17"/>
        <v>1</v>
      </c>
    </row>
    <row r="94" spans="1:32">
      <c r="A94" s="2">
        <v>93</v>
      </c>
      <c r="B94">
        <f t="shared" si="12"/>
        <v>1188.4625601341709</v>
      </c>
      <c r="C94" s="5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5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5">
        <v>0.3</v>
      </c>
      <c r="AB94">
        <f t="shared" si="15"/>
        <v>156190.07082203749</v>
      </c>
      <c r="AC94">
        <f t="shared" si="21"/>
        <v>48200.651295167125</v>
      </c>
      <c r="AD94" s="5">
        <v>0.2</v>
      </c>
      <c r="AE94">
        <f t="shared" si="16"/>
        <v>9640.1302590334253</v>
      </c>
      <c r="AF94">
        <f t="shared" si="17"/>
        <v>1</v>
      </c>
    </row>
    <row r="95" spans="1:32">
      <c r="A95" s="2">
        <v>94</v>
      </c>
      <c r="B95">
        <f t="shared" si="12"/>
        <v>1283.5395649449044</v>
      </c>
      <c r="C95" s="5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5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5">
        <v>0.3</v>
      </c>
      <c r="AB95">
        <f t="shared" si="15"/>
        <v>168685.2764878005</v>
      </c>
      <c r="AC95">
        <f t="shared" si="21"/>
        <v>51092.690372877158</v>
      </c>
      <c r="AD95" s="5">
        <v>0.2</v>
      </c>
      <c r="AE95">
        <f t="shared" si="16"/>
        <v>10218.538074575432</v>
      </c>
      <c r="AF95">
        <f t="shared" si="17"/>
        <v>1</v>
      </c>
    </row>
    <row r="96" spans="1:32">
      <c r="A96" s="2">
        <v>95</v>
      </c>
      <c r="B96">
        <f t="shared" si="12"/>
        <v>1386.2227301404969</v>
      </c>
      <c r="C96" s="5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5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5">
        <v>0.3</v>
      </c>
      <c r="AB96">
        <f t="shared" si="15"/>
        <v>182180.09860682455</v>
      </c>
      <c r="AC96">
        <f t="shared" si="21"/>
        <v>54158.251795249787</v>
      </c>
      <c r="AD96" s="5">
        <v>0.2</v>
      </c>
      <c r="AE96">
        <f t="shared" si="16"/>
        <v>10831.650359049958</v>
      </c>
      <c r="AF96">
        <f t="shared" si="17"/>
        <v>1</v>
      </c>
    </row>
    <row r="97" spans="1:32">
      <c r="A97" s="2">
        <v>96</v>
      </c>
      <c r="B97">
        <f t="shared" si="12"/>
        <v>1497.1205485517366</v>
      </c>
      <c r="C97" s="5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5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5">
        <v>0.3</v>
      </c>
      <c r="AB97">
        <f t="shared" si="15"/>
        <v>196754.50649537053</v>
      </c>
      <c r="AC97">
        <f t="shared" si="21"/>
        <v>57407.746902964776</v>
      </c>
      <c r="AD97" s="5">
        <v>0.2</v>
      </c>
      <c r="AE97">
        <f t="shared" si="16"/>
        <v>11481.549380592956</v>
      </c>
      <c r="AF97">
        <f t="shared" si="17"/>
        <v>1</v>
      </c>
    </row>
    <row r="98" spans="1:32">
      <c r="A98" s="2">
        <v>97</v>
      </c>
      <c r="B98">
        <f t="shared" si="12"/>
        <v>1616.8901924358756</v>
      </c>
      <c r="C98" s="5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5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5">
        <v>0.3</v>
      </c>
      <c r="AB98">
        <f t="shared" si="15"/>
        <v>212494.86701500017</v>
      </c>
      <c r="AC98">
        <f t="shared" si="21"/>
        <v>60852.211717142665</v>
      </c>
      <c r="AD98" s="5">
        <v>0.2</v>
      </c>
      <c r="AE98">
        <f t="shared" si="16"/>
        <v>12170.442343428535</v>
      </c>
      <c r="AF98">
        <f t="shared" si="17"/>
        <v>1</v>
      </c>
    </row>
    <row r="99" spans="1:32">
      <c r="A99" s="2">
        <v>98</v>
      </c>
      <c r="B99">
        <f t="shared" si="12"/>
        <v>1746.2414078307456</v>
      </c>
      <c r="C99" s="5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5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5">
        <v>0.3</v>
      </c>
      <c r="AB99">
        <f t="shared" si="15"/>
        <v>229494.45637620022</v>
      </c>
      <c r="AC99">
        <f t="shared" si="21"/>
        <v>64503.344420171226</v>
      </c>
      <c r="AD99" s="5">
        <v>0.2</v>
      </c>
      <c r="AE99">
        <f t="shared" si="16"/>
        <v>12900.668884034247</v>
      </c>
      <c r="AF99">
        <f t="shared" si="17"/>
        <v>1</v>
      </c>
    </row>
    <row r="100" spans="1:32">
      <c r="A100" s="2">
        <v>99</v>
      </c>
      <c r="B100">
        <f t="shared" si="12"/>
        <v>1885.9407204572053</v>
      </c>
      <c r="C100" s="5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5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5">
        <v>0.3</v>
      </c>
      <c r="AB100">
        <f t="shared" si="15"/>
        <v>247854.01288629623</v>
      </c>
      <c r="AC100">
        <f t="shared" si="21"/>
        <v>68373.545085381498</v>
      </c>
      <c r="AD100" s="5">
        <v>0.2</v>
      </c>
      <c r="AE100">
        <f t="shared" si="16"/>
        <v>13674.7090170763</v>
      </c>
      <c r="AF100">
        <f t="shared" si="17"/>
        <v>1</v>
      </c>
    </row>
    <row r="101" spans="1:32">
      <c r="A101" s="2">
        <v>100</v>
      </c>
      <c r="B101">
        <f t="shared" si="12"/>
        <v>2036.8159780937817</v>
      </c>
      <c r="C101" s="5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5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5">
        <v>0.3</v>
      </c>
      <c r="AB101">
        <f t="shared" si="15"/>
        <v>267682.33391719993</v>
      </c>
      <c r="AC101">
        <f t="shared" si="21"/>
        <v>72475.957790504399</v>
      </c>
      <c r="AD101" s="5">
        <v>0.2</v>
      </c>
      <c r="AE101">
        <f t="shared" si="16"/>
        <v>14495.19155810088</v>
      </c>
      <c r="AF101">
        <f t="shared" si="17"/>
        <v>1</v>
      </c>
    </row>
    <row r="102" spans="1:32">
      <c r="A102" s="2">
        <v>101</v>
      </c>
      <c r="B102">
        <f t="shared" ref="B102:B165" si="23">B101+B101*C101</f>
        <v>2199.761256341284</v>
      </c>
      <c r="C102" s="5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5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5">
        <v>0.3</v>
      </c>
      <c r="AB102">
        <f t="shared" si="15"/>
        <v>289096.92063057591</v>
      </c>
      <c r="AC102">
        <f t="shared" si="21"/>
        <v>76824.515257934661</v>
      </c>
      <c r="AD102" s="5">
        <v>0.2</v>
      </c>
      <c r="AE102">
        <f t="shared" si="16"/>
        <v>15364.903051586933</v>
      </c>
      <c r="AF102">
        <f t="shared" si="17"/>
        <v>1</v>
      </c>
    </row>
    <row r="103" spans="1:32">
      <c r="A103" s="2">
        <v>102</v>
      </c>
      <c r="B103">
        <f t="shared" si="23"/>
        <v>2375.7421568485865</v>
      </c>
      <c r="C103" s="5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5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5">
        <v>0.3</v>
      </c>
      <c r="AB103">
        <f t="shared" si="15"/>
        <v>312224.67428102205</v>
      </c>
      <c r="AC103">
        <f t="shared" si="21"/>
        <v>81433.98617341074</v>
      </c>
      <c r="AD103" s="5">
        <v>0.2</v>
      </c>
      <c r="AE103">
        <f t="shared" si="16"/>
        <v>16286.797234682148</v>
      </c>
      <c r="AF103">
        <f t="shared" si="17"/>
        <v>1</v>
      </c>
    </row>
    <row r="104" spans="1:32">
      <c r="A104" s="2">
        <v>103</v>
      </c>
      <c r="B104">
        <f t="shared" si="23"/>
        <v>2565.8015293964736</v>
      </c>
      <c r="C104" s="5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5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5">
        <v>0.3</v>
      </c>
      <c r="AB104">
        <f t="shared" si="15"/>
        <v>337202.64822350378</v>
      </c>
      <c r="AC104">
        <f t="shared" si="21"/>
        <v>86320.025343815389</v>
      </c>
      <c r="AD104" s="5">
        <v>0.2</v>
      </c>
      <c r="AE104">
        <f t="shared" si="16"/>
        <v>17264.005068763079</v>
      </c>
      <c r="AF104">
        <f t="shared" si="17"/>
        <v>1</v>
      </c>
    </row>
    <row r="105" spans="1:32">
      <c r="A105" s="2">
        <v>104</v>
      </c>
      <c r="B105">
        <f t="shared" si="23"/>
        <v>2771.0656517481916</v>
      </c>
      <c r="C105" s="5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5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5">
        <v>0.3</v>
      </c>
      <c r="AB105">
        <f t="shared" si="15"/>
        <v>364178.86008138413</v>
      </c>
      <c r="AC105">
        <f t="shared" si="21"/>
        <v>91499.22686444431</v>
      </c>
      <c r="AD105" s="5">
        <v>0.2</v>
      </c>
      <c r="AE105">
        <f t="shared" si="16"/>
        <v>18299.845372888863</v>
      </c>
      <c r="AF105">
        <f t="shared" si="17"/>
        <v>1</v>
      </c>
    </row>
    <row r="106" spans="1:32">
      <c r="A106" s="2">
        <v>105</v>
      </c>
      <c r="B106">
        <f t="shared" si="23"/>
        <v>2992.7509038880471</v>
      </c>
      <c r="C106" s="5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5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5">
        <v>0.3</v>
      </c>
      <c r="AB106">
        <f t="shared" si="15"/>
        <v>393313.16888789489</v>
      </c>
      <c r="AC106">
        <f t="shared" si="21"/>
        <v>96989.180476310969</v>
      </c>
      <c r="AD106" s="5">
        <v>0.2</v>
      </c>
      <c r="AE106">
        <f t="shared" si="16"/>
        <v>19397.836095262195</v>
      </c>
      <c r="AF106">
        <f t="shared" si="17"/>
        <v>1</v>
      </c>
    </row>
    <row r="107" spans="1:32">
      <c r="A107" s="2">
        <v>106</v>
      </c>
      <c r="B107">
        <f t="shared" si="23"/>
        <v>3232.170976199091</v>
      </c>
      <c r="C107" s="5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5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5">
        <v>0.3</v>
      </c>
      <c r="AB107">
        <f t="shared" si="15"/>
        <v>424778.2223989265</v>
      </c>
      <c r="AC107">
        <f t="shared" si="21"/>
        <v>102808.53130488964</v>
      </c>
      <c r="AD107" s="5">
        <v>0.2</v>
      </c>
      <c r="AE107">
        <f t="shared" si="16"/>
        <v>20561.706260977928</v>
      </c>
      <c r="AF107">
        <f t="shared" si="17"/>
        <v>1</v>
      </c>
    </row>
    <row r="108" spans="1:32">
      <c r="A108" s="2">
        <v>107</v>
      </c>
      <c r="B108">
        <f t="shared" si="23"/>
        <v>3490.7446542950183</v>
      </c>
      <c r="C108" s="5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5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5">
        <v>0.3</v>
      </c>
      <c r="AB108">
        <f t="shared" si="15"/>
        <v>458760.48019084061</v>
      </c>
      <c r="AC108">
        <f t="shared" si="21"/>
        <v>108977.04318318302</v>
      </c>
      <c r="AD108" s="5">
        <v>0.2</v>
      </c>
      <c r="AE108">
        <f t="shared" si="16"/>
        <v>21795.408636636606</v>
      </c>
      <c r="AF108">
        <f t="shared" si="17"/>
        <v>1</v>
      </c>
    </row>
    <row r="109" spans="1:32">
      <c r="A109" s="2">
        <v>108</v>
      </c>
      <c r="B109">
        <f t="shared" si="23"/>
        <v>3770.0042266386199</v>
      </c>
      <c r="C109" s="5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5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5">
        <v>0.3</v>
      </c>
      <c r="AB109">
        <f t="shared" si="15"/>
        <v>495461.3186061079</v>
      </c>
      <c r="AC109">
        <f t="shared" si="21"/>
        <v>115515.66577417401</v>
      </c>
      <c r="AD109" s="5">
        <v>0.2</v>
      </c>
      <c r="AE109">
        <f t="shared" si="16"/>
        <v>23103.133154834803</v>
      </c>
      <c r="AF109">
        <f t="shared" si="17"/>
        <v>1</v>
      </c>
    </row>
    <row r="110" spans="1:32">
      <c r="A110" s="2">
        <v>109</v>
      </c>
      <c r="B110">
        <f t="shared" si="23"/>
        <v>4071.6045647697097</v>
      </c>
      <c r="C110" s="5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5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5">
        <v>0.3</v>
      </c>
      <c r="AB110">
        <f t="shared" si="15"/>
        <v>535098.22409459658</v>
      </c>
      <c r="AC110">
        <f t="shared" si="21"/>
        <v>122446.60572062446</v>
      </c>
      <c r="AD110" s="5">
        <v>0.2</v>
      </c>
      <c r="AE110">
        <f t="shared" si="16"/>
        <v>24489.321144124893</v>
      </c>
      <c r="AF110">
        <f t="shared" si="17"/>
        <v>1</v>
      </c>
    </row>
    <row r="111" spans="1:32">
      <c r="A111" s="2">
        <v>110</v>
      </c>
      <c r="B111">
        <f t="shared" si="23"/>
        <v>4397.3329299512861</v>
      </c>
      <c r="C111" s="5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5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5">
        <v>0.3</v>
      </c>
      <c r="AB111">
        <f t="shared" si="15"/>
        <v>577906.08202216437</v>
      </c>
      <c r="AC111">
        <f t="shared" si="21"/>
        <v>129793.40206386193</v>
      </c>
      <c r="AD111" s="5">
        <v>0.2</v>
      </c>
      <c r="AE111">
        <f t="shared" si="16"/>
        <v>25958.680412772388</v>
      </c>
      <c r="AF111">
        <f t="shared" si="17"/>
        <v>1</v>
      </c>
    </row>
    <row r="112" spans="1:32">
      <c r="A112" s="2">
        <v>111</v>
      </c>
      <c r="B112">
        <f t="shared" si="23"/>
        <v>4749.1195643473893</v>
      </c>
      <c r="C112" s="5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5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5">
        <v>0.3</v>
      </c>
      <c r="AB112">
        <f t="shared" si="15"/>
        <v>624138.56858393748</v>
      </c>
      <c r="AC112">
        <f t="shared" si="21"/>
        <v>137581.00618769365</v>
      </c>
      <c r="AD112" s="5">
        <v>0.2</v>
      </c>
      <c r="AE112">
        <f t="shared" si="16"/>
        <v>27516.201237538731</v>
      </c>
      <c r="AF112">
        <f t="shared" si="17"/>
        <v>1</v>
      </c>
    </row>
    <row r="113" spans="1:32">
      <c r="A113" s="2">
        <v>112</v>
      </c>
      <c r="B113">
        <f t="shared" si="23"/>
        <v>5129.0491294951808</v>
      </c>
      <c r="C113" s="5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5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5">
        <v>0.3</v>
      </c>
      <c r="AB113">
        <f t="shared" si="15"/>
        <v>674069.65407065256</v>
      </c>
      <c r="AC113">
        <f t="shared" si="21"/>
        <v>145835.86655895528</v>
      </c>
      <c r="AD113" s="5">
        <v>0.2</v>
      </c>
      <c r="AE113">
        <f t="shared" si="16"/>
        <v>29167.173311791059</v>
      </c>
      <c r="AF113">
        <f t="shared" si="17"/>
        <v>1</v>
      </c>
    </row>
    <row r="114" spans="1:32">
      <c r="A114" s="2">
        <v>113</v>
      </c>
      <c r="B114">
        <f t="shared" si="23"/>
        <v>5539.3730598547954</v>
      </c>
      <c r="C114" s="5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5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5">
        <v>0.3</v>
      </c>
      <c r="AB114">
        <f t="shared" si="15"/>
        <v>727995.22639630479</v>
      </c>
      <c r="AC114">
        <f t="shared" si="21"/>
        <v>154586.01855249261</v>
      </c>
      <c r="AD114" s="5">
        <v>0.2</v>
      </c>
      <c r="AE114">
        <f t="shared" si="16"/>
        <v>30917.203710498521</v>
      </c>
      <c r="AF114">
        <f t="shared" si="17"/>
        <v>1</v>
      </c>
    </row>
    <row r="115" spans="1:32">
      <c r="A115" s="2">
        <v>114</v>
      </c>
      <c r="B115">
        <f t="shared" si="23"/>
        <v>5982.5229046431787</v>
      </c>
      <c r="C115" s="5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5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5">
        <v>0.3</v>
      </c>
      <c r="AB115">
        <f t="shared" si="15"/>
        <v>786234.84450800926</v>
      </c>
      <c r="AC115">
        <f t="shared" si="21"/>
        <v>163861.17966564218</v>
      </c>
      <c r="AD115" s="5">
        <v>0.2</v>
      </c>
      <c r="AE115">
        <f t="shared" si="16"/>
        <v>32772.235933128439</v>
      </c>
      <c r="AF115">
        <f t="shared" si="17"/>
        <v>1</v>
      </c>
    </row>
    <row r="116" spans="1:32">
      <c r="A116" s="2">
        <v>115</v>
      </c>
      <c r="B116">
        <f t="shared" si="23"/>
        <v>6461.124737014633</v>
      </c>
      <c r="C116" s="5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5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5">
        <v>0.3</v>
      </c>
      <c r="AB116">
        <f t="shared" si="15"/>
        <v>849133.6320686501</v>
      </c>
      <c r="AC116">
        <f t="shared" si="21"/>
        <v>173692.85044558073</v>
      </c>
      <c r="AD116" s="5">
        <v>0.2</v>
      </c>
      <c r="AE116">
        <f t="shared" si="16"/>
        <v>34738.570089116147</v>
      </c>
      <c r="AF116">
        <f t="shared" si="17"/>
        <v>1</v>
      </c>
    </row>
    <row r="117" spans="1:32">
      <c r="A117" s="2">
        <v>116</v>
      </c>
      <c r="B117">
        <f t="shared" si="23"/>
        <v>6978.0147159758035</v>
      </c>
      <c r="C117" s="5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5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5">
        <v>0.3</v>
      </c>
      <c r="AB117">
        <f t="shared" si="15"/>
        <v>917064.32263414201</v>
      </c>
      <c r="AC117">
        <f t="shared" si="21"/>
        <v>184114.42147231559</v>
      </c>
      <c r="AD117" s="5">
        <v>0.2</v>
      </c>
      <c r="AE117">
        <f t="shared" si="16"/>
        <v>36822.884294463118</v>
      </c>
      <c r="AF117">
        <f t="shared" si="17"/>
        <v>1</v>
      </c>
    </row>
    <row r="118" spans="1:32">
      <c r="A118" s="2">
        <v>117</v>
      </c>
      <c r="B118">
        <f t="shared" si="23"/>
        <v>7536.2558932538677</v>
      </c>
      <c r="C118" s="5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5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5">
        <v>0.3</v>
      </c>
      <c r="AB118">
        <f t="shared" si="15"/>
        <v>990429.46844487335</v>
      </c>
      <c r="AC118">
        <f t="shared" si="21"/>
        <v>195161.28676065453</v>
      </c>
      <c r="AD118" s="5">
        <v>0.2</v>
      </c>
      <c r="AE118">
        <f t="shared" si="16"/>
        <v>39032.25735213091</v>
      </c>
      <c r="AF118">
        <f t="shared" si="17"/>
        <v>1</v>
      </c>
    </row>
    <row r="119" spans="1:32">
      <c r="A119" s="2">
        <v>118</v>
      </c>
      <c r="B119">
        <f t="shared" si="23"/>
        <v>8139.1563647141775</v>
      </c>
      <c r="C119" s="5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5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5">
        <v>0.3</v>
      </c>
      <c r="AB119">
        <f t="shared" si="15"/>
        <v>1069663.8259204633</v>
      </c>
      <c r="AC119">
        <f t="shared" si="21"/>
        <v>206870.96396629381</v>
      </c>
      <c r="AD119" s="5">
        <v>0.2</v>
      </c>
      <c r="AE119">
        <f t="shared" si="16"/>
        <v>41374.192793258764</v>
      </c>
      <c r="AF119">
        <f t="shared" si="17"/>
        <v>1</v>
      </c>
    </row>
    <row r="120" spans="1:32">
      <c r="A120" s="2">
        <v>119</v>
      </c>
      <c r="B120">
        <f t="shared" si="23"/>
        <v>8790.2888738913116</v>
      </c>
      <c r="C120" s="5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5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5">
        <v>0.3</v>
      </c>
      <c r="AB120">
        <f t="shared" si="15"/>
        <v>1155236.9319941006</v>
      </c>
      <c r="AC120">
        <f t="shared" si="21"/>
        <v>219283.22180427145</v>
      </c>
      <c r="AD120" s="5">
        <v>0.2</v>
      </c>
      <c r="AE120">
        <f t="shared" si="16"/>
        <v>43856.64436085429</v>
      </c>
      <c r="AF120">
        <f t="shared" si="17"/>
        <v>1</v>
      </c>
    </row>
    <row r="121" spans="1:32">
      <c r="A121" s="2">
        <v>120</v>
      </c>
      <c r="B121">
        <f t="shared" si="23"/>
        <v>9493.5119838026167</v>
      </c>
      <c r="C121" s="5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5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5">
        <v>0.3</v>
      </c>
      <c r="AB121">
        <f t="shared" si="15"/>
        <v>1247655.8865536286</v>
      </c>
      <c r="AC121">
        <f t="shared" si="21"/>
        <v>232440.21511252775</v>
      </c>
      <c r="AD121" s="5">
        <v>0.2</v>
      </c>
      <c r="AE121">
        <f t="shared" si="16"/>
        <v>46488.043022505553</v>
      </c>
      <c r="AF121">
        <f t="shared" si="17"/>
        <v>1</v>
      </c>
    </row>
    <row r="122" spans="1:32">
      <c r="A122" s="2">
        <v>121</v>
      </c>
      <c r="B122">
        <f t="shared" si="23"/>
        <v>10252.992942506826</v>
      </c>
      <c r="C122" s="5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5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5">
        <v>0.3</v>
      </c>
      <c r="AB122">
        <f t="shared" si="15"/>
        <v>1347468.357477919</v>
      </c>
      <c r="AC122">
        <f t="shared" si="21"/>
        <v>246386.62801927942</v>
      </c>
      <c r="AD122" s="5">
        <v>0.2</v>
      </c>
      <c r="AE122">
        <f t="shared" si="16"/>
        <v>49277.32560385589</v>
      </c>
      <c r="AF122">
        <f t="shared" si="17"/>
        <v>1</v>
      </c>
    </row>
    <row r="123" spans="1:32">
      <c r="A123" s="2">
        <v>122</v>
      </c>
      <c r="B123">
        <f t="shared" si="23"/>
        <v>11073.232377907372</v>
      </c>
      <c r="C123" s="5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5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5">
        <v>0.3</v>
      </c>
      <c r="AB123">
        <f t="shared" si="15"/>
        <v>1455265.8260761525</v>
      </c>
      <c r="AC123">
        <f t="shared" si="21"/>
        <v>261169.82570043619</v>
      </c>
      <c r="AD123" s="5">
        <v>0.2</v>
      </c>
      <c r="AE123">
        <f t="shared" si="16"/>
        <v>52233.965140087239</v>
      </c>
      <c r="AF123">
        <f t="shared" si="17"/>
        <v>1</v>
      </c>
    </row>
    <row r="124" spans="1:32">
      <c r="A124" s="2">
        <v>123</v>
      </c>
      <c r="B124">
        <f t="shared" si="23"/>
        <v>11959.090968139963</v>
      </c>
      <c r="C124" s="5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5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5">
        <v>0.3</v>
      </c>
      <c r="AB124">
        <f t="shared" si="15"/>
        <v>1571687.0921622447</v>
      </c>
      <c r="AC124">
        <f t="shared" si="21"/>
        <v>276840.0152424624</v>
      </c>
      <c r="AD124" s="5">
        <v>0.2</v>
      </c>
      <c r="AE124">
        <f t="shared" si="16"/>
        <v>55368.003048492479</v>
      </c>
      <c r="AF124">
        <f t="shared" si="17"/>
        <v>1</v>
      </c>
    </row>
    <row r="125" spans="1:32">
      <c r="A125" s="2">
        <v>124</v>
      </c>
      <c r="B125">
        <f t="shared" si="23"/>
        <v>12915.818245591159</v>
      </c>
      <c r="C125" s="5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5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5">
        <v>0.3</v>
      </c>
      <c r="AB125">
        <f t="shared" si="15"/>
        <v>1697422.0595352245</v>
      </c>
      <c r="AC125">
        <f t="shared" si="21"/>
        <v>293450.41615701013</v>
      </c>
      <c r="AD125" s="5">
        <v>0.2</v>
      </c>
      <c r="AE125">
        <f t="shared" si="16"/>
        <v>58690.08323140203</v>
      </c>
      <c r="AF125">
        <f t="shared" si="17"/>
        <v>1</v>
      </c>
    </row>
    <row r="126" spans="1:32">
      <c r="A126" s="2">
        <v>125</v>
      </c>
      <c r="B126">
        <f t="shared" si="23"/>
        <v>13949.083705238452</v>
      </c>
      <c r="C126" s="5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5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5">
        <v>0.3</v>
      </c>
      <c r="AB126">
        <f t="shared" si="15"/>
        <v>1833215.8242980426</v>
      </c>
      <c r="AC126">
        <f t="shared" si="21"/>
        <v>311057.44112643076</v>
      </c>
      <c r="AD126" s="5">
        <v>0.2</v>
      </c>
      <c r="AE126">
        <f t="shared" si="16"/>
        <v>62211.488225286157</v>
      </c>
      <c r="AF126">
        <f t="shared" si="17"/>
        <v>1</v>
      </c>
    </row>
    <row r="127" spans="1:32">
      <c r="A127" s="2">
        <v>126</v>
      </c>
      <c r="B127">
        <f t="shared" si="23"/>
        <v>15065.010401657528</v>
      </c>
      <c r="C127" s="5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5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5">
        <v>0.3</v>
      </c>
      <c r="AB127">
        <f t="shared" si="15"/>
        <v>1979873.0902418864</v>
      </c>
      <c r="AC127">
        <f t="shared" si="21"/>
        <v>329720.88759401662</v>
      </c>
      <c r="AD127" s="5">
        <v>0.2</v>
      </c>
      <c r="AE127">
        <f t="shared" si="16"/>
        <v>65944.177518803321</v>
      </c>
      <c r="AF127">
        <f t="shared" si="17"/>
        <v>1</v>
      </c>
    </row>
    <row r="128" spans="1:32">
      <c r="A128" s="2">
        <v>127</v>
      </c>
      <c r="B128">
        <f t="shared" si="23"/>
        <v>16270.211233790131</v>
      </c>
      <c r="C128" s="5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5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5">
        <v>0.3</v>
      </c>
      <c r="AB128">
        <f t="shared" si="15"/>
        <v>2138262.9374612374</v>
      </c>
      <c r="AC128">
        <f t="shared" si="21"/>
        <v>349504.14084965765</v>
      </c>
      <c r="AD128" s="5">
        <v>0.2</v>
      </c>
      <c r="AE128">
        <f t="shared" si="16"/>
        <v>69900.828169931527</v>
      </c>
      <c r="AF128">
        <f t="shared" si="17"/>
        <v>1</v>
      </c>
    </row>
    <row r="129" spans="1:32">
      <c r="A129" s="2">
        <v>128</v>
      </c>
      <c r="B129">
        <f t="shared" si="23"/>
        <v>17571.828132493341</v>
      </c>
      <c r="C129" s="5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5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5">
        <v>0.3</v>
      </c>
      <c r="AB129">
        <f t="shared" si="15"/>
        <v>2309323.9724581367</v>
      </c>
      <c r="AC129">
        <f t="shared" si="21"/>
        <v>370474.38930063712</v>
      </c>
      <c r="AD129" s="5">
        <v>0.2</v>
      </c>
      <c r="AE129">
        <f t="shared" si="16"/>
        <v>74094.877860127424</v>
      </c>
      <c r="AF129">
        <f t="shared" si="17"/>
        <v>1</v>
      </c>
    </row>
    <row r="130" spans="1:32">
      <c r="A130" s="2">
        <v>129</v>
      </c>
      <c r="B130">
        <f t="shared" si="23"/>
        <v>18977.574383092808</v>
      </c>
      <c r="C130" s="5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5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5">
        <v>0.3</v>
      </c>
      <c r="AB130">
        <f t="shared" si="15"/>
        <v>2494069.8902547881</v>
      </c>
      <c r="AC130">
        <f t="shared" si="21"/>
        <v>392702.85265867534</v>
      </c>
      <c r="AD130" s="5">
        <v>0.2</v>
      </c>
      <c r="AE130">
        <f t="shared" si="16"/>
        <v>78540.570531735066</v>
      </c>
      <c r="AF130">
        <f t="shared" si="17"/>
        <v>1</v>
      </c>
    </row>
    <row r="131" spans="1:32">
      <c r="A131" s="2">
        <v>130</v>
      </c>
      <c r="B131">
        <f t="shared" si="23"/>
        <v>20495.780333740233</v>
      </c>
      <c r="C131" s="5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5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5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5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>
      <c r="A132" s="2">
        <v>131</v>
      </c>
      <c r="B132">
        <f t="shared" si="23"/>
        <v>22135.442760439451</v>
      </c>
      <c r="C132" s="5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5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5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5">
        <v>0.2</v>
      </c>
      <c r="AE132">
        <f t="shared" si="30"/>
        <v>88248.185049457534</v>
      </c>
      <c r="AF132">
        <f t="shared" si="31"/>
        <v>1</v>
      </c>
    </row>
    <row r="133" spans="1:32">
      <c r="A133" s="2">
        <v>132</v>
      </c>
      <c r="B133">
        <f t="shared" si="23"/>
        <v>23906.278181274607</v>
      </c>
      <c r="C133" s="5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5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5">
        <v>0.3</v>
      </c>
      <c r="AB133">
        <f t="shared" si="29"/>
        <v>3141809.76959264</v>
      </c>
      <c r="AC133">
        <f t="shared" si="32"/>
        <v>467715.3807621249</v>
      </c>
      <c r="AD133" s="5">
        <v>0.2</v>
      </c>
      <c r="AE133">
        <f t="shared" si="30"/>
        <v>93543.076152424983</v>
      </c>
      <c r="AF133">
        <f t="shared" si="31"/>
        <v>1</v>
      </c>
    </row>
    <row r="134" spans="1:32">
      <c r="A134" s="2">
        <v>133</v>
      </c>
      <c r="B134">
        <f t="shared" si="23"/>
        <v>25818.780435776574</v>
      </c>
      <c r="C134" s="5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5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5">
        <v>0.3</v>
      </c>
      <c r="AB134">
        <f t="shared" si="29"/>
        <v>3393154.551160051</v>
      </c>
      <c r="AC134">
        <f t="shared" si="32"/>
        <v>495778.30360785243</v>
      </c>
      <c r="AD134" s="5">
        <v>0.2</v>
      </c>
      <c r="AE134">
        <f t="shared" si="30"/>
        <v>99155.660721570486</v>
      </c>
      <c r="AF134">
        <f t="shared" si="31"/>
        <v>1</v>
      </c>
    </row>
    <row r="135" spans="1:32">
      <c r="A135" s="2">
        <v>134</v>
      </c>
      <c r="B135">
        <f t="shared" si="23"/>
        <v>27884.282870638701</v>
      </c>
      <c r="C135" s="5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5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5">
        <v>0.3</v>
      </c>
      <c r="AB135">
        <f t="shared" si="29"/>
        <v>3664606.9152528555</v>
      </c>
      <c r="AC135">
        <f t="shared" si="32"/>
        <v>525525.00182432355</v>
      </c>
      <c r="AD135" s="5">
        <v>0.2</v>
      </c>
      <c r="AE135">
        <f t="shared" si="30"/>
        <v>105105.00036486471</v>
      </c>
      <c r="AF135">
        <f t="shared" si="31"/>
        <v>1</v>
      </c>
    </row>
    <row r="136" spans="1:32">
      <c r="A136" s="2">
        <v>135</v>
      </c>
      <c r="B136">
        <f t="shared" si="23"/>
        <v>30115.025500289797</v>
      </c>
      <c r="C136" s="5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5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5">
        <v>0.3</v>
      </c>
      <c r="AB136">
        <f t="shared" si="29"/>
        <v>3957775.4684730838</v>
      </c>
      <c r="AC136">
        <f t="shared" si="32"/>
        <v>557056.50193378294</v>
      </c>
      <c r="AD136" s="5">
        <v>0.2</v>
      </c>
      <c r="AE136">
        <f t="shared" si="30"/>
        <v>111411.3003867566</v>
      </c>
      <c r="AF136">
        <f t="shared" si="31"/>
        <v>1</v>
      </c>
    </row>
    <row r="137" spans="1:32">
      <c r="A137" s="2">
        <v>136</v>
      </c>
      <c r="B137">
        <f t="shared" si="23"/>
        <v>32524.227540312982</v>
      </c>
      <c r="C137" s="5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5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5">
        <v>0.3</v>
      </c>
      <c r="AB137">
        <f t="shared" si="29"/>
        <v>4274397.5059509315</v>
      </c>
      <c r="AC137">
        <f t="shared" si="32"/>
        <v>590479.89204980992</v>
      </c>
      <c r="AD137" s="5">
        <v>0.2</v>
      </c>
      <c r="AE137">
        <f t="shared" si="30"/>
        <v>118095.97840996199</v>
      </c>
      <c r="AF137">
        <f t="shared" si="31"/>
        <v>1</v>
      </c>
    </row>
    <row r="138" spans="1:32">
      <c r="A138" s="2">
        <v>137</v>
      </c>
      <c r="B138">
        <f t="shared" si="23"/>
        <v>35126.165743538018</v>
      </c>
      <c r="C138" s="5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5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5">
        <v>0.3</v>
      </c>
      <c r="AB138">
        <f t="shared" si="29"/>
        <v>4616349.3064270066</v>
      </c>
      <c r="AC138">
        <f t="shared" si="32"/>
        <v>625908.6855727986</v>
      </c>
      <c r="AD138" s="5">
        <v>0.2</v>
      </c>
      <c r="AE138">
        <f t="shared" si="30"/>
        <v>125181.73711455973</v>
      </c>
      <c r="AF138">
        <f t="shared" si="31"/>
        <v>1</v>
      </c>
    </row>
    <row r="139" spans="1:32">
      <c r="A139" s="2">
        <v>138</v>
      </c>
      <c r="B139">
        <f t="shared" si="23"/>
        <v>37936.259003021063</v>
      </c>
      <c r="C139" s="5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5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5">
        <v>0.3</v>
      </c>
      <c r="AB139">
        <f t="shared" si="29"/>
        <v>4985657.2509411667</v>
      </c>
      <c r="AC139">
        <f t="shared" si="32"/>
        <v>663463.20670716651</v>
      </c>
      <c r="AD139" s="5">
        <v>0.2</v>
      </c>
      <c r="AE139">
        <f t="shared" si="30"/>
        <v>132692.64134143331</v>
      </c>
      <c r="AF139">
        <f t="shared" si="31"/>
        <v>1</v>
      </c>
    </row>
    <row r="140" spans="1:32">
      <c r="A140" s="2">
        <v>139</v>
      </c>
      <c r="B140">
        <f t="shared" si="23"/>
        <v>40971.159723262746</v>
      </c>
      <c r="C140" s="5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5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5">
        <v>0.3</v>
      </c>
      <c r="AB140">
        <f t="shared" si="29"/>
        <v>5384509.8310164604</v>
      </c>
      <c r="AC140">
        <f t="shared" si="32"/>
        <v>703270.99910959648</v>
      </c>
      <c r="AD140" s="5">
        <v>0.2</v>
      </c>
      <c r="AE140">
        <f t="shared" si="30"/>
        <v>140654.19982191929</v>
      </c>
      <c r="AF140">
        <f t="shared" si="31"/>
        <v>1</v>
      </c>
    </row>
    <row r="141" spans="1:32">
      <c r="A141" s="2">
        <v>140</v>
      </c>
      <c r="B141">
        <f t="shared" si="23"/>
        <v>44248.852501123765</v>
      </c>
      <c r="C141" s="5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5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5">
        <v>0.3</v>
      </c>
      <c r="AB141">
        <f t="shared" si="29"/>
        <v>5815270.6174977776</v>
      </c>
      <c r="AC141">
        <f t="shared" si="32"/>
        <v>745467.25905617233</v>
      </c>
      <c r="AD141" s="5">
        <v>0.2</v>
      </c>
      <c r="AE141">
        <f t="shared" si="30"/>
        <v>149093.45181123447</v>
      </c>
      <c r="AF141">
        <f t="shared" si="31"/>
        <v>1</v>
      </c>
    </row>
    <row r="142" spans="1:32">
      <c r="A142" s="2">
        <v>141</v>
      </c>
      <c r="B142">
        <f t="shared" si="23"/>
        <v>47788.760701213665</v>
      </c>
      <c r="C142" s="5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5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5">
        <v>0.3</v>
      </c>
      <c r="AB142">
        <f t="shared" si="29"/>
        <v>6280492.2668976001</v>
      </c>
      <c r="AC142">
        <f t="shared" si="32"/>
        <v>790195.29459954274</v>
      </c>
      <c r="AD142" s="5">
        <v>0.2</v>
      </c>
      <c r="AE142">
        <f t="shared" si="30"/>
        <v>158039.05891990857</v>
      </c>
      <c r="AF142">
        <f t="shared" si="31"/>
        <v>1</v>
      </c>
    </row>
    <row r="143" spans="1:32">
      <c r="A143" s="2">
        <v>142</v>
      </c>
      <c r="B143">
        <f t="shared" si="23"/>
        <v>51611.86155731076</v>
      </c>
      <c r="C143" s="5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5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5">
        <v>0.3</v>
      </c>
      <c r="AB143">
        <f t="shared" si="29"/>
        <v>6782931.6482494092</v>
      </c>
      <c r="AC143">
        <f t="shared" si="32"/>
        <v>837607.01227551536</v>
      </c>
      <c r="AD143" s="5">
        <v>0.2</v>
      </c>
      <c r="AE143">
        <f t="shared" si="30"/>
        <v>167521.40245510309</v>
      </c>
      <c r="AF143">
        <f t="shared" si="31"/>
        <v>1</v>
      </c>
    </row>
    <row r="144" spans="1:32">
      <c r="A144" s="2">
        <v>143</v>
      </c>
      <c r="B144">
        <f t="shared" si="23"/>
        <v>55740.81048189562</v>
      </c>
      <c r="C144" s="5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5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5">
        <v>0.3</v>
      </c>
      <c r="AB144">
        <f t="shared" si="29"/>
        <v>7325566.1801093621</v>
      </c>
      <c r="AC144">
        <f t="shared" si="32"/>
        <v>887863.43301204627</v>
      </c>
      <c r="AD144" s="5">
        <v>0.2</v>
      </c>
      <c r="AE144">
        <f t="shared" si="30"/>
        <v>177572.68660240926</v>
      </c>
      <c r="AF144">
        <f t="shared" si="31"/>
        <v>1</v>
      </c>
    </row>
    <row r="145" spans="1:32">
      <c r="A145" s="2">
        <v>144</v>
      </c>
      <c r="B145">
        <f t="shared" si="23"/>
        <v>60200.075320447271</v>
      </c>
      <c r="C145" s="5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5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5">
        <v>0.3</v>
      </c>
      <c r="AB145">
        <f t="shared" si="29"/>
        <v>7911611.4745181119</v>
      </c>
      <c r="AC145">
        <f t="shared" si="32"/>
        <v>941135.23899276904</v>
      </c>
      <c r="AD145" s="5">
        <v>0.2</v>
      </c>
      <c r="AE145">
        <f t="shared" si="30"/>
        <v>188227.04779855383</v>
      </c>
      <c r="AF145">
        <f t="shared" si="31"/>
        <v>1</v>
      </c>
    </row>
    <row r="146" spans="1:32">
      <c r="A146" s="2">
        <v>145</v>
      </c>
      <c r="B146">
        <f t="shared" si="23"/>
        <v>65016.081346083054</v>
      </c>
      <c r="C146" s="5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5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5">
        <v>0.3</v>
      </c>
      <c r="AB146">
        <f t="shared" si="29"/>
        <v>8544540.3924795613</v>
      </c>
      <c r="AC146">
        <f t="shared" si="32"/>
        <v>997603.35333233525</v>
      </c>
      <c r="AD146" s="5">
        <v>0.2</v>
      </c>
      <c r="AE146">
        <f t="shared" si="30"/>
        <v>199520.67066646705</v>
      </c>
      <c r="AF146">
        <f t="shared" si="31"/>
        <v>1</v>
      </c>
    </row>
    <row r="147" spans="1:32">
      <c r="A147" s="2">
        <v>146</v>
      </c>
      <c r="B147">
        <f t="shared" si="23"/>
        <v>70217.367853769698</v>
      </c>
      <c r="C147" s="5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5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5">
        <v>0.3</v>
      </c>
      <c r="AB147">
        <f t="shared" si="29"/>
        <v>9228103.6238779277</v>
      </c>
      <c r="AC147">
        <f t="shared" si="32"/>
        <v>1057459.5545322753</v>
      </c>
      <c r="AD147" s="5">
        <v>0.2</v>
      </c>
      <c r="AE147">
        <f t="shared" si="30"/>
        <v>211491.91090645507</v>
      </c>
      <c r="AF147">
        <f t="shared" si="31"/>
        <v>1</v>
      </c>
    </row>
    <row r="148" spans="1:32">
      <c r="A148" s="2">
        <v>147</v>
      </c>
      <c r="B148">
        <f t="shared" si="23"/>
        <v>75834.757282071281</v>
      </c>
      <c r="C148" s="5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5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5">
        <v>0.3</v>
      </c>
      <c r="AB148">
        <f t="shared" si="29"/>
        <v>9966351.9137881622</v>
      </c>
      <c r="AC148">
        <f t="shared" si="32"/>
        <v>1120907.1278042118</v>
      </c>
      <c r="AD148" s="5">
        <v>0.2</v>
      </c>
      <c r="AE148">
        <f t="shared" si="30"/>
        <v>224181.42556084238</v>
      </c>
      <c r="AF148">
        <f t="shared" si="31"/>
        <v>1</v>
      </c>
    </row>
    <row r="149" spans="1:32">
      <c r="A149" s="2">
        <v>148</v>
      </c>
      <c r="B149">
        <f t="shared" si="23"/>
        <v>81901.537864636979</v>
      </c>
      <c r="C149" s="5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5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5">
        <v>0.3</v>
      </c>
      <c r="AB149">
        <f t="shared" si="29"/>
        <v>10763660.066891216</v>
      </c>
      <c r="AC149">
        <f t="shared" si="32"/>
        <v>1188161.5554724645</v>
      </c>
      <c r="AD149" s="5">
        <v>0.2</v>
      </c>
      <c r="AE149">
        <f t="shared" si="30"/>
        <v>237632.31109449291</v>
      </c>
      <c r="AF149">
        <f t="shared" si="31"/>
        <v>1</v>
      </c>
    </row>
    <row r="150" spans="1:32">
      <c r="A150" s="2">
        <v>149</v>
      </c>
      <c r="B150">
        <f t="shared" si="23"/>
        <v>88453.660893807944</v>
      </c>
      <c r="C150" s="5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5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5">
        <v>0.3</v>
      </c>
      <c r="AB150">
        <f t="shared" si="29"/>
        <v>11624752.872242514</v>
      </c>
      <c r="AC150">
        <f t="shared" si="32"/>
        <v>1259451.2488008125</v>
      </c>
      <c r="AD150" s="5">
        <v>0.2</v>
      </c>
      <c r="AE150">
        <f t="shared" si="30"/>
        <v>251890.24976016252</v>
      </c>
      <c r="AF150">
        <f t="shared" si="31"/>
        <v>1</v>
      </c>
    </row>
    <row r="151" spans="1:32">
      <c r="A151" s="2">
        <v>150</v>
      </c>
      <c r="B151">
        <f t="shared" si="23"/>
        <v>95529.953765312574</v>
      </c>
      <c r="C151" s="5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5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5">
        <v>0.3</v>
      </c>
      <c r="AB151">
        <f t="shared" si="29"/>
        <v>12554733.102021914</v>
      </c>
      <c r="AC151">
        <f t="shared" si="32"/>
        <v>1335018.3237288613</v>
      </c>
      <c r="AD151" s="5">
        <v>0.2</v>
      </c>
      <c r="AE151">
        <f t="shared" si="30"/>
        <v>267003.66474577226</v>
      </c>
      <c r="AF151">
        <f t="shared" si="31"/>
        <v>1</v>
      </c>
    </row>
    <row r="152" spans="1:32">
      <c r="A152" s="2">
        <v>151</v>
      </c>
      <c r="B152">
        <f t="shared" si="23"/>
        <v>103172.35006653758</v>
      </c>
      <c r="C152" s="5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5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5">
        <v>0.3</v>
      </c>
      <c r="AB152">
        <f t="shared" si="29"/>
        <v>13559111.75018367</v>
      </c>
      <c r="AC152">
        <f t="shared" si="32"/>
        <v>1415119.423152593</v>
      </c>
      <c r="AD152" s="5">
        <v>0.2</v>
      </c>
      <c r="AE152">
        <f t="shared" si="30"/>
        <v>283023.88463051862</v>
      </c>
      <c r="AF152">
        <f t="shared" si="31"/>
        <v>1</v>
      </c>
    </row>
    <row r="153" spans="1:32">
      <c r="A153" s="2">
        <v>152</v>
      </c>
      <c r="B153">
        <f t="shared" si="23"/>
        <v>111426.13807186058</v>
      </c>
      <c r="C153" s="5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5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5">
        <v>0.3</v>
      </c>
      <c r="AB153">
        <f t="shared" si="29"/>
        <v>14643840.690198364</v>
      </c>
      <c r="AC153">
        <f t="shared" si="32"/>
        <v>1500026.5885417487</v>
      </c>
      <c r="AD153" s="5">
        <v>0.2</v>
      </c>
      <c r="AE153">
        <f t="shared" si="30"/>
        <v>300005.31770834973</v>
      </c>
      <c r="AF153">
        <f t="shared" si="31"/>
        <v>1</v>
      </c>
    </row>
    <row r="154" spans="1:32">
      <c r="A154" s="2">
        <v>153</v>
      </c>
      <c r="B154">
        <f t="shared" si="23"/>
        <v>120340.22911760943</v>
      </c>
      <c r="C154" s="5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5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5">
        <v>0.3</v>
      </c>
      <c r="AB154">
        <f t="shared" si="29"/>
        <v>15815347.945414236</v>
      </c>
      <c r="AC154">
        <f t="shared" si="32"/>
        <v>1590028.1838542537</v>
      </c>
      <c r="AD154" s="5">
        <v>0.2</v>
      </c>
      <c r="AE154">
        <f t="shared" si="30"/>
        <v>318005.63677085075</v>
      </c>
      <c r="AF154">
        <f t="shared" si="31"/>
        <v>1</v>
      </c>
    </row>
    <row r="155" spans="1:32">
      <c r="A155" s="2">
        <v>154</v>
      </c>
      <c r="B155">
        <f t="shared" si="23"/>
        <v>129967.44744701819</v>
      </c>
      <c r="C155" s="5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5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5">
        <v>0.3</v>
      </c>
      <c r="AB155">
        <f t="shared" si="29"/>
        <v>17080575.781047378</v>
      </c>
      <c r="AC155">
        <f t="shared" si="32"/>
        <v>1685429.874885509</v>
      </c>
      <c r="AD155" s="5">
        <v>0.2</v>
      </c>
      <c r="AE155">
        <f t="shared" si="30"/>
        <v>337085.97497710184</v>
      </c>
      <c r="AF155">
        <f t="shared" si="31"/>
        <v>1</v>
      </c>
    </row>
    <row r="156" spans="1:32">
      <c r="A156" s="2">
        <v>155</v>
      </c>
      <c r="B156">
        <f t="shared" si="23"/>
        <v>140364.84324277964</v>
      </c>
      <c r="C156" s="5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5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5">
        <v>0.3</v>
      </c>
      <c r="AB156">
        <f t="shared" si="29"/>
        <v>18447021.843531165</v>
      </c>
      <c r="AC156">
        <f t="shared" si="32"/>
        <v>1786555.6673786396</v>
      </c>
      <c r="AD156" s="5">
        <v>0.2</v>
      </c>
      <c r="AE156">
        <f t="shared" si="30"/>
        <v>357311.13347572793</v>
      </c>
      <c r="AF156">
        <f t="shared" si="31"/>
        <v>1</v>
      </c>
    </row>
    <row r="157" spans="1:32">
      <c r="A157" s="2">
        <v>156</v>
      </c>
      <c r="B157">
        <f t="shared" si="23"/>
        <v>151594.030702202</v>
      </c>
      <c r="C157" s="5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5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5">
        <v>0.3</v>
      </c>
      <c r="AB157">
        <f t="shared" si="29"/>
        <v>19922783.591013659</v>
      </c>
      <c r="AC157">
        <f t="shared" si="32"/>
        <v>1893749.007421358</v>
      </c>
      <c r="AD157" s="5">
        <v>0.2</v>
      </c>
      <c r="AE157">
        <f t="shared" si="30"/>
        <v>378749.80148427165</v>
      </c>
      <c r="AF157">
        <f t="shared" si="31"/>
        <v>1</v>
      </c>
    </row>
    <row r="158" spans="1:32">
      <c r="A158" s="2">
        <v>157</v>
      </c>
      <c r="B158">
        <f t="shared" si="23"/>
        <v>163721.55315837817</v>
      </c>
      <c r="C158" s="5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5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5">
        <v>0.3</v>
      </c>
      <c r="AB158">
        <f t="shared" si="29"/>
        <v>21516606.278294753</v>
      </c>
      <c r="AC158">
        <f t="shared" si="32"/>
        <v>2007373.9478666396</v>
      </c>
      <c r="AD158" s="5">
        <v>0.2</v>
      </c>
      <c r="AE158">
        <f t="shared" si="30"/>
        <v>401474.78957332793</v>
      </c>
      <c r="AF158">
        <f t="shared" si="31"/>
        <v>1</v>
      </c>
    </row>
    <row r="159" spans="1:32">
      <c r="A159" s="2">
        <v>158</v>
      </c>
      <c r="B159">
        <f t="shared" si="23"/>
        <v>176819.27741104842</v>
      </c>
      <c r="C159" s="5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5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5">
        <v>0.3</v>
      </c>
      <c r="AB159">
        <f t="shared" si="29"/>
        <v>23237934.780558337</v>
      </c>
      <c r="AC159">
        <f t="shared" si="32"/>
        <v>2127816.3847386381</v>
      </c>
      <c r="AD159" s="5">
        <v>0.2</v>
      </c>
      <c r="AE159">
        <f t="shared" si="30"/>
        <v>425563.27694772766</v>
      </c>
      <c r="AF159">
        <f t="shared" si="31"/>
        <v>1</v>
      </c>
    </row>
    <row r="160" spans="1:32">
      <c r="A160" s="2">
        <v>159</v>
      </c>
      <c r="B160">
        <f t="shared" si="23"/>
        <v>190964.81960393229</v>
      </c>
      <c r="C160" s="5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5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5">
        <v>0.3</v>
      </c>
      <c r="AB160">
        <f t="shared" si="29"/>
        <v>25096969.563003004</v>
      </c>
      <c r="AC160">
        <f t="shared" si="32"/>
        <v>2255485.3678229563</v>
      </c>
      <c r="AD160" s="5">
        <v>0.2</v>
      </c>
      <c r="AE160">
        <f t="shared" si="30"/>
        <v>451097.07356459129</v>
      </c>
      <c r="AF160">
        <f t="shared" si="31"/>
        <v>1</v>
      </c>
    </row>
    <row r="161" spans="1:32">
      <c r="A161" s="2">
        <v>160</v>
      </c>
      <c r="B161">
        <f t="shared" si="23"/>
        <v>206242.00517224689</v>
      </c>
      <c r="C161" s="5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5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5">
        <v>0.3</v>
      </c>
      <c r="AB161">
        <f t="shared" si="29"/>
        <v>27104727.128043246</v>
      </c>
      <c r="AC161">
        <f t="shared" si="32"/>
        <v>2390814.4898923337</v>
      </c>
      <c r="AD161" s="5">
        <v>0.2</v>
      </c>
      <c r="AE161">
        <f t="shared" si="30"/>
        <v>478162.89797846676</v>
      </c>
      <c r="AF161">
        <f t="shared" si="31"/>
        <v>1</v>
      </c>
    </row>
    <row r="162" spans="1:32">
      <c r="A162" s="2">
        <v>161</v>
      </c>
      <c r="B162">
        <f t="shared" si="23"/>
        <v>222741.36558602663</v>
      </c>
      <c r="C162" s="5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5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5">
        <v>0.3</v>
      </c>
      <c r="AB162">
        <f t="shared" si="29"/>
        <v>29273105.29828671</v>
      </c>
      <c r="AC162">
        <f t="shared" si="32"/>
        <v>2534263.3592858738</v>
      </c>
      <c r="AD162" s="5">
        <v>0.2</v>
      </c>
      <c r="AE162">
        <f t="shared" si="30"/>
        <v>506852.67185717478</v>
      </c>
      <c r="AF162">
        <f t="shared" si="31"/>
        <v>1</v>
      </c>
    </row>
    <row r="163" spans="1:32">
      <c r="A163" s="2">
        <v>162</v>
      </c>
      <c r="B163">
        <f t="shared" si="23"/>
        <v>240560.67483290876</v>
      </c>
      <c r="C163" s="5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5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5">
        <v>0.3</v>
      </c>
      <c r="AB163">
        <f t="shared" si="29"/>
        <v>31614953.722149651</v>
      </c>
      <c r="AC163">
        <f t="shared" si="32"/>
        <v>2686319.1608430264</v>
      </c>
      <c r="AD163" s="5">
        <v>0.2</v>
      </c>
      <c r="AE163">
        <f t="shared" si="30"/>
        <v>537263.8321686053</v>
      </c>
      <c r="AF163">
        <f t="shared" si="31"/>
        <v>1</v>
      </c>
    </row>
    <row r="164" spans="1:32">
      <c r="A164" s="2">
        <v>163</v>
      </c>
      <c r="B164">
        <f t="shared" si="23"/>
        <v>259805.52881954145</v>
      </c>
      <c r="C164" s="5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5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5">
        <v>0.3</v>
      </c>
      <c r="AB164">
        <f t="shared" si="29"/>
        <v>34144150.019921623</v>
      </c>
      <c r="AC164">
        <f t="shared" si="32"/>
        <v>2847498.310493608</v>
      </c>
      <c r="AD164" s="5">
        <v>0.2</v>
      </c>
      <c r="AE164">
        <f t="shared" si="30"/>
        <v>569499.6620987216</v>
      </c>
      <c r="AF164">
        <f t="shared" si="31"/>
        <v>1</v>
      </c>
    </row>
    <row r="165" spans="1:32">
      <c r="A165" s="2">
        <v>164</v>
      </c>
      <c r="B165">
        <f t="shared" si="23"/>
        <v>280589.97112510476</v>
      </c>
      <c r="C165" s="5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5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5">
        <v>0.3</v>
      </c>
      <c r="AB165">
        <f t="shared" si="29"/>
        <v>36875682.021515362</v>
      </c>
      <c r="AC165">
        <f t="shared" si="32"/>
        <v>3018348.2091232245</v>
      </c>
      <c r="AD165" s="5">
        <v>0.2</v>
      </c>
      <c r="AE165">
        <f t="shared" si="30"/>
        <v>603669.64182464487</v>
      </c>
      <c r="AF165">
        <f t="shared" si="31"/>
        <v>1</v>
      </c>
    </row>
    <row r="166" spans="1:32">
      <c r="A166" s="2">
        <v>165</v>
      </c>
      <c r="B166">
        <f t="shared" ref="B166:B200" si="34">B165+B165*C165</f>
        <v>303037.16881511314</v>
      </c>
      <c r="C166" s="5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5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5">
        <v>0.3</v>
      </c>
      <c r="AB166">
        <f t="shared" si="29"/>
        <v>39825736.58323659</v>
      </c>
      <c r="AC166">
        <f t="shared" si="32"/>
        <v>3199449.1016706182</v>
      </c>
      <c r="AD166" s="5">
        <v>0.2</v>
      </c>
      <c r="AE166">
        <f t="shared" si="30"/>
        <v>639889.82033412368</v>
      </c>
      <c r="AF166">
        <f t="shared" si="31"/>
        <v>1</v>
      </c>
    </row>
    <row r="167" spans="1:32">
      <c r="A167" s="2">
        <v>166</v>
      </c>
      <c r="B167">
        <f t="shared" si="34"/>
        <v>327280.14232032216</v>
      </c>
      <c r="C167" s="5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5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5">
        <v>0.3</v>
      </c>
      <c r="AB167">
        <f t="shared" si="29"/>
        <v>43011795.509895518</v>
      </c>
      <c r="AC167">
        <f t="shared" si="32"/>
        <v>3391416.0477708555</v>
      </c>
      <c r="AD167" s="5">
        <v>0.2</v>
      </c>
      <c r="AE167">
        <f t="shared" si="30"/>
        <v>678283.20955417119</v>
      </c>
      <c r="AF167">
        <f t="shared" si="31"/>
        <v>1</v>
      </c>
    </row>
    <row r="168" spans="1:32">
      <c r="A168" s="2">
        <v>167</v>
      </c>
      <c r="B168">
        <f t="shared" si="34"/>
        <v>353462.55370594794</v>
      </c>
      <c r="C168" s="5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5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5">
        <v>0.3</v>
      </c>
      <c r="AB168">
        <f t="shared" si="29"/>
        <v>46452739.150687158</v>
      </c>
      <c r="AC168">
        <f t="shared" si="32"/>
        <v>3594901.0106371068</v>
      </c>
      <c r="AD168" s="5">
        <v>0.2</v>
      </c>
      <c r="AE168">
        <f t="shared" si="30"/>
        <v>718980.20212742139</v>
      </c>
      <c r="AF168">
        <f t="shared" si="31"/>
        <v>1</v>
      </c>
    </row>
    <row r="169" spans="1:32">
      <c r="A169" s="2">
        <v>168</v>
      </c>
      <c r="B169">
        <f t="shared" si="34"/>
        <v>381739.55800242379</v>
      </c>
      <c r="C169" s="5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5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5">
        <v>0.3</v>
      </c>
      <c r="AB169">
        <f t="shared" si="29"/>
        <v>50168958.282742135</v>
      </c>
      <c r="AC169">
        <f t="shared" si="32"/>
        <v>3810595.0712753334</v>
      </c>
      <c r="AD169" s="5">
        <v>0.2</v>
      </c>
      <c r="AE169">
        <f t="shared" si="30"/>
        <v>762119.01425506675</v>
      </c>
      <c r="AF169">
        <f t="shared" si="31"/>
        <v>1</v>
      </c>
    </row>
    <row r="170" spans="1:32">
      <c r="A170" s="2">
        <v>169</v>
      </c>
      <c r="B170">
        <f t="shared" si="34"/>
        <v>412278.72264261771</v>
      </c>
      <c r="C170" s="5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5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5">
        <v>0.3</v>
      </c>
      <c r="AB170">
        <f t="shared" si="29"/>
        <v>54182474.94536151</v>
      </c>
      <c r="AC170">
        <f t="shared" si="32"/>
        <v>4039230.7755518537</v>
      </c>
      <c r="AD170" s="5">
        <v>0.2</v>
      </c>
      <c r="AE170">
        <f t="shared" si="30"/>
        <v>807846.15511037083</v>
      </c>
      <c r="AF170">
        <f t="shared" si="31"/>
        <v>1</v>
      </c>
    </row>
    <row r="171" spans="1:32">
      <c r="A171" s="2">
        <v>170</v>
      </c>
      <c r="B171">
        <f t="shared" si="34"/>
        <v>445261.02045402711</v>
      </c>
      <c r="C171" s="5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5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5">
        <v>0.3</v>
      </c>
      <c r="AB171">
        <f t="shared" si="29"/>
        <v>58517072.940990433</v>
      </c>
      <c r="AC171">
        <f t="shared" si="32"/>
        <v>4281584.622084965</v>
      </c>
      <c r="AD171" s="5">
        <v>0.2</v>
      </c>
      <c r="AE171">
        <f t="shared" si="30"/>
        <v>856316.92441699305</v>
      </c>
      <c r="AF171">
        <f t="shared" si="31"/>
        <v>1</v>
      </c>
    </row>
    <row r="172" spans="1:32">
      <c r="A172" s="2">
        <v>171</v>
      </c>
      <c r="B172">
        <f t="shared" si="34"/>
        <v>480881.90209034929</v>
      </c>
      <c r="C172" s="5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5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5">
        <v>0.3</v>
      </c>
      <c r="AB172">
        <f t="shared" si="29"/>
        <v>63198438.776269667</v>
      </c>
      <c r="AC172">
        <f t="shared" si="32"/>
        <v>4538479.6994100632</v>
      </c>
      <c r="AD172" s="5">
        <v>0.2</v>
      </c>
      <c r="AE172">
        <f t="shared" si="30"/>
        <v>907695.93988201267</v>
      </c>
      <c r="AF172">
        <f t="shared" si="31"/>
        <v>1</v>
      </c>
    </row>
    <row r="173" spans="1:32">
      <c r="A173" s="2">
        <v>172</v>
      </c>
      <c r="B173">
        <f t="shared" si="34"/>
        <v>519352.45425757725</v>
      </c>
      <c r="C173" s="5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5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5">
        <v>0.3</v>
      </c>
      <c r="AB173">
        <f t="shared" si="29"/>
        <v>68254313.878371254</v>
      </c>
      <c r="AC173">
        <f t="shared" si="32"/>
        <v>4810788.481374667</v>
      </c>
      <c r="AD173" s="5">
        <v>0.2</v>
      </c>
      <c r="AE173">
        <f t="shared" si="30"/>
        <v>962157.69627493341</v>
      </c>
      <c r="AF173">
        <f t="shared" si="31"/>
        <v>1</v>
      </c>
    </row>
    <row r="174" spans="1:32">
      <c r="A174" s="2">
        <v>173</v>
      </c>
      <c r="B174">
        <f t="shared" si="34"/>
        <v>560900.65059818339</v>
      </c>
      <c r="C174" s="5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5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5">
        <v>0.3</v>
      </c>
      <c r="AB174">
        <f t="shared" si="29"/>
        <v>73714658.988640964</v>
      </c>
      <c r="AC174">
        <f t="shared" si="32"/>
        <v>5099435.7902571475</v>
      </c>
      <c r="AD174" s="5">
        <v>0.2</v>
      </c>
      <c r="AE174">
        <f t="shared" si="30"/>
        <v>1019887.1580514295</v>
      </c>
      <c r="AF174">
        <f t="shared" si="31"/>
        <v>1</v>
      </c>
    </row>
    <row r="175" spans="1:32">
      <c r="A175" s="2">
        <v>174</v>
      </c>
      <c r="B175">
        <f t="shared" si="34"/>
        <v>605772.70264603803</v>
      </c>
      <c r="C175" s="5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5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5">
        <v>0.3</v>
      </c>
      <c r="AB175">
        <f t="shared" si="29"/>
        <v>79611831.70773223</v>
      </c>
      <c r="AC175">
        <f t="shared" si="32"/>
        <v>5405401.9376725769</v>
      </c>
      <c r="AD175" s="5">
        <v>0.2</v>
      </c>
      <c r="AE175">
        <f t="shared" si="30"/>
        <v>1081080.3875345155</v>
      </c>
      <c r="AF175">
        <f t="shared" si="31"/>
        <v>1</v>
      </c>
    </row>
    <row r="176" spans="1:32">
      <c r="A176" s="2">
        <v>175</v>
      </c>
      <c r="B176">
        <f t="shared" si="34"/>
        <v>654234.51885772112</v>
      </c>
      <c r="C176" s="5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5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5">
        <v>0.3</v>
      </c>
      <c r="AB176">
        <f t="shared" si="29"/>
        <v>85980778.244350821</v>
      </c>
      <c r="AC176">
        <f t="shared" si="32"/>
        <v>5729726.0539329322</v>
      </c>
      <c r="AD176" s="5">
        <v>0.2</v>
      </c>
      <c r="AE176">
        <f t="shared" si="30"/>
        <v>1145945.2107865864</v>
      </c>
      <c r="AF176">
        <f t="shared" si="31"/>
        <v>1</v>
      </c>
    </row>
    <row r="177" spans="1:32">
      <c r="A177" s="2">
        <v>176</v>
      </c>
      <c r="B177">
        <f t="shared" si="34"/>
        <v>706573.28036633879</v>
      </c>
      <c r="C177" s="5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5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5">
        <v>0.3</v>
      </c>
      <c r="AB177">
        <f t="shared" si="29"/>
        <v>92859240.503898889</v>
      </c>
      <c r="AC177">
        <f t="shared" si="32"/>
        <v>6073509.617168908</v>
      </c>
      <c r="AD177" s="5">
        <v>0.2</v>
      </c>
      <c r="AE177">
        <f t="shared" si="30"/>
        <v>1214701.9234337816</v>
      </c>
      <c r="AF177">
        <f t="shared" si="31"/>
        <v>1</v>
      </c>
    </row>
    <row r="178" spans="1:32">
      <c r="A178" s="2">
        <v>177</v>
      </c>
      <c r="B178">
        <f t="shared" si="34"/>
        <v>763099.14279564586</v>
      </c>
      <c r="C178" s="5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5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5">
        <v>0.3</v>
      </c>
      <c r="AB178">
        <f t="shared" si="29"/>
        <v>100287979.74421081</v>
      </c>
      <c r="AC178">
        <f t="shared" si="32"/>
        <v>6437920.1941990424</v>
      </c>
      <c r="AD178" s="5">
        <v>0.2</v>
      </c>
      <c r="AE178">
        <f t="shared" si="30"/>
        <v>1287584.0388398087</v>
      </c>
      <c r="AF178">
        <f t="shared" si="31"/>
        <v>1</v>
      </c>
    </row>
    <row r="179" spans="1:32">
      <c r="A179" s="2">
        <v>178</v>
      </c>
      <c r="B179">
        <f t="shared" si="34"/>
        <v>824147.0742192975</v>
      </c>
      <c r="C179" s="5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5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5">
        <v>0.3</v>
      </c>
      <c r="AB179">
        <f t="shared" si="29"/>
        <v>108311018.12374768</v>
      </c>
      <c r="AC179">
        <f t="shared" si="32"/>
        <v>6824195.4058509851</v>
      </c>
      <c r="AD179" s="5">
        <v>0.2</v>
      </c>
      <c r="AE179">
        <f t="shared" si="30"/>
        <v>1364839.0811701971</v>
      </c>
      <c r="AF179">
        <f t="shared" si="31"/>
        <v>1</v>
      </c>
    </row>
    <row r="180" spans="1:32">
      <c r="A180" s="2">
        <v>179</v>
      </c>
      <c r="B180">
        <f t="shared" si="34"/>
        <v>890078.84015684132</v>
      </c>
      <c r="C180" s="5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5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5">
        <v>0.3</v>
      </c>
      <c r="AB180">
        <f t="shared" si="29"/>
        <v>116975899.57364748</v>
      </c>
      <c r="AC180">
        <f t="shared" si="32"/>
        <v>7233647.1302020447</v>
      </c>
      <c r="AD180" s="5">
        <v>0.2</v>
      </c>
      <c r="AE180">
        <f t="shared" si="30"/>
        <v>1446729.4260404091</v>
      </c>
      <c r="AF180">
        <f t="shared" si="31"/>
        <v>1</v>
      </c>
    </row>
    <row r="181" spans="1:32">
      <c r="A181" s="2">
        <v>180</v>
      </c>
      <c r="B181">
        <f t="shared" si="34"/>
        <v>961285.14736938861</v>
      </c>
      <c r="C181" s="5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5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5">
        <v>0.3</v>
      </c>
      <c r="AB181">
        <f t="shared" si="29"/>
        <v>126333971.53953931</v>
      </c>
      <c r="AC181">
        <f t="shared" si="32"/>
        <v>7667665.9580141678</v>
      </c>
      <c r="AD181" s="5">
        <v>0.2</v>
      </c>
      <c r="AE181">
        <f t="shared" si="30"/>
        <v>1533533.1916028336</v>
      </c>
      <c r="AF181">
        <f t="shared" si="31"/>
        <v>1</v>
      </c>
    </row>
    <row r="182" spans="1:32">
      <c r="A182" s="2">
        <v>181</v>
      </c>
      <c r="B182">
        <f t="shared" si="34"/>
        <v>1038187.9591589397</v>
      </c>
      <c r="C182" s="5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5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5">
        <v>0.3</v>
      </c>
      <c r="AB182">
        <f t="shared" si="29"/>
        <v>136440689.26270244</v>
      </c>
      <c r="AC182">
        <f t="shared" si="32"/>
        <v>8127725.9154950185</v>
      </c>
      <c r="AD182" s="5">
        <v>0.2</v>
      </c>
      <c r="AE182">
        <f t="shared" si="30"/>
        <v>1625545.1830990037</v>
      </c>
      <c r="AF182">
        <f t="shared" si="31"/>
        <v>1</v>
      </c>
    </row>
    <row r="183" spans="1:32">
      <c r="A183" s="2">
        <v>182</v>
      </c>
      <c r="B183">
        <f t="shared" si="34"/>
        <v>1121242.9958916549</v>
      </c>
      <c r="C183" s="5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5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5">
        <v>0.3</v>
      </c>
      <c r="AB183">
        <f t="shared" si="29"/>
        <v>147355944.40371865</v>
      </c>
      <c r="AC183">
        <f t="shared" si="32"/>
        <v>8615389.4704247192</v>
      </c>
      <c r="AD183" s="5">
        <v>0.2</v>
      </c>
      <c r="AE183">
        <f t="shared" si="30"/>
        <v>1723077.8940849439</v>
      </c>
      <c r="AF183">
        <f t="shared" si="31"/>
        <v>1</v>
      </c>
    </row>
    <row r="184" spans="1:32">
      <c r="A184" s="2">
        <v>183</v>
      </c>
      <c r="B184">
        <f t="shared" si="34"/>
        <v>1210942.4355629873</v>
      </c>
      <c r="C184" s="5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5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5">
        <v>0.3</v>
      </c>
      <c r="AB184">
        <f t="shared" si="29"/>
        <v>159144419.95601615</v>
      </c>
      <c r="AC184">
        <f t="shared" si="32"/>
        <v>9132312.8386502024</v>
      </c>
      <c r="AD184" s="5">
        <v>0.2</v>
      </c>
      <c r="AE184">
        <f t="shared" si="30"/>
        <v>1826462.5677300405</v>
      </c>
      <c r="AF184">
        <f t="shared" si="31"/>
        <v>1</v>
      </c>
    </row>
    <row r="185" spans="1:32">
      <c r="A185" s="2">
        <v>184</v>
      </c>
      <c r="B185">
        <f t="shared" si="34"/>
        <v>1307817.8304080262</v>
      </c>
      <c r="C185" s="5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5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5">
        <v>0.3</v>
      </c>
      <c r="AB185">
        <f t="shared" si="29"/>
        <v>171875973.55249745</v>
      </c>
      <c r="AC185">
        <f t="shared" si="32"/>
        <v>9680251.6089692153</v>
      </c>
      <c r="AD185" s="5">
        <v>0.2</v>
      </c>
      <c r="AE185">
        <f t="shared" si="30"/>
        <v>1936050.3217938431</v>
      </c>
      <c r="AF185">
        <f t="shared" si="31"/>
        <v>1</v>
      </c>
    </row>
    <row r="186" spans="1:32">
      <c r="A186" s="2">
        <v>185</v>
      </c>
      <c r="B186">
        <f t="shared" si="34"/>
        <v>1412443.2568406684</v>
      </c>
      <c r="C186" s="5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5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5">
        <v>0.3</v>
      </c>
      <c r="AB186">
        <f t="shared" si="29"/>
        <v>185626051.43669727</v>
      </c>
      <c r="AC186">
        <f t="shared" si="32"/>
        <v>10261066.705507368</v>
      </c>
      <c r="AD186" s="5">
        <v>0.2</v>
      </c>
      <c r="AE186">
        <f t="shared" si="30"/>
        <v>2052213.3411014737</v>
      </c>
      <c r="AF186">
        <f t="shared" si="31"/>
        <v>1</v>
      </c>
    </row>
    <row r="187" spans="1:32">
      <c r="A187" s="2">
        <v>186</v>
      </c>
      <c r="B187">
        <f t="shared" si="34"/>
        <v>1525438.7173879219</v>
      </c>
      <c r="C187" s="5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5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5">
        <v>0.3</v>
      </c>
      <c r="AB187">
        <f t="shared" si="29"/>
        <v>200476135.55163306</v>
      </c>
      <c r="AC187">
        <f t="shared" si="32"/>
        <v>10876730.707837811</v>
      </c>
      <c r="AD187" s="5">
        <v>0.2</v>
      </c>
      <c r="AE187">
        <f t="shared" si="30"/>
        <v>2175346.1415675622</v>
      </c>
      <c r="AF187">
        <f t="shared" si="31"/>
        <v>1</v>
      </c>
    </row>
    <row r="188" spans="1:32">
      <c r="A188" s="2">
        <v>187</v>
      </c>
      <c r="B188">
        <f t="shared" si="34"/>
        <v>1647473.8147789557</v>
      </c>
      <c r="C188" s="5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5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5">
        <v>0.3</v>
      </c>
      <c r="AB188">
        <f t="shared" si="29"/>
        <v>216514226.39576373</v>
      </c>
      <c r="AC188">
        <f t="shared" si="32"/>
        <v>11529334.55030808</v>
      </c>
      <c r="AD188" s="5">
        <v>0.2</v>
      </c>
      <c r="AE188">
        <f t="shared" si="30"/>
        <v>2305866.910061616</v>
      </c>
      <c r="AF188">
        <f t="shared" si="31"/>
        <v>1</v>
      </c>
    </row>
    <row r="189" spans="1:32">
      <c r="A189" s="2">
        <v>188</v>
      </c>
      <c r="B189">
        <f t="shared" si="34"/>
        <v>1779271.7199612721</v>
      </c>
      <c r="C189" s="5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5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5">
        <v>0.3</v>
      </c>
      <c r="AB189">
        <f t="shared" si="29"/>
        <v>233835364.50742483</v>
      </c>
      <c r="AC189">
        <f t="shared" si="32"/>
        <v>12221094.623326566</v>
      </c>
      <c r="AD189" s="5">
        <v>0.2</v>
      </c>
      <c r="AE189">
        <f t="shared" si="30"/>
        <v>2444218.9246653132</v>
      </c>
      <c r="AF189">
        <f t="shared" si="31"/>
        <v>1</v>
      </c>
    </row>
    <row r="190" spans="1:32">
      <c r="A190" s="2">
        <v>189</v>
      </c>
      <c r="B190">
        <f t="shared" si="34"/>
        <v>1921613.4575581739</v>
      </c>
      <c r="C190" s="5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5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5">
        <v>0.3</v>
      </c>
      <c r="AB190">
        <f t="shared" si="29"/>
        <v>252542193.66801885</v>
      </c>
      <c r="AC190">
        <f t="shared" si="32"/>
        <v>12954360.30072616</v>
      </c>
      <c r="AD190" s="5">
        <v>0.2</v>
      </c>
      <c r="AE190">
        <f t="shared" si="30"/>
        <v>2590872.0601452324</v>
      </c>
      <c r="AF190">
        <f t="shared" si="31"/>
        <v>1</v>
      </c>
    </row>
    <row r="191" spans="1:32">
      <c r="A191" s="2">
        <v>190</v>
      </c>
      <c r="B191">
        <f t="shared" si="34"/>
        <v>2075342.5341628278</v>
      </c>
      <c r="C191" s="5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5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5">
        <v>0.3</v>
      </c>
      <c r="AB191">
        <f t="shared" si="29"/>
        <v>272745569.16146034</v>
      </c>
      <c r="AC191">
        <f t="shared" si="32"/>
        <v>13731621.91876973</v>
      </c>
      <c r="AD191" s="5">
        <v>0.2</v>
      </c>
      <c r="AE191">
        <f t="shared" si="30"/>
        <v>2746324.3837539461</v>
      </c>
      <c r="AF191">
        <f t="shared" si="31"/>
        <v>1</v>
      </c>
    </row>
    <row r="192" spans="1:32">
      <c r="A192" s="2">
        <v>191</v>
      </c>
      <c r="B192">
        <f t="shared" si="34"/>
        <v>2241369.9368958538</v>
      </c>
      <c r="C192" s="5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5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5">
        <v>0.3</v>
      </c>
      <c r="AB192">
        <f t="shared" si="29"/>
        <v>294565214.69437718</v>
      </c>
      <c r="AC192">
        <f t="shared" si="32"/>
        <v>14555519.233895915</v>
      </c>
      <c r="AD192" s="5">
        <v>0.2</v>
      </c>
      <c r="AE192">
        <f t="shared" si="30"/>
        <v>2911103.846779183</v>
      </c>
      <c r="AF192">
        <f t="shared" si="31"/>
        <v>1</v>
      </c>
    </row>
    <row r="193" spans="1:32">
      <c r="A193" s="2">
        <v>192</v>
      </c>
      <c r="B193">
        <f t="shared" si="34"/>
        <v>2420679.5318475221</v>
      </c>
      <c r="C193" s="5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5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5">
        <v>0.3</v>
      </c>
      <c r="AB193">
        <f t="shared" si="29"/>
        <v>318130431.86992741</v>
      </c>
      <c r="AC193">
        <f t="shared" si="32"/>
        <v>15428850.387929671</v>
      </c>
      <c r="AD193" s="5">
        <v>0.2</v>
      </c>
      <c r="AE193">
        <f t="shared" si="30"/>
        <v>3085770.0775859342</v>
      </c>
      <c r="AF193">
        <f t="shared" si="31"/>
        <v>1</v>
      </c>
    </row>
    <row r="194" spans="1:32">
      <c r="A194" s="2">
        <v>193</v>
      </c>
      <c r="B194">
        <f t="shared" si="34"/>
        <v>2614333.8943953239</v>
      </c>
      <c r="C194" s="5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5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5">
        <v>0.3</v>
      </c>
      <c r="AB194">
        <f t="shared" si="29"/>
        <v>343580866.41952163</v>
      </c>
      <c r="AC194">
        <f t="shared" si="32"/>
        <v>16354581.411205452</v>
      </c>
      <c r="AD194" s="5">
        <v>0.2</v>
      </c>
      <c r="AE194">
        <f t="shared" si="30"/>
        <v>3270916.2822410907</v>
      </c>
      <c r="AF194">
        <f t="shared" si="31"/>
        <v>1</v>
      </c>
    </row>
    <row r="195" spans="1:32">
      <c r="A195" s="2">
        <v>194</v>
      </c>
      <c r="B195">
        <f t="shared" si="34"/>
        <v>2823480.6059469497</v>
      </c>
      <c r="C195" s="5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5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5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5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>
      <c r="A196" s="2">
        <v>195</v>
      </c>
      <c r="B196">
        <f t="shared" si="34"/>
        <v>3049359.0544227054</v>
      </c>
      <c r="C196" s="5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5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5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5">
        <v>0.2</v>
      </c>
      <c r="AE196">
        <f t="shared" si="41"/>
        <v>3675201.5347260903</v>
      </c>
      <c r="AF196">
        <f t="shared" si="42"/>
        <v>1</v>
      </c>
    </row>
    <row r="197" spans="1:32">
      <c r="A197" s="2">
        <v>196</v>
      </c>
      <c r="B197">
        <f t="shared" si="34"/>
        <v>3293307.7787765218</v>
      </c>
      <c r="C197" s="5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5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5">
        <v>0.3</v>
      </c>
      <c r="AB197">
        <f t="shared" si="40"/>
        <v>432812940.39906853</v>
      </c>
      <c r="AC197">
        <f t="shared" si="43"/>
        <v>19478568.134048279</v>
      </c>
      <c r="AD197" s="5">
        <v>0.2</v>
      </c>
      <c r="AE197">
        <f t="shared" si="41"/>
        <v>3895713.6268096562</v>
      </c>
      <c r="AF197">
        <f t="shared" si="42"/>
        <v>1</v>
      </c>
    </row>
    <row r="198" spans="1:32">
      <c r="A198" s="2">
        <v>197</v>
      </c>
      <c r="B198">
        <f t="shared" si="34"/>
        <v>3556772.4010786437</v>
      </c>
      <c r="C198" s="5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5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5">
        <v>0.3</v>
      </c>
      <c r="AB198">
        <f t="shared" si="40"/>
        <v>467437975.63099408</v>
      </c>
      <c r="AC198">
        <f t="shared" si="43"/>
        <v>20647282.222091176</v>
      </c>
      <c r="AD198" s="5">
        <v>0.2</v>
      </c>
      <c r="AE198">
        <f t="shared" si="41"/>
        <v>4129456.4444182352</v>
      </c>
      <c r="AF198">
        <f t="shared" si="42"/>
        <v>1</v>
      </c>
    </row>
    <row r="199" spans="1:32">
      <c r="A199" s="2">
        <v>198</v>
      </c>
      <c r="B199">
        <f t="shared" si="34"/>
        <v>3841314.1931649353</v>
      </c>
      <c r="C199" s="5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5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5">
        <v>0.3</v>
      </c>
      <c r="AB199">
        <f t="shared" si="40"/>
        <v>504833013.68147367</v>
      </c>
      <c r="AC199">
        <f t="shared" si="43"/>
        <v>21886119.155416649</v>
      </c>
      <c r="AD199" s="5">
        <v>0.2</v>
      </c>
      <c r="AE199">
        <f t="shared" si="41"/>
        <v>4377223.8310833303</v>
      </c>
      <c r="AF199">
        <f t="shared" si="42"/>
        <v>1</v>
      </c>
    </row>
    <row r="200" spans="1:32">
      <c r="A200" s="2">
        <v>199</v>
      </c>
      <c r="B200">
        <f t="shared" si="34"/>
        <v>4148619.3286181302</v>
      </c>
      <c r="C200" s="5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5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5">
        <v>0.3</v>
      </c>
      <c r="AB200">
        <f t="shared" si="40"/>
        <v>545219654.77599156</v>
      </c>
      <c r="AC200">
        <f t="shared" si="43"/>
        <v>23199286.304741647</v>
      </c>
      <c r="AD200" s="5">
        <v>0.2</v>
      </c>
      <c r="AE200">
        <f t="shared" si="41"/>
        <v>4639857.2609483292</v>
      </c>
      <c r="AF200">
        <f t="shared" si="42"/>
        <v>1</v>
      </c>
    </row>
    <row r="201" spans="1:32">
      <c r="A201" s="2">
        <v>200</v>
      </c>
      <c r="B201">
        <f>B200+B200*C200</f>
        <v>4480508.8749075802</v>
      </c>
      <c r="C201" s="5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5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5">
        <v>0.3</v>
      </c>
      <c r="AB201">
        <f t="shared" si="40"/>
        <v>588837227.15807092</v>
      </c>
      <c r="AC201">
        <f t="shared" si="43"/>
        <v>24591243.483026147</v>
      </c>
      <c r="AD201" s="5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"/>
  <sheetData>
    <row r="3" spans="3:3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50800</xdr:colOff>
                <xdr:row>37</xdr:row>
                <xdr:rowOff>50800</xdr:rowOff>
              </from>
              <to>
                <xdr:col>15</xdr:col>
                <xdr:colOff>546100</xdr:colOff>
                <xdr:row>59</xdr:row>
                <xdr:rowOff>88900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101600</xdr:colOff>
                <xdr:row>1</xdr:row>
                <xdr:rowOff>38100</xdr:rowOff>
              </from>
              <to>
                <xdr:col>25</xdr:col>
                <xdr:colOff>463550</xdr:colOff>
                <xdr:row>36</xdr:row>
                <xdr:rowOff>101600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165100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通信模组</vt:lpstr>
      <vt:lpstr>射频前端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2024-03-10T23:09:39Z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